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D568E5EB-EAD7-4FF5-A1BF-5EBE68CDED9F}" xr6:coauthVersionLast="44" xr6:coauthVersionMax="44" xr10:uidLastSave="{00000000-0000-0000-0000-000000000000}"/>
  <bookViews>
    <workbookView xWindow="2865" yWindow="3480" windowWidth="28800" windowHeight="15555" tabRatio="893" firstSheet="1" activeTab="7" xr2:uid="{00000000-000D-0000-FFFF-FFFF00000000}"/>
  </bookViews>
  <sheets>
    <sheet name="Historia" sheetId="43" r:id="rId1"/>
    <sheet name="Skills Humanos" sheetId="42" r:id="rId2"/>
    <sheet name="Skills Licantropo" sheetId="41" r:id="rId3"/>
    <sheet name="Skills Vampiro" sheetId="40" r:id="rId4"/>
    <sheet name="ECONOMIA &amp; PROFESIONES" sheetId="32" r:id="rId5"/>
    <sheet name="ListItemsCraft" sheetId="45" r:id="rId6"/>
    <sheet name="ItemsCore" sheetId="46" r:id="rId7"/>
    <sheet name="Mundos" sheetId="47" r:id="rId8"/>
    <sheet name="Crafteos Prof ESP" sheetId="36" r:id="rId9"/>
    <sheet name="Crafteos MD" sheetId="38" r:id="rId10"/>
    <sheet name="Crafteos Mechanics" sheetId="39" r:id="rId11"/>
    <sheet name="MAIN" sheetId="1" r:id="rId12"/>
    <sheet name="armas comun" sheetId="4" r:id="rId13"/>
    <sheet name="helmet comun" sheetId="5" r:id="rId14"/>
    <sheet name="chestplate comun" sheetId="6" r:id="rId15"/>
    <sheet name="leggins comun" sheetId="7" r:id="rId16"/>
    <sheet name="boots comun" sheetId="9" r:id="rId17"/>
    <sheet name="armas magico" sheetId="10" r:id="rId18"/>
    <sheet name="helmet magico" sheetId="12" r:id="rId19"/>
    <sheet name="chestplate magico" sheetId="13" r:id="rId20"/>
    <sheet name="leggins magico" sheetId="14" r:id="rId21"/>
    <sheet name="boots magico" sheetId="15" r:id="rId22"/>
    <sheet name="armas raro" sheetId="16" r:id="rId23"/>
    <sheet name="helmet raro" sheetId="17" r:id="rId24"/>
    <sheet name="chestplate raro" sheetId="18" r:id="rId25"/>
    <sheet name="leggins raro" sheetId="19" r:id="rId26"/>
    <sheet name="boots raro" sheetId="20" r:id="rId27"/>
    <sheet name="armas legendario" sheetId="21" r:id="rId28"/>
    <sheet name="helmet legendario" sheetId="22" r:id="rId29"/>
    <sheet name="chestplate legendario" sheetId="23" r:id="rId30"/>
    <sheet name="leggins legendario" sheetId="24" r:id="rId31"/>
    <sheet name="boots legendario" sheetId="25" r:id="rId32"/>
    <sheet name="armas ancestral" sheetId="26" r:id="rId33"/>
    <sheet name="helmet ancestral" sheetId="27" r:id="rId34"/>
    <sheet name="chestplate ancestral" sheetId="28" r:id="rId35"/>
    <sheet name="leggins ancestral" sheetId="29" r:id="rId36"/>
    <sheet name="boots ancestral" sheetId="31" r:id="rId37"/>
  </sheets>
  <definedNames>
    <definedName name="_xlnm._FilterDatabase" localSheetId="5" hidden="1">ListItemsCraft!$A$1:$A$763</definedName>
    <definedName name="ACCIONES">'ECONOMIA &amp; PROFESIONES'!$C$18:$C$23</definedName>
    <definedName name="craftedesp">'Crafteos Prof ESP'!$A$40:$C$165</definedName>
    <definedName name="craftspar">'Crafteos Prof ESP'!$A$40:$A$150</definedName>
    <definedName name="EXTRACCIONES">ItemsCore!$A$2:$A$9</definedName>
    <definedName name="IDPOINTS">ListItemsCraft!$B$1:$C$763</definedName>
    <definedName name="IDS">ListItemsCraft!$B:$B</definedName>
    <definedName name="indexop">ListItemsCraft!$A$3:$A$763</definedName>
    <definedName name="listitems">ListItemsCraft!$B$3:$C$763</definedName>
    <definedName name="listnames">ListItemsCraft!$B$3:$B$763</definedName>
    <definedName name="MATERIAALQ">'ECONOMIA &amp; PROFESIONES'!$F$32:$G$42</definedName>
    <definedName name="MATERIACAR">'ECONOMIA &amp; PROFESIONES'!$D$32:$E$37</definedName>
    <definedName name="MATERIAGAN">'ECONOMIA &amp; PROFESIONES'!$H$32:$I$37</definedName>
    <definedName name="MATERIAMIN">'ECONOMIA &amp; PROFESIONES'!$B$32:$C$43</definedName>
    <definedName name="PROFESIONES">ItemsCore!$B$2:$B$13</definedName>
    <definedName name="PuntosItems">ListItemsCraft!$C$3:$C$763</definedName>
  </definedNames>
  <calcPr calcId="18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3" i="47" l="1"/>
  <c r="J4" i="47"/>
  <c r="J5" i="47"/>
  <c r="J2" i="47"/>
  <c r="H3" i="47"/>
  <c r="H4" i="47"/>
  <c r="H5" i="47"/>
  <c r="H2" i="47"/>
  <c r="F5" i="47"/>
  <c r="F4" i="47"/>
  <c r="F3" i="47"/>
  <c r="F2" i="47"/>
  <c r="D20" i="47" l="1"/>
  <c r="D19" i="47"/>
  <c r="D18" i="47"/>
  <c r="D17" i="47"/>
  <c r="D15" i="47"/>
  <c r="D14" i="47"/>
  <c r="D13" i="47"/>
  <c r="D12" i="47"/>
  <c r="D10" i="47"/>
  <c r="D9" i="47"/>
  <c r="D8" i="47"/>
  <c r="D7" i="47"/>
  <c r="C729" i="45"/>
  <c r="C562" i="45"/>
  <c r="C291" i="45"/>
  <c r="C77" i="45"/>
  <c r="C558" i="45"/>
  <c r="C557" i="45"/>
  <c r="E66" i="32"/>
  <c r="E3" i="46" a="1"/>
  <c r="E66" i="46" s="1"/>
  <c r="C3" i="46" a="1"/>
  <c r="C3" i="46" s="1"/>
  <c r="C751" i="46" l="1"/>
  <c r="C740" i="46"/>
  <c r="E749" i="46"/>
  <c r="E722" i="46"/>
  <c r="E700" i="46"/>
  <c r="E679" i="46"/>
  <c r="E658" i="46"/>
  <c r="E636" i="46"/>
  <c r="E615" i="46"/>
  <c r="E594" i="46"/>
  <c r="E570" i="46"/>
  <c r="E542" i="46"/>
  <c r="E527" i="46"/>
  <c r="E507" i="46"/>
  <c r="E455" i="46"/>
  <c r="E414" i="46"/>
  <c r="E367" i="46"/>
  <c r="E258" i="46"/>
  <c r="E762" i="46"/>
  <c r="E754" i="46"/>
  <c r="E746" i="46"/>
  <c r="E738" i="46"/>
  <c r="E728" i="46"/>
  <c r="E718" i="46"/>
  <c r="E707" i="46"/>
  <c r="E696" i="46"/>
  <c r="E686" i="46"/>
  <c r="E675" i="46"/>
  <c r="E664" i="46"/>
  <c r="E654" i="46"/>
  <c r="E643" i="46"/>
  <c r="E632" i="46"/>
  <c r="E622" i="46"/>
  <c r="E611" i="46"/>
  <c r="E600" i="46"/>
  <c r="E590" i="46"/>
  <c r="E579" i="46"/>
  <c r="E565" i="46"/>
  <c r="E551" i="46"/>
  <c r="E537" i="46"/>
  <c r="E519" i="46"/>
  <c r="E499" i="46"/>
  <c r="E478" i="46"/>
  <c r="E446" i="46"/>
  <c r="E403" i="46"/>
  <c r="E351" i="46"/>
  <c r="E194" i="46"/>
  <c r="E761" i="46"/>
  <c r="E753" i="46"/>
  <c r="E745" i="46"/>
  <c r="E737" i="46"/>
  <c r="E727" i="46"/>
  <c r="E716" i="46"/>
  <c r="E706" i="46"/>
  <c r="E695" i="46"/>
  <c r="E684" i="46"/>
  <c r="E674" i="46"/>
  <c r="E663" i="46"/>
  <c r="E652" i="46"/>
  <c r="E642" i="46"/>
  <c r="E631" i="46"/>
  <c r="E620" i="46"/>
  <c r="E610" i="46"/>
  <c r="E599" i="46"/>
  <c r="E588" i="46"/>
  <c r="E578" i="46"/>
  <c r="E563" i="46"/>
  <c r="E549" i="46"/>
  <c r="E535" i="46"/>
  <c r="E518" i="46"/>
  <c r="E495" i="46"/>
  <c r="E475" i="46"/>
  <c r="E435" i="46"/>
  <c r="E391" i="46"/>
  <c r="E330" i="46"/>
  <c r="E130" i="46"/>
  <c r="E757" i="46"/>
  <c r="E741" i="46"/>
  <c r="E732" i="46"/>
  <c r="E711" i="46"/>
  <c r="E690" i="46"/>
  <c r="E668" i="46"/>
  <c r="E647" i="46"/>
  <c r="E626" i="46"/>
  <c r="E604" i="46"/>
  <c r="E583" i="46"/>
  <c r="E557" i="46"/>
  <c r="E486" i="46"/>
  <c r="E758" i="46"/>
  <c r="E750" i="46"/>
  <c r="E742" i="46"/>
  <c r="E734" i="46"/>
  <c r="E723" i="46"/>
  <c r="E712" i="46"/>
  <c r="E702" i="46"/>
  <c r="E691" i="46"/>
  <c r="E680" i="46"/>
  <c r="E670" i="46"/>
  <c r="E659" i="46"/>
  <c r="E648" i="46"/>
  <c r="E638" i="46"/>
  <c r="E627" i="46"/>
  <c r="E616" i="46"/>
  <c r="E606" i="46"/>
  <c r="E595" i="46"/>
  <c r="E584" i="46"/>
  <c r="E573" i="46"/>
  <c r="E558" i="46"/>
  <c r="E543" i="46"/>
  <c r="E530" i="46"/>
  <c r="E510" i="46"/>
  <c r="E487" i="46"/>
  <c r="E467" i="46"/>
  <c r="E423" i="46"/>
  <c r="E382" i="46"/>
  <c r="E298" i="46"/>
  <c r="E3" i="46"/>
  <c r="E30" i="46"/>
  <c r="E94" i="46"/>
  <c r="E158" i="46"/>
  <c r="E222" i="46"/>
  <c r="E281" i="46"/>
  <c r="E313" i="46"/>
  <c r="E342" i="46"/>
  <c r="E358" i="46"/>
  <c r="E374" i="46"/>
  <c r="E383" i="46"/>
  <c r="E395" i="46"/>
  <c r="E406" i="46"/>
  <c r="E415" i="46"/>
  <c r="E427" i="46"/>
  <c r="E438" i="46"/>
  <c r="E447" i="46"/>
  <c r="E459" i="46"/>
  <c r="E470" i="46"/>
  <c r="E479" i="46"/>
  <c r="E491" i="46"/>
  <c r="E502" i="46"/>
  <c r="E511" i="46"/>
  <c r="E523" i="46"/>
  <c r="E531" i="46"/>
  <c r="E538" i="46"/>
  <c r="E546" i="46"/>
  <c r="E553" i="46"/>
  <c r="E559" i="46"/>
  <c r="E567" i="46"/>
  <c r="E574" i="46"/>
  <c r="E580" i="46"/>
  <c r="E586" i="46"/>
  <c r="E591" i="46"/>
  <c r="E596" i="46"/>
  <c r="E602" i="46"/>
  <c r="E607" i="46"/>
  <c r="E612" i="46"/>
  <c r="E618" i="46"/>
  <c r="E623" i="46"/>
  <c r="E628" i="46"/>
  <c r="E634" i="46"/>
  <c r="E639" i="46"/>
  <c r="E644" i="46"/>
  <c r="E650" i="46"/>
  <c r="E655" i="46"/>
  <c r="E660" i="46"/>
  <c r="E666" i="46"/>
  <c r="E671" i="46"/>
  <c r="E676" i="46"/>
  <c r="E682" i="46"/>
  <c r="E687" i="46"/>
  <c r="E692" i="46"/>
  <c r="E698" i="46"/>
  <c r="E703" i="46"/>
  <c r="E708" i="46"/>
  <c r="E714" i="46"/>
  <c r="E719" i="46"/>
  <c r="E724" i="46"/>
  <c r="E730" i="46"/>
  <c r="E735" i="46"/>
  <c r="E739" i="46"/>
  <c r="E743" i="46"/>
  <c r="E747" i="46"/>
  <c r="E751" i="46"/>
  <c r="E755" i="46"/>
  <c r="E759" i="46"/>
  <c r="E763" i="46"/>
  <c r="E62" i="46"/>
  <c r="E126" i="46"/>
  <c r="E190" i="46"/>
  <c r="E254" i="46"/>
  <c r="E297" i="46"/>
  <c r="E329" i="46"/>
  <c r="E350" i="46"/>
  <c r="E366" i="46"/>
  <c r="E379" i="46"/>
  <c r="E390" i="46"/>
  <c r="E399" i="46"/>
  <c r="E411" i="46"/>
  <c r="E422" i="46"/>
  <c r="E431" i="46"/>
  <c r="E443" i="46"/>
  <c r="E454" i="46"/>
  <c r="E463" i="46"/>
  <c r="E34" i="46"/>
  <c r="E98" i="46"/>
  <c r="E162" i="46"/>
  <c r="E226" i="46"/>
  <c r="E282" i="46"/>
  <c r="E314" i="46"/>
  <c r="E343" i="46"/>
  <c r="E359" i="46"/>
  <c r="E375" i="46"/>
  <c r="E387" i="46"/>
  <c r="E398" i="46"/>
  <c r="E407" i="46"/>
  <c r="E419" i="46"/>
  <c r="E430" i="46"/>
  <c r="E439" i="46"/>
  <c r="E451" i="46"/>
  <c r="E462" i="46"/>
  <c r="E471" i="46"/>
  <c r="E483" i="46"/>
  <c r="E494" i="46"/>
  <c r="E503" i="46"/>
  <c r="E515" i="46"/>
  <c r="E526" i="46"/>
  <c r="E533" i="46"/>
  <c r="E541" i="46"/>
  <c r="E547" i="46"/>
  <c r="E554" i="46"/>
  <c r="E562" i="46"/>
  <c r="E569" i="46"/>
  <c r="E575" i="46"/>
  <c r="E582" i="46"/>
  <c r="E587" i="46"/>
  <c r="E592" i="46"/>
  <c r="E598" i="46"/>
  <c r="E603" i="46"/>
  <c r="E608" i="46"/>
  <c r="E614" i="46"/>
  <c r="E619" i="46"/>
  <c r="E624" i="46"/>
  <c r="E630" i="46"/>
  <c r="E635" i="46"/>
  <c r="E640" i="46"/>
  <c r="E646" i="46"/>
  <c r="E651" i="46"/>
  <c r="E656" i="46"/>
  <c r="E662" i="46"/>
  <c r="E667" i="46"/>
  <c r="E672" i="46"/>
  <c r="E678" i="46"/>
  <c r="E683" i="46"/>
  <c r="E688" i="46"/>
  <c r="E694" i="46"/>
  <c r="E699" i="46"/>
  <c r="E704" i="46"/>
  <c r="E710" i="46"/>
  <c r="E715" i="46"/>
  <c r="E720" i="46"/>
  <c r="E726" i="46"/>
  <c r="E731" i="46"/>
  <c r="E736" i="46"/>
  <c r="E740" i="46"/>
  <c r="E744" i="46"/>
  <c r="E748" i="46"/>
  <c r="E752" i="46"/>
  <c r="E756" i="46"/>
  <c r="E760" i="46"/>
  <c r="C762" i="46"/>
  <c r="C730" i="46"/>
  <c r="C719" i="46"/>
  <c r="C708" i="46"/>
  <c r="C698" i="46"/>
  <c r="C687" i="46"/>
  <c r="C676" i="46"/>
  <c r="C666" i="46"/>
  <c r="C655" i="46"/>
  <c r="C644" i="46"/>
  <c r="C634" i="46"/>
  <c r="C623" i="46"/>
  <c r="C612" i="46"/>
  <c r="C602" i="46"/>
  <c r="C591" i="46"/>
  <c r="C580" i="46"/>
  <c r="C570" i="46"/>
  <c r="C559" i="46"/>
  <c r="C548" i="46"/>
  <c r="C536" i="46"/>
  <c r="C521" i="46"/>
  <c r="C506" i="46"/>
  <c r="C490" i="46"/>
  <c r="C469" i="46"/>
  <c r="C448" i="46"/>
  <c r="C426" i="46"/>
  <c r="C405" i="46"/>
  <c r="C384" i="46"/>
  <c r="C362" i="46"/>
  <c r="C341" i="46"/>
  <c r="C289" i="46"/>
  <c r="C221" i="46"/>
  <c r="C30" i="46"/>
  <c r="C758" i="46"/>
  <c r="C747" i="46"/>
  <c r="C736" i="46"/>
  <c r="C726" i="46"/>
  <c r="C715" i="46"/>
  <c r="C704" i="46"/>
  <c r="C694" i="46"/>
  <c r="C683" i="46"/>
  <c r="C672" i="46"/>
  <c r="C662" i="46"/>
  <c r="C651" i="46"/>
  <c r="C640" i="46"/>
  <c r="C630" i="46"/>
  <c r="C619" i="46"/>
  <c r="C608" i="46"/>
  <c r="C598" i="46"/>
  <c r="C587" i="46"/>
  <c r="C576" i="46"/>
  <c r="C566" i="46"/>
  <c r="C555" i="46"/>
  <c r="C544" i="46"/>
  <c r="C530" i="46"/>
  <c r="C516" i="46"/>
  <c r="C501" i="46"/>
  <c r="C484" i="46"/>
  <c r="C462" i="46"/>
  <c r="C441" i="46"/>
  <c r="C420" i="46"/>
  <c r="C398" i="46"/>
  <c r="C377" i="46"/>
  <c r="C356" i="46"/>
  <c r="C332" i="46"/>
  <c r="C276" i="46"/>
  <c r="C178" i="46"/>
  <c r="C735" i="46"/>
  <c r="C628" i="46"/>
  <c r="C586" i="46"/>
  <c r="C564" i="46"/>
  <c r="C554" i="46"/>
  <c r="C542" i="46"/>
  <c r="C528" i="46"/>
  <c r="C514" i="46"/>
  <c r="C500" i="46"/>
  <c r="C480" i="46"/>
  <c r="C458" i="46"/>
  <c r="C437" i="46"/>
  <c r="C416" i="46"/>
  <c r="C394" i="46"/>
  <c r="C373" i="46"/>
  <c r="C352" i="46"/>
  <c r="C318" i="46"/>
  <c r="C261" i="46"/>
  <c r="C134" i="46"/>
  <c r="C756" i="46"/>
  <c r="C746" i="46"/>
  <c r="C724" i="46"/>
  <c r="C714" i="46"/>
  <c r="C703" i="46"/>
  <c r="C692" i="46"/>
  <c r="C682" i="46"/>
  <c r="C671" i="46"/>
  <c r="C660" i="46"/>
  <c r="C650" i="46"/>
  <c r="C639" i="46"/>
  <c r="C618" i="46"/>
  <c r="C607" i="46"/>
  <c r="C596" i="46"/>
  <c r="C575" i="46"/>
  <c r="C763" i="46"/>
  <c r="C752" i="46"/>
  <c r="C742" i="46"/>
  <c r="C731" i="46"/>
  <c r="C720" i="46"/>
  <c r="C710" i="46"/>
  <c r="C699" i="46"/>
  <c r="C688" i="46"/>
  <c r="C678" i="46"/>
  <c r="C667" i="46"/>
  <c r="C656" i="46"/>
  <c r="C646" i="46"/>
  <c r="C635" i="46"/>
  <c r="C624" i="46"/>
  <c r="C614" i="46"/>
  <c r="C603" i="46"/>
  <c r="C592" i="46"/>
  <c r="C582" i="46"/>
  <c r="C571" i="46"/>
  <c r="C560" i="46"/>
  <c r="C550" i="46"/>
  <c r="C537" i="46"/>
  <c r="C522" i="46"/>
  <c r="C509" i="46"/>
  <c r="C494" i="46"/>
  <c r="C473" i="46"/>
  <c r="C452" i="46"/>
  <c r="C430" i="46"/>
  <c r="C409" i="46"/>
  <c r="C388" i="46"/>
  <c r="C366" i="46"/>
  <c r="C345" i="46"/>
  <c r="C304" i="46"/>
  <c r="C241" i="46"/>
  <c r="C94" i="46"/>
  <c r="C760" i="46"/>
  <c r="C755" i="46"/>
  <c r="C750" i="46"/>
  <c r="C744" i="46"/>
  <c r="C739" i="46"/>
  <c r="C734" i="46"/>
  <c r="C728" i="46"/>
  <c r="C723" i="46"/>
  <c r="C718" i="46"/>
  <c r="C712" i="46"/>
  <c r="C707" i="46"/>
  <c r="C702" i="46"/>
  <c r="C696" i="46"/>
  <c r="C691" i="46"/>
  <c r="C686" i="46"/>
  <c r="C680" i="46"/>
  <c r="C675" i="46"/>
  <c r="C670" i="46"/>
  <c r="C664" i="46"/>
  <c r="C659" i="46"/>
  <c r="C654" i="46"/>
  <c r="C648" i="46"/>
  <c r="C643" i="46"/>
  <c r="C638" i="46"/>
  <c r="C632" i="46"/>
  <c r="C627" i="46"/>
  <c r="C622" i="46"/>
  <c r="C616" i="46"/>
  <c r="C611" i="46"/>
  <c r="C606" i="46"/>
  <c r="C600" i="46"/>
  <c r="C595" i="46"/>
  <c r="C590" i="46"/>
  <c r="C584" i="46"/>
  <c r="C579" i="46"/>
  <c r="C574" i="46"/>
  <c r="C568" i="46"/>
  <c r="C563" i="46"/>
  <c r="C558" i="46"/>
  <c r="C552" i="46"/>
  <c r="C547" i="46"/>
  <c r="C541" i="46"/>
  <c r="C533" i="46"/>
  <c r="C526" i="46"/>
  <c r="C520" i="46"/>
  <c r="C512" i="46"/>
  <c r="C505" i="46"/>
  <c r="C498" i="46"/>
  <c r="C489" i="46"/>
  <c r="C478" i="46"/>
  <c r="C468" i="46"/>
  <c r="C457" i="46"/>
  <c r="C446" i="46"/>
  <c r="C436" i="46"/>
  <c r="C425" i="46"/>
  <c r="C414" i="46"/>
  <c r="C404" i="46"/>
  <c r="C393" i="46"/>
  <c r="C382" i="46"/>
  <c r="C372" i="46"/>
  <c r="C361" i="46"/>
  <c r="C350" i="46"/>
  <c r="C340" i="46"/>
  <c r="C325" i="46"/>
  <c r="C310" i="46"/>
  <c r="C297" i="46"/>
  <c r="C282" i="46"/>
  <c r="C268" i="46"/>
  <c r="C253" i="46"/>
  <c r="C230" i="46"/>
  <c r="C198" i="46"/>
  <c r="C158" i="46"/>
  <c r="C114" i="46"/>
  <c r="C62" i="46"/>
  <c r="C326" i="46"/>
  <c r="C313" i="46"/>
  <c r="C298" i="46"/>
  <c r="C284" i="46"/>
  <c r="C270" i="46"/>
  <c r="C254" i="46"/>
  <c r="C233" i="46"/>
  <c r="C206" i="46"/>
  <c r="C162" i="46"/>
  <c r="C118" i="46"/>
  <c r="C66" i="46"/>
  <c r="C759" i="46"/>
  <c r="C754" i="46"/>
  <c r="C748" i="46"/>
  <c r="C743" i="46"/>
  <c r="C738" i="46"/>
  <c r="C732" i="46"/>
  <c r="C727" i="46"/>
  <c r="C722" i="46"/>
  <c r="C716" i="46"/>
  <c r="C711" i="46"/>
  <c r="C706" i="46"/>
  <c r="C700" i="46"/>
  <c r="C695" i="46"/>
  <c r="C690" i="46"/>
  <c r="C684" i="46"/>
  <c r="C679" i="46"/>
  <c r="C674" i="46"/>
  <c r="C668" i="46"/>
  <c r="C663" i="46"/>
  <c r="C658" i="46"/>
  <c r="C652" i="46"/>
  <c r="C647" i="46"/>
  <c r="C642" i="46"/>
  <c r="C636" i="46"/>
  <c r="C631" i="46"/>
  <c r="C626" i="46"/>
  <c r="C620" i="46"/>
  <c r="C615" i="46"/>
  <c r="C610" i="46"/>
  <c r="C604" i="46"/>
  <c r="C599" i="46"/>
  <c r="C594" i="46"/>
  <c r="C588" i="46"/>
  <c r="C583" i="46"/>
  <c r="C578" i="46"/>
  <c r="C572" i="46"/>
  <c r="C567" i="46"/>
  <c r="C562" i="46"/>
  <c r="C556" i="46"/>
  <c r="C551" i="46"/>
  <c r="C546" i="46"/>
  <c r="C538" i="46"/>
  <c r="C532" i="46"/>
  <c r="C525" i="46"/>
  <c r="C517" i="46"/>
  <c r="C510" i="46"/>
  <c r="C504" i="46"/>
  <c r="C496" i="46"/>
  <c r="C485" i="46"/>
  <c r="C474" i="46"/>
  <c r="C464" i="46"/>
  <c r="C453" i="46"/>
  <c r="C442" i="46"/>
  <c r="C432" i="46"/>
  <c r="C421" i="46"/>
  <c r="C410" i="46"/>
  <c r="C400" i="46"/>
  <c r="C389" i="46"/>
  <c r="C378" i="46"/>
  <c r="C368" i="46"/>
  <c r="C357" i="46"/>
  <c r="C346" i="46"/>
  <c r="C334" i="46"/>
  <c r="C320" i="46"/>
  <c r="C305" i="46"/>
  <c r="C292" i="46"/>
  <c r="C277" i="46"/>
  <c r="C262" i="46"/>
  <c r="C245" i="46"/>
  <c r="C222" i="46"/>
  <c r="C182" i="46"/>
  <c r="C142" i="46"/>
  <c r="C98" i="46"/>
  <c r="C34" i="46"/>
  <c r="E371" i="46"/>
  <c r="E363" i="46"/>
  <c r="E355" i="46"/>
  <c r="E347" i="46"/>
  <c r="E338" i="46"/>
  <c r="E322" i="46"/>
  <c r="E306" i="46"/>
  <c r="E290" i="46"/>
  <c r="E274" i="46"/>
  <c r="E242" i="46"/>
  <c r="E210" i="46"/>
  <c r="E178" i="46"/>
  <c r="E146" i="46"/>
  <c r="E114" i="46"/>
  <c r="E82" i="46"/>
  <c r="E50" i="46"/>
  <c r="E18" i="46"/>
  <c r="E733" i="46"/>
  <c r="E729" i="46"/>
  <c r="E725" i="46"/>
  <c r="E721" i="46"/>
  <c r="E717" i="46"/>
  <c r="E713" i="46"/>
  <c r="E709" i="46"/>
  <c r="E705" i="46"/>
  <c r="E701" i="46"/>
  <c r="E697" i="46"/>
  <c r="E693" i="46"/>
  <c r="E689" i="46"/>
  <c r="E685" i="46"/>
  <c r="E681" i="46"/>
  <c r="E677" i="46"/>
  <c r="E673" i="46"/>
  <c r="E669" i="46"/>
  <c r="E665" i="46"/>
  <c r="E661" i="46"/>
  <c r="E657" i="46"/>
  <c r="E653" i="46"/>
  <c r="E649" i="46"/>
  <c r="E645" i="46"/>
  <c r="E641" i="46"/>
  <c r="E637" i="46"/>
  <c r="E633" i="46"/>
  <c r="E629" i="46"/>
  <c r="E625" i="46"/>
  <c r="E621" i="46"/>
  <c r="E617" i="46"/>
  <c r="E613" i="46"/>
  <c r="E609" i="46"/>
  <c r="E605" i="46"/>
  <c r="E601" i="46"/>
  <c r="E597" i="46"/>
  <c r="E593" i="46"/>
  <c r="E589" i="46"/>
  <c r="E585" i="46"/>
  <c r="E581" i="46"/>
  <c r="E577" i="46"/>
  <c r="E571" i="46"/>
  <c r="E566" i="46"/>
  <c r="E561" i="46"/>
  <c r="E555" i="46"/>
  <c r="E550" i="46"/>
  <c r="E545" i="46"/>
  <c r="E539" i="46"/>
  <c r="E534" i="46"/>
  <c r="E529" i="46"/>
  <c r="E522" i="46"/>
  <c r="E514" i="46"/>
  <c r="E506" i="46"/>
  <c r="E498" i="46"/>
  <c r="E490" i="46"/>
  <c r="E482" i="46"/>
  <c r="E474" i="46"/>
  <c r="E466" i="46"/>
  <c r="E458" i="46"/>
  <c r="E450" i="46"/>
  <c r="E442" i="46"/>
  <c r="E434" i="46"/>
  <c r="E426" i="46"/>
  <c r="E418" i="46"/>
  <c r="E410" i="46"/>
  <c r="E402" i="46"/>
  <c r="E394" i="46"/>
  <c r="E386" i="46"/>
  <c r="E378" i="46"/>
  <c r="E370" i="46"/>
  <c r="E362" i="46"/>
  <c r="E354" i="46"/>
  <c r="E346" i="46"/>
  <c r="E337" i="46"/>
  <c r="E321" i="46"/>
  <c r="E305" i="46"/>
  <c r="E289" i="46"/>
  <c r="E270" i="46"/>
  <c r="E238" i="46"/>
  <c r="E206" i="46"/>
  <c r="F206" i="46" s="1"/>
  <c r="E174" i="46"/>
  <c r="E142" i="46"/>
  <c r="E110" i="46"/>
  <c r="E78" i="46"/>
  <c r="E46" i="46"/>
  <c r="E14" i="46"/>
  <c r="C493" i="46"/>
  <c r="C488" i="46"/>
  <c r="C482" i="46"/>
  <c r="C477" i="46"/>
  <c r="C472" i="46"/>
  <c r="C466" i="46"/>
  <c r="C461" i="46"/>
  <c r="C456" i="46"/>
  <c r="C450" i="46"/>
  <c r="C445" i="46"/>
  <c r="C440" i="46"/>
  <c r="C434" i="46"/>
  <c r="C429" i="46"/>
  <c r="C424" i="46"/>
  <c r="C418" i="46"/>
  <c r="C413" i="46"/>
  <c r="C408" i="46"/>
  <c r="C402" i="46"/>
  <c r="C397" i="46"/>
  <c r="C392" i="46"/>
  <c r="C386" i="46"/>
  <c r="C381" i="46"/>
  <c r="C376" i="46"/>
  <c r="C370" i="46"/>
  <c r="C365" i="46"/>
  <c r="C360" i="46"/>
  <c r="C354" i="46"/>
  <c r="C349" i="46"/>
  <c r="C344" i="46"/>
  <c r="C337" i="46"/>
  <c r="C330" i="46"/>
  <c r="C324" i="46"/>
  <c r="C316" i="46"/>
  <c r="C309" i="46"/>
  <c r="C302" i="46"/>
  <c r="C294" i="46"/>
  <c r="C288" i="46"/>
  <c r="C281" i="46"/>
  <c r="C273" i="46"/>
  <c r="C266" i="46"/>
  <c r="C260" i="46"/>
  <c r="C249" i="46"/>
  <c r="C238" i="46"/>
  <c r="C229" i="46"/>
  <c r="C214" i="46"/>
  <c r="C194" i="46"/>
  <c r="C174" i="46"/>
  <c r="C150" i="46"/>
  <c r="C130" i="46"/>
  <c r="C110" i="46"/>
  <c r="C82" i="46"/>
  <c r="C50" i="46"/>
  <c r="C18" i="46"/>
  <c r="C761" i="46"/>
  <c r="C757" i="46"/>
  <c r="C753" i="46"/>
  <c r="C749" i="46"/>
  <c r="C745" i="46"/>
  <c r="C741" i="46"/>
  <c r="C737" i="46"/>
  <c r="C733" i="46"/>
  <c r="C729" i="46"/>
  <c r="C725" i="46"/>
  <c r="C721" i="46"/>
  <c r="C717" i="46"/>
  <c r="C713" i="46"/>
  <c r="C709" i="46"/>
  <c r="C705" i="46"/>
  <c r="C701" i="46"/>
  <c r="C697" i="46"/>
  <c r="C693" i="46"/>
  <c r="C689" i="46"/>
  <c r="C685" i="46"/>
  <c r="C681" i="46"/>
  <c r="C677" i="46"/>
  <c r="C673" i="46"/>
  <c r="C669" i="46"/>
  <c r="C665" i="46"/>
  <c r="C661" i="46"/>
  <c r="C657" i="46"/>
  <c r="C653" i="46"/>
  <c r="C649" i="46"/>
  <c r="C645" i="46"/>
  <c r="C641" i="46"/>
  <c r="C637" i="46"/>
  <c r="C633" i="46"/>
  <c r="C629" i="46"/>
  <c r="C625" i="46"/>
  <c r="C621" i="46"/>
  <c r="C617" i="46"/>
  <c r="C613" i="46"/>
  <c r="C609" i="46"/>
  <c r="C605" i="46"/>
  <c r="C601" i="46"/>
  <c r="C597" i="46"/>
  <c r="C593" i="46"/>
  <c r="C589" i="46"/>
  <c r="C585" i="46"/>
  <c r="C581" i="46"/>
  <c r="C577" i="46"/>
  <c r="C573" i="46"/>
  <c r="C569" i="46"/>
  <c r="C565" i="46"/>
  <c r="C561" i="46"/>
  <c r="C557" i="46"/>
  <c r="C553" i="46"/>
  <c r="C549" i="46"/>
  <c r="C545" i="46"/>
  <c r="C540" i="46"/>
  <c r="C534" i="46"/>
  <c r="C529" i="46"/>
  <c r="C524" i="46"/>
  <c r="C518" i="46"/>
  <c r="C513" i="46"/>
  <c r="C508" i="46"/>
  <c r="C502" i="46"/>
  <c r="C497" i="46"/>
  <c r="C492" i="46"/>
  <c r="C486" i="46"/>
  <c r="C481" i="46"/>
  <c r="C476" i="46"/>
  <c r="C470" i="46"/>
  <c r="C465" i="46"/>
  <c r="C460" i="46"/>
  <c r="C454" i="46"/>
  <c r="C449" i="46"/>
  <c r="C444" i="46"/>
  <c r="C438" i="46"/>
  <c r="C433" i="46"/>
  <c r="C428" i="46"/>
  <c r="C422" i="46"/>
  <c r="C417" i="46"/>
  <c r="C412" i="46"/>
  <c r="C406" i="46"/>
  <c r="C401" i="46"/>
  <c r="C396" i="46"/>
  <c r="C390" i="46"/>
  <c r="C385" i="46"/>
  <c r="C380" i="46"/>
  <c r="C374" i="46"/>
  <c r="C369" i="46"/>
  <c r="C364" i="46"/>
  <c r="C358" i="46"/>
  <c r="C353" i="46"/>
  <c r="C348" i="46"/>
  <c r="C342" i="46"/>
  <c r="C336" i="46"/>
  <c r="C329" i="46"/>
  <c r="C321" i="46"/>
  <c r="C314" i="46"/>
  <c r="C308" i="46"/>
  <c r="C300" i="46"/>
  <c r="C293" i="46"/>
  <c r="C286" i="46"/>
  <c r="C278" i="46"/>
  <c r="C272" i="46"/>
  <c r="C265" i="46"/>
  <c r="C257" i="46"/>
  <c r="C246" i="46"/>
  <c r="C237" i="46"/>
  <c r="C225" i="46"/>
  <c r="C210" i="46"/>
  <c r="C190" i="46"/>
  <c r="C166" i="46"/>
  <c r="C146" i="46"/>
  <c r="C126" i="46"/>
  <c r="C102" i="46"/>
  <c r="C78" i="46"/>
  <c r="C46" i="46"/>
  <c r="C14" i="46"/>
  <c r="E525" i="46"/>
  <c r="E521" i="46"/>
  <c r="E517" i="46"/>
  <c r="E513" i="46"/>
  <c r="E509" i="46"/>
  <c r="E505" i="46"/>
  <c r="E501" i="46"/>
  <c r="E497" i="46"/>
  <c r="E493" i="46"/>
  <c r="E489" i="46"/>
  <c r="E485" i="46"/>
  <c r="E481" i="46"/>
  <c r="E477" i="46"/>
  <c r="E473" i="46"/>
  <c r="E469" i="46"/>
  <c r="E465" i="46"/>
  <c r="E461" i="46"/>
  <c r="E457" i="46"/>
  <c r="E453" i="46"/>
  <c r="E449" i="46"/>
  <c r="E445" i="46"/>
  <c r="E441" i="46"/>
  <c r="E437" i="46"/>
  <c r="E433" i="46"/>
  <c r="E429" i="46"/>
  <c r="E425" i="46"/>
  <c r="E421" i="46"/>
  <c r="E417" i="46"/>
  <c r="E413" i="46"/>
  <c r="E409" i="46"/>
  <c r="E405" i="46"/>
  <c r="E401" i="46"/>
  <c r="E397" i="46"/>
  <c r="E393" i="46"/>
  <c r="E389" i="46"/>
  <c r="E385" i="46"/>
  <c r="E381" i="46"/>
  <c r="E377" i="46"/>
  <c r="E373" i="46"/>
  <c r="E369" i="46"/>
  <c r="E365" i="46"/>
  <c r="E361" i="46"/>
  <c r="E357" i="46"/>
  <c r="E353" i="46"/>
  <c r="E349" i="46"/>
  <c r="E345" i="46"/>
  <c r="E341" i="46"/>
  <c r="E334" i="46"/>
  <c r="E326" i="46"/>
  <c r="E318" i="46"/>
  <c r="E310" i="46"/>
  <c r="E302" i="46"/>
  <c r="E294" i="46"/>
  <c r="E286" i="46"/>
  <c r="E278" i="46"/>
  <c r="E266" i="46"/>
  <c r="E250" i="46"/>
  <c r="E234" i="46"/>
  <c r="E218" i="46"/>
  <c r="E202" i="46"/>
  <c r="F202" i="46" s="1"/>
  <c r="E186" i="46"/>
  <c r="E170" i="46"/>
  <c r="E154" i="46"/>
  <c r="E138" i="46"/>
  <c r="E122" i="46"/>
  <c r="E106" i="46"/>
  <c r="E90" i="46"/>
  <c r="E74" i="46"/>
  <c r="E58" i="46"/>
  <c r="E42" i="46"/>
  <c r="E26" i="46"/>
  <c r="E10" i="46"/>
  <c r="E576" i="46"/>
  <c r="E572" i="46"/>
  <c r="E568" i="46"/>
  <c r="E564" i="46"/>
  <c r="E560" i="46"/>
  <c r="E556" i="46"/>
  <c r="E552" i="46"/>
  <c r="E548" i="46"/>
  <c r="E544" i="46"/>
  <c r="E540" i="46"/>
  <c r="E536" i="46"/>
  <c r="E532" i="46"/>
  <c r="E528" i="46"/>
  <c r="E524" i="46"/>
  <c r="E520" i="46"/>
  <c r="E516" i="46"/>
  <c r="E512" i="46"/>
  <c r="E508" i="46"/>
  <c r="E504" i="46"/>
  <c r="E500" i="46"/>
  <c r="E496" i="46"/>
  <c r="E492" i="46"/>
  <c r="E488" i="46"/>
  <c r="E484" i="46"/>
  <c r="E480" i="46"/>
  <c r="E476" i="46"/>
  <c r="E472" i="46"/>
  <c r="E468" i="46"/>
  <c r="E464" i="46"/>
  <c r="E460" i="46"/>
  <c r="E456" i="46"/>
  <c r="E452" i="46"/>
  <c r="E448" i="46"/>
  <c r="E444" i="46"/>
  <c r="E440" i="46"/>
  <c r="E436" i="46"/>
  <c r="E432" i="46"/>
  <c r="E428" i="46"/>
  <c r="E424" i="46"/>
  <c r="E420" i="46"/>
  <c r="E416" i="46"/>
  <c r="E412" i="46"/>
  <c r="E408" i="46"/>
  <c r="E404" i="46"/>
  <c r="E400" i="46"/>
  <c r="E396" i="46"/>
  <c r="E392" i="46"/>
  <c r="E388" i="46"/>
  <c r="E384" i="46"/>
  <c r="E380" i="46"/>
  <c r="E376" i="46"/>
  <c r="E372" i="46"/>
  <c r="E368" i="46"/>
  <c r="E364" i="46"/>
  <c r="E360" i="46"/>
  <c r="E356" i="46"/>
  <c r="E352" i="46"/>
  <c r="E348" i="46"/>
  <c r="E344" i="46"/>
  <c r="E339" i="46"/>
  <c r="E333" i="46"/>
  <c r="E325" i="46"/>
  <c r="E317" i="46"/>
  <c r="E309" i="46"/>
  <c r="E301" i="46"/>
  <c r="E293" i="46"/>
  <c r="E285" i="46"/>
  <c r="E277" i="46"/>
  <c r="E262" i="46"/>
  <c r="E246" i="46"/>
  <c r="E230" i="46"/>
  <c r="E214" i="46"/>
  <c r="F214" i="46" s="1"/>
  <c r="E198" i="46"/>
  <c r="E182" i="46"/>
  <c r="E166" i="46"/>
  <c r="E150" i="46"/>
  <c r="E134" i="46"/>
  <c r="E118" i="46"/>
  <c r="E102" i="46"/>
  <c r="E86" i="46"/>
  <c r="E70" i="46"/>
  <c r="E54" i="46"/>
  <c r="E38" i="46"/>
  <c r="E22" i="46"/>
  <c r="E6" i="46"/>
  <c r="E273" i="46"/>
  <c r="E269" i="46"/>
  <c r="E265" i="46"/>
  <c r="E261" i="46"/>
  <c r="E257" i="46"/>
  <c r="E253" i="46"/>
  <c r="E249" i="46"/>
  <c r="E245" i="46"/>
  <c r="E241" i="46"/>
  <c r="E237" i="46"/>
  <c r="E233" i="46"/>
  <c r="E229" i="46"/>
  <c r="E225" i="46"/>
  <c r="E221" i="46"/>
  <c r="E217" i="46"/>
  <c r="F217" i="46" s="1"/>
  <c r="E213" i="46"/>
  <c r="F213" i="46" s="1"/>
  <c r="E209" i="46"/>
  <c r="F209" i="46" s="1"/>
  <c r="E205" i="46"/>
  <c r="E201" i="46"/>
  <c r="E197" i="46"/>
  <c r="E193" i="46"/>
  <c r="E189" i="46"/>
  <c r="E185" i="46"/>
  <c r="E181" i="46"/>
  <c r="E177" i="46"/>
  <c r="E173" i="46"/>
  <c r="E169" i="46"/>
  <c r="E165" i="46"/>
  <c r="E161" i="46"/>
  <c r="E157" i="46"/>
  <c r="E153" i="46"/>
  <c r="E149" i="46"/>
  <c r="E145" i="46"/>
  <c r="E141" i="46"/>
  <c r="E137" i="46"/>
  <c r="E133" i="46"/>
  <c r="E129" i="46"/>
  <c r="E125" i="46"/>
  <c r="E121" i="46"/>
  <c r="E117" i="46"/>
  <c r="E113" i="46"/>
  <c r="E109" i="46"/>
  <c r="E105" i="46"/>
  <c r="E101" i="46"/>
  <c r="E97" i="46"/>
  <c r="E93" i="46"/>
  <c r="E89" i="46"/>
  <c r="E85" i="46"/>
  <c r="E81" i="46"/>
  <c r="E77" i="46"/>
  <c r="E73" i="46"/>
  <c r="E69" i="46"/>
  <c r="E65" i="46"/>
  <c r="E61" i="46"/>
  <c r="E57" i="46"/>
  <c r="E53" i="46"/>
  <c r="E49" i="46"/>
  <c r="E45" i="46"/>
  <c r="E41" i="46"/>
  <c r="E37" i="46"/>
  <c r="E33" i="46"/>
  <c r="E29" i="46"/>
  <c r="E25" i="46"/>
  <c r="E21" i="46"/>
  <c r="E17" i="46"/>
  <c r="E13" i="46"/>
  <c r="E9" i="46"/>
  <c r="E5" i="46"/>
  <c r="E340" i="46"/>
  <c r="E336" i="46"/>
  <c r="E332" i="46"/>
  <c r="E328" i="46"/>
  <c r="E324" i="46"/>
  <c r="E320" i="46"/>
  <c r="E316" i="46"/>
  <c r="E312" i="46"/>
  <c r="E308" i="46"/>
  <c r="E304" i="46"/>
  <c r="E300" i="46"/>
  <c r="E296" i="46"/>
  <c r="E292" i="46"/>
  <c r="E288" i="46"/>
  <c r="E284" i="46"/>
  <c r="E280" i="46"/>
  <c r="E276" i="46"/>
  <c r="E272" i="46"/>
  <c r="E268" i="46"/>
  <c r="E264" i="46"/>
  <c r="E260" i="46"/>
  <c r="E256" i="46"/>
  <c r="E252" i="46"/>
  <c r="E248" i="46"/>
  <c r="E244" i="46"/>
  <c r="E240" i="46"/>
  <c r="E236" i="46"/>
  <c r="E232" i="46"/>
  <c r="E228" i="46"/>
  <c r="E224" i="46"/>
  <c r="E220" i="46"/>
  <c r="F220" i="46" s="1"/>
  <c r="E216" i="46"/>
  <c r="F216" i="46" s="1"/>
  <c r="E212" i="46"/>
  <c r="F212" i="46" s="1"/>
  <c r="E208" i="46"/>
  <c r="E204" i="46"/>
  <c r="F204" i="46" s="1"/>
  <c r="E200" i="46"/>
  <c r="E196" i="46"/>
  <c r="E192" i="46"/>
  <c r="E188" i="46"/>
  <c r="E184" i="46"/>
  <c r="E180" i="46"/>
  <c r="E176" i="46"/>
  <c r="E172" i="46"/>
  <c r="E168" i="46"/>
  <c r="E164" i="46"/>
  <c r="E160" i="46"/>
  <c r="E156" i="46"/>
  <c r="E152" i="46"/>
  <c r="E148" i="46"/>
  <c r="E144" i="46"/>
  <c r="E140" i="46"/>
  <c r="E136" i="46"/>
  <c r="E132" i="46"/>
  <c r="E128" i="46"/>
  <c r="E124" i="46"/>
  <c r="E120" i="46"/>
  <c r="E116" i="46"/>
  <c r="E112" i="46"/>
  <c r="E108" i="46"/>
  <c r="E104" i="46"/>
  <c r="E100" i="46"/>
  <c r="E96" i="46"/>
  <c r="E92" i="46"/>
  <c r="E88" i="46"/>
  <c r="E84" i="46"/>
  <c r="E80" i="46"/>
  <c r="E76" i="46"/>
  <c r="E72" i="46"/>
  <c r="E68" i="46"/>
  <c r="E64" i="46"/>
  <c r="E60" i="46"/>
  <c r="E56" i="46"/>
  <c r="E52" i="46"/>
  <c r="E48" i="46"/>
  <c r="E44" i="46"/>
  <c r="E40" i="46"/>
  <c r="E36" i="46"/>
  <c r="E32" i="46"/>
  <c r="E28" i="46"/>
  <c r="E24" i="46"/>
  <c r="E20" i="46"/>
  <c r="E16" i="46"/>
  <c r="E12" i="46"/>
  <c r="E8" i="46"/>
  <c r="E4" i="46"/>
  <c r="E335" i="46"/>
  <c r="E331" i="46"/>
  <c r="E327" i="46"/>
  <c r="E323" i="46"/>
  <c r="E319" i="46"/>
  <c r="E315" i="46"/>
  <c r="E311" i="46"/>
  <c r="E307" i="46"/>
  <c r="E303" i="46"/>
  <c r="E299" i="46"/>
  <c r="E295" i="46"/>
  <c r="E291" i="46"/>
  <c r="E287" i="46"/>
  <c r="E283" i="46"/>
  <c r="E279" i="46"/>
  <c r="E275" i="46"/>
  <c r="E271" i="46"/>
  <c r="E267" i="46"/>
  <c r="E263" i="46"/>
  <c r="E259" i="46"/>
  <c r="E255" i="46"/>
  <c r="E251" i="46"/>
  <c r="E247" i="46"/>
  <c r="E243" i="46"/>
  <c r="E239" i="46"/>
  <c r="E235" i="46"/>
  <c r="E231" i="46"/>
  <c r="E227" i="46"/>
  <c r="E223" i="46"/>
  <c r="E219" i="46"/>
  <c r="F219" i="46" s="1"/>
  <c r="E215" i="46"/>
  <c r="F215" i="46" s="1"/>
  <c r="E211" i="46"/>
  <c r="F211" i="46" s="1"/>
  <c r="E207" i="46"/>
  <c r="E203" i="46"/>
  <c r="F203" i="46" s="1"/>
  <c r="E199" i="46"/>
  <c r="E195" i="46"/>
  <c r="E191" i="46"/>
  <c r="E187" i="46"/>
  <c r="E183" i="46"/>
  <c r="E179" i="46"/>
  <c r="E175" i="46"/>
  <c r="E171" i="46"/>
  <c r="E167" i="46"/>
  <c r="E163" i="46"/>
  <c r="E159" i="46"/>
  <c r="E155" i="46"/>
  <c r="E151" i="46"/>
  <c r="E147" i="46"/>
  <c r="E143" i="46"/>
  <c r="E139" i="46"/>
  <c r="E135" i="46"/>
  <c r="E131" i="46"/>
  <c r="E127" i="46"/>
  <c r="E123" i="46"/>
  <c r="E119" i="46"/>
  <c r="E115" i="46"/>
  <c r="E111" i="46"/>
  <c r="E107" i="46"/>
  <c r="E103" i="46"/>
  <c r="E99" i="46"/>
  <c r="E95" i="46"/>
  <c r="E91" i="46"/>
  <c r="E87" i="46"/>
  <c r="E83" i="46"/>
  <c r="E79" i="46"/>
  <c r="E75" i="46"/>
  <c r="E71" i="46"/>
  <c r="E67" i="46"/>
  <c r="E63" i="46"/>
  <c r="E59" i="46"/>
  <c r="E55" i="46"/>
  <c r="E51" i="46"/>
  <c r="E47" i="46"/>
  <c r="E43" i="46"/>
  <c r="E39" i="46"/>
  <c r="E35" i="46"/>
  <c r="E31" i="46"/>
  <c r="E27" i="46"/>
  <c r="E23" i="46"/>
  <c r="E19" i="46"/>
  <c r="E15" i="46"/>
  <c r="E11" i="46"/>
  <c r="E7" i="46"/>
  <c r="C543" i="46"/>
  <c r="C539" i="46"/>
  <c r="C535" i="46"/>
  <c r="C531" i="46"/>
  <c r="C527" i="46"/>
  <c r="C523" i="46"/>
  <c r="C519" i="46"/>
  <c r="C515" i="46"/>
  <c r="C511" i="46"/>
  <c r="C507" i="46"/>
  <c r="C503" i="46"/>
  <c r="C499" i="46"/>
  <c r="C495" i="46"/>
  <c r="C491" i="46"/>
  <c r="C487" i="46"/>
  <c r="C483" i="46"/>
  <c r="C479" i="46"/>
  <c r="C475" i="46"/>
  <c r="C471" i="46"/>
  <c r="C467" i="46"/>
  <c r="C463" i="46"/>
  <c r="C459" i="46"/>
  <c r="C455" i="46"/>
  <c r="C451" i="46"/>
  <c r="C447" i="46"/>
  <c r="C443" i="46"/>
  <c r="C439" i="46"/>
  <c r="C435" i="46"/>
  <c r="C431" i="46"/>
  <c r="C427" i="46"/>
  <c r="C423" i="46"/>
  <c r="C419" i="46"/>
  <c r="C415" i="46"/>
  <c r="C411" i="46"/>
  <c r="C407" i="46"/>
  <c r="C403" i="46"/>
  <c r="C399" i="46"/>
  <c r="C395" i="46"/>
  <c r="C391" i="46"/>
  <c r="C387" i="46"/>
  <c r="C383" i="46"/>
  <c r="C379" i="46"/>
  <c r="C375" i="46"/>
  <c r="C371" i="46"/>
  <c r="C367" i="46"/>
  <c r="C363" i="46"/>
  <c r="C359" i="46"/>
  <c r="C355" i="46"/>
  <c r="C351" i="46"/>
  <c r="C347" i="46"/>
  <c r="C343" i="46"/>
  <c r="C338" i="46"/>
  <c r="C333" i="46"/>
  <c r="C328" i="46"/>
  <c r="C322" i="46"/>
  <c r="C317" i="46"/>
  <c r="C312" i="46"/>
  <c r="C306" i="46"/>
  <c r="C301" i="46"/>
  <c r="C296" i="46"/>
  <c r="C290" i="46"/>
  <c r="C285" i="46"/>
  <c r="C280" i="46"/>
  <c r="C274" i="46"/>
  <c r="C269" i="46"/>
  <c r="C264" i="46"/>
  <c r="C258" i="46"/>
  <c r="C250" i="46"/>
  <c r="C242" i="46"/>
  <c r="C234" i="46"/>
  <c r="C226" i="46"/>
  <c r="C218" i="46"/>
  <c r="C202" i="46"/>
  <c r="C186" i="46"/>
  <c r="C170" i="46"/>
  <c r="C154" i="46"/>
  <c r="C138" i="46"/>
  <c r="C122" i="46"/>
  <c r="C106" i="46"/>
  <c r="C90" i="46"/>
  <c r="C74" i="46"/>
  <c r="C58" i="46"/>
  <c r="C42" i="46"/>
  <c r="C26" i="46"/>
  <c r="C10" i="46"/>
  <c r="C86" i="46"/>
  <c r="C70" i="46"/>
  <c r="C54" i="46"/>
  <c r="C38" i="46"/>
  <c r="C22" i="46"/>
  <c r="C6" i="46"/>
  <c r="C217" i="46"/>
  <c r="C213" i="46"/>
  <c r="C209" i="46"/>
  <c r="C205" i="46"/>
  <c r="C201" i="46"/>
  <c r="C197" i="46"/>
  <c r="C193" i="46"/>
  <c r="C189" i="46"/>
  <c r="C185" i="46"/>
  <c r="C181" i="46"/>
  <c r="C177" i="46"/>
  <c r="C173" i="46"/>
  <c r="C169" i="46"/>
  <c r="C165" i="46"/>
  <c r="C161" i="46"/>
  <c r="C157" i="46"/>
  <c r="C153" i="46"/>
  <c r="C149" i="46"/>
  <c r="C145" i="46"/>
  <c r="C141" i="46"/>
  <c r="C137" i="46"/>
  <c r="C133" i="46"/>
  <c r="C129" i="46"/>
  <c r="C125" i="46"/>
  <c r="C121" i="46"/>
  <c r="C117" i="46"/>
  <c r="C113" i="46"/>
  <c r="C109" i="46"/>
  <c r="C105" i="46"/>
  <c r="C101" i="46"/>
  <c r="C97" i="46"/>
  <c r="C93" i="46"/>
  <c r="C89" i="46"/>
  <c r="C85" i="46"/>
  <c r="C81" i="46"/>
  <c r="C77" i="46"/>
  <c r="C73" i="46"/>
  <c r="C69" i="46"/>
  <c r="C65" i="46"/>
  <c r="C61" i="46"/>
  <c r="C57" i="46"/>
  <c r="C53" i="46"/>
  <c r="C49" i="46"/>
  <c r="C45" i="46"/>
  <c r="C41" i="46"/>
  <c r="C37" i="46"/>
  <c r="C33" i="46"/>
  <c r="C29" i="46"/>
  <c r="C25" i="46"/>
  <c r="C21" i="46"/>
  <c r="C17" i="46"/>
  <c r="C13" i="46"/>
  <c r="C9" i="46"/>
  <c r="C5" i="46"/>
  <c r="C256" i="46"/>
  <c r="C252" i="46"/>
  <c r="C248" i="46"/>
  <c r="C244" i="46"/>
  <c r="C240" i="46"/>
  <c r="C236" i="46"/>
  <c r="C232" i="46"/>
  <c r="C228" i="46"/>
  <c r="C224" i="46"/>
  <c r="C220" i="46"/>
  <c r="C216" i="46"/>
  <c r="C212" i="46"/>
  <c r="C208" i="46"/>
  <c r="C204" i="46"/>
  <c r="C200" i="46"/>
  <c r="C196" i="46"/>
  <c r="C192" i="46"/>
  <c r="C188" i="46"/>
  <c r="C184" i="46"/>
  <c r="C180" i="46"/>
  <c r="C176" i="46"/>
  <c r="C172" i="46"/>
  <c r="C168" i="46"/>
  <c r="C164" i="46"/>
  <c r="C160" i="46"/>
  <c r="C156" i="46"/>
  <c r="C152" i="46"/>
  <c r="C148" i="46"/>
  <c r="C144" i="46"/>
  <c r="C140" i="46"/>
  <c r="C136" i="46"/>
  <c r="C132" i="46"/>
  <c r="C128" i="46"/>
  <c r="C124" i="46"/>
  <c r="C120" i="46"/>
  <c r="C116" i="46"/>
  <c r="C112" i="46"/>
  <c r="C108" i="46"/>
  <c r="C104" i="46"/>
  <c r="C100" i="46"/>
  <c r="C96" i="46"/>
  <c r="C92" i="46"/>
  <c r="C88" i="46"/>
  <c r="C84" i="46"/>
  <c r="C80" i="46"/>
  <c r="C76" i="46"/>
  <c r="C72" i="46"/>
  <c r="C68" i="46"/>
  <c r="C64" i="46"/>
  <c r="C60" i="46"/>
  <c r="C56" i="46"/>
  <c r="C52" i="46"/>
  <c r="C48" i="46"/>
  <c r="C44" i="46"/>
  <c r="C40" i="46"/>
  <c r="C36" i="46"/>
  <c r="C32" i="46"/>
  <c r="C28" i="46"/>
  <c r="C24" i="46"/>
  <c r="C20" i="46"/>
  <c r="C16" i="46"/>
  <c r="C12" i="46"/>
  <c r="C8" i="46"/>
  <c r="C4" i="46"/>
  <c r="C339" i="46"/>
  <c r="C335" i="46"/>
  <c r="C331" i="46"/>
  <c r="C327" i="46"/>
  <c r="C323" i="46"/>
  <c r="C319" i="46"/>
  <c r="C315" i="46"/>
  <c r="C311" i="46"/>
  <c r="C307" i="46"/>
  <c r="C303" i="46"/>
  <c r="C299" i="46"/>
  <c r="C295" i="46"/>
  <c r="C291" i="46"/>
  <c r="C287" i="46"/>
  <c r="C283" i="46"/>
  <c r="C279" i="46"/>
  <c r="C275" i="46"/>
  <c r="C271" i="46"/>
  <c r="C267" i="46"/>
  <c r="C263" i="46"/>
  <c r="C259" i="46"/>
  <c r="C255" i="46"/>
  <c r="C251" i="46"/>
  <c r="C247" i="46"/>
  <c r="C243" i="46"/>
  <c r="C239" i="46"/>
  <c r="C235" i="46"/>
  <c r="C231" i="46"/>
  <c r="C227" i="46"/>
  <c r="C223" i="46"/>
  <c r="C219" i="46"/>
  <c r="C215" i="46"/>
  <c r="C211" i="46"/>
  <c r="C207" i="46"/>
  <c r="C203" i="46"/>
  <c r="C199" i="46"/>
  <c r="C195" i="46"/>
  <c r="C191" i="46"/>
  <c r="C187" i="46"/>
  <c r="C183" i="46"/>
  <c r="C179" i="46"/>
  <c r="C175" i="46"/>
  <c r="C171" i="46"/>
  <c r="C167" i="46"/>
  <c r="C163" i="46"/>
  <c r="C159" i="46"/>
  <c r="C155" i="46"/>
  <c r="C151" i="46"/>
  <c r="C147" i="46"/>
  <c r="C143" i="46"/>
  <c r="C139" i="46"/>
  <c r="C135" i="46"/>
  <c r="C131" i="46"/>
  <c r="C127" i="46"/>
  <c r="C123" i="46"/>
  <c r="C119" i="46"/>
  <c r="C115" i="46"/>
  <c r="C111" i="46"/>
  <c r="C107" i="46"/>
  <c r="C103" i="46"/>
  <c r="C99" i="46"/>
  <c r="C95" i="46"/>
  <c r="C91" i="46"/>
  <c r="C87" i="46"/>
  <c r="C83" i="46"/>
  <c r="C79" i="46"/>
  <c r="C75" i="46"/>
  <c r="C71" i="46"/>
  <c r="C67" i="46"/>
  <c r="C63" i="46"/>
  <c r="C59" i="46"/>
  <c r="C55" i="46"/>
  <c r="C51" i="46"/>
  <c r="C47" i="46"/>
  <c r="C43" i="46"/>
  <c r="C39" i="46"/>
  <c r="C35" i="46"/>
  <c r="C31" i="46"/>
  <c r="C27" i="46"/>
  <c r="C23" i="46"/>
  <c r="C19" i="46"/>
  <c r="C15" i="46"/>
  <c r="C11" i="46"/>
  <c r="C7" i="46"/>
  <c r="F210" i="46"/>
  <c r="F218" i="46"/>
  <c r="F221" i="46"/>
  <c r="F205" i="46"/>
  <c r="F208" i="46"/>
  <c r="F207" i="46"/>
  <c r="G37" i="32"/>
  <c r="C387" i="45" s="1"/>
  <c r="G36" i="32"/>
  <c r="G34" i="32"/>
  <c r="C711" i="45" s="1"/>
  <c r="C34" i="32"/>
  <c r="C392" i="45" s="1"/>
  <c r="A59" i="32"/>
  <c r="A58" i="32"/>
  <c r="C65" i="32" s="1"/>
  <c r="A57" i="32"/>
  <c r="A56" i="32"/>
  <c r="A55" i="32"/>
  <c r="C55" i="32" s="1"/>
  <c r="A54" i="32"/>
  <c r="G55" i="32" s="1"/>
  <c r="I55" i="32" s="1"/>
  <c r="I37" i="32"/>
  <c r="G44" i="32"/>
  <c r="G43" i="32"/>
  <c r="G42" i="32"/>
  <c r="G41" i="32"/>
  <c r="E37" i="32"/>
  <c r="C47" i="32"/>
  <c r="C46" i="32"/>
  <c r="C45" i="32"/>
  <c r="C44" i="32"/>
  <c r="C43" i="32"/>
  <c r="I36" i="32"/>
  <c r="G40" i="32"/>
  <c r="E36" i="32"/>
  <c r="C42" i="32"/>
  <c r="C41" i="32"/>
  <c r="C40" i="32"/>
  <c r="C39" i="32"/>
  <c r="I35" i="32"/>
  <c r="G39" i="32"/>
  <c r="E35" i="32"/>
  <c r="C38" i="32"/>
  <c r="C37" i="32"/>
  <c r="C36" i="32"/>
  <c r="I34" i="32"/>
  <c r="G38" i="32"/>
  <c r="G35" i="32"/>
  <c r="E34" i="32"/>
  <c r="C35" i="32"/>
  <c r="I33" i="32"/>
  <c r="G33" i="32"/>
  <c r="E33" i="32"/>
  <c r="C33" i="32"/>
  <c r="I32" i="32"/>
  <c r="G32" i="32"/>
  <c r="C430" i="45" s="1"/>
  <c r="E32" i="32"/>
  <c r="C32" i="32"/>
  <c r="D49" i="46" l="1"/>
  <c r="D40" i="46"/>
  <c r="D34" i="46"/>
  <c r="D56" i="46"/>
  <c r="D29" i="46"/>
  <c r="D45" i="46"/>
  <c r="D24" i="46"/>
  <c r="D50" i="46"/>
  <c r="D38" i="46"/>
  <c r="D28" i="46"/>
  <c r="D54" i="46"/>
  <c r="D44" i="46"/>
  <c r="D33" i="46"/>
  <c r="D22" i="46"/>
  <c r="D58" i="46"/>
  <c r="D53" i="46"/>
  <c r="D48" i="46"/>
  <c r="D42" i="46"/>
  <c r="D37" i="46"/>
  <c r="D32" i="46"/>
  <c r="D26" i="46"/>
  <c r="D21" i="46"/>
  <c r="D57" i="46"/>
  <c r="D52" i="46"/>
  <c r="D46" i="46"/>
  <c r="D41" i="46"/>
  <c r="D36" i="46"/>
  <c r="D30" i="46"/>
  <c r="D25" i="46"/>
  <c r="D20" i="46"/>
  <c r="D55" i="46"/>
  <c r="D51" i="46"/>
  <c r="D47" i="46"/>
  <c r="D43" i="46"/>
  <c r="D39" i="46"/>
  <c r="D31" i="46"/>
  <c r="D27" i="46"/>
  <c r="D23" i="46"/>
  <c r="C64" i="32"/>
  <c r="E64" i="32" s="1"/>
  <c r="C744" i="45" s="1"/>
  <c r="C634" i="45"/>
  <c r="C391" i="45"/>
  <c r="G54" i="32"/>
  <c r="I54" i="32" s="1"/>
  <c r="C353" i="45" s="1"/>
  <c r="C54" i="32"/>
  <c r="G56" i="32"/>
  <c r="J754" i="45"/>
  <c r="J753" i="45"/>
  <c r="J733" i="45"/>
  <c r="J732" i="45"/>
  <c r="C728" i="45"/>
  <c r="C721" i="45"/>
  <c r="C708" i="45"/>
  <c r="C704" i="45"/>
  <c r="C703" i="45"/>
  <c r="C702" i="45"/>
  <c r="C701" i="45"/>
  <c r="C700" i="45"/>
  <c r="C699" i="45"/>
  <c r="C698" i="45"/>
  <c r="C697" i="45"/>
  <c r="C696" i="45"/>
  <c r="C695" i="45"/>
  <c r="C694" i="45"/>
  <c r="C693" i="45"/>
  <c r="C675" i="45"/>
  <c r="C668" i="45"/>
  <c r="G669" i="45" s="1"/>
  <c r="G675" i="45"/>
  <c r="G668" i="45"/>
  <c r="C659" i="45"/>
  <c r="C639" i="45" l="1"/>
  <c r="E65" i="32"/>
  <c r="C626" i="45"/>
  <c r="C625" i="45"/>
  <c r="C618" i="45"/>
  <c r="D19" i="46" s="1"/>
  <c r="C615" i="45"/>
  <c r="D18" i="46" s="1"/>
  <c r="C604" i="45"/>
  <c r="C599" i="45"/>
  <c r="G599" i="45"/>
  <c r="J595" i="45"/>
  <c r="J594" i="45"/>
  <c r="C589" i="45"/>
  <c r="C588" i="45"/>
  <c r="C587" i="45"/>
  <c r="C582" i="45"/>
  <c r="D17" i="46" s="1"/>
  <c r="J569" i="45"/>
  <c r="J568" i="45"/>
  <c r="C565" i="45"/>
  <c r="C563" i="45"/>
  <c r="C551" i="45"/>
  <c r="C550" i="45"/>
  <c r="C538" i="45"/>
  <c r="G755" i="45" l="1"/>
  <c r="G734" i="45"/>
  <c r="C537" i="45"/>
  <c r="J506" i="45"/>
  <c r="J505" i="45"/>
  <c r="C500" i="45"/>
  <c r="C493" i="45"/>
  <c r="G500" i="45"/>
  <c r="G493" i="45"/>
  <c r="V488" i="45"/>
  <c r="S488" i="45"/>
  <c r="P488" i="45"/>
  <c r="M488" i="45"/>
  <c r="J488" i="45"/>
  <c r="C484" i="45"/>
  <c r="C482" i="45"/>
  <c r="D14" i="46" s="1"/>
  <c r="C486" i="45" l="1"/>
  <c r="D15" i="46" s="1"/>
  <c r="C473" i="45"/>
  <c r="C472" i="45"/>
  <c r="C101" i="45"/>
  <c r="C459" i="45"/>
  <c r="C395" i="45"/>
  <c r="C386" i="45"/>
  <c r="G386" i="45"/>
  <c r="G380" i="45"/>
  <c r="C379" i="45"/>
  <c r="G379" i="45"/>
  <c r="G362" i="45"/>
  <c r="G363" i="45"/>
  <c r="C311" i="45"/>
  <c r="C304" i="45"/>
  <c r="C287" i="45"/>
  <c r="D9" i="46" s="1"/>
  <c r="C253" i="45"/>
  <c r="C244" i="45"/>
  <c r="C246" i="45" l="1"/>
  <c r="D8" i="46" s="1"/>
  <c r="D7" i="46"/>
  <c r="J734" i="45"/>
  <c r="J755" i="45"/>
  <c r="J507" i="45"/>
  <c r="J570" i="45"/>
  <c r="J596" i="45"/>
  <c r="C234" i="45"/>
  <c r="C230" i="45"/>
  <c r="C195" i="45"/>
  <c r="C188" i="45"/>
  <c r="G189" i="45" s="1"/>
  <c r="G182" i="45"/>
  <c r="J173" i="45"/>
  <c r="J172" i="45"/>
  <c r="V164" i="45"/>
  <c r="S164" i="45"/>
  <c r="P164" i="45"/>
  <c r="M164" i="45"/>
  <c r="J164" i="45"/>
  <c r="G164" i="45"/>
  <c r="C146" i="45"/>
  <c r="V146" i="45"/>
  <c r="S146" i="45"/>
  <c r="P146" i="45"/>
  <c r="M146" i="45"/>
  <c r="J146" i="45"/>
  <c r="G146" i="45"/>
  <c r="C147" i="45"/>
  <c r="C141" i="45"/>
  <c r="C139" i="45"/>
  <c r="D4" i="46" s="1"/>
  <c r="C137" i="45"/>
  <c r="D3" i="46" s="1"/>
  <c r="C135" i="45"/>
  <c r="C133" i="45"/>
  <c r="C132" i="45"/>
  <c r="C131" i="45"/>
  <c r="C114" i="45"/>
  <c r="C111" i="45" l="1"/>
  <c r="G101" i="45"/>
  <c r="J97" i="45"/>
  <c r="J96" i="45"/>
  <c r="G70" i="45"/>
  <c r="G71" i="45"/>
  <c r="C40" i="45"/>
  <c r="C47" i="45" s="1"/>
  <c r="C32" i="45"/>
  <c r="G33" i="45" s="1"/>
  <c r="C502" i="45"/>
  <c r="V502" i="45"/>
  <c r="S502" i="45"/>
  <c r="P502" i="45"/>
  <c r="M502" i="45"/>
  <c r="J502" i="45"/>
  <c r="G502" i="45"/>
  <c r="C28" i="45"/>
  <c r="J631" i="45" s="1"/>
  <c r="C23" i="45"/>
  <c r="G248" i="45" s="1"/>
  <c r="C18" i="45"/>
  <c r="G19" i="45" s="1"/>
  <c r="C8" i="45"/>
  <c r="C15" i="45" s="1"/>
  <c r="V763" i="45"/>
  <c r="V762" i="45"/>
  <c r="V761" i="45"/>
  <c r="V760" i="45"/>
  <c r="V759" i="45"/>
  <c r="V758" i="45"/>
  <c r="V757" i="45"/>
  <c r="V756" i="45"/>
  <c r="V755" i="45"/>
  <c r="V754" i="45"/>
  <c r="V753" i="45"/>
  <c r="V752" i="45"/>
  <c r="V751" i="45"/>
  <c r="V750" i="45"/>
  <c r="V749" i="45"/>
  <c r="V748" i="45"/>
  <c r="V747" i="45"/>
  <c r="V746" i="45"/>
  <c r="V745" i="45"/>
  <c r="V744" i="45"/>
  <c r="V743" i="45"/>
  <c r="V742" i="45"/>
  <c r="V741" i="45"/>
  <c r="V740" i="45"/>
  <c r="V739" i="45"/>
  <c r="V738" i="45"/>
  <c r="V737" i="45"/>
  <c r="V736" i="45"/>
  <c r="V735" i="45"/>
  <c r="V734" i="45"/>
  <c r="V733" i="45"/>
  <c r="V732" i="45"/>
  <c r="V731" i="45"/>
  <c r="V730" i="45"/>
  <c r="V729" i="45"/>
  <c r="V728" i="45"/>
  <c r="V727" i="45"/>
  <c r="V726" i="45"/>
  <c r="V725" i="45"/>
  <c r="V724" i="45"/>
  <c r="V723" i="45"/>
  <c r="V722" i="45"/>
  <c r="V721" i="45"/>
  <c r="V720" i="45"/>
  <c r="V719" i="45"/>
  <c r="V718" i="45"/>
  <c r="V717" i="45"/>
  <c r="V716" i="45"/>
  <c r="V715" i="45"/>
  <c r="V714" i="45"/>
  <c r="V713" i="45"/>
  <c r="V712" i="45"/>
  <c r="V711" i="45"/>
  <c r="V710" i="45"/>
  <c r="V709" i="45"/>
  <c r="V708" i="45"/>
  <c r="V707" i="45"/>
  <c r="V706" i="45"/>
  <c r="V705" i="45"/>
  <c r="V704" i="45"/>
  <c r="V703" i="45"/>
  <c r="V702" i="45"/>
  <c r="V701" i="45"/>
  <c r="V700" i="45"/>
  <c r="V699" i="45"/>
  <c r="V698" i="45"/>
  <c r="V697" i="45"/>
  <c r="V696" i="45"/>
  <c r="V695" i="45"/>
  <c r="V694" i="45"/>
  <c r="V693" i="45"/>
  <c r="V692" i="45"/>
  <c r="V691" i="45"/>
  <c r="V690" i="45"/>
  <c r="V689" i="45"/>
  <c r="V688" i="45"/>
  <c r="V687" i="45"/>
  <c r="V686" i="45"/>
  <c r="V685" i="45"/>
  <c r="V684" i="45"/>
  <c r="V683" i="45"/>
  <c r="V682" i="45"/>
  <c r="V681" i="45"/>
  <c r="V680" i="45"/>
  <c r="V679" i="45"/>
  <c r="V678" i="45"/>
  <c r="V677" i="45"/>
  <c r="V676" i="45"/>
  <c r="V675" i="45"/>
  <c r="V674" i="45"/>
  <c r="V673" i="45"/>
  <c r="V672" i="45"/>
  <c r="V671" i="45"/>
  <c r="V670" i="45"/>
  <c r="V669" i="45"/>
  <c r="V668" i="45"/>
  <c r="V667" i="45"/>
  <c r="V666" i="45"/>
  <c r="V665" i="45"/>
  <c r="V664" i="45"/>
  <c r="V663" i="45"/>
  <c r="V662" i="45"/>
  <c r="V661" i="45"/>
  <c r="V660" i="45"/>
  <c r="V659" i="45"/>
  <c r="V658" i="45"/>
  <c r="V657" i="45"/>
  <c r="V656" i="45"/>
  <c r="V655" i="45"/>
  <c r="V654" i="45"/>
  <c r="V653" i="45"/>
  <c r="V652" i="45"/>
  <c r="V651" i="45"/>
  <c r="V650" i="45"/>
  <c r="V649" i="45"/>
  <c r="V648" i="45"/>
  <c r="V647" i="45"/>
  <c r="V646" i="45"/>
  <c r="V645" i="45"/>
  <c r="V644" i="45"/>
  <c r="V643" i="45"/>
  <c r="V642" i="45"/>
  <c r="V641" i="45"/>
  <c r="V640" i="45"/>
  <c r="V639" i="45"/>
  <c r="V638" i="45"/>
  <c r="V637" i="45"/>
  <c r="V636" i="45"/>
  <c r="V635" i="45"/>
  <c r="V634" i="45"/>
  <c r="V633" i="45"/>
  <c r="V632" i="45"/>
  <c r="V631" i="45"/>
  <c r="V630" i="45"/>
  <c r="V629" i="45"/>
  <c r="V628" i="45"/>
  <c r="V627" i="45"/>
  <c r="V626" i="45"/>
  <c r="V625" i="45"/>
  <c r="V624" i="45"/>
  <c r="V623" i="45"/>
  <c r="V622" i="45"/>
  <c r="V621" i="45"/>
  <c r="V620" i="45"/>
  <c r="V619" i="45"/>
  <c r="V618" i="45"/>
  <c r="V617" i="45"/>
  <c r="V616" i="45"/>
  <c r="V615" i="45"/>
  <c r="V614" i="45"/>
  <c r="V613" i="45"/>
  <c r="V612" i="45"/>
  <c r="V611" i="45"/>
  <c r="V610" i="45"/>
  <c r="V609" i="45"/>
  <c r="V608" i="45"/>
  <c r="V607" i="45"/>
  <c r="V606" i="45"/>
  <c r="V605" i="45"/>
  <c r="V604" i="45"/>
  <c r="V603" i="45"/>
  <c r="V602" i="45"/>
  <c r="V601" i="45"/>
  <c r="V600" i="45"/>
  <c r="V599" i="45"/>
  <c r="V598" i="45"/>
  <c r="V597" i="45"/>
  <c r="V596" i="45"/>
  <c r="V595" i="45"/>
  <c r="V594" i="45"/>
  <c r="V593" i="45"/>
  <c r="V592" i="45"/>
  <c r="V591" i="45"/>
  <c r="V590" i="45"/>
  <c r="V589" i="45"/>
  <c r="V588" i="45"/>
  <c r="V587" i="45"/>
  <c r="V586" i="45"/>
  <c r="V585" i="45"/>
  <c r="V584" i="45"/>
  <c r="V583" i="45"/>
  <c r="V582" i="45"/>
  <c r="V581" i="45"/>
  <c r="V580" i="45"/>
  <c r="V579" i="45"/>
  <c r="V578" i="45"/>
  <c r="V577" i="45"/>
  <c r="V576" i="45"/>
  <c r="V575" i="45"/>
  <c r="V574" i="45"/>
  <c r="V573" i="45"/>
  <c r="V572" i="45"/>
  <c r="V571" i="45"/>
  <c r="V570" i="45"/>
  <c r="V569" i="45"/>
  <c r="V568" i="45"/>
  <c r="V567" i="45"/>
  <c r="V566" i="45"/>
  <c r="V565" i="45"/>
  <c r="V564" i="45"/>
  <c r="V563" i="45"/>
  <c r="V562" i="45"/>
  <c r="V561" i="45"/>
  <c r="V560" i="45"/>
  <c r="V559" i="45"/>
  <c r="V558" i="45"/>
  <c r="V557" i="45"/>
  <c r="V556" i="45"/>
  <c r="V555" i="45"/>
  <c r="V554" i="45"/>
  <c r="V553" i="45"/>
  <c r="V552" i="45"/>
  <c r="V551" i="45"/>
  <c r="V550" i="45"/>
  <c r="V549" i="45"/>
  <c r="V548" i="45"/>
  <c r="V547" i="45"/>
  <c r="V546" i="45"/>
  <c r="V545" i="45"/>
  <c r="V544" i="45"/>
  <c r="V543" i="45"/>
  <c r="V542" i="45"/>
  <c r="V541" i="45"/>
  <c r="V540" i="45"/>
  <c r="V539" i="45"/>
  <c r="V538" i="45"/>
  <c r="V537" i="45"/>
  <c r="V536" i="45"/>
  <c r="V535" i="45"/>
  <c r="V534" i="45"/>
  <c r="V533" i="45"/>
  <c r="V532" i="45"/>
  <c r="V531" i="45"/>
  <c r="V530" i="45"/>
  <c r="V529" i="45"/>
  <c r="V528" i="45"/>
  <c r="V527" i="45"/>
  <c r="V526" i="45"/>
  <c r="V525" i="45"/>
  <c r="V524" i="45"/>
  <c r="V523" i="45"/>
  <c r="V522" i="45"/>
  <c r="V521" i="45"/>
  <c r="V520" i="45"/>
  <c r="V519" i="45"/>
  <c r="V518" i="45"/>
  <c r="V517" i="45"/>
  <c r="V516" i="45"/>
  <c r="V515" i="45"/>
  <c r="V514" i="45"/>
  <c r="V513" i="45"/>
  <c r="V512" i="45"/>
  <c r="V511" i="45"/>
  <c r="V510" i="45"/>
  <c r="V509" i="45"/>
  <c r="V508" i="45"/>
  <c r="V507" i="45"/>
  <c r="V506" i="45"/>
  <c r="V505" i="45"/>
  <c r="V504" i="45"/>
  <c r="V503" i="45"/>
  <c r="V501" i="45"/>
  <c r="V500" i="45"/>
  <c r="V499" i="45"/>
  <c r="V498" i="45"/>
  <c r="V497" i="45"/>
  <c r="V496" i="45"/>
  <c r="V495" i="45"/>
  <c r="V494" i="45"/>
  <c r="V493" i="45"/>
  <c r="V492" i="45"/>
  <c r="V491" i="45"/>
  <c r="V490" i="45"/>
  <c r="V489" i="45"/>
  <c r="V487" i="45"/>
  <c r="V486" i="45"/>
  <c r="V485" i="45"/>
  <c r="V484" i="45"/>
  <c r="V483" i="45"/>
  <c r="V482" i="45"/>
  <c r="V481" i="45"/>
  <c r="V480" i="45"/>
  <c r="V479" i="45"/>
  <c r="V478" i="45"/>
  <c r="V477" i="45"/>
  <c r="V476" i="45"/>
  <c r="V475" i="45"/>
  <c r="V474" i="45"/>
  <c r="V473" i="45"/>
  <c r="V472" i="45"/>
  <c r="V471" i="45"/>
  <c r="V470" i="45"/>
  <c r="V469" i="45"/>
  <c r="V468" i="45"/>
  <c r="V467" i="45"/>
  <c r="V466" i="45"/>
  <c r="V465" i="45"/>
  <c r="V464" i="45"/>
  <c r="V463" i="45"/>
  <c r="V462" i="45"/>
  <c r="V461" i="45"/>
  <c r="V460" i="45"/>
  <c r="V459" i="45"/>
  <c r="V458" i="45"/>
  <c r="V457" i="45"/>
  <c r="V456" i="45"/>
  <c r="V455" i="45"/>
  <c r="V454" i="45"/>
  <c r="V453" i="45"/>
  <c r="V452" i="45"/>
  <c r="V451" i="45"/>
  <c r="V450" i="45"/>
  <c r="V449" i="45"/>
  <c r="V448" i="45"/>
  <c r="V447" i="45"/>
  <c r="V446" i="45"/>
  <c r="V445" i="45"/>
  <c r="V444" i="45"/>
  <c r="V443" i="45"/>
  <c r="V442" i="45"/>
  <c r="V441" i="45"/>
  <c r="V440" i="45"/>
  <c r="V439" i="45"/>
  <c r="V438" i="45"/>
  <c r="V437" i="45"/>
  <c r="V436" i="45"/>
  <c r="V435" i="45"/>
  <c r="V434" i="45"/>
  <c r="V433" i="45"/>
  <c r="V432" i="45"/>
  <c r="V431" i="45"/>
  <c r="V430" i="45"/>
  <c r="V429" i="45"/>
  <c r="V428" i="45"/>
  <c r="V427" i="45"/>
  <c r="V426" i="45"/>
  <c r="V425" i="45"/>
  <c r="V424" i="45"/>
  <c r="V423" i="45"/>
  <c r="V422" i="45"/>
  <c r="V421" i="45"/>
  <c r="V420" i="45"/>
  <c r="V419" i="45"/>
  <c r="V418" i="45"/>
  <c r="V417" i="45"/>
  <c r="V416" i="45"/>
  <c r="V415" i="45"/>
  <c r="V414" i="45"/>
  <c r="V413" i="45"/>
  <c r="V412" i="45"/>
  <c r="V411" i="45"/>
  <c r="V410" i="45"/>
  <c r="V409" i="45"/>
  <c r="V408" i="45"/>
  <c r="V407" i="45"/>
  <c r="V406" i="45"/>
  <c r="V405" i="45"/>
  <c r="V404" i="45"/>
  <c r="V403" i="45"/>
  <c r="V402" i="45"/>
  <c r="V401" i="45"/>
  <c r="V400" i="45"/>
  <c r="V399" i="45"/>
  <c r="V398" i="45"/>
  <c r="V397" i="45"/>
  <c r="V396" i="45"/>
  <c r="V395" i="45"/>
  <c r="V394" i="45"/>
  <c r="V393" i="45"/>
  <c r="V392" i="45"/>
  <c r="V391" i="45"/>
  <c r="V390" i="45"/>
  <c r="V389" i="45"/>
  <c r="V388" i="45"/>
  <c r="V387" i="45"/>
  <c r="V386" i="45"/>
  <c r="V385" i="45"/>
  <c r="V384" i="45"/>
  <c r="V383" i="45"/>
  <c r="V382" i="45"/>
  <c r="V381" i="45"/>
  <c r="V380" i="45"/>
  <c r="V379" i="45"/>
  <c r="V378" i="45"/>
  <c r="V377" i="45"/>
  <c r="V376" i="45"/>
  <c r="V375" i="45"/>
  <c r="V374" i="45"/>
  <c r="V373" i="45"/>
  <c r="V372" i="45"/>
  <c r="V371" i="45"/>
  <c r="V370" i="45"/>
  <c r="V369" i="45"/>
  <c r="V368" i="45"/>
  <c r="V367" i="45"/>
  <c r="V366" i="45"/>
  <c r="V365" i="45"/>
  <c r="V364" i="45"/>
  <c r="V363" i="45"/>
  <c r="V362" i="45"/>
  <c r="V361" i="45"/>
  <c r="V360" i="45"/>
  <c r="V359" i="45"/>
  <c r="V358" i="45"/>
  <c r="V357" i="45"/>
  <c r="V356" i="45"/>
  <c r="V355" i="45"/>
  <c r="V354" i="45"/>
  <c r="V353" i="45"/>
  <c r="V352" i="45"/>
  <c r="V351" i="45"/>
  <c r="V350" i="45"/>
  <c r="V349" i="45"/>
  <c r="V348" i="45"/>
  <c r="V347" i="45"/>
  <c r="V346" i="45"/>
  <c r="V345" i="45"/>
  <c r="V344" i="45"/>
  <c r="V343" i="45"/>
  <c r="V342" i="45"/>
  <c r="V341" i="45"/>
  <c r="V340" i="45"/>
  <c r="V339" i="45"/>
  <c r="V338" i="45"/>
  <c r="V337" i="45"/>
  <c r="V336" i="45"/>
  <c r="V335" i="45"/>
  <c r="V334" i="45"/>
  <c r="V333" i="45"/>
  <c r="V332" i="45"/>
  <c r="V331" i="45"/>
  <c r="V330" i="45"/>
  <c r="V329" i="45"/>
  <c r="V328" i="45"/>
  <c r="V327" i="45"/>
  <c r="V326" i="45"/>
  <c r="V325" i="45"/>
  <c r="V324" i="45"/>
  <c r="V323" i="45"/>
  <c r="V322" i="45"/>
  <c r="V321" i="45"/>
  <c r="V320" i="45"/>
  <c r="V319" i="45"/>
  <c r="V318" i="45"/>
  <c r="V317" i="45"/>
  <c r="V316" i="45"/>
  <c r="V315" i="45"/>
  <c r="V314" i="45"/>
  <c r="V313" i="45"/>
  <c r="V312" i="45"/>
  <c r="V311" i="45"/>
  <c r="V310" i="45"/>
  <c r="V309" i="45"/>
  <c r="V308" i="45"/>
  <c r="V307" i="45"/>
  <c r="V306" i="45"/>
  <c r="V305" i="45"/>
  <c r="V304" i="45"/>
  <c r="V303" i="45"/>
  <c r="V302" i="45"/>
  <c r="V301" i="45"/>
  <c r="V300" i="45"/>
  <c r="V299" i="45"/>
  <c r="V298" i="45"/>
  <c r="V297" i="45"/>
  <c r="V296" i="45"/>
  <c r="V295" i="45"/>
  <c r="V294" i="45"/>
  <c r="V293" i="45"/>
  <c r="V292" i="45"/>
  <c r="V291" i="45"/>
  <c r="V290" i="45"/>
  <c r="V289" i="45"/>
  <c r="V288" i="45"/>
  <c r="V287" i="45"/>
  <c r="V286" i="45"/>
  <c r="V285" i="45"/>
  <c r="V284" i="45"/>
  <c r="V283" i="45"/>
  <c r="V282" i="45"/>
  <c r="V281" i="45"/>
  <c r="V280" i="45"/>
  <c r="V279" i="45"/>
  <c r="V278" i="45"/>
  <c r="V277" i="45"/>
  <c r="V276" i="45"/>
  <c r="V275" i="45"/>
  <c r="V274" i="45"/>
  <c r="V273" i="45"/>
  <c r="V272" i="45"/>
  <c r="V271" i="45"/>
  <c r="V270" i="45"/>
  <c r="V269" i="45"/>
  <c r="V268" i="45"/>
  <c r="V267" i="45"/>
  <c r="V266" i="45"/>
  <c r="V265" i="45"/>
  <c r="V264" i="45"/>
  <c r="V263" i="45"/>
  <c r="V262" i="45"/>
  <c r="V261" i="45"/>
  <c r="V260" i="45"/>
  <c r="V259" i="45"/>
  <c r="V258" i="45"/>
  <c r="V257" i="45"/>
  <c r="V256" i="45"/>
  <c r="V255" i="45"/>
  <c r="V254" i="45"/>
  <c r="V253" i="45"/>
  <c r="V252" i="45"/>
  <c r="V251" i="45"/>
  <c r="V250" i="45"/>
  <c r="V249" i="45"/>
  <c r="V248" i="45"/>
  <c r="V247" i="45"/>
  <c r="V246" i="45"/>
  <c r="V245" i="45"/>
  <c r="V244" i="45"/>
  <c r="V243" i="45"/>
  <c r="V242" i="45"/>
  <c r="V241" i="45"/>
  <c r="V240" i="45"/>
  <c r="V239" i="45"/>
  <c r="V238" i="45"/>
  <c r="V237" i="45"/>
  <c r="V236" i="45"/>
  <c r="V235" i="45"/>
  <c r="V234" i="45"/>
  <c r="V233" i="45"/>
  <c r="V232" i="45"/>
  <c r="V231" i="45"/>
  <c r="V230" i="45"/>
  <c r="V229" i="45"/>
  <c r="V228" i="45"/>
  <c r="V227" i="45"/>
  <c r="V226" i="45"/>
  <c r="V225" i="45"/>
  <c r="V224" i="45"/>
  <c r="V223" i="45"/>
  <c r="V222" i="45"/>
  <c r="V221" i="45"/>
  <c r="V220" i="45"/>
  <c r="V219" i="45"/>
  <c r="V218" i="45"/>
  <c r="V217" i="45"/>
  <c r="V216" i="45"/>
  <c r="V215" i="45"/>
  <c r="V214" i="45"/>
  <c r="V213" i="45"/>
  <c r="V212" i="45"/>
  <c r="V211" i="45"/>
  <c r="V210" i="45"/>
  <c r="V209" i="45"/>
  <c r="V208" i="45"/>
  <c r="V207" i="45"/>
  <c r="V206" i="45"/>
  <c r="V205" i="45"/>
  <c r="V204" i="45"/>
  <c r="V203" i="45"/>
  <c r="V202" i="45"/>
  <c r="V201" i="45"/>
  <c r="V200" i="45"/>
  <c r="V199" i="45"/>
  <c r="V198" i="45"/>
  <c r="V197" i="45"/>
  <c r="V196" i="45"/>
  <c r="V195" i="45"/>
  <c r="V194" i="45"/>
  <c r="V193" i="45"/>
  <c r="V192" i="45"/>
  <c r="V191" i="45"/>
  <c r="V190" i="45"/>
  <c r="V189" i="45"/>
  <c r="V188" i="45"/>
  <c r="V187" i="45"/>
  <c r="V186" i="45"/>
  <c r="V185" i="45"/>
  <c r="V184" i="45"/>
  <c r="V183" i="45"/>
  <c r="V182" i="45"/>
  <c r="V181" i="45"/>
  <c r="V180" i="45"/>
  <c r="V179" i="45"/>
  <c r="V178" i="45"/>
  <c r="V177" i="45"/>
  <c r="V176" i="45"/>
  <c r="V175" i="45"/>
  <c r="V174" i="45"/>
  <c r="V173" i="45"/>
  <c r="V172" i="45"/>
  <c r="V171" i="45"/>
  <c r="V170" i="45"/>
  <c r="V169" i="45"/>
  <c r="V168" i="45"/>
  <c r="V167" i="45"/>
  <c r="V166" i="45"/>
  <c r="V165" i="45"/>
  <c r="V163" i="45"/>
  <c r="V162" i="45"/>
  <c r="V161" i="45"/>
  <c r="V160" i="45"/>
  <c r="V159" i="45"/>
  <c r="V158" i="45"/>
  <c r="V157" i="45"/>
  <c r="V156" i="45"/>
  <c r="V155" i="45"/>
  <c r="V154" i="45"/>
  <c r="V153" i="45"/>
  <c r="V152" i="45"/>
  <c r="V151" i="45"/>
  <c r="V150" i="45"/>
  <c r="V149" i="45"/>
  <c r="V148" i="45"/>
  <c r="V147" i="45"/>
  <c r="V145" i="45"/>
  <c r="V144" i="45"/>
  <c r="V143" i="45"/>
  <c r="V142" i="45"/>
  <c r="V141" i="45"/>
  <c r="V140" i="45"/>
  <c r="V139" i="45"/>
  <c r="V138" i="45"/>
  <c r="V137" i="45"/>
  <c r="V136" i="45"/>
  <c r="V135" i="45"/>
  <c r="V134" i="45"/>
  <c r="V133" i="45"/>
  <c r="V132" i="45"/>
  <c r="V131" i="45"/>
  <c r="V130" i="45"/>
  <c r="V129" i="45"/>
  <c r="V128" i="45"/>
  <c r="V127" i="45"/>
  <c r="V126" i="45"/>
  <c r="V125" i="45"/>
  <c r="V124" i="45"/>
  <c r="V123" i="45"/>
  <c r="V122" i="45"/>
  <c r="V121" i="45"/>
  <c r="V120" i="45"/>
  <c r="V119" i="45"/>
  <c r="V118" i="45"/>
  <c r="V117" i="45"/>
  <c r="V116" i="45"/>
  <c r="V115" i="45"/>
  <c r="V114" i="45"/>
  <c r="V113" i="45"/>
  <c r="V112" i="45"/>
  <c r="V111" i="45"/>
  <c r="V110" i="45"/>
  <c r="V109" i="45"/>
  <c r="V108" i="45"/>
  <c r="V107" i="45"/>
  <c r="V106" i="45"/>
  <c r="V105" i="45"/>
  <c r="V104" i="45"/>
  <c r="V103" i="45"/>
  <c r="V102" i="45"/>
  <c r="V101" i="45"/>
  <c r="V100" i="45"/>
  <c r="V99" i="45"/>
  <c r="V98" i="45"/>
  <c r="V97" i="45"/>
  <c r="V96" i="45"/>
  <c r="V95" i="45"/>
  <c r="V94" i="45"/>
  <c r="V93" i="45"/>
  <c r="V92" i="45"/>
  <c r="V91" i="45"/>
  <c r="V90" i="45"/>
  <c r="V89" i="45"/>
  <c r="V88" i="45"/>
  <c r="V87" i="45"/>
  <c r="V86" i="45"/>
  <c r="V85" i="45"/>
  <c r="V84" i="45"/>
  <c r="V83" i="45"/>
  <c r="V82" i="45"/>
  <c r="V81" i="45"/>
  <c r="V80" i="45"/>
  <c r="V79" i="45"/>
  <c r="V78" i="45"/>
  <c r="V77" i="45"/>
  <c r="V76" i="45"/>
  <c r="V75" i="45"/>
  <c r="V74" i="45"/>
  <c r="V73" i="45"/>
  <c r="V72" i="45"/>
  <c r="V71" i="45"/>
  <c r="V70" i="45"/>
  <c r="V69" i="45"/>
  <c r="V68" i="45"/>
  <c r="V67" i="45"/>
  <c r="V66" i="45"/>
  <c r="V65" i="45"/>
  <c r="V64" i="45"/>
  <c r="V63" i="45"/>
  <c r="V62" i="45"/>
  <c r="V61" i="45"/>
  <c r="V60" i="45"/>
  <c r="V59" i="45"/>
  <c r="V58" i="45"/>
  <c r="V57" i="45"/>
  <c r="V56" i="45"/>
  <c r="V55" i="45"/>
  <c r="V54" i="45"/>
  <c r="V53" i="45"/>
  <c r="V52" i="45"/>
  <c r="V51" i="45"/>
  <c r="V50" i="45"/>
  <c r="V49" i="45"/>
  <c r="V48" i="45"/>
  <c r="V47" i="45"/>
  <c r="V46" i="45"/>
  <c r="V45" i="45"/>
  <c r="V44" i="45"/>
  <c r="V43" i="45"/>
  <c r="V42" i="45"/>
  <c r="V41" i="45"/>
  <c r="V40" i="45"/>
  <c r="V39" i="45"/>
  <c r="V38" i="45"/>
  <c r="V37" i="45"/>
  <c r="V36" i="45"/>
  <c r="V35" i="45"/>
  <c r="V34" i="45"/>
  <c r="V33" i="45"/>
  <c r="V32" i="45"/>
  <c r="V31" i="45"/>
  <c r="V30" i="45"/>
  <c r="V29" i="45"/>
  <c r="V28" i="45"/>
  <c r="V27" i="45"/>
  <c r="V26" i="45"/>
  <c r="V25" i="45"/>
  <c r="V24" i="45"/>
  <c r="V23" i="45"/>
  <c r="V22" i="45"/>
  <c r="V21" i="45"/>
  <c r="V20" i="45"/>
  <c r="V19" i="45"/>
  <c r="V18" i="45"/>
  <c r="V17" i="45"/>
  <c r="V16" i="45"/>
  <c r="V15" i="45"/>
  <c r="V14" i="45"/>
  <c r="V13" i="45"/>
  <c r="V12" i="45"/>
  <c r="V11" i="45"/>
  <c r="V10" i="45"/>
  <c r="V9" i="45"/>
  <c r="V8" i="45"/>
  <c r="V7" i="45"/>
  <c r="V6" i="45"/>
  <c r="V5" i="45"/>
  <c r="V4" i="45"/>
  <c r="V3" i="45"/>
  <c r="S763" i="45"/>
  <c r="S762" i="45"/>
  <c r="S761" i="45"/>
  <c r="S760" i="45"/>
  <c r="S759" i="45"/>
  <c r="S758" i="45"/>
  <c r="S757" i="45"/>
  <c r="S756" i="45"/>
  <c r="S755" i="45"/>
  <c r="S754" i="45"/>
  <c r="S753" i="45"/>
  <c r="S752" i="45"/>
  <c r="S751" i="45"/>
  <c r="S750" i="45"/>
  <c r="S749" i="45"/>
  <c r="S748" i="45"/>
  <c r="S747" i="45"/>
  <c r="S746" i="45"/>
  <c r="S745" i="45"/>
  <c r="S744" i="45"/>
  <c r="S743" i="45"/>
  <c r="S742" i="45"/>
  <c r="S741" i="45"/>
  <c r="S740" i="45"/>
  <c r="S739" i="45"/>
  <c r="S738" i="45"/>
  <c r="S737" i="45"/>
  <c r="S736" i="45"/>
  <c r="S735" i="45"/>
  <c r="S734" i="45"/>
  <c r="S733" i="45"/>
  <c r="S732" i="45"/>
  <c r="S731" i="45"/>
  <c r="S730" i="45"/>
  <c r="S729" i="45"/>
  <c r="S728" i="45"/>
  <c r="S727" i="45"/>
  <c r="S726" i="45"/>
  <c r="S725" i="45"/>
  <c r="S724" i="45"/>
  <c r="S723" i="45"/>
  <c r="S722" i="45"/>
  <c r="S721" i="45"/>
  <c r="S720" i="45"/>
  <c r="S719" i="45"/>
  <c r="S718" i="45"/>
  <c r="S717" i="45"/>
  <c r="S716" i="45"/>
  <c r="S715" i="45"/>
  <c r="S714" i="45"/>
  <c r="S713" i="45"/>
  <c r="S712" i="45"/>
  <c r="S711" i="45"/>
  <c r="S710" i="45"/>
  <c r="S709" i="45"/>
  <c r="S708" i="45"/>
  <c r="S707" i="45"/>
  <c r="S706" i="45"/>
  <c r="S705" i="45"/>
  <c r="S704" i="45"/>
  <c r="S703" i="45"/>
  <c r="S702" i="45"/>
  <c r="S701" i="45"/>
  <c r="S700" i="45"/>
  <c r="S699" i="45"/>
  <c r="S698" i="45"/>
  <c r="S697" i="45"/>
  <c r="S696" i="45"/>
  <c r="S695" i="45"/>
  <c r="S694" i="45"/>
  <c r="S693" i="45"/>
  <c r="S692" i="45"/>
  <c r="S691" i="45"/>
  <c r="S690" i="45"/>
  <c r="S689" i="45"/>
  <c r="S688" i="45"/>
  <c r="S687" i="45"/>
  <c r="S686" i="45"/>
  <c r="S685" i="45"/>
  <c r="S684" i="45"/>
  <c r="S683" i="45"/>
  <c r="S682" i="45"/>
  <c r="S681" i="45"/>
  <c r="S680" i="45"/>
  <c r="S679" i="45"/>
  <c r="S678" i="45"/>
  <c r="S677" i="45"/>
  <c r="S676" i="45"/>
  <c r="S675" i="45"/>
  <c r="S674" i="45"/>
  <c r="S673" i="45"/>
  <c r="S672" i="45"/>
  <c r="S671" i="45"/>
  <c r="S670" i="45"/>
  <c r="S669" i="45"/>
  <c r="S668" i="45"/>
  <c r="S667" i="45"/>
  <c r="S666" i="45"/>
  <c r="S665" i="45"/>
  <c r="S664" i="45"/>
  <c r="S663" i="45"/>
  <c r="S662" i="45"/>
  <c r="S661" i="45"/>
  <c r="S660" i="45"/>
  <c r="S659" i="45"/>
  <c r="S658" i="45"/>
  <c r="S657" i="45"/>
  <c r="S656" i="45"/>
  <c r="S655" i="45"/>
  <c r="S654" i="45"/>
  <c r="S653" i="45"/>
  <c r="S652" i="45"/>
  <c r="S651" i="45"/>
  <c r="S650" i="45"/>
  <c r="S649" i="45"/>
  <c r="S648" i="45"/>
  <c r="S647" i="45"/>
  <c r="S646" i="45"/>
  <c r="S645" i="45"/>
  <c r="S644" i="45"/>
  <c r="S643" i="45"/>
  <c r="S642" i="45"/>
  <c r="S641" i="45"/>
  <c r="S640" i="45"/>
  <c r="S639" i="45"/>
  <c r="S638" i="45"/>
  <c r="S637" i="45"/>
  <c r="S636" i="45"/>
  <c r="S635" i="45"/>
  <c r="S634" i="45"/>
  <c r="S633" i="45"/>
  <c r="S632" i="45"/>
  <c r="S631" i="45"/>
  <c r="S630" i="45"/>
  <c r="S629" i="45"/>
  <c r="S628" i="45"/>
  <c r="S627" i="45"/>
  <c r="S626" i="45"/>
  <c r="S625" i="45"/>
  <c r="S624" i="45"/>
  <c r="S623" i="45"/>
  <c r="S622" i="45"/>
  <c r="S621" i="45"/>
  <c r="S620" i="45"/>
  <c r="S619" i="45"/>
  <c r="S618" i="45"/>
  <c r="S617" i="45"/>
  <c r="S616" i="45"/>
  <c r="S615" i="45"/>
  <c r="S614" i="45"/>
  <c r="S613" i="45"/>
  <c r="S612" i="45"/>
  <c r="S611" i="45"/>
  <c r="S610" i="45"/>
  <c r="S609" i="45"/>
  <c r="S608" i="45"/>
  <c r="S607" i="45"/>
  <c r="S606" i="45"/>
  <c r="S605" i="45"/>
  <c r="S604" i="45"/>
  <c r="S603" i="45"/>
  <c r="S602" i="45"/>
  <c r="S601" i="45"/>
  <c r="S600" i="45"/>
  <c r="S599" i="45"/>
  <c r="S598" i="45"/>
  <c r="S597" i="45"/>
  <c r="S596" i="45"/>
  <c r="S595" i="45"/>
  <c r="S594" i="45"/>
  <c r="S593" i="45"/>
  <c r="S592" i="45"/>
  <c r="S591" i="45"/>
  <c r="S589" i="45"/>
  <c r="S588" i="45"/>
  <c r="S587" i="45"/>
  <c r="S586" i="45"/>
  <c r="S585" i="45"/>
  <c r="S584" i="45"/>
  <c r="S583" i="45"/>
  <c r="S582" i="45"/>
  <c r="S581" i="45"/>
  <c r="S580" i="45"/>
  <c r="S579" i="45"/>
  <c r="S578" i="45"/>
  <c r="S577" i="45"/>
  <c r="S576" i="45"/>
  <c r="S575" i="45"/>
  <c r="S574" i="45"/>
  <c r="S573" i="45"/>
  <c r="S572" i="45"/>
  <c r="S571" i="45"/>
  <c r="S570" i="45"/>
  <c r="S569" i="45"/>
  <c r="S568" i="45"/>
  <c r="S567" i="45"/>
  <c r="S566" i="45"/>
  <c r="S565" i="45"/>
  <c r="S564" i="45"/>
  <c r="S563" i="45"/>
  <c r="S562" i="45"/>
  <c r="S561" i="45"/>
  <c r="S560" i="45"/>
  <c r="S559" i="45"/>
  <c r="S558" i="45"/>
  <c r="S557" i="45"/>
  <c r="S556" i="45"/>
  <c r="S555" i="45"/>
  <c r="S554" i="45"/>
  <c r="S553" i="45"/>
  <c r="S552" i="45"/>
  <c r="S551" i="45"/>
  <c r="S550" i="45"/>
  <c r="S549" i="45"/>
  <c r="S548" i="45"/>
  <c r="S547" i="45"/>
  <c r="S546" i="45"/>
  <c r="S545" i="45"/>
  <c r="S544" i="45"/>
  <c r="S543" i="45"/>
  <c r="S542" i="45"/>
  <c r="S541" i="45"/>
  <c r="S540" i="45"/>
  <c r="S539" i="45"/>
  <c r="S538" i="45"/>
  <c r="S537" i="45"/>
  <c r="S536" i="45"/>
  <c r="S535" i="45"/>
  <c r="S534" i="45"/>
  <c r="S533" i="45"/>
  <c r="S532" i="45"/>
  <c r="S531" i="45"/>
  <c r="S530" i="45"/>
  <c r="S529" i="45"/>
  <c r="S528" i="45"/>
  <c r="S527" i="45"/>
  <c r="S526" i="45"/>
  <c r="S525" i="45"/>
  <c r="S524" i="45"/>
  <c r="S523" i="45"/>
  <c r="S522" i="45"/>
  <c r="S521" i="45"/>
  <c r="S520" i="45"/>
  <c r="S519" i="45"/>
  <c r="S518" i="45"/>
  <c r="S517" i="45"/>
  <c r="S516" i="45"/>
  <c r="S515" i="45"/>
  <c r="S514" i="45"/>
  <c r="S513" i="45"/>
  <c r="S512" i="45"/>
  <c r="S511" i="45"/>
  <c r="S510" i="45"/>
  <c r="S509" i="45"/>
  <c r="S508" i="45"/>
  <c r="S507" i="45"/>
  <c r="S506" i="45"/>
  <c r="S505" i="45"/>
  <c r="S504" i="45"/>
  <c r="S503" i="45"/>
  <c r="S501" i="45"/>
  <c r="S500" i="45"/>
  <c r="S499" i="45"/>
  <c r="S498" i="45"/>
  <c r="S497" i="45"/>
  <c r="S496" i="45"/>
  <c r="S495" i="45"/>
  <c r="S494" i="45"/>
  <c r="S493" i="45"/>
  <c r="S492" i="45"/>
  <c r="S491" i="45"/>
  <c r="S490" i="45"/>
  <c r="S489" i="45"/>
  <c r="S487" i="45"/>
  <c r="S486" i="45"/>
  <c r="S485" i="45"/>
  <c r="S484" i="45"/>
  <c r="S483" i="45"/>
  <c r="S482" i="45"/>
  <c r="S481" i="45"/>
  <c r="S480" i="45"/>
  <c r="S479" i="45"/>
  <c r="S478" i="45"/>
  <c r="S477" i="45"/>
  <c r="S476" i="45"/>
  <c r="S475" i="45"/>
  <c r="S474" i="45"/>
  <c r="S473" i="45"/>
  <c r="S472" i="45"/>
  <c r="S471" i="45"/>
  <c r="S470" i="45"/>
  <c r="S469" i="45"/>
  <c r="S468" i="45"/>
  <c r="S467" i="45"/>
  <c r="S466" i="45"/>
  <c r="S465" i="45"/>
  <c r="S464" i="45"/>
  <c r="S463" i="45"/>
  <c r="S462" i="45"/>
  <c r="S461" i="45"/>
  <c r="S460" i="45"/>
  <c r="S459" i="45"/>
  <c r="S458" i="45"/>
  <c r="S457" i="45"/>
  <c r="S456" i="45"/>
  <c r="S455" i="45"/>
  <c r="S454" i="45"/>
  <c r="S453" i="45"/>
  <c r="S452" i="45"/>
  <c r="S451" i="45"/>
  <c r="S450" i="45"/>
  <c r="S449" i="45"/>
  <c r="S448" i="45"/>
  <c r="S447" i="45"/>
  <c r="S446" i="45"/>
  <c r="S445" i="45"/>
  <c r="S444" i="45"/>
  <c r="S443" i="45"/>
  <c r="S442" i="45"/>
  <c r="S441" i="45"/>
  <c r="S440" i="45"/>
  <c r="S439" i="45"/>
  <c r="S438" i="45"/>
  <c r="S437" i="45"/>
  <c r="S436" i="45"/>
  <c r="S435" i="45"/>
  <c r="S434" i="45"/>
  <c r="S433" i="45"/>
  <c r="S432" i="45"/>
  <c r="S431" i="45"/>
  <c r="S430" i="45"/>
  <c r="S429" i="45"/>
  <c r="S428" i="45"/>
  <c r="S427" i="45"/>
  <c r="S426" i="45"/>
  <c r="S425" i="45"/>
  <c r="S424" i="45"/>
  <c r="S423" i="45"/>
  <c r="S422" i="45"/>
  <c r="S421" i="45"/>
  <c r="S420" i="45"/>
  <c r="S419" i="45"/>
  <c r="S418" i="45"/>
  <c r="S417" i="45"/>
  <c r="S416" i="45"/>
  <c r="S415" i="45"/>
  <c r="S414" i="45"/>
  <c r="S413" i="45"/>
  <c r="S412" i="45"/>
  <c r="S411" i="45"/>
  <c r="S410" i="45"/>
  <c r="S409" i="45"/>
  <c r="S408" i="45"/>
  <c r="S407" i="45"/>
  <c r="S406" i="45"/>
  <c r="S405" i="45"/>
  <c r="S404" i="45"/>
  <c r="S403" i="45"/>
  <c r="S402" i="45"/>
  <c r="S401" i="45"/>
  <c r="S400" i="45"/>
  <c r="S399" i="45"/>
  <c r="S398" i="45"/>
  <c r="S397" i="45"/>
  <c r="S396" i="45"/>
  <c r="S395" i="45"/>
  <c r="S394" i="45"/>
  <c r="S393" i="45"/>
  <c r="S392" i="45"/>
  <c r="S391" i="45"/>
  <c r="S390" i="45"/>
  <c r="S389" i="45"/>
  <c r="S388" i="45"/>
  <c r="S387" i="45"/>
  <c r="S386" i="45"/>
  <c r="S385" i="45"/>
  <c r="S384" i="45"/>
  <c r="S383" i="45"/>
  <c r="S382" i="45"/>
  <c r="S381" i="45"/>
  <c r="S380" i="45"/>
  <c r="S379" i="45"/>
  <c r="S378" i="45"/>
  <c r="S377" i="45"/>
  <c r="S376" i="45"/>
  <c r="S375" i="45"/>
  <c r="S374" i="45"/>
  <c r="S373" i="45"/>
  <c r="S372" i="45"/>
  <c r="S371" i="45"/>
  <c r="S370" i="45"/>
  <c r="S369" i="45"/>
  <c r="S368" i="45"/>
  <c r="S367" i="45"/>
  <c r="S366" i="45"/>
  <c r="S365" i="45"/>
  <c r="S364" i="45"/>
  <c r="S363" i="45"/>
  <c r="S362" i="45"/>
  <c r="S361" i="45"/>
  <c r="S360" i="45"/>
  <c r="S359" i="45"/>
  <c r="S358" i="45"/>
  <c r="S357" i="45"/>
  <c r="S356" i="45"/>
  <c r="S355" i="45"/>
  <c r="S354" i="45"/>
  <c r="S353" i="45"/>
  <c r="S352" i="45"/>
  <c r="S351" i="45"/>
  <c r="S350" i="45"/>
  <c r="S349" i="45"/>
  <c r="S348" i="45"/>
  <c r="S347" i="45"/>
  <c r="S346" i="45"/>
  <c r="S345" i="45"/>
  <c r="S344" i="45"/>
  <c r="S343" i="45"/>
  <c r="S342" i="45"/>
  <c r="S341" i="45"/>
  <c r="S340" i="45"/>
  <c r="S339" i="45"/>
  <c r="S338" i="45"/>
  <c r="S337" i="45"/>
  <c r="S336" i="45"/>
  <c r="S335" i="45"/>
  <c r="S334" i="45"/>
  <c r="S333" i="45"/>
  <c r="S332" i="45"/>
  <c r="S331" i="45"/>
  <c r="S330" i="45"/>
  <c r="S329" i="45"/>
  <c r="S328" i="45"/>
  <c r="S327" i="45"/>
  <c r="S326" i="45"/>
  <c r="S325" i="45"/>
  <c r="S324" i="45"/>
  <c r="S323" i="45"/>
  <c r="S322" i="45"/>
  <c r="S321" i="45"/>
  <c r="S320" i="45"/>
  <c r="S319" i="45"/>
  <c r="S318" i="45"/>
  <c r="S317" i="45"/>
  <c r="S316" i="45"/>
  <c r="S315" i="45"/>
  <c r="S314" i="45"/>
  <c r="S313" i="45"/>
  <c r="S312" i="45"/>
  <c r="S311" i="45"/>
  <c r="S310" i="45"/>
  <c r="S309" i="45"/>
  <c r="S308" i="45"/>
  <c r="S307" i="45"/>
  <c r="S306" i="45"/>
  <c r="S305" i="45"/>
  <c r="S304" i="45"/>
  <c r="S303" i="45"/>
  <c r="S302" i="45"/>
  <c r="S301" i="45"/>
  <c r="S300" i="45"/>
  <c r="S299" i="45"/>
  <c r="S298" i="45"/>
  <c r="S297" i="45"/>
  <c r="S296" i="45"/>
  <c r="S295" i="45"/>
  <c r="S294" i="45"/>
  <c r="S293" i="45"/>
  <c r="S292" i="45"/>
  <c r="S291" i="45"/>
  <c r="S290" i="45"/>
  <c r="S289" i="45"/>
  <c r="S288" i="45"/>
  <c r="S287" i="45"/>
  <c r="S286" i="45"/>
  <c r="S285" i="45"/>
  <c r="S284" i="45"/>
  <c r="S283" i="45"/>
  <c r="S282" i="45"/>
  <c r="S281" i="45"/>
  <c r="S280" i="45"/>
  <c r="S279" i="45"/>
  <c r="S278" i="45"/>
  <c r="S277" i="45"/>
  <c r="S276" i="45"/>
  <c r="S275" i="45"/>
  <c r="S274" i="45"/>
  <c r="S273" i="45"/>
  <c r="S272" i="45"/>
  <c r="S271" i="45"/>
  <c r="S270" i="45"/>
  <c r="S269" i="45"/>
  <c r="S268" i="45"/>
  <c r="S267" i="45"/>
  <c r="S266" i="45"/>
  <c r="S265" i="45"/>
  <c r="S264" i="45"/>
  <c r="S263" i="45"/>
  <c r="S262" i="45"/>
  <c r="S261" i="45"/>
  <c r="S260" i="45"/>
  <c r="S259" i="45"/>
  <c r="S258" i="45"/>
  <c r="S257" i="45"/>
  <c r="S256" i="45"/>
  <c r="S255" i="45"/>
  <c r="S254" i="45"/>
  <c r="S253" i="45"/>
  <c r="S252" i="45"/>
  <c r="S251" i="45"/>
  <c r="S250" i="45"/>
  <c r="S249" i="45"/>
  <c r="S248" i="45"/>
  <c r="S247" i="45"/>
  <c r="S246" i="45"/>
  <c r="S245" i="45"/>
  <c r="S244" i="45"/>
  <c r="S243" i="45"/>
  <c r="S242" i="45"/>
  <c r="S241" i="45"/>
  <c r="S240" i="45"/>
  <c r="S239" i="45"/>
  <c r="S238" i="45"/>
  <c r="S237" i="45"/>
  <c r="S236" i="45"/>
  <c r="S235" i="45"/>
  <c r="S234" i="45"/>
  <c r="S233" i="45"/>
  <c r="S232" i="45"/>
  <c r="S231" i="45"/>
  <c r="S230" i="45"/>
  <c r="S229" i="45"/>
  <c r="S228" i="45"/>
  <c r="S227" i="45"/>
  <c r="S226" i="45"/>
  <c r="S225" i="45"/>
  <c r="S224" i="45"/>
  <c r="S223" i="45"/>
  <c r="S222" i="45"/>
  <c r="S221" i="45"/>
  <c r="S220" i="45"/>
  <c r="S219" i="45"/>
  <c r="S218" i="45"/>
  <c r="S217" i="45"/>
  <c r="S216" i="45"/>
  <c r="S215" i="45"/>
  <c r="S214" i="45"/>
  <c r="S213" i="45"/>
  <c r="S212" i="45"/>
  <c r="S211" i="45"/>
  <c r="S210" i="45"/>
  <c r="S209" i="45"/>
  <c r="S208" i="45"/>
  <c r="S207" i="45"/>
  <c r="S206" i="45"/>
  <c r="S205" i="45"/>
  <c r="S204" i="45"/>
  <c r="S203" i="45"/>
  <c r="S202" i="45"/>
  <c r="S201" i="45"/>
  <c r="S200" i="45"/>
  <c r="S199" i="45"/>
  <c r="S198" i="45"/>
  <c r="S197" i="45"/>
  <c r="S196" i="45"/>
  <c r="S195" i="45"/>
  <c r="S194" i="45"/>
  <c r="S193" i="45"/>
  <c r="S192" i="45"/>
  <c r="S191" i="45"/>
  <c r="S190" i="45"/>
  <c r="S189" i="45"/>
  <c r="S188" i="45"/>
  <c r="S187" i="45"/>
  <c r="S186" i="45"/>
  <c r="S185" i="45"/>
  <c r="S184" i="45"/>
  <c r="S183" i="45"/>
  <c r="S182" i="45"/>
  <c r="S181" i="45"/>
  <c r="S180" i="45"/>
  <c r="S179" i="45"/>
  <c r="S178" i="45"/>
  <c r="S177" i="45"/>
  <c r="S176" i="45"/>
  <c r="S175" i="45"/>
  <c r="S174" i="45"/>
  <c r="S173" i="45"/>
  <c r="S172" i="45"/>
  <c r="S171" i="45"/>
  <c r="S170" i="45"/>
  <c r="S169" i="45"/>
  <c r="S168" i="45"/>
  <c r="S167" i="45"/>
  <c r="S166" i="45"/>
  <c r="S165" i="45"/>
  <c r="S163" i="45"/>
  <c r="S162" i="45"/>
  <c r="S161" i="45"/>
  <c r="S160" i="45"/>
  <c r="S159" i="45"/>
  <c r="S158" i="45"/>
  <c r="S157" i="45"/>
  <c r="S156" i="45"/>
  <c r="S155" i="45"/>
  <c r="S154" i="45"/>
  <c r="S153" i="45"/>
  <c r="S152" i="45"/>
  <c r="S151" i="45"/>
  <c r="S150" i="45"/>
  <c r="S149" i="45"/>
  <c r="S148" i="45"/>
  <c r="S147" i="45"/>
  <c r="S145" i="45"/>
  <c r="S144" i="45"/>
  <c r="S143" i="45"/>
  <c r="S142" i="45"/>
  <c r="S141" i="45"/>
  <c r="S140" i="45"/>
  <c r="S139" i="45"/>
  <c r="S138" i="45"/>
  <c r="S137" i="45"/>
  <c r="S136" i="45"/>
  <c r="S135" i="45"/>
  <c r="S134" i="45"/>
  <c r="S133" i="45"/>
  <c r="S132" i="45"/>
  <c r="S131" i="45"/>
  <c r="S130" i="45"/>
  <c r="S129" i="45"/>
  <c r="S128" i="45"/>
  <c r="S127" i="45"/>
  <c r="S126" i="45"/>
  <c r="S125" i="45"/>
  <c r="S124" i="45"/>
  <c r="S123" i="45"/>
  <c r="S122" i="45"/>
  <c r="S121" i="45"/>
  <c r="S120" i="45"/>
  <c r="S119" i="45"/>
  <c r="S118" i="45"/>
  <c r="S117" i="45"/>
  <c r="S116" i="45"/>
  <c r="S115" i="45"/>
  <c r="S114" i="45"/>
  <c r="S113" i="45"/>
  <c r="S112" i="45"/>
  <c r="S111" i="45"/>
  <c r="S110" i="45"/>
  <c r="S109" i="45"/>
  <c r="S108" i="45"/>
  <c r="S107" i="45"/>
  <c r="S106" i="45"/>
  <c r="S105" i="45"/>
  <c r="S104" i="45"/>
  <c r="S103" i="45"/>
  <c r="S102" i="45"/>
  <c r="S101" i="45"/>
  <c r="S100" i="45"/>
  <c r="S99" i="45"/>
  <c r="S98" i="45"/>
  <c r="S97" i="45"/>
  <c r="S96" i="45"/>
  <c r="S95" i="45"/>
  <c r="S94" i="45"/>
  <c r="S93" i="45"/>
  <c r="S92" i="45"/>
  <c r="S91" i="45"/>
  <c r="S90" i="45"/>
  <c r="S89" i="45"/>
  <c r="S88" i="45"/>
  <c r="S87" i="45"/>
  <c r="S86" i="45"/>
  <c r="S85" i="45"/>
  <c r="S84" i="45"/>
  <c r="S83" i="45"/>
  <c r="S82" i="45"/>
  <c r="S81" i="45"/>
  <c r="S80" i="45"/>
  <c r="S79" i="45"/>
  <c r="S78" i="45"/>
  <c r="S77" i="45"/>
  <c r="S76" i="45"/>
  <c r="S75" i="45"/>
  <c r="S74" i="45"/>
  <c r="S73" i="45"/>
  <c r="S72" i="45"/>
  <c r="S71" i="45"/>
  <c r="S70" i="45"/>
  <c r="S69" i="45"/>
  <c r="S68" i="45"/>
  <c r="S67" i="45"/>
  <c r="S66" i="45"/>
  <c r="S65" i="45"/>
  <c r="S64" i="45"/>
  <c r="S63" i="45"/>
  <c r="S62" i="45"/>
  <c r="S61" i="45"/>
  <c r="S60" i="45"/>
  <c r="S59" i="45"/>
  <c r="S58" i="45"/>
  <c r="S57" i="45"/>
  <c r="S56" i="45"/>
  <c r="S55" i="45"/>
  <c r="S54" i="45"/>
  <c r="S53" i="45"/>
  <c r="S52" i="45"/>
  <c r="S51" i="45"/>
  <c r="S50" i="45"/>
  <c r="S49" i="45"/>
  <c r="S48" i="45"/>
  <c r="S47" i="45"/>
  <c r="S46" i="45"/>
  <c r="S45" i="45"/>
  <c r="S44" i="45"/>
  <c r="S43" i="45"/>
  <c r="S42" i="45"/>
  <c r="S41" i="45"/>
  <c r="S40" i="45"/>
  <c r="S39" i="45"/>
  <c r="S38" i="45"/>
  <c r="S37" i="45"/>
  <c r="S36" i="45"/>
  <c r="S35" i="45"/>
  <c r="S34" i="45"/>
  <c r="S33" i="45"/>
  <c r="S32" i="45"/>
  <c r="S31" i="45"/>
  <c r="S30" i="45"/>
  <c r="S29" i="45"/>
  <c r="S28" i="45"/>
  <c r="S27" i="45"/>
  <c r="S26" i="45"/>
  <c r="S25" i="45"/>
  <c r="S24" i="45"/>
  <c r="S23" i="45"/>
  <c r="S22" i="45"/>
  <c r="S21" i="45"/>
  <c r="S20" i="45"/>
  <c r="S19" i="45"/>
  <c r="S18" i="45"/>
  <c r="S17" i="45"/>
  <c r="S16" i="45"/>
  <c r="S15" i="45"/>
  <c r="S14" i="45"/>
  <c r="S13" i="45"/>
  <c r="S12" i="45"/>
  <c r="S11" i="45"/>
  <c r="S10" i="45"/>
  <c r="S9" i="45"/>
  <c r="S8" i="45"/>
  <c r="S7" i="45"/>
  <c r="S6" i="45"/>
  <c r="S5" i="45"/>
  <c r="S4" i="45"/>
  <c r="S3" i="45"/>
  <c r="P763" i="45"/>
  <c r="P762" i="45"/>
  <c r="P761" i="45"/>
  <c r="P760" i="45"/>
  <c r="P759" i="45"/>
  <c r="P758" i="45"/>
  <c r="P757" i="45"/>
  <c r="P756" i="45"/>
  <c r="P755" i="45"/>
  <c r="P754" i="45"/>
  <c r="P753" i="45"/>
  <c r="P752" i="45"/>
  <c r="P751" i="45"/>
  <c r="P750" i="45"/>
  <c r="P749" i="45"/>
  <c r="P748" i="45"/>
  <c r="P747" i="45"/>
  <c r="P746" i="45"/>
  <c r="P745" i="45"/>
  <c r="P744" i="45"/>
  <c r="P743" i="45"/>
  <c r="P742" i="45"/>
  <c r="P741" i="45"/>
  <c r="P740" i="45"/>
  <c r="P739" i="45"/>
  <c r="P738" i="45"/>
  <c r="P737" i="45"/>
  <c r="P736" i="45"/>
  <c r="P735" i="45"/>
  <c r="P734" i="45"/>
  <c r="P733" i="45"/>
  <c r="P732" i="45"/>
  <c r="P731" i="45"/>
  <c r="P730" i="45"/>
  <c r="P729" i="45"/>
  <c r="P728" i="45"/>
  <c r="P727" i="45"/>
  <c r="P726" i="45"/>
  <c r="P725" i="45"/>
  <c r="P724" i="45"/>
  <c r="P723" i="45"/>
  <c r="P722" i="45"/>
  <c r="P721" i="45"/>
  <c r="P720" i="45"/>
  <c r="P719" i="45"/>
  <c r="P718" i="45"/>
  <c r="P717" i="45"/>
  <c r="P716" i="45"/>
  <c r="P715" i="45"/>
  <c r="P714" i="45"/>
  <c r="P713" i="45"/>
  <c r="P712" i="45"/>
  <c r="P711" i="45"/>
  <c r="P709" i="45"/>
  <c r="P708" i="45"/>
  <c r="P707" i="45"/>
  <c r="P706" i="45"/>
  <c r="P705" i="45"/>
  <c r="P704" i="45"/>
  <c r="P703" i="45"/>
  <c r="P702" i="45"/>
  <c r="P701" i="45"/>
  <c r="P700" i="45"/>
  <c r="P699" i="45"/>
  <c r="P698" i="45"/>
  <c r="P697" i="45"/>
  <c r="P696" i="45"/>
  <c r="P695" i="45"/>
  <c r="P694" i="45"/>
  <c r="P693" i="45"/>
  <c r="P692" i="45"/>
  <c r="P691" i="45"/>
  <c r="P690" i="45"/>
  <c r="P689" i="45"/>
  <c r="P688" i="45"/>
  <c r="P687" i="45"/>
  <c r="P686" i="45"/>
  <c r="P685" i="45"/>
  <c r="P684" i="45"/>
  <c r="P683" i="45"/>
  <c r="P682" i="45"/>
  <c r="P681" i="45"/>
  <c r="P680" i="45"/>
  <c r="P679" i="45"/>
  <c r="P678" i="45"/>
  <c r="P677" i="45"/>
  <c r="P676" i="45"/>
  <c r="P675" i="45"/>
  <c r="P674" i="45"/>
  <c r="P673" i="45"/>
  <c r="P672" i="45"/>
  <c r="P671" i="45"/>
  <c r="P670" i="45"/>
  <c r="P669" i="45"/>
  <c r="P668" i="45"/>
  <c r="P667" i="45"/>
  <c r="P666" i="45"/>
  <c r="P665" i="45"/>
  <c r="P664" i="45"/>
  <c r="P663" i="45"/>
  <c r="P662" i="45"/>
  <c r="P661" i="45"/>
  <c r="P660" i="45"/>
  <c r="P659" i="45"/>
  <c r="P658" i="45"/>
  <c r="P657" i="45"/>
  <c r="P656" i="45"/>
  <c r="P655" i="45"/>
  <c r="P654" i="45"/>
  <c r="P653" i="45"/>
  <c r="P652" i="45"/>
  <c r="P651" i="45"/>
  <c r="P650" i="45"/>
  <c r="P649" i="45"/>
  <c r="P648" i="45"/>
  <c r="P647" i="45"/>
  <c r="P646" i="45"/>
  <c r="P645" i="45"/>
  <c r="P644" i="45"/>
  <c r="P643" i="45"/>
  <c r="P642" i="45"/>
  <c r="P641" i="45"/>
  <c r="P640" i="45"/>
  <c r="P639" i="45"/>
  <c r="P638" i="45"/>
  <c r="P637" i="45"/>
  <c r="P636" i="45"/>
  <c r="P635" i="45"/>
  <c r="P634" i="45"/>
  <c r="P633" i="45"/>
  <c r="P632" i="45"/>
  <c r="P631" i="45"/>
  <c r="P630" i="45"/>
  <c r="P629" i="45"/>
  <c r="P628" i="45"/>
  <c r="P627" i="45"/>
  <c r="P626" i="45"/>
  <c r="P625" i="45"/>
  <c r="P624" i="45"/>
  <c r="P623" i="45"/>
  <c r="P622" i="45"/>
  <c r="P621" i="45"/>
  <c r="P620" i="45"/>
  <c r="P619" i="45"/>
  <c r="P618" i="45"/>
  <c r="P617" i="45"/>
  <c r="P616" i="45"/>
  <c r="P615" i="45"/>
  <c r="P614" i="45"/>
  <c r="P613" i="45"/>
  <c r="P612" i="45"/>
  <c r="P611" i="45"/>
  <c r="P610" i="45"/>
  <c r="P609" i="45"/>
  <c r="P608" i="45"/>
  <c r="P607" i="45"/>
  <c r="P606" i="45"/>
  <c r="P605" i="45"/>
  <c r="P604" i="45"/>
  <c r="P603" i="45"/>
  <c r="P602" i="45"/>
  <c r="P601" i="45"/>
  <c r="P600" i="45"/>
  <c r="P599" i="45"/>
  <c r="P598" i="45"/>
  <c r="P597" i="45"/>
  <c r="P596" i="45"/>
  <c r="P595" i="45"/>
  <c r="P594" i="45"/>
  <c r="P593" i="45"/>
  <c r="P592" i="45"/>
  <c r="P591" i="45"/>
  <c r="P589" i="45"/>
  <c r="P588" i="45"/>
  <c r="P587" i="45"/>
  <c r="P586" i="45"/>
  <c r="P585" i="45"/>
  <c r="P584" i="45"/>
  <c r="P583" i="45"/>
  <c r="P582" i="45"/>
  <c r="P581" i="45"/>
  <c r="P580" i="45"/>
  <c r="P579" i="45"/>
  <c r="P578" i="45"/>
  <c r="P577" i="45"/>
  <c r="P576" i="45"/>
  <c r="P575" i="45"/>
  <c r="P574" i="45"/>
  <c r="P573" i="45"/>
  <c r="P572" i="45"/>
  <c r="P571" i="45"/>
  <c r="P570" i="45"/>
  <c r="P569" i="45"/>
  <c r="P568" i="45"/>
  <c r="P567" i="45"/>
  <c r="P566" i="45"/>
  <c r="P565" i="45"/>
  <c r="P564" i="45"/>
  <c r="P563" i="45"/>
  <c r="P562" i="45"/>
  <c r="P561" i="45"/>
  <c r="P560" i="45"/>
  <c r="P559" i="45"/>
  <c r="P558" i="45"/>
  <c r="P557" i="45"/>
  <c r="P556" i="45"/>
  <c r="P555" i="45"/>
  <c r="P554" i="45"/>
  <c r="P553" i="45"/>
  <c r="P552" i="45"/>
  <c r="P551" i="45"/>
  <c r="P550" i="45"/>
  <c r="P549" i="45"/>
  <c r="P548" i="45"/>
  <c r="P547" i="45"/>
  <c r="P546" i="45"/>
  <c r="P545" i="45"/>
  <c r="P544" i="45"/>
  <c r="P543" i="45"/>
  <c r="P542" i="45"/>
  <c r="P541" i="45"/>
  <c r="P540" i="45"/>
  <c r="P539" i="45"/>
  <c r="P538" i="45"/>
  <c r="P537" i="45"/>
  <c r="P535" i="45"/>
  <c r="P534" i="45"/>
  <c r="P533" i="45"/>
  <c r="P532" i="45"/>
  <c r="P531" i="45"/>
  <c r="P530" i="45"/>
  <c r="P529" i="45"/>
  <c r="P528" i="45"/>
  <c r="P527" i="45"/>
  <c r="P526" i="45"/>
  <c r="P525" i="45"/>
  <c r="P524" i="45"/>
  <c r="P523" i="45"/>
  <c r="P522" i="45"/>
  <c r="P521" i="45"/>
  <c r="P520" i="45"/>
  <c r="P519" i="45"/>
  <c r="P518" i="45"/>
  <c r="P517" i="45"/>
  <c r="P516" i="45"/>
  <c r="P515" i="45"/>
  <c r="P514" i="45"/>
  <c r="P513" i="45"/>
  <c r="P512" i="45"/>
  <c r="P511" i="45"/>
  <c r="P510" i="45"/>
  <c r="P509" i="45"/>
  <c r="P508" i="45"/>
  <c r="P507" i="45"/>
  <c r="P506" i="45"/>
  <c r="P505" i="45"/>
  <c r="P504" i="45"/>
  <c r="P503" i="45"/>
  <c r="P501" i="45"/>
  <c r="P500" i="45"/>
  <c r="P499" i="45"/>
  <c r="P498" i="45"/>
  <c r="P497" i="45"/>
  <c r="P496" i="45"/>
  <c r="P495" i="45"/>
  <c r="P494" i="45"/>
  <c r="P493" i="45"/>
  <c r="P492" i="45"/>
  <c r="P491" i="45"/>
  <c r="P490" i="45"/>
  <c r="P489" i="45"/>
  <c r="P487" i="45"/>
  <c r="P486" i="45"/>
  <c r="P485" i="45"/>
  <c r="P484" i="45"/>
  <c r="P483" i="45"/>
  <c r="P482" i="45"/>
  <c r="P481" i="45"/>
  <c r="P480" i="45"/>
  <c r="P479" i="45"/>
  <c r="P478" i="45"/>
  <c r="P477" i="45"/>
  <c r="P476" i="45"/>
  <c r="P475" i="45"/>
  <c r="P474" i="45"/>
  <c r="P473" i="45"/>
  <c r="P472" i="45"/>
  <c r="P471" i="45"/>
  <c r="P470" i="45"/>
  <c r="P469" i="45"/>
  <c r="P468" i="45"/>
  <c r="P467" i="45"/>
  <c r="P466" i="45"/>
  <c r="P465" i="45"/>
  <c r="P464" i="45"/>
  <c r="P463" i="45"/>
  <c r="P462" i="45"/>
  <c r="P461" i="45"/>
  <c r="P460" i="45"/>
  <c r="P459" i="45"/>
  <c r="P458" i="45"/>
  <c r="P457" i="45"/>
  <c r="P456" i="45"/>
  <c r="P455" i="45"/>
  <c r="P454" i="45"/>
  <c r="P453" i="45"/>
  <c r="P452" i="45"/>
  <c r="P451" i="45"/>
  <c r="P450" i="45"/>
  <c r="P449" i="45"/>
  <c r="P448" i="45"/>
  <c r="P447" i="45"/>
  <c r="P446" i="45"/>
  <c r="P445" i="45"/>
  <c r="P444" i="45"/>
  <c r="P443" i="45"/>
  <c r="P442" i="45"/>
  <c r="P441" i="45"/>
  <c r="P440" i="45"/>
  <c r="P439" i="45"/>
  <c r="P438" i="45"/>
  <c r="P437" i="45"/>
  <c r="P436" i="45"/>
  <c r="P435" i="45"/>
  <c r="P434" i="45"/>
  <c r="P433" i="45"/>
  <c r="P432" i="45"/>
  <c r="P431" i="45"/>
  <c r="P430" i="45"/>
  <c r="P429" i="45"/>
  <c r="P428" i="45"/>
  <c r="P427" i="45"/>
  <c r="P426" i="45"/>
  <c r="P425" i="45"/>
  <c r="P424" i="45"/>
  <c r="P423" i="45"/>
  <c r="P422" i="45"/>
  <c r="P421" i="45"/>
  <c r="P420" i="45"/>
  <c r="P419" i="45"/>
  <c r="P418" i="45"/>
  <c r="P417" i="45"/>
  <c r="P416" i="45"/>
  <c r="P415" i="45"/>
  <c r="P414" i="45"/>
  <c r="P413" i="45"/>
  <c r="P412" i="45"/>
  <c r="P411" i="45"/>
  <c r="P410" i="45"/>
  <c r="P409" i="45"/>
  <c r="P408" i="45"/>
  <c r="P407" i="45"/>
  <c r="P406" i="45"/>
  <c r="P405" i="45"/>
  <c r="P404" i="45"/>
  <c r="P403" i="45"/>
  <c r="P402" i="45"/>
  <c r="P401" i="45"/>
  <c r="P400" i="45"/>
  <c r="P399" i="45"/>
  <c r="P398" i="45"/>
  <c r="P397" i="45"/>
  <c r="P396" i="45"/>
  <c r="P395" i="45"/>
  <c r="P394" i="45"/>
  <c r="P393" i="45"/>
  <c r="P392" i="45"/>
  <c r="P391" i="45"/>
  <c r="P390" i="45"/>
  <c r="P389" i="45"/>
  <c r="P388" i="45"/>
  <c r="P387" i="45"/>
  <c r="P386" i="45"/>
  <c r="P385" i="45"/>
  <c r="P384" i="45"/>
  <c r="P383" i="45"/>
  <c r="P382" i="45"/>
  <c r="P381" i="45"/>
  <c r="P380" i="45"/>
  <c r="P379" i="45"/>
  <c r="P378" i="45"/>
  <c r="P377" i="45"/>
  <c r="P376" i="45"/>
  <c r="P375" i="45"/>
  <c r="P374" i="45"/>
  <c r="P373" i="45"/>
  <c r="P372" i="45"/>
  <c r="P371" i="45"/>
  <c r="P370" i="45"/>
  <c r="P369" i="45"/>
  <c r="P368" i="45"/>
  <c r="P367" i="45"/>
  <c r="P366" i="45"/>
  <c r="P365" i="45"/>
  <c r="P364" i="45"/>
  <c r="P363" i="45"/>
  <c r="P362" i="45"/>
  <c r="P361" i="45"/>
  <c r="P360" i="45"/>
  <c r="P359" i="45"/>
  <c r="P358" i="45"/>
  <c r="P357" i="45"/>
  <c r="P356" i="45"/>
  <c r="P355" i="45"/>
  <c r="P354" i="45"/>
  <c r="P353" i="45"/>
  <c r="P352" i="45"/>
  <c r="P351" i="45"/>
  <c r="P350" i="45"/>
  <c r="P349" i="45"/>
  <c r="P348" i="45"/>
  <c r="P347" i="45"/>
  <c r="P346" i="45"/>
  <c r="P345" i="45"/>
  <c r="P344" i="45"/>
  <c r="P343" i="45"/>
  <c r="P342" i="45"/>
  <c r="P341" i="45"/>
  <c r="P340" i="45"/>
  <c r="P339" i="45"/>
  <c r="P338" i="45"/>
  <c r="P337" i="45"/>
  <c r="P336" i="45"/>
  <c r="P335" i="45"/>
  <c r="P334" i="45"/>
  <c r="P333" i="45"/>
  <c r="P332" i="45"/>
  <c r="P331" i="45"/>
  <c r="P330" i="45"/>
  <c r="P329" i="45"/>
  <c r="P328" i="45"/>
  <c r="P327" i="45"/>
  <c r="P326" i="45"/>
  <c r="P325" i="45"/>
  <c r="P324" i="45"/>
  <c r="P323" i="45"/>
  <c r="P322" i="45"/>
  <c r="P321" i="45"/>
  <c r="P320" i="45"/>
  <c r="P319" i="45"/>
  <c r="P318" i="45"/>
  <c r="P317" i="45"/>
  <c r="P316" i="45"/>
  <c r="P315" i="45"/>
  <c r="P314" i="45"/>
  <c r="P313" i="45"/>
  <c r="P312" i="45"/>
  <c r="P311" i="45"/>
  <c r="P310" i="45"/>
  <c r="P309" i="45"/>
  <c r="P308" i="45"/>
  <c r="P307" i="45"/>
  <c r="P306" i="45"/>
  <c r="P305" i="45"/>
  <c r="P304" i="45"/>
  <c r="P303" i="45"/>
  <c r="P302" i="45"/>
  <c r="P301" i="45"/>
  <c r="P300" i="45"/>
  <c r="P299" i="45"/>
  <c r="P298" i="45"/>
  <c r="P297" i="45"/>
  <c r="P296" i="45"/>
  <c r="P295" i="45"/>
  <c r="P294" i="45"/>
  <c r="P293" i="45"/>
  <c r="P292" i="45"/>
  <c r="P291" i="45"/>
  <c r="P290" i="45"/>
  <c r="P289" i="45"/>
  <c r="P288" i="45"/>
  <c r="P287" i="45"/>
  <c r="P286" i="45"/>
  <c r="P285" i="45"/>
  <c r="P284" i="45"/>
  <c r="P283" i="45"/>
  <c r="P282" i="45"/>
  <c r="P281" i="45"/>
  <c r="P280" i="45"/>
  <c r="P279" i="45"/>
  <c r="P278" i="45"/>
  <c r="P277" i="45"/>
  <c r="P276" i="45"/>
  <c r="P275" i="45"/>
  <c r="P274" i="45"/>
  <c r="P273" i="45"/>
  <c r="P272" i="45"/>
  <c r="P271" i="45"/>
  <c r="P270" i="45"/>
  <c r="P269" i="45"/>
  <c r="P268" i="45"/>
  <c r="P267" i="45"/>
  <c r="P266" i="45"/>
  <c r="P265" i="45"/>
  <c r="P264" i="45"/>
  <c r="P263" i="45"/>
  <c r="P262" i="45"/>
  <c r="P261" i="45"/>
  <c r="P260" i="45"/>
  <c r="P259" i="45"/>
  <c r="P258" i="45"/>
  <c r="P257" i="45"/>
  <c r="P256" i="45"/>
  <c r="P255" i="45"/>
  <c r="P254" i="45"/>
  <c r="P253" i="45"/>
  <c r="P252" i="45"/>
  <c r="P251" i="45"/>
  <c r="P250" i="45"/>
  <c r="P249" i="45"/>
  <c r="P248" i="45"/>
  <c r="P247" i="45"/>
  <c r="P246" i="45"/>
  <c r="P245" i="45"/>
  <c r="P244" i="45"/>
  <c r="P243" i="45"/>
  <c r="P242" i="45"/>
  <c r="P241" i="45"/>
  <c r="P240" i="45"/>
  <c r="P239" i="45"/>
  <c r="P238" i="45"/>
  <c r="P237" i="45"/>
  <c r="P236" i="45"/>
  <c r="P235" i="45"/>
  <c r="P234" i="45"/>
  <c r="P233" i="45"/>
  <c r="P232" i="45"/>
  <c r="P231" i="45"/>
  <c r="P230" i="45"/>
  <c r="P229" i="45"/>
  <c r="P228" i="45"/>
  <c r="P227" i="45"/>
  <c r="P226" i="45"/>
  <c r="P225" i="45"/>
  <c r="P224" i="45"/>
  <c r="P223" i="45"/>
  <c r="P222" i="45"/>
  <c r="P221" i="45"/>
  <c r="P220" i="45"/>
  <c r="P219" i="45"/>
  <c r="P218" i="45"/>
  <c r="P217" i="45"/>
  <c r="P216" i="45"/>
  <c r="P215" i="45"/>
  <c r="P214" i="45"/>
  <c r="P213" i="45"/>
  <c r="P212" i="45"/>
  <c r="P211" i="45"/>
  <c r="P210" i="45"/>
  <c r="P209" i="45"/>
  <c r="P208" i="45"/>
  <c r="P207" i="45"/>
  <c r="P206" i="45"/>
  <c r="P205" i="45"/>
  <c r="P204" i="45"/>
  <c r="P203" i="45"/>
  <c r="P202" i="45"/>
  <c r="P201" i="45"/>
  <c r="P200" i="45"/>
  <c r="P199" i="45"/>
  <c r="P198" i="45"/>
  <c r="P197" i="45"/>
  <c r="P196" i="45"/>
  <c r="P195" i="45"/>
  <c r="P194" i="45"/>
  <c r="P193" i="45"/>
  <c r="P192" i="45"/>
  <c r="P191" i="45"/>
  <c r="P190" i="45"/>
  <c r="P189" i="45"/>
  <c r="P188" i="45"/>
  <c r="P187" i="45"/>
  <c r="P186" i="45"/>
  <c r="P185" i="45"/>
  <c r="P184" i="45"/>
  <c r="P183" i="45"/>
  <c r="P182" i="45"/>
  <c r="P181" i="45"/>
  <c r="P180" i="45"/>
  <c r="P179" i="45"/>
  <c r="P178" i="45"/>
  <c r="P177" i="45"/>
  <c r="P176" i="45"/>
  <c r="P175" i="45"/>
  <c r="P174" i="45"/>
  <c r="P173" i="45"/>
  <c r="P172" i="45"/>
  <c r="P171" i="45"/>
  <c r="P170" i="45"/>
  <c r="P169" i="45"/>
  <c r="P168" i="45"/>
  <c r="P167" i="45"/>
  <c r="P166" i="45"/>
  <c r="P163" i="45"/>
  <c r="P162" i="45"/>
  <c r="P161" i="45"/>
  <c r="P160" i="45"/>
  <c r="P159" i="45"/>
  <c r="P158" i="45"/>
  <c r="P157" i="45"/>
  <c r="P156" i="45"/>
  <c r="P155" i="45"/>
  <c r="P154" i="45"/>
  <c r="P153" i="45"/>
  <c r="P152" i="45"/>
  <c r="P151" i="45"/>
  <c r="P150" i="45"/>
  <c r="P149" i="45"/>
  <c r="P148" i="45"/>
  <c r="P147" i="45"/>
  <c r="P145" i="45"/>
  <c r="P144" i="45"/>
  <c r="P143" i="45"/>
  <c r="P142" i="45"/>
  <c r="P141" i="45"/>
  <c r="P140" i="45"/>
  <c r="P139" i="45"/>
  <c r="P138" i="45"/>
  <c r="P137" i="45"/>
  <c r="P136" i="45"/>
  <c r="P135" i="45"/>
  <c r="P134" i="45"/>
  <c r="P133" i="45"/>
  <c r="P132" i="45"/>
  <c r="P131" i="45"/>
  <c r="P130" i="45"/>
  <c r="P129" i="45"/>
  <c r="P128" i="45"/>
  <c r="P127" i="45"/>
  <c r="P126" i="45"/>
  <c r="P125" i="45"/>
  <c r="P124" i="45"/>
  <c r="P123" i="45"/>
  <c r="P122" i="45"/>
  <c r="P121" i="45"/>
  <c r="P120" i="45"/>
  <c r="P119" i="45"/>
  <c r="P118" i="45"/>
  <c r="P117" i="45"/>
  <c r="P116" i="45"/>
  <c r="P115" i="45"/>
  <c r="P114" i="45"/>
  <c r="P113" i="45"/>
  <c r="P111" i="45"/>
  <c r="P110" i="45"/>
  <c r="P109" i="45"/>
  <c r="P108" i="45"/>
  <c r="P107" i="45"/>
  <c r="P106" i="45"/>
  <c r="P105" i="45"/>
  <c r="P104" i="45"/>
  <c r="P103" i="45"/>
  <c r="P102" i="45"/>
  <c r="P101" i="45"/>
  <c r="P100" i="45"/>
  <c r="P99" i="45"/>
  <c r="P98" i="45"/>
  <c r="P97" i="45"/>
  <c r="P96" i="45"/>
  <c r="P95" i="45"/>
  <c r="P94" i="45"/>
  <c r="P93" i="45"/>
  <c r="P92" i="45"/>
  <c r="P91" i="45"/>
  <c r="P90" i="45"/>
  <c r="P89" i="45"/>
  <c r="P88" i="45"/>
  <c r="P87" i="45"/>
  <c r="P86" i="45"/>
  <c r="P85" i="45"/>
  <c r="P84" i="45"/>
  <c r="P83" i="45"/>
  <c r="P82" i="45"/>
  <c r="P81" i="45"/>
  <c r="P80" i="45"/>
  <c r="P79" i="45"/>
  <c r="P78" i="45"/>
  <c r="P77" i="45"/>
  <c r="P76" i="45"/>
  <c r="P75" i="45"/>
  <c r="P74" i="45"/>
  <c r="P73" i="45"/>
  <c r="P72" i="45"/>
  <c r="P71" i="45"/>
  <c r="P70" i="45"/>
  <c r="P69" i="45"/>
  <c r="P68" i="45"/>
  <c r="P67" i="45"/>
  <c r="P66" i="45"/>
  <c r="P65" i="45"/>
  <c r="P64" i="45"/>
  <c r="P63" i="45"/>
  <c r="P62" i="45"/>
  <c r="P61" i="45"/>
  <c r="P60" i="45"/>
  <c r="P59" i="45"/>
  <c r="P58" i="45"/>
  <c r="P57" i="45"/>
  <c r="P56" i="45"/>
  <c r="P55" i="45"/>
  <c r="P54" i="45"/>
  <c r="P53" i="45"/>
  <c r="P52" i="45"/>
  <c r="P51" i="45"/>
  <c r="P50" i="45"/>
  <c r="P49" i="45"/>
  <c r="P48" i="45"/>
  <c r="P47" i="45"/>
  <c r="P46" i="45"/>
  <c r="P45" i="45"/>
  <c r="P44" i="45"/>
  <c r="P43" i="45"/>
  <c r="P42" i="45"/>
  <c r="P41" i="45"/>
  <c r="P40" i="45"/>
  <c r="P39" i="45"/>
  <c r="P38" i="45"/>
  <c r="P37" i="45"/>
  <c r="P36" i="45"/>
  <c r="P35" i="45"/>
  <c r="P34" i="45"/>
  <c r="P33" i="45"/>
  <c r="P32" i="45"/>
  <c r="P31" i="45"/>
  <c r="P30" i="45"/>
  <c r="P29" i="45"/>
  <c r="P28" i="45"/>
  <c r="P27" i="45"/>
  <c r="P26" i="45"/>
  <c r="P25" i="45"/>
  <c r="P24" i="45"/>
  <c r="P23" i="45"/>
  <c r="P22" i="45"/>
  <c r="P21" i="45"/>
  <c r="P20" i="45"/>
  <c r="P19" i="45"/>
  <c r="P18" i="45"/>
  <c r="P17" i="45"/>
  <c r="P16" i="45"/>
  <c r="P15" i="45"/>
  <c r="P14" i="45"/>
  <c r="P13" i="45"/>
  <c r="P12" i="45"/>
  <c r="P11" i="45"/>
  <c r="P10" i="45"/>
  <c r="P9" i="45"/>
  <c r="P8" i="45"/>
  <c r="P7" i="45"/>
  <c r="P6" i="45"/>
  <c r="P5" i="45"/>
  <c r="P4" i="45"/>
  <c r="M763" i="45"/>
  <c r="M762" i="45"/>
  <c r="M761" i="45"/>
  <c r="M760" i="45"/>
  <c r="M759" i="45"/>
  <c r="M758" i="45"/>
  <c r="M757" i="45"/>
  <c r="M756" i="45"/>
  <c r="M754" i="45"/>
  <c r="M753" i="45"/>
  <c r="M752" i="45"/>
  <c r="M751" i="45"/>
  <c r="M749" i="45"/>
  <c r="M748" i="45"/>
  <c r="M747" i="45"/>
  <c r="M746" i="45"/>
  <c r="M745" i="45"/>
  <c r="M744" i="45"/>
  <c r="M743" i="45"/>
  <c r="M742" i="45"/>
  <c r="M741" i="45"/>
  <c r="M740" i="45"/>
  <c r="M739" i="45"/>
  <c r="M738" i="45"/>
  <c r="M737" i="45"/>
  <c r="M736" i="45"/>
  <c r="M735" i="45"/>
  <c r="M733" i="45"/>
  <c r="M732" i="45"/>
  <c r="M731" i="45"/>
  <c r="M730" i="45"/>
  <c r="M729" i="45"/>
  <c r="M728" i="45"/>
  <c r="M727" i="45"/>
  <c r="M726" i="45"/>
  <c r="M725" i="45"/>
  <c r="M724" i="45"/>
  <c r="M723" i="45"/>
  <c r="M722" i="45"/>
  <c r="M721" i="45"/>
  <c r="M719" i="45"/>
  <c r="M718" i="45"/>
  <c r="M717" i="45"/>
  <c r="M716" i="45"/>
  <c r="M715" i="45"/>
  <c r="M714" i="45"/>
  <c r="M713" i="45"/>
  <c r="M712" i="45"/>
  <c r="M711" i="45"/>
  <c r="M710" i="45"/>
  <c r="M709" i="45"/>
  <c r="M708" i="45"/>
  <c r="M707" i="45"/>
  <c r="M706" i="45"/>
  <c r="M705" i="45"/>
  <c r="M704" i="45"/>
  <c r="M703" i="45"/>
  <c r="M702" i="45"/>
  <c r="M701" i="45"/>
  <c r="M700" i="45"/>
  <c r="M699" i="45"/>
  <c r="M698" i="45"/>
  <c r="M697" i="45"/>
  <c r="M696" i="45"/>
  <c r="M695" i="45"/>
  <c r="M694" i="45"/>
  <c r="M693" i="45"/>
  <c r="M692" i="45"/>
  <c r="M691" i="45"/>
  <c r="M690" i="45"/>
  <c r="M689" i="45"/>
  <c r="M688" i="45"/>
  <c r="M687" i="45"/>
  <c r="M686" i="45"/>
  <c r="M685" i="45"/>
  <c r="M684" i="45"/>
  <c r="M683" i="45"/>
  <c r="M682" i="45"/>
  <c r="M681" i="45"/>
  <c r="M680" i="45"/>
  <c r="M679" i="45"/>
  <c r="M678" i="45"/>
  <c r="M677" i="45"/>
  <c r="M676" i="45"/>
  <c r="M675" i="45"/>
  <c r="M674" i="45"/>
  <c r="M673" i="45"/>
  <c r="M672" i="45"/>
  <c r="M671" i="45"/>
  <c r="M670" i="45"/>
  <c r="M669" i="45"/>
  <c r="M668" i="45"/>
  <c r="M667" i="45"/>
  <c r="M666" i="45"/>
  <c r="M665" i="45"/>
  <c r="M664" i="45"/>
  <c r="M663" i="45"/>
  <c r="M662" i="45"/>
  <c r="M661" i="45"/>
  <c r="M660" i="45"/>
  <c r="M659" i="45"/>
  <c r="M658" i="45"/>
  <c r="M657" i="45"/>
  <c r="M656" i="45"/>
  <c r="M655" i="45"/>
  <c r="M654" i="45"/>
  <c r="M653" i="45"/>
  <c r="M652" i="45"/>
  <c r="M651" i="45"/>
  <c r="M650" i="45"/>
  <c r="M649" i="45"/>
  <c r="M648" i="45"/>
  <c r="M647" i="45"/>
  <c r="M646" i="45"/>
  <c r="M645" i="45"/>
  <c r="M644" i="45"/>
  <c r="M643" i="45"/>
  <c r="M642" i="45"/>
  <c r="M641" i="45"/>
  <c r="M640" i="45"/>
  <c r="M639" i="45"/>
  <c r="M638" i="45"/>
  <c r="M637" i="45"/>
  <c r="M636" i="45"/>
  <c r="M635" i="45"/>
  <c r="M634" i="45"/>
  <c r="M633" i="45"/>
  <c r="M632" i="45"/>
  <c r="M631" i="45"/>
  <c r="M630" i="45"/>
  <c r="M629" i="45"/>
  <c r="M628" i="45"/>
  <c r="M627" i="45"/>
  <c r="M626" i="45"/>
  <c r="M625" i="45"/>
  <c r="M624" i="45"/>
  <c r="M623" i="45"/>
  <c r="M622" i="45"/>
  <c r="M621" i="45"/>
  <c r="M619" i="45"/>
  <c r="M618" i="45"/>
  <c r="M617" i="45"/>
  <c r="M616" i="45"/>
  <c r="M615" i="45"/>
  <c r="M614" i="45"/>
  <c r="M613" i="45"/>
  <c r="M612" i="45"/>
  <c r="M611" i="45"/>
  <c r="M610" i="45"/>
  <c r="M609" i="45"/>
  <c r="M608" i="45"/>
  <c r="M607" i="45"/>
  <c r="M606" i="45"/>
  <c r="M605" i="45"/>
  <c r="M604" i="45"/>
  <c r="M603" i="45"/>
  <c r="M602" i="45"/>
  <c r="M601" i="45"/>
  <c r="M600" i="45"/>
  <c r="M599" i="45"/>
  <c r="M598" i="45"/>
  <c r="M597" i="45"/>
  <c r="M595" i="45"/>
  <c r="M594" i="45"/>
  <c r="M593" i="45"/>
  <c r="M592" i="45"/>
  <c r="M591" i="45"/>
  <c r="M589" i="45"/>
  <c r="M588" i="45"/>
  <c r="M587" i="45"/>
  <c r="M586" i="45"/>
  <c r="M585" i="45"/>
  <c r="M584" i="45"/>
  <c r="M583" i="45"/>
  <c r="M582" i="45"/>
  <c r="M581" i="45"/>
  <c r="M580" i="45"/>
  <c r="M579" i="45"/>
  <c r="M578" i="45"/>
  <c r="M577" i="45"/>
  <c r="M576" i="45"/>
  <c r="M575" i="45"/>
  <c r="M574" i="45"/>
  <c r="M573" i="45"/>
  <c r="M572" i="45"/>
  <c r="M571" i="45"/>
  <c r="M569" i="45"/>
  <c r="M568" i="45"/>
  <c r="M567" i="45"/>
  <c r="M566" i="45"/>
  <c r="M565" i="45"/>
  <c r="M563" i="45"/>
  <c r="M562" i="45"/>
  <c r="M561" i="45"/>
  <c r="M560" i="45"/>
  <c r="M559" i="45"/>
  <c r="M558" i="45"/>
  <c r="M557" i="45"/>
  <c r="M556" i="45"/>
  <c r="M555" i="45"/>
  <c r="M554" i="45"/>
  <c r="M553" i="45"/>
  <c r="M551" i="45"/>
  <c r="M550" i="45"/>
  <c r="M549" i="45"/>
  <c r="M548" i="45"/>
  <c r="M547" i="45"/>
  <c r="M546" i="45"/>
  <c r="M545" i="45"/>
  <c r="M544" i="45"/>
  <c r="M543" i="45"/>
  <c r="M542" i="45"/>
  <c r="M541" i="45"/>
  <c r="M540" i="45"/>
  <c r="M539" i="45"/>
  <c r="M538" i="45"/>
  <c r="M537" i="45"/>
  <c r="M535" i="45"/>
  <c r="M534" i="45"/>
  <c r="M533" i="45"/>
  <c r="M532" i="45"/>
  <c r="M531" i="45"/>
  <c r="M530" i="45"/>
  <c r="M529" i="45"/>
  <c r="M528" i="45"/>
  <c r="M526" i="45"/>
  <c r="M525" i="45"/>
  <c r="M524" i="45"/>
  <c r="M523" i="45"/>
  <c r="M522" i="45"/>
  <c r="M521" i="45"/>
  <c r="M520" i="45"/>
  <c r="M519" i="45"/>
  <c r="M518" i="45"/>
  <c r="M517" i="45"/>
  <c r="M516" i="45"/>
  <c r="M515" i="45"/>
  <c r="M514" i="45"/>
  <c r="M513" i="45"/>
  <c r="M512" i="45"/>
  <c r="M511" i="45"/>
  <c r="M510" i="45"/>
  <c r="M509" i="45"/>
  <c r="M508" i="45"/>
  <c r="M506" i="45"/>
  <c r="M505" i="45"/>
  <c r="M504" i="45"/>
  <c r="M503" i="45"/>
  <c r="M501" i="45"/>
  <c r="M500" i="45"/>
  <c r="M499" i="45"/>
  <c r="M498" i="45"/>
  <c r="M497" i="45"/>
  <c r="M496" i="45"/>
  <c r="M495" i="45"/>
  <c r="M494" i="45"/>
  <c r="M493" i="45"/>
  <c r="M492" i="45"/>
  <c r="M491" i="45"/>
  <c r="M490" i="45"/>
  <c r="M489" i="45"/>
  <c r="M487" i="45"/>
  <c r="M486" i="45"/>
  <c r="M485" i="45"/>
  <c r="M484" i="45"/>
  <c r="M483" i="45"/>
  <c r="M482" i="45"/>
  <c r="M481" i="45"/>
  <c r="M480" i="45"/>
  <c r="M479" i="45"/>
  <c r="M478" i="45"/>
  <c r="M477" i="45"/>
  <c r="M476" i="45"/>
  <c r="M475" i="45"/>
  <c r="M474" i="45"/>
  <c r="M473" i="45"/>
  <c r="M472" i="45"/>
  <c r="M470" i="45"/>
  <c r="M469" i="45"/>
  <c r="M468" i="45"/>
  <c r="M467" i="45"/>
  <c r="M466" i="45"/>
  <c r="M465" i="45"/>
  <c r="M464" i="45"/>
  <c r="M463" i="45"/>
  <c r="M462" i="45"/>
  <c r="M461" i="45"/>
  <c r="M460" i="45"/>
  <c r="M459" i="45"/>
  <c r="M458" i="45"/>
  <c r="M457" i="45"/>
  <c r="M456" i="45"/>
  <c r="M455" i="45"/>
  <c r="M454" i="45"/>
  <c r="M453" i="45"/>
  <c r="M452" i="45"/>
  <c r="M451" i="45"/>
  <c r="M450" i="45"/>
  <c r="M449" i="45"/>
  <c r="M447" i="45"/>
  <c r="M446" i="45"/>
  <c r="M445" i="45"/>
  <c r="M444" i="45"/>
  <c r="M443" i="45"/>
  <c r="M442" i="45"/>
  <c r="M441" i="45"/>
  <c r="M440" i="45"/>
  <c r="M439" i="45"/>
  <c r="M438" i="45"/>
  <c r="M437" i="45"/>
  <c r="M436" i="45"/>
  <c r="M434" i="45"/>
  <c r="M433" i="45"/>
  <c r="M432" i="45"/>
  <c r="M431" i="45"/>
  <c r="M430" i="45"/>
  <c r="M429" i="45"/>
  <c r="M428" i="45"/>
  <c r="M427" i="45"/>
  <c r="M426" i="45"/>
  <c r="M425" i="45"/>
  <c r="M424" i="45"/>
  <c r="M423" i="45"/>
  <c r="M422" i="45"/>
  <c r="M421" i="45"/>
  <c r="M418" i="45"/>
  <c r="M417" i="45"/>
  <c r="M416" i="45"/>
  <c r="M415" i="45"/>
  <c r="M414" i="45"/>
  <c r="M413" i="45"/>
  <c r="M412" i="45"/>
  <c r="M411" i="45"/>
  <c r="M410" i="45"/>
  <c r="M409" i="45"/>
  <c r="M408" i="45"/>
  <c r="M407" i="45"/>
  <c r="M406" i="45"/>
  <c r="M405" i="45"/>
  <c r="M404" i="45"/>
  <c r="M403" i="45"/>
  <c r="M402" i="45"/>
  <c r="M401" i="45"/>
  <c r="M400" i="45"/>
  <c r="M399" i="45"/>
  <c r="M398" i="45"/>
  <c r="M397" i="45"/>
  <c r="M396" i="45"/>
  <c r="M395" i="45"/>
  <c r="M394" i="45"/>
  <c r="M393" i="45"/>
  <c r="M392" i="45"/>
  <c r="M391" i="45"/>
  <c r="M390" i="45"/>
  <c r="M389" i="45"/>
  <c r="M388" i="45"/>
  <c r="M387" i="45"/>
  <c r="M386" i="45"/>
  <c r="M385" i="45"/>
  <c r="M384" i="45"/>
  <c r="M383" i="45"/>
  <c r="M382" i="45"/>
  <c r="M381" i="45"/>
  <c r="M380" i="45"/>
  <c r="M379" i="45"/>
  <c r="M378" i="45"/>
  <c r="M377" i="45"/>
  <c r="M376" i="45"/>
  <c r="M375" i="45"/>
  <c r="M374" i="45"/>
  <c r="M373" i="45"/>
  <c r="M372" i="45"/>
  <c r="M371" i="45"/>
  <c r="M370" i="45"/>
  <c r="M369" i="45"/>
  <c r="M368" i="45"/>
  <c r="M367" i="45"/>
  <c r="M366" i="45"/>
  <c r="M365" i="45"/>
  <c r="M364" i="45"/>
  <c r="M363" i="45"/>
  <c r="M362" i="45"/>
  <c r="M361" i="45"/>
  <c r="M360" i="45"/>
  <c r="M359" i="45"/>
  <c r="M358" i="45"/>
  <c r="M357" i="45"/>
  <c r="M356" i="45"/>
  <c r="M355" i="45"/>
  <c r="M354" i="45"/>
  <c r="M353" i="45"/>
  <c r="M352" i="45"/>
  <c r="M351" i="45"/>
  <c r="M350" i="45"/>
  <c r="M349" i="45"/>
  <c r="M348" i="45"/>
  <c r="M347" i="45"/>
  <c r="M346" i="45"/>
  <c r="M345" i="45"/>
  <c r="M344" i="45"/>
  <c r="M343" i="45"/>
  <c r="M342" i="45"/>
  <c r="M341" i="45"/>
  <c r="M340" i="45"/>
  <c r="M339" i="45"/>
  <c r="M338" i="45"/>
  <c r="M337" i="45"/>
  <c r="M335" i="45"/>
  <c r="M334" i="45"/>
  <c r="M333" i="45"/>
  <c r="M332" i="45"/>
  <c r="M331" i="45"/>
  <c r="M330" i="45"/>
  <c r="M329" i="45"/>
  <c r="M328" i="45"/>
  <c r="M327" i="45"/>
  <c r="M326" i="45"/>
  <c r="M325" i="45"/>
  <c r="M324" i="45"/>
  <c r="M323" i="45"/>
  <c r="M322" i="45"/>
  <c r="M321" i="45"/>
  <c r="M320" i="45"/>
  <c r="M319" i="45"/>
  <c r="M318" i="45"/>
  <c r="M317" i="45"/>
  <c r="M315" i="45"/>
  <c r="M314" i="45"/>
  <c r="M313" i="45"/>
  <c r="M312" i="45"/>
  <c r="M311" i="45"/>
  <c r="M310" i="45"/>
  <c r="M309" i="45"/>
  <c r="M308" i="45"/>
  <c r="M307" i="45"/>
  <c r="M306" i="45"/>
  <c r="M305" i="45"/>
  <c r="M304" i="45"/>
  <c r="M303" i="45"/>
  <c r="M302" i="45"/>
  <c r="M301" i="45"/>
  <c r="M300" i="45"/>
  <c r="M299" i="45"/>
  <c r="M298" i="45"/>
  <c r="M297" i="45"/>
  <c r="M296" i="45"/>
  <c r="M295" i="45"/>
  <c r="M294" i="45"/>
  <c r="M293" i="45"/>
  <c r="M292" i="45"/>
  <c r="M291" i="45"/>
  <c r="M290" i="45"/>
  <c r="M289" i="45"/>
  <c r="M288" i="45"/>
  <c r="M287" i="45"/>
  <c r="M286" i="45"/>
  <c r="M285" i="45"/>
  <c r="M284" i="45"/>
  <c r="M283" i="45"/>
  <c r="M282" i="45"/>
  <c r="M281" i="45"/>
  <c r="M280" i="45"/>
  <c r="M279" i="45"/>
  <c r="M278" i="45"/>
  <c r="M277" i="45"/>
  <c r="M276" i="45"/>
  <c r="M275" i="45"/>
  <c r="M274" i="45"/>
  <c r="M273" i="45"/>
  <c r="M272" i="45"/>
  <c r="M271" i="45"/>
  <c r="M270" i="45"/>
  <c r="M269" i="45"/>
  <c r="M268" i="45"/>
  <c r="M267" i="45"/>
  <c r="M265" i="45"/>
  <c r="M264" i="45"/>
  <c r="M263" i="45"/>
  <c r="M262" i="45"/>
  <c r="M261" i="45"/>
  <c r="M260" i="45"/>
  <c r="M259" i="45"/>
  <c r="M258" i="45"/>
  <c r="M257" i="45"/>
  <c r="M256" i="45"/>
  <c r="M255" i="45"/>
  <c r="M254" i="45"/>
  <c r="M253" i="45"/>
  <c r="M252" i="45"/>
  <c r="M251" i="45"/>
  <c r="M248" i="45"/>
  <c r="M247" i="45"/>
  <c r="M246" i="45"/>
  <c r="M245" i="45"/>
  <c r="M244" i="45"/>
  <c r="M243" i="45"/>
  <c r="M242" i="45"/>
  <c r="M241" i="45"/>
  <c r="M240" i="45"/>
  <c r="M239" i="45"/>
  <c r="M238" i="45"/>
  <c r="M237" i="45"/>
  <c r="M236" i="45"/>
  <c r="M234" i="45"/>
  <c r="M233" i="45"/>
  <c r="M232" i="45"/>
  <c r="M231" i="45"/>
  <c r="M230" i="45"/>
  <c r="M229" i="45"/>
  <c r="M228" i="45"/>
  <c r="M227" i="45"/>
  <c r="M226" i="45"/>
  <c r="M225" i="45"/>
  <c r="M224" i="45"/>
  <c r="M223" i="45"/>
  <c r="M222" i="45"/>
  <c r="M221" i="45"/>
  <c r="M220" i="45"/>
  <c r="M219" i="45"/>
  <c r="M218" i="45"/>
  <c r="M217" i="45"/>
  <c r="M215" i="45"/>
  <c r="M214" i="45"/>
  <c r="M213" i="45"/>
  <c r="M212" i="45"/>
  <c r="M211" i="45"/>
  <c r="M210" i="45"/>
  <c r="M209" i="45"/>
  <c r="M208" i="45"/>
  <c r="M207" i="45"/>
  <c r="M206" i="45"/>
  <c r="M205" i="45"/>
  <c r="M204" i="45"/>
  <c r="M203" i="45"/>
  <c r="M202" i="45"/>
  <c r="M201" i="45"/>
  <c r="M200" i="45"/>
  <c r="M198" i="45"/>
  <c r="M197" i="45"/>
  <c r="M196" i="45"/>
  <c r="M195" i="45"/>
  <c r="M194" i="45"/>
  <c r="M193" i="45"/>
  <c r="M192" i="45"/>
  <c r="M191" i="45"/>
  <c r="M190" i="45"/>
  <c r="M189" i="45"/>
  <c r="M188" i="45"/>
  <c r="M187" i="45"/>
  <c r="M186" i="45"/>
  <c r="M185" i="45"/>
  <c r="M184" i="45"/>
  <c r="M183" i="45"/>
  <c r="M182" i="45"/>
  <c r="M181" i="45"/>
  <c r="M180" i="45"/>
  <c r="M179" i="45"/>
  <c r="M178" i="45"/>
  <c r="M177" i="45"/>
  <c r="M176" i="45"/>
  <c r="M175" i="45"/>
  <c r="M173" i="45"/>
  <c r="M172" i="45"/>
  <c r="M171" i="45"/>
  <c r="M170" i="45"/>
  <c r="M169" i="45"/>
  <c r="M168" i="45"/>
  <c r="M167" i="45"/>
  <c r="M166" i="45"/>
  <c r="M163" i="45"/>
  <c r="M162" i="45"/>
  <c r="M161" i="45"/>
  <c r="M160" i="45"/>
  <c r="M159" i="45"/>
  <c r="M158" i="45"/>
  <c r="M157" i="45"/>
  <c r="M156" i="45"/>
  <c r="M155" i="45"/>
  <c r="M154" i="45"/>
  <c r="M153" i="45"/>
  <c r="M152" i="45"/>
  <c r="M151" i="45"/>
  <c r="M150" i="45"/>
  <c r="M149" i="45"/>
  <c r="M147" i="45"/>
  <c r="M145" i="45"/>
  <c r="M144" i="45"/>
  <c r="M143" i="45"/>
  <c r="M142" i="45"/>
  <c r="M141" i="45"/>
  <c r="M140" i="45"/>
  <c r="M139" i="45"/>
  <c r="M138" i="45"/>
  <c r="M137" i="45"/>
  <c r="M136" i="45"/>
  <c r="M135" i="45"/>
  <c r="M134" i="45"/>
  <c r="M133" i="45"/>
  <c r="M132" i="45"/>
  <c r="M131" i="45"/>
  <c r="M130" i="45"/>
  <c r="M129" i="45"/>
  <c r="M128" i="45"/>
  <c r="M127" i="45"/>
  <c r="M126" i="45"/>
  <c r="M125" i="45"/>
  <c r="M124" i="45"/>
  <c r="M123" i="45"/>
  <c r="M122" i="45"/>
  <c r="M121" i="45"/>
  <c r="M120" i="45"/>
  <c r="M119" i="45"/>
  <c r="M118" i="45"/>
  <c r="M117" i="45"/>
  <c r="M116" i="45"/>
  <c r="M115" i="45"/>
  <c r="M114" i="45"/>
  <c r="M111" i="45"/>
  <c r="M110" i="45"/>
  <c r="M109" i="45"/>
  <c r="M108" i="45"/>
  <c r="M107" i="45"/>
  <c r="M106" i="45"/>
  <c r="M105" i="45"/>
  <c r="M104" i="45"/>
  <c r="M103" i="45"/>
  <c r="M102" i="45"/>
  <c r="M101" i="45"/>
  <c r="M100" i="45"/>
  <c r="M99" i="45"/>
  <c r="M97" i="45"/>
  <c r="M96" i="45"/>
  <c r="M95" i="45"/>
  <c r="M94" i="45"/>
  <c r="M93" i="45"/>
  <c r="M92" i="45"/>
  <c r="M91" i="45"/>
  <c r="M90" i="45"/>
  <c r="M89" i="45"/>
  <c r="M88" i="45"/>
  <c r="M87" i="45"/>
  <c r="M86" i="45"/>
  <c r="M85" i="45"/>
  <c r="M84" i="45"/>
  <c r="M83" i="45"/>
  <c r="M82" i="45"/>
  <c r="M81" i="45"/>
  <c r="M80" i="45"/>
  <c r="M79" i="45"/>
  <c r="M78" i="45"/>
  <c r="M77" i="45"/>
  <c r="M76" i="45"/>
  <c r="M75" i="45"/>
  <c r="M74" i="45"/>
  <c r="M73" i="45"/>
  <c r="M72" i="45"/>
  <c r="M71" i="45"/>
  <c r="M70" i="45"/>
  <c r="M69" i="45"/>
  <c r="M68" i="45"/>
  <c r="M66" i="45"/>
  <c r="M65" i="45"/>
  <c r="M64" i="45"/>
  <c r="M63" i="45"/>
  <c r="M62" i="45"/>
  <c r="M61" i="45"/>
  <c r="M59" i="45"/>
  <c r="M58" i="45"/>
  <c r="M57" i="45"/>
  <c r="M56" i="45"/>
  <c r="M55" i="45"/>
  <c r="M54" i="45"/>
  <c r="M53" i="45"/>
  <c r="M51" i="45"/>
  <c r="M50" i="45"/>
  <c r="M49" i="45"/>
  <c r="M48" i="45"/>
  <c r="M47" i="45"/>
  <c r="M46" i="45"/>
  <c r="M45" i="45"/>
  <c r="M44" i="45"/>
  <c r="M43" i="45"/>
  <c r="M42" i="45"/>
  <c r="M41" i="45"/>
  <c r="M40" i="45"/>
  <c r="M39" i="45"/>
  <c r="M38" i="45"/>
  <c r="M37" i="45"/>
  <c r="M36" i="45"/>
  <c r="M35" i="45"/>
  <c r="M34" i="45"/>
  <c r="M33" i="45"/>
  <c r="M32" i="45"/>
  <c r="M31" i="45"/>
  <c r="M29" i="45"/>
  <c r="M28" i="45"/>
  <c r="M27" i="45"/>
  <c r="M26" i="45"/>
  <c r="M24" i="45"/>
  <c r="M23" i="45"/>
  <c r="M22" i="45"/>
  <c r="M21" i="45"/>
  <c r="M20" i="45"/>
  <c r="M19" i="45"/>
  <c r="M18" i="45"/>
  <c r="M17" i="45"/>
  <c r="M15" i="45"/>
  <c r="M14" i="45"/>
  <c r="M13" i="45"/>
  <c r="M12" i="45"/>
  <c r="M11" i="45"/>
  <c r="M10" i="45"/>
  <c r="M9" i="45"/>
  <c r="M8" i="45"/>
  <c r="M7" i="45"/>
  <c r="M6" i="45"/>
  <c r="M5" i="45"/>
  <c r="M4" i="45"/>
  <c r="M3" i="45"/>
  <c r="J763" i="45"/>
  <c r="J760" i="45"/>
  <c r="J757" i="45"/>
  <c r="J744" i="45"/>
  <c r="J743" i="45"/>
  <c r="J739" i="45"/>
  <c r="J736" i="45"/>
  <c r="J729" i="45"/>
  <c r="J728" i="45"/>
  <c r="J727" i="45"/>
  <c r="J726" i="45"/>
  <c r="J725" i="45"/>
  <c r="J724" i="45"/>
  <c r="J723" i="45"/>
  <c r="J722" i="45"/>
  <c r="J721" i="45"/>
  <c r="J719" i="45"/>
  <c r="J717" i="45"/>
  <c r="J714" i="45"/>
  <c r="J713" i="45"/>
  <c r="J712" i="45"/>
  <c r="J711" i="45"/>
  <c r="J710" i="45"/>
  <c r="J709" i="45"/>
  <c r="J708" i="45"/>
  <c r="J707" i="45"/>
  <c r="J706" i="45"/>
  <c r="J705" i="45"/>
  <c r="J704" i="45"/>
  <c r="J703" i="45"/>
  <c r="J702" i="45"/>
  <c r="J701" i="45"/>
  <c r="J700" i="45"/>
  <c r="J699" i="45"/>
  <c r="J698" i="45"/>
  <c r="J697" i="45"/>
  <c r="J696" i="45"/>
  <c r="J695" i="45"/>
  <c r="J694" i="45"/>
  <c r="J693" i="45"/>
  <c r="J692" i="45"/>
  <c r="J691" i="45"/>
  <c r="J690" i="45"/>
  <c r="J689" i="45"/>
  <c r="J687" i="45"/>
  <c r="J684" i="45"/>
  <c r="J683" i="45"/>
  <c r="J682" i="45"/>
  <c r="J681" i="45"/>
  <c r="J680" i="45"/>
  <c r="J678" i="45"/>
  <c r="J676" i="45"/>
  <c r="J675" i="45"/>
  <c r="J674" i="45"/>
  <c r="J673" i="45"/>
  <c r="J672" i="45"/>
  <c r="J670" i="45"/>
  <c r="J669" i="45"/>
  <c r="J668" i="45"/>
  <c r="J665" i="45"/>
  <c r="J664" i="45"/>
  <c r="J663" i="45"/>
  <c r="J662" i="45"/>
  <c r="J661" i="45"/>
  <c r="J659" i="45"/>
  <c r="J658" i="45"/>
  <c r="J657" i="45"/>
  <c r="J656" i="45"/>
  <c r="J655" i="45"/>
  <c r="J654" i="45"/>
  <c r="J653" i="45"/>
  <c r="J652" i="45"/>
  <c r="J651" i="45"/>
  <c r="J650" i="45"/>
  <c r="J649" i="45"/>
  <c r="J648" i="45"/>
  <c r="J647" i="45"/>
  <c r="J646" i="45"/>
  <c r="J645" i="45"/>
  <c r="J644" i="45"/>
  <c r="J642" i="45"/>
  <c r="J641" i="45"/>
  <c r="J639" i="45"/>
  <c r="J636" i="45"/>
  <c r="J635" i="45"/>
  <c r="J634" i="45"/>
  <c r="J632" i="45"/>
  <c r="J630" i="45"/>
  <c r="J629" i="45"/>
  <c r="J628" i="45"/>
  <c r="J627" i="45"/>
  <c r="J626" i="45"/>
  <c r="J625" i="45"/>
  <c r="J624" i="45"/>
  <c r="J623" i="45"/>
  <c r="J622" i="45"/>
  <c r="J621" i="45"/>
  <c r="J620" i="45"/>
  <c r="J618" i="45"/>
  <c r="J616" i="45"/>
  <c r="J615" i="45"/>
  <c r="J611" i="45"/>
  <c r="J608" i="45"/>
  <c r="J607" i="45"/>
  <c r="J606" i="45"/>
  <c r="J605" i="45"/>
  <c r="J604" i="45"/>
  <c r="J600" i="45"/>
  <c r="J598" i="45"/>
  <c r="J590" i="45"/>
  <c r="J589" i="45"/>
  <c r="J588" i="45"/>
  <c r="J587" i="45"/>
  <c r="J586" i="45"/>
  <c r="J585" i="45"/>
  <c r="J584" i="45"/>
  <c r="J583" i="45"/>
  <c r="J582" i="45"/>
  <c r="J581" i="45"/>
  <c r="J580" i="45"/>
  <c r="J579" i="45"/>
  <c r="J578" i="45"/>
  <c r="J575" i="45"/>
  <c r="J572" i="45"/>
  <c r="J565" i="45"/>
  <c r="J563" i="45"/>
  <c r="J562" i="45"/>
  <c r="J561" i="45"/>
  <c r="J560" i="45"/>
  <c r="J559" i="45"/>
  <c r="J558" i="45"/>
  <c r="J557" i="45"/>
  <c r="J556" i="45"/>
  <c r="J555" i="45"/>
  <c r="J554" i="45"/>
  <c r="J553" i="45"/>
  <c r="J551" i="45"/>
  <c r="J550" i="45"/>
  <c r="J549" i="45"/>
  <c r="J548" i="45"/>
  <c r="J547" i="45"/>
  <c r="J546" i="45"/>
  <c r="J545" i="45"/>
  <c r="J544" i="45"/>
  <c r="J543" i="45"/>
  <c r="J542" i="45"/>
  <c r="J541" i="45"/>
  <c r="J540" i="45"/>
  <c r="J539" i="45"/>
  <c r="J538" i="45"/>
  <c r="J537" i="45"/>
  <c r="J536" i="45"/>
  <c r="J534" i="45"/>
  <c r="J532" i="45"/>
  <c r="J529" i="45"/>
  <c r="J527" i="45"/>
  <c r="J526" i="45"/>
  <c r="J525" i="45"/>
  <c r="J522" i="45"/>
  <c r="J521" i="45"/>
  <c r="J520" i="45"/>
  <c r="J519" i="45"/>
  <c r="J517" i="45"/>
  <c r="J516" i="45"/>
  <c r="J512" i="45"/>
  <c r="J509" i="45"/>
  <c r="J508" i="45"/>
  <c r="J500" i="45"/>
  <c r="J499" i="45"/>
  <c r="J498" i="45"/>
  <c r="J495" i="45"/>
  <c r="J494" i="45"/>
  <c r="J490" i="45"/>
  <c r="J489" i="45"/>
  <c r="J486" i="45"/>
  <c r="J485" i="45"/>
  <c r="J484" i="45"/>
  <c r="J483" i="45"/>
  <c r="J482" i="45"/>
  <c r="J481" i="45"/>
  <c r="J480" i="45"/>
  <c r="J479" i="45"/>
  <c r="J478" i="45"/>
  <c r="J476" i="45"/>
  <c r="J475" i="45"/>
  <c r="J474" i="45"/>
  <c r="J473" i="45"/>
  <c r="J472" i="45"/>
  <c r="J469" i="45"/>
  <c r="J468" i="45"/>
  <c r="J467" i="45"/>
  <c r="J466" i="45"/>
  <c r="J465" i="45"/>
  <c r="J464" i="45"/>
  <c r="J461" i="45"/>
  <c r="J460" i="45"/>
  <c r="J459" i="45"/>
  <c r="J456" i="45"/>
  <c r="J453" i="45"/>
  <c r="J450" i="45"/>
  <c r="J448" i="45"/>
  <c r="J447" i="45"/>
  <c r="J446" i="45"/>
  <c r="J440" i="45"/>
  <c r="J437" i="45"/>
  <c r="J435" i="45"/>
  <c r="J434" i="45"/>
  <c r="J433" i="45"/>
  <c r="J430" i="45"/>
  <c r="J429" i="45"/>
  <c r="J424" i="45"/>
  <c r="J421" i="45"/>
  <c r="J419" i="45"/>
  <c r="J418" i="45"/>
  <c r="J417" i="45"/>
  <c r="J412" i="45"/>
  <c r="J409" i="45"/>
  <c r="J407" i="45"/>
  <c r="J406" i="45"/>
  <c r="J400" i="45"/>
  <c r="J399" i="45"/>
  <c r="J398" i="45"/>
  <c r="J397" i="45"/>
  <c r="J396" i="45"/>
  <c r="J395" i="45"/>
  <c r="J393" i="45"/>
  <c r="J392" i="45"/>
  <c r="J391" i="45"/>
  <c r="J390" i="45"/>
  <c r="J388" i="45"/>
  <c r="J387" i="45"/>
  <c r="J386" i="45"/>
  <c r="J384" i="45"/>
  <c r="J383" i="45"/>
  <c r="J380" i="45"/>
  <c r="J379" i="45"/>
  <c r="J376" i="45"/>
  <c r="J375" i="45"/>
  <c r="J370" i="45"/>
  <c r="J366" i="45"/>
  <c r="J365" i="45"/>
  <c r="J360" i="45"/>
  <c r="J358" i="45"/>
  <c r="J357" i="45"/>
  <c r="J356" i="45"/>
  <c r="J355" i="45"/>
  <c r="J353" i="45"/>
  <c r="J352" i="45"/>
  <c r="J351" i="45"/>
  <c r="J350" i="45"/>
  <c r="J349" i="45"/>
  <c r="J348" i="45"/>
  <c r="J347" i="45"/>
  <c r="J346" i="45"/>
  <c r="J345" i="45"/>
  <c r="J344" i="45"/>
  <c r="J343" i="45"/>
  <c r="J340" i="45"/>
  <c r="J339" i="45"/>
  <c r="J338" i="45"/>
  <c r="J337" i="45"/>
  <c r="J333" i="45"/>
  <c r="J330" i="45"/>
  <c r="J329" i="45"/>
  <c r="J328" i="45"/>
  <c r="J327" i="45"/>
  <c r="J326" i="45"/>
  <c r="J321" i="45"/>
  <c r="J318" i="45"/>
  <c r="J316" i="45"/>
  <c r="J315" i="45"/>
  <c r="J314" i="45"/>
  <c r="J311" i="45"/>
  <c r="J310" i="45"/>
  <c r="J309" i="45"/>
  <c r="J308" i="45"/>
  <c r="J307" i="45"/>
  <c r="J306" i="45"/>
  <c r="J305" i="45"/>
  <c r="J304" i="45"/>
  <c r="J300" i="45"/>
  <c r="J299" i="45"/>
  <c r="J297" i="45"/>
  <c r="J296" i="45"/>
  <c r="J295" i="45"/>
  <c r="J294" i="45"/>
  <c r="J292" i="45"/>
  <c r="J291" i="45"/>
  <c r="J290" i="45"/>
  <c r="J289" i="45"/>
  <c r="J288" i="45"/>
  <c r="J287" i="45"/>
  <c r="J286" i="45"/>
  <c r="J285" i="45"/>
  <c r="J283" i="45"/>
  <c r="J282" i="45"/>
  <c r="J281" i="45"/>
  <c r="J280" i="45"/>
  <c r="J278" i="45"/>
  <c r="J277" i="45"/>
  <c r="J274" i="45"/>
  <c r="J271" i="45"/>
  <c r="J269" i="45"/>
  <c r="J268" i="45"/>
  <c r="J267" i="45"/>
  <c r="J265" i="45"/>
  <c r="J264" i="45"/>
  <c r="J263" i="45"/>
  <c r="J262" i="45"/>
  <c r="J261" i="45"/>
  <c r="J260" i="45"/>
  <c r="J259" i="45"/>
  <c r="J257" i="45"/>
  <c r="J256" i="45"/>
  <c r="J255" i="45"/>
  <c r="J254" i="45"/>
  <c r="J253" i="45"/>
  <c r="J251" i="45"/>
  <c r="J246" i="45"/>
  <c r="J245" i="45"/>
  <c r="J244" i="45"/>
  <c r="J243" i="45"/>
  <c r="J242" i="45"/>
  <c r="J241" i="45"/>
  <c r="J240" i="45"/>
  <c r="J239" i="45"/>
  <c r="J238" i="45"/>
  <c r="J237" i="45"/>
  <c r="J235" i="45"/>
  <c r="J234" i="45"/>
  <c r="J233" i="45"/>
  <c r="J232" i="45"/>
  <c r="J231" i="45"/>
  <c r="J230" i="45"/>
  <c r="J226" i="45"/>
  <c r="J225" i="45"/>
  <c r="J224" i="45"/>
  <c r="J222" i="45"/>
  <c r="J221" i="45"/>
  <c r="J220" i="45"/>
  <c r="J219" i="45"/>
  <c r="J217" i="45"/>
  <c r="J215" i="45"/>
  <c r="J214" i="45"/>
  <c r="J213" i="45"/>
  <c r="J212" i="45"/>
  <c r="J211" i="45"/>
  <c r="J210" i="45"/>
  <c r="J209" i="45"/>
  <c r="J208" i="45"/>
  <c r="J207" i="45"/>
  <c r="J206" i="45"/>
  <c r="J205" i="45"/>
  <c r="J204" i="45"/>
  <c r="J203" i="45"/>
  <c r="J202" i="45"/>
  <c r="J201" i="45"/>
  <c r="J200" i="45"/>
  <c r="J198" i="45"/>
  <c r="J197" i="45"/>
  <c r="J195" i="45"/>
  <c r="J194" i="45"/>
  <c r="J193" i="45"/>
  <c r="J192" i="45"/>
  <c r="J190" i="45"/>
  <c r="J189" i="45"/>
  <c r="J188" i="45"/>
  <c r="J185" i="45"/>
  <c r="J184" i="45"/>
  <c r="J176" i="45"/>
  <c r="J169" i="45"/>
  <c r="J168" i="45"/>
  <c r="J167" i="45"/>
  <c r="J166" i="45"/>
  <c r="J162" i="45"/>
  <c r="J161" i="45"/>
  <c r="J160" i="45"/>
  <c r="J159" i="45"/>
  <c r="J158" i="45"/>
  <c r="J157" i="45"/>
  <c r="J156" i="45"/>
  <c r="J155" i="45"/>
  <c r="J154" i="45"/>
  <c r="J153" i="45"/>
  <c r="J152" i="45"/>
  <c r="J147" i="45"/>
  <c r="J145" i="45"/>
  <c r="J144" i="45"/>
  <c r="J143" i="45"/>
  <c r="J142" i="45"/>
  <c r="J141" i="45"/>
  <c r="J139" i="45"/>
  <c r="J138" i="45"/>
  <c r="J137" i="45"/>
  <c r="J135" i="45"/>
  <c r="J134" i="45"/>
  <c r="J133" i="45"/>
  <c r="J132" i="45"/>
  <c r="J131" i="45"/>
  <c r="J130" i="45"/>
  <c r="J129" i="45"/>
  <c r="J128" i="45"/>
  <c r="J127" i="45"/>
  <c r="J126" i="45"/>
  <c r="J124" i="45"/>
  <c r="J123" i="45"/>
  <c r="J122" i="45"/>
  <c r="J121" i="45"/>
  <c r="J120" i="45"/>
  <c r="J119" i="45"/>
  <c r="J118" i="45"/>
  <c r="J117" i="45"/>
  <c r="J114" i="45"/>
  <c r="J111" i="45"/>
  <c r="J110" i="45"/>
  <c r="J109" i="45"/>
  <c r="J108" i="45"/>
  <c r="J107" i="45"/>
  <c r="J99" i="45"/>
  <c r="J93" i="45"/>
  <c r="J92" i="45"/>
  <c r="J91" i="45"/>
  <c r="J90" i="45"/>
  <c r="J87" i="45"/>
  <c r="J86" i="45"/>
  <c r="J85" i="45"/>
  <c r="J84" i="45"/>
  <c r="J83" i="45"/>
  <c r="J79" i="45"/>
  <c r="J78" i="45"/>
  <c r="J77" i="45"/>
  <c r="J66" i="45"/>
  <c r="J65" i="45"/>
  <c r="J62" i="45"/>
  <c r="J61" i="45"/>
  <c r="J57" i="45"/>
  <c r="J51" i="45"/>
  <c r="J50" i="45"/>
  <c r="J47" i="45"/>
  <c r="J46" i="45"/>
  <c r="J45" i="45"/>
  <c r="J44" i="45"/>
  <c r="J42" i="45"/>
  <c r="J41" i="45"/>
  <c r="J40" i="45"/>
  <c r="J37" i="45"/>
  <c r="J36" i="45"/>
  <c r="J35" i="45"/>
  <c r="J34" i="45"/>
  <c r="J32" i="45"/>
  <c r="J31" i="45"/>
  <c r="J28" i="45"/>
  <c r="J26" i="45"/>
  <c r="J23" i="45"/>
  <c r="J21" i="45"/>
  <c r="J20" i="45"/>
  <c r="J19" i="45"/>
  <c r="J18" i="45"/>
  <c r="J17" i="45"/>
  <c r="J15" i="45"/>
  <c r="J14" i="45"/>
  <c r="J13" i="45"/>
  <c r="J12" i="45"/>
  <c r="J10" i="45"/>
  <c r="J9" i="45"/>
  <c r="J8" i="45"/>
  <c r="J5" i="45"/>
  <c r="J4" i="45"/>
  <c r="J3" i="45"/>
  <c r="G8" i="45"/>
  <c r="G15" i="45"/>
  <c r="G17" i="45"/>
  <c r="G18" i="45"/>
  <c r="G26" i="45"/>
  <c r="G28" i="45"/>
  <c r="G31" i="45"/>
  <c r="G32" i="45"/>
  <c r="G34" i="45"/>
  <c r="G40" i="45"/>
  <c r="G47" i="45"/>
  <c r="G62" i="45"/>
  <c r="G77" i="45"/>
  <c r="G84" i="45"/>
  <c r="G85" i="45"/>
  <c r="G86" i="45"/>
  <c r="G99" i="45"/>
  <c r="G107" i="45"/>
  <c r="G108" i="45"/>
  <c r="G109" i="45"/>
  <c r="G111" i="45"/>
  <c r="G114" i="45"/>
  <c r="G115" i="45"/>
  <c r="G119" i="45"/>
  <c r="G120" i="45"/>
  <c r="G121" i="45"/>
  <c r="G122" i="45"/>
  <c r="G126" i="45"/>
  <c r="G131" i="45"/>
  <c r="G132" i="45"/>
  <c r="G133" i="45"/>
  <c r="G134" i="45"/>
  <c r="G135" i="45"/>
  <c r="G137" i="45"/>
  <c r="G138" i="45"/>
  <c r="G139" i="45"/>
  <c r="G141" i="45"/>
  <c r="G142" i="45"/>
  <c r="G143" i="45"/>
  <c r="G144" i="45"/>
  <c r="G145" i="45"/>
  <c r="G147" i="45"/>
  <c r="G154" i="45"/>
  <c r="G160" i="45"/>
  <c r="G188" i="45"/>
  <c r="G195" i="45"/>
  <c r="G200" i="45"/>
  <c r="G201" i="45"/>
  <c r="G202" i="45"/>
  <c r="G203" i="45"/>
  <c r="G204" i="45"/>
  <c r="G205" i="45"/>
  <c r="G206" i="45"/>
  <c r="G207" i="45"/>
  <c r="G208" i="45"/>
  <c r="G209" i="45"/>
  <c r="G210" i="45"/>
  <c r="G211" i="45"/>
  <c r="G212" i="45"/>
  <c r="G213" i="45"/>
  <c r="G214" i="45"/>
  <c r="G215" i="45"/>
  <c r="G217" i="45"/>
  <c r="G224" i="45"/>
  <c r="G226" i="45"/>
  <c r="G230" i="45"/>
  <c r="G231" i="45"/>
  <c r="G232" i="45"/>
  <c r="G233" i="45"/>
  <c r="G234" i="45"/>
  <c r="G237" i="45"/>
  <c r="G238" i="45"/>
  <c r="G242" i="45"/>
  <c r="G243" i="45"/>
  <c r="G244" i="45"/>
  <c r="G245" i="45"/>
  <c r="G246" i="45"/>
  <c r="G251" i="45"/>
  <c r="G253" i="45"/>
  <c r="G257" i="45"/>
  <c r="G259" i="45"/>
  <c r="G260" i="45"/>
  <c r="G261" i="45"/>
  <c r="G262" i="45"/>
  <c r="G263" i="45"/>
  <c r="G264" i="45"/>
  <c r="G265" i="45"/>
  <c r="G266" i="45"/>
  <c r="G267" i="45"/>
  <c r="G268" i="45"/>
  <c r="G269" i="45"/>
  <c r="G271" i="45"/>
  <c r="G274" i="45"/>
  <c r="G278" i="45"/>
  <c r="G280" i="45"/>
  <c r="G285" i="45"/>
  <c r="G286" i="45"/>
  <c r="G287" i="45"/>
  <c r="G289" i="45"/>
  <c r="G291" i="45"/>
  <c r="G299" i="45"/>
  <c r="G304" i="45"/>
  <c r="G305" i="45"/>
  <c r="G306" i="45"/>
  <c r="G307" i="45"/>
  <c r="G308" i="45"/>
  <c r="G309" i="45"/>
  <c r="G310" i="45"/>
  <c r="G311" i="45"/>
  <c r="G329" i="45"/>
  <c r="G337" i="45"/>
  <c r="G339" i="45"/>
  <c r="G343" i="45"/>
  <c r="G344" i="45"/>
  <c r="G345" i="45"/>
  <c r="G346" i="45"/>
  <c r="G347" i="45"/>
  <c r="G348" i="45"/>
  <c r="G349" i="45"/>
  <c r="G350" i="45"/>
  <c r="G351" i="45"/>
  <c r="G352" i="45"/>
  <c r="G353" i="45"/>
  <c r="G366" i="45"/>
  <c r="G387" i="45"/>
  <c r="G391" i="45"/>
  <c r="G392" i="45"/>
  <c r="G393" i="45"/>
  <c r="G395" i="45"/>
  <c r="G396" i="45"/>
  <c r="G397" i="45"/>
  <c r="G398" i="45"/>
  <c r="G399" i="45"/>
  <c r="G400" i="45"/>
  <c r="G402" i="45"/>
  <c r="G420" i="45"/>
  <c r="G459" i="45"/>
  <c r="G463" i="45"/>
  <c r="G472" i="45"/>
  <c r="G473" i="45"/>
  <c r="G474" i="45"/>
  <c r="G475" i="45"/>
  <c r="G476" i="45"/>
  <c r="G482" i="45"/>
  <c r="G483" i="45"/>
  <c r="G484" i="45"/>
  <c r="G486" i="45"/>
  <c r="G516" i="45"/>
  <c r="G517" i="45"/>
  <c r="G520" i="45"/>
  <c r="G521" i="45"/>
  <c r="G522" i="45"/>
  <c r="G534" i="45"/>
  <c r="G537" i="45"/>
  <c r="G538" i="45"/>
  <c r="G539" i="45"/>
  <c r="G542" i="45"/>
  <c r="G545" i="45"/>
  <c r="G548" i="45"/>
  <c r="G549" i="45"/>
  <c r="G550" i="45"/>
  <c r="G551" i="45"/>
  <c r="G557" i="45"/>
  <c r="G558" i="45"/>
  <c r="G562" i="45"/>
  <c r="G563" i="45"/>
  <c r="G564" i="45"/>
  <c r="G565" i="45"/>
  <c r="G582" i="45"/>
  <c r="G583" i="45"/>
  <c r="G587" i="45"/>
  <c r="G588" i="45"/>
  <c r="G589" i="45"/>
  <c r="G590" i="45"/>
  <c r="G603" i="45"/>
  <c r="G604" i="45"/>
  <c r="G605" i="45"/>
  <c r="G615" i="45"/>
  <c r="G616" i="45"/>
  <c r="G617" i="45"/>
  <c r="G618" i="45"/>
  <c r="G619" i="45"/>
  <c r="G621" i="45"/>
  <c r="G622" i="45"/>
  <c r="G623" i="45"/>
  <c r="G624" i="45"/>
  <c r="G625" i="45"/>
  <c r="G626" i="45"/>
  <c r="G627" i="45"/>
  <c r="G632" i="45"/>
  <c r="G634" i="45"/>
  <c r="G635" i="45"/>
  <c r="G639" i="45"/>
  <c r="G641" i="45"/>
  <c r="G656" i="45"/>
  <c r="G659" i="45"/>
  <c r="G660" i="45"/>
  <c r="G661" i="45"/>
  <c r="G678" i="45"/>
  <c r="G692" i="45"/>
  <c r="G693" i="45"/>
  <c r="G694" i="45"/>
  <c r="G695" i="45"/>
  <c r="G696" i="45"/>
  <c r="G697" i="45"/>
  <c r="G698" i="45"/>
  <c r="G699" i="45"/>
  <c r="G700" i="45"/>
  <c r="G701" i="45"/>
  <c r="G702" i="45"/>
  <c r="G703" i="45"/>
  <c r="G704" i="45"/>
  <c r="G705" i="45"/>
  <c r="G706" i="45"/>
  <c r="G708" i="45"/>
  <c r="G709" i="45"/>
  <c r="G711" i="45"/>
  <c r="G712" i="45"/>
  <c r="G716" i="45"/>
  <c r="G717" i="45"/>
  <c r="G719" i="45"/>
  <c r="G721" i="45"/>
  <c r="G722" i="45"/>
  <c r="G723" i="45"/>
  <c r="G724" i="45"/>
  <c r="G726" i="45"/>
  <c r="G727" i="45"/>
  <c r="G728" i="45"/>
  <c r="G729" i="45"/>
  <c r="G743" i="45"/>
  <c r="G744" i="45"/>
  <c r="G756" i="45"/>
  <c r="G763" i="45"/>
  <c r="C678" i="45" l="1"/>
  <c r="C669" i="45"/>
  <c r="C605" i="45"/>
  <c r="C542" i="45"/>
  <c r="C627" i="45"/>
  <c r="G651" i="45" s="1"/>
  <c r="C651" i="45" s="1"/>
  <c r="C632" i="45"/>
  <c r="G725" i="45" s="1"/>
  <c r="C725" i="45" s="1"/>
  <c r="C616" i="45"/>
  <c r="C583" i="45"/>
  <c r="G645" i="45" s="1"/>
  <c r="C548" i="45"/>
  <c r="C545" i="45"/>
  <c r="C539" i="45"/>
  <c r="C476" i="45"/>
  <c r="C400" i="45"/>
  <c r="C397" i="45"/>
  <c r="C398" i="45"/>
  <c r="C396" i="45"/>
  <c r="C380" i="45"/>
  <c r="C329" i="45"/>
  <c r="C307" i="45"/>
  <c r="C306" i="45"/>
  <c r="C305" i="45"/>
  <c r="C289" i="45"/>
  <c r="G290" i="45" s="1"/>
  <c r="C290" i="45" s="1"/>
  <c r="C286" i="45"/>
  <c r="J617" i="45" s="1"/>
  <c r="C617" i="45" s="1"/>
  <c r="C257" i="45"/>
  <c r="G256" i="45" s="1"/>
  <c r="C256" i="45" s="1"/>
  <c r="C278" i="45"/>
  <c r="C274" i="45"/>
  <c r="J275" i="45" s="1"/>
  <c r="C245" i="45"/>
  <c r="C232" i="45"/>
  <c r="C233" i="45"/>
  <c r="C231" i="45"/>
  <c r="C189" i="45"/>
  <c r="C154" i="45"/>
  <c r="C144" i="45"/>
  <c r="C143" i="45"/>
  <c r="C142" i="45"/>
  <c r="C138" i="45"/>
  <c r="C134" i="45"/>
  <c r="C99" i="45"/>
  <c r="K54" i="32" s="1"/>
  <c r="C34" i="45"/>
  <c r="C19" i="45"/>
  <c r="M249" i="45"/>
  <c r="D16" i="46"/>
  <c r="J258" i="45"/>
  <c r="G9" i="45"/>
  <c r="C9" i="45" s="1"/>
  <c r="G41" i="45"/>
  <c r="C41" i="45" s="1"/>
  <c r="G20" i="45"/>
  <c r="C20" i="45" s="1"/>
  <c r="G21" i="45"/>
  <c r="C21" i="45" s="1"/>
  <c r="J30" i="45"/>
  <c r="C726" i="45"/>
  <c r="C722" i="45"/>
  <c r="C719" i="45"/>
  <c r="C622" i="45"/>
  <c r="D35" i="46" s="1"/>
  <c r="G157" i="45"/>
  <c r="G117" i="45"/>
  <c r="G485" i="45"/>
  <c r="C485" i="45" s="1"/>
  <c r="C352" i="45"/>
  <c r="C344" i="45"/>
  <c r="C268" i="45"/>
  <c r="C261" i="45"/>
  <c r="C213" i="45"/>
  <c r="C205" i="45"/>
  <c r="J528" i="45"/>
  <c r="G155" i="45"/>
  <c r="C155" i="45" s="1"/>
  <c r="C348" i="45"/>
  <c r="C209" i="45"/>
  <c r="C201" i="45"/>
  <c r="C122" i="45"/>
  <c r="C108" i="45"/>
  <c r="G691" i="45"/>
  <c r="C691" i="45" s="1"/>
  <c r="C621" i="45"/>
  <c r="G608" i="45"/>
  <c r="C608" i="45" s="1"/>
  <c r="J501" i="45"/>
  <c r="G27" i="45"/>
  <c r="C86" i="45"/>
  <c r="C85" i="45"/>
  <c r="C706" i="45"/>
  <c r="C656" i="45"/>
  <c r="G158" i="45"/>
  <c r="C158" i="45" s="1"/>
  <c r="C262" i="45"/>
  <c r="C399" i="45"/>
  <c r="C521" i="45"/>
  <c r="G596" i="45"/>
  <c r="C712" i="45"/>
  <c r="C215" i="45"/>
  <c r="C210" i="45"/>
  <c r="J640" i="45"/>
  <c r="C724" i="45"/>
  <c r="C717" i="45"/>
  <c r="J756" i="45"/>
  <c r="C756" i="45" s="1"/>
  <c r="C705" i="45"/>
  <c r="J638" i="45"/>
  <c r="C624" i="45"/>
  <c r="G156" i="45"/>
  <c r="C156" i="45" s="1"/>
  <c r="G528" i="45"/>
  <c r="C528" i="45" s="1"/>
  <c r="C522" i="45"/>
  <c r="C474" i="45"/>
  <c r="C727" i="45"/>
  <c r="G662" i="45" s="1"/>
  <c r="C662" i="45" s="1"/>
  <c r="C723" i="45"/>
  <c r="C350" i="45"/>
  <c r="C346" i="45"/>
  <c r="C310" i="45"/>
  <c r="C251" i="45"/>
  <c r="C243" i="45"/>
  <c r="C211" i="45"/>
  <c r="C207" i="45"/>
  <c r="C203" i="45"/>
  <c r="C120" i="45"/>
  <c r="C119" i="45"/>
  <c r="C202" i="45"/>
  <c r="G140" i="45"/>
  <c r="C345" i="45"/>
  <c r="G239" i="45"/>
  <c r="C517" i="45"/>
  <c r="C349" i="45"/>
  <c r="C285" i="45"/>
  <c r="C269" i="45"/>
  <c r="C214" i="45"/>
  <c r="C109" i="45"/>
  <c r="C351" i="45"/>
  <c r="C347" i="45"/>
  <c r="C343" i="45"/>
  <c r="C339" i="45"/>
  <c r="J151" i="45" s="1"/>
  <c r="J174" i="45"/>
  <c r="C299" i="45"/>
  <c r="C271" i="45"/>
  <c r="C267" i="45"/>
  <c r="C224" i="45"/>
  <c r="C212" i="45"/>
  <c r="C208" i="45"/>
  <c r="C204" i="45"/>
  <c r="C200" i="45"/>
  <c r="J88" i="45"/>
  <c r="C121" i="45"/>
  <c r="C107" i="45"/>
  <c r="C84" i="45"/>
  <c r="C206" i="45"/>
  <c r="I2" i="4"/>
  <c r="C645" i="45" l="1"/>
  <c r="G647" i="45" s="1"/>
  <c r="C647" i="45" s="1"/>
  <c r="C239" i="45"/>
  <c r="G240" i="45" s="1"/>
  <c r="C240" i="45" s="1"/>
  <c r="C157" i="45"/>
  <c r="S590" i="45" s="1"/>
  <c r="C117" i="45"/>
  <c r="J372" i="45" s="1"/>
  <c r="K57" i="32"/>
  <c r="G644" i="45"/>
  <c r="C644" i="45" s="1"/>
  <c r="G68" i="45"/>
  <c r="J68" i="45"/>
  <c r="J762" i="45"/>
  <c r="K67" i="32"/>
  <c r="J531" i="45"/>
  <c r="P710" i="45"/>
  <c r="G597" i="45"/>
  <c r="G175" i="45"/>
  <c r="G436" i="45"/>
  <c r="J276" i="45"/>
  <c r="M420" i="45"/>
  <c r="G53" i="45"/>
  <c r="G758" i="45"/>
  <c r="J761" i="45"/>
  <c r="J759" i="45"/>
  <c r="J742" i="45"/>
  <c r="M755" i="45"/>
  <c r="C755" i="45" s="1"/>
  <c r="J196" i="45"/>
  <c r="M750" i="45"/>
  <c r="J741" i="45"/>
  <c r="G89" i="45"/>
  <c r="G713" i="45"/>
  <c r="G519" i="45"/>
  <c r="G707" i="45"/>
  <c r="G689" i="45"/>
  <c r="G690" i="45"/>
  <c r="C690" i="45" s="1"/>
  <c r="G687" i="45"/>
  <c r="G688" i="45"/>
  <c r="G685" i="45"/>
  <c r="G686" i="45"/>
  <c r="G683" i="45"/>
  <c r="G684" i="45"/>
  <c r="C684" i="45" s="1"/>
  <c r="G679" i="45"/>
  <c r="G671" i="45"/>
  <c r="G667" i="45"/>
  <c r="G663" i="45"/>
  <c r="C663" i="45" s="1"/>
  <c r="G665" i="45"/>
  <c r="C665" i="45" s="1"/>
  <c r="G672" i="45"/>
  <c r="C672" i="45" s="1"/>
  <c r="G664" i="45"/>
  <c r="C664" i="45" s="1"/>
  <c r="G674" i="45"/>
  <c r="C674" i="45" s="1"/>
  <c r="G670" i="45"/>
  <c r="C670" i="45" s="1"/>
  <c r="G666" i="45"/>
  <c r="G673" i="45"/>
  <c r="C673" i="45" s="1"/>
  <c r="G654" i="45"/>
  <c r="C654" i="45" s="1"/>
  <c r="G652" i="45"/>
  <c r="C652" i="45" s="1"/>
  <c r="G653" i="45"/>
  <c r="C653" i="45" s="1"/>
  <c r="G646" i="45"/>
  <c r="C646" i="45" s="1"/>
  <c r="G648" i="45"/>
  <c r="C648" i="45" s="1"/>
  <c r="G630" i="45"/>
  <c r="C630" i="45" s="1"/>
  <c r="G629" i="45"/>
  <c r="C629" i="45" s="1"/>
  <c r="G168" i="45"/>
  <c r="G628" i="45"/>
  <c r="M148" i="45"/>
  <c r="M620" i="45"/>
  <c r="G613" i="45"/>
  <c r="J599" i="45"/>
  <c r="J613" i="45"/>
  <c r="G606" i="45"/>
  <c r="G607" i="45"/>
  <c r="C607" i="45" s="1"/>
  <c r="J477" i="45"/>
  <c r="J603" i="45"/>
  <c r="J602" i="45"/>
  <c r="J601" i="45"/>
  <c r="G585" i="45"/>
  <c r="G586" i="45"/>
  <c r="C586" i="45" s="1"/>
  <c r="J252" i="45"/>
  <c r="G578" i="45"/>
  <c r="C578" i="45" s="1"/>
  <c r="G527" i="45"/>
  <c r="G570" i="45"/>
  <c r="G196" i="45"/>
  <c r="G556" i="45"/>
  <c r="M536" i="45"/>
  <c r="M552" i="45"/>
  <c r="G553" i="45"/>
  <c r="G546" i="45"/>
  <c r="C546" i="45" s="1"/>
  <c r="G547" i="45"/>
  <c r="C547" i="45" s="1"/>
  <c r="G543" i="45"/>
  <c r="C543" i="45" s="1"/>
  <c r="G544" i="45"/>
  <c r="C544" i="45" s="1"/>
  <c r="G540" i="45"/>
  <c r="C540" i="45" s="1"/>
  <c r="G541" i="45"/>
  <c r="C541" i="45" s="1"/>
  <c r="J533" i="45"/>
  <c r="J514" i="45"/>
  <c r="G514" i="45"/>
  <c r="G448" i="45"/>
  <c r="G507" i="45"/>
  <c r="J487" i="45"/>
  <c r="G501" i="45"/>
  <c r="C501" i="45" s="1"/>
  <c r="G123" i="45"/>
  <c r="C123" i="45" s="1"/>
  <c r="J493" i="45"/>
  <c r="J497" i="45"/>
  <c r="J471" i="45"/>
  <c r="J463" i="45"/>
  <c r="J470" i="45"/>
  <c r="J428" i="45"/>
  <c r="G435" i="45"/>
  <c r="J405" i="45"/>
  <c r="G407" i="45"/>
  <c r="C407" i="45" s="1"/>
  <c r="G419" i="45"/>
  <c r="G328" i="45"/>
  <c r="J247" i="45"/>
  <c r="G390" i="45"/>
  <c r="C390" i="45" s="1"/>
  <c r="J385" i="45"/>
  <c r="J381" i="45"/>
  <c r="G378" i="45"/>
  <c r="J80" i="45"/>
  <c r="J371" i="45"/>
  <c r="J364" i="45"/>
  <c r="J363" i="45"/>
  <c r="C363" i="45" s="1"/>
  <c r="G365" i="45" s="1"/>
  <c r="C365" i="45" s="1"/>
  <c r="J359" i="45"/>
  <c r="J362" i="45"/>
  <c r="C362" i="45" s="1"/>
  <c r="G159" i="45"/>
  <c r="C159" i="45" s="1"/>
  <c r="G338" i="45"/>
  <c r="C338" i="45" s="1"/>
  <c r="G331" i="45"/>
  <c r="J332" i="45"/>
  <c r="J334" i="45"/>
  <c r="J335" i="45"/>
  <c r="J323" i="45"/>
  <c r="J322" i="45"/>
  <c r="G281" i="45"/>
  <c r="G316" i="45"/>
  <c r="G60" i="45"/>
  <c r="G279" i="45"/>
  <c r="J25" i="45"/>
  <c r="J273" i="45"/>
  <c r="G254" i="45"/>
  <c r="C254" i="45" s="1"/>
  <c r="G255" i="45"/>
  <c r="C255" i="45" s="1"/>
  <c r="J216" i="45"/>
  <c r="G241" i="45"/>
  <c r="C241" i="45" s="1"/>
  <c r="G235" i="45"/>
  <c r="J148" i="45"/>
  <c r="G199" i="45"/>
  <c r="G194" i="45"/>
  <c r="C194" i="45" s="1"/>
  <c r="G190" i="45"/>
  <c r="C190" i="45" s="1"/>
  <c r="G192" i="45"/>
  <c r="C192" i="45" s="1"/>
  <c r="G191" i="45"/>
  <c r="G193" i="45"/>
  <c r="C193" i="45" s="1"/>
  <c r="G187" i="45"/>
  <c r="G183" i="45"/>
  <c r="G186" i="45"/>
  <c r="G185" i="45"/>
  <c r="C185" i="45" s="1"/>
  <c r="G184" i="45"/>
  <c r="C184" i="45" s="1"/>
  <c r="J183" i="45"/>
  <c r="J182" i="45"/>
  <c r="J179" i="45"/>
  <c r="G98" i="45"/>
  <c r="G174" i="45"/>
  <c r="G166" i="45"/>
  <c r="J136" i="45"/>
  <c r="J149" i="45"/>
  <c r="J98" i="45"/>
  <c r="J140" i="45"/>
  <c r="C140" i="45" s="1"/>
  <c r="J100" i="45"/>
  <c r="J113" i="45"/>
  <c r="G87" i="45"/>
  <c r="C87" i="45" s="1"/>
  <c r="G112" i="45"/>
  <c r="G23" i="45"/>
  <c r="G102" i="45"/>
  <c r="J106" i="45"/>
  <c r="J105" i="45"/>
  <c r="J101" i="45"/>
  <c r="M471" i="45" s="1"/>
  <c r="M98" i="45"/>
  <c r="J103" i="45"/>
  <c r="J104" i="45"/>
  <c r="J69" i="45"/>
  <c r="J89" i="45"/>
  <c r="J70" i="45"/>
  <c r="C70" i="45" s="1"/>
  <c r="J71" i="45"/>
  <c r="J74" i="45"/>
  <c r="J52" i="45"/>
  <c r="J67" i="45"/>
  <c r="G52" i="45"/>
  <c r="G67" i="45"/>
  <c r="J27" i="45"/>
  <c r="J54" i="45"/>
  <c r="G36" i="45"/>
  <c r="C36" i="45" s="1"/>
  <c r="G37" i="45"/>
  <c r="C37" i="45" s="1"/>
  <c r="G38" i="45"/>
  <c r="G35" i="45"/>
  <c r="C35" i="45" s="1"/>
  <c r="G39" i="45"/>
  <c r="G42" i="45"/>
  <c r="C42" i="45" s="1"/>
  <c r="G46" i="45"/>
  <c r="C46" i="45" s="1"/>
  <c r="G45" i="45"/>
  <c r="C45" i="45" s="1"/>
  <c r="G43" i="45"/>
  <c r="G44" i="45"/>
  <c r="C44" i="45" s="1"/>
  <c r="G13" i="45"/>
  <c r="C13" i="45" s="1"/>
  <c r="G14" i="45"/>
  <c r="C14" i="45" s="1"/>
  <c r="G11" i="45"/>
  <c r="G12" i="45"/>
  <c r="C12" i="45" s="1"/>
  <c r="G7" i="45"/>
  <c r="G10" i="45"/>
  <c r="C10" i="45" s="1"/>
  <c r="G5" i="45"/>
  <c r="C5" i="45" s="1"/>
  <c r="G6" i="45"/>
  <c r="G3" i="45"/>
  <c r="G4" i="45"/>
  <c r="C4" i="45" s="1"/>
  <c r="J46" i="36"/>
  <c r="F46" i="36"/>
  <c r="F50" i="36"/>
  <c r="AE46" i="36"/>
  <c r="AD46" i="36"/>
  <c r="AA46" i="36"/>
  <c r="Z46" i="36"/>
  <c r="W46" i="36"/>
  <c r="V46" i="36"/>
  <c r="S46" i="36"/>
  <c r="R46" i="36"/>
  <c r="O46" i="36"/>
  <c r="N46" i="36"/>
  <c r="C713" i="45" l="1"/>
  <c r="G761" i="45" s="1"/>
  <c r="C761" i="45" s="1"/>
  <c r="C707" i="45"/>
  <c r="M112" i="45" s="1"/>
  <c r="C683" i="45"/>
  <c r="G680" i="45" s="1"/>
  <c r="C689" i="45"/>
  <c r="G336" i="45" s="1"/>
  <c r="C687" i="45"/>
  <c r="M216" i="45" s="1"/>
  <c r="C196" i="45"/>
  <c r="G197" i="45" s="1"/>
  <c r="C197" i="45" s="1"/>
  <c r="C628" i="45"/>
  <c r="G129" i="45" s="1"/>
  <c r="C129" i="45" s="1"/>
  <c r="C606" i="45"/>
  <c r="G128" i="45" s="1"/>
  <c r="C128" i="45" s="1"/>
  <c r="C603" i="45"/>
  <c r="G602" i="45" s="1"/>
  <c r="C602" i="45" s="1"/>
  <c r="C585" i="45"/>
  <c r="G127" i="45" s="1"/>
  <c r="C127" i="45" s="1"/>
  <c r="C556" i="45"/>
  <c r="G555" i="45" s="1"/>
  <c r="C555" i="45" s="1"/>
  <c r="J633" i="45"/>
  <c r="C553" i="45"/>
  <c r="G561" i="45" s="1"/>
  <c r="C561" i="45" s="1"/>
  <c r="C519" i="45"/>
  <c r="G462" i="45" s="1"/>
  <c r="C463" i="45"/>
  <c r="G464" i="45" s="1"/>
  <c r="C464" i="45" s="1"/>
  <c r="C328" i="45"/>
  <c r="C281" i="45"/>
  <c r="G759" i="45" s="1"/>
  <c r="C759" i="45" s="1"/>
  <c r="C183" i="45"/>
  <c r="C166" i="45"/>
  <c r="G167" i="45" s="1"/>
  <c r="C167" i="45" s="1"/>
  <c r="C168" i="45"/>
  <c r="G169" i="45" s="1"/>
  <c r="C169" i="45" s="1"/>
  <c r="C98" i="45"/>
  <c r="G93" i="45"/>
  <c r="C68" i="45"/>
  <c r="K53" i="32" s="1"/>
  <c r="C27" i="45"/>
  <c r="P590" i="45" s="1"/>
  <c r="F194" i="46"/>
  <c r="M527" i="45"/>
  <c r="C527" i="45" s="1"/>
  <c r="J535" i="45"/>
  <c r="G530" i="45"/>
  <c r="K63" i="32"/>
  <c r="G533" i="45"/>
  <c r="C533" i="45" s="1"/>
  <c r="G740" i="45"/>
  <c r="G513" i="45"/>
  <c r="G334" i="45"/>
  <c r="C334" i="45" s="1"/>
  <c r="G413" i="45"/>
  <c r="G454" i="45"/>
  <c r="G58" i="45"/>
  <c r="G425" i="45"/>
  <c r="G75" i="45"/>
  <c r="G105" i="45"/>
  <c r="C105" i="45" s="1"/>
  <c r="G576" i="45"/>
  <c r="M60" i="45"/>
  <c r="G655" i="45"/>
  <c r="C655" i="45" s="1"/>
  <c r="G649" i="45"/>
  <c r="C649" i="45" s="1"/>
  <c r="G650" i="45"/>
  <c r="C650" i="45" s="1"/>
  <c r="G633" i="45"/>
  <c r="J597" i="45"/>
  <c r="C597" i="45" s="1"/>
  <c r="G580" i="45"/>
  <c r="G581" i="45"/>
  <c r="C581" i="45" s="1"/>
  <c r="G508" i="45"/>
  <c r="C508" i="45" s="1"/>
  <c r="G494" i="45"/>
  <c r="G383" i="45"/>
  <c r="C383" i="45" s="1"/>
  <c r="G384" i="45"/>
  <c r="C384" i="45" s="1"/>
  <c r="G385" i="45"/>
  <c r="C385" i="45" s="1"/>
  <c r="G382" i="45"/>
  <c r="G381" i="45"/>
  <c r="C381" i="45" s="1"/>
  <c r="G375" i="45"/>
  <c r="C375" i="45" s="1"/>
  <c r="G376" i="45"/>
  <c r="C376" i="45" s="1"/>
  <c r="G377" i="45"/>
  <c r="G374" i="45"/>
  <c r="J87" i="36"/>
  <c r="F87" i="36"/>
  <c r="AE87" i="36"/>
  <c r="AD87" i="36"/>
  <c r="AA87" i="36"/>
  <c r="Z87" i="36"/>
  <c r="W87" i="36"/>
  <c r="V87" i="36"/>
  <c r="S87" i="36"/>
  <c r="R87" i="36"/>
  <c r="O87" i="36"/>
  <c r="N87" i="36"/>
  <c r="J43" i="36"/>
  <c r="G161" i="45" l="1"/>
  <c r="C161" i="45" s="1"/>
  <c r="M564" i="45"/>
  <c r="G322" i="45"/>
  <c r="C322" i="45" s="1"/>
  <c r="G318" i="45" s="1"/>
  <c r="C318" i="45" s="1"/>
  <c r="G180" i="45"/>
  <c r="G441" i="45"/>
  <c r="G612" i="45"/>
  <c r="G470" i="45"/>
  <c r="G681" i="45"/>
  <c r="C681" i="45" s="1"/>
  <c r="G682" i="45"/>
  <c r="C682" i="45" s="1"/>
  <c r="G80" i="45"/>
  <c r="C80" i="45" s="1"/>
  <c r="G249" i="45" s="1"/>
  <c r="J24" i="45"/>
  <c r="C680" i="45"/>
  <c r="G130" i="45" s="1"/>
  <c r="C130" i="45" s="1"/>
  <c r="C633" i="45"/>
  <c r="G601" i="45"/>
  <c r="C601" i="45" s="1"/>
  <c r="G584" i="45"/>
  <c r="C584" i="45" s="1"/>
  <c r="G600" i="45"/>
  <c r="C600" i="45" s="1"/>
  <c r="G554" i="45"/>
  <c r="C554" i="45" s="1"/>
  <c r="J163" i="45"/>
  <c r="C580" i="45"/>
  <c r="G579" i="45" s="1"/>
  <c r="C579" i="45" s="1"/>
  <c r="G560" i="45"/>
  <c r="C560" i="45" s="1"/>
  <c r="G559" i="45"/>
  <c r="C559" i="45" s="1"/>
  <c r="G640" i="45"/>
  <c r="C640" i="45" s="1"/>
  <c r="G116" i="45"/>
  <c r="G276" i="45"/>
  <c r="C276" i="45" s="1"/>
  <c r="G458" i="45"/>
  <c r="G270" i="45"/>
  <c r="G465" i="45"/>
  <c r="C465" i="45" s="1"/>
  <c r="C494" i="45"/>
  <c r="J752" i="45" s="1"/>
  <c r="G327" i="45"/>
  <c r="C327" i="45" s="1"/>
  <c r="F69" i="46" s="1"/>
  <c r="G466" i="45"/>
  <c r="C466" i="45" s="1"/>
  <c r="C470" i="45"/>
  <c r="G467" i="45" s="1"/>
  <c r="C467" i="45" s="1"/>
  <c r="G73" i="45"/>
  <c r="G320" i="45"/>
  <c r="G332" i="45"/>
  <c r="C332" i="45" s="1"/>
  <c r="G333" i="45" s="1"/>
  <c r="G282" i="45"/>
  <c r="C282" i="45" s="1"/>
  <c r="G236" i="45" s="1"/>
  <c r="C236" i="45" s="1"/>
  <c r="G452" i="45"/>
  <c r="G178" i="45"/>
  <c r="J199" i="45"/>
  <c r="G439" i="45"/>
  <c r="G103" i="45"/>
  <c r="C103" i="45" s="1"/>
  <c r="G104" i="45" s="1"/>
  <c r="G56" i="45"/>
  <c r="G423" i="45"/>
  <c r="G531" i="45"/>
  <c r="G738" i="45"/>
  <c r="G283" i="45"/>
  <c r="C283" i="45" s="1"/>
  <c r="M30" i="45"/>
  <c r="M250" i="45"/>
  <c r="G411" i="45"/>
  <c r="G511" i="45"/>
  <c r="G574" i="45"/>
  <c r="G610" i="45"/>
  <c r="C93" i="45"/>
  <c r="G92" i="45" s="1"/>
  <c r="C92" i="45" s="1"/>
  <c r="K65" i="32"/>
  <c r="G430" i="45"/>
  <c r="K62" i="32"/>
  <c r="G408" i="45"/>
  <c r="J75" i="45"/>
  <c r="C75" i="45" s="1"/>
  <c r="J73" i="45"/>
  <c r="J175" i="45"/>
  <c r="C175" i="45" s="1"/>
  <c r="G72" i="45"/>
  <c r="J76" i="45"/>
  <c r="G571" i="45"/>
  <c r="M67" i="45"/>
  <c r="J571" i="45"/>
  <c r="J610" i="45"/>
  <c r="G609" i="45"/>
  <c r="M596" i="45"/>
  <c r="J614" i="45"/>
  <c r="J612" i="45"/>
  <c r="J511" i="45"/>
  <c r="J513" i="45"/>
  <c r="C513" i="45" s="1"/>
  <c r="G510" i="45"/>
  <c r="M507" i="45"/>
  <c r="G198" i="45"/>
  <c r="C198" i="45" s="1"/>
  <c r="G760" i="45"/>
  <c r="G526" i="45"/>
  <c r="C526" i="45" s="1"/>
  <c r="G529" i="45"/>
  <c r="C529" i="45" s="1"/>
  <c r="G429" i="45"/>
  <c r="G428" i="45"/>
  <c r="J449" i="45" s="1"/>
  <c r="G406" i="45"/>
  <c r="C406" i="45" s="1"/>
  <c r="G330" i="45"/>
  <c r="G277" i="45"/>
  <c r="C277" i="45" s="1"/>
  <c r="G100" i="45"/>
  <c r="C100" i="45" s="1"/>
  <c r="G97" i="45"/>
  <c r="C97" i="45" s="1"/>
  <c r="Z26" i="39"/>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G532" i="45" l="1"/>
  <c r="C532" i="45" s="1"/>
  <c r="C531" i="45"/>
  <c r="F146" i="46"/>
  <c r="F198" i="46"/>
  <c r="C760" i="45"/>
  <c r="C612" i="45"/>
  <c r="G750" i="45"/>
  <c r="G81" i="45"/>
  <c r="G247" i="45"/>
  <c r="C247" i="45" s="1"/>
  <c r="C571" i="45"/>
  <c r="C610" i="45"/>
  <c r="G611" i="45" s="1"/>
  <c r="C596" i="45"/>
  <c r="G595" i="45" s="1"/>
  <c r="C595" i="45" s="1"/>
  <c r="G490" i="45"/>
  <c r="C490" i="45" s="1"/>
  <c r="G496" i="45"/>
  <c r="G124" i="45"/>
  <c r="C124" i="45" s="1"/>
  <c r="G125" i="45" s="1"/>
  <c r="J524" i="45"/>
  <c r="G748" i="45"/>
  <c r="G488" i="45"/>
  <c r="C488" i="45" s="1"/>
  <c r="J81" i="45"/>
  <c r="J445" i="45"/>
  <c r="J64" i="45"/>
  <c r="J116" i="45"/>
  <c r="C116" i="45" s="1"/>
  <c r="M113" i="45"/>
  <c r="J404" i="45"/>
  <c r="G492" i="45"/>
  <c r="J171" i="45"/>
  <c r="G162" i="45"/>
  <c r="C162" i="45" s="1"/>
  <c r="G497" i="45"/>
  <c r="C497" i="45" s="1"/>
  <c r="J29" i="45" s="1"/>
  <c r="J567" i="45"/>
  <c r="J637" i="45"/>
  <c r="J731" i="45"/>
  <c r="G747" i="45"/>
  <c r="G150" i="45"/>
  <c r="M336" i="45"/>
  <c r="J325" i="45"/>
  <c r="G443" i="45"/>
  <c r="G83" i="45"/>
  <c r="C83" i="45" s="1"/>
  <c r="M590" i="45" s="1"/>
  <c r="C590" i="45" s="1"/>
  <c r="J95" i="45"/>
  <c r="G273" i="45"/>
  <c r="C273" i="45" s="1"/>
  <c r="J416" i="45"/>
  <c r="G499" i="45"/>
  <c r="C499" i="45" s="1"/>
  <c r="G536" i="45"/>
  <c r="J593" i="45"/>
  <c r="M720" i="45"/>
  <c r="J401" i="45"/>
  <c r="G373" i="45"/>
  <c r="G491" i="45"/>
  <c r="J313" i="45"/>
  <c r="J49" i="45"/>
  <c r="J432" i="45"/>
  <c r="G487" i="45"/>
  <c r="C487" i="45" s="1"/>
  <c r="G495" i="45"/>
  <c r="C495" i="45" s="1"/>
  <c r="G676" i="45"/>
  <c r="G749" i="45"/>
  <c r="G29" i="45"/>
  <c r="G489" i="45"/>
  <c r="C489" i="45" s="1"/>
  <c r="G498" i="45"/>
  <c r="C498" i="45" s="1"/>
  <c r="J504" i="45"/>
  <c r="J643" i="45"/>
  <c r="G746" i="45"/>
  <c r="G745" i="45"/>
  <c r="C511" i="45"/>
  <c r="G512" i="45" s="1"/>
  <c r="C507" i="45"/>
  <c r="C73" i="45"/>
  <c r="G468" i="45"/>
  <c r="C468" i="45" s="1"/>
  <c r="G469" i="45"/>
  <c r="C469" i="45" s="1"/>
  <c r="G90" i="45"/>
  <c r="C90" i="45" s="1"/>
  <c r="G91" i="45"/>
  <c r="C91" i="45" s="1"/>
  <c r="C330" i="45"/>
  <c r="F70" i="46" s="1"/>
  <c r="F74" i="46"/>
  <c r="C333" i="45"/>
  <c r="C104" i="45"/>
  <c r="C67" i="45"/>
  <c r="G66" i="45" s="1"/>
  <c r="C66" i="45" s="1"/>
  <c r="F144" i="46"/>
  <c r="F199" i="46"/>
  <c r="G598" i="45"/>
  <c r="G509" i="45"/>
  <c r="G573" i="45"/>
  <c r="K55" i="32"/>
  <c r="J180" i="45"/>
  <c r="C180" i="45" s="1"/>
  <c r="J181" i="45"/>
  <c r="G177" i="45"/>
  <c r="J178" i="45"/>
  <c r="C178" i="45" s="1"/>
  <c r="M174" i="45"/>
  <c r="J427" i="45"/>
  <c r="E20" i="39"/>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C81" i="45" l="1"/>
  <c r="G401" i="45" s="1"/>
  <c r="C401" i="45" s="1"/>
  <c r="G718" i="45"/>
  <c r="C676" i="45"/>
  <c r="J751" i="45" s="1"/>
  <c r="C611" i="45"/>
  <c r="F170" i="46"/>
  <c r="C598" i="45"/>
  <c r="G341" i="45"/>
  <c r="G638" i="45"/>
  <c r="M199" i="45"/>
  <c r="C199" i="45" s="1"/>
  <c r="C29" i="45"/>
  <c r="G506" i="45"/>
  <c r="C506" i="45" s="1"/>
  <c r="F132" i="46" s="1"/>
  <c r="J367" i="45"/>
  <c r="G82" i="45"/>
  <c r="G371" i="45"/>
  <c r="C371" i="45" s="1"/>
  <c r="J552" i="45"/>
  <c r="J716" i="45"/>
  <c r="F134" i="46"/>
  <c r="C509" i="45"/>
  <c r="C512" i="45"/>
  <c r="C174" i="45"/>
  <c r="G471" i="45"/>
  <c r="C471" i="45" s="1"/>
  <c r="J33" i="45"/>
  <c r="C33" i="45" s="1"/>
  <c r="J576" i="45"/>
  <c r="M570" i="45"/>
  <c r="F168" i="46"/>
  <c r="G179" i="45"/>
  <c r="G176" i="45"/>
  <c r="K64" i="32"/>
  <c r="J574" i="45"/>
  <c r="C574" i="45" s="1"/>
  <c r="G449" i="45"/>
  <c r="C449" i="45" s="1"/>
  <c r="J577" i="45"/>
  <c r="E86" i="38"/>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J16" i="45" l="1"/>
  <c r="J679" i="45"/>
  <c r="C679" i="45" s="1"/>
  <c r="J444" i="45"/>
  <c r="J503" i="45"/>
  <c r="J293" i="45"/>
  <c r="J431" i="45"/>
  <c r="J491" i="45"/>
  <c r="C491" i="45" s="1"/>
  <c r="J150" i="45" s="1"/>
  <c r="C150" i="45" s="1"/>
  <c r="J688" i="45"/>
  <c r="C688" i="45" s="1"/>
  <c r="J303" i="45"/>
  <c r="J298" i="45"/>
  <c r="J496" i="45"/>
  <c r="C496" i="45" s="1"/>
  <c r="J6" i="45"/>
  <c r="C6" i="45" s="1"/>
  <c r="J361" i="45"/>
  <c r="J566" i="45"/>
  <c r="J369" i="45"/>
  <c r="J312" i="45"/>
  <c r="J39" i="45"/>
  <c r="C39" i="45" s="1"/>
  <c r="G518" i="45"/>
  <c r="M165" i="45"/>
  <c r="G113" i="45"/>
  <c r="C113" i="45" s="1"/>
  <c r="G25" i="45"/>
  <c r="J378" i="45"/>
  <c r="C378" i="45" s="1"/>
  <c r="J48" i="45"/>
  <c r="J368" i="45"/>
  <c r="J749" i="45"/>
  <c r="C749" i="45" s="1"/>
  <c r="J354" i="45"/>
  <c r="J170" i="45"/>
  <c r="J38" i="45"/>
  <c r="C38" i="45" s="1"/>
  <c r="J415" i="45"/>
  <c r="J377" i="45"/>
  <c r="C377" i="45" s="1"/>
  <c r="F45" i="46" s="1"/>
  <c r="J229" i="45"/>
  <c r="J685" i="45"/>
  <c r="C685" i="45" s="1"/>
  <c r="J43" i="45"/>
  <c r="C43" i="45" s="1"/>
  <c r="J94" i="45"/>
  <c r="J747" i="45"/>
  <c r="C747" i="45" s="1"/>
  <c r="J382" i="45"/>
  <c r="C382" i="45" s="1"/>
  <c r="F49" i="46" s="1"/>
  <c r="G24" i="45"/>
  <c r="C24" i="45" s="1"/>
  <c r="J301" i="45"/>
  <c r="J63" i="45"/>
  <c r="J671" i="45"/>
  <c r="C671" i="45" s="1"/>
  <c r="J228" i="45"/>
  <c r="J592" i="45"/>
  <c r="J218" i="45"/>
  <c r="J523" i="45"/>
  <c r="J686" i="45"/>
  <c r="C686" i="45" s="1"/>
  <c r="J186" i="45"/>
  <c r="C186" i="45" s="1"/>
  <c r="J324" i="45"/>
  <c r="J403" i="45"/>
  <c r="J748" i="45"/>
  <c r="J402" i="45"/>
  <c r="C402" i="45" s="1"/>
  <c r="J223" i="45"/>
  <c r="J619" i="45"/>
  <c r="J11" i="45"/>
  <c r="C11" i="45" s="1"/>
  <c r="J191" i="45"/>
  <c r="C191" i="45" s="1"/>
  <c r="F37" i="46" s="1"/>
  <c r="J336" i="45"/>
  <c r="C336" i="45" s="1"/>
  <c r="J720" i="45"/>
  <c r="J302" i="45"/>
  <c r="J492" i="45"/>
  <c r="C492" i="45" s="1"/>
  <c r="J667" i="45"/>
  <c r="C667" i="45" s="1"/>
  <c r="J7" i="45"/>
  <c r="C7" i="45" s="1"/>
  <c r="J730" i="45"/>
  <c r="G272" i="45"/>
  <c r="G388" i="45"/>
  <c r="C388" i="45" s="1"/>
  <c r="J591" i="45"/>
  <c r="J666" i="45"/>
  <c r="C666" i="45" s="1"/>
  <c r="J187" i="45"/>
  <c r="C187" i="45" s="1"/>
  <c r="J227" i="45"/>
  <c r="J746" i="45"/>
  <c r="C746" i="45" s="1"/>
  <c r="J745" i="45"/>
  <c r="C745" i="45" s="1"/>
  <c r="C716" i="45"/>
  <c r="G372" i="45" s="1"/>
  <c r="C372" i="45" s="1"/>
  <c r="J758" i="45"/>
  <c r="C619" i="45"/>
  <c r="G148" i="45" s="1"/>
  <c r="C148" i="45" s="1"/>
  <c r="C576" i="45"/>
  <c r="G572" i="45" s="1"/>
  <c r="C570" i="45"/>
  <c r="G173" i="45"/>
  <c r="C173" i="45" s="1"/>
  <c r="F44" i="46" s="1"/>
  <c r="C176" i="45"/>
  <c r="C179" i="45"/>
  <c r="F50" i="46" s="1"/>
  <c r="F72" i="46"/>
  <c r="F135" i="46"/>
  <c r="F171" i="46"/>
  <c r="F147" i="46"/>
  <c r="G575" i="45"/>
  <c r="C575" i="45" s="1"/>
  <c r="J454" i="45"/>
  <c r="C454" i="45" s="1"/>
  <c r="J452" i="45"/>
  <c r="C452" i="45" s="1"/>
  <c r="K61" i="32"/>
  <c r="J515" i="45"/>
  <c r="J455" i="45"/>
  <c r="G451" i="45"/>
  <c r="M448" i="45"/>
  <c r="Q38" i="9"/>
  <c r="M38" i="9"/>
  <c r="I38" i="9"/>
  <c r="E38" i="9"/>
  <c r="A38" i="9"/>
  <c r="Q38" i="7"/>
  <c r="M38" i="7"/>
  <c r="I38" i="7"/>
  <c r="E38" i="7"/>
  <c r="A38" i="7"/>
  <c r="Q38" i="6"/>
  <c r="M38" i="6"/>
  <c r="I38" i="6"/>
  <c r="E38" i="6"/>
  <c r="A38" i="6"/>
  <c r="Q38" i="5"/>
  <c r="M38" i="5"/>
  <c r="I38" i="5"/>
  <c r="E38" i="5"/>
  <c r="A38" i="5"/>
  <c r="Q38" i="4"/>
  <c r="M38" i="4"/>
  <c r="I38" i="4"/>
  <c r="E38" i="4"/>
  <c r="A38" i="4"/>
  <c r="J374" i="45" l="1"/>
  <c r="C374" i="45" s="1"/>
  <c r="C748" i="45"/>
  <c r="C758" i="45"/>
  <c r="J573" i="45"/>
  <c r="C573" i="45" s="1"/>
  <c r="F160" i="46" s="1"/>
  <c r="J389" i="45"/>
  <c r="J510" i="45"/>
  <c r="C510" i="45" s="1"/>
  <c r="J319" i="45"/>
  <c r="J72" i="45"/>
  <c r="C72" i="45" s="1"/>
  <c r="J102" i="45"/>
  <c r="C102" i="45" s="1"/>
  <c r="J331" i="45"/>
  <c r="C331" i="45" s="1"/>
  <c r="J737" i="45"/>
  <c r="M16" i="45"/>
  <c r="J410" i="45"/>
  <c r="J438" i="45"/>
  <c r="J609" i="45"/>
  <c r="C609" i="45" s="1"/>
  <c r="J177" i="45"/>
  <c r="C177" i="45" s="1"/>
  <c r="F48" i="46" s="1"/>
  <c r="G620" i="45"/>
  <c r="C620" i="45" s="1"/>
  <c r="J422" i="45"/>
  <c r="J530" i="45"/>
  <c r="C530" i="45" s="1"/>
  <c r="J55" i="45"/>
  <c r="J451" i="45"/>
  <c r="C451" i="45" s="1"/>
  <c r="G569" i="45"/>
  <c r="C569" i="45" s="1"/>
  <c r="F158" i="46"/>
  <c r="C572" i="45"/>
  <c r="F159" i="46" s="1"/>
  <c r="C448" i="45"/>
  <c r="G447" i="45" s="1"/>
  <c r="G450" i="45"/>
  <c r="G453" i="45"/>
  <c r="D26" i="1"/>
  <c r="E26" i="1" s="1"/>
  <c r="F26" i="1" s="1"/>
  <c r="G26" i="1" s="1"/>
  <c r="F148" i="46" l="1"/>
  <c r="F145" i="46"/>
  <c r="F172" i="46"/>
  <c r="F169" i="46"/>
  <c r="F47" i="46"/>
  <c r="F118" i="46"/>
  <c r="F156" i="46"/>
  <c r="F73" i="46"/>
  <c r="F71" i="46"/>
  <c r="F136" i="46"/>
  <c r="F133" i="46"/>
  <c r="F157" i="46"/>
  <c r="F122" i="46"/>
  <c r="C453" i="45"/>
  <c r="F121" i="46" s="1"/>
  <c r="C447" i="45"/>
  <c r="F117" i="46" s="1"/>
  <c r="F119" i="46"/>
  <c r="C450" i="45"/>
  <c r="F120" i="46" s="1"/>
  <c r="K2" i="3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24" i="1"/>
  <c r="C47" i="1"/>
  <c r="C43" i="1"/>
  <c r="D43" i="1" s="1"/>
  <c r="H64" i="1"/>
  <c r="C65" i="1" s="1"/>
  <c r="D65" i="1" s="1"/>
  <c r="E65" i="1" s="1"/>
  <c r="F65" i="1" s="1"/>
  <c r="G65" i="1" s="1"/>
  <c r="D47" i="1" l="1"/>
  <c r="E43" i="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C28" i="1" l="1"/>
  <c r="M40" i="9" l="1"/>
  <c r="E40" i="7"/>
  <c r="M40" i="6"/>
  <c r="E40" i="5"/>
  <c r="A40" i="7"/>
  <c r="Q40" i="5"/>
  <c r="I40" i="9"/>
  <c r="E40" i="9"/>
  <c r="M40" i="7"/>
  <c r="E40" i="6"/>
  <c r="M40" i="5"/>
  <c r="E40" i="4"/>
  <c r="Q40" i="4"/>
  <c r="A40" i="4"/>
  <c r="Q40" i="7"/>
  <c r="I40" i="4"/>
  <c r="Q40" i="9"/>
  <c r="A40" i="9"/>
  <c r="I40" i="7"/>
  <c r="Q40" i="6"/>
  <c r="A40" i="6"/>
  <c r="I40" i="5"/>
  <c r="M40" i="4"/>
  <c r="I40" i="6"/>
  <c r="A40" i="5"/>
  <c r="E54" i="32" l="1"/>
  <c r="C763" i="45" l="1"/>
  <c r="C623" i="45"/>
  <c r="I18" i="32"/>
  <c r="I19" i="32"/>
  <c r="I20" i="32"/>
  <c r="I17" i="32"/>
  <c r="A4" i="10" l="1"/>
  <c r="D27" i="1" l="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C366" i="45" l="1"/>
  <c r="I81" i="25"/>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55" i="32"/>
  <c r="F4" i="1"/>
  <c r="F3" i="1"/>
  <c r="F5" i="1"/>
  <c r="B3" i="1"/>
  <c r="B4" i="1"/>
  <c r="H75" i="1"/>
  <c r="C2" i="31"/>
  <c r="C2" i="28"/>
  <c r="C2" i="29"/>
  <c r="C2" i="27"/>
  <c r="C2" i="26"/>
  <c r="C2" i="25"/>
  <c r="C2" i="24"/>
  <c r="C2" i="23"/>
  <c r="C2" i="22"/>
  <c r="C2" i="21"/>
  <c r="C2" i="20"/>
  <c r="C2" i="19"/>
  <c r="C2" i="18"/>
  <c r="C2" i="17"/>
  <c r="C2" i="16"/>
  <c r="C2" i="15"/>
  <c r="C2" i="14"/>
  <c r="C2" i="13"/>
  <c r="C2" i="12"/>
  <c r="C2" i="10"/>
  <c r="C2" i="9"/>
  <c r="C2" i="7"/>
  <c r="C2" i="6"/>
  <c r="D13" i="46" l="1"/>
  <c r="D11" i="46"/>
  <c r="D12" i="46"/>
  <c r="D10" i="46"/>
  <c r="G389" i="45"/>
  <c r="C661" i="45"/>
  <c r="C692" i="45"/>
  <c r="G643" i="45"/>
  <c r="G720" i="45"/>
  <c r="C720" i="45" s="1"/>
  <c r="G591" i="45"/>
  <c r="C591" i="45" s="1"/>
  <c r="G637" i="45"/>
  <c r="C637" i="45" s="1"/>
  <c r="G636" i="45"/>
  <c r="C264" i="45"/>
  <c r="C145" i="45"/>
  <c r="G364" i="45"/>
  <c r="C364" i="45" s="1"/>
  <c r="P536" i="45"/>
  <c r="G370" i="45"/>
  <c r="G367" i="45"/>
  <c r="C367" i="45" s="1"/>
  <c r="G368" i="45"/>
  <c r="C368" i="45" s="1"/>
  <c r="G461" i="45"/>
  <c r="G369" i="45"/>
  <c r="C369" i="45" s="1"/>
  <c r="G275" i="45"/>
  <c r="C275" i="45" s="1"/>
  <c r="G22" i="45"/>
  <c r="G340" i="45"/>
  <c r="C340" i="45" s="1"/>
  <c r="F46" i="46" s="1"/>
  <c r="G216" i="45"/>
  <c r="C216" i="45" s="1"/>
  <c r="G165" i="45"/>
  <c r="G361" i="45"/>
  <c r="C361" i="45" s="1"/>
  <c r="G149" i="45"/>
  <c r="C149" i="45" s="1"/>
  <c r="G357" i="45"/>
  <c r="C357" i="45" s="1"/>
  <c r="G355" i="45"/>
  <c r="C355" i="45" s="1"/>
  <c r="J60" i="45"/>
  <c r="C60" i="45" s="1"/>
  <c r="G354" i="45"/>
  <c r="G16" i="45"/>
  <c r="C16" i="45" s="1"/>
  <c r="G358" i="45"/>
  <c r="C358" i="45" s="1"/>
  <c r="G356" i="45"/>
  <c r="C356" i="45" s="1"/>
  <c r="G110" i="45"/>
  <c r="C110" i="45" s="1"/>
  <c r="G118" i="45"/>
  <c r="C118" i="45" s="1"/>
  <c r="G360" i="45"/>
  <c r="C360" i="45" s="1"/>
  <c r="J341" i="45"/>
  <c r="G359" i="45"/>
  <c r="C359" i="45" s="1"/>
  <c r="E54" i="10"/>
  <c r="A54" i="10"/>
  <c r="I54" i="10"/>
  <c r="M54" i="10"/>
  <c r="Q54" i="10"/>
  <c r="E73" i="26"/>
  <c r="M73" i="26"/>
  <c r="Q73" i="26"/>
  <c r="A73" i="26"/>
  <c r="I73" i="26"/>
  <c r="Q73" i="21"/>
  <c r="A73" i="21"/>
  <c r="I73" i="21"/>
  <c r="M73" i="21"/>
  <c r="E73" i="21"/>
  <c r="A73" i="16"/>
  <c r="C226" i="45"/>
  <c r="D6" i="46" s="1"/>
  <c r="A67" i="26"/>
  <c r="A67" i="27"/>
  <c r="A67" i="21"/>
  <c r="A67" i="22"/>
  <c r="A67" i="17"/>
  <c r="A67" i="16"/>
  <c r="A48" i="10"/>
  <c r="A47" i="12"/>
  <c r="C6" i="32"/>
  <c r="C56" i="32"/>
  <c r="E56" i="32" s="1"/>
  <c r="C429" i="45" s="1"/>
  <c r="G735" i="45" s="1"/>
  <c r="C57" i="32"/>
  <c r="E57" i="32" s="1"/>
  <c r="G4" i="1"/>
  <c r="G3" i="1"/>
  <c r="G2" i="1"/>
  <c r="D3" i="1"/>
  <c r="G5" i="1"/>
  <c r="A66" i="27"/>
  <c r="H4" i="1"/>
  <c r="H3" i="1"/>
  <c r="D4" i="1"/>
  <c r="H2" i="1"/>
  <c r="H5" i="1"/>
  <c r="B5" i="1"/>
  <c r="F35" i="46" l="1"/>
  <c r="C643" i="45"/>
  <c r="F36" i="46" s="1"/>
  <c r="C636" i="45"/>
  <c r="C536" i="45"/>
  <c r="G677" i="45" s="1"/>
  <c r="C461" i="45"/>
  <c r="J715" i="45" s="1"/>
  <c r="C389" i="45"/>
  <c r="F31" i="46"/>
  <c r="C370" i="45"/>
  <c r="C354" i="45"/>
  <c r="C341" i="45"/>
  <c r="J342" i="45" s="1"/>
  <c r="J458" i="45"/>
  <c r="C458" i="45" s="1"/>
  <c r="G552" i="45"/>
  <c r="C552" i="45" s="1"/>
  <c r="G427" i="45"/>
  <c r="J22" i="45"/>
  <c r="G742" i="45"/>
  <c r="C742" i="45" s="1"/>
  <c r="G631" i="45"/>
  <c r="C631" i="45" s="1"/>
  <c r="J272" i="45"/>
  <c r="J165" i="45"/>
  <c r="G394" i="45"/>
  <c r="J443" i="45"/>
  <c r="C443" i="45" s="1"/>
  <c r="J82" i="45"/>
  <c r="C82" i="45" s="1"/>
  <c r="P165" i="45"/>
  <c r="J718" i="45"/>
  <c r="C718" i="45" s="1"/>
  <c r="G87" i="36"/>
  <c r="G79" i="45"/>
  <c r="C79" i="45" s="1"/>
  <c r="C337" i="45"/>
  <c r="G714" i="45" s="1"/>
  <c r="C164" i="45"/>
  <c r="G163" i="45" s="1"/>
  <c r="C163" i="45" s="1"/>
  <c r="G288" i="45"/>
  <c r="C288" i="45" s="1"/>
  <c r="G292" i="45"/>
  <c r="C292" i="45" s="1"/>
  <c r="G296" i="45"/>
  <c r="C296" i="45" s="1"/>
  <c r="G300" i="45"/>
  <c r="C300" i="45" s="1"/>
  <c r="G293" i="45"/>
  <c r="C293" i="45" s="1"/>
  <c r="G297" i="45"/>
  <c r="C297" i="45" s="1"/>
  <c r="G301" i="45"/>
  <c r="G303" i="45"/>
  <c r="C303" i="45" s="1"/>
  <c r="G294" i="45"/>
  <c r="C294" i="45" s="1"/>
  <c r="G298" i="45"/>
  <c r="G302" i="45"/>
  <c r="C302" i="45" s="1"/>
  <c r="G136" i="45"/>
  <c r="C136" i="45" s="1"/>
  <c r="B6" i="1"/>
  <c r="J2" i="1" s="1"/>
  <c r="C217" i="45"/>
  <c r="C7" i="32"/>
  <c r="C61" i="32" s="1"/>
  <c r="C59" i="32"/>
  <c r="E59" i="32" s="1"/>
  <c r="C58" i="32"/>
  <c r="E58" i="32" s="1"/>
  <c r="C60" i="32"/>
  <c r="E60" i="32" s="1"/>
  <c r="C641" i="45" s="1"/>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C714" i="45" l="1"/>
  <c r="G715" i="45" s="1"/>
  <c r="C715" i="45" s="1"/>
  <c r="G342" i="45"/>
  <c r="C342" i="45" s="1"/>
  <c r="J125" i="45"/>
  <c r="C125" i="45" s="1"/>
  <c r="J279" i="45"/>
  <c r="C279" i="45" s="1"/>
  <c r="F33" i="46"/>
  <c r="C427" i="45"/>
  <c r="F34" i="46" s="1"/>
  <c r="C301" i="45"/>
  <c r="F19" i="46"/>
  <c r="C298" i="45"/>
  <c r="C272" i="45"/>
  <c r="J115" i="45" s="1"/>
  <c r="C115" i="45" s="1"/>
  <c r="C165" i="45"/>
  <c r="J248" i="45"/>
  <c r="J373" i="45"/>
  <c r="C373" i="45" s="1"/>
  <c r="D5" i="46"/>
  <c r="D1" i="46" s="1"/>
  <c r="G710" i="45"/>
  <c r="C710" i="45" s="1"/>
  <c r="F32" i="46" s="1"/>
  <c r="M235" i="45"/>
  <c r="C235" i="45" s="1"/>
  <c r="J677" i="45"/>
  <c r="C677" i="45" s="1"/>
  <c r="G642" i="45"/>
  <c r="C642" i="45" s="1"/>
  <c r="G457" i="45"/>
  <c r="J394" i="45"/>
  <c r="C394" i="45" s="1"/>
  <c r="G78" i="45"/>
  <c r="C78" i="45" s="1"/>
  <c r="J735" i="45"/>
  <c r="C735" i="45" s="1"/>
  <c r="G295" i="45"/>
  <c r="C295" i="45" s="1"/>
  <c r="J284" i="45"/>
  <c r="J266" i="45"/>
  <c r="J270" i="45"/>
  <c r="C270" i="45" s="1"/>
  <c r="G220" i="45"/>
  <c r="C220" i="45" s="1"/>
  <c r="G228" i="45"/>
  <c r="C228" i="45" s="1"/>
  <c r="G223" i="45"/>
  <c r="C223" i="45" s="1"/>
  <c r="J249" i="45"/>
  <c r="C249" i="45" s="1"/>
  <c r="G221" i="45"/>
  <c r="C221" i="45" s="1"/>
  <c r="G225" i="45"/>
  <c r="C225" i="45" s="1"/>
  <c r="G229" i="45"/>
  <c r="C229" i="45" s="1"/>
  <c r="G227" i="45"/>
  <c r="C227" i="45" s="1"/>
  <c r="G218" i="45"/>
  <c r="C218" i="45" s="1"/>
  <c r="G222" i="45"/>
  <c r="C222" i="45" s="1"/>
  <c r="G219" i="45"/>
  <c r="C219" i="45" s="1"/>
  <c r="C63" i="32"/>
  <c r="E63" i="32" s="1"/>
  <c r="E61" i="32"/>
  <c r="C280" i="45" s="1"/>
  <c r="J250" i="45" s="1"/>
  <c r="J4" i="1"/>
  <c r="D6" i="1"/>
  <c r="J3" i="1"/>
  <c r="K43" i="36"/>
  <c r="C8" i="32"/>
  <c r="C67" i="32" s="1"/>
  <c r="E67" i="32" s="1"/>
  <c r="C743" i="45" s="1"/>
  <c r="J53" i="45" s="1"/>
  <c r="C62" i="32"/>
  <c r="E62" i="32" s="1"/>
  <c r="C62" i="45" s="1"/>
  <c r="J5" i="1"/>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J462" i="45" l="1"/>
  <c r="C462" i="45" s="1"/>
  <c r="C53" i="45"/>
  <c r="K52" i="32" s="1"/>
  <c r="K66" i="32"/>
  <c r="J408" i="45"/>
  <c r="J436" i="45"/>
  <c r="C436" i="45" s="1"/>
  <c r="J59" i="45"/>
  <c r="J317" i="45"/>
  <c r="J740" i="45"/>
  <c r="C740" i="45" s="1"/>
  <c r="M734" i="45"/>
  <c r="C734" i="45" s="1"/>
  <c r="J738" i="45"/>
  <c r="C738" i="45" s="1"/>
  <c r="G737" i="45"/>
  <c r="C737" i="45" s="1"/>
  <c r="C483" i="45"/>
  <c r="G30" i="45" s="1"/>
  <c r="C30" i="45" s="1"/>
  <c r="J236" i="45"/>
  <c r="C238" i="45"/>
  <c r="C237" i="45"/>
  <c r="G88" i="45"/>
  <c r="C88" i="45" s="1"/>
  <c r="G252" i="45"/>
  <c r="C252" i="45" s="1"/>
  <c r="G61" i="45"/>
  <c r="C61" i="45" s="1"/>
  <c r="C259" i="45"/>
  <c r="C260" i="45"/>
  <c r="E77" i="28"/>
  <c r="I78" i="19"/>
  <c r="E78" i="19"/>
  <c r="M78" i="19"/>
  <c r="M12" i="19"/>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J58" i="45" l="1"/>
  <c r="C58" i="45" s="1"/>
  <c r="G55" i="45"/>
  <c r="C55" i="45" s="1"/>
  <c r="F10" i="46" s="1"/>
  <c r="G317" i="45"/>
  <c r="C317" i="45" s="1"/>
  <c r="C408" i="45"/>
  <c r="J56" i="45"/>
  <c r="C56" i="45" s="1"/>
  <c r="G74" i="45" s="1"/>
  <c r="C74" i="45" s="1"/>
  <c r="M52" i="45"/>
  <c r="C52" i="45" s="1"/>
  <c r="F7" i="46" s="1"/>
  <c r="F182" i="46"/>
  <c r="G739" i="45"/>
  <c r="F185" i="46"/>
  <c r="K60" i="32"/>
  <c r="M435" i="45"/>
  <c r="J441" i="45"/>
  <c r="C441" i="45" s="1"/>
  <c r="J442" i="45"/>
  <c r="G438" i="45"/>
  <c r="C438" i="45" s="1"/>
  <c r="J439" i="45"/>
  <c r="C439" i="45" s="1"/>
  <c r="G54" i="45"/>
  <c r="G69" i="45"/>
  <c r="C69" i="45" s="1"/>
  <c r="G754" i="45"/>
  <c r="C754" i="45" s="1"/>
  <c r="G733" i="45"/>
  <c r="C733" i="45" s="1"/>
  <c r="G757" i="45"/>
  <c r="C757" i="45" s="1"/>
  <c r="G736" i="45"/>
  <c r="M266" i="45"/>
  <c r="C266" i="45" s="1"/>
  <c r="J457" i="45"/>
  <c r="G250" i="45"/>
  <c r="C250" i="45" s="1"/>
  <c r="G258" i="45"/>
  <c r="C258" i="45" s="1"/>
  <c r="G50" i="36"/>
  <c r="I30" i="15"/>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K58" i="32" l="1"/>
  <c r="F81" i="46"/>
  <c r="F183" i="46"/>
  <c r="C736" i="45"/>
  <c r="C739" i="45"/>
  <c r="G410" i="45"/>
  <c r="C410" i="45" s="1"/>
  <c r="C457" i="45"/>
  <c r="C435" i="45"/>
  <c r="G57" i="45"/>
  <c r="C57" i="45" s="1"/>
  <c r="G51" i="45"/>
  <c r="C51" i="45" s="1"/>
  <c r="F6" i="46" s="1"/>
  <c r="F8" i="46"/>
  <c r="C54" i="45"/>
  <c r="F11" i="46"/>
  <c r="F195" i="46"/>
  <c r="F196" i="46"/>
  <c r="F193" i="46"/>
  <c r="F24" i="46"/>
  <c r="F25" i="46"/>
  <c r="F181" i="46"/>
  <c r="F21" i="46"/>
  <c r="F22" i="46"/>
  <c r="F184" i="46"/>
  <c r="G437" i="45"/>
  <c r="M316" i="45"/>
  <c r="K56" i="32"/>
  <c r="G319" i="45"/>
  <c r="J320" i="45"/>
  <c r="C320" i="45" s="1"/>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G434" i="45" l="1"/>
  <c r="C434" i="45" s="1"/>
  <c r="F105" i="46" s="1"/>
  <c r="G456" i="45"/>
  <c r="C456" i="45" s="1"/>
  <c r="F107" i="46"/>
  <c r="C437" i="45"/>
  <c r="F106" i="46" s="1"/>
  <c r="C319" i="45"/>
  <c r="C316" i="45"/>
  <c r="F108" i="46"/>
  <c r="G321" i="45"/>
  <c r="C321" i="45" s="1"/>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G315" i="45" l="1"/>
  <c r="C315" i="45" s="1"/>
  <c r="F62" i="46"/>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M5" i="9" l="1"/>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E31" i="7" l="1"/>
  <c r="D56" i="38"/>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F14" i="32"/>
  <c r="F15" i="32" s="1"/>
  <c r="D14" i="32"/>
  <c r="D15" i="32" s="1"/>
  <c r="J14" i="32"/>
  <c r="J15"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G62" i="36"/>
  <c r="C62" i="36" s="1"/>
  <c r="G60" i="36"/>
  <c r="C60" i="36" s="1"/>
  <c r="G57" i="32"/>
  <c r="I57" i="32" s="1"/>
  <c r="C31" i="45" s="1"/>
  <c r="G59" i="36"/>
  <c r="C59" i="36" s="1"/>
  <c r="G61" i="36"/>
  <c r="C61" i="36" s="1"/>
  <c r="G59" i="32"/>
  <c r="I59" i="32" s="1"/>
  <c r="I56" i="32"/>
  <c r="G60" i="32"/>
  <c r="I60" i="32" s="1"/>
  <c r="G63" i="36"/>
  <c r="C63" i="36" s="1"/>
  <c r="Q74" i="17"/>
  <c r="Q74" i="27"/>
  <c r="Q54" i="12"/>
  <c r="Q74" i="22"/>
  <c r="Q32" i="5"/>
  <c r="Q31" i="5"/>
  <c r="C126" i="45" l="1"/>
  <c r="G153" i="45" s="1"/>
  <c r="C153" i="45" s="1"/>
  <c r="P112" i="45"/>
  <c r="G152" i="45"/>
  <c r="C152" i="45" s="1"/>
  <c r="F12" i="46" s="1"/>
  <c r="K46" i="36"/>
  <c r="G54" i="36"/>
  <c r="G58" i="36"/>
  <c r="C58" i="36" s="1"/>
  <c r="G43" i="36"/>
  <c r="G58" i="32"/>
  <c r="I58"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Q53" i="12"/>
  <c r="Q73" i="27"/>
  <c r="Q73" i="22"/>
  <c r="Q73" i="17"/>
  <c r="K69" i="36"/>
  <c r="C263" i="45" l="1"/>
  <c r="C475" i="45"/>
  <c r="G151" i="45" s="1"/>
  <c r="C151" i="45" s="1"/>
  <c r="C242" i="45"/>
  <c r="G77" i="36"/>
  <c r="G69" i="36"/>
  <c r="C69" i="36" s="1"/>
  <c r="K28" i="38"/>
  <c r="M25" i="45" l="1"/>
  <c r="J750" i="45"/>
  <c r="C750" i="45" s="1"/>
  <c r="F20" i="46" s="1"/>
  <c r="J112" i="45"/>
  <c r="C112" i="45" s="1"/>
  <c r="F9" i="46" s="1"/>
  <c r="J564" i="45"/>
  <c r="C564" i="45" s="1"/>
  <c r="H28" i="38"/>
  <c r="E28" i="38" s="1"/>
  <c r="H2" i="38"/>
  <c r="K87" i="36"/>
  <c r="C25" i="45" l="1"/>
  <c r="J660" i="45" s="1"/>
  <c r="C660" i="45" s="1"/>
  <c r="K54" i="36"/>
  <c r="C54" i="36" s="1"/>
  <c r="K50" i="36" l="1"/>
  <c r="C50" i="36" s="1"/>
  <c r="K2" i="38"/>
  <c r="E2" i="38" s="1"/>
  <c r="K77" i="36" l="1"/>
  <c r="C77" i="36" s="1"/>
  <c r="H32" i="38" s="1"/>
  <c r="H4" i="38" l="1"/>
  <c r="H5" i="38"/>
  <c r="H6" i="38"/>
  <c r="H3" i="38"/>
  <c r="H31" i="38"/>
  <c r="H29" i="38"/>
  <c r="H30" i="38"/>
  <c r="C43" i="36" l="1"/>
  <c r="G46" i="36" s="1"/>
  <c r="C46" i="36" s="1"/>
  <c r="C87" i="36" l="1"/>
  <c r="K83" i="36" s="1"/>
  <c r="C83" i="36" s="1"/>
  <c r="K3" i="38" l="1"/>
  <c r="E3" i="38" s="1"/>
  <c r="K30" i="38"/>
  <c r="E30" i="38" s="1"/>
  <c r="K31" i="38"/>
  <c r="E31" i="38" s="1"/>
  <c r="K32" i="38"/>
  <c r="E32" i="38" s="1"/>
  <c r="K29" i="38"/>
  <c r="E29" i="38" s="1"/>
  <c r="H4" i="39"/>
  <c r="E4" i="39" s="1"/>
  <c r="K5" i="38"/>
  <c r="E5" i="38" s="1"/>
  <c r="K6" i="38"/>
  <c r="E6" i="38" s="1"/>
  <c r="K4" i="38"/>
  <c r="E4" i="38" s="1"/>
  <c r="P3" i="45"/>
  <c r="C3" i="45" s="1"/>
  <c r="G481" i="45"/>
  <c r="C481" i="45" s="1"/>
  <c r="F61" i="46" s="1"/>
  <c r="G477" i="45" l="1"/>
  <c r="C477" i="45" s="1"/>
  <c r="F57" i="46" s="1"/>
  <c r="G479" i="45"/>
  <c r="C479" i="45" s="1"/>
  <c r="F59" i="46" s="1"/>
  <c r="G478" i="45"/>
  <c r="C478" i="45" s="1"/>
  <c r="F58" i="46" s="1"/>
  <c r="G480" i="45"/>
  <c r="C480" i="45" s="1"/>
  <c r="F60" i="46" s="1"/>
  <c r="G658" i="45"/>
  <c r="G741" i="45"/>
  <c r="J420" i="45" s="1"/>
  <c r="C420" i="45" s="1"/>
  <c r="G762" i="45" l="1"/>
  <c r="K59" i="32"/>
  <c r="C658" i="45"/>
  <c r="G657" i="45" s="1"/>
  <c r="C657" i="45" s="1"/>
  <c r="M419" i="45"/>
  <c r="J423" i="45"/>
  <c r="C423" i="45" s="1"/>
  <c r="J413" i="45"/>
  <c r="C413" i="45" s="1"/>
  <c r="J426" i="45"/>
  <c r="J414" i="45"/>
  <c r="G422" i="45"/>
  <c r="C422" i="45" s="1"/>
  <c r="J425" i="45"/>
  <c r="C425" i="45" s="1"/>
  <c r="J411" i="45"/>
  <c r="C411" i="45" s="1"/>
  <c r="G535" i="45"/>
  <c r="C535" i="45" s="1"/>
  <c r="F149" i="46" s="1"/>
  <c r="G614" i="45"/>
  <c r="G455" i="45"/>
  <c r="G426" i="45"/>
  <c r="G442" i="45"/>
  <c r="C442" i="45" s="1"/>
  <c r="G335" i="45"/>
  <c r="G59" i="45"/>
  <c r="C59" i="45" s="1"/>
  <c r="G76" i="45"/>
  <c r="G106" i="45"/>
  <c r="C106" i="45" s="1"/>
  <c r="G414" i="45"/>
  <c r="G515" i="45"/>
  <c r="G732" i="45"/>
  <c r="C732" i="45" s="1"/>
  <c r="G181" i="45"/>
  <c r="C181" i="45" s="1"/>
  <c r="G731" i="45"/>
  <c r="C731" i="45" s="1"/>
  <c r="G323" i="45"/>
  <c r="G730" i="45"/>
  <c r="J518" i="45"/>
  <c r="C518" i="45" s="1"/>
  <c r="G577" i="45"/>
  <c r="G751" i="45" l="1"/>
  <c r="C762" i="45"/>
  <c r="F197" i="46" s="1"/>
  <c r="F177" i="46"/>
  <c r="C730" i="45"/>
  <c r="F174" i="46" s="1"/>
  <c r="C414" i="45"/>
  <c r="C614" i="45"/>
  <c r="C577" i="45"/>
  <c r="C515" i="45"/>
  <c r="C455" i="45"/>
  <c r="C426" i="45"/>
  <c r="G417" i="45" s="1"/>
  <c r="C417" i="45" s="1"/>
  <c r="C419" i="45"/>
  <c r="C335" i="45"/>
  <c r="C323" i="45"/>
  <c r="F26" i="46"/>
  <c r="C76" i="45"/>
  <c r="G64" i="45" s="1"/>
  <c r="C64" i="45" s="1"/>
  <c r="F178" i="46"/>
  <c r="F51" i="46"/>
  <c r="F38" i="46"/>
  <c r="F39" i="46"/>
  <c r="F179" i="46"/>
  <c r="F180" i="46"/>
  <c r="F13" i="46"/>
  <c r="F14" i="46"/>
  <c r="F200" i="46"/>
  <c r="F201" i="46"/>
  <c r="G409" i="45"/>
  <c r="C409" i="45" s="1"/>
  <c r="F82" i="46" s="1"/>
  <c r="G431" i="45"/>
  <c r="C431" i="45" s="1"/>
  <c r="G412" i="45"/>
  <c r="G752" i="45"/>
  <c r="G421" i="45"/>
  <c r="G444" i="45"/>
  <c r="F124" i="46"/>
  <c r="G753" i="45"/>
  <c r="C753" i="45" s="1"/>
  <c r="F188" i="46" s="1"/>
  <c r="G592" i="45"/>
  <c r="F175" i="46"/>
  <c r="G524" i="45"/>
  <c r="G594" i="45"/>
  <c r="C594" i="45" s="1"/>
  <c r="G440" i="45"/>
  <c r="C440" i="45" s="1"/>
  <c r="F109" i="46" s="1"/>
  <c r="G424" i="45"/>
  <c r="G523" i="45"/>
  <c r="G525" i="45"/>
  <c r="C525" i="45" s="1"/>
  <c r="G433" i="45"/>
  <c r="C433" i="45" s="1"/>
  <c r="G432" i="45"/>
  <c r="C432" i="45" s="1"/>
  <c r="G170" i="45"/>
  <c r="C170" i="45" s="1"/>
  <c r="G172" i="45"/>
  <c r="C172" i="45" s="1"/>
  <c r="G171" i="45"/>
  <c r="C171" i="45" s="1"/>
  <c r="G94" i="45"/>
  <c r="G95" i="45"/>
  <c r="C95" i="45" s="1"/>
  <c r="G96" i="45"/>
  <c r="C96" i="45" s="1"/>
  <c r="G48" i="45"/>
  <c r="C48" i="45" s="1"/>
  <c r="G50" i="45"/>
  <c r="C50" i="45" s="1"/>
  <c r="G49" i="45"/>
  <c r="C524" i="45" l="1"/>
  <c r="F139" i="46" s="1"/>
  <c r="G566" i="45"/>
  <c r="F161" i="46"/>
  <c r="G324" i="45"/>
  <c r="C324" i="45" s="1"/>
  <c r="F75" i="46"/>
  <c r="F125" i="46"/>
  <c r="F123" i="46"/>
  <c r="F140" i="46"/>
  <c r="C523" i="45"/>
  <c r="F138" i="46" s="1"/>
  <c r="G505" i="45"/>
  <c r="C505" i="45" s="1"/>
  <c r="F137" i="46"/>
  <c r="F176" i="46"/>
  <c r="F173" i="46"/>
  <c r="G312" i="45"/>
  <c r="F63" i="46"/>
  <c r="C752" i="45"/>
  <c r="F187" i="46" s="1"/>
  <c r="F189" i="46"/>
  <c r="C751" i="45"/>
  <c r="G593" i="45"/>
  <c r="C593" i="45" s="1"/>
  <c r="F163" i="46" s="1"/>
  <c r="G568" i="45"/>
  <c r="C568" i="45" s="1"/>
  <c r="F155" i="46" s="1"/>
  <c r="G567" i="45"/>
  <c r="C567" i="45" s="1"/>
  <c r="F164" i="46"/>
  <c r="C592" i="45"/>
  <c r="G504" i="45"/>
  <c r="C504" i="45" s="1"/>
  <c r="G503" i="45"/>
  <c r="C503" i="45" s="1"/>
  <c r="C566" i="45"/>
  <c r="G325" i="45"/>
  <c r="C325" i="45" s="1"/>
  <c r="F67" i="46" s="1"/>
  <c r="G65" i="45"/>
  <c r="C65" i="45" s="1"/>
  <c r="F18" i="46" s="1"/>
  <c r="G63" i="45"/>
  <c r="C63" i="45" s="1"/>
  <c r="F16" i="46" s="1"/>
  <c r="G326" i="45"/>
  <c r="C326" i="45" s="1"/>
  <c r="F68" i="46" s="1"/>
  <c r="G445" i="45"/>
  <c r="C445" i="45" s="1"/>
  <c r="F115" i="46" s="1"/>
  <c r="G446" i="45"/>
  <c r="C446" i="45" s="1"/>
  <c r="F116" i="46" s="1"/>
  <c r="F128" i="46"/>
  <c r="G418" i="45"/>
  <c r="C418" i="45" s="1"/>
  <c r="F93" i="46" s="1"/>
  <c r="F113" i="46"/>
  <c r="C444" i="45"/>
  <c r="F98" i="46"/>
  <c r="C424" i="45"/>
  <c r="F95" i="46"/>
  <c r="C421" i="45"/>
  <c r="F96" i="46" s="1"/>
  <c r="F86" i="46"/>
  <c r="C412" i="45"/>
  <c r="G313" i="45"/>
  <c r="C313" i="45" s="1"/>
  <c r="F55" i="46" s="1"/>
  <c r="G314" i="45"/>
  <c r="C314" i="45" s="1"/>
  <c r="F56" i="46" s="1"/>
  <c r="F65" i="46"/>
  <c r="F53" i="46"/>
  <c r="C312" i="45"/>
  <c r="F40" i="46"/>
  <c r="F41" i="46"/>
  <c r="C94" i="45"/>
  <c r="F28" i="46" s="1"/>
  <c r="F102" i="46"/>
  <c r="F15" i="46"/>
  <c r="F3" i="46"/>
  <c r="C49" i="45"/>
  <c r="F4" i="46" s="1"/>
  <c r="F17" i="46"/>
  <c r="F166" i="46"/>
  <c r="F167" i="46"/>
  <c r="F141" i="46"/>
  <c r="F101" i="46"/>
  <c r="F5" i="46"/>
  <c r="F131" i="46"/>
  <c r="F103" i="46"/>
  <c r="F104" i="46"/>
  <c r="F142" i="46"/>
  <c r="F143" i="46"/>
  <c r="F110" i="46"/>
  <c r="F111" i="46"/>
  <c r="F191" i="46"/>
  <c r="F192" i="46"/>
  <c r="F29" i="46"/>
  <c r="F30" i="46"/>
  <c r="F42" i="46"/>
  <c r="F43" i="46"/>
  <c r="F92" i="46"/>
  <c r="F83" i="46"/>
  <c r="F84" i="46"/>
  <c r="G404" i="45"/>
  <c r="C404" i="45" s="1"/>
  <c r="G415" i="45"/>
  <c r="F100" i="46"/>
  <c r="G405" i="45"/>
  <c r="C405" i="45" s="1"/>
  <c r="G403" i="45"/>
  <c r="G416" i="45"/>
  <c r="F130" i="46" l="1"/>
  <c r="F127" i="46"/>
  <c r="F66" i="46"/>
  <c r="F64" i="46"/>
  <c r="F87" i="46"/>
  <c r="F85" i="46"/>
  <c r="F99" i="46"/>
  <c r="F97" i="46"/>
  <c r="F153" i="46"/>
  <c r="F150" i="46"/>
  <c r="F165" i="46"/>
  <c r="F162" i="46"/>
  <c r="F94" i="46"/>
  <c r="F152" i="46"/>
  <c r="F190" i="46"/>
  <c r="F186" i="46"/>
  <c r="F54" i="46"/>
  <c r="F52" i="46"/>
  <c r="F114" i="46"/>
  <c r="F112" i="46"/>
  <c r="F129" i="46"/>
  <c r="F126" i="46"/>
  <c r="F154" i="46"/>
  <c r="F151" i="46"/>
  <c r="F77" i="46"/>
  <c r="C403" i="45"/>
  <c r="F76" i="46" s="1"/>
  <c r="C416" i="45"/>
  <c r="F91" i="46" s="1"/>
  <c r="F89" i="46"/>
  <c r="C415" i="45"/>
  <c r="F79" i="46"/>
  <c r="F80" i="46"/>
  <c r="F78" i="46"/>
  <c r="F90" i="46" l="1"/>
  <c r="F88" i="46"/>
  <c r="G460" i="45" l="1"/>
  <c r="C460" i="45" s="1"/>
  <c r="G284" i="45" l="1"/>
  <c r="C284" i="45" s="1"/>
  <c r="F23" i="46" s="1"/>
  <c r="F1" i="46" s="1"/>
  <c r="F27" i="46"/>
  <c r="H5" i="46" l="1"/>
  <c r="H7" i="46"/>
  <c r="H3" i="46"/>
  <c r="H4" i="46"/>
  <c r="H2" i="46"/>
  <c r="H6" i="4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400-000001000000}">
      <text>
        <r>
          <rPr>
            <b/>
            <sz val="9"/>
            <color indexed="81"/>
            <rFont val="Tahoma"/>
            <family val="2"/>
          </rPr>
          <t xml:space="preserve">Multiplo por el cual se valora el valor de la materia prima en base al tier,
</t>
        </r>
      </text>
    </comment>
    <comment ref="N3" authorId="0" shapeId="0" xr:uid="{00000000-0006-0000-0400-000002000000}">
      <text>
        <r>
          <rPr>
            <b/>
            <sz val="9"/>
            <color indexed="81"/>
            <rFont val="Tahoma"/>
            <charset val="1"/>
          </rPr>
          <t>Este valor define el multiplo de los tiers!
Valores que modifica:
- requisitos 
- stats
- valor de venta</t>
        </r>
      </text>
    </comment>
    <comment ref="C10" authorId="0" shapeId="0" xr:uid="{00000000-0006-0000-0400-000003000000}">
      <text>
        <r>
          <rPr>
            <b/>
            <sz val="9"/>
            <color indexed="81"/>
            <rFont val="Tahoma"/>
            <family val="2"/>
          </rPr>
          <t>Tiempo en el que se tarda en recolectar 1 stack</t>
        </r>
      </text>
    </comment>
    <comment ref="C11" authorId="0" shapeId="0" xr:uid="{00000000-0006-0000-0400-000004000000}">
      <text>
        <r>
          <rPr>
            <b/>
            <sz val="9"/>
            <color indexed="81"/>
            <rFont val="Tahoma"/>
            <family val="2"/>
          </rPr>
          <t>el 64 representa el Stack</t>
        </r>
      </text>
    </comment>
    <comment ref="D12" authorId="0" shapeId="0" xr:uid="{00000000-0006-0000-04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400-000006000000}">
      <text>
        <r>
          <rPr>
            <b/>
            <sz val="9"/>
            <color indexed="81"/>
            <rFont val="Tahoma"/>
            <family val="2"/>
          </rPr>
          <t xml:space="preserve">Tomado del costo total
del set comun,
</t>
        </r>
      </text>
    </comment>
    <comment ref="D13" authorId="0" shapeId="0" xr:uid="{00000000-0006-0000-0400-000007000000}">
      <text>
        <r>
          <rPr>
            <b/>
            <sz val="9"/>
            <color indexed="81"/>
            <rFont val="Tahoma"/>
            <family val="2"/>
          </rPr>
          <t>COBBLESTONE</t>
        </r>
      </text>
    </comment>
    <comment ref="F13" authorId="0" shapeId="0" xr:uid="{00000000-0006-0000-0400-000008000000}">
      <text>
        <r>
          <rPr>
            <b/>
            <sz val="9"/>
            <color indexed="81"/>
            <rFont val="Tahoma"/>
            <family val="2"/>
          </rPr>
          <t>TRONCO OAK</t>
        </r>
      </text>
    </comment>
    <comment ref="H13" authorId="0" shapeId="0" xr:uid="{00000000-0006-0000-0400-000009000000}">
      <text>
        <r>
          <rPr>
            <sz val="9"/>
            <color indexed="81"/>
            <rFont val="Tahoma"/>
            <family val="2"/>
          </rPr>
          <t xml:space="preserve">POTATO
</t>
        </r>
      </text>
    </comment>
    <comment ref="J13" authorId="0" shapeId="0" xr:uid="{00000000-0006-0000-0400-00000A000000}">
      <text>
        <r>
          <rPr>
            <b/>
            <sz val="9"/>
            <color indexed="81"/>
            <rFont val="Tahoma"/>
            <family val="2"/>
          </rPr>
          <t>CHICKEN</t>
        </r>
      </text>
    </comment>
    <comment ref="B14" authorId="0" shapeId="0" xr:uid="{00000000-0006-0000-0400-00000B000000}">
      <text>
        <r>
          <rPr>
            <b/>
            <sz val="9"/>
            <color indexed="81"/>
            <rFont val="Tahoma"/>
            <family val="2"/>
          </rPr>
          <t>Tiempo estimado
en el que se pretende
recolectar ese dinero</t>
        </r>
      </text>
    </comment>
    <comment ref="B16" authorId="0" shapeId="0" xr:uid="{00000000-0006-0000-0400-00000C000000}">
      <text>
        <r>
          <rPr>
            <b/>
            <sz val="9"/>
            <color indexed="81"/>
            <rFont val="Tahoma"/>
            <family val="2"/>
          </rPr>
          <t xml:space="preserve">ESTE ES EL VALOR INICIAL DE TODA LA ECONOMIA,
</t>
        </r>
      </text>
    </comment>
    <comment ref="C17" authorId="0" shapeId="0" xr:uid="{00000000-0006-0000-04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00000000-0006-0000-0700-000001000000}">
      <text>
        <r>
          <rPr>
            <b/>
            <sz val="9"/>
            <color indexed="81"/>
            <rFont val="Tahoma"/>
            <charset val="1"/>
          </rPr>
          <t>Rickter</t>
        </r>
      </text>
    </comment>
    <comment ref="C2" authorId="0" shapeId="0" xr:uid="{00000000-0006-0000-0700-000002000000}">
      <text>
        <r>
          <rPr>
            <b/>
            <sz val="9"/>
            <color indexed="81"/>
            <rFont val="Tahoma"/>
            <charset val="1"/>
          </rPr>
          <t>Aloys</t>
        </r>
      </text>
    </comment>
    <comment ref="E2" authorId="0" shapeId="0" xr:uid="{00000000-0006-0000-0700-000003000000}">
      <text>
        <r>
          <rPr>
            <b/>
            <sz val="9"/>
            <color indexed="81"/>
            <rFont val="Tahoma"/>
            <charset val="1"/>
          </rPr>
          <t>Bronson</t>
        </r>
      </text>
    </comment>
    <comment ref="G2" authorId="0" shapeId="0" xr:uid="{00000000-0006-0000-0700-000004000000}">
      <text>
        <r>
          <rPr>
            <b/>
            <sz val="9"/>
            <color indexed="81"/>
            <rFont val="Tahoma"/>
            <charset val="1"/>
          </rPr>
          <t>Brayton</t>
        </r>
      </text>
    </comment>
    <comment ref="I2" authorId="0" shapeId="0" xr:uid="{00000000-0006-0000-0700-000005000000}">
      <text>
        <r>
          <rPr>
            <b/>
            <sz val="9"/>
            <color indexed="81"/>
            <rFont val="Tahoma"/>
            <charset val="1"/>
          </rPr>
          <t>Jurian</t>
        </r>
      </text>
    </comment>
    <comment ref="K2" authorId="0" shapeId="0" xr:uid="{00000000-0006-0000-0700-000006000000}">
      <text>
        <r>
          <rPr>
            <b/>
            <sz val="9"/>
            <color indexed="81"/>
            <rFont val="Tahoma"/>
            <charset val="1"/>
          </rPr>
          <t>Mack</t>
        </r>
      </text>
    </comment>
    <comment ref="M2" authorId="0" shapeId="0" xr:uid="{00000000-0006-0000-0700-000007000000}">
      <text>
        <r>
          <rPr>
            <b/>
            <sz val="9"/>
            <color indexed="81"/>
            <rFont val="Tahoma"/>
            <charset val="1"/>
          </rPr>
          <t>Ladislao</t>
        </r>
      </text>
    </comment>
    <comment ref="O2" authorId="0" shapeId="0" xr:uid="{00000000-0006-0000-0700-00000800000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<sst xmlns="http://schemas.openxmlformats.org/spreadsheetml/2006/main" count="11801" uniqueCount="1429">
  <si>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</si>
  <si>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</si>
  <si>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</si>
  <si>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</si>
  <si>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</si>
  <si>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</si>
  <si>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</si>
  <si>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</si>
  <si>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</si>
  <si>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</si>
  <si>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</si>
  <si>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</si>
  <si>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</si>
  <si>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</si>
  <si>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</si>
  <si>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</si>
  <si>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</si>
  <si>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</si>
  <si>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</si>
  <si>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</si>
  <si>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</si>
  <si>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</si>
  <si>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</si>
  <si>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</si>
  <si>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</si>
  <si>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</si>
  <si>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</si>
  <si>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</si>
  <si>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</si>
  <si>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</si>
  <si>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</si>
  <si>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</si>
  <si>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</si>
  <si>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</si>
  <si>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</si>
  <si>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</si>
  <si>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</si>
  <si>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</si>
  <si>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</si>
  <si>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</si>
  <si>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</si>
  <si>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</si>
  <si>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</si>
  <si>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</si>
  <si>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</si>
  <si>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</si>
  <si>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</si>
  <si>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</si>
  <si>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</si>
  <si>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</si>
  <si>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</si>
  <si>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</si>
  <si>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</si>
  <si>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</si>
  <si>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</si>
  <si>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</si>
  <si>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</si>
  <si>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</si>
  <si>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</si>
  <si>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</si>
  <si>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</si>
  <si>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</si>
  <si>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</si>
  <si>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</si>
  <si>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</si>
  <si>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</si>
  <si>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</si>
  <si>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</si>
  <si>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</si>
  <si>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</si>
  <si>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</si>
  <si>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</si>
  <si>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</si>
  <si>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</si>
  <si>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</si>
  <si>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</si>
  <si>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</si>
  <si>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</si>
  <si>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</si>
  <si>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</si>
  <si>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</si>
  <si>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</si>
  <si>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</si>
  <si>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</si>
  <si>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</si>
  <si>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</si>
  <si>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</si>
  <si>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</si>
  <si>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</si>
  <si>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</si>
  <si>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</si>
  <si>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</si>
  <si>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</si>
  <si>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</si>
  <si>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</si>
  <si>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</si>
  <si>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</si>
  <si>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</si>
  <si>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</si>
  <si>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</si>
  <si>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</si>
  <si>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</si>
  <si>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</si>
  <si>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</si>
  <si>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</si>
  <si>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</si>
  <si>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</si>
  <si>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</si>
  <si>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</si>
  <si>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</si>
  <si>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</si>
  <si>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</si>
  <si>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</si>
  <si>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</si>
  <si>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</si>
  <si>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</si>
  <si>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</si>
  <si>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</si>
  <si>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</si>
  <si>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</si>
  <si>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</si>
  <si>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</si>
  <si>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</si>
  <si>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arena</t>
  </si>
  <si>
    <t>cuarzo, glowstone, gold, emerald</t>
  </si>
  <si>
    <t>arcilla, redstone, redsand, iron</t>
  </si>
  <si>
    <t>Oak</t>
  </si>
  <si>
    <t>Spruce</t>
  </si>
  <si>
    <t>Birch</t>
  </si>
  <si>
    <t>Jungle</t>
  </si>
  <si>
    <t>Acarcia</t>
  </si>
  <si>
    <t>DarkOak</t>
  </si>
  <si>
    <t>Potato</t>
  </si>
  <si>
    <t>Chicken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</si>
  <si>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</si>
  <si>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</si>
  <si>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</si>
  <si>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</si>
  <si>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</si>
  <si>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</si>
  <si>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</si>
  <si>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</si>
  <si>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</si>
  <si>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</si>
  <si>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</si>
  <si>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</si>
  <si>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</si>
  <si>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</si>
  <si>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</si>
  <si>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</si>
  <si>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</si>
  <si>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</si>
  <si>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</si>
  <si>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</si>
  <si>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</si>
  <si>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</si>
  <si>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</si>
  <si>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</si>
  <si>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</si>
  <si>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</si>
  <si>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</si>
  <si>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</si>
  <si>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</si>
  <si>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</si>
  <si>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</si>
  <si>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</si>
  <si>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</si>
  <si>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</si>
  <si>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</si>
  <si>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ARENA</t>
  </si>
  <si>
    <t>OAK LOG</t>
  </si>
  <si>
    <t>SPRUCE LOG</t>
  </si>
  <si>
    <t>BIRCH LOG</t>
  </si>
  <si>
    <t>JUNGLE LOG</t>
  </si>
  <si>
    <t>ACARCIA LOG</t>
  </si>
  <si>
    <t>DARKOAK LOG</t>
  </si>
  <si>
    <t>REDSTONE DUST</t>
  </si>
  <si>
    <t>ARCILLA</t>
  </si>
  <si>
    <t>QUARZO</t>
  </si>
  <si>
    <t>REDSAND</t>
  </si>
  <si>
    <t>EMERALD</t>
  </si>
  <si>
    <t>OBSIDIAN</t>
  </si>
  <si>
    <t>CARROT</t>
  </si>
  <si>
    <t>CANE</t>
  </si>
  <si>
    <t>WHEAT</t>
  </si>
  <si>
    <t>BEETROOT</t>
  </si>
  <si>
    <t>PUMPKIN</t>
  </si>
  <si>
    <t>MUSHROOM</t>
  </si>
  <si>
    <t>CHICKEN</t>
  </si>
  <si>
    <t>PORKCHOP</t>
  </si>
  <si>
    <t>RABBIT</t>
  </si>
  <si>
    <t>STEACK</t>
  </si>
  <si>
    <t>ALMAKOS REALES DE TODA LA MATERIA PRIMA</t>
  </si>
  <si>
    <t>PRECIO DE CADA ARTICULO</t>
  </si>
  <si>
    <t>PRECIO</t>
  </si>
  <si>
    <t>NOMBRE</t>
  </si>
  <si>
    <t>17:1</t>
  </si>
  <si>
    <t>17:2</t>
  </si>
  <si>
    <t>17:3</t>
  </si>
  <si>
    <t>44:3</t>
  </si>
  <si>
    <t>162:1</t>
  </si>
  <si>
    <t>GLOWSTONE DUST</t>
  </si>
  <si>
    <t>ninguno</t>
  </si>
  <si>
    <t>TINTES</t>
  </si>
  <si>
    <t>NETHER RACK</t>
  </si>
  <si>
    <t>PROFESIONES</t>
  </si>
  <si>
    <t>ACCION 1</t>
  </si>
  <si>
    <t>ACCION 2</t>
  </si>
  <si>
    <t>ACCION 3</t>
  </si>
  <si>
    <t>TOTAL ACCIONES</t>
  </si>
  <si>
    <t>ACCION 4</t>
  </si>
  <si>
    <t>CHORUS FRUIT</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</si>
  <si>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</si>
  <si>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</si>
  <si>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</si>
  <si>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</si>
  <si>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</si>
  <si>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</si>
  <si>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</si>
  <si>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</si>
  <si>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</si>
  <si>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</si>
  <si>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</si>
  <si>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</si>
  <si>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</si>
  <si>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</si>
  <si>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</si>
  <si>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</si>
  <si>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</si>
  <si>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</si>
  <si>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</si>
  <si>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</si>
  <si>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</si>
  <si>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</si>
  <si>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</si>
  <si>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PRISMARINE</t>
  </si>
  <si>
    <t>NETHER WART</t>
  </si>
  <si>
    <t xml:space="preserve">  - '%materiallore%'</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</si>
  <si>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</si>
  <si>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</si>
  <si>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</si>
  <si>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</si>
  <si>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</si>
  <si>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</si>
  <si>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</si>
  <si>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</si>
  <si>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</si>
  <si>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</si>
  <si>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</si>
  <si>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</si>
  <si>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</si>
  <si>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</si>
  <si>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</si>
  <si>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</si>
  <si>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</si>
  <si>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</si>
  <si>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</si>
  <si>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</si>
  <si>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</si>
  <si>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</si>
  <si>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</si>
  <si>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</si>
  <si>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</si>
  <si>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</si>
  <si>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</si>
  <si>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</si>
  <si>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</si>
  <si>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</si>
  <si>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</si>
  <si>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</si>
  <si>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</si>
  <si>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</si>
  <si>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</si>
  <si>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</si>
  <si>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</si>
  <si>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</si>
  <si>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</si>
  <si>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</si>
  <si>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</si>
  <si>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</si>
  <si>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</si>
  <si>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</si>
  <si>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</si>
  <si>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</si>
  <si>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</si>
  <si>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</si>
  <si>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</si>
  <si>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</si>
  <si>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</si>
  <si>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</si>
  <si>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</si>
  <si>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</si>
  <si>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</si>
  <si>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</si>
  <si>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</si>
  <si>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</si>
  <si>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</si>
  <si>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</si>
  <si>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</si>
  <si>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</si>
  <si>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</si>
  <si>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</si>
  <si>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</si>
  <si>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</si>
  <si>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</si>
  <si>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</si>
  <si>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</si>
  <si>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</si>
  <si>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</si>
  <si>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</si>
  <si>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</si>
  <si>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</si>
  <si>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</si>
  <si>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</si>
  <si>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</si>
  <si>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</si>
  <si>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</si>
  <si>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</si>
  <si>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</si>
  <si>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</si>
  <si>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</si>
  <si>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</si>
  <si>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</si>
  <si>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</si>
  <si>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</si>
  <si>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</si>
  <si>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</si>
  <si>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</si>
  <si>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</si>
  <si>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</si>
  <si>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</si>
  <si>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</si>
  <si>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</si>
  <si>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</si>
  <si>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</si>
  <si>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</si>
  <si>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</si>
  <si>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</si>
  <si>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</si>
  <si>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</si>
  <si>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</si>
  <si>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</si>
  <si>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</si>
  <si>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</si>
  <si>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</si>
  <si>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</si>
  <si>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</si>
  <si>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</si>
  <si>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</si>
  <si>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</si>
  <si>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</si>
  <si>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</si>
  <si>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</si>
  <si>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</si>
  <si>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</si>
  <si>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</si>
  <si>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</si>
  <si>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</si>
  <si>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</si>
  <si>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</si>
  <si>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</si>
  <si>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</si>
  <si>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</si>
  <si>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</si>
  <si>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</si>
  <si>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</si>
  <si>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</si>
  <si>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</si>
  <si>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</si>
  <si>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</si>
  <si>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</si>
  <si>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</si>
  <si>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</si>
  <si>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</si>
  <si>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</si>
  <si>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</si>
  <si>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</si>
  <si>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</si>
  <si>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</si>
  <si>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</si>
  <si>
    <t>Lores SkillApi</t>
  </si>
  <si>
    <t>Probabilidad de Critico: 25%</t>
  </si>
  <si>
    <t>Daño de Critico: 25%</t>
  </si>
  <si>
    <t>Alcanse en Area: 1</t>
  </si>
  <si>
    <t>Vida por Golpe: 2%</t>
  </si>
  <si>
    <t>Vida por Muerte: 2%</t>
  </si>
  <si>
    <t>100critLore</t>
  </si>
  <si>
    <t>critLore</t>
  </si>
  <si>
    <t xml:space="preserve"> AOELore</t>
  </si>
  <si>
    <t>Lifesteal</t>
  </si>
  <si>
    <t>Vidamuerte</t>
  </si>
  <si>
    <t>PASIVAS</t>
  </si>
  <si>
    <t>DESCRIPCION</t>
  </si>
  <si>
    <t>Aceleración mortal</t>
  </si>
  <si>
    <r>
      <t>Consumir un cadáver aumenta tu velocidad de movimiento un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</si>
  <si>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Prisión de huesos</t>
  </si>
  <si>
    <t>Cosecha rápida</t>
  </si>
  <si>
    <t>Rigor mortis</t>
  </si>
  <si>
    <t>Cosecha oscura</t>
  </si>
  <si>
    <r>
      <t>Mientras usas una guadaña, obtienes un </t>
    </r>
    <r>
      <rPr>
        <sz val="9"/>
        <color rgb="FF8BD442"/>
        <rFont val="Arial"/>
        <family val="2"/>
      </rPr>
      <t>2%</t>
    </r>
    <r>
      <rPr>
        <sz val="9"/>
        <color rgb="FFA99877"/>
        <rFont val="Arial"/>
        <family val="2"/>
      </rPr>
      <t> de esencia y de vida por muerte.</t>
    </r>
  </si>
  <si>
    <t>Plaga de maldiciones</t>
  </si>
  <si>
    <r>
      <t>Recibes un </t>
    </r>
    <r>
      <rPr>
        <sz val="9"/>
        <color rgb="FF8BD442"/>
        <rFont val="Arial"/>
        <family val="2"/>
      </rPr>
      <t>1%</t>
    </r>
    <r>
      <rPr>
        <sz val="9"/>
        <color rgb="FFA99877"/>
        <rFont val="Arial"/>
        <family val="2"/>
      </rPr>
      <t> de bonus de daño por cada enemigo afectado por una de tus maldiciones.</t>
    </r>
  </si>
  <si>
    <t>Robar vida</t>
  </si>
  <si>
    <t>Sangre por sangre</t>
  </si>
  <si>
    <r>
      <t>Recoger una esfera de salud elimina el coste de vida del próximo hechizo de sangre. Este efecto puede acumularse hasta </t>
    </r>
    <r>
      <rPr>
        <sz val="9"/>
        <color rgb="FF8BD442"/>
        <rFont val="Arial"/>
        <family val="2"/>
      </rPr>
      <t>10</t>
    </r>
    <r>
      <rPr>
        <sz val="9"/>
        <color rgb="FFA99877"/>
        <rFont val="Arial"/>
        <family val="2"/>
      </rPr>
      <t> veces.</t>
    </r>
  </si>
  <si>
    <t>Escudo de Rathma</t>
  </si>
  <si>
    <t>Furor de la caza</t>
  </si>
  <si>
    <t>Depredador</t>
  </si>
  <si>
    <r>
      <t>Aumenta un </t>
    </r>
    <r>
      <rPr>
        <sz val="9"/>
        <color rgb="FF8BD442"/>
        <rFont val="Arial"/>
        <family val="2"/>
      </rPr>
      <t>20%</t>
    </r>
    <r>
      <rPr>
        <sz val="9"/>
        <color rgb="FFA99877"/>
        <rFont val="Arial"/>
        <family val="2"/>
      </rPr>
      <t> el daño infligido a enemigos ralentizados o helados.</t>
    </r>
  </si>
  <si>
    <t>Puntería</t>
  </si>
  <si>
    <t>Emboscada</t>
  </si>
  <si>
    <r>
      <t>Infliges un </t>
    </r>
    <r>
      <rPr>
        <sz val="9"/>
        <color rgb="FF8BD442"/>
        <rFont val="Arial"/>
        <family val="2"/>
      </rPr>
      <t>40%</t>
    </r>
    <r>
      <rPr>
        <sz val="9"/>
        <color rgb="FFA99877"/>
        <rFont val="Arial"/>
        <family val="2"/>
      </rPr>
      <t> más de daño a los enemigos cuya salud es superior al </t>
    </r>
    <r>
      <rPr>
        <sz val="9"/>
        <color rgb="FF8BD442"/>
        <rFont val="Arial"/>
        <family val="2"/>
      </rPr>
      <t>75%</t>
    </r>
    <r>
      <rPr>
        <sz val="9"/>
        <color rgb="FFA99877"/>
        <rFont val="Arial"/>
        <family val="2"/>
      </rPr>
      <t>.</t>
    </r>
  </si>
  <si>
    <t>PRIMARIAS</t>
  </si>
  <si>
    <r>
      <t>12 Recurso
Golpeas al frente con una guadaña, lo que inflige un </t>
    </r>
    <r>
      <rPr>
        <sz val="9"/>
        <color rgb="FF8BD442"/>
        <rFont val="Arial"/>
        <family val="2"/>
      </rPr>
      <t>150%</t>
    </r>
    <r>
      <rPr>
        <sz val="9"/>
        <color rgb="FFA99877"/>
        <rFont val="Arial"/>
        <family val="2"/>
      </rPr>
      <t> de daño de arma como daño físico.</t>
    </r>
  </si>
  <si>
    <t>Filo macabro</t>
  </si>
  <si>
    <t>Esquirla</t>
  </si>
  <si>
    <r>
      <t>Golpea un enemigo cortando sus huesos en dos esquirlas causando </t>
    </r>
    <r>
      <rPr>
        <sz val="9"/>
        <color rgb="FF8BD442"/>
        <rFont val="Arial"/>
        <family val="2"/>
      </rPr>
      <t>190%</t>
    </r>
    <r>
      <rPr>
        <sz val="9"/>
        <color rgb="FFA99877"/>
        <rFont val="Arial"/>
        <family val="2"/>
      </rPr>
      <t> de daño de arma como daño de veneno a los enemigos con los que entren en contacto.</t>
    </r>
  </si>
  <si>
    <t>Absorber sangre</t>
  </si>
  <si>
    <t>SECUNDARIAS</t>
  </si>
  <si>
    <t>Fuego rápido</t>
  </si>
  <si>
    <t>Lanza ósea</t>
  </si>
  <si>
    <r>
      <t>Coste:</t>
    </r>
    <r>
      <rPr>
        <sz val="9"/>
        <color rgb="FFA99877"/>
        <rFont val="Arial"/>
        <family val="2"/>
      </rPr>
      <t> </t>
    </r>
    <r>
      <rPr>
        <sz val="9"/>
        <color rgb="FF8BD442"/>
        <rFont val="Arial"/>
        <family val="2"/>
      </rPr>
      <t>20</t>
    </r>
    <r>
      <rPr>
        <sz val="9"/>
        <color rgb="FFA99877"/>
        <rFont val="Arial"/>
        <family val="2"/>
      </rPr>
      <t> p. de esencia
Invoca un proyectil que perfora e inflige un 500% de daño de arma como daño físico a todos los enemigos a los que atraviesa.</t>
    </r>
  </si>
  <si>
    <t>Abrazo de los muertos</t>
  </si>
  <si>
    <r>
      <t>Del suelo surgen unas manos cadavéricas que reducen la velocidad de movimiento de los enemigos un </t>
    </r>
    <r>
      <rPr>
        <sz val="9"/>
        <color rgb="FF8BD442"/>
        <rFont val="Arial"/>
        <family val="2"/>
      </rPr>
      <t>60%</t>
    </r>
    <r>
      <rPr>
        <sz val="9"/>
        <color rgb="FFA99877"/>
        <rFont val="Arial"/>
        <family val="2"/>
      </rPr>
      <t> y les infligen un </t>
    </r>
    <r>
      <rPr>
        <sz val="9"/>
        <color rgb="FF8BD442"/>
        <rFont val="Arial"/>
        <family val="2"/>
      </rPr>
      <t>760%</t>
    </r>
    <r>
      <rPr>
        <sz val="9"/>
        <color rgb="FFA99877"/>
        <rFont val="Arial"/>
        <family val="2"/>
      </rPr>
      <t> de daño de arma como daño físico durante </t>
    </r>
    <r>
      <rPr>
        <sz val="9"/>
        <color rgb="FF8BD442"/>
        <rFont val="Arial"/>
        <family val="2"/>
      </rPr>
      <t>8</t>
    </r>
    <r>
      <rPr>
        <sz val="9"/>
        <color rgb="FFA99877"/>
        <rFont val="Arial"/>
        <family val="2"/>
      </rPr>
      <t> s.</t>
    </r>
  </si>
  <si>
    <t>Decrepitud</t>
  </si>
  <si>
    <r>
      <t>Una maldición incapacitante que reduce la velocidad de movimiento de las unidades enemigas un </t>
    </r>
    <r>
      <rPr>
        <sz val="9"/>
        <color rgb="FF8BD442"/>
        <rFont val="Arial"/>
        <family val="2"/>
      </rPr>
      <t>75%</t>
    </r>
    <r>
      <rPr>
        <sz val="9"/>
        <color rgb="FFA99877"/>
        <rFont val="Arial"/>
        <family val="2"/>
      </rPr>
      <t> y el daño que infligen los enemigos afectados un </t>
    </r>
    <r>
      <rPr>
        <sz val="9"/>
        <color rgb="FF8BD442"/>
        <rFont val="Arial"/>
        <family val="2"/>
      </rPr>
      <t>30%</t>
    </r>
    <r>
      <rPr>
        <sz val="9"/>
        <color rgb="FFA99877"/>
        <rFont val="Arial"/>
        <family val="2"/>
      </rPr>
      <t> durante </t>
    </r>
    <r>
      <rPr>
        <sz val="9"/>
        <color rgb="FF8BD442"/>
        <rFont val="Arial"/>
        <family val="2"/>
      </rPr>
      <t>30</t>
    </r>
    <r>
      <rPr>
        <sz val="9"/>
        <color rgb="FFA99877"/>
        <rFont val="Arial"/>
        <family val="2"/>
      </rPr>
      <t> s.</t>
    </r>
  </si>
  <si>
    <t>Parasitar</t>
  </si>
  <si>
    <r>
      <t>Maldice el área seleccionada. Los enemigos malditos curan al atacante un </t>
    </r>
    <r>
      <rPr>
        <sz val="9"/>
        <color rgb="FF8BD442"/>
        <rFont val="Arial"/>
        <family val="2"/>
      </rPr>
      <t>2%</t>
    </r>
    <r>
      <rPr>
        <sz val="9"/>
        <color rgb="FFA99877"/>
        <rFont val="Arial"/>
        <family val="2"/>
      </rPr>
      <t> de su vida total cuando son golpeados. Dura </t>
    </r>
    <r>
      <rPr>
        <sz val="9"/>
        <color rgb="FF8BD442"/>
        <rFont val="Arial"/>
        <family val="2"/>
      </rPr>
      <t>30</t>
    </r>
    <r>
      <rPr>
        <sz val="9"/>
        <color rgb="FFA99877"/>
        <rFont val="Arial"/>
        <family val="2"/>
      </rPr>
      <t> s.</t>
    </r>
  </si>
  <si>
    <t>Fragilidad</t>
  </si>
  <si>
    <r>
      <t>Una maldición incapacitante que daña un 300% y se incremente un 5% por enemigo en area. Dura </t>
    </r>
    <r>
      <rPr>
        <sz val="9"/>
        <color rgb="FF8BD442"/>
        <rFont val="Arial"/>
        <family val="2"/>
      </rPr>
      <t>30</t>
    </r>
    <r>
      <rPr>
        <sz val="9"/>
        <color rgb="FFA99877"/>
        <rFont val="Arial"/>
        <family val="2"/>
      </rPr>
      <t> s.</t>
    </r>
  </si>
  <si>
    <t>Armadura de hueso</t>
  </si>
  <si>
    <r>
      <t>Arranca huesos de enemigos cercanos, lo que les inflige un </t>
    </r>
    <r>
      <rPr>
        <sz val="9"/>
        <color rgb="FF8BD442"/>
        <rFont val="Arial"/>
        <family val="2"/>
      </rPr>
      <t>125%</t>
    </r>
    <r>
      <rPr>
        <sz val="9"/>
        <color rgb="FFA99877"/>
        <rFont val="Arial"/>
        <family val="2"/>
      </rPr>
      <t> de daño de arma como daño físico y crea una armadura que reduce el daño sufrido un </t>
    </r>
    <r>
      <rPr>
        <sz val="9"/>
        <color rgb="FF8BD442"/>
        <rFont val="Arial"/>
        <family val="2"/>
      </rPr>
      <t>3%</t>
    </r>
    <r>
      <rPr>
        <sz val="9"/>
        <color rgb="FFA99877"/>
        <rFont val="Arial"/>
        <family val="2"/>
      </rPr>
      <t> por enemigo golpeado, hasta un máximo de </t>
    </r>
    <r>
      <rPr>
        <sz val="9"/>
        <color rgb="FF8BD442"/>
        <rFont val="Arial"/>
        <family val="2"/>
      </rPr>
      <t>10</t>
    </r>
    <r>
      <rPr>
        <sz val="9"/>
        <color rgb="FFA99877"/>
        <rFont val="Arial"/>
        <family val="2"/>
      </rPr>
      <t>enemigos. Dura </t>
    </r>
    <r>
      <rPr>
        <sz val="9"/>
        <color rgb="FF8BD442"/>
        <rFont val="Arial"/>
        <family val="2"/>
      </rPr>
      <t>60</t>
    </r>
    <r>
      <rPr>
        <sz val="9"/>
        <color rgb="FFA99877"/>
        <rFont val="Arial"/>
        <family val="2"/>
      </rPr>
      <t> s.</t>
    </r>
  </si>
  <si>
    <t>TERCEARIAS</t>
  </si>
  <si>
    <t>CUARTAS</t>
  </si>
  <si>
    <t>Transmutación sanguínea</t>
  </si>
  <si>
    <r>
      <t>Te desligas de tu carne mortal y reapareces hasta </t>
    </r>
    <r>
      <rPr>
        <sz val="9"/>
        <color rgb="FF8BD442"/>
        <rFont val="Arial"/>
        <family val="2"/>
      </rPr>
      <t>50</t>
    </r>
    <r>
      <rPr>
        <sz val="9"/>
        <color rgb="FFA99877"/>
        <rFont val="Arial"/>
        <family val="2"/>
      </rPr>
      <t xml:space="preserve"> m más lejos.
Coste: 5% de vida
</t>
    </r>
  </si>
  <si>
    <t>Cuesta 50% de tu vida e incrementa un 600% de daño de tus habilidades secundarias</t>
  </si>
  <si>
    <t>Poder de las sombras</t>
  </si>
  <si>
    <r>
      <t>Absorbe el poder de las sombras, lo que te otorga </t>
    </r>
    <r>
      <rPr>
        <sz val="9"/>
        <color rgb="FF8BD442"/>
        <rFont val="Arial"/>
        <family val="2"/>
      </rPr>
      <t>26.821</t>
    </r>
    <r>
      <rPr>
        <sz val="9"/>
        <color rgb="FFA99877"/>
        <rFont val="Arial"/>
        <family val="2"/>
      </rPr>
      <t> p. de vida por golpe durante </t>
    </r>
    <r>
      <rPr>
        <sz val="9"/>
        <color rgb="FF8BD442"/>
        <rFont val="Arial"/>
        <family val="2"/>
      </rPr>
      <t>5</t>
    </r>
    <r>
      <rPr>
        <sz val="9"/>
        <color rgb="FFA99877"/>
        <rFont val="Arial"/>
        <family val="2"/>
      </rPr>
      <t> s.
La vida por golpe aumenta un 25% de tu vida por muerte</t>
    </r>
  </si>
  <si>
    <t>Marcado para morir</t>
  </si>
  <si>
    <r>
      <t>Marca a un objetivo. El enemigo marcado sufre un </t>
    </r>
    <r>
      <rPr>
        <sz val="9"/>
        <color rgb="FF8BD442"/>
        <rFont val="Arial"/>
        <family val="2"/>
      </rPr>
      <t>15%</t>
    </r>
    <r>
      <rPr>
        <sz val="9"/>
        <color rgb="FFA99877"/>
        <rFont val="Arial"/>
        <family val="2"/>
      </rPr>
      <t> más de daño durante los siguientes </t>
    </r>
    <r>
      <rPr>
        <sz val="9"/>
        <color rgb="FF8BD442"/>
        <rFont val="Arial"/>
        <family val="2"/>
      </rPr>
      <t>30</t>
    </r>
    <r>
      <rPr>
        <sz val="9"/>
        <color rgb="FFA99877"/>
        <rFont val="Arial"/>
        <family val="2"/>
      </rPr>
      <t> s.</t>
    </r>
  </si>
  <si>
    <r>
      <t>Coste:</t>
    </r>
    <r>
      <rPr>
        <sz val="9"/>
        <color rgb="FFA99877"/>
        <rFont val="Arial"/>
        <family val="2"/>
      </rPr>
      <t> </t>
    </r>
    <r>
      <rPr>
        <sz val="9"/>
        <color rgb="FF8BD442"/>
        <rFont val="Arial"/>
        <family val="2"/>
      </rPr>
      <t xml:space="preserve">10% </t>
    </r>
    <r>
      <rPr>
        <sz val="9"/>
        <color rgb="FFA99877"/>
        <rFont val="Arial"/>
        <family val="2"/>
      </rPr>
      <t xml:space="preserve">vida
Disparas rápidamente e infliges un 685% de daño de arma como daño físico.
Se necesita: Arco o ballesta
</t>
    </r>
  </si>
  <si>
    <r>
      <t>Absorber sangre, Lanza osea tienen un </t>
    </r>
    <r>
      <rPr>
        <sz val="9"/>
        <color rgb="FF8BD442"/>
        <rFont val="Arial"/>
        <family val="2"/>
      </rPr>
      <t>30%</t>
    </r>
    <r>
      <rPr>
        <sz val="9"/>
        <color rgb="FFA99877"/>
        <rFont val="Arial"/>
        <family val="2"/>
      </rPr>
      <t> de probabilidad de atrapar a los enemigos en una prisión de huesos durante </t>
    </r>
    <r>
      <rPr>
        <sz val="9"/>
        <color rgb="FF8BD442"/>
        <rFont val="Arial"/>
        <family val="2"/>
      </rPr>
      <t>3</t>
    </r>
    <r>
      <rPr>
        <sz val="9"/>
        <color rgb="FFA99877"/>
        <rFont val="Arial"/>
        <family val="2"/>
      </rPr>
      <t> s.</t>
    </r>
  </si>
  <si>
    <r>
      <t>Aumenta un </t>
    </r>
    <r>
      <rPr>
        <sz val="9"/>
        <color rgb="FF8BD442"/>
        <rFont val="Arial"/>
        <family val="2"/>
      </rPr>
      <t>15%</t>
    </r>
    <r>
      <rPr>
        <sz val="9"/>
        <color rgb="FFA99877"/>
        <rFont val="Arial"/>
        <family val="2"/>
      </rPr>
      <t> la velocidad de ataque habilidades principales</t>
    </r>
  </si>
  <si>
    <r>
      <t>Las habilidades de veneno también ralentizan a los enemigos un </t>
    </r>
    <r>
      <rPr>
        <sz val="9"/>
        <color rgb="FF8BD442"/>
        <rFont val="Arial"/>
        <family val="2"/>
      </rPr>
      <t>30%</t>
    </r>
    <r>
      <rPr>
        <sz val="9"/>
        <color rgb="FFA99877"/>
        <rFont val="Arial"/>
        <family val="2"/>
      </rPr>
      <t> </t>
    </r>
    <r>
      <rPr>
        <sz val="9"/>
        <color rgb="FFA99877"/>
        <rFont val="Arial"/>
        <family val="2"/>
      </rPr>
      <t>durante </t>
    </r>
    <r>
      <rPr>
        <sz val="9"/>
        <color rgb="FF8BD442"/>
        <rFont val="Arial"/>
        <family val="2"/>
      </rPr>
      <t>5</t>
    </r>
    <r>
      <rPr>
        <sz val="9"/>
        <color rgb="FFA99877"/>
        <rFont val="Arial"/>
        <family val="2"/>
      </rPr>
      <t> s</t>
    </r>
  </si>
  <si>
    <r>
      <t>Consumir un cadáver aumenta tu probavilidad de critico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</si>
  <si>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Pacto de Sangre</t>
  </si>
  <si>
    <r>
      <t>No puedes perder vida durante </t>
    </r>
    <r>
      <rPr>
        <sz val="9"/>
        <color rgb="FF8BD442"/>
        <rFont val="Arial"/>
        <family val="2"/>
      </rPr>
      <t>4</t>
    </r>
    <r>
      <rPr>
        <sz val="9"/>
        <color rgb="FFA99877"/>
        <rFont val="Arial"/>
        <family val="2"/>
      </rPr>
      <t> s tras usar Pacto de Sangre</t>
    </r>
  </si>
  <si>
    <r>
      <t>Los enemigos golpeados por las habilidades que gasten vida quedarán ralentizados un </t>
    </r>
    <r>
      <rPr>
        <sz val="9"/>
        <color rgb="FF8BD442"/>
        <rFont val="Arial"/>
        <family val="2"/>
      </rPr>
      <t>80%</t>
    </r>
    <r>
      <rPr>
        <sz val="9"/>
        <color rgb="FFA99877"/>
        <rFont val="Arial"/>
        <family val="2"/>
      </rPr>
      <t> durante </t>
    </r>
    <r>
      <rPr>
        <sz val="9"/>
        <color rgb="FF8BD442"/>
        <rFont val="Arial"/>
        <family val="2"/>
      </rPr>
      <t>2</t>
    </r>
    <r>
      <rPr>
        <sz val="9"/>
        <color rgb="FFA99877"/>
        <rFont val="Arial"/>
        <family val="2"/>
      </rPr>
      <t> s.</t>
    </r>
  </si>
  <si>
    <t>Si tienes el 90% de tus recursos tienes un daño reducido del 50%</t>
  </si>
  <si>
    <t>Porrazo</t>
  </si>
  <si>
    <r>
      <t>Un brutal porrazo que inflige un </t>
    </r>
    <r>
      <rPr>
        <sz val="9"/>
        <color rgb="FF8BD442"/>
        <rFont val="Arial"/>
        <family val="2"/>
      </rPr>
      <t>320%</t>
    </r>
    <r>
      <rPr>
        <sz val="9"/>
        <color rgb="FFA99877"/>
        <rFont val="Arial"/>
        <family val="2"/>
      </rPr>
      <t> de daño de arma.</t>
    </r>
  </si>
  <si>
    <t>Frenesí</t>
  </si>
  <si>
    <r>
      <t>Inflige un </t>
    </r>
    <r>
      <rPr>
        <sz val="9"/>
        <color rgb="FF8BD442"/>
        <rFont val="Arial"/>
        <family val="2"/>
      </rPr>
      <t>220%</t>
    </r>
    <r>
      <rPr>
        <sz val="9"/>
        <color rgb="FFA99877"/>
        <rFont val="Arial"/>
        <family val="2"/>
      </rPr>
      <t> de daño de arma. Cada golpe aumenta la velocidad de ataque de Frenesí un </t>
    </r>
    <r>
      <rPr>
        <sz val="9"/>
        <color rgb="FF8BD442"/>
        <rFont val="Arial"/>
        <family val="2"/>
      </rPr>
      <t>15%</t>
    </r>
    <r>
      <rPr>
        <sz val="9"/>
        <color rgb="FFA99877"/>
        <rFont val="Arial"/>
        <family val="2"/>
      </rPr>
      <t>durante </t>
    </r>
    <r>
      <rPr>
        <sz val="9"/>
        <color rgb="FF8BD442"/>
        <rFont val="Arial"/>
        <family val="2"/>
      </rPr>
      <t>4</t>
    </r>
    <r>
      <rPr>
        <sz val="9"/>
        <color rgb="FFA99877"/>
        <rFont val="Arial"/>
        <family val="2"/>
      </rPr>
      <t> s. Este efecto se acumula hasta </t>
    </r>
    <r>
      <rPr>
        <sz val="9"/>
        <color rgb="FF8BD442"/>
        <rFont val="Arial"/>
        <family val="2"/>
      </rPr>
      <t>5</t>
    </r>
    <r>
      <rPr>
        <sz val="9"/>
        <color rgb="FFA99877"/>
        <rFont val="Arial"/>
        <family val="2"/>
      </rPr>
      <t> veces.</t>
    </r>
  </si>
  <si>
    <t>Alcance mortal</t>
  </si>
  <si>
    <r>
      <t>Proyecta líneas de energía pura a corta distancia que infligen un </t>
    </r>
    <r>
      <rPr>
        <sz val="9"/>
        <color rgb="FF8BD442"/>
        <rFont val="Arial"/>
        <family val="2"/>
      </rPr>
      <t>150%</t>
    </r>
    <r>
      <rPr>
        <sz val="9"/>
        <color rgb="FFA99877"/>
        <rFont val="Arial"/>
        <family val="2"/>
      </rPr>
      <t xml:space="preserve"> de daño de arma como daño físico.
Cada tercer golpe tiene un 50% de probabilidad de lanzar a los enemigos por los aires.
</t>
    </r>
  </si>
  <si>
    <t>Martillo de los ancestros</t>
  </si>
  <si>
    <r>
      <t>Invoca un gigantesco martillo que aplasta a los enemigos directamente frente a ti, les inflige un </t>
    </r>
    <r>
      <rPr>
        <sz val="9"/>
        <color rgb="FF8BD442"/>
        <rFont val="Arial"/>
        <family val="2"/>
      </rPr>
      <t>535%</t>
    </r>
    <r>
      <rPr>
        <sz val="9"/>
        <color rgb="FFA99877"/>
        <rFont val="Arial"/>
        <family val="2"/>
      </rPr>
      <t> de daño de arma y aumenta la probabilidad de golpe crítico un </t>
    </r>
    <r>
      <rPr>
        <sz val="9"/>
        <color rgb="FF8BD442"/>
        <rFont val="Arial"/>
        <family val="2"/>
      </rPr>
      <t>1%</t>
    </r>
    <r>
      <rPr>
        <sz val="9"/>
        <color rgb="FFA99877"/>
        <rFont val="Arial"/>
        <family val="2"/>
      </rPr>
      <t> por cada </t>
    </r>
    <r>
      <rPr>
        <sz val="9"/>
        <color rgb="FF8BD442"/>
        <rFont val="Arial"/>
        <family val="2"/>
      </rPr>
      <t>5</t>
    </r>
    <r>
      <rPr>
        <sz val="9"/>
        <color rgb="FFA99877"/>
        <rFont val="Arial"/>
        <family val="2"/>
      </rPr>
      <t> p. de furia que tengas.</t>
    </r>
  </si>
  <si>
    <t>Embate sísmico</t>
  </si>
  <si>
    <r>
      <t>Golpea el suelo y despliega una onda de destrucción que inflige un </t>
    </r>
    <r>
      <rPr>
        <sz val="9"/>
        <color rgb="FF8BD442"/>
        <rFont val="Arial"/>
        <family val="2"/>
      </rPr>
      <t>620%</t>
    </r>
    <r>
      <rPr>
        <sz val="9"/>
        <color rgb="FFA99877"/>
        <rFont val="Arial"/>
        <family val="2"/>
      </rPr>
      <t> de daño de arma a los enemigos que estén hasta a </t>
    </r>
    <r>
      <rPr>
        <sz val="9"/>
        <color rgb="FF8BD442"/>
        <rFont val="Arial"/>
        <family val="2"/>
      </rPr>
      <t>50</t>
    </r>
    <r>
      <rPr>
        <sz val="9"/>
        <color rgb="FFA99877"/>
        <rFont val="Arial"/>
        <family val="2"/>
      </rPr>
      <t> m frente a ti.</t>
    </r>
  </si>
  <si>
    <t>Descuartizar</t>
  </si>
  <si>
    <r>
      <t>Un tajo temible que provoca que todos los enemigos en un radio de </t>
    </r>
    <r>
      <rPr>
        <sz val="9"/>
        <color rgb="FF8BD442"/>
        <rFont val="Arial"/>
        <family val="2"/>
      </rPr>
      <t>12</t>
    </r>
    <r>
      <rPr>
        <sz val="9"/>
        <color rgb="FFA99877"/>
        <rFont val="Arial"/>
        <family val="2"/>
      </rPr>
      <t> m sufran un </t>
    </r>
    <r>
      <rPr>
        <sz val="9"/>
        <color rgb="FF8BD442"/>
        <rFont val="Arial"/>
        <family val="2"/>
      </rPr>
      <t>1100%</t>
    </r>
    <r>
      <rPr>
        <sz val="9"/>
        <color rgb="FFA99877"/>
        <rFont val="Arial"/>
        <family val="2"/>
      </rPr>
      <t> de daño de arma como daño físico durante </t>
    </r>
    <r>
      <rPr>
        <sz val="9"/>
        <color rgb="FF8BD442"/>
        <rFont val="Arial"/>
        <family val="2"/>
      </rPr>
      <t>5</t>
    </r>
    <r>
      <rPr>
        <sz val="9"/>
        <color rgb="FFA99877"/>
        <rFont val="Arial"/>
        <family val="2"/>
      </rPr>
      <t> s.</t>
    </r>
  </si>
  <si>
    <t>Pisotón</t>
  </si>
  <si>
    <r>
      <t>Sacude el suelo, lo que aturde a todos los enemigos en un radio de </t>
    </r>
    <r>
      <rPr>
        <sz val="9"/>
        <color rgb="FF8BD442"/>
        <rFont val="Arial"/>
        <family val="2"/>
      </rPr>
      <t>14</t>
    </r>
    <r>
      <rPr>
        <sz val="9"/>
        <color rgb="FFA99877"/>
        <rFont val="Arial"/>
        <family val="2"/>
      </rPr>
      <t> m durante </t>
    </r>
    <r>
      <rPr>
        <sz val="9"/>
        <color rgb="FF8BD442"/>
        <rFont val="Arial"/>
        <family val="2"/>
      </rPr>
      <t>4</t>
    </r>
    <r>
      <rPr>
        <sz val="9"/>
        <color rgb="FFA99877"/>
        <rFont val="Arial"/>
        <family val="2"/>
      </rPr>
      <t> s.</t>
    </r>
  </si>
  <si>
    <t>Salto ofensivo</t>
  </si>
  <si>
    <r>
      <t>Saltas en el aire e infliges un </t>
    </r>
    <r>
      <rPr>
        <sz val="9"/>
        <color rgb="FF8BD442"/>
        <rFont val="Arial"/>
        <family val="2"/>
      </rPr>
      <t>180%</t>
    </r>
    <r>
      <rPr>
        <sz val="9"/>
        <color rgb="FFA99877"/>
        <rFont val="Arial"/>
        <family val="2"/>
      </rPr>
      <t> de daño de arma a todos los enemigos en un radio de </t>
    </r>
    <r>
      <rPr>
        <sz val="9"/>
        <color rgb="FF8BD442"/>
        <rFont val="Arial"/>
        <family val="2"/>
      </rPr>
      <t>10</t>
    </r>
    <r>
      <rPr>
        <sz val="9"/>
        <color rgb="FFA99877"/>
        <rFont val="Arial"/>
        <family val="2"/>
      </rPr>
      <t> m del destino, lo que reduce su velocidad de movimiento un </t>
    </r>
    <r>
      <rPr>
        <sz val="9"/>
        <color rgb="FF8BD442"/>
        <rFont val="Arial"/>
        <family val="2"/>
      </rPr>
      <t>60%</t>
    </r>
    <r>
      <rPr>
        <sz val="9"/>
        <color rgb="FFA99877"/>
        <rFont val="Arial"/>
        <family val="2"/>
      </rPr>
      <t> durante </t>
    </r>
    <r>
      <rPr>
        <sz val="9"/>
        <color rgb="FF8BD442"/>
        <rFont val="Arial"/>
        <family val="2"/>
      </rPr>
      <t>3</t>
    </r>
    <r>
      <rPr>
        <sz val="9"/>
        <color rgb="FFA99877"/>
        <rFont val="Arial"/>
        <family val="2"/>
      </rPr>
      <t> s.</t>
    </r>
  </si>
  <si>
    <t>Carrera</t>
  </si>
  <si>
    <r>
      <t>Aumenta la velocidad de movimiento un </t>
    </r>
    <r>
      <rPr>
        <sz val="9"/>
        <color rgb="FF8BD442"/>
        <rFont val="Arial"/>
        <family val="2"/>
      </rPr>
      <t>30%</t>
    </r>
    <r>
      <rPr>
        <sz val="9"/>
        <color rgb="FFA99877"/>
        <rFont val="Arial"/>
        <family val="2"/>
      </rPr>
      <t> durante </t>
    </r>
    <r>
      <rPr>
        <sz val="9"/>
        <color rgb="FF8BD442"/>
        <rFont val="Arial"/>
        <family val="2"/>
      </rPr>
      <t>3</t>
    </r>
    <r>
      <rPr>
        <sz val="9"/>
        <color rgb="FFA99877"/>
        <rFont val="Arial"/>
        <family val="2"/>
      </rPr>
      <t> s.
y aumenta el daño en area a los aliados</t>
    </r>
  </si>
  <si>
    <t>Terremoto</t>
  </si>
  <si>
    <r>
      <t>La tierra se sacude violentamente e inflige un </t>
    </r>
    <r>
      <rPr>
        <sz val="9"/>
        <color rgb="FF8BD442"/>
        <rFont val="Arial"/>
        <family val="2"/>
      </rPr>
      <t>4800%</t>
    </r>
    <r>
      <rPr>
        <sz val="9"/>
        <color rgb="FFA99877"/>
        <rFont val="Arial"/>
        <family val="2"/>
      </rPr>
      <t> de daño de arma como daño de fuego durante </t>
    </r>
    <r>
      <rPr>
        <sz val="9"/>
        <color rgb="FF8BD442"/>
        <rFont val="Arial"/>
        <family val="2"/>
      </rPr>
      <t>8</t>
    </r>
    <r>
      <rPr>
        <sz val="9"/>
        <color rgb="FFA99877"/>
        <rFont val="Arial"/>
        <family val="2"/>
      </rPr>
      <t> s a todos los enemigos en un radio de </t>
    </r>
    <r>
      <rPr>
        <sz val="9"/>
        <color rgb="FF8BD442"/>
        <rFont val="Arial"/>
        <family val="2"/>
      </rPr>
      <t>18</t>
    </r>
    <r>
      <rPr>
        <sz val="9"/>
        <color rgb="FFA99877"/>
        <rFont val="Arial"/>
        <family val="2"/>
      </rPr>
      <t> m.</t>
    </r>
  </si>
  <si>
    <t>Llamada a los ancestros</t>
  </si>
  <si>
    <r>
      <t>Invoca a los ancestros bárbaros Talic, Korlic y Madawc para que luchen a tu lado durante </t>
    </r>
    <r>
      <rPr>
        <sz val="9"/>
        <color rgb="FF8BD442"/>
        <rFont val="Arial"/>
        <family val="2"/>
      </rPr>
      <t>20</t>
    </r>
    <r>
      <rPr>
        <sz val="9"/>
        <color rgb="FFA99877"/>
        <rFont val="Arial"/>
        <family val="2"/>
      </rPr>
      <t> s. Cada uno inflige un </t>
    </r>
    <r>
      <rPr>
        <sz val="9"/>
        <color rgb="FF8BD442"/>
        <rFont val="Arial"/>
        <family val="2"/>
      </rPr>
      <t>270%</t>
    </r>
    <r>
      <rPr>
        <sz val="9"/>
        <color rgb="FFA99877"/>
        <rFont val="Arial"/>
        <family val="2"/>
      </rPr>
      <t> de daño de arma con cada ataque y además cuenta con habilidades adicionales.</t>
    </r>
  </si>
  <si>
    <t>Cólera enloquecida</t>
  </si>
  <si>
    <r>
      <t>Te entregas a una ira enloquecida que aumenta varios atributos durante </t>
    </r>
    <r>
      <rPr>
        <sz val="9"/>
        <color rgb="FF8BD442"/>
        <rFont val="Arial"/>
        <family val="2"/>
      </rPr>
      <t>20</t>
    </r>
    <r>
      <rPr>
        <sz val="9"/>
        <color rgb="FFA99877"/>
        <rFont val="Arial"/>
        <family val="2"/>
      </rPr>
      <t xml:space="preserve"> s.
 Probabilidad de golpe crítico: 10%
 Velocidad de ataque: 25%
 Probabilidad de esquivar: 20%
 Velocidad de movimiento: 20%
</t>
    </r>
  </si>
  <si>
    <t>Deuda de sangre</t>
  </si>
  <si>
    <r>
      <t>Cada vez que matas, obtienes un </t>
    </r>
    <r>
      <rPr>
        <sz val="9"/>
        <color rgb="FF8BD442"/>
        <rFont val="Arial"/>
        <family val="2"/>
      </rPr>
      <t>2%</t>
    </r>
    <r>
      <rPr>
        <sz val="9"/>
        <color rgb="FFA99877"/>
        <rFont val="Arial"/>
        <family val="2"/>
      </rPr>
      <t> de regeneración de vida por segundo y un </t>
    </r>
    <r>
      <rPr>
        <sz val="9"/>
        <color rgb="FF8BD442"/>
        <rFont val="Arial"/>
        <family val="2"/>
      </rPr>
      <t>4%</t>
    </r>
    <r>
      <rPr>
        <sz val="9"/>
        <color rgb="FFA99877"/>
        <rFont val="Arial"/>
        <family val="2"/>
      </rPr>
      <t> de velocidad de movimiento durante </t>
    </r>
    <r>
      <rPr>
        <sz val="9"/>
        <color rgb="FF8BD442"/>
        <rFont val="Arial"/>
        <family val="2"/>
      </rPr>
      <t>15</t>
    </r>
    <r>
      <rPr>
        <sz val="9"/>
        <color rgb="FFA99877"/>
        <rFont val="Arial"/>
        <family val="2"/>
      </rPr>
      <t> s. Este bonus se acumula hasta </t>
    </r>
    <r>
      <rPr>
        <sz val="9"/>
        <color rgb="FF8BD442"/>
        <rFont val="Arial"/>
        <family val="2"/>
      </rPr>
      <t>5</t>
    </r>
    <r>
      <rPr>
        <sz val="9"/>
        <color rgb="FFA99877"/>
        <rFont val="Arial"/>
        <family val="2"/>
      </rPr>
      <t> veces.</t>
    </r>
  </si>
  <si>
    <t>Inmisericorde</t>
  </si>
  <si>
    <r>
      <t>Infliges un </t>
    </r>
    <r>
      <rPr>
        <sz val="9"/>
        <color rgb="FF8BD442"/>
        <rFont val="Arial"/>
        <family val="2"/>
      </rPr>
      <t>40%</t>
    </r>
    <r>
      <rPr>
        <sz val="9"/>
        <color rgb="FFA99877"/>
        <rFont val="Arial"/>
        <family val="2"/>
      </rPr>
      <t> más de daño a los enemigos que están por debajo del </t>
    </r>
    <r>
      <rPr>
        <sz val="9"/>
        <color rgb="FF8BD442"/>
        <rFont val="Arial"/>
        <family val="2"/>
      </rPr>
      <t>30%</t>
    </r>
    <r>
      <rPr>
        <sz val="9"/>
        <color rgb="FFA99877"/>
        <rFont val="Arial"/>
        <family val="2"/>
      </rPr>
      <t> de salud.</t>
    </r>
  </si>
  <si>
    <t>Maestro de armas</t>
  </si>
  <si>
    <t xml:space="preserve">Otorga un bonus según el tipo de arma que utilizas:
Otorga un bonus según el tipo de arma que utilizas:
Espadas, dagas: 8% de daño
Mazas, hachas: 5% de probabilidad de golpe crítico
Armas de asta, lanzas: 8% de velocidad de ataque
Armas poderosas: 2 p. de furia por golpe
</t>
  </si>
  <si>
    <t>Presencia imponente</t>
  </si>
  <si>
    <r>
      <t>Duplica la duración de tus gritos. Tras lanzar un grito, tú y todos tus aliados en un radio de </t>
    </r>
    <r>
      <rPr>
        <sz val="9"/>
        <color rgb="FF8BD442"/>
        <rFont val="Arial"/>
        <family val="2"/>
      </rPr>
      <t>100</t>
    </r>
    <r>
      <rPr>
        <sz val="9"/>
        <color rgb="FFA99877"/>
        <rFont val="Arial"/>
        <family val="2"/>
      </rPr>
      <t> m regeneráis un </t>
    </r>
    <r>
      <rPr>
        <sz val="9"/>
        <color rgb="FF8BD442"/>
        <rFont val="Arial"/>
        <family val="2"/>
      </rPr>
      <t>3%</t>
    </r>
    <r>
      <rPr>
        <sz val="9"/>
        <color rgb="FFA99877"/>
        <rFont val="Arial"/>
        <family val="2"/>
      </rPr>
      <t> de la vida máxima por segundo durante </t>
    </r>
    <r>
      <rPr>
        <sz val="9"/>
        <color rgb="FF8BD442"/>
        <rFont val="Arial"/>
        <family val="2"/>
      </rPr>
      <t>120</t>
    </r>
    <r>
      <rPr>
        <sz val="9"/>
        <color rgb="FFA99877"/>
        <rFont val="Arial"/>
        <family val="2"/>
      </rPr>
      <t> s.</t>
    </r>
  </si>
  <si>
    <t>Superstición</t>
  </si>
  <si>
    <r>
      <t>Reduce todo el daño no físico un </t>
    </r>
    <r>
      <rPr>
        <sz val="9"/>
        <color rgb="FF8BD442"/>
        <rFont val="Arial"/>
        <family val="2"/>
      </rPr>
      <t>20%</t>
    </r>
    <r>
      <rPr>
        <sz val="9"/>
        <color rgb="FFA99877"/>
        <rFont val="Arial"/>
        <family val="2"/>
      </rPr>
      <t>. Cuando sufres daño de un ataque elemental o a distancia tienes una probabilidad de obtener </t>
    </r>
    <r>
      <rPr>
        <sz val="9"/>
        <color rgb="FF8BD442"/>
        <rFont val="Arial"/>
        <family val="2"/>
      </rPr>
      <t>2</t>
    </r>
    <r>
      <rPr>
        <sz val="9"/>
        <color rgb="FFA99877"/>
        <rFont val="Arial"/>
        <family val="2"/>
      </rPr>
      <t> p. de furia.</t>
    </r>
  </si>
  <si>
    <t>Duro de pelar</t>
  </si>
  <si>
    <r>
      <t>Aumenta la armadura un </t>
    </r>
    <r>
      <rPr>
        <sz val="9"/>
        <color rgb="FF8BD442"/>
        <rFont val="Arial"/>
        <family val="2"/>
      </rPr>
      <t>25%</t>
    </r>
    <r>
      <rPr>
        <sz val="9"/>
        <color rgb="FFA99877"/>
        <rFont val="Arial"/>
        <family val="2"/>
      </rPr>
      <t xml:space="preserve">.
Aumenta las espinas un 100%.
</t>
    </r>
  </si>
  <si>
    <t>Infatigable</t>
  </si>
  <si>
    <r>
      <t>Cuando tu vida baja del </t>
    </r>
    <r>
      <rPr>
        <sz val="9"/>
        <color rgb="FF8BD442"/>
        <rFont val="Arial"/>
        <family val="2"/>
      </rPr>
      <t>35%</t>
    </r>
    <r>
      <rPr>
        <sz val="9"/>
        <color rgb="FFA99877"/>
        <rFont val="Arial"/>
        <family val="2"/>
      </rPr>
      <t>, todas las habilidades cuestan un </t>
    </r>
    <r>
      <rPr>
        <sz val="9"/>
        <color rgb="FF8BD442"/>
        <rFont val="Arial"/>
        <family val="2"/>
      </rPr>
      <t>50%</t>
    </r>
    <r>
      <rPr>
        <sz val="9"/>
        <color rgb="FFA99877"/>
        <rFont val="Arial"/>
        <family val="2"/>
      </rPr>
      <t> menos de furia, y todo el daño sufrido se reduce un 2</t>
    </r>
    <r>
      <rPr>
        <sz val="9"/>
        <color rgb="FF8BD442"/>
        <rFont val="Arial"/>
        <family val="2"/>
      </rPr>
      <t>0%</t>
    </r>
    <r>
      <rPr>
        <sz val="9"/>
        <color rgb="FFA99877"/>
        <rFont val="Arial"/>
        <family val="2"/>
      </rPr>
      <t>.</t>
    </r>
  </si>
  <si>
    <t>Escudo y espada</t>
  </si>
  <si>
    <r>
      <t>Mientras portas un escudo, se reduce todo el daño sufrido un </t>
    </r>
    <r>
      <rPr>
        <sz val="9"/>
        <color rgb="FF8BD442"/>
        <rFont val="Arial"/>
        <family val="2"/>
      </rPr>
      <t>30%</t>
    </r>
    <r>
      <rPr>
        <sz val="9"/>
        <color rgb="FFA99877"/>
        <rFont val="Arial"/>
        <family val="2"/>
      </rPr>
      <t> y se reducen los costes de furia un </t>
    </r>
    <r>
      <rPr>
        <sz val="9"/>
        <color rgb="FF8BD442"/>
        <rFont val="Arial"/>
        <family val="2"/>
      </rPr>
      <t>20%</t>
    </r>
    <r>
      <rPr>
        <sz val="9"/>
        <color rgb="FFA99877"/>
        <rFont val="Arial"/>
        <family val="2"/>
      </rPr>
      <t>.</t>
    </r>
  </si>
  <si>
    <t>Desenfreno</t>
  </si>
  <si>
    <r>
      <t>Aumenta la fuerza un </t>
    </r>
    <r>
      <rPr>
        <sz val="9"/>
        <color rgb="FF8BD442"/>
        <rFont val="Arial"/>
        <family val="2"/>
      </rPr>
      <t>1%</t>
    </r>
    <r>
      <rPr>
        <sz val="9"/>
        <color rgb="FFA99877"/>
        <rFont val="Arial"/>
        <family val="2"/>
      </rPr>
      <t> durante </t>
    </r>
    <r>
      <rPr>
        <sz val="9"/>
        <color rgb="FF8BD442"/>
        <rFont val="Arial"/>
        <family val="2"/>
      </rPr>
      <t>8</t>
    </r>
    <r>
      <rPr>
        <sz val="9"/>
        <color rgb="FFA99877"/>
        <rFont val="Arial"/>
        <family val="2"/>
      </rPr>
      <t> s tras matar o ayudar a matar a un enemigo. Este efecto se acumula hasta </t>
    </r>
    <r>
      <rPr>
        <sz val="9"/>
        <color rgb="FF8BD442"/>
        <rFont val="Arial"/>
        <family val="2"/>
      </rPr>
      <t>25</t>
    </r>
    <r>
      <rPr>
        <sz val="9"/>
        <color rgb="FFA99877"/>
        <rFont val="Arial"/>
        <family val="2"/>
      </rPr>
      <t> veces.</t>
    </r>
  </si>
  <si>
    <t>Castigo</t>
  </si>
  <si>
    <r>
      <t>Golpea al enemigo y le inflige un </t>
    </r>
    <r>
      <rPr>
        <sz val="9"/>
        <color rgb="FF8BD442"/>
        <rFont val="Arial"/>
        <family val="2"/>
      </rPr>
      <t>335%</t>
    </r>
    <r>
      <rPr>
        <sz val="9"/>
        <color rgb="FFA99877"/>
        <rFont val="Arial"/>
        <family val="2"/>
      </rPr>
      <t> de daño de arma. También te otorga Sentidos curtidos, lo que aumenta tu probabilidad de bloqueo un </t>
    </r>
    <r>
      <rPr>
        <sz val="9"/>
        <color rgb="FF8BD442"/>
        <rFont val="Arial"/>
        <family val="2"/>
      </rPr>
      <t>15%</t>
    </r>
    <r>
      <rPr>
        <sz val="9"/>
        <color rgb="FFA99877"/>
        <rFont val="Arial"/>
        <family val="2"/>
      </rPr>
      <t> durante </t>
    </r>
    <r>
      <rPr>
        <sz val="9"/>
        <color rgb="FF8BD442"/>
        <rFont val="Arial"/>
        <family val="2"/>
      </rPr>
      <t>5</t>
    </r>
    <r>
      <rPr>
        <sz val="9"/>
        <color rgb="FFA99877"/>
        <rFont val="Arial"/>
        <family val="2"/>
      </rPr>
      <t> s.</t>
    </r>
  </si>
  <si>
    <r>
      <t>Prende fuego al aire frente a ti, lo que inflige un </t>
    </r>
    <r>
      <rPr>
        <sz val="9"/>
        <color rgb="FF8BD442"/>
        <rFont val="Arial"/>
        <family val="2"/>
      </rPr>
      <t>230%</t>
    </r>
    <r>
      <rPr>
        <sz val="9"/>
        <color rgb="FFA99877"/>
        <rFont val="Arial"/>
        <family val="2"/>
      </rPr>
      <t> de daño de arma como daño de fuego.</t>
    </r>
  </si>
  <si>
    <t>Flecha ignea</t>
  </si>
  <si>
    <r>
      <t>Lanza un martillo de justicia a los enemigos. Inflige un </t>
    </r>
    <r>
      <rPr>
        <sz val="9"/>
        <color rgb="FF8BD442"/>
        <rFont val="Arial"/>
        <family val="2"/>
      </rPr>
      <t>245%</t>
    </r>
    <r>
      <rPr>
        <sz val="9"/>
        <color rgb="FFA99877"/>
        <rFont val="Arial"/>
        <family val="2"/>
      </rPr>
      <t> de daño de arma.</t>
    </r>
  </si>
  <si>
    <t>Flecha justa Justicia</t>
  </si>
  <si>
    <t>Golpe de escudo</t>
  </si>
  <si>
    <r>
      <t>Cargas contra tu enemigo y lo golpeas a él y a todos los enemigos cercanos, lo que inflige un </t>
    </r>
    <r>
      <rPr>
        <sz val="9"/>
        <color rgb="FF8BD442"/>
        <rFont val="Arial"/>
        <family val="2"/>
      </rPr>
      <t>700%</t>
    </r>
    <r>
      <rPr>
        <sz val="9"/>
        <color rgb="FFA99877"/>
        <rFont val="Arial"/>
        <family val="2"/>
      </rPr>
      <t> de daño de arma más un </t>
    </r>
    <r>
      <rPr>
        <sz val="9"/>
        <color rgb="FF8BD442"/>
        <rFont val="Arial"/>
        <family val="2"/>
      </rPr>
      <t>300%</t>
    </r>
    <r>
      <rPr>
        <sz val="9"/>
        <color rgb="FFA99877"/>
        <rFont val="Arial"/>
        <family val="2"/>
      </rPr>
      <t> de la probabilidad de bloqueo de tu escudo como daño sagrado.</t>
    </r>
  </si>
  <si>
    <t>Martillo bendito</t>
  </si>
  <si>
    <r>
      <t>Invoca un martillo bendito que gira a tu alrededor e inflige un </t>
    </r>
    <r>
      <rPr>
        <sz val="9"/>
        <color rgb="FF8BD442"/>
        <rFont val="Arial"/>
        <family val="2"/>
      </rPr>
      <t>320%</t>
    </r>
    <r>
      <rPr>
        <sz val="9"/>
        <color rgb="FFA99877"/>
        <rFont val="Arial"/>
        <family val="2"/>
      </rPr>
      <t> de daño de arma como daño sagrado a todos los enemigos a los que golpea.</t>
    </r>
  </si>
  <si>
    <t>Puño de los cielos</t>
  </si>
  <si>
    <r>
      <t>Invoca una columna de rayos celestiales que inflige un </t>
    </r>
    <r>
      <rPr>
        <sz val="9"/>
        <color rgb="FF8BD442"/>
        <rFont val="Arial"/>
        <family val="2"/>
      </rPr>
      <t>545%</t>
    </r>
    <r>
      <rPr>
        <sz val="9"/>
        <color rgb="FFA99877"/>
        <rFont val="Arial"/>
        <family val="2"/>
      </rPr>
      <t> de daño de arma como daño de rayos a todos los enemigos en un radio de </t>
    </r>
    <r>
      <rPr>
        <sz val="9"/>
        <color rgb="FF8BD442"/>
        <rFont val="Arial"/>
        <family val="2"/>
      </rPr>
      <t>8</t>
    </r>
    <r>
      <rPr>
        <sz val="9"/>
        <color rgb="FFA99877"/>
        <rFont val="Arial"/>
        <family val="2"/>
      </rPr>
      <t> m. La explosión libera </t>
    </r>
    <r>
      <rPr>
        <sz val="9"/>
        <color rgb="FF8BD442"/>
        <rFont val="Arial"/>
        <family val="2"/>
      </rPr>
      <t>6</t>
    </r>
    <r>
      <rPr>
        <sz val="9"/>
        <color rgb="FFA99877"/>
        <rFont val="Arial"/>
        <family val="2"/>
      </rPr>
      <t> relámpagos cargados que se desplazan hacia delante e infligen un </t>
    </r>
    <r>
      <rPr>
        <sz val="9"/>
        <color rgb="FF8BD442"/>
        <rFont val="Arial"/>
        <family val="2"/>
      </rPr>
      <t>255%</t>
    </r>
    <r>
      <rPr>
        <sz val="9"/>
        <color rgb="FFA99877"/>
        <rFont val="Arial"/>
        <family val="2"/>
      </rPr>
      <t> de daño de arma como daño de rayos.</t>
    </r>
  </si>
  <si>
    <t>Destello de escudo</t>
  </si>
  <si>
    <r>
      <t>Tu escudo emite un destello que ciega a todos los enemigos que estén en un cono de hasta </t>
    </r>
    <r>
      <rPr>
        <sz val="9"/>
        <color rgb="FF8BD442"/>
        <rFont val="Arial"/>
        <family val="2"/>
      </rPr>
      <t>30</t>
    </r>
    <r>
      <rPr>
        <sz val="9"/>
        <color rgb="FFA99877"/>
        <rFont val="Arial"/>
        <family val="2"/>
      </rPr>
      <t> m frente a ti durante </t>
    </r>
    <r>
      <rPr>
        <sz val="9"/>
        <color rgb="FF8BD442"/>
        <rFont val="Arial"/>
        <family val="2"/>
      </rPr>
      <t>4</t>
    </r>
    <r>
      <rPr>
        <sz val="9"/>
        <color rgb="FFA99877"/>
        <rFont val="Arial"/>
        <family val="2"/>
      </rPr>
      <t> s.</t>
    </r>
  </si>
  <si>
    <t>Piel férrea</t>
  </si>
  <si>
    <r>
      <t>Tu piel se vuelve de hierro y absorbe un </t>
    </r>
    <r>
      <rPr>
        <sz val="9"/>
        <color rgb="FF8BD442"/>
        <rFont val="Arial"/>
        <family val="2"/>
      </rPr>
      <t>50%</t>
    </r>
    <r>
      <rPr>
        <sz val="9"/>
        <color rgb="FFA99877"/>
        <rFont val="Arial"/>
        <family val="2"/>
      </rPr>
      <t> de todo el daño recibido durante </t>
    </r>
    <r>
      <rPr>
        <sz val="9"/>
        <color rgb="FF8BD442"/>
        <rFont val="Arial"/>
        <family val="2"/>
      </rPr>
      <t>4</t>
    </r>
    <r>
      <rPr>
        <sz val="9"/>
        <color rgb="FFA99877"/>
        <rFont val="Arial"/>
        <family val="2"/>
      </rPr>
      <t> s.</t>
    </r>
  </si>
  <si>
    <t>Consagración</t>
  </si>
  <si>
    <r>
      <t>Consagra el suelo en un radio de </t>
    </r>
    <r>
      <rPr>
        <sz val="9"/>
        <color rgb="FF8BD442"/>
        <rFont val="Arial"/>
        <family val="2"/>
      </rPr>
      <t>20</t>
    </r>
    <r>
      <rPr>
        <sz val="9"/>
        <color rgb="FFA99877"/>
        <rFont val="Arial"/>
        <family val="2"/>
      </rPr>
      <t> m a tu alrededor durante </t>
    </r>
    <r>
      <rPr>
        <sz val="9"/>
        <color rgb="FF8BD442"/>
        <rFont val="Arial"/>
        <family val="2"/>
      </rPr>
      <t>10</t>
    </r>
    <r>
      <rPr>
        <sz val="9"/>
        <color rgb="FFA99877"/>
        <rFont val="Arial"/>
        <family val="2"/>
      </rPr>
      <t> s. Tus aliados y tú reduce la velocidad de los enemigos</t>
    </r>
  </si>
  <si>
    <t>Espada fulminante</t>
  </si>
  <si>
    <r>
      <t>Entierra el arma e Inflige un </t>
    </r>
    <r>
      <rPr>
        <sz val="9"/>
        <color rgb="FF8BD442"/>
        <rFont val="Arial"/>
        <family val="2"/>
      </rPr>
      <t>1700%</t>
    </r>
    <r>
      <rPr>
        <sz val="9"/>
        <color rgb="FFA99877"/>
        <rFont val="Arial"/>
        <family val="2"/>
      </rPr>
      <t> de daño de arma a todo en un radio de </t>
    </r>
    <r>
      <rPr>
        <sz val="9"/>
        <color rgb="FF8BD442"/>
        <rFont val="Arial"/>
        <family val="2"/>
      </rPr>
      <t>14</t>
    </r>
    <r>
      <rPr>
        <sz val="9"/>
        <color rgb="FFA99877"/>
        <rFont val="Arial"/>
        <family val="2"/>
      </rPr>
      <t> m de tu punto de impacto.</t>
    </r>
  </si>
  <si>
    <t>Faz de Akarat</t>
  </si>
  <si>
    <r>
      <t>Te embarga el poder de tu orden, lo que aumenta tu daño un </t>
    </r>
    <r>
      <rPr>
        <sz val="9"/>
        <color rgb="FF8BD442"/>
        <rFont val="Arial"/>
        <family val="2"/>
      </rPr>
      <t>35%</t>
    </r>
    <r>
      <rPr>
        <sz val="9"/>
        <color rgb="FFA99877"/>
        <rFont val="Arial"/>
        <family val="2"/>
      </rPr>
      <t> y tu regeneración de cólera </t>
    </r>
    <r>
      <rPr>
        <sz val="9"/>
        <color rgb="FF8BD442"/>
        <rFont val="Arial"/>
        <family val="2"/>
      </rPr>
      <t>5</t>
    </r>
    <r>
      <rPr>
        <sz val="9"/>
        <color rgb="FFA99877"/>
        <rFont val="Arial"/>
        <family val="2"/>
      </rPr>
      <t> p. durante </t>
    </r>
    <r>
      <rPr>
        <sz val="9"/>
        <color rgb="FF8BD442"/>
        <rFont val="Arial"/>
        <family val="2"/>
      </rPr>
      <t>20</t>
    </r>
    <r>
      <rPr>
        <sz val="9"/>
        <color rgb="FFA99877"/>
        <rFont val="Arial"/>
        <family val="2"/>
      </rPr>
      <t> s.</t>
    </r>
  </si>
  <si>
    <t>Furia celeste</t>
  </si>
  <si>
    <r>
      <t>Invoca un rayo de poder sagrado que inflige un </t>
    </r>
    <r>
      <rPr>
        <sz val="9"/>
        <color rgb="FF8BD442"/>
        <rFont val="Arial"/>
        <family val="2"/>
      </rPr>
      <t>1710%</t>
    </r>
    <r>
      <rPr>
        <sz val="9"/>
        <color rgb="FFA99877"/>
        <rFont val="Arial"/>
        <family val="2"/>
      </rPr>
      <t> de daño de arma como daño sagrado durante </t>
    </r>
    <r>
      <rPr>
        <sz val="9"/>
        <color rgb="FF8BD442"/>
        <rFont val="Arial"/>
        <family val="2"/>
      </rPr>
      <t>6</t>
    </r>
    <r>
      <rPr>
        <sz val="9"/>
        <color rgb="FFA99877"/>
        <rFont val="Arial"/>
        <family val="2"/>
      </rPr>
      <t> s a todos los enemigos en su interior.</t>
    </r>
  </si>
  <si>
    <t>Rectitud</t>
  </si>
  <si>
    <r>
      <t>Tus habilidades primarias generan </t>
    </r>
    <r>
      <rPr>
        <sz val="9"/>
        <color rgb="FF8BD442"/>
        <rFont val="Arial"/>
        <family val="2"/>
      </rPr>
      <t>3</t>
    </r>
    <r>
      <rPr>
        <sz val="9"/>
        <color rgb="FFA99877"/>
        <rFont val="Arial"/>
        <family val="2"/>
      </rPr>
      <t> p. más de cólera.</t>
    </r>
  </si>
  <si>
    <t>Insuperable</t>
  </si>
  <si>
    <t>Posibidad de bloquear un 10% del daño</t>
  </si>
  <si>
    <t>Fanatismo</t>
  </si>
  <si>
    <r>
      <t>Aumenta un </t>
    </r>
    <r>
      <rPr>
        <sz val="9"/>
        <color rgb="FF8BD442"/>
        <rFont val="Arial"/>
        <family val="2"/>
      </rPr>
      <t>15%</t>
    </r>
    <r>
      <rPr>
        <sz val="9"/>
        <color rgb="FFA99877"/>
        <rFont val="Arial"/>
        <family val="2"/>
      </rPr>
      <t> la velocidad de ataque de principales</t>
    </r>
  </si>
  <si>
    <t>Causa sagrada</t>
  </si>
  <si>
    <r>
      <t>Cada vez que infliges daño sagrado, te curas hasta un máximo de un </t>
    </r>
    <r>
      <rPr>
        <sz val="9"/>
        <color rgb="FF8BD442"/>
        <rFont val="Arial"/>
        <family val="2"/>
      </rPr>
      <t>1%</t>
    </r>
    <r>
      <rPr>
        <sz val="9"/>
        <color rgb="FFA99877"/>
        <rFont val="Arial"/>
        <family val="2"/>
      </rPr>
      <t> de tu vida total.</t>
    </r>
  </si>
  <si>
    <t>Colérico</t>
  </si>
  <si>
    <r>
      <t>Cada punto de cólera gastado te cura </t>
    </r>
    <r>
      <rPr>
        <sz val="9"/>
        <color rgb="FF8BD442"/>
        <rFont val="Arial"/>
        <family val="2"/>
      </rPr>
      <t>1341</t>
    </r>
    <r>
      <rPr>
        <sz val="9"/>
        <color rgb="FFA99877"/>
        <rFont val="Arial"/>
        <family val="2"/>
      </rPr>
      <t> p. de vida.</t>
    </r>
  </si>
  <si>
    <t>Comandante en jefe</t>
  </si>
  <si>
    <r>
      <t>Reduce un </t>
    </r>
    <r>
      <rPr>
        <sz val="9"/>
        <color rgb="FF8BD442"/>
        <rFont val="Arial"/>
        <family val="2"/>
      </rPr>
      <t>25%</t>
    </r>
    <r>
      <rPr>
        <sz val="9"/>
        <color rgb="FFA99877"/>
        <rFont val="Arial"/>
        <family val="2"/>
      </rPr>
      <t> el tiempo de reutilización 1 ultimate de otros le da otros bufos</t>
    </r>
  </si>
  <si>
    <t>Doncella de hierro</t>
  </si>
  <si>
    <t>Tienes un 5% de regresar un 30% de daño</t>
  </si>
  <si>
    <t>Atavío</t>
  </si>
  <si>
    <r>
      <t>Obtienes un </t>
    </r>
    <r>
      <rPr>
        <sz val="9"/>
        <color rgb="FF8BD442"/>
        <rFont val="Arial"/>
        <family val="2"/>
      </rPr>
      <t>1,5%</t>
    </r>
    <r>
      <rPr>
        <sz val="9"/>
        <color rgb="FFA99877"/>
        <rFont val="Arial"/>
        <family val="2"/>
      </rPr>
      <t> de fuerza por cada gema que lleves engarzada en tu equipo.</t>
    </r>
  </si>
  <si>
    <t>Escudo imponente</t>
  </si>
  <si>
    <r>
      <t>Reduce un </t>
    </r>
    <r>
      <rPr>
        <sz val="9"/>
        <color rgb="FF8BD442"/>
        <rFont val="Arial"/>
        <family val="2"/>
      </rPr>
      <t>30%</t>
    </r>
    <r>
      <rPr>
        <sz val="9"/>
        <color rgb="FFA99877"/>
        <rFont val="Arial"/>
        <family val="2"/>
      </rPr>
      <t> el tiempo de reutilización de habilidades de escudo</t>
    </r>
  </si>
  <si>
    <r>
      <t>Absorbe la sangre del enemigo seleccionado, lo que le inflige un </t>
    </r>
    <r>
      <rPr>
        <sz val="9"/>
        <color rgb="FF8BD442"/>
        <rFont val="Arial"/>
        <family val="2"/>
      </rPr>
      <t>300%</t>
    </r>
    <r>
      <rPr>
        <sz val="9"/>
        <color rgb="FFA99877"/>
        <rFont val="Arial"/>
        <family val="2"/>
      </rPr>
      <t> de daño de arma como daño físico.
Absorber sangre te cura un 2% daño echo</t>
    </r>
  </si>
  <si>
    <t>nether, obsidian, diamond,prismarine endstone</t>
  </si>
  <si>
    <t>acacia_boat</t>
  </si>
  <si>
    <t>acacia_button</t>
  </si>
  <si>
    <t>acacia_door</t>
  </si>
  <si>
    <t>acacia_fence</t>
  </si>
  <si>
    <t>acacia_fence_gate</t>
  </si>
  <si>
    <t>acacia_log</t>
  </si>
  <si>
    <t>acacia_planks</t>
  </si>
  <si>
    <t>acacia_pressure_plate</t>
  </si>
  <si>
    <t>acacia_sign</t>
  </si>
  <si>
    <t>acacia_slab</t>
  </si>
  <si>
    <t>acacia_stairs</t>
  </si>
  <si>
    <t>acacia_trapdoor</t>
  </si>
  <si>
    <t>acacia_wood</t>
  </si>
  <si>
    <t>activator_rail</t>
  </si>
  <si>
    <t>allium</t>
  </si>
  <si>
    <t>andesite</t>
  </si>
  <si>
    <t>andesite_slab</t>
  </si>
  <si>
    <t>andesite_stairs</t>
  </si>
  <si>
    <t>andesite_wall</t>
  </si>
  <si>
    <t>anvil</t>
  </si>
  <si>
    <t>apple</t>
  </si>
  <si>
    <t>armor_stand</t>
  </si>
  <si>
    <t>arrow</t>
  </si>
  <si>
    <t>azure_bluet</t>
  </si>
  <si>
    <t>Herboristeria</t>
  </si>
  <si>
    <t>baked_potato</t>
  </si>
  <si>
    <t>bamboo</t>
  </si>
  <si>
    <t>barrel</t>
  </si>
  <si>
    <t>beacon</t>
  </si>
  <si>
    <t>beef</t>
  </si>
  <si>
    <t>beetroot</t>
  </si>
  <si>
    <t>beetroot_soup</t>
  </si>
  <si>
    <t>bell</t>
  </si>
  <si>
    <t>birch_boat</t>
  </si>
  <si>
    <t>birch_button</t>
  </si>
  <si>
    <t>birch_door</t>
  </si>
  <si>
    <t>birch_fence</t>
  </si>
  <si>
    <t>birch_fence_gate</t>
  </si>
  <si>
    <t>birch_log</t>
  </si>
  <si>
    <t>birch_planks</t>
  </si>
  <si>
    <t>birch_pressure_plate</t>
  </si>
  <si>
    <t>birch_sign</t>
  </si>
  <si>
    <t>birch_slab</t>
  </si>
  <si>
    <t>birch_stairs</t>
  </si>
  <si>
    <t>birch_trapdoor</t>
  </si>
  <si>
    <t>birch_wood</t>
  </si>
  <si>
    <t>black_banner</t>
  </si>
  <si>
    <t>black_bed</t>
  </si>
  <si>
    <t>black_carpet</t>
  </si>
  <si>
    <t>black_concrete</t>
  </si>
  <si>
    <t>black_concrete_powder</t>
  </si>
  <si>
    <t>black_dye</t>
  </si>
  <si>
    <t>black_glazed_terracotta</t>
  </si>
  <si>
    <t>black_shulker_box</t>
  </si>
  <si>
    <t>black_stained_glass</t>
  </si>
  <si>
    <t>black_stained_glass_pane</t>
  </si>
  <si>
    <t>black_terracotta</t>
  </si>
  <si>
    <t>black_wool</t>
  </si>
  <si>
    <t>blast_furnace</t>
  </si>
  <si>
    <t>Vagonero</t>
  </si>
  <si>
    <t>blaze_powder</t>
  </si>
  <si>
    <t>blaze_rod</t>
  </si>
  <si>
    <t>blue_banner</t>
  </si>
  <si>
    <t>blue_bed</t>
  </si>
  <si>
    <t>blue_carpet</t>
  </si>
  <si>
    <t>blue_concrete</t>
  </si>
  <si>
    <t>blue_concrete_powder</t>
  </si>
  <si>
    <t>blue_dye</t>
  </si>
  <si>
    <t>blue_glazed_terracotta</t>
  </si>
  <si>
    <t>blue_ice</t>
  </si>
  <si>
    <t>blue_orchid</t>
  </si>
  <si>
    <t>blue_shulker_box</t>
  </si>
  <si>
    <t>blue_stained_glass</t>
  </si>
  <si>
    <t>blue_stained_glass_pane</t>
  </si>
  <si>
    <t>blue_terracotta</t>
  </si>
  <si>
    <t>blue_wool</t>
  </si>
  <si>
    <t>bone</t>
  </si>
  <si>
    <t>bone_block</t>
  </si>
  <si>
    <t>bone_meal</t>
  </si>
  <si>
    <t>book</t>
  </si>
  <si>
    <t>bookshelf</t>
  </si>
  <si>
    <t>bow</t>
  </si>
  <si>
    <t>bowl</t>
  </si>
  <si>
    <t>brain_coral</t>
  </si>
  <si>
    <t>brain_coral_block</t>
  </si>
  <si>
    <t>brain_coral_fan</t>
  </si>
  <si>
    <t>bread</t>
  </si>
  <si>
    <t>brewing_stand</t>
  </si>
  <si>
    <t>brick</t>
  </si>
  <si>
    <t>brick_slab</t>
  </si>
  <si>
    <t>brick_stairs</t>
  </si>
  <si>
    <t>brick_wall</t>
  </si>
  <si>
    <t>bricks</t>
  </si>
  <si>
    <t>brown_banner</t>
  </si>
  <si>
    <t>brown_bed</t>
  </si>
  <si>
    <t>brown_carpet</t>
  </si>
  <si>
    <t>brown_concrete</t>
  </si>
  <si>
    <t>brown_concrete_powder</t>
  </si>
  <si>
    <t>brown_dye</t>
  </si>
  <si>
    <t>brown_glazed_terracotta</t>
  </si>
  <si>
    <t>brown_mushroom</t>
  </si>
  <si>
    <t>brown_shulker_box</t>
  </si>
  <si>
    <t>brown_stained_glass</t>
  </si>
  <si>
    <t>brown_stained_glass_pane</t>
  </si>
  <si>
    <t>brown_terracotta</t>
  </si>
  <si>
    <t>brown_wool</t>
  </si>
  <si>
    <t>bubble_coral</t>
  </si>
  <si>
    <t>bubble_coral_block</t>
  </si>
  <si>
    <t>bubble_coral_fan</t>
  </si>
  <si>
    <t>bucket</t>
  </si>
  <si>
    <t>cactus</t>
  </si>
  <si>
    <t>cake</t>
  </si>
  <si>
    <t>campfire</t>
  </si>
  <si>
    <t>carrot</t>
  </si>
  <si>
    <t>carrot_on_a_stick</t>
  </si>
  <si>
    <t>cartography_table</t>
  </si>
  <si>
    <t>carved_pumpkin</t>
  </si>
  <si>
    <t>cauldron</t>
  </si>
  <si>
    <t>chainmail_boots</t>
  </si>
  <si>
    <t>chainmail_chestplate</t>
  </si>
  <si>
    <t>chainmail_helmet</t>
  </si>
  <si>
    <t>chainmail_leggings</t>
  </si>
  <si>
    <t>charcoal</t>
  </si>
  <si>
    <t>chest</t>
  </si>
  <si>
    <t>chest_minecart</t>
  </si>
  <si>
    <t>chicken</t>
  </si>
  <si>
    <t>chiseled_quartz_block</t>
  </si>
  <si>
    <t>chiseled_red_sandstone</t>
  </si>
  <si>
    <t>chiseled_sandstone</t>
  </si>
  <si>
    <t>chiseled_stone_bricks</t>
  </si>
  <si>
    <t>chorus_flower</t>
  </si>
  <si>
    <t>chorus_fruit</t>
  </si>
  <si>
    <t>chorus_plant</t>
  </si>
  <si>
    <t>clay</t>
  </si>
  <si>
    <t>clay_ball</t>
  </si>
  <si>
    <t>clock</t>
  </si>
  <si>
    <t>coal</t>
  </si>
  <si>
    <t>coal_block</t>
  </si>
  <si>
    <t>coal_ore</t>
  </si>
  <si>
    <t>coarse_dirt</t>
  </si>
  <si>
    <t>cobblestone</t>
  </si>
  <si>
    <t>cobblestone_slab</t>
  </si>
  <si>
    <t>cobblestone_stairs</t>
  </si>
  <si>
    <t>cobblestone_wall</t>
  </si>
  <si>
    <t>cobweb</t>
  </si>
  <si>
    <t>cod</t>
  </si>
  <si>
    <t>comparator</t>
  </si>
  <si>
    <t>compass</t>
  </si>
  <si>
    <t>composter</t>
  </si>
  <si>
    <t>conduit</t>
  </si>
  <si>
    <t>cooked_beef</t>
  </si>
  <si>
    <t>cooked_chicken</t>
  </si>
  <si>
    <t>cooked_cod</t>
  </si>
  <si>
    <t>cooked_mutton</t>
  </si>
  <si>
    <t>cooked_porkchop</t>
  </si>
  <si>
    <t>cooked_rabbit</t>
  </si>
  <si>
    <t>cooked_salmon</t>
  </si>
  <si>
    <t>cookie</t>
  </si>
  <si>
    <t>cornflower</t>
  </si>
  <si>
    <t>cracked_stone_bricks</t>
  </si>
  <si>
    <t>crafting_table</t>
  </si>
  <si>
    <t>creeper_banner_pattern</t>
  </si>
  <si>
    <t>crossbow</t>
  </si>
  <si>
    <t>cut_red_sandstone</t>
  </si>
  <si>
    <t>cut_red_sandstone_slab</t>
  </si>
  <si>
    <t>cut_sandstone</t>
  </si>
  <si>
    <t>cut_sandstone_slab</t>
  </si>
  <si>
    <t>cyan_banner</t>
  </si>
  <si>
    <t>cyan_bed</t>
  </si>
  <si>
    <t>cyan_carpet</t>
  </si>
  <si>
    <t>cyan_concrete</t>
  </si>
  <si>
    <t>cyan_concrete_powder</t>
  </si>
  <si>
    <t>cyan_dye</t>
  </si>
  <si>
    <t>cyan_glazed_terracotta</t>
  </si>
  <si>
    <t>cyan_shulker_box</t>
  </si>
  <si>
    <t>cyan_stained_glass</t>
  </si>
  <si>
    <t>cyan_stained_glass_pane</t>
  </si>
  <si>
    <t>cyan_terracotta</t>
  </si>
  <si>
    <t>cyan_wool</t>
  </si>
  <si>
    <t>dandelion</t>
  </si>
  <si>
    <t>dark_oak_boat</t>
  </si>
  <si>
    <t>dark_oak_button</t>
  </si>
  <si>
    <t>dark_oak_door</t>
  </si>
  <si>
    <t>dark_oak_fence</t>
  </si>
  <si>
    <t>dark_oak_fence_gate</t>
  </si>
  <si>
    <t>dark_oak_log</t>
  </si>
  <si>
    <t>dark_oak_planks</t>
  </si>
  <si>
    <t>dark_oak_pressure_plate</t>
  </si>
  <si>
    <t>dark_oak_sign</t>
  </si>
  <si>
    <t>dark_oak_slab</t>
  </si>
  <si>
    <t>dark_oak_stairs</t>
  </si>
  <si>
    <t>dark_oak_trapdoor</t>
  </si>
  <si>
    <t>dark_oak_wood</t>
  </si>
  <si>
    <t>dark_prismarine</t>
  </si>
  <si>
    <t>dark_prismarine_slab</t>
  </si>
  <si>
    <t>dark_prismarine_stairs</t>
  </si>
  <si>
    <t>daylight_detector</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</si>
  <si>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</si>
  <si>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</si>
  <si>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</si>
  <si>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</si>
  <si>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</si>
  <si>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</si>
  <si>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</si>
  <si>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</si>
  <si>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</si>
  <si>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</si>
  <si>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</si>
  <si>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</si>
  <si>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</si>
  <si>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</si>
  <si>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</si>
  <si>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</si>
  <si>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detector_rail</t>
  </si>
  <si>
    <t>diamond</t>
  </si>
  <si>
    <t>diamond_axe</t>
  </si>
  <si>
    <t>diamond_block</t>
  </si>
  <si>
    <t>diamond_boots</t>
  </si>
  <si>
    <t>diamond_chestplate</t>
  </si>
  <si>
    <t>diamond_helmet</t>
  </si>
  <si>
    <t>diamond_hoe</t>
  </si>
  <si>
    <t>diamond_horse_armor</t>
  </si>
  <si>
    <t>diamond_leggings</t>
  </si>
  <si>
    <t>diamond_ore</t>
  </si>
  <si>
    <t>diamond_pickaxe</t>
  </si>
  <si>
    <t>diamond_shovel</t>
  </si>
  <si>
    <t>diamond_sword</t>
  </si>
  <si>
    <t>diorite</t>
  </si>
  <si>
    <t>diorite_slab</t>
  </si>
  <si>
    <t>diorite_stairs</t>
  </si>
  <si>
    <t>diorite_wall</t>
  </si>
  <si>
    <t>dirt</t>
  </si>
  <si>
    <t>dispenser</t>
  </si>
  <si>
    <t>dragon_breath</t>
  </si>
  <si>
    <t>dragon_egg</t>
  </si>
  <si>
    <t>dragon_head</t>
  </si>
  <si>
    <t>dried_kelp</t>
  </si>
  <si>
    <t>dried_kelp_block</t>
  </si>
  <si>
    <t>dropper</t>
  </si>
  <si>
    <t>egg</t>
  </si>
  <si>
    <t>elytra</t>
  </si>
  <si>
    <t>emerald</t>
  </si>
  <si>
    <t>emerald_block</t>
  </si>
  <si>
    <t>emerald_ore</t>
  </si>
  <si>
    <t>enchanted_book</t>
  </si>
  <si>
    <t>enchanted_golden_apple</t>
  </si>
  <si>
    <t>enchanting_table</t>
  </si>
  <si>
    <t>end_crystal</t>
  </si>
  <si>
    <t>end_portal_frame</t>
  </si>
  <si>
    <t>end_rod</t>
  </si>
  <si>
    <t>end_stone</t>
  </si>
  <si>
    <t>end_stone_brick_slab</t>
  </si>
  <si>
    <t>end_stone_brick_stairs</t>
  </si>
  <si>
    <t>end_stone_brick_wall</t>
  </si>
  <si>
    <t>end_stone_bricks</t>
  </si>
  <si>
    <t>ender_chest</t>
  </si>
  <si>
    <t>ender_eye</t>
  </si>
  <si>
    <t>ender_pearl</t>
  </si>
  <si>
    <t>experience_bottle</t>
  </si>
  <si>
    <t>farmland</t>
  </si>
  <si>
    <t>feather</t>
  </si>
  <si>
    <t>fermented_spider_eye</t>
  </si>
  <si>
    <t>fern</t>
  </si>
  <si>
    <t>fire_charge</t>
  </si>
  <si>
    <t>fire_coral</t>
  </si>
  <si>
    <t>fire_coral_block</t>
  </si>
  <si>
    <t>fire_coral_fan</t>
  </si>
  <si>
    <t>firework_rocket</t>
  </si>
  <si>
    <t>firework_star</t>
  </si>
  <si>
    <t>fishing_rod</t>
  </si>
  <si>
    <t>fletching_table</t>
  </si>
  <si>
    <t>flint</t>
  </si>
  <si>
    <t>flint_and_steel</t>
  </si>
  <si>
    <t>flower_banner_pattern</t>
  </si>
  <si>
    <t>flower_pot</t>
  </si>
  <si>
    <t>furnace</t>
  </si>
  <si>
    <t>furnace_minecart</t>
  </si>
  <si>
    <t>ghast_tear</t>
  </si>
  <si>
    <t>glass</t>
  </si>
  <si>
    <t>glass_bottle</t>
  </si>
  <si>
    <t>glass_pane</t>
  </si>
  <si>
    <t>glistering_melon_slice</t>
  </si>
  <si>
    <t>globe_banner_pattern</t>
  </si>
  <si>
    <t>glowstone</t>
  </si>
  <si>
    <t>glowstone_dust</t>
  </si>
  <si>
    <t>gold_block</t>
  </si>
  <si>
    <t>gold_ingot</t>
  </si>
  <si>
    <t>gold_nugget</t>
  </si>
  <si>
    <t>gold_ore</t>
  </si>
  <si>
    <t>golden_apple</t>
  </si>
  <si>
    <t>golden_axe</t>
  </si>
  <si>
    <t>golden_boots</t>
  </si>
  <si>
    <t>golden_carrot</t>
  </si>
  <si>
    <t>golden_chestplate</t>
  </si>
  <si>
    <t>golden_helmet</t>
  </si>
  <si>
    <t>golden_hoe</t>
  </si>
  <si>
    <t>golden_horse_armor</t>
  </si>
  <si>
    <t>golden_leggings</t>
  </si>
  <si>
    <t>golden_pickaxe</t>
  </si>
  <si>
    <t>golden_shovel</t>
  </si>
  <si>
    <t>golden_sword</t>
  </si>
  <si>
    <t>granite</t>
  </si>
  <si>
    <t>granite_slab</t>
  </si>
  <si>
    <t>granite_stairs</t>
  </si>
  <si>
    <t>granite_wall</t>
  </si>
  <si>
    <t>grass</t>
  </si>
  <si>
    <t>grass_block</t>
  </si>
  <si>
    <t>grass_path</t>
  </si>
  <si>
    <t>gravel</t>
  </si>
  <si>
    <t>gray_banner</t>
  </si>
  <si>
    <t>gray_bed</t>
  </si>
  <si>
    <t>gray_carpet</t>
  </si>
  <si>
    <t>gray_concrete</t>
  </si>
  <si>
    <t>gray_concrete_powder</t>
  </si>
  <si>
    <t>gray_dye</t>
  </si>
  <si>
    <t>gray_glazed_terracotta</t>
  </si>
  <si>
    <t>gray_shulker_box</t>
  </si>
  <si>
    <t>gray_stained_glass</t>
  </si>
  <si>
    <t>gray_stained_glass_pane</t>
  </si>
  <si>
    <t>gray_terracotta</t>
  </si>
  <si>
    <t>gray_wool</t>
  </si>
  <si>
    <t>green_banner</t>
  </si>
  <si>
    <t>green_bed</t>
  </si>
  <si>
    <t>green_carpet</t>
  </si>
  <si>
    <t>green_concrete</t>
  </si>
  <si>
    <t>green_concrete_powder</t>
  </si>
  <si>
    <t>green_dye</t>
  </si>
  <si>
    <t>green_glazed_terracotta</t>
  </si>
  <si>
    <t>green_shulker_box</t>
  </si>
  <si>
    <t>green_stained_glass</t>
  </si>
  <si>
    <t>green_stained_glass_pane</t>
  </si>
  <si>
    <t>green_terracotta</t>
  </si>
  <si>
    <t>green_wool</t>
  </si>
  <si>
    <t>grindstone</t>
  </si>
  <si>
    <t>gunpowder</t>
  </si>
  <si>
    <t>hay_block</t>
  </si>
  <si>
    <t>heart_of_the_sea</t>
  </si>
  <si>
    <t>heavy_weighted_pressure_plate</t>
  </si>
  <si>
    <t>hopper</t>
  </si>
  <si>
    <t>hopper_minecart</t>
  </si>
  <si>
    <t>horn_coral</t>
  </si>
  <si>
    <t>horn_coral_block</t>
  </si>
  <si>
    <t>horn_coral_fan</t>
  </si>
  <si>
    <t>ice</t>
  </si>
  <si>
    <t>infested_chiseled_stone_bricks</t>
  </si>
  <si>
    <t>infested_cobblestone</t>
  </si>
  <si>
    <t>infested_cracked_stone_bricks</t>
  </si>
  <si>
    <t>infested_mossy_stone_bricks</t>
  </si>
  <si>
    <t>infested_stone</t>
  </si>
  <si>
    <t>infested_stone_bricks</t>
  </si>
  <si>
    <t>ink_sac</t>
  </si>
  <si>
    <t>iron_axe</t>
  </si>
  <si>
    <t>iron_bars</t>
  </si>
  <si>
    <t>iron_block</t>
  </si>
  <si>
    <t>iron_boots</t>
  </si>
  <si>
    <t>iron_chestplate</t>
  </si>
  <si>
    <t>iron_door</t>
  </si>
  <si>
    <t>iron_helmet</t>
  </si>
  <si>
    <t>iron_hoe</t>
  </si>
  <si>
    <t>iron_horse_armor</t>
  </si>
  <si>
    <t>iron_ingot</t>
  </si>
  <si>
    <t>iron_leggings</t>
  </si>
  <si>
    <t>iron_nugget</t>
  </si>
  <si>
    <t>iron_ore</t>
  </si>
  <si>
    <t>iron_pickaxe</t>
  </si>
  <si>
    <t>iron_shovel</t>
  </si>
  <si>
    <t>iron_sword</t>
  </si>
  <si>
    <t>iron_trapdoor</t>
  </si>
  <si>
    <t>item_frame</t>
  </si>
  <si>
    <t>jack_o_lantern</t>
  </si>
  <si>
    <t>jukebox</t>
  </si>
  <si>
    <t>jungle_boat</t>
  </si>
  <si>
    <t>jungle_button</t>
  </si>
  <si>
    <t>jungle_door</t>
  </si>
  <si>
    <t>jungle_fence</t>
  </si>
  <si>
    <t>jungle_fence_gate</t>
  </si>
  <si>
    <t>jungle_log</t>
  </si>
  <si>
    <t>jungle_planks</t>
  </si>
  <si>
    <t>jungle_pressure_plate</t>
  </si>
  <si>
    <t>jungle_sign</t>
  </si>
  <si>
    <t>jungle_slab</t>
  </si>
  <si>
    <t>jungle_stairs</t>
  </si>
  <si>
    <t>jungle_trapdoor</t>
  </si>
  <si>
    <t>jungle_wood</t>
  </si>
  <si>
    <t>kelp</t>
  </si>
  <si>
    <t>ladder</t>
  </si>
  <si>
    <t>lantern</t>
  </si>
  <si>
    <t>lapis_block</t>
  </si>
  <si>
    <t>lapis_lazuli</t>
  </si>
  <si>
    <t>lapis_ore</t>
  </si>
  <si>
    <t>large_fern</t>
  </si>
  <si>
    <t>lead</t>
  </si>
  <si>
    <t>leather</t>
  </si>
  <si>
    <t>leather_boots</t>
  </si>
  <si>
    <t>leather_chestplate</t>
  </si>
  <si>
    <t>leather_helmet</t>
  </si>
  <si>
    <t>leather_horse_armor</t>
  </si>
  <si>
    <t>leather_leggings</t>
  </si>
  <si>
    <t>lectern</t>
  </si>
  <si>
    <t>lever</t>
  </si>
  <si>
    <t>light_blue_banner</t>
  </si>
  <si>
    <t>light_blue_bed</t>
  </si>
  <si>
    <t>light_blue_carpet</t>
  </si>
  <si>
    <t>light_blue_concrete</t>
  </si>
  <si>
    <t>light_blue_concrete_powder</t>
  </si>
  <si>
    <t>light_blue_dye</t>
  </si>
  <si>
    <t>light_blue_glazed_terracotta</t>
  </si>
  <si>
    <t>light_blue_shulker_box</t>
  </si>
  <si>
    <t>light_blue_stained_glass</t>
  </si>
  <si>
    <t>light_blue_stained_glass_pane</t>
  </si>
  <si>
    <t>light_blue_terracotta</t>
  </si>
  <si>
    <t>light_blue_wool</t>
  </si>
  <si>
    <t>light_gray_banner</t>
  </si>
  <si>
    <t>light_gray_bed</t>
  </si>
  <si>
    <t>light_gray_carpet</t>
  </si>
  <si>
    <t>light_gray_concrete</t>
  </si>
  <si>
    <t>light_gray_concrete_powder</t>
  </si>
  <si>
    <t>light_gray_dye</t>
  </si>
  <si>
    <t>light_gray_glazed_terracotta</t>
  </si>
  <si>
    <t>light_gray_shulker_box</t>
  </si>
  <si>
    <t>light_gray_stained_glass</t>
  </si>
  <si>
    <t>light_gray_stained_glass_pane</t>
  </si>
  <si>
    <t>light_gray_terracotta</t>
  </si>
  <si>
    <t>light_gray_wool</t>
  </si>
  <si>
    <t>light_weighted_pressure_plate</t>
  </si>
  <si>
    <t>lilac</t>
  </si>
  <si>
    <t>lily_of_the_valley</t>
  </si>
  <si>
    <t>lily_pad</t>
  </si>
  <si>
    <t>lime_banner</t>
  </si>
  <si>
    <t>lime_bed</t>
  </si>
  <si>
    <t>lime_carpet</t>
  </si>
  <si>
    <t>lime_concrete</t>
  </si>
  <si>
    <t>lime_concrete_powder</t>
  </si>
  <si>
    <t>lime_dye</t>
  </si>
  <si>
    <t>lime_glazed_terracotta</t>
  </si>
  <si>
    <t>lime_shulker_box</t>
  </si>
  <si>
    <t>lime_stained_glass</t>
  </si>
  <si>
    <t>lime_stained_glass_pane</t>
  </si>
  <si>
    <t>lime_terracotta</t>
  </si>
  <si>
    <t>lime_wool</t>
  </si>
  <si>
    <t>loom</t>
  </si>
  <si>
    <t>magenta_banner</t>
  </si>
  <si>
    <t>magenta_bed</t>
  </si>
  <si>
    <t>magenta_carpet</t>
  </si>
  <si>
    <t>magenta_concrete</t>
  </si>
  <si>
    <t>magenta_concrete_powder</t>
  </si>
  <si>
    <t>magenta_dye</t>
  </si>
  <si>
    <t>magenta_glazed_terracotta</t>
  </si>
  <si>
    <t>magenta_shulker_box</t>
  </si>
  <si>
    <t>magenta_stained_glass</t>
  </si>
  <si>
    <t>magenta_stained_glass_pane</t>
  </si>
  <si>
    <t>magenta_terracotta</t>
  </si>
  <si>
    <t>magenta_wool</t>
  </si>
  <si>
    <t>magma_block</t>
  </si>
  <si>
    <t>magma_cream</t>
  </si>
  <si>
    <t>map</t>
  </si>
  <si>
    <t>melon</t>
  </si>
  <si>
    <t>melon_slice</t>
  </si>
  <si>
    <t>minecart</t>
  </si>
  <si>
    <t>mojang_banner_pattern</t>
  </si>
  <si>
    <t>mossy_cobblestone</t>
  </si>
  <si>
    <t>mossy_cobblestone_slab</t>
  </si>
  <si>
    <t>mossy_cobblestone_stairs</t>
  </si>
  <si>
    <t>mossy_cobblestone_wall</t>
  </si>
  <si>
    <t>mossy_stone_brick_slab</t>
  </si>
  <si>
    <t>mossy_stone_brick_stairs</t>
  </si>
  <si>
    <t>mossy_stone_brick_wall</t>
  </si>
  <si>
    <t>mossy_stone_bricks</t>
  </si>
  <si>
    <t>mushroom_stew</t>
  </si>
  <si>
    <t>mutton</t>
  </si>
  <si>
    <t>mycelium</t>
  </si>
  <si>
    <t>name_tag</t>
  </si>
  <si>
    <t>nautilus_shell</t>
  </si>
  <si>
    <t>nether_brick</t>
  </si>
  <si>
    <t>nether_brick_fence</t>
  </si>
  <si>
    <t>nether_brick_slab</t>
  </si>
  <si>
    <t>nether_brick_stairs</t>
  </si>
  <si>
    <t>nether_brick_wall</t>
  </si>
  <si>
    <t>nether_bricks</t>
  </si>
  <si>
    <t>nether_quartz_ore</t>
  </si>
  <si>
    <t>nether_star</t>
  </si>
  <si>
    <t>nether_wart</t>
  </si>
  <si>
    <t>nether_wart_block</t>
  </si>
  <si>
    <t>netherrack</t>
  </si>
  <si>
    <t>note_block</t>
  </si>
  <si>
    <t>oak_button</t>
  </si>
  <si>
    <t>oak_door</t>
  </si>
  <si>
    <t>oak_fence</t>
  </si>
  <si>
    <t>oak_fence_gate</t>
  </si>
  <si>
    <t>oak_log</t>
  </si>
  <si>
    <t>oak_planks</t>
  </si>
  <si>
    <t>oak_pressure_plate</t>
  </si>
  <si>
    <t>oak_sign</t>
  </si>
  <si>
    <t>oak_slab</t>
  </si>
  <si>
    <t>oak_stairs</t>
  </si>
  <si>
    <t>oak_trapdoor</t>
  </si>
  <si>
    <t>oak_wood</t>
  </si>
  <si>
    <t>observer</t>
  </si>
  <si>
    <t>obsidian</t>
  </si>
  <si>
    <t>orange_banner</t>
  </si>
  <si>
    <t>orange_bed</t>
  </si>
  <si>
    <t>orange_carpet</t>
  </si>
  <si>
    <t>orange_concrete</t>
  </si>
  <si>
    <t>orange_concrete_powder</t>
  </si>
  <si>
    <t>orange_dye</t>
  </si>
  <si>
    <t>orange_glazed_terracotta</t>
  </si>
  <si>
    <t>orange_shulker_box</t>
  </si>
  <si>
    <t>orange_stained_glass</t>
  </si>
  <si>
    <t>orange_stained_glass_pane</t>
  </si>
  <si>
    <t>orange_terracotta</t>
  </si>
  <si>
    <t>orange_tulip</t>
  </si>
  <si>
    <t>orange_wool</t>
  </si>
  <si>
    <t>oxeye_daisy</t>
  </si>
  <si>
    <t>packed_ice</t>
  </si>
  <si>
    <t>painting</t>
  </si>
  <si>
    <t>paper</t>
  </si>
  <si>
    <t>peony</t>
  </si>
  <si>
    <t>petrified_oak_slab</t>
  </si>
  <si>
    <t>phantom_membrane</t>
  </si>
  <si>
    <t>pink_banner</t>
  </si>
  <si>
    <t>pink_bed</t>
  </si>
  <si>
    <t>pink_carpet</t>
  </si>
  <si>
    <t>pink_concrete</t>
  </si>
  <si>
    <t>pink_concrete_powder</t>
  </si>
  <si>
    <t>pink_dye</t>
  </si>
  <si>
    <t>pink_glazed_terracotta</t>
  </si>
  <si>
    <t>pink_shulker_box</t>
  </si>
  <si>
    <t>pink_stained_glass</t>
  </si>
  <si>
    <t>pink_stained_glass_pane</t>
  </si>
  <si>
    <t>pink_terracotta</t>
  </si>
  <si>
    <t>pink_tulip</t>
  </si>
  <si>
    <t>pink_wool</t>
  </si>
  <si>
    <t>piston</t>
  </si>
  <si>
    <t>podzol</t>
  </si>
  <si>
    <t>poisonous_potato</t>
  </si>
  <si>
    <t>polished_andesite</t>
  </si>
  <si>
    <t>polished_andesite_slab</t>
  </si>
  <si>
    <t>polished_andesite_stairs</t>
  </si>
  <si>
    <t>polished_diorite</t>
  </si>
  <si>
    <t>polished_diorite_slab</t>
  </si>
  <si>
    <t>polished_diorite_stairs</t>
  </si>
  <si>
    <t>polished_granite</t>
  </si>
  <si>
    <t>polished_granite_slab</t>
  </si>
  <si>
    <t>polished_granite_stairs</t>
  </si>
  <si>
    <t>popped_chorus_fruit</t>
  </si>
  <si>
    <t>poppy</t>
  </si>
  <si>
    <t>porkchop</t>
  </si>
  <si>
    <t>potato</t>
  </si>
  <si>
    <t>powered_rail</t>
  </si>
  <si>
    <t>prismarine</t>
  </si>
  <si>
    <t>prismarine_brick_slab</t>
  </si>
  <si>
    <t>prismarine_brick_stairs</t>
  </si>
  <si>
    <t>prismarine_bricks</t>
  </si>
  <si>
    <t>prismarine_crystals</t>
  </si>
  <si>
    <t>prismarine_shard</t>
  </si>
  <si>
    <t>prismarine_slab</t>
  </si>
  <si>
    <t>prismarine_stairs</t>
  </si>
  <si>
    <t>prismarine_wall</t>
  </si>
  <si>
    <t>pufferfish</t>
  </si>
  <si>
    <t>pumpkin</t>
  </si>
  <si>
    <t>pumpkin_pie</t>
  </si>
  <si>
    <t>pumpkin_seeds</t>
  </si>
  <si>
    <t>purple_banner</t>
  </si>
  <si>
    <t>purple_bed</t>
  </si>
  <si>
    <t>purple_carpet</t>
  </si>
  <si>
    <t>purple_concrete</t>
  </si>
  <si>
    <t>purple_concrete_powder</t>
  </si>
  <si>
    <t>purple_dye</t>
  </si>
  <si>
    <t>purple_glazed_terracotta</t>
  </si>
  <si>
    <t>purple_shulker_box</t>
  </si>
  <si>
    <t>purple_stained_glass</t>
  </si>
  <si>
    <t>purple_stained_glass_pane</t>
  </si>
  <si>
    <t>purple_terracotta</t>
  </si>
  <si>
    <t>purple_wool</t>
  </si>
  <si>
    <t>purpur_block</t>
  </si>
  <si>
    <t>purpur_pillar</t>
  </si>
  <si>
    <t>purpur_slab</t>
  </si>
  <si>
    <t>purpur_stairs</t>
  </si>
  <si>
    <t>quartz</t>
  </si>
  <si>
    <t>quartz_block</t>
  </si>
  <si>
    <t>quartz_pillar</t>
  </si>
  <si>
    <t>quartz_slab</t>
  </si>
  <si>
    <t>quartz_stairs</t>
  </si>
  <si>
    <t>rabbit</t>
  </si>
  <si>
    <t>rabbit_foot</t>
  </si>
  <si>
    <t>rabbit_hide</t>
  </si>
  <si>
    <t>rabbit_stew</t>
  </si>
  <si>
    <t>rail</t>
  </si>
  <si>
    <t>red_banner</t>
  </si>
  <si>
    <t>red_bed</t>
  </si>
  <si>
    <t>red_carpet</t>
  </si>
  <si>
    <t>red_concrete</t>
  </si>
  <si>
    <t>red_concrete_powder</t>
  </si>
  <si>
    <t>red_dye</t>
  </si>
  <si>
    <t>red_glazed_terracotta</t>
  </si>
  <si>
    <t>red_mushroom</t>
  </si>
  <si>
    <t>red_nether_brick_slab</t>
  </si>
  <si>
    <t>red_nether_brick_stairs</t>
  </si>
  <si>
    <t>red_nether_brick_wall</t>
  </si>
  <si>
    <t>red_nether_bricks</t>
  </si>
  <si>
    <t>red_sand</t>
  </si>
  <si>
    <t>red_sandstone</t>
  </si>
  <si>
    <t>red_sandstone_slab</t>
  </si>
  <si>
    <t>red_sandstone_stairs</t>
  </si>
  <si>
    <t>red_sandstone_wall</t>
  </si>
  <si>
    <t>red_shulker_box</t>
  </si>
  <si>
    <t>red_stained_glass</t>
  </si>
  <si>
    <t>red_stained_glass_pane</t>
  </si>
  <si>
    <t>red_terracotta</t>
  </si>
  <si>
    <t>red_tulip</t>
  </si>
  <si>
    <t>red_wool</t>
  </si>
  <si>
    <t>redstone</t>
  </si>
  <si>
    <t>redstone_block</t>
  </si>
  <si>
    <t>redstone_lamp</t>
  </si>
  <si>
    <t>redstone_ore</t>
  </si>
  <si>
    <t>redstone_torch</t>
  </si>
  <si>
    <t>repeater</t>
  </si>
  <si>
    <t>repeating_command_block</t>
  </si>
  <si>
    <t>rose_bush</t>
  </si>
  <si>
    <t>rotten_flesh</t>
  </si>
  <si>
    <t>saddle</t>
  </si>
  <si>
    <t>salmon</t>
  </si>
  <si>
    <t>sand</t>
  </si>
  <si>
    <t>sandstone</t>
  </si>
  <si>
    <t>sandstone_slab</t>
  </si>
  <si>
    <t>sandstone_stairs</t>
  </si>
  <si>
    <t>sandstone_wall</t>
  </si>
  <si>
    <t>scaffolding</t>
  </si>
  <si>
    <t>scute</t>
  </si>
  <si>
    <t>sea_lantern</t>
  </si>
  <si>
    <t>sea_pickle</t>
  </si>
  <si>
    <t>seagrass</t>
  </si>
  <si>
    <t>shears</t>
  </si>
  <si>
    <t>shield</t>
  </si>
  <si>
    <t>shulker_box</t>
  </si>
  <si>
    <t>shulker_shell</t>
  </si>
  <si>
    <t>skull_banner_pattern</t>
  </si>
  <si>
    <t>slime_ball</t>
  </si>
  <si>
    <t>slime_block</t>
  </si>
  <si>
    <t>smithing_table</t>
  </si>
  <si>
    <t>smoker</t>
  </si>
  <si>
    <t>smooth_quartz</t>
  </si>
  <si>
    <t>smooth_quartz_slab</t>
  </si>
  <si>
    <t>smooth_quartz_stairs</t>
  </si>
  <si>
    <t>smooth_red_sandstone</t>
  </si>
  <si>
    <t>smooth_red_sandstone_slab</t>
  </si>
  <si>
    <t>smooth_red_sandstone_stairs</t>
  </si>
  <si>
    <t>smooth_sandstone</t>
  </si>
  <si>
    <t>smooth_sandstone_slab</t>
  </si>
  <si>
    <t>smooth_sandstone_stairs</t>
  </si>
  <si>
    <t>smooth_stone</t>
  </si>
  <si>
    <t>smooth_stone_slab</t>
  </si>
  <si>
    <t>snow</t>
  </si>
  <si>
    <t>snow_block</t>
  </si>
  <si>
    <t>snowball</t>
  </si>
  <si>
    <t>soul_sand</t>
  </si>
  <si>
    <t>spectral_arrow</t>
  </si>
  <si>
    <t>spider_eye</t>
  </si>
  <si>
    <t>sponge</t>
  </si>
  <si>
    <t>spruce_boat</t>
  </si>
  <si>
    <t>spruce_button</t>
  </si>
  <si>
    <t>spruce_door</t>
  </si>
  <si>
    <t>spruce_fence</t>
  </si>
  <si>
    <t>spruce_fence_gate</t>
  </si>
  <si>
    <t>spruce_log</t>
  </si>
  <si>
    <t>spruce_planks</t>
  </si>
  <si>
    <t>spruce_pressure_plate</t>
  </si>
  <si>
    <t>spruce_sign</t>
  </si>
  <si>
    <t>spruce_slab</t>
  </si>
  <si>
    <t>spruce_stairs</t>
  </si>
  <si>
    <t>spruce_trapdoor</t>
  </si>
  <si>
    <t>spruce_wood</t>
  </si>
  <si>
    <t>stick</t>
  </si>
  <si>
    <t>sticky_piston</t>
  </si>
  <si>
    <t>stone</t>
  </si>
  <si>
    <t>stone_axe</t>
  </si>
  <si>
    <t>stone_brick_slab</t>
  </si>
  <si>
    <t>stone_brick_stairs</t>
  </si>
  <si>
    <t>stone_brick_wall</t>
  </si>
  <si>
    <t>stone_bricks</t>
  </si>
  <si>
    <t>stone_button</t>
  </si>
  <si>
    <t>stone_hoe</t>
  </si>
  <si>
    <t>stone_pickaxe</t>
  </si>
  <si>
    <t>stone_pressure_plate</t>
  </si>
  <si>
    <t>stone_shovel</t>
  </si>
  <si>
    <t>stone_slab</t>
  </si>
  <si>
    <t>stone_stairs</t>
  </si>
  <si>
    <t>stone_sword</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</si>
  <si>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</si>
  <si>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</si>
  <si>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</si>
  <si>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</si>
  <si>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</si>
  <si>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</si>
  <si>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</si>
  <si>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</si>
  <si>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</si>
  <si>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</si>
  <si>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</si>
  <si>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</si>
  <si>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</si>
  <si>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structure_block</t>
  </si>
  <si>
    <t>structure_void</t>
  </si>
  <si>
    <t>sugar</t>
  </si>
  <si>
    <t>sugar_cane</t>
  </si>
  <si>
    <t>sunflower</t>
  </si>
  <si>
    <t>suspicious_stew</t>
  </si>
  <si>
    <t>sweet_berries</t>
  </si>
  <si>
    <t>tall_grass</t>
  </si>
  <si>
    <t>terracotta</t>
  </si>
  <si>
    <t>tnt_minecart</t>
  </si>
  <si>
    <t>tnt</t>
  </si>
  <si>
    <t>torch</t>
  </si>
  <si>
    <t>totem_of_undying</t>
  </si>
  <si>
    <t>trapped_chest</t>
  </si>
  <si>
    <t>trident</t>
  </si>
  <si>
    <t>tripwire_hook</t>
  </si>
  <si>
    <t>tropical_fish</t>
  </si>
  <si>
    <t>tube_coral</t>
  </si>
  <si>
    <t>tube_coral_block</t>
  </si>
  <si>
    <t>tube_coral_fan</t>
  </si>
  <si>
    <t>turtle_helmet</t>
  </si>
  <si>
    <t>vine</t>
  </si>
  <si>
    <t>wet_sponge</t>
  </si>
  <si>
    <t>wheat</t>
  </si>
  <si>
    <t>wheat_seeds</t>
  </si>
  <si>
    <t>white_banner</t>
  </si>
  <si>
    <t>white_bed</t>
  </si>
  <si>
    <t>white_carpet</t>
  </si>
  <si>
    <t>white_concrete</t>
  </si>
  <si>
    <t>white_concrete_powder</t>
  </si>
  <si>
    <t>white_dye</t>
  </si>
  <si>
    <t>white_glazed_terracotta</t>
  </si>
  <si>
    <t>white_shulker_box</t>
  </si>
  <si>
    <t>white_stained_glass</t>
  </si>
  <si>
    <t>white_stained_glass_pane</t>
  </si>
  <si>
    <t>white_terracotta</t>
  </si>
  <si>
    <t>white_tulip</t>
  </si>
  <si>
    <t>white_wool</t>
  </si>
  <si>
    <t>wither_rose</t>
  </si>
  <si>
    <t>wither_skeleton_skull</t>
  </si>
  <si>
    <t>wooden_axe</t>
  </si>
  <si>
    <t>wooden_hoe</t>
  </si>
  <si>
    <t>wooden_pickaxe</t>
  </si>
  <si>
    <t>wooden_shovel</t>
  </si>
  <si>
    <t>wooden_sword</t>
  </si>
  <si>
    <t>writable_book</t>
  </si>
  <si>
    <t>yellow_banner</t>
  </si>
  <si>
    <t>yellow_bed</t>
  </si>
  <si>
    <t>yellow_carpet</t>
  </si>
  <si>
    <t>yellow_concrete</t>
  </si>
  <si>
    <t>yellow_concrete_powder</t>
  </si>
  <si>
    <t>yellow_dye</t>
  </si>
  <si>
    <t>yellow_glazed_terracotta</t>
  </si>
  <si>
    <t>yellow_shulker_box</t>
  </si>
  <si>
    <t>yellow_stained_glass</t>
  </si>
  <si>
    <t>yellow_stained_glass_pane</t>
  </si>
  <si>
    <t>yellow_terracotta</t>
  </si>
  <si>
    <t>yellow_wool</t>
  </si>
  <si>
    <t>zombie_head</t>
  </si>
  <si>
    <t>Nombre ID</t>
  </si>
  <si>
    <t>Puntos</t>
  </si>
  <si>
    <t>Material 1</t>
  </si>
  <si>
    <t>Cantidad</t>
  </si>
  <si>
    <t>Material 2</t>
  </si>
  <si>
    <t>Material 3</t>
  </si>
  <si>
    <t>Material 4</t>
  </si>
  <si>
    <t>Material 5</t>
  </si>
  <si>
    <t>Material 6</t>
  </si>
  <si>
    <t>Ninguno</t>
  </si>
  <si>
    <t>STONES</t>
  </si>
  <si>
    <t>Stone</t>
  </si>
  <si>
    <t>Granite</t>
  </si>
  <si>
    <t>Diorite</t>
  </si>
  <si>
    <t>Andesite</t>
  </si>
  <si>
    <t>cocoa_beans</t>
  </si>
  <si>
    <t>creeper_head</t>
  </si>
  <si>
    <t>Dirt</t>
  </si>
  <si>
    <t>oak_boat</t>
  </si>
  <si>
    <t>phantom mob 522</t>
  </si>
  <si>
    <t>carbon, Podzol</t>
  </si>
  <si>
    <t>CARBON/PODZOL</t>
  </si>
  <si>
    <t>SHULKER</t>
  </si>
  <si>
    <t>souldsand</t>
  </si>
  <si>
    <t>PROFESION</t>
  </si>
  <si>
    <t>CREACION</t>
  </si>
  <si>
    <t>SQUID</t>
  </si>
  <si>
    <t>d</t>
  </si>
  <si>
    <t>o</t>
  </si>
  <si>
    <t>p</t>
  </si>
  <si>
    <t>LAPIZLAZULI</t>
  </si>
  <si>
    <t>SWEET BERRIES</t>
  </si>
  <si>
    <t>MELON</t>
  </si>
  <si>
    <t>SEAGRASS</t>
  </si>
  <si>
    <t>Melon Sweet Berries</t>
  </si>
  <si>
    <t>KELP</t>
  </si>
  <si>
    <t>WHITER</t>
  </si>
  <si>
    <t>POTATO/lily_pad</t>
  </si>
  <si>
    <t>VAGONERO</t>
  </si>
  <si>
    <t>HER</t>
  </si>
  <si>
    <t>EXTRACCION</t>
  </si>
  <si>
    <t>Mineria</t>
  </si>
  <si>
    <t>Carpinteria</t>
  </si>
  <si>
    <t>Canteria</t>
  </si>
  <si>
    <t>Ganaderia</t>
  </si>
  <si>
    <t>Asesino</t>
  </si>
  <si>
    <t>Pesca</t>
  </si>
  <si>
    <t>Herrero</t>
  </si>
  <si>
    <t>Armero</t>
  </si>
  <si>
    <t>Carpintero</t>
  </si>
  <si>
    <t>Cantero</t>
  </si>
  <si>
    <t>Curtidor</t>
  </si>
  <si>
    <t>Cocinero</t>
  </si>
  <si>
    <t>Pescador</t>
  </si>
  <si>
    <t>Cazador</t>
  </si>
  <si>
    <t>Teñidor</t>
  </si>
  <si>
    <t>Alquimista</t>
  </si>
  <si>
    <t>Mecanico</t>
  </si>
  <si>
    <t>Extraccion de recursos</t>
  </si>
  <si>
    <t>Profesionlist</t>
  </si>
  <si>
    <t>PUNTOS</t>
  </si>
  <si>
    <t>GUARDIAN</t>
  </si>
  <si>
    <t>Hellvalan</t>
  </si>
  <si>
    <t>Nacion vampirica</t>
  </si>
  <si>
    <t>Nacion</t>
  </si>
  <si>
    <t>Tema</t>
  </si>
  <si>
    <t>Mundo 1</t>
  </si>
  <si>
    <t>Mundo 2</t>
  </si>
  <si>
    <t>Mundo 3</t>
  </si>
  <si>
    <t>Tier</t>
  </si>
  <si>
    <t>Bioma</t>
  </si>
  <si>
    <t>Cave</t>
  </si>
  <si>
    <t>Venloth</t>
  </si>
  <si>
    <t>Nacion Humana</t>
  </si>
  <si>
    <t>Planicies</t>
  </si>
  <si>
    <t>Duraj</t>
  </si>
  <si>
    <t>Sorgrim</t>
  </si>
  <si>
    <t>Bosque</t>
  </si>
  <si>
    <t>PuestoMaldito</t>
  </si>
  <si>
    <t>Pantano</t>
  </si>
  <si>
    <t>Mundo</t>
  </si>
  <si>
    <t>Recurso1</t>
  </si>
  <si>
    <t>Recurso2</t>
  </si>
  <si>
    <t>Recurso3</t>
  </si>
  <si>
    <t>Recurso4</t>
  </si>
  <si>
    <t>Mobs</t>
  </si>
  <si>
    <t>Animales</t>
  </si>
  <si>
    <t>Cañon</t>
  </si>
  <si>
    <t>Nacion Licantropa</t>
  </si>
  <si>
    <t>Cienega espesa</t>
  </si>
  <si>
    <t>OAK</t>
  </si>
  <si>
    <t>Flores</t>
  </si>
  <si>
    <t>Piedra</t>
  </si>
  <si>
    <t>Gravel</t>
  </si>
  <si>
    <t>TIER 1</t>
  </si>
  <si>
    <t>TIER 2</t>
  </si>
  <si>
    <t>spruce</t>
  </si>
  <si>
    <t>sweet berries</t>
  </si>
  <si>
    <t>oak</t>
  </si>
  <si>
    <t>sweetberries</t>
  </si>
  <si>
    <t>pesca</t>
  </si>
  <si>
    <t>flores</t>
  </si>
  <si>
    <t>MelonFarm</t>
  </si>
  <si>
    <t>Taiga</t>
  </si>
  <si>
    <t>Fisuras</t>
  </si>
  <si>
    <t>TIER 3</t>
  </si>
  <si>
    <t>Cavernas de Hellvalan</t>
  </si>
  <si>
    <t>Islas Lejanas</t>
  </si>
  <si>
    <t>Bosque Silencioso</t>
  </si>
  <si>
    <t>Fisuras de Duraj</t>
  </si>
  <si>
    <t>Iron</t>
  </si>
  <si>
    <t>Lapizlasuli</t>
  </si>
  <si>
    <t>Birchlog</t>
  </si>
  <si>
    <t>Bamboo</t>
  </si>
  <si>
    <t>Cactus</t>
  </si>
  <si>
    <t>Carrot</t>
  </si>
  <si>
    <t>seapikle</t>
  </si>
  <si>
    <t>iron</t>
  </si>
  <si>
    <t>lapislasuli</t>
  </si>
  <si>
    <t>birchlog</t>
  </si>
  <si>
    <t>Rivers</t>
  </si>
  <si>
    <t>Plains</t>
  </si>
  <si>
    <t>Montañas</t>
  </si>
  <si>
    <t>Desierto</t>
  </si>
  <si>
    <t>Rios profundos</t>
  </si>
  <si>
    <t>Montañas Celestes</t>
  </si>
  <si>
    <t>llanura silvestre</t>
  </si>
  <si>
    <t>Dunas de Duraj</t>
  </si>
  <si>
    <t>zombie</t>
  </si>
  <si>
    <t>pollo</t>
  </si>
  <si>
    <t>Planicies Venloth</t>
  </si>
  <si>
    <t>Cañon olvidado</t>
  </si>
  <si>
    <t>Bosque Sorgrim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</si>
</sst>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30">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
      <sz val="9"/>
      <color rgb="FFA99877"/>
      <name val="Arial"/>
      <family val="2"/>
    </font>
    <font>
      <sz val="9"/>
      <color rgb="FF8BD442"/>
      <name val="Arial"/>
      <family val="2"/>
    </font>
    <font>
      <u/>
      <sz val="11"/>
      <color theme="10"/>
      <name val="Calibri"/>
      <family val="2"/>
      <scheme val="minor"/>
    </font>
    <font>
      <sz val="10"/>
      <color rgb="FFAD835A"/>
      <name val="Arial"/>
      <family val="2"/>
    </font>
    <font>
      <sz val="9"/>
      <color rgb="FFC7B377"/>
      <name val="Arial"/>
      <family val="2"/>
    </font>
    <font>
      <u/>
      <sz val="11"/>
      <color theme="1"/>
      <name val="Calibri"/>
      <family val="2"/>
      <scheme val="minor"/>
    </font>
    <font>
      <i/>
      <sz val="12"/>
      <color rgb="FF000000"/>
      <name val="Arial"/>
      <family val="2"/>
    </font>
    <font>
      <b/>
      <sz val="11"/>
      <color theme="1"/>
      <name val="Calibri"/>
      <family val="2"/>
      <scheme val="minor"/>
    </font>
    <font>
      <b/>
      <sz val="11"/>
      <name val="Calibri"/>
      <family val="2"/>
      <scheme val="minor"/>
    </font>
    <font>
      <i/>
      <sz val="12"/>
      <color rgb="FF000000"/>
      <name val="&amp;quot"/>
    </font>
    <font>
      <b/>
      <sz val="11"/>
      <color rgb="FFFF0000"/>
      <name val="Calibri"/>
      <family val="2"/>
      <scheme val="minor"/>
    </font>
    <font>
      <sz val="14"/>
      <color theme="0"/>
      <name val="Calibri"/>
      <family val="2"/>
      <scheme val="minor"/>
    </font>
    <font>
      <sz val="18"/>
      <color theme="0"/>
      <name val="Calibri"/>
      <family val="2"/>
      <scheme val="minor"/>
    </font>
  </fonts>
  <fills count="39">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4" tint="0.39997558519241921"/>
        <bgColor indexed="64"/>
      </patternFill>
    </fill>
    <fill>
      <patternFill patternType="solid">
        <fgColor rgb="FF0070C0"/>
        <bgColor indexed="64"/>
      </patternFill>
    </fill>
    <fill>
      <patternFill patternType="solid">
        <fgColor theme="3"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theme="9" tint="-0.499984740745262"/>
        <bgColor indexed="64"/>
      </patternFill>
    </fill>
    <fill>
      <patternFill patternType="solid">
        <fgColor theme="1"/>
        <bgColor indexed="64"/>
      </patternFill>
    </fill>
    <fill>
      <patternFill patternType="solid">
        <fgColor rgb="FFFFC000"/>
        <bgColor indexed="64"/>
      </patternFill>
    </fill>
    <fill>
      <patternFill patternType="solid">
        <fgColor rgb="FFFF9B9B"/>
        <bgColor indexed="64"/>
      </patternFill>
    </fill>
    <fill>
      <patternFill patternType="solid">
        <fgColor theme="0" tint="-0.499984740745262"/>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1" tint="0.499984740745262"/>
        <bgColor indexed="64"/>
      </patternFill>
    </fill>
    <fill>
      <patternFill patternType="solid">
        <fgColor theme="2" tint="-0.89999084444715716"/>
        <bgColor indexed="64"/>
      </patternFill>
    </fill>
    <fill>
      <patternFill patternType="solid">
        <fgColor theme="3"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6">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xf numFmtId="0" fontId="19" fillId="0" borderId="0" applyNumberFormat="0" applyFill="0" applyBorder="0" applyAlignment="0" applyProtection="0"/>
  </cellStyleXfs>
  <cellXfs count="250">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0" fontId="0" fillId="5" borderId="0" xfId="0" applyFont="1" applyFill="1" applyAlignment="1"/>
    <xf numFmtId="0" fontId="1" fillId="0" borderId="0" xfId="0" applyFont="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4" borderId="0" xfId="0" applyFont="1" applyFill="1" applyAlignment="1">
      <alignment vertical="center"/>
    </xf>
    <xf numFmtId="0" fontId="0" fillId="25" borderId="0" xfId="0" applyFill="1"/>
    <xf numFmtId="0" fontId="0" fillId="0" borderId="0" xfId="0"/>
    <xf numFmtId="0" fontId="7" fillId="0" borderId="0" xfId="0" applyFont="1" applyFill="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0" borderId="0" xfId="0"/>
    <xf numFmtId="0" fontId="7" fillId="23" borderId="0" xfId="0" applyFont="1" applyFill="1" applyAlignment="1">
      <alignment vertical="center"/>
    </xf>
    <xf numFmtId="0" fontId="7" fillId="20" borderId="0" xfId="0" applyFont="1" applyFill="1" applyAlignment="1">
      <alignment horizontal="center"/>
    </xf>
    <xf numFmtId="0" fontId="0" fillId="26" borderId="0" xfId="0" applyFill="1" applyAlignment="1">
      <alignment horizontal="center" vertical="center"/>
    </xf>
    <xf numFmtId="0" fontId="7" fillId="24" borderId="0" xfId="0" applyFont="1" applyFill="1" applyAlignment="1">
      <alignment horizontal="center" vertical="center"/>
    </xf>
    <xf numFmtId="0" fontId="1" fillId="27" borderId="0" xfId="0" applyFont="1" applyFill="1" applyAlignment="1">
      <alignment horizontal="center" vertical="center"/>
    </xf>
    <xf numFmtId="0" fontId="1" fillId="27" borderId="12" xfId="0" applyNumberFormat="1" applyFont="1" applyFill="1" applyBorder="1" applyAlignment="1">
      <alignment horizontal="center" vertical="center"/>
    </xf>
    <xf numFmtId="0" fontId="7" fillId="24" borderId="8" xfId="0" applyFont="1" applyFill="1" applyBorder="1" applyAlignment="1"/>
    <xf numFmtId="0" fontId="7" fillId="24" borderId="8" xfId="0" applyFont="1" applyFill="1" applyBorder="1" applyAlignment="1">
      <alignment horizontal="center" vertical="center"/>
    </xf>
    <xf numFmtId="0" fontId="7" fillId="27" borderId="0" xfId="0" applyFont="1" applyFill="1" applyAlignment="1">
      <alignment horizontal="center" vertical="center"/>
    </xf>
    <xf numFmtId="0" fontId="6" fillId="26" borderId="0" xfId="0" applyFont="1"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5" borderId="1" xfId="0" applyFont="1" applyFill="1" applyBorder="1" applyAlignment="1">
      <alignment horizontal="center"/>
    </xf>
    <xf numFmtId="0" fontId="7" fillId="25" borderId="0" xfId="0" applyFont="1" applyFill="1" applyAlignment="1">
      <alignment vertical="center"/>
    </xf>
    <xf numFmtId="0" fontId="0" fillId="0" borderId="0" xfId="0"/>
    <xf numFmtId="0" fontId="0" fillId="0" borderId="0" xfId="0"/>
    <xf numFmtId="0" fontId="0" fillId="0" borderId="0" xfId="0"/>
    <xf numFmtId="0" fontId="0" fillId="0" borderId="0" xfId="0" applyAlignment="1"/>
    <xf numFmtId="0" fontId="0" fillId="0" borderId="0" xfId="0" applyAlignment="1">
      <alignment horizontal="center" vertical="top" wrapText="1"/>
    </xf>
    <xf numFmtId="0" fontId="19" fillId="0" borderId="0" xfId="5" applyAlignment="1">
      <alignment vertical="center" wrapText="1"/>
    </xf>
    <xf numFmtId="0" fontId="17" fillId="0" borderId="0" xfId="0" applyFont="1" applyAlignment="1">
      <alignment vertical="center" wrapText="1"/>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horizontal="center" vertical="center"/>
    </xf>
    <xf numFmtId="0" fontId="0" fillId="0" borderId="0" xfId="0"/>
    <xf numFmtId="0" fontId="0" fillId="0" borderId="0" xfId="0" applyAlignment="1">
      <alignment horizontal="center" vertical="center"/>
    </xf>
    <xf numFmtId="0" fontId="0" fillId="0" borderId="0" xfId="0"/>
    <xf numFmtId="0" fontId="21" fillId="0" borderId="0" xfId="0" applyFont="1" applyAlignment="1">
      <alignment horizontal="left" vertical="top" wrapText="1"/>
    </xf>
    <xf numFmtId="0" fontId="22" fillId="0" borderId="0" xfId="0" applyFont="1"/>
    <xf numFmtId="0" fontId="23" fillId="0" borderId="0" xfId="0" applyFont="1"/>
    <xf numFmtId="0" fontId="0" fillId="0" borderId="0" xfId="0" applyAlignment="1">
      <alignment horizontal="center"/>
    </xf>
    <xf numFmtId="0" fontId="0" fillId="0" borderId="0" xfId="0"/>
    <xf numFmtId="0" fontId="0" fillId="0" borderId="0" xfId="0"/>
    <xf numFmtId="0" fontId="13" fillId="17" borderId="0" xfId="0" applyFont="1" applyFill="1" applyAlignment="1">
      <alignment horizontal="center" vertical="center"/>
    </xf>
    <xf numFmtId="0" fontId="24" fillId="0" borderId="0" xfId="0" applyFont="1" applyAlignment="1">
      <alignment horizontal="center"/>
    </xf>
    <xf numFmtId="0" fontId="13" fillId="29" borderId="0" xfId="0" applyFont="1" applyFill="1" applyAlignment="1">
      <alignment horizontal="center" vertical="center"/>
    </xf>
    <xf numFmtId="0" fontId="25" fillId="29" borderId="0" xfId="0" applyFont="1" applyFill="1" applyAlignment="1">
      <alignment horizontal="center" vertical="center"/>
    </xf>
    <xf numFmtId="0" fontId="12" fillId="29" borderId="0" xfId="0" applyFont="1" applyFill="1" applyAlignment="1">
      <alignment horizontal="center" vertical="center"/>
    </xf>
    <xf numFmtId="0" fontId="12" fillId="29" borderId="0" xfId="0" applyFont="1" applyFill="1"/>
    <xf numFmtId="0" fontId="23" fillId="26" borderId="0" xfId="0" applyFont="1" applyFill="1"/>
    <xf numFmtId="0" fontId="24" fillId="26" borderId="0" xfId="0" applyFont="1" applyFill="1" applyAlignment="1">
      <alignment horizontal="center"/>
    </xf>
    <xf numFmtId="0" fontId="0" fillId="26" borderId="0" xfId="0" applyFill="1"/>
    <xf numFmtId="0" fontId="23" fillId="3" borderId="0" xfId="0" applyFont="1" applyFill="1"/>
    <xf numFmtId="0" fontId="24" fillId="3" borderId="0" xfId="0" applyFont="1" applyFill="1" applyAlignment="1">
      <alignment horizontal="center"/>
    </xf>
    <xf numFmtId="0" fontId="0" fillId="3" borderId="0" xfId="0" applyFill="1"/>
    <xf numFmtId="0" fontId="0" fillId="0" borderId="0" xfId="0" applyFill="1" applyBorder="1"/>
    <xf numFmtId="0" fontId="0" fillId="0" borderId="0" xfId="0" applyFill="1" applyBorder="1" applyAlignment="1">
      <alignment horizontal="center"/>
    </xf>
    <xf numFmtId="0" fontId="0" fillId="0" borderId="0" xfId="0"/>
    <xf numFmtId="0" fontId="23" fillId="0" borderId="0" xfId="0" applyFont="1" applyFill="1"/>
    <xf numFmtId="0" fontId="0" fillId="0" borderId="0" xfId="0"/>
    <xf numFmtId="0" fontId="23" fillId="30" borderId="0" xfId="0" applyFont="1" applyFill="1"/>
    <xf numFmtId="0" fontId="24" fillId="30" borderId="0" xfId="0" applyFont="1" applyFill="1" applyAlignment="1">
      <alignment horizontal="center"/>
    </xf>
    <xf numFmtId="0" fontId="0" fillId="30" borderId="0" xfId="0" applyFill="1"/>
    <xf numFmtId="0" fontId="0" fillId="0" borderId="0" xfId="0" applyAlignment="1">
      <alignment horizontal="center" vertical="center"/>
    </xf>
    <xf numFmtId="0" fontId="0" fillId="0" borderId="0" xfId="0"/>
    <xf numFmtId="0" fontId="26" fillId="0" borderId="0" xfId="0" applyFont="1"/>
    <xf numFmtId="0" fontId="0" fillId="0" borderId="0" xfId="0"/>
    <xf numFmtId="0" fontId="0" fillId="0" borderId="0" xfId="0"/>
    <xf numFmtId="0" fontId="0" fillId="0" borderId="0" xfId="0" applyFont="1" applyFill="1" applyBorder="1" applyAlignment="1">
      <alignment horizontal="left" vertical="top"/>
    </xf>
    <xf numFmtId="0" fontId="0" fillId="0" borderId="0" xfId="0" applyNumberFormat="1" applyFill="1" applyBorder="1" applyAlignment="1">
      <alignment horizontal="left" vertical="top"/>
    </xf>
    <xf numFmtId="0" fontId="0" fillId="0" borderId="0" xfId="0" applyFill="1" applyBorder="1" applyAlignment="1">
      <alignment horizontal="left" vertical="top"/>
    </xf>
    <xf numFmtId="0" fontId="0" fillId="0" borderId="0" xfId="0" applyBorder="1"/>
    <xf numFmtId="0" fontId="0" fillId="0" borderId="0" xfId="0"/>
    <xf numFmtId="0" fontId="0" fillId="24" borderId="0" xfId="0" applyFill="1"/>
    <xf numFmtId="0" fontId="7" fillId="22" borderId="0" xfId="0" applyFont="1" applyFill="1" applyAlignment="1">
      <alignment horizontal="center" vertical="center"/>
    </xf>
    <xf numFmtId="0" fontId="7" fillId="9" borderId="12" xfId="0" applyFont="1" applyFill="1" applyBorder="1" applyAlignment="1">
      <alignment horizontal="center" vertical="center"/>
    </xf>
    <xf numFmtId="0" fontId="7" fillId="18" borderId="12" xfId="0" applyFont="1" applyFill="1" applyBorder="1" applyAlignment="1">
      <alignment horizontal="center" vertical="center"/>
    </xf>
    <xf numFmtId="0" fontId="7" fillId="0" borderId="0" xfId="0" applyFont="1" applyFill="1" applyBorder="1" applyAlignment="1">
      <alignment horizontal="center" vertical="center"/>
    </xf>
    <xf numFmtId="0" fontId="0" fillId="0" borderId="0" xfId="0" applyFill="1" applyBorder="1" applyAlignment="1">
      <alignment horizontal="center" vertical="center"/>
    </xf>
    <xf numFmtId="0" fontId="23" fillId="31" borderId="0" xfId="0" applyFont="1" applyFill="1"/>
    <xf numFmtId="0" fontId="24" fillId="31" borderId="0" xfId="0" applyFont="1" applyFill="1" applyAlignment="1">
      <alignment horizontal="center"/>
    </xf>
    <xf numFmtId="0" fontId="0" fillId="31" borderId="0" xfId="0" applyFill="1"/>
    <xf numFmtId="0" fontId="7" fillId="29" borderId="0" xfId="0" applyFont="1" applyFill="1"/>
    <xf numFmtId="0" fontId="0" fillId="32" borderId="0" xfId="0" applyFill="1"/>
    <xf numFmtId="0" fontId="0" fillId="33" borderId="0" xfId="0" applyFill="1"/>
    <xf numFmtId="0" fontId="0" fillId="34" borderId="0" xfId="0" applyFill="1"/>
    <xf numFmtId="0" fontId="0" fillId="35" borderId="0" xfId="0" applyFill="1"/>
    <xf numFmtId="0" fontId="7" fillId="14" borderId="0" xfId="0" applyFont="1" applyFill="1"/>
    <xf numFmtId="0" fontId="0" fillId="36" borderId="0" xfId="0" applyFill="1"/>
    <xf numFmtId="0" fontId="0" fillId="16" borderId="0" xfId="0" applyFill="1"/>
    <xf numFmtId="0" fontId="23" fillId="16" borderId="0" xfId="0" applyFont="1" applyFill="1"/>
    <xf numFmtId="0" fontId="24" fillId="16" borderId="0" xfId="0" applyFont="1" applyFill="1" applyAlignment="1">
      <alignment horizontal="center"/>
    </xf>
    <xf numFmtId="0" fontId="27" fillId="29" borderId="0" xfId="0" applyFont="1" applyFill="1" applyAlignment="1">
      <alignment horizontal="center" vertical="center"/>
    </xf>
    <xf numFmtId="0" fontId="27" fillId="13" borderId="0" xfId="0" applyFont="1" applyFill="1" applyAlignment="1">
      <alignment horizontal="center" vertical="center"/>
    </xf>
    <xf numFmtId="0" fontId="1" fillId="13" borderId="0" xfId="0" applyFont="1" applyFill="1" applyAlignment="1">
      <alignment horizontal="center" vertical="center"/>
    </xf>
    <xf numFmtId="0" fontId="0" fillId="13" borderId="0" xfId="0" applyFill="1" applyAlignment="1">
      <alignment horizontal="center" vertical="center"/>
    </xf>
    <xf numFmtId="0" fontId="1" fillId="26" borderId="0" xfId="0" applyFont="1" applyFill="1" applyAlignment="1">
      <alignment horizontal="center" vertical="center"/>
    </xf>
    <xf numFmtId="0" fontId="1" fillId="30" borderId="0" xfId="0" applyFont="1" applyFill="1" applyAlignment="1">
      <alignment horizontal="center" vertical="center"/>
    </xf>
    <xf numFmtId="0" fontId="1" fillId="31" borderId="0" xfId="0" applyFont="1" applyFill="1" applyAlignment="1">
      <alignment horizontal="center" vertical="center"/>
    </xf>
    <xf numFmtId="0" fontId="1" fillId="3" borderId="0" xfId="0" applyFont="1" applyFill="1" applyAlignment="1">
      <alignment horizontal="center" vertical="center"/>
    </xf>
    <xf numFmtId="0" fontId="28" fillId="37" borderId="0" xfId="0" applyFont="1" applyFill="1" applyAlignment="1">
      <alignment horizontal="center"/>
    </xf>
    <xf numFmtId="0" fontId="0" fillId="0" borderId="0" xfId="0"/>
    <xf numFmtId="0" fontId="0" fillId="0" borderId="0" xfId="0" applyAlignment="1">
      <alignment horizontal="center" vertical="center"/>
    </xf>
    <xf numFmtId="0" fontId="7" fillId="19" borderId="2" xfId="0" applyFont="1" applyFill="1" applyBorder="1" applyAlignment="1">
      <alignment horizontal="center" vertical="center"/>
    </xf>
    <xf numFmtId="0" fontId="7" fillId="19" borderId="13" xfId="0" applyFont="1" applyFill="1" applyBorder="1" applyAlignment="1">
      <alignment horizontal="center" vertical="center"/>
    </xf>
    <xf numFmtId="0" fontId="7" fillId="19" borderId="8" xfId="0" applyFont="1" applyFill="1" applyBorder="1" applyAlignment="1">
      <alignment horizont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0" fillId="0" borderId="0" xfId="0" applyBorder="1" applyAlignment="1">
      <alignment horizontal="center"/>
    </xf>
    <xf numFmtId="0" fontId="1" fillId="0" borderId="0" xfId="0" applyFont="1" applyAlignment="1">
      <alignment horizontal="center"/>
    </xf>
    <xf numFmtId="0" fontId="1" fillId="0" borderId="5" xfId="0" applyFont="1" applyBorder="1" applyAlignment="1">
      <alignment horizontal="center"/>
    </xf>
    <xf numFmtId="0" fontId="7" fillId="9" borderId="0" xfId="0" applyFont="1" applyFill="1" applyAlignment="1">
      <alignment horizontal="center" vertical="center"/>
    </xf>
    <xf numFmtId="0" fontId="7" fillId="9" borderId="5" xfId="0" applyFont="1" applyFill="1" applyBorder="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7" xfId="0" applyFont="1" applyFill="1" applyBorder="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7" fillId="19" borderId="1" xfId="0" applyFont="1" applyFill="1" applyBorder="1" applyAlignment="1">
      <alignment horizontal="center" vertical="center"/>
    </xf>
    <xf numFmtId="0" fontId="7" fillId="22" borderId="0" xfId="0" applyFont="1" applyFill="1" applyAlignment="1">
      <alignment horizontal="center" vertical="center"/>
    </xf>
    <xf numFmtId="0" fontId="5" fillId="2" borderId="12"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29" fillId="38" borderId="0" xfId="0" applyFont="1" applyFill="1" applyAlignment="1">
      <alignment horizontal="center" vertical="center"/>
    </xf>
    <xf numFmtId="0" fontId="0" fillId="0" borderId="0" xfId="0" applyAlignment="1">
      <alignment horizontal="left"/>
    </xf>
    <xf numFmtId="0" fontId="13" fillId="28" borderId="0" xfId="0" applyFont="1" applyFill="1" applyAlignment="1">
      <alignment horizontal="center"/>
    </xf>
    <xf numFmtId="0" fontId="7" fillId="2" borderId="0" xfId="0" applyFont="1" applyFill="1" applyAlignment="1">
      <alignment horizontal="center" vertical="center"/>
    </xf>
    <xf numFmtId="0" fontId="7" fillId="8" borderId="0" xfId="0" applyFont="1" applyFill="1" applyAlignment="1">
      <alignment horizontal="center"/>
    </xf>
    <xf numFmtId="0" fontId="0" fillId="0" borderId="0" xfId="0" applyFont="1" applyAlignment="1">
      <alignment horizontal="left"/>
    </xf>
    <xf numFmtId="0" fontId="7" fillId="24" borderId="0" xfId="0" applyFont="1" applyFill="1" applyAlignment="1">
      <alignment horizontal="center"/>
    </xf>
    <xf numFmtId="0" fontId="7" fillId="3" borderId="0" xfId="0" applyFont="1" applyFill="1" applyAlignment="1">
      <alignment horizontal="center"/>
    </xf>
    <xf numFmtId="0" fontId="14" fillId="25" borderId="0" xfId="0" applyFont="1" applyFill="1" applyAlignment="1">
      <alignment horizontal="center" vertical="center" textRotation="90"/>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3" fillId="2" borderId="0" xfId="0" applyFont="1" applyFill="1" applyAlignment="1">
      <alignment horizontal="center" vertical="center"/>
    </xf>
    <xf numFmtId="0" fontId="0" fillId="0" borderId="0" xfId="0" applyAlignment="1">
      <alignment horizontal="center"/>
    </xf>
    <xf numFmtId="0" fontId="0" fillId="0" borderId="0" xfId="0" applyAlignment="1"/>
    <xf numFmtId="0" fontId="2" fillId="2" borderId="0" xfId="0" applyFont="1" applyFill="1" applyAlignment="1">
      <alignment horizontal="center"/>
    </xf>
    <xf numFmtId="0" fontId="0" fillId="0" borderId="0" xfId="0"/>
    <xf numFmtId="0" fontId="2" fillId="3" borderId="0" xfId="0" applyFont="1" applyFill="1" applyAlignment="1">
      <alignment horizontal="center"/>
    </xf>
    <xf numFmtId="0" fontId="3" fillId="3" borderId="0" xfId="0" applyFont="1" applyFill="1" applyAlignment="1">
      <alignment horizontal="center" vertical="center"/>
    </xf>
  </cellXfs>
  <cellStyles count="6">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Hipervínculo" xfId="5" builtinId="8"/>
    <cellStyle name="Normal" xfId="0" builtinId="0"/>
  </cellStyles>
  <dxfs count="12">
    <dxf>
      <font>
        <color theme="0"/>
      </font>
      <fill>
        <patternFill>
          <bgColor theme="9" tint="-0.499984740745262"/>
        </patternFill>
      </fill>
    </dxf>
    <dxf>
      <font>
        <color theme="0"/>
      </font>
      <fill>
        <patternFill>
          <bgColor theme="2" tint="-0.749961851863155"/>
        </patternFill>
      </fill>
    </dxf>
    <dxf>
      <font>
        <color theme="0"/>
      </font>
      <fill>
        <patternFill>
          <bgColor theme="8" tint="-0.499984740745262"/>
        </patternFill>
      </fill>
    </dxf>
    <dxf>
      <font>
        <color theme="0"/>
      </font>
      <fill>
        <patternFill>
          <bgColor theme="5" tint="-0.24994659260841701"/>
        </patternFill>
      </fill>
    </dxf>
    <dxf>
      <font>
        <color theme="0"/>
      </font>
      <fill>
        <patternFill>
          <bgColor rgb="FFC00000"/>
        </patternFill>
      </fill>
    </dxf>
    <dxf>
      <font>
        <color theme="0"/>
      </font>
      <fill>
        <patternFill>
          <bgColor rgb="FF7030A0"/>
        </patternFill>
      </fill>
    </dxf>
    <dxf>
      <font>
        <color theme="0"/>
      </font>
      <fill>
        <patternFill>
          <fgColor theme="0"/>
          <bgColor theme="9" tint="-0.24994659260841701"/>
        </patternFill>
      </fill>
    </dxf>
    <dxf>
      <font>
        <color theme="0"/>
      </font>
      <fill>
        <patternFill>
          <bgColor rgb="FF002060"/>
        </patternFill>
      </fill>
    </dxf>
    <dxf>
      <font>
        <color theme="0"/>
      </font>
      <fill>
        <patternFill>
          <bgColor theme="2" tint="-0.749961851863155"/>
        </patternFill>
      </fill>
    </dxf>
    <dxf>
      <font>
        <color theme="0"/>
      </font>
      <fill>
        <patternFill>
          <bgColor rgb="FFC00000"/>
        </patternFill>
      </fill>
    </dxf>
    <dxf>
      <font>
        <color theme="0"/>
      </font>
      <fill>
        <patternFill>
          <bgColor rgb="FF7030A0"/>
        </patternFill>
      </fill>
    </dxf>
    <dxf>
      <font>
        <color theme="0"/>
      </font>
      <fill>
        <patternFill>
          <bgColor theme="5" tint="-0.24994659260841701"/>
        </patternFill>
      </fill>
    </dxf>
  </dxfs>
  <tableStyles count="0" defaultTableStyle="TableStyleMedium2" defaultPivotStyle="PivotStyleLight16"/>
  <colors>
    <mruColors>
      <color rgb="FFFF9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eu.diablo3.com/es/class/crusader/active/consecration" TargetMode="External"/><Relationship Id="rId7" Type="http://schemas.openxmlformats.org/officeDocument/2006/relationships/printerSettings" Target="../printerSettings/printerSettings1.bin"/><Relationship Id="rId2" Type="http://schemas.openxmlformats.org/officeDocument/2006/relationships/hyperlink" Target="https://eu.diablo3.com/es/class/crusader/active/iron-skin" TargetMode="External"/><Relationship Id="rId1" Type="http://schemas.openxmlformats.org/officeDocument/2006/relationships/hyperlink" Target="https://eu.diablo3.com/es/class/crusader/active/shield-glare" TargetMode="External"/><Relationship Id="rId6" Type="http://schemas.openxmlformats.org/officeDocument/2006/relationships/hyperlink" Target="https://eu.diablo3.com/es/class/crusader/active/heavens-fury" TargetMode="External"/><Relationship Id="rId5" Type="http://schemas.openxmlformats.org/officeDocument/2006/relationships/hyperlink" Target="https://eu.diablo3.com/es/class/crusader/active/akarats-champion" TargetMode="External"/><Relationship Id="rId4" Type="http://schemas.openxmlformats.org/officeDocument/2006/relationships/hyperlink" Target="https://eu.diablo3.com/es/class/crusader/active/falling-sword"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eu.diablo3.com/es/class/barbarian/passive/rampage" TargetMode="External"/><Relationship Id="rId3" Type="http://schemas.openxmlformats.org/officeDocument/2006/relationships/hyperlink" Target="https://eu.diablo3.com/es/class/barbarian/passive/weapons-master" TargetMode="External"/><Relationship Id="rId7" Type="http://schemas.openxmlformats.org/officeDocument/2006/relationships/hyperlink" Target="https://eu.diablo3.com/es/class/barbarian/passive/relentless" TargetMode="External"/><Relationship Id="rId2" Type="http://schemas.openxmlformats.org/officeDocument/2006/relationships/hyperlink" Target="https://eu.diablo3.com/es/class/barbarian/passive/ruthless" TargetMode="External"/><Relationship Id="rId1" Type="http://schemas.openxmlformats.org/officeDocument/2006/relationships/hyperlink" Target="https://eu.diablo3.com/es/class/barbarian/passive/pound-of-flesh" TargetMode="External"/><Relationship Id="rId6" Type="http://schemas.openxmlformats.org/officeDocument/2006/relationships/hyperlink" Target="https://eu.diablo3.com/es/class/barbarian/passive/tough-as-nails" TargetMode="External"/><Relationship Id="rId5" Type="http://schemas.openxmlformats.org/officeDocument/2006/relationships/hyperlink" Target="https://eu.diablo3.com/es/class/barbarian/passive/superstition" TargetMode="External"/><Relationship Id="rId4" Type="http://schemas.openxmlformats.org/officeDocument/2006/relationships/hyperlink" Target="https://eu.diablo3.com/es/class/barbarian/passive/inspiring-presence"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B3" sqref="B3"/>
    </sheetView>
  </sheetViews>
  <sheetFormatPr baseColWidth="10" defaultRowHeight="1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J93"/>
  <sheetViews>
    <sheetView topLeftCell="G1" zoomScaleNormal="100" workbookViewId="0">
      <selection activeCell="J4" sqref="J4"/>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88" t="s">
        <v>391</v>
      </c>
      <c r="B2" s="188"/>
      <c r="C2" s="188" t="s">
        <v>412</v>
      </c>
      <c r="D2" s="188"/>
      <c r="E2" s="188" t="s">
        <v>418</v>
      </c>
      <c r="F2" s="188"/>
      <c r="G2" s="188" t="s">
        <v>432</v>
      </c>
      <c r="H2" s="188"/>
      <c r="I2" s="188" t="s">
        <v>433</v>
      </c>
      <c r="J2" s="188"/>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3" t="s">
        <v>488</v>
      </c>
      <c r="B4" s="116" t="s">
        <v>489</v>
      </c>
      <c r="C4" s="13" t="s">
        <v>492</v>
      </c>
      <c r="D4" s="116" t="s">
        <v>493</v>
      </c>
      <c r="E4" s="13" t="s">
        <v>498</v>
      </c>
      <c r="F4" s="116" t="s">
        <v>499</v>
      </c>
      <c r="G4" s="115" t="s">
        <v>504</v>
      </c>
      <c r="H4" s="116" t="s">
        <v>505</v>
      </c>
      <c r="I4" s="115" t="s">
        <v>510</v>
      </c>
      <c r="J4" s="116" t="s">
        <v>511</v>
      </c>
    </row>
    <row r="5" spans="1:10" ht="69.75" customHeight="1">
      <c r="A5" s="13" t="s">
        <v>516</v>
      </c>
      <c r="B5" s="116" t="s">
        <v>517</v>
      </c>
      <c r="C5" s="13" t="s">
        <v>495</v>
      </c>
      <c r="D5" s="116" t="s">
        <v>494</v>
      </c>
      <c r="E5" s="13" t="s">
        <v>500</v>
      </c>
      <c r="F5" s="116" t="s">
        <v>501</v>
      </c>
      <c r="G5" s="115" t="s">
        <v>506</v>
      </c>
      <c r="H5" s="116" t="s">
        <v>507</v>
      </c>
      <c r="I5" s="115" t="s">
        <v>512</v>
      </c>
      <c r="J5" s="116" t="s">
        <v>513</v>
      </c>
    </row>
    <row r="6" spans="1:10" ht="75.75" customHeight="1">
      <c r="A6" s="13" t="s">
        <v>518</v>
      </c>
      <c r="B6" s="116" t="s">
        <v>519</v>
      </c>
      <c r="C6" s="13" t="s">
        <v>497</v>
      </c>
      <c r="D6" s="116" t="s">
        <v>496</v>
      </c>
      <c r="E6" s="13" t="s">
        <v>502</v>
      </c>
      <c r="F6" s="116" t="s">
        <v>503</v>
      </c>
      <c r="G6" s="115" t="s">
        <v>508</v>
      </c>
      <c r="H6" s="116" t="s">
        <v>509</v>
      </c>
      <c r="I6" s="115" t="s">
        <v>514</v>
      </c>
      <c r="J6" s="116" t="s">
        <v>515</v>
      </c>
    </row>
    <row r="7" spans="1:10" ht="75.75" customHeight="1">
      <c r="A7" s="13" t="s">
        <v>520</v>
      </c>
      <c r="B7" s="116" t="s">
        <v>521</v>
      </c>
      <c r="C7" s="117"/>
      <c r="D7" s="116"/>
      <c r="E7" s="117"/>
      <c r="F7" s="116"/>
      <c r="G7" s="117"/>
      <c r="H7" s="116"/>
      <c r="I7" s="117"/>
    </row>
    <row r="8" spans="1:10" ht="54.75" customHeight="1">
      <c r="A8" s="13" t="s">
        <v>522</v>
      </c>
      <c r="B8" s="116" t="s">
        <v>523</v>
      </c>
      <c r="C8" s="118"/>
      <c r="D8" s="116"/>
      <c r="E8" s="118"/>
      <c r="F8" s="116"/>
      <c r="G8" s="118"/>
      <c r="H8" s="116"/>
      <c r="I8" s="118"/>
      <c r="J8" s="116"/>
    </row>
    <row r="9" spans="1:10" ht="54.75" customHeight="1">
      <c r="A9" s="13" t="s">
        <v>524</v>
      </c>
      <c r="B9" s="116" t="s">
        <v>525</v>
      </c>
      <c r="D9" s="116"/>
      <c r="F9" s="116"/>
      <c r="G9" s="116"/>
      <c r="H9" s="116"/>
      <c r="I9" s="116"/>
      <c r="J9" s="116"/>
    </row>
    <row r="10" spans="1:10" ht="54.75" customHeight="1">
      <c r="A10" s="13" t="s">
        <v>526</v>
      </c>
      <c r="B10" s="116" t="s">
        <v>527</v>
      </c>
      <c r="C10" s="116"/>
      <c r="D10" s="116"/>
      <c r="E10" s="116"/>
      <c r="F10" s="116"/>
      <c r="G10" s="116"/>
      <c r="H10" s="116"/>
      <c r="I10" s="116"/>
      <c r="J10" s="116"/>
    </row>
    <row r="11" spans="1:10" ht="54.75" customHeight="1">
      <c r="A11" s="13" t="s">
        <v>528</v>
      </c>
      <c r="B11" s="116" t="s">
        <v>529</v>
      </c>
      <c r="C11" s="115"/>
      <c r="D11" s="116"/>
      <c r="E11" s="115"/>
      <c r="F11" s="116"/>
      <c r="G11" s="115"/>
      <c r="H11" s="116"/>
      <c r="I11" s="115"/>
      <c r="J11" s="116"/>
    </row>
    <row r="12" spans="1:10" ht="54.75" customHeight="1">
      <c r="A12" s="13" t="s">
        <v>530</v>
      </c>
      <c r="B12" s="116" t="s">
        <v>531</v>
      </c>
      <c r="C12" s="115"/>
      <c r="D12" s="116"/>
      <c r="E12" s="115"/>
      <c r="F12" s="116"/>
      <c r="G12" s="115"/>
      <c r="H12" s="116"/>
      <c r="I12" s="115"/>
      <c r="J12" s="116"/>
    </row>
    <row r="13" spans="1:10" ht="54.75" customHeight="1">
      <c r="A13" s="13" t="s">
        <v>532</v>
      </c>
      <c r="B13" s="116" t="s">
        <v>533</v>
      </c>
      <c r="C13" s="115"/>
      <c r="D13" s="116"/>
      <c r="E13" s="115"/>
      <c r="F13" s="116"/>
      <c r="G13" s="115"/>
      <c r="H13" s="116"/>
      <c r="I13" s="115"/>
      <c r="J13" s="116"/>
    </row>
    <row r="14" spans="1:10" ht="54.75" customHeight="1">
      <c r="A14" s="116"/>
      <c r="B14" s="116"/>
      <c r="C14" s="115"/>
      <c r="D14" s="116"/>
      <c r="E14" s="115"/>
      <c r="F14" s="116"/>
      <c r="G14" s="115"/>
      <c r="H14" s="116"/>
      <c r="I14" s="115"/>
      <c r="J14" s="116"/>
    </row>
    <row r="15" spans="1:10" ht="54.75" customHeight="1">
      <c r="A15" s="116"/>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G4" r:id="rId1" display="https://eu.diablo3.com/es/class/crusader/active/shield-glare" xr:uid="{00000000-0004-0000-0100-000000000000}"/>
    <hyperlink ref="G5" r:id="rId2" display="https://eu.diablo3.com/es/class/crusader/active/iron-skin" xr:uid="{00000000-0004-0000-0100-000001000000}"/>
    <hyperlink ref="G6" r:id="rId3" display="https://eu.diablo3.com/es/class/crusader/active/consecration" xr:uid="{00000000-0004-0000-0100-000002000000}"/>
    <hyperlink ref="I4" r:id="rId4" display="https://eu.diablo3.com/es/class/crusader/active/falling-sword" xr:uid="{00000000-0004-0000-0100-000003000000}"/>
    <hyperlink ref="I5" r:id="rId5" display="https://eu.diablo3.com/es/class/crusader/active/akarats-champion" xr:uid="{00000000-0004-0000-0100-000004000000}"/>
    <hyperlink ref="I6" r:id="rId6" display="https://eu.diablo3.com/es/class/crusader/active/heavens-fury" xr:uid="{00000000-0004-0000-0100-000005000000}"/>
  </hyperlinks>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J93"/>
  <sheetViews>
    <sheetView topLeftCell="A8" workbookViewId="0">
      <selection activeCell="B11" sqref="A11:B11"/>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88" t="s">
        <v>391</v>
      </c>
      <c r="B2" s="188"/>
      <c r="C2" s="188" t="s">
        <v>412</v>
      </c>
      <c r="D2" s="188"/>
      <c r="E2" s="188" t="s">
        <v>418</v>
      </c>
      <c r="F2" s="188"/>
      <c r="G2" s="188" t="s">
        <v>432</v>
      </c>
      <c r="H2" s="188"/>
      <c r="I2" s="188" t="s">
        <v>433</v>
      </c>
      <c r="J2" s="188"/>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15" t="s">
        <v>474</v>
      </c>
      <c r="B4" s="116" t="s">
        <v>475</v>
      </c>
      <c r="C4" s="13" t="s">
        <v>450</v>
      </c>
      <c r="D4" s="116" t="s">
        <v>451</v>
      </c>
      <c r="E4" s="13" t="s">
        <v>456</v>
      </c>
      <c r="F4" s="116" t="s">
        <v>457</v>
      </c>
      <c r="G4" s="13" t="s">
        <v>462</v>
      </c>
      <c r="H4" s="116" t="s">
        <v>463</v>
      </c>
      <c r="I4" s="13" t="s">
        <v>468</v>
      </c>
      <c r="J4" s="116" t="s">
        <v>469</v>
      </c>
    </row>
    <row r="5" spans="1:10" ht="69.75" customHeight="1">
      <c r="A5" s="115" t="s">
        <v>476</v>
      </c>
      <c r="B5" s="116" t="s">
        <v>477</v>
      </c>
      <c r="C5" s="13" t="s">
        <v>452</v>
      </c>
      <c r="D5" s="116" t="s">
        <v>453</v>
      </c>
      <c r="E5" s="13" t="s">
        <v>458</v>
      </c>
      <c r="F5" s="116" t="s">
        <v>459</v>
      </c>
      <c r="G5" s="13" t="s">
        <v>464</v>
      </c>
      <c r="H5" s="116" t="s">
        <v>465</v>
      </c>
      <c r="I5" s="13" t="s">
        <v>470</v>
      </c>
      <c r="J5" s="116" t="s">
        <v>471</v>
      </c>
    </row>
    <row r="6" spans="1:10" ht="75.75" customHeight="1">
      <c r="A6" s="115" t="s">
        <v>478</v>
      </c>
      <c r="B6" s="116" t="s">
        <v>479</v>
      </c>
      <c r="C6" s="13" t="s">
        <v>454</v>
      </c>
      <c r="D6" s="116" t="s">
        <v>455</v>
      </c>
      <c r="E6" s="13" t="s">
        <v>460</v>
      </c>
      <c r="F6" s="116" t="s">
        <v>461</v>
      </c>
      <c r="G6" s="13" t="s">
        <v>466</v>
      </c>
      <c r="H6" s="116" t="s">
        <v>467</v>
      </c>
      <c r="I6" s="13" t="s">
        <v>472</v>
      </c>
      <c r="J6" s="116" t="s">
        <v>473</v>
      </c>
    </row>
    <row r="7" spans="1:10" ht="75.75" customHeight="1">
      <c r="A7" s="115" t="s">
        <v>480</v>
      </c>
      <c r="B7" s="116" t="s">
        <v>481</v>
      </c>
      <c r="C7" s="117"/>
      <c r="D7" s="116"/>
      <c r="E7" s="117"/>
      <c r="F7" s="116"/>
      <c r="G7" s="117"/>
      <c r="H7" s="116"/>
      <c r="I7" s="117"/>
    </row>
    <row r="8" spans="1:10" ht="54.75" customHeight="1">
      <c r="A8" s="115" t="s">
        <v>482</v>
      </c>
      <c r="B8" s="116" t="s">
        <v>483</v>
      </c>
      <c r="C8" s="118"/>
      <c r="D8" s="116"/>
      <c r="E8" s="118"/>
      <c r="F8" s="116"/>
      <c r="G8" s="118"/>
      <c r="H8" s="116"/>
      <c r="I8" s="118"/>
      <c r="J8" s="116"/>
    </row>
    <row r="9" spans="1:10" ht="54.75" customHeight="1">
      <c r="A9" s="115" t="s">
        <v>484</v>
      </c>
      <c r="B9" s="116" t="s">
        <v>485</v>
      </c>
      <c r="C9" s="116"/>
      <c r="D9" s="116"/>
      <c r="E9" s="116"/>
      <c r="F9" s="116"/>
      <c r="G9" s="116"/>
      <c r="H9" s="116"/>
      <c r="I9" s="116"/>
      <c r="J9" s="116"/>
    </row>
    <row r="10" spans="1:10" ht="54.75" customHeight="1">
      <c r="A10" s="115" t="s">
        <v>486</v>
      </c>
      <c r="B10" s="116" t="s">
        <v>487</v>
      </c>
      <c r="C10" s="116"/>
      <c r="D10" s="116"/>
      <c r="E10" s="116"/>
      <c r="F10" s="116"/>
      <c r="G10" s="116"/>
      <c r="H10" s="116"/>
      <c r="I10" s="116"/>
      <c r="J10" s="116"/>
    </row>
    <row r="11" spans="1:10" ht="54.75" customHeight="1">
      <c r="C11" s="115"/>
      <c r="D11" s="116"/>
      <c r="E11" s="115"/>
      <c r="F11" s="116"/>
      <c r="G11" s="115"/>
      <c r="H11" s="116"/>
      <c r="I11" s="116"/>
      <c r="J11" s="116"/>
    </row>
    <row r="12" spans="1:10" ht="54.75" customHeight="1">
      <c r="A12" s="115" t="s">
        <v>490</v>
      </c>
      <c r="B12" s="116" t="s">
        <v>491</v>
      </c>
      <c r="C12" s="115"/>
      <c r="D12" s="116"/>
      <c r="E12" s="115"/>
      <c r="F12" s="116"/>
      <c r="G12" s="115"/>
      <c r="H12" s="116"/>
      <c r="I12" s="116"/>
      <c r="J12" s="116"/>
    </row>
    <row r="13" spans="1:10" ht="54.75" customHeight="1">
      <c r="B13" s="116"/>
      <c r="C13" s="115"/>
      <c r="D13" s="116"/>
      <c r="E13" s="115"/>
      <c r="F13" s="116"/>
      <c r="G13" s="115"/>
      <c r="H13" s="116"/>
      <c r="I13" s="116"/>
      <c r="J13" s="116"/>
    </row>
    <row r="14" spans="1:10" ht="54.75" customHeight="1">
      <c r="A14" s="13"/>
      <c r="B14" s="116"/>
      <c r="C14" s="115"/>
      <c r="D14" s="116"/>
      <c r="E14" s="115"/>
      <c r="F14" s="116"/>
      <c r="G14" s="115"/>
      <c r="H14" s="116"/>
      <c r="I14" s="115"/>
      <c r="J14" s="116"/>
    </row>
    <row r="15" spans="1:10" ht="54.75" customHeight="1">
      <c r="A15" s="13"/>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A4" r:id="rId1" display="https://eu.diablo3.com/es/class/barbarian/passive/pound-of-flesh" xr:uid="{00000000-0004-0000-0200-000000000000}"/>
    <hyperlink ref="A5" r:id="rId2" display="https://eu.diablo3.com/es/class/barbarian/passive/ruthless" xr:uid="{00000000-0004-0000-0200-000001000000}"/>
    <hyperlink ref="A6" r:id="rId3" display="https://eu.diablo3.com/es/class/barbarian/passive/weapons-master" xr:uid="{00000000-0004-0000-0200-000002000000}"/>
    <hyperlink ref="A7" r:id="rId4" display="https://eu.diablo3.com/es/class/barbarian/passive/inspiring-presence" xr:uid="{00000000-0004-0000-0200-000003000000}"/>
    <hyperlink ref="A8" r:id="rId5" display="https://eu.diablo3.com/es/class/barbarian/passive/superstition" xr:uid="{00000000-0004-0000-0200-000004000000}"/>
    <hyperlink ref="A9" r:id="rId6" display="https://eu.diablo3.com/es/class/barbarian/passive/tough-as-nails" xr:uid="{00000000-0004-0000-0200-000005000000}"/>
    <hyperlink ref="A10" r:id="rId7" display="https://eu.diablo3.com/es/class/barbarian/passive/relentless" xr:uid="{00000000-0004-0000-0200-000006000000}"/>
    <hyperlink ref="A12" r:id="rId8" display="https://eu.diablo3.com/es/class/barbarian/passive/rampage" xr:uid="{00000000-0004-0000-0200-000007000000}"/>
  </hyperlinks>
  <pageMargins left="0.7" right="0.7" top="0.75" bottom="0.75" header="0.3" footer="0.3"/>
  <pageSetup orientation="portrait"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J93"/>
  <sheetViews>
    <sheetView workbookViewId="0">
      <selection activeCell="D6" sqref="D6"/>
    </sheetView>
  </sheetViews>
  <sheetFormatPr baseColWidth="10" defaultRowHeight="15"/>
  <cols>
    <col min="1" max="1" width="24.42578125" customWidth="1"/>
    <col min="2" max="2" width="47.7109375" customWidth="1"/>
    <col min="3" max="3" width="24.42578125" style="112" customWidth="1"/>
    <col min="4" max="4" width="47.7109375" style="112" customWidth="1"/>
    <col min="5" max="5" width="24.42578125" style="120" customWidth="1"/>
    <col min="6" max="6" width="47" style="120" customWidth="1"/>
    <col min="7" max="7" width="24.42578125" style="120" customWidth="1"/>
    <col min="8" max="8" width="47" style="120" customWidth="1"/>
    <col min="9" max="9" width="24.42578125" style="120" customWidth="1"/>
    <col min="10" max="10" width="47" style="120" customWidth="1"/>
  </cols>
  <sheetData>
    <row r="2" spans="1:10">
      <c r="A2" s="188" t="s">
        <v>391</v>
      </c>
      <c r="B2" s="188"/>
      <c r="C2" s="188" t="s">
        <v>412</v>
      </c>
      <c r="D2" s="188"/>
      <c r="E2" s="188" t="s">
        <v>418</v>
      </c>
      <c r="F2" s="188"/>
      <c r="G2" s="188" t="s">
        <v>432</v>
      </c>
      <c r="H2" s="188"/>
      <c r="I2" s="188" t="s">
        <v>433</v>
      </c>
      <c r="J2" s="188"/>
    </row>
    <row r="3" spans="1:10">
      <c r="A3" t="s">
        <v>195</v>
      </c>
      <c r="B3" t="s">
        <v>392</v>
      </c>
      <c r="C3" s="112" t="s">
        <v>195</v>
      </c>
      <c r="D3" s="112" t="s">
        <v>392</v>
      </c>
      <c r="E3" s="120" t="s">
        <v>195</v>
      </c>
      <c r="F3" s="120" t="s">
        <v>392</v>
      </c>
      <c r="G3" s="120" t="s">
        <v>195</v>
      </c>
      <c r="H3" s="120" t="s">
        <v>392</v>
      </c>
      <c r="I3" s="120" t="s">
        <v>195</v>
      </c>
      <c r="J3" s="120" t="s">
        <v>392</v>
      </c>
    </row>
    <row r="4" spans="1:10" ht="74.25" customHeight="1">
      <c r="A4" s="13" t="s">
        <v>393</v>
      </c>
      <c r="B4" s="116" t="s">
        <v>394</v>
      </c>
      <c r="C4" s="13" t="s">
        <v>414</v>
      </c>
      <c r="D4" s="116" t="s">
        <v>413</v>
      </c>
      <c r="E4" s="13" t="s">
        <v>419</v>
      </c>
      <c r="F4" s="123" t="s">
        <v>441</v>
      </c>
      <c r="G4" s="13" t="s">
        <v>424</v>
      </c>
      <c r="H4" s="116" t="s">
        <v>425</v>
      </c>
      <c r="I4" s="13" t="s">
        <v>446</v>
      </c>
      <c r="J4" s="116" t="s">
        <v>436</v>
      </c>
    </row>
    <row r="5" spans="1:10" ht="69.75" customHeight="1">
      <c r="A5" s="13" t="s">
        <v>395</v>
      </c>
      <c r="B5" s="116" t="s">
        <v>442</v>
      </c>
      <c r="C5" s="13" t="s">
        <v>415</v>
      </c>
      <c r="D5" s="116" t="s">
        <v>416</v>
      </c>
      <c r="E5" s="13" t="s">
        <v>420</v>
      </c>
      <c r="F5" s="118" t="s">
        <v>421</v>
      </c>
      <c r="G5" s="13" t="s">
        <v>426</v>
      </c>
      <c r="H5" s="116" t="s">
        <v>427</v>
      </c>
      <c r="I5" s="13" t="s">
        <v>437</v>
      </c>
      <c r="J5" s="116" t="s">
        <v>438</v>
      </c>
    </row>
    <row r="6" spans="1:10" ht="75.75" customHeight="1">
      <c r="A6" s="13" t="s">
        <v>396</v>
      </c>
      <c r="B6" s="116" t="s">
        <v>443</v>
      </c>
      <c r="C6" s="13" t="s">
        <v>417</v>
      </c>
      <c r="D6" s="116" t="s">
        <v>534</v>
      </c>
      <c r="E6" s="13" t="s">
        <v>422</v>
      </c>
      <c r="F6" s="116" t="s">
        <v>423</v>
      </c>
      <c r="G6" s="13" t="s">
        <v>428</v>
      </c>
      <c r="H6" s="116" t="s">
        <v>429</v>
      </c>
      <c r="I6" s="13" t="s">
        <v>439</v>
      </c>
      <c r="J6" s="116" t="s">
        <v>440</v>
      </c>
    </row>
    <row r="7" spans="1:10" ht="75.75" customHeight="1">
      <c r="A7" s="13" t="s">
        <v>397</v>
      </c>
      <c r="B7" s="116" t="s">
        <v>444</v>
      </c>
      <c r="C7" s="117"/>
      <c r="D7" s="116"/>
      <c r="E7" s="13" t="s">
        <v>434</v>
      </c>
      <c r="F7" s="116" t="s">
        <v>435</v>
      </c>
      <c r="G7" s="13" t="s">
        <v>430</v>
      </c>
      <c r="H7" s="116" t="s">
        <v>431</v>
      </c>
    </row>
    <row r="8" spans="1:10" ht="54.75" customHeight="1">
      <c r="A8" s="13" t="s">
        <v>398</v>
      </c>
      <c r="B8" s="116" t="s">
        <v>399</v>
      </c>
      <c r="C8" s="118"/>
      <c r="D8" s="116"/>
      <c r="E8" s="118"/>
      <c r="F8" s="116"/>
      <c r="G8" s="117"/>
      <c r="H8" s="116"/>
      <c r="I8" s="117"/>
      <c r="J8" s="116"/>
    </row>
    <row r="9" spans="1:10" ht="54.75" customHeight="1">
      <c r="A9" s="13" t="s">
        <v>400</v>
      </c>
      <c r="B9" s="116" t="s">
        <v>401</v>
      </c>
      <c r="C9" s="116"/>
      <c r="D9" s="116"/>
      <c r="E9" s="118"/>
      <c r="F9" s="116"/>
      <c r="G9" s="118"/>
      <c r="H9" s="116"/>
      <c r="I9" s="118"/>
      <c r="J9" s="116"/>
    </row>
    <row r="10" spans="1:10" ht="54.75" customHeight="1">
      <c r="A10" s="13" t="s">
        <v>402</v>
      </c>
      <c r="B10" s="116" t="s">
        <v>445</v>
      </c>
      <c r="C10" s="116"/>
      <c r="D10" s="116"/>
      <c r="E10" s="116"/>
      <c r="F10" s="116"/>
      <c r="G10" s="116"/>
      <c r="H10" s="116"/>
      <c r="I10" s="116"/>
      <c r="J10" s="116"/>
    </row>
    <row r="11" spans="1:10" ht="54.75" customHeight="1">
      <c r="A11" s="13" t="s">
        <v>403</v>
      </c>
      <c r="B11" s="116" t="s">
        <v>404</v>
      </c>
      <c r="C11" s="115"/>
      <c r="D11" s="116"/>
      <c r="E11" s="115"/>
      <c r="F11" s="116"/>
      <c r="G11" s="115"/>
      <c r="H11" s="116"/>
      <c r="I11" s="115"/>
      <c r="J11" s="116"/>
    </row>
    <row r="12" spans="1:10" ht="54.75" customHeight="1">
      <c r="A12" s="13" t="s">
        <v>405</v>
      </c>
      <c r="B12" s="116" t="s">
        <v>447</v>
      </c>
      <c r="C12" s="115"/>
      <c r="D12" s="116"/>
      <c r="E12" s="115"/>
      <c r="F12" s="116"/>
      <c r="G12" s="115"/>
      <c r="H12" s="116"/>
      <c r="I12" s="115"/>
      <c r="J12" s="116"/>
    </row>
    <row r="13" spans="1:10" ht="54.75" customHeight="1">
      <c r="A13" s="13" t="s">
        <v>406</v>
      </c>
      <c r="B13" s="116" t="s">
        <v>448</v>
      </c>
      <c r="C13" s="115"/>
      <c r="D13" s="116"/>
      <c r="E13" s="115"/>
      <c r="F13" s="116"/>
      <c r="G13" s="115"/>
      <c r="H13" s="116"/>
      <c r="I13" s="115"/>
      <c r="J13" s="116"/>
    </row>
    <row r="14" spans="1:10" ht="54.75" customHeight="1">
      <c r="A14" s="13" t="s">
        <v>407</v>
      </c>
      <c r="B14" s="116" t="s">
        <v>408</v>
      </c>
      <c r="C14" s="115"/>
      <c r="D14" s="116"/>
      <c r="E14" s="115"/>
      <c r="F14" s="116"/>
      <c r="G14" s="115"/>
      <c r="H14" s="116"/>
      <c r="I14" s="115"/>
      <c r="J14" s="116"/>
    </row>
    <row r="15" spans="1:10" ht="54.75" customHeight="1">
      <c r="A15" s="13" t="s">
        <v>409</v>
      </c>
      <c r="B15" s="116" t="s">
        <v>449</v>
      </c>
      <c r="C15" s="115"/>
      <c r="D15" s="116"/>
      <c r="E15" s="115"/>
      <c r="F15" s="116"/>
      <c r="G15" s="115"/>
      <c r="H15" s="116"/>
      <c r="I15" s="115"/>
      <c r="J15" s="116"/>
    </row>
    <row r="16" spans="1:10" ht="54.75" customHeight="1">
      <c r="A16" s="13" t="s">
        <v>410</v>
      </c>
      <c r="B16" s="116" t="s">
        <v>411</v>
      </c>
      <c r="C16" s="115"/>
      <c r="D16" s="116"/>
      <c r="E16" s="115"/>
      <c r="F16" s="116"/>
      <c r="G16" s="115"/>
      <c r="H16" s="116"/>
      <c r="I16" s="115"/>
      <c r="J16" s="116"/>
    </row>
    <row r="17" spans="1:10" ht="54.75" customHeight="1">
      <c r="B17" s="114"/>
      <c r="D17" s="114"/>
      <c r="F17" s="114"/>
      <c r="H17" s="114"/>
      <c r="J17" s="114"/>
    </row>
    <row r="18" spans="1:10" ht="54.75" customHeight="1">
      <c r="A18" s="68"/>
      <c r="B18" s="114"/>
      <c r="C18" s="68"/>
      <c r="D18" s="114"/>
      <c r="E18" s="119"/>
      <c r="F18" s="114"/>
      <c r="G18" s="119"/>
      <c r="H18" s="114"/>
      <c r="I18" s="119"/>
      <c r="J18" s="114"/>
    </row>
    <row r="19" spans="1:10" ht="54.75" customHeight="1">
      <c r="A19" s="68"/>
      <c r="B19" s="114"/>
      <c r="C19" s="68"/>
      <c r="D19" s="114"/>
      <c r="E19" s="119"/>
      <c r="F19" s="114"/>
      <c r="G19" s="119"/>
      <c r="H19" s="114"/>
      <c r="I19" s="119"/>
      <c r="J19" s="114"/>
    </row>
    <row r="20" spans="1:10" ht="54.75" customHeight="1">
      <c r="A20" s="68"/>
      <c r="B20" s="114"/>
      <c r="C20" s="68"/>
      <c r="D20" s="114"/>
      <c r="E20" s="119"/>
      <c r="F20" s="114"/>
      <c r="G20" s="119"/>
      <c r="H20" s="114"/>
      <c r="I20" s="119"/>
      <c r="J20" s="114"/>
    </row>
    <row r="21" spans="1:10" ht="54.75" customHeight="1">
      <c r="A21" s="68"/>
      <c r="B21" s="114"/>
      <c r="C21" s="68"/>
      <c r="D21" s="114"/>
      <c r="E21" s="119"/>
      <c r="F21" s="114"/>
      <c r="G21" s="119"/>
      <c r="H21" s="114"/>
      <c r="I21" s="119"/>
      <c r="J21" s="114"/>
    </row>
    <row r="22" spans="1:10" ht="54.75" customHeight="1">
      <c r="A22" s="68"/>
      <c r="B22" s="114"/>
      <c r="C22" s="68"/>
      <c r="D22" s="114"/>
      <c r="E22" s="119"/>
      <c r="F22" s="114"/>
      <c r="G22" s="119"/>
      <c r="H22" s="114"/>
      <c r="I22" s="119"/>
      <c r="J22" s="114"/>
    </row>
    <row r="23" spans="1:10" ht="54.75" customHeight="1">
      <c r="A23" s="68"/>
      <c r="B23" s="114"/>
      <c r="C23" s="68"/>
      <c r="D23" s="114"/>
      <c r="E23" s="119"/>
      <c r="F23" s="114"/>
      <c r="G23" s="119"/>
      <c r="H23" s="114"/>
      <c r="I23" s="119"/>
      <c r="J23" s="114"/>
    </row>
    <row r="24" spans="1:10" ht="54.75" customHeight="1">
      <c r="A24" s="68"/>
      <c r="B24" s="114"/>
      <c r="C24" s="68"/>
      <c r="D24" s="114"/>
      <c r="E24" s="119"/>
      <c r="F24" s="114"/>
      <c r="G24" s="119"/>
      <c r="H24" s="114"/>
      <c r="I24" s="119"/>
      <c r="J24" s="114"/>
    </row>
    <row r="25" spans="1:10" ht="54.75" customHeight="1">
      <c r="A25" s="68"/>
      <c r="B25" s="114"/>
      <c r="C25" s="68"/>
      <c r="D25" s="114"/>
      <c r="E25" s="119"/>
      <c r="F25" s="114"/>
      <c r="G25" s="119"/>
      <c r="H25" s="114"/>
      <c r="I25" s="119"/>
      <c r="J25" s="114"/>
    </row>
    <row r="26" spans="1:10" ht="54.75" customHeight="1">
      <c r="A26" s="68"/>
      <c r="B26" s="114"/>
      <c r="C26" s="68"/>
      <c r="D26" s="114"/>
      <c r="E26" s="119"/>
      <c r="F26" s="114"/>
      <c r="G26" s="119"/>
      <c r="H26" s="114"/>
      <c r="I26" s="119"/>
      <c r="J26" s="114"/>
    </row>
    <row r="27" spans="1:10" ht="54.75" customHeight="1">
      <c r="A27" s="68"/>
      <c r="B27" s="114"/>
      <c r="C27" s="68"/>
      <c r="D27" s="114"/>
      <c r="E27" s="119"/>
      <c r="F27" s="114"/>
      <c r="G27" s="119"/>
      <c r="H27" s="114"/>
      <c r="I27" s="119"/>
      <c r="J27" s="114"/>
    </row>
    <row r="28" spans="1:10" ht="54.75" customHeight="1">
      <c r="A28" s="68"/>
      <c r="B28" s="114"/>
      <c r="C28" s="68"/>
      <c r="D28" s="114"/>
      <c r="E28" s="119"/>
      <c r="F28" s="114"/>
      <c r="G28" s="119"/>
      <c r="H28" s="114"/>
      <c r="I28" s="119"/>
      <c r="J28" s="114"/>
    </row>
    <row r="29" spans="1:10" ht="54.75" customHeight="1">
      <c r="A29" s="68"/>
      <c r="B29" s="114"/>
      <c r="C29" s="68"/>
      <c r="D29" s="114"/>
      <c r="E29" s="119"/>
      <c r="F29" s="114"/>
      <c r="G29" s="119"/>
      <c r="H29" s="114"/>
      <c r="I29" s="119"/>
      <c r="J29" s="114"/>
    </row>
    <row r="30" spans="1:10" ht="54.75" customHeight="1">
      <c r="A30" s="68"/>
      <c r="B30" s="114"/>
      <c r="C30" s="68"/>
      <c r="D30" s="114"/>
      <c r="E30" s="119"/>
      <c r="F30" s="114"/>
      <c r="G30" s="119"/>
      <c r="H30" s="114"/>
      <c r="I30" s="119"/>
      <c r="J30" s="114"/>
    </row>
    <row r="31" spans="1:10" ht="54.75" customHeight="1">
      <c r="A31" s="68"/>
      <c r="B31" s="114"/>
      <c r="C31" s="68"/>
      <c r="D31" s="114"/>
      <c r="E31" s="119"/>
      <c r="F31" s="114"/>
      <c r="G31" s="119"/>
      <c r="H31" s="114"/>
      <c r="I31" s="119"/>
      <c r="J31" s="114"/>
    </row>
    <row r="32" spans="1:10" ht="54.75" customHeight="1">
      <c r="A32" s="68"/>
      <c r="B32" s="114"/>
      <c r="C32" s="68"/>
      <c r="D32" s="114"/>
      <c r="E32" s="119"/>
      <c r="F32" s="114"/>
      <c r="G32" s="119"/>
      <c r="H32" s="114"/>
      <c r="I32" s="119"/>
      <c r="J32" s="114"/>
    </row>
    <row r="33" spans="1:10" ht="54.75" customHeight="1">
      <c r="A33" s="68"/>
      <c r="B33" s="114"/>
      <c r="C33" s="68"/>
      <c r="D33" s="114"/>
      <c r="E33" s="119"/>
      <c r="F33" s="114"/>
      <c r="G33" s="119"/>
      <c r="H33" s="114"/>
      <c r="I33" s="119"/>
      <c r="J33" s="114"/>
    </row>
    <row r="34" spans="1:10" ht="54.75" customHeight="1">
      <c r="A34" s="68"/>
      <c r="B34" s="114"/>
      <c r="C34" s="68"/>
      <c r="D34" s="114"/>
      <c r="E34" s="119"/>
      <c r="F34" s="114"/>
      <c r="G34" s="119"/>
      <c r="H34" s="114"/>
      <c r="I34" s="119"/>
      <c r="J34" s="114"/>
    </row>
    <row r="35" spans="1:10" ht="54.75" customHeight="1">
      <c r="A35" s="68"/>
      <c r="B35" s="114"/>
      <c r="C35" s="68"/>
      <c r="D35" s="114"/>
      <c r="E35" s="119"/>
      <c r="F35" s="114"/>
      <c r="G35" s="119"/>
      <c r="H35" s="114"/>
      <c r="I35" s="119"/>
      <c r="J35" s="114"/>
    </row>
    <row r="36" spans="1:10" ht="54.75" customHeight="1">
      <c r="A36" s="68"/>
      <c r="B36" s="114"/>
      <c r="C36" s="68"/>
      <c r="D36" s="114"/>
      <c r="E36" s="119"/>
      <c r="F36" s="114"/>
      <c r="G36" s="119"/>
      <c r="H36" s="114"/>
      <c r="I36" s="119"/>
      <c r="J36" s="114"/>
    </row>
    <row r="37" spans="1:10" ht="54.75" customHeight="1">
      <c r="A37" s="68"/>
      <c r="B37" s="114"/>
      <c r="C37" s="68"/>
      <c r="D37" s="114"/>
      <c r="E37" s="119"/>
      <c r="F37" s="114"/>
      <c r="G37" s="119"/>
      <c r="H37" s="114"/>
      <c r="I37" s="119"/>
      <c r="J37" s="114"/>
    </row>
    <row r="38" spans="1:10" ht="54.75" customHeight="1">
      <c r="A38" s="68"/>
      <c r="B38" s="114"/>
      <c r="C38" s="68"/>
      <c r="D38" s="114"/>
      <c r="E38" s="119"/>
      <c r="F38" s="114"/>
      <c r="G38" s="119"/>
      <c r="H38" s="114"/>
      <c r="I38" s="119"/>
      <c r="J38" s="114"/>
    </row>
    <row r="39" spans="1:10" ht="54.75" customHeight="1">
      <c r="A39" s="68"/>
      <c r="B39" s="114"/>
      <c r="C39" s="68"/>
      <c r="D39" s="114"/>
      <c r="E39" s="119"/>
      <c r="F39" s="114"/>
      <c r="G39" s="119"/>
      <c r="H39" s="114"/>
      <c r="I39" s="119"/>
      <c r="J39" s="114"/>
    </row>
    <row r="40" spans="1:10" ht="54.75" customHeight="1">
      <c r="A40" s="68"/>
      <c r="B40" s="114"/>
      <c r="C40" s="68"/>
      <c r="D40" s="114"/>
      <c r="E40" s="119"/>
      <c r="F40" s="114"/>
      <c r="G40" s="119"/>
      <c r="H40" s="114"/>
      <c r="I40" s="119"/>
      <c r="J40" s="114"/>
    </row>
    <row r="41" spans="1:10" ht="54.75" customHeight="1">
      <c r="A41" s="68"/>
      <c r="B41" s="114"/>
      <c r="C41" s="68"/>
      <c r="D41" s="114"/>
      <c r="E41" s="119"/>
      <c r="F41" s="114"/>
      <c r="G41" s="119"/>
      <c r="H41" s="114"/>
      <c r="I41" s="119"/>
      <c r="J41" s="114"/>
    </row>
    <row r="42" spans="1:10" ht="54.75" customHeight="1">
      <c r="A42" s="68"/>
      <c r="B42" s="114"/>
      <c r="C42" s="68"/>
      <c r="D42" s="114"/>
      <c r="E42" s="119"/>
      <c r="F42" s="114"/>
      <c r="G42" s="119"/>
      <c r="H42" s="114"/>
      <c r="I42" s="119"/>
      <c r="J42" s="114"/>
    </row>
    <row r="43" spans="1:10" ht="54.75" customHeight="1">
      <c r="A43" s="68"/>
      <c r="B43" s="114"/>
      <c r="C43" s="68"/>
      <c r="D43" s="114"/>
      <c r="E43" s="119"/>
      <c r="F43" s="114"/>
      <c r="G43" s="119"/>
      <c r="H43" s="114"/>
      <c r="I43" s="119"/>
      <c r="J43" s="114"/>
    </row>
    <row r="44" spans="1:10" ht="54.75" customHeight="1">
      <c r="A44" s="68"/>
      <c r="B44" s="114"/>
      <c r="C44" s="68"/>
      <c r="D44" s="114"/>
      <c r="E44" s="119"/>
      <c r="F44" s="114"/>
      <c r="G44" s="119"/>
      <c r="H44" s="114"/>
      <c r="I44" s="119"/>
      <c r="J44" s="114"/>
    </row>
    <row r="45" spans="1:10" ht="54.75" customHeight="1">
      <c r="A45" s="68"/>
      <c r="B45" s="114"/>
      <c r="C45" s="68"/>
      <c r="D45" s="114"/>
      <c r="E45" s="119"/>
      <c r="F45" s="114"/>
      <c r="G45" s="119"/>
      <c r="H45" s="114"/>
      <c r="I45" s="119"/>
      <c r="J45" s="114"/>
    </row>
    <row r="46" spans="1:10" ht="54.75" customHeight="1">
      <c r="A46" s="68"/>
      <c r="B46" s="114"/>
      <c r="C46" s="68"/>
      <c r="D46" s="114"/>
      <c r="E46" s="119"/>
      <c r="F46" s="114"/>
      <c r="G46" s="119"/>
      <c r="H46" s="114"/>
      <c r="I46" s="119"/>
      <c r="J46" s="114"/>
    </row>
    <row r="47" spans="1:10" ht="54.75" customHeight="1">
      <c r="A47" s="68"/>
      <c r="B47" s="114"/>
      <c r="C47" s="68"/>
      <c r="D47" s="114"/>
      <c r="E47" s="119"/>
      <c r="F47" s="114"/>
      <c r="G47" s="119"/>
      <c r="H47" s="114"/>
      <c r="I47" s="119"/>
      <c r="J47" s="114"/>
    </row>
    <row r="48" spans="1:10" ht="54.75" customHeight="1">
      <c r="A48" s="68"/>
      <c r="B48" s="114"/>
      <c r="C48" s="68"/>
      <c r="D48" s="114"/>
      <c r="E48" s="119"/>
      <c r="F48" s="114"/>
      <c r="G48" s="119"/>
      <c r="H48" s="114"/>
      <c r="I48" s="119"/>
      <c r="J48" s="114"/>
    </row>
    <row r="49" spans="1:10" ht="54.75" customHeight="1">
      <c r="A49" s="68"/>
      <c r="B49" s="114"/>
      <c r="C49" s="68"/>
      <c r="D49" s="114"/>
      <c r="E49" s="119"/>
      <c r="F49" s="114"/>
      <c r="G49" s="119"/>
      <c r="H49" s="114"/>
      <c r="I49" s="119"/>
      <c r="J49" s="114"/>
    </row>
    <row r="50" spans="1:10" ht="54.75" customHeight="1">
      <c r="A50" s="68"/>
      <c r="B50" s="114"/>
      <c r="C50" s="68"/>
      <c r="D50" s="114"/>
      <c r="E50" s="119"/>
      <c r="F50" s="114"/>
      <c r="G50" s="119"/>
      <c r="H50" s="114"/>
      <c r="I50" s="119"/>
      <c r="J50" s="114"/>
    </row>
    <row r="51" spans="1:10" ht="54.75" customHeight="1">
      <c r="A51" s="68"/>
      <c r="B51" s="114"/>
      <c r="C51" s="68"/>
      <c r="D51" s="114"/>
      <c r="E51" s="119"/>
      <c r="F51" s="114"/>
      <c r="G51" s="119"/>
      <c r="H51" s="114"/>
      <c r="I51" s="119"/>
      <c r="J51" s="114"/>
    </row>
    <row r="52" spans="1:10" ht="54.75" customHeight="1">
      <c r="A52" s="68"/>
      <c r="B52" s="114"/>
      <c r="C52" s="68"/>
      <c r="D52" s="114"/>
      <c r="E52" s="119"/>
      <c r="F52" s="114"/>
      <c r="G52" s="119"/>
      <c r="H52" s="114"/>
      <c r="I52" s="119"/>
      <c r="J52" s="114"/>
    </row>
    <row r="53" spans="1:10" ht="54.75" customHeight="1">
      <c r="A53" s="68"/>
      <c r="B53" s="114"/>
      <c r="C53" s="68"/>
      <c r="D53" s="114"/>
      <c r="E53" s="119"/>
      <c r="F53" s="114"/>
      <c r="G53" s="119"/>
      <c r="H53" s="114"/>
      <c r="I53" s="119"/>
      <c r="J53" s="114"/>
    </row>
    <row r="54" spans="1:10" ht="54.75" customHeight="1">
      <c r="A54" s="68"/>
      <c r="B54" s="114"/>
      <c r="C54" s="68"/>
      <c r="D54" s="114"/>
      <c r="E54" s="119"/>
      <c r="F54" s="114"/>
      <c r="G54" s="119"/>
      <c r="H54" s="114"/>
      <c r="I54" s="119"/>
      <c r="J54" s="114"/>
    </row>
    <row r="55" spans="1:10" ht="54.75" customHeight="1">
      <c r="A55" s="68"/>
      <c r="B55" s="114"/>
      <c r="C55" s="68"/>
      <c r="D55" s="114"/>
      <c r="E55" s="119"/>
      <c r="F55" s="114"/>
      <c r="G55" s="119"/>
      <c r="H55" s="114"/>
      <c r="I55" s="119"/>
      <c r="J55" s="114"/>
    </row>
    <row r="56" spans="1:10" ht="54.75" customHeight="1">
      <c r="A56" s="68"/>
      <c r="B56" s="114"/>
      <c r="C56" s="68"/>
      <c r="D56" s="114"/>
      <c r="E56" s="119"/>
      <c r="F56" s="114"/>
      <c r="G56" s="119"/>
      <c r="H56" s="114"/>
      <c r="I56" s="119"/>
      <c r="J56" s="114"/>
    </row>
    <row r="57" spans="1:10" ht="54.75" customHeight="1">
      <c r="A57" s="68"/>
      <c r="B57" s="114"/>
      <c r="C57" s="68"/>
      <c r="D57" s="114"/>
      <c r="E57" s="119"/>
      <c r="F57" s="114"/>
      <c r="G57" s="119"/>
      <c r="H57" s="114"/>
      <c r="I57" s="119"/>
      <c r="J57" s="114"/>
    </row>
    <row r="58" spans="1:10" ht="54.75" customHeight="1">
      <c r="A58" s="68"/>
      <c r="B58" s="114"/>
      <c r="C58" s="68"/>
      <c r="D58" s="114"/>
      <c r="E58" s="119"/>
      <c r="F58" s="114"/>
      <c r="G58" s="119"/>
      <c r="H58" s="114"/>
      <c r="I58" s="119"/>
      <c r="J58" s="114"/>
    </row>
    <row r="59" spans="1:10" ht="54.75" customHeight="1">
      <c r="A59" s="68"/>
      <c r="B59" s="114"/>
      <c r="C59" s="68"/>
      <c r="D59" s="114"/>
      <c r="E59" s="119"/>
      <c r="F59" s="114"/>
      <c r="G59" s="119"/>
      <c r="H59" s="114"/>
      <c r="I59" s="119"/>
      <c r="J59" s="114"/>
    </row>
    <row r="60" spans="1:10" ht="54.75" customHeight="1">
      <c r="A60" s="68"/>
      <c r="B60" s="114"/>
      <c r="C60" s="68"/>
      <c r="D60" s="114"/>
      <c r="E60" s="119"/>
      <c r="F60" s="114"/>
      <c r="G60" s="119"/>
      <c r="H60" s="114"/>
      <c r="I60" s="119"/>
      <c r="J60" s="114"/>
    </row>
    <row r="61" spans="1:10" ht="54.75" customHeight="1">
      <c r="A61" s="68"/>
      <c r="B61" s="114"/>
      <c r="C61" s="68"/>
      <c r="D61" s="114"/>
      <c r="E61" s="119"/>
      <c r="F61" s="114"/>
      <c r="G61" s="119"/>
      <c r="H61" s="114"/>
      <c r="I61" s="119"/>
      <c r="J61" s="114"/>
    </row>
    <row r="62" spans="1:10" ht="54.75" customHeight="1">
      <c r="A62" s="68"/>
      <c r="B62" s="114"/>
      <c r="C62" s="68"/>
      <c r="D62" s="114"/>
      <c r="E62" s="119"/>
      <c r="F62" s="114"/>
      <c r="G62" s="119"/>
      <c r="H62" s="114"/>
      <c r="I62" s="119"/>
      <c r="J62" s="114"/>
    </row>
    <row r="63" spans="1:10">
      <c r="A63" s="68"/>
      <c r="B63" s="114"/>
      <c r="C63" s="68"/>
      <c r="D63" s="114"/>
      <c r="E63" s="119"/>
      <c r="F63" s="114"/>
      <c r="G63" s="119"/>
      <c r="H63" s="114"/>
      <c r="I63" s="119"/>
      <c r="J63" s="114"/>
    </row>
    <row r="64" spans="1:10">
      <c r="A64" s="68"/>
      <c r="B64" s="114"/>
      <c r="C64" s="68"/>
      <c r="D64" s="114"/>
      <c r="E64" s="119"/>
      <c r="F64" s="114"/>
      <c r="G64" s="119"/>
      <c r="H64" s="114"/>
      <c r="I64" s="119"/>
      <c r="J64" s="114"/>
    </row>
    <row r="65" spans="1:10">
      <c r="A65" s="68"/>
      <c r="B65" s="114"/>
      <c r="C65" s="68"/>
      <c r="D65" s="114"/>
      <c r="E65" s="119"/>
      <c r="F65" s="114"/>
      <c r="G65" s="119"/>
      <c r="H65" s="114"/>
      <c r="I65" s="119"/>
      <c r="J65" s="114"/>
    </row>
    <row r="66" spans="1:10">
      <c r="A66" s="68"/>
      <c r="B66" s="114"/>
      <c r="C66" s="68"/>
      <c r="D66" s="114"/>
      <c r="E66" s="119"/>
      <c r="F66" s="114"/>
      <c r="G66" s="119"/>
      <c r="H66" s="114"/>
      <c r="I66" s="119"/>
      <c r="J66" s="114"/>
    </row>
    <row r="67" spans="1:10">
      <c r="A67" s="68"/>
      <c r="B67" s="114"/>
      <c r="C67" s="68"/>
      <c r="D67" s="114"/>
      <c r="E67" s="119"/>
      <c r="F67" s="114"/>
      <c r="G67" s="119"/>
      <c r="H67" s="114"/>
      <c r="I67" s="119"/>
      <c r="J67" s="114"/>
    </row>
    <row r="68" spans="1:10">
      <c r="A68" s="68"/>
      <c r="B68" s="114"/>
      <c r="C68" s="68"/>
      <c r="D68" s="114"/>
      <c r="E68" s="119"/>
      <c r="F68" s="114"/>
      <c r="G68" s="119"/>
      <c r="H68" s="114"/>
      <c r="I68" s="119"/>
      <c r="J68" s="114"/>
    </row>
    <row r="69" spans="1:10">
      <c r="A69" s="68"/>
      <c r="B69" s="114"/>
      <c r="C69" s="68"/>
      <c r="D69" s="114"/>
      <c r="E69" s="119"/>
      <c r="F69" s="114"/>
      <c r="G69" s="119"/>
      <c r="H69" s="114"/>
      <c r="I69" s="119"/>
      <c r="J69" s="114"/>
    </row>
    <row r="70" spans="1:10">
      <c r="A70" s="68"/>
      <c r="B70" s="114"/>
      <c r="C70" s="68"/>
      <c r="D70" s="114"/>
      <c r="E70" s="119"/>
      <c r="F70" s="114"/>
      <c r="G70" s="119"/>
      <c r="H70" s="114"/>
      <c r="I70" s="119"/>
      <c r="J70" s="114"/>
    </row>
    <row r="71" spans="1:10">
      <c r="A71" s="68"/>
      <c r="B71" s="114"/>
      <c r="C71" s="68"/>
      <c r="D71" s="114"/>
      <c r="E71" s="119"/>
      <c r="F71" s="114"/>
      <c r="G71" s="119"/>
      <c r="H71" s="114"/>
      <c r="I71" s="119"/>
      <c r="J71" s="114"/>
    </row>
    <row r="72" spans="1:10">
      <c r="A72" s="68"/>
      <c r="B72" s="114"/>
      <c r="C72" s="68"/>
      <c r="D72" s="114"/>
      <c r="E72" s="119"/>
      <c r="F72" s="114"/>
      <c r="G72" s="119"/>
      <c r="H72" s="114"/>
      <c r="I72" s="119"/>
      <c r="J72" s="114"/>
    </row>
    <row r="73" spans="1:10">
      <c r="A73" s="68"/>
      <c r="B73" s="114"/>
      <c r="C73" s="68"/>
      <c r="D73" s="114"/>
      <c r="E73" s="119"/>
      <c r="F73" s="114"/>
      <c r="G73" s="119"/>
      <c r="H73" s="114"/>
      <c r="I73" s="119"/>
      <c r="J73" s="114"/>
    </row>
    <row r="74" spans="1:10">
      <c r="A74" s="68"/>
      <c r="B74" s="114"/>
      <c r="C74" s="68"/>
      <c r="D74" s="114"/>
      <c r="E74" s="119"/>
      <c r="F74" s="114"/>
      <c r="G74" s="119"/>
      <c r="H74" s="114"/>
      <c r="I74" s="119"/>
      <c r="J74" s="114"/>
    </row>
    <row r="75" spans="1:10">
      <c r="A75" s="68"/>
      <c r="B75" s="114"/>
      <c r="C75" s="68"/>
      <c r="D75" s="114"/>
      <c r="E75" s="119"/>
      <c r="F75" s="114"/>
      <c r="G75" s="119"/>
      <c r="H75" s="114"/>
      <c r="I75" s="119"/>
      <c r="J75" s="114"/>
    </row>
    <row r="76" spans="1:10">
      <c r="A76" s="68"/>
      <c r="B76" s="114"/>
      <c r="C76" s="68"/>
      <c r="D76" s="114"/>
      <c r="E76" s="119"/>
      <c r="F76" s="114"/>
      <c r="G76" s="119"/>
      <c r="H76" s="114"/>
      <c r="I76" s="119"/>
      <c r="J76" s="114"/>
    </row>
    <row r="77" spans="1:10">
      <c r="A77" s="68"/>
      <c r="B77" s="114"/>
      <c r="C77" s="68"/>
      <c r="D77" s="114"/>
      <c r="E77" s="119"/>
      <c r="F77" s="114"/>
      <c r="G77" s="119"/>
      <c r="H77" s="114"/>
      <c r="I77" s="119"/>
      <c r="J77" s="114"/>
    </row>
    <row r="78" spans="1:10">
      <c r="A78" s="68"/>
      <c r="B78" s="114"/>
      <c r="C78" s="68"/>
      <c r="D78" s="114"/>
      <c r="E78" s="119"/>
      <c r="F78" s="114"/>
      <c r="G78" s="119"/>
      <c r="H78" s="114"/>
      <c r="I78" s="119"/>
      <c r="J78" s="114"/>
    </row>
    <row r="79" spans="1:10">
      <c r="A79" s="68"/>
      <c r="B79" s="114"/>
      <c r="C79" s="68"/>
      <c r="D79" s="114"/>
      <c r="E79" s="119"/>
      <c r="F79" s="114"/>
      <c r="G79" s="119"/>
      <c r="H79" s="114"/>
      <c r="I79" s="119"/>
      <c r="J79" s="114"/>
    </row>
    <row r="80" spans="1:10">
      <c r="A80" s="68"/>
      <c r="B80" s="114"/>
      <c r="C80" s="68"/>
      <c r="D80" s="114"/>
      <c r="E80" s="119"/>
      <c r="F80" s="114"/>
      <c r="G80" s="119"/>
      <c r="H80" s="114"/>
      <c r="I80" s="119"/>
      <c r="J80" s="114"/>
    </row>
    <row r="81" spans="1:10">
      <c r="A81" s="68"/>
      <c r="B81" s="114"/>
      <c r="C81" s="68"/>
      <c r="D81" s="114"/>
      <c r="E81" s="119"/>
      <c r="F81" s="114"/>
      <c r="G81" s="119"/>
      <c r="H81" s="114"/>
      <c r="I81" s="119"/>
      <c r="J81" s="114"/>
    </row>
    <row r="82" spans="1:10">
      <c r="A82" s="68"/>
      <c r="B82" s="114"/>
      <c r="C82" s="68"/>
      <c r="D82" s="114"/>
      <c r="E82" s="119"/>
      <c r="F82" s="114"/>
      <c r="G82" s="119"/>
      <c r="H82" s="114"/>
      <c r="I82" s="119"/>
      <c r="J82" s="114"/>
    </row>
    <row r="83" spans="1:10">
      <c r="A83" s="68"/>
      <c r="B83" s="114"/>
      <c r="C83" s="68"/>
      <c r="D83" s="114"/>
      <c r="E83" s="119"/>
      <c r="F83" s="114"/>
      <c r="G83" s="119"/>
      <c r="H83" s="114"/>
      <c r="I83" s="119"/>
      <c r="J83" s="114"/>
    </row>
    <row r="84" spans="1:10">
      <c r="A84" s="68"/>
      <c r="B84" s="114"/>
      <c r="C84" s="68"/>
      <c r="D84" s="114"/>
      <c r="E84" s="119"/>
      <c r="F84" s="114"/>
      <c r="G84" s="119"/>
      <c r="H84" s="114"/>
      <c r="I84" s="119"/>
      <c r="J84" s="114"/>
    </row>
    <row r="85" spans="1:10">
      <c r="A85" s="68"/>
      <c r="B85" s="114"/>
      <c r="C85" s="68"/>
      <c r="D85" s="114"/>
      <c r="E85" s="119"/>
      <c r="F85" s="114"/>
      <c r="G85" s="119"/>
      <c r="H85" s="114"/>
      <c r="I85" s="119"/>
      <c r="J85" s="114"/>
    </row>
    <row r="86" spans="1:10">
      <c r="A86" s="68"/>
      <c r="B86" s="114"/>
      <c r="C86" s="68"/>
      <c r="D86" s="114"/>
      <c r="E86" s="119"/>
      <c r="F86" s="114"/>
      <c r="G86" s="119"/>
      <c r="H86" s="114"/>
      <c r="I86" s="119"/>
      <c r="J86" s="114"/>
    </row>
    <row r="87" spans="1:10">
      <c r="A87" s="68"/>
      <c r="B87" s="114"/>
      <c r="C87" s="68"/>
      <c r="D87" s="114"/>
      <c r="E87" s="119"/>
      <c r="F87" s="114"/>
      <c r="G87" s="119"/>
      <c r="H87" s="114"/>
      <c r="I87" s="119"/>
      <c r="J87" s="114"/>
    </row>
    <row r="88" spans="1:10">
      <c r="A88" s="68"/>
      <c r="B88" s="114"/>
      <c r="C88" s="68"/>
      <c r="D88" s="114"/>
      <c r="E88" s="119"/>
      <c r="F88" s="114"/>
      <c r="G88" s="119"/>
      <c r="H88" s="114"/>
      <c r="I88" s="119"/>
      <c r="J88" s="114"/>
    </row>
    <row r="89" spans="1:10">
      <c r="A89" s="68"/>
      <c r="B89" s="114"/>
      <c r="C89" s="68"/>
      <c r="D89" s="114"/>
      <c r="E89" s="119"/>
      <c r="F89" s="114"/>
      <c r="G89" s="119"/>
      <c r="H89" s="114"/>
      <c r="I89" s="119"/>
      <c r="J89" s="114"/>
    </row>
    <row r="90" spans="1:10">
      <c r="A90" s="68"/>
      <c r="B90" s="114"/>
      <c r="C90" s="68"/>
      <c r="D90" s="114"/>
      <c r="E90" s="119"/>
      <c r="F90" s="114"/>
      <c r="G90" s="119"/>
      <c r="H90" s="114"/>
      <c r="I90" s="119"/>
      <c r="J90" s="114"/>
    </row>
    <row r="91" spans="1:10">
      <c r="A91" s="68"/>
      <c r="B91" s="114"/>
      <c r="C91" s="68"/>
      <c r="D91" s="114"/>
      <c r="E91" s="119"/>
      <c r="F91" s="114"/>
      <c r="G91" s="119"/>
      <c r="H91" s="114"/>
      <c r="I91" s="119"/>
      <c r="J91" s="114"/>
    </row>
    <row r="92" spans="1:10">
      <c r="A92" s="68"/>
      <c r="B92" s="114"/>
      <c r="C92" s="68"/>
      <c r="D92" s="114"/>
      <c r="E92" s="119"/>
      <c r="F92" s="114"/>
      <c r="G92" s="119"/>
      <c r="H92" s="114"/>
      <c r="I92" s="119"/>
      <c r="J92" s="114"/>
    </row>
    <row r="93" spans="1:10">
      <c r="A93" s="68"/>
      <c r="B93" s="114"/>
      <c r="C93" s="68"/>
      <c r="D93" s="114"/>
      <c r="E93" s="119"/>
      <c r="F93" s="114"/>
      <c r="G93" s="119"/>
      <c r="H93" s="114"/>
      <c r="I93" s="119"/>
      <c r="J93" s="114"/>
    </row>
  </sheetData>
  <mergeCells count="5">
    <mergeCell ref="G2:H2"/>
    <mergeCell ref="I2:J2"/>
    <mergeCell ref="A2:B2"/>
    <mergeCell ref="C2:D2"/>
    <mergeCell ref="E2:F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A1:AA509"/>
  <sheetViews>
    <sheetView topLeftCell="A25" workbookViewId="0">
      <selection activeCell="A64" sqref="A64"/>
    </sheetView>
  </sheetViews>
  <sheetFormatPr baseColWidth="10" defaultRowHeight="15"/>
  <cols>
    <col min="1" max="1" width="13.140625" style="27" customWidth="1"/>
    <col min="2" max="2" width="18.5703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c r="A1" s="27"/>
      <c r="B1" s="27"/>
      <c r="C1" s="27"/>
      <c r="D1" s="214" t="s">
        <v>143</v>
      </c>
      <c r="E1" s="214"/>
      <c r="F1" s="214"/>
      <c r="G1" s="214"/>
      <c r="H1" s="214"/>
      <c r="I1" s="214"/>
      <c r="J1" s="214"/>
      <c r="K1" s="215"/>
      <c r="L1" s="202" t="s">
        <v>193</v>
      </c>
      <c r="M1" s="203"/>
      <c r="N1" s="201" t="s">
        <v>161</v>
      </c>
      <c r="O1" s="201"/>
      <c r="P1" s="201"/>
      <c r="Q1" s="201"/>
      <c r="R1" s="201"/>
      <c r="S1" s="25"/>
    </row>
    <row r="2" spans="1:24">
      <c r="B2" s="50" t="s">
        <v>144</v>
      </c>
      <c r="C2" s="50" t="s">
        <v>62</v>
      </c>
      <c r="D2" s="197" t="s">
        <v>149</v>
      </c>
      <c r="E2" s="197"/>
      <c r="F2" s="197" t="s">
        <v>147</v>
      </c>
      <c r="G2" s="197"/>
      <c r="H2" s="197" t="s">
        <v>148</v>
      </c>
      <c r="I2" s="197"/>
      <c r="J2" s="197" t="s">
        <v>157</v>
      </c>
      <c r="K2" s="198"/>
      <c r="L2" s="204"/>
      <c r="M2" s="205"/>
      <c r="N2" s="29" t="s">
        <v>35</v>
      </c>
      <c r="O2" s="30" t="s">
        <v>51</v>
      </c>
      <c r="P2" s="29" t="s">
        <v>52</v>
      </c>
      <c r="Q2" s="30" t="s">
        <v>53</v>
      </c>
      <c r="R2" s="29" t="s">
        <v>54</v>
      </c>
    </row>
    <row r="3" spans="1:24">
      <c r="B3" s="28">
        <v>1</v>
      </c>
      <c r="C3" s="53">
        <v>1</v>
      </c>
      <c r="D3" s="199" t="s">
        <v>122</v>
      </c>
      <c r="E3" s="199"/>
      <c r="F3" s="195" t="s">
        <v>126</v>
      </c>
      <c r="G3" s="195"/>
      <c r="H3" s="199" t="s">
        <v>132</v>
      </c>
      <c r="I3" s="199"/>
      <c r="J3" s="199" t="s">
        <v>133</v>
      </c>
      <c r="K3" s="200"/>
      <c r="L3" s="204"/>
      <c r="M3" s="205"/>
      <c r="N3" s="33">
        <v>1</v>
      </c>
      <c r="O3" s="33">
        <v>3</v>
      </c>
      <c r="P3" s="33">
        <v>5</v>
      </c>
      <c r="Q3" s="33">
        <v>7</v>
      </c>
      <c r="R3" s="33">
        <v>9</v>
      </c>
      <c r="S3" s="192" t="s">
        <v>162</v>
      </c>
      <c r="T3" s="193"/>
      <c r="U3" s="193"/>
      <c r="V3" s="193"/>
      <c r="W3" s="193"/>
      <c r="X3" s="193"/>
    </row>
    <row r="4" spans="1:24" s="24" customFormat="1">
      <c r="B4" s="28">
        <v>2</v>
      </c>
      <c r="C4" s="54">
        <f>$C$3+2</f>
        <v>3</v>
      </c>
      <c r="D4" s="199" t="s">
        <v>1316</v>
      </c>
      <c r="E4" s="199"/>
      <c r="F4" s="195" t="s">
        <v>127</v>
      </c>
      <c r="G4" s="195"/>
      <c r="H4" s="199" t="s">
        <v>1330</v>
      </c>
      <c r="I4" s="199"/>
      <c r="J4" s="199" t="s">
        <v>134</v>
      </c>
      <c r="K4" s="200"/>
      <c r="L4" s="206"/>
      <c r="M4" s="207"/>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c r="B5" s="43">
        <v>3</v>
      </c>
      <c r="C5" s="55">
        <f>$C$4+2</f>
        <v>5</v>
      </c>
      <c r="D5" s="199" t="s">
        <v>123</v>
      </c>
      <c r="E5" s="199"/>
      <c r="F5" s="195" t="s">
        <v>128</v>
      </c>
      <c r="G5" s="195"/>
      <c r="H5" s="199" t="s">
        <v>136</v>
      </c>
      <c r="I5" s="199"/>
      <c r="J5" s="199" t="s">
        <v>135</v>
      </c>
      <c r="K5" s="200"/>
      <c r="L5" s="208" t="s">
        <v>108</v>
      </c>
      <c r="M5" s="31" t="s">
        <v>6</v>
      </c>
      <c r="N5" s="34">
        <f>MAIN!$D$2+(MAIN!$C$18+MAIN!$C$19)/2*MAIN!$B$9+(MAIN!$C$20+MAIN!$C$21)/2*MAIN!$B$8+(MAIN!$C$47*MAIN!$B$11)+($N$3*MAIN!$B$10)</f>
        <v>502</v>
      </c>
      <c r="O5" s="35">
        <f>MAIN!$D$3+(MAIN!$C$18+MAIN!$C$19)/2*MAIN!$B$9+(MAIN!$C$20+MAIN!$C$21)/2*MAIN!$B$8+(MAIN!$C$47*MAIN!$B$11)+($N$3*MAIN!$B$10)</f>
        <v>506</v>
      </c>
      <c r="P5" s="34">
        <f>MAIN!$D$4+(MAIN!$C$18+MAIN!$C$19)/2*MAIN!$B$9+(MAIN!$C$20+MAIN!$C$21)/2*MAIN!$B$8+(MAIN!$C$47*MAIN!$B$11)+($N$3*MAIN!$B$10)</f>
        <v>510</v>
      </c>
      <c r="Q5" s="35">
        <f>MAIN!$D$5+(MAIN!$C$18+MAIN!$C$19)/2*MAIN!$B$9+(MAIN!$C$20+MAIN!$C$21)/2*MAIN!$B$8+(MAIN!$C$47*MAIN!$B$11)+($N$3*MAIN!$B$10)</f>
        <v>514</v>
      </c>
      <c r="R5" s="34">
        <f>MAIN!$D$6+(MAIN!$C$18+MAIN!$C$19)/2*MAIN!$B$9+(MAIN!$C$20+MAIN!$C$21)/2*MAIN!$B$8+(MAIN!$C$47*MAIN!$B$11)+($N$3*MAIN!$B$10)</f>
        <v>522</v>
      </c>
      <c r="S5" s="44" t="s">
        <v>35</v>
      </c>
      <c r="T5" s="46">
        <f>SUM($N$5:$N$9)</f>
        <v>2526</v>
      </c>
      <c r="U5" s="46">
        <f>SUM($O$5:$O$9)</f>
        <v>2578</v>
      </c>
      <c r="V5" s="46">
        <f>SUM($P$5:$P$9)</f>
        <v>2630</v>
      </c>
      <c r="W5" s="46">
        <f>SUM($Q$5:$Q$9)</f>
        <v>2682</v>
      </c>
      <c r="X5" s="46">
        <f>SUM($R$5:$R$9)</f>
        <v>2786</v>
      </c>
    </row>
    <row r="6" spans="1:24" s="13" customFormat="1" ht="15" customHeight="1">
      <c r="B6" s="43">
        <v>4</v>
      </c>
      <c r="C6" s="56">
        <f>$C$5+2</f>
        <v>7</v>
      </c>
      <c r="D6" s="199" t="s">
        <v>125</v>
      </c>
      <c r="E6" s="199"/>
      <c r="F6" s="195" t="s">
        <v>129</v>
      </c>
      <c r="G6" s="195"/>
      <c r="H6" s="199" t="s">
        <v>137</v>
      </c>
      <c r="I6" s="199"/>
      <c r="J6" s="199" t="s">
        <v>138</v>
      </c>
      <c r="K6" s="200"/>
      <c r="L6" s="209"/>
      <c r="M6" s="32" t="s">
        <v>113</v>
      </c>
      <c r="N6" s="36">
        <f>MAIN!$F$2+(MAIN!$C$18+MAIN!$C$19)/2*MAIN!$B$9+(MAIN!$C$20+MAIN!$C$21)/2*MAIN!$B$8+(MAIN!$C$58*MAIN!$B$11)+($N$3*MAIN!$B$10)</f>
        <v>505</v>
      </c>
      <c r="O6" s="36">
        <f>MAIN!$G$2+(MAIN!$C$18+MAIN!$C$19)/2*MAIN!$B$9+(MAIN!$C$20+MAIN!$C$21)/2*MAIN!$B$8+(MAIN!$C$58*MAIN!$B$11)+($N$3*MAIN!$B$10)</f>
        <v>515</v>
      </c>
      <c r="P6" s="36">
        <f>MAIN!$H$2+(MAIN!$C$18+MAIN!$C$19)/2*MAIN!$B$9+(MAIN!$C$20+MAIN!$C$21)/2*MAIN!$B$8+(MAIN!$C$58*MAIN!$B$11)+($N$3*MAIN!$B$10)</f>
        <v>525</v>
      </c>
      <c r="Q6" s="36">
        <f>MAIN!$I$2+(MAIN!$C$18+MAIN!$C$19)/2*MAIN!$B$9+(MAIN!$C$20+MAIN!$C$21)/2*MAIN!$B$8+(MAIN!$C$58*MAIN!$B$11)+($N$3*MAIN!$B$10)</f>
        <v>535</v>
      </c>
      <c r="R6" s="36">
        <f>MAIN!$J$2+(MAIN!$C$18+MAIN!$C$19)/2*MAIN!$B$9+(MAIN!$C$20+MAIN!$C$21)/2*MAIN!$B$8+(MAIN!$C$58*MAIN!$B$11)+($N$3*MAIN!$B$10)</f>
        <v>555</v>
      </c>
      <c r="S6" s="44" t="s">
        <v>51</v>
      </c>
      <c r="T6" s="46">
        <f>SUM($N$10:$N$14)</f>
        <v>10676</v>
      </c>
      <c r="U6" s="46">
        <f>SUM($O$10:$O$14)</f>
        <v>10728</v>
      </c>
      <c r="V6" s="46">
        <f>SUM($P$10:$P$14)</f>
        <v>10780</v>
      </c>
      <c r="W6" s="46">
        <f>SUM($Q$10:$Q$14)</f>
        <v>10832</v>
      </c>
      <c r="X6" s="46">
        <f>SUM($R$10:$R$14)</f>
        <v>10936</v>
      </c>
    </row>
    <row r="7" spans="1:24" s="13" customFormat="1" ht="15" customHeight="1">
      <c r="A7" s="48"/>
      <c r="B7" s="43">
        <v>5</v>
      </c>
      <c r="C7" s="57">
        <f>$C$6+2</f>
        <v>9</v>
      </c>
      <c r="D7" s="199" t="s">
        <v>124</v>
      </c>
      <c r="E7" s="199"/>
      <c r="F7" s="195" t="s">
        <v>130</v>
      </c>
      <c r="G7" s="195"/>
      <c r="H7" s="199" t="s">
        <v>139</v>
      </c>
      <c r="I7" s="199"/>
      <c r="J7" s="199" t="s">
        <v>140</v>
      </c>
      <c r="K7" s="200"/>
      <c r="L7" s="209"/>
      <c r="M7" s="31" t="s">
        <v>114</v>
      </c>
      <c r="N7" s="34">
        <f>MAIN!$F$3+(MAIN!$C$18+MAIN!$C$19)/2*MAIN!$B$9+(MAIN!$C$20+MAIN!$C$21)/2*MAIN!$B$8+(MAIN!$C$69*MAIN!$B$11)+($N$3*MAIN!$B$10)</f>
        <v>508</v>
      </c>
      <c r="O7" s="35">
        <f>MAIN!$G$3+(MAIN!$C$18+MAIN!$C$19)/2*MAIN!$B$9+(MAIN!$C$20+MAIN!$C$21)/2*MAIN!$B$8+(MAIN!$C$69*MAIN!$B$11)+($N$3*MAIN!$B$10)</f>
        <v>524</v>
      </c>
      <c r="P7" s="34">
        <f>MAIN!$H$3+(MAIN!$C$18+MAIN!$C$19)/2*MAIN!$B$9+(MAIN!$C$20+MAIN!$C$21)/2*MAIN!$B$8+(MAIN!$C$69*MAIN!$B$11)+($N$3*MAIN!$B$10)</f>
        <v>540</v>
      </c>
      <c r="Q7" s="35">
        <f>MAIN!$I$3+(MAIN!$C$18+MAIN!$C$19)/2*MAIN!$B$9+(MAIN!$C$20+MAIN!$C$21)/2*MAIN!$B$8+(MAIN!$C$69*MAIN!$B$11)+($N$3*MAIN!$B$10)</f>
        <v>556</v>
      </c>
      <c r="R7" s="34">
        <f>MAIN!$J$3+(MAIN!$C$18+MAIN!$C$19)/2*MAIN!$B$9+(MAIN!$C$20+MAIN!$C$21)/2*MAIN!$B$8+(MAIN!$C$69*MAIN!$B$11)+($N$3*MAIN!$B$10)</f>
        <v>588</v>
      </c>
      <c r="S7" s="45" t="s">
        <v>52</v>
      </c>
      <c r="T7" s="46">
        <f>SUM($N$15:$N$19)</f>
        <v>19476</v>
      </c>
      <c r="U7" s="46">
        <f>SUM($O$15:$O$19)</f>
        <v>19528</v>
      </c>
      <c r="V7" s="46">
        <f>SUM($P$15:$P$19)</f>
        <v>19580</v>
      </c>
      <c r="W7" s="46">
        <f>SUM($Q$15:$Q$19)</f>
        <v>19632</v>
      </c>
      <c r="X7" s="46">
        <f>SUM($R$15:$R$19)</f>
        <v>19736</v>
      </c>
    </row>
    <row r="8" spans="1:24" s="13" customFormat="1" ht="15" customHeight="1">
      <c r="A8" s="48"/>
      <c r="B8" s="43">
        <v>6</v>
      </c>
      <c r="C8" s="58">
        <f>$C$7+2</f>
        <v>11</v>
      </c>
      <c r="D8" s="199" t="s">
        <v>535</v>
      </c>
      <c r="E8" s="199"/>
      <c r="F8" s="195" t="s">
        <v>131</v>
      </c>
      <c r="G8" s="195"/>
      <c r="H8" s="199" t="s">
        <v>141</v>
      </c>
      <c r="I8" s="199"/>
      <c r="J8" s="199" t="s">
        <v>142</v>
      </c>
      <c r="K8" s="200"/>
      <c r="L8" s="209"/>
      <c r="M8" s="32" t="s">
        <v>115</v>
      </c>
      <c r="N8" s="36">
        <f>MAIN!$F$4+(MAIN!$C$18+MAIN!$C$19)/2*MAIN!$B$9+(MAIN!$C$20+MAIN!$C$21)/2*MAIN!$B$8+(MAIN!$C$80*MAIN!$B$11)+($N$3*MAIN!$B$10)</f>
        <v>507</v>
      </c>
      <c r="O8" s="36">
        <f>MAIN!$G$4+(MAIN!$C$18+MAIN!$C$19)/2*MAIN!$B$9+(MAIN!$C$20+MAIN!$C$21)/2*MAIN!$B$8+(MAIN!$C$80*MAIN!$B$11)+($N$3*MAIN!$B$10)</f>
        <v>521</v>
      </c>
      <c r="P8" s="36">
        <f>MAIN!$H$4+(MAIN!$C$18+MAIN!$C$19)/2*MAIN!$B$9+(MAIN!$C$20+MAIN!$C$21)/2*MAIN!$B$8+(MAIN!$C$80*MAIN!$B$11)+($N$3*MAIN!$B$10)</f>
        <v>535</v>
      </c>
      <c r="Q8" s="36">
        <f>MAIN!$I$4+(MAIN!$C$18+MAIN!$C$19)/2*MAIN!$B$9+(MAIN!$C$20+MAIN!$C$21)/2*MAIN!$B$8+(MAIN!$C$80*MAIN!$B$11)+($N$3*MAIN!$B$10)</f>
        <v>549</v>
      </c>
      <c r="R8" s="36">
        <f>MAIN!$J$4+(MAIN!$C$18+MAIN!$C$19)/2*MAIN!$B$9+(MAIN!$C$20+MAIN!$C$21)/2*MAIN!$B$8+(MAIN!$C$80*MAIN!$B$11)+($N$3*MAIN!$B$10)</f>
        <v>577</v>
      </c>
      <c r="S8" s="45" t="s">
        <v>53</v>
      </c>
      <c r="T8" s="46">
        <f>SUM($N$20:$N$24)</f>
        <v>28276</v>
      </c>
      <c r="U8" s="46">
        <f>SUM($O$20:$O$24)</f>
        <v>28328</v>
      </c>
      <c r="V8" s="46">
        <f>SUM($P$20:$P$24)</f>
        <v>28380</v>
      </c>
      <c r="W8" s="46">
        <f>SUM($Q$20:$Q$24)</f>
        <v>28432</v>
      </c>
      <c r="X8" s="46">
        <f>SUM($R$20:$R$24)</f>
        <v>28536</v>
      </c>
    </row>
    <row r="9" spans="1:24" s="13" customFormat="1" ht="15" customHeight="1">
      <c r="D9" s="214" t="s">
        <v>160</v>
      </c>
      <c r="E9" s="214"/>
      <c r="F9" s="214"/>
      <c r="G9" s="214"/>
      <c r="H9" s="214"/>
      <c r="I9" s="214"/>
      <c r="J9" s="214"/>
      <c r="K9" s="215"/>
      <c r="L9" s="210"/>
      <c r="M9" s="31" t="s">
        <v>116</v>
      </c>
      <c r="N9" s="34">
        <f>MAIN!$F$5+(MAIN!$C$18+MAIN!$C$19)/2*MAIN!$B$9+(MAIN!$C$20+MAIN!$C$21)/2*MAIN!$B$8+(MAIN!$C$91*MAIN!$B$11)+($N$3*MAIN!$B$10)</f>
        <v>504</v>
      </c>
      <c r="O9" s="35">
        <f>MAIN!$G$5+(MAIN!$C$18+MAIN!$C$19)/2*MAIN!$B$9+(MAIN!$C$20+MAIN!$C$21)/2*MAIN!$B$8+(MAIN!$C$91*MAIN!$B$11)+($N$3*MAIN!$B$10)</f>
        <v>512</v>
      </c>
      <c r="P9" s="34">
        <f>MAIN!$H$5+(MAIN!$C$18+MAIN!$C$19)/2*MAIN!$B$9+(MAIN!$C$20+MAIN!$C$21)/2*MAIN!$B$8+(MAIN!$C$91*MAIN!$B$11)+($N$3*MAIN!$B$10)</f>
        <v>520</v>
      </c>
      <c r="Q9" s="35">
        <f>MAIN!$I$5+(MAIN!$C$18+MAIN!$C$19)/2*MAIN!$B$9+(MAIN!$C$20+MAIN!$C$21)/2*MAIN!$B$8+(MAIN!$C$91*MAIN!$B$11)+($N$3*MAIN!$B$10)</f>
        <v>528</v>
      </c>
      <c r="R9" s="34">
        <f>MAIN!$J$5+(MAIN!$C$18+MAIN!$C$19)/2*MAIN!$B$9+(MAIN!$C$20+MAIN!$C$21)/2*MAIN!$B$8+(MAIN!$C$91*MAIN!$B$11)+($N$3*MAIN!$B$10)</f>
        <v>544</v>
      </c>
      <c r="S9" s="45" t="s">
        <v>54</v>
      </c>
      <c r="T9" s="46">
        <f>SUM($N$25:$N$29)</f>
        <v>37076</v>
      </c>
      <c r="U9" s="46">
        <f>SUM($O$25:$O$29)</f>
        <v>37128</v>
      </c>
      <c r="V9" s="46">
        <f>SUM($P$25:$P$29)</f>
        <v>37180</v>
      </c>
      <c r="W9" s="46">
        <f>SUM($Q$25:$Q$29)</f>
        <v>37232</v>
      </c>
      <c r="X9" s="46">
        <f>SUM($R$25:$R$29)</f>
        <v>37336</v>
      </c>
    </row>
    <row r="10" spans="1:24" s="24" customFormat="1" ht="15" customHeight="1">
      <c r="A10" s="27"/>
      <c r="B10" s="27"/>
      <c r="C10" s="51" t="s">
        <v>145</v>
      </c>
      <c r="D10" s="195">
        <v>1.5</v>
      </c>
      <c r="E10" s="195"/>
      <c r="F10" s="195">
        <v>2.5</v>
      </c>
      <c r="G10" s="195"/>
      <c r="H10" s="195">
        <v>64</v>
      </c>
      <c r="I10" s="195"/>
      <c r="J10" s="195">
        <v>64</v>
      </c>
      <c r="K10" s="196"/>
      <c r="L10" s="211" t="s">
        <v>109</v>
      </c>
      <c r="M10" s="32" t="s">
        <v>6</v>
      </c>
      <c r="N10" s="36">
        <f>MAIN!$D$2+(MAIN!$D$18+MAIN!$D$19)/2*MAIN!$B$9+(MAIN!$D$20+MAIN!$D$21)/2*MAIN!$B$8+(MAIN!$D$47*MAIN!$B$11)+($O$3*MAIN!$B$10)</f>
        <v>2052</v>
      </c>
      <c r="O10" s="36">
        <f>MAIN!$D$3+(MAIN!$D$18+MAIN!$D$19)/2*MAIN!$B$9+(MAIN!$D$20+MAIN!$D$21)/2*MAIN!$B$8+(MAIN!$D$47*MAIN!$B$11)+($O$3*MAIN!$B$10)</f>
        <v>2056</v>
      </c>
      <c r="P10" s="36">
        <f>MAIN!$D$4+(MAIN!$D$18+MAIN!$D$19)/2*MAIN!$B$9+(MAIN!$D$20+MAIN!$D$21)/2*MAIN!$B$8+(MAIN!$D$47*MAIN!$B$11)+($O$3*MAIN!$B$10)</f>
        <v>2060</v>
      </c>
      <c r="Q10" s="36">
        <f>MAIN!$D$5+(MAIN!$D$18+MAIN!$D$19)/2*MAIN!$B$9+(MAIN!$D$20+MAIN!$D$21)/2*MAIN!$B$8+(MAIN!$D$47*MAIN!$B$11)+($O$3*MAIN!$B$10)</f>
        <v>2064</v>
      </c>
      <c r="R10" s="36">
        <f>MAIN!$D$6+(MAIN!$D$18+MAIN!$D$19)/2*MAIN!$B$9+(MAIN!$D$20+MAIN!$D$21)/2*MAIN!$B$8+(MAIN!$D$47*MAIN!$B$11)+($O$3*MAIN!$B$10)</f>
        <v>2072</v>
      </c>
    </row>
    <row r="11" spans="1:24" s="24" customFormat="1" ht="15" customHeight="1">
      <c r="A11" s="27"/>
      <c r="B11" s="27"/>
      <c r="C11" s="51" t="s">
        <v>146</v>
      </c>
      <c r="D11" s="195">
        <v>64</v>
      </c>
      <c r="E11" s="195"/>
      <c r="F11" s="195">
        <v>64</v>
      </c>
      <c r="G11" s="195"/>
      <c r="H11" s="195">
        <v>64</v>
      </c>
      <c r="I11" s="195"/>
      <c r="J11" s="195">
        <v>64</v>
      </c>
      <c r="K11" s="196"/>
      <c r="L11" s="212"/>
      <c r="M11" s="31" t="s">
        <v>113</v>
      </c>
      <c r="N11" s="34">
        <f>MAIN!$F$2+(MAIN!$D$18+MAIN!$D$19)/2*MAIN!$B$9+(MAIN!$D$20+MAIN!$D$21)/2*MAIN!$B$8+(MAIN!$D$58*MAIN!$B$11)+($O$3*MAIN!$B$10)</f>
        <v>2130</v>
      </c>
      <c r="O11" s="35">
        <f>MAIN!$G$2+(MAIN!$D$18+MAIN!$D$19)/2*MAIN!$B$9+(MAIN!$D$20+MAIN!$D$21)/2*MAIN!$B$8+(MAIN!$D$58*MAIN!$B$11)+($O$3*MAIN!$B$10)</f>
        <v>2140</v>
      </c>
      <c r="P11" s="34">
        <f>MAIN!$H$2+(MAIN!$D$18+MAIN!$D$19)/2*MAIN!$B$9+(MAIN!$D$20+MAIN!$D$21)/2*MAIN!$B$8+(MAIN!$D$58*MAIN!$B$11)+($O$3*MAIN!$B$10)</f>
        <v>2150</v>
      </c>
      <c r="Q11" s="35">
        <f>MAIN!$I$2+(MAIN!$D$18+MAIN!$D$19)/2*MAIN!$B$9+(MAIN!$D$20+MAIN!$D$21)/2*MAIN!$B$8+(MAIN!$D$58*MAIN!$B$11)+($O$3*MAIN!$B$10)</f>
        <v>2160</v>
      </c>
      <c r="R11" s="34">
        <f>MAIN!$J$2+(MAIN!$D$18+MAIN!$D$19)/2*MAIN!$B$9+(MAIN!$D$20+MAIN!$D$21)/2*MAIN!$B$8+(MAIN!$D$58*MAIN!$B$11)+($O$3*MAIN!$B$10)</f>
        <v>2180</v>
      </c>
    </row>
    <row r="12" spans="1:24" s="24" customFormat="1" ht="15" customHeight="1">
      <c r="A12" s="214" t="s">
        <v>166</v>
      </c>
      <c r="B12" s="214"/>
      <c r="C12" s="27"/>
      <c r="D12" s="214" t="s">
        <v>164</v>
      </c>
      <c r="E12" s="214"/>
      <c r="F12" s="214"/>
      <c r="G12" s="214"/>
      <c r="H12" s="214"/>
      <c r="I12" s="214"/>
      <c r="J12" s="214"/>
      <c r="K12" s="215"/>
      <c r="L12" s="212"/>
      <c r="M12" s="32" t="s">
        <v>114</v>
      </c>
      <c r="N12" s="36">
        <f>MAIN!$F$3+(MAIN!$D$18+MAIN!$D$19)/2*MAIN!$B$9+(MAIN!$D$20+MAIN!$D$21)/2*MAIN!$B$8+(MAIN!$D$69*MAIN!$B$11)+($O$3*MAIN!$B$10)</f>
        <v>2208</v>
      </c>
      <c r="O12" s="36">
        <f>MAIN!$G$3+(MAIN!$D$18+MAIN!$D$19)/2*MAIN!$B$9+(MAIN!$D$20+MAIN!$D$21)/2*MAIN!$B$8+(MAIN!$D$69*MAIN!$B$11)+($O$3*MAIN!$B$10)</f>
        <v>2224</v>
      </c>
      <c r="P12" s="36">
        <f>MAIN!$H$3+(MAIN!$D$18+MAIN!$D$19)/2*MAIN!$B$9+(MAIN!$D$20+MAIN!$D$21)/2*MAIN!$B$8+(MAIN!$D$69*MAIN!$B$11)+($O$3*MAIN!$B$10)</f>
        <v>2240</v>
      </c>
      <c r="Q12" s="36">
        <f>MAIN!$I$3+(MAIN!$D$18+MAIN!$D$19)/2*MAIN!$B$9+(MAIN!$D$20+MAIN!$D$21)/2*MAIN!$B$8+(MAIN!$D$69*MAIN!$B$11)+($O$3*MAIN!$B$10)</f>
        <v>2256</v>
      </c>
      <c r="R12" s="36">
        <f>MAIN!$J$3+(MAIN!$D$18+MAIN!$D$19)/2*MAIN!$B$9+(MAIN!$D$20+MAIN!$D$21)/2*MAIN!$B$8+(MAIN!$D$69*MAIN!$B$11)+($O$3*MAIN!$B$10)</f>
        <v>2288</v>
      </c>
      <c r="S12" s="13"/>
      <c r="T12" s="13"/>
      <c r="U12" s="13"/>
    </row>
    <row r="13" spans="1:24" s="27" customFormat="1" ht="15" customHeight="1">
      <c r="A13" s="27" t="s">
        <v>156</v>
      </c>
      <c r="B13" s="27">
        <f>$T$5</f>
        <v>2526</v>
      </c>
      <c r="D13" s="197" t="s">
        <v>149</v>
      </c>
      <c r="E13" s="197"/>
      <c r="F13" s="197" t="s">
        <v>147</v>
      </c>
      <c r="G13" s="197"/>
      <c r="H13" s="197" t="s">
        <v>148</v>
      </c>
      <c r="I13" s="197"/>
      <c r="J13" s="197" t="s">
        <v>157</v>
      </c>
      <c r="K13" s="198"/>
      <c r="L13" s="212"/>
      <c r="M13" s="31" t="s">
        <v>115</v>
      </c>
      <c r="N13" s="34">
        <f>MAIN!$F$4+(MAIN!$D$18+MAIN!$D$19)/2*MAIN!$B$9+(MAIN!$D$20+MAIN!$D$21)/2*MAIN!$B$8+(MAIN!$D$80*MAIN!$B$11)+($O$3*MAIN!$B$10)</f>
        <v>2182</v>
      </c>
      <c r="O13" s="35">
        <f>MAIN!$G$4+(MAIN!$D$18+MAIN!$D$19)/2*MAIN!$B$9+(MAIN!$D$20+MAIN!$D$21)/2*MAIN!$B$8+(MAIN!$D$80*MAIN!$B$11)+($O$3*MAIN!$B$10)</f>
        <v>2196</v>
      </c>
      <c r="P13" s="34">
        <f>MAIN!$H$4+(MAIN!$D$18+MAIN!$D$19)/2*MAIN!$B$9+(MAIN!$D$20+MAIN!$D$21)/2*MAIN!$B$8+(MAIN!$D$80*MAIN!$B$11)+($O$3*MAIN!$B$10)</f>
        <v>2210</v>
      </c>
      <c r="Q13" s="35">
        <f>MAIN!$I$4+(MAIN!$D$18+MAIN!$D$19)/2*MAIN!$B$9+(MAIN!$D$20+MAIN!$D$21)/2*MAIN!$B$8+(MAIN!$D$80*MAIN!$B$11)+($O$3*MAIN!$B$10)</f>
        <v>2224</v>
      </c>
      <c r="R13" s="34">
        <f>MAIN!$J$4+(MAIN!$D$18+MAIN!$D$19)/2*MAIN!$B$9+(MAIN!$D$20+MAIN!$D$21)/2*MAIN!$B$8+(MAIN!$D$80*MAIN!$B$11)+($O$3*MAIN!$B$10)</f>
        <v>2252</v>
      </c>
      <c r="S13" s="13"/>
      <c r="T13" s="47"/>
      <c r="U13" s="13"/>
      <c r="V13" s="24"/>
      <c r="W13" s="24"/>
    </row>
    <row r="14" spans="1:24" s="27" customFormat="1" ht="15" customHeight="1">
      <c r="A14" s="27" t="s">
        <v>145</v>
      </c>
      <c r="B14" s="7">
        <v>90</v>
      </c>
      <c r="C14" s="51" t="s">
        <v>158</v>
      </c>
      <c r="D14" s="194">
        <f>ROUND((D10*$B$13)/$B$14,2)</f>
        <v>42.1</v>
      </c>
      <c r="E14" s="194"/>
      <c r="F14" s="194">
        <f>ROUND((F10*$B$13)/$B$14,2)</f>
        <v>70.17</v>
      </c>
      <c r="G14" s="194"/>
      <c r="H14" s="194">
        <f>ROUND((H10*$B$13)/$B$14,2)</f>
        <v>1796.27</v>
      </c>
      <c r="I14" s="194"/>
      <c r="J14" s="194">
        <f>ROUND((J10*$B$13)/$B$14,2)</f>
        <v>1796.27</v>
      </c>
      <c r="K14" s="194"/>
      <c r="L14" s="213"/>
      <c r="M14" s="32" t="s">
        <v>116</v>
      </c>
      <c r="N14" s="36">
        <f>MAIN!$F$5+(MAIN!$D$18+MAIN!$D$19)/2*MAIN!$B$9+(MAIN!$D$20+MAIN!$D$21)/2*MAIN!$B$8+(MAIN!$D$91*MAIN!$B$11)+($O$3*MAIN!$B$10)</f>
        <v>2104</v>
      </c>
      <c r="O14" s="36">
        <f>MAIN!$G$5+(MAIN!$D$18+MAIN!$D$19)/2*MAIN!$B$9+(MAIN!$D$20+MAIN!$D$21)/2*MAIN!$B$8+(MAIN!$D$91*MAIN!$B$11)+($O$3*MAIN!$B$10)</f>
        <v>2112</v>
      </c>
      <c r="P14" s="36">
        <f>MAIN!$H$5+(MAIN!$D$18+MAIN!$D$19)/2*MAIN!$B$9+(MAIN!$D$20+MAIN!$D$21)/2*MAIN!$B$8+(MAIN!$D$91*MAIN!$B$11)+($O$3*MAIN!$B$10)</f>
        <v>2120</v>
      </c>
      <c r="Q14" s="36">
        <f>MAIN!$I$5+(MAIN!$D$18+MAIN!$D$19)/2*MAIN!$B$9+(MAIN!$D$20+MAIN!$D$21)/2*MAIN!$B$8+(MAIN!$D$91*MAIN!$B$11)+($O$3*MAIN!$B$10)</f>
        <v>2128</v>
      </c>
      <c r="R14" s="36">
        <f>MAIN!$J$5+(MAIN!$D$18+MAIN!$D$19)/2*MAIN!$B$9+(MAIN!$D$20+MAIN!$D$21)/2*MAIN!$B$8+(MAIN!$D$91*MAIN!$B$11)+($O$3*MAIN!$B$10)</f>
        <v>2144</v>
      </c>
      <c r="S14" s="13"/>
      <c r="T14" s="13"/>
      <c r="U14" s="13"/>
      <c r="V14" s="24"/>
    </row>
    <row r="15" spans="1:24" s="27" customFormat="1" ht="15" customHeight="1">
      <c r="A15" s="214" t="s">
        <v>168</v>
      </c>
      <c r="B15" s="214"/>
      <c r="C15" s="51" t="s">
        <v>159</v>
      </c>
      <c r="D15" s="194">
        <f>ROUND($D$14/$D$11,2)</f>
        <v>0.66</v>
      </c>
      <c r="E15" s="194"/>
      <c r="F15" s="194">
        <f>ROUND($F$14/$F$11,2)</f>
        <v>1.1000000000000001</v>
      </c>
      <c r="G15" s="194"/>
      <c r="H15" s="194">
        <f>ROUND($H$14/$H$11,2)</f>
        <v>28.07</v>
      </c>
      <c r="I15" s="194"/>
      <c r="J15" s="194">
        <f>ROUND($J$14/$J$11,2)</f>
        <v>28.07</v>
      </c>
      <c r="K15" s="194"/>
      <c r="L15" s="218" t="s">
        <v>110</v>
      </c>
      <c r="M15" s="31" t="s">
        <v>6</v>
      </c>
      <c r="N15" s="34">
        <f>MAIN!$D$2+(MAIN!$E$18+MAIN!$E$19)/2*MAIN!$B$9+(MAIN!$E$20+MAIN!$E$21)/2*MAIN!$B$8+(MAIN!$E$47*MAIN!$B$11)+($P$3*MAIN!$B$10)</f>
        <v>3652</v>
      </c>
      <c r="O15" s="35">
        <f>MAIN!$D$3+(MAIN!$E$18+MAIN!$E$19)/2*MAIN!$B$9+(MAIN!$E$20+MAIN!$E$21)/2*MAIN!$B$8+(MAIN!$E$47*MAIN!$B$11)+($P$3*MAIN!$B$10)</f>
        <v>3656</v>
      </c>
      <c r="P15" s="34">
        <f>MAIN!$D$4+(MAIN!$E$18+MAIN!$E$19)/2*MAIN!$B$9+(MAIN!$E$20+MAIN!$E$21)/2*MAIN!$B$8+(MAIN!$E$47*MAIN!$B$11)+($P$3*MAIN!$B$10)</f>
        <v>3660</v>
      </c>
      <c r="Q15" s="35">
        <f>MAIN!$D$5+(MAIN!$E$18+MAIN!$E$19)/2*MAIN!$B$9+(MAIN!$E$20+MAIN!$E$21)/2*MAIN!$B$8+(MAIN!$E$47*MAIN!$B$11)+($P$3*MAIN!$B$10)</f>
        <v>3664</v>
      </c>
      <c r="R15" s="34">
        <f>MAIN!$D$6+(MAIN!$E$18+MAIN!$E$19)/2*MAIN!$B$9+(MAIN!$E$20+MAIN!$E$21)/2*MAIN!$B$8+(MAIN!$E$47*MAIN!$B$11)+($P$3*MAIN!$B$10)</f>
        <v>3672</v>
      </c>
      <c r="S15" s="24"/>
      <c r="T15" s="24"/>
      <c r="U15" s="24"/>
      <c r="V15" s="24"/>
    </row>
    <row r="16" spans="1:24" s="27" customFormat="1" ht="15" customHeight="1">
      <c r="A16" s="27" t="s">
        <v>167</v>
      </c>
      <c r="B16" s="7">
        <v>1</v>
      </c>
      <c r="D16" s="77" t="s">
        <v>205</v>
      </c>
      <c r="E16" s="77" t="s">
        <v>206</v>
      </c>
      <c r="F16" s="77" t="s">
        <v>207</v>
      </c>
      <c r="G16" s="77" t="s">
        <v>208</v>
      </c>
      <c r="H16" s="77" t="s">
        <v>210</v>
      </c>
      <c r="I16" s="77" t="s">
        <v>209</v>
      </c>
      <c r="J16" s="77"/>
      <c r="K16" s="77"/>
      <c r="L16" s="222"/>
      <c r="M16" s="32" t="s">
        <v>113</v>
      </c>
      <c r="N16" s="36">
        <f>MAIN!$F$2+(MAIN!$E$18+MAIN!$E$19)/2*MAIN!$B$9+(MAIN!$E$20+MAIN!$E$21)/2*MAIN!$B$8+(MAIN!$E$58*MAIN!$B$11)+($P$3*MAIN!$B$10)</f>
        <v>3880</v>
      </c>
      <c r="O16" s="36">
        <f>MAIN!$G$2+(MAIN!$E$18+MAIN!$E$19)/2*MAIN!$B$9+(MAIN!$E$20+MAIN!$E$21)/2*MAIN!$B$8+(MAIN!$E$58*MAIN!$B$11)+($P$3*MAIN!$B$10)</f>
        <v>3890</v>
      </c>
      <c r="P16" s="36">
        <f>MAIN!$H$2+(MAIN!$E$18+MAIN!$E$19)/2*MAIN!$B$9+(MAIN!$E$20+MAIN!$E$21)/2*MAIN!$B$8+(MAIN!$E$58*MAIN!$B$11)+($P$3*MAIN!$B$10)</f>
        <v>3900</v>
      </c>
      <c r="Q16" s="36">
        <f>MAIN!$I$2+(MAIN!$E$18+MAIN!$E$19)/2*MAIN!$B$9+(MAIN!$E$20+MAIN!$E$21)/2*MAIN!$B$8+(MAIN!$E$58*MAIN!$B$11)+($P$3*MAIN!$B$10)</f>
        <v>3910</v>
      </c>
      <c r="R16" s="36">
        <f>MAIN!$J$2+(MAIN!$E$18+MAIN!$E$19)/2*MAIN!$B$9+(MAIN!$E$20+MAIN!$E$21)/2*MAIN!$B$8+(MAIN!$E$58*MAIN!$B$11)+($P$3*MAIN!$B$10)</f>
        <v>3930</v>
      </c>
      <c r="S16" s="24"/>
      <c r="T16" s="24"/>
      <c r="U16" s="24"/>
      <c r="V16" s="24"/>
      <c r="W16" s="24"/>
    </row>
    <row r="17" spans="1:23" s="24" customFormat="1" ht="15" customHeight="1">
      <c r="A17" s="27" t="s">
        <v>1</v>
      </c>
      <c r="B17" s="2">
        <v>3</v>
      </c>
      <c r="C17" s="52" t="s">
        <v>163</v>
      </c>
      <c r="D17" s="80" t="s">
        <v>149</v>
      </c>
      <c r="E17" s="71" t="s">
        <v>150</v>
      </c>
      <c r="F17" s="78" t="s">
        <v>154</v>
      </c>
      <c r="G17" s="74" t="s">
        <v>153</v>
      </c>
      <c r="H17" s="79"/>
      <c r="I17" s="71">
        <f>COUNTIF(E17:H17,"*")</f>
        <v>3</v>
      </c>
      <c r="J17" s="78"/>
      <c r="K17" s="73"/>
      <c r="L17" s="222"/>
      <c r="M17" s="31" t="s">
        <v>114</v>
      </c>
      <c r="N17" s="34">
        <f>MAIN!$F$3+(MAIN!$E$18+MAIN!$E$19)/2*MAIN!$B$9+(MAIN!$E$20+MAIN!$E$21)/2*MAIN!$B$8+(MAIN!$E$69*MAIN!$B$11)+($P$3*MAIN!$B$10)</f>
        <v>4108</v>
      </c>
      <c r="O17" s="35">
        <f>MAIN!$G$3+(MAIN!$E$18+MAIN!$E$19)/2*MAIN!$B$9+(MAIN!$E$20+MAIN!$E$21)/2*MAIN!$B$8+(MAIN!$E$69*MAIN!$B$11)+($P$3*MAIN!$B$10)</f>
        <v>4124</v>
      </c>
      <c r="P17" s="34">
        <f>MAIN!$H$3+(MAIN!$E$18+MAIN!$E$19)/2*MAIN!$B$9+(MAIN!$E$20+MAIN!$E$21)/2*MAIN!$B$8+(MAIN!$E$69*MAIN!$B$11)+($P$3*MAIN!$B$10)</f>
        <v>4140</v>
      </c>
      <c r="Q17" s="35">
        <f>MAIN!$I$3+(MAIN!$E$18+MAIN!$E$19)/2*MAIN!$B$9+(MAIN!$E$20+MAIN!$E$21)/2*MAIN!$B$8+(MAIN!$E$69*MAIN!$B$11)+($P$3*MAIN!$B$10)</f>
        <v>4156</v>
      </c>
      <c r="R17" s="34">
        <f>MAIN!$J$3+(MAIN!$E$18+MAIN!$E$19)/2*MAIN!$B$9+(MAIN!$E$20+MAIN!$E$21)/2*MAIN!$B$8+(MAIN!$E$69*MAIN!$B$11)+($P$3*MAIN!$B$10)</f>
        <v>4188</v>
      </c>
    </row>
    <row r="18" spans="1:23" s="27" customFormat="1" ht="15" customHeight="1">
      <c r="A18" s="27" t="s">
        <v>2</v>
      </c>
      <c r="B18" s="2">
        <v>5</v>
      </c>
      <c r="C18" s="27" t="s">
        <v>150</v>
      </c>
      <c r="D18" s="80" t="s">
        <v>147</v>
      </c>
      <c r="E18" s="74" t="s">
        <v>153</v>
      </c>
      <c r="F18" s="72" t="s">
        <v>151</v>
      </c>
      <c r="G18" s="74" t="s">
        <v>150</v>
      </c>
      <c r="H18" s="48"/>
      <c r="I18" s="71">
        <f t="shared" ref="I18:I20" si="0">COUNTIF(E18:H18,"*")</f>
        <v>3</v>
      </c>
      <c r="J18" s="72"/>
      <c r="K18" s="74"/>
      <c r="L18" s="218"/>
      <c r="M18" s="32" t="s">
        <v>115</v>
      </c>
      <c r="N18" s="36">
        <f>MAIN!$F$4+(MAIN!$E$18+MAIN!$E$19)/2*MAIN!$B$9+(MAIN!$E$20+MAIN!$E$21)/2*MAIN!$B$8+(MAIN!$E$80*MAIN!$B$11)+($P$3*MAIN!$B$10)</f>
        <v>4032</v>
      </c>
      <c r="O18" s="36">
        <f>MAIN!$G$4+(MAIN!$E$18+MAIN!$E$19)/2*MAIN!$B$9+(MAIN!$E$20+MAIN!$E$21)/2*MAIN!$B$8+(MAIN!$E$80*MAIN!$B$11)+($P$3*MAIN!$B$10)</f>
        <v>4046</v>
      </c>
      <c r="P18" s="36">
        <f>MAIN!$H$4+(MAIN!$E$18+MAIN!$E$19)/2*MAIN!$B$9+(MAIN!$E$20+MAIN!$E$21)/2*MAIN!$B$8+(MAIN!$E$80*MAIN!$B$11)+($P$3*MAIN!$B$10)</f>
        <v>4060</v>
      </c>
      <c r="Q18" s="36">
        <f>MAIN!$I$4+(MAIN!$E$18+MAIN!$E$19)/2*MAIN!$B$9+(MAIN!$E$20+MAIN!$E$21)/2*MAIN!$B$8+(MAIN!$E$80*MAIN!$B$11)+($P$3*MAIN!$B$10)</f>
        <v>4074</v>
      </c>
      <c r="R18" s="36">
        <f>MAIN!$J$4+(MAIN!$E$18+MAIN!$E$19)/2*MAIN!$B$9+(MAIN!$E$20+MAIN!$E$21)/2*MAIN!$B$8+(MAIN!$E$80*MAIN!$B$11)+($P$3*MAIN!$B$10)</f>
        <v>4102</v>
      </c>
      <c r="S18" s="24"/>
      <c r="T18" s="24"/>
      <c r="U18" s="24"/>
      <c r="V18" s="24"/>
      <c r="W18" s="24"/>
    </row>
    <row r="19" spans="1:23" s="27" customFormat="1" ht="15" customHeight="1">
      <c r="A19" s="27" t="s">
        <v>3</v>
      </c>
      <c r="B19" s="2">
        <v>7</v>
      </c>
      <c r="C19" s="27" t="s">
        <v>151</v>
      </c>
      <c r="D19" s="80" t="s">
        <v>148</v>
      </c>
      <c r="E19" s="74" t="s">
        <v>153</v>
      </c>
      <c r="F19" s="72" t="s">
        <v>150</v>
      </c>
      <c r="G19" s="74" t="s">
        <v>151</v>
      </c>
      <c r="H19" s="48"/>
      <c r="I19" s="71">
        <f t="shared" si="0"/>
        <v>3</v>
      </c>
      <c r="J19" s="72"/>
      <c r="K19" s="74"/>
      <c r="L19" s="218"/>
      <c r="M19" s="31" t="s">
        <v>116</v>
      </c>
      <c r="N19" s="34">
        <f>MAIN!$F$5+(MAIN!$E$18+MAIN!$E$19)/2*MAIN!$B$9+(MAIN!$E$20+MAIN!$E$21)/2*MAIN!$B$8+(MAIN!$E$91*MAIN!$B$11)+($P$3*MAIN!$B$10)</f>
        <v>3804</v>
      </c>
      <c r="O19" s="35">
        <f>MAIN!$G$5+(MAIN!$E$18+MAIN!$E$19)/2*MAIN!$B$9+(MAIN!$E$20+MAIN!$E$21)/2*MAIN!$B$8+(MAIN!$E$91*MAIN!$B$11)+($P$3*MAIN!$B$10)</f>
        <v>3812</v>
      </c>
      <c r="P19" s="34">
        <f>MAIN!$H$5+(MAIN!$E$18+MAIN!$E$19)/2*MAIN!$B$9+(MAIN!$E$20+MAIN!$E$21)/2*MAIN!$B$8+(MAIN!$E$91*MAIN!$B$11)+($P$3*MAIN!$B$10)</f>
        <v>3820</v>
      </c>
      <c r="Q19" s="35">
        <f>MAIN!$I$5+(MAIN!$E$18+MAIN!$E$19)/2*MAIN!$B$9+(MAIN!$E$20+MAIN!$E$21)/2*MAIN!$B$8+(MAIN!$E$91*MAIN!$B$11)+($P$3*MAIN!$B$10)</f>
        <v>3828</v>
      </c>
      <c r="R19" s="34">
        <f>MAIN!$J$5+(MAIN!$E$18+MAIN!$E$19)/2*MAIN!$B$9+(MAIN!$E$20+MAIN!$E$21)/2*MAIN!$B$8+(MAIN!$E$91*MAIN!$B$11)+($P$3*MAIN!$B$10)</f>
        <v>3844</v>
      </c>
      <c r="S19" s="24"/>
      <c r="T19" s="24"/>
      <c r="U19" s="24"/>
      <c r="V19" s="24"/>
      <c r="W19" s="24"/>
    </row>
    <row r="20" spans="1:23" s="24" customFormat="1" ht="15" customHeight="1">
      <c r="A20" s="27" t="s">
        <v>4</v>
      </c>
      <c r="B20" s="2">
        <v>11</v>
      </c>
      <c r="C20" s="27" t="s">
        <v>153</v>
      </c>
      <c r="D20" s="80" t="s">
        <v>1334</v>
      </c>
      <c r="E20" s="74" t="s">
        <v>152</v>
      </c>
      <c r="F20" s="72" t="s">
        <v>153</v>
      </c>
      <c r="G20" s="74"/>
      <c r="H20" s="48"/>
      <c r="I20" s="71">
        <f t="shared" si="0"/>
        <v>2</v>
      </c>
      <c r="J20" s="72"/>
      <c r="K20" s="74"/>
      <c r="L20" s="219" t="s">
        <v>111</v>
      </c>
      <c r="M20" s="32" t="s">
        <v>6</v>
      </c>
      <c r="N20" s="36">
        <f>MAIN!$D$2+(MAIN!$F$18+MAIN!$F$19)/2*MAIN!$B$9+(MAIN!$F$20+MAIN!$F$21)/2*MAIN!$B$8+(MAIN!$F$47*MAIN!$B$11)+($Q$3*MAIN!$B$10)</f>
        <v>5252</v>
      </c>
      <c r="O20" s="36">
        <f>MAIN!$D$3+(MAIN!$F$18+MAIN!$F$19)/2*MAIN!$B$9+(MAIN!$F$20+MAIN!$F$21)/2*MAIN!$B$8+(MAIN!$F$47*MAIN!$B$11)+($Q$3*MAIN!$B$10)</f>
        <v>5256</v>
      </c>
      <c r="P20" s="36">
        <f>MAIN!$D$4+(MAIN!$F$18+MAIN!$F$19)/2*MAIN!$B$9+(MAIN!$F$20+MAIN!$F$21)/2*MAIN!$B$8+(MAIN!$F$47*MAIN!$B$11)+($Q$3*MAIN!$B$10)</f>
        <v>5260</v>
      </c>
      <c r="Q20" s="36">
        <f>MAIN!$D$5+(MAIN!$F$18+MAIN!$F$19)/2*MAIN!$B$9+(MAIN!$F$20+MAIN!$F$21)/2*MAIN!$B$8+(MAIN!$F$47*MAIN!$B$11)+($Q$3*MAIN!$B$10)</f>
        <v>5264</v>
      </c>
      <c r="R20" s="36">
        <f>MAIN!$D$6+(MAIN!$F$18+MAIN!$F$19)/2*MAIN!$B$9+(MAIN!$F$20+MAIN!$F$21)/2*MAIN!$B$8+(MAIN!$F$47*MAIN!$B$11)+($Q$3*MAIN!$B$10)</f>
        <v>5272</v>
      </c>
    </row>
    <row r="21" spans="1:23" s="24" customFormat="1" ht="15" customHeight="1">
      <c r="A21" s="27"/>
      <c r="B21" s="27"/>
      <c r="C21" s="27" t="s">
        <v>154</v>
      </c>
      <c r="D21" s="80" t="s">
        <v>1335</v>
      </c>
      <c r="E21" s="70"/>
      <c r="F21" s="70"/>
      <c r="G21" s="70"/>
      <c r="H21" s="13"/>
      <c r="I21" s="74"/>
      <c r="J21" s="72"/>
      <c r="K21" s="74"/>
      <c r="L21" s="220"/>
      <c r="M21" s="31" t="s">
        <v>113</v>
      </c>
      <c r="N21" s="34">
        <f>MAIN!$F$2+(MAIN!$F$18+MAIN!$F$19)/2*MAIN!$B$9+(MAIN!$F$20+MAIN!$F$21)/2*MAIN!$B$8+(MAIN!$F$58*MAIN!$B$11)+($Q$3*MAIN!$B$10)</f>
        <v>5630</v>
      </c>
      <c r="O21" s="35">
        <f>MAIN!$G$2+(MAIN!$F$18+MAIN!$F$19)/2*MAIN!$B$9+(MAIN!$F$20+MAIN!$F$21)/2*MAIN!$B$8+(MAIN!$F$58*MAIN!$B$11)+($Q$3*MAIN!$B$10)</f>
        <v>5640</v>
      </c>
      <c r="P21" s="34">
        <f>MAIN!$H$2+(MAIN!$F$18+MAIN!$F$19)/2*MAIN!$B$9+(MAIN!$F$20+MAIN!$F$21)/2*MAIN!$B$8+(MAIN!$F$58*MAIN!$B$11)+($Q$3*MAIN!$B$10)</f>
        <v>5650</v>
      </c>
      <c r="Q21" s="35">
        <f>MAIN!$I$2+(MAIN!$F$18+MAIN!$F$19)/2*MAIN!$B$9+(MAIN!$F$20+MAIN!$F$21)/2*MAIN!$B$8+(MAIN!$F$58*MAIN!$B$11)+($Q$3*MAIN!$B$10)</f>
        <v>5660</v>
      </c>
      <c r="R21" s="34">
        <f>MAIN!$J$2+(MAIN!$F$18+MAIN!$F$19)/2*MAIN!$B$9+(MAIN!$F$20+MAIN!$F$21)/2*MAIN!$B$8+(MAIN!$F$58*MAIN!$B$11)+($Q$3*MAIN!$B$10)</f>
        <v>5680</v>
      </c>
    </row>
    <row r="22" spans="1:23" s="24" customFormat="1" ht="15" customHeight="1">
      <c r="A22" s="27"/>
      <c r="B22" s="27"/>
      <c r="C22" s="27" t="s">
        <v>152</v>
      </c>
      <c r="D22" s="80" t="s">
        <v>157</v>
      </c>
      <c r="E22" s="70"/>
      <c r="F22" s="70"/>
      <c r="G22" s="70"/>
      <c r="H22" s="13"/>
      <c r="I22" s="74"/>
      <c r="J22" s="72"/>
      <c r="K22" s="74"/>
      <c r="L22" s="220"/>
      <c r="M22" s="32" t="s">
        <v>114</v>
      </c>
      <c r="N22" s="36">
        <f>MAIN!$F$3+(MAIN!$F$18+MAIN!$F$19)/2*MAIN!$B$9+(MAIN!$F$20+MAIN!$F$21)/2*MAIN!$B$8+(MAIN!$F$69*MAIN!$B$11)+($Q$3*MAIN!$B$10)</f>
        <v>6008</v>
      </c>
      <c r="O22" s="36">
        <f>MAIN!$G$3+(MAIN!$F$18+MAIN!$F$19)/2*MAIN!$B$9+(MAIN!$F$20+MAIN!$F$21)/2*MAIN!$B$8+(MAIN!$F$69*MAIN!$B$11)+($Q$3*MAIN!$B$10)</f>
        <v>6024</v>
      </c>
      <c r="P22" s="36">
        <f>MAIN!$H$3+(MAIN!$F$18+MAIN!$F$19)/2*MAIN!$B$9+(MAIN!$F$20+MAIN!$F$21)/2*MAIN!$B$8+(MAIN!$F$69*MAIN!$B$11)+($Q$3*MAIN!$B$10)</f>
        <v>6040</v>
      </c>
      <c r="Q22" s="36">
        <f>MAIN!$I$3+(MAIN!$F$18+MAIN!$F$19)/2*MAIN!$B$9+(MAIN!$F$20+MAIN!$F$21)/2*MAIN!$B$8+(MAIN!$F$69*MAIN!$B$11)+($Q$3*MAIN!$B$10)</f>
        <v>6056</v>
      </c>
      <c r="R22" s="36">
        <f>MAIN!$J$3+(MAIN!$F$18+MAIN!$F$19)/2*MAIN!$B$9+(MAIN!$F$20+MAIN!$F$21)/2*MAIN!$B$8+(MAIN!$F$69*MAIN!$B$11)+($Q$3*MAIN!$B$10)</f>
        <v>6088</v>
      </c>
    </row>
    <row r="23" spans="1:23" s="24" customFormat="1" ht="15" customHeight="1">
      <c r="A23" s="27"/>
      <c r="B23" s="27"/>
      <c r="C23" s="82" t="s">
        <v>155</v>
      </c>
      <c r="D23" s="80" t="s">
        <v>157</v>
      </c>
      <c r="E23" s="83"/>
      <c r="F23" s="83"/>
      <c r="G23" s="83"/>
      <c r="H23" s="13"/>
      <c r="I23" s="71"/>
      <c r="J23" s="72"/>
      <c r="K23" s="73"/>
      <c r="L23" s="212"/>
      <c r="M23" s="31" t="s">
        <v>115</v>
      </c>
      <c r="N23" s="34">
        <f>MAIN!$F$4+(MAIN!$F$18+MAIN!$F$19)/2*MAIN!$B$9+(MAIN!$F$20+MAIN!$F$21)/2*MAIN!$B$8+(MAIN!$F$80*MAIN!$B$11)+($Q$3*MAIN!$B$10)</f>
        <v>5882</v>
      </c>
      <c r="O23" s="35">
        <f>MAIN!$G$4+(MAIN!$F$18+MAIN!$F$19)/2*MAIN!$B$9+(MAIN!$F$20+MAIN!$F$21)/2*MAIN!$B$8+(MAIN!$F$80*MAIN!$B$11)+($Q$3*MAIN!$B$10)</f>
        <v>5896</v>
      </c>
      <c r="P23" s="34">
        <f>MAIN!$H$4+(MAIN!$F$18+MAIN!$F$19)/2*MAIN!$B$9+(MAIN!$F$20+MAIN!$F$21)/2*MAIN!$B$8+(MAIN!$F$80*MAIN!$B$11)+($Q$3*MAIN!$B$10)</f>
        <v>5910</v>
      </c>
      <c r="Q23" s="35">
        <f>MAIN!$I$4+(MAIN!$F$18+MAIN!$F$19)/2*MAIN!$B$9+(MAIN!$F$20+MAIN!$F$21)/2*MAIN!$B$8+(MAIN!$F$80*MAIN!$B$11)+($Q$3*MAIN!$B$10)</f>
        <v>5924</v>
      </c>
      <c r="R23" s="34">
        <f>MAIN!$J$4+(MAIN!$F$18+MAIN!$F$19)/2*MAIN!$B$9+(MAIN!$F$20+MAIN!$F$21)/2*MAIN!$B$8+(MAIN!$F$80*MAIN!$B$11)+($Q$3*MAIN!$B$10)</f>
        <v>5952</v>
      </c>
    </row>
    <row r="24" spans="1:23" s="24" customFormat="1" ht="15" customHeight="1">
      <c r="A24" s="27"/>
      <c r="B24" s="27"/>
      <c r="D24" s="80" t="s">
        <v>157</v>
      </c>
      <c r="L24" s="221"/>
      <c r="M24" s="32" t="s">
        <v>116</v>
      </c>
      <c r="N24" s="36">
        <f>MAIN!$F$5+(MAIN!$F$18+MAIN!$F$19)/2*MAIN!$B$9+(MAIN!$F$20+MAIN!$F$21)/2*MAIN!$B$8+(MAIN!$F$91*MAIN!$B$11)+($Q$3*MAIN!$B$10)</f>
        <v>5504</v>
      </c>
      <c r="O24" s="36">
        <f>MAIN!$G$5+(MAIN!$F$18+MAIN!$F$19)/2*MAIN!$B$9+(MAIN!$F$20+MAIN!$F$21)/2*MAIN!$B$8+(MAIN!$F$91*MAIN!$B$11)+($Q$3*MAIN!$B$10)</f>
        <v>5512</v>
      </c>
      <c r="P24" s="36">
        <f>MAIN!$H$5+(MAIN!$F$18+MAIN!$F$19)/2*MAIN!$B$9+(MAIN!$F$20+MAIN!$F$21)/2*MAIN!$B$8+(MAIN!$F$91*MAIN!$B$11)+($Q$3*MAIN!$B$10)</f>
        <v>5520</v>
      </c>
      <c r="Q24" s="36">
        <f>MAIN!$I$5+(MAIN!$F$18+MAIN!$F$19)/2*MAIN!$B$9+(MAIN!$F$20+MAIN!$F$21)/2*MAIN!$B$8+(MAIN!$F$91*MAIN!$B$11)+($Q$3*MAIN!$B$10)</f>
        <v>5528</v>
      </c>
      <c r="R24" s="36">
        <f>MAIN!$J$5+(MAIN!$F$18+MAIN!$F$19)/2*MAIN!$B$9+(MAIN!$F$20+MAIN!$F$21)/2*MAIN!$B$8+(MAIN!$F$91*MAIN!$B$11)+($Q$3*MAIN!$B$10)</f>
        <v>5544</v>
      </c>
    </row>
    <row r="25" spans="1:23" s="24" customFormat="1" ht="15" customHeight="1">
      <c r="A25" s="27"/>
      <c r="B25" s="157"/>
      <c r="L25" s="218" t="s">
        <v>112</v>
      </c>
      <c r="M25" s="31" t="s">
        <v>6</v>
      </c>
      <c r="N25" s="34">
        <f>MAIN!$D$2+(MAIN!$G$18+MAIN!$G$19)/2*MAIN!$B$9+(MAIN!$G$20+MAIN!$G$21)/2*MAIN!$B$8+(MAIN!$G$47*MAIN!$B$11)+($R$3*MAIN!$B$10)</f>
        <v>6852</v>
      </c>
      <c r="O25" s="35">
        <f>MAIN!$D$3+(MAIN!$G$18+MAIN!$G$19)/2*MAIN!$B$9+(MAIN!$G$20+MAIN!$G$21)/2*MAIN!$B$8+(MAIN!$G$47*MAIN!$B$11)+($R$3*MAIN!$B$10)</f>
        <v>6856</v>
      </c>
      <c r="P25" s="34">
        <f>MAIN!$D$4+(MAIN!$G$18+MAIN!$G$19)/2*MAIN!$B$9+(MAIN!$G$20+MAIN!$G$21)/2*MAIN!$B$8+(MAIN!$G$47*MAIN!$B$11)+($R$3*MAIN!$B$10)</f>
        <v>6860</v>
      </c>
      <c r="Q25" s="35">
        <f>MAIN!$D$5+(MAIN!$G$18+MAIN!$G$19)/2*MAIN!$B$9+(MAIN!$G$20+MAIN!$G$21)/2*MAIN!$B$8+(MAIN!$G$47*MAIN!$B$11)+($R$3*MAIN!$B$10)</f>
        <v>6864</v>
      </c>
      <c r="R25" s="34">
        <f>MAIN!$D$6+(MAIN!$G$18+MAIN!$G$19)/2*MAIN!$B$9+(MAIN!$G$20+MAIN!$G$21)/2*MAIN!$B$8+(MAIN!$G$47*MAIN!$B$11)+($R$3*MAIN!$B$10)</f>
        <v>6872</v>
      </c>
    </row>
    <row r="26" spans="1:23" s="24" customFormat="1" ht="15" customHeight="1">
      <c r="A26" s="27"/>
      <c r="B26" s="163"/>
      <c r="L26" s="218"/>
      <c r="M26" s="32" t="s">
        <v>113</v>
      </c>
      <c r="N26" s="36">
        <f>MAIN!$F$2+(MAIN!$G$18+MAIN!$G$19)/2*MAIN!$B$9+(MAIN!$G$20+MAIN!$G$21)/2*MAIN!$B$8+(MAIN!$G$58*MAIN!$B$11)+($R$3*MAIN!$B$10)</f>
        <v>7380</v>
      </c>
      <c r="O26" s="36">
        <f>MAIN!$G$2+(MAIN!$G$18+MAIN!$G$19)/2*MAIN!$B$9+(MAIN!$G$20+MAIN!$G$21)/2*MAIN!$B$8+(MAIN!$G$58*MAIN!$B$11)+($R$3*MAIN!$B$10)</f>
        <v>7390</v>
      </c>
      <c r="P26" s="36">
        <f>MAIN!$H$2+(MAIN!$G$18+MAIN!$G$19)/2*MAIN!$B$9+(MAIN!$G$20+MAIN!$G$21)/2*MAIN!$B$8+(MAIN!$G$58*MAIN!$B$11)+($R$3*MAIN!$B$10)</f>
        <v>7400</v>
      </c>
      <c r="Q26" s="36">
        <f>MAIN!$I$2+(MAIN!$G$18+MAIN!$G$19)/2*MAIN!$B$9+(MAIN!$G$20+MAIN!$G$21)/2*MAIN!$B$8+(MAIN!$G$58*MAIN!$B$11)+($R$3*MAIN!$B$10)</f>
        <v>7410</v>
      </c>
      <c r="R26" s="36">
        <f>MAIN!$J$2+(MAIN!$G$18+MAIN!$G$19)/2*MAIN!$B$9+(MAIN!$G$20+MAIN!$G$21)/2*MAIN!$B$8+(MAIN!$G$58*MAIN!$B$11)+($R$3*MAIN!$B$10)</f>
        <v>7430</v>
      </c>
    </row>
    <row r="27" spans="1:23" s="24" customFormat="1" ht="15" customHeight="1">
      <c r="A27" s="27"/>
      <c r="B27" s="164"/>
      <c r="L27" s="218"/>
      <c r="M27" s="31" t="s">
        <v>114</v>
      </c>
      <c r="N27" s="34">
        <f>MAIN!$F$3+(MAIN!$G$18+MAIN!$G$19)/2*MAIN!$B$9+(MAIN!$G$20+MAIN!$G$21)/2*MAIN!$B$8+(MAIN!$G$69*MAIN!$B$11)+($R$3*MAIN!$B$10)</f>
        <v>7908</v>
      </c>
      <c r="O27" s="35">
        <f>MAIN!$G$3+(MAIN!$G$18+MAIN!$G$19)/2*MAIN!$B$9+(MAIN!$G$20+MAIN!$G$21)/2*MAIN!$B$8+(MAIN!$G$69*MAIN!$B$11)+($R$3*MAIN!$B$10)</f>
        <v>7924</v>
      </c>
      <c r="P27" s="34">
        <f>MAIN!$H$3+(MAIN!$G$18+MAIN!$G$19)/2*MAIN!$B$9+(MAIN!$G$20+MAIN!$G$21)/2*MAIN!$B$8+(MAIN!$G$69*MAIN!$B$11)+($R$3*MAIN!$B$10)</f>
        <v>7940</v>
      </c>
      <c r="Q27" s="35">
        <f>MAIN!$I$3+(MAIN!$G$18+MAIN!$G$19)/2*MAIN!$B$9+(MAIN!$G$20+MAIN!$G$21)/2*MAIN!$B$8+(MAIN!$G$69*MAIN!$B$11)+($R$3*MAIN!$B$10)</f>
        <v>7956</v>
      </c>
      <c r="R27" s="34">
        <f>MAIN!$J$3+(MAIN!$G$18+MAIN!$G$19)/2*MAIN!$B$9+(MAIN!$G$20+MAIN!$G$21)/2*MAIN!$B$8+(MAIN!$G$69*MAIN!$B$11)+($R$3*MAIN!$B$10)</f>
        <v>7988</v>
      </c>
    </row>
    <row r="28" spans="1:23" s="24" customFormat="1" ht="15" customHeight="1">
      <c r="A28" s="27"/>
      <c r="B28" s="27"/>
      <c r="L28" s="218"/>
      <c r="M28" s="32" t="s">
        <v>115</v>
      </c>
      <c r="N28" s="36">
        <f>MAIN!$F$4+(MAIN!$G$18+MAIN!$G$19)/2*MAIN!$B$9+(MAIN!$G$20+MAIN!$G$21)/2*MAIN!$B$8+(MAIN!$G$80*MAIN!$B$11)+($R$3*MAIN!$B$10)</f>
        <v>7732</v>
      </c>
      <c r="O28" s="36">
        <f>MAIN!$G$4+(MAIN!$G$18+MAIN!$G$19)/2*MAIN!$B$9+(MAIN!$G$20+MAIN!$G$21)/2*MAIN!$B$8+(MAIN!$G$80*MAIN!$B$11)+($R$3*MAIN!$B$10)</f>
        <v>7746</v>
      </c>
      <c r="P28" s="36">
        <f>MAIN!$H$4+(MAIN!$G$18+MAIN!$G$19)/2*MAIN!$B$9+(MAIN!$G$20+MAIN!$G$21)/2*MAIN!$B$8+(MAIN!$G$80*MAIN!$B$11)+($R$3*MAIN!$B$10)</f>
        <v>7760</v>
      </c>
      <c r="Q28" s="36">
        <f>MAIN!$I$4+(MAIN!$G$18+MAIN!$G$19)/2*MAIN!$B$9+(MAIN!$G$20+MAIN!$G$21)/2*MAIN!$B$8+(MAIN!$G$80*MAIN!$B$11)+($R$3*MAIN!$B$10)</f>
        <v>7774</v>
      </c>
      <c r="R28" s="36">
        <f>MAIN!$J$4+(MAIN!$G$18+MAIN!$G$19)/2*MAIN!$B$9+(MAIN!$G$20+MAIN!$G$21)/2*MAIN!$B$8+(MAIN!$G$80*MAIN!$B$11)+($R$3*MAIN!$B$10)</f>
        <v>7802</v>
      </c>
    </row>
    <row r="29" spans="1:23" s="24" customFormat="1" ht="15" customHeight="1">
      <c r="A29" s="50"/>
      <c r="B29" s="214" t="s">
        <v>192</v>
      </c>
      <c r="C29" s="214"/>
      <c r="D29" s="214"/>
      <c r="E29" s="214"/>
      <c r="F29" s="214"/>
      <c r="G29" s="214"/>
      <c r="H29" s="214"/>
      <c r="I29" s="215"/>
      <c r="L29" s="218"/>
      <c r="M29" s="31" t="s">
        <v>116</v>
      </c>
      <c r="N29" s="34">
        <f>MAIN!$F$5+(MAIN!$G$18+MAIN!$G$19)/2*MAIN!$B$9+(MAIN!$G$20+MAIN!$G$21)/2*MAIN!$B$8+(MAIN!$G$91*MAIN!$B$11)+($R$3*MAIN!$B$10)</f>
        <v>7204</v>
      </c>
      <c r="O29" s="35">
        <f>MAIN!$G$5+(MAIN!$G$18+MAIN!$G$19)/2*MAIN!$B$9+(MAIN!$G$20+MAIN!$G$21)/2*MAIN!$B$8+(MAIN!$G$91*MAIN!$B$11)+($R$3*MAIN!$B$10)</f>
        <v>7212</v>
      </c>
      <c r="P29" s="34">
        <f>MAIN!$H$5+(MAIN!$G$18+MAIN!$G$19)/2*MAIN!$B$9+(MAIN!$G$20+MAIN!$G$21)/2*MAIN!$B$8+(MAIN!$G$91*MAIN!$B$11)+($R$3*MAIN!$B$10)</f>
        <v>7220</v>
      </c>
      <c r="Q29" s="35">
        <f>MAIN!$I$5+(MAIN!$G$18+MAIN!$G$19)/2*MAIN!$B$9+(MAIN!$G$20+MAIN!$G$21)/2*MAIN!$B$8+(MAIN!$G$91*MAIN!$B$11)+($R$3*MAIN!$B$10)</f>
        <v>7228</v>
      </c>
      <c r="R29" s="34">
        <f>MAIN!$J$5+(MAIN!$G$18+MAIN!$G$19)/2*MAIN!$B$9+(MAIN!$G$20+MAIN!$G$21)/2*MAIN!$B$8+(MAIN!$G$91*MAIN!$B$11)+($R$3*MAIN!$B$10)</f>
        <v>7244</v>
      </c>
    </row>
    <row r="30" spans="1:23" s="24" customFormat="1" ht="15" customHeight="1">
      <c r="A30" s="50"/>
      <c r="B30" s="216" t="s">
        <v>149</v>
      </c>
      <c r="C30" s="216"/>
      <c r="D30" s="216" t="s">
        <v>147</v>
      </c>
      <c r="E30" s="216"/>
      <c r="F30" s="216" t="s">
        <v>148</v>
      </c>
      <c r="G30" s="216"/>
      <c r="H30" s="216" t="s">
        <v>157</v>
      </c>
      <c r="I30" s="216"/>
      <c r="M30"/>
      <c r="N30"/>
      <c r="O30"/>
      <c r="P30"/>
      <c r="Q30"/>
    </row>
    <row r="31" spans="1:23" s="27" customFormat="1" ht="15" customHeight="1">
      <c r="A31" s="161" t="s">
        <v>19</v>
      </c>
      <c r="B31" s="59" t="s">
        <v>143</v>
      </c>
      <c r="C31" s="59" t="s">
        <v>156</v>
      </c>
      <c r="D31" s="59" t="s">
        <v>143</v>
      </c>
      <c r="E31" s="59" t="s">
        <v>156</v>
      </c>
      <c r="F31" s="59" t="s">
        <v>143</v>
      </c>
      <c r="G31" s="59" t="s">
        <v>156</v>
      </c>
      <c r="H31" s="59" t="s">
        <v>143</v>
      </c>
      <c r="I31" s="59" t="s">
        <v>156</v>
      </c>
    </row>
    <row r="32" spans="1:23" s="24" customFormat="1" ht="15" customHeight="1">
      <c r="A32" s="162">
        <v>1</v>
      </c>
      <c r="B32" s="60" t="s">
        <v>165</v>
      </c>
      <c r="C32" s="60">
        <f>A32</f>
        <v>1</v>
      </c>
      <c r="D32" s="60" t="s">
        <v>170</v>
      </c>
      <c r="E32" s="60">
        <f t="shared" ref="E32:E37" si="1">A32</f>
        <v>1</v>
      </c>
      <c r="F32" s="60" t="s">
        <v>1333</v>
      </c>
      <c r="G32" s="60">
        <f>A32</f>
        <v>1</v>
      </c>
      <c r="H32" s="60" t="s">
        <v>188</v>
      </c>
      <c r="I32" s="60">
        <f t="shared" ref="I32:I37" si="2">A32</f>
        <v>1</v>
      </c>
      <c r="J32" s="59" t="s">
        <v>1306</v>
      </c>
      <c r="K32" s="59" t="s">
        <v>1297</v>
      </c>
      <c r="M32"/>
      <c r="N32"/>
      <c r="O32"/>
      <c r="P32"/>
      <c r="Q32"/>
    </row>
    <row r="33" spans="1:27" s="24" customFormat="1" ht="15" customHeight="1">
      <c r="A33" s="61">
        <v>3</v>
      </c>
      <c r="B33" s="61" t="s">
        <v>1317</v>
      </c>
      <c r="C33" s="61">
        <f>A33</f>
        <v>3</v>
      </c>
      <c r="D33" s="61" t="s">
        <v>171</v>
      </c>
      <c r="E33" s="61">
        <f t="shared" si="1"/>
        <v>3</v>
      </c>
      <c r="F33" s="61" t="s">
        <v>1328</v>
      </c>
      <c r="G33" s="61">
        <f>A33</f>
        <v>3</v>
      </c>
      <c r="H33" s="61" t="s">
        <v>155</v>
      </c>
      <c r="I33" s="61">
        <f t="shared" si="2"/>
        <v>3</v>
      </c>
      <c r="J33" s="127" t="s">
        <v>1307</v>
      </c>
      <c r="K33" s="126">
        <v>1</v>
      </c>
      <c r="M33"/>
      <c r="N33"/>
      <c r="O33"/>
      <c r="P33"/>
      <c r="Q33"/>
    </row>
    <row r="34" spans="1:27" s="24" customFormat="1" ht="15" customHeight="1">
      <c r="A34" s="62">
        <v>5</v>
      </c>
      <c r="B34" s="62" t="s">
        <v>1326</v>
      </c>
      <c r="C34" s="62">
        <f>A34</f>
        <v>5</v>
      </c>
      <c r="D34" s="62" t="s">
        <v>172</v>
      </c>
      <c r="E34" s="62">
        <f t="shared" si="1"/>
        <v>5</v>
      </c>
      <c r="F34" s="61" t="s">
        <v>1327</v>
      </c>
      <c r="G34" s="61">
        <f>A33</f>
        <v>3</v>
      </c>
      <c r="H34" s="62" t="s">
        <v>191</v>
      </c>
      <c r="I34" s="62">
        <f t="shared" si="2"/>
        <v>5</v>
      </c>
      <c r="J34" s="27" t="s">
        <v>1308</v>
      </c>
      <c r="K34" s="126">
        <v>1.6</v>
      </c>
      <c r="M34"/>
      <c r="N34"/>
      <c r="O34"/>
      <c r="P34"/>
      <c r="Q34"/>
      <c r="R34"/>
      <c r="S34"/>
      <c r="T34"/>
      <c r="U34"/>
    </row>
    <row r="35" spans="1:27" s="24" customFormat="1">
      <c r="A35" s="63">
        <v>7</v>
      </c>
      <c r="B35" s="62" t="s">
        <v>169</v>
      </c>
      <c r="C35" s="62">
        <f>A34</f>
        <v>5</v>
      </c>
      <c r="D35" s="63" t="s">
        <v>173</v>
      </c>
      <c r="E35" s="63">
        <f t="shared" si="1"/>
        <v>7</v>
      </c>
      <c r="F35" s="62" t="s">
        <v>182</v>
      </c>
      <c r="G35" s="62">
        <f>A34</f>
        <v>5</v>
      </c>
      <c r="H35" s="63" t="s">
        <v>189</v>
      </c>
      <c r="I35" s="63">
        <f t="shared" si="2"/>
        <v>7</v>
      </c>
      <c r="J35" s="141" t="s">
        <v>1309</v>
      </c>
      <c r="K35" s="126">
        <v>1.8</v>
      </c>
      <c r="N35"/>
      <c r="O35"/>
      <c r="P35"/>
      <c r="Q35"/>
      <c r="R35"/>
      <c r="S35"/>
      <c r="T35"/>
      <c r="U35"/>
      <c r="V35"/>
      <c r="W35"/>
    </row>
    <row r="36" spans="1:27" s="24" customFormat="1">
      <c r="A36" s="64">
        <v>9</v>
      </c>
      <c r="B36" s="63" t="s">
        <v>177</v>
      </c>
      <c r="C36" s="63">
        <f>A35</f>
        <v>7</v>
      </c>
      <c r="D36" s="64" t="s">
        <v>174</v>
      </c>
      <c r="E36" s="64">
        <f t="shared" si="1"/>
        <v>9</v>
      </c>
      <c r="F36" s="62" t="s">
        <v>1329</v>
      </c>
      <c r="G36" s="62">
        <f>A34</f>
        <v>5</v>
      </c>
      <c r="H36" s="64" t="s">
        <v>190</v>
      </c>
      <c r="I36" s="64">
        <f t="shared" si="2"/>
        <v>9</v>
      </c>
      <c r="J36" s="141" t="s">
        <v>1310</v>
      </c>
      <c r="K36" s="142">
        <v>2</v>
      </c>
      <c r="N36"/>
      <c r="O36"/>
      <c r="P36"/>
      <c r="Q36"/>
      <c r="R36"/>
      <c r="S36"/>
      <c r="T36"/>
      <c r="U36"/>
      <c r="V36"/>
      <c r="W36"/>
    </row>
    <row r="37" spans="1:27" s="24" customFormat="1">
      <c r="A37" s="65">
        <v>11</v>
      </c>
      <c r="B37" s="63" t="s">
        <v>176</v>
      </c>
      <c r="C37" s="63">
        <f>A35</f>
        <v>7</v>
      </c>
      <c r="D37" s="65" t="s">
        <v>175</v>
      </c>
      <c r="E37" s="65">
        <f t="shared" si="1"/>
        <v>11</v>
      </c>
      <c r="F37" s="62" t="s">
        <v>1331</v>
      </c>
      <c r="G37" s="62">
        <f>A34</f>
        <v>5</v>
      </c>
      <c r="H37" s="65" t="s">
        <v>232</v>
      </c>
      <c r="I37" s="66">
        <f t="shared" si="2"/>
        <v>11</v>
      </c>
      <c r="J37" s="141" t="s">
        <v>1313</v>
      </c>
      <c r="K37" s="142">
        <v>0.5</v>
      </c>
      <c r="N37"/>
      <c r="O37"/>
      <c r="P37"/>
      <c r="Q37"/>
      <c r="R37"/>
      <c r="S37"/>
      <c r="T37"/>
      <c r="U37"/>
      <c r="V37"/>
      <c r="W37"/>
    </row>
    <row r="38" spans="1:27" s="24" customFormat="1">
      <c r="A38" s="28"/>
      <c r="B38" s="63" t="s">
        <v>179</v>
      </c>
      <c r="C38" s="63">
        <f>A35</f>
        <v>7</v>
      </c>
      <c r="D38" s="2"/>
      <c r="E38" s="2"/>
      <c r="F38" s="62" t="s">
        <v>183</v>
      </c>
      <c r="G38" s="62">
        <f>A34</f>
        <v>5</v>
      </c>
      <c r="H38" s="39"/>
      <c r="I38" s="2"/>
      <c r="N38"/>
      <c r="O38"/>
      <c r="P38"/>
      <c r="Q38"/>
      <c r="R38"/>
      <c r="S38"/>
      <c r="T38"/>
      <c r="U38"/>
      <c r="V38"/>
      <c r="W38"/>
    </row>
    <row r="39" spans="1:27">
      <c r="A39" s="28"/>
      <c r="B39" s="64" t="s">
        <v>235</v>
      </c>
      <c r="C39" s="64">
        <f>A36</f>
        <v>9</v>
      </c>
      <c r="D39" s="2"/>
      <c r="E39" s="2"/>
      <c r="F39" s="63" t="s">
        <v>184</v>
      </c>
      <c r="G39" s="63">
        <f>A35</f>
        <v>7</v>
      </c>
      <c r="H39" s="2"/>
      <c r="I39" s="2"/>
    </row>
    <row r="40" spans="1:27">
      <c r="A40" s="28"/>
      <c r="B40" s="64" t="s">
        <v>178</v>
      </c>
      <c r="C40" s="64">
        <f>A36</f>
        <v>9</v>
      </c>
      <c r="D40" s="124"/>
      <c r="E40" s="2"/>
      <c r="F40" s="64" t="s">
        <v>185</v>
      </c>
      <c r="G40" s="64">
        <f>A36</f>
        <v>9</v>
      </c>
      <c r="H40" s="2"/>
      <c r="I40" s="2"/>
    </row>
    <row r="41" spans="1:27" s="127" customFormat="1">
      <c r="A41" s="28"/>
      <c r="B41" s="64" t="s">
        <v>201</v>
      </c>
      <c r="C41" s="64">
        <f>A36</f>
        <v>9</v>
      </c>
      <c r="D41" s="2"/>
      <c r="E41" s="2"/>
      <c r="F41" s="65" t="s">
        <v>186</v>
      </c>
      <c r="G41" s="66">
        <f>A37</f>
        <v>11</v>
      </c>
      <c r="H41" s="2"/>
      <c r="I41" s="2"/>
    </row>
    <row r="42" spans="1:27" s="127" customFormat="1">
      <c r="A42" s="27"/>
      <c r="B42" s="64" t="s">
        <v>180</v>
      </c>
      <c r="C42" s="64">
        <f>A36</f>
        <v>9</v>
      </c>
      <c r="D42" s="2"/>
      <c r="E42" s="2"/>
      <c r="F42" s="65" t="s">
        <v>187</v>
      </c>
      <c r="G42" s="66">
        <f>A37</f>
        <v>11</v>
      </c>
      <c r="H42" s="2"/>
      <c r="I42" s="2"/>
      <c r="V42" s="13"/>
      <c r="W42" s="13"/>
      <c r="X42" s="13"/>
      <c r="Y42" s="13"/>
    </row>
    <row r="43" spans="1:27" s="127" customFormat="1">
      <c r="A43" s="27"/>
      <c r="B43" s="65" t="s">
        <v>204</v>
      </c>
      <c r="C43" s="66">
        <f>A37</f>
        <v>11</v>
      </c>
      <c r="D43" s="2"/>
      <c r="E43" s="2"/>
      <c r="F43" s="65" t="s">
        <v>211</v>
      </c>
      <c r="G43" s="66">
        <f>A37</f>
        <v>11</v>
      </c>
      <c r="H43" s="2"/>
      <c r="I43" s="2"/>
      <c r="R43" s="152"/>
      <c r="V43" s="13"/>
      <c r="W43" s="13"/>
      <c r="X43" s="13"/>
      <c r="Y43" s="13"/>
    </row>
    <row r="44" spans="1:27" ht="15.75" customHeight="1">
      <c r="A44"/>
      <c r="B44" s="65" t="s">
        <v>181</v>
      </c>
      <c r="C44" s="66">
        <f>A37</f>
        <v>11</v>
      </c>
      <c r="D44"/>
      <c r="E44"/>
      <c r="F44" s="65" t="s">
        <v>236</v>
      </c>
      <c r="G44" s="66">
        <f>A37</f>
        <v>11</v>
      </c>
      <c r="H44"/>
      <c r="I44"/>
      <c r="O44" s="27"/>
      <c r="P44" s="76"/>
      <c r="Z44" s="24"/>
      <c r="AA44" s="24"/>
    </row>
    <row r="45" spans="1:27">
      <c r="A45"/>
      <c r="B45" s="65" t="s">
        <v>212</v>
      </c>
      <c r="C45" s="66">
        <f>A37</f>
        <v>11</v>
      </c>
      <c r="D45"/>
      <c r="E45"/>
      <c r="F45" s="2"/>
      <c r="G45" s="2"/>
      <c r="H45" s="13"/>
      <c r="I45" s="13"/>
      <c r="O45" s="27"/>
      <c r="P45" s="76"/>
      <c r="Z45" s="24"/>
      <c r="AA45" s="24"/>
    </row>
    <row r="46" spans="1:27">
      <c r="A46" s="127"/>
      <c r="B46" s="65" t="s">
        <v>1006</v>
      </c>
      <c r="C46" s="66">
        <f>A37</f>
        <v>11</v>
      </c>
      <c r="D46" s="127"/>
      <c r="E46" s="127"/>
      <c r="F46" s="2"/>
      <c r="G46" s="2"/>
      <c r="H46" s="13"/>
      <c r="I46" s="13"/>
      <c r="Z46" s="24"/>
      <c r="AA46" s="24"/>
    </row>
    <row r="47" spans="1:27">
      <c r="A47" s="127"/>
      <c r="B47" s="65" t="s">
        <v>1319</v>
      </c>
      <c r="C47" s="66">
        <f>A37</f>
        <v>11</v>
      </c>
      <c r="D47" s="127"/>
      <c r="E47" s="127"/>
      <c r="F47" s="154"/>
      <c r="G47"/>
      <c r="H47" s="127"/>
      <c r="I47" s="127"/>
      <c r="Z47" s="24"/>
      <c r="AA47" s="24"/>
    </row>
    <row r="48" spans="1:27">
      <c r="Z48" s="24"/>
      <c r="AA48" s="24"/>
    </row>
    <row r="49" spans="1:27">
      <c r="Z49" s="24"/>
      <c r="AA49" s="24"/>
    </row>
    <row r="50" spans="1:27">
      <c r="Z50" s="24"/>
      <c r="AA50" s="24"/>
    </row>
    <row r="51" spans="1:27">
      <c r="A51" s="75"/>
      <c r="B51" s="191" t="s">
        <v>213</v>
      </c>
      <c r="C51" s="191"/>
      <c r="D51" s="191"/>
      <c r="E51" s="191"/>
      <c r="F51" s="191" t="s">
        <v>233</v>
      </c>
      <c r="G51" s="191"/>
      <c r="H51" s="191"/>
      <c r="I51" s="191"/>
      <c r="J51" s="160" t="s">
        <v>19</v>
      </c>
      <c r="K51" s="160" t="s">
        <v>5</v>
      </c>
      <c r="L51" s="160" t="s">
        <v>203</v>
      </c>
      <c r="M51" s="217" t="s">
        <v>1321</v>
      </c>
      <c r="N51" s="217"/>
      <c r="O51" s="217"/>
      <c r="P51" s="42"/>
      <c r="Q51" s="157"/>
      <c r="Z51" s="24"/>
      <c r="AA51" s="24"/>
    </row>
    <row r="52" spans="1:27" ht="15.75">
      <c r="A52" s="75"/>
      <c r="B52" s="189" t="s">
        <v>214</v>
      </c>
      <c r="C52" s="190"/>
      <c r="D52" s="190"/>
      <c r="E52" s="190"/>
      <c r="F52" s="189" t="s">
        <v>216</v>
      </c>
      <c r="G52" s="190"/>
      <c r="H52" s="190"/>
      <c r="I52" s="190"/>
      <c r="J52">
        <v>1</v>
      </c>
      <c r="K52">
        <f>ListItemsCraft!C53</f>
        <v>1</v>
      </c>
      <c r="L52" s="138" t="s">
        <v>587</v>
      </c>
      <c r="M52" s="159" t="s">
        <v>886</v>
      </c>
      <c r="N52" s="140" t="s">
        <v>1275</v>
      </c>
      <c r="O52" s="155"/>
      <c r="P52" t="s">
        <v>1323</v>
      </c>
      <c r="Q52" s="157"/>
      <c r="Z52" s="24"/>
      <c r="AA52" s="24"/>
    </row>
    <row r="53" spans="1:27" ht="15.75">
      <c r="A53" s="59" t="s">
        <v>19</v>
      </c>
      <c r="B53" s="59" t="s">
        <v>227</v>
      </c>
      <c r="C53" s="59" t="s">
        <v>156</v>
      </c>
      <c r="D53" s="59" t="s">
        <v>215</v>
      </c>
      <c r="E53" s="59" t="s">
        <v>228</v>
      </c>
      <c r="F53" s="59" t="s">
        <v>229</v>
      </c>
      <c r="G53" s="59" t="s">
        <v>156</v>
      </c>
      <c r="H53" s="59" t="s">
        <v>215</v>
      </c>
      <c r="I53" s="59" t="s">
        <v>228</v>
      </c>
      <c r="J53">
        <v>3</v>
      </c>
      <c r="K53">
        <f>ListItemsCraft!C68</f>
        <v>1</v>
      </c>
      <c r="L53" s="138" t="s">
        <v>603</v>
      </c>
      <c r="M53" s="140" t="s">
        <v>924</v>
      </c>
      <c r="N53" s="159" t="s">
        <v>694</v>
      </c>
      <c r="O53" s="155"/>
      <c r="P53" s="156" t="s">
        <v>1324</v>
      </c>
      <c r="Q53" s="157" t="s">
        <v>1325</v>
      </c>
      <c r="Z53" s="24"/>
      <c r="AA53" s="24"/>
    </row>
    <row r="54" spans="1:27" ht="15.75">
      <c r="A54" s="60">
        <f t="shared" ref="A54:A59" si="3">A32</f>
        <v>1</v>
      </c>
      <c r="B54" s="60" t="s">
        <v>217</v>
      </c>
      <c r="C54" s="60">
        <f>A54</f>
        <v>1</v>
      </c>
      <c r="D54" s="60">
        <v>1</v>
      </c>
      <c r="E54" s="60">
        <f>C54/D54</f>
        <v>1</v>
      </c>
      <c r="F54" s="60" t="s">
        <v>1322</v>
      </c>
      <c r="G54" s="60">
        <f>A54</f>
        <v>1</v>
      </c>
      <c r="H54" s="60">
        <v>1</v>
      </c>
      <c r="I54" s="60">
        <f>ROUNDUP(G54/H54,1)</f>
        <v>1</v>
      </c>
      <c r="J54">
        <v>4</v>
      </c>
      <c r="K54">
        <f>ListItemsCraft!C99</f>
        <v>7</v>
      </c>
      <c r="L54" s="138" t="s">
        <v>634</v>
      </c>
      <c r="M54" s="159" t="s">
        <v>1311</v>
      </c>
      <c r="N54" s="27"/>
      <c r="O54" s="155"/>
      <c r="P54" s="156" t="s">
        <v>1324</v>
      </c>
      <c r="Q54" s="157"/>
      <c r="Z54" s="24"/>
      <c r="AA54" s="24"/>
    </row>
    <row r="55" spans="1:27" ht="15.75">
      <c r="A55" s="61">
        <f t="shared" si="3"/>
        <v>3</v>
      </c>
      <c r="B55" s="61" t="s">
        <v>218</v>
      </c>
      <c r="C55" s="61">
        <f>A55</f>
        <v>3</v>
      </c>
      <c r="D55" s="61">
        <v>2</v>
      </c>
      <c r="E55" s="61">
        <f t="shared" ref="E55:E67" si="4">C55/D55</f>
        <v>1.5</v>
      </c>
      <c r="F55" s="60" t="s">
        <v>188</v>
      </c>
      <c r="G55" s="60">
        <f>A54</f>
        <v>1</v>
      </c>
      <c r="H55" s="60">
        <v>3</v>
      </c>
      <c r="I55" s="60">
        <f>ROUNDUP(G55/H55,1)</f>
        <v>0.4</v>
      </c>
      <c r="J55">
        <v>5</v>
      </c>
      <c r="K55">
        <f>ListItemsCraft!C175</f>
        <v>6</v>
      </c>
      <c r="L55" s="138" t="s">
        <v>708</v>
      </c>
      <c r="M55" s="159" t="s">
        <v>862</v>
      </c>
      <c r="N55" s="159" t="s">
        <v>603</v>
      </c>
      <c r="O55" s="155"/>
      <c r="P55" s="156"/>
      <c r="Q55" s="157"/>
      <c r="Z55" s="24"/>
      <c r="AA55" s="24"/>
    </row>
    <row r="56" spans="1:27" ht="15.75">
      <c r="A56" s="62">
        <f t="shared" si="3"/>
        <v>5</v>
      </c>
      <c r="B56" s="62" t="s">
        <v>219</v>
      </c>
      <c r="C56" s="62">
        <f>C54*C5</f>
        <v>5</v>
      </c>
      <c r="D56" s="62">
        <v>2</v>
      </c>
      <c r="E56" s="62">
        <f t="shared" si="4"/>
        <v>2.5</v>
      </c>
      <c r="F56" s="61" t="s">
        <v>155</v>
      </c>
      <c r="G56" s="61">
        <f>A55</f>
        <v>3</v>
      </c>
      <c r="H56" s="61">
        <v>2</v>
      </c>
      <c r="I56" s="61">
        <f t="shared" ref="I56:I60" si="5">G56/H56</f>
        <v>1.5</v>
      </c>
      <c r="J56">
        <v>5</v>
      </c>
      <c r="K56">
        <f>ListItemsCraft!C317</f>
        <v>3.5</v>
      </c>
      <c r="L56" s="138" t="s">
        <v>850</v>
      </c>
      <c r="M56" s="159" t="s">
        <v>587</v>
      </c>
      <c r="N56" s="159" t="s">
        <v>1267</v>
      </c>
      <c r="O56" s="155"/>
      <c r="P56" s="156"/>
      <c r="Q56" s="157"/>
    </row>
    <row r="57" spans="1:27" s="150" customFormat="1" ht="15.75">
      <c r="A57" s="63">
        <f t="shared" si="3"/>
        <v>7</v>
      </c>
      <c r="B57" s="62" t="s">
        <v>220</v>
      </c>
      <c r="C57" s="62">
        <f>C54*C5</f>
        <v>5</v>
      </c>
      <c r="D57" s="62">
        <v>1</v>
      </c>
      <c r="E57" s="62">
        <f t="shared" si="4"/>
        <v>5</v>
      </c>
      <c r="F57" s="62" t="s">
        <v>230</v>
      </c>
      <c r="G57" s="62">
        <f>I34</f>
        <v>5</v>
      </c>
      <c r="H57" s="62">
        <v>2</v>
      </c>
      <c r="I57" s="62">
        <f t="shared" si="5"/>
        <v>2.5</v>
      </c>
      <c r="J57">
        <v>3</v>
      </c>
      <c r="K57">
        <f>ListItemsCraft!C329</f>
        <v>5</v>
      </c>
      <c r="L57" s="138" t="s">
        <v>862</v>
      </c>
      <c r="M57" s="159" t="s">
        <v>646</v>
      </c>
      <c r="N57" s="27"/>
      <c r="O57" s="155"/>
      <c r="P57" s="156" t="s">
        <v>1324</v>
      </c>
      <c r="Q57" s="27"/>
    </row>
    <row r="58" spans="1:27" ht="15.75">
      <c r="A58" s="64">
        <f t="shared" si="3"/>
        <v>9</v>
      </c>
      <c r="B58" s="63" t="s">
        <v>226</v>
      </c>
      <c r="C58" s="63">
        <f>C54*C6</f>
        <v>7</v>
      </c>
      <c r="D58" s="63">
        <v>2</v>
      </c>
      <c r="E58" s="63">
        <f t="shared" si="4"/>
        <v>3.5</v>
      </c>
      <c r="F58" s="63" t="s">
        <v>189</v>
      </c>
      <c r="G58" s="63">
        <f>I35</f>
        <v>7</v>
      </c>
      <c r="H58" s="63">
        <v>1</v>
      </c>
      <c r="I58" s="63">
        <f t="shared" si="5"/>
        <v>7</v>
      </c>
      <c r="J58">
        <v>3</v>
      </c>
      <c r="K58">
        <f>ListItemsCraft!C408</f>
        <v>1</v>
      </c>
      <c r="L58" s="138" t="s">
        <v>941</v>
      </c>
      <c r="M58" s="159" t="s">
        <v>606</v>
      </c>
      <c r="N58" s="156"/>
      <c r="O58" s="157"/>
      <c r="P58" s="156"/>
      <c r="Q58" s="157"/>
    </row>
    <row r="59" spans="1:27" ht="15.75">
      <c r="A59" s="65">
        <f t="shared" si="3"/>
        <v>11</v>
      </c>
      <c r="B59" s="63" t="s">
        <v>221</v>
      </c>
      <c r="C59" s="63">
        <f>C54*C6</f>
        <v>7</v>
      </c>
      <c r="D59" s="63">
        <v>7</v>
      </c>
      <c r="E59" s="63">
        <f t="shared" si="4"/>
        <v>1</v>
      </c>
      <c r="F59" s="64" t="s">
        <v>231</v>
      </c>
      <c r="G59" s="64">
        <f>I36</f>
        <v>9</v>
      </c>
      <c r="H59" s="64">
        <v>2</v>
      </c>
      <c r="I59" s="64">
        <f t="shared" si="5"/>
        <v>4.5</v>
      </c>
      <c r="J59">
        <v>1</v>
      </c>
      <c r="K59">
        <f>ListItemsCraft!C420</f>
        <v>1</v>
      </c>
      <c r="L59" s="138" t="s">
        <v>953</v>
      </c>
      <c r="M59" s="140" t="s">
        <v>559</v>
      </c>
      <c r="N59" s="140" t="s">
        <v>1273</v>
      </c>
      <c r="O59" s="140" t="s">
        <v>1048</v>
      </c>
      <c r="P59" s="27"/>
      <c r="Q59" s="157"/>
      <c r="R59" s="27"/>
    </row>
    <row r="60" spans="1:27" ht="15.75">
      <c r="A60" s="68"/>
      <c r="B60" s="63" t="s">
        <v>222</v>
      </c>
      <c r="C60" s="63">
        <f>C54*C6</f>
        <v>7</v>
      </c>
      <c r="D60" s="63">
        <v>1</v>
      </c>
      <c r="E60" s="63">
        <f t="shared" si="4"/>
        <v>7</v>
      </c>
      <c r="F60" s="65" t="s">
        <v>232</v>
      </c>
      <c r="G60" s="65">
        <f>I37</f>
        <v>11</v>
      </c>
      <c r="H60" s="65">
        <v>2</v>
      </c>
      <c r="I60" s="65">
        <f t="shared" si="5"/>
        <v>5.5</v>
      </c>
      <c r="J60">
        <v>6</v>
      </c>
      <c r="K60">
        <f>ListItemsCraft!C436</f>
        <v>7.5</v>
      </c>
      <c r="L60" s="138" t="s">
        <v>969</v>
      </c>
      <c r="M60" s="159" t="s">
        <v>862</v>
      </c>
      <c r="N60" s="159" t="s">
        <v>1267</v>
      </c>
      <c r="O60" s="155"/>
      <c r="P60" s="156"/>
      <c r="Q60" s="157"/>
      <c r="R60" s="152"/>
    </row>
    <row r="61" spans="1:27" ht="15.75">
      <c r="A61" s="68"/>
      <c r="B61" s="64" t="s">
        <v>234</v>
      </c>
      <c r="C61" s="64">
        <f>C54*C7</f>
        <v>9</v>
      </c>
      <c r="D61" s="64">
        <v>2</v>
      </c>
      <c r="E61" s="64">
        <f>C61/D61</f>
        <v>4.5</v>
      </c>
      <c r="F61"/>
      <c r="G61"/>
      <c r="H61"/>
      <c r="I61"/>
      <c r="J61">
        <v>2</v>
      </c>
      <c r="K61">
        <f>ListItemsCraft!C449</f>
        <v>1</v>
      </c>
      <c r="L61" s="138" t="s">
        <v>982</v>
      </c>
      <c r="M61" s="140" t="s">
        <v>550</v>
      </c>
      <c r="N61" s="140" t="s">
        <v>961</v>
      </c>
      <c r="O61" s="155"/>
      <c r="P61" s="156"/>
      <c r="Q61" s="157"/>
      <c r="R61" t="s">
        <v>1315</v>
      </c>
    </row>
    <row r="62" spans="1:27" ht="15.75">
      <c r="A62" s="68"/>
      <c r="B62" s="64" t="s">
        <v>223</v>
      </c>
      <c r="C62" s="64">
        <f>C54*C7</f>
        <v>9</v>
      </c>
      <c r="D62" s="64">
        <v>2</v>
      </c>
      <c r="E62" s="64">
        <f t="shared" si="4"/>
        <v>4.5</v>
      </c>
      <c r="F62" s="152"/>
      <c r="G62"/>
      <c r="H62"/>
      <c r="I62"/>
      <c r="J62">
        <v>4</v>
      </c>
      <c r="K62">
        <f>ListItemsCraft!C508</f>
        <v>1</v>
      </c>
      <c r="L62" s="138" t="s">
        <v>1040</v>
      </c>
      <c r="M62" s="159" t="s">
        <v>1046</v>
      </c>
      <c r="N62" s="27"/>
      <c r="O62" s="155"/>
      <c r="P62" s="156"/>
      <c r="Q62" s="157"/>
      <c r="R62" s="27"/>
      <c r="S62" s="27"/>
      <c r="T62" s="27"/>
      <c r="U62" s="27"/>
      <c r="Y62" s="152"/>
      <c r="Z62" s="24"/>
      <c r="AA62" s="24"/>
    </row>
    <row r="63" spans="1:27" s="42" customFormat="1" ht="15.75">
      <c r="A63" s="68"/>
      <c r="B63" s="64" t="s">
        <v>224</v>
      </c>
      <c r="C63" s="64">
        <f>C54*C7</f>
        <v>9</v>
      </c>
      <c r="D63" s="64">
        <v>1</v>
      </c>
      <c r="E63" s="64">
        <f t="shared" si="4"/>
        <v>9</v>
      </c>
      <c r="F63"/>
      <c r="G63"/>
      <c r="H63"/>
      <c r="I63"/>
      <c r="J63">
        <v>6</v>
      </c>
      <c r="K63">
        <f>ListItemsCraft!C528</f>
        <v>1</v>
      </c>
      <c r="L63" s="138" t="s">
        <v>1060</v>
      </c>
      <c r="M63" s="140" t="s">
        <v>1066</v>
      </c>
      <c r="N63" s="140" t="s">
        <v>1052</v>
      </c>
      <c r="O63" s="155"/>
      <c r="P63" s="156"/>
      <c r="Q63" s="157"/>
      <c r="V63" s="27"/>
      <c r="W63"/>
      <c r="X63" s="27"/>
      <c r="Y63" s="27"/>
    </row>
    <row r="64" spans="1:27" ht="15.75">
      <c r="A64" s="149"/>
      <c r="B64" s="64" t="s">
        <v>1332</v>
      </c>
      <c r="C64" s="64">
        <f>A58</f>
        <v>9</v>
      </c>
      <c r="D64" s="64">
        <v>4</v>
      </c>
      <c r="E64" s="64">
        <f t="shared" si="4"/>
        <v>2.25</v>
      </c>
      <c r="F64"/>
      <c r="G64"/>
      <c r="H64"/>
      <c r="I64"/>
      <c r="J64">
        <v>6</v>
      </c>
      <c r="K64">
        <f>ListItemsCraft!C571</f>
        <v>2</v>
      </c>
      <c r="L64" s="138" t="s">
        <v>1103</v>
      </c>
      <c r="M64" s="159" t="s">
        <v>603</v>
      </c>
      <c r="N64" s="159" t="s">
        <v>1129</v>
      </c>
      <c r="O64" s="155"/>
      <c r="P64" s="156"/>
      <c r="Q64" s="157"/>
      <c r="X64" s="42"/>
      <c r="Y64" s="42"/>
      <c r="Z64" s="24"/>
      <c r="AA64" s="24"/>
    </row>
    <row r="65" spans="1:27" ht="15.75">
      <c r="A65" s="76"/>
      <c r="B65" s="64" t="s">
        <v>1318</v>
      </c>
      <c r="C65" s="64">
        <f>A58</f>
        <v>9</v>
      </c>
      <c r="D65" s="64">
        <v>1</v>
      </c>
      <c r="E65" s="64">
        <f t="shared" si="4"/>
        <v>9</v>
      </c>
      <c r="F65" s="150"/>
      <c r="G65" s="150"/>
      <c r="H65" s="150"/>
      <c r="I65" s="150"/>
      <c r="J65">
        <v>2</v>
      </c>
      <c r="K65">
        <f>ListItemsCraft!C597</f>
        <v>1</v>
      </c>
      <c r="L65" s="138" t="s">
        <v>1129</v>
      </c>
      <c r="M65" s="140" t="s">
        <v>1081</v>
      </c>
      <c r="N65" s="140" t="s">
        <v>1145</v>
      </c>
      <c r="O65" s="155"/>
      <c r="P65" s="156"/>
      <c r="Q65" s="157"/>
      <c r="X65" s="27"/>
      <c r="Y65" s="27"/>
      <c r="Z65" s="24"/>
      <c r="AA65" s="24"/>
    </row>
    <row r="66" spans="1:27" ht="15.75">
      <c r="B66" s="64" t="s">
        <v>1357</v>
      </c>
      <c r="C66" s="64">
        <v>9</v>
      </c>
      <c r="D66" s="64">
        <v>2</v>
      </c>
      <c r="E66" s="64">
        <f t="shared" si="4"/>
        <v>4.5</v>
      </c>
      <c r="J66">
        <v>1</v>
      </c>
      <c r="K66">
        <f>ListItemsCraft!C735</f>
        <v>2.5</v>
      </c>
      <c r="L66" s="138" t="s">
        <v>1267</v>
      </c>
      <c r="M66" s="140" t="s">
        <v>962</v>
      </c>
      <c r="N66" s="140" t="s">
        <v>614</v>
      </c>
      <c r="O66" s="155"/>
      <c r="P66" s="156" t="s">
        <v>1323</v>
      </c>
      <c r="Q66" s="157"/>
      <c r="X66" s="27"/>
      <c r="Y66" s="27"/>
      <c r="Z66" s="24"/>
      <c r="AA66" s="24"/>
    </row>
    <row r="67" spans="1:27" ht="15.75">
      <c r="B67" s="65" t="s">
        <v>225</v>
      </c>
      <c r="C67" s="65">
        <f>C54*C8</f>
        <v>11</v>
      </c>
      <c r="D67" s="65">
        <v>2</v>
      </c>
      <c r="E67" s="65">
        <f t="shared" si="4"/>
        <v>5.5</v>
      </c>
      <c r="J67">
        <v>2</v>
      </c>
      <c r="K67">
        <f>ListItemsCraft!C756</f>
        <v>1</v>
      </c>
      <c r="L67" s="138" t="s">
        <v>1288</v>
      </c>
      <c r="M67" s="140" t="s">
        <v>715</v>
      </c>
      <c r="N67" s="140" t="s">
        <v>1241</v>
      </c>
      <c r="O67" s="155"/>
      <c r="P67" s="156"/>
      <c r="X67" s="27"/>
      <c r="Y67" s="27"/>
      <c r="Z67" s="24"/>
      <c r="AA67" s="24"/>
    </row>
    <row r="68" spans="1:27">
      <c r="X68" s="27"/>
      <c r="Y68" s="27"/>
      <c r="Z68" s="24"/>
      <c r="AA68" s="24"/>
    </row>
    <row r="69" spans="1:27">
      <c r="X69" s="27"/>
      <c r="Y69" s="27"/>
      <c r="Z69" s="24"/>
      <c r="AA69" s="24"/>
    </row>
    <row r="70" spans="1:27">
      <c r="X70" s="27"/>
      <c r="Y70" s="27"/>
      <c r="Z70" s="24"/>
      <c r="AA70" s="24"/>
    </row>
    <row r="71" spans="1:27">
      <c r="X71" s="27"/>
      <c r="Y71" s="27"/>
      <c r="Z71" s="24"/>
      <c r="AA71" s="24"/>
    </row>
    <row r="72" spans="1:27">
      <c r="O72" s="27"/>
      <c r="X72" s="27"/>
      <c r="Y72" s="27"/>
      <c r="Z72" s="24"/>
      <c r="AA72" s="24"/>
    </row>
    <row r="73" spans="1:27">
      <c r="O73" s="27"/>
      <c r="X73" s="27"/>
      <c r="Y73" s="27"/>
      <c r="Z73" s="24"/>
      <c r="AA73" s="24"/>
    </row>
    <row r="74" spans="1:27">
      <c r="O74" s="27"/>
      <c r="X74" s="27"/>
      <c r="Y74" s="27"/>
      <c r="Z74" s="24"/>
      <c r="AA74" s="24"/>
    </row>
    <row r="75" spans="1:27">
      <c r="O75" s="27"/>
      <c r="X75" s="27"/>
      <c r="Y75" s="27"/>
      <c r="Z75" s="24"/>
      <c r="AA75" s="24"/>
    </row>
    <row r="76" spans="1:27">
      <c r="O76" s="27"/>
      <c r="X76" s="27"/>
      <c r="Y76" s="27"/>
      <c r="Z76" s="24"/>
      <c r="AA76" s="24"/>
    </row>
    <row r="77" spans="1:27">
      <c r="O77" s="27"/>
      <c r="X77" s="27"/>
      <c r="Y77" s="27"/>
      <c r="Z77" s="24"/>
      <c r="AA77" s="24"/>
    </row>
    <row r="78" spans="1:27">
      <c r="O78" s="27"/>
      <c r="X78" s="27"/>
      <c r="Y78" s="27"/>
      <c r="Z78" s="24"/>
      <c r="AA78" s="24"/>
    </row>
    <row r="79" spans="1:27">
      <c r="O79" s="27"/>
      <c r="X79" s="27"/>
      <c r="Y79" s="27"/>
    </row>
    <row r="80" spans="1:27">
      <c r="O80" s="27"/>
    </row>
    <row r="81" spans="2:22">
      <c r="O81" s="27"/>
      <c r="V81" s="156"/>
    </row>
    <row r="82" spans="2:22">
      <c r="F82"/>
      <c r="G82"/>
      <c r="J82"/>
      <c r="K82"/>
      <c r="L82"/>
      <c r="M82"/>
    </row>
    <row r="83" spans="2:22">
      <c r="F83"/>
      <c r="G83"/>
      <c r="J83"/>
      <c r="K83"/>
      <c r="L83"/>
      <c r="M83"/>
    </row>
    <row r="84" spans="2:22">
      <c r="B84"/>
      <c r="C84"/>
      <c r="F84"/>
      <c r="G84"/>
      <c r="J84"/>
      <c r="K84"/>
      <c r="L84"/>
      <c r="M84"/>
    </row>
    <row r="85" spans="2:22">
      <c r="B85"/>
      <c r="C85"/>
      <c r="D85"/>
      <c r="E85"/>
      <c r="F85"/>
      <c r="G85"/>
      <c r="H85"/>
      <c r="I85"/>
      <c r="J85"/>
      <c r="K85"/>
      <c r="L85"/>
      <c r="M85"/>
    </row>
    <row r="86" spans="2:22">
      <c r="B86"/>
      <c r="C86"/>
      <c r="D86"/>
      <c r="E86"/>
      <c r="F86"/>
      <c r="G86"/>
      <c r="H86"/>
      <c r="I86"/>
      <c r="J86"/>
      <c r="K86"/>
      <c r="L86"/>
      <c r="M86"/>
    </row>
    <row r="87" spans="2:22">
      <c r="B87"/>
      <c r="C87"/>
      <c r="D87"/>
      <c r="E87"/>
      <c r="F87"/>
      <c r="G87"/>
      <c r="H87"/>
      <c r="I87"/>
      <c r="J87"/>
      <c r="K87"/>
      <c r="L87"/>
      <c r="M87"/>
    </row>
    <row r="88" spans="2:22">
      <c r="B88"/>
      <c r="C88"/>
      <c r="E88"/>
      <c r="F88"/>
      <c r="G88"/>
      <c r="H88"/>
      <c r="I88"/>
      <c r="J88"/>
      <c r="K88"/>
      <c r="L88"/>
      <c r="M88"/>
    </row>
    <row r="89" spans="2:22">
      <c r="B89"/>
      <c r="C89"/>
      <c r="D89"/>
      <c r="E89"/>
      <c r="F89"/>
      <c r="G89"/>
      <c r="H89"/>
      <c r="I89"/>
      <c r="J89"/>
      <c r="K89"/>
      <c r="L89"/>
      <c r="M89"/>
    </row>
    <row r="90" spans="2:22">
      <c r="B90"/>
      <c r="C90"/>
      <c r="D90"/>
      <c r="E90"/>
      <c r="F90"/>
      <c r="G90"/>
      <c r="H90"/>
      <c r="I90"/>
      <c r="J90"/>
      <c r="K90"/>
      <c r="L90"/>
      <c r="M90"/>
    </row>
    <row r="91" spans="2:22">
      <c r="B91"/>
      <c r="C91"/>
      <c r="D91"/>
      <c r="E91"/>
      <c r="F91"/>
      <c r="G91"/>
      <c r="H91"/>
      <c r="I91"/>
      <c r="J91"/>
      <c r="K91"/>
      <c r="L91"/>
      <c r="M91"/>
    </row>
    <row r="92" spans="2:22">
      <c r="B92"/>
      <c r="C92"/>
      <c r="D92"/>
      <c r="E92"/>
      <c r="F92"/>
      <c r="G92"/>
      <c r="H92"/>
      <c r="I92"/>
      <c r="J92"/>
      <c r="K92"/>
      <c r="L92"/>
      <c r="M92"/>
    </row>
    <row r="93" spans="2:22">
      <c r="B93"/>
      <c r="C93"/>
      <c r="D93"/>
      <c r="E93"/>
      <c r="F93"/>
      <c r="G93"/>
      <c r="H93"/>
      <c r="I93"/>
      <c r="J93"/>
      <c r="K93"/>
      <c r="L93"/>
      <c r="M93"/>
    </row>
    <row r="94" spans="2:22">
      <c r="B94"/>
      <c r="C94"/>
      <c r="D94"/>
      <c r="E94"/>
      <c r="F94"/>
      <c r="G94"/>
      <c r="H94"/>
      <c r="I94"/>
      <c r="J94"/>
      <c r="K94"/>
      <c r="L94"/>
      <c r="M94"/>
    </row>
    <row r="95" spans="2:22">
      <c r="B95"/>
      <c r="C95"/>
      <c r="D95"/>
      <c r="E95"/>
      <c r="F95"/>
      <c r="G95"/>
      <c r="H95"/>
      <c r="I95"/>
      <c r="J95"/>
      <c r="K95"/>
      <c r="L95"/>
      <c r="M95"/>
    </row>
    <row r="96" spans="2:22">
      <c r="B96"/>
      <c r="C96"/>
      <c r="D96"/>
      <c r="E96"/>
      <c r="F96"/>
      <c r="G96"/>
      <c r="H96"/>
      <c r="I96"/>
      <c r="J96"/>
      <c r="K96"/>
      <c r="L96"/>
      <c r="M96"/>
    </row>
    <row r="97" spans="2:13">
      <c r="B97"/>
      <c r="C97"/>
      <c r="D97"/>
      <c r="E97"/>
      <c r="F97"/>
      <c r="G97"/>
      <c r="H97"/>
      <c r="I97"/>
      <c r="J97"/>
      <c r="K97"/>
      <c r="L97"/>
      <c r="M97"/>
    </row>
    <row r="98" spans="2:13">
      <c r="B98"/>
      <c r="C98"/>
      <c r="D98"/>
      <c r="E98"/>
      <c r="F98"/>
      <c r="G98"/>
      <c r="H98"/>
      <c r="I98"/>
      <c r="J98"/>
      <c r="K98"/>
      <c r="L98"/>
      <c r="M98"/>
    </row>
    <row r="99" spans="2:13">
      <c r="B99"/>
      <c r="C99"/>
      <c r="D99"/>
      <c r="E99"/>
      <c r="F99"/>
      <c r="G99"/>
      <c r="H99"/>
      <c r="I99"/>
      <c r="J99"/>
      <c r="K99"/>
      <c r="L99"/>
      <c r="M99"/>
    </row>
    <row r="100" spans="2:13">
      <c r="B100"/>
      <c r="C100"/>
      <c r="D100"/>
      <c r="E100"/>
      <c r="F100"/>
      <c r="G100"/>
      <c r="H100"/>
      <c r="I100"/>
      <c r="J100"/>
      <c r="K100"/>
      <c r="L100"/>
      <c r="M100"/>
    </row>
    <row r="101" spans="2:13">
      <c r="B101"/>
      <c r="C101"/>
      <c r="D101"/>
      <c r="E101"/>
      <c r="F101"/>
      <c r="G101"/>
      <c r="H101" s="42"/>
      <c r="I101" s="42"/>
      <c r="J101"/>
      <c r="K101"/>
      <c r="L101"/>
      <c r="M101"/>
    </row>
    <row r="102" spans="2:13">
      <c r="B102"/>
      <c r="C102"/>
      <c r="D102"/>
      <c r="E102"/>
      <c r="F102"/>
      <c r="G102"/>
      <c r="H102" s="42"/>
      <c r="I102" s="42"/>
      <c r="J102"/>
      <c r="K102"/>
      <c r="L102"/>
      <c r="M102"/>
    </row>
    <row r="103" spans="2:13">
      <c r="B103"/>
      <c r="C103"/>
      <c r="D103"/>
      <c r="E103"/>
      <c r="F103"/>
      <c r="G103"/>
      <c r="H103" s="42"/>
      <c r="I103" s="42"/>
      <c r="J103"/>
      <c r="K103"/>
      <c r="L103"/>
      <c r="M103"/>
    </row>
    <row r="104" spans="2:13">
      <c r="B104"/>
      <c r="C104"/>
      <c r="D104"/>
      <c r="E104"/>
      <c r="F104"/>
      <c r="G104"/>
      <c r="H104"/>
      <c r="I104"/>
      <c r="J104"/>
      <c r="K104"/>
      <c r="L104"/>
      <c r="M104"/>
    </row>
    <row r="105" spans="2:13">
      <c r="B105"/>
      <c r="C105"/>
      <c r="D105"/>
      <c r="E105"/>
      <c r="F105"/>
      <c r="G105"/>
      <c r="H105"/>
      <c r="I105"/>
      <c r="J105"/>
      <c r="K105"/>
      <c r="L105"/>
      <c r="M105"/>
    </row>
    <row r="106" spans="2:13">
      <c r="B106"/>
      <c r="C106"/>
      <c r="D106"/>
      <c r="E106"/>
      <c r="F106"/>
      <c r="G106"/>
      <c r="H106"/>
      <c r="I106"/>
      <c r="J106"/>
      <c r="K106"/>
      <c r="L106"/>
      <c r="M106"/>
    </row>
    <row r="107" spans="2:13">
      <c r="B107"/>
      <c r="C107"/>
      <c r="D107"/>
      <c r="E107"/>
      <c r="F107"/>
      <c r="G107"/>
      <c r="H107"/>
      <c r="I107"/>
      <c r="J107"/>
      <c r="K107"/>
      <c r="L107"/>
      <c r="M107"/>
    </row>
    <row r="108" spans="2:13">
      <c r="B108"/>
      <c r="C108"/>
      <c r="D108"/>
      <c r="E108"/>
      <c r="F108"/>
      <c r="G108"/>
      <c r="H108"/>
      <c r="I108"/>
      <c r="J108" s="42"/>
      <c r="K108" s="42"/>
      <c r="L108"/>
      <c r="M108"/>
    </row>
    <row r="109" spans="2:13">
      <c r="B109"/>
      <c r="C109"/>
      <c r="D109"/>
      <c r="E109"/>
      <c r="F109"/>
      <c r="G109"/>
      <c r="H109"/>
      <c r="I109"/>
      <c r="J109" s="42"/>
      <c r="K109" s="42"/>
      <c r="L109"/>
      <c r="M109"/>
    </row>
    <row r="110" spans="2:13">
      <c r="B110"/>
      <c r="C110"/>
      <c r="D110"/>
      <c r="E110"/>
      <c r="F110"/>
      <c r="G110"/>
      <c r="H110"/>
      <c r="I110"/>
      <c r="J110" s="42"/>
      <c r="K110" s="42"/>
      <c r="L110"/>
      <c r="M110"/>
    </row>
    <row r="111" spans="2:13">
      <c r="B111"/>
      <c r="C111"/>
      <c r="D111"/>
      <c r="E111"/>
      <c r="F111"/>
      <c r="G111"/>
      <c r="H111"/>
      <c r="I111"/>
      <c r="J111"/>
      <c r="K111"/>
      <c r="L111"/>
      <c r="M111"/>
    </row>
    <row r="112" spans="2:13">
      <c r="B112"/>
      <c r="C112"/>
      <c r="D112"/>
      <c r="E112"/>
      <c r="F112"/>
      <c r="G112"/>
      <c r="H112"/>
      <c r="I112"/>
      <c r="J112"/>
      <c r="K112"/>
      <c r="L112"/>
      <c r="M112"/>
    </row>
    <row r="113" spans="2:13">
      <c r="B113"/>
      <c r="C113"/>
      <c r="D113"/>
      <c r="E113"/>
      <c r="F113"/>
      <c r="G113"/>
      <c r="H113"/>
      <c r="I113"/>
      <c r="J113"/>
      <c r="K113"/>
      <c r="L113"/>
      <c r="M113"/>
    </row>
    <row r="114" spans="2:13">
      <c r="B114"/>
      <c r="C114"/>
      <c r="D114"/>
      <c r="E114"/>
      <c r="F114"/>
      <c r="G114"/>
      <c r="H114"/>
      <c r="I114"/>
      <c r="J114"/>
      <c r="K114"/>
      <c r="L114"/>
      <c r="M114"/>
    </row>
    <row r="115" spans="2:13">
      <c r="B115"/>
      <c r="C115"/>
      <c r="D115"/>
      <c r="E115"/>
      <c r="F115"/>
      <c r="G115"/>
      <c r="H115"/>
      <c r="I115"/>
      <c r="J115"/>
      <c r="K115"/>
      <c r="L115"/>
      <c r="M115"/>
    </row>
    <row r="116" spans="2:13">
      <c r="B116"/>
      <c r="C116"/>
      <c r="D116"/>
      <c r="E116"/>
      <c r="F116" s="42"/>
      <c r="G116" s="42"/>
      <c r="H116"/>
      <c r="I116"/>
      <c r="J116"/>
      <c r="K116"/>
      <c r="L116"/>
      <c r="M116"/>
    </row>
    <row r="117" spans="2:13">
      <c r="B117"/>
      <c r="C117"/>
      <c r="D117"/>
      <c r="E117"/>
      <c r="F117" s="42"/>
      <c r="G117" s="42"/>
      <c r="H117"/>
      <c r="I117"/>
      <c r="J117"/>
      <c r="K117"/>
      <c r="L117"/>
      <c r="M117"/>
    </row>
    <row r="118" spans="2:13">
      <c r="B118"/>
      <c r="C118"/>
      <c r="D118"/>
      <c r="E118"/>
      <c r="F118" s="42"/>
      <c r="G118" s="42"/>
      <c r="H118"/>
      <c r="I118"/>
      <c r="J118"/>
      <c r="K118"/>
      <c r="L118"/>
      <c r="M118"/>
    </row>
    <row r="119" spans="2:13">
      <c r="B119"/>
      <c r="C119"/>
      <c r="D119"/>
      <c r="E119"/>
      <c r="F119"/>
      <c r="G119"/>
      <c r="H119"/>
      <c r="I119"/>
      <c r="J119"/>
      <c r="K119"/>
      <c r="L119"/>
      <c r="M119"/>
    </row>
    <row r="120" spans="2:13">
      <c r="B120"/>
      <c r="C120"/>
      <c r="D120"/>
      <c r="E120"/>
      <c r="F120"/>
      <c r="G120"/>
      <c r="H120"/>
      <c r="I120"/>
      <c r="J120"/>
      <c r="K120"/>
      <c r="L120"/>
      <c r="M120"/>
    </row>
    <row r="121" spans="2:13">
      <c r="B121"/>
      <c r="C121"/>
      <c r="D121"/>
      <c r="E121"/>
      <c r="F121"/>
      <c r="G121"/>
      <c r="H121"/>
      <c r="I121"/>
      <c r="J121"/>
      <c r="K121"/>
      <c r="L121"/>
      <c r="M121"/>
    </row>
    <row r="122" spans="2:13">
      <c r="B122" s="42"/>
      <c r="C122"/>
      <c r="D122"/>
      <c r="E122"/>
      <c r="F122"/>
      <c r="G122"/>
      <c r="H122"/>
      <c r="I122"/>
      <c r="J122"/>
      <c r="K122"/>
      <c r="L122"/>
      <c r="M122"/>
    </row>
    <row r="123" spans="2:13">
      <c r="B123" s="42"/>
      <c r="C123"/>
      <c r="D123"/>
      <c r="E123"/>
      <c r="F123"/>
      <c r="G123"/>
      <c r="H123"/>
      <c r="I123"/>
      <c r="J123"/>
      <c r="K123"/>
      <c r="L123"/>
      <c r="M123"/>
    </row>
    <row r="124" spans="2:13">
      <c r="B124" s="42"/>
      <c r="C124"/>
      <c r="D124"/>
      <c r="E124"/>
      <c r="F124"/>
      <c r="G124"/>
      <c r="H124"/>
      <c r="I124"/>
      <c r="J124"/>
      <c r="K124"/>
      <c r="L124"/>
      <c r="M124"/>
    </row>
    <row r="125" spans="2:13">
      <c r="B125"/>
      <c r="C125"/>
      <c r="D125"/>
      <c r="E125"/>
      <c r="F125"/>
      <c r="G125"/>
      <c r="H125"/>
      <c r="I125"/>
      <c r="J125"/>
      <c r="K125"/>
      <c r="L125"/>
      <c r="M125"/>
    </row>
    <row r="126" spans="2:13">
      <c r="B126"/>
      <c r="C126"/>
      <c r="D126"/>
      <c r="E126" s="42"/>
      <c r="F126"/>
      <c r="G126"/>
      <c r="H126"/>
      <c r="I126"/>
      <c r="J126"/>
      <c r="K126"/>
      <c r="L126"/>
      <c r="M126"/>
    </row>
    <row r="127" spans="2:13">
      <c r="B127"/>
      <c r="C127" s="42"/>
      <c r="D127" s="42"/>
      <c r="E127" s="42"/>
      <c r="F127"/>
      <c r="G127"/>
      <c r="H127"/>
      <c r="I127"/>
      <c r="J127"/>
      <c r="K127"/>
      <c r="L127"/>
      <c r="M127"/>
    </row>
    <row r="128" spans="2:13">
      <c r="B128"/>
      <c r="C128" s="42"/>
      <c r="D128" s="42"/>
      <c r="E128" s="42"/>
      <c r="F128"/>
      <c r="G128"/>
      <c r="H128"/>
      <c r="I128"/>
      <c r="J128"/>
      <c r="K128"/>
      <c r="L128"/>
      <c r="M128"/>
    </row>
    <row r="129" spans="2:13">
      <c r="B129"/>
      <c r="C129" s="42"/>
      <c r="D129" s="42"/>
      <c r="E129"/>
      <c r="F129"/>
      <c r="G129"/>
      <c r="H129"/>
      <c r="I129"/>
      <c r="J129"/>
      <c r="K129"/>
      <c r="L129"/>
      <c r="M129"/>
    </row>
    <row r="130" spans="2:13">
      <c r="B130"/>
      <c r="C130"/>
      <c r="D130"/>
      <c r="E130"/>
      <c r="F130"/>
      <c r="G130"/>
      <c r="H130"/>
      <c r="I130"/>
      <c r="J130"/>
      <c r="K130"/>
      <c r="L130"/>
      <c r="M130"/>
    </row>
    <row r="131" spans="2:13">
      <c r="B131"/>
      <c r="C131"/>
      <c r="D131"/>
      <c r="E131"/>
      <c r="F131"/>
      <c r="G131"/>
      <c r="H131"/>
      <c r="I131"/>
      <c r="J131"/>
      <c r="K131"/>
      <c r="L131"/>
      <c r="M131"/>
    </row>
    <row r="132" spans="2:13">
      <c r="B132"/>
      <c r="C132"/>
      <c r="D132"/>
      <c r="E132"/>
      <c r="F132"/>
      <c r="G132"/>
      <c r="H132"/>
      <c r="I132"/>
      <c r="J132"/>
      <c r="K132"/>
      <c r="L132"/>
      <c r="M132"/>
    </row>
    <row r="133" spans="2:13">
      <c r="B133"/>
      <c r="C133"/>
      <c r="D133"/>
      <c r="E133"/>
      <c r="F133"/>
      <c r="G133"/>
      <c r="H133"/>
      <c r="I133"/>
      <c r="J133"/>
      <c r="K133"/>
      <c r="L133"/>
      <c r="M133"/>
    </row>
    <row r="134" spans="2:13">
      <c r="B134"/>
      <c r="C134"/>
      <c r="D134"/>
      <c r="E134"/>
      <c r="F134"/>
      <c r="G134"/>
      <c r="H134"/>
      <c r="I134"/>
      <c r="J134"/>
      <c r="K134"/>
      <c r="L134"/>
      <c r="M134"/>
    </row>
    <row r="135" spans="2:13">
      <c r="B135"/>
      <c r="C135"/>
      <c r="D135"/>
      <c r="E135"/>
      <c r="F135"/>
      <c r="G135"/>
      <c r="H135"/>
      <c r="I135"/>
      <c r="J135"/>
      <c r="K135"/>
      <c r="L135"/>
      <c r="M135"/>
    </row>
    <row r="136" spans="2:13">
      <c r="B136"/>
      <c r="C136"/>
      <c r="D136"/>
      <c r="E136"/>
      <c r="F136"/>
      <c r="G136"/>
      <c r="H136"/>
      <c r="I136"/>
      <c r="J136"/>
      <c r="K136"/>
      <c r="L136"/>
      <c r="M136"/>
    </row>
    <row r="137" spans="2:13">
      <c r="B137"/>
      <c r="C137"/>
      <c r="D137"/>
      <c r="E137"/>
      <c r="F137"/>
      <c r="G137"/>
      <c r="H137"/>
      <c r="I137"/>
      <c r="J137"/>
      <c r="K137"/>
      <c r="L137"/>
      <c r="M137"/>
    </row>
    <row r="138" spans="2:13">
      <c r="B138"/>
      <c r="C138"/>
      <c r="D138"/>
      <c r="E138"/>
      <c r="F138"/>
      <c r="G138"/>
      <c r="H138"/>
      <c r="I138"/>
      <c r="J138"/>
      <c r="K138"/>
      <c r="L138"/>
      <c r="M138"/>
    </row>
    <row r="139" spans="2:13">
      <c r="B139"/>
      <c r="C139"/>
      <c r="D139"/>
      <c r="E139"/>
      <c r="F139"/>
      <c r="G139"/>
      <c r="H139"/>
      <c r="I139"/>
      <c r="J139"/>
      <c r="K139"/>
      <c r="L139"/>
      <c r="M139"/>
    </row>
    <row r="140" spans="2:13">
      <c r="B140"/>
      <c r="C140"/>
      <c r="D140"/>
      <c r="E140"/>
      <c r="F140"/>
      <c r="G140"/>
      <c r="H140"/>
      <c r="I140"/>
      <c r="J140"/>
      <c r="K140"/>
      <c r="L140"/>
      <c r="M140"/>
    </row>
    <row r="141" spans="2:13" s="42" customFormat="1">
      <c r="B141"/>
      <c r="C141"/>
      <c r="D141"/>
      <c r="E141"/>
      <c r="F141"/>
      <c r="G141"/>
      <c r="H141"/>
      <c r="I141"/>
      <c r="J141"/>
      <c r="K141"/>
    </row>
    <row r="142" spans="2:13" s="42" customFormat="1">
      <c r="B142"/>
      <c r="C142"/>
      <c r="D142"/>
      <c r="E142"/>
      <c r="F142"/>
      <c r="G142"/>
      <c r="H142"/>
      <c r="I142"/>
      <c r="J142"/>
      <c r="K142"/>
    </row>
    <row r="143" spans="2:13" s="42" customFormat="1">
      <c r="B143"/>
      <c r="C143"/>
      <c r="D143"/>
      <c r="E143"/>
      <c r="F143"/>
      <c r="G143"/>
      <c r="H143"/>
      <c r="I143"/>
      <c r="J143"/>
      <c r="K143"/>
    </row>
    <row r="144" spans="2:13">
      <c r="B144"/>
      <c r="C144"/>
      <c r="D144"/>
      <c r="E144"/>
      <c r="F144"/>
      <c r="G144"/>
      <c r="H144"/>
      <c r="I144"/>
      <c r="J144"/>
      <c r="K144"/>
      <c r="L144"/>
      <c r="M144"/>
    </row>
    <row r="145" spans="2:13">
      <c r="B145"/>
      <c r="C145"/>
      <c r="D145"/>
      <c r="E145"/>
      <c r="F145"/>
      <c r="G145"/>
      <c r="H145"/>
      <c r="I145"/>
      <c r="J145"/>
      <c r="K145"/>
      <c r="L145"/>
      <c r="M145"/>
    </row>
    <row r="146" spans="2:13">
      <c r="B146"/>
      <c r="C146"/>
      <c r="D146"/>
      <c r="E146"/>
      <c r="F146"/>
      <c r="G146"/>
      <c r="H146"/>
      <c r="I146"/>
      <c r="J146"/>
      <c r="K146"/>
      <c r="L146"/>
      <c r="M146"/>
    </row>
    <row r="147" spans="2:13">
      <c r="B147"/>
      <c r="C147"/>
      <c r="D147"/>
      <c r="E147"/>
      <c r="F147"/>
      <c r="G147"/>
      <c r="H147"/>
      <c r="I147"/>
      <c r="J147"/>
      <c r="K147"/>
      <c r="L147"/>
      <c r="M147"/>
    </row>
    <row r="148" spans="2:13">
      <c r="B148"/>
      <c r="C148"/>
      <c r="D148"/>
      <c r="E148"/>
      <c r="F148"/>
      <c r="G148"/>
      <c r="H148"/>
      <c r="I148"/>
      <c r="J148"/>
      <c r="K148"/>
      <c r="L148"/>
      <c r="M148"/>
    </row>
    <row r="149" spans="2:13">
      <c r="B149"/>
      <c r="C149"/>
      <c r="D149"/>
      <c r="E149"/>
      <c r="F149"/>
      <c r="G149"/>
      <c r="H149"/>
      <c r="I149"/>
      <c r="J149"/>
      <c r="K149"/>
      <c r="L149"/>
      <c r="M149"/>
    </row>
    <row r="150" spans="2:13">
      <c r="B150"/>
      <c r="C150"/>
      <c r="D150"/>
      <c r="E150"/>
      <c r="F150"/>
      <c r="G150"/>
      <c r="H150"/>
      <c r="I150"/>
      <c r="J150"/>
      <c r="K150"/>
      <c r="L150"/>
      <c r="M150"/>
    </row>
    <row r="151" spans="2:13">
      <c r="B151"/>
      <c r="C151"/>
      <c r="D151"/>
      <c r="E151"/>
      <c r="F151"/>
      <c r="G151"/>
      <c r="H151"/>
      <c r="I151"/>
      <c r="J151"/>
      <c r="K151"/>
      <c r="L151"/>
      <c r="M151"/>
    </row>
    <row r="152" spans="2:13">
      <c r="B152"/>
      <c r="C152"/>
      <c r="D152"/>
      <c r="E152"/>
      <c r="F152"/>
      <c r="G152"/>
      <c r="H152"/>
      <c r="I152"/>
      <c r="J152"/>
      <c r="K152"/>
      <c r="L152"/>
      <c r="M152"/>
    </row>
    <row r="153" spans="2:13">
      <c r="B153"/>
      <c r="C153"/>
      <c r="D153"/>
      <c r="E153"/>
      <c r="F153"/>
      <c r="G153"/>
      <c r="H153"/>
      <c r="I153"/>
      <c r="J153"/>
      <c r="K153"/>
      <c r="L153"/>
      <c r="M153"/>
    </row>
    <row r="154" spans="2:13">
      <c r="B154"/>
      <c r="C154"/>
      <c r="D154"/>
      <c r="E154"/>
      <c r="F154"/>
      <c r="G154"/>
      <c r="H154"/>
      <c r="I154"/>
      <c r="J154"/>
      <c r="K154"/>
      <c r="L154"/>
      <c r="M154"/>
    </row>
    <row r="155" spans="2:13">
      <c r="B155"/>
      <c r="C155"/>
      <c r="D155"/>
      <c r="E155"/>
      <c r="F155"/>
      <c r="G155"/>
      <c r="H155"/>
      <c r="I155"/>
      <c r="J155"/>
      <c r="K155"/>
      <c r="L155"/>
      <c r="M155"/>
    </row>
    <row r="156" spans="2:13">
      <c r="B156"/>
      <c r="C156"/>
      <c r="D156"/>
      <c r="E156"/>
      <c r="F156"/>
      <c r="G156"/>
      <c r="H156"/>
      <c r="I156"/>
      <c r="J156"/>
      <c r="K156"/>
      <c r="L156"/>
      <c r="M156"/>
    </row>
    <row r="157" spans="2:13">
      <c r="B157"/>
      <c r="C157"/>
      <c r="D157"/>
      <c r="E157"/>
      <c r="F157"/>
      <c r="G157"/>
      <c r="H157"/>
      <c r="I157"/>
      <c r="J157"/>
      <c r="K157"/>
      <c r="L157"/>
      <c r="M157"/>
    </row>
    <row r="158" spans="2:13">
      <c r="B158"/>
      <c r="C158"/>
      <c r="D158"/>
      <c r="E158"/>
      <c r="F158"/>
      <c r="G158"/>
      <c r="H158"/>
      <c r="I158"/>
      <c r="J158"/>
      <c r="K158"/>
      <c r="L158"/>
      <c r="M158"/>
    </row>
    <row r="159" spans="2:13">
      <c r="B159"/>
      <c r="C159"/>
      <c r="D159"/>
      <c r="E159"/>
      <c r="F159"/>
      <c r="G159"/>
      <c r="H159"/>
      <c r="I159"/>
      <c r="J159"/>
      <c r="K159"/>
      <c r="L159"/>
      <c r="M159"/>
    </row>
    <row r="160" spans="2:13">
      <c r="B160"/>
      <c r="C160"/>
      <c r="D160"/>
      <c r="E160"/>
      <c r="F160"/>
      <c r="G160"/>
      <c r="H160"/>
      <c r="I160"/>
      <c r="J160"/>
      <c r="K160"/>
      <c r="L160"/>
      <c r="M160"/>
    </row>
    <row r="161" spans="2:13">
      <c r="B161"/>
      <c r="C161"/>
      <c r="D161"/>
      <c r="E161"/>
      <c r="F161"/>
      <c r="G161"/>
      <c r="H161"/>
      <c r="I161"/>
      <c r="J161"/>
      <c r="K161"/>
      <c r="L161"/>
      <c r="M161"/>
    </row>
    <row r="162" spans="2:13">
      <c r="B162"/>
      <c r="C162"/>
      <c r="D162"/>
      <c r="E162"/>
      <c r="F162"/>
      <c r="G162"/>
      <c r="H162"/>
      <c r="I162"/>
      <c r="J162"/>
      <c r="K162"/>
      <c r="L162"/>
      <c r="M162"/>
    </row>
    <row r="163" spans="2:13">
      <c r="B163"/>
      <c r="C163"/>
      <c r="D163"/>
      <c r="E163"/>
      <c r="F163"/>
      <c r="G163"/>
      <c r="H163"/>
      <c r="I163"/>
      <c r="J163"/>
      <c r="K163"/>
      <c r="L163"/>
      <c r="M163"/>
    </row>
    <row r="164" spans="2:13">
      <c r="B164"/>
      <c r="C164"/>
      <c r="D164"/>
      <c r="E164"/>
      <c r="F164"/>
      <c r="G164"/>
      <c r="H164"/>
      <c r="I164"/>
      <c r="J164"/>
      <c r="K164"/>
      <c r="L164"/>
      <c r="M164"/>
    </row>
    <row r="165" spans="2:13">
      <c r="B165"/>
      <c r="C165"/>
      <c r="D165"/>
      <c r="E165"/>
      <c r="F165"/>
      <c r="G165"/>
      <c r="H165"/>
      <c r="I165"/>
      <c r="J165"/>
      <c r="K165"/>
      <c r="L165"/>
      <c r="M165"/>
    </row>
    <row r="166" spans="2:13">
      <c r="B166"/>
      <c r="C166"/>
      <c r="D166"/>
      <c r="E166"/>
      <c r="F166"/>
      <c r="G166"/>
      <c r="H166"/>
      <c r="I166"/>
      <c r="J166"/>
      <c r="K166"/>
      <c r="L166"/>
      <c r="M166"/>
    </row>
    <row r="167" spans="2:13">
      <c r="B167"/>
      <c r="C167"/>
      <c r="D167"/>
      <c r="E167"/>
      <c r="F167"/>
      <c r="G167"/>
      <c r="H167"/>
      <c r="I167"/>
      <c r="J167"/>
      <c r="K167"/>
      <c r="L167"/>
      <c r="M167"/>
    </row>
    <row r="168" spans="2:13">
      <c r="B168"/>
      <c r="C168"/>
      <c r="D168"/>
      <c r="E168"/>
      <c r="F168"/>
      <c r="G168"/>
      <c r="H168"/>
      <c r="I168"/>
      <c r="J168"/>
      <c r="K168"/>
      <c r="L168"/>
      <c r="M168"/>
    </row>
    <row r="169" spans="2:13">
      <c r="B169"/>
      <c r="C169"/>
      <c r="D169"/>
      <c r="E169"/>
      <c r="F169"/>
      <c r="G169"/>
      <c r="H169"/>
      <c r="I169"/>
      <c r="J169"/>
      <c r="K169"/>
      <c r="L169"/>
      <c r="M169"/>
    </row>
    <row r="170" spans="2:13">
      <c r="B170"/>
      <c r="C170"/>
      <c r="D170"/>
      <c r="E170"/>
      <c r="F170"/>
      <c r="G170"/>
      <c r="H170"/>
      <c r="I170"/>
      <c r="J170"/>
      <c r="K170"/>
      <c r="L170"/>
      <c r="M170"/>
    </row>
    <row r="171" spans="2:13">
      <c r="B171"/>
      <c r="C171"/>
      <c r="D171"/>
      <c r="E171"/>
      <c r="F171"/>
      <c r="G171"/>
      <c r="H171"/>
      <c r="I171"/>
      <c r="J171"/>
      <c r="K171"/>
      <c r="L171"/>
      <c r="M171"/>
    </row>
    <row r="172" spans="2:13">
      <c r="B172"/>
      <c r="C172"/>
      <c r="D172"/>
      <c r="E172"/>
      <c r="F172"/>
      <c r="G172"/>
      <c r="H172"/>
      <c r="I172"/>
      <c r="J172"/>
      <c r="K172"/>
      <c r="L172"/>
      <c r="M172"/>
    </row>
    <row r="173" spans="2:13">
      <c r="B173"/>
      <c r="C173"/>
      <c r="D173"/>
      <c r="E173"/>
      <c r="F173"/>
      <c r="G173"/>
      <c r="H173"/>
      <c r="I173"/>
      <c r="J173"/>
      <c r="K173"/>
      <c r="L173"/>
      <c r="M173"/>
    </row>
    <row r="174" spans="2:13">
      <c r="B174"/>
      <c r="C174"/>
      <c r="D174"/>
      <c r="E174"/>
      <c r="F174"/>
      <c r="G174"/>
      <c r="H174"/>
      <c r="I174"/>
      <c r="J174"/>
      <c r="K174"/>
      <c r="L174"/>
      <c r="M174"/>
    </row>
    <row r="175" spans="2:13">
      <c r="B175"/>
      <c r="C175"/>
      <c r="D175"/>
      <c r="E175"/>
      <c r="F175"/>
      <c r="G175"/>
      <c r="H175"/>
      <c r="I175"/>
      <c r="J175"/>
      <c r="K175"/>
      <c r="L175"/>
      <c r="M175"/>
    </row>
    <row r="176" spans="2:13">
      <c r="B176"/>
      <c r="C176"/>
      <c r="D176"/>
      <c r="E176"/>
      <c r="F176"/>
      <c r="G176"/>
      <c r="H176"/>
      <c r="I176"/>
      <c r="J176"/>
      <c r="K176"/>
      <c r="L176"/>
      <c r="M176"/>
    </row>
    <row r="177" spans="2:13">
      <c r="B177"/>
      <c r="C177"/>
      <c r="D177"/>
      <c r="E177"/>
      <c r="F177"/>
      <c r="G177"/>
      <c r="H177"/>
      <c r="I177"/>
      <c r="J177"/>
      <c r="K177"/>
      <c r="L177"/>
      <c r="M177"/>
    </row>
    <row r="178" spans="2:13">
      <c r="B178"/>
      <c r="C178"/>
      <c r="D178"/>
      <c r="E178"/>
      <c r="F178"/>
      <c r="G178"/>
      <c r="H178"/>
      <c r="I178"/>
      <c r="J178"/>
      <c r="K178"/>
      <c r="L178"/>
      <c r="M178"/>
    </row>
    <row r="179" spans="2:13">
      <c r="B179"/>
      <c r="C179"/>
      <c r="D179"/>
      <c r="E179"/>
      <c r="F179"/>
      <c r="G179"/>
      <c r="H179"/>
      <c r="I179"/>
      <c r="J179"/>
      <c r="K179"/>
      <c r="L179"/>
      <c r="M179"/>
    </row>
    <row r="180" spans="2:13">
      <c r="B180"/>
      <c r="C180"/>
      <c r="D180"/>
      <c r="E180"/>
      <c r="F180"/>
      <c r="G180"/>
      <c r="H180"/>
      <c r="I180"/>
      <c r="J180"/>
      <c r="K180"/>
      <c r="L180"/>
      <c r="M180"/>
    </row>
    <row r="181" spans="2:13">
      <c r="B181"/>
      <c r="C181"/>
      <c r="D181"/>
      <c r="E181"/>
      <c r="F181"/>
      <c r="G181"/>
      <c r="H181"/>
      <c r="I181"/>
      <c r="J181"/>
      <c r="K181"/>
      <c r="L181"/>
      <c r="M181"/>
    </row>
    <row r="182" spans="2:13">
      <c r="B182"/>
      <c r="C182"/>
      <c r="D182"/>
      <c r="E182"/>
      <c r="F182"/>
      <c r="G182"/>
      <c r="H182"/>
      <c r="I182"/>
      <c r="J182"/>
      <c r="K182"/>
      <c r="L182"/>
      <c r="M182"/>
    </row>
    <row r="183" spans="2:13">
      <c r="B183"/>
      <c r="C183"/>
      <c r="D183"/>
      <c r="E183"/>
      <c r="F183"/>
      <c r="G183"/>
      <c r="H183"/>
      <c r="I183"/>
      <c r="J183"/>
      <c r="K183"/>
      <c r="L183"/>
      <c r="M183"/>
    </row>
    <row r="184" spans="2:13">
      <c r="B184"/>
      <c r="C184"/>
      <c r="D184"/>
      <c r="E184"/>
      <c r="F184"/>
      <c r="G184"/>
      <c r="H184"/>
      <c r="I184"/>
      <c r="J184"/>
      <c r="K184"/>
      <c r="L184"/>
      <c r="M184"/>
    </row>
    <row r="185" spans="2:13">
      <c r="B185"/>
      <c r="C185"/>
      <c r="D185"/>
      <c r="E185"/>
      <c r="F185"/>
      <c r="G185"/>
      <c r="H185"/>
      <c r="I185"/>
      <c r="J185"/>
      <c r="K185"/>
      <c r="L185"/>
      <c r="M185"/>
    </row>
    <row r="186" spans="2:13">
      <c r="B186"/>
      <c r="C186"/>
      <c r="D186"/>
      <c r="E186"/>
      <c r="F186"/>
      <c r="G186"/>
      <c r="H186"/>
      <c r="I186"/>
      <c r="J186"/>
      <c r="K186"/>
      <c r="L186"/>
      <c r="M186"/>
    </row>
    <row r="187" spans="2:13">
      <c r="B187"/>
      <c r="C187"/>
      <c r="D187"/>
      <c r="E187"/>
      <c r="F187"/>
      <c r="G187"/>
      <c r="H187"/>
      <c r="I187"/>
      <c r="J187"/>
      <c r="K187"/>
      <c r="L187"/>
      <c r="M187"/>
    </row>
    <row r="188" spans="2:13">
      <c r="B188"/>
      <c r="C188"/>
      <c r="D188"/>
      <c r="E188"/>
      <c r="F188"/>
      <c r="G188"/>
      <c r="H188"/>
      <c r="I188"/>
      <c r="J188"/>
      <c r="K188"/>
      <c r="L188"/>
      <c r="M188"/>
    </row>
    <row r="189" spans="2:13">
      <c r="B189"/>
      <c r="C189"/>
      <c r="D189"/>
      <c r="E189"/>
      <c r="F189"/>
      <c r="G189"/>
      <c r="H189"/>
      <c r="I189"/>
      <c r="J189"/>
      <c r="K189"/>
      <c r="L189"/>
      <c r="M189"/>
    </row>
    <row r="190" spans="2:13">
      <c r="B190"/>
      <c r="C190"/>
      <c r="D190"/>
      <c r="E190"/>
      <c r="F190"/>
      <c r="G190"/>
      <c r="H190"/>
      <c r="I190"/>
      <c r="J190"/>
      <c r="K190"/>
      <c r="L190"/>
      <c r="M190"/>
    </row>
    <row r="191" spans="2:13">
      <c r="B191"/>
      <c r="C191"/>
      <c r="D191"/>
      <c r="E191"/>
      <c r="F191"/>
      <c r="G191"/>
      <c r="H191"/>
      <c r="I191"/>
      <c r="J191"/>
      <c r="K191"/>
      <c r="L191"/>
      <c r="M191"/>
    </row>
    <row r="192" spans="2:13">
      <c r="B192"/>
      <c r="C192"/>
      <c r="D192"/>
      <c r="E192"/>
      <c r="F192"/>
      <c r="G192"/>
      <c r="H192"/>
      <c r="I192"/>
      <c r="J192"/>
      <c r="K192"/>
      <c r="L192"/>
      <c r="M192"/>
    </row>
    <row r="193" spans="2:13">
      <c r="B193"/>
      <c r="C193"/>
      <c r="D193"/>
      <c r="E193"/>
      <c r="F193"/>
      <c r="G193"/>
      <c r="H193"/>
      <c r="I193"/>
      <c r="J193"/>
      <c r="K193"/>
      <c r="L193"/>
      <c r="M193"/>
    </row>
    <row r="194" spans="2:13">
      <c r="B194"/>
      <c r="C194"/>
      <c r="D194"/>
      <c r="E194"/>
      <c r="F194"/>
      <c r="G194"/>
      <c r="H194"/>
      <c r="I194"/>
      <c r="J194"/>
      <c r="K194"/>
      <c r="L194"/>
      <c r="M194"/>
    </row>
    <row r="195" spans="2:13">
      <c r="B195"/>
      <c r="C195"/>
      <c r="D195"/>
      <c r="E195"/>
      <c r="F195"/>
      <c r="G195"/>
      <c r="H195"/>
      <c r="I195"/>
      <c r="J195"/>
      <c r="K195"/>
      <c r="L195"/>
      <c r="M195"/>
    </row>
    <row r="196" spans="2:13">
      <c r="B196"/>
      <c r="C196"/>
      <c r="D196"/>
      <c r="E196"/>
      <c r="F196"/>
      <c r="G196"/>
      <c r="H196"/>
      <c r="I196"/>
      <c r="J196"/>
      <c r="K196"/>
      <c r="L196"/>
      <c r="M196"/>
    </row>
    <row r="197" spans="2:13">
      <c r="B197"/>
      <c r="C197"/>
      <c r="D197"/>
      <c r="E197"/>
      <c r="F197"/>
      <c r="G197"/>
      <c r="H197"/>
      <c r="I197"/>
      <c r="J197"/>
      <c r="K197"/>
      <c r="L197"/>
      <c r="M197"/>
    </row>
    <row r="198" spans="2:13">
      <c r="B198"/>
      <c r="C198"/>
      <c r="D198"/>
      <c r="E198"/>
      <c r="F198"/>
      <c r="G198"/>
      <c r="H198"/>
      <c r="I198"/>
      <c r="J198"/>
      <c r="K198"/>
      <c r="L198"/>
      <c r="M198"/>
    </row>
    <row r="199" spans="2:13">
      <c r="B199"/>
      <c r="C199"/>
      <c r="D199"/>
      <c r="E199"/>
      <c r="F199"/>
      <c r="G199"/>
      <c r="H199"/>
      <c r="I199"/>
      <c r="J199"/>
      <c r="K199"/>
      <c r="L199"/>
      <c r="M199"/>
    </row>
    <row r="200" spans="2:13">
      <c r="B200"/>
      <c r="C200"/>
      <c r="D200"/>
      <c r="E200"/>
      <c r="F200"/>
      <c r="G200"/>
      <c r="H200"/>
      <c r="I200"/>
      <c r="J200"/>
      <c r="K200"/>
      <c r="L200"/>
      <c r="M200"/>
    </row>
    <row r="201" spans="2:13">
      <c r="B201"/>
      <c r="C201"/>
      <c r="D201"/>
      <c r="E201"/>
      <c r="F201"/>
      <c r="G201"/>
      <c r="H201"/>
      <c r="I201"/>
      <c r="J201"/>
      <c r="K201"/>
      <c r="L201"/>
      <c r="M201"/>
    </row>
    <row r="202" spans="2:13">
      <c r="B202"/>
      <c r="C202"/>
      <c r="D202"/>
      <c r="E202"/>
      <c r="F202"/>
      <c r="G202"/>
      <c r="H202"/>
      <c r="I202"/>
      <c r="J202"/>
      <c r="K202"/>
      <c r="L202"/>
      <c r="M202"/>
    </row>
    <row r="203" spans="2:13">
      <c r="B203"/>
      <c r="C203"/>
      <c r="D203"/>
      <c r="E203"/>
      <c r="F203"/>
      <c r="G203"/>
      <c r="H203"/>
      <c r="I203"/>
      <c r="J203"/>
      <c r="K203"/>
      <c r="L203"/>
      <c r="M203"/>
    </row>
    <row r="204" spans="2:13">
      <c r="B204"/>
      <c r="C204"/>
      <c r="D204"/>
      <c r="E204"/>
      <c r="F204"/>
      <c r="G204"/>
      <c r="H204"/>
      <c r="I204"/>
      <c r="J204"/>
      <c r="K204"/>
      <c r="L204"/>
      <c r="M204"/>
    </row>
    <row r="205" spans="2:13">
      <c r="B205"/>
      <c r="C205"/>
      <c r="D205"/>
      <c r="E205"/>
      <c r="F205"/>
      <c r="G205"/>
      <c r="H205"/>
      <c r="I205"/>
      <c r="J205"/>
      <c r="K205"/>
      <c r="L205"/>
      <c r="M205"/>
    </row>
    <row r="206" spans="2:13">
      <c r="B206"/>
      <c r="C206"/>
      <c r="D206"/>
      <c r="E206"/>
      <c r="F206"/>
      <c r="G206"/>
      <c r="H206"/>
      <c r="I206"/>
      <c r="J206"/>
      <c r="K206"/>
      <c r="L206"/>
      <c r="M206"/>
    </row>
    <row r="207" spans="2:13">
      <c r="B207"/>
      <c r="C207"/>
      <c r="D207"/>
      <c r="E207"/>
      <c r="F207"/>
      <c r="G207"/>
      <c r="H207"/>
      <c r="I207"/>
      <c r="J207"/>
      <c r="K207"/>
      <c r="L207"/>
      <c r="M207"/>
    </row>
    <row r="208" spans="2:13">
      <c r="B208"/>
      <c r="C208"/>
      <c r="D208"/>
      <c r="E208"/>
      <c r="F208"/>
      <c r="G208"/>
      <c r="H208"/>
      <c r="I208"/>
      <c r="J208"/>
      <c r="K208"/>
      <c r="L208"/>
      <c r="M208"/>
    </row>
    <row r="209" spans="2:13">
      <c r="B209"/>
      <c r="C209"/>
      <c r="D209"/>
      <c r="E209"/>
      <c r="F209"/>
      <c r="G209"/>
      <c r="H209"/>
      <c r="I209"/>
      <c r="J209"/>
      <c r="K209"/>
      <c r="L209"/>
      <c r="M209"/>
    </row>
    <row r="210" spans="2:13">
      <c r="B210"/>
      <c r="C210"/>
      <c r="D210"/>
      <c r="E210"/>
      <c r="F210"/>
      <c r="G210"/>
      <c r="H210"/>
      <c r="I210"/>
      <c r="J210"/>
      <c r="K210"/>
      <c r="L210"/>
      <c r="M210"/>
    </row>
    <row r="211" spans="2:13">
      <c r="B211"/>
      <c r="C211"/>
      <c r="D211"/>
      <c r="E211"/>
      <c r="F211"/>
      <c r="G211"/>
      <c r="H211"/>
      <c r="I211"/>
      <c r="J211"/>
      <c r="K211"/>
      <c r="L211"/>
      <c r="M211"/>
    </row>
    <row r="212" spans="2:13">
      <c r="B212"/>
      <c r="C212"/>
      <c r="D212"/>
      <c r="E212"/>
      <c r="F212"/>
      <c r="G212"/>
      <c r="H212"/>
      <c r="I212"/>
      <c r="J212"/>
      <c r="K212"/>
      <c r="L212"/>
      <c r="M212"/>
    </row>
    <row r="213" spans="2:13">
      <c r="B213"/>
      <c r="C213"/>
      <c r="D213"/>
      <c r="E213"/>
      <c r="F213"/>
      <c r="G213"/>
      <c r="H213"/>
      <c r="I213"/>
      <c r="J213"/>
      <c r="K213"/>
      <c r="L213"/>
      <c r="M213"/>
    </row>
    <row r="214" spans="2:13">
      <c r="B214"/>
      <c r="C214"/>
      <c r="D214"/>
      <c r="E214"/>
      <c r="F214"/>
      <c r="G214"/>
      <c r="H214"/>
      <c r="I214"/>
      <c r="J214"/>
      <c r="K214"/>
      <c r="L214"/>
      <c r="M214"/>
    </row>
    <row r="215" spans="2:13">
      <c r="B215"/>
      <c r="C215"/>
      <c r="D215"/>
      <c r="E215"/>
      <c r="F215"/>
      <c r="G215"/>
      <c r="H215"/>
      <c r="I215"/>
      <c r="J215"/>
      <c r="K215"/>
      <c r="L215"/>
      <c r="M215"/>
    </row>
    <row r="216" spans="2:13">
      <c r="B216"/>
      <c r="C216"/>
      <c r="D216"/>
      <c r="E216"/>
      <c r="F216"/>
      <c r="G216"/>
      <c r="H216"/>
      <c r="I216"/>
      <c r="J216"/>
      <c r="K216"/>
      <c r="L216"/>
      <c r="M216"/>
    </row>
    <row r="217" spans="2:13">
      <c r="B217"/>
      <c r="C217"/>
      <c r="D217"/>
      <c r="E217"/>
      <c r="F217"/>
      <c r="G217"/>
      <c r="H217"/>
      <c r="I217"/>
      <c r="J217"/>
      <c r="K217"/>
      <c r="L217"/>
      <c r="M217"/>
    </row>
    <row r="218" spans="2:13">
      <c r="B218"/>
      <c r="C218"/>
      <c r="D218"/>
      <c r="E218"/>
      <c r="F218"/>
      <c r="G218"/>
      <c r="H218"/>
      <c r="I218"/>
      <c r="J218"/>
      <c r="K218"/>
      <c r="L218"/>
      <c r="M218"/>
    </row>
    <row r="219" spans="2:13">
      <c r="B219"/>
      <c r="C219"/>
      <c r="D219"/>
      <c r="E219"/>
      <c r="F219"/>
      <c r="G219"/>
      <c r="H219"/>
      <c r="I219"/>
      <c r="J219"/>
      <c r="K219"/>
      <c r="L219"/>
      <c r="M219"/>
    </row>
    <row r="220" spans="2:13">
      <c r="B220"/>
      <c r="C220"/>
      <c r="D220"/>
      <c r="E220"/>
      <c r="F220"/>
      <c r="G220"/>
      <c r="H220"/>
      <c r="I220"/>
      <c r="J220"/>
      <c r="K220"/>
      <c r="L220"/>
      <c r="M220"/>
    </row>
    <row r="221" spans="2:13">
      <c r="B221"/>
      <c r="C221"/>
      <c r="D221"/>
      <c r="E221"/>
      <c r="F221"/>
      <c r="G221"/>
      <c r="H221"/>
      <c r="I221"/>
      <c r="J221"/>
      <c r="K221"/>
      <c r="L221"/>
      <c r="M221"/>
    </row>
    <row r="222" spans="2:13">
      <c r="B222"/>
      <c r="C222"/>
      <c r="D222"/>
      <c r="E222"/>
      <c r="F222"/>
      <c r="G222"/>
      <c r="H222"/>
      <c r="I222"/>
      <c r="J222"/>
      <c r="K222"/>
      <c r="L222"/>
      <c r="M222"/>
    </row>
    <row r="223" spans="2:13">
      <c r="B223"/>
      <c r="C223"/>
      <c r="D223"/>
      <c r="E223"/>
      <c r="F223"/>
      <c r="G223"/>
      <c r="H223"/>
      <c r="I223"/>
      <c r="J223"/>
      <c r="K223"/>
      <c r="L223"/>
      <c r="M223"/>
    </row>
    <row r="224" spans="2:13">
      <c r="B224"/>
      <c r="C224"/>
      <c r="D224"/>
      <c r="E224"/>
      <c r="F224"/>
      <c r="G224"/>
      <c r="H224"/>
      <c r="I224"/>
      <c r="J224"/>
      <c r="K224"/>
      <c r="L224"/>
      <c r="M224"/>
    </row>
    <row r="225" spans="2:13">
      <c r="B225"/>
      <c r="C225"/>
      <c r="D225"/>
      <c r="E225"/>
      <c r="F225"/>
      <c r="G225"/>
      <c r="H225"/>
      <c r="I225"/>
      <c r="J225"/>
      <c r="K225"/>
      <c r="L225"/>
      <c r="M225"/>
    </row>
    <row r="226" spans="2:13">
      <c r="B226"/>
      <c r="C226"/>
      <c r="D226"/>
      <c r="E226"/>
      <c r="F226"/>
      <c r="G226"/>
      <c r="H226"/>
      <c r="I226"/>
      <c r="J226"/>
      <c r="K226"/>
      <c r="L226"/>
      <c r="M226"/>
    </row>
    <row r="227" spans="2:13">
      <c r="B227"/>
      <c r="C227"/>
      <c r="D227"/>
      <c r="E227"/>
      <c r="F227"/>
      <c r="G227"/>
      <c r="H227"/>
      <c r="I227"/>
      <c r="J227"/>
      <c r="K227"/>
      <c r="L227"/>
      <c r="M227"/>
    </row>
    <row r="228" spans="2:13">
      <c r="B228"/>
      <c r="C228"/>
      <c r="D228"/>
      <c r="E228"/>
      <c r="F228"/>
      <c r="G228"/>
      <c r="H228"/>
      <c r="I228"/>
      <c r="J228"/>
      <c r="K228"/>
      <c r="L228"/>
      <c r="M228"/>
    </row>
    <row r="229" spans="2:13">
      <c r="B229"/>
      <c r="C229"/>
      <c r="D229"/>
      <c r="E229"/>
      <c r="F229"/>
      <c r="G229"/>
      <c r="H229"/>
      <c r="I229"/>
      <c r="J229"/>
      <c r="K229"/>
      <c r="L229"/>
      <c r="M229"/>
    </row>
    <row r="230" spans="2:13">
      <c r="B230"/>
      <c r="C230"/>
      <c r="D230"/>
      <c r="E230"/>
      <c r="F230"/>
      <c r="G230"/>
      <c r="H230"/>
      <c r="I230"/>
      <c r="J230"/>
      <c r="K230"/>
      <c r="L230"/>
      <c r="M230"/>
    </row>
    <row r="231" spans="2:13">
      <c r="B231"/>
      <c r="C231"/>
      <c r="D231"/>
      <c r="E231"/>
      <c r="F231"/>
      <c r="G231"/>
      <c r="H231"/>
      <c r="I231"/>
      <c r="J231"/>
      <c r="K231"/>
      <c r="L231"/>
      <c r="M231"/>
    </row>
    <row r="232" spans="2:13">
      <c r="B232"/>
      <c r="C232"/>
      <c r="D232"/>
      <c r="E232"/>
      <c r="F232"/>
      <c r="G232"/>
      <c r="H232"/>
      <c r="I232"/>
      <c r="J232"/>
      <c r="K232"/>
      <c r="L232"/>
      <c r="M232"/>
    </row>
    <row r="233" spans="2:13">
      <c r="B233"/>
      <c r="C233"/>
      <c r="D233"/>
      <c r="E233"/>
      <c r="F233"/>
      <c r="G233"/>
      <c r="H233"/>
      <c r="I233"/>
      <c r="J233"/>
      <c r="K233"/>
      <c r="L233"/>
      <c r="M233"/>
    </row>
    <row r="234" spans="2:13">
      <c r="B234"/>
      <c r="C234"/>
      <c r="D234"/>
      <c r="E234"/>
      <c r="F234"/>
      <c r="G234"/>
      <c r="H234"/>
      <c r="I234"/>
      <c r="J234"/>
      <c r="K234"/>
      <c r="L234"/>
      <c r="M234"/>
    </row>
    <row r="235" spans="2:13">
      <c r="B235"/>
      <c r="C235"/>
      <c r="D235"/>
      <c r="E235"/>
      <c r="F235"/>
      <c r="G235"/>
      <c r="H235"/>
      <c r="I235"/>
      <c r="J235"/>
      <c r="K235"/>
      <c r="L235"/>
      <c r="M235"/>
    </row>
    <row r="236" spans="2:13">
      <c r="B236"/>
      <c r="C236"/>
      <c r="D236"/>
      <c r="E236"/>
      <c r="F236"/>
      <c r="G236"/>
      <c r="H236"/>
      <c r="I236"/>
      <c r="J236"/>
      <c r="K236"/>
      <c r="L236"/>
      <c r="M236"/>
    </row>
    <row r="237" spans="2:13">
      <c r="B237"/>
      <c r="C237"/>
      <c r="D237"/>
      <c r="E237"/>
      <c r="F237"/>
      <c r="G237"/>
      <c r="H237"/>
      <c r="I237"/>
      <c r="J237"/>
      <c r="K237"/>
      <c r="L237"/>
      <c r="M237"/>
    </row>
    <row r="238" spans="2:13">
      <c r="B238"/>
      <c r="C238"/>
      <c r="D238"/>
      <c r="E238"/>
      <c r="F238"/>
      <c r="G238"/>
      <c r="H238"/>
      <c r="I238"/>
      <c r="J238"/>
      <c r="K238"/>
      <c r="L238"/>
      <c r="M238"/>
    </row>
    <row r="239" spans="2:13">
      <c r="B239"/>
      <c r="C239"/>
      <c r="D239"/>
      <c r="E239"/>
      <c r="F239"/>
      <c r="G239"/>
      <c r="H239"/>
      <c r="I239"/>
      <c r="J239"/>
      <c r="K239"/>
      <c r="L239"/>
      <c r="M239"/>
    </row>
    <row r="240" spans="2:13">
      <c r="B240"/>
      <c r="C240"/>
      <c r="D240"/>
      <c r="E240"/>
      <c r="F240"/>
      <c r="G240"/>
      <c r="H240"/>
      <c r="I240"/>
      <c r="J240"/>
      <c r="K240"/>
      <c r="L240"/>
      <c r="M240"/>
    </row>
    <row r="241" spans="2:13">
      <c r="B241"/>
      <c r="C241"/>
      <c r="D241"/>
      <c r="E241"/>
      <c r="F241"/>
      <c r="G241"/>
      <c r="H241"/>
      <c r="I241"/>
      <c r="J241"/>
      <c r="K241"/>
      <c r="L241"/>
      <c r="M241"/>
    </row>
    <row r="242" spans="2:13">
      <c r="B242"/>
      <c r="C242"/>
      <c r="D242"/>
      <c r="E242"/>
      <c r="F242"/>
      <c r="G242"/>
      <c r="H242"/>
      <c r="I242"/>
      <c r="J242"/>
      <c r="K242"/>
      <c r="L242"/>
      <c r="M242"/>
    </row>
    <row r="243" spans="2:13">
      <c r="B243"/>
      <c r="C243"/>
      <c r="D243"/>
      <c r="E243"/>
      <c r="F243"/>
      <c r="G243"/>
      <c r="H243"/>
      <c r="I243"/>
      <c r="J243"/>
      <c r="K243"/>
      <c r="L243"/>
      <c r="M243"/>
    </row>
    <row r="244" spans="2:13">
      <c r="B244"/>
      <c r="C244"/>
      <c r="D244"/>
      <c r="E244"/>
      <c r="F244"/>
      <c r="G244"/>
      <c r="H244"/>
      <c r="I244"/>
      <c r="J244"/>
      <c r="K244"/>
      <c r="L244"/>
      <c r="M244"/>
    </row>
    <row r="245" spans="2:13">
      <c r="B245"/>
      <c r="C245"/>
      <c r="D245"/>
      <c r="E245"/>
      <c r="F245"/>
      <c r="G245"/>
      <c r="H245"/>
      <c r="I245"/>
      <c r="J245"/>
      <c r="K245"/>
      <c r="L245"/>
      <c r="M245"/>
    </row>
    <row r="246" spans="2:13">
      <c r="B246"/>
      <c r="C246"/>
      <c r="D246"/>
      <c r="E246"/>
      <c r="F246"/>
      <c r="G246"/>
      <c r="H246"/>
      <c r="I246"/>
      <c r="J246"/>
      <c r="K246"/>
      <c r="L246"/>
      <c r="M246"/>
    </row>
    <row r="247" spans="2:13">
      <c r="B247"/>
      <c r="C247"/>
      <c r="D247"/>
      <c r="E247"/>
      <c r="F247"/>
      <c r="G247"/>
      <c r="H247"/>
      <c r="I247"/>
      <c r="J247"/>
      <c r="K247"/>
      <c r="L247"/>
      <c r="M247"/>
    </row>
    <row r="248" spans="2:13">
      <c r="B248"/>
      <c r="C248"/>
      <c r="D248"/>
      <c r="E248"/>
      <c r="F248"/>
      <c r="G248"/>
      <c r="H248"/>
      <c r="I248"/>
      <c r="J248"/>
      <c r="K248"/>
      <c r="L248"/>
      <c r="M248"/>
    </row>
    <row r="249" spans="2:13">
      <c r="B249"/>
      <c r="C249"/>
      <c r="D249"/>
      <c r="E249"/>
      <c r="F249"/>
      <c r="G249"/>
      <c r="H249"/>
      <c r="I249"/>
      <c r="J249"/>
      <c r="K249"/>
      <c r="L249"/>
      <c r="M249"/>
    </row>
    <row r="250" spans="2:13">
      <c r="B250"/>
      <c r="C250"/>
      <c r="D250"/>
      <c r="E250"/>
      <c r="F250"/>
      <c r="G250"/>
      <c r="H250"/>
      <c r="I250"/>
      <c r="J250"/>
      <c r="K250"/>
      <c r="L250"/>
      <c r="M250"/>
    </row>
    <row r="251" spans="2:13">
      <c r="B251"/>
      <c r="C251"/>
      <c r="D251"/>
      <c r="E251"/>
      <c r="F251"/>
      <c r="G251"/>
      <c r="H251"/>
      <c r="I251"/>
      <c r="J251"/>
      <c r="K251"/>
      <c r="L251"/>
      <c r="M251"/>
    </row>
    <row r="252" spans="2:13">
      <c r="B252"/>
      <c r="C252"/>
      <c r="D252"/>
      <c r="E252"/>
      <c r="F252"/>
      <c r="G252"/>
      <c r="H252"/>
      <c r="I252"/>
      <c r="J252"/>
      <c r="K252"/>
      <c r="L252"/>
      <c r="M252"/>
    </row>
    <row r="253" spans="2:13">
      <c r="B253"/>
      <c r="C253"/>
      <c r="D253"/>
      <c r="E253"/>
      <c r="F253"/>
      <c r="G253"/>
      <c r="H253"/>
      <c r="I253"/>
      <c r="J253"/>
      <c r="K253"/>
      <c r="L253"/>
      <c r="M253"/>
    </row>
    <row r="254" spans="2:13">
      <c r="B254"/>
      <c r="C254"/>
      <c r="D254"/>
      <c r="E254"/>
      <c r="F254"/>
      <c r="G254"/>
      <c r="H254"/>
      <c r="I254"/>
      <c r="J254"/>
      <c r="K254"/>
      <c r="L254"/>
      <c r="M254"/>
    </row>
    <row r="255" spans="2:13">
      <c r="B255"/>
      <c r="C255"/>
      <c r="D255"/>
      <c r="E255"/>
      <c r="F255"/>
      <c r="G255"/>
      <c r="H255"/>
      <c r="I255"/>
      <c r="J255"/>
      <c r="K255"/>
      <c r="L255"/>
      <c r="M255"/>
    </row>
    <row r="256" spans="2:13">
      <c r="B256"/>
      <c r="C256"/>
      <c r="D256"/>
      <c r="E256"/>
      <c r="F256"/>
      <c r="G256"/>
      <c r="H256"/>
      <c r="I256"/>
      <c r="J256"/>
      <c r="K256"/>
      <c r="L256"/>
      <c r="M256"/>
    </row>
    <row r="257" spans="2:13">
      <c r="B257"/>
      <c r="C257"/>
      <c r="D257"/>
      <c r="E257"/>
      <c r="F257"/>
      <c r="G257"/>
      <c r="H257"/>
      <c r="I257"/>
      <c r="J257"/>
      <c r="K257"/>
      <c r="L257"/>
      <c r="M257"/>
    </row>
    <row r="258" spans="2:13">
      <c r="B258"/>
      <c r="C258"/>
      <c r="D258"/>
      <c r="E258"/>
      <c r="F258"/>
      <c r="G258"/>
      <c r="H258"/>
      <c r="I258"/>
      <c r="J258"/>
      <c r="K258"/>
      <c r="L258"/>
      <c r="M258"/>
    </row>
    <row r="259" spans="2:13">
      <c r="B259"/>
      <c r="C259"/>
      <c r="D259"/>
      <c r="E259"/>
      <c r="F259"/>
      <c r="G259"/>
      <c r="H259"/>
      <c r="I259"/>
      <c r="J259"/>
      <c r="K259"/>
      <c r="L259"/>
      <c r="M259"/>
    </row>
    <row r="260" spans="2:13">
      <c r="B260"/>
      <c r="C260"/>
      <c r="D260"/>
      <c r="E260"/>
      <c r="F260"/>
      <c r="G260"/>
      <c r="H260"/>
      <c r="I260"/>
      <c r="J260"/>
      <c r="K260"/>
      <c r="L260"/>
      <c r="M260"/>
    </row>
    <row r="261" spans="2:13">
      <c r="B261"/>
      <c r="C261"/>
      <c r="D261"/>
      <c r="E261"/>
      <c r="F261"/>
      <c r="G261"/>
      <c r="H261"/>
      <c r="I261"/>
      <c r="J261"/>
      <c r="K261"/>
      <c r="L261"/>
      <c r="M261"/>
    </row>
    <row r="262" spans="2:13">
      <c r="B262"/>
      <c r="C262"/>
      <c r="D262"/>
      <c r="E262"/>
      <c r="F262"/>
      <c r="G262"/>
      <c r="H262"/>
      <c r="I262"/>
      <c r="J262"/>
      <c r="K262"/>
      <c r="L262"/>
      <c r="M262"/>
    </row>
    <row r="263" spans="2:13">
      <c r="B263"/>
      <c r="C263"/>
      <c r="D263"/>
      <c r="E263"/>
      <c r="F263"/>
      <c r="G263"/>
      <c r="H263"/>
      <c r="I263"/>
      <c r="J263"/>
      <c r="K263"/>
      <c r="L263"/>
      <c r="M263"/>
    </row>
    <row r="264" spans="2:13">
      <c r="B264"/>
      <c r="C264"/>
      <c r="D264"/>
      <c r="E264"/>
      <c r="F264"/>
      <c r="G264"/>
      <c r="H264"/>
      <c r="I264"/>
      <c r="J264"/>
      <c r="K264"/>
      <c r="L264"/>
      <c r="M264"/>
    </row>
    <row r="265" spans="2:13">
      <c r="B265"/>
      <c r="C265"/>
      <c r="D265"/>
      <c r="E265"/>
      <c r="F265"/>
      <c r="G265"/>
      <c r="H265"/>
      <c r="I265"/>
      <c r="J265"/>
      <c r="K265"/>
      <c r="L265"/>
      <c r="M265"/>
    </row>
    <row r="266" spans="2:13">
      <c r="B266"/>
      <c r="C266"/>
      <c r="D266"/>
      <c r="E266"/>
      <c r="F266"/>
      <c r="G266"/>
      <c r="H266"/>
      <c r="I266"/>
      <c r="J266"/>
      <c r="K266"/>
      <c r="L266"/>
      <c r="M266"/>
    </row>
    <row r="267" spans="2:13">
      <c r="B267"/>
      <c r="C267"/>
      <c r="D267"/>
      <c r="E267"/>
      <c r="F267"/>
      <c r="G267"/>
      <c r="H267"/>
      <c r="I267"/>
      <c r="J267"/>
      <c r="K267"/>
      <c r="L267"/>
      <c r="M267"/>
    </row>
    <row r="268" spans="2:13">
      <c r="B268"/>
      <c r="C268"/>
      <c r="D268"/>
      <c r="E268"/>
      <c r="F268"/>
      <c r="G268"/>
      <c r="H268"/>
      <c r="I268"/>
      <c r="J268"/>
      <c r="K268"/>
      <c r="L268"/>
      <c r="M268"/>
    </row>
    <row r="269" spans="2:13">
      <c r="B269"/>
      <c r="C269"/>
      <c r="D269"/>
      <c r="E269"/>
      <c r="F269"/>
      <c r="G269"/>
      <c r="H269"/>
      <c r="I269"/>
      <c r="J269"/>
      <c r="K269"/>
      <c r="L269"/>
      <c r="M269"/>
    </row>
    <row r="270" spans="2:13">
      <c r="B270"/>
      <c r="C270"/>
      <c r="D270"/>
      <c r="E270"/>
      <c r="F270"/>
      <c r="G270"/>
      <c r="H270"/>
      <c r="I270"/>
      <c r="J270"/>
      <c r="K270"/>
      <c r="L270"/>
      <c r="M270"/>
    </row>
    <row r="271" spans="2:13">
      <c r="B271"/>
      <c r="C271"/>
      <c r="D271"/>
      <c r="E271"/>
      <c r="F271"/>
      <c r="G271"/>
      <c r="H271"/>
      <c r="I271"/>
      <c r="J271"/>
      <c r="K271"/>
      <c r="L271"/>
      <c r="M271"/>
    </row>
    <row r="272" spans="2:13">
      <c r="B272"/>
      <c r="C272"/>
      <c r="D272"/>
      <c r="E272"/>
      <c r="F272"/>
      <c r="G272"/>
      <c r="H272"/>
      <c r="I272"/>
      <c r="J272"/>
      <c r="K272"/>
      <c r="L272"/>
      <c r="M272"/>
    </row>
    <row r="273" spans="2:13">
      <c r="B273"/>
      <c r="C273"/>
      <c r="D273"/>
      <c r="E273"/>
      <c r="F273"/>
      <c r="G273"/>
      <c r="H273"/>
      <c r="I273"/>
      <c r="J273"/>
      <c r="K273"/>
      <c r="L273"/>
      <c r="M273"/>
    </row>
    <row r="274" spans="2:13">
      <c r="B274"/>
      <c r="C274"/>
      <c r="D274"/>
      <c r="E274"/>
      <c r="F274"/>
      <c r="G274"/>
      <c r="H274"/>
      <c r="I274"/>
      <c r="J274"/>
      <c r="K274"/>
      <c r="L274"/>
      <c r="M274"/>
    </row>
    <row r="275" spans="2:13">
      <c r="B275"/>
      <c r="C275"/>
      <c r="D275"/>
      <c r="E275"/>
      <c r="F275"/>
      <c r="G275"/>
      <c r="H275"/>
      <c r="I275"/>
      <c r="J275"/>
      <c r="K275"/>
      <c r="L275"/>
      <c r="M275"/>
    </row>
    <row r="276" spans="2:13">
      <c r="B276"/>
      <c r="C276"/>
      <c r="D276"/>
      <c r="E276"/>
      <c r="F276"/>
      <c r="G276"/>
      <c r="H276"/>
      <c r="I276"/>
      <c r="J276"/>
      <c r="K276"/>
      <c r="L276"/>
      <c r="M276"/>
    </row>
    <row r="277" spans="2:13">
      <c r="B277"/>
      <c r="C277"/>
      <c r="D277"/>
      <c r="E277"/>
      <c r="F277"/>
      <c r="G277"/>
      <c r="H277"/>
      <c r="I277"/>
      <c r="J277"/>
      <c r="K277"/>
      <c r="L277"/>
      <c r="M277"/>
    </row>
    <row r="278" spans="2:13">
      <c r="B278"/>
      <c r="C278"/>
      <c r="D278"/>
      <c r="E278"/>
      <c r="F278"/>
      <c r="G278"/>
      <c r="H278"/>
      <c r="I278"/>
      <c r="J278"/>
      <c r="K278"/>
      <c r="L278"/>
      <c r="M278"/>
    </row>
    <row r="279" spans="2:13">
      <c r="B279"/>
      <c r="C279"/>
      <c r="D279"/>
      <c r="E279"/>
      <c r="F279"/>
      <c r="G279"/>
      <c r="H279"/>
      <c r="I279"/>
      <c r="J279"/>
      <c r="K279"/>
      <c r="L279"/>
      <c r="M279"/>
    </row>
    <row r="280" spans="2:13">
      <c r="B280"/>
      <c r="C280"/>
      <c r="D280"/>
      <c r="E280"/>
      <c r="F280"/>
      <c r="G280"/>
      <c r="H280"/>
      <c r="I280"/>
      <c r="J280"/>
      <c r="K280"/>
      <c r="L280"/>
      <c r="M280"/>
    </row>
    <row r="281" spans="2:13">
      <c r="B281"/>
      <c r="C281"/>
      <c r="D281"/>
      <c r="E281"/>
      <c r="F281"/>
      <c r="G281"/>
      <c r="H281"/>
      <c r="I281"/>
      <c r="J281"/>
      <c r="K281"/>
      <c r="L281"/>
      <c r="M281"/>
    </row>
    <row r="282" spans="2:13">
      <c r="B282"/>
      <c r="C282"/>
      <c r="D282"/>
      <c r="E282"/>
      <c r="F282"/>
      <c r="G282"/>
      <c r="H282"/>
      <c r="I282"/>
      <c r="J282"/>
      <c r="K282"/>
      <c r="L282"/>
      <c r="M282"/>
    </row>
    <row r="283" spans="2:13">
      <c r="B283"/>
      <c r="C283"/>
      <c r="D283"/>
      <c r="E283"/>
      <c r="F283"/>
      <c r="G283"/>
      <c r="H283"/>
      <c r="I283"/>
      <c r="J283"/>
      <c r="K283"/>
      <c r="L283"/>
      <c r="M283"/>
    </row>
    <row r="284" spans="2:13">
      <c r="B284"/>
      <c r="C284"/>
      <c r="D284"/>
      <c r="E284"/>
      <c r="F284"/>
      <c r="G284"/>
      <c r="H284"/>
      <c r="I284"/>
      <c r="J284"/>
      <c r="K284"/>
      <c r="L284"/>
      <c r="M284"/>
    </row>
    <row r="285" spans="2:13">
      <c r="B285"/>
      <c r="C285"/>
      <c r="D285"/>
      <c r="E285"/>
      <c r="F285"/>
      <c r="G285"/>
      <c r="H285"/>
      <c r="I285"/>
      <c r="J285"/>
      <c r="K285"/>
      <c r="L285"/>
      <c r="M285"/>
    </row>
    <row r="286" spans="2:13">
      <c r="B286"/>
      <c r="C286"/>
      <c r="D286"/>
      <c r="E286"/>
      <c r="F286"/>
      <c r="G286"/>
      <c r="H286"/>
      <c r="I286"/>
      <c r="J286"/>
      <c r="K286"/>
      <c r="L286"/>
      <c r="M286"/>
    </row>
    <row r="287" spans="2:13">
      <c r="B287"/>
      <c r="C287"/>
      <c r="D287"/>
      <c r="E287"/>
      <c r="F287"/>
      <c r="G287"/>
      <c r="H287"/>
      <c r="I287"/>
      <c r="J287"/>
      <c r="K287"/>
      <c r="L287"/>
      <c r="M287"/>
    </row>
    <row r="288" spans="2:13">
      <c r="B288"/>
      <c r="C288"/>
      <c r="D288"/>
      <c r="E288"/>
      <c r="F288"/>
      <c r="G288"/>
      <c r="H288"/>
      <c r="I288"/>
      <c r="J288"/>
      <c r="K288"/>
      <c r="L288"/>
      <c r="M288"/>
    </row>
    <row r="289" spans="2:13">
      <c r="B289"/>
      <c r="C289"/>
      <c r="D289"/>
      <c r="E289"/>
      <c r="F289"/>
      <c r="G289"/>
      <c r="H289"/>
      <c r="I289"/>
      <c r="J289"/>
      <c r="K289"/>
      <c r="L289"/>
      <c r="M289"/>
    </row>
    <row r="290" spans="2:13">
      <c r="B290"/>
      <c r="C290"/>
      <c r="D290"/>
      <c r="E290"/>
      <c r="F290"/>
      <c r="G290"/>
      <c r="H290"/>
      <c r="I290"/>
      <c r="J290"/>
      <c r="K290"/>
      <c r="L290"/>
      <c r="M290"/>
    </row>
    <row r="291" spans="2:13">
      <c r="B291"/>
      <c r="C291"/>
      <c r="D291"/>
      <c r="E291"/>
      <c r="F291"/>
      <c r="G291"/>
      <c r="H291"/>
      <c r="I291"/>
      <c r="J291"/>
      <c r="K291"/>
      <c r="L291"/>
      <c r="M291"/>
    </row>
    <row r="292" spans="2:13">
      <c r="B292"/>
      <c r="C292"/>
      <c r="D292"/>
      <c r="E292"/>
      <c r="F292"/>
      <c r="G292"/>
      <c r="H292"/>
      <c r="I292"/>
      <c r="J292"/>
      <c r="K292"/>
      <c r="L292"/>
      <c r="M292"/>
    </row>
    <row r="293" spans="2:13">
      <c r="B293"/>
      <c r="C293"/>
      <c r="D293"/>
      <c r="E293"/>
      <c r="F293"/>
      <c r="G293"/>
      <c r="H293"/>
      <c r="I293"/>
      <c r="J293"/>
      <c r="K293"/>
      <c r="L293"/>
      <c r="M293"/>
    </row>
    <row r="294" spans="2:13">
      <c r="B294"/>
      <c r="C294"/>
      <c r="D294"/>
      <c r="E294"/>
      <c r="F294"/>
      <c r="G294"/>
      <c r="H294"/>
      <c r="I294"/>
      <c r="J294"/>
      <c r="K294"/>
      <c r="L294"/>
      <c r="M294"/>
    </row>
    <row r="295" spans="2:13">
      <c r="B295"/>
      <c r="C295"/>
      <c r="D295"/>
      <c r="E295"/>
      <c r="F295"/>
      <c r="G295"/>
      <c r="H295"/>
      <c r="I295"/>
      <c r="J295"/>
      <c r="K295"/>
      <c r="L295"/>
      <c r="M295"/>
    </row>
    <row r="296" spans="2:13">
      <c r="B296"/>
      <c r="C296"/>
      <c r="D296"/>
      <c r="E296"/>
      <c r="F296"/>
      <c r="G296"/>
      <c r="H296"/>
      <c r="I296"/>
      <c r="J296"/>
      <c r="K296"/>
      <c r="L296"/>
      <c r="M296"/>
    </row>
    <row r="297" spans="2:13">
      <c r="B297"/>
      <c r="C297"/>
      <c r="D297"/>
      <c r="E297"/>
      <c r="F297"/>
      <c r="G297"/>
      <c r="H297"/>
      <c r="I297"/>
      <c r="J297"/>
      <c r="K297"/>
      <c r="L297"/>
      <c r="M297"/>
    </row>
    <row r="298" spans="2:13">
      <c r="B298"/>
      <c r="C298"/>
      <c r="D298"/>
      <c r="E298"/>
      <c r="F298"/>
      <c r="G298"/>
      <c r="H298"/>
      <c r="I298"/>
      <c r="J298"/>
      <c r="K298"/>
      <c r="L298"/>
      <c r="M298"/>
    </row>
    <row r="299" spans="2:13">
      <c r="B299"/>
      <c r="C299"/>
      <c r="D299"/>
      <c r="E299"/>
      <c r="F299"/>
      <c r="G299"/>
      <c r="H299"/>
      <c r="I299"/>
      <c r="J299"/>
      <c r="K299"/>
      <c r="L299"/>
      <c r="M299"/>
    </row>
    <row r="300" spans="2:13">
      <c r="B300"/>
      <c r="C300"/>
      <c r="D300"/>
      <c r="E300"/>
      <c r="F300"/>
      <c r="G300"/>
      <c r="H300"/>
      <c r="I300"/>
      <c r="J300"/>
      <c r="K300"/>
      <c r="L300"/>
      <c r="M300"/>
    </row>
    <row r="301" spans="2:13">
      <c r="B301"/>
      <c r="C301"/>
      <c r="D301"/>
      <c r="E301"/>
      <c r="F301"/>
      <c r="G301"/>
      <c r="H301"/>
      <c r="I301"/>
      <c r="J301"/>
      <c r="K301"/>
      <c r="L301"/>
      <c r="M301"/>
    </row>
    <row r="302" spans="2:13">
      <c r="B302"/>
      <c r="C302"/>
      <c r="D302"/>
      <c r="E302"/>
      <c r="F302"/>
      <c r="G302"/>
      <c r="H302"/>
      <c r="I302"/>
      <c r="J302"/>
      <c r="K302"/>
      <c r="L302"/>
      <c r="M302"/>
    </row>
    <row r="303" spans="2:13">
      <c r="B303"/>
      <c r="C303"/>
      <c r="D303"/>
      <c r="E303"/>
      <c r="F303"/>
      <c r="G303"/>
      <c r="H303"/>
      <c r="I303"/>
      <c r="J303"/>
      <c r="K303"/>
      <c r="L303"/>
      <c r="M303"/>
    </row>
    <row r="304" spans="2:13">
      <c r="B304"/>
      <c r="C304"/>
      <c r="D304"/>
      <c r="E304"/>
      <c r="F304"/>
      <c r="G304"/>
      <c r="H304"/>
      <c r="I304"/>
      <c r="J304"/>
      <c r="K304"/>
      <c r="L304"/>
      <c r="M304"/>
    </row>
    <row r="305" spans="2:13">
      <c r="B305"/>
      <c r="C305"/>
      <c r="D305"/>
      <c r="E305"/>
      <c r="F305"/>
      <c r="G305"/>
      <c r="H305"/>
      <c r="I305"/>
      <c r="J305"/>
      <c r="K305"/>
      <c r="L305"/>
      <c r="M305"/>
    </row>
    <row r="306" spans="2:13">
      <c r="B306"/>
      <c r="C306"/>
      <c r="D306"/>
      <c r="E306"/>
      <c r="F306"/>
      <c r="G306"/>
      <c r="H306"/>
      <c r="I306"/>
      <c r="J306"/>
      <c r="K306"/>
      <c r="L306"/>
      <c r="M306"/>
    </row>
    <row r="307" spans="2:13">
      <c r="B307"/>
      <c r="C307"/>
      <c r="D307"/>
      <c r="E307"/>
      <c r="F307"/>
      <c r="G307"/>
      <c r="H307"/>
      <c r="I307"/>
      <c r="J307"/>
      <c r="K307"/>
      <c r="L307"/>
      <c r="M307"/>
    </row>
    <row r="308" spans="2:13">
      <c r="B308"/>
      <c r="C308"/>
      <c r="D308"/>
      <c r="E308"/>
      <c r="F308"/>
      <c r="G308"/>
      <c r="H308"/>
      <c r="I308"/>
      <c r="J308"/>
      <c r="K308"/>
      <c r="L308"/>
      <c r="M308"/>
    </row>
    <row r="309" spans="2:13">
      <c r="B309"/>
      <c r="C309"/>
      <c r="D309"/>
      <c r="E309"/>
      <c r="F309"/>
      <c r="G309"/>
      <c r="H309"/>
      <c r="I309"/>
      <c r="J309"/>
      <c r="K309"/>
      <c r="L309"/>
      <c r="M309"/>
    </row>
    <row r="310" spans="2:13">
      <c r="B310"/>
      <c r="C310"/>
      <c r="D310"/>
      <c r="E310"/>
      <c r="F310"/>
      <c r="G310"/>
      <c r="H310"/>
      <c r="I310"/>
      <c r="J310"/>
      <c r="K310"/>
      <c r="L310"/>
      <c r="M310"/>
    </row>
    <row r="311" spans="2:13">
      <c r="B311"/>
      <c r="C311"/>
      <c r="D311"/>
      <c r="E311"/>
      <c r="F311"/>
      <c r="G311"/>
      <c r="H311"/>
      <c r="I311"/>
      <c r="J311"/>
      <c r="K311"/>
      <c r="L311"/>
      <c r="M311"/>
    </row>
    <row r="312" spans="2:13">
      <c r="B312"/>
      <c r="C312"/>
      <c r="D312"/>
      <c r="E312"/>
      <c r="F312"/>
      <c r="G312"/>
      <c r="H312"/>
      <c r="I312"/>
      <c r="J312"/>
      <c r="K312"/>
      <c r="L312"/>
      <c r="M312"/>
    </row>
    <row r="313" spans="2:13">
      <c r="B313"/>
      <c r="C313"/>
      <c r="D313"/>
      <c r="E313"/>
      <c r="F313"/>
      <c r="G313"/>
      <c r="H313"/>
      <c r="I313"/>
      <c r="J313"/>
      <c r="K313"/>
      <c r="L313"/>
      <c r="M313"/>
    </row>
    <row r="314" spans="2:13">
      <c r="B314"/>
      <c r="C314"/>
      <c r="D314"/>
      <c r="E314"/>
      <c r="F314"/>
      <c r="G314"/>
      <c r="H314"/>
      <c r="I314"/>
      <c r="J314"/>
      <c r="K314"/>
      <c r="L314"/>
      <c r="M314"/>
    </row>
    <row r="315" spans="2:13">
      <c r="B315"/>
      <c r="C315"/>
      <c r="D315"/>
      <c r="E315"/>
      <c r="F315"/>
      <c r="G315"/>
      <c r="H315"/>
      <c r="I315"/>
      <c r="J315"/>
      <c r="K315"/>
      <c r="L315"/>
      <c r="M315"/>
    </row>
    <row r="316" spans="2:13">
      <c r="B316"/>
      <c r="C316"/>
      <c r="D316"/>
      <c r="E316"/>
      <c r="F316"/>
      <c r="G316"/>
      <c r="H316"/>
      <c r="I316"/>
      <c r="J316"/>
      <c r="K316"/>
      <c r="L316"/>
      <c r="M316"/>
    </row>
    <row r="317" spans="2:13">
      <c r="B317"/>
      <c r="C317"/>
      <c r="D317"/>
      <c r="E317"/>
      <c r="F317"/>
      <c r="G317"/>
      <c r="H317"/>
      <c r="I317"/>
      <c r="J317"/>
      <c r="K317"/>
      <c r="L317"/>
      <c r="M317"/>
    </row>
    <row r="318" spans="2:13">
      <c r="B318"/>
      <c r="C318"/>
      <c r="D318"/>
      <c r="E318"/>
      <c r="F318"/>
      <c r="G318"/>
      <c r="H318"/>
      <c r="I318"/>
      <c r="J318"/>
      <c r="K318"/>
      <c r="L318"/>
      <c r="M318"/>
    </row>
    <row r="319" spans="2:13">
      <c r="B319"/>
      <c r="C319"/>
      <c r="D319"/>
      <c r="E319"/>
      <c r="F319"/>
      <c r="G319"/>
      <c r="H319"/>
      <c r="I319"/>
      <c r="J319"/>
      <c r="K319"/>
      <c r="L319"/>
      <c r="M319"/>
    </row>
    <row r="320" spans="2:13">
      <c r="B320"/>
      <c r="C320"/>
      <c r="D320"/>
      <c r="E320"/>
      <c r="F320"/>
      <c r="G320"/>
      <c r="H320"/>
      <c r="I320"/>
      <c r="J320"/>
      <c r="K320"/>
      <c r="L320"/>
      <c r="M320"/>
    </row>
    <row r="321" spans="2:13">
      <c r="B321"/>
      <c r="C321"/>
      <c r="D321"/>
      <c r="E321"/>
      <c r="F321"/>
      <c r="G321"/>
      <c r="H321"/>
      <c r="I321"/>
      <c r="J321"/>
      <c r="K321"/>
      <c r="L321"/>
      <c r="M321"/>
    </row>
    <row r="322" spans="2:13">
      <c r="B322"/>
      <c r="C322"/>
      <c r="D322"/>
      <c r="E322"/>
      <c r="F322"/>
      <c r="G322"/>
      <c r="H322"/>
      <c r="I322"/>
      <c r="J322"/>
      <c r="K322"/>
      <c r="L322"/>
      <c r="M322"/>
    </row>
    <row r="323" spans="2:13">
      <c r="B323"/>
      <c r="C323"/>
      <c r="D323"/>
      <c r="E323"/>
      <c r="F323"/>
      <c r="G323"/>
      <c r="H323"/>
      <c r="I323"/>
      <c r="J323"/>
      <c r="K323"/>
      <c r="L323"/>
      <c r="M323"/>
    </row>
    <row r="324" spans="2:13">
      <c r="B324"/>
      <c r="C324"/>
      <c r="D324"/>
      <c r="E324"/>
      <c r="F324"/>
      <c r="G324"/>
      <c r="H324"/>
      <c r="I324"/>
      <c r="J324"/>
      <c r="K324"/>
      <c r="L324"/>
      <c r="M324"/>
    </row>
    <row r="325" spans="2:13">
      <c r="B325"/>
      <c r="C325"/>
      <c r="D325"/>
      <c r="E325"/>
      <c r="F325"/>
      <c r="G325"/>
      <c r="H325"/>
      <c r="I325"/>
      <c r="J325"/>
      <c r="K325"/>
      <c r="L325"/>
      <c r="M325"/>
    </row>
    <row r="326" spans="2:13">
      <c r="B326"/>
      <c r="C326"/>
      <c r="D326"/>
      <c r="E326"/>
      <c r="F326"/>
      <c r="G326"/>
      <c r="H326"/>
      <c r="I326"/>
      <c r="J326"/>
      <c r="K326"/>
      <c r="L326"/>
      <c r="M326"/>
    </row>
    <row r="327" spans="2:13">
      <c r="B327"/>
      <c r="C327"/>
      <c r="D327"/>
      <c r="E327"/>
      <c r="F327"/>
      <c r="G327"/>
      <c r="H327"/>
      <c r="I327"/>
      <c r="J327"/>
      <c r="K327"/>
      <c r="L327"/>
      <c r="M327"/>
    </row>
    <row r="328" spans="2:13">
      <c r="B328"/>
      <c r="C328"/>
      <c r="D328"/>
      <c r="E328"/>
      <c r="F328"/>
      <c r="G328"/>
      <c r="H328"/>
      <c r="I328"/>
      <c r="J328"/>
      <c r="K328"/>
      <c r="L328"/>
      <c r="M328"/>
    </row>
    <row r="329" spans="2:13">
      <c r="B329"/>
      <c r="C329"/>
      <c r="D329"/>
      <c r="E329"/>
      <c r="F329"/>
      <c r="G329"/>
      <c r="H329"/>
      <c r="I329"/>
      <c r="J329"/>
      <c r="K329"/>
      <c r="L329"/>
      <c r="M329"/>
    </row>
    <row r="330" spans="2:13">
      <c r="B330"/>
      <c r="C330"/>
      <c r="D330"/>
      <c r="E330"/>
      <c r="F330"/>
      <c r="G330"/>
      <c r="H330"/>
      <c r="I330"/>
      <c r="J330"/>
      <c r="K330"/>
      <c r="L330"/>
      <c r="M330"/>
    </row>
    <row r="331" spans="2:13">
      <c r="B331"/>
      <c r="C331"/>
      <c r="D331"/>
      <c r="E331"/>
      <c r="F331"/>
      <c r="G331"/>
      <c r="H331"/>
      <c r="I331"/>
      <c r="J331"/>
      <c r="K331"/>
      <c r="L331"/>
      <c r="M331"/>
    </row>
    <row r="332" spans="2:13">
      <c r="B332"/>
      <c r="C332"/>
      <c r="D332"/>
      <c r="E332"/>
      <c r="F332"/>
      <c r="G332"/>
      <c r="H332"/>
      <c r="I332"/>
      <c r="J332"/>
      <c r="K332"/>
      <c r="L332"/>
      <c r="M332"/>
    </row>
    <row r="333" spans="2:13">
      <c r="B333"/>
      <c r="C333"/>
      <c r="D333"/>
      <c r="E333"/>
      <c r="F333"/>
      <c r="G333"/>
      <c r="H333"/>
      <c r="I333"/>
      <c r="J333"/>
      <c r="K333"/>
      <c r="L333"/>
      <c r="M333"/>
    </row>
    <row r="334" spans="2:13">
      <c r="B334"/>
      <c r="C334"/>
      <c r="D334"/>
      <c r="E334"/>
      <c r="F334"/>
      <c r="G334"/>
      <c r="H334"/>
      <c r="I334"/>
      <c r="J334"/>
      <c r="K334"/>
      <c r="L334"/>
      <c r="M334"/>
    </row>
    <row r="335" spans="2:13">
      <c r="B335"/>
      <c r="C335"/>
      <c r="D335"/>
      <c r="E335"/>
      <c r="F335"/>
      <c r="G335"/>
      <c r="H335"/>
      <c r="I335"/>
      <c r="J335"/>
      <c r="K335"/>
      <c r="L335"/>
      <c r="M335"/>
    </row>
    <row r="336" spans="2:13">
      <c r="B336"/>
      <c r="C336"/>
      <c r="D336"/>
      <c r="E336"/>
      <c r="F336"/>
      <c r="G336"/>
      <c r="H336"/>
      <c r="I336"/>
      <c r="J336"/>
      <c r="K336"/>
      <c r="L336"/>
      <c r="M336"/>
    </row>
    <row r="337" spans="2:13">
      <c r="B337"/>
      <c r="C337"/>
      <c r="D337"/>
      <c r="E337"/>
      <c r="F337"/>
      <c r="G337"/>
      <c r="H337"/>
      <c r="I337"/>
      <c r="J337"/>
      <c r="K337"/>
      <c r="L337"/>
      <c r="M337"/>
    </row>
    <row r="338" spans="2:13">
      <c r="B338"/>
      <c r="C338"/>
      <c r="D338"/>
      <c r="E338"/>
      <c r="F338"/>
      <c r="G338"/>
      <c r="H338"/>
      <c r="I338"/>
      <c r="J338"/>
      <c r="K338"/>
      <c r="L338"/>
      <c r="M338"/>
    </row>
    <row r="339" spans="2:13">
      <c r="B339"/>
      <c r="C339"/>
      <c r="D339"/>
      <c r="E339"/>
      <c r="F339"/>
      <c r="G339"/>
      <c r="H339"/>
      <c r="I339"/>
      <c r="J339"/>
      <c r="K339"/>
      <c r="L339"/>
      <c r="M339"/>
    </row>
    <row r="340" spans="2:13">
      <c r="B340"/>
      <c r="C340"/>
      <c r="D340"/>
      <c r="E340"/>
      <c r="F340"/>
      <c r="G340"/>
      <c r="H340"/>
      <c r="I340"/>
      <c r="J340"/>
      <c r="K340"/>
      <c r="L340"/>
      <c r="M340"/>
    </row>
    <row r="341" spans="2:13">
      <c r="B341"/>
      <c r="C341"/>
      <c r="D341"/>
      <c r="E341"/>
      <c r="F341"/>
      <c r="G341"/>
      <c r="H341"/>
      <c r="I341"/>
      <c r="J341"/>
      <c r="K341"/>
      <c r="L341"/>
      <c r="M341"/>
    </row>
    <row r="342" spans="2:13">
      <c r="B342"/>
      <c r="C342"/>
      <c r="D342"/>
      <c r="E342"/>
      <c r="F342"/>
      <c r="G342"/>
      <c r="H342"/>
      <c r="I342"/>
      <c r="J342"/>
      <c r="K342"/>
      <c r="L342"/>
      <c r="M342"/>
    </row>
    <row r="343" spans="2:13">
      <c r="B343"/>
      <c r="C343"/>
      <c r="D343"/>
      <c r="E343"/>
      <c r="F343"/>
      <c r="G343"/>
      <c r="H343"/>
      <c r="I343"/>
      <c r="J343"/>
      <c r="K343"/>
      <c r="L343"/>
      <c r="M343"/>
    </row>
    <row r="344" spans="2:13">
      <c r="B344"/>
      <c r="C344"/>
      <c r="D344"/>
      <c r="E344"/>
      <c r="F344"/>
      <c r="G344"/>
      <c r="H344"/>
      <c r="I344"/>
      <c r="J344"/>
      <c r="K344"/>
      <c r="L344"/>
      <c r="M344"/>
    </row>
    <row r="345" spans="2:13">
      <c r="B345"/>
      <c r="C345"/>
      <c r="D345"/>
      <c r="E345"/>
      <c r="F345"/>
      <c r="G345"/>
      <c r="H345"/>
      <c r="I345"/>
      <c r="J345"/>
      <c r="K345"/>
      <c r="L345"/>
      <c r="M345"/>
    </row>
    <row r="346" spans="2:13">
      <c r="B346"/>
      <c r="C346"/>
      <c r="D346"/>
      <c r="E346"/>
      <c r="F346"/>
      <c r="G346"/>
      <c r="H346"/>
      <c r="I346"/>
      <c r="J346"/>
      <c r="K346"/>
      <c r="L346"/>
      <c r="M346"/>
    </row>
    <row r="347" spans="2:13">
      <c r="B347"/>
      <c r="C347"/>
      <c r="D347"/>
      <c r="E347"/>
      <c r="F347"/>
      <c r="G347"/>
      <c r="H347"/>
      <c r="I347"/>
      <c r="J347"/>
      <c r="K347"/>
      <c r="L347"/>
      <c r="M347"/>
    </row>
    <row r="348" spans="2:13">
      <c r="B348"/>
      <c r="C348"/>
      <c r="D348"/>
      <c r="E348"/>
      <c r="F348"/>
      <c r="G348"/>
      <c r="H348"/>
      <c r="I348"/>
      <c r="J348"/>
      <c r="K348"/>
      <c r="L348"/>
      <c r="M348"/>
    </row>
    <row r="349" spans="2:13">
      <c r="B349"/>
      <c r="C349"/>
      <c r="D349"/>
      <c r="E349"/>
      <c r="F349"/>
      <c r="G349"/>
      <c r="H349"/>
      <c r="I349"/>
      <c r="J349"/>
      <c r="K349"/>
      <c r="L349"/>
      <c r="M349"/>
    </row>
    <row r="350" spans="2:13">
      <c r="B350"/>
      <c r="C350"/>
      <c r="D350"/>
      <c r="E350"/>
      <c r="F350"/>
      <c r="G350"/>
      <c r="H350"/>
      <c r="I350"/>
      <c r="J350"/>
      <c r="K350"/>
      <c r="L350"/>
      <c r="M350"/>
    </row>
    <row r="351" spans="2:13">
      <c r="B351"/>
      <c r="C351"/>
      <c r="D351"/>
      <c r="E351"/>
      <c r="F351"/>
      <c r="G351"/>
      <c r="H351"/>
      <c r="I351"/>
      <c r="J351"/>
      <c r="K351"/>
      <c r="L351"/>
      <c r="M351"/>
    </row>
    <row r="352" spans="2:13">
      <c r="B352"/>
      <c r="C352"/>
      <c r="D352"/>
      <c r="E352"/>
      <c r="F352"/>
      <c r="G352"/>
      <c r="H352"/>
      <c r="I352"/>
      <c r="J352"/>
      <c r="K352"/>
      <c r="L352"/>
      <c r="M352"/>
    </row>
    <row r="353" spans="2:13">
      <c r="B353"/>
      <c r="C353"/>
      <c r="D353"/>
      <c r="E353"/>
      <c r="F353"/>
      <c r="G353"/>
      <c r="H353"/>
      <c r="I353"/>
      <c r="J353"/>
      <c r="K353"/>
      <c r="L353"/>
      <c r="M353"/>
    </row>
    <row r="354" spans="2:13">
      <c r="B354"/>
      <c r="C354"/>
      <c r="D354"/>
      <c r="E354"/>
      <c r="F354"/>
      <c r="G354"/>
      <c r="H354"/>
      <c r="I354"/>
      <c r="J354"/>
      <c r="K354"/>
      <c r="L354"/>
      <c r="M354"/>
    </row>
    <row r="355" spans="2:13">
      <c r="B355"/>
      <c r="C355"/>
      <c r="D355"/>
      <c r="E355"/>
      <c r="F355"/>
      <c r="G355"/>
      <c r="H355"/>
      <c r="I355"/>
      <c r="J355"/>
      <c r="K355"/>
      <c r="L355"/>
      <c r="M355"/>
    </row>
    <row r="356" spans="2:13">
      <c r="B356"/>
      <c r="C356"/>
      <c r="D356"/>
      <c r="E356"/>
      <c r="F356"/>
      <c r="G356"/>
      <c r="H356"/>
      <c r="I356"/>
      <c r="J356"/>
      <c r="K356"/>
      <c r="L356"/>
      <c r="M356"/>
    </row>
    <row r="357" spans="2:13">
      <c r="B357"/>
      <c r="C357"/>
      <c r="D357"/>
      <c r="E357"/>
      <c r="F357"/>
      <c r="G357"/>
      <c r="H357"/>
      <c r="I357"/>
      <c r="J357"/>
      <c r="K357"/>
      <c r="L357"/>
      <c r="M357"/>
    </row>
    <row r="358" spans="2:13">
      <c r="B358"/>
      <c r="C358"/>
      <c r="D358"/>
      <c r="E358"/>
      <c r="F358"/>
      <c r="G358"/>
      <c r="H358"/>
      <c r="I358"/>
      <c r="J358"/>
      <c r="K358"/>
      <c r="L358"/>
      <c r="M358"/>
    </row>
    <row r="359" spans="2:13">
      <c r="B359"/>
      <c r="C359"/>
      <c r="D359"/>
      <c r="E359"/>
      <c r="F359"/>
      <c r="G359"/>
      <c r="H359"/>
      <c r="I359"/>
      <c r="J359"/>
      <c r="K359"/>
      <c r="L359"/>
      <c r="M359"/>
    </row>
    <row r="360" spans="2:13">
      <c r="B360"/>
      <c r="C360"/>
      <c r="D360"/>
      <c r="E360"/>
      <c r="F360"/>
      <c r="G360"/>
      <c r="H360"/>
      <c r="I360"/>
      <c r="J360"/>
      <c r="K360"/>
      <c r="L360"/>
      <c r="M360"/>
    </row>
    <row r="361" spans="2:13">
      <c r="B361"/>
      <c r="C361"/>
      <c r="D361"/>
      <c r="E361"/>
      <c r="F361"/>
      <c r="G361"/>
      <c r="H361"/>
      <c r="I361"/>
      <c r="J361"/>
      <c r="K361"/>
      <c r="L361"/>
      <c r="M361"/>
    </row>
    <row r="362" spans="2:13">
      <c r="B362"/>
      <c r="C362"/>
      <c r="D362"/>
      <c r="E362"/>
      <c r="F362"/>
      <c r="G362"/>
      <c r="H362"/>
      <c r="I362"/>
      <c r="J362"/>
      <c r="K362"/>
      <c r="L362"/>
      <c r="M362"/>
    </row>
    <row r="363" spans="2:13">
      <c r="B363"/>
      <c r="C363"/>
      <c r="D363"/>
      <c r="E363"/>
      <c r="F363"/>
      <c r="G363"/>
      <c r="H363"/>
      <c r="I363"/>
      <c r="J363"/>
      <c r="K363"/>
      <c r="L363"/>
      <c r="M363"/>
    </row>
    <row r="364" spans="2:13">
      <c r="B364"/>
      <c r="C364"/>
      <c r="D364"/>
      <c r="E364"/>
      <c r="F364"/>
      <c r="G364"/>
      <c r="H364"/>
      <c r="I364"/>
      <c r="J364"/>
      <c r="K364"/>
      <c r="L364"/>
      <c r="M364"/>
    </row>
    <row r="365" spans="2:13">
      <c r="B365"/>
      <c r="C365"/>
      <c r="D365"/>
      <c r="E365"/>
      <c r="F365"/>
      <c r="G365"/>
      <c r="H365"/>
      <c r="I365"/>
      <c r="J365"/>
      <c r="K365"/>
      <c r="L365"/>
      <c r="M365"/>
    </row>
    <row r="366" spans="2:13">
      <c r="B366"/>
      <c r="C366"/>
      <c r="D366"/>
      <c r="E366"/>
      <c r="F366"/>
      <c r="G366"/>
      <c r="H366"/>
      <c r="I366"/>
      <c r="J366"/>
      <c r="K366"/>
      <c r="L366"/>
      <c r="M366"/>
    </row>
    <row r="367" spans="2:13">
      <c r="B367"/>
      <c r="C367"/>
      <c r="D367"/>
      <c r="E367"/>
      <c r="F367"/>
      <c r="G367"/>
      <c r="H367"/>
      <c r="I367"/>
      <c r="J367"/>
      <c r="K367"/>
      <c r="L367"/>
      <c r="M367"/>
    </row>
    <row r="368" spans="2:13">
      <c r="B368"/>
      <c r="C368"/>
      <c r="D368"/>
      <c r="E368"/>
      <c r="F368"/>
      <c r="G368"/>
      <c r="H368"/>
      <c r="I368"/>
      <c r="J368"/>
      <c r="K368"/>
      <c r="L368"/>
      <c r="M368"/>
    </row>
    <row r="369" spans="2:13">
      <c r="B369"/>
      <c r="C369"/>
      <c r="D369"/>
      <c r="E369"/>
      <c r="F369"/>
      <c r="G369"/>
      <c r="H369"/>
      <c r="I369"/>
      <c r="J369"/>
      <c r="K369"/>
      <c r="L369"/>
      <c r="M369"/>
    </row>
    <row r="370" spans="2:13">
      <c r="B370"/>
      <c r="C370"/>
      <c r="D370"/>
      <c r="E370"/>
      <c r="F370"/>
      <c r="G370"/>
      <c r="H370"/>
      <c r="I370"/>
      <c r="J370"/>
      <c r="K370"/>
      <c r="L370"/>
      <c r="M370"/>
    </row>
    <row r="371" spans="2:13">
      <c r="B371"/>
      <c r="C371"/>
      <c r="D371"/>
      <c r="E371"/>
      <c r="F371"/>
      <c r="G371"/>
      <c r="H371"/>
      <c r="I371"/>
      <c r="J371"/>
      <c r="K371"/>
      <c r="L371"/>
      <c r="M371"/>
    </row>
    <row r="372" spans="2:13">
      <c r="B372"/>
      <c r="C372"/>
      <c r="D372"/>
      <c r="E372"/>
      <c r="F372"/>
      <c r="G372"/>
      <c r="H372"/>
      <c r="I372"/>
      <c r="J372"/>
      <c r="K372"/>
      <c r="L372"/>
      <c r="M372"/>
    </row>
    <row r="373" spans="2:13">
      <c r="B373"/>
      <c r="C373"/>
      <c r="D373"/>
      <c r="E373"/>
      <c r="F373"/>
      <c r="G373"/>
      <c r="H373"/>
      <c r="I373"/>
      <c r="J373"/>
      <c r="K373"/>
      <c r="L373"/>
      <c r="M373"/>
    </row>
    <row r="374" spans="2:13">
      <c r="B374"/>
      <c r="C374"/>
      <c r="D374"/>
      <c r="E374"/>
      <c r="F374"/>
      <c r="G374"/>
      <c r="H374"/>
      <c r="I374"/>
      <c r="J374"/>
      <c r="K374"/>
      <c r="L374"/>
      <c r="M374"/>
    </row>
    <row r="375" spans="2:13">
      <c r="B375"/>
      <c r="C375"/>
      <c r="D375"/>
      <c r="E375"/>
      <c r="F375"/>
      <c r="G375"/>
      <c r="H375"/>
      <c r="I375"/>
      <c r="J375"/>
      <c r="K375"/>
      <c r="L375"/>
      <c r="M375"/>
    </row>
    <row r="376" spans="2:13">
      <c r="B376"/>
      <c r="C376"/>
      <c r="D376"/>
      <c r="E376"/>
      <c r="F376"/>
      <c r="G376"/>
      <c r="H376"/>
      <c r="I376"/>
      <c r="J376"/>
      <c r="K376"/>
      <c r="L376"/>
      <c r="M376"/>
    </row>
    <row r="377" spans="2:13">
      <c r="B377"/>
      <c r="C377"/>
      <c r="D377"/>
      <c r="E377"/>
      <c r="F377"/>
      <c r="G377"/>
      <c r="H377"/>
      <c r="I377"/>
      <c r="J377"/>
      <c r="K377"/>
      <c r="L377"/>
      <c r="M377"/>
    </row>
    <row r="378" spans="2:13">
      <c r="B378"/>
      <c r="C378"/>
      <c r="D378"/>
      <c r="E378"/>
      <c r="F378"/>
      <c r="G378"/>
      <c r="H378"/>
      <c r="I378"/>
      <c r="J378"/>
      <c r="K378"/>
      <c r="L378"/>
      <c r="M378"/>
    </row>
    <row r="379" spans="2:13">
      <c r="B379"/>
      <c r="C379"/>
      <c r="D379"/>
      <c r="E379"/>
      <c r="F379"/>
      <c r="G379"/>
      <c r="H379"/>
      <c r="I379"/>
      <c r="J379"/>
      <c r="K379"/>
      <c r="L379"/>
      <c r="M379"/>
    </row>
    <row r="380" spans="2:13">
      <c r="B380"/>
      <c r="C380"/>
      <c r="D380"/>
      <c r="E380"/>
      <c r="F380"/>
      <c r="G380"/>
      <c r="H380"/>
      <c r="I380"/>
      <c r="J380"/>
      <c r="K380"/>
      <c r="L380"/>
      <c r="M380"/>
    </row>
    <row r="381" spans="2:13">
      <c r="B381"/>
      <c r="C381"/>
      <c r="D381"/>
      <c r="E381"/>
      <c r="F381"/>
      <c r="G381"/>
      <c r="H381"/>
      <c r="I381"/>
      <c r="J381"/>
      <c r="K381"/>
      <c r="L381"/>
      <c r="M381"/>
    </row>
    <row r="382" spans="2:13">
      <c r="B382"/>
      <c r="C382"/>
      <c r="D382"/>
      <c r="E382"/>
      <c r="F382"/>
      <c r="G382"/>
      <c r="H382"/>
      <c r="I382"/>
      <c r="J382"/>
      <c r="K382"/>
      <c r="L382"/>
      <c r="M382"/>
    </row>
    <row r="383" spans="2:13">
      <c r="B383"/>
      <c r="C383"/>
      <c r="D383"/>
      <c r="E383"/>
      <c r="F383"/>
      <c r="G383"/>
      <c r="H383"/>
      <c r="I383"/>
      <c r="J383"/>
      <c r="K383"/>
      <c r="L383"/>
      <c r="M383"/>
    </row>
    <row r="384" spans="2:13">
      <c r="B384"/>
      <c r="C384"/>
      <c r="D384"/>
      <c r="E384"/>
      <c r="F384"/>
      <c r="G384"/>
      <c r="H384"/>
      <c r="I384"/>
      <c r="J384"/>
      <c r="K384"/>
      <c r="L384"/>
      <c r="M384"/>
    </row>
    <row r="385" spans="2:13">
      <c r="B385"/>
      <c r="C385"/>
      <c r="D385"/>
      <c r="E385"/>
      <c r="F385"/>
      <c r="G385"/>
      <c r="H385"/>
      <c r="I385"/>
      <c r="J385"/>
      <c r="K385"/>
      <c r="L385"/>
      <c r="M385"/>
    </row>
    <row r="386" spans="2:13">
      <c r="B386"/>
      <c r="C386"/>
      <c r="D386"/>
      <c r="E386"/>
      <c r="F386"/>
      <c r="G386"/>
      <c r="H386"/>
      <c r="I386"/>
      <c r="J386"/>
      <c r="K386"/>
      <c r="L386"/>
      <c r="M386"/>
    </row>
    <row r="387" spans="2:13">
      <c r="B387"/>
      <c r="C387"/>
      <c r="D387"/>
      <c r="E387"/>
      <c r="F387"/>
      <c r="G387"/>
      <c r="H387"/>
      <c r="I387"/>
      <c r="J387"/>
      <c r="K387"/>
      <c r="L387"/>
      <c r="M387"/>
    </row>
    <row r="388" spans="2:13">
      <c r="B388"/>
      <c r="C388"/>
      <c r="D388"/>
      <c r="E388"/>
      <c r="F388"/>
      <c r="G388"/>
      <c r="H388"/>
      <c r="I388"/>
      <c r="J388"/>
      <c r="K388"/>
      <c r="L388"/>
      <c r="M388"/>
    </row>
    <row r="389" spans="2:13">
      <c r="B389"/>
      <c r="C389"/>
      <c r="D389"/>
      <c r="E389"/>
      <c r="F389"/>
      <c r="G389"/>
      <c r="H389"/>
      <c r="I389"/>
      <c r="J389"/>
      <c r="K389"/>
      <c r="L389"/>
      <c r="M389"/>
    </row>
    <row r="390" spans="2:13">
      <c r="B390"/>
      <c r="C390"/>
      <c r="D390"/>
      <c r="E390"/>
      <c r="F390"/>
      <c r="G390"/>
      <c r="H390"/>
      <c r="I390"/>
      <c r="J390"/>
      <c r="K390"/>
      <c r="L390"/>
      <c r="M390"/>
    </row>
    <row r="391" spans="2:13">
      <c r="B391"/>
      <c r="C391"/>
      <c r="D391"/>
      <c r="E391"/>
      <c r="F391"/>
      <c r="G391"/>
      <c r="H391"/>
      <c r="I391"/>
      <c r="J391"/>
      <c r="K391"/>
      <c r="L391"/>
      <c r="M391"/>
    </row>
    <row r="392" spans="2:13">
      <c r="B392"/>
      <c r="C392"/>
      <c r="D392"/>
      <c r="E392"/>
      <c r="F392"/>
      <c r="G392"/>
      <c r="H392"/>
      <c r="I392"/>
      <c r="J392"/>
      <c r="K392"/>
      <c r="L392"/>
      <c r="M392"/>
    </row>
    <row r="393" spans="2:13">
      <c r="B393"/>
      <c r="C393"/>
      <c r="D393"/>
      <c r="E393"/>
      <c r="F393"/>
      <c r="G393"/>
      <c r="H393"/>
      <c r="I393"/>
      <c r="J393"/>
      <c r="K393"/>
      <c r="L393"/>
      <c r="M393"/>
    </row>
    <row r="394" spans="2:13">
      <c r="B394"/>
      <c r="C394"/>
      <c r="D394"/>
      <c r="E394"/>
      <c r="F394"/>
      <c r="G394"/>
      <c r="H394"/>
      <c r="I394"/>
      <c r="J394"/>
      <c r="K394"/>
      <c r="L394"/>
      <c r="M394"/>
    </row>
    <row r="395" spans="2:13">
      <c r="B395"/>
      <c r="C395"/>
      <c r="D395"/>
      <c r="E395"/>
      <c r="F395"/>
      <c r="G395"/>
      <c r="H395"/>
      <c r="I395"/>
      <c r="J395"/>
      <c r="K395"/>
      <c r="L395"/>
      <c r="M395"/>
    </row>
    <row r="396" spans="2:13">
      <c r="B396"/>
      <c r="C396"/>
      <c r="D396"/>
      <c r="E396"/>
      <c r="F396"/>
      <c r="G396"/>
      <c r="H396"/>
      <c r="I396"/>
      <c r="J396"/>
      <c r="K396"/>
      <c r="L396"/>
      <c r="M396"/>
    </row>
    <row r="397" spans="2:13">
      <c r="B397"/>
      <c r="C397"/>
      <c r="D397"/>
      <c r="E397"/>
      <c r="F397"/>
      <c r="G397"/>
      <c r="H397"/>
      <c r="I397"/>
      <c r="J397"/>
      <c r="K397"/>
      <c r="L397"/>
      <c r="M397"/>
    </row>
    <row r="398" spans="2:13">
      <c r="B398"/>
      <c r="C398"/>
      <c r="D398"/>
      <c r="E398"/>
      <c r="F398"/>
      <c r="G398"/>
      <c r="H398"/>
      <c r="I398"/>
      <c r="J398"/>
      <c r="K398"/>
      <c r="L398"/>
      <c r="M398"/>
    </row>
    <row r="399" spans="2:13">
      <c r="B399"/>
      <c r="C399"/>
      <c r="D399"/>
      <c r="E399"/>
      <c r="F399"/>
      <c r="G399"/>
      <c r="H399"/>
      <c r="I399"/>
      <c r="J399"/>
      <c r="K399"/>
      <c r="L399"/>
      <c r="M399"/>
    </row>
    <row r="400" spans="2:13">
      <c r="B400"/>
      <c r="C400"/>
      <c r="D400"/>
      <c r="E400"/>
      <c r="F400"/>
      <c r="G400"/>
      <c r="H400"/>
      <c r="I400"/>
      <c r="J400"/>
      <c r="K400"/>
      <c r="L400"/>
      <c r="M400"/>
    </row>
    <row r="401" spans="2:13">
      <c r="B401"/>
      <c r="C401"/>
      <c r="D401"/>
      <c r="E401"/>
      <c r="F401"/>
      <c r="G401"/>
      <c r="H401"/>
      <c r="I401"/>
      <c r="J401"/>
      <c r="K401"/>
      <c r="L401"/>
      <c r="M401"/>
    </row>
    <row r="402" spans="2:13">
      <c r="B402"/>
      <c r="C402"/>
      <c r="D402"/>
      <c r="E402"/>
      <c r="F402"/>
      <c r="G402"/>
      <c r="H402"/>
      <c r="I402"/>
      <c r="J402"/>
      <c r="K402"/>
      <c r="L402"/>
      <c r="M402"/>
    </row>
    <row r="403" spans="2:13">
      <c r="B403"/>
      <c r="C403"/>
      <c r="D403"/>
      <c r="E403"/>
      <c r="F403"/>
      <c r="G403"/>
      <c r="H403"/>
      <c r="I403"/>
      <c r="J403"/>
      <c r="K403"/>
      <c r="L403"/>
      <c r="M403"/>
    </row>
    <row r="404" spans="2:13">
      <c r="B404"/>
      <c r="C404"/>
      <c r="D404"/>
      <c r="E404"/>
      <c r="F404"/>
      <c r="G404"/>
      <c r="H404"/>
      <c r="I404"/>
      <c r="J404"/>
      <c r="K404"/>
      <c r="L404"/>
      <c r="M404"/>
    </row>
    <row r="405" spans="2:13">
      <c r="B405"/>
      <c r="C405"/>
      <c r="D405"/>
      <c r="E405"/>
      <c r="F405"/>
      <c r="G405"/>
      <c r="H405"/>
      <c r="I405"/>
      <c r="J405"/>
      <c r="K405"/>
      <c r="L405"/>
      <c r="M405"/>
    </row>
    <row r="406" spans="2:13">
      <c r="B406"/>
      <c r="C406"/>
      <c r="D406"/>
      <c r="E406"/>
      <c r="F406"/>
      <c r="G406"/>
      <c r="H406"/>
      <c r="I406"/>
      <c r="J406"/>
      <c r="K406"/>
      <c r="L406"/>
      <c r="M406"/>
    </row>
    <row r="407" spans="2:13">
      <c r="B407"/>
      <c r="C407"/>
      <c r="D407"/>
      <c r="E407"/>
      <c r="F407"/>
      <c r="G407"/>
      <c r="H407"/>
      <c r="I407"/>
      <c r="J407"/>
      <c r="K407"/>
      <c r="L407"/>
      <c r="M407"/>
    </row>
    <row r="408" spans="2:13">
      <c r="B408"/>
      <c r="C408"/>
      <c r="D408"/>
      <c r="E408"/>
      <c r="F408"/>
      <c r="G408"/>
      <c r="H408"/>
      <c r="I408"/>
      <c r="J408"/>
      <c r="K408"/>
      <c r="L408"/>
      <c r="M408"/>
    </row>
    <row r="409" spans="2:13">
      <c r="B409"/>
      <c r="C409"/>
      <c r="D409"/>
      <c r="E409"/>
      <c r="F409"/>
      <c r="G409"/>
      <c r="H409"/>
      <c r="I409"/>
      <c r="J409"/>
      <c r="K409"/>
      <c r="L409"/>
      <c r="M409"/>
    </row>
    <row r="410" spans="2:13">
      <c r="B410"/>
      <c r="C410"/>
      <c r="D410"/>
      <c r="E410"/>
      <c r="F410"/>
      <c r="G410"/>
      <c r="H410"/>
      <c r="I410"/>
      <c r="J410"/>
      <c r="K410"/>
      <c r="L410"/>
      <c r="M410"/>
    </row>
    <row r="411" spans="2:13">
      <c r="B411"/>
      <c r="C411"/>
      <c r="D411"/>
      <c r="E411"/>
      <c r="F411"/>
      <c r="G411"/>
      <c r="H411"/>
      <c r="I411"/>
      <c r="J411"/>
      <c r="K411"/>
      <c r="L411"/>
      <c r="M411"/>
    </row>
    <row r="412" spans="2:13">
      <c r="B412"/>
      <c r="C412"/>
      <c r="D412"/>
      <c r="E412"/>
      <c r="F412"/>
      <c r="G412"/>
      <c r="H412"/>
      <c r="I412"/>
      <c r="J412"/>
      <c r="K412"/>
      <c r="L412"/>
      <c r="M412"/>
    </row>
    <row r="413" spans="2:13">
      <c r="B413"/>
      <c r="C413"/>
      <c r="D413"/>
      <c r="E413"/>
      <c r="F413"/>
      <c r="G413"/>
      <c r="H413"/>
      <c r="I413"/>
      <c r="J413"/>
      <c r="K413"/>
      <c r="L413"/>
      <c r="M413"/>
    </row>
    <row r="414" spans="2:13">
      <c r="B414"/>
      <c r="C414"/>
      <c r="D414"/>
      <c r="E414"/>
      <c r="F414"/>
      <c r="G414"/>
      <c r="H414"/>
      <c r="I414"/>
      <c r="J414"/>
      <c r="K414"/>
      <c r="L414"/>
      <c r="M414"/>
    </row>
    <row r="415" spans="2:13">
      <c r="B415"/>
      <c r="C415"/>
      <c r="D415"/>
      <c r="E415"/>
      <c r="F415"/>
      <c r="G415"/>
      <c r="H415"/>
      <c r="I415"/>
      <c r="J415"/>
      <c r="K415"/>
      <c r="L415"/>
      <c r="M415"/>
    </row>
    <row r="416" spans="2:13">
      <c r="B416"/>
      <c r="C416"/>
      <c r="D416"/>
      <c r="E416"/>
      <c r="F416"/>
      <c r="G416"/>
      <c r="H416"/>
      <c r="I416"/>
      <c r="J416"/>
      <c r="K416"/>
      <c r="L416"/>
      <c r="M416"/>
    </row>
    <row r="417" spans="2:13">
      <c r="B417"/>
      <c r="C417"/>
      <c r="D417"/>
      <c r="E417"/>
      <c r="F417"/>
      <c r="G417"/>
      <c r="H417"/>
      <c r="I417"/>
      <c r="J417"/>
      <c r="K417"/>
      <c r="L417"/>
      <c r="M417"/>
    </row>
    <row r="418" spans="2:13">
      <c r="B418"/>
      <c r="C418"/>
      <c r="D418"/>
      <c r="E418"/>
      <c r="F418"/>
      <c r="G418"/>
      <c r="H418"/>
      <c r="I418"/>
      <c r="J418"/>
      <c r="K418"/>
      <c r="L418"/>
      <c r="M418"/>
    </row>
    <row r="419" spans="2:13">
      <c r="B419"/>
      <c r="C419"/>
      <c r="D419"/>
      <c r="E419"/>
      <c r="F419"/>
      <c r="G419"/>
      <c r="H419"/>
      <c r="I419"/>
      <c r="J419"/>
      <c r="K419"/>
      <c r="L419"/>
      <c r="M419"/>
    </row>
    <row r="420" spans="2:13">
      <c r="B420"/>
      <c r="C420"/>
      <c r="D420"/>
      <c r="E420"/>
      <c r="F420"/>
      <c r="G420"/>
      <c r="H420"/>
      <c r="I420"/>
      <c r="J420"/>
      <c r="K420"/>
      <c r="L420"/>
      <c r="M420"/>
    </row>
    <row r="421" spans="2:13">
      <c r="B421"/>
      <c r="C421"/>
      <c r="D421"/>
      <c r="E421"/>
      <c r="F421"/>
      <c r="G421"/>
      <c r="H421"/>
      <c r="I421"/>
      <c r="J421"/>
      <c r="K421"/>
      <c r="L421"/>
      <c r="M421"/>
    </row>
    <row r="422" spans="2:13">
      <c r="B422"/>
      <c r="C422"/>
      <c r="D422"/>
      <c r="E422"/>
      <c r="F422"/>
      <c r="G422"/>
      <c r="H422"/>
      <c r="I422"/>
      <c r="J422"/>
      <c r="K422"/>
      <c r="L422"/>
      <c r="M422"/>
    </row>
    <row r="423" spans="2:13">
      <c r="B423"/>
      <c r="C423"/>
      <c r="D423"/>
      <c r="E423"/>
      <c r="F423"/>
      <c r="G423"/>
      <c r="H423"/>
      <c r="I423"/>
      <c r="J423"/>
      <c r="K423"/>
      <c r="L423"/>
      <c r="M423"/>
    </row>
    <row r="424" spans="2:13">
      <c r="B424"/>
      <c r="C424"/>
      <c r="D424"/>
      <c r="E424"/>
      <c r="F424"/>
      <c r="G424"/>
      <c r="H424"/>
      <c r="I424"/>
      <c r="J424"/>
      <c r="K424"/>
      <c r="L424"/>
      <c r="M424"/>
    </row>
    <row r="425" spans="2:13">
      <c r="B425"/>
      <c r="C425"/>
      <c r="D425"/>
      <c r="E425"/>
      <c r="F425"/>
      <c r="G425"/>
      <c r="H425"/>
      <c r="I425"/>
      <c r="J425"/>
      <c r="K425"/>
      <c r="L425"/>
      <c r="M425"/>
    </row>
    <row r="426" spans="2:13">
      <c r="B426"/>
      <c r="C426"/>
      <c r="D426"/>
      <c r="E426"/>
      <c r="F426"/>
      <c r="G426"/>
      <c r="H426"/>
      <c r="I426"/>
      <c r="J426"/>
      <c r="K426"/>
      <c r="L426"/>
      <c r="M426"/>
    </row>
    <row r="427" spans="2:13">
      <c r="B427"/>
      <c r="C427"/>
      <c r="D427"/>
      <c r="E427"/>
      <c r="F427"/>
      <c r="G427"/>
      <c r="H427"/>
      <c r="I427"/>
      <c r="J427"/>
      <c r="K427"/>
      <c r="L427"/>
      <c r="M427"/>
    </row>
    <row r="428" spans="2:13">
      <c r="B428"/>
      <c r="C428"/>
      <c r="D428"/>
      <c r="E428"/>
      <c r="F428"/>
      <c r="G428"/>
      <c r="H428"/>
      <c r="I428"/>
      <c r="J428"/>
      <c r="K428"/>
      <c r="L428"/>
      <c r="M428"/>
    </row>
    <row r="429" spans="2:13">
      <c r="B429"/>
      <c r="C429"/>
      <c r="D429"/>
      <c r="E429"/>
      <c r="F429"/>
      <c r="G429"/>
      <c r="H429"/>
      <c r="I429"/>
      <c r="J429"/>
      <c r="K429"/>
      <c r="L429"/>
      <c r="M429"/>
    </row>
    <row r="430" spans="2:13">
      <c r="B430"/>
      <c r="C430"/>
      <c r="D430"/>
      <c r="E430"/>
      <c r="F430"/>
      <c r="G430"/>
      <c r="H430"/>
      <c r="I430"/>
      <c r="J430"/>
      <c r="K430"/>
      <c r="L430"/>
      <c r="M430"/>
    </row>
    <row r="431" spans="2:13">
      <c r="B431"/>
      <c r="C431"/>
      <c r="D431"/>
      <c r="E431"/>
      <c r="F431"/>
      <c r="G431"/>
      <c r="H431"/>
      <c r="I431"/>
      <c r="J431"/>
      <c r="K431"/>
      <c r="L431"/>
      <c r="M431"/>
    </row>
    <row r="432" spans="2:13">
      <c r="B432"/>
      <c r="C432"/>
      <c r="D432"/>
      <c r="E432"/>
      <c r="F432"/>
      <c r="G432"/>
      <c r="H432"/>
      <c r="I432"/>
      <c r="J432"/>
      <c r="K432"/>
      <c r="L432"/>
      <c r="M432"/>
    </row>
    <row r="433" spans="2:13">
      <c r="B433"/>
      <c r="C433"/>
      <c r="D433"/>
      <c r="E433"/>
      <c r="F433"/>
      <c r="G433"/>
      <c r="H433"/>
      <c r="I433"/>
      <c r="J433"/>
      <c r="K433"/>
      <c r="L433"/>
      <c r="M433"/>
    </row>
    <row r="434" spans="2:13">
      <c r="B434"/>
      <c r="C434"/>
      <c r="D434"/>
      <c r="E434"/>
      <c r="F434"/>
      <c r="G434"/>
      <c r="H434"/>
      <c r="I434"/>
      <c r="J434"/>
      <c r="K434"/>
      <c r="L434"/>
      <c r="M434"/>
    </row>
    <row r="435" spans="2:13">
      <c r="B435"/>
      <c r="C435"/>
      <c r="D435"/>
      <c r="E435"/>
      <c r="F435"/>
      <c r="G435"/>
      <c r="H435"/>
      <c r="I435"/>
      <c r="J435"/>
      <c r="K435"/>
      <c r="L435"/>
      <c r="M435"/>
    </row>
    <row r="436" spans="2:13">
      <c r="B436"/>
      <c r="C436"/>
      <c r="D436"/>
      <c r="E436"/>
      <c r="F436"/>
      <c r="G436"/>
      <c r="H436"/>
      <c r="I436"/>
      <c r="J436"/>
      <c r="K436"/>
      <c r="L436"/>
      <c r="M436"/>
    </row>
    <row r="437" spans="2:13">
      <c r="B437"/>
      <c r="C437"/>
      <c r="D437"/>
      <c r="E437"/>
      <c r="F437"/>
      <c r="G437"/>
      <c r="H437"/>
      <c r="I437"/>
      <c r="J437"/>
      <c r="K437"/>
      <c r="L437"/>
      <c r="M437"/>
    </row>
    <row r="438" spans="2:13">
      <c r="B438"/>
      <c r="C438"/>
      <c r="D438"/>
      <c r="E438"/>
      <c r="F438"/>
      <c r="G438"/>
      <c r="H438"/>
      <c r="I438"/>
      <c r="J438"/>
      <c r="K438"/>
      <c r="L438"/>
      <c r="M438"/>
    </row>
    <row r="439" spans="2:13">
      <c r="B439"/>
      <c r="C439"/>
      <c r="D439"/>
      <c r="E439"/>
      <c r="F439"/>
      <c r="G439"/>
      <c r="H439"/>
      <c r="I439"/>
      <c r="J439"/>
      <c r="K439"/>
      <c r="L439"/>
      <c r="M439"/>
    </row>
    <row r="440" spans="2:13">
      <c r="B440"/>
      <c r="C440"/>
      <c r="D440"/>
      <c r="E440"/>
      <c r="F440"/>
      <c r="G440"/>
      <c r="H440"/>
      <c r="I440"/>
      <c r="J440"/>
      <c r="K440"/>
      <c r="L440"/>
      <c r="M440"/>
    </row>
    <row r="441" spans="2:13">
      <c r="B441"/>
      <c r="C441"/>
      <c r="D441"/>
      <c r="E441"/>
      <c r="F441"/>
      <c r="G441"/>
      <c r="H441"/>
      <c r="I441"/>
      <c r="J441"/>
      <c r="K441"/>
      <c r="L441"/>
      <c r="M441"/>
    </row>
    <row r="442" spans="2:13">
      <c r="B442"/>
      <c r="C442"/>
      <c r="D442"/>
      <c r="E442"/>
      <c r="F442"/>
      <c r="G442"/>
      <c r="H442"/>
      <c r="I442"/>
      <c r="J442"/>
      <c r="K442"/>
      <c r="L442"/>
      <c r="M442"/>
    </row>
    <row r="443" spans="2:13">
      <c r="B443"/>
      <c r="C443"/>
      <c r="D443"/>
      <c r="E443"/>
      <c r="F443"/>
      <c r="G443"/>
      <c r="H443"/>
      <c r="I443"/>
      <c r="J443"/>
      <c r="K443"/>
      <c r="L443"/>
      <c r="M443"/>
    </row>
    <row r="444" spans="2:13">
      <c r="B444"/>
      <c r="C444"/>
      <c r="D444"/>
      <c r="E444"/>
      <c r="F444"/>
      <c r="G444"/>
      <c r="H444"/>
      <c r="I444"/>
      <c r="J444"/>
      <c r="K444"/>
      <c r="L444"/>
      <c r="M444"/>
    </row>
    <row r="445" spans="2:13">
      <c r="B445"/>
      <c r="C445"/>
      <c r="D445"/>
      <c r="E445"/>
      <c r="F445"/>
      <c r="G445"/>
      <c r="H445"/>
      <c r="I445"/>
      <c r="J445"/>
      <c r="K445"/>
      <c r="L445"/>
      <c r="M445"/>
    </row>
    <row r="446" spans="2:13">
      <c r="B446"/>
      <c r="C446"/>
      <c r="D446"/>
      <c r="E446"/>
      <c r="F446"/>
      <c r="G446"/>
      <c r="H446"/>
      <c r="I446"/>
      <c r="J446"/>
      <c r="K446"/>
      <c r="L446"/>
      <c r="M446"/>
    </row>
    <row r="447" spans="2:13">
      <c r="B447"/>
      <c r="C447"/>
      <c r="D447"/>
      <c r="E447"/>
      <c r="F447"/>
      <c r="G447"/>
      <c r="H447"/>
      <c r="I447"/>
      <c r="J447"/>
      <c r="K447"/>
      <c r="L447"/>
      <c r="M447"/>
    </row>
    <row r="448" spans="2:13">
      <c r="B448"/>
      <c r="C448"/>
      <c r="D448"/>
      <c r="E448"/>
      <c r="F448"/>
      <c r="G448"/>
      <c r="H448"/>
      <c r="I448"/>
      <c r="J448"/>
      <c r="K448"/>
      <c r="L448"/>
      <c r="M448"/>
    </row>
    <row r="449" spans="2:13">
      <c r="B449"/>
      <c r="C449"/>
      <c r="D449"/>
      <c r="E449"/>
      <c r="F449"/>
      <c r="G449"/>
      <c r="H449"/>
      <c r="I449"/>
      <c r="J449"/>
      <c r="K449"/>
      <c r="L449"/>
      <c r="M449"/>
    </row>
    <row r="450" spans="2:13">
      <c r="B450"/>
      <c r="C450"/>
      <c r="D450"/>
      <c r="E450"/>
      <c r="F450"/>
      <c r="G450"/>
      <c r="H450"/>
      <c r="I450"/>
      <c r="J450"/>
      <c r="K450"/>
      <c r="L450"/>
      <c r="M450"/>
    </row>
    <row r="451" spans="2:13">
      <c r="B451"/>
      <c r="C451"/>
      <c r="D451"/>
      <c r="E451"/>
      <c r="F451"/>
      <c r="G451"/>
      <c r="H451"/>
      <c r="I451"/>
      <c r="J451"/>
      <c r="K451"/>
      <c r="L451"/>
      <c r="M451"/>
    </row>
    <row r="452" spans="2:13">
      <c r="B452"/>
      <c r="C452"/>
      <c r="D452"/>
      <c r="E452"/>
      <c r="F452"/>
      <c r="G452"/>
      <c r="H452"/>
      <c r="I452"/>
      <c r="J452"/>
      <c r="K452"/>
      <c r="L452"/>
      <c r="M452"/>
    </row>
    <row r="453" spans="2:13">
      <c r="B453"/>
      <c r="C453"/>
      <c r="D453"/>
      <c r="E453"/>
      <c r="F453"/>
      <c r="G453"/>
      <c r="H453"/>
      <c r="I453"/>
      <c r="J453"/>
      <c r="K453"/>
      <c r="L453"/>
      <c r="M453"/>
    </row>
    <row r="454" spans="2:13">
      <c r="B454"/>
      <c r="C454"/>
      <c r="D454"/>
      <c r="E454"/>
      <c r="F454"/>
      <c r="G454"/>
      <c r="H454"/>
      <c r="I454"/>
      <c r="J454"/>
      <c r="K454"/>
      <c r="L454"/>
      <c r="M454"/>
    </row>
    <row r="455" spans="2:13">
      <c r="B455"/>
      <c r="C455"/>
      <c r="D455"/>
      <c r="E455"/>
      <c r="F455"/>
      <c r="G455"/>
      <c r="H455"/>
      <c r="I455"/>
      <c r="J455"/>
      <c r="K455"/>
      <c r="L455"/>
      <c r="M455"/>
    </row>
    <row r="456" spans="2:13">
      <c r="B456"/>
      <c r="C456"/>
      <c r="D456"/>
      <c r="E456"/>
      <c r="F456"/>
      <c r="G456"/>
      <c r="H456"/>
      <c r="I456"/>
      <c r="J456"/>
      <c r="K456"/>
      <c r="L456"/>
      <c r="M456"/>
    </row>
    <row r="457" spans="2:13">
      <c r="B457"/>
      <c r="C457"/>
      <c r="D457"/>
      <c r="E457"/>
      <c r="F457"/>
      <c r="G457"/>
      <c r="H457"/>
      <c r="I457"/>
      <c r="J457"/>
      <c r="K457"/>
      <c r="L457"/>
      <c r="M457"/>
    </row>
    <row r="458" spans="2:13">
      <c r="B458"/>
      <c r="C458"/>
      <c r="D458"/>
      <c r="E458"/>
      <c r="F458"/>
      <c r="G458"/>
      <c r="H458"/>
      <c r="I458"/>
      <c r="J458"/>
      <c r="K458"/>
      <c r="L458"/>
      <c r="M458"/>
    </row>
    <row r="459" spans="2:13">
      <c r="B459"/>
      <c r="C459"/>
      <c r="D459"/>
      <c r="E459"/>
      <c r="F459"/>
      <c r="G459"/>
      <c r="H459"/>
      <c r="I459"/>
      <c r="J459"/>
      <c r="K459"/>
      <c r="L459"/>
      <c r="M459"/>
    </row>
    <row r="460" spans="2:13">
      <c r="B460"/>
      <c r="C460"/>
      <c r="D460"/>
      <c r="E460"/>
      <c r="F460"/>
      <c r="G460"/>
      <c r="H460"/>
      <c r="I460"/>
      <c r="J460"/>
      <c r="K460"/>
      <c r="L460"/>
      <c r="M460"/>
    </row>
    <row r="461" spans="2:13">
      <c r="B461"/>
      <c r="C461"/>
      <c r="D461"/>
      <c r="E461"/>
      <c r="F461"/>
      <c r="G461"/>
      <c r="H461"/>
      <c r="I461"/>
      <c r="J461"/>
      <c r="K461"/>
      <c r="L461"/>
      <c r="M461"/>
    </row>
    <row r="462" spans="2:13">
      <c r="B462"/>
      <c r="C462"/>
      <c r="D462"/>
      <c r="E462"/>
      <c r="F462"/>
      <c r="G462"/>
      <c r="H462"/>
      <c r="I462"/>
      <c r="J462"/>
      <c r="K462"/>
      <c r="L462"/>
      <c r="M462"/>
    </row>
    <row r="463" spans="2:13">
      <c r="B463"/>
      <c r="C463"/>
      <c r="D463"/>
      <c r="E463"/>
      <c r="F463"/>
      <c r="G463"/>
      <c r="H463"/>
      <c r="I463"/>
      <c r="J463"/>
      <c r="K463"/>
      <c r="L463"/>
      <c r="M463"/>
    </row>
    <row r="464" spans="2:13">
      <c r="B464"/>
      <c r="C464"/>
      <c r="D464"/>
      <c r="E464"/>
      <c r="F464"/>
      <c r="G464"/>
      <c r="H464"/>
      <c r="I464"/>
      <c r="J464"/>
      <c r="K464"/>
      <c r="L464"/>
      <c r="M464"/>
    </row>
    <row r="465" spans="2:13">
      <c r="B465"/>
      <c r="C465"/>
      <c r="D465"/>
      <c r="E465"/>
      <c r="F465"/>
      <c r="G465"/>
      <c r="H465"/>
      <c r="I465"/>
      <c r="J465"/>
      <c r="K465"/>
      <c r="L465"/>
      <c r="M465"/>
    </row>
    <row r="466" spans="2:13">
      <c r="B466"/>
      <c r="C466"/>
      <c r="D466"/>
      <c r="E466"/>
      <c r="F466"/>
      <c r="G466"/>
      <c r="H466"/>
      <c r="I466"/>
      <c r="J466"/>
      <c r="K466"/>
      <c r="L466"/>
      <c r="M466"/>
    </row>
    <row r="467" spans="2:13">
      <c r="B467"/>
      <c r="C467"/>
      <c r="D467"/>
      <c r="E467"/>
      <c r="F467"/>
      <c r="G467"/>
      <c r="H467"/>
      <c r="I467"/>
      <c r="J467"/>
      <c r="K467"/>
      <c r="L467"/>
      <c r="M467"/>
    </row>
    <row r="468" spans="2:13">
      <c r="B468"/>
      <c r="C468"/>
      <c r="D468"/>
      <c r="E468"/>
      <c r="F468"/>
      <c r="G468"/>
      <c r="H468"/>
      <c r="I468"/>
      <c r="J468"/>
      <c r="K468"/>
      <c r="L468"/>
      <c r="M468"/>
    </row>
    <row r="469" spans="2:13">
      <c r="B469"/>
      <c r="C469"/>
      <c r="D469"/>
      <c r="E469"/>
      <c r="F469"/>
      <c r="G469"/>
      <c r="H469"/>
      <c r="I469"/>
      <c r="J469"/>
      <c r="K469"/>
      <c r="L469"/>
      <c r="M469"/>
    </row>
    <row r="470" spans="2:13">
      <c r="B470"/>
      <c r="C470"/>
      <c r="D470"/>
      <c r="E470"/>
      <c r="F470"/>
      <c r="G470"/>
      <c r="J470"/>
      <c r="K470"/>
      <c r="L470"/>
      <c r="M470"/>
    </row>
    <row r="471" spans="2:13">
      <c r="B471"/>
      <c r="C471"/>
      <c r="D471"/>
      <c r="E471"/>
      <c r="F471"/>
      <c r="G471"/>
      <c r="J471"/>
      <c r="K471"/>
      <c r="L471"/>
      <c r="M471"/>
    </row>
    <row r="472" spans="2:13">
      <c r="B472"/>
      <c r="C472"/>
      <c r="D472"/>
      <c r="E472"/>
      <c r="F472"/>
      <c r="G472"/>
      <c r="J472"/>
      <c r="K472"/>
      <c r="L472"/>
      <c r="M472"/>
    </row>
    <row r="473" spans="2:13">
      <c r="B473"/>
      <c r="C473"/>
      <c r="D473"/>
      <c r="E473"/>
      <c r="F473"/>
      <c r="G473"/>
      <c r="J473"/>
      <c r="K473"/>
      <c r="L473"/>
      <c r="M473"/>
    </row>
    <row r="474" spans="2:13">
      <c r="B474"/>
      <c r="C474"/>
      <c r="D474"/>
      <c r="E474"/>
      <c r="F474"/>
      <c r="G474"/>
      <c r="J474"/>
      <c r="K474"/>
      <c r="L474"/>
      <c r="M474"/>
    </row>
    <row r="475" spans="2:13">
      <c r="B475"/>
      <c r="C475"/>
      <c r="D475"/>
      <c r="E475"/>
      <c r="F475"/>
      <c r="G475"/>
      <c r="J475"/>
      <c r="K475"/>
      <c r="L475"/>
      <c r="M475"/>
    </row>
    <row r="476" spans="2:13">
      <c r="B476"/>
      <c r="C476"/>
      <c r="D476"/>
      <c r="E476"/>
      <c r="F476"/>
      <c r="G476"/>
      <c r="J476"/>
      <c r="K476"/>
      <c r="L476"/>
      <c r="M476"/>
    </row>
    <row r="477" spans="2:13">
      <c r="B477"/>
      <c r="C477"/>
      <c r="D477"/>
      <c r="E477"/>
      <c r="F477"/>
      <c r="G477"/>
      <c r="L477"/>
      <c r="M477"/>
    </row>
    <row r="478" spans="2:13">
      <c r="B478"/>
      <c r="C478"/>
      <c r="D478"/>
      <c r="E478"/>
      <c r="F478"/>
      <c r="G478"/>
      <c r="L478"/>
      <c r="M478"/>
    </row>
    <row r="479" spans="2:13">
      <c r="B479"/>
      <c r="C479"/>
      <c r="D479"/>
      <c r="E479"/>
      <c r="F479"/>
      <c r="G479"/>
      <c r="L479"/>
      <c r="M479"/>
    </row>
    <row r="480" spans="2:13">
      <c r="B480"/>
      <c r="C480"/>
      <c r="D480"/>
      <c r="E480"/>
      <c r="F480"/>
      <c r="G480"/>
      <c r="L480"/>
      <c r="M480"/>
    </row>
    <row r="481" spans="2:13">
      <c r="B481"/>
      <c r="C481"/>
      <c r="D481"/>
      <c r="E481"/>
      <c r="F481"/>
      <c r="G481"/>
      <c r="L481"/>
      <c r="M481"/>
    </row>
    <row r="482" spans="2:13">
      <c r="B482"/>
      <c r="C482"/>
      <c r="D482"/>
      <c r="E482"/>
      <c r="F482"/>
      <c r="G482"/>
      <c r="L482"/>
      <c r="M482"/>
    </row>
    <row r="483" spans="2:13">
      <c r="B483"/>
      <c r="C483"/>
      <c r="D483"/>
      <c r="E483"/>
      <c r="F483"/>
      <c r="G483"/>
      <c r="L483"/>
      <c r="M483"/>
    </row>
    <row r="484" spans="2:13">
      <c r="B484"/>
      <c r="C484"/>
      <c r="D484"/>
      <c r="E484"/>
      <c r="F484"/>
      <c r="G484"/>
      <c r="L484"/>
      <c r="M484"/>
    </row>
    <row r="485" spans="2:13">
      <c r="B485"/>
      <c r="C485"/>
      <c r="D485"/>
      <c r="E485"/>
      <c r="L485"/>
      <c r="M485"/>
    </row>
    <row r="486" spans="2:13">
      <c r="B486"/>
      <c r="C486"/>
      <c r="D486"/>
      <c r="E486"/>
      <c r="L486"/>
      <c r="M486"/>
    </row>
    <row r="487" spans="2:13">
      <c r="B487"/>
      <c r="C487"/>
      <c r="D487"/>
      <c r="E487"/>
      <c r="L487"/>
      <c r="M487"/>
    </row>
    <row r="488" spans="2:13">
      <c r="B488"/>
      <c r="C488"/>
      <c r="D488"/>
      <c r="E488"/>
      <c r="L488"/>
      <c r="M488"/>
    </row>
    <row r="489" spans="2:13">
      <c r="B489"/>
      <c r="C489"/>
      <c r="D489"/>
      <c r="E489"/>
      <c r="L489"/>
      <c r="M489"/>
    </row>
    <row r="490" spans="2:13">
      <c r="B490"/>
      <c r="C490"/>
      <c r="D490"/>
      <c r="E490"/>
      <c r="L490"/>
      <c r="M490"/>
    </row>
    <row r="491" spans="2:13">
      <c r="C491"/>
      <c r="D491"/>
      <c r="E491"/>
      <c r="L491"/>
      <c r="M491"/>
    </row>
    <row r="492" spans="2:13">
      <c r="C492"/>
      <c r="D492"/>
      <c r="E492"/>
      <c r="L492"/>
      <c r="M492"/>
    </row>
    <row r="493" spans="2:13">
      <c r="C493"/>
      <c r="D493"/>
      <c r="E493"/>
      <c r="L493"/>
      <c r="M493"/>
    </row>
    <row r="494" spans="2:13">
      <c r="C494"/>
      <c r="D494"/>
      <c r="E494"/>
      <c r="L494"/>
      <c r="M494"/>
    </row>
    <row r="495" spans="2:13">
      <c r="C495"/>
      <c r="D495"/>
      <c r="L495"/>
      <c r="M495"/>
    </row>
    <row r="496" spans="2:13">
      <c r="L496"/>
      <c r="M496"/>
    </row>
    <row r="497" spans="12:13">
      <c r="L497"/>
      <c r="M497"/>
    </row>
    <row r="498" spans="12:13">
      <c r="L498"/>
      <c r="M498"/>
    </row>
    <row r="499" spans="12:13">
      <c r="L499"/>
      <c r="M499"/>
    </row>
    <row r="500" spans="12:13">
      <c r="L500"/>
      <c r="M500"/>
    </row>
    <row r="501" spans="12:13">
      <c r="L501"/>
      <c r="M501"/>
    </row>
    <row r="502" spans="12:13">
      <c r="L502"/>
      <c r="M502"/>
    </row>
    <row r="503" spans="12:13">
      <c r="L503"/>
      <c r="M503"/>
    </row>
    <row r="504" spans="12:13">
      <c r="L504"/>
      <c r="M504"/>
    </row>
    <row r="505" spans="12:13">
      <c r="L505"/>
      <c r="M505"/>
    </row>
    <row r="506" spans="12:13">
      <c r="L506"/>
      <c r="M506"/>
    </row>
    <row r="507" spans="12:13">
      <c r="L507"/>
      <c r="M507"/>
    </row>
    <row r="508" spans="12:13">
      <c r="L508"/>
      <c r="M508"/>
    </row>
    <row r="509" spans="12:13">
      <c r="L509"/>
      <c r="M509"/>
    </row>
  </sheetData>
  <mergeCells count="71">
    <mergeCell ref="M51:O51"/>
    <mergeCell ref="D11:E11"/>
    <mergeCell ref="F10:G10"/>
    <mergeCell ref="B51:E51"/>
    <mergeCell ref="F11:G11"/>
    <mergeCell ref="L25:L29"/>
    <mergeCell ref="H30:I30"/>
    <mergeCell ref="F30:G30"/>
    <mergeCell ref="L20:L24"/>
    <mergeCell ref="L15:L19"/>
    <mergeCell ref="J14:K14"/>
    <mergeCell ref="B52:E52"/>
    <mergeCell ref="F2:G2"/>
    <mergeCell ref="D2:E2"/>
    <mergeCell ref="F3:G3"/>
    <mergeCell ref="F4:G4"/>
    <mergeCell ref="D10:E10"/>
    <mergeCell ref="D7:E7"/>
    <mergeCell ref="F7:G7"/>
    <mergeCell ref="F8:G8"/>
    <mergeCell ref="A12:B12"/>
    <mergeCell ref="D14:E14"/>
    <mergeCell ref="F14:G14"/>
    <mergeCell ref="A15:B15"/>
    <mergeCell ref="B29:I29"/>
    <mergeCell ref="B30:C30"/>
    <mergeCell ref="D30:E30"/>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J7:K7"/>
    <mergeCell ref="J8:K8"/>
    <mergeCell ref="H3:I3"/>
    <mergeCell ref="H4:I4"/>
    <mergeCell ref="H5:I5"/>
    <mergeCell ref="H6:I6"/>
    <mergeCell ref="H8:I8"/>
    <mergeCell ref="J3:K3"/>
    <mergeCell ref="J4:K4"/>
    <mergeCell ref="J5:K5"/>
    <mergeCell ref="J6:K6"/>
    <mergeCell ref="H7:I7"/>
    <mergeCell ref="F52:I52"/>
    <mergeCell ref="F51:I5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s>
  <dataValidations count="1">
    <dataValidation type="list" allowBlank="1" showInputMessage="1" showErrorMessage="1" sqref="M52:N53 N55:N56 N63:N67 N59:O59 M54:M67 N60:N61" xr:uid="{B43990B9-D233-4A22-B71A-E62116AEA47E}">
      <formula1>IDS</formula1>
    </dataValidation>
  </dataValidation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M769"/>
  <sheetViews>
    <sheetView topLeftCell="A605" workbookViewId="0">
      <selection activeCell="A626" sqref="A626"/>
    </sheetView>
  </sheetViews>
  <sheetFormatPr baseColWidth="10" defaultRowHeight="15"/>
  <cols>
    <col min="1" max="1" width="24.7109375" style="152" customWidth="1"/>
    <col min="2" max="2" width="34.7109375" customWidth="1"/>
    <col min="3" max="3" width="11.42578125" style="130"/>
    <col min="4" max="4" width="16" style="181" customWidth="1"/>
    <col min="5" max="5" width="22" customWidth="1"/>
    <col min="6" max="6" width="8.7109375" customWidth="1"/>
    <col min="7" max="7" width="8.7109375" style="127" customWidth="1"/>
    <col min="8" max="8" width="22" style="127" customWidth="1"/>
    <col min="9" max="10" width="8.7109375" style="127" customWidth="1"/>
    <col min="11" max="11" width="22" style="127" customWidth="1"/>
    <col min="12" max="13" width="8.7109375" style="127" customWidth="1"/>
    <col min="14" max="14" width="22" style="127" customWidth="1"/>
    <col min="15" max="16" width="8.7109375" style="127" customWidth="1"/>
    <col min="17" max="17" width="22" style="127" customWidth="1"/>
    <col min="18" max="19" width="8.7109375" style="127" customWidth="1"/>
    <col min="20" max="20" width="22" style="127" customWidth="1"/>
    <col min="21" max="22" width="8.7109375" style="127" customWidth="1"/>
  </cols>
  <sheetData>
    <row r="1" spans="1:22" s="127" customFormat="1">
      <c r="A1" s="129" t="s">
        <v>1320</v>
      </c>
      <c r="B1" s="129" t="s">
        <v>1296</v>
      </c>
      <c r="C1" s="129" t="s">
        <v>1297</v>
      </c>
      <c r="D1" s="129" t="s">
        <v>1299</v>
      </c>
      <c r="E1" s="55" t="s">
        <v>1298</v>
      </c>
      <c r="F1" s="55" t="s">
        <v>1299</v>
      </c>
      <c r="G1" s="55" t="s">
        <v>1297</v>
      </c>
      <c r="H1" s="55" t="s">
        <v>1300</v>
      </c>
      <c r="I1" s="55" t="s">
        <v>1299</v>
      </c>
      <c r="J1" s="55" t="s">
        <v>1297</v>
      </c>
      <c r="K1" s="55" t="s">
        <v>1301</v>
      </c>
      <c r="L1" s="55" t="s">
        <v>1299</v>
      </c>
      <c r="M1" s="55" t="s">
        <v>1297</v>
      </c>
      <c r="N1" s="55" t="s">
        <v>1302</v>
      </c>
      <c r="O1" s="55" t="s">
        <v>1299</v>
      </c>
      <c r="P1" s="55" t="s">
        <v>1297</v>
      </c>
      <c r="Q1" s="55" t="s">
        <v>1303</v>
      </c>
      <c r="R1" s="55" t="s">
        <v>1299</v>
      </c>
      <c r="S1" s="55" t="s">
        <v>1297</v>
      </c>
      <c r="T1" s="55" t="s">
        <v>1304</v>
      </c>
      <c r="U1" s="55" t="s">
        <v>1299</v>
      </c>
      <c r="V1" s="55" t="s">
        <v>1297</v>
      </c>
    </row>
    <row r="2" spans="1:22" s="134" customFormat="1">
      <c r="B2" s="132" t="s">
        <v>1305</v>
      </c>
      <c r="C2" s="132">
        <v>0</v>
      </c>
      <c r="D2" s="179"/>
      <c r="E2" s="133"/>
      <c r="F2" s="133"/>
      <c r="G2" s="133"/>
      <c r="H2" s="133"/>
      <c r="I2" s="133"/>
      <c r="J2" s="133"/>
      <c r="K2" s="133"/>
      <c r="L2" s="133"/>
      <c r="M2" s="133"/>
      <c r="N2" s="133"/>
      <c r="O2" s="133"/>
      <c r="P2" s="133"/>
      <c r="Q2" s="133"/>
      <c r="R2" s="133"/>
      <c r="S2" s="133"/>
      <c r="T2" s="133"/>
      <c r="U2" s="133"/>
      <c r="V2" s="133"/>
    </row>
    <row r="3" spans="1:22" ht="15.75">
      <c r="A3" s="152" t="s">
        <v>1345</v>
      </c>
      <c r="B3" s="125" t="s">
        <v>536</v>
      </c>
      <c r="C3" s="130">
        <f>((G3*F3)+(I3*J3)+(L3*M3)+(O3*P3)+(R3*S3)+(U3*V3))/D3</f>
        <v>9</v>
      </c>
      <c r="D3" s="180">
        <v>1</v>
      </c>
      <c r="E3" t="s">
        <v>542</v>
      </c>
      <c r="F3">
        <v>4</v>
      </c>
      <c r="G3" s="127">
        <f t="shared" ref="G3:G66" si="0">VLOOKUP(E3,IDPOINTS,2,FALSE)</f>
        <v>2.25</v>
      </c>
      <c r="H3" s="127" t="s">
        <v>1305</v>
      </c>
      <c r="J3" s="127">
        <f t="shared" ref="J3:J66" si="1">VLOOKUP(H3,IDPOINTS,2,FALSE)</f>
        <v>0</v>
      </c>
      <c r="K3" s="127" t="s">
        <v>1305</v>
      </c>
      <c r="M3" s="127">
        <f t="shared" ref="M3:M66" si="2">VLOOKUP(K3,IDPOINTS,2,FALSE)</f>
        <v>0</v>
      </c>
      <c r="N3" s="127" t="s">
        <v>1305</v>
      </c>
      <c r="P3" s="127">
        <f t="shared" ref="P3:P66" si="3">VLOOKUP(N3,IDPOINTS,2,FALSE)</f>
        <v>0</v>
      </c>
      <c r="Q3" s="127" t="s">
        <v>1305</v>
      </c>
      <c r="S3" s="127">
        <f t="shared" ref="S3:S66" si="4">VLOOKUP(Q3,IDPOINTS,2,FALSE)</f>
        <v>0</v>
      </c>
      <c r="T3" s="127" t="s">
        <v>1305</v>
      </c>
      <c r="V3" s="127">
        <f t="shared" ref="V3:V66" si="5">VLOOKUP(T3,IDPOINTS,2,FALSE)</f>
        <v>0</v>
      </c>
    </row>
    <row r="4" spans="1:22" ht="15.75">
      <c r="A4" s="153" t="s">
        <v>1345</v>
      </c>
      <c r="B4" s="125" t="s">
        <v>537</v>
      </c>
      <c r="C4" s="130">
        <f t="shared" ref="C4:C7" si="6">((G4*F4)+(I4*J4)+(L4*M4)+(O4*P4)+(R4*S4)+(U4*V4))/D4</f>
        <v>2.25</v>
      </c>
      <c r="D4" s="180">
        <v>1</v>
      </c>
      <c r="E4" s="127" t="s">
        <v>542</v>
      </c>
      <c r="F4">
        <v>1</v>
      </c>
      <c r="G4" s="127">
        <f t="shared" si="0"/>
        <v>2.25</v>
      </c>
      <c r="H4" s="127" t="s">
        <v>1305</v>
      </c>
      <c r="J4" s="127">
        <f t="shared" si="1"/>
        <v>0</v>
      </c>
      <c r="K4" s="127" t="s">
        <v>1305</v>
      </c>
      <c r="M4" s="127">
        <f t="shared" si="2"/>
        <v>0</v>
      </c>
      <c r="N4" s="127" t="s">
        <v>1305</v>
      </c>
      <c r="P4" s="127">
        <f t="shared" si="3"/>
        <v>0</v>
      </c>
      <c r="Q4" s="127" t="s">
        <v>1305</v>
      </c>
      <c r="S4" s="127">
        <f t="shared" si="4"/>
        <v>0</v>
      </c>
      <c r="T4" s="127" t="s">
        <v>1305</v>
      </c>
      <c r="V4" s="127">
        <f t="shared" si="5"/>
        <v>0</v>
      </c>
    </row>
    <row r="5" spans="1:22" ht="15.75">
      <c r="A5" s="153" t="s">
        <v>1345</v>
      </c>
      <c r="B5" s="125" t="s">
        <v>538</v>
      </c>
      <c r="C5" s="130">
        <f t="shared" si="6"/>
        <v>4.5</v>
      </c>
      <c r="D5" s="180">
        <v>3</v>
      </c>
      <c r="E5" s="127" t="s">
        <v>542</v>
      </c>
      <c r="F5">
        <v>6</v>
      </c>
      <c r="G5" s="127">
        <f t="shared" si="0"/>
        <v>2.25</v>
      </c>
      <c r="H5" s="127" t="s">
        <v>1305</v>
      </c>
      <c r="J5" s="127">
        <f t="shared" si="1"/>
        <v>0</v>
      </c>
      <c r="K5" s="127" t="s">
        <v>1305</v>
      </c>
      <c r="M5" s="127">
        <f t="shared" si="2"/>
        <v>0</v>
      </c>
      <c r="N5" s="127" t="s">
        <v>1305</v>
      </c>
      <c r="P5" s="127">
        <f t="shared" si="3"/>
        <v>0</v>
      </c>
      <c r="Q5" s="127" t="s">
        <v>1305</v>
      </c>
      <c r="S5" s="127">
        <f t="shared" si="4"/>
        <v>0</v>
      </c>
      <c r="T5" s="127" t="s">
        <v>1305</v>
      </c>
      <c r="V5" s="127">
        <f t="shared" si="5"/>
        <v>0</v>
      </c>
    </row>
    <row r="6" spans="1:22" ht="15.75">
      <c r="A6" s="153" t="s">
        <v>1345</v>
      </c>
      <c r="B6" s="125" t="s">
        <v>539</v>
      </c>
      <c r="C6" s="130">
        <f t="shared" si="6"/>
        <v>9.25</v>
      </c>
      <c r="D6" s="180">
        <v>1</v>
      </c>
      <c r="E6" s="127" t="s">
        <v>542</v>
      </c>
      <c r="F6">
        <v>4</v>
      </c>
      <c r="G6" s="127">
        <f t="shared" si="0"/>
        <v>2.25</v>
      </c>
      <c r="H6" s="127" t="s">
        <v>1208</v>
      </c>
      <c r="I6" s="127">
        <v>2</v>
      </c>
      <c r="J6" s="127">
        <f t="shared" si="1"/>
        <v>0.125</v>
      </c>
      <c r="K6" s="127" t="s">
        <v>1305</v>
      </c>
      <c r="M6" s="127">
        <f t="shared" si="2"/>
        <v>0</v>
      </c>
      <c r="N6" s="127" t="s">
        <v>1305</v>
      </c>
      <c r="P6" s="127">
        <f t="shared" si="3"/>
        <v>0</v>
      </c>
      <c r="Q6" s="127" t="s">
        <v>1305</v>
      </c>
      <c r="S6" s="127">
        <f t="shared" si="4"/>
        <v>0</v>
      </c>
      <c r="T6" s="127" t="s">
        <v>1305</v>
      </c>
      <c r="V6" s="127">
        <f t="shared" si="5"/>
        <v>0</v>
      </c>
    </row>
    <row r="7" spans="1:22" ht="15.75">
      <c r="A7" s="153" t="s">
        <v>1345</v>
      </c>
      <c r="B7" s="125" t="s">
        <v>540</v>
      </c>
      <c r="C7" s="130">
        <f t="shared" si="6"/>
        <v>5</v>
      </c>
      <c r="D7" s="180">
        <v>1</v>
      </c>
      <c r="E7" s="127" t="s">
        <v>542</v>
      </c>
      <c r="F7" s="127">
        <v>2</v>
      </c>
      <c r="G7" s="127">
        <f t="shared" si="0"/>
        <v>2.25</v>
      </c>
      <c r="H7" s="127" t="s">
        <v>1208</v>
      </c>
      <c r="I7" s="127">
        <v>4</v>
      </c>
      <c r="J7" s="127">
        <f t="shared" si="1"/>
        <v>0.125</v>
      </c>
      <c r="K7" s="127" t="s">
        <v>1305</v>
      </c>
      <c r="M7" s="127">
        <f t="shared" si="2"/>
        <v>0</v>
      </c>
      <c r="N7" s="127" t="s">
        <v>1305</v>
      </c>
      <c r="P7" s="127">
        <f t="shared" si="3"/>
        <v>0</v>
      </c>
      <c r="Q7" s="127" t="s">
        <v>1305</v>
      </c>
      <c r="S7" s="127">
        <f t="shared" si="4"/>
        <v>0</v>
      </c>
      <c r="T7" s="127" t="s">
        <v>1305</v>
      </c>
      <c r="V7" s="127">
        <f t="shared" si="5"/>
        <v>0</v>
      </c>
    </row>
    <row r="8" spans="1:22" s="137" customFormat="1" ht="15.75">
      <c r="A8" s="137" t="s">
        <v>1338</v>
      </c>
      <c r="B8" s="135" t="s">
        <v>541</v>
      </c>
      <c r="C8" s="136">
        <f>'ECONOMIA &amp; PROFESIONES'!E36</f>
        <v>9</v>
      </c>
      <c r="D8" s="182"/>
      <c r="E8" s="137" t="s">
        <v>1305</v>
      </c>
      <c r="G8" s="137">
        <f t="shared" si="0"/>
        <v>0</v>
      </c>
      <c r="H8" s="137" t="s">
        <v>1305</v>
      </c>
      <c r="J8" s="137">
        <f t="shared" si="1"/>
        <v>0</v>
      </c>
      <c r="K8" s="137" t="s">
        <v>1305</v>
      </c>
      <c r="M8" s="137">
        <f t="shared" si="2"/>
        <v>0</v>
      </c>
      <c r="N8" s="137" t="s">
        <v>1305</v>
      </c>
      <c r="P8" s="137">
        <f t="shared" si="3"/>
        <v>0</v>
      </c>
      <c r="Q8" s="137" t="s">
        <v>1305</v>
      </c>
      <c r="S8" s="137">
        <f t="shared" si="4"/>
        <v>0</v>
      </c>
      <c r="T8" s="137" t="s">
        <v>1305</v>
      </c>
      <c r="V8" s="137">
        <f t="shared" si="5"/>
        <v>0</v>
      </c>
    </row>
    <row r="9" spans="1:22" ht="15.75">
      <c r="A9" s="153" t="s">
        <v>1345</v>
      </c>
      <c r="B9" s="125" t="s">
        <v>542</v>
      </c>
      <c r="C9" s="130">
        <f>((G9*F9)+(I9*J9)+(L9*M9)+(O9*P9)+(R9*S9)+(U9*V9))/D9</f>
        <v>2.25</v>
      </c>
      <c r="D9" s="180">
        <v>4</v>
      </c>
      <c r="E9" s="127" t="s">
        <v>541</v>
      </c>
      <c r="F9">
        <v>1</v>
      </c>
      <c r="G9" s="127">
        <f t="shared" si="0"/>
        <v>9</v>
      </c>
      <c r="H9" s="127" t="s">
        <v>1305</v>
      </c>
      <c r="J9" s="127">
        <f t="shared" si="1"/>
        <v>0</v>
      </c>
      <c r="K9" s="127" t="s">
        <v>1305</v>
      </c>
      <c r="M9" s="127">
        <f t="shared" si="2"/>
        <v>0</v>
      </c>
      <c r="N9" s="127" t="s">
        <v>1305</v>
      </c>
      <c r="P9" s="127">
        <f t="shared" si="3"/>
        <v>0</v>
      </c>
      <c r="Q9" s="127" t="s">
        <v>1305</v>
      </c>
      <c r="S9" s="127">
        <f t="shared" si="4"/>
        <v>0</v>
      </c>
      <c r="T9" s="127" t="s">
        <v>1305</v>
      </c>
      <c r="V9" s="127">
        <f t="shared" si="5"/>
        <v>0</v>
      </c>
    </row>
    <row r="10" spans="1:22" ht="15.75">
      <c r="A10" s="153" t="s">
        <v>1345</v>
      </c>
      <c r="B10" s="125" t="s">
        <v>543</v>
      </c>
      <c r="C10" s="130">
        <f t="shared" ref="C10:C16" si="7">((G10*F10)+(I10*J10)+(L10*M10)+(O10*P10)+(R10*S10)+(U10*V10))/D10</f>
        <v>4.5</v>
      </c>
      <c r="D10" s="180">
        <v>1</v>
      </c>
      <c r="E10" s="127" t="s">
        <v>542</v>
      </c>
      <c r="F10">
        <v>2</v>
      </c>
      <c r="G10" s="127">
        <f t="shared" si="0"/>
        <v>2.25</v>
      </c>
      <c r="H10" s="127" t="s">
        <v>1305</v>
      </c>
      <c r="J10" s="127">
        <f t="shared" si="1"/>
        <v>0</v>
      </c>
      <c r="K10" s="127" t="s">
        <v>1305</v>
      </c>
      <c r="M10" s="127">
        <f t="shared" si="2"/>
        <v>0</v>
      </c>
      <c r="N10" s="127" t="s">
        <v>1305</v>
      </c>
      <c r="P10" s="127">
        <f t="shared" si="3"/>
        <v>0</v>
      </c>
      <c r="Q10" s="127" t="s">
        <v>1305</v>
      </c>
      <c r="S10" s="127">
        <f t="shared" si="4"/>
        <v>0</v>
      </c>
      <c r="T10" s="127" t="s">
        <v>1305</v>
      </c>
      <c r="V10" s="127">
        <f t="shared" si="5"/>
        <v>0</v>
      </c>
    </row>
    <row r="11" spans="1:22" ht="15.75">
      <c r="A11" s="153" t="s">
        <v>1345</v>
      </c>
      <c r="B11" s="125" t="s">
        <v>544</v>
      </c>
      <c r="C11" s="130">
        <f t="shared" si="7"/>
        <v>4.541666666666667</v>
      </c>
      <c r="D11" s="180">
        <v>3</v>
      </c>
      <c r="E11" s="127" t="s">
        <v>542</v>
      </c>
      <c r="F11" s="127">
        <v>6</v>
      </c>
      <c r="G11" s="127">
        <f t="shared" si="0"/>
        <v>2.25</v>
      </c>
      <c r="H11" s="127" t="s">
        <v>1208</v>
      </c>
      <c r="I11" s="127">
        <v>1</v>
      </c>
      <c r="J11" s="127">
        <f t="shared" si="1"/>
        <v>0.125</v>
      </c>
      <c r="K11" s="127" t="s">
        <v>1305</v>
      </c>
      <c r="M11" s="127">
        <f t="shared" si="2"/>
        <v>0</v>
      </c>
      <c r="N11" s="127" t="s">
        <v>1305</v>
      </c>
      <c r="P11" s="127">
        <f t="shared" si="3"/>
        <v>0</v>
      </c>
      <c r="Q11" s="127" t="s">
        <v>1305</v>
      </c>
      <c r="S11" s="127">
        <f t="shared" si="4"/>
        <v>0</v>
      </c>
      <c r="T11" s="127" t="s">
        <v>1305</v>
      </c>
      <c r="V11" s="127">
        <f t="shared" si="5"/>
        <v>0</v>
      </c>
    </row>
    <row r="12" spans="1:22" ht="15.75">
      <c r="A12" s="153" t="s">
        <v>1345</v>
      </c>
      <c r="B12" s="125" t="s">
        <v>545</v>
      </c>
      <c r="C12" s="130">
        <f t="shared" si="7"/>
        <v>1.125</v>
      </c>
      <c r="D12" s="180">
        <v>6</v>
      </c>
      <c r="E12" s="127" t="s">
        <v>542</v>
      </c>
      <c r="F12" s="127">
        <v>3</v>
      </c>
      <c r="G12" s="127">
        <f t="shared" si="0"/>
        <v>2.25</v>
      </c>
      <c r="H12" s="127" t="s">
        <v>1305</v>
      </c>
      <c r="J12" s="127">
        <f t="shared" si="1"/>
        <v>0</v>
      </c>
      <c r="K12" s="127" t="s">
        <v>1305</v>
      </c>
      <c r="M12" s="127">
        <f t="shared" si="2"/>
        <v>0</v>
      </c>
      <c r="N12" s="127" t="s">
        <v>1305</v>
      </c>
      <c r="P12" s="127">
        <f t="shared" si="3"/>
        <v>0</v>
      </c>
      <c r="Q12" s="127" t="s">
        <v>1305</v>
      </c>
      <c r="S12" s="127">
        <f t="shared" si="4"/>
        <v>0</v>
      </c>
      <c r="T12" s="127" t="s">
        <v>1305</v>
      </c>
      <c r="V12" s="127">
        <f t="shared" si="5"/>
        <v>0</v>
      </c>
    </row>
    <row r="13" spans="1:22" ht="15.75">
      <c r="A13" s="153" t="s">
        <v>1345</v>
      </c>
      <c r="B13" s="125" t="s">
        <v>546</v>
      </c>
      <c r="C13" s="130">
        <f t="shared" si="7"/>
        <v>3.375</v>
      </c>
      <c r="D13" s="180">
        <v>4</v>
      </c>
      <c r="E13" s="127" t="s">
        <v>542</v>
      </c>
      <c r="F13">
        <v>6</v>
      </c>
      <c r="G13" s="127">
        <f t="shared" si="0"/>
        <v>2.25</v>
      </c>
      <c r="H13" s="127" t="s">
        <v>1305</v>
      </c>
      <c r="J13" s="127">
        <f t="shared" si="1"/>
        <v>0</v>
      </c>
      <c r="K13" s="127" t="s">
        <v>1305</v>
      </c>
      <c r="M13" s="127">
        <f t="shared" si="2"/>
        <v>0</v>
      </c>
      <c r="N13" s="127" t="s">
        <v>1305</v>
      </c>
      <c r="P13" s="127">
        <f t="shared" si="3"/>
        <v>0</v>
      </c>
      <c r="Q13" s="127" t="s">
        <v>1305</v>
      </c>
      <c r="S13" s="127">
        <f t="shared" si="4"/>
        <v>0</v>
      </c>
      <c r="T13" s="127" t="s">
        <v>1305</v>
      </c>
      <c r="V13" s="127">
        <f t="shared" si="5"/>
        <v>0</v>
      </c>
    </row>
    <row r="14" spans="1:22" ht="15.75">
      <c r="A14" s="153" t="s">
        <v>1345</v>
      </c>
      <c r="B14" s="125" t="s">
        <v>547</v>
      </c>
      <c r="C14" s="130">
        <f t="shared" si="7"/>
        <v>6.75</v>
      </c>
      <c r="D14" s="180">
        <v>2</v>
      </c>
      <c r="E14" s="127" t="s">
        <v>542</v>
      </c>
      <c r="F14" s="127">
        <v>6</v>
      </c>
      <c r="G14" s="127">
        <f t="shared" si="0"/>
        <v>2.25</v>
      </c>
      <c r="H14" s="127" t="s">
        <v>1305</v>
      </c>
      <c r="J14" s="127">
        <f t="shared" si="1"/>
        <v>0</v>
      </c>
      <c r="K14" s="127" t="s">
        <v>1305</v>
      </c>
      <c r="M14" s="127">
        <f t="shared" si="2"/>
        <v>0</v>
      </c>
      <c r="N14" s="127" t="s">
        <v>1305</v>
      </c>
      <c r="P14" s="127">
        <f t="shared" si="3"/>
        <v>0</v>
      </c>
      <c r="Q14" s="127" t="s">
        <v>1305</v>
      </c>
      <c r="S14" s="127">
        <f t="shared" si="4"/>
        <v>0</v>
      </c>
      <c r="T14" s="127" t="s">
        <v>1305</v>
      </c>
      <c r="V14" s="127">
        <f t="shared" si="5"/>
        <v>0</v>
      </c>
    </row>
    <row r="15" spans="1:22" s="137" customFormat="1" ht="15.75">
      <c r="A15" s="137" t="s">
        <v>1338</v>
      </c>
      <c r="B15" s="135" t="s">
        <v>548</v>
      </c>
      <c r="C15" s="136">
        <f>C8</f>
        <v>9</v>
      </c>
      <c r="D15" s="182"/>
      <c r="E15" s="137" t="s">
        <v>1305</v>
      </c>
      <c r="G15" s="137">
        <f t="shared" si="0"/>
        <v>0</v>
      </c>
      <c r="H15" s="137" t="s">
        <v>1305</v>
      </c>
      <c r="J15" s="137">
        <f t="shared" si="1"/>
        <v>0</v>
      </c>
      <c r="K15" s="137" t="s">
        <v>1305</v>
      </c>
      <c r="M15" s="137">
        <f t="shared" si="2"/>
        <v>0</v>
      </c>
      <c r="N15" s="137" t="s">
        <v>1305</v>
      </c>
      <c r="P15" s="137">
        <f t="shared" si="3"/>
        <v>0</v>
      </c>
      <c r="Q15" s="137" t="s">
        <v>1305</v>
      </c>
      <c r="S15" s="137">
        <f t="shared" si="4"/>
        <v>0</v>
      </c>
      <c r="T15" s="137" t="s">
        <v>1305</v>
      </c>
      <c r="V15" s="137">
        <f t="shared" si="5"/>
        <v>0</v>
      </c>
    </row>
    <row r="16" spans="1:22" ht="15.75">
      <c r="A16" s="153" t="s">
        <v>595</v>
      </c>
      <c r="B16" s="125" t="s">
        <v>549</v>
      </c>
      <c r="C16" s="130">
        <f t="shared" si="7"/>
        <v>9.2291666666666661</v>
      </c>
      <c r="D16" s="180">
        <v>6</v>
      </c>
      <c r="E16" s="127" t="s">
        <v>896</v>
      </c>
      <c r="F16">
        <v>6</v>
      </c>
      <c r="G16" s="127">
        <f t="shared" si="0"/>
        <v>8</v>
      </c>
      <c r="H16" s="127" t="s">
        <v>1208</v>
      </c>
      <c r="I16" s="127">
        <v>2</v>
      </c>
      <c r="J16" s="127">
        <f t="shared" si="1"/>
        <v>0.125</v>
      </c>
      <c r="K16" s="127" t="s">
        <v>1151</v>
      </c>
      <c r="L16" s="127">
        <v>1</v>
      </c>
      <c r="M16" s="127">
        <f t="shared" si="2"/>
        <v>7.125</v>
      </c>
      <c r="N16" s="127" t="s">
        <v>1305</v>
      </c>
      <c r="P16" s="127">
        <f t="shared" si="3"/>
        <v>0</v>
      </c>
      <c r="Q16" s="127" t="s">
        <v>1305</v>
      </c>
      <c r="S16" s="127">
        <f t="shared" si="4"/>
        <v>0</v>
      </c>
      <c r="T16" s="127" t="s">
        <v>1305</v>
      </c>
      <c r="V16" s="127">
        <f t="shared" si="5"/>
        <v>0</v>
      </c>
    </row>
    <row r="17" spans="1:39" s="137" customFormat="1" ht="15.75">
      <c r="A17" s="137" t="s">
        <v>560</v>
      </c>
      <c r="B17" s="135" t="s">
        <v>550</v>
      </c>
      <c r="C17" s="136">
        <v>1</v>
      </c>
      <c r="D17" s="182"/>
      <c r="E17" s="137" t="s">
        <v>1305</v>
      </c>
      <c r="G17" s="137">
        <f t="shared" si="0"/>
        <v>0</v>
      </c>
      <c r="H17" s="137" t="s">
        <v>1305</v>
      </c>
      <c r="J17" s="137">
        <f t="shared" si="1"/>
        <v>0</v>
      </c>
      <c r="K17" s="137" t="s">
        <v>1305</v>
      </c>
      <c r="M17" s="137">
        <f t="shared" si="2"/>
        <v>0</v>
      </c>
      <c r="N17" s="137" t="s">
        <v>1305</v>
      </c>
      <c r="P17" s="137">
        <f t="shared" si="3"/>
        <v>0</v>
      </c>
      <c r="Q17" s="137" t="s">
        <v>1305</v>
      </c>
      <c r="S17" s="137">
        <f t="shared" si="4"/>
        <v>0</v>
      </c>
      <c r="T17" s="137" t="s">
        <v>1305</v>
      </c>
      <c r="V17" s="137">
        <f t="shared" si="5"/>
        <v>0</v>
      </c>
    </row>
    <row r="18" spans="1:39" s="137" customFormat="1" ht="15.75">
      <c r="A18" s="137" t="s">
        <v>1339</v>
      </c>
      <c r="B18" s="135" t="s">
        <v>551</v>
      </c>
      <c r="C18" s="136">
        <f>'ECONOMIA &amp; PROFESIONES'!K36</f>
        <v>2</v>
      </c>
      <c r="D18" s="182"/>
      <c r="E18" s="137" t="s">
        <v>1305</v>
      </c>
      <c r="G18" s="137">
        <f t="shared" si="0"/>
        <v>0</v>
      </c>
      <c r="H18" s="137" t="s">
        <v>1305</v>
      </c>
      <c r="J18" s="137">
        <f t="shared" si="1"/>
        <v>0</v>
      </c>
      <c r="K18" s="137" t="s">
        <v>1305</v>
      </c>
      <c r="M18" s="137">
        <f t="shared" si="2"/>
        <v>0</v>
      </c>
      <c r="N18" s="137" t="s">
        <v>1305</v>
      </c>
      <c r="P18" s="137">
        <f t="shared" si="3"/>
        <v>0</v>
      </c>
      <c r="Q18" s="137" t="s">
        <v>1305</v>
      </c>
      <c r="S18" s="137">
        <f t="shared" si="4"/>
        <v>0</v>
      </c>
      <c r="T18" s="137" t="s">
        <v>1305</v>
      </c>
      <c r="V18" s="137">
        <f t="shared" si="5"/>
        <v>0</v>
      </c>
    </row>
    <row r="19" spans="1:39" ht="15.75">
      <c r="A19" s="153" t="s">
        <v>1346</v>
      </c>
      <c r="B19" s="125" t="s">
        <v>552</v>
      </c>
      <c r="C19" s="130">
        <f t="shared" ref="C19:C29" si="8">((G19*F19)+(I19*J19)+(L19*M19)+(O19*P19)+(R19*S19)+(U19*V19))/D19</f>
        <v>1</v>
      </c>
      <c r="D19" s="180">
        <v>6</v>
      </c>
      <c r="E19" s="127" t="s">
        <v>551</v>
      </c>
      <c r="F19">
        <v>3</v>
      </c>
      <c r="G19" s="127">
        <f t="shared" si="0"/>
        <v>2</v>
      </c>
      <c r="H19" s="127" t="s">
        <v>1305</v>
      </c>
      <c r="J19" s="127">
        <f t="shared" si="1"/>
        <v>0</v>
      </c>
      <c r="K19" s="127" t="s">
        <v>1305</v>
      </c>
      <c r="M19" s="127">
        <f t="shared" si="2"/>
        <v>0</v>
      </c>
      <c r="N19" s="127" t="s">
        <v>1305</v>
      </c>
      <c r="P19" s="127">
        <f t="shared" si="3"/>
        <v>0</v>
      </c>
      <c r="Q19" s="127" t="s">
        <v>1305</v>
      </c>
      <c r="S19" s="127">
        <f t="shared" si="4"/>
        <v>0</v>
      </c>
      <c r="T19" s="127" t="s">
        <v>1305</v>
      </c>
      <c r="V19" s="127">
        <f t="shared" si="5"/>
        <v>0</v>
      </c>
    </row>
    <row r="20" spans="1:39" ht="15.75">
      <c r="A20" s="153" t="s">
        <v>1346</v>
      </c>
      <c r="B20" s="125" t="s">
        <v>553</v>
      </c>
      <c r="C20" s="130">
        <f t="shared" si="8"/>
        <v>3</v>
      </c>
      <c r="D20" s="180">
        <v>4</v>
      </c>
      <c r="E20" s="127" t="s">
        <v>551</v>
      </c>
      <c r="F20">
        <v>6</v>
      </c>
      <c r="G20" s="127">
        <f t="shared" si="0"/>
        <v>2</v>
      </c>
      <c r="H20" s="127" t="s">
        <v>1305</v>
      </c>
      <c r="J20" s="127">
        <f t="shared" si="1"/>
        <v>0</v>
      </c>
      <c r="K20" s="127" t="s">
        <v>1305</v>
      </c>
      <c r="M20" s="127">
        <f t="shared" si="2"/>
        <v>0</v>
      </c>
      <c r="N20" s="127" t="s">
        <v>1305</v>
      </c>
      <c r="P20" s="127">
        <f t="shared" si="3"/>
        <v>0</v>
      </c>
      <c r="Q20" s="127" t="s">
        <v>1305</v>
      </c>
      <c r="S20" s="127">
        <f t="shared" si="4"/>
        <v>0</v>
      </c>
      <c r="T20" s="127" t="s">
        <v>1305</v>
      </c>
      <c r="V20" s="127">
        <f t="shared" si="5"/>
        <v>0</v>
      </c>
    </row>
    <row r="21" spans="1:39" ht="15.75">
      <c r="A21" s="153" t="s">
        <v>1346</v>
      </c>
      <c r="B21" s="125" t="s">
        <v>554</v>
      </c>
      <c r="C21" s="130">
        <f t="shared" si="8"/>
        <v>2</v>
      </c>
      <c r="D21" s="180">
        <v>6</v>
      </c>
      <c r="E21" s="127" t="s">
        <v>551</v>
      </c>
      <c r="F21">
        <v>6</v>
      </c>
      <c r="G21" s="127">
        <f t="shared" si="0"/>
        <v>2</v>
      </c>
      <c r="H21" s="127" t="s">
        <v>1305</v>
      </c>
      <c r="J21" s="127">
        <f t="shared" si="1"/>
        <v>0</v>
      </c>
      <c r="K21" s="127" t="s">
        <v>1305</v>
      </c>
      <c r="M21" s="127">
        <f t="shared" si="2"/>
        <v>0</v>
      </c>
      <c r="N21" s="127" t="s">
        <v>1305</v>
      </c>
      <c r="P21" s="127">
        <f t="shared" si="3"/>
        <v>0</v>
      </c>
      <c r="Q21" s="127" t="s">
        <v>1305</v>
      </c>
      <c r="S21" s="127">
        <f t="shared" si="4"/>
        <v>0</v>
      </c>
      <c r="T21" s="127" t="s">
        <v>1305</v>
      </c>
      <c r="V21" s="127">
        <f t="shared" si="5"/>
        <v>0</v>
      </c>
    </row>
    <row r="22" spans="1:39" ht="15.75">
      <c r="A22" s="153" t="s">
        <v>1343</v>
      </c>
      <c r="B22" s="125" t="s">
        <v>555</v>
      </c>
      <c r="C22" s="130">
        <v>50</v>
      </c>
      <c r="D22" s="180">
        <v>1</v>
      </c>
      <c r="E22" s="127" t="s">
        <v>896</v>
      </c>
      <c r="F22">
        <v>4</v>
      </c>
      <c r="G22" s="127">
        <f t="shared" si="0"/>
        <v>8</v>
      </c>
      <c r="H22" s="127" t="s">
        <v>889</v>
      </c>
      <c r="I22" s="127">
        <v>3</v>
      </c>
      <c r="J22" s="127">
        <f t="shared" si="1"/>
        <v>72</v>
      </c>
      <c r="K22" s="127" t="s">
        <v>1305</v>
      </c>
      <c r="M22" s="127">
        <f t="shared" si="2"/>
        <v>0</v>
      </c>
      <c r="N22" s="127" t="s">
        <v>1305</v>
      </c>
      <c r="P22" s="127">
        <f t="shared" si="3"/>
        <v>0</v>
      </c>
      <c r="Q22" s="127" t="s">
        <v>1305</v>
      </c>
      <c r="S22" s="127">
        <f t="shared" si="4"/>
        <v>0</v>
      </c>
      <c r="T22" s="127" t="s">
        <v>1305</v>
      </c>
      <c r="V22" s="127">
        <f t="shared" si="5"/>
        <v>0</v>
      </c>
    </row>
    <row r="23" spans="1:39" s="137" customFormat="1" ht="15.75">
      <c r="A23" s="137" t="s">
        <v>560</v>
      </c>
      <c r="B23" s="135" t="s">
        <v>556</v>
      </c>
      <c r="C23" s="136">
        <f>'ECONOMIA &amp; PROFESIONES'!G32</f>
        <v>1</v>
      </c>
      <c r="D23" s="182"/>
      <c r="E23" s="137" t="s">
        <v>1305</v>
      </c>
      <c r="F23" s="137">
        <v>0</v>
      </c>
      <c r="G23" s="137">
        <f t="shared" si="0"/>
        <v>0</v>
      </c>
      <c r="H23" s="137" t="s">
        <v>1305</v>
      </c>
      <c r="J23" s="137">
        <f t="shared" si="1"/>
        <v>0</v>
      </c>
      <c r="K23" s="137" t="s">
        <v>1305</v>
      </c>
      <c r="M23" s="137">
        <f t="shared" si="2"/>
        <v>0</v>
      </c>
      <c r="N23" s="137" t="s">
        <v>1305</v>
      </c>
      <c r="P23" s="137">
        <f t="shared" si="3"/>
        <v>0</v>
      </c>
      <c r="Q23" s="137" t="s">
        <v>1305</v>
      </c>
      <c r="S23" s="137">
        <f t="shared" si="4"/>
        <v>0</v>
      </c>
      <c r="T23" s="137" t="s">
        <v>1305</v>
      </c>
      <c r="V23" s="137">
        <f t="shared" si="5"/>
        <v>0</v>
      </c>
    </row>
    <row r="24" spans="1:39" ht="15.75">
      <c r="A24" s="153" t="s">
        <v>1344</v>
      </c>
      <c r="B24" s="125" t="s">
        <v>557</v>
      </c>
      <c r="C24" s="130">
        <f t="shared" si="8"/>
        <v>2.75</v>
      </c>
      <c r="D24" s="180">
        <v>1</v>
      </c>
      <c r="E24" s="127" t="s">
        <v>1208</v>
      </c>
      <c r="F24">
        <v>6</v>
      </c>
      <c r="G24" s="127">
        <f t="shared" si="0"/>
        <v>0.125</v>
      </c>
      <c r="H24" s="127" t="s">
        <v>1221</v>
      </c>
      <c r="I24" s="127">
        <v>1</v>
      </c>
      <c r="J24" s="127">
        <f t="shared" si="1"/>
        <v>2</v>
      </c>
      <c r="K24" s="127" t="s">
        <v>1305</v>
      </c>
      <c r="M24" s="127">
        <f t="shared" si="2"/>
        <v>0</v>
      </c>
      <c r="N24" s="127" t="s">
        <v>1305</v>
      </c>
      <c r="P24" s="127">
        <f t="shared" si="3"/>
        <v>0</v>
      </c>
      <c r="Q24" s="127" t="s">
        <v>1305</v>
      </c>
      <c r="S24" s="127">
        <f t="shared" si="4"/>
        <v>0</v>
      </c>
      <c r="T24" s="127" t="s">
        <v>1305</v>
      </c>
      <c r="V24" s="127">
        <f t="shared" si="5"/>
        <v>0</v>
      </c>
    </row>
    <row r="25" spans="1:39" ht="15.75">
      <c r="A25" s="153" t="s">
        <v>1344</v>
      </c>
      <c r="B25" s="125" t="s">
        <v>558</v>
      </c>
      <c r="C25" s="130">
        <f t="shared" si="8"/>
        <v>0.13125000000000001</v>
      </c>
      <c r="D25" s="180">
        <v>4</v>
      </c>
      <c r="E25" s="127" t="s">
        <v>1208</v>
      </c>
      <c r="F25">
        <v>1</v>
      </c>
      <c r="G25" s="127">
        <f t="shared" si="0"/>
        <v>0.125</v>
      </c>
      <c r="H25" s="127" t="s">
        <v>807</v>
      </c>
      <c r="I25" s="127">
        <v>1</v>
      </c>
      <c r="J25" s="127">
        <f t="shared" si="1"/>
        <v>0</v>
      </c>
      <c r="K25" s="127" t="s">
        <v>796</v>
      </c>
      <c r="L25" s="127">
        <v>1</v>
      </c>
      <c r="M25" s="127">
        <f t="shared" si="2"/>
        <v>0.4</v>
      </c>
      <c r="N25" s="127" t="s">
        <v>1305</v>
      </c>
      <c r="P25" s="127">
        <f t="shared" si="3"/>
        <v>0</v>
      </c>
      <c r="Q25" s="127" t="s">
        <v>1305</v>
      </c>
      <c r="S25" s="127">
        <f t="shared" si="4"/>
        <v>0</v>
      </c>
      <c r="T25" s="127" t="s">
        <v>1305</v>
      </c>
      <c r="V25" s="127">
        <f t="shared" si="5"/>
        <v>0</v>
      </c>
    </row>
    <row r="26" spans="1:39" s="137" customFormat="1" ht="15.75">
      <c r="A26" s="137" t="s">
        <v>560</v>
      </c>
      <c r="B26" s="135" t="s">
        <v>559</v>
      </c>
      <c r="C26" s="136">
        <v>1</v>
      </c>
      <c r="D26" s="182"/>
      <c r="E26" s="137" t="s">
        <v>1305</v>
      </c>
      <c r="G26" s="137">
        <f t="shared" si="0"/>
        <v>0</v>
      </c>
      <c r="H26" s="137" t="s">
        <v>1305</v>
      </c>
      <c r="J26" s="137">
        <f t="shared" si="1"/>
        <v>0</v>
      </c>
      <c r="K26" s="137" t="s">
        <v>1305</v>
      </c>
      <c r="M26" s="137">
        <f t="shared" si="2"/>
        <v>0</v>
      </c>
      <c r="N26" s="137" t="s">
        <v>1305</v>
      </c>
      <c r="P26" s="137">
        <f t="shared" si="3"/>
        <v>0</v>
      </c>
      <c r="Q26" s="137" t="s">
        <v>1305</v>
      </c>
      <c r="S26" s="137">
        <f t="shared" si="4"/>
        <v>0</v>
      </c>
      <c r="T26" s="137" t="s">
        <v>1305</v>
      </c>
      <c r="V26" s="137">
        <f t="shared" si="5"/>
        <v>0</v>
      </c>
    </row>
    <row r="27" spans="1:39" ht="15.75">
      <c r="A27" s="153" t="s">
        <v>1348</v>
      </c>
      <c r="B27" s="125" t="s">
        <v>561</v>
      </c>
      <c r="C27" s="130">
        <f t="shared" si="8"/>
        <v>4</v>
      </c>
      <c r="D27" s="180">
        <v>1</v>
      </c>
      <c r="E27" s="127" t="s">
        <v>1083</v>
      </c>
      <c r="F27">
        <v>1</v>
      </c>
      <c r="G27" s="127">
        <f t="shared" si="0"/>
        <v>1</v>
      </c>
      <c r="H27" s="127" t="s">
        <v>672</v>
      </c>
      <c r="I27" s="127">
        <v>1</v>
      </c>
      <c r="J27" s="127">
        <f t="shared" si="1"/>
        <v>3</v>
      </c>
      <c r="K27" s="127" t="s">
        <v>1305</v>
      </c>
      <c r="M27" s="127">
        <f t="shared" si="2"/>
        <v>0</v>
      </c>
      <c r="N27" s="127" t="s">
        <v>1305</v>
      </c>
      <c r="P27" s="127">
        <f t="shared" si="3"/>
        <v>0</v>
      </c>
      <c r="Q27" s="127" t="s">
        <v>1305</v>
      </c>
      <c r="S27" s="127">
        <f t="shared" si="4"/>
        <v>0</v>
      </c>
      <c r="T27" s="127" t="s">
        <v>1305</v>
      </c>
      <c r="V27" s="127">
        <f t="shared" si="5"/>
        <v>0</v>
      </c>
    </row>
    <row r="28" spans="1:39" s="137" customFormat="1" ht="15.75">
      <c r="A28" s="137" t="s">
        <v>560</v>
      </c>
      <c r="B28" s="135" t="s">
        <v>562</v>
      </c>
      <c r="C28" s="136">
        <f>'ECONOMIA &amp; PROFESIONES'!G38</f>
        <v>5</v>
      </c>
      <c r="D28" s="182"/>
      <c r="E28" s="137" t="s">
        <v>1305</v>
      </c>
      <c r="G28" s="137">
        <f t="shared" si="0"/>
        <v>0</v>
      </c>
      <c r="H28" s="137" t="s">
        <v>1305</v>
      </c>
      <c r="J28" s="137">
        <f t="shared" si="1"/>
        <v>0</v>
      </c>
      <c r="K28" s="137" t="s">
        <v>1305</v>
      </c>
      <c r="M28" s="137">
        <f t="shared" si="2"/>
        <v>0</v>
      </c>
      <c r="N28" s="137" t="s">
        <v>1305</v>
      </c>
      <c r="P28" s="137">
        <f t="shared" si="3"/>
        <v>0</v>
      </c>
      <c r="Q28" s="137" t="s">
        <v>1305</v>
      </c>
      <c r="S28" s="137">
        <f t="shared" si="4"/>
        <v>0</v>
      </c>
      <c r="T28" s="137" t="s">
        <v>1305</v>
      </c>
      <c r="V28" s="137">
        <f t="shared" si="5"/>
        <v>0</v>
      </c>
    </row>
    <row r="29" spans="1:39" ht="15.75">
      <c r="A29" s="153" t="s">
        <v>1345</v>
      </c>
      <c r="B29" s="125" t="s">
        <v>563</v>
      </c>
      <c r="C29" s="130">
        <f t="shared" si="8"/>
        <v>1.75</v>
      </c>
      <c r="D29" s="180">
        <v>1</v>
      </c>
      <c r="E29" s="127" t="s">
        <v>1026</v>
      </c>
      <c r="F29">
        <v>6</v>
      </c>
      <c r="G29" s="127">
        <f t="shared" si="0"/>
        <v>0.25</v>
      </c>
      <c r="H29" s="127" t="s">
        <v>1029</v>
      </c>
      <c r="I29" s="127">
        <v>2</v>
      </c>
      <c r="J29" s="127">
        <f t="shared" si="1"/>
        <v>0.125</v>
      </c>
      <c r="K29" s="127" t="s">
        <v>1305</v>
      </c>
      <c r="M29" s="127">
        <f t="shared" si="2"/>
        <v>0</v>
      </c>
      <c r="N29" s="127" t="s">
        <v>1305</v>
      </c>
      <c r="P29" s="127">
        <f t="shared" si="3"/>
        <v>0</v>
      </c>
      <c r="Q29" s="127" t="s">
        <v>1305</v>
      </c>
      <c r="S29" s="127">
        <f t="shared" si="4"/>
        <v>0</v>
      </c>
      <c r="T29" s="127" t="s">
        <v>1305</v>
      </c>
      <c r="V29" s="127">
        <f t="shared" si="5"/>
        <v>0</v>
      </c>
    </row>
    <row r="30" spans="1:39" s="140" customFormat="1" ht="15.75">
      <c r="A30" s="13" t="s">
        <v>1353</v>
      </c>
      <c r="B30" s="144" t="s">
        <v>564</v>
      </c>
      <c r="C30" s="130">
        <f>((G30*F30)+(I30*J30)+(L30*M30)+(O30*P30)+(R30*S30)+(U30*V30))/D30</f>
        <v>62.5</v>
      </c>
      <c r="D30" s="180">
        <v>1</v>
      </c>
      <c r="E30" s="13" t="s">
        <v>1016</v>
      </c>
      <c r="F30" s="13">
        <v>1</v>
      </c>
      <c r="G30" s="13">
        <f t="shared" si="0"/>
        <v>5.5</v>
      </c>
      <c r="H30" s="13" t="s">
        <v>1034</v>
      </c>
      <c r="I30" s="13">
        <v>3</v>
      </c>
      <c r="J30" s="13">
        <f t="shared" si="1"/>
        <v>11</v>
      </c>
      <c r="K30" s="13" t="s">
        <v>814</v>
      </c>
      <c r="L30" s="13">
        <v>3</v>
      </c>
      <c r="M30" s="13">
        <f t="shared" si="2"/>
        <v>8</v>
      </c>
      <c r="N30" s="13" t="s">
        <v>1305</v>
      </c>
      <c r="O30" s="13"/>
      <c r="P30" s="13">
        <f t="shared" si="3"/>
        <v>0</v>
      </c>
      <c r="Q30" s="13" t="s">
        <v>1305</v>
      </c>
      <c r="R30" s="13"/>
      <c r="S30" s="13">
        <f t="shared" si="4"/>
        <v>0</v>
      </c>
      <c r="T30" s="13" t="s">
        <v>1305</v>
      </c>
      <c r="U30" s="13"/>
      <c r="V30" s="13">
        <f t="shared" si="5"/>
        <v>0</v>
      </c>
      <c r="W30" s="13"/>
      <c r="X30" s="13"/>
      <c r="Y30" s="13"/>
      <c r="Z30" s="13"/>
      <c r="AA30" s="13"/>
      <c r="AB30" s="13"/>
      <c r="AC30" s="13"/>
      <c r="AD30" s="13"/>
      <c r="AE30" s="13"/>
      <c r="AF30" s="13"/>
      <c r="AG30" s="13"/>
      <c r="AH30" s="13"/>
      <c r="AI30" s="13"/>
      <c r="AJ30" s="13"/>
      <c r="AK30" s="13"/>
      <c r="AL30" s="13"/>
      <c r="AM30" s="13"/>
    </row>
    <row r="31" spans="1:39" s="137" customFormat="1" ht="15.75">
      <c r="A31" s="137" t="s">
        <v>1340</v>
      </c>
      <c r="B31" s="135" t="s">
        <v>565</v>
      </c>
      <c r="C31" s="136">
        <f>'ECONOMIA &amp; PROFESIONES'!I57</f>
        <v>2.5</v>
      </c>
      <c r="D31" s="182"/>
      <c r="E31" s="137" t="s">
        <v>1305</v>
      </c>
      <c r="G31" s="137">
        <f t="shared" si="0"/>
        <v>0</v>
      </c>
      <c r="H31" s="137" t="s">
        <v>1305</v>
      </c>
      <c r="J31" s="137">
        <f t="shared" si="1"/>
        <v>0</v>
      </c>
      <c r="K31" s="137" t="s">
        <v>1305</v>
      </c>
      <c r="M31" s="137">
        <f t="shared" si="2"/>
        <v>0</v>
      </c>
      <c r="N31" s="137" t="s">
        <v>1305</v>
      </c>
      <c r="P31" s="137">
        <f t="shared" si="3"/>
        <v>0</v>
      </c>
      <c r="Q31" s="137" t="s">
        <v>1305</v>
      </c>
      <c r="S31" s="137">
        <f t="shared" si="4"/>
        <v>0</v>
      </c>
      <c r="T31" s="137" t="s">
        <v>1305</v>
      </c>
      <c r="V31" s="137">
        <f t="shared" si="5"/>
        <v>0</v>
      </c>
    </row>
    <row r="32" spans="1:39" s="137" customFormat="1" ht="15.75">
      <c r="A32" s="137" t="s">
        <v>560</v>
      </c>
      <c r="B32" s="135" t="s">
        <v>566</v>
      </c>
      <c r="C32" s="136">
        <f>'ECONOMIA &amp; PROFESIONES'!G40</f>
        <v>9</v>
      </c>
      <c r="D32" s="182"/>
      <c r="E32" s="137" t="s">
        <v>1305</v>
      </c>
      <c r="G32" s="137">
        <f t="shared" si="0"/>
        <v>0</v>
      </c>
      <c r="H32" s="137" t="s">
        <v>1305</v>
      </c>
      <c r="J32" s="137">
        <f t="shared" si="1"/>
        <v>0</v>
      </c>
      <c r="K32" s="137" t="s">
        <v>1305</v>
      </c>
      <c r="M32" s="137">
        <f t="shared" si="2"/>
        <v>0</v>
      </c>
      <c r="N32" s="137" t="s">
        <v>1305</v>
      </c>
      <c r="P32" s="137">
        <f t="shared" si="3"/>
        <v>0</v>
      </c>
      <c r="Q32" s="137" t="s">
        <v>1305</v>
      </c>
      <c r="S32" s="137">
        <f t="shared" si="4"/>
        <v>0</v>
      </c>
      <c r="T32" s="137" t="s">
        <v>1305</v>
      </c>
      <c r="V32" s="137">
        <f t="shared" si="5"/>
        <v>0</v>
      </c>
    </row>
    <row r="33" spans="1:22" ht="15.75">
      <c r="A33" s="153" t="s">
        <v>1348</v>
      </c>
      <c r="B33" s="125" t="s">
        <v>567</v>
      </c>
      <c r="C33" s="130">
        <f>((G33*F33)+(I33*J33)+(L33*M33)+(O33*P33)+(R33*S33)+(U33*V33))/D33</f>
        <v>54.75</v>
      </c>
      <c r="D33" s="180">
        <v>1</v>
      </c>
      <c r="E33" s="127" t="s">
        <v>566</v>
      </c>
      <c r="F33">
        <v>6</v>
      </c>
      <c r="G33" s="127">
        <f t="shared" si="0"/>
        <v>9</v>
      </c>
      <c r="H33" s="127" t="s">
        <v>618</v>
      </c>
      <c r="I33" s="127">
        <v>1</v>
      </c>
      <c r="J33" s="127">
        <f t="shared" si="1"/>
        <v>0.75</v>
      </c>
      <c r="K33" s="127" t="s">
        <v>1305</v>
      </c>
      <c r="M33" s="127">
        <f t="shared" si="2"/>
        <v>0</v>
      </c>
      <c r="N33" s="127" t="s">
        <v>1305</v>
      </c>
      <c r="P33" s="127">
        <f t="shared" si="3"/>
        <v>0</v>
      </c>
      <c r="Q33" s="127" t="s">
        <v>1305</v>
      </c>
      <c r="S33" s="127">
        <f t="shared" si="4"/>
        <v>0</v>
      </c>
      <c r="T33" s="127" t="s">
        <v>1305</v>
      </c>
      <c r="V33" s="127">
        <f t="shared" si="5"/>
        <v>0</v>
      </c>
    </row>
    <row r="34" spans="1:22" s="140" customFormat="1" ht="15.75">
      <c r="A34" s="153"/>
      <c r="B34" s="138" t="s">
        <v>568</v>
      </c>
      <c r="C34" s="130">
        <f t="shared" ref="C34:C39" si="9">((G34*F34)+(I34*J34)+(L34*M34)+(O34*P34)+(R34*S34)+(U34*V34))/D34</f>
        <v>0</v>
      </c>
      <c r="D34" s="180">
        <v>1</v>
      </c>
      <c r="E34" s="140" t="s">
        <v>1305</v>
      </c>
      <c r="G34" s="140">
        <f t="shared" si="0"/>
        <v>0</v>
      </c>
      <c r="H34" s="140" t="s">
        <v>1305</v>
      </c>
      <c r="J34" s="140">
        <f t="shared" si="1"/>
        <v>0</v>
      </c>
      <c r="K34" s="140" t="s">
        <v>1305</v>
      </c>
      <c r="M34" s="140">
        <f t="shared" si="2"/>
        <v>0</v>
      </c>
      <c r="N34" s="140" t="s">
        <v>1305</v>
      </c>
      <c r="P34" s="140">
        <f t="shared" si="3"/>
        <v>0</v>
      </c>
      <c r="Q34" s="140" t="s">
        <v>1305</v>
      </c>
      <c r="S34" s="140">
        <f t="shared" si="4"/>
        <v>0</v>
      </c>
      <c r="T34" s="140" t="s">
        <v>1305</v>
      </c>
      <c r="V34" s="140">
        <f t="shared" si="5"/>
        <v>0</v>
      </c>
    </row>
    <row r="35" spans="1:22" ht="15.75">
      <c r="A35" s="153" t="s">
        <v>1345</v>
      </c>
      <c r="B35" s="125" t="s">
        <v>569</v>
      </c>
      <c r="C35" s="130">
        <f t="shared" si="9"/>
        <v>5</v>
      </c>
      <c r="D35" s="180">
        <v>1</v>
      </c>
      <c r="E35" s="127" t="s">
        <v>575</v>
      </c>
      <c r="F35" s="127">
        <v>4</v>
      </c>
      <c r="G35" s="127">
        <f t="shared" si="0"/>
        <v>1.25</v>
      </c>
      <c r="H35" s="127" t="s">
        <v>1305</v>
      </c>
      <c r="J35" s="127">
        <f t="shared" si="1"/>
        <v>0</v>
      </c>
      <c r="K35" s="127" t="s">
        <v>1305</v>
      </c>
      <c r="M35" s="127">
        <f t="shared" si="2"/>
        <v>0</v>
      </c>
      <c r="N35" s="127" t="s">
        <v>1305</v>
      </c>
      <c r="P35" s="127">
        <f t="shared" si="3"/>
        <v>0</v>
      </c>
      <c r="Q35" s="127" t="s">
        <v>1305</v>
      </c>
      <c r="S35" s="127">
        <f t="shared" si="4"/>
        <v>0</v>
      </c>
      <c r="T35" s="127" t="s">
        <v>1305</v>
      </c>
      <c r="V35" s="127">
        <f t="shared" si="5"/>
        <v>0</v>
      </c>
    </row>
    <row r="36" spans="1:22" ht="15.75">
      <c r="A36" s="153" t="s">
        <v>1345</v>
      </c>
      <c r="B36" s="125" t="s">
        <v>570</v>
      </c>
      <c r="C36" s="130">
        <f t="shared" si="9"/>
        <v>1.25</v>
      </c>
      <c r="D36" s="180">
        <v>1</v>
      </c>
      <c r="E36" s="127" t="s">
        <v>575</v>
      </c>
      <c r="F36" s="127">
        <v>1</v>
      </c>
      <c r="G36" s="127">
        <f t="shared" si="0"/>
        <v>1.25</v>
      </c>
      <c r="H36" s="127" t="s">
        <v>1305</v>
      </c>
      <c r="J36" s="127">
        <f t="shared" si="1"/>
        <v>0</v>
      </c>
      <c r="K36" s="127" t="s">
        <v>1305</v>
      </c>
      <c r="M36" s="127">
        <f t="shared" si="2"/>
        <v>0</v>
      </c>
      <c r="N36" s="127" t="s">
        <v>1305</v>
      </c>
      <c r="P36" s="127">
        <f t="shared" si="3"/>
        <v>0</v>
      </c>
      <c r="Q36" s="127" t="s">
        <v>1305</v>
      </c>
      <c r="S36" s="127">
        <f t="shared" si="4"/>
        <v>0</v>
      </c>
      <c r="T36" s="127" t="s">
        <v>1305</v>
      </c>
      <c r="V36" s="127">
        <f t="shared" si="5"/>
        <v>0</v>
      </c>
    </row>
    <row r="37" spans="1:22" ht="15.75">
      <c r="A37" s="153" t="s">
        <v>1345</v>
      </c>
      <c r="B37" s="125" t="s">
        <v>571</v>
      </c>
      <c r="C37" s="130">
        <f t="shared" si="9"/>
        <v>2.5</v>
      </c>
      <c r="D37" s="180">
        <v>3</v>
      </c>
      <c r="E37" s="127" t="s">
        <v>575</v>
      </c>
      <c r="F37" s="127">
        <v>6</v>
      </c>
      <c r="G37" s="127">
        <f t="shared" si="0"/>
        <v>1.25</v>
      </c>
      <c r="H37" s="127" t="s">
        <v>1305</v>
      </c>
      <c r="J37" s="127">
        <f t="shared" si="1"/>
        <v>0</v>
      </c>
      <c r="K37" s="127" t="s">
        <v>1305</v>
      </c>
      <c r="M37" s="127">
        <f t="shared" si="2"/>
        <v>0</v>
      </c>
      <c r="N37" s="127" t="s">
        <v>1305</v>
      </c>
      <c r="P37" s="127">
        <f t="shared" si="3"/>
        <v>0</v>
      </c>
      <c r="Q37" s="127" t="s">
        <v>1305</v>
      </c>
      <c r="S37" s="127">
        <f t="shared" si="4"/>
        <v>0</v>
      </c>
      <c r="T37" s="127" t="s">
        <v>1305</v>
      </c>
      <c r="V37" s="127">
        <f t="shared" si="5"/>
        <v>0</v>
      </c>
    </row>
    <row r="38" spans="1:22" ht="15.75">
      <c r="A38" s="153" t="s">
        <v>1345</v>
      </c>
      <c r="B38" s="125" t="s">
        <v>572</v>
      </c>
      <c r="C38" s="130">
        <f t="shared" si="9"/>
        <v>5.25</v>
      </c>
      <c r="D38" s="180">
        <v>1</v>
      </c>
      <c r="E38" s="127" t="s">
        <v>575</v>
      </c>
      <c r="F38" s="127">
        <v>4</v>
      </c>
      <c r="G38" s="127">
        <f t="shared" si="0"/>
        <v>1.25</v>
      </c>
      <c r="H38" s="127" t="s">
        <v>1208</v>
      </c>
      <c r="I38" s="127">
        <v>2</v>
      </c>
      <c r="J38" s="127">
        <f t="shared" si="1"/>
        <v>0.125</v>
      </c>
      <c r="K38" s="127" t="s">
        <v>1305</v>
      </c>
      <c r="M38" s="127">
        <f t="shared" si="2"/>
        <v>0</v>
      </c>
      <c r="N38" s="127" t="s">
        <v>1305</v>
      </c>
      <c r="P38" s="127">
        <f t="shared" si="3"/>
        <v>0</v>
      </c>
      <c r="Q38" s="127" t="s">
        <v>1305</v>
      </c>
      <c r="S38" s="127">
        <f t="shared" si="4"/>
        <v>0</v>
      </c>
      <c r="T38" s="127" t="s">
        <v>1305</v>
      </c>
      <c r="V38" s="127">
        <f t="shared" si="5"/>
        <v>0</v>
      </c>
    </row>
    <row r="39" spans="1:22" ht="15.75">
      <c r="A39" s="153" t="s">
        <v>1345</v>
      </c>
      <c r="B39" s="125" t="s">
        <v>573</v>
      </c>
      <c r="C39" s="130">
        <f t="shared" si="9"/>
        <v>3</v>
      </c>
      <c r="D39" s="180">
        <v>1</v>
      </c>
      <c r="E39" s="127" t="s">
        <v>575</v>
      </c>
      <c r="F39" s="127">
        <v>2</v>
      </c>
      <c r="G39" s="127">
        <f t="shared" si="0"/>
        <v>1.25</v>
      </c>
      <c r="H39" s="127" t="s">
        <v>1208</v>
      </c>
      <c r="I39" s="127">
        <v>4</v>
      </c>
      <c r="J39" s="127">
        <f t="shared" si="1"/>
        <v>0.125</v>
      </c>
      <c r="K39" s="127" t="s">
        <v>1305</v>
      </c>
      <c r="M39" s="127">
        <f t="shared" si="2"/>
        <v>0</v>
      </c>
      <c r="N39" s="127" t="s">
        <v>1305</v>
      </c>
      <c r="P39" s="127">
        <f t="shared" si="3"/>
        <v>0</v>
      </c>
      <c r="Q39" s="127" t="s">
        <v>1305</v>
      </c>
      <c r="S39" s="127">
        <f t="shared" si="4"/>
        <v>0</v>
      </c>
      <c r="T39" s="127" t="s">
        <v>1305</v>
      </c>
      <c r="V39" s="127">
        <f t="shared" si="5"/>
        <v>0</v>
      </c>
    </row>
    <row r="40" spans="1:22" s="137" customFormat="1" ht="15.75">
      <c r="A40" s="137" t="s">
        <v>1338</v>
      </c>
      <c r="B40" s="135" t="s">
        <v>574</v>
      </c>
      <c r="C40" s="136">
        <f>'ECONOMIA &amp; PROFESIONES'!E34</f>
        <v>5</v>
      </c>
      <c r="D40" s="182"/>
      <c r="E40" s="137" t="s">
        <v>1305</v>
      </c>
      <c r="G40" s="137">
        <f t="shared" si="0"/>
        <v>0</v>
      </c>
      <c r="H40" s="137" t="s">
        <v>1305</v>
      </c>
      <c r="J40" s="137">
        <f t="shared" si="1"/>
        <v>0</v>
      </c>
      <c r="K40" s="137" t="s">
        <v>1305</v>
      </c>
      <c r="M40" s="137">
        <f t="shared" si="2"/>
        <v>0</v>
      </c>
      <c r="N40" s="137" t="s">
        <v>1305</v>
      </c>
      <c r="P40" s="137">
        <f t="shared" si="3"/>
        <v>0</v>
      </c>
      <c r="Q40" s="137" t="s">
        <v>1305</v>
      </c>
      <c r="S40" s="137">
        <f t="shared" si="4"/>
        <v>0</v>
      </c>
      <c r="T40" s="137" t="s">
        <v>1305</v>
      </c>
      <c r="V40" s="137">
        <f t="shared" si="5"/>
        <v>0</v>
      </c>
    </row>
    <row r="41" spans="1:22" ht="15.75">
      <c r="A41" s="153" t="s">
        <v>1345</v>
      </c>
      <c r="B41" s="125" t="s">
        <v>575</v>
      </c>
      <c r="C41" s="130">
        <f>((G41*F41)+(I41*J41)+(L41*M41)+(O41*P41)+(R41*S41)+(U41*V41))/D41</f>
        <v>1.25</v>
      </c>
      <c r="D41" s="180">
        <v>4</v>
      </c>
      <c r="E41" s="127" t="s">
        <v>574</v>
      </c>
      <c r="F41">
        <v>1</v>
      </c>
      <c r="G41" s="127">
        <f t="shared" si="0"/>
        <v>5</v>
      </c>
      <c r="H41" s="127" t="s">
        <v>1305</v>
      </c>
      <c r="J41" s="127">
        <f t="shared" si="1"/>
        <v>0</v>
      </c>
      <c r="K41" s="127" t="s">
        <v>1305</v>
      </c>
      <c r="M41" s="127">
        <f t="shared" si="2"/>
        <v>0</v>
      </c>
      <c r="N41" s="127" t="s">
        <v>1305</v>
      </c>
      <c r="P41" s="127">
        <f t="shared" si="3"/>
        <v>0</v>
      </c>
      <c r="Q41" s="127" t="s">
        <v>1305</v>
      </c>
      <c r="S41" s="127">
        <f t="shared" si="4"/>
        <v>0</v>
      </c>
      <c r="T41" s="127" t="s">
        <v>1305</v>
      </c>
      <c r="V41" s="127">
        <f t="shared" si="5"/>
        <v>0</v>
      </c>
    </row>
    <row r="42" spans="1:22" ht="15.75">
      <c r="A42" s="153" t="s">
        <v>1345</v>
      </c>
      <c r="B42" s="125" t="s">
        <v>576</v>
      </c>
      <c r="C42" s="130">
        <f t="shared" ref="C42:C69" si="10">((G42*F42)+(I42*J42)+(L42*M42)+(O42*P42)+(R42*S42)+(U42*V42))/D42</f>
        <v>2.5</v>
      </c>
      <c r="D42" s="180">
        <v>1</v>
      </c>
      <c r="E42" s="127" t="s">
        <v>575</v>
      </c>
      <c r="F42" s="127">
        <v>2</v>
      </c>
      <c r="G42" s="127">
        <f t="shared" si="0"/>
        <v>1.25</v>
      </c>
      <c r="H42" s="127" t="s">
        <v>1305</v>
      </c>
      <c r="J42" s="127">
        <f t="shared" si="1"/>
        <v>0</v>
      </c>
      <c r="K42" s="127" t="s">
        <v>1305</v>
      </c>
      <c r="M42" s="127">
        <f t="shared" si="2"/>
        <v>0</v>
      </c>
      <c r="N42" s="127" t="s">
        <v>1305</v>
      </c>
      <c r="P42" s="127">
        <f t="shared" si="3"/>
        <v>0</v>
      </c>
      <c r="Q42" s="127" t="s">
        <v>1305</v>
      </c>
      <c r="S42" s="127">
        <f t="shared" si="4"/>
        <v>0</v>
      </c>
      <c r="T42" s="127" t="s">
        <v>1305</v>
      </c>
      <c r="V42" s="127">
        <f t="shared" si="5"/>
        <v>0</v>
      </c>
    </row>
    <row r="43" spans="1:22" ht="15.75">
      <c r="A43" s="153" t="s">
        <v>1345</v>
      </c>
      <c r="B43" s="125" t="s">
        <v>577</v>
      </c>
      <c r="C43" s="130">
        <f t="shared" si="10"/>
        <v>2.5416666666666665</v>
      </c>
      <c r="D43" s="180">
        <v>3</v>
      </c>
      <c r="E43" s="127" t="s">
        <v>575</v>
      </c>
      <c r="F43" s="127">
        <v>6</v>
      </c>
      <c r="G43" s="127">
        <f t="shared" si="0"/>
        <v>1.25</v>
      </c>
      <c r="H43" s="127" t="s">
        <v>1208</v>
      </c>
      <c r="I43" s="127">
        <v>1</v>
      </c>
      <c r="J43" s="127">
        <f t="shared" si="1"/>
        <v>0.125</v>
      </c>
      <c r="K43" s="127" t="s">
        <v>1305</v>
      </c>
      <c r="M43" s="127">
        <f t="shared" si="2"/>
        <v>0</v>
      </c>
      <c r="N43" s="127" t="s">
        <v>1305</v>
      </c>
      <c r="P43" s="127">
        <f t="shared" si="3"/>
        <v>0</v>
      </c>
      <c r="Q43" s="127" t="s">
        <v>1305</v>
      </c>
      <c r="S43" s="127">
        <f t="shared" si="4"/>
        <v>0</v>
      </c>
      <c r="T43" s="127" t="s">
        <v>1305</v>
      </c>
      <c r="V43" s="127">
        <f t="shared" si="5"/>
        <v>0</v>
      </c>
    </row>
    <row r="44" spans="1:22" ht="15.75">
      <c r="A44" s="153" t="s">
        <v>1345</v>
      </c>
      <c r="B44" s="125" t="s">
        <v>578</v>
      </c>
      <c r="C44" s="130">
        <f t="shared" si="10"/>
        <v>0.625</v>
      </c>
      <c r="D44" s="180">
        <v>6</v>
      </c>
      <c r="E44" s="127" t="s">
        <v>575</v>
      </c>
      <c r="F44" s="127">
        <v>3</v>
      </c>
      <c r="G44" s="127">
        <f t="shared" si="0"/>
        <v>1.25</v>
      </c>
      <c r="H44" s="127" t="s">
        <v>1305</v>
      </c>
      <c r="J44" s="127">
        <f t="shared" si="1"/>
        <v>0</v>
      </c>
      <c r="K44" s="127" t="s">
        <v>1305</v>
      </c>
      <c r="M44" s="127">
        <f t="shared" si="2"/>
        <v>0</v>
      </c>
      <c r="N44" s="127" t="s">
        <v>1305</v>
      </c>
      <c r="P44" s="127">
        <f t="shared" si="3"/>
        <v>0</v>
      </c>
      <c r="Q44" s="127" t="s">
        <v>1305</v>
      </c>
      <c r="S44" s="127">
        <f t="shared" si="4"/>
        <v>0</v>
      </c>
      <c r="T44" s="127" t="s">
        <v>1305</v>
      </c>
      <c r="V44" s="127">
        <f t="shared" si="5"/>
        <v>0</v>
      </c>
    </row>
    <row r="45" spans="1:22" ht="15.75">
      <c r="A45" s="153" t="s">
        <v>1345</v>
      </c>
      <c r="B45" s="125" t="s">
        <v>579</v>
      </c>
      <c r="C45" s="130">
        <f t="shared" si="10"/>
        <v>1.875</v>
      </c>
      <c r="D45" s="180">
        <v>4</v>
      </c>
      <c r="E45" s="127" t="s">
        <v>575</v>
      </c>
      <c r="F45" s="127">
        <v>6</v>
      </c>
      <c r="G45" s="127">
        <f t="shared" si="0"/>
        <v>1.25</v>
      </c>
      <c r="H45" s="127" t="s">
        <v>1305</v>
      </c>
      <c r="J45" s="127">
        <f t="shared" si="1"/>
        <v>0</v>
      </c>
      <c r="K45" s="127" t="s">
        <v>1305</v>
      </c>
      <c r="M45" s="127">
        <f t="shared" si="2"/>
        <v>0</v>
      </c>
      <c r="N45" s="127" t="s">
        <v>1305</v>
      </c>
      <c r="P45" s="127">
        <f t="shared" si="3"/>
        <v>0</v>
      </c>
      <c r="Q45" s="127" t="s">
        <v>1305</v>
      </c>
      <c r="S45" s="127">
        <f t="shared" si="4"/>
        <v>0</v>
      </c>
      <c r="T45" s="127" t="s">
        <v>1305</v>
      </c>
      <c r="V45" s="127">
        <f t="shared" si="5"/>
        <v>0</v>
      </c>
    </row>
    <row r="46" spans="1:22" ht="15.75">
      <c r="A46" s="153" t="s">
        <v>1345</v>
      </c>
      <c r="B46" s="125" t="s">
        <v>580</v>
      </c>
      <c r="C46" s="130">
        <f t="shared" si="10"/>
        <v>3.75</v>
      </c>
      <c r="D46" s="180">
        <v>2</v>
      </c>
      <c r="E46" s="127" t="s">
        <v>575</v>
      </c>
      <c r="F46" s="127">
        <v>6</v>
      </c>
      <c r="G46" s="127">
        <f t="shared" si="0"/>
        <v>1.25</v>
      </c>
      <c r="H46" s="127" t="s">
        <v>1305</v>
      </c>
      <c r="J46" s="127">
        <f t="shared" si="1"/>
        <v>0</v>
      </c>
      <c r="K46" s="127" t="s">
        <v>1305</v>
      </c>
      <c r="M46" s="127">
        <f t="shared" si="2"/>
        <v>0</v>
      </c>
      <c r="N46" s="127" t="s">
        <v>1305</v>
      </c>
      <c r="P46" s="127">
        <f t="shared" si="3"/>
        <v>0</v>
      </c>
      <c r="Q46" s="127" t="s">
        <v>1305</v>
      </c>
      <c r="S46" s="127">
        <f t="shared" si="4"/>
        <v>0</v>
      </c>
      <c r="T46" s="127" t="s">
        <v>1305</v>
      </c>
      <c r="V46" s="127">
        <f t="shared" si="5"/>
        <v>0</v>
      </c>
    </row>
    <row r="47" spans="1:22" s="137" customFormat="1" ht="15.75">
      <c r="A47" s="137" t="s">
        <v>1338</v>
      </c>
      <c r="B47" s="135" t="s">
        <v>581</v>
      </c>
      <c r="C47" s="136">
        <f>C40</f>
        <v>5</v>
      </c>
      <c r="D47" s="182"/>
      <c r="E47" s="137" t="s">
        <v>1305</v>
      </c>
      <c r="G47" s="137">
        <f t="shared" si="0"/>
        <v>0</v>
      </c>
      <c r="H47" s="137" t="s">
        <v>1305</v>
      </c>
      <c r="J47" s="137">
        <f t="shared" si="1"/>
        <v>0</v>
      </c>
      <c r="K47" s="137" t="s">
        <v>1305</v>
      </c>
      <c r="M47" s="137">
        <f t="shared" si="2"/>
        <v>0</v>
      </c>
      <c r="N47" s="137" t="s">
        <v>1305</v>
      </c>
      <c r="P47" s="137">
        <f t="shared" si="3"/>
        <v>0</v>
      </c>
      <c r="Q47" s="137" t="s">
        <v>1305</v>
      </c>
      <c r="S47" s="137">
        <f t="shared" si="4"/>
        <v>0</v>
      </c>
      <c r="T47" s="137" t="s">
        <v>1305</v>
      </c>
      <c r="V47" s="137">
        <f t="shared" si="5"/>
        <v>0</v>
      </c>
    </row>
    <row r="48" spans="1:22" ht="15.75">
      <c r="A48" s="153" t="s">
        <v>1351</v>
      </c>
      <c r="B48" s="125" t="s">
        <v>582</v>
      </c>
      <c r="C48" s="130">
        <f t="shared" si="10"/>
        <v>42.125</v>
      </c>
      <c r="D48" s="180">
        <v>1</v>
      </c>
      <c r="E48" s="127" t="s">
        <v>593</v>
      </c>
      <c r="F48">
        <v>6</v>
      </c>
      <c r="G48" s="127">
        <f t="shared" si="0"/>
        <v>7</v>
      </c>
      <c r="H48" s="127" t="s">
        <v>1208</v>
      </c>
      <c r="I48" s="127">
        <v>1</v>
      </c>
      <c r="J48" s="127">
        <f t="shared" si="1"/>
        <v>0.125</v>
      </c>
      <c r="K48" s="127" t="s">
        <v>1305</v>
      </c>
      <c r="M48" s="127">
        <f t="shared" si="2"/>
        <v>0</v>
      </c>
      <c r="N48" s="127" t="s">
        <v>1305</v>
      </c>
      <c r="P48" s="127">
        <f t="shared" si="3"/>
        <v>0</v>
      </c>
      <c r="Q48" s="127" t="s">
        <v>1305</v>
      </c>
      <c r="S48" s="127">
        <f t="shared" si="4"/>
        <v>0</v>
      </c>
      <c r="T48" s="127" t="s">
        <v>1305</v>
      </c>
      <c r="V48" s="127">
        <f t="shared" si="5"/>
        <v>0</v>
      </c>
    </row>
    <row r="49" spans="1:22" ht="15.75">
      <c r="A49" s="153" t="s">
        <v>1351</v>
      </c>
      <c r="B49" s="125" t="s">
        <v>583</v>
      </c>
      <c r="C49" s="130">
        <f t="shared" si="10"/>
        <v>21.75</v>
      </c>
      <c r="D49" s="180">
        <v>1</v>
      </c>
      <c r="E49" s="127" t="s">
        <v>593</v>
      </c>
      <c r="F49">
        <v>3</v>
      </c>
      <c r="G49" s="127">
        <f t="shared" si="0"/>
        <v>7</v>
      </c>
      <c r="H49" s="127" t="s">
        <v>1026</v>
      </c>
      <c r="I49" s="127">
        <v>3</v>
      </c>
      <c r="J49" s="127">
        <f t="shared" si="1"/>
        <v>0.25</v>
      </c>
      <c r="K49" s="127" t="s">
        <v>1305</v>
      </c>
      <c r="M49" s="127">
        <f t="shared" si="2"/>
        <v>0</v>
      </c>
      <c r="N49" s="127" t="s">
        <v>1305</v>
      </c>
      <c r="P49" s="127">
        <f t="shared" si="3"/>
        <v>0</v>
      </c>
      <c r="Q49" s="127" t="s">
        <v>1305</v>
      </c>
      <c r="S49" s="127">
        <f t="shared" si="4"/>
        <v>0</v>
      </c>
      <c r="T49" s="127" t="s">
        <v>1305</v>
      </c>
      <c r="V49" s="127">
        <f t="shared" si="5"/>
        <v>0</v>
      </c>
    </row>
    <row r="50" spans="1:22" ht="15.75">
      <c r="A50" s="153" t="s">
        <v>1351</v>
      </c>
      <c r="B50" s="125" t="s">
        <v>584</v>
      </c>
      <c r="C50" s="130">
        <f t="shared" si="10"/>
        <v>4.666666666666667</v>
      </c>
      <c r="D50" s="180">
        <v>3</v>
      </c>
      <c r="E50" s="127" t="s">
        <v>593</v>
      </c>
      <c r="F50">
        <v>2</v>
      </c>
      <c r="G50" s="127">
        <f t="shared" si="0"/>
        <v>7</v>
      </c>
      <c r="H50" s="127" t="s">
        <v>1305</v>
      </c>
      <c r="J50" s="127">
        <f t="shared" si="1"/>
        <v>0</v>
      </c>
      <c r="K50" s="127" t="s">
        <v>1305</v>
      </c>
      <c r="M50" s="127">
        <f t="shared" si="2"/>
        <v>0</v>
      </c>
      <c r="N50" s="127" t="s">
        <v>1305</v>
      </c>
      <c r="P50" s="127">
        <f t="shared" si="3"/>
        <v>0</v>
      </c>
      <c r="Q50" s="127" t="s">
        <v>1305</v>
      </c>
      <c r="S50" s="127">
        <f t="shared" si="4"/>
        <v>0</v>
      </c>
      <c r="T50" s="127" t="s">
        <v>1305</v>
      </c>
      <c r="V50" s="127">
        <f t="shared" si="5"/>
        <v>0</v>
      </c>
    </row>
    <row r="51" spans="1:22" ht="15.75">
      <c r="A51" s="153" t="s">
        <v>1351</v>
      </c>
      <c r="B51" s="125" t="s">
        <v>585</v>
      </c>
      <c r="C51" s="130">
        <f t="shared" si="10"/>
        <v>3.125</v>
      </c>
      <c r="D51" s="180">
        <v>1</v>
      </c>
      <c r="E51" s="127" t="s">
        <v>586</v>
      </c>
      <c r="F51">
        <v>1</v>
      </c>
      <c r="G51" s="127">
        <f t="shared" si="0"/>
        <v>3.125</v>
      </c>
      <c r="H51" s="127" t="s">
        <v>1305</v>
      </c>
      <c r="J51" s="127">
        <f t="shared" si="1"/>
        <v>0</v>
      </c>
      <c r="K51" s="127" t="s">
        <v>1305</v>
      </c>
      <c r="M51" s="127">
        <f t="shared" si="2"/>
        <v>0</v>
      </c>
      <c r="N51" s="127" t="s">
        <v>1305</v>
      </c>
      <c r="P51" s="127">
        <f t="shared" si="3"/>
        <v>0</v>
      </c>
      <c r="Q51" s="127" t="s">
        <v>1305</v>
      </c>
      <c r="S51" s="127">
        <f t="shared" si="4"/>
        <v>0</v>
      </c>
      <c r="T51" s="127" t="s">
        <v>1305</v>
      </c>
      <c r="V51" s="127">
        <f t="shared" si="5"/>
        <v>0</v>
      </c>
    </row>
    <row r="52" spans="1:22" ht="15.75">
      <c r="A52" s="153" t="s">
        <v>1351</v>
      </c>
      <c r="B52" s="125" t="s">
        <v>586</v>
      </c>
      <c r="C52" s="130">
        <f t="shared" si="10"/>
        <v>3.125</v>
      </c>
      <c r="D52" s="180">
        <v>8</v>
      </c>
      <c r="E52" s="127" t="s">
        <v>1158</v>
      </c>
      <c r="F52">
        <v>4</v>
      </c>
      <c r="G52" s="127">
        <f t="shared" si="0"/>
        <v>5</v>
      </c>
      <c r="H52" s="127" t="s">
        <v>844</v>
      </c>
      <c r="I52" s="127">
        <v>4</v>
      </c>
      <c r="J52" s="127">
        <f t="shared" si="1"/>
        <v>1</v>
      </c>
      <c r="K52" s="127" t="s">
        <v>587</v>
      </c>
      <c r="L52" s="127">
        <v>1</v>
      </c>
      <c r="M52" s="127">
        <f t="shared" si="2"/>
        <v>1</v>
      </c>
      <c r="N52" s="127" t="s">
        <v>1305</v>
      </c>
      <c r="P52" s="127">
        <f t="shared" si="3"/>
        <v>0</v>
      </c>
      <c r="Q52" s="127" t="s">
        <v>1305</v>
      </c>
      <c r="S52" s="127">
        <f t="shared" si="4"/>
        <v>0</v>
      </c>
      <c r="T52" s="127" t="s">
        <v>1305</v>
      </c>
      <c r="V52" s="127">
        <f t="shared" si="5"/>
        <v>0</v>
      </c>
    </row>
    <row r="53" spans="1:22" s="13" customFormat="1" ht="15.75">
      <c r="A53" s="153" t="s">
        <v>1351</v>
      </c>
      <c r="B53" s="144" t="s">
        <v>587</v>
      </c>
      <c r="C53" s="130">
        <f t="shared" si="10"/>
        <v>1</v>
      </c>
      <c r="D53" s="180">
        <v>1</v>
      </c>
      <c r="E53" s="13" t="s">
        <v>886</v>
      </c>
      <c r="F53" s="13">
        <v>1</v>
      </c>
      <c r="G53" s="13">
        <f t="shared" si="0"/>
        <v>1</v>
      </c>
      <c r="H53" s="13" t="s">
        <v>1275</v>
      </c>
      <c r="J53" s="13">
        <f t="shared" si="1"/>
        <v>5.5</v>
      </c>
      <c r="K53" s="13" t="s">
        <v>1305</v>
      </c>
      <c r="M53" s="13">
        <f t="shared" si="2"/>
        <v>0</v>
      </c>
      <c r="N53" s="13" t="s">
        <v>1305</v>
      </c>
      <c r="P53" s="13">
        <f t="shared" si="3"/>
        <v>0</v>
      </c>
      <c r="Q53" s="13" t="s">
        <v>1305</v>
      </c>
      <c r="S53" s="13">
        <f t="shared" si="4"/>
        <v>0</v>
      </c>
      <c r="T53" s="13" t="s">
        <v>1305</v>
      </c>
      <c r="V53" s="13">
        <f t="shared" si="5"/>
        <v>0</v>
      </c>
    </row>
    <row r="54" spans="1:22" ht="15.75">
      <c r="A54" s="153" t="s">
        <v>1351</v>
      </c>
      <c r="B54" s="125" t="s">
        <v>588</v>
      </c>
      <c r="C54" s="130">
        <f t="shared" si="10"/>
        <v>34.125</v>
      </c>
      <c r="D54" s="180">
        <v>1</v>
      </c>
      <c r="E54" s="127" t="s">
        <v>592</v>
      </c>
      <c r="F54">
        <v>1</v>
      </c>
      <c r="G54" s="127">
        <f t="shared" si="0"/>
        <v>31.125</v>
      </c>
      <c r="H54" s="127" t="s">
        <v>672</v>
      </c>
      <c r="I54" s="127">
        <v>1</v>
      </c>
      <c r="J54" s="127">
        <f t="shared" si="1"/>
        <v>3</v>
      </c>
      <c r="K54" s="127" t="s">
        <v>1305</v>
      </c>
      <c r="M54" s="127">
        <f t="shared" si="2"/>
        <v>0</v>
      </c>
      <c r="N54" s="127" t="s">
        <v>1305</v>
      </c>
      <c r="P54" s="127">
        <f t="shared" si="3"/>
        <v>0</v>
      </c>
      <c r="Q54" s="127" t="s">
        <v>1305</v>
      </c>
      <c r="S54" s="127">
        <f t="shared" si="4"/>
        <v>0</v>
      </c>
      <c r="T54" s="127" t="s">
        <v>1305</v>
      </c>
      <c r="V54" s="127">
        <f t="shared" si="5"/>
        <v>0</v>
      </c>
    </row>
    <row r="55" spans="1:22" ht="15.75">
      <c r="A55" s="153" t="s">
        <v>1351</v>
      </c>
      <c r="B55" s="125" t="s">
        <v>589</v>
      </c>
      <c r="C55" s="130">
        <f t="shared" si="10"/>
        <v>12</v>
      </c>
      <c r="D55" s="180">
        <v>1</v>
      </c>
      <c r="E55" s="127" t="s">
        <v>587</v>
      </c>
      <c r="F55">
        <v>1</v>
      </c>
      <c r="G55" s="127">
        <f t="shared" si="0"/>
        <v>1</v>
      </c>
      <c r="H55" s="127" t="s">
        <v>1170</v>
      </c>
      <c r="I55" s="127">
        <v>1</v>
      </c>
      <c r="J55" s="127">
        <f t="shared" si="1"/>
        <v>11</v>
      </c>
      <c r="K55" s="127" t="s">
        <v>1305</v>
      </c>
      <c r="M55" s="127">
        <f t="shared" si="2"/>
        <v>0</v>
      </c>
      <c r="N55" s="127" t="s">
        <v>1305</v>
      </c>
      <c r="P55" s="127">
        <f t="shared" si="3"/>
        <v>0</v>
      </c>
      <c r="Q55" s="127" t="s">
        <v>1305</v>
      </c>
      <c r="S55" s="127">
        <f t="shared" si="4"/>
        <v>0</v>
      </c>
      <c r="T55" s="127" t="s">
        <v>1305</v>
      </c>
      <c r="V55" s="127">
        <f t="shared" si="5"/>
        <v>0</v>
      </c>
    </row>
    <row r="56" spans="1:22" ht="15.75">
      <c r="A56" s="153" t="s">
        <v>1351</v>
      </c>
      <c r="B56" s="125" t="s">
        <v>590</v>
      </c>
      <c r="C56" s="130">
        <f t="shared" si="10"/>
        <v>8.125</v>
      </c>
      <c r="D56" s="180">
        <v>8</v>
      </c>
      <c r="E56" s="127" t="s">
        <v>814</v>
      </c>
      <c r="F56">
        <v>8</v>
      </c>
      <c r="G56" s="127">
        <f t="shared" si="0"/>
        <v>8</v>
      </c>
      <c r="H56" s="127" t="s">
        <v>587</v>
      </c>
      <c r="I56" s="127">
        <v>1</v>
      </c>
      <c r="J56" s="127">
        <f t="shared" si="1"/>
        <v>1</v>
      </c>
      <c r="K56" s="127" t="s">
        <v>1305</v>
      </c>
      <c r="M56" s="127">
        <f t="shared" si="2"/>
        <v>0</v>
      </c>
      <c r="N56" s="127" t="s">
        <v>1305</v>
      </c>
      <c r="P56" s="127">
        <f t="shared" si="3"/>
        <v>0</v>
      </c>
      <c r="Q56" s="127" t="s">
        <v>1305</v>
      </c>
      <c r="S56" s="127">
        <f t="shared" si="4"/>
        <v>0</v>
      </c>
      <c r="T56" s="127" t="s">
        <v>1305</v>
      </c>
      <c r="V56" s="127">
        <f t="shared" si="5"/>
        <v>0</v>
      </c>
    </row>
    <row r="57" spans="1:22" ht="15.75">
      <c r="A57" s="153" t="s">
        <v>1351</v>
      </c>
      <c r="B57" s="125" t="s">
        <v>591</v>
      </c>
      <c r="C57" s="130">
        <f t="shared" si="10"/>
        <v>3.046875</v>
      </c>
      <c r="D57" s="180">
        <v>16</v>
      </c>
      <c r="E57" s="127" t="s">
        <v>590</v>
      </c>
      <c r="F57">
        <v>6</v>
      </c>
      <c r="G57" s="127">
        <f t="shared" si="0"/>
        <v>8.125</v>
      </c>
      <c r="H57" s="127" t="s">
        <v>1305</v>
      </c>
      <c r="J57" s="127">
        <f t="shared" si="1"/>
        <v>0</v>
      </c>
      <c r="K57" s="127" t="s">
        <v>1305</v>
      </c>
      <c r="M57" s="127">
        <f t="shared" si="2"/>
        <v>0</v>
      </c>
      <c r="N57" s="127" t="s">
        <v>1305</v>
      </c>
      <c r="P57" s="127">
        <f t="shared" si="3"/>
        <v>0</v>
      </c>
      <c r="Q57" s="127" t="s">
        <v>1305</v>
      </c>
      <c r="S57" s="127">
        <f t="shared" si="4"/>
        <v>0</v>
      </c>
      <c r="T57" s="127" t="s">
        <v>1305</v>
      </c>
      <c r="V57" s="127">
        <f t="shared" si="5"/>
        <v>0</v>
      </c>
    </row>
    <row r="58" spans="1:22" ht="15.75">
      <c r="A58" s="153" t="s">
        <v>1351</v>
      </c>
      <c r="B58" s="125" t="s">
        <v>592</v>
      </c>
      <c r="C58" s="130">
        <f t="shared" si="10"/>
        <v>31.125</v>
      </c>
      <c r="D58" s="180">
        <v>8</v>
      </c>
      <c r="E58" s="127" t="s">
        <v>1245</v>
      </c>
      <c r="F58">
        <v>8</v>
      </c>
      <c r="G58" s="127">
        <f t="shared" si="0"/>
        <v>31</v>
      </c>
      <c r="H58" s="127" t="s">
        <v>587</v>
      </c>
      <c r="I58" s="127">
        <v>1</v>
      </c>
      <c r="J58" s="127">
        <f t="shared" si="1"/>
        <v>1</v>
      </c>
      <c r="K58" s="127" t="s">
        <v>1305</v>
      </c>
      <c r="M58" s="127">
        <f t="shared" si="2"/>
        <v>0</v>
      </c>
      <c r="N58" s="127" t="s">
        <v>1305</v>
      </c>
      <c r="P58" s="127">
        <f t="shared" si="3"/>
        <v>0</v>
      </c>
      <c r="Q58" s="127" t="s">
        <v>1305</v>
      </c>
      <c r="S58" s="127">
        <f t="shared" si="4"/>
        <v>0</v>
      </c>
      <c r="T58" s="127" t="s">
        <v>1305</v>
      </c>
      <c r="V58" s="127">
        <f t="shared" si="5"/>
        <v>0</v>
      </c>
    </row>
    <row r="59" spans="1:22" ht="15.75">
      <c r="A59" s="153" t="s">
        <v>1351</v>
      </c>
      <c r="B59" s="125" t="s">
        <v>593</v>
      </c>
      <c r="C59" s="130">
        <f t="shared" si="10"/>
        <v>7</v>
      </c>
      <c r="D59" s="180">
        <v>1</v>
      </c>
      <c r="E59" s="127" t="s">
        <v>1274</v>
      </c>
      <c r="F59">
        <v>1</v>
      </c>
      <c r="G59" s="127">
        <f t="shared" si="0"/>
        <v>6</v>
      </c>
      <c r="H59" s="127" t="s">
        <v>587</v>
      </c>
      <c r="I59" s="127">
        <v>1</v>
      </c>
      <c r="J59" s="127">
        <f t="shared" si="1"/>
        <v>1</v>
      </c>
      <c r="K59" s="127" t="s">
        <v>1305</v>
      </c>
      <c r="M59" s="127">
        <f t="shared" si="2"/>
        <v>0</v>
      </c>
      <c r="N59" s="127" t="s">
        <v>1305</v>
      </c>
      <c r="P59" s="127">
        <f t="shared" si="3"/>
        <v>0</v>
      </c>
      <c r="Q59" s="127" t="s">
        <v>1305</v>
      </c>
      <c r="S59" s="127">
        <f t="shared" si="4"/>
        <v>0</v>
      </c>
      <c r="T59" s="127" t="s">
        <v>1305</v>
      </c>
      <c r="V59" s="127">
        <f t="shared" si="5"/>
        <v>0</v>
      </c>
    </row>
    <row r="60" spans="1:22" ht="15.75">
      <c r="A60" s="153" t="s">
        <v>1351</v>
      </c>
      <c r="B60" s="125" t="s">
        <v>594</v>
      </c>
      <c r="C60" s="130">
        <f t="shared" si="10"/>
        <v>60</v>
      </c>
      <c r="D60" s="180">
        <v>1</v>
      </c>
      <c r="E60" s="127" t="s">
        <v>811</v>
      </c>
      <c r="F60">
        <v>1</v>
      </c>
      <c r="G60" s="127">
        <f t="shared" si="0"/>
        <v>8</v>
      </c>
      <c r="H60" s="127" t="s">
        <v>896</v>
      </c>
      <c r="I60" s="127">
        <v>5</v>
      </c>
      <c r="J60" s="127">
        <f t="shared" si="1"/>
        <v>8</v>
      </c>
      <c r="K60" s="127" t="s">
        <v>1186</v>
      </c>
      <c r="L60" s="127">
        <v>3</v>
      </c>
      <c r="M60" s="127">
        <f t="shared" si="2"/>
        <v>4</v>
      </c>
      <c r="N60" s="127" t="s">
        <v>1305</v>
      </c>
      <c r="P60" s="127">
        <f t="shared" si="3"/>
        <v>0</v>
      </c>
      <c r="Q60" s="127" t="s">
        <v>1305</v>
      </c>
      <c r="S60" s="127">
        <f t="shared" si="4"/>
        <v>0</v>
      </c>
      <c r="T60" s="127" t="s">
        <v>1305</v>
      </c>
      <c r="V60" s="127">
        <f t="shared" si="5"/>
        <v>0</v>
      </c>
    </row>
    <row r="61" spans="1:22" ht="15.75">
      <c r="A61" s="153" t="s">
        <v>1352</v>
      </c>
      <c r="B61" s="125" t="s">
        <v>596</v>
      </c>
      <c r="C61" s="130">
        <f t="shared" si="10"/>
        <v>2.25</v>
      </c>
      <c r="D61" s="180">
        <v>2</v>
      </c>
      <c r="E61" s="127" t="s">
        <v>597</v>
      </c>
      <c r="F61">
        <v>1</v>
      </c>
      <c r="G61" s="127">
        <f t="shared" si="0"/>
        <v>4.5</v>
      </c>
      <c r="H61" s="127" t="s">
        <v>1305</v>
      </c>
      <c r="J61" s="127">
        <f t="shared" si="1"/>
        <v>0</v>
      </c>
      <c r="K61" s="127" t="s">
        <v>1305</v>
      </c>
      <c r="M61" s="127">
        <f t="shared" si="2"/>
        <v>0</v>
      </c>
      <c r="N61" s="127" t="s">
        <v>1305</v>
      </c>
      <c r="P61" s="127">
        <f t="shared" si="3"/>
        <v>0</v>
      </c>
      <c r="Q61" s="127" t="s">
        <v>1305</v>
      </c>
      <c r="S61" s="127">
        <f t="shared" si="4"/>
        <v>0</v>
      </c>
      <c r="T61" s="127" t="s">
        <v>1305</v>
      </c>
      <c r="V61" s="127">
        <f t="shared" si="5"/>
        <v>0</v>
      </c>
    </row>
    <row r="62" spans="1:22" s="148" customFormat="1" ht="15.75">
      <c r="A62" s="148" t="s">
        <v>1341</v>
      </c>
      <c r="B62" s="146" t="s">
        <v>597</v>
      </c>
      <c r="C62" s="147">
        <f>'ECONOMIA &amp; PROFESIONES'!E62</f>
        <v>4.5</v>
      </c>
      <c r="D62" s="183"/>
      <c r="E62" s="148" t="s">
        <v>1305</v>
      </c>
      <c r="G62" s="148">
        <f t="shared" si="0"/>
        <v>0</v>
      </c>
      <c r="H62" s="148" t="s">
        <v>1305</v>
      </c>
      <c r="J62" s="148">
        <f t="shared" si="1"/>
        <v>0</v>
      </c>
      <c r="K62" s="148" t="s">
        <v>1305</v>
      </c>
      <c r="M62" s="148">
        <f t="shared" si="2"/>
        <v>0</v>
      </c>
      <c r="N62" s="148" t="s">
        <v>1305</v>
      </c>
      <c r="P62" s="148">
        <f t="shared" si="3"/>
        <v>0</v>
      </c>
      <c r="Q62" s="148" t="s">
        <v>1305</v>
      </c>
      <c r="S62" s="148">
        <f t="shared" si="4"/>
        <v>0</v>
      </c>
      <c r="T62" s="148" t="s">
        <v>1305</v>
      </c>
      <c r="V62" s="148">
        <f t="shared" si="5"/>
        <v>0</v>
      </c>
    </row>
    <row r="63" spans="1:22" ht="15.75">
      <c r="A63" s="153" t="s">
        <v>1351</v>
      </c>
      <c r="B63" s="125" t="s">
        <v>598</v>
      </c>
      <c r="C63" s="130">
        <f t="shared" si="10"/>
        <v>42.125</v>
      </c>
      <c r="D63" s="180">
        <v>1</v>
      </c>
      <c r="E63" s="127" t="s">
        <v>611</v>
      </c>
      <c r="F63" s="127">
        <v>6</v>
      </c>
      <c r="G63" s="127">
        <f t="shared" si="0"/>
        <v>7</v>
      </c>
      <c r="H63" s="127" t="s">
        <v>1208</v>
      </c>
      <c r="I63" s="127">
        <v>1</v>
      </c>
      <c r="J63" s="127">
        <f t="shared" si="1"/>
        <v>0.125</v>
      </c>
      <c r="K63" s="127" t="s">
        <v>1305</v>
      </c>
      <c r="M63" s="127">
        <f t="shared" si="2"/>
        <v>0</v>
      </c>
      <c r="N63" s="127" t="s">
        <v>1305</v>
      </c>
      <c r="P63" s="127">
        <f t="shared" si="3"/>
        <v>0</v>
      </c>
      <c r="Q63" s="127" t="s">
        <v>1305</v>
      </c>
      <c r="S63" s="127">
        <f t="shared" si="4"/>
        <v>0</v>
      </c>
      <c r="T63" s="127" t="s">
        <v>1305</v>
      </c>
      <c r="V63" s="127">
        <f t="shared" si="5"/>
        <v>0</v>
      </c>
    </row>
    <row r="64" spans="1:22" ht="15.75">
      <c r="A64" s="153" t="s">
        <v>1351</v>
      </c>
      <c r="B64" s="125" t="s">
        <v>599</v>
      </c>
      <c r="C64" s="130">
        <f t="shared" si="10"/>
        <v>21.75</v>
      </c>
      <c r="D64" s="180">
        <v>1</v>
      </c>
      <c r="E64" s="127" t="s">
        <v>611</v>
      </c>
      <c r="F64" s="127">
        <v>3</v>
      </c>
      <c r="G64" s="127">
        <f t="shared" si="0"/>
        <v>7</v>
      </c>
      <c r="H64" s="127" t="s">
        <v>1026</v>
      </c>
      <c r="I64" s="127">
        <v>3</v>
      </c>
      <c r="J64" s="127">
        <f t="shared" si="1"/>
        <v>0.25</v>
      </c>
      <c r="K64" s="127" t="s">
        <v>1305</v>
      </c>
      <c r="M64" s="127">
        <f t="shared" si="2"/>
        <v>0</v>
      </c>
      <c r="N64" s="127" t="s">
        <v>1305</v>
      </c>
      <c r="P64" s="127">
        <f t="shared" si="3"/>
        <v>0</v>
      </c>
      <c r="Q64" s="127" t="s">
        <v>1305</v>
      </c>
      <c r="S64" s="127">
        <f t="shared" si="4"/>
        <v>0</v>
      </c>
      <c r="T64" s="127" t="s">
        <v>1305</v>
      </c>
      <c r="V64" s="127">
        <f t="shared" si="5"/>
        <v>0</v>
      </c>
    </row>
    <row r="65" spans="1:22" ht="15.75">
      <c r="A65" s="153" t="s">
        <v>1351</v>
      </c>
      <c r="B65" s="125" t="s">
        <v>600</v>
      </c>
      <c r="C65" s="130">
        <f t="shared" si="10"/>
        <v>4.666666666666667</v>
      </c>
      <c r="D65" s="180">
        <v>3</v>
      </c>
      <c r="E65" s="127" t="s">
        <v>611</v>
      </c>
      <c r="F65" s="127">
        <v>2</v>
      </c>
      <c r="G65" s="127">
        <f t="shared" si="0"/>
        <v>7</v>
      </c>
      <c r="H65" s="127" t="s">
        <v>1305</v>
      </c>
      <c r="J65" s="127">
        <f t="shared" si="1"/>
        <v>0</v>
      </c>
      <c r="K65" s="127" t="s">
        <v>1305</v>
      </c>
      <c r="M65" s="127">
        <f t="shared" si="2"/>
        <v>0</v>
      </c>
      <c r="N65" s="127" t="s">
        <v>1305</v>
      </c>
      <c r="P65" s="127">
        <f t="shared" si="3"/>
        <v>0</v>
      </c>
      <c r="Q65" s="127" t="s">
        <v>1305</v>
      </c>
      <c r="S65" s="127">
        <f t="shared" si="4"/>
        <v>0</v>
      </c>
      <c r="T65" s="127" t="s">
        <v>1305</v>
      </c>
      <c r="V65" s="127">
        <f t="shared" si="5"/>
        <v>0</v>
      </c>
    </row>
    <row r="66" spans="1:22" ht="15.75">
      <c r="A66" s="153" t="s">
        <v>1351</v>
      </c>
      <c r="B66" s="125" t="s">
        <v>601</v>
      </c>
      <c r="C66" s="130">
        <f t="shared" si="10"/>
        <v>3.125</v>
      </c>
      <c r="D66" s="180">
        <v>1</v>
      </c>
      <c r="E66" s="127" t="s">
        <v>602</v>
      </c>
      <c r="F66" s="127">
        <v>1</v>
      </c>
      <c r="G66" s="127">
        <f t="shared" si="0"/>
        <v>3.125</v>
      </c>
      <c r="H66" s="127" t="s">
        <v>1305</v>
      </c>
      <c r="J66" s="127">
        <f t="shared" si="1"/>
        <v>0</v>
      </c>
      <c r="K66" s="127" t="s">
        <v>1305</v>
      </c>
      <c r="M66" s="127">
        <f t="shared" si="2"/>
        <v>0</v>
      </c>
      <c r="N66" s="127" t="s">
        <v>1305</v>
      </c>
      <c r="P66" s="127">
        <f t="shared" si="3"/>
        <v>0</v>
      </c>
      <c r="Q66" s="127" t="s">
        <v>1305</v>
      </c>
      <c r="S66" s="127">
        <f t="shared" si="4"/>
        <v>0</v>
      </c>
      <c r="T66" s="127" t="s">
        <v>1305</v>
      </c>
      <c r="V66" s="127">
        <f t="shared" si="5"/>
        <v>0</v>
      </c>
    </row>
    <row r="67" spans="1:22" ht="15.75">
      <c r="A67" s="153" t="s">
        <v>1351</v>
      </c>
      <c r="B67" s="125" t="s">
        <v>602</v>
      </c>
      <c r="C67" s="130">
        <f t="shared" si="10"/>
        <v>3.125</v>
      </c>
      <c r="D67" s="180">
        <v>8</v>
      </c>
      <c r="E67" s="127" t="s">
        <v>1158</v>
      </c>
      <c r="F67" s="127">
        <v>4</v>
      </c>
      <c r="G67" s="127">
        <f t="shared" ref="G67:G127" si="11">VLOOKUP(E67,IDPOINTS,2,FALSE)</f>
        <v>5</v>
      </c>
      <c r="H67" s="127" t="s">
        <v>844</v>
      </c>
      <c r="I67" s="127">
        <v>4</v>
      </c>
      <c r="J67" s="127">
        <f t="shared" ref="J67:J127" si="12">VLOOKUP(H67,IDPOINTS,2,FALSE)</f>
        <v>1</v>
      </c>
      <c r="K67" s="127" t="s">
        <v>603</v>
      </c>
      <c r="L67" s="127">
        <v>1</v>
      </c>
      <c r="M67" s="127">
        <f t="shared" ref="M67:M127" si="13">VLOOKUP(K67,IDPOINTS,2,FALSE)</f>
        <v>1</v>
      </c>
      <c r="N67" s="127" t="s">
        <v>1305</v>
      </c>
      <c r="P67" s="127">
        <f t="shared" ref="P67:P127" si="14">VLOOKUP(N67,IDPOINTS,2,FALSE)</f>
        <v>0</v>
      </c>
      <c r="Q67" s="127" t="s">
        <v>1305</v>
      </c>
      <c r="S67" s="127">
        <f t="shared" ref="S67:S127" si="15">VLOOKUP(Q67,IDPOINTS,2,FALSE)</f>
        <v>0</v>
      </c>
      <c r="T67" s="127" t="s">
        <v>1305</v>
      </c>
      <c r="V67" s="127">
        <f t="shared" ref="V67:V127" si="16">VLOOKUP(T67,IDPOINTS,2,FALSE)</f>
        <v>0</v>
      </c>
    </row>
    <row r="68" spans="1:22" s="13" customFormat="1" ht="15.75">
      <c r="A68" s="153" t="s">
        <v>1351</v>
      </c>
      <c r="B68" s="144" t="s">
        <v>603</v>
      </c>
      <c r="C68" s="130">
        <f t="shared" si="10"/>
        <v>1</v>
      </c>
      <c r="D68" s="180">
        <v>1</v>
      </c>
      <c r="E68" s="13" t="s">
        <v>694</v>
      </c>
      <c r="F68" s="13">
        <v>1</v>
      </c>
      <c r="G68" s="13">
        <f t="shared" si="11"/>
        <v>1</v>
      </c>
      <c r="H68" s="13" t="s">
        <v>924</v>
      </c>
      <c r="I68" s="13">
        <v>0</v>
      </c>
      <c r="J68" s="13">
        <f t="shared" si="12"/>
        <v>5</v>
      </c>
      <c r="K68" s="13" t="s">
        <v>1305</v>
      </c>
      <c r="M68" s="13">
        <f t="shared" si="13"/>
        <v>0</v>
      </c>
      <c r="N68" s="13" t="s">
        <v>1305</v>
      </c>
      <c r="P68" s="13">
        <f t="shared" si="14"/>
        <v>0</v>
      </c>
      <c r="Q68" s="13" t="s">
        <v>1305</v>
      </c>
      <c r="S68" s="13">
        <f t="shared" si="15"/>
        <v>0</v>
      </c>
      <c r="T68" s="13" t="s">
        <v>1305</v>
      </c>
      <c r="V68" s="13">
        <f t="shared" si="16"/>
        <v>0</v>
      </c>
    </row>
    <row r="69" spans="1:22" ht="15.75">
      <c r="A69" s="153" t="s">
        <v>1351</v>
      </c>
      <c r="B69" s="125" t="s">
        <v>604</v>
      </c>
      <c r="C69" s="130">
        <f t="shared" si="10"/>
        <v>34.125</v>
      </c>
      <c r="D69" s="180">
        <v>1</v>
      </c>
      <c r="E69" s="127" t="s">
        <v>592</v>
      </c>
      <c r="F69" s="127">
        <v>1</v>
      </c>
      <c r="G69" s="127">
        <f t="shared" si="11"/>
        <v>31.125</v>
      </c>
      <c r="H69" s="127" t="s">
        <v>672</v>
      </c>
      <c r="I69" s="127">
        <v>1</v>
      </c>
      <c r="J69" s="127">
        <f t="shared" si="12"/>
        <v>3</v>
      </c>
      <c r="K69" s="127" t="s">
        <v>1305</v>
      </c>
      <c r="M69" s="127">
        <f t="shared" si="13"/>
        <v>0</v>
      </c>
      <c r="N69" s="127" t="s">
        <v>1305</v>
      </c>
      <c r="P69" s="127">
        <f t="shared" si="14"/>
        <v>0</v>
      </c>
      <c r="Q69" s="127" t="s">
        <v>1305</v>
      </c>
      <c r="S69" s="127">
        <f t="shared" si="15"/>
        <v>0</v>
      </c>
      <c r="T69" s="127" t="s">
        <v>1305</v>
      </c>
      <c r="V69" s="127">
        <f t="shared" si="16"/>
        <v>0</v>
      </c>
    </row>
    <row r="70" spans="1:22" s="167" customFormat="1" ht="15.75">
      <c r="B70" s="165" t="s">
        <v>605</v>
      </c>
      <c r="C70" s="166">
        <f t="shared" ref="C70:C122" si="17">(G70*F70)+(I70*J70)+(L70*M70)+(O70*P70)+(R70*S70)+(U70*V70)</f>
        <v>0</v>
      </c>
      <c r="D70" s="184"/>
      <c r="E70" s="167" t="s">
        <v>1305</v>
      </c>
      <c r="G70" s="167">
        <f t="shared" si="11"/>
        <v>0</v>
      </c>
      <c r="H70" s="167" t="s">
        <v>1305</v>
      </c>
      <c r="J70" s="167">
        <f t="shared" si="12"/>
        <v>0</v>
      </c>
      <c r="K70" s="167" t="s">
        <v>1305</v>
      </c>
      <c r="M70" s="167">
        <f t="shared" si="13"/>
        <v>0</v>
      </c>
      <c r="N70" s="167" t="s">
        <v>1305</v>
      </c>
      <c r="P70" s="167">
        <f t="shared" si="14"/>
        <v>0</v>
      </c>
      <c r="Q70" s="167" t="s">
        <v>1305</v>
      </c>
      <c r="S70" s="167">
        <f t="shared" si="15"/>
        <v>0</v>
      </c>
      <c r="T70" s="167" t="s">
        <v>1305</v>
      </c>
      <c r="V70" s="167">
        <f t="shared" si="16"/>
        <v>0</v>
      </c>
    </row>
    <row r="71" spans="1:22" s="137" customFormat="1" ht="15.75">
      <c r="A71" s="137" t="s">
        <v>560</v>
      </c>
      <c r="B71" s="135" t="s">
        <v>606</v>
      </c>
      <c r="C71" s="136">
        <v>1</v>
      </c>
      <c r="D71" s="180"/>
      <c r="E71" s="137" t="s">
        <v>1305</v>
      </c>
      <c r="G71" s="137">
        <f t="shared" si="11"/>
        <v>0</v>
      </c>
      <c r="H71" s="137" t="s">
        <v>1305</v>
      </c>
      <c r="J71" s="137">
        <f t="shared" si="12"/>
        <v>0</v>
      </c>
      <c r="K71" s="137" t="s">
        <v>1305</v>
      </c>
      <c r="M71" s="137">
        <f t="shared" si="13"/>
        <v>0</v>
      </c>
      <c r="N71" s="137" t="s">
        <v>1305</v>
      </c>
      <c r="P71" s="137">
        <f t="shared" si="14"/>
        <v>0</v>
      </c>
      <c r="Q71" s="137" t="s">
        <v>1305</v>
      </c>
      <c r="S71" s="137">
        <f t="shared" si="15"/>
        <v>0</v>
      </c>
      <c r="T71" s="137" t="s">
        <v>1305</v>
      </c>
      <c r="V71" s="137">
        <f t="shared" si="16"/>
        <v>0</v>
      </c>
    </row>
    <row r="72" spans="1:22" ht="15.75">
      <c r="A72" s="153" t="s">
        <v>1351</v>
      </c>
      <c r="B72" s="125" t="s">
        <v>607</v>
      </c>
      <c r="C72" s="130">
        <f t="shared" ref="C72:C83" si="18">((G72*F72)+(I72*J72)+(L72*M72)+(O72*P72)+(R72*S72)+(U72*V72))/D72</f>
        <v>12</v>
      </c>
      <c r="D72" s="180">
        <v>1</v>
      </c>
      <c r="E72" s="127" t="s">
        <v>603</v>
      </c>
      <c r="F72" s="127">
        <v>1</v>
      </c>
      <c r="G72" s="127">
        <f t="shared" si="11"/>
        <v>1</v>
      </c>
      <c r="H72" s="127" t="s">
        <v>1170</v>
      </c>
      <c r="I72" s="127">
        <v>1</v>
      </c>
      <c r="J72" s="127">
        <f t="shared" si="12"/>
        <v>11</v>
      </c>
      <c r="K72" s="127" t="s">
        <v>1305</v>
      </c>
      <c r="M72" s="127">
        <f t="shared" si="13"/>
        <v>0</v>
      </c>
      <c r="N72" s="127" t="s">
        <v>1305</v>
      </c>
      <c r="P72" s="127">
        <f t="shared" si="14"/>
        <v>0</v>
      </c>
      <c r="Q72" s="127" t="s">
        <v>1305</v>
      </c>
      <c r="S72" s="127">
        <f t="shared" si="15"/>
        <v>0</v>
      </c>
      <c r="T72" s="127" t="s">
        <v>1305</v>
      </c>
      <c r="V72" s="127">
        <f t="shared" si="16"/>
        <v>0</v>
      </c>
    </row>
    <row r="73" spans="1:22" ht="15.75">
      <c r="A73" s="153" t="s">
        <v>1351</v>
      </c>
      <c r="B73" s="125" t="s">
        <v>608</v>
      </c>
      <c r="C73" s="130">
        <f t="shared" si="18"/>
        <v>8.125</v>
      </c>
      <c r="D73" s="180">
        <v>8</v>
      </c>
      <c r="E73" s="127" t="s">
        <v>814</v>
      </c>
      <c r="F73" s="127">
        <v>8</v>
      </c>
      <c r="G73" s="127">
        <f t="shared" si="11"/>
        <v>8</v>
      </c>
      <c r="H73" s="127" t="s">
        <v>603</v>
      </c>
      <c r="I73" s="127">
        <v>1</v>
      </c>
      <c r="J73" s="127">
        <f t="shared" si="12"/>
        <v>1</v>
      </c>
      <c r="K73" s="127" t="s">
        <v>1305</v>
      </c>
      <c r="M73" s="127">
        <f t="shared" si="13"/>
        <v>0</v>
      </c>
      <c r="N73" s="127" t="s">
        <v>1305</v>
      </c>
      <c r="P73" s="127">
        <f t="shared" si="14"/>
        <v>0</v>
      </c>
      <c r="Q73" s="127" t="s">
        <v>1305</v>
      </c>
      <c r="S73" s="127">
        <f t="shared" si="15"/>
        <v>0</v>
      </c>
      <c r="T73" s="127" t="s">
        <v>1305</v>
      </c>
      <c r="V73" s="127">
        <f t="shared" si="16"/>
        <v>0</v>
      </c>
    </row>
    <row r="74" spans="1:22" ht="15.75">
      <c r="A74" s="153" t="s">
        <v>1351</v>
      </c>
      <c r="B74" s="125" t="s">
        <v>609</v>
      </c>
      <c r="C74" s="130">
        <f t="shared" si="18"/>
        <v>3.046875</v>
      </c>
      <c r="D74" s="180">
        <v>16</v>
      </c>
      <c r="E74" s="127" t="s">
        <v>590</v>
      </c>
      <c r="F74" s="127">
        <v>6</v>
      </c>
      <c r="G74" s="127">
        <f t="shared" si="11"/>
        <v>8.125</v>
      </c>
      <c r="H74" s="127" t="s">
        <v>1305</v>
      </c>
      <c r="J74" s="127">
        <f t="shared" si="12"/>
        <v>0</v>
      </c>
      <c r="K74" s="127" t="s">
        <v>1305</v>
      </c>
      <c r="M74" s="127">
        <f t="shared" si="13"/>
        <v>0</v>
      </c>
      <c r="N74" s="127" t="s">
        <v>1305</v>
      </c>
      <c r="P74" s="127">
        <f t="shared" si="14"/>
        <v>0</v>
      </c>
      <c r="Q74" s="127" t="s">
        <v>1305</v>
      </c>
      <c r="S74" s="127">
        <f t="shared" si="15"/>
        <v>0</v>
      </c>
      <c r="T74" s="127" t="s">
        <v>1305</v>
      </c>
      <c r="V74" s="127">
        <f t="shared" si="16"/>
        <v>0</v>
      </c>
    </row>
    <row r="75" spans="1:22" ht="15.75">
      <c r="A75" s="153" t="s">
        <v>1351</v>
      </c>
      <c r="B75" s="125" t="s">
        <v>610</v>
      </c>
      <c r="C75" s="130">
        <f t="shared" si="18"/>
        <v>31.125</v>
      </c>
      <c r="D75" s="180">
        <v>8</v>
      </c>
      <c r="E75" s="127" t="s">
        <v>1245</v>
      </c>
      <c r="F75" s="127">
        <v>8</v>
      </c>
      <c r="G75" s="127">
        <f t="shared" si="11"/>
        <v>31</v>
      </c>
      <c r="H75" s="127" t="s">
        <v>603</v>
      </c>
      <c r="I75" s="127">
        <v>1</v>
      </c>
      <c r="J75" s="127">
        <f t="shared" si="12"/>
        <v>1</v>
      </c>
      <c r="K75" s="127" t="s">
        <v>1305</v>
      </c>
      <c r="M75" s="127">
        <f t="shared" si="13"/>
        <v>0</v>
      </c>
      <c r="N75" s="127" t="s">
        <v>1305</v>
      </c>
      <c r="P75" s="127">
        <f t="shared" si="14"/>
        <v>0</v>
      </c>
      <c r="Q75" s="127" t="s">
        <v>1305</v>
      </c>
      <c r="S75" s="127">
        <f t="shared" si="15"/>
        <v>0</v>
      </c>
      <c r="T75" s="127" t="s">
        <v>1305</v>
      </c>
      <c r="V75" s="127">
        <f t="shared" si="16"/>
        <v>0</v>
      </c>
    </row>
    <row r="76" spans="1:22" ht="15.75">
      <c r="A76" s="153" t="s">
        <v>1351</v>
      </c>
      <c r="B76" s="125" t="s">
        <v>611</v>
      </c>
      <c r="C76" s="130">
        <f t="shared" si="18"/>
        <v>7</v>
      </c>
      <c r="D76" s="180">
        <v>1</v>
      </c>
      <c r="E76" s="127" t="s">
        <v>1274</v>
      </c>
      <c r="F76" s="127">
        <v>1</v>
      </c>
      <c r="G76" s="127">
        <f t="shared" si="11"/>
        <v>6</v>
      </c>
      <c r="H76" s="127" t="s">
        <v>603</v>
      </c>
      <c r="I76" s="127">
        <v>1</v>
      </c>
      <c r="J76" s="127">
        <f t="shared" si="12"/>
        <v>1</v>
      </c>
      <c r="K76" s="127" t="s">
        <v>1305</v>
      </c>
      <c r="M76" s="127">
        <f t="shared" si="13"/>
        <v>0</v>
      </c>
      <c r="N76" s="127" t="s">
        <v>1305</v>
      </c>
      <c r="P76" s="127">
        <f t="shared" si="14"/>
        <v>0</v>
      </c>
      <c r="Q76" s="127" t="s">
        <v>1305</v>
      </c>
      <c r="S76" s="127">
        <f t="shared" si="15"/>
        <v>0</v>
      </c>
      <c r="T76" s="127" t="s">
        <v>1305</v>
      </c>
      <c r="V76" s="127">
        <f t="shared" si="16"/>
        <v>0</v>
      </c>
    </row>
    <row r="77" spans="1:22" s="148" customFormat="1" ht="15.75">
      <c r="A77" s="148" t="s">
        <v>1341</v>
      </c>
      <c r="B77" s="146" t="s">
        <v>612</v>
      </c>
      <c r="C77" s="147">
        <f>'ECONOMIA &amp; PROFESIONES'!E56</f>
        <v>2.5</v>
      </c>
      <c r="D77" s="183"/>
      <c r="E77" s="148" t="s">
        <v>1305</v>
      </c>
      <c r="G77" s="148">
        <f t="shared" si="11"/>
        <v>0</v>
      </c>
      <c r="H77" s="148" t="s">
        <v>1305</v>
      </c>
      <c r="J77" s="148">
        <f t="shared" si="12"/>
        <v>0</v>
      </c>
      <c r="K77" s="148" t="s">
        <v>1305</v>
      </c>
      <c r="M77" s="148">
        <f t="shared" si="13"/>
        <v>0</v>
      </c>
      <c r="N77" s="148" t="s">
        <v>1305</v>
      </c>
      <c r="P77" s="148">
        <f t="shared" si="14"/>
        <v>0</v>
      </c>
      <c r="Q77" s="148" t="s">
        <v>1305</v>
      </c>
      <c r="S77" s="148">
        <f t="shared" si="15"/>
        <v>0</v>
      </c>
      <c r="T77" s="148" t="s">
        <v>1305</v>
      </c>
      <c r="V77" s="148">
        <f t="shared" si="16"/>
        <v>0</v>
      </c>
    </row>
    <row r="78" spans="1:22" ht="15.75">
      <c r="A78" s="153" t="s">
        <v>1348</v>
      </c>
      <c r="B78" s="125" t="s">
        <v>613</v>
      </c>
      <c r="C78" s="130">
        <f t="shared" si="18"/>
        <v>7.5</v>
      </c>
      <c r="D78" s="180">
        <v>1</v>
      </c>
      <c r="E78" s="127" t="s">
        <v>614</v>
      </c>
      <c r="F78">
        <v>9</v>
      </c>
      <c r="G78" s="127">
        <f t="shared" si="11"/>
        <v>0.83333333333333337</v>
      </c>
      <c r="H78" s="127" t="s">
        <v>1305</v>
      </c>
      <c r="J78" s="127">
        <f t="shared" si="12"/>
        <v>0</v>
      </c>
      <c r="K78" s="127" t="s">
        <v>1305</v>
      </c>
      <c r="M78" s="127">
        <f t="shared" si="13"/>
        <v>0</v>
      </c>
      <c r="N78" s="127" t="s">
        <v>1305</v>
      </c>
      <c r="P78" s="127">
        <f t="shared" si="14"/>
        <v>0</v>
      </c>
      <c r="Q78" s="127" t="s">
        <v>1305</v>
      </c>
      <c r="S78" s="127">
        <f t="shared" si="15"/>
        <v>0</v>
      </c>
      <c r="T78" s="127" t="s">
        <v>1305</v>
      </c>
      <c r="V78" s="127">
        <f t="shared" si="16"/>
        <v>0</v>
      </c>
    </row>
    <row r="79" spans="1:22" ht="15.75">
      <c r="A79" s="153" t="s">
        <v>1348</v>
      </c>
      <c r="B79" s="125" t="s">
        <v>614</v>
      </c>
      <c r="C79" s="130">
        <f t="shared" si="18"/>
        <v>0.83333333333333337</v>
      </c>
      <c r="D79" s="180">
        <v>3</v>
      </c>
      <c r="E79" s="127" t="s">
        <v>612</v>
      </c>
      <c r="F79">
        <v>1</v>
      </c>
      <c r="G79" s="127">
        <f t="shared" si="11"/>
        <v>2.5</v>
      </c>
      <c r="H79" s="127" t="s">
        <v>1305</v>
      </c>
      <c r="J79" s="127">
        <f t="shared" si="12"/>
        <v>0</v>
      </c>
      <c r="K79" s="127" t="s">
        <v>1305</v>
      </c>
      <c r="M79" s="127">
        <f t="shared" si="13"/>
        <v>0</v>
      </c>
      <c r="N79" s="127" t="s">
        <v>1305</v>
      </c>
      <c r="P79" s="127">
        <f t="shared" si="14"/>
        <v>0</v>
      </c>
      <c r="Q79" s="127" t="s">
        <v>1305</v>
      </c>
      <c r="S79" s="127">
        <f t="shared" si="15"/>
        <v>0</v>
      </c>
      <c r="T79" s="127" t="s">
        <v>1305</v>
      </c>
      <c r="V79" s="127">
        <f t="shared" si="16"/>
        <v>0</v>
      </c>
    </row>
    <row r="80" spans="1:22" ht="15.75">
      <c r="A80" s="153" t="s">
        <v>1352</v>
      </c>
      <c r="B80" s="125" t="s">
        <v>615</v>
      </c>
      <c r="C80" s="130">
        <f t="shared" si="18"/>
        <v>16</v>
      </c>
      <c r="D80" s="180">
        <v>1</v>
      </c>
      <c r="E80" s="127" t="s">
        <v>1051</v>
      </c>
      <c r="F80">
        <v>3</v>
      </c>
      <c r="G80" s="127">
        <f t="shared" si="11"/>
        <v>5</v>
      </c>
      <c r="H80" s="127" t="s">
        <v>928</v>
      </c>
      <c r="I80" s="127">
        <v>1</v>
      </c>
      <c r="J80" s="127">
        <f t="shared" si="12"/>
        <v>1</v>
      </c>
      <c r="K80" s="127" t="s">
        <v>1305</v>
      </c>
      <c r="M80" s="127">
        <f t="shared" si="13"/>
        <v>0</v>
      </c>
      <c r="N80" s="127" t="s">
        <v>1305</v>
      </c>
      <c r="P80" s="127">
        <f t="shared" si="14"/>
        <v>0</v>
      </c>
      <c r="Q80" s="127" t="s">
        <v>1305</v>
      </c>
      <c r="S80" s="127">
        <f t="shared" si="15"/>
        <v>0</v>
      </c>
      <c r="T80" s="127" t="s">
        <v>1305</v>
      </c>
      <c r="V80" s="127">
        <f t="shared" si="16"/>
        <v>0</v>
      </c>
    </row>
    <row r="81" spans="1:22" ht="15.75">
      <c r="A81" s="153" t="s">
        <v>1352</v>
      </c>
      <c r="B81" s="125" t="s">
        <v>616</v>
      </c>
      <c r="C81" s="130">
        <f t="shared" si="18"/>
        <v>49.5</v>
      </c>
      <c r="D81" s="180">
        <v>1</v>
      </c>
      <c r="E81" s="127" t="s">
        <v>615</v>
      </c>
      <c r="F81">
        <v>3</v>
      </c>
      <c r="G81" s="127">
        <f t="shared" si="11"/>
        <v>16</v>
      </c>
      <c r="H81" s="127" t="s">
        <v>1026</v>
      </c>
      <c r="I81" s="127">
        <v>6</v>
      </c>
      <c r="J81" s="127">
        <f t="shared" si="12"/>
        <v>0.25</v>
      </c>
      <c r="K81" s="127" t="s">
        <v>1305</v>
      </c>
      <c r="M81" s="127">
        <f t="shared" si="13"/>
        <v>0</v>
      </c>
      <c r="N81" s="127" t="s">
        <v>1305</v>
      </c>
      <c r="P81" s="127">
        <f t="shared" si="14"/>
        <v>0</v>
      </c>
      <c r="Q81" s="127" t="s">
        <v>1305</v>
      </c>
      <c r="S81" s="127">
        <f t="shared" si="15"/>
        <v>0</v>
      </c>
      <c r="T81" s="127" t="s">
        <v>1305</v>
      </c>
      <c r="V81" s="127">
        <f t="shared" si="16"/>
        <v>0</v>
      </c>
    </row>
    <row r="82" spans="1:22" ht="15.75">
      <c r="A82" s="153" t="s">
        <v>1344</v>
      </c>
      <c r="B82" s="125" t="s">
        <v>617</v>
      </c>
      <c r="C82" s="130">
        <f t="shared" si="18"/>
        <v>4.875</v>
      </c>
      <c r="D82" s="180">
        <v>1</v>
      </c>
      <c r="E82" s="127" t="s">
        <v>1208</v>
      </c>
      <c r="F82">
        <v>3</v>
      </c>
      <c r="G82" s="127">
        <f t="shared" si="11"/>
        <v>0.125</v>
      </c>
      <c r="H82" s="127" t="s">
        <v>1224</v>
      </c>
      <c r="I82" s="127">
        <v>3</v>
      </c>
      <c r="J82" s="127">
        <f t="shared" si="12"/>
        <v>1.5</v>
      </c>
      <c r="K82" s="127" t="s">
        <v>1305</v>
      </c>
      <c r="M82" s="127">
        <f t="shared" si="13"/>
        <v>0</v>
      </c>
      <c r="N82" s="127" t="s">
        <v>1305</v>
      </c>
      <c r="P82" s="127">
        <f t="shared" si="14"/>
        <v>0</v>
      </c>
      <c r="Q82" s="127" t="s">
        <v>1305</v>
      </c>
      <c r="S82" s="127">
        <f t="shared" si="15"/>
        <v>0</v>
      </c>
      <c r="T82" s="127" t="s">
        <v>1305</v>
      </c>
      <c r="V82" s="127">
        <f t="shared" si="16"/>
        <v>0</v>
      </c>
    </row>
    <row r="83" spans="1:22" ht="15.75">
      <c r="A83" s="153" t="s">
        <v>1348</v>
      </c>
      <c r="B83" s="125" t="s">
        <v>618</v>
      </c>
      <c r="C83" s="130">
        <f t="shared" si="18"/>
        <v>0.75</v>
      </c>
      <c r="D83" s="180">
        <v>1</v>
      </c>
      <c r="E83" s="127" t="s">
        <v>1026</v>
      </c>
      <c r="F83">
        <v>3</v>
      </c>
      <c r="G83" s="127">
        <f t="shared" si="11"/>
        <v>0.25</v>
      </c>
      <c r="H83" s="127" t="s">
        <v>1305</v>
      </c>
      <c r="J83" s="127">
        <f t="shared" si="12"/>
        <v>0</v>
      </c>
      <c r="K83" s="127" t="s">
        <v>1305</v>
      </c>
      <c r="M83" s="127">
        <f t="shared" si="13"/>
        <v>0</v>
      </c>
      <c r="N83" s="127" t="s">
        <v>1305</v>
      </c>
      <c r="P83" s="127">
        <f t="shared" si="14"/>
        <v>0</v>
      </c>
      <c r="Q83" s="127" t="s">
        <v>1305</v>
      </c>
      <c r="S83" s="127">
        <f t="shared" si="15"/>
        <v>0</v>
      </c>
      <c r="T83" s="127" t="s">
        <v>1305</v>
      </c>
      <c r="V83" s="127">
        <f t="shared" si="16"/>
        <v>0</v>
      </c>
    </row>
    <row r="84" spans="1:22" s="167" customFormat="1" ht="15.75">
      <c r="B84" s="165" t="s">
        <v>619</v>
      </c>
      <c r="C84" s="166">
        <f t="shared" si="17"/>
        <v>0</v>
      </c>
      <c r="D84" s="184"/>
      <c r="E84" s="167" t="s">
        <v>1305</v>
      </c>
      <c r="G84" s="167">
        <f t="shared" si="11"/>
        <v>0</v>
      </c>
      <c r="H84" s="167" t="s">
        <v>1305</v>
      </c>
      <c r="J84" s="167">
        <f t="shared" si="12"/>
        <v>0</v>
      </c>
      <c r="K84" s="167" t="s">
        <v>1305</v>
      </c>
      <c r="M84" s="167">
        <f t="shared" si="13"/>
        <v>0</v>
      </c>
      <c r="N84" s="167" t="s">
        <v>1305</v>
      </c>
      <c r="P84" s="167">
        <f t="shared" si="14"/>
        <v>0</v>
      </c>
      <c r="Q84" s="167" t="s">
        <v>1305</v>
      </c>
      <c r="S84" s="167">
        <f t="shared" si="15"/>
        <v>0</v>
      </c>
      <c r="T84" s="167" t="s">
        <v>1305</v>
      </c>
      <c r="V84" s="167">
        <f t="shared" si="16"/>
        <v>0</v>
      </c>
    </row>
    <row r="85" spans="1:22" s="167" customFormat="1" ht="15.75">
      <c r="B85" s="165" t="s">
        <v>620</v>
      </c>
      <c r="C85" s="166">
        <f t="shared" si="17"/>
        <v>0</v>
      </c>
      <c r="D85" s="184"/>
      <c r="E85" s="167" t="s">
        <v>1305</v>
      </c>
      <c r="G85" s="167">
        <f t="shared" si="11"/>
        <v>0</v>
      </c>
      <c r="H85" s="167" t="s">
        <v>1305</v>
      </c>
      <c r="J85" s="167">
        <f t="shared" si="12"/>
        <v>0</v>
      </c>
      <c r="K85" s="167" t="s">
        <v>1305</v>
      </c>
      <c r="M85" s="167">
        <f t="shared" si="13"/>
        <v>0</v>
      </c>
      <c r="N85" s="167" t="s">
        <v>1305</v>
      </c>
      <c r="P85" s="167">
        <f t="shared" si="14"/>
        <v>0</v>
      </c>
      <c r="Q85" s="167" t="s">
        <v>1305</v>
      </c>
      <c r="S85" s="167">
        <f t="shared" si="15"/>
        <v>0</v>
      </c>
      <c r="T85" s="167" t="s">
        <v>1305</v>
      </c>
      <c r="V85" s="167">
        <f t="shared" si="16"/>
        <v>0</v>
      </c>
    </row>
    <row r="86" spans="1:22" s="167" customFormat="1" ht="15.75">
      <c r="B86" s="165" t="s">
        <v>621</v>
      </c>
      <c r="C86" s="166">
        <f t="shared" si="17"/>
        <v>0</v>
      </c>
      <c r="D86" s="184"/>
      <c r="E86" s="167" t="s">
        <v>1305</v>
      </c>
      <c r="G86" s="167">
        <f t="shared" si="11"/>
        <v>0</v>
      </c>
      <c r="H86" s="167" t="s">
        <v>1305</v>
      </c>
      <c r="J86" s="167">
        <f t="shared" si="12"/>
        <v>0</v>
      </c>
      <c r="K86" s="167" t="s">
        <v>1305</v>
      </c>
      <c r="M86" s="167">
        <f t="shared" si="13"/>
        <v>0</v>
      </c>
      <c r="N86" s="167" t="s">
        <v>1305</v>
      </c>
      <c r="P86" s="167">
        <f t="shared" si="14"/>
        <v>0</v>
      </c>
      <c r="Q86" s="167" t="s">
        <v>1305</v>
      </c>
      <c r="S86" s="167">
        <f t="shared" si="15"/>
        <v>0</v>
      </c>
      <c r="T86" s="167" t="s">
        <v>1305</v>
      </c>
      <c r="V86" s="167">
        <f t="shared" si="16"/>
        <v>0</v>
      </c>
    </row>
    <row r="87" spans="1:22" ht="15.75">
      <c r="A87" s="153" t="s">
        <v>1348</v>
      </c>
      <c r="B87" s="125" t="s">
        <v>622</v>
      </c>
      <c r="C87" s="130">
        <f t="shared" ref="C87:C106" si="19">((G87*F87)+(I87*J87)+(L87*M87)+(O87*P87)+(R87*S87)+(U87*V87))/D87</f>
        <v>21</v>
      </c>
      <c r="D87" s="180">
        <v>1</v>
      </c>
      <c r="E87" s="127" t="s">
        <v>1260</v>
      </c>
      <c r="F87">
        <v>3</v>
      </c>
      <c r="G87" s="127">
        <f t="shared" si="11"/>
        <v>7</v>
      </c>
      <c r="H87" s="127" t="s">
        <v>1305</v>
      </c>
      <c r="J87" s="127">
        <f t="shared" si="12"/>
        <v>0</v>
      </c>
      <c r="K87" s="127" t="s">
        <v>1305</v>
      </c>
      <c r="M87" s="127">
        <f t="shared" si="13"/>
        <v>0</v>
      </c>
      <c r="N87" s="127" t="s">
        <v>1305</v>
      </c>
      <c r="P87" s="127">
        <f t="shared" si="14"/>
        <v>0</v>
      </c>
      <c r="Q87" s="127" t="s">
        <v>1305</v>
      </c>
      <c r="S87" s="127">
        <f t="shared" si="15"/>
        <v>0</v>
      </c>
      <c r="T87" s="127" t="s">
        <v>1305</v>
      </c>
      <c r="V87" s="127">
        <f t="shared" si="16"/>
        <v>0</v>
      </c>
    </row>
    <row r="88" spans="1:22" ht="15.75">
      <c r="A88" s="153" t="s">
        <v>1352</v>
      </c>
      <c r="B88" s="125" t="s">
        <v>623</v>
      </c>
      <c r="C88" s="130">
        <f t="shared" si="19"/>
        <v>7.5</v>
      </c>
      <c r="D88" s="180">
        <v>1</v>
      </c>
      <c r="E88" s="127" t="s">
        <v>597</v>
      </c>
      <c r="F88">
        <v>1</v>
      </c>
      <c r="G88" s="127">
        <f t="shared" si="11"/>
        <v>4.5</v>
      </c>
      <c r="H88" s="127" t="s">
        <v>676</v>
      </c>
      <c r="I88" s="127">
        <v>3</v>
      </c>
      <c r="J88" s="127">
        <f t="shared" si="12"/>
        <v>1</v>
      </c>
      <c r="K88" s="127" t="s">
        <v>1305</v>
      </c>
      <c r="M88" s="127">
        <f t="shared" si="13"/>
        <v>0</v>
      </c>
      <c r="N88" s="127" t="s">
        <v>1305</v>
      </c>
      <c r="P88" s="127">
        <f t="shared" si="14"/>
        <v>0</v>
      </c>
      <c r="Q88" s="127" t="s">
        <v>1305</v>
      </c>
      <c r="S88" s="127">
        <f t="shared" si="15"/>
        <v>0</v>
      </c>
      <c r="T88" s="127" t="s">
        <v>1305</v>
      </c>
      <c r="V88" s="127">
        <f t="shared" si="16"/>
        <v>0</v>
      </c>
    </row>
    <row r="89" spans="1:22" ht="15.75">
      <c r="A89" s="153" t="s">
        <v>1346</v>
      </c>
      <c r="B89" s="125" t="s">
        <v>624</v>
      </c>
      <c r="C89" s="130">
        <v>6</v>
      </c>
      <c r="D89" s="180">
        <v>1</v>
      </c>
      <c r="E89" s="127" t="s">
        <v>669</v>
      </c>
      <c r="F89">
        <v>1</v>
      </c>
      <c r="G89" s="127">
        <f t="shared" si="11"/>
        <v>28</v>
      </c>
      <c r="H89" s="127" t="s">
        <v>672</v>
      </c>
      <c r="I89" s="127">
        <v>1</v>
      </c>
      <c r="J89" s="127">
        <f t="shared" si="12"/>
        <v>3</v>
      </c>
      <c r="K89" s="127" t="s">
        <v>1305</v>
      </c>
      <c r="M89" s="127">
        <f t="shared" si="13"/>
        <v>0</v>
      </c>
      <c r="N89" s="127" t="s">
        <v>1305</v>
      </c>
      <c r="P89" s="127">
        <f t="shared" si="14"/>
        <v>0</v>
      </c>
      <c r="Q89" s="127" t="s">
        <v>1305</v>
      </c>
      <c r="S89" s="127">
        <f t="shared" si="15"/>
        <v>0</v>
      </c>
      <c r="T89" s="127" t="s">
        <v>1305</v>
      </c>
      <c r="V89" s="127">
        <f t="shared" si="16"/>
        <v>0</v>
      </c>
    </row>
    <row r="90" spans="1:22" ht="15.75">
      <c r="A90" s="153" t="s">
        <v>1346</v>
      </c>
      <c r="B90" s="125" t="s">
        <v>625</v>
      </c>
      <c r="C90" s="130">
        <f t="shared" si="19"/>
        <v>12</v>
      </c>
      <c r="D90" s="180">
        <v>6</v>
      </c>
      <c r="E90" s="127" t="s">
        <v>628</v>
      </c>
      <c r="F90">
        <v>3</v>
      </c>
      <c r="G90" s="127">
        <f t="shared" si="11"/>
        <v>24</v>
      </c>
      <c r="H90" s="127" t="s">
        <v>1305</v>
      </c>
      <c r="J90" s="127">
        <f t="shared" si="12"/>
        <v>0</v>
      </c>
      <c r="K90" s="127" t="s">
        <v>1305</v>
      </c>
      <c r="M90" s="127">
        <f t="shared" si="13"/>
        <v>0</v>
      </c>
      <c r="N90" s="127" t="s">
        <v>1305</v>
      </c>
      <c r="P90" s="127">
        <f t="shared" si="14"/>
        <v>0</v>
      </c>
      <c r="Q90" s="127" t="s">
        <v>1305</v>
      </c>
      <c r="S90" s="127">
        <f t="shared" si="15"/>
        <v>0</v>
      </c>
      <c r="T90" s="127" t="s">
        <v>1305</v>
      </c>
      <c r="V90" s="127">
        <f t="shared" si="16"/>
        <v>0</v>
      </c>
    </row>
    <row r="91" spans="1:22" ht="15.75">
      <c r="A91" s="153" t="s">
        <v>1346</v>
      </c>
      <c r="B91" s="125" t="s">
        <v>626</v>
      </c>
      <c r="C91" s="130">
        <f t="shared" si="19"/>
        <v>36</v>
      </c>
      <c r="D91" s="180">
        <v>4</v>
      </c>
      <c r="E91" s="127" t="s">
        <v>628</v>
      </c>
      <c r="F91">
        <v>6</v>
      </c>
      <c r="G91" s="127">
        <f t="shared" si="11"/>
        <v>24</v>
      </c>
      <c r="H91" s="127" t="s">
        <v>1305</v>
      </c>
      <c r="J91" s="127">
        <f t="shared" si="12"/>
        <v>0</v>
      </c>
      <c r="K91" s="127" t="s">
        <v>1305</v>
      </c>
      <c r="M91" s="127">
        <f t="shared" si="13"/>
        <v>0</v>
      </c>
      <c r="N91" s="127" t="s">
        <v>1305</v>
      </c>
      <c r="P91" s="127">
        <f t="shared" si="14"/>
        <v>0</v>
      </c>
      <c r="Q91" s="127" t="s">
        <v>1305</v>
      </c>
      <c r="S91" s="127">
        <f t="shared" si="15"/>
        <v>0</v>
      </c>
      <c r="T91" s="127" t="s">
        <v>1305</v>
      </c>
      <c r="V91" s="127">
        <f t="shared" si="16"/>
        <v>0</v>
      </c>
    </row>
    <row r="92" spans="1:22" ht="15.75">
      <c r="A92" s="153" t="s">
        <v>1346</v>
      </c>
      <c r="B92" s="125" t="s">
        <v>627</v>
      </c>
      <c r="C92" s="130">
        <f t="shared" si="19"/>
        <v>24</v>
      </c>
      <c r="D92" s="180">
        <v>6</v>
      </c>
      <c r="E92" s="127" t="s">
        <v>628</v>
      </c>
      <c r="F92">
        <v>6</v>
      </c>
      <c r="G92" s="127">
        <f t="shared" si="11"/>
        <v>24</v>
      </c>
      <c r="H92" s="127" t="s">
        <v>1305</v>
      </c>
      <c r="J92" s="127">
        <f t="shared" si="12"/>
        <v>0</v>
      </c>
      <c r="K92" s="127" t="s">
        <v>1305</v>
      </c>
      <c r="M92" s="127">
        <f t="shared" si="13"/>
        <v>0</v>
      </c>
      <c r="N92" s="127" t="s">
        <v>1305</v>
      </c>
      <c r="P92" s="127">
        <f t="shared" si="14"/>
        <v>0</v>
      </c>
      <c r="Q92" s="127" t="s">
        <v>1305</v>
      </c>
      <c r="S92" s="127">
        <f t="shared" si="15"/>
        <v>0</v>
      </c>
      <c r="T92" s="127" t="s">
        <v>1305</v>
      </c>
      <c r="V92" s="127">
        <f t="shared" si="16"/>
        <v>0</v>
      </c>
    </row>
    <row r="93" spans="1:22" ht="15.75">
      <c r="A93" s="153" t="s">
        <v>1346</v>
      </c>
      <c r="B93" s="125" t="s">
        <v>628</v>
      </c>
      <c r="C93" s="130">
        <f t="shared" si="19"/>
        <v>24</v>
      </c>
      <c r="D93" s="180">
        <v>1</v>
      </c>
      <c r="E93" s="127" t="s">
        <v>624</v>
      </c>
      <c r="F93">
        <v>4</v>
      </c>
      <c r="G93" s="127">
        <f t="shared" si="11"/>
        <v>6</v>
      </c>
      <c r="H93" s="127" t="s">
        <v>1305</v>
      </c>
      <c r="J93" s="127">
        <f t="shared" si="12"/>
        <v>0</v>
      </c>
      <c r="K93" s="127" t="s">
        <v>1305</v>
      </c>
      <c r="M93" s="127">
        <f t="shared" si="13"/>
        <v>0</v>
      </c>
      <c r="N93" s="127" t="s">
        <v>1305</v>
      </c>
      <c r="P93" s="127">
        <f t="shared" si="14"/>
        <v>0</v>
      </c>
      <c r="Q93" s="127" t="s">
        <v>1305</v>
      </c>
      <c r="S93" s="127">
        <f t="shared" si="15"/>
        <v>0</v>
      </c>
      <c r="T93" s="127" t="s">
        <v>1305</v>
      </c>
      <c r="V93" s="127">
        <f t="shared" si="16"/>
        <v>0</v>
      </c>
    </row>
    <row r="94" spans="1:22" ht="15.75">
      <c r="A94" s="153" t="s">
        <v>1351</v>
      </c>
      <c r="B94" s="125" t="s">
        <v>629</v>
      </c>
      <c r="C94" s="130">
        <f t="shared" si="19"/>
        <v>78.125</v>
      </c>
      <c r="D94" s="180">
        <v>1</v>
      </c>
      <c r="E94" s="127" t="s">
        <v>641</v>
      </c>
      <c r="F94" s="127">
        <v>6</v>
      </c>
      <c r="G94" s="127">
        <f t="shared" si="11"/>
        <v>13</v>
      </c>
      <c r="H94" s="127" t="s">
        <v>1208</v>
      </c>
      <c r="I94" s="127">
        <v>1</v>
      </c>
      <c r="J94" s="127">
        <f t="shared" si="12"/>
        <v>0.125</v>
      </c>
      <c r="K94" s="127" t="s">
        <v>1305</v>
      </c>
      <c r="M94" s="127">
        <f t="shared" si="13"/>
        <v>0</v>
      </c>
      <c r="N94" s="127" t="s">
        <v>1305</v>
      </c>
      <c r="P94" s="127">
        <f t="shared" si="14"/>
        <v>0</v>
      </c>
      <c r="Q94" s="127" t="s">
        <v>1305</v>
      </c>
      <c r="S94" s="127">
        <f t="shared" si="15"/>
        <v>0</v>
      </c>
      <c r="T94" s="127" t="s">
        <v>1305</v>
      </c>
      <c r="V94" s="127">
        <f t="shared" si="16"/>
        <v>0</v>
      </c>
    </row>
    <row r="95" spans="1:22" ht="15.75">
      <c r="A95" s="153" t="s">
        <v>1351</v>
      </c>
      <c r="B95" s="125" t="s">
        <v>630</v>
      </c>
      <c r="C95" s="130">
        <f t="shared" si="19"/>
        <v>39.75</v>
      </c>
      <c r="D95" s="180">
        <v>1</v>
      </c>
      <c r="E95" s="127" t="s">
        <v>641</v>
      </c>
      <c r="F95" s="127">
        <v>3</v>
      </c>
      <c r="G95" s="127">
        <f t="shared" si="11"/>
        <v>13</v>
      </c>
      <c r="H95" s="127" t="s">
        <v>1026</v>
      </c>
      <c r="I95" s="127">
        <v>3</v>
      </c>
      <c r="J95" s="127">
        <f t="shared" si="12"/>
        <v>0.25</v>
      </c>
      <c r="K95" s="127" t="s">
        <v>1305</v>
      </c>
      <c r="M95" s="127">
        <f t="shared" si="13"/>
        <v>0</v>
      </c>
      <c r="N95" s="127" t="s">
        <v>1305</v>
      </c>
      <c r="P95" s="127">
        <f t="shared" si="14"/>
        <v>0</v>
      </c>
      <c r="Q95" s="127" t="s">
        <v>1305</v>
      </c>
      <c r="S95" s="127">
        <f t="shared" si="15"/>
        <v>0</v>
      </c>
      <c r="T95" s="127" t="s">
        <v>1305</v>
      </c>
      <c r="V95" s="127">
        <f t="shared" si="16"/>
        <v>0</v>
      </c>
    </row>
    <row r="96" spans="1:22" ht="15.75">
      <c r="A96" s="153" t="s">
        <v>1351</v>
      </c>
      <c r="B96" s="125" t="s">
        <v>631</v>
      </c>
      <c r="C96" s="130">
        <f t="shared" si="19"/>
        <v>8.6666666666666661</v>
      </c>
      <c r="D96" s="180">
        <v>3</v>
      </c>
      <c r="E96" s="127" t="s">
        <v>641</v>
      </c>
      <c r="F96" s="127">
        <v>2</v>
      </c>
      <c r="G96" s="127">
        <f t="shared" si="11"/>
        <v>13</v>
      </c>
      <c r="H96" s="127" t="s">
        <v>1305</v>
      </c>
      <c r="J96" s="127">
        <f t="shared" si="12"/>
        <v>0</v>
      </c>
      <c r="K96" s="127" t="s">
        <v>1305</v>
      </c>
      <c r="M96" s="127">
        <f t="shared" si="13"/>
        <v>0</v>
      </c>
      <c r="N96" s="127" t="s">
        <v>1305</v>
      </c>
      <c r="P96" s="127">
        <f t="shared" si="14"/>
        <v>0</v>
      </c>
      <c r="Q96" s="127" t="s">
        <v>1305</v>
      </c>
      <c r="S96" s="127">
        <f t="shared" si="15"/>
        <v>0</v>
      </c>
      <c r="T96" s="127" t="s">
        <v>1305</v>
      </c>
      <c r="V96" s="127">
        <f t="shared" si="16"/>
        <v>0</v>
      </c>
    </row>
    <row r="97" spans="1:22" ht="15.75">
      <c r="A97" s="153" t="s">
        <v>1351</v>
      </c>
      <c r="B97" s="125" t="s">
        <v>632</v>
      </c>
      <c r="C97" s="130">
        <f t="shared" si="19"/>
        <v>3.875</v>
      </c>
      <c r="D97" s="180">
        <v>1</v>
      </c>
      <c r="E97" s="127" t="s">
        <v>633</v>
      </c>
      <c r="F97" s="127">
        <v>1</v>
      </c>
      <c r="G97" s="127">
        <f t="shared" si="11"/>
        <v>3.875</v>
      </c>
      <c r="H97" s="127" t="s">
        <v>1305</v>
      </c>
      <c r="J97" s="127">
        <f t="shared" si="12"/>
        <v>0</v>
      </c>
      <c r="K97" s="127" t="s">
        <v>1305</v>
      </c>
      <c r="M97" s="127">
        <f t="shared" si="13"/>
        <v>0</v>
      </c>
      <c r="N97" s="127" t="s">
        <v>1305</v>
      </c>
      <c r="P97" s="127">
        <f t="shared" si="14"/>
        <v>0</v>
      </c>
      <c r="Q97" s="127" t="s">
        <v>1305</v>
      </c>
      <c r="S97" s="127">
        <f t="shared" si="15"/>
        <v>0</v>
      </c>
      <c r="T97" s="127" t="s">
        <v>1305</v>
      </c>
      <c r="V97" s="127">
        <f t="shared" si="16"/>
        <v>0</v>
      </c>
    </row>
    <row r="98" spans="1:22" ht="15.75">
      <c r="A98" s="153" t="s">
        <v>1351</v>
      </c>
      <c r="B98" s="125" t="s">
        <v>633</v>
      </c>
      <c r="C98" s="130">
        <f t="shared" si="19"/>
        <v>3.875</v>
      </c>
      <c r="D98" s="180">
        <v>8</v>
      </c>
      <c r="E98" s="127" t="s">
        <v>1158</v>
      </c>
      <c r="F98" s="127">
        <v>4</v>
      </c>
      <c r="G98" s="127">
        <f t="shared" si="11"/>
        <v>5</v>
      </c>
      <c r="H98" s="127" t="s">
        <v>844</v>
      </c>
      <c r="I98" s="127">
        <v>4</v>
      </c>
      <c r="J98" s="127">
        <f t="shared" si="12"/>
        <v>1</v>
      </c>
      <c r="K98" s="127" t="s">
        <v>634</v>
      </c>
      <c r="L98" s="127">
        <v>1</v>
      </c>
      <c r="M98" s="127">
        <f t="shared" si="13"/>
        <v>7</v>
      </c>
      <c r="N98" s="127" t="s">
        <v>1305</v>
      </c>
      <c r="P98" s="127">
        <f t="shared" si="14"/>
        <v>0</v>
      </c>
      <c r="Q98" s="127" t="s">
        <v>1305</v>
      </c>
      <c r="S98" s="127">
        <f t="shared" si="15"/>
        <v>0</v>
      </c>
      <c r="T98" s="127" t="s">
        <v>1305</v>
      </c>
      <c r="V98" s="127">
        <f t="shared" si="16"/>
        <v>0</v>
      </c>
    </row>
    <row r="99" spans="1:22" s="13" customFormat="1" ht="15.75">
      <c r="A99" s="153" t="s">
        <v>1351</v>
      </c>
      <c r="B99" s="144" t="s">
        <v>634</v>
      </c>
      <c r="C99" s="130">
        <f t="shared" si="19"/>
        <v>7</v>
      </c>
      <c r="D99" s="180">
        <v>1</v>
      </c>
      <c r="E99" s="13" t="s">
        <v>1311</v>
      </c>
      <c r="F99" s="13">
        <v>1</v>
      </c>
      <c r="G99" s="13">
        <f t="shared" si="11"/>
        <v>7</v>
      </c>
      <c r="H99" s="13" t="s">
        <v>1305</v>
      </c>
      <c r="J99" s="13">
        <f t="shared" si="12"/>
        <v>0</v>
      </c>
      <c r="K99" s="13" t="s">
        <v>1305</v>
      </c>
      <c r="M99" s="13">
        <f t="shared" si="13"/>
        <v>0</v>
      </c>
      <c r="N99" s="13" t="s">
        <v>1305</v>
      </c>
      <c r="P99" s="13">
        <f t="shared" si="14"/>
        <v>0</v>
      </c>
      <c r="Q99" s="13" t="s">
        <v>1305</v>
      </c>
      <c r="S99" s="13">
        <f t="shared" si="15"/>
        <v>0</v>
      </c>
      <c r="T99" s="13" t="s">
        <v>1305</v>
      </c>
      <c r="V99" s="13">
        <f t="shared" si="16"/>
        <v>0</v>
      </c>
    </row>
    <row r="100" spans="1:22" ht="15.75">
      <c r="A100" s="153" t="s">
        <v>1351</v>
      </c>
      <c r="B100" s="125" t="s">
        <v>635</v>
      </c>
      <c r="C100" s="130">
        <f t="shared" si="19"/>
        <v>34.875</v>
      </c>
      <c r="D100" s="180">
        <v>1</v>
      </c>
      <c r="E100" s="127" t="s">
        <v>640</v>
      </c>
      <c r="F100" s="127">
        <v>1</v>
      </c>
      <c r="G100" s="127">
        <f t="shared" si="11"/>
        <v>31.875</v>
      </c>
      <c r="H100" s="127" t="s">
        <v>672</v>
      </c>
      <c r="I100" s="127">
        <v>1</v>
      </c>
      <c r="J100" s="127">
        <f t="shared" si="12"/>
        <v>3</v>
      </c>
      <c r="K100" s="127" t="s">
        <v>1305</v>
      </c>
      <c r="M100" s="127">
        <f t="shared" si="13"/>
        <v>0</v>
      </c>
      <c r="N100" s="127" t="s">
        <v>1305</v>
      </c>
      <c r="P100" s="127">
        <f t="shared" si="14"/>
        <v>0</v>
      </c>
      <c r="Q100" s="127" t="s">
        <v>1305</v>
      </c>
      <c r="S100" s="127">
        <f t="shared" si="15"/>
        <v>0</v>
      </c>
      <c r="T100" s="127" t="s">
        <v>1305</v>
      </c>
      <c r="V100" s="127">
        <f t="shared" si="16"/>
        <v>0</v>
      </c>
    </row>
    <row r="101" spans="1:22" s="137" customFormat="1" ht="15.75">
      <c r="A101" s="137" t="s">
        <v>560</v>
      </c>
      <c r="B101" s="135" t="s">
        <v>636</v>
      </c>
      <c r="C101" s="136">
        <f>'ECONOMIA &amp; PROFESIONES'!G42</f>
        <v>11</v>
      </c>
      <c r="D101" s="180"/>
      <c r="E101" s="137" t="s">
        <v>1305</v>
      </c>
      <c r="G101" s="137">
        <f t="shared" si="11"/>
        <v>0</v>
      </c>
      <c r="H101" s="137" t="s">
        <v>1305</v>
      </c>
      <c r="J101" s="137">
        <f t="shared" si="12"/>
        <v>0</v>
      </c>
      <c r="K101" s="137" t="s">
        <v>1305</v>
      </c>
      <c r="M101" s="137">
        <f t="shared" si="13"/>
        <v>0</v>
      </c>
      <c r="N101" s="137" t="s">
        <v>1305</v>
      </c>
      <c r="P101" s="137">
        <f t="shared" si="14"/>
        <v>0</v>
      </c>
      <c r="Q101" s="137" t="s">
        <v>1305</v>
      </c>
      <c r="S101" s="137">
        <f t="shared" si="15"/>
        <v>0</v>
      </c>
      <c r="T101" s="137" t="s">
        <v>1305</v>
      </c>
      <c r="V101" s="137">
        <f t="shared" si="16"/>
        <v>0</v>
      </c>
    </row>
    <row r="102" spans="1:22" ht="15.75">
      <c r="A102" s="153" t="s">
        <v>1351</v>
      </c>
      <c r="B102" s="125" t="s">
        <v>637</v>
      </c>
      <c r="C102" s="130">
        <f t="shared" si="19"/>
        <v>18</v>
      </c>
      <c r="D102" s="180">
        <v>1</v>
      </c>
      <c r="E102" s="127" t="s">
        <v>634</v>
      </c>
      <c r="F102" s="127">
        <v>1</v>
      </c>
      <c r="G102" s="127">
        <f t="shared" si="11"/>
        <v>7</v>
      </c>
      <c r="H102" s="127" t="s">
        <v>1170</v>
      </c>
      <c r="I102" s="127">
        <v>1</v>
      </c>
      <c r="J102" s="127">
        <f t="shared" si="12"/>
        <v>11</v>
      </c>
      <c r="K102" s="127" t="s">
        <v>1305</v>
      </c>
      <c r="M102" s="127">
        <f t="shared" si="13"/>
        <v>0</v>
      </c>
      <c r="N102" s="127" t="s">
        <v>1305</v>
      </c>
      <c r="P102" s="127">
        <f t="shared" si="14"/>
        <v>0</v>
      </c>
      <c r="Q102" s="127" t="s">
        <v>1305</v>
      </c>
      <c r="S102" s="127">
        <f t="shared" si="15"/>
        <v>0</v>
      </c>
      <c r="T102" s="127" t="s">
        <v>1305</v>
      </c>
      <c r="V102" s="127">
        <f t="shared" si="16"/>
        <v>0</v>
      </c>
    </row>
    <row r="103" spans="1:22" ht="15.75">
      <c r="A103" s="153" t="s">
        <v>1351</v>
      </c>
      <c r="B103" s="125" t="s">
        <v>638</v>
      </c>
      <c r="C103" s="130">
        <f t="shared" si="19"/>
        <v>8.875</v>
      </c>
      <c r="D103" s="180">
        <v>8</v>
      </c>
      <c r="E103" s="127" t="s">
        <v>814</v>
      </c>
      <c r="F103" s="127">
        <v>8</v>
      </c>
      <c r="G103" s="127">
        <f t="shared" si="11"/>
        <v>8</v>
      </c>
      <c r="H103" s="127" t="s">
        <v>634</v>
      </c>
      <c r="I103" s="127">
        <v>1</v>
      </c>
      <c r="J103" s="127">
        <f t="shared" si="12"/>
        <v>7</v>
      </c>
      <c r="K103" s="127" t="s">
        <v>1305</v>
      </c>
      <c r="M103" s="127">
        <f t="shared" si="13"/>
        <v>0</v>
      </c>
      <c r="N103" s="127" t="s">
        <v>1305</v>
      </c>
      <c r="P103" s="127">
        <f t="shared" si="14"/>
        <v>0</v>
      </c>
      <c r="Q103" s="127" t="s">
        <v>1305</v>
      </c>
      <c r="S103" s="127">
        <f t="shared" si="15"/>
        <v>0</v>
      </c>
      <c r="T103" s="127" t="s">
        <v>1305</v>
      </c>
      <c r="V103" s="127">
        <f t="shared" si="16"/>
        <v>0</v>
      </c>
    </row>
    <row r="104" spans="1:22" ht="15.75">
      <c r="A104" s="153" t="s">
        <v>1351</v>
      </c>
      <c r="B104" s="125" t="s">
        <v>639</v>
      </c>
      <c r="C104" s="130">
        <f t="shared" si="19"/>
        <v>3.328125</v>
      </c>
      <c r="D104" s="180">
        <v>16</v>
      </c>
      <c r="E104" s="127" t="s">
        <v>638</v>
      </c>
      <c r="F104" s="127">
        <v>6</v>
      </c>
      <c r="G104" s="127">
        <f t="shared" si="11"/>
        <v>8.875</v>
      </c>
      <c r="H104" s="127" t="s">
        <v>1305</v>
      </c>
      <c r="J104" s="127">
        <f t="shared" si="12"/>
        <v>0</v>
      </c>
      <c r="K104" s="127" t="s">
        <v>1305</v>
      </c>
      <c r="M104" s="127">
        <f t="shared" si="13"/>
        <v>0</v>
      </c>
      <c r="N104" s="127" t="s">
        <v>1305</v>
      </c>
      <c r="P104" s="127">
        <f t="shared" si="14"/>
        <v>0</v>
      </c>
      <c r="Q104" s="127" t="s">
        <v>1305</v>
      </c>
      <c r="S104" s="127">
        <f t="shared" si="15"/>
        <v>0</v>
      </c>
      <c r="T104" s="127" t="s">
        <v>1305</v>
      </c>
      <c r="V104" s="127">
        <f t="shared" si="16"/>
        <v>0</v>
      </c>
    </row>
    <row r="105" spans="1:22" ht="15.75">
      <c r="A105" s="153" t="s">
        <v>1351</v>
      </c>
      <c r="B105" s="125" t="s">
        <v>640</v>
      </c>
      <c r="C105" s="130">
        <f t="shared" si="19"/>
        <v>31.875</v>
      </c>
      <c r="D105" s="180">
        <v>8</v>
      </c>
      <c r="E105" s="127" t="s">
        <v>1245</v>
      </c>
      <c r="F105" s="127">
        <v>8</v>
      </c>
      <c r="G105" s="127">
        <f t="shared" si="11"/>
        <v>31</v>
      </c>
      <c r="H105" s="127" t="s">
        <v>634</v>
      </c>
      <c r="I105" s="127">
        <v>1</v>
      </c>
      <c r="J105" s="127">
        <f t="shared" si="12"/>
        <v>7</v>
      </c>
      <c r="K105" s="127" t="s">
        <v>1305</v>
      </c>
      <c r="M105" s="127">
        <f t="shared" si="13"/>
        <v>0</v>
      </c>
      <c r="N105" s="127" t="s">
        <v>1305</v>
      </c>
      <c r="P105" s="127">
        <f t="shared" si="14"/>
        <v>0</v>
      </c>
      <c r="Q105" s="127" t="s">
        <v>1305</v>
      </c>
      <c r="S105" s="127">
        <f t="shared" si="15"/>
        <v>0</v>
      </c>
      <c r="T105" s="127" t="s">
        <v>1305</v>
      </c>
      <c r="V105" s="127">
        <f t="shared" si="16"/>
        <v>0</v>
      </c>
    </row>
    <row r="106" spans="1:22" ht="15.75">
      <c r="A106" s="153" t="s">
        <v>1351</v>
      </c>
      <c r="B106" s="125" t="s">
        <v>641</v>
      </c>
      <c r="C106" s="130">
        <f t="shared" si="19"/>
        <v>13</v>
      </c>
      <c r="D106" s="180">
        <v>1</v>
      </c>
      <c r="E106" s="127" t="s">
        <v>1274</v>
      </c>
      <c r="F106" s="127">
        <v>1</v>
      </c>
      <c r="G106" s="127">
        <f t="shared" si="11"/>
        <v>6</v>
      </c>
      <c r="H106" s="127" t="s">
        <v>634</v>
      </c>
      <c r="I106" s="127">
        <v>1</v>
      </c>
      <c r="J106" s="127">
        <f t="shared" si="12"/>
        <v>7</v>
      </c>
      <c r="K106" s="127" t="s">
        <v>1305</v>
      </c>
      <c r="M106" s="127">
        <f t="shared" si="13"/>
        <v>0</v>
      </c>
      <c r="N106" s="127" t="s">
        <v>1305</v>
      </c>
      <c r="P106" s="127">
        <f t="shared" si="14"/>
        <v>0</v>
      </c>
      <c r="Q106" s="127" t="s">
        <v>1305</v>
      </c>
      <c r="S106" s="127">
        <f t="shared" si="15"/>
        <v>0</v>
      </c>
      <c r="T106" s="127" t="s">
        <v>1305</v>
      </c>
      <c r="V106" s="127">
        <f t="shared" si="16"/>
        <v>0</v>
      </c>
    </row>
    <row r="107" spans="1:22" s="167" customFormat="1" ht="15.75">
      <c r="B107" s="165" t="s">
        <v>642</v>
      </c>
      <c r="C107" s="166">
        <f t="shared" si="17"/>
        <v>0</v>
      </c>
      <c r="D107" s="184"/>
      <c r="E107" s="167" t="s">
        <v>1305</v>
      </c>
      <c r="G107" s="167">
        <f t="shared" si="11"/>
        <v>0</v>
      </c>
      <c r="H107" s="167" t="s">
        <v>1305</v>
      </c>
      <c r="J107" s="167">
        <f t="shared" si="12"/>
        <v>0</v>
      </c>
      <c r="K107" s="167" t="s">
        <v>1305</v>
      </c>
      <c r="M107" s="167">
        <f t="shared" si="13"/>
        <v>0</v>
      </c>
      <c r="N107" s="167" t="s">
        <v>1305</v>
      </c>
      <c r="P107" s="167">
        <f t="shared" si="14"/>
        <v>0</v>
      </c>
      <c r="Q107" s="167" t="s">
        <v>1305</v>
      </c>
      <c r="S107" s="167">
        <f t="shared" si="15"/>
        <v>0</v>
      </c>
      <c r="T107" s="167" t="s">
        <v>1305</v>
      </c>
      <c r="V107" s="167">
        <f t="shared" si="16"/>
        <v>0</v>
      </c>
    </row>
    <row r="108" spans="1:22" s="167" customFormat="1" ht="15.75">
      <c r="B108" s="165" t="s">
        <v>643</v>
      </c>
      <c r="C108" s="166">
        <f t="shared" si="17"/>
        <v>0</v>
      </c>
      <c r="D108" s="184"/>
      <c r="E108" s="167" t="s">
        <v>1305</v>
      </c>
      <c r="G108" s="167">
        <f t="shared" si="11"/>
        <v>0</v>
      </c>
      <c r="H108" s="167" t="s">
        <v>1305</v>
      </c>
      <c r="J108" s="167">
        <f t="shared" si="12"/>
        <v>0</v>
      </c>
      <c r="K108" s="167" t="s">
        <v>1305</v>
      </c>
      <c r="M108" s="167">
        <f t="shared" si="13"/>
        <v>0</v>
      </c>
      <c r="N108" s="167" t="s">
        <v>1305</v>
      </c>
      <c r="P108" s="167">
        <f t="shared" si="14"/>
        <v>0</v>
      </c>
      <c r="Q108" s="167" t="s">
        <v>1305</v>
      </c>
      <c r="S108" s="167">
        <f t="shared" si="15"/>
        <v>0</v>
      </c>
      <c r="T108" s="167" t="s">
        <v>1305</v>
      </c>
      <c r="V108" s="167">
        <f t="shared" si="16"/>
        <v>0</v>
      </c>
    </row>
    <row r="109" spans="1:22" s="167" customFormat="1" ht="15.75">
      <c r="B109" s="165" t="s">
        <v>644</v>
      </c>
      <c r="C109" s="166">
        <f t="shared" si="17"/>
        <v>0</v>
      </c>
      <c r="D109" s="184"/>
      <c r="E109" s="167" t="s">
        <v>1305</v>
      </c>
      <c r="G109" s="167">
        <f t="shared" si="11"/>
        <v>0</v>
      </c>
      <c r="H109" s="167" t="s">
        <v>1305</v>
      </c>
      <c r="J109" s="167">
        <f t="shared" si="12"/>
        <v>0</v>
      </c>
      <c r="K109" s="167" t="s">
        <v>1305</v>
      </c>
      <c r="M109" s="167">
        <f t="shared" si="13"/>
        <v>0</v>
      </c>
      <c r="N109" s="167" t="s">
        <v>1305</v>
      </c>
      <c r="P109" s="167">
        <f t="shared" si="14"/>
        <v>0</v>
      </c>
      <c r="Q109" s="167" t="s">
        <v>1305</v>
      </c>
      <c r="S109" s="167">
        <f t="shared" si="15"/>
        <v>0</v>
      </c>
      <c r="T109" s="167" t="s">
        <v>1305</v>
      </c>
      <c r="V109" s="167">
        <f t="shared" si="16"/>
        <v>0</v>
      </c>
    </row>
    <row r="110" spans="1:22" ht="15.75">
      <c r="A110" s="153" t="s">
        <v>1343</v>
      </c>
      <c r="B110" s="125" t="s">
        <v>645</v>
      </c>
      <c r="C110" s="130">
        <f t="shared" ref="C110:C118" si="20">((G110*F110)+(I110*J110)+(L110*M110)+(O110*P110)+(R110*S110)+(U110*V110))/D110</f>
        <v>24</v>
      </c>
      <c r="D110" s="180">
        <v>1</v>
      </c>
      <c r="E110" s="127" t="s">
        <v>896</v>
      </c>
      <c r="F110">
        <v>3</v>
      </c>
      <c r="G110" s="127">
        <f t="shared" si="11"/>
        <v>8</v>
      </c>
      <c r="H110" s="127" t="s">
        <v>1305</v>
      </c>
      <c r="J110" s="127">
        <f t="shared" si="12"/>
        <v>0</v>
      </c>
      <c r="K110" s="127" t="s">
        <v>1305</v>
      </c>
      <c r="M110" s="127">
        <f t="shared" si="13"/>
        <v>0</v>
      </c>
      <c r="N110" s="127" t="s">
        <v>1305</v>
      </c>
      <c r="P110" s="127">
        <f t="shared" si="14"/>
        <v>0</v>
      </c>
      <c r="Q110" s="127" t="s">
        <v>1305</v>
      </c>
      <c r="S110" s="127">
        <f t="shared" si="15"/>
        <v>0</v>
      </c>
      <c r="T110" s="127" t="s">
        <v>1305</v>
      </c>
      <c r="V110" s="127">
        <f t="shared" si="16"/>
        <v>0</v>
      </c>
    </row>
    <row r="111" spans="1:22" s="137" customFormat="1" ht="15.75">
      <c r="A111" s="137" t="s">
        <v>560</v>
      </c>
      <c r="B111" s="135" t="s">
        <v>646</v>
      </c>
      <c r="C111" s="136">
        <f>'ECONOMIA &amp; PROFESIONES'!G38</f>
        <v>5</v>
      </c>
      <c r="D111" s="180"/>
      <c r="E111" s="137" t="s">
        <v>1305</v>
      </c>
      <c r="G111" s="137">
        <f t="shared" si="11"/>
        <v>0</v>
      </c>
      <c r="H111" s="137" t="s">
        <v>1305</v>
      </c>
      <c r="J111" s="137">
        <f t="shared" si="12"/>
        <v>0</v>
      </c>
      <c r="K111" s="137" t="s">
        <v>1305</v>
      </c>
      <c r="M111" s="137">
        <f t="shared" si="13"/>
        <v>0</v>
      </c>
      <c r="N111" s="137" t="s">
        <v>1305</v>
      </c>
      <c r="P111" s="137">
        <f t="shared" si="14"/>
        <v>0</v>
      </c>
      <c r="Q111" s="137" t="s">
        <v>1305</v>
      </c>
      <c r="S111" s="137">
        <f t="shared" si="15"/>
        <v>0</v>
      </c>
      <c r="T111" s="137" t="s">
        <v>1305</v>
      </c>
      <c r="V111" s="137">
        <f t="shared" si="16"/>
        <v>0</v>
      </c>
    </row>
    <row r="112" spans="1:22" ht="15.75">
      <c r="A112" s="153" t="s">
        <v>1348</v>
      </c>
      <c r="B112" s="125" t="s">
        <v>647</v>
      </c>
      <c r="C112" s="130">
        <f t="shared" si="20"/>
        <v>38.9</v>
      </c>
      <c r="D112" s="180">
        <v>1</v>
      </c>
      <c r="E112" s="127" t="s">
        <v>1260</v>
      </c>
      <c r="F112">
        <v>3</v>
      </c>
      <c r="G112" s="127">
        <f t="shared" si="11"/>
        <v>7</v>
      </c>
      <c r="H112" s="127" t="s">
        <v>775</v>
      </c>
      <c r="I112" s="127">
        <v>1</v>
      </c>
      <c r="J112" s="127">
        <f t="shared" si="12"/>
        <v>0.4</v>
      </c>
      <c r="K112" s="127" t="s">
        <v>1239</v>
      </c>
      <c r="L112" s="127">
        <v>2</v>
      </c>
      <c r="M112" s="127">
        <f t="shared" si="13"/>
        <v>5</v>
      </c>
      <c r="N112" s="127" t="s">
        <v>565</v>
      </c>
      <c r="O112" s="127">
        <v>3</v>
      </c>
      <c r="P112" s="127">
        <f t="shared" si="14"/>
        <v>2.5</v>
      </c>
      <c r="Q112" s="127" t="s">
        <v>1305</v>
      </c>
      <c r="S112" s="127">
        <f t="shared" si="15"/>
        <v>0</v>
      </c>
      <c r="T112" s="127" t="s">
        <v>1305</v>
      </c>
      <c r="V112" s="127">
        <f t="shared" si="16"/>
        <v>0</v>
      </c>
    </row>
    <row r="113" spans="1:22" ht="15.75">
      <c r="A113" s="153" t="s">
        <v>1345</v>
      </c>
      <c r="B113" s="125" t="s">
        <v>648</v>
      </c>
      <c r="C113" s="130">
        <f t="shared" si="20"/>
        <v>4.125</v>
      </c>
      <c r="D113" s="180">
        <v>1</v>
      </c>
      <c r="E113" s="127" t="s">
        <v>1208</v>
      </c>
      <c r="F113">
        <v>3</v>
      </c>
      <c r="G113" s="127">
        <f t="shared" si="11"/>
        <v>0.125</v>
      </c>
      <c r="H113" s="127" t="s">
        <v>672</v>
      </c>
      <c r="I113" s="127">
        <v>1</v>
      </c>
      <c r="J113" s="127">
        <f t="shared" si="12"/>
        <v>3</v>
      </c>
      <c r="K113" s="127" t="s">
        <v>1026</v>
      </c>
      <c r="L113" s="127">
        <v>3</v>
      </c>
      <c r="M113" s="127">
        <f t="shared" si="13"/>
        <v>0.25</v>
      </c>
      <c r="N113" s="127" t="s">
        <v>1305</v>
      </c>
      <c r="P113" s="127">
        <f t="shared" si="14"/>
        <v>0</v>
      </c>
      <c r="Q113" s="127" t="s">
        <v>1305</v>
      </c>
      <c r="S113" s="127">
        <f t="shared" si="15"/>
        <v>0</v>
      </c>
      <c r="T113" s="127" t="s">
        <v>1305</v>
      </c>
      <c r="V113" s="127">
        <f t="shared" si="16"/>
        <v>0</v>
      </c>
    </row>
    <row r="114" spans="1:22" s="137" customFormat="1" ht="15.75">
      <c r="A114" s="137" t="s">
        <v>560</v>
      </c>
      <c r="B114" s="135" t="s">
        <v>649</v>
      </c>
      <c r="C114" s="136">
        <f>'ECONOMIA &amp; PROFESIONES'!G35</f>
        <v>5</v>
      </c>
      <c r="D114" s="180"/>
      <c r="E114" s="137" t="s">
        <v>1305</v>
      </c>
      <c r="G114" s="137">
        <f t="shared" si="11"/>
        <v>0</v>
      </c>
      <c r="H114" s="137" t="s">
        <v>1305</v>
      </c>
      <c r="J114" s="137">
        <f t="shared" si="12"/>
        <v>0</v>
      </c>
      <c r="K114" s="137" t="s">
        <v>1305</v>
      </c>
      <c r="M114" s="137">
        <f t="shared" si="13"/>
        <v>0</v>
      </c>
      <c r="N114" s="137" t="s">
        <v>1305</v>
      </c>
      <c r="P114" s="137">
        <f t="shared" si="14"/>
        <v>0</v>
      </c>
      <c r="Q114" s="137" t="s">
        <v>1305</v>
      </c>
      <c r="S114" s="137">
        <f t="shared" si="15"/>
        <v>0</v>
      </c>
      <c r="T114" s="137" t="s">
        <v>1305</v>
      </c>
      <c r="V114" s="137">
        <f t="shared" si="16"/>
        <v>0</v>
      </c>
    </row>
    <row r="115" spans="1:22" ht="15.75">
      <c r="A115" s="153" t="s">
        <v>1348</v>
      </c>
      <c r="B115" s="125" t="s">
        <v>650</v>
      </c>
      <c r="C115" s="130">
        <f t="shared" si="20"/>
        <v>8.375</v>
      </c>
      <c r="D115" s="180">
        <v>1</v>
      </c>
      <c r="E115" s="127" t="s">
        <v>649</v>
      </c>
      <c r="F115">
        <v>1</v>
      </c>
      <c r="G115" s="127">
        <f t="shared" si="11"/>
        <v>5</v>
      </c>
      <c r="H115" s="127" t="s">
        <v>805</v>
      </c>
      <c r="I115" s="127">
        <v>1</v>
      </c>
      <c r="J115" s="127">
        <f t="shared" si="12"/>
        <v>3.375</v>
      </c>
      <c r="K115" s="127" t="s">
        <v>1305</v>
      </c>
      <c r="M115" s="127">
        <f t="shared" si="13"/>
        <v>0</v>
      </c>
      <c r="N115" s="127" t="s">
        <v>1305</v>
      </c>
      <c r="P115" s="127">
        <f t="shared" si="14"/>
        <v>0</v>
      </c>
      <c r="Q115" s="127" t="s">
        <v>1305</v>
      </c>
      <c r="S115" s="127">
        <f t="shared" si="15"/>
        <v>0</v>
      </c>
      <c r="T115" s="127" t="s">
        <v>1305</v>
      </c>
      <c r="V115" s="127">
        <f t="shared" si="16"/>
        <v>0</v>
      </c>
    </row>
    <row r="116" spans="1:22" ht="15.75">
      <c r="A116" s="153" t="s">
        <v>1345</v>
      </c>
      <c r="B116" s="125" t="s">
        <v>651</v>
      </c>
      <c r="C116" s="130">
        <f t="shared" si="20"/>
        <v>11</v>
      </c>
      <c r="D116" s="180">
        <v>1</v>
      </c>
      <c r="E116" s="127" t="s">
        <v>1051</v>
      </c>
      <c r="F116">
        <v>2</v>
      </c>
      <c r="G116" s="127">
        <f t="shared" si="11"/>
        <v>5</v>
      </c>
      <c r="H116" s="127" t="s">
        <v>1026</v>
      </c>
      <c r="I116" s="127">
        <v>4</v>
      </c>
      <c r="J116" s="127">
        <f t="shared" si="12"/>
        <v>0.25</v>
      </c>
      <c r="K116" s="127" t="s">
        <v>1305</v>
      </c>
      <c r="M116" s="127">
        <f t="shared" si="13"/>
        <v>0</v>
      </c>
      <c r="N116" s="127" t="s">
        <v>1305</v>
      </c>
      <c r="P116" s="127">
        <f t="shared" si="14"/>
        <v>0</v>
      </c>
      <c r="Q116" s="127" t="s">
        <v>1305</v>
      </c>
      <c r="S116" s="127">
        <f t="shared" si="15"/>
        <v>0</v>
      </c>
      <c r="T116" s="127" t="s">
        <v>1305</v>
      </c>
      <c r="V116" s="127">
        <f t="shared" si="16"/>
        <v>0</v>
      </c>
    </row>
    <row r="117" spans="1:22" ht="15.75">
      <c r="A117" s="153" t="s">
        <v>1348</v>
      </c>
      <c r="B117" s="125" t="s">
        <v>652</v>
      </c>
      <c r="C117" s="130">
        <f t="shared" si="20"/>
        <v>11</v>
      </c>
      <c r="D117" s="180">
        <v>1</v>
      </c>
      <c r="E117" s="127" t="s">
        <v>1095</v>
      </c>
      <c r="F117">
        <v>1</v>
      </c>
      <c r="G117" s="127">
        <f t="shared" si="11"/>
        <v>11</v>
      </c>
      <c r="H117" s="127" t="s">
        <v>1305</v>
      </c>
      <c r="J117" s="127">
        <f t="shared" si="12"/>
        <v>0</v>
      </c>
      <c r="K117" s="127" t="s">
        <v>1305</v>
      </c>
      <c r="M117" s="127">
        <f t="shared" si="13"/>
        <v>0</v>
      </c>
      <c r="N117" s="127" t="s">
        <v>1305</v>
      </c>
      <c r="P117" s="127">
        <f t="shared" si="14"/>
        <v>0</v>
      </c>
      <c r="Q117" s="127" t="s">
        <v>1305</v>
      </c>
      <c r="S117" s="127">
        <f t="shared" si="15"/>
        <v>0</v>
      </c>
      <c r="T117" s="127" t="s">
        <v>1305</v>
      </c>
      <c r="V117" s="127">
        <f t="shared" si="16"/>
        <v>0</v>
      </c>
    </row>
    <row r="118" spans="1:22" ht="15.75">
      <c r="A118" s="153" t="s">
        <v>1343</v>
      </c>
      <c r="B118" s="125" t="s">
        <v>653</v>
      </c>
      <c r="C118" s="130">
        <f t="shared" si="20"/>
        <v>56</v>
      </c>
      <c r="D118" s="180">
        <v>1</v>
      </c>
      <c r="E118" s="127" t="s">
        <v>896</v>
      </c>
      <c r="F118">
        <v>7</v>
      </c>
      <c r="G118" s="127">
        <f t="shared" si="11"/>
        <v>8</v>
      </c>
      <c r="H118" s="127" t="s">
        <v>1305</v>
      </c>
      <c r="J118" s="127">
        <f t="shared" si="12"/>
        <v>0</v>
      </c>
      <c r="K118" s="127" t="s">
        <v>1305</v>
      </c>
      <c r="M118" s="127">
        <f t="shared" si="13"/>
        <v>0</v>
      </c>
      <c r="N118" s="127" t="s">
        <v>1305</v>
      </c>
      <c r="P118" s="127">
        <f t="shared" si="14"/>
        <v>0</v>
      </c>
      <c r="Q118" s="127" t="s">
        <v>1305</v>
      </c>
      <c r="S118" s="127">
        <f t="shared" si="15"/>
        <v>0</v>
      </c>
      <c r="T118" s="127" t="s">
        <v>1305</v>
      </c>
      <c r="V118" s="127">
        <f t="shared" si="16"/>
        <v>0</v>
      </c>
    </row>
    <row r="119" spans="1:22" s="140" customFormat="1" ht="15.75">
      <c r="A119" s="140" t="s">
        <v>1344</v>
      </c>
      <c r="B119" s="138" t="s">
        <v>654</v>
      </c>
      <c r="C119" s="139">
        <f t="shared" si="17"/>
        <v>0</v>
      </c>
      <c r="D119" s="185"/>
      <c r="E119" s="140" t="s">
        <v>1305</v>
      </c>
      <c r="G119" s="140">
        <f t="shared" si="11"/>
        <v>0</v>
      </c>
      <c r="H119" s="140" t="s">
        <v>1305</v>
      </c>
      <c r="J119" s="140">
        <f t="shared" si="12"/>
        <v>0</v>
      </c>
      <c r="K119" s="140" t="s">
        <v>1305</v>
      </c>
      <c r="M119" s="140">
        <f t="shared" si="13"/>
        <v>0</v>
      </c>
      <c r="N119" s="140" t="s">
        <v>1305</v>
      </c>
      <c r="P119" s="140">
        <f t="shared" si="14"/>
        <v>0</v>
      </c>
      <c r="Q119" s="140" t="s">
        <v>1305</v>
      </c>
      <c r="S119" s="140">
        <f t="shared" si="15"/>
        <v>0</v>
      </c>
      <c r="T119" s="140" t="s">
        <v>1305</v>
      </c>
      <c r="V119" s="140">
        <f t="shared" si="16"/>
        <v>0</v>
      </c>
    </row>
    <row r="120" spans="1:22" s="140" customFormat="1" ht="15.75">
      <c r="A120" s="140" t="s">
        <v>1344</v>
      </c>
      <c r="B120" s="138" t="s">
        <v>655</v>
      </c>
      <c r="C120" s="139">
        <f t="shared" si="17"/>
        <v>0</v>
      </c>
      <c r="D120" s="185"/>
      <c r="E120" s="140" t="s">
        <v>1305</v>
      </c>
      <c r="G120" s="140">
        <f t="shared" si="11"/>
        <v>0</v>
      </c>
      <c r="H120" s="140" t="s">
        <v>1305</v>
      </c>
      <c r="J120" s="140">
        <f t="shared" si="12"/>
        <v>0</v>
      </c>
      <c r="K120" s="140" t="s">
        <v>1305</v>
      </c>
      <c r="M120" s="140">
        <f t="shared" si="13"/>
        <v>0</v>
      </c>
      <c r="N120" s="140" t="s">
        <v>1305</v>
      </c>
      <c r="P120" s="140">
        <f t="shared" si="14"/>
        <v>0</v>
      </c>
      <c r="Q120" s="140" t="s">
        <v>1305</v>
      </c>
      <c r="S120" s="140">
        <f t="shared" si="15"/>
        <v>0</v>
      </c>
      <c r="T120" s="140" t="s">
        <v>1305</v>
      </c>
      <c r="V120" s="140">
        <f t="shared" si="16"/>
        <v>0</v>
      </c>
    </row>
    <row r="121" spans="1:22" s="140" customFormat="1" ht="15.75">
      <c r="A121" s="140" t="s">
        <v>1344</v>
      </c>
      <c r="B121" s="138" t="s">
        <v>656</v>
      </c>
      <c r="C121" s="139">
        <f t="shared" si="17"/>
        <v>0</v>
      </c>
      <c r="D121" s="185"/>
      <c r="E121" s="140" t="s">
        <v>1305</v>
      </c>
      <c r="G121" s="140">
        <f t="shared" si="11"/>
        <v>0</v>
      </c>
      <c r="H121" s="140" t="s">
        <v>1305</v>
      </c>
      <c r="J121" s="140">
        <f t="shared" si="12"/>
        <v>0</v>
      </c>
      <c r="K121" s="140" t="s">
        <v>1305</v>
      </c>
      <c r="M121" s="140">
        <f t="shared" si="13"/>
        <v>0</v>
      </c>
      <c r="N121" s="140" t="s">
        <v>1305</v>
      </c>
      <c r="P121" s="140">
        <f t="shared" si="14"/>
        <v>0</v>
      </c>
      <c r="Q121" s="140" t="s">
        <v>1305</v>
      </c>
      <c r="S121" s="140">
        <f t="shared" si="15"/>
        <v>0</v>
      </c>
      <c r="T121" s="140" t="s">
        <v>1305</v>
      </c>
      <c r="V121" s="140">
        <f t="shared" si="16"/>
        <v>0</v>
      </c>
    </row>
    <row r="122" spans="1:22" s="140" customFormat="1" ht="15.75">
      <c r="A122" s="140" t="s">
        <v>1344</v>
      </c>
      <c r="B122" s="138" t="s">
        <v>657</v>
      </c>
      <c r="C122" s="139">
        <f t="shared" si="17"/>
        <v>0</v>
      </c>
      <c r="D122" s="185"/>
      <c r="E122" s="140" t="s">
        <v>1305</v>
      </c>
      <c r="G122" s="140">
        <f t="shared" si="11"/>
        <v>0</v>
      </c>
      <c r="H122" s="140" t="s">
        <v>1305</v>
      </c>
      <c r="J122" s="140">
        <f t="shared" si="12"/>
        <v>0</v>
      </c>
      <c r="K122" s="140" t="s">
        <v>1305</v>
      </c>
      <c r="M122" s="140">
        <f t="shared" si="13"/>
        <v>0</v>
      </c>
      <c r="N122" s="140" t="s">
        <v>1305</v>
      </c>
      <c r="P122" s="140">
        <f t="shared" si="14"/>
        <v>0</v>
      </c>
      <c r="Q122" s="140" t="s">
        <v>1305</v>
      </c>
      <c r="S122" s="140">
        <f t="shared" si="15"/>
        <v>0</v>
      </c>
      <c r="T122" s="140" t="s">
        <v>1305</v>
      </c>
      <c r="V122" s="140">
        <f t="shared" si="16"/>
        <v>0</v>
      </c>
    </row>
    <row r="123" spans="1:22" ht="15.75">
      <c r="A123" s="153"/>
      <c r="B123" s="125" t="s">
        <v>658</v>
      </c>
      <c r="C123" s="130">
        <f t="shared" ref="C123:C130" si="21">((G123*F123)+(I123*J123)+(L123*M123)+(O123*P123)+(R123*S123)+(U123*V123))/D123</f>
        <v>2</v>
      </c>
      <c r="D123" s="180">
        <v>1</v>
      </c>
      <c r="E123" s="127" t="s">
        <v>1032</v>
      </c>
      <c r="F123">
        <v>2</v>
      </c>
      <c r="G123" s="127">
        <f t="shared" si="11"/>
        <v>1</v>
      </c>
      <c r="H123" s="127" t="s">
        <v>1305</v>
      </c>
      <c r="J123" s="127">
        <f t="shared" si="12"/>
        <v>0</v>
      </c>
      <c r="K123" s="127" t="s">
        <v>1305</v>
      </c>
      <c r="M123" s="127">
        <f t="shared" si="13"/>
        <v>0</v>
      </c>
      <c r="N123" s="127" t="s">
        <v>1305</v>
      </c>
      <c r="P123" s="127">
        <f t="shared" si="14"/>
        <v>0</v>
      </c>
      <c r="Q123" s="127" t="s">
        <v>1305</v>
      </c>
      <c r="S123" s="127">
        <f t="shared" si="15"/>
        <v>0</v>
      </c>
      <c r="T123" s="127" t="s">
        <v>1305</v>
      </c>
      <c r="V123" s="127">
        <f t="shared" si="16"/>
        <v>0</v>
      </c>
    </row>
    <row r="124" spans="1:22" ht="15.75">
      <c r="A124" s="153" t="s">
        <v>1345</v>
      </c>
      <c r="B124" s="125" t="s">
        <v>659</v>
      </c>
      <c r="C124" s="130">
        <f t="shared" si="21"/>
        <v>2</v>
      </c>
      <c r="D124" s="180">
        <v>1</v>
      </c>
      <c r="E124" s="127" t="s">
        <v>1026</v>
      </c>
      <c r="F124">
        <v>8</v>
      </c>
      <c r="G124" s="127">
        <f t="shared" si="11"/>
        <v>0.25</v>
      </c>
      <c r="H124" s="127" t="s">
        <v>1305</v>
      </c>
      <c r="J124" s="127">
        <f t="shared" si="12"/>
        <v>0</v>
      </c>
      <c r="K124" s="127" t="s">
        <v>1305</v>
      </c>
      <c r="M124" s="127">
        <f t="shared" si="13"/>
        <v>0</v>
      </c>
      <c r="N124" s="127" t="s">
        <v>1305</v>
      </c>
      <c r="P124" s="127">
        <f t="shared" si="14"/>
        <v>0</v>
      </c>
      <c r="Q124" s="127" t="s">
        <v>1305</v>
      </c>
      <c r="S124" s="127">
        <f t="shared" si="15"/>
        <v>0</v>
      </c>
      <c r="T124" s="127" t="s">
        <v>1305</v>
      </c>
      <c r="V124" s="127">
        <f t="shared" si="16"/>
        <v>0</v>
      </c>
    </row>
    <row r="125" spans="1:22" ht="15.75">
      <c r="A125" s="153" t="s">
        <v>595</v>
      </c>
      <c r="B125" s="125" t="s">
        <v>660</v>
      </c>
      <c r="C125" s="130">
        <f t="shared" si="21"/>
        <v>42</v>
      </c>
      <c r="D125" s="180">
        <v>1</v>
      </c>
      <c r="E125" s="127" t="s">
        <v>659</v>
      </c>
      <c r="F125">
        <v>1</v>
      </c>
      <c r="G125" s="127">
        <f t="shared" si="11"/>
        <v>2</v>
      </c>
      <c r="H125" s="127" t="s">
        <v>994</v>
      </c>
      <c r="I125" s="127">
        <v>1</v>
      </c>
      <c r="J125" s="127">
        <f t="shared" si="12"/>
        <v>40</v>
      </c>
      <c r="K125" s="127" t="s">
        <v>1305</v>
      </c>
      <c r="M125" s="127">
        <f t="shared" si="13"/>
        <v>0</v>
      </c>
      <c r="N125" s="127" t="s">
        <v>1305</v>
      </c>
      <c r="P125" s="127">
        <f t="shared" si="14"/>
        <v>0</v>
      </c>
      <c r="Q125" s="127" t="s">
        <v>1305</v>
      </c>
      <c r="S125" s="127">
        <f t="shared" si="15"/>
        <v>0</v>
      </c>
      <c r="T125" s="127" t="s">
        <v>1305</v>
      </c>
      <c r="V125" s="127">
        <f t="shared" si="16"/>
        <v>0</v>
      </c>
    </row>
    <row r="126" spans="1:22" s="137" customFormat="1" ht="15.75">
      <c r="A126" s="137" t="s">
        <v>1340</v>
      </c>
      <c r="B126" s="135" t="s">
        <v>661</v>
      </c>
      <c r="C126" s="136">
        <f>'ECONOMIA &amp; PROFESIONES'!G55</f>
        <v>1</v>
      </c>
      <c r="D126" s="180"/>
      <c r="E126" s="137" t="s">
        <v>1305</v>
      </c>
      <c r="G126" s="137">
        <f t="shared" si="11"/>
        <v>0</v>
      </c>
      <c r="H126" s="137" t="s">
        <v>1305</v>
      </c>
      <c r="J126" s="137">
        <f t="shared" si="12"/>
        <v>0</v>
      </c>
      <c r="K126" s="137" t="s">
        <v>1305</v>
      </c>
      <c r="M126" s="137">
        <f t="shared" si="13"/>
        <v>0</v>
      </c>
      <c r="N126" s="137" t="s">
        <v>1305</v>
      </c>
      <c r="P126" s="137">
        <f t="shared" si="14"/>
        <v>0</v>
      </c>
      <c r="Q126" s="137" t="s">
        <v>1305</v>
      </c>
      <c r="S126" s="137">
        <f t="shared" si="15"/>
        <v>0</v>
      </c>
      <c r="T126" s="137" t="s">
        <v>1305</v>
      </c>
      <c r="V126" s="137">
        <f t="shared" si="16"/>
        <v>0</v>
      </c>
    </row>
    <row r="127" spans="1:22" ht="15.75">
      <c r="A127" s="153" t="s">
        <v>1346</v>
      </c>
      <c r="B127" s="125" t="s">
        <v>662</v>
      </c>
      <c r="C127" s="130">
        <f t="shared" si="21"/>
        <v>36</v>
      </c>
      <c r="D127" s="180">
        <v>1</v>
      </c>
      <c r="E127" s="127" t="s">
        <v>1117</v>
      </c>
      <c r="F127">
        <v>2</v>
      </c>
      <c r="G127" s="127">
        <f t="shared" si="11"/>
        <v>18</v>
      </c>
      <c r="H127" s="127" t="s">
        <v>1305</v>
      </c>
      <c r="J127" s="127">
        <f t="shared" si="12"/>
        <v>0</v>
      </c>
      <c r="K127" s="127" t="s">
        <v>1305</v>
      </c>
      <c r="M127" s="127">
        <f t="shared" si="13"/>
        <v>0</v>
      </c>
      <c r="N127" s="127" t="s">
        <v>1305</v>
      </c>
      <c r="P127" s="127">
        <f t="shared" si="14"/>
        <v>0</v>
      </c>
      <c r="Q127" s="127" t="s">
        <v>1305</v>
      </c>
      <c r="S127" s="127">
        <f t="shared" si="15"/>
        <v>0</v>
      </c>
      <c r="T127" s="127" t="s">
        <v>1305</v>
      </c>
      <c r="V127" s="127">
        <f t="shared" si="16"/>
        <v>0</v>
      </c>
    </row>
    <row r="128" spans="1:22" ht="15.75">
      <c r="A128" s="153" t="s">
        <v>1346</v>
      </c>
      <c r="B128" s="125" t="s">
        <v>663</v>
      </c>
      <c r="C128" s="130">
        <f t="shared" si="21"/>
        <v>28</v>
      </c>
      <c r="D128" s="180">
        <v>1</v>
      </c>
      <c r="E128" s="127" t="s">
        <v>1138</v>
      </c>
      <c r="F128">
        <v>2</v>
      </c>
      <c r="G128" s="127">
        <f t="shared" ref="G128:G191" si="22">VLOOKUP(E128,IDPOINTS,2,FALSE)</f>
        <v>14</v>
      </c>
      <c r="H128" s="127" t="s">
        <v>1305</v>
      </c>
      <c r="J128" s="127">
        <f t="shared" ref="J128:J190" si="23">VLOOKUP(H128,IDPOINTS,2,FALSE)</f>
        <v>0</v>
      </c>
      <c r="K128" s="127" t="s">
        <v>1305</v>
      </c>
      <c r="M128" s="127">
        <f t="shared" ref="M128:M190" si="24">VLOOKUP(K128,IDPOINTS,2,FALSE)</f>
        <v>0</v>
      </c>
      <c r="N128" s="127" t="s">
        <v>1305</v>
      </c>
      <c r="P128" s="127">
        <f t="shared" ref="P128:P190" si="25">VLOOKUP(N128,IDPOINTS,2,FALSE)</f>
        <v>0</v>
      </c>
      <c r="Q128" s="127" t="s">
        <v>1305</v>
      </c>
      <c r="S128" s="127">
        <f t="shared" ref="S128:S190" si="26">VLOOKUP(Q128,IDPOINTS,2,FALSE)</f>
        <v>0</v>
      </c>
      <c r="T128" s="127" t="s">
        <v>1305</v>
      </c>
      <c r="V128" s="127">
        <f t="shared" ref="V128:V190" si="27">VLOOKUP(T128,IDPOINTS,2,FALSE)</f>
        <v>0</v>
      </c>
    </row>
    <row r="129" spans="1:22" ht="15.75">
      <c r="A129" s="153" t="s">
        <v>1346</v>
      </c>
      <c r="B129" s="125" t="s">
        <v>664</v>
      </c>
      <c r="C129" s="130">
        <f t="shared" si="21"/>
        <v>20</v>
      </c>
      <c r="D129" s="180">
        <v>1</v>
      </c>
      <c r="E129" s="127" t="s">
        <v>1160</v>
      </c>
      <c r="F129">
        <v>2</v>
      </c>
      <c r="G129" s="127">
        <f t="shared" si="22"/>
        <v>10</v>
      </c>
      <c r="H129" s="127" t="s">
        <v>1305</v>
      </c>
      <c r="J129" s="127">
        <f t="shared" si="23"/>
        <v>0</v>
      </c>
      <c r="K129" s="127" t="s">
        <v>1305</v>
      </c>
      <c r="M129" s="127">
        <f t="shared" si="24"/>
        <v>0</v>
      </c>
      <c r="N129" s="127" t="s">
        <v>1305</v>
      </c>
      <c r="P129" s="127">
        <f t="shared" si="25"/>
        <v>0</v>
      </c>
      <c r="Q129" s="127" t="s">
        <v>1305</v>
      </c>
      <c r="S129" s="127">
        <f t="shared" si="26"/>
        <v>0</v>
      </c>
      <c r="T129" s="127" t="s">
        <v>1305</v>
      </c>
      <c r="V129" s="127">
        <f t="shared" si="27"/>
        <v>0</v>
      </c>
    </row>
    <row r="130" spans="1:22" ht="15.75">
      <c r="A130" s="153" t="s">
        <v>1346</v>
      </c>
      <c r="B130" s="125" t="s">
        <v>665</v>
      </c>
      <c r="C130" s="130">
        <f t="shared" si="21"/>
        <v>4</v>
      </c>
      <c r="D130" s="180">
        <v>1</v>
      </c>
      <c r="E130" s="127" t="s">
        <v>1212</v>
      </c>
      <c r="F130">
        <v>2</v>
      </c>
      <c r="G130" s="127">
        <f t="shared" si="22"/>
        <v>2</v>
      </c>
      <c r="H130" s="127" t="s">
        <v>1305</v>
      </c>
      <c r="J130" s="127">
        <f t="shared" si="23"/>
        <v>0</v>
      </c>
      <c r="K130" s="127" t="s">
        <v>1305</v>
      </c>
      <c r="M130" s="127">
        <f t="shared" si="24"/>
        <v>0</v>
      </c>
      <c r="N130" s="127" t="s">
        <v>1305</v>
      </c>
      <c r="P130" s="127">
        <f t="shared" si="25"/>
        <v>0</v>
      </c>
      <c r="Q130" s="127" t="s">
        <v>1305</v>
      </c>
      <c r="S130" s="127">
        <f t="shared" si="26"/>
        <v>0</v>
      </c>
      <c r="T130" s="127" t="s">
        <v>1305</v>
      </c>
      <c r="V130" s="127">
        <f t="shared" si="27"/>
        <v>0</v>
      </c>
    </row>
    <row r="131" spans="1:22" s="137" customFormat="1" ht="15.75">
      <c r="A131" s="137" t="s">
        <v>560</v>
      </c>
      <c r="B131" s="135" t="s">
        <v>666</v>
      </c>
      <c r="C131" s="136">
        <f>'ECONOMIA &amp; PROFESIONES'!G43</f>
        <v>11</v>
      </c>
      <c r="D131" s="180"/>
      <c r="E131" s="137" t="s">
        <v>1305</v>
      </c>
      <c r="G131" s="137">
        <f t="shared" si="22"/>
        <v>0</v>
      </c>
      <c r="H131" s="137" t="s">
        <v>1305</v>
      </c>
      <c r="J131" s="137">
        <f t="shared" si="23"/>
        <v>0</v>
      </c>
      <c r="K131" s="137" t="s">
        <v>1305</v>
      </c>
      <c r="M131" s="137">
        <f t="shared" si="24"/>
        <v>0</v>
      </c>
      <c r="N131" s="137" t="s">
        <v>1305</v>
      </c>
      <c r="P131" s="137">
        <f t="shared" si="25"/>
        <v>0</v>
      </c>
      <c r="Q131" s="137" t="s">
        <v>1305</v>
      </c>
      <c r="S131" s="137">
        <f t="shared" si="26"/>
        <v>0</v>
      </c>
      <c r="T131" s="137" t="s">
        <v>1305</v>
      </c>
      <c r="V131" s="137">
        <f t="shared" si="27"/>
        <v>0</v>
      </c>
    </row>
    <row r="132" spans="1:22" s="137" customFormat="1" ht="15.75">
      <c r="A132" s="137" t="s">
        <v>560</v>
      </c>
      <c r="B132" s="135" t="s">
        <v>667</v>
      </c>
      <c r="C132" s="136">
        <f>'ECONOMIA &amp; PROFESIONES'!G43</f>
        <v>11</v>
      </c>
      <c r="D132" s="180"/>
      <c r="E132" s="137" t="s">
        <v>1305</v>
      </c>
      <c r="G132" s="137">
        <f t="shared" si="22"/>
        <v>0</v>
      </c>
      <c r="H132" s="137" t="s">
        <v>1305</v>
      </c>
      <c r="J132" s="137">
        <f t="shared" si="23"/>
        <v>0</v>
      </c>
      <c r="K132" s="137" t="s">
        <v>1305</v>
      </c>
      <c r="M132" s="137">
        <f t="shared" si="24"/>
        <v>0</v>
      </c>
      <c r="N132" s="137" t="s">
        <v>1305</v>
      </c>
      <c r="P132" s="137">
        <f t="shared" si="25"/>
        <v>0</v>
      </c>
      <c r="Q132" s="137" t="s">
        <v>1305</v>
      </c>
      <c r="S132" s="137">
        <f t="shared" si="26"/>
        <v>0</v>
      </c>
      <c r="T132" s="137" t="s">
        <v>1305</v>
      </c>
      <c r="V132" s="137">
        <f t="shared" si="27"/>
        <v>0</v>
      </c>
    </row>
    <row r="133" spans="1:22" s="137" customFormat="1" ht="15.75">
      <c r="A133" s="137" t="s">
        <v>560</v>
      </c>
      <c r="B133" s="135" t="s">
        <v>668</v>
      </c>
      <c r="C133" s="136">
        <f>'ECONOMIA &amp; PROFESIONES'!G43</f>
        <v>11</v>
      </c>
      <c r="D133" s="180"/>
      <c r="E133" s="137" t="s">
        <v>1305</v>
      </c>
      <c r="G133" s="137">
        <f t="shared" si="22"/>
        <v>0</v>
      </c>
      <c r="H133" s="137" t="s">
        <v>1305</v>
      </c>
      <c r="J133" s="137">
        <f t="shared" si="23"/>
        <v>0</v>
      </c>
      <c r="K133" s="137" t="s">
        <v>1305</v>
      </c>
      <c r="M133" s="137">
        <f t="shared" si="24"/>
        <v>0</v>
      </c>
      <c r="N133" s="137" t="s">
        <v>1305</v>
      </c>
      <c r="P133" s="137">
        <f t="shared" si="25"/>
        <v>0</v>
      </c>
      <c r="Q133" s="137" t="s">
        <v>1305</v>
      </c>
      <c r="S133" s="137">
        <f t="shared" si="26"/>
        <v>0</v>
      </c>
      <c r="T133" s="137" t="s">
        <v>1305</v>
      </c>
      <c r="V133" s="137">
        <f t="shared" si="27"/>
        <v>0</v>
      </c>
    </row>
    <row r="134" spans="1:22" s="13" customFormat="1" ht="15.75">
      <c r="A134" s="153" t="s">
        <v>1346</v>
      </c>
      <c r="B134" s="144" t="s">
        <v>669</v>
      </c>
      <c r="C134" s="130">
        <f t="shared" ref="C134" si="28">((G134*F134)+(I134*J134)+(L134*M134)+(O134*P134)+(R134*S134)+(U134*V134))/D134</f>
        <v>28</v>
      </c>
      <c r="D134" s="180">
        <v>1</v>
      </c>
      <c r="E134" s="13" t="s">
        <v>670</v>
      </c>
      <c r="F134" s="13">
        <v>4</v>
      </c>
      <c r="G134" s="13">
        <f t="shared" si="22"/>
        <v>7</v>
      </c>
      <c r="H134" s="13" t="s">
        <v>1305</v>
      </c>
      <c r="J134" s="13">
        <f t="shared" si="23"/>
        <v>0</v>
      </c>
      <c r="K134" s="13" t="s">
        <v>1305</v>
      </c>
      <c r="M134" s="13">
        <f t="shared" si="24"/>
        <v>0</v>
      </c>
      <c r="N134" s="13" t="s">
        <v>1305</v>
      </c>
      <c r="P134" s="13">
        <f t="shared" si="25"/>
        <v>0</v>
      </c>
      <c r="Q134" s="13" t="s">
        <v>1305</v>
      </c>
      <c r="S134" s="13">
        <f t="shared" si="26"/>
        <v>0</v>
      </c>
      <c r="T134" s="13" t="s">
        <v>1305</v>
      </c>
      <c r="V134" s="13">
        <f t="shared" si="27"/>
        <v>0</v>
      </c>
    </row>
    <row r="135" spans="1:22" s="137" customFormat="1" ht="15.75">
      <c r="A135" s="137" t="s">
        <v>1339</v>
      </c>
      <c r="B135" s="135" t="s">
        <v>670</v>
      </c>
      <c r="C135" s="136">
        <f>'ECONOMIA &amp; PROFESIONES'!C36</f>
        <v>7</v>
      </c>
      <c r="D135" s="180"/>
      <c r="E135" s="137" t="s">
        <v>1305</v>
      </c>
      <c r="G135" s="137">
        <f t="shared" si="22"/>
        <v>0</v>
      </c>
      <c r="H135" s="137" t="s">
        <v>1305</v>
      </c>
      <c r="J135" s="137">
        <f t="shared" si="23"/>
        <v>0</v>
      </c>
      <c r="K135" s="137" t="s">
        <v>1305</v>
      </c>
      <c r="M135" s="137">
        <f t="shared" si="24"/>
        <v>0</v>
      </c>
      <c r="N135" s="137" t="s">
        <v>1305</v>
      </c>
      <c r="P135" s="137">
        <f t="shared" si="25"/>
        <v>0</v>
      </c>
      <c r="Q135" s="137" t="s">
        <v>1305</v>
      </c>
      <c r="S135" s="137">
        <f t="shared" si="26"/>
        <v>0</v>
      </c>
      <c r="T135" s="137" t="s">
        <v>1305</v>
      </c>
      <c r="V135" s="137">
        <f t="shared" si="27"/>
        <v>0</v>
      </c>
    </row>
    <row r="136" spans="1:22" ht="15.75">
      <c r="A136" s="153" t="s">
        <v>1343</v>
      </c>
      <c r="B136" s="125" t="s">
        <v>671</v>
      </c>
      <c r="C136" s="130">
        <f t="shared" ref="C136" si="29">((G136*F136)+(I136*J136)+(L136*M136)+(O136*P136)+(R136*S136)+(U136*V136))/D136</f>
        <v>47</v>
      </c>
      <c r="D136" s="180">
        <v>1</v>
      </c>
      <c r="E136" s="127" t="s">
        <v>822</v>
      </c>
      <c r="F136">
        <v>4</v>
      </c>
      <c r="G136" s="127">
        <f t="shared" si="22"/>
        <v>10</v>
      </c>
      <c r="H136" s="127" t="s">
        <v>1147</v>
      </c>
      <c r="I136" s="127">
        <v>1</v>
      </c>
      <c r="J136" s="127">
        <f t="shared" si="23"/>
        <v>7</v>
      </c>
      <c r="K136" s="127" t="s">
        <v>1305</v>
      </c>
      <c r="M136" s="127">
        <f t="shared" si="24"/>
        <v>0</v>
      </c>
      <c r="N136" s="127" t="s">
        <v>1305</v>
      </c>
      <c r="P136" s="127">
        <f t="shared" si="25"/>
        <v>0</v>
      </c>
      <c r="Q136" s="127" t="s">
        <v>1305</v>
      </c>
      <c r="S136" s="127">
        <f t="shared" si="26"/>
        <v>0</v>
      </c>
      <c r="T136" s="127" t="s">
        <v>1305</v>
      </c>
      <c r="V136" s="127">
        <f t="shared" si="27"/>
        <v>0</v>
      </c>
    </row>
    <row r="137" spans="1:22" s="137" customFormat="1" ht="15.75">
      <c r="A137" s="137" t="s">
        <v>1337</v>
      </c>
      <c r="B137" s="135" t="s">
        <v>672</v>
      </c>
      <c r="C137" s="136">
        <f>'ECONOMIA &amp; PROFESIONES'!C33</f>
        <v>3</v>
      </c>
      <c r="D137" s="180"/>
      <c r="E137" s="137" t="s">
        <v>1305</v>
      </c>
      <c r="G137" s="137">
        <f t="shared" si="22"/>
        <v>0</v>
      </c>
      <c r="H137" s="137" t="s">
        <v>1305</v>
      </c>
      <c r="J137" s="137">
        <f t="shared" si="23"/>
        <v>0</v>
      </c>
      <c r="K137" s="137" t="s">
        <v>1305</v>
      </c>
      <c r="M137" s="137">
        <f t="shared" si="24"/>
        <v>0</v>
      </c>
      <c r="N137" s="137" t="s">
        <v>1305</v>
      </c>
      <c r="P137" s="137">
        <f t="shared" si="25"/>
        <v>0</v>
      </c>
      <c r="Q137" s="137" t="s">
        <v>1305</v>
      </c>
      <c r="S137" s="137">
        <f t="shared" si="26"/>
        <v>0</v>
      </c>
      <c r="T137" s="137" t="s">
        <v>1305</v>
      </c>
      <c r="V137" s="137">
        <f t="shared" si="27"/>
        <v>0</v>
      </c>
    </row>
    <row r="138" spans="1:22" ht="15.75">
      <c r="A138" s="153" t="s">
        <v>1346</v>
      </c>
      <c r="B138" s="125" t="s">
        <v>673</v>
      </c>
      <c r="C138" s="130">
        <f t="shared" ref="C138" si="30">((G138*F138)+(I138*J138)+(L138*M138)+(O138*P138)+(R138*S138)+(U138*V138))/D138</f>
        <v>27</v>
      </c>
      <c r="D138" s="180">
        <v>1</v>
      </c>
      <c r="E138" s="127" t="s">
        <v>672</v>
      </c>
      <c r="F138">
        <v>9</v>
      </c>
      <c r="G138" s="127">
        <f t="shared" si="22"/>
        <v>3</v>
      </c>
      <c r="H138" s="127" t="s">
        <v>1305</v>
      </c>
      <c r="J138" s="127">
        <f t="shared" si="23"/>
        <v>0</v>
      </c>
      <c r="K138" s="127" t="s">
        <v>1305</v>
      </c>
      <c r="M138" s="127">
        <f t="shared" si="24"/>
        <v>0</v>
      </c>
      <c r="N138" s="127" t="s">
        <v>1305</v>
      </c>
      <c r="P138" s="127">
        <f t="shared" si="25"/>
        <v>0</v>
      </c>
      <c r="Q138" s="127" t="s">
        <v>1305</v>
      </c>
      <c r="S138" s="127">
        <f t="shared" si="26"/>
        <v>0</v>
      </c>
      <c r="T138" s="127" t="s">
        <v>1305</v>
      </c>
      <c r="V138" s="127">
        <f t="shared" si="27"/>
        <v>0</v>
      </c>
    </row>
    <row r="139" spans="1:22" s="137" customFormat="1" ht="15.75">
      <c r="A139" s="137" t="s">
        <v>1337</v>
      </c>
      <c r="B139" s="135" t="s">
        <v>674</v>
      </c>
      <c r="C139" s="136">
        <f>'ECONOMIA &amp; PROFESIONES'!C33</f>
        <v>3</v>
      </c>
      <c r="D139" s="180"/>
      <c r="E139" s="137" t="s">
        <v>1305</v>
      </c>
      <c r="G139" s="137">
        <f t="shared" si="22"/>
        <v>0</v>
      </c>
      <c r="H139" s="137" t="s">
        <v>1305</v>
      </c>
      <c r="J139" s="137">
        <f t="shared" si="23"/>
        <v>0</v>
      </c>
      <c r="K139" s="137" t="s">
        <v>1305</v>
      </c>
      <c r="M139" s="137">
        <f t="shared" si="24"/>
        <v>0</v>
      </c>
      <c r="N139" s="137" t="s">
        <v>1305</v>
      </c>
      <c r="P139" s="137">
        <f t="shared" si="25"/>
        <v>0</v>
      </c>
      <c r="Q139" s="137" t="s">
        <v>1305</v>
      </c>
      <c r="S139" s="137">
        <f t="shared" si="26"/>
        <v>0</v>
      </c>
      <c r="T139" s="137" t="s">
        <v>1305</v>
      </c>
      <c r="V139" s="137">
        <f t="shared" si="27"/>
        <v>0</v>
      </c>
    </row>
    <row r="140" spans="1:22" ht="15.75">
      <c r="A140" s="153" t="s">
        <v>1346</v>
      </c>
      <c r="B140" s="125" t="s">
        <v>675</v>
      </c>
      <c r="C140" s="130">
        <f t="shared" ref="C140:C144" si="31">((G140*F140)+(I140*J140)+(L140*M140)+(O140*P140)+(R140*S140)+(U140*V140))/D140</f>
        <v>0.75</v>
      </c>
      <c r="D140" s="180">
        <v>4</v>
      </c>
      <c r="E140" s="127" t="s">
        <v>767</v>
      </c>
      <c r="F140">
        <v>2</v>
      </c>
      <c r="G140" s="127">
        <f t="shared" si="22"/>
        <v>0.5</v>
      </c>
      <c r="H140" s="127" t="s">
        <v>844</v>
      </c>
      <c r="I140" s="127">
        <v>2</v>
      </c>
      <c r="J140" s="127">
        <f t="shared" si="23"/>
        <v>1</v>
      </c>
      <c r="K140" s="127" t="s">
        <v>1305</v>
      </c>
      <c r="M140" s="127">
        <f t="shared" si="24"/>
        <v>0</v>
      </c>
      <c r="N140" s="127" t="s">
        <v>1305</v>
      </c>
      <c r="P140" s="127">
        <f t="shared" si="25"/>
        <v>0</v>
      </c>
      <c r="Q140" s="127" t="s">
        <v>1305</v>
      </c>
      <c r="S140" s="127">
        <f t="shared" si="26"/>
        <v>0</v>
      </c>
      <c r="T140" s="127" t="s">
        <v>1305</v>
      </c>
      <c r="V140" s="127">
        <f t="shared" si="27"/>
        <v>0</v>
      </c>
    </row>
    <row r="141" spans="1:22" s="137" customFormat="1" ht="15.75">
      <c r="A141" s="137" t="s">
        <v>1339</v>
      </c>
      <c r="B141" s="135" t="s">
        <v>676</v>
      </c>
      <c r="C141" s="136">
        <f>'ECONOMIA &amp; PROFESIONES'!C32</f>
        <v>1</v>
      </c>
      <c r="D141" s="180"/>
      <c r="E141" s="137" t="s">
        <v>1305</v>
      </c>
      <c r="G141" s="137">
        <f t="shared" si="22"/>
        <v>0</v>
      </c>
      <c r="H141" s="137" t="s">
        <v>1305</v>
      </c>
      <c r="J141" s="137">
        <f t="shared" si="23"/>
        <v>0</v>
      </c>
      <c r="K141" s="137" t="s">
        <v>1305</v>
      </c>
      <c r="M141" s="137">
        <f t="shared" si="24"/>
        <v>0</v>
      </c>
      <c r="N141" s="137" t="s">
        <v>1305</v>
      </c>
      <c r="P141" s="137">
        <f t="shared" si="25"/>
        <v>0</v>
      </c>
      <c r="Q141" s="137" t="s">
        <v>1305</v>
      </c>
      <c r="S141" s="137">
        <f t="shared" si="26"/>
        <v>0</v>
      </c>
      <c r="T141" s="137" t="s">
        <v>1305</v>
      </c>
      <c r="V141" s="137">
        <f t="shared" si="27"/>
        <v>0</v>
      </c>
    </row>
    <row r="142" spans="1:22" ht="15.75">
      <c r="A142" s="153" t="s">
        <v>1346</v>
      </c>
      <c r="B142" s="125" t="s">
        <v>677</v>
      </c>
      <c r="C142" s="130">
        <f t="shared" si="31"/>
        <v>0.5</v>
      </c>
      <c r="D142" s="180">
        <v>6</v>
      </c>
      <c r="E142" s="127" t="s">
        <v>676</v>
      </c>
      <c r="F142">
        <v>3</v>
      </c>
      <c r="G142" s="127">
        <f t="shared" si="22"/>
        <v>1</v>
      </c>
      <c r="H142" s="127" t="s">
        <v>1305</v>
      </c>
      <c r="J142" s="127">
        <f t="shared" si="23"/>
        <v>0</v>
      </c>
      <c r="K142" s="127" t="s">
        <v>1305</v>
      </c>
      <c r="M142" s="127">
        <f t="shared" si="24"/>
        <v>0</v>
      </c>
      <c r="N142" s="127" t="s">
        <v>1305</v>
      </c>
      <c r="P142" s="127">
        <f t="shared" si="25"/>
        <v>0</v>
      </c>
      <c r="Q142" s="127" t="s">
        <v>1305</v>
      </c>
      <c r="S142" s="127">
        <f t="shared" si="26"/>
        <v>0</v>
      </c>
      <c r="T142" s="127" t="s">
        <v>1305</v>
      </c>
      <c r="V142" s="127">
        <f t="shared" si="27"/>
        <v>0</v>
      </c>
    </row>
    <row r="143" spans="1:22" ht="15.75">
      <c r="A143" s="153" t="s">
        <v>1346</v>
      </c>
      <c r="B143" s="125" t="s">
        <v>678</v>
      </c>
      <c r="C143" s="130">
        <f t="shared" si="31"/>
        <v>0.75</v>
      </c>
      <c r="D143" s="180">
        <v>4</v>
      </c>
      <c r="E143" s="128" t="s">
        <v>676</v>
      </c>
      <c r="F143" s="128">
        <v>3</v>
      </c>
      <c r="G143" s="127">
        <f t="shared" si="22"/>
        <v>1</v>
      </c>
      <c r="H143" s="127" t="s">
        <v>1305</v>
      </c>
      <c r="J143" s="127">
        <f t="shared" si="23"/>
        <v>0</v>
      </c>
      <c r="K143" s="127" t="s">
        <v>1305</v>
      </c>
      <c r="M143" s="127">
        <f t="shared" si="24"/>
        <v>0</v>
      </c>
      <c r="N143" s="127" t="s">
        <v>1305</v>
      </c>
      <c r="P143" s="127">
        <f t="shared" si="25"/>
        <v>0</v>
      </c>
      <c r="Q143" s="127" t="s">
        <v>1305</v>
      </c>
      <c r="S143" s="127">
        <f t="shared" si="26"/>
        <v>0</v>
      </c>
      <c r="T143" s="127" t="s">
        <v>1305</v>
      </c>
      <c r="V143" s="127">
        <f t="shared" si="27"/>
        <v>0</v>
      </c>
    </row>
    <row r="144" spans="1:22" ht="15.75">
      <c r="A144" s="153" t="s">
        <v>1346</v>
      </c>
      <c r="B144" s="125" t="s">
        <v>679</v>
      </c>
      <c r="C144" s="130">
        <f t="shared" si="31"/>
        <v>0.5</v>
      </c>
      <c r="D144" s="180">
        <v>6</v>
      </c>
      <c r="E144" s="128" t="s">
        <v>676</v>
      </c>
      <c r="F144" s="128">
        <v>3</v>
      </c>
      <c r="G144" s="127">
        <f t="shared" si="22"/>
        <v>1</v>
      </c>
      <c r="H144" s="127" t="s">
        <v>1305</v>
      </c>
      <c r="J144" s="127">
        <f t="shared" si="23"/>
        <v>0</v>
      </c>
      <c r="K144" s="127" t="s">
        <v>1305</v>
      </c>
      <c r="M144" s="127">
        <f t="shared" si="24"/>
        <v>0</v>
      </c>
      <c r="N144" s="127" t="s">
        <v>1305</v>
      </c>
      <c r="P144" s="127">
        <f t="shared" si="25"/>
        <v>0</v>
      </c>
      <c r="Q144" s="127" t="s">
        <v>1305</v>
      </c>
      <c r="S144" s="127">
        <f t="shared" si="26"/>
        <v>0</v>
      </c>
      <c r="T144" s="127" t="s">
        <v>1305</v>
      </c>
      <c r="V144" s="127">
        <f t="shared" si="27"/>
        <v>0</v>
      </c>
    </row>
    <row r="145" spans="1:22" s="167" customFormat="1" ht="15.75">
      <c r="B145" s="165" t="s">
        <v>680</v>
      </c>
      <c r="C145" s="166">
        <f>'ECONOMIA &amp; PROFESIONES'!E55</f>
        <v>1.5</v>
      </c>
      <c r="D145" s="180"/>
      <c r="E145" s="167" t="s">
        <v>1305</v>
      </c>
      <c r="G145" s="167">
        <f t="shared" si="22"/>
        <v>0</v>
      </c>
      <c r="H145" s="167" t="s">
        <v>1305</v>
      </c>
      <c r="J145" s="167">
        <f t="shared" si="23"/>
        <v>0</v>
      </c>
      <c r="K145" s="167" t="s">
        <v>1305</v>
      </c>
      <c r="M145" s="167">
        <f t="shared" si="24"/>
        <v>0</v>
      </c>
      <c r="N145" s="167" t="s">
        <v>1305</v>
      </c>
      <c r="P145" s="167">
        <f t="shared" si="25"/>
        <v>0</v>
      </c>
      <c r="Q145" s="167" t="s">
        <v>1305</v>
      </c>
      <c r="S145" s="167">
        <f t="shared" si="26"/>
        <v>0</v>
      </c>
      <c r="T145" s="167" t="s">
        <v>1305</v>
      </c>
      <c r="V145" s="167">
        <f t="shared" si="27"/>
        <v>0</v>
      </c>
    </row>
    <row r="146" spans="1:22" s="137" customFormat="1" ht="15.75">
      <c r="A146" s="137" t="s">
        <v>560</v>
      </c>
      <c r="B146" s="135" t="s">
        <v>1311</v>
      </c>
      <c r="C146" s="136">
        <f>'ECONOMIA &amp; PROFESIONES'!G39</f>
        <v>7</v>
      </c>
      <c r="D146" s="180"/>
      <c r="E146" s="137" t="s">
        <v>1305</v>
      </c>
      <c r="G146" s="137">
        <f t="shared" ref="G146" si="32">VLOOKUP(E146,IDPOINTS,2,FALSE)</f>
        <v>0</v>
      </c>
      <c r="H146" s="137" t="s">
        <v>1305</v>
      </c>
      <c r="J146" s="137">
        <f t="shared" ref="J146" si="33">VLOOKUP(H146,IDPOINTS,2,FALSE)</f>
        <v>0</v>
      </c>
      <c r="K146" s="137" t="s">
        <v>1305</v>
      </c>
      <c r="M146" s="137">
        <f t="shared" ref="M146" si="34">VLOOKUP(K146,IDPOINTS,2,FALSE)</f>
        <v>0</v>
      </c>
      <c r="N146" s="137" t="s">
        <v>1305</v>
      </c>
      <c r="P146" s="137">
        <f t="shared" ref="P146" si="35">VLOOKUP(N146,IDPOINTS,2,FALSE)</f>
        <v>0</v>
      </c>
      <c r="Q146" s="137" t="s">
        <v>1305</v>
      </c>
      <c r="S146" s="137">
        <f t="shared" ref="S146" si="36">VLOOKUP(Q146,IDPOINTS,2,FALSE)</f>
        <v>0</v>
      </c>
      <c r="T146" s="137" t="s">
        <v>1305</v>
      </c>
      <c r="V146" s="137">
        <f t="shared" ref="V146" si="37">VLOOKUP(T146,IDPOINTS,2,FALSE)</f>
        <v>0</v>
      </c>
    </row>
    <row r="147" spans="1:22" s="137" customFormat="1" ht="15.75">
      <c r="A147" s="137" t="s">
        <v>1342</v>
      </c>
      <c r="B147" s="135" t="s">
        <v>681</v>
      </c>
      <c r="C147" s="136">
        <f>'ECONOMIA &amp; PROFESIONES'!I33</f>
        <v>3</v>
      </c>
      <c r="D147" s="180"/>
      <c r="E147" s="137" t="s">
        <v>1305</v>
      </c>
      <c r="G147" s="137">
        <f t="shared" si="22"/>
        <v>0</v>
      </c>
      <c r="H147" s="137" t="s">
        <v>1305</v>
      </c>
      <c r="J147" s="137">
        <f t="shared" si="23"/>
        <v>0</v>
      </c>
      <c r="K147" s="137" t="s">
        <v>1305</v>
      </c>
      <c r="M147" s="137">
        <f t="shared" si="24"/>
        <v>0</v>
      </c>
      <c r="N147" s="137" t="s">
        <v>1305</v>
      </c>
      <c r="P147" s="137">
        <f t="shared" si="25"/>
        <v>0</v>
      </c>
      <c r="Q147" s="137" t="s">
        <v>1305</v>
      </c>
      <c r="S147" s="137">
        <f t="shared" si="26"/>
        <v>0</v>
      </c>
      <c r="T147" s="137" t="s">
        <v>1305</v>
      </c>
      <c r="V147" s="137">
        <f t="shared" si="27"/>
        <v>0</v>
      </c>
    </row>
    <row r="148" spans="1:22" ht="15.75">
      <c r="A148" s="153" t="s">
        <v>1353</v>
      </c>
      <c r="B148" s="125" t="s">
        <v>682</v>
      </c>
      <c r="C148" s="130">
        <f t="shared" ref="C148:C199" si="38">((G148*F148)+(I148*J148)+(L148*M148)+(O148*P148)+(R148*S148)+(U148*V148))/D148</f>
        <v>42.375</v>
      </c>
      <c r="D148" s="180">
        <v>1</v>
      </c>
      <c r="E148" s="127" t="s">
        <v>1151</v>
      </c>
      <c r="F148">
        <v>3</v>
      </c>
      <c r="G148" s="127">
        <f t="shared" si="22"/>
        <v>7.125</v>
      </c>
      <c r="H148" s="127" t="s">
        <v>1114</v>
      </c>
      <c r="I148" s="127">
        <v>1</v>
      </c>
      <c r="J148" s="127">
        <f t="shared" si="23"/>
        <v>9</v>
      </c>
      <c r="K148" s="127" t="s">
        <v>1210</v>
      </c>
      <c r="L148" s="127">
        <v>3</v>
      </c>
      <c r="M148" s="127">
        <f t="shared" si="24"/>
        <v>4</v>
      </c>
      <c r="N148" s="127" t="s">
        <v>1305</v>
      </c>
      <c r="P148" s="127">
        <f t="shared" si="25"/>
        <v>0</v>
      </c>
      <c r="Q148" s="127" t="s">
        <v>1305</v>
      </c>
      <c r="S148" s="127">
        <f t="shared" si="26"/>
        <v>0</v>
      </c>
      <c r="T148" s="127" t="s">
        <v>1305</v>
      </c>
      <c r="V148" s="127">
        <f t="shared" si="27"/>
        <v>0</v>
      </c>
    </row>
    <row r="149" spans="1:22" ht="15.75">
      <c r="A149" s="153" t="s">
        <v>1343</v>
      </c>
      <c r="B149" s="125" t="s">
        <v>683</v>
      </c>
      <c r="C149" s="130">
        <f t="shared" si="38"/>
        <v>39</v>
      </c>
      <c r="D149" s="180">
        <v>1</v>
      </c>
      <c r="E149" s="127" t="s">
        <v>896</v>
      </c>
      <c r="F149">
        <v>4</v>
      </c>
      <c r="G149" s="127">
        <f t="shared" si="22"/>
        <v>8</v>
      </c>
      <c r="H149" s="127" t="s">
        <v>1147</v>
      </c>
      <c r="I149" s="127">
        <v>1</v>
      </c>
      <c r="J149" s="127">
        <f t="shared" si="23"/>
        <v>7</v>
      </c>
      <c r="K149" s="127" t="s">
        <v>1305</v>
      </c>
      <c r="M149" s="127">
        <f t="shared" si="24"/>
        <v>0</v>
      </c>
      <c r="N149" s="127" t="s">
        <v>1305</v>
      </c>
      <c r="P149" s="127">
        <f t="shared" si="25"/>
        <v>0</v>
      </c>
      <c r="Q149" s="127" t="s">
        <v>1305</v>
      </c>
      <c r="S149" s="127">
        <f t="shared" si="26"/>
        <v>0</v>
      </c>
      <c r="T149" s="127" t="s">
        <v>1305</v>
      </c>
      <c r="V149" s="127">
        <f t="shared" si="27"/>
        <v>0</v>
      </c>
    </row>
    <row r="150" spans="1:22" ht="15.75">
      <c r="A150" s="153" t="s">
        <v>1345</v>
      </c>
      <c r="B150" s="125" t="s">
        <v>684</v>
      </c>
      <c r="C150" s="130">
        <f t="shared" si="38"/>
        <v>5.75</v>
      </c>
      <c r="D150" s="180">
        <v>1</v>
      </c>
      <c r="E150" s="127" t="s">
        <v>1026</v>
      </c>
      <c r="F150">
        <v>3</v>
      </c>
      <c r="G150" s="127">
        <f t="shared" si="22"/>
        <v>0.25</v>
      </c>
      <c r="H150" s="127" t="s">
        <v>1023</v>
      </c>
      <c r="I150" s="127">
        <v>4</v>
      </c>
      <c r="J150" s="127">
        <f t="shared" si="23"/>
        <v>1.25</v>
      </c>
      <c r="K150" s="127" t="s">
        <v>1305</v>
      </c>
      <c r="M150" s="127">
        <f t="shared" si="24"/>
        <v>0</v>
      </c>
      <c r="N150" s="127" t="s">
        <v>1305</v>
      </c>
      <c r="P150" s="127">
        <f t="shared" si="25"/>
        <v>0</v>
      </c>
      <c r="Q150" s="127" t="s">
        <v>1305</v>
      </c>
      <c r="S150" s="127">
        <f t="shared" si="26"/>
        <v>0</v>
      </c>
      <c r="T150" s="127" t="s">
        <v>1305</v>
      </c>
      <c r="V150" s="127">
        <f t="shared" si="27"/>
        <v>0</v>
      </c>
    </row>
    <row r="151" spans="1:22" ht="15.75">
      <c r="A151" s="153" t="s">
        <v>1350</v>
      </c>
      <c r="B151" s="125" t="s">
        <v>685</v>
      </c>
      <c r="C151" s="130">
        <f t="shared" si="38"/>
        <v>3.2</v>
      </c>
      <c r="D151" s="180">
        <v>1</v>
      </c>
      <c r="E151" s="127" t="s">
        <v>1008</v>
      </c>
      <c r="F151">
        <v>8</v>
      </c>
      <c r="G151" s="127">
        <f t="shared" si="22"/>
        <v>0.4</v>
      </c>
      <c r="H151" s="127" t="s">
        <v>872</v>
      </c>
      <c r="I151" s="127">
        <v>1</v>
      </c>
      <c r="J151" s="127">
        <f t="shared" si="23"/>
        <v>0</v>
      </c>
      <c r="K151" s="127" t="s">
        <v>1305</v>
      </c>
      <c r="M151" s="127">
        <f t="shared" si="24"/>
        <v>0</v>
      </c>
      <c r="N151" s="127" t="s">
        <v>1305</v>
      </c>
      <c r="P151" s="127">
        <f t="shared" si="25"/>
        <v>0</v>
      </c>
      <c r="Q151" s="127" t="s">
        <v>1305</v>
      </c>
      <c r="S151" s="127">
        <f t="shared" si="26"/>
        <v>0</v>
      </c>
      <c r="T151" s="127" t="s">
        <v>1305</v>
      </c>
      <c r="V151" s="127">
        <f t="shared" si="27"/>
        <v>0</v>
      </c>
    </row>
    <row r="152" spans="1:22" ht="15.75">
      <c r="A152" s="153" t="s">
        <v>1348</v>
      </c>
      <c r="B152" s="125" t="s">
        <v>686</v>
      </c>
      <c r="C152" s="130">
        <f t="shared" si="38"/>
        <v>5.5</v>
      </c>
      <c r="D152" s="180">
        <v>1</v>
      </c>
      <c r="E152" s="127" t="s">
        <v>565</v>
      </c>
      <c r="F152">
        <v>1</v>
      </c>
      <c r="G152" s="127">
        <f t="shared" si="22"/>
        <v>2.5</v>
      </c>
      <c r="H152" s="127" t="s">
        <v>672</v>
      </c>
      <c r="I152" s="127">
        <v>1</v>
      </c>
      <c r="J152" s="127">
        <f t="shared" si="23"/>
        <v>3</v>
      </c>
      <c r="K152" s="127" t="s">
        <v>1305</v>
      </c>
      <c r="M152" s="127">
        <f t="shared" si="24"/>
        <v>0</v>
      </c>
      <c r="N152" s="127" t="s">
        <v>1305</v>
      </c>
      <c r="P152" s="127">
        <f t="shared" si="25"/>
        <v>0</v>
      </c>
      <c r="Q152" s="127" t="s">
        <v>1305</v>
      </c>
      <c r="S152" s="127">
        <f t="shared" si="26"/>
        <v>0</v>
      </c>
      <c r="T152" s="127" t="s">
        <v>1305</v>
      </c>
      <c r="V152" s="127">
        <f t="shared" si="27"/>
        <v>0</v>
      </c>
    </row>
    <row r="153" spans="1:22" ht="15.75">
      <c r="A153" s="153" t="s">
        <v>1348</v>
      </c>
      <c r="B153" s="125" t="s">
        <v>687</v>
      </c>
      <c r="C153" s="130">
        <f t="shared" si="38"/>
        <v>4</v>
      </c>
      <c r="D153" s="180">
        <v>1</v>
      </c>
      <c r="E153" s="127" t="s">
        <v>661</v>
      </c>
      <c r="F153">
        <v>1</v>
      </c>
      <c r="G153" s="127">
        <f t="shared" si="22"/>
        <v>1</v>
      </c>
      <c r="H153" s="127" t="s">
        <v>672</v>
      </c>
      <c r="I153" s="127">
        <v>1</v>
      </c>
      <c r="J153" s="127">
        <f t="shared" si="23"/>
        <v>3</v>
      </c>
      <c r="K153" s="127" t="s">
        <v>1305</v>
      </c>
      <c r="M153" s="127">
        <f t="shared" si="24"/>
        <v>0</v>
      </c>
      <c r="N153" s="127" t="s">
        <v>1305</v>
      </c>
      <c r="P153" s="127">
        <f t="shared" si="25"/>
        <v>0</v>
      </c>
      <c r="Q153" s="127" t="s">
        <v>1305</v>
      </c>
      <c r="S153" s="127">
        <f t="shared" si="26"/>
        <v>0</v>
      </c>
      <c r="T153" s="127" t="s">
        <v>1305</v>
      </c>
      <c r="V153" s="127">
        <f t="shared" si="27"/>
        <v>0</v>
      </c>
    </row>
    <row r="154" spans="1:22" ht="15.75">
      <c r="A154" s="153" t="s">
        <v>1348</v>
      </c>
      <c r="B154" s="125" t="s">
        <v>688</v>
      </c>
      <c r="C154" s="130">
        <f t="shared" si="38"/>
        <v>6</v>
      </c>
      <c r="D154" s="180">
        <v>1</v>
      </c>
      <c r="E154" s="127" t="s">
        <v>681</v>
      </c>
      <c r="F154">
        <v>1</v>
      </c>
      <c r="G154" s="127">
        <f t="shared" si="22"/>
        <v>3</v>
      </c>
      <c r="H154" s="127" t="s">
        <v>672</v>
      </c>
      <c r="I154" s="127">
        <v>1</v>
      </c>
      <c r="J154" s="127">
        <f t="shared" si="23"/>
        <v>3</v>
      </c>
      <c r="K154" s="127" t="s">
        <v>1305</v>
      </c>
      <c r="M154" s="127">
        <f t="shared" si="24"/>
        <v>0</v>
      </c>
      <c r="N154" s="127" t="s">
        <v>1305</v>
      </c>
      <c r="P154" s="127">
        <f t="shared" si="25"/>
        <v>0</v>
      </c>
      <c r="Q154" s="127" t="s">
        <v>1305</v>
      </c>
      <c r="S154" s="127">
        <f t="shared" si="26"/>
        <v>0</v>
      </c>
      <c r="T154" s="127" t="s">
        <v>1305</v>
      </c>
      <c r="V154" s="127">
        <f t="shared" si="27"/>
        <v>0</v>
      </c>
    </row>
    <row r="155" spans="1:22" ht="15.75">
      <c r="A155" s="153" t="s">
        <v>1348</v>
      </c>
      <c r="B155" s="125" t="s">
        <v>689</v>
      </c>
      <c r="C155" s="130">
        <f t="shared" si="38"/>
        <v>14</v>
      </c>
      <c r="D155" s="180">
        <v>1</v>
      </c>
      <c r="E155" s="127" t="s">
        <v>1005</v>
      </c>
      <c r="F155">
        <v>1</v>
      </c>
      <c r="G155" s="127">
        <f t="shared" si="22"/>
        <v>11</v>
      </c>
      <c r="H155" s="127" t="s">
        <v>672</v>
      </c>
      <c r="I155" s="127">
        <v>1</v>
      </c>
      <c r="J155" s="127">
        <f t="shared" si="23"/>
        <v>3</v>
      </c>
      <c r="K155" s="127" t="s">
        <v>1305</v>
      </c>
      <c r="M155" s="127">
        <f t="shared" si="24"/>
        <v>0</v>
      </c>
      <c r="N155" s="127" t="s">
        <v>1305</v>
      </c>
      <c r="P155" s="127">
        <f t="shared" si="25"/>
        <v>0</v>
      </c>
      <c r="Q155" s="127" t="s">
        <v>1305</v>
      </c>
      <c r="S155" s="127">
        <f t="shared" si="26"/>
        <v>0</v>
      </c>
      <c r="T155" s="127" t="s">
        <v>1305</v>
      </c>
      <c r="V155" s="127">
        <f t="shared" si="27"/>
        <v>0</v>
      </c>
    </row>
    <row r="156" spans="1:22" ht="15.75">
      <c r="A156" s="153" t="s">
        <v>1348</v>
      </c>
      <c r="B156" s="125" t="s">
        <v>690</v>
      </c>
      <c r="C156" s="130">
        <f t="shared" si="38"/>
        <v>10</v>
      </c>
      <c r="D156" s="180">
        <v>1</v>
      </c>
      <c r="E156" s="127" t="s">
        <v>1082</v>
      </c>
      <c r="F156">
        <v>1</v>
      </c>
      <c r="G156" s="127">
        <f t="shared" si="22"/>
        <v>7</v>
      </c>
      <c r="H156" s="127" t="s">
        <v>672</v>
      </c>
      <c r="I156" s="127">
        <v>1</v>
      </c>
      <c r="J156" s="127">
        <f t="shared" si="23"/>
        <v>3</v>
      </c>
      <c r="K156" s="127" t="s">
        <v>1305</v>
      </c>
      <c r="M156" s="127">
        <f t="shared" si="24"/>
        <v>0</v>
      </c>
      <c r="N156" s="127" t="s">
        <v>1305</v>
      </c>
      <c r="P156" s="127">
        <f t="shared" si="25"/>
        <v>0</v>
      </c>
      <c r="Q156" s="127" t="s">
        <v>1305</v>
      </c>
      <c r="S156" s="127">
        <f t="shared" si="26"/>
        <v>0</v>
      </c>
      <c r="T156" s="127" t="s">
        <v>1305</v>
      </c>
      <c r="V156" s="127">
        <f t="shared" si="27"/>
        <v>0</v>
      </c>
    </row>
    <row r="157" spans="1:22" ht="15.75">
      <c r="A157" s="153" t="s">
        <v>1348</v>
      </c>
      <c r="B157" s="125" t="s">
        <v>691</v>
      </c>
      <c r="C157" s="130">
        <f t="shared" si="38"/>
        <v>12</v>
      </c>
      <c r="D157" s="180">
        <v>1</v>
      </c>
      <c r="E157" s="127" t="s">
        <v>1119</v>
      </c>
      <c r="F157">
        <v>1</v>
      </c>
      <c r="G157" s="127">
        <f t="shared" si="22"/>
        <v>9</v>
      </c>
      <c r="H157" s="127" t="s">
        <v>672</v>
      </c>
      <c r="I157" s="127">
        <v>1</v>
      </c>
      <c r="J157" s="127">
        <f t="shared" si="23"/>
        <v>3</v>
      </c>
      <c r="K157" s="127" t="s">
        <v>1305</v>
      </c>
      <c r="M157" s="127">
        <f t="shared" si="24"/>
        <v>0</v>
      </c>
      <c r="N157" s="127" t="s">
        <v>1305</v>
      </c>
      <c r="P157" s="127">
        <f t="shared" si="25"/>
        <v>0</v>
      </c>
      <c r="Q157" s="127" t="s">
        <v>1305</v>
      </c>
      <c r="S157" s="127">
        <f t="shared" si="26"/>
        <v>0</v>
      </c>
      <c r="T157" s="127" t="s">
        <v>1305</v>
      </c>
      <c r="V157" s="127">
        <f t="shared" si="27"/>
        <v>0</v>
      </c>
    </row>
    <row r="158" spans="1:22" ht="15.75">
      <c r="A158" s="153" t="s">
        <v>1348</v>
      </c>
      <c r="B158" s="125" t="s">
        <v>692</v>
      </c>
      <c r="C158" s="130">
        <f t="shared" si="38"/>
        <v>6</v>
      </c>
      <c r="D158" s="180">
        <v>1</v>
      </c>
      <c r="E158" s="127" t="s">
        <v>1157</v>
      </c>
      <c r="F158">
        <v>1</v>
      </c>
      <c r="G158" s="127">
        <f t="shared" si="22"/>
        <v>3</v>
      </c>
      <c r="H158" s="127" t="s">
        <v>672</v>
      </c>
      <c r="I158" s="127">
        <v>1</v>
      </c>
      <c r="J158" s="127">
        <f t="shared" si="23"/>
        <v>3</v>
      </c>
      <c r="K158" s="127" t="s">
        <v>1305</v>
      </c>
      <c r="M158" s="127">
        <f t="shared" si="24"/>
        <v>0</v>
      </c>
      <c r="N158" s="127" t="s">
        <v>1305</v>
      </c>
      <c r="P158" s="127">
        <f t="shared" si="25"/>
        <v>0</v>
      </c>
      <c r="Q158" s="127" t="s">
        <v>1305</v>
      </c>
      <c r="S158" s="127">
        <f t="shared" si="26"/>
        <v>0</v>
      </c>
      <c r="T158" s="127" t="s">
        <v>1305</v>
      </c>
      <c r="V158" s="127">
        <f t="shared" si="27"/>
        <v>0</v>
      </c>
    </row>
    <row r="159" spans="1:22" ht="15.75">
      <c r="A159" s="153" t="s">
        <v>1348</v>
      </c>
      <c r="B159" s="125" t="s">
        <v>693</v>
      </c>
      <c r="C159" s="130">
        <f t="shared" si="38"/>
        <v>21</v>
      </c>
      <c r="D159" s="180">
        <v>1</v>
      </c>
      <c r="E159" s="127" t="s">
        <v>1260</v>
      </c>
      <c r="F159">
        <v>2</v>
      </c>
      <c r="G159" s="127">
        <f t="shared" si="22"/>
        <v>7</v>
      </c>
      <c r="H159" s="127" t="s">
        <v>1311</v>
      </c>
      <c r="I159" s="127">
        <v>1</v>
      </c>
      <c r="J159" s="127">
        <f t="shared" si="23"/>
        <v>7</v>
      </c>
      <c r="K159" s="127" t="s">
        <v>1305</v>
      </c>
      <c r="M159" s="127">
        <f t="shared" si="24"/>
        <v>0</v>
      </c>
      <c r="N159" s="127" t="s">
        <v>1305</v>
      </c>
      <c r="P159" s="127">
        <f t="shared" si="25"/>
        <v>0</v>
      </c>
      <c r="Q159" s="127" t="s">
        <v>1305</v>
      </c>
      <c r="S159" s="127">
        <f t="shared" si="26"/>
        <v>0</v>
      </c>
      <c r="T159" s="127" t="s">
        <v>1305</v>
      </c>
      <c r="V159" s="127">
        <f t="shared" si="27"/>
        <v>0</v>
      </c>
    </row>
    <row r="160" spans="1:22" s="137" customFormat="1" ht="15.75">
      <c r="A160" s="137" t="s">
        <v>560</v>
      </c>
      <c r="B160" s="135" t="s">
        <v>694</v>
      </c>
      <c r="C160" s="136">
        <v>1</v>
      </c>
      <c r="D160" s="180"/>
      <c r="E160" s="137" t="s">
        <v>1305</v>
      </c>
      <c r="G160" s="137">
        <f t="shared" si="22"/>
        <v>0</v>
      </c>
      <c r="H160" s="137" t="s">
        <v>1305</v>
      </c>
      <c r="J160" s="137">
        <f t="shared" si="23"/>
        <v>0</v>
      </c>
      <c r="K160" s="137" t="s">
        <v>1305</v>
      </c>
      <c r="M160" s="137">
        <f t="shared" si="24"/>
        <v>0</v>
      </c>
      <c r="N160" s="137" t="s">
        <v>1305</v>
      </c>
      <c r="P160" s="137">
        <f t="shared" si="25"/>
        <v>0</v>
      </c>
      <c r="Q160" s="137" t="s">
        <v>1305</v>
      </c>
      <c r="S160" s="137">
        <f t="shared" si="26"/>
        <v>0</v>
      </c>
      <c r="T160" s="137" t="s">
        <v>1305</v>
      </c>
      <c r="V160" s="137">
        <f t="shared" si="27"/>
        <v>0</v>
      </c>
    </row>
    <row r="161" spans="1:22" ht="15.75">
      <c r="A161" s="153" t="s">
        <v>1346</v>
      </c>
      <c r="B161" s="125" t="s">
        <v>695</v>
      </c>
      <c r="C161" s="130">
        <f t="shared" si="38"/>
        <v>7</v>
      </c>
      <c r="D161" s="180">
        <v>1</v>
      </c>
      <c r="E161" s="127" t="s">
        <v>1215</v>
      </c>
      <c r="F161">
        <v>1</v>
      </c>
      <c r="G161" s="127">
        <f t="shared" si="22"/>
        <v>4</v>
      </c>
      <c r="H161" s="127" t="s">
        <v>672</v>
      </c>
      <c r="I161" s="127">
        <v>1</v>
      </c>
      <c r="J161" s="127">
        <f t="shared" si="23"/>
        <v>3</v>
      </c>
      <c r="K161" s="127" t="s">
        <v>1305</v>
      </c>
      <c r="M161" s="127">
        <f t="shared" si="24"/>
        <v>0</v>
      </c>
      <c r="N161" s="127" t="s">
        <v>1305</v>
      </c>
      <c r="P161" s="127">
        <f t="shared" si="25"/>
        <v>0</v>
      </c>
      <c r="Q161" s="127" t="s">
        <v>1305</v>
      </c>
      <c r="S161" s="127">
        <f t="shared" si="26"/>
        <v>0</v>
      </c>
      <c r="T161" s="127" t="s">
        <v>1305</v>
      </c>
      <c r="V161" s="127">
        <f t="shared" si="27"/>
        <v>0</v>
      </c>
    </row>
    <row r="162" spans="1:22" s="175" customFormat="1" ht="15.75">
      <c r="B162" s="176" t="s">
        <v>696</v>
      </c>
      <c r="C162" s="177">
        <f t="shared" ref="C162" si="39">(G162*F162)+(I162*J162)+(L162*M162)+(O162*P162)+(R162*S162)+(U162*V162)</f>
        <v>1</v>
      </c>
      <c r="D162" s="180"/>
      <c r="E162" s="175" t="s">
        <v>1026</v>
      </c>
      <c r="F162" s="175">
        <v>4</v>
      </c>
      <c r="G162" s="175">
        <f t="shared" si="22"/>
        <v>0.25</v>
      </c>
      <c r="H162" s="175" t="s">
        <v>1305</v>
      </c>
      <c r="J162" s="175">
        <f t="shared" si="23"/>
        <v>0</v>
      </c>
      <c r="K162" s="175" t="s">
        <v>1305</v>
      </c>
      <c r="M162" s="175">
        <f t="shared" si="24"/>
        <v>0</v>
      </c>
      <c r="N162" s="175" t="s">
        <v>1305</v>
      </c>
      <c r="P162" s="175">
        <f t="shared" si="25"/>
        <v>0</v>
      </c>
      <c r="Q162" s="175" t="s">
        <v>1305</v>
      </c>
      <c r="S162" s="175">
        <f t="shared" si="26"/>
        <v>0</v>
      </c>
      <c r="T162" s="175" t="s">
        <v>1305</v>
      </c>
      <c r="V162" s="175">
        <f t="shared" si="27"/>
        <v>0</v>
      </c>
    </row>
    <row r="163" spans="1:22" ht="15.75">
      <c r="A163" s="153"/>
      <c r="B163" s="125" t="s">
        <v>697</v>
      </c>
      <c r="C163" s="130">
        <f t="shared" si="38"/>
        <v>10</v>
      </c>
      <c r="D163" s="180">
        <v>1</v>
      </c>
      <c r="E163" s="127" t="s">
        <v>1312</v>
      </c>
      <c r="F163">
        <v>1</v>
      </c>
      <c r="G163" s="127">
        <f t="shared" si="22"/>
        <v>5</v>
      </c>
      <c r="H163" s="127" t="s">
        <v>1051</v>
      </c>
      <c r="I163" s="127">
        <v>1</v>
      </c>
      <c r="J163" s="127">
        <f t="shared" si="23"/>
        <v>5</v>
      </c>
      <c r="K163" s="127" t="s">
        <v>1305</v>
      </c>
      <c r="M163" s="127">
        <f t="shared" si="24"/>
        <v>0</v>
      </c>
      <c r="N163" s="127" t="s">
        <v>1305</v>
      </c>
      <c r="P163" s="127">
        <f t="shared" si="25"/>
        <v>0</v>
      </c>
      <c r="Q163" s="127" t="s">
        <v>1305</v>
      </c>
      <c r="S163" s="127">
        <f t="shared" si="26"/>
        <v>0</v>
      </c>
      <c r="T163" s="127" t="s">
        <v>1305</v>
      </c>
      <c r="V163" s="127">
        <f t="shared" si="27"/>
        <v>0</v>
      </c>
    </row>
    <row r="164" spans="1:22" s="148" customFormat="1" ht="15.75">
      <c r="A164" s="148" t="s">
        <v>1341</v>
      </c>
      <c r="B164" s="146" t="s">
        <v>1312</v>
      </c>
      <c r="C164" s="147">
        <f>'ECONOMIA &amp; PROFESIONES'!E57</f>
        <v>5</v>
      </c>
      <c r="D164" s="180"/>
      <c r="E164" s="148" t="s">
        <v>1305</v>
      </c>
      <c r="G164" s="148">
        <f t="shared" ref="G164" si="40">VLOOKUP(E164,IDPOINTS,2,FALSE)</f>
        <v>0</v>
      </c>
      <c r="H164" s="148" t="s">
        <v>1305</v>
      </c>
      <c r="J164" s="148">
        <f t="shared" ref="J164" si="41">VLOOKUP(H164,IDPOINTS,2,FALSE)</f>
        <v>0</v>
      </c>
      <c r="K164" s="148" t="s">
        <v>1305</v>
      </c>
      <c r="M164" s="148">
        <f t="shared" ref="M164" si="42">VLOOKUP(K164,IDPOINTS,2,FALSE)</f>
        <v>0</v>
      </c>
      <c r="N164" s="148" t="s">
        <v>1305</v>
      </c>
      <c r="P164" s="148">
        <f t="shared" ref="P164" si="43">VLOOKUP(N164,IDPOINTS,2,FALSE)</f>
        <v>0</v>
      </c>
      <c r="Q164" s="148" t="s">
        <v>1305</v>
      </c>
      <c r="S164" s="148">
        <f t="shared" ref="S164" si="44">VLOOKUP(Q164,IDPOINTS,2,FALSE)</f>
        <v>0</v>
      </c>
      <c r="T164" s="148" t="s">
        <v>1305</v>
      </c>
      <c r="V164" s="148">
        <f t="shared" ref="V164" si="45">VLOOKUP(T164,IDPOINTS,2,FALSE)</f>
        <v>0</v>
      </c>
    </row>
    <row r="165" spans="1:22" ht="15.75">
      <c r="A165" s="153" t="s">
        <v>1344</v>
      </c>
      <c r="B165" s="125" t="s">
        <v>698</v>
      </c>
      <c r="C165" s="130">
        <f t="shared" si="38"/>
        <v>18.25</v>
      </c>
      <c r="D165" s="180">
        <v>1</v>
      </c>
      <c r="E165" s="127" t="s">
        <v>896</v>
      </c>
      <c r="F165">
        <v>1</v>
      </c>
      <c r="G165" s="127">
        <f t="shared" si="22"/>
        <v>8</v>
      </c>
      <c r="H165" s="127" t="s">
        <v>1224</v>
      </c>
      <c r="I165" s="127">
        <v>1</v>
      </c>
      <c r="J165" s="127">
        <f t="shared" si="23"/>
        <v>1.5</v>
      </c>
      <c r="K165" s="127" t="s">
        <v>1208</v>
      </c>
      <c r="L165" s="127">
        <v>3</v>
      </c>
      <c r="M165" s="127">
        <f t="shared" si="24"/>
        <v>0.125</v>
      </c>
      <c r="N165" s="127" t="s">
        <v>1252</v>
      </c>
      <c r="O165" s="127">
        <v>1</v>
      </c>
      <c r="P165" s="127">
        <f t="shared" si="25"/>
        <v>8.375</v>
      </c>
      <c r="Q165" s="127" t="s">
        <v>1305</v>
      </c>
      <c r="S165" s="127">
        <f t="shared" si="26"/>
        <v>0</v>
      </c>
      <c r="T165" s="127" t="s">
        <v>1305</v>
      </c>
      <c r="V165" s="127">
        <f t="shared" si="27"/>
        <v>0</v>
      </c>
    </row>
    <row r="166" spans="1:22" ht="15.75">
      <c r="A166" s="153" t="s">
        <v>1346</v>
      </c>
      <c r="B166" s="125" t="s">
        <v>699</v>
      </c>
      <c r="C166" s="130">
        <f t="shared" si="38"/>
        <v>28</v>
      </c>
      <c r="D166" s="180">
        <v>4</v>
      </c>
      <c r="E166" s="127" t="s">
        <v>1137</v>
      </c>
      <c r="F166">
        <v>4</v>
      </c>
      <c r="G166" s="127">
        <f t="shared" si="22"/>
        <v>28</v>
      </c>
      <c r="H166" s="127" t="s">
        <v>1305</v>
      </c>
      <c r="J166" s="127">
        <f t="shared" si="23"/>
        <v>0</v>
      </c>
      <c r="K166" s="127" t="s">
        <v>1305</v>
      </c>
      <c r="M166" s="127">
        <f t="shared" si="24"/>
        <v>0</v>
      </c>
      <c r="N166" s="127" t="s">
        <v>1305</v>
      </c>
      <c r="P166" s="127">
        <f t="shared" si="25"/>
        <v>0</v>
      </c>
      <c r="Q166" s="127" t="s">
        <v>1305</v>
      </c>
      <c r="S166" s="127">
        <f t="shared" si="26"/>
        <v>0</v>
      </c>
      <c r="T166" s="127" t="s">
        <v>1305</v>
      </c>
      <c r="V166" s="127">
        <f t="shared" si="27"/>
        <v>0</v>
      </c>
    </row>
    <row r="167" spans="1:22" ht="15.75">
      <c r="A167" s="153" t="s">
        <v>1346</v>
      </c>
      <c r="B167" s="125" t="s">
        <v>700</v>
      </c>
      <c r="C167" s="130">
        <f t="shared" si="38"/>
        <v>14</v>
      </c>
      <c r="D167" s="180">
        <v>6</v>
      </c>
      <c r="E167" s="128" t="s">
        <v>699</v>
      </c>
      <c r="F167">
        <v>3</v>
      </c>
      <c r="G167" s="127">
        <f t="shared" si="22"/>
        <v>28</v>
      </c>
      <c r="H167" s="127" t="s">
        <v>1305</v>
      </c>
      <c r="J167" s="127">
        <f t="shared" si="23"/>
        <v>0</v>
      </c>
      <c r="K167" s="127" t="s">
        <v>1305</v>
      </c>
      <c r="M167" s="127">
        <f t="shared" si="24"/>
        <v>0</v>
      </c>
      <c r="N167" s="127" t="s">
        <v>1305</v>
      </c>
      <c r="P167" s="127">
        <f t="shared" si="25"/>
        <v>0</v>
      </c>
      <c r="Q167" s="127" t="s">
        <v>1305</v>
      </c>
      <c r="S167" s="127">
        <f t="shared" si="26"/>
        <v>0</v>
      </c>
      <c r="T167" s="127" t="s">
        <v>1305</v>
      </c>
      <c r="V167" s="127">
        <f t="shared" si="27"/>
        <v>0</v>
      </c>
    </row>
    <row r="168" spans="1:22" ht="15.75">
      <c r="A168" s="153" t="s">
        <v>1346</v>
      </c>
      <c r="B168" s="125" t="s">
        <v>701</v>
      </c>
      <c r="C168" s="130">
        <f t="shared" si="38"/>
        <v>20</v>
      </c>
      <c r="D168" s="180">
        <v>4</v>
      </c>
      <c r="E168" s="127" t="s">
        <v>1159</v>
      </c>
      <c r="F168">
        <v>4</v>
      </c>
      <c r="G168" s="127">
        <f t="shared" si="22"/>
        <v>20</v>
      </c>
      <c r="H168" s="127" t="s">
        <v>1305</v>
      </c>
      <c r="J168" s="127">
        <f t="shared" si="23"/>
        <v>0</v>
      </c>
      <c r="K168" s="127" t="s">
        <v>1305</v>
      </c>
      <c r="M168" s="127">
        <f t="shared" si="24"/>
        <v>0</v>
      </c>
      <c r="N168" s="127" t="s">
        <v>1305</v>
      </c>
      <c r="P168" s="127">
        <f t="shared" si="25"/>
        <v>0</v>
      </c>
      <c r="Q168" s="127" t="s">
        <v>1305</v>
      </c>
      <c r="S168" s="127">
        <f t="shared" si="26"/>
        <v>0</v>
      </c>
      <c r="T168" s="127" t="s">
        <v>1305</v>
      </c>
      <c r="V168" s="127">
        <f t="shared" si="27"/>
        <v>0</v>
      </c>
    </row>
    <row r="169" spans="1:22" ht="15.75">
      <c r="A169" s="153" t="s">
        <v>1346</v>
      </c>
      <c r="B169" s="125" t="s">
        <v>702</v>
      </c>
      <c r="C169" s="130">
        <f t="shared" si="38"/>
        <v>10</v>
      </c>
      <c r="D169" s="180">
        <v>6</v>
      </c>
      <c r="E169" s="127" t="s">
        <v>701</v>
      </c>
      <c r="F169">
        <v>3</v>
      </c>
      <c r="G169" s="127">
        <f t="shared" si="22"/>
        <v>20</v>
      </c>
      <c r="H169" s="127" t="s">
        <v>1305</v>
      </c>
      <c r="J169" s="127">
        <f t="shared" si="23"/>
        <v>0</v>
      </c>
      <c r="K169" s="127" t="s">
        <v>1305</v>
      </c>
      <c r="M169" s="127">
        <f t="shared" si="24"/>
        <v>0</v>
      </c>
      <c r="N169" s="127" t="s">
        <v>1305</v>
      </c>
      <c r="P169" s="127">
        <f t="shared" si="25"/>
        <v>0</v>
      </c>
      <c r="Q169" s="127" t="s">
        <v>1305</v>
      </c>
      <c r="S169" s="127">
        <f t="shared" si="26"/>
        <v>0</v>
      </c>
      <c r="T169" s="127" t="s">
        <v>1305</v>
      </c>
      <c r="V169" s="127">
        <f t="shared" si="27"/>
        <v>0</v>
      </c>
    </row>
    <row r="170" spans="1:22" ht="15.75">
      <c r="A170" s="153" t="s">
        <v>1351</v>
      </c>
      <c r="B170" s="125" t="s">
        <v>703</v>
      </c>
      <c r="C170" s="130">
        <f>((G170*F170)+(I170*J170)+(L170*M170)+(O170*P170)+(R170*S170)+(U170*V170))/D170</f>
        <v>72.125</v>
      </c>
      <c r="D170" s="180">
        <v>1</v>
      </c>
      <c r="E170" s="128" t="s">
        <v>714</v>
      </c>
      <c r="F170" s="128">
        <v>6</v>
      </c>
      <c r="G170" s="128">
        <f t="shared" si="22"/>
        <v>12</v>
      </c>
      <c r="H170" s="128" t="s">
        <v>1208</v>
      </c>
      <c r="I170" s="128">
        <v>1</v>
      </c>
      <c r="J170" s="128">
        <f t="shared" si="23"/>
        <v>0.125</v>
      </c>
      <c r="K170" s="128" t="s">
        <v>1305</v>
      </c>
      <c r="L170" s="128"/>
      <c r="M170" s="127">
        <f t="shared" si="24"/>
        <v>0</v>
      </c>
      <c r="N170" s="127" t="s">
        <v>1305</v>
      </c>
      <c r="P170" s="127">
        <f t="shared" si="25"/>
        <v>0</v>
      </c>
      <c r="Q170" s="127" t="s">
        <v>1305</v>
      </c>
      <c r="S170" s="127">
        <f t="shared" si="26"/>
        <v>0</v>
      </c>
      <c r="T170" s="127" t="s">
        <v>1305</v>
      </c>
      <c r="V170" s="127">
        <f t="shared" si="27"/>
        <v>0</v>
      </c>
    </row>
    <row r="171" spans="1:22" ht="15.75">
      <c r="A171" s="153" t="s">
        <v>1351</v>
      </c>
      <c r="B171" s="125" t="s">
        <v>704</v>
      </c>
      <c r="C171" s="130">
        <f t="shared" si="38"/>
        <v>36.75</v>
      </c>
      <c r="D171" s="180">
        <v>1</v>
      </c>
      <c r="E171" s="128" t="s">
        <v>714</v>
      </c>
      <c r="F171" s="128">
        <v>3</v>
      </c>
      <c r="G171" s="128">
        <f t="shared" si="22"/>
        <v>12</v>
      </c>
      <c r="H171" s="128" t="s">
        <v>1026</v>
      </c>
      <c r="I171" s="128">
        <v>3</v>
      </c>
      <c r="J171" s="128">
        <f t="shared" si="23"/>
        <v>0.25</v>
      </c>
      <c r="K171" s="128" t="s">
        <v>1305</v>
      </c>
      <c r="L171" s="128"/>
      <c r="M171" s="127">
        <f t="shared" si="24"/>
        <v>0</v>
      </c>
      <c r="N171" s="127" t="s">
        <v>1305</v>
      </c>
      <c r="P171" s="127">
        <f t="shared" si="25"/>
        <v>0</v>
      </c>
      <c r="Q171" s="127" t="s">
        <v>1305</v>
      </c>
      <c r="S171" s="127">
        <f t="shared" si="26"/>
        <v>0</v>
      </c>
      <c r="T171" s="127" t="s">
        <v>1305</v>
      </c>
      <c r="V171" s="127">
        <f t="shared" si="27"/>
        <v>0</v>
      </c>
    </row>
    <row r="172" spans="1:22" ht="15.75">
      <c r="A172" s="153" t="s">
        <v>1351</v>
      </c>
      <c r="B172" s="125" t="s">
        <v>705</v>
      </c>
      <c r="C172" s="130">
        <f t="shared" si="38"/>
        <v>8</v>
      </c>
      <c r="D172" s="180">
        <v>3</v>
      </c>
      <c r="E172" s="128" t="s">
        <v>714</v>
      </c>
      <c r="F172" s="128">
        <v>2</v>
      </c>
      <c r="G172" s="128">
        <f t="shared" si="22"/>
        <v>12</v>
      </c>
      <c r="H172" s="128" t="s">
        <v>1305</v>
      </c>
      <c r="I172" s="128"/>
      <c r="J172" s="128">
        <f t="shared" si="23"/>
        <v>0</v>
      </c>
      <c r="K172" s="128" t="s">
        <v>1305</v>
      </c>
      <c r="L172" s="128"/>
      <c r="M172" s="127">
        <f t="shared" si="24"/>
        <v>0</v>
      </c>
      <c r="N172" s="127" t="s">
        <v>1305</v>
      </c>
      <c r="P172" s="127">
        <f t="shared" si="25"/>
        <v>0</v>
      </c>
      <c r="Q172" s="127" t="s">
        <v>1305</v>
      </c>
      <c r="S172" s="127">
        <f t="shared" si="26"/>
        <v>0</v>
      </c>
      <c r="T172" s="127" t="s">
        <v>1305</v>
      </c>
      <c r="V172" s="127">
        <f t="shared" si="27"/>
        <v>0</v>
      </c>
    </row>
    <row r="173" spans="1:22" ht="15.75">
      <c r="A173" s="153" t="s">
        <v>1351</v>
      </c>
      <c r="B173" s="125" t="s">
        <v>706</v>
      </c>
      <c r="C173" s="130">
        <f t="shared" si="38"/>
        <v>3.75</v>
      </c>
      <c r="D173" s="180">
        <v>1</v>
      </c>
      <c r="E173" s="128" t="s">
        <v>707</v>
      </c>
      <c r="F173" s="128">
        <v>1</v>
      </c>
      <c r="G173" s="128">
        <f t="shared" si="22"/>
        <v>3.75</v>
      </c>
      <c r="H173" s="128" t="s">
        <v>1305</v>
      </c>
      <c r="I173" s="128"/>
      <c r="J173" s="128">
        <f t="shared" si="23"/>
        <v>0</v>
      </c>
      <c r="K173" s="128" t="s">
        <v>1305</v>
      </c>
      <c r="L173" s="128"/>
      <c r="M173" s="127">
        <f t="shared" si="24"/>
        <v>0</v>
      </c>
      <c r="N173" s="127" t="s">
        <v>1305</v>
      </c>
      <c r="P173" s="127">
        <f t="shared" si="25"/>
        <v>0</v>
      </c>
      <c r="Q173" s="127" t="s">
        <v>1305</v>
      </c>
      <c r="S173" s="127">
        <f t="shared" si="26"/>
        <v>0</v>
      </c>
      <c r="T173" s="127" t="s">
        <v>1305</v>
      </c>
      <c r="V173" s="127">
        <f t="shared" si="27"/>
        <v>0</v>
      </c>
    </row>
    <row r="174" spans="1:22" ht="15.75">
      <c r="A174" s="153" t="s">
        <v>1351</v>
      </c>
      <c r="B174" s="125" t="s">
        <v>707</v>
      </c>
      <c r="C174" s="130">
        <f t="shared" si="38"/>
        <v>3.75</v>
      </c>
      <c r="D174" s="180">
        <v>8</v>
      </c>
      <c r="E174" s="128" t="s">
        <v>1158</v>
      </c>
      <c r="F174" s="128">
        <v>4</v>
      </c>
      <c r="G174" s="128">
        <f t="shared" si="22"/>
        <v>5</v>
      </c>
      <c r="H174" s="128" t="s">
        <v>844</v>
      </c>
      <c r="I174" s="128">
        <v>4</v>
      </c>
      <c r="J174" s="128">
        <f t="shared" si="23"/>
        <v>1</v>
      </c>
      <c r="K174" s="128" t="s">
        <v>708</v>
      </c>
      <c r="L174" s="128">
        <v>1</v>
      </c>
      <c r="M174" s="127">
        <f t="shared" si="24"/>
        <v>6</v>
      </c>
      <c r="N174" s="127" t="s">
        <v>1305</v>
      </c>
      <c r="P174" s="127">
        <f t="shared" si="25"/>
        <v>0</v>
      </c>
      <c r="Q174" s="127" t="s">
        <v>1305</v>
      </c>
      <c r="S174" s="127">
        <f t="shared" si="26"/>
        <v>0</v>
      </c>
      <c r="T174" s="127" t="s">
        <v>1305</v>
      </c>
      <c r="V174" s="127">
        <f t="shared" si="27"/>
        <v>0</v>
      </c>
    </row>
    <row r="175" spans="1:22" s="13" customFormat="1" ht="15.75">
      <c r="A175" s="153" t="s">
        <v>1351</v>
      </c>
      <c r="B175" s="144" t="s">
        <v>708</v>
      </c>
      <c r="C175" s="130">
        <f t="shared" si="38"/>
        <v>6</v>
      </c>
      <c r="D175" s="180">
        <v>1</v>
      </c>
      <c r="E175" s="13" t="s">
        <v>862</v>
      </c>
      <c r="F175" s="13">
        <v>1</v>
      </c>
      <c r="G175" s="13">
        <f t="shared" si="22"/>
        <v>5</v>
      </c>
      <c r="H175" s="13" t="s">
        <v>603</v>
      </c>
      <c r="I175" s="13">
        <v>1</v>
      </c>
      <c r="J175" s="13">
        <f t="shared" si="23"/>
        <v>1</v>
      </c>
      <c r="K175" s="13" t="s">
        <v>1305</v>
      </c>
      <c r="M175" s="13">
        <f t="shared" si="24"/>
        <v>0</v>
      </c>
      <c r="N175" s="13" t="s">
        <v>1305</v>
      </c>
      <c r="P175" s="13">
        <f t="shared" si="25"/>
        <v>0</v>
      </c>
      <c r="Q175" s="13" t="s">
        <v>1305</v>
      </c>
      <c r="S175" s="13">
        <f t="shared" si="26"/>
        <v>0</v>
      </c>
      <c r="T175" s="13" t="s">
        <v>1305</v>
      </c>
      <c r="V175" s="13">
        <f t="shared" si="27"/>
        <v>0</v>
      </c>
    </row>
    <row r="176" spans="1:22" ht="15.75">
      <c r="A176" s="153" t="s">
        <v>1351</v>
      </c>
      <c r="B176" s="125" t="s">
        <v>709</v>
      </c>
      <c r="C176" s="130">
        <f t="shared" si="38"/>
        <v>34.75</v>
      </c>
      <c r="D176" s="180">
        <v>1</v>
      </c>
      <c r="E176" s="128" t="s">
        <v>713</v>
      </c>
      <c r="F176" s="128">
        <v>1</v>
      </c>
      <c r="G176" s="128">
        <f t="shared" si="22"/>
        <v>31.75</v>
      </c>
      <c r="H176" s="128" t="s">
        <v>672</v>
      </c>
      <c r="I176" s="128">
        <v>1</v>
      </c>
      <c r="J176" s="127">
        <f t="shared" si="23"/>
        <v>3</v>
      </c>
      <c r="K176" s="127" t="s">
        <v>1305</v>
      </c>
      <c r="M176" s="127">
        <f t="shared" si="24"/>
        <v>0</v>
      </c>
      <c r="N176" s="127" t="s">
        <v>1305</v>
      </c>
      <c r="P176" s="127">
        <f t="shared" si="25"/>
        <v>0</v>
      </c>
      <c r="Q176" s="127" t="s">
        <v>1305</v>
      </c>
      <c r="S176" s="127">
        <f t="shared" si="26"/>
        <v>0</v>
      </c>
      <c r="T176" s="127" t="s">
        <v>1305</v>
      </c>
      <c r="V176" s="127">
        <f t="shared" si="27"/>
        <v>0</v>
      </c>
    </row>
    <row r="177" spans="1:22" ht="15.75">
      <c r="A177" s="153" t="s">
        <v>1351</v>
      </c>
      <c r="B177" s="125" t="s">
        <v>710</v>
      </c>
      <c r="C177" s="130">
        <f t="shared" si="38"/>
        <v>17</v>
      </c>
      <c r="D177" s="180">
        <v>1</v>
      </c>
      <c r="E177" s="128" t="s">
        <v>708</v>
      </c>
      <c r="F177" s="128">
        <v>1</v>
      </c>
      <c r="G177" s="128">
        <f t="shared" si="22"/>
        <v>6</v>
      </c>
      <c r="H177" s="128" t="s">
        <v>1170</v>
      </c>
      <c r="I177" s="128">
        <v>1</v>
      </c>
      <c r="J177" s="127">
        <f t="shared" si="23"/>
        <v>11</v>
      </c>
      <c r="K177" s="127" t="s">
        <v>1305</v>
      </c>
      <c r="M177" s="127">
        <f t="shared" si="24"/>
        <v>0</v>
      </c>
      <c r="N177" s="127" t="s">
        <v>1305</v>
      </c>
      <c r="P177" s="127">
        <f t="shared" si="25"/>
        <v>0</v>
      </c>
      <c r="Q177" s="127" t="s">
        <v>1305</v>
      </c>
      <c r="S177" s="127">
        <f t="shared" si="26"/>
        <v>0</v>
      </c>
      <c r="T177" s="127" t="s">
        <v>1305</v>
      </c>
      <c r="V177" s="127">
        <f t="shared" si="27"/>
        <v>0</v>
      </c>
    </row>
    <row r="178" spans="1:22" ht="15.75">
      <c r="A178" s="153" t="s">
        <v>1351</v>
      </c>
      <c r="B178" s="125" t="s">
        <v>711</v>
      </c>
      <c r="C178" s="130">
        <f t="shared" si="38"/>
        <v>8.75</v>
      </c>
      <c r="D178" s="180">
        <v>8</v>
      </c>
      <c r="E178" s="128" t="s">
        <v>814</v>
      </c>
      <c r="F178" s="128">
        <v>8</v>
      </c>
      <c r="G178" s="128">
        <f t="shared" si="22"/>
        <v>8</v>
      </c>
      <c r="H178" s="128" t="s">
        <v>708</v>
      </c>
      <c r="I178" s="128">
        <v>1</v>
      </c>
      <c r="J178" s="127">
        <f t="shared" si="23"/>
        <v>6</v>
      </c>
      <c r="K178" s="127" t="s">
        <v>1305</v>
      </c>
      <c r="M178" s="127">
        <f t="shared" si="24"/>
        <v>0</v>
      </c>
      <c r="N178" s="127" t="s">
        <v>1305</v>
      </c>
      <c r="P178" s="127">
        <f t="shared" si="25"/>
        <v>0</v>
      </c>
      <c r="Q178" s="127" t="s">
        <v>1305</v>
      </c>
      <c r="S178" s="127">
        <f t="shared" si="26"/>
        <v>0</v>
      </c>
      <c r="T178" s="127" t="s">
        <v>1305</v>
      </c>
      <c r="V178" s="127">
        <f t="shared" si="27"/>
        <v>0</v>
      </c>
    </row>
    <row r="179" spans="1:22" ht="15.75">
      <c r="A179" s="153" t="s">
        <v>1351</v>
      </c>
      <c r="B179" s="125" t="s">
        <v>712</v>
      </c>
      <c r="C179" s="130">
        <f t="shared" si="38"/>
        <v>3.28125</v>
      </c>
      <c r="D179" s="180">
        <v>16</v>
      </c>
      <c r="E179" s="128" t="s">
        <v>711</v>
      </c>
      <c r="F179" s="128">
        <v>6</v>
      </c>
      <c r="G179" s="128">
        <f t="shared" si="22"/>
        <v>8.75</v>
      </c>
      <c r="H179" s="128" t="s">
        <v>1305</v>
      </c>
      <c r="I179" s="128"/>
      <c r="J179" s="127">
        <f t="shared" si="23"/>
        <v>0</v>
      </c>
      <c r="K179" s="127" t="s">
        <v>1305</v>
      </c>
      <c r="M179" s="127">
        <f t="shared" si="24"/>
        <v>0</v>
      </c>
      <c r="N179" s="127" t="s">
        <v>1305</v>
      </c>
      <c r="P179" s="127">
        <f t="shared" si="25"/>
        <v>0</v>
      </c>
      <c r="Q179" s="127" t="s">
        <v>1305</v>
      </c>
      <c r="S179" s="127">
        <f t="shared" si="26"/>
        <v>0</v>
      </c>
      <c r="T179" s="127" t="s">
        <v>1305</v>
      </c>
      <c r="V179" s="127">
        <f t="shared" si="27"/>
        <v>0</v>
      </c>
    </row>
    <row r="180" spans="1:22" ht="15.75">
      <c r="A180" s="153" t="s">
        <v>1351</v>
      </c>
      <c r="B180" s="125" t="s">
        <v>713</v>
      </c>
      <c r="C180" s="130">
        <f t="shared" si="38"/>
        <v>31.75</v>
      </c>
      <c r="D180" s="180">
        <v>8</v>
      </c>
      <c r="E180" s="128" t="s">
        <v>1245</v>
      </c>
      <c r="F180" s="128">
        <v>8</v>
      </c>
      <c r="G180" s="128">
        <f t="shared" si="22"/>
        <v>31</v>
      </c>
      <c r="H180" s="128" t="s">
        <v>708</v>
      </c>
      <c r="I180" s="128">
        <v>1</v>
      </c>
      <c r="J180" s="127">
        <f t="shared" si="23"/>
        <v>6</v>
      </c>
      <c r="K180" s="127" t="s">
        <v>1305</v>
      </c>
      <c r="M180" s="127">
        <f t="shared" si="24"/>
        <v>0</v>
      </c>
      <c r="N180" s="127" t="s">
        <v>1305</v>
      </c>
      <c r="P180" s="127">
        <f t="shared" si="25"/>
        <v>0</v>
      </c>
      <c r="Q180" s="127" t="s">
        <v>1305</v>
      </c>
      <c r="S180" s="127">
        <f t="shared" si="26"/>
        <v>0</v>
      </c>
      <c r="T180" s="127" t="s">
        <v>1305</v>
      </c>
      <c r="V180" s="127">
        <f t="shared" si="27"/>
        <v>0</v>
      </c>
    </row>
    <row r="181" spans="1:22" ht="15.75">
      <c r="A181" s="153" t="s">
        <v>1351</v>
      </c>
      <c r="B181" s="125" t="s">
        <v>714</v>
      </c>
      <c r="C181" s="130">
        <f t="shared" si="38"/>
        <v>12</v>
      </c>
      <c r="D181" s="180">
        <v>1</v>
      </c>
      <c r="E181" s="128" t="s">
        <v>1274</v>
      </c>
      <c r="F181" s="128">
        <v>1</v>
      </c>
      <c r="G181" s="128">
        <f t="shared" si="22"/>
        <v>6</v>
      </c>
      <c r="H181" s="128" t="s">
        <v>708</v>
      </c>
      <c r="I181" s="128">
        <v>1</v>
      </c>
      <c r="J181" s="127">
        <f t="shared" si="23"/>
        <v>6</v>
      </c>
      <c r="K181" s="127" t="s">
        <v>1305</v>
      </c>
      <c r="M181" s="127">
        <f t="shared" si="24"/>
        <v>0</v>
      </c>
      <c r="N181" s="127" t="s">
        <v>1305</v>
      </c>
      <c r="P181" s="127">
        <f t="shared" si="25"/>
        <v>0</v>
      </c>
      <c r="Q181" s="127" t="s">
        <v>1305</v>
      </c>
      <c r="S181" s="127">
        <f t="shared" si="26"/>
        <v>0</v>
      </c>
      <c r="T181" s="127" t="s">
        <v>1305</v>
      </c>
      <c r="V181" s="127">
        <f t="shared" si="27"/>
        <v>0</v>
      </c>
    </row>
    <row r="182" spans="1:22" s="137" customFormat="1" ht="15.75">
      <c r="A182" s="137" t="s">
        <v>560</v>
      </c>
      <c r="B182" s="135" t="s">
        <v>715</v>
      </c>
      <c r="C182" s="136">
        <v>1</v>
      </c>
      <c r="D182" s="180"/>
      <c r="E182" s="137" t="s">
        <v>1305</v>
      </c>
      <c r="G182" s="137">
        <f t="shared" si="22"/>
        <v>0</v>
      </c>
      <c r="H182" s="137" t="s">
        <v>1305</v>
      </c>
      <c r="J182" s="137">
        <f t="shared" si="23"/>
        <v>0</v>
      </c>
      <c r="K182" s="137" t="s">
        <v>1305</v>
      </c>
      <c r="M182" s="137">
        <f t="shared" si="24"/>
        <v>0</v>
      </c>
      <c r="N182" s="137" t="s">
        <v>1305</v>
      </c>
      <c r="P182" s="137">
        <f t="shared" si="25"/>
        <v>0</v>
      </c>
      <c r="Q182" s="137" t="s">
        <v>1305</v>
      </c>
      <c r="S182" s="137">
        <f t="shared" si="26"/>
        <v>0</v>
      </c>
      <c r="T182" s="137" t="s">
        <v>1305</v>
      </c>
      <c r="V182" s="137">
        <f t="shared" si="27"/>
        <v>0</v>
      </c>
    </row>
    <row r="183" spans="1:22" ht="15.75">
      <c r="A183" s="153" t="s">
        <v>1345</v>
      </c>
      <c r="B183" s="125" t="s">
        <v>716</v>
      </c>
      <c r="C183" s="130">
        <f t="shared" si="38"/>
        <v>11</v>
      </c>
      <c r="D183" s="180">
        <v>1</v>
      </c>
      <c r="E183" s="128" t="s">
        <v>722</v>
      </c>
      <c r="F183" s="128">
        <v>4</v>
      </c>
      <c r="G183" s="128">
        <f t="shared" si="22"/>
        <v>2.75</v>
      </c>
      <c r="H183" s="128" t="s">
        <v>1305</v>
      </c>
      <c r="I183" s="128"/>
      <c r="J183" s="127">
        <f t="shared" si="23"/>
        <v>0</v>
      </c>
      <c r="K183" s="127" t="s">
        <v>1305</v>
      </c>
      <c r="M183" s="127">
        <f t="shared" si="24"/>
        <v>0</v>
      </c>
      <c r="N183" s="127" t="s">
        <v>1305</v>
      </c>
      <c r="P183" s="127">
        <f t="shared" si="25"/>
        <v>0</v>
      </c>
      <c r="Q183" s="127" t="s">
        <v>1305</v>
      </c>
      <c r="S183" s="127">
        <f t="shared" si="26"/>
        <v>0</v>
      </c>
      <c r="T183" s="127" t="s">
        <v>1305</v>
      </c>
      <c r="V183" s="127">
        <f t="shared" si="27"/>
        <v>0</v>
      </c>
    </row>
    <row r="184" spans="1:22" ht="15.75">
      <c r="A184" s="153" t="s">
        <v>1345</v>
      </c>
      <c r="B184" s="125" t="s">
        <v>717</v>
      </c>
      <c r="C184" s="130">
        <f t="shared" si="38"/>
        <v>2.75</v>
      </c>
      <c r="D184" s="180">
        <v>1</v>
      </c>
      <c r="E184" s="128" t="s">
        <v>722</v>
      </c>
      <c r="F184" s="128">
        <v>1</v>
      </c>
      <c r="G184" s="128">
        <f t="shared" si="22"/>
        <v>2.75</v>
      </c>
      <c r="H184" s="128" t="s">
        <v>1305</v>
      </c>
      <c r="I184" s="128"/>
      <c r="J184" s="127">
        <f t="shared" si="23"/>
        <v>0</v>
      </c>
      <c r="K184" s="127" t="s">
        <v>1305</v>
      </c>
      <c r="M184" s="127">
        <f t="shared" si="24"/>
        <v>0</v>
      </c>
      <c r="N184" s="127" t="s">
        <v>1305</v>
      </c>
      <c r="P184" s="127">
        <f t="shared" si="25"/>
        <v>0</v>
      </c>
      <c r="Q184" s="127" t="s">
        <v>1305</v>
      </c>
      <c r="S184" s="127">
        <f t="shared" si="26"/>
        <v>0</v>
      </c>
      <c r="T184" s="127" t="s">
        <v>1305</v>
      </c>
      <c r="V184" s="127">
        <f t="shared" si="27"/>
        <v>0</v>
      </c>
    </row>
    <row r="185" spans="1:22" ht="15.75">
      <c r="A185" s="153" t="s">
        <v>1345</v>
      </c>
      <c r="B185" s="125" t="s">
        <v>718</v>
      </c>
      <c r="C185" s="130">
        <f t="shared" si="38"/>
        <v>5.5</v>
      </c>
      <c r="D185" s="180">
        <v>3</v>
      </c>
      <c r="E185" s="128" t="s">
        <v>722</v>
      </c>
      <c r="F185" s="128">
        <v>6</v>
      </c>
      <c r="G185" s="128">
        <f t="shared" si="22"/>
        <v>2.75</v>
      </c>
      <c r="H185" s="128" t="s">
        <v>1305</v>
      </c>
      <c r="I185" s="128"/>
      <c r="J185" s="127">
        <f t="shared" si="23"/>
        <v>0</v>
      </c>
      <c r="K185" s="127" t="s">
        <v>1305</v>
      </c>
      <c r="M185" s="127">
        <f t="shared" si="24"/>
        <v>0</v>
      </c>
      <c r="N185" s="127" t="s">
        <v>1305</v>
      </c>
      <c r="P185" s="127">
        <f t="shared" si="25"/>
        <v>0</v>
      </c>
      <c r="Q185" s="127" t="s">
        <v>1305</v>
      </c>
      <c r="S185" s="127">
        <f t="shared" si="26"/>
        <v>0</v>
      </c>
      <c r="T185" s="127" t="s">
        <v>1305</v>
      </c>
      <c r="V185" s="127">
        <f t="shared" si="27"/>
        <v>0</v>
      </c>
    </row>
    <row r="186" spans="1:22" ht="15.75">
      <c r="A186" s="153" t="s">
        <v>1345</v>
      </c>
      <c r="B186" s="125" t="s">
        <v>719</v>
      </c>
      <c r="C186" s="130">
        <f t="shared" si="38"/>
        <v>11.25</v>
      </c>
      <c r="D186" s="180">
        <v>1</v>
      </c>
      <c r="E186" s="128" t="s">
        <v>722</v>
      </c>
      <c r="F186" s="128">
        <v>4</v>
      </c>
      <c r="G186" s="128">
        <f t="shared" si="22"/>
        <v>2.75</v>
      </c>
      <c r="H186" s="128" t="s">
        <v>1208</v>
      </c>
      <c r="I186" s="128">
        <v>2</v>
      </c>
      <c r="J186" s="127">
        <f t="shared" si="23"/>
        <v>0.125</v>
      </c>
      <c r="K186" s="127" t="s">
        <v>1305</v>
      </c>
      <c r="M186" s="127">
        <f t="shared" si="24"/>
        <v>0</v>
      </c>
      <c r="N186" s="127" t="s">
        <v>1305</v>
      </c>
      <c r="P186" s="127">
        <f t="shared" si="25"/>
        <v>0</v>
      </c>
      <c r="Q186" s="127" t="s">
        <v>1305</v>
      </c>
      <c r="S186" s="127">
        <f t="shared" si="26"/>
        <v>0</v>
      </c>
      <c r="T186" s="127" t="s">
        <v>1305</v>
      </c>
      <c r="V186" s="127">
        <f t="shared" si="27"/>
        <v>0</v>
      </c>
    </row>
    <row r="187" spans="1:22" ht="15.75">
      <c r="A187" s="153" t="s">
        <v>1345</v>
      </c>
      <c r="B187" s="125" t="s">
        <v>720</v>
      </c>
      <c r="C187" s="130">
        <f t="shared" si="38"/>
        <v>6</v>
      </c>
      <c r="D187" s="180">
        <v>1</v>
      </c>
      <c r="E187" s="128" t="s">
        <v>722</v>
      </c>
      <c r="F187" s="128">
        <v>2</v>
      </c>
      <c r="G187" s="128">
        <f t="shared" si="22"/>
        <v>2.75</v>
      </c>
      <c r="H187" s="128" t="s">
        <v>1208</v>
      </c>
      <c r="I187" s="128">
        <v>4</v>
      </c>
      <c r="J187" s="127">
        <f t="shared" si="23"/>
        <v>0.125</v>
      </c>
      <c r="K187" s="127" t="s">
        <v>1305</v>
      </c>
      <c r="M187" s="127">
        <f t="shared" si="24"/>
        <v>0</v>
      </c>
      <c r="N187" s="127" t="s">
        <v>1305</v>
      </c>
      <c r="P187" s="127">
        <f t="shared" si="25"/>
        <v>0</v>
      </c>
      <c r="Q187" s="127" t="s">
        <v>1305</v>
      </c>
      <c r="S187" s="127">
        <f t="shared" si="26"/>
        <v>0</v>
      </c>
      <c r="T187" s="127" t="s">
        <v>1305</v>
      </c>
      <c r="V187" s="127">
        <f t="shared" si="27"/>
        <v>0</v>
      </c>
    </row>
    <row r="188" spans="1:22" s="137" customFormat="1" ht="15.75">
      <c r="A188" s="137" t="s">
        <v>1338</v>
      </c>
      <c r="B188" s="135" t="s">
        <v>721</v>
      </c>
      <c r="C188" s="136">
        <f>'ECONOMIA &amp; PROFESIONES'!E37</f>
        <v>11</v>
      </c>
      <c r="D188" s="180"/>
      <c r="E188" s="137" t="s">
        <v>1305</v>
      </c>
      <c r="G188" s="137">
        <f t="shared" si="22"/>
        <v>0</v>
      </c>
      <c r="H188" s="137" t="s">
        <v>1305</v>
      </c>
      <c r="J188" s="137">
        <f t="shared" si="23"/>
        <v>0</v>
      </c>
      <c r="K188" s="137" t="s">
        <v>1305</v>
      </c>
      <c r="M188" s="137">
        <f t="shared" si="24"/>
        <v>0</v>
      </c>
      <c r="N188" s="137" t="s">
        <v>1305</v>
      </c>
      <c r="P188" s="137">
        <f t="shared" si="25"/>
        <v>0</v>
      </c>
      <c r="Q188" s="137" t="s">
        <v>1305</v>
      </c>
      <c r="S188" s="137">
        <f t="shared" si="26"/>
        <v>0</v>
      </c>
      <c r="T188" s="137" t="s">
        <v>1305</v>
      </c>
      <c r="V188" s="137">
        <f t="shared" si="27"/>
        <v>0</v>
      </c>
    </row>
    <row r="189" spans="1:22" ht="15.75">
      <c r="A189" s="153" t="s">
        <v>1345</v>
      </c>
      <c r="B189" s="125" t="s">
        <v>722</v>
      </c>
      <c r="C189" s="130">
        <f t="shared" si="38"/>
        <v>2.75</v>
      </c>
      <c r="D189" s="180">
        <v>4</v>
      </c>
      <c r="E189" s="128" t="s">
        <v>721</v>
      </c>
      <c r="F189" s="128">
        <v>1</v>
      </c>
      <c r="G189" s="128">
        <f t="shared" si="22"/>
        <v>11</v>
      </c>
      <c r="H189" s="128" t="s">
        <v>1305</v>
      </c>
      <c r="I189" s="128"/>
      <c r="J189" s="127">
        <f t="shared" si="23"/>
        <v>0</v>
      </c>
      <c r="K189" s="127" t="s">
        <v>1305</v>
      </c>
      <c r="M189" s="127">
        <f t="shared" si="24"/>
        <v>0</v>
      </c>
      <c r="N189" s="127" t="s">
        <v>1305</v>
      </c>
      <c r="P189" s="127">
        <f t="shared" si="25"/>
        <v>0</v>
      </c>
      <c r="Q189" s="127" t="s">
        <v>1305</v>
      </c>
      <c r="S189" s="127">
        <f t="shared" si="26"/>
        <v>0</v>
      </c>
      <c r="T189" s="127" t="s">
        <v>1305</v>
      </c>
      <c r="V189" s="127">
        <f t="shared" si="27"/>
        <v>0</v>
      </c>
    </row>
    <row r="190" spans="1:22" ht="15.75">
      <c r="A190" s="153" t="s">
        <v>1345</v>
      </c>
      <c r="B190" s="125" t="s">
        <v>723</v>
      </c>
      <c r="C190" s="130">
        <f t="shared" si="38"/>
        <v>5.5</v>
      </c>
      <c r="D190" s="180">
        <v>1</v>
      </c>
      <c r="E190" s="128" t="s">
        <v>722</v>
      </c>
      <c r="F190" s="128">
        <v>2</v>
      </c>
      <c r="G190" s="128">
        <f t="shared" si="22"/>
        <v>2.75</v>
      </c>
      <c r="H190" s="128" t="s">
        <v>1305</v>
      </c>
      <c r="I190" s="128"/>
      <c r="J190" s="127">
        <f t="shared" si="23"/>
        <v>0</v>
      </c>
      <c r="K190" s="127" t="s">
        <v>1305</v>
      </c>
      <c r="M190" s="127">
        <f t="shared" si="24"/>
        <v>0</v>
      </c>
      <c r="N190" s="127" t="s">
        <v>1305</v>
      </c>
      <c r="P190" s="127">
        <f t="shared" si="25"/>
        <v>0</v>
      </c>
      <c r="Q190" s="127" t="s">
        <v>1305</v>
      </c>
      <c r="S190" s="127">
        <f t="shared" si="26"/>
        <v>0</v>
      </c>
      <c r="T190" s="127" t="s">
        <v>1305</v>
      </c>
      <c r="V190" s="127">
        <f t="shared" si="27"/>
        <v>0</v>
      </c>
    </row>
    <row r="191" spans="1:22" ht="15.75">
      <c r="A191" s="153" t="s">
        <v>1345</v>
      </c>
      <c r="B191" s="125" t="s">
        <v>724</v>
      </c>
      <c r="C191" s="130">
        <f t="shared" si="38"/>
        <v>5.541666666666667</v>
      </c>
      <c r="D191" s="180">
        <v>3</v>
      </c>
      <c r="E191" s="128" t="s">
        <v>722</v>
      </c>
      <c r="F191" s="128">
        <v>6</v>
      </c>
      <c r="G191" s="128">
        <f t="shared" si="22"/>
        <v>2.75</v>
      </c>
      <c r="H191" s="128" t="s">
        <v>1208</v>
      </c>
      <c r="I191" s="128">
        <v>1</v>
      </c>
      <c r="J191" s="127">
        <f t="shared" ref="J191:J254" si="46">VLOOKUP(H191,IDPOINTS,2,FALSE)</f>
        <v>0.125</v>
      </c>
      <c r="K191" s="127" t="s">
        <v>1305</v>
      </c>
      <c r="M191" s="127">
        <f t="shared" ref="M191:M254" si="47">VLOOKUP(K191,IDPOINTS,2,FALSE)</f>
        <v>0</v>
      </c>
      <c r="N191" s="127" t="s">
        <v>1305</v>
      </c>
      <c r="P191" s="127">
        <f t="shared" ref="P191:P254" si="48">VLOOKUP(N191,IDPOINTS,2,FALSE)</f>
        <v>0</v>
      </c>
      <c r="Q191" s="127" t="s">
        <v>1305</v>
      </c>
      <c r="S191" s="127">
        <f t="shared" ref="S191:S254" si="49">VLOOKUP(Q191,IDPOINTS,2,FALSE)</f>
        <v>0</v>
      </c>
      <c r="T191" s="127" t="s">
        <v>1305</v>
      </c>
      <c r="V191" s="127">
        <f t="shared" ref="V191:V254" si="50">VLOOKUP(T191,IDPOINTS,2,FALSE)</f>
        <v>0</v>
      </c>
    </row>
    <row r="192" spans="1:22" ht="15.75">
      <c r="A192" s="153" t="s">
        <v>1345</v>
      </c>
      <c r="B192" s="125" t="s">
        <v>725</v>
      </c>
      <c r="C192" s="130">
        <f t="shared" si="38"/>
        <v>1.375</v>
      </c>
      <c r="D192" s="180">
        <v>6</v>
      </c>
      <c r="E192" s="128" t="s">
        <v>722</v>
      </c>
      <c r="F192" s="128">
        <v>3</v>
      </c>
      <c r="G192" s="128">
        <f t="shared" ref="G192:G194" si="51">VLOOKUP(E192,IDPOINTS,2,FALSE)</f>
        <v>2.75</v>
      </c>
      <c r="H192" s="128" t="s">
        <v>1305</v>
      </c>
      <c r="I192" s="128"/>
      <c r="J192" s="127">
        <f t="shared" si="46"/>
        <v>0</v>
      </c>
      <c r="K192" s="127" t="s">
        <v>1305</v>
      </c>
      <c r="M192" s="127">
        <f t="shared" si="47"/>
        <v>0</v>
      </c>
      <c r="N192" s="127" t="s">
        <v>1305</v>
      </c>
      <c r="P192" s="127">
        <f t="shared" si="48"/>
        <v>0</v>
      </c>
      <c r="Q192" s="127" t="s">
        <v>1305</v>
      </c>
      <c r="S192" s="127">
        <f t="shared" si="49"/>
        <v>0</v>
      </c>
      <c r="T192" s="127" t="s">
        <v>1305</v>
      </c>
      <c r="V192" s="127">
        <f t="shared" si="50"/>
        <v>0</v>
      </c>
    </row>
    <row r="193" spans="1:22" ht="15.75">
      <c r="A193" s="153" t="s">
        <v>1345</v>
      </c>
      <c r="B193" s="125" t="s">
        <v>726</v>
      </c>
      <c r="C193" s="130">
        <f t="shared" si="38"/>
        <v>4.125</v>
      </c>
      <c r="D193" s="180">
        <v>4</v>
      </c>
      <c r="E193" s="128" t="s">
        <v>722</v>
      </c>
      <c r="F193" s="128">
        <v>6</v>
      </c>
      <c r="G193" s="128">
        <f t="shared" si="51"/>
        <v>2.75</v>
      </c>
      <c r="H193" s="128" t="s">
        <v>1305</v>
      </c>
      <c r="I193" s="128"/>
      <c r="J193" s="127">
        <f t="shared" si="46"/>
        <v>0</v>
      </c>
      <c r="K193" s="127" t="s">
        <v>1305</v>
      </c>
      <c r="M193" s="127">
        <f t="shared" si="47"/>
        <v>0</v>
      </c>
      <c r="N193" s="127" t="s">
        <v>1305</v>
      </c>
      <c r="P193" s="127">
        <f t="shared" si="48"/>
        <v>0</v>
      </c>
      <c r="Q193" s="127" t="s">
        <v>1305</v>
      </c>
      <c r="S193" s="127">
        <f t="shared" si="49"/>
        <v>0</v>
      </c>
      <c r="T193" s="127" t="s">
        <v>1305</v>
      </c>
      <c r="V193" s="127">
        <f t="shared" si="50"/>
        <v>0</v>
      </c>
    </row>
    <row r="194" spans="1:22" ht="15.75">
      <c r="A194" s="153" t="s">
        <v>1345</v>
      </c>
      <c r="B194" s="125" t="s">
        <v>727</v>
      </c>
      <c r="C194" s="130">
        <f t="shared" si="38"/>
        <v>8.25</v>
      </c>
      <c r="D194" s="180">
        <v>2</v>
      </c>
      <c r="E194" s="128" t="s">
        <v>722</v>
      </c>
      <c r="F194" s="128">
        <v>6</v>
      </c>
      <c r="G194" s="128">
        <f t="shared" si="51"/>
        <v>2.75</v>
      </c>
      <c r="H194" s="128" t="s">
        <v>1305</v>
      </c>
      <c r="I194" s="128"/>
      <c r="J194" s="127">
        <f t="shared" si="46"/>
        <v>0</v>
      </c>
      <c r="K194" s="127" t="s">
        <v>1305</v>
      </c>
      <c r="M194" s="127">
        <f t="shared" si="47"/>
        <v>0</v>
      </c>
      <c r="N194" s="127" t="s">
        <v>1305</v>
      </c>
      <c r="P194" s="127">
        <f t="shared" si="48"/>
        <v>0</v>
      </c>
      <c r="Q194" s="127" t="s">
        <v>1305</v>
      </c>
      <c r="S194" s="127">
        <f t="shared" si="49"/>
        <v>0</v>
      </c>
      <c r="T194" s="127" t="s">
        <v>1305</v>
      </c>
      <c r="V194" s="127">
        <f t="shared" si="50"/>
        <v>0</v>
      </c>
    </row>
    <row r="195" spans="1:22" s="137" customFormat="1" ht="15.75">
      <c r="A195" s="137" t="s">
        <v>1338</v>
      </c>
      <c r="B195" s="135" t="s">
        <v>728</v>
      </c>
      <c r="C195" s="136">
        <f>'ECONOMIA &amp; PROFESIONES'!E37</f>
        <v>11</v>
      </c>
      <c r="D195" s="180"/>
      <c r="E195" s="137" t="s">
        <v>1305</v>
      </c>
      <c r="G195" s="137">
        <f t="shared" ref="G195:G254" si="52">VLOOKUP(E195,IDPOINTS,2,FALSE)</f>
        <v>0</v>
      </c>
      <c r="H195" s="137" t="s">
        <v>1305</v>
      </c>
      <c r="J195" s="137">
        <f t="shared" si="46"/>
        <v>0</v>
      </c>
      <c r="K195" s="137" t="s">
        <v>1305</v>
      </c>
      <c r="M195" s="137">
        <f t="shared" si="47"/>
        <v>0</v>
      </c>
      <c r="N195" s="137" t="s">
        <v>1305</v>
      </c>
      <c r="P195" s="137">
        <f t="shared" si="48"/>
        <v>0</v>
      </c>
      <c r="Q195" s="137" t="s">
        <v>1305</v>
      </c>
      <c r="S195" s="137">
        <f t="shared" si="49"/>
        <v>0</v>
      </c>
      <c r="T195" s="137" t="s">
        <v>1305</v>
      </c>
      <c r="V195" s="137">
        <f t="shared" si="50"/>
        <v>0</v>
      </c>
    </row>
    <row r="196" spans="1:22" ht="15.75">
      <c r="A196" s="153" t="s">
        <v>1346</v>
      </c>
      <c r="B196" s="125" t="s">
        <v>729</v>
      </c>
      <c r="C196" s="130">
        <f t="shared" si="38"/>
        <v>37</v>
      </c>
      <c r="D196" s="180">
        <v>1</v>
      </c>
      <c r="E196" s="127" t="s">
        <v>1090</v>
      </c>
      <c r="F196">
        <v>8</v>
      </c>
      <c r="G196" s="127">
        <f t="shared" si="52"/>
        <v>4.5</v>
      </c>
      <c r="H196" s="127" t="s">
        <v>886</v>
      </c>
      <c r="I196" s="127">
        <v>1</v>
      </c>
      <c r="J196" s="127">
        <f t="shared" si="46"/>
        <v>1</v>
      </c>
      <c r="K196" s="127" t="s">
        <v>1305</v>
      </c>
      <c r="M196" s="127">
        <f t="shared" si="47"/>
        <v>0</v>
      </c>
      <c r="N196" s="127" t="s">
        <v>1305</v>
      </c>
      <c r="P196" s="127">
        <f t="shared" si="48"/>
        <v>0</v>
      </c>
      <c r="Q196" s="127" t="s">
        <v>1305</v>
      </c>
      <c r="S196" s="127">
        <f t="shared" si="49"/>
        <v>0</v>
      </c>
      <c r="T196" s="127" t="s">
        <v>1305</v>
      </c>
      <c r="V196" s="127">
        <f t="shared" si="50"/>
        <v>0</v>
      </c>
    </row>
    <row r="197" spans="1:22" ht="15.75">
      <c r="A197" s="153" t="s">
        <v>1346</v>
      </c>
      <c r="B197" s="125" t="s">
        <v>730</v>
      </c>
      <c r="C197" s="130">
        <f t="shared" si="38"/>
        <v>18.5</v>
      </c>
      <c r="D197" s="180">
        <v>6</v>
      </c>
      <c r="E197" s="127" t="s">
        <v>729</v>
      </c>
      <c r="F197">
        <v>3</v>
      </c>
      <c r="G197" s="127">
        <f t="shared" si="52"/>
        <v>37</v>
      </c>
      <c r="H197" s="127" t="s">
        <v>1305</v>
      </c>
      <c r="J197" s="127">
        <f t="shared" si="46"/>
        <v>0</v>
      </c>
      <c r="K197" s="127" t="s">
        <v>1305</v>
      </c>
      <c r="M197" s="127">
        <f t="shared" si="47"/>
        <v>0</v>
      </c>
      <c r="N197" s="127" t="s">
        <v>1305</v>
      </c>
      <c r="P197" s="127">
        <f t="shared" si="48"/>
        <v>0</v>
      </c>
      <c r="Q197" s="127" t="s">
        <v>1305</v>
      </c>
      <c r="S197" s="127">
        <f t="shared" si="49"/>
        <v>0</v>
      </c>
      <c r="T197" s="127" t="s">
        <v>1305</v>
      </c>
      <c r="V197" s="127">
        <f t="shared" si="50"/>
        <v>0</v>
      </c>
    </row>
    <row r="198" spans="1:22" ht="15.75">
      <c r="A198" s="153" t="s">
        <v>1346</v>
      </c>
      <c r="B198" s="125" t="s">
        <v>731</v>
      </c>
      <c r="C198" s="130">
        <f t="shared" si="38"/>
        <v>55.5</v>
      </c>
      <c r="D198" s="180">
        <v>4</v>
      </c>
      <c r="E198" s="128" t="s">
        <v>729</v>
      </c>
      <c r="F198">
        <v>6</v>
      </c>
      <c r="G198" s="127">
        <f t="shared" si="52"/>
        <v>37</v>
      </c>
      <c r="H198" s="127" t="s">
        <v>1305</v>
      </c>
      <c r="J198" s="127">
        <f t="shared" si="46"/>
        <v>0</v>
      </c>
      <c r="K198" s="127" t="s">
        <v>1305</v>
      </c>
      <c r="M198" s="127">
        <f t="shared" si="47"/>
        <v>0</v>
      </c>
      <c r="N198" s="127" t="s">
        <v>1305</v>
      </c>
      <c r="P198" s="127">
        <f t="shared" si="48"/>
        <v>0</v>
      </c>
      <c r="Q198" s="127" t="s">
        <v>1305</v>
      </c>
      <c r="S198" s="127">
        <f t="shared" si="49"/>
        <v>0</v>
      </c>
      <c r="T198" s="127" t="s">
        <v>1305</v>
      </c>
      <c r="V198" s="127">
        <f t="shared" si="50"/>
        <v>0</v>
      </c>
    </row>
    <row r="199" spans="1:22" ht="15.75">
      <c r="A199" s="153" t="s">
        <v>1353</v>
      </c>
      <c r="B199" s="125" t="s">
        <v>732</v>
      </c>
      <c r="C199" s="130">
        <f t="shared" si="38"/>
        <v>51.375</v>
      </c>
      <c r="D199" s="180">
        <v>1</v>
      </c>
      <c r="E199" s="127" t="s">
        <v>1114</v>
      </c>
      <c r="F199">
        <v>3</v>
      </c>
      <c r="G199" s="127">
        <f t="shared" si="52"/>
        <v>9</v>
      </c>
      <c r="H199" s="127" t="s">
        <v>814</v>
      </c>
      <c r="I199" s="127">
        <v>3</v>
      </c>
      <c r="J199" s="127">
        <f t="shared" si="46"/>
        <v>8</v>
      </c>
      <c r="K199" s="127" t="s">
        <v>1029</v>
      </c>
      <c r="L199" s="127">
        <v>3</v>
      </c>
      <c r="M199" s="127">
        <f t="shared" si="47"/>
        <v>0.125</v>
      </c>
      <c r="N199" s="127" t="s">
        <v>1305</v>
      </c>
      <c r="P199" s="127">
        <f t="shared" si="48"/>
        <v>0</v>
      </c>
      <c r="Q199" s="127" t="s">
        <v>1305</v>
      </c>
      <c r="S199" s="127">
        <f t="shared" si="49"/>
        <v>0</v>
      </c>
      <c r="T199" s="127" t="s">
        <v>1305</v>
      </c>
      <c r="V199" s="127">
        <f t="shared" si="50"/>
        <v>0</v>
      </c>
    </row>
    <row r="200" spans="1:22" s="167" customFormat="1" ht="15.75">
      <c r="B200" s="165" t="s">
        <v>733</v>
      </c>
      <c r="C200" s="166">
        <f t="shared" ref="C200:C251" si="53">(G200*F200)+(I200*J200)+(L200*M200)+(O200*P200)+(R200*S200)+(U200*V200)</f>
        <v>0</v>
      </c>
      <c r="D200" s="184"/>
      <c r="E200" s="167" t="s">
        <v>1305</v>
      </c>
      <c r="G200" s="167">
        <f t="shared" si="52"/>
        <v>0</v>
      </c>
      <c r="H200" s="167" t="s">
        <v>1305</v>
      </c>
      <c r="J200" s="167">
        <f t="shared" si="46"/>
        <v>0</v>
      </c>
      <c r="K200" s="167" t="s">
        <v>1305</v>
      </c>
      <c r="M200" s="167">
        <f t="shared" si="47"/>
        <v>0</v>
      </c>
      <c r="N200" s="167" t="s">
        <v>1305</v>
      </c>
      <c r="P200" s="167">
        <f t="shared" si="48"/>
        <v>0</v>
      </c>
      <c r="Q200" s="167" t="s">
        <v>1305</v>
      </c>
      <c r="S200" s="167">
        <f t="shared" si="49"/>
        <v>0</v>
      </c>
      <c r="T200" s="167" t="s">
        <v>1305</v>
      </c>
      <c r="V200" s="167">
        <f t="shared" si="50"/>
        <v>0</v>
      </c>
    </row>
    <row r="201" spans="1:22" s="167" customFormat="1" ht="15.75">
      <c r="B201" s="165" t="s">
        <v>734</v>
      </c>
      <c r="C201" s="166">
        <f t="shared" si="53"/>
        <v>0</v>
      </c>
      <c r="D201" s="184"/>
      <c r="E201" s="167" t="s">
        <v>1305</v>
      </c>
      <c r="G201" s="167">
        <f t="shared" si="52"/>
        <v>0</v>
      </c>
      <c r="H201" s="167" t="s">
        <v>1305</v>
      </c>
      <c r="J201" s="167">
        <f t="shared" si="46"/>
        <v>0</v>
      </c>
      <c r="K201" s="167" t="s">
        <v>1305</v>
      </c>
      <c r="M201" s="167">
        <f t="shared" si="47"/>
        <v>0</v>
      </c>
      <c r="N201" s="167" t="s">
        <v>1305</v>
      </c>
      <c r="P201" s="167">
        <f t="shared" si="48"/>
        <v>0</v>
      </c>
      <c r="Q201" s="167" t="s">
        <v>1305</v>
      </c>
      <c r="S201" s="167">
        <f t="shared" si="49"/>
        <v>0</v>
      </c>
      <c r="T201" s="167" t="s">
        <v>1305</v>
      </c>
      <c r="V201" s="167">
        <f t="shared" si="50"/>
        <v>0</v>
      </c>
    </row>
    <row r="202" spans="1:22" s="167" customFormat="1" ht="15.75">
      <c r="B202" s="165" t="s">
        <v>735</v>
      </c>
      <c r="C202" s="166">
        <f t="shared" si="53"/>
        <v>0</v>
      </c>
      <c r="D202" s="184"/>
      <c r="E202" s="167" t="s">
        <v>1305</v>
      </c>
      <c r="G202" s="167">
        <f t="shared" si="52"/>
        <v>0</v>
      </c>
      <c r="H202" s="167" t="s">
        <v>1305</v>
      </c>
      <c r="J202" s="167">
        <f t="shared" si="46"/>
        <v>0</v>
      </c>
      <c r="K202" s="167" t="s">
        <v>1305</v>
      </c>
      <c r="M202" s="167">
        <f t="shared" si="47"/>
        <v>0</v>
      </c>
      <c r="N202" s="167" t="s">
        <v>1305</v>
      </c>
      <c r="P202" s="167">
        <f t="shared" si="48"/>
        <v>0</v>
      </c>
      <c r="Q202" s="167" t="s">
        <v>1305</v>
      </c>
      <c r="S202" s="167">
        <f t="shared" si="49"/>
        <v>0</v>
      </c>
      <c r="T202" s="167" t="s">
        <v>1305</v>
      </c>
      <c r="V202" s="167">
        <f t="shared" si="50"/>
        <v>0</v>
      </c>
    </row>
    <row r="203" spans="1:22" s="167" customFormat="1" ht="15.75">
      <c r="B203" s="165" t="s">
        <v>736</v>
      </c>
      <c r="C203" s="166">
        <f t="shared" si="53"/>
        <v>0</v>
      </c>
      <c r="D203" s="184"/>
      <c r="E203" s="167" t="s">
        <v>1305</v>
      </c>
      <c r="G203" s="167">
        <f t="shared" si="52"/>
        <v>0</v>
      </c>
      <c r="H203" s="167" t="s">
        <v>1305</v>
      </c>
      <c r="J203" s="167">
        <f t="shared" si="46"/>
        <v>0</v>
      </c>
      <c r="K203" s="167" t="s">
        <v>1305</v>
      </c>
      <c r="M203" s="167">
        <f t="shared" si="47"/>
        <v>0</v>
      </c>
      <c r="N203" s="167" t="s">
        <v>1305</v>
      </c>
      <c r="P203" s="167">
        <f t="shared" si="48"/>
        <v>0</v>
      </c>
      <c r="Q203" s="167" t="s">
        <v>1305</v>
      </c>
      <c r="S203" s="167">
        <f t="shared" si="49"/>
        <v>0</v>
      </c>
      <c r="T203" s="167" t="s">
        <v>1305</v>
      </c>
      <c r="V203" s="167">
        <f t="shared" si="50"/>
        <v>0</v>
      </c>
    </row>
    <row r="204" spans="1:22" s="167" customFormat="1" ht="15.75">
      <c r="B204" s="165" t="s">
        <v>737</v>
      </c>
      <c r="C204" s="166">
        <f t="shared" si="53"/>
        <v>0</v>
      </c>
      <c r="D204" s="184"/>
      <c r="E204" s="167" t="s">
        <v>1305</v>
      </c>
      <c r="G204" s="167">
        <f t="shared" si="52"/>
        <v>0</v>
      </c>
      <c r="H204" s="167" t="s">
        <v>1305</v>
      </c>
      <c r="J204" s="167">
        <f t="shared" si="46"/>
        <v>0</v>
      </c>
      <c r="K204" s="167" t="s">
        <v>1305</v>
      </c>
      <c r="M204" s="167">
        <f t="shared" si="47"/>
        <v>0</v>
      </c>
      <c r="N204" s="167" t="s">
        <v>1305</v>
      </c>
      <c r="P204" s="167">
        <f t="shared" si="48"/>
        <v>0</v>
      </c>
      <c r="Q204" s="167" t="s">
        <v>1305</v>
      </c>
      <c r="S204" s="167">
        <f t="shared" si="49"/>
        <v>0</v>
      </c>
      <c r="T204" s="167" t="s">
        <v>1305</v>
      </c>
      <c r="V204" s="167">
        <f t="shared" si="50"/>
        <v>0</v>
      </c>
    </row>
    <row r="205" spans="1:22" s="167" customFormat="1" ht="15.75">
      <c r="B205" s="165" t="s">
        <v>738</v>
      </c>
      <c r="C205" s="166">
        <f t="shared" si="53"/>
        <v>0</v>
      </c>
      <c r="D205" s="184"/>
      <c r="E205" s="167" t="s">
        <v>1305</v>
      </c>
      <c r="G205" s="167">
        <f t="shared" si="52"/>
        <v>0</v>
      </c>
      <c r="H205" s="167" t="s">
        <v>1305</v>
      </c>
      <c r="J205" s="167">
        <f t="shared" si="46"/>
        <v>0</v>
      </c>
      <c r="K205" s="167" t="s">
        <v>1305</v>
      </c>
      <c r="M205" s="167">
        <f t="shared" si="47"/>
        <v>0</v>
      </c>
      <c r="N205" s="167" t="s">
        <v>1305</v>
      </c>
      <c r="P205" s="167">
        <f t="shared" si="48"/>
        <v>0</v>
      </c>
      <c r="Q205" s="167" t="s">
        <v>1305</v>
      </c>
      <c r="S205" s="167">
        <f t="shared" si="49"/>
        <v>0</v>
      </c>
      <c r="T205" s="167" t="s">
        <v>1305</v>
      </c>
      <c r="V205" s="167">
        <f t="shared" si="50"/>
        <v>0</v>
      </c>
    </row>
    <row r="206" spans="1:22" s="167" customFormat="1" ht="15.75">
      <c r="B206" s="165" t="s">
        <v>739</v>
      </c>
      <c r="C206" s="166">
        <f t="shared" si="53"/>
        <v>0</v>
      </c>
      <c r="D206" s="184"/>
      <c r="E206" s="167" t="s">
        <v>1305</v>
      </c>
      <c r="G206" s="167">
        <f t="shared" si="52"/>
        <v>0</v>
      </c>
      <c r="H206" s="167" t="s">
        <v>1305</v>
      </c>
      <c r="J206" s="167">
        <f t="shared" si="46"/>
        <v>0</v>
      </c>
      <c r="K206" s="167" t="s">
        <v>1305</v>
      </c>
      <c r="M206" s="167">
        <f t="shared" si="47"/>
        <v>0</v>
      </c>
      <c r="N206" s="167" t="s">
        <v>1305</v>
      </c>
      <c r="P206" s="167">
        <f t="shared" si="48"/>
        <v>0</v>
      </c>
      <c r="Q206" s="167" t="s">
        <v>1305</v>
      </c>
      <c r="S206" s="167">
        <f t="shared" si="49"/>
        <v>0</v>
      </c>
      <c r="T206" s="167" t="s">
        <v>1305</v>
      </c>
      <c r="V206" s="167">
        <f t="shared" si="50"/>
        <v>0</v>
      </c>
    </row>
    <row r="207" spans="1:22" s="167" customFormat="1" ht="15.75">
      <c r="B207" s="165" t="s">
        <v>740</v>
      </c>
      <c r="C207" s="166">
        <f t="shared" si="53"/>
        <v>0</v>
      </c>
      <c r="D207" s="184"/>
      <c r="E207" s="167" t="s">
        <v>1305</v>
      </c>
      <c r="G207" s="167">
        <f t="shared" si="52"/>
        <v>0</v>
      </c>
      <c r="H207" s="167" t="s">
        <v>1305</v>
      </c>
      <c r="J207" s="167">
        <f t="shared" si="46"/>
        <v>0</v>
      </c>
      <c r="K207" s="167" t="s">
        <v>1305</v>
      </c>
      <c r="M207" s="167">
        <f t="shared" si="47"/>
        <v>0</v>
      </c>
      <c r="N207" s="167" t="s">
        <v>1305</v>
      </c>
      <c r="P207" s="167">
        <f t="shared" si="48"/>
        <v>0</v>
      </c>
      <c r="Q207" s="167" t="s">
        <v>1305</v>
      </c>
      <c r="S207" s="167">
        <f t="shared" si="49"/>
        <v>0</v>
      </c>
      <c r="T207" s="167" t="s">
        <v>1305</v>
      </c>
      <c r="V207" s="167">
        <f t="shared" si="50"/>
        <v>0</v>
      </c>
    </row>
    <row r="208" spans="1:22" s="167" customFormat="1" ht="15.75">
      <c r="B208" s="165" t="s">
        <v>741</v>
      </c>
      <c r="C208" s="166">
        <f t="shared" si="53"/>
        <v>0</v>
      </c>
      <c r="D208" s="184"/>
      <c r="E208" s="167" t="s">
        <v>1305</v>
      </c>
      <c r="G208" s="167">
        <f t="shared" si="52"/>
        <v>0</v>
      </c>
      <c r="H208" s="167" t="s">
        <v>1305</v>
      </c>
      <c r="J208" s="167">
        <f t="shared" si="46"/>
        <v>0</v>
      </c>
      <c r="K208" s="167" t="s">
        <v>1305</v>
      </c>
      <c r="M208" s="167">
        <f t="shared" si="47"/>
        <v>0</v>
      </c>
      <c r="N208" s="167" t="s">
        <v>1305</v>
      </c>
      <c r="P208" s="167">
        <f t="shared" si="48"/>
        <v>0</v>
      </c>
      <c r="Q208" s="167" t="s">
        <v>1305</v>
      </c>
      <c r="S208" s="167">
        <f t="shared" si="49"/>
        <v>0</v>
      </c>
      <c r="T208" s="167" t="s">
        <v>1305</v>
      </c>
      <c r="V208" s="167">
        <f t="shared" si="50"/>
        <v>0</v>
      </c>
    </row>
    <row r="209" spans="1:22" s="167" customFormat="1" ht="15.75">
      <c r="B209" s="165" t="s">
        <v>742</v>
      </c>
      <c r="C209" s="166">
        <f t="shared" si="53"/>
        <v>0</v>
      </c>
      <c r="D209" s="184"/>
      <c r="E209" s="167" t="s">
        <v>1305</v>
      </c>
      <c r="G209" s="167">
        <f t="shared" si="52"/>
        <v>0</v>
      </c>
      <c r="H209" s="167" t="s">
        <v>1305</v>
      </c>
      <c r="J209" s="167">
        <f t="shared" si="46"/>
        <v>0</v>
      </c>
      <c r="K209" s="167" t="s">
        <v>1305</v>
      </c>
      <c r="M209" s="167">
        <f t="shared" si="47"/>
        <v>0</v>
      </c>
      <c r="N209" s="167" t="s">
        <v>1305</v>
      </c>
      <c r="P209" s="167">
        <f t="shared" si="48"/>
        <v>0</v>
      </c>
      <c r="Q209" s="167" t="s">
        <v>1305</v>
      </c>
      <c r="S209" s="167">
        <f t="shared" si="49"/>
        <v>0</v>
      </c>
      <c r="T209" s="167" t="s">
        <v>1305</v>
      </c>
      <c r="V209" s="167">
        <f t="shared" si="50"/>
        <v>0</v>
      </c>
    </row>
    <row r="210" spans="1:22" s="167" customFormat="1" ht="15.75">
      <c r="B210" s="165" t="s">
        <v>743</v>
      </c>
      <c r="C210" s="166">
        <f t="shared" si="53"/>
        <v>0</v>
      </c>
      <c r="D210" s="184"/>
      <c r="E210" s="167" t="s">
        <v>1305</v>
      </c>
      <c r="G210" s="167">
        <f t="shared" si="52"/>
        <v>0</v>
      </c>
      <c r="H210" s="167" t="s">
        <v>1305</v>
      </c>
      <c r="J210" s="167">
        <f t="shared" si="46"/>
        <v>0</v>
      </c>
      <c r="K210" s="167" t="s">
        <v>1305</v>
      </c>
      <c r="M210" s="167">
        <f t="shared" si="47"/>
        <v>0</v>
      </c>
      <c r="N210" s="167" t="s">
        <v>1305</v>
      </c>
      <c r="P210" s="167">
        <f t="shared" si="48"/>
        <v>0</v>
      </c>
      <c r="Q210" s="167" t="s">
        <v>1305</v>
      </c>
      <c r="S210" s="167">
        <f t="shared" si="49"/>
        <v>0</v>
      </c>
      <c r="T210" s="167" t="s">
        <v>1305</v>
      </c>
      <c r="V210" s="167">
        <f t="shared" si="50"/>
        <v>0</v>
      </c>
    </row>
    <row r="211" spans="1:22" s="167" customFormat="1" ht="15.75">
      <c r="B211" s="165" t="s">
        <v>744</v>
      </c>
      <c r="C211" s="166">
        <f t="shared" si="53"/>
        <v>0</v>
      </c>
      <c r="D211" s="184"/>
      <c r="E211" s="167" t="s">
        <v>1305</v>
      </c>
      <c r="G211" s="167">
        <f t="shared" si="52"/>
        <v>0</v>
      </c>
      <c r="H211" s="167" t="s">
        <v>1305</v>
      </c>
      <c r="J211" s="167">
        <f t="shared" si="46"/>
        <v>0</v>
      </c>
      <c r="K211" s="167" t="s">
        <v>1305</v>
      </c>
      <c r="M211" s="167">
        <f t="shared" si="47"/>
        <v>0</v>
      </c>
      <c r="N211" s="167" t="s">
        <v>1305</v>
      </c>
      <c r="P211" s="167">
        <f t="shared" si="48"/>
        <v>0</v>
      </c>
      <c r="Q211" s="167" t="s">
        <v>1305</v>
      </c>
      <c r="S211" s="167">
        <f t="shared" si="49"/>
        <v>0</v>
      </c>
      <c r="T211" s="167" t="s">
        <v>1305</v>
      </c>
      <c r="V211" s="167">
        <f t="shared" si="50"/>
        <v>0</v>
      </c>
    </row>
    <row r="212" spans="1:22" s="167" customFormat="1" ht="15.75">
      <c r="B212" s="165" t="s">
        <v>745</v>
      </c>
      <c r="C212" s="166">
        <f t="shared" si="53"/>
        <v>0</v>
      </c>
      <c r="D212" s="184"/>
      <c r="E212" s="167" t="s">
        <v>1305</v>
      </c>
      <c r="G212" s="167">
        <f t="shared" si="52"/>
        <v>0</v>
      </c>
      <c r="H212" s="167" t="s">
        <v>1305</v>
      </c>
      <c r="J212" s="167">
        <f t="shared" si="46"/>
        <v>0</v>
      </c>
      <c r="K212" s="167" t="s">
        <v>1305</v>
      </c>
      <c r="M212" s="167">
        <f t="shared" si="47"/>
        <v>0</v>
      </c>
      <c r="N212" s="167" t="s">
        <v>1305</v>
      </c>
      <c r="P212" s="167">
        <f t="shared" si="48"/>
        <v>0</v>
      </c>
      <c r="Q212" s="167" t="s">
        <v>1305</v>
      </c>
      <c r="S212" s="167">
        <f t="shared" si="49"/>
        <v>0</v>
      </c>
      <c r="T212" s="167" t="s">
        <v>1305</v>
      </c>
      <c r="V212" s="167">
        <f t="shared" si="50"/>
        <v>0</v>
      </c>
    </row>
    <row r="213" spans="1:22" s="167" customFormat="1" ht="15.75">
      <c r="B213" s="165" t="s">
        <v>746</v>
      </c>
      <c r="C213" s="166">
        <f t="shared" si="53"/>
        <v>0</v>
      </c>
      <c r="D213" s="184"/>
      <c r="E213" s="167" t="s">
        <v>1305</v>
      </c>
      <c r="G213" s="167">
        <f t="shared" si="52"/>
        <v>0</v>
      </c>
      <c r="H213" s="167" t="s">
        <v>1305</v>
      </c>
      <c r="J213" s="167">
        <f t="shared" si="46"/>
        <v>0</v>
      </c>
      <c r="K213" s="167" t="s">
        <v>1305</v>
      </c>
      <c r="M213" s="167">
        <f t="shared" si="47"/>
        <v>0</v>
      </c>
      <c r="N213" s="167" t="s">
        <v>1305</v>
      </c>
      <c r="P213" s="167">
        <f t="shared" si="48"/>
        <v>0</v>
      </c>
      <c r="Q213" s="167" t="s">
        <v>1305</v>
      </c>
      <c r="S213" s="167">
        <f t="shared" si="49"/>
        <v>0</v>
      </c>
      <c r="T213" s="167" t="s">
        <v>1305</v>
      </c>
      <c r="V213" s="167">
        <f t="shared" si="50"/>
        <v>0</v>
      </c>
    </row>
    <row r="214" spans="1:22" s="167" customFormat="1" ht="15.75">
      <c r="B214" s="165" t="s">
        <v>747</v>
      </c>
      <c r="C214" s="166">
        <f t="shared" si="53"/>
        <v>0</v>
      </c>
      <c r="D214" s="184"/>
      <c r="E214" s="167" t="s">
        <v>1305</v>
      </c>
      <c r="G214" s="167">
        <f t="shared" si="52"/>
        <v>0</v>
      </c>
      <c r="H214" s="167" t="s">
        <v>1305</v>
      </c>
      <c r="J214" s="167">
        <f t="shared" si="46"/>
        <v>0</v>
      </c>
      <c r="K214" s="167" t="s">
        <v>1305</v>
      </c>
      <c r="M214" s="167">
        <f t="shared" si="47"/>
        <v>0</v>
      </c>
      <c r="N214" s="167" t="s">
        <v>1305</v>
      </c>
      <c r="P214" s="167">
        <f t="shared" si="48"/>
        <v>0</v>
      </c>
      <c r="Q214" s="167" t="s">
        <v>1305</v>
      </c>
      <c r="S214" s="167">
        <f t="shared" si="49"/>
        <v>0</v>
      </c>
      <c r="T214" s="167" t="s">
        <v>1305</v>
      </c>
      <c r="V214" s="167">
        <f t="shared" si="50"/>
        <v>0</v>
      </c>
    </row>
    <row r="215" spans="1:22" s="167" customFormat="1" ht="15.75">
      <c r="B215" s="165" t="s">
        <v>748</v>
      </c>
      <c r="C215" s="166">
        <f t="shared" si="53"/>
        <v>0</v>
      </c>
      <c r="D215" s="184"/>
      <c r="E215" s="167" t="s">
        <v>1305</v>
      </c>
      <c r="G215" s="167">
        <f t="shared" si="52"/>
        <v>0</v>
      </c>
      <c r="H215" s="167" t="s">
        <v>1305</v>
      </c>
      <c r="J215" s="167">
        <f t="shared" si="46"/>
        <v>0</v>
      </c>
      <c r="K215" s="167" t="s">
        <v>1305</v>
      </c>
      <c r="M215" s="167">
        <f t="shared" si="47"/>
        <v>0</v>
      </c>
      <c r="N215" s="167" t="s">
        <v>1305</v>
      </c>
      <c r="P215" s="167">
        <f t="shared" si="48"/>
        <v>0</v>
      </c>
      <c r="Q215" s="167" t="s">
        <v>1305</v>
      </c>
      <c r="S215" s="167">
        <f t="shared" si="49"/>
        <v>0</v>
      </c>
      <c r="T215" s="167" t="s">
        <v>1305</v>
      </c>
      <c r="V215" s="167">
        <f t="shared" si="50"/>
        <v>0</v>
      </c>
    </row>
    <row r="216" spans="1:22" ht="15.75">
      <c r="A216" s="153" t="s">
        <v>595</v>
      </c>
      <c r="B216" s="125" t="s">
        <v>749</v>
      </c>
      <c r="C216" s="130">
        <f t="shared" ref="C216" si="54">((G216*F216)+(I216*J216)+(L216*M216)+(O216*P216)+(R216*S216)+(U216*V216))/D216</f>
        <v>10.5</v>
      </c>
      <c r="D216" s="180">
        <v>6</v>
      </c>
      <c r="E216" s="127" t="s">
        <v>896</v>
      </c>
      <c r="F216">
        <v>6</v>
      </c>
      <c r="G216" s="127">
        <f t="shared" si="52"/>
        <v>8</v>
      </c>
      <c r="H216" s="127" t="s">
        <v>1147</v>
      </c>
      <c r="I216" s="127">
        <v>1</v>
      </c>
      <c r="J216" s="127">
        <f t="shared" si="46"/>
        <v>7</v>
      </c>
      <c r="K216" s="127" t="s">
        <v>1219</v>
      </c>
      <c r="L216" s="127">
        <v>1</v>
      </c>
      <c r="M216" s="127">
        <f t="shared" si="47"/>
        <v>8</v>
      </c>
      <c r="N216" s="127" t="s">
        <v>1305</v>
      </c>
      <c r="P216" s="127">
        <f t="shared" si="48"/>
        <v>0</v>
      </c>
      <c r="Q216" s="127" t="s">
        <v>1305</v>
      </c>
      <c r="S216" s="127">
        <f t="shared" si="49"/>
        <v>0</v>
      </c>
      <c r="T216" s="127" t="s">
        <v>1305</v>
      </c>
      <c r="V216" s="127">
        <f t="shared" si="50"/>
        <v>0</v>
      </c>
    </row>
    <row r="217" spans="1:22" s="137" customFormat="1" ht="15.75">
      <c r="A217" s="137" t="s">
        <v>1337</v>
      </c>
      <c r="B217" s="135" t="s">
        <v>750</v>
      </c>
      <c r="C217" s="136">
        <f>'ECONOMIA &amp; PROFESIONES'!B20</f>
        <v>11</v>
      </c>
      <c r="D217" s="180"/>
      <c r="E217" s="137" t="s">
        <v>1305</v>
      </c>
      <c r="G217" s="137">
        <f t="shared" si="52"/>
        <v>0</v>
      </c>
      <c r="H217" s="137" t="s">
        <v>1305</v>
      </c>
      <c r="J217" s="137">
        <f t="shared" si="46"/>
        <v>0</v>
      </c>
      <c r="K217" s="137" t="s">
        <v>1305</v>
      </c>
      <c r="M217" s="137">
        <f t="shared" si="47"/>
        <v>0</v>
      </c>
      <c r="N217" s="137" t="s">
        <v>1305</v>
      </c>
      <c r="P217" s="137">
        <f t="shared" si="48"/>
        <v>0</v>
      </c>
      <c r="Q217" s="137" t="s">
        <v>1305</v>
      </c>
      <c r="S217" s="137">
        <f t="shared" si="49"/>
        <v>0</v>
      </c>
      <c r="T217" s="137" t="s">
        <v>1305</v>
      </c>
      <c r="V217" s="137">
        <f t="shared" si="50"/>
        <v>0</v>
      </c>
    </row>
    <row r="218" spans="1:22" ht="15.75">
      <c r="A218" s="153" t="s">
        <v>1343</v>
      </c>
      <c r="B218" s="125" t="s">
        <v>751</v>
      </c>
      <c r="C218" s="130">
        <f t="shared" ref="C218:C236" si="55">((G218*F218)+(I218*J218)+(L218*M218)+(O218*P218)+(R218*S218)+(U218*V218))/D218</f>
        <v>66.25</v>
      </c>
      <c r="D218" s="180">
        <v>1</v>
      </c>
      <c r="E218" s="127" t="s">
        <v>750</v>
      </c>
      <c r="F218">
        <v>6</v>
      </c>
      <c r="G218" s="127">
        <f t="shared" si="52"/>
        <v>11</v>
      </c>
      <c r="H218" s="127" t="s">
        <v>1208</v>
      </c>
      <c r="I218" s="127">
        <v>2</v>
      </c>
      <c r="J218" s="127">
        <f t="shared" si="46"/>
        <v>0.125</v>
      </c>
      <c r="K218" s="127" t="s">
        <v>1305</v>
      </c>
      <c r="M218" s="127">
        <f t="shared" si="47"/>
        <v>0</v>
      </c>
      <c r="N218" s="127" t="s">
        <v>1305</v>
      </c>
      <c r="P218" s="127">
        <f t="shared" si="48"/>
        <v>0</v>
      </c>
      <c r="Q218" s="127" t="s">
        <v>1305</v>
      </c>
      <c r="S218" s="127">
        <f t="shared" si="49"/>
        <v>0</v>
      </c>
      <c r="T218" s="127" t="s">
        <v>1305</v>
      </c>
      <c r="V218" s="127">
        <f t="shared" si="50"/>
        <v>0</v>
      </c>
    </row>
    <row r="219" spans="1:22" ht="15.75">
      <c r="A219" s="153" t="s">
        <v>1343</v>
      </c>
      <c r="B219" s="125" t="s">
        <v>752</v>
      </c>
      <c r="C219" s="130">
        <f t="shared" si="55"/>
        <v>99</v>
      </c>
      <c r="D219" s="180">
        <v>1</v>
      </c>
      <c r="E219" s="127" t="s">
        <v>750</v>
      </c>
      <c r="F219">
        <v>9</v>
      </c>
      <c r="G219" s="127">
        <f t="shared" si="52"/>
        <v>11</v>
      </c>
      <c r="H219" s="127" t="s">
        <v>1305</v>
      </c>
      <c r="J219" s="127">
        <f t="shared" si="46"/>
        <v>0</v>
      </c>
      <c r="K219" s="127" t="s">
        <v>1305</v>
      </c>
      <c r="M219" s="127">
        <f t="shared" si="47"/>
        <v>0</v>
      </c>
      <c r="N219" s="127" t="s">
        <v>1305</v>
      </c>
      <c r="P219" s="127">
        <f t="shared" si="48"/>
        <v>0</v>
      </c>
      <c r="Q219" s="127" t="s">
        <v>1305</v>
      </c>
      <c r="S219" s="127">
        <f t="shared" si="49"/>
        <v>0</v>
      </c>
      <c r="T219" s="127" t="s">
        <v>1305</v>
      </c>
      <c r="V219" s="127">
        <f t="shared" si="50"/>
        <v>0</v>
      </c>
    </row>
    <row r="220" spans="1:22" ht="15.75">
      <c r="A220" s="153" t="s">
        <v>1344</v>
      </c>
      <c r="B220" s="125" t="s">
        <v>753</v>
      </c>
      <c r="C220" s="130">
        <f t="shared" si="55"/>
        <v>44</v>
      </c>
      <c r="D220" s="180">
        <v>1</v>
      </c>
      <c r="E220" s="127" t="s">
        <v>750</v>
      </c>
      <c r="F220">
        <v>4</v>
      </c>
      <c r="G220" s="127">
        <f t="shared" si="52"/>
        <v>11</v>
      </c>
      <c r="H220" s="127" t="s">
        <v>1305</v>
      </c>
      <c r="J220" s="127">
        <f t="shared" si="46"/>
        <v>0</v>
      </c>
      <c r="K220" s="127" t="s">
        <v>1305</v>
      </c>
      <c r="M220" s="127">
        <f t="shared" si="47"/>
        <v>0</v>
      </c>
      <c r="N220" s="127" t="s">
        <v>1305</v>
      </c>
      <c r="P220" s="127">
        <f t="shared" si="48"/>
        <v>0</v>
      </c>
      <c r="Q220" s="127" t="s">
        <v>1305</v>
      </c>
      <c r="S220" s="127">
        <f t="shared" si="49"/>
        <v>0</v>
      </c>
      <c r="T220" s="127" t="s">
        <v>1305</v>
      </c>
      <c r="V220" s="127">
        <f t="shared" si="50"/>
        <v>0</v>
      </c>
    </row>
    <row r="221" spans="1:22" ht="15.75">
      <c r="A221" s="153" t="s">
        <v>1344</v>
      </c>
      <c r="B221" s="125" t="s">
        <v>754</v>
      </c>
      <c r="C221" s="130">
        <f t="shared" si="55"/>
        <v>88</v>
      </c>
      <c r="D221" s="180">
        <v>1</v>
      </c>
      <c r="E221" s="127" t="s">
        <v>750</v>
      </c>
      <c r="F221">
        <v>8</v>
      </c>
      <c r="G221" s="127">
        <f t="shared" si="52"/>
        <v>11</v>
      </c>
      <c r="H221" s="127" t="s">
        <v>1305</v>
      </c>
      <c r="J221" s="127">
        <f t="shared" si="46"/>
        <v>0</v>
      </c>
      <c r="K221" s="127" t="s">
        <v>1305</v>
      </c>
      <c r="M221" s="127">
        <f t="shared" si="47"/>
        <v>0</v>
      </c>
      <c r="N221" s="127" t="s">
        <v>1305</v>
      </c>
      <c r="P221" s="127">
        <f t="shared" si="48"/>
        <v>0</v>
      </c>
      <c r="Q221" s="127" t="s">
        <v>1305</v>
      </c>
      <c r="S221" s="127">
        <f t="shared" si="49"/>
        <v>0</v>
      </c>
      <c r="T221" s="127" t="s">
        <v>1305</v>
      </c>
      <c r="V221" s="127">
        <f t="shared" si="50"/>
        <v>0</v>
      </c>
    </row>
    <row r="222" spans="1:22" ht="15.75">
      <c r="A222" s="153" t="s">
        <v>1344</v>
      </c>
      <c r="B222" s="125" t="s">
        <v>755</v>
      </c>
      <c r="C222" s="130">
        <f t="shared" si="55"/>
        <v>55</v>
      </c>
      <c r="D222" s="180">
        <v>1</v>
      </c>
      <c r="E222" s="127" t="s">
        <v>750</v>
      </c>
      <c r="F222">
        <v>5</v>
      </c>
      <c r="G222" s="127">
        <f t="shared" si="52"/>
        <v>11</v>
      </c>
      <c r="H222" s="127" t="s">
        <v>1305</v>
      </c>
      <c r="J222" s="127">
        <f t="shared" si="46"/>
        <v>0</v>
      </c>
      <c r="K222" s="127" t="s">
        <v>1305</v>
      </c>
      <c r="M222" s="127">
        <f t="shared" si="47"/>
        <v>0</v>
      </c>
      <c r="N222" s="127" t="s">
        <v>1305</v>
      </c>
      <c r="P222" s="127">
        <f t="shared" si="48"/>
        <v>0</v>
      </c>
      <c r="Q222" s="127" t="s">
        <v>1305</v>
      </c>
      <c r="S222" s="127">
        <f t="shared" si="49"/>
        <v>0</v>
      </c>
      <c r="T222" s="127" t="s">
        <v>1305</v>
      </c>
      <c r="V222" s="127">
        <f t="shared" si="50"/>
        <v>0</v>
      </c>
    </row>
    <row r="223" spans="1:22" ht="15.75">
      <c r="A223" s="153" t="s">
        <v>1343</v>
      </c>
      <c r="B223" s="125" t="s">
        <v>756</v>
      </c>
      <c r="C223" s="130">
        <f t="shared" si="55"/>
        <v>22.25</v>
      </c>
      <c r="D223" s="180">
        <v>1</v>
      </c>
      <c r="E223" s="127" t="s">
        <v>750</v>
      </c>
      <c r="F223">
        <v>2</v>
      </c>
      <c r="G223" s="127">
        <f t="shared" si="52"/>
        <v>11</v>
      </c>
      <c r="H223" s="127" t="s">
        <v>1208</v>
      </c>
      <c r="I223" s="127">
        <v>2</v>
      </c>
      <c r="J223" s="127">
        <f t="shared" si="46"/>
        <v>0.125</v>
      </c>
      <c r="K223" s="127" t="s">
        <v>1305</v>
      </c>
      <c r="M223" s="127">
        <f t="shared" si="47"/>
        <v>0</v>
      </c>
      <c r="N223" s="127" t="s">
        <v>1305</v>
      </c>
      <c r="P223" s="127">
        <f t="shared" si="48"/>
        <v>0</v>
      </c>
      <c r="Q223" s="127" t="s">
        <v>1305</v>
      </c>
      <c r="S223" s="127">
        <f t="shared" si="49"/>
        <v>0</v>
      </c>
      <c r="T223" s="127" t="s">
        <v>1305</v>
      </c>
      <c r="V223" s="127">
        <f t="shared" si="50"/>
        <v>0</v>
      </c>
    </row>
    <row r="224" spans="1:22" s="140" customFormat="1" ht="15.75">
      <c r="A224" s="153"/>
      <c r="B224" s="138" t="s">
        <v>757</v>
      </c>
      <c r="C224" s="139">
        <f t="shared" si="53"/>
        <v>0</v>
      </c>
      <c r="D224" s="180"/>
      <c r="E224" s="140" t="s">
        <v>1305</v>
      </c>
      <c r="G224" s="140">
        <f t="shared" si="52"/>
        <v>0</v>
      </c>
      <c r="H224" s="140" t="s">
        <v>1305</v>
      </c>
      <c r="J224" s="140">
        <f t="shared" si="46"/>
        <v>0</v>
      </c>
      <c r="K224" s="140" t="s">
        <v>1305</v>
      </c>
      <c r="M224" s="140">
        <f t="shared" si="47"/>
        <v>0</v>
      </c>
      <c r="N224" s="140" t="s">
        <v>1305</v>
      </c>
      <c r="P224" s="140">
        <f t="shared" si="48"/>
        <v>0</v>
      </c>
      <c r="Q224" s="140" t="s">
        <v>1305</v>
      </c>
      <c r="S224" s="140">
        <f t="shared" si="49"/>
        <v>0</v>
      </c>
      <c r="T224" s="140" t="s">
        <v>1305</v>
      </c>
      <c r="V224" s="140">
        <f t="shared" si="50"/>
        <v>0</v>
      </c>
    </row>
    <row r="225" spans="1:22" ht="15.75">
      <c r="A225" s="153" t="s">
        <v>1344</v>
      </c>
      <c r="B225" s="125" t="s">
        <v>758</v>
      </c>
      <c r="C225" s="130">
        <f t="shared" si="55"/>
        <v>77</v>
      </c>
      <c r="D225" s="180">
        <v>1</v>
      </c>
      <c r="E225" s="127" t="s">
        <v>750</v>
      </c>
      <c r="F225">
        <v>7</v>
      </c>
      <c r="G225" s="127">
        <f t="shared" si="52"/>
        <v>11</v>
      </c>
      <c r="H225" s="127" t="s">
        <v>1305</v>
      </c>
      <c r="J225" s="127">
        <f t="shared" si="46"/>
        <v>0</v>
      </c>
      <c r="K225" s="127" t="s">
        <v>1305</v>
      </c>
      <c r="M225" s="127">
        <f t="shared" si="47"/>
        <v>0</v>
      </c>
      <c r="N225" s="127" t="s">
        <v>1305</v>
      </c>
      <c r="P225" s="127">
        <f t="shared" si="48"/>
        <v>0</v>
      </c>
      <c r="Q225" s="127" t="s">
        <v>1305</v>
      </c>
      <c r="S225" s="127">
        <f t="shared" si="49"/>
        <v>0</v>
      </c>
      <c r="T225" s="127" t="s">
        <v>1305</v>
      </c>
      <c r="V225" s="127">
        <f t="shared" si="50"/>
        <v>0</v>
      </c>
    </row>
    <row r="226" spans="1:22" s="137" customFormat="1" ht="15.75">
      <c r="A226" s="137" t="s">
        <v>1337</v>
      </c>
      <c r="B226" s="135" t="s">
        <v>759</v>
      </c>
      <c r="C226" s="136">
        <f>'ECONOMIA &amp; PROFESIONES'!B20</f>
        <v>11</v>
      </c>
      <c r="D226" s="180"/>
      <c r="E226" s="137" t="s">
        <v>1305</v>
      </c>
      <c r="G226" s="137">
        <f t="shared" si="52"/>
        <v>0</v>
      </c>
      <c r="H226" s="137" t="s">
        <v>1305</v>
      </c>
      <c r="J226" s="137">
        <f t="shared" si="46"/>
        <v>0</v>
      </c>
      <c r="K226" s="137" t="s">
        <v>1305</v>
      </c>
      <c r="M226" s="137">
        <f t="shared" si="47"/>
        <v>0</v>
      </c>
      <c r="N226" s="137" t="s">
        <v>1305</v>
      </c>
      <c r="P226" s="137">
        <f t="shared" si="48"/>
        <v>0</v>
      </c>
      <c r="Q226" s="137" t="s">
        <v>1305</v>
      </c>
      <c r="S226" s="137">
        <f t="shared" si="49"/>
        <v>0</v>
      </c>
      <c r="T226" s="137" t="s">
        <v>1305</v>
      </c>
      <c r="V226" s="137">
        <f t="shared" si="50"/>
        <v>0</v>
      </c>
    </row>
    <row r="227" spans="1:22" ht="15.75">
      <c r="A227" s="153" t="s">
        <v>1343</v>
      </c>
      <c r="B227" s="125" t="s">
        <v>760</v>
      </c>
      <c r="C227" s="130">
        <f t="shared" si="55"/>
        <v>33.25</v>
      </c>
      <c r="D227" s="180">
        <v>1</v>
      </c>
      <c r="E227" s="127" t="s">
        <v>750</v>
      </c>
      <c r="F227">
        <v>3</v>
      </c>
      <c r="G227" s="127">
        <f t="shared" si="52"/>
        <v>11</v>
      </c>
      <c r="H227" s="127" t="s">
        <v>1208</v>
      </c>
      <c r="I227" s="127">
        <v>2</v>
      </c>
      <c r="J227" s="127">
        <f t="shared" si="46"/>
        <v>0.125</v>
      </c>
      <c r="K227" s="127" t="s">
        <v>1305</v>
      </c>
      <c r="M227" s="127">
        <f t="shared" si="47"/>
        <v>0</v>
      </c>
      <c r="N227" s="127" t="s">
        <v>1305</v>
      </c>
      <c r="P227" s="127">
        <f t="shared" si="48"/>
        <v>0</v>
      </c>
      <c r="Q227" s="127" t="s">
        <v>1305</v>
      </c>
      <c r="S227" s="127">
        <f t="shared" si="49"/>
        <v>0</v>
      </c>
      <c r="T227" s="127" t="s">
        <v>1305</v>
      </c>
      <c r="V227" s="127">
        <f t="shared" si="50"/>
        <v>0</v>
      </c>
    </row>
    <row r="228" spans="1:22" ht="15.75">
      <c r="A228" s="153" t="s">
        <v>1343</v>
      </c>
      <c r="B228" s="125" t="s">
        <v>761</v>
      </c>
      <c r="C228" s="130">
        <f t="shared" si="55"/>
        <v>11.25</v>
      </c>
      <c r="D228" s="180">
        <v>1</v>
      </c>
      <c r="E228" s="127" t="s">
        <v>750</v>
      </c>
      <c r="F228">
        <v>1</v>
      </c>
      <c r="G228" s="127">
        <f t="shared" si="52"/>
        <v>11</v>
      </c>
      <c r="H228" s="127" t="s">
        <v>1208</v>
      </c>
      <c r="I228" s="127">
        <v>2</v>
      </c>
      <c r="J228" s="127">
        <f t="shared" si="46"/>
        <v>0.125</v>
      </c>
      <c r="K228" s="127" t="s">
        <v>1305</v>
      </c>
      <c r="M228" s="127">
        <f t="shared" si="47"/>
        <v>0</v>
      </c>
      <c r="N228" s="127" t="s">
        <v>1305</v>
      </c>
      <c r="P228" s="127">
        <f t="shared" si="48"/>
        <v>0</v>
      </c>
      <c r="Q228" s="127" t="s">
        <v>1305</v>
      </c>
      <c r="S228" s="127">
        <f t="shared" si="49"/>
        <v>0</v>
      </c>
      <c r="T228" s="127" t="s">
        <v>1305</v>
      </c>
      <c r="V228" s="127">
        <f t="shared" si="50"/>
        <v>0</v>
      </c>
    </row>
    <row r="229" spans="1:22" ht="15.75">
      <c r="A229" s="153" t="s">
        <v>1344</v>
      </c>
      <c r="B229" s="125" t="s">
        <v>762</v>
      </c>
      <c r="C229" s="130">
        <f t="shared" si="55"/>
        <v>22.125</v>
      </c>
      <c r="D229" s="180">
        <v>1</v>
      </c>
      <c r="E229" s="127" t="s">
        <v>750</v>
      </c>
      <c r="F229">
        <v>2</v>
      </c>
      <c r="G229" s="127">
        <f t="shared" si="52"/>
        <v>11</v>
      </c>
      <c r="H229" s="127" t="s">
        <v>1208</v>
      </c>
      <c r="I229" s="127">
        <v>1</v>
      </c>
      <c r="J229" s="127">
        <f t="shared" si="46"/>
        <v>0.125</v>
      </c>
      <c r="K229" s="127" t="s">
        <v>1305</v>
      </c>
      <c r="M229" s="127">
        <f t="shared" si="47"/>
        <v>0</v>
      </c>
      <c r="N229" s="127" t="s">
        <v>1305</v>
      </c>
      <c r="P229" s="127">
        <f t="shared" si="48"/>
        <v>0</v>
      </c>
      <c r="Q229" s="127" t="s">
        <v>1305</v>
      </c>
      <c r="S229" s="127">
        <f t="shared" si="49"/>
        <v>0</v>
      </c>
      <c r="T229" s="127" t="s">
        <v>1305</v>
      </c>
      <c r="V229" s="127">
        <f t="shared" si="50"/>
        <v>0</v>
      </c>
    </row>
    <row r="230" spans="1:22" s="137" customFormat="1" ht="15.75">
      <c r="A230" s="137" t="s">
        <v>1339</v>
      </c>
      <c r="B230" s="135" t="s">
        <v>763</v>
      </c>
      <c r="C230" s="136">
        <f>'ECONOMIA &amp; PROFESIONES'!K35</f>
        <v>1.8</v>
      </c>
      <c r="D230" s="180"/>
      <c r="E230" s="137" t="s">
        <v>1305</v>
      </c>
      <c r="G230" s="137">
        <f t="shared" si="52"/>
        <v>0</v>
      </c>
      <c r="H230" s="137" t="s">
        <v>1305</v>
      </c>
      <c r="J230" s="137">
        <f t="shared" si="46"/>
        <v>0</v>
      </c>
      <c r="K230" s="137" t="s">
        <v>1305</v>
      </c>
      <c r="M230" s="137">
        <f t="shared" si="47"/>
        <v>0</v>
      </c>
      <c r="N230" s="137" t="s">
        <v>1305</v>
      </c>
      <c r="P230" s="137">
        <f t="shared" si="48"/>
        <v>0</v>
      </c>
      <c r="Q230" s="137" t="s">
        <v>1305</v>
      </c>
      <c r="S230" s="137">
        <f t="shared" si="49"/>
        <v>0</v>
      </c>
      <c r="T230" s="137" t="s">
        <v>1305</v>
      </c>
      <c r="V230" s="137">
        <f t="shared" si="50"/>
        <v>0</v>
      </c>
    </row>
    <row r="231" spans="1:22" ht="15.75">
      <c r="A231" s="153" t="s">
        <v>1346</v>
      </c>
      <c r="B231" s="125" t="s">
        <v>764</v>
      </c>
      <c r="C231" s="130">
        <f t="shared" si="55"/>
        <v>0.9</v>
      </c>
      <c r="D231" s="180">
        <v>6</v>
      </c>
      <c r="E231" s="127" t="s">
        <v>763</v>
      </c>
      <c r="F231">
        <v>3</v>
      </c>
      <c r="G231" s="127">
        <f t="shared" si="52"/>
        <v>1.8</v>
      </c>
      <c r="H231" s="127" t="s">
        <v>1305</v>
      </c>
      <c r="J231" s="127">
        <f t="shared" si="46"/>
        <v>0</v>
      </c>
      <c r="K231" s="127" t="s">
        <v>1305</v>
      </c>
      <c r="M231" s="127">
        <f t="shared" si="47"/>
        <v>0</v>
      </c>
      <c r="N231" s="127" t="s">
        <v>1305</v>
      </c>
      <c r="P231" s="127">
        <f t="shared" si="48"/>
        <v>0</v>
      </c>
      <c r="Q231" s="127" t="s">
        <v>1305</v>
      </c>
      <c r="S231" s="127">
        <f t="shared" si="49"/>
        <v>0</v>
      </c>
      <c r="T231" s="127" t="s">
        <v>1305</v>
      </c>
      <c r="V231" s="127">
        <f t="shared" si="50"/>
        <v>0</v>
      </c>
    </row>
    <row r="232" spans="1:22" ht="15.75">
      <c r="A232" s="153" t="s">
        <v>1346</v>
      </c>
      <c r="B232" s="125" t="s">
        <v>765</v>
      </c>
      <c r="C232" s="130">
        <f t="shared" si="55"/>
        <v>2.7</v>
      </c>
      <c r="D232" s="180">
        <v>4</v>
      </c>
      <c r="E232" s="128" t="s">
        <v>763</v>
      </c>
      <c r="F232">
        <v>6</v>
      </c>
      <c r="G232" s="127">
        <f t="shared" si="52"/>
        <v>1.8</v>
      </c>
      <c r="H232" s="127" t="s">
        <v>1305</v>
      </c>
      <c r="J232" s="127">
        <f t="shared" si="46"/>
        <v>0</v>
      </c>
      <c r="K232" s="127" t="s">
        <v>1305</v>
      </c>
      <c r="M232" s="127">
        <f t="shared" si="47"/>
        <v>0</v>
      </c>
      <c r="N232" s="127" t="s">
        <v>1305</v>
      </c>
      <c r="P232" s="127">
        <f t="shared" si="48"/>
        <v>0</v>
      </c>
      <c r="Q232" s="127" t="s">
        <v>1305</v>
      </c>
      <c r="S232" s="127">
        <f t="shared" si="49"/>
        <v>0</v>
      </c>
      <c r="T232" s="127" t="s">
        <v>1305</v>
      </c>
      <c r="V232" s="127">
        <f t="shared" si="50"/>
        <v>0</v>
      </c>
    </row>
    <row r="233" spans="1:22" ht="15.75">
      <c r="A233" s="153" t="s">
        <v>1346</v>
      </c>
      <c r="B233" s="125" t="s">
        <v>766</v>
      </c>
      <c r="C233" s="130">
        <f t="shared" si="55"/>
        <v>1.8</v>
      </c>
      <c r="D233" s="180">
        <v>6</v>
      </c>
      <c r="E233" s="128" t="s">
        <v>763</v>
      </c>
      <c r="F233">
        <v>6</v>
      </c>
      <c r="G233" s="127">
        <f t="shared" si="52"/>
        <v>1.8</v>
      </c>
      <c r="H233" s="127" t="s">
        <v>1305</v>
      </c>
      <c r="J233" s="127">
        <f t="shared" si="46"/>
        <v>0</v>
      </c>
      <c r="K233" s="127" t="s">
        <v>1305</v>
      </c>
      <c r="M233" s="127">
        <f t="shared" si="47"/>
        <v>0</v>
      </c>
      <c r="N233" s="127" t="s">
        <v>1305</v>
      </c>
      <c r="P233" s="127">
        <f t="shared" si="48"/>
        <v>0</v>
      </c>
      <c r="Q233" s="127" t="s">
        <v>1305</v>
      </c>
      <c r="S233" s="127">
        <f t="shared" si="49"/>
        <v>0</v>
      </c>
      <c r="T233" s="127" t="s">
        <v>1305</v>
      </c>
      <c r="V233" s="127">
        <f t="shared" si="50"/>
        <v>0</v>
      </c>
    </row>
    <row r="234" spans="1:22" s="137" customFormat="1" ht="15.75">
      <c r="A234" s="137" t="s">
        <v>1339</v>
      </c>
      <c r="B234" s="135" t="s">
        <v>767</v>
      </c>
      <c r="C234" s="136">
        <f>'ECONOMIA &amp; PROFESIONES'!K37</f>
        <v>0.5</v>
      </c>
      <c r="D234" s="180"/>
      <c r="E234" s="137" t="s">
        <v>1305</v>
      </c>
      <c r="G234" s="137">
        <f t="shared" si="52"/>
        <v>0</v>
      </c>
      <c r="H234" s="137" t="s">
        <v>1305</v>
      </c>
      <c r="J234" s="137">
        <f t="shared" si="46"/>
        <v>0</v>
      </c>
      <c r="K234" s="137" t="s">
        <v>1305</v>
      </c>
      <c r="M234" s="137">
        <f t="shared" si="47"/>
        <v>0</v>
      </c>
      <c r="N234" s="137" t="s">
        <v>1305</v>
      </c>
      <c r="P234" s="137">
        <f t="shared" si="48"/>
        <v>0</v>
      </c>
      <c r="Q234" s="137" t="s">
        <v>1305</v>
      </c>
      <c r="S234" s="137">
        <f t="shared" si="49"/>
        <v>0</v>
      </c>
      <c r="T234" s="137" t="s">
        <v>1305</v>
      </c>
      <c r="V234" s="137">
        <f t="shared" si="50"/>
        <v>0</v>
      </c>
    </row>
    <row r="235" spans="1:22" ht="15.75">
      <c r="A235" s="153" t="s">
        <v>1353</v>
      </c>
      <c r="B235" s="125" t="s">
        <v>768</v>
      </c>
      <c r="C235" s="130">
        <f t="shared" si="55"/>
        <v>18.875</v>
      </c>
      <c r="D235" s="180">
        <v>1</v>
      </c>
      <c r="E235" s="127" t="s">
        <v>1147</v>
      </c>
      <c r="F235">
        <v>1</v>
      </c>
      <c r="G235" s="127">
        <f t="shared" si="52"/>
        <v>7</v>
      </c>
      <c r="H235" s="127" t="s">
        <v>676</v>
      </c>
      <c r="I235" s="127">
        <v>7</v>
      </c>
      <c r="J235" s="127">
        <f t="shared" si="46"/>
        <v>1</v>
      </c>
      <c r="K235" s="127" t="s">
        <v>617</v>
      </c>
      <c r="L235" s="127">
        <v>1</v>
      </c>
      <c r="M235" s="127">
        <f t="shared" si="47"/>
        <v>4.875</v>
      </c>
      <c r="N235" s="127" t="s">
        <v>1305</v>
      </c>
      <c r="P235" s="127">
        <f t="shared" si="48"/>
        <v>0</v>
      </c>
      <c r="Q235" s="127" t="s">
        <v>1305</v>
      </c>
      <c r="S235" s="127">
        <f t="shared" si="49"/>
        <v>0</v>
      </c>
      <c r="T235" s="127" t="s">
        <v>1305</v>
      </c>
      <c r="V235" s="127">
        <f t="shared" si="50"/>
        <v>0</v>
      </c>
    </row>
    <row r="236" spans="1:22" ht="15.75">
      <c r="A236" s="153" t="s">
        <v>1350</v>
      </c>
      <c r="B236" s="125" t="s">
        <v>769</v>
      </c>
      <c r="C236" s="130">
        <f t="shared" si="55"/>
        <v>13.5</v>
      </c>
      <c r="D236" s="180">
        <v>1</v>
      </c>
      <c r="E236" s="127" t="s">
        <v>815</v>
      </c>
      <c r="F236">
        <v>1</v>
      </c>
      <c r="G236" s="127">
        <f t="shared" si="52"/>
        <v>8</v>
      </c>
      <c r="H236" s="127" t="s">
        <v>1305</v>
      </c>
      <c r="I236" s="127">
        <v>1</v>
      </c>
      <c r="J236" s="127">
        <f>'ECONOMIA &amp; PROFESIONES'!E67</f>
        <v>5.5</v>
      </c>
      <c r="K236" s="127" t="s">
        <v>1305</v>
      </c>
      <c r="M236" s="127">
        <f t="shared" si="47"/>
        <v>0</v>
      </c>
      <c r="N236" s="127" t="s">
        <v>1305</v>
      </c>
      <c r="P236" s="127">
        <f t="shared" si="48"/>
        <v>0</v>
      </c>
      <c r="Q236" s="127" t="s">
        <v>1305</v>
      </c>
      <c r="S236" s="127">
        <f t="shared" si="49"/>
        <v>0</v>
      </c>
      <c r="T236" s="127" t="s">
        <v>1305</v>
      </c>
      <c r="V236" s="127">
        <f t="shared" si="50"/>
        <v>0</v>
      </c>
    </row>
    <row r="237" spans="1:22" s="148" customFormat="1" ht="15.75">
      <c r="A237" s="137" t="s">
        <v>1341</v>
      </c>
      <c r="B237" s="146" t="s">
        <v>770</v>
      </c>
      <c r="C237" s="147">
        <f>'ECONOMIA &amp; PROFESIONES'!E67</f>
        <v>5.5</v>
      </c>
      <c r="D237" s="180"/>
      <c r="E237" s="148" t="s">
        <v>1305</v>
      </c>
      <c r="G237" s="148">
        <f t="shared" si="52"/>
        <v>0</v>
      </c>
      <c r="H237" s="148" t="s">
        <v>1305</v>
      </c>
      <c r="J237" s="148">
        <f t="shared" si="46"/>
        <v>0</v>
      </c>
      <c r="K237" s="148" t="s">
        <v>1305</v>
      </c>
      <c r="M237" s="148">
        <f t="shared" si="47"/>
        <v>0</v>
      </c>
      <c r="N237" s="148" t="s">
        <v>1305</v>
      </c>
      <c r="P237" s="148">
        <f t="shared" si="48"/>
        <v>0</v>
      </c>
      <c r="Q237" s="148" t="s">
        <v>1305</v>
      </c>
      <c r="S237" s="148">
        <f t="shared" si="49"/>
        <v>0</v>
      </c>
      <c r="T237" s="148" t="s">
        <v>1305</v>
      </c>
      <c r="V237" s="148">
        <f t="shared" si="50"/>
        <v>0</v>
      </c>
    </row>
    <row r="238" spans="1:22" s="148" customFormat="1" ht="15.75">
      <c r="A238" s="137" t="s">
        <v>1341</v>
      </c>
      <c r="B238" s="146" t="s">
        <v>771</v>
      </c>
      <c r="C238" s="147">
        <f>'ECONOMIA &amp; PROFESIONES'!E67</f>
        <v>5.5</v>
      </c>
      <c r="D238" s="180"/>
      <c r="E238" s="148" t="s">
        <v>1305</v>
      </c>
      <c r="G238" s="148">
        <f t="shared" si="52"/>
        <v>0</v>
      </c>
      <c r="H238" s="148" t="s">
        <v>1305</v>
      </c>
      <c r="J238" s="148">
        <f t="shared" si="46"/>
        <v>0</v>
      </c>
      <c r="K238" s="148" t="s">
        <v>1305</v>
      </c>
      <c r="M238" s="148">
        <f t="shared" si="47"/>
        <v>0</v>
      </c>
      <c r="N238" s="148" t="s">
        <v>1305</v>
      </c>
      <c r="P238" s="148">
        <f t="shared" si="48"/>
        <v>0</v>
      </c>
      <c r="Q238" s="148" t="s">
        <v>1305</v>
      </c>
      <c r="S238" s="148">
        <f t="shared" si="49"/>
        <v>0</v>
      </c>
      <c r="T238" s="148" t="s">
        <v>1305</v>
      </c>
      <c r="V238" s="148">
        <f t="shared" si="50"/>
        <v>0</v>
      </c>
    </row>
    <row r="239" spans="1:22" ht="15.75">
      <c r="A239" s="153" t="s">
        <v>1348</v>
      </c>
      <c r="B239" s="125" t="s">
        <v>772</v>
      </c>
      <c r="C239" s="130">
        <f t="shared" ref="C239:C241" si="56">((G239*F239)+(I239*J239)+(L239*M239)+(O239*P239)+(R239*S239)+(U239*V239))/D239</f>
        <v>8</v>
      </c>
      <c r="D239" s="180">
        <v>1</v>
      </c>
      <c r="E239" s="127" t="s">
        <v>920</v>
      </c>
      <c r="F239">
        <v>1</v>
      </c>
      <c r="G239" s="127">
        <f t="shared" si="52"/>
        <v>5</v>
      </c>
      <c r="H239" s="127" t="s">
        <v>672</v>
      </c>
      <c r="I239" s="127">
        <v>1</v>
      </c>
      <c r="J239" s="127">
        <f t="shared" si="46"/>
        <v>3</v>
      </c>
      <c r="K239" s="127" t="s">
        <v>1305</v>
      </c>
      <c r="M239" s="127">
        <f t="shared" si="47"/>
        <v>0</v>
      </c>
      <c r="N239" s="127" t="s">
        <v>1305</v>
      </c>
      <c r="P239" s="127">
        <f t="shared" si="48"/>
        <v>0</v>
      </c>
      <c r="Q239" s="127" t="s">
        <v>1305</v>
      </c>
      <c r="S239" s="127">
        <f t="shared" si="49"/>
        <v>0</v>
      </c>
      <c r="T239" s="127" t="s">
        <v>1305</v>
      </c>
      <c r="V239" s="127">
        <f t="shared" si="50"/>
        <v>0</v>
      </c>
    </row>
    <row r="240" spans="1:22" ht="15.75">
      <c r="A240" s="153" t="s">
        <v>1348</v>
      </c>
      <c r="B240" s="125" t="s">
        <v>773</v>
      </c>
      <c r="C240" s="130">
        <f t="shared" si="56"/>
        <v>72</v>
      </c>
      <c r="D240" s="180">
        <v>1</v>
      </c>
      <c r="E240" s="127" t="s">
        <v>772</v>
      </c>
      <c r="F240">
        <v>9</v>
      </c>
      <c r="G240" s="127">
        <f t="shared" si="52"/>
        <v>8</v>
      </c>
      <c r="H240" s="127" t="s">
        <v>1305</v>
      </c>
      <c r="J240" s="127">
        <f t="shared" si="46"/>
        <v>0</v>
      </c>
      <c r="K240" s="127" t="s">
        <v>1305</v>
      </c>
      <c r="M240" s="127">
        <f t="shared" si="47"/>
        <v>0</v>
      </c>
      <c r="N240" s="127" t="s">
        <v>1305</v>
      </c>
      <c r="P240" s="127">
        <f t="shared" si="48"/>
        <v>0</v>
      </c>
      <c r="Q240" s="127" t="s">
        <v>1305</v>
      </c>
      <c r="S240" s="127">
        <f t="shared" si="49"/>
        <v>0</v>
      </c>
      <c r="T240" s="127" t="s">
        <v>1305</v>
      </c>
      <c r="V240" s="127">
        <f t="shared" si="50"/>
        <v>0</v>
      </c>
    </row>
    <row r="241" spans="1:22" ht="15.75">
      <c r="A241" s="153" t="s">
        <v>1353</v>
      </c>
      <c r="B241" s="125" t="s">
        <v>774</v>
      </c>
      <c r="C241" s="130">
        <f t="shared" si="56"/>
        <v>14</v>
      </c>
      <c r="D241" s="180">
        <v>1</v>
      </c>
      <c r="E241" s="127" t="s">
        <v>1147</v>
      </c>
      <c r="F241">
        <v>1</v>
      </c>
      <c r="G241" s="127">
        <f t="shared" si="52"/>
        <v>7</v>
      </c>
      <c r="H241" s="127" t="s">
        <v>676</v>
      </c>
      <c r="I241" s="127">
        <v>7</v>
      </c>
      <c r="J241" s="127">
        <f t="shared" si="46"/>
        <v>1</v>
      </c>
      <c r="K241" s="127" t="s">
        <v>1305</v>
      </c>
      <c r="M241" s="127">
        <f t="shared" si="47"/>
        <v>0</v>
      </c>
      <c r="N241" s="127" t="s">
        <v>1305</v>
      </c>
      <c r="P241" s="127">
        <f t="shared" si="48"/>
        <v>0</v>
      </c>
      <c r="Q241" s="127" t="s">
        <v>1305</v>
      </c>
      <c r="S241" s="127">
        <f t="shared" si="49"/>
        <v>0</v>
      </c>
      <c r="T241" s="127" t="s">
        <v>1305</v>
      </c>
      <c r="V241" s="127">
        <f t="shared" si="50"/>
        <v>0</v>
      </c>
    </row>
    <row r="242" spans="1:22" s="137" customFormat="1" ht="15.75">
      <c r="A242" s="137" t="s">
        <v>1340</v>
      </c>
      <c r="B242" s="135" t="s">
        <v>775</v>
      </c>
      <c r="C242" s="136">
        <f>'ECONOMIA &amp; PROFESIONES'!I55</f>
        <v>0.4</v>
      </c>
      <c r="D242" s="180"/>
      <c r="E242" s="137" t="s">
        <v>1305</v>
      </c>
      <c r="G242" s="137">
        <f t="shared" si="52"/>
        <v>0</v>
      </c>
      <c r="H242" s="137" t="s">
        <v>1305</v>
      </c>
      <c r="J242" s="137">
        <f t="shared" si="46"/>
        <v>0</v>
      </c>
      <c r="K242" s="137" t="s">
        <v>1305</v>
      </c>
      <c r="M242" s="137">
        <f t="shared" si="47"/>
        <v>0</v>
      </c>
      <c r="N242" s="137" t="s">
        <v>1305</v>
      </c>
      <c r="P242" s="137">
        <f t="shared" si="48"/>
        <v>0</v>
      </c>
      <c r="Q242" s="137" t="s">
        <v>1305</v>
      </c>
      <c r="S242" s="137">
        <f t="shared" si="49"/>
        <v>0</v>
      </c>
      <c r="T242" s="137" t="s">
        <v>1305</v>
      </c>
      <c r="V242" s="137">
        <f t="shared" si="50"/>
        <v>0</v>
      </c>
    </row>
    <row r="243" spans="1:22" s="140" customFormat="1" ht="15.75">
      <c r="A243" s="153" t="s">
        <v>1344</v>
      </c>
      <c r="B243" s="138" t="s">
        <v>776</v>
      </c>
      <c r="C243" s="139">
        <f t="shared" si="53"/>
        <v>0</v>
      </c>
      <c r="D243" s="180"/>
      <c r="E243" s="140" t="s">
        <v>1305</v>
      </c>
      <c r="G243" s="140">
        <f t="shared" si="52"/>
        <v>0</v>
      </c>
      <c r="H243" s="140" t="s">
        <v>1305</v>
      </c>
      <c r="J243" s="140">
        <f t="shared" si="46"/>
        <v>0</v>
      </c>
      <c r="K243" s="140" t="s">
        <v>1305</v>
      </c>
      <c r="M243" s="140">
        <f t="shared" si="47"/>
        <v>0</v>
      </c>
      <c r="N243" s="140" t="s">
        <v>1305</v>
      </c>
      <c r="P243" s="140">
        <f t="shared" si="48"/>
        <v>0</v>
      </c>
      <c r="Q243" s="140" t="s">
        <v>1305</v>
      </c>
      <c r="S243" s="140">
        <f t="shared" si="49"/>
        <v>0</v>
      </c>
      <c r="T243" s="140" t="s">
        <v>1305</v>
      </c>
      <c r="V243" s="140">
        <f t="shared" si="50"/>
        <v>0</v>
      </c>
    </row>
    <row r="244" spans="1:22" s="137" customFormat="1" ht="15.75">
      <c r="A244" s="137" t="s">
        <v>1337</v>
      </c>
      <c r="B244" s="135" t="s">
        <v>777</v>
      </c>
      <c r="C244" s="136">
        <f>'ECONOMIA &amp; PROFESIONES'!C42</f>
        <v>9</v>
      </c>
      <c r="D244" s="180"/>
      <c r="E244" s="137" t="s">
        <v>1305</v>
      </c>
      <c r="G244" s="137">
        <f t="shared" si="52"/>
        <v>0</v>
      </c>
      <c r="H244" s="137" t="s">
        <v>1305</v>
      </c>
      <c r="J244" s="137">
        <f t="shared" si="46"/>
        <v>0</v>
      </c>
      <c r="K244" s="137" t="s">
        <v>1305</v>
      </c>
      <c r="M244" s="137">
        <f t="shared" si="47"/>
        <v>0</v>
      </c>
      <c r="N244" s="137" t="s">
        <v>1305</v>
      </c>
      <c r="P244" s="137">
        <f t="shared" si="48"/>
        <v>0</v>
      </c>
      <c r="Q244" s="137" t="s">
        <v>1305</v>
      </c>
      <c r="S244" s="137">
        <f t="shared" si="49"/>
        <v>0</v>
      </c>
      <c r="T244" s="137" t="s">
        <v>1305</v>
      </c>
      <c r="V244" s="137">
        <f t="shared" si="50"/>
        <v>0</v>
      </c>
    </row>
    <row r="245" spans="1:22" ht="15.75">
      <c r="A245" s="153" t="s">
        <v>1346</v>
      </c>
      <c r="B245" s="125" t="s">
        <v>778</v>
      </c>
      <c r="C245" s="130">
        <f t="shared" ref="C245:C258" si="57">((G245*F245)+(I245*J245)+(L245*M245)+(O245*P245)+(R245*S245)+(U245*V245))/D245</f>
        <v>81</v>
      </c>
      <c r="D245" s="180">
        <v>1</v>
      </c>
      <c r="E245" s="127" t="s">
        <v>777</v>
      </c>
      <c r="F245">
        <v>9</v>
      </c>
      <c r="G245" s="127">
        <f t="shared" si="52"/>
        <v>9</v>
      </c>
      <c r="H245" s="127" t="s">
        <v>1305</v>
      </c>
      <c r="J245" s="127">
        <f t="shared" si="46"/>
        <v>0</v>
      </c>
      <c r="K245" s="127" t="s">
        <v>1305</v>
      </c>
      <c r="M245" s="127">
        <f t="shared" si="47"/>
        <v>0</v>
      </c>
      <c r="N245" s="127" t="s">
        <v>1305</v>
      </c>
      <c r="P245" s="127">
        <f t="shared" si="48"/>
        <v>0</v>
      </c>
      <c r="Q245" s="127" t="s">
        <v>1305</v>
      </c>
      <c r="S245" s="127">
        <f t="shared" si="49"/>
        <v>0</v>
      </c>
      <c r="T245" s="127" t="s">
        <v>1305</v>
      </c>
      <c r="V245" s="127">
        <f t="shared" si="50"/>
        <v>0</v>
      </c>
    </row>
    <row r="246" spans="1:22" s="137" customFormat="1" ht="15.75">
      <c r="A246" s="137" t="s">
        <v>1337</v>
      </c>
      <c r="B246" s="135" t="s">
        <v>779</v>
      </c>
      <c r="C246" s="136">
        <f>C244</f>
        <v>9</v>
      </c>
      <c r="D246" s="180"/>
      <c r="E246" s="137" t="s">
        <v>1305</v>
      </c>
      <c r="G246" s="137">
        <f t="shared" si="52"/>
        <v>0</v>
      </c>
      <c r="H246" s="137" t="s">
        <v>1305</v>
      </c>
      <c r="J246" s="137">
        <f t="shared" si="46"/>
        <v>0</v>
      </c>
      <c r="K246" s="137" t="s">
        <v>1305</v>
      </c>
      <c r="M246" s="137">
        <f t="shared" si="47"/>
        <v>0</v>
      </c>
      <c r="N246" s="137" t="s">
        <v>1305</v>
      </c>
      <c r="P246" s="137">
        <f t="shared" si="48"/>
        <v>0</v>
      </c>
      <c r="Q246" s="137" t="s">
        <v>1305</v>
      </c>
      <c r="S246" s="137">
        <f t="shared" si="49"/>
        <v>0</v>
      </c>
      <c r="T246" s="137" t="s">
        <v>1305</v>
      </c>
      <c r="V246" s="137">
        <f t="shared" si="50"/>
        <v>0</v>
      </c>
    </row>
    <row r="247" spans="1:22" ht="15.75">
      <c r="A247" s="153" t="s">
        <v>1352</v>
      </c>
      <c r="B247" s="125" t="s">
        <v>780</v>
      </c>
      <c r="C247" s="130">
        <f t="shared" si="57"/>
        <v>21</v>
      </c>
      <c r="D247" s="180">
        <v>1</v>
      </c>
      <c r="E247" s="127" t="s">
        <v>615</v>
      </c>
      <c r="F247">
        <v>1</v>
      </c>
      <c r="G247" s="127">
        <f t="shared" si="52"/>
        <v>16</v>
      </c>
      <c r="H247" s="127" t="s">
        <v>924</v>
      </c>
      <c r="I247" s="127">
        <v>1</v>
      </c>
      <c r="J247" s="127">
        <f t="shared" si="46"/>
        <v>5</v>
      </c>
      <c r="K247" s="127" t="s">
        <v>1305</v>
      </c>
      <c r="M247" s="127">
        <f t="shared" si="47"/>
        <v>0</v>
      </c>
      <c r="N247" s="127" t="s">
        <v>1305</v>
      </c>
      <c r="P247" s="127">
        <f t="shared" si="48"/>
        <v>0</v>
      </c>
      <c r="Q247" s="127" t="s">
        <v>1305</v>
      </c>
      <c r="S247" s="127">
        <f t="shared" si="49"/>
        <v>0</v>
      </c>
      <c r="T247" s="127" t="s">
        <v>1305</v>
      </c>
      <c r="V247" s="127">
        <f t="shared" si="50"/>
        <v>0</v>
      </c>
    </row>
    <row r="248" spans="1:22" ht="15.75">
      <c r="A248" s="153" t="s">
        <v>1352</v>
      </c>
      <c r="B248" s="125" t="s">
        <v>781</v>
      </c>
      <c r="C248" s="130">
        <v>97</v>
      </c>
      <c r="D248" s="180">
        <v>1</v>
      </c>
      <c r="E248" s="127" t="s">
        <v>556</v>
      </c>
      <c r="F248">
        <v>1</v>
      </c>
      <c r="G248" s="127">
        <f t="shared" si="52"/>
        <v>1</v>
      </c>
      <c r="H248" s="127" t="s">
        <v>821</v>
      </c>
      <c r="I248" s="127">
        <v>8</v>
      </c>
      <c r="J248" s="127">
        <f t="shared" si="46"/>
        <v>90</v>
      </c>
      <c r="K248" s="127" t="s">
        <v>1305</v>
      </c>
      <c r="M248" s="127">
        <f t="shared" si="47"/>
        <v>0</v>
      </c>
      <c r="N248" s="127" t="s">
        <v>1305</v>
      </c>
      <c r="P248" s="127">
        <f t="shared" si="48"/>
        <v>0</v>
      </c>
      <c r="Q248" s="127" t="s">
        <v>1305</v>
      </c>
      <c r="S248" s="127">
        <f t="shared" si="49"/>
        <v>0</v>
      </c>
      <c r="T248" s="127" t="s">
        <v>1305</v>
      </c>
      <c r="V248" s="127">
        <f t="shared" si="50"/>
        <v>0</v>
      </c>
    </row>
    <row r="249" spans="1:22" ht="15.75">
      <c r="A249" s="153" t="s">
        <v>1352</v>
      </c>
      <c r="B249" s="125" t="s">
        <v>782</v>
      </c>
      <c r="C249" s="130">
        <f t="shared" si="57"/>
        <v>82</v>
      </c>
      <c r="D249" s="180">
        <v>1</v>
      </c>
      <c r="E249" s="127" t="s">
        <v>615</v>
      </c>
      <c r="F249">
        <v>1</v>
      </c>
      <c r="G249" s="127">
        <f t="shared" si="52"/>
        <v>16</v>
      </c>
      <c r="H249" s="127" t="s">
        <v>750</v>
      </c>
      <c r="I249" s="127">
        <v>2</v>
      </c>
      <c r="J249" s="127">
        <f t="shared" si="46"/>
        <v>11</v>
      </c>
      <c r="K249" s="127" t="s">
        <v>1034</v>
      </c>
      <c r="L249" s="127">
        <v>4</v>
      </c>
      <c r="M249" s="127">
        <f t="shared" si="47"/>
        <v>11</v>
      </c>
      <c r="N249" s="127" t="s">
        <v>1305</v>
      </c>
      <c r="P249" s="127">
        <f t="shared" si="48"/>
        <v>0</v>
      </c>
      <c r="Q249" s="127" t="s">
        <v>1305</v>
      </c>
      <c r="S249" s="127">
        <f t="shared" si="49"/>
        <v>0</v>
      </c>
      <c r="T249" s="127" t="s">
        <v>1305</v>
      </c>
      <c r="V249" s="127">
        <f t="shared" si="50"/>
        <v>0</v>
      </c>
    </row>
    <row r="250" spans="1:22" ht="15.75">
      <c r="A250" s="153" t="s">
        <v>1350</v>
      </c>
      <c r="B250" s="125" t="s">
        <v>783</v>
      </c>
      <c r="C250" s="130">
        <f t="shared" si="57"/>
        <v>69.5</v>
      </c>
      <c r="D250" s="180">
        <v>1</v>
      </c>
      <c r="E250" s="127" t="s">
        <v>792</v>
      </c>
      <c r="F250">
        <v>1</v>
      </c>
      <c r="G250" s="127">
        <f t="shared" si="52"/>
        <v>9</v>
      </c>
      <c r="H250" s="127" t="s">
        <v>813</v>
      </c>
      <c r="I250" s="127">
        <v>1</v>
      </c>
      <c r="J250" s="127">
        <f t="shared" si="46"/>
        <v>4.5</v>
      </c>
      <c r="K250" s="127" t="s">
        <v>814</v>
      </c>
      <c r="L250" s="127">
        <v>7</v>
      </c>
      <c r="M250" s="127">
        <f t="shared" si="47"/>
        <v>8</v>
      </c>
      <c r="N250" s="127" t="s">
        <v>1305</v>
      </c>
      <c r="P250" s="127">
        <f t="shared" si="48"/>
        <v>0</v>
      </c>
      <c r="Q250" s="127" t="s">
        <v>1305</v>
      </c>
      <c r="S250" s="127">
        <f t="shared" si="49"/>
        <v>0</v>
      </c>
      <c r="T250" s="127" t="s">
        <v>1305</v>
      </c>
      <c r="V250" s="127">
        <f t="shared" si="50"/>
        <v>0</v>
      </c>
    </row>
    <row r="251" spans="1:22" s="140" customFormat="1" ht="15.75">
      <c r="A251" s="153"/>
      <c r="B251" s="138" t="s">
        <v>784</v>
      </c>
      <c r="C251" s="139">
        <f t="shared" si="53"/>
        <v>0</v>
      </c>
      <c r="D251" s="180"/>
      <c r="E251" s="140" t="s">
        <v>1305</v>
      </c>
      <c r="G251" s="140">
        <f t="shared" si="52"/>
        <v>0</v>
      </c>
      <c r="H251" s="140" t="s">
        <v>1305</v>
      </c>
      <c r="J251" s="140">
        <f t="shared" si="46"/>
        <v>0</v>
      </c>
      <c r="K251" s="140" t="s">
        <v>1305</v>
      </c>
      <c r="M251" s="140">
        <f t="shared" si="47"/>
        <v>0</v>
      </c>
      <c r="N251" s="140" t="s">
        <v>1305</v>
      </c>
      <c r="P251" s="140">
        <f t="shared" si="48"/>
        <v>0</v>
      </c>
      <c r="Q251" s="140" t="s">
        <v>1305</v>
      </c>
      <c r="S251" s="140">
        <f t="shared" si="49"/>
        <v>0</v>
      </c>
      <c r="T251" s="140" t="s">
        <v>1305</v>
      </c>
      <c r="V251" s="140">
        <f t="shared" si="50"/>
        <v>0</v>
      </c>
    </row>
    <row r="252" spans="1:22" ht="15.75">
      <c r="A252" s="153" t="s">
        <v>1352</v>
      </c>
      <c r="B252" s="125" t="s">
        <v>785</v>
      </c>
      <c r="C252" s="130">
        <f t="shared" si="57"/>
        <v>4.625</v>
      </c>
      <c r="D252" s="180">
        <v>4</v>
      </c>
      <c r="E252" s="127" t="s">
        <v>597</v>
      </c>
      <c r="F252">
        <v>1</v>
      </c>
      <c r="G252" s="127">
        <f t="shared" si="52"/>
        <v>4.5</v>
      </c>
      <c r="H252" s="143" t="s">
        <v>1080</v>
      </c>
      <c r="I252" s="127">
        <v>1</v>
      </c>
      <c r="J252" s="127">
        <f t="shared" si="46"/>
        <v>14</v>
      </c>
      <c r="K252" s="127" t="s">
        <v>1305</v>
      </c>
      <c r="M252" s="127">
        <f t="shared" si="47"/>
        <v>0</v>
      </c>
      <c r="N252" s="127" t="s">
        <v>1305</v>
      </c>
      <c r="P252" s="127">
        <f t="shared" si="48"/>
        <v>0</v>
      </c>
      <c r="Q252" s="127" t="s">
        <v>1305</v>
      </c>
      <c r="S252" s="127">
        <f t="shared" si="49"/>
        <v>0</v>
      </c>
      <c r="T252" s="127" t="s">
        <v>1305</v>
      </c>
      <c r="V252" s="127">
        <f t="shared" si="50"/>
        <v>0</v>
      </c>
    </row>
    <row r="253" spans="1:22" s="137" customFormat="1" ht="15.75">
      <c r="A253" s="137" t="s">
        <v>1339</v>
      </c>
      <c r="B253" s="135" t="s">
        <v>786</v>
      </c>
      <c r="C253" s="136">
        <f>'ECONOMIA &amp; PROFESIONES'!C45</f>
        <v>11</v>
      </c>
      <c r="D253" s="180"/>
      <c r="E253" s="137" t="s">
        <v>1305</v>
      </c>
      <c r="G253" s="137">
        <f t="shared" si="52"/>
        <v>0</v>
      </c>
      <c r="H253" s="137" t="s">
        <v>1305</v>
      </c>
      <c r="J253" s="137">
        <f t="shared" si="46"/>
        <v>0</v>
      </c>
      <c r="K253" s="137" t="s">
        <v>1305</v>
      </c>
      <c r="M253" s="137">
        <f t="shared" si="47"/>
        <v>0</v>
      </c>
      <c r="N253" s="137" t="s">
        <v>1305</v>
      </c>
      <c r="P253" s="137">
        <f t="shared" si="48"/>
        <v>0</v>
      </c>
      <c r="Q253" s="137" t="s">
        <v>1305</v>
      </c>
      <c r="S253" s="137">
        <f t="shared" si="49"/>
        <v>0</v>
      </c>
      <c r="T253" s="137" t="s">
        <v>1305</v>
      </c>
      <c r="V253" s="137">
        <f t="shared" si="50"/>
        <v>0</v>
      </c>
    </row>
    <row r="254" spans="1:22" ht="15.75">
      <c r="A254" s="153" t="s">
        <v>1346</v>
      </c>
      <c r="B254" s="125" t="s">
        <v>787</v>
      </c>
      <c r="C254" s="130">
        <f t="shared" si="57"/>
        <v>5.5</v>
      </c>
      <c r="D254" s="180">
        <v>6</v>
      </c>
      <c r="E254" s="127" t="s">
        <v>790</v>
      </c>
      <c r="F254">
        <v>3</v>
      </c>
      <c r="G254" s="127">
        <f t="shared" si="52"/>
        <v>11</v>
      </c>
      <c r="H254" s="127" t="s">
        <v>1305</v>
      </c>
      <c r="J254" s="127">
        <f t="shared" si="46"/>
        <v>0</v>
      </c>
      <c r="K254" s="127" t="s">
        <v>1305</v>
      </c>
      <c r="M254" s="127">
        <f t="shared" si="47"/>
        <v>0</v>
      </c>
      <c r="N254" s="127" t="s">
        <v>1305</v>
      </c>
      <c r="P254" s="127">
        <f t="shared" si="48"/>
        <v>0</v>
      </c>
      <c r="Q254" s="127" t="s">
        <v>1305</v>
      </c>
      <c r="S254" s="127">
        <f t="shared" si="49"/>
        <v>0</v>
      </c>
      <c r="T254" s="127" t="s">
        <v>1305</v>
      </c>
      <c r="V254" s="127">
        <f t="shared" si="50"/>
        <v>0</v>
      </c>
    </row>
    <row r="255" spans="1:22" ht="15.75">
      <c r="A255" s="153" t="s">
        <v>1346</v>
      </c>
      <c r="B255" s="125" t="s">
        <v>788</v>
      </c>
      <c r="C255" s="130">
        <f t="shared" si="57"/>
        <v>16.5</v>
      </c>
      <c r="D255" s="180">
        <v>4</v>
      </c>
      <c r="E255" s="127" t="s">
        <v>790</v>
      </c>
      <c r="F255">
        <v>6</v>
      </c>
      <c r="G255" s="127">
        <f t="shared" ref="G255:G318" si="58">VLOOKUP(E255,IDPOINTS,2,FALSE)</f>
        <v>11</v>
      </c>
      <c r="H255" s="127" t="s">
        <v>1305</v>
      </c>
      <c r="J255" s="127">
        <f t="shared" ref="J255:J317" si="59">VLOOKUP(H255,IDPOINTS,2,FALSE)</f>
        <v>0</v>
      </c>
      <c r="K255" s="127" t="s">
        <v>1305</v>
      </c>
      <c r="M255" s="127">
        <f t="shared" ref="M255:M317" si="60">VLOOKUP(K255,IDPOINTS,2,FALSE)</f>
        <v>0</v>
      </c>
      <c r="N255" s="127" t="s">
        <v>1305</v>
      </c>
      <c r="P255" s="127">
        <f t="shared" ref="P255:P317" si="61">VLOOKUP(N255,IDPOINTS,2,FALSE)</f>
        <v>0</v>
      </c>
      <c r="Q255" s="127" t="s">
        <v>1305</v>
      </c>
      <c r="S255" s="127">
        <f t="shared" ref="S255:S317" si="62">VLOOKUP(Q255,IDPOINTS,2,FALSE)</f>
        <v>0</v>
      </c>
      <c r="T255" s="127" t="s">
        <v>1305</v>
      </c>
      <c r="V255" s="127">
        <f t="shared" ref="V255:V317" si="63">VLOOKUP(T255,IDPOINTS,2,FALSE)</f>
        <v>0</v>
      </c>
    </row>
    <row r="256" spans="1:22" ht="15.75">
      <c r="A256" s="153" t="s">
        <v>1346</v>
      </c>
      <c r="B256" s="125" t="s">
        <v>789</v>
      </c>
      <c r="C256" s="130">
        <f t="shared" si="57"/>
        <v>11</v>
      </c>
      <c r="D256" s="180">
        <v>6</v>
      </c>
      <c r="E256" s="127" t="s">
        <v>790</v>
      </c>
      <c r="F256">
        <v>6</v>
      </c>
      <c r="G256" s="127">
        <f t="shared" si="58"/>
        <v>11</v>
      </c>
      <c r="H256" s="127" t="s">
        <v>1305</v>
      </c>
      <c r="J256" s="127">
        <f t="shared" si="59"/>
        <v>0</v>
      </c>
      <c r="K256" s="127" t="s">
        <v>1305</v>
      </c>
      <c r="M256" s="127">
        <f t="shared" si="60"/>
        <v>0</v>
      </c>
      <c r="N256" s="127" t="s">
        <v>1305</v>
      </c>
      <c r="P256" s="127">
        <f t="shared" si="61"/>
        <v>0</v>
      </c>
      <c r="Q256" s="127" t="s">
        <v>1305</v>
      </c>
      <c r="S256" s="127">
        <f t="shared" si="62"/>
        <v>0</v>
      </c>
      <c r="T256" s="127" t="s">
        <v>1305</v>
      </c>
      <c r="V256" s="127">
        <f t="shared" si="63"/>
        <v>0</v>
      </c>
    </row>
    <row r="257" spans="1:22" ht="15.75">
      <c r="A257" s="153" t="s">
        <v>1346</v>
      </c>
      <c r="B257" s="125" t="s">
        <v>790</v>
      </c>
      <c r="C257" s="130">
        <f t="shared" si="57"/>
        <v>11</v>
      </c>
      <c r="D257" s="180">
        <v>4</v>
      </c>
      <c r="E257" s="127" t="s">
        <v>786</v>
      </c>
      <c r="F257">
        <v>4</v>
      </c>
      <c r="G257" s="127">
        <f t="shared" si="58"/>
        <v>11</v>
      </c>
      <c r="H257" s="127" t="s">
        <v>1305</v>
      </c>
      <c r="J257" s="127">
        <f t="shared" si="59"/>
        <v>0</v>
      </c>
      <c r="K257" s="127" t="s">
        <v>1305</v>
      </c>
      <c r="M257" s="127">
        <f t="shared" si="60"/>
        <v>0</v>
      </c>
      <c r="N257" s="127" t="s">
        <v>1305</v>
      </c>
      <c r="P257" s="127">
        <f t="shared" si="61"/>
        <v>0</v>
      </c>
      <c r="Q257" s="127" t="s">
        <v>1305</v>
      </c>
      <c r="S257" s="127">
        <f t="shared" si="62"/>
        <v>0</v>
      </c>
      <c r="T257" s="127" t="s">
        <v>1305</v>
      </c>
      <c r="V257" s="127">
        <f t="shared" si="63"/>
        <v>0</v>
      </c>
    </row>
    <row r="258" spans="1:22" ht="15.75">
      <c r="A258" s="153" t="s">
        <v>1352</v>
      </c>
      <c r="B258" s="125" t="s">
        <v>791</v>
      </c>
      <c r="C258" s="130">
        <f t="shared" si="57"/>
        <v>97</v>
      </c>
      <c r="D258" s="180">
        <v>1</v>
      </c>
      <c r="E258" s="127" t="s">
        <v>792</v>
      </c>
      <c r="F258">
        <v>1</v>
      </c>
      <c r="G258" s="127">
        <f t="shared" si="58"/>
        <v>9</v>
      </c>
      <c r="H258" s="127" t="s">
        <v>1034</v>
      </c>
      <c r="I258" s="127">
        <v>8</v>
      </c>
      <c r="J258" s="127">
        <f t="shared" si="59"/>
        <v>11</v>
      </c>
      <c r="K258" s="127" t="s">
        <v>1305</v>
      </c>
      <c r="M258" s="127">
        <f t="shared" si="60"/>
        <v>0</v>
      </c>
      <c r="N258" s="127" t="s">
        <v>1305</v>
      </c>
      <c r="P258" s="127">
        <f t="shared" si="61"/>
        <v>0</v>
      </c>
      <c r="Q258" s="127" t="s">
        <v>1305</v>
      </c>
      <c r="S258" s="127">
        <f t="shared" si="62"/>
        <v>0</v>
      </c>
      <c r="T258" s="127" t="s">
        <v>1305</v>
      </c>
      <c r="V258" s="127">
        <f t="shared" si="63"/>
        <v>0</v>
      </c>
    </row>
    <row r="259" spans="1:22" s="148" customFormat="1" ht="15.75">
      <c r="A259" s="148" t="s">
        <v>1341</v>
      </c>
      <c r="B259" s="146" t="s">
        <v>792</v>
      </c>
      <c r="C259" s="147">
        <f>'ECONOMIA &amp; PROFESIONES'!E63</f>
        <v>9</v>
      </c>
      <c r="D259" s="183"/>
      <c r="E259" s="148" t="s">
        <v>1305</v>
      </c>
      <c r="G259" s="148">
        <f t="shared" si="58"/>
        <v>0</v>
      </c>
      <c r="H259" s="148" t="s">
        <v>1305</v>
      </c>
      <c r="J259" s="148">
        <f t="shared" si="59"/>
        <v>0</v>
      </c>
      <c r="K259" s="148" t="s">
        <v>1305</v>
      </c>
      <c r="M259" s="148">
        <f t="shared" si="60"/>
        <v>0</v>
      </c>
      <c r="N259" s="148" t="s">
        <v>1305</v>
      </c>
      <c r="P259" s="148">
        <f t="shared" si="61"/>
        <v>0</v>
      </c>
      <c r="Q259" s="148" t="s">
        <v>1305</v>
      </c>
      <c r="S259" s="148">
        <f t="shared" si="62"/>
        <v>0</v>
      </c>
      <c r="T259" s="148" t="s">
        <v>1305</v>
      </c>
      <c r="V259" s="148">
        <f t="shared" si="63"/>
        <v>0</v>
      </c>
    </row>
    <row r="260" spans="1:22" s="148" customFormat="1" ht="15.75">
      <c r="A260" s="148" t="s">
        <v>1341</v>
      </c>
      <c r="B260" s="146" t="s">
        <v>793</v>
      </c>
      <c r="C260" s="147">
        <f>'ECONOMIA &amp; PROFESIONES'!E63</f>
        <v>9</v>
      </c>
      <c r="D260" s="183"/>
      <c r="E260" s="148" t="s">
        <v>1305</v>
      </c>
      <c r="G260" s="148">
        <f t="shared" si="58"/>
        <v>0</v>
      </c>
      <c r="H260" s="148" t="s">
        <v>1305</v>
      </c>
      <c r="J260" s="148">
        <f t="shared" si="59"/>
        <v>0</v>
      </c>
      <c r="K260" s="148" t="s">
        <v>1305</v>
      </c>
      <c r="M260" s="148">
        <f t="shared" si="60"/>
        <v>0</v>
      </c>
      <c r="N260" s="148" t="s">
        <v>1305</v>
      </c>
      <c r="P260" s="148">
        <f t="shared" si="61"/>
        <v>0</v>
      </c>
      <c r="Q260" s="148" t="s">
        <v>1305</v>
      </c>
      <c r="S260" s="148">
        <f t="shared" si="62"/>
        <v>0</v>
      </c>
      <c r="T260" s="148" t="s">
        <v>1305</v>
      </c>
      <c r="V260" s="148">
        <f t="shared" si="63"/>
        <v>0</v>
      </c>
    </row>
    <row r="261" spans="1:22" s="140" customFormat="1" ht="15.75">
      <c r="B261" s="138" t="s">
        <v>794</v>
      </c>
      <c r="C261" s="139">
        <f t="shared" ref="C261:C310" si="64">(G261*F261)+(I261*J261)+(L261*M261)+(O261*P261)+(R261*S261)+(U261*V261)</f>
        <v>0</v>
      </c>
      <c r="D261" s="185"/>
      <c r="E261" s="140" t="s">
        <v>1305</v>
      </c>
      <c r="G261" s="140">
        <f t="shared" si="58"/>
        <v>0</v>
      </c>
      <c r="H261" s="140" t="s">
        <v>1305</v>
      </c>
      <c r="J261" s="140">
        <f t="shared" si="59"/>
        <v>0</v>
      </c>
      <c r="K261" s="140" t="s">
        <v>1305</v>
      </c>
      <c r="M261" s="140">
        <f t="shared" si="60"/>
        <v>0</v>
      </c>
      <c r="N261" s="140" t="s">
        <v>1305</v>
      </c>
      <c r="P261" s="140">
        <f t="shared" si="61"/>
        <v>0</v>
      </c>
      <c r="Q261" s="140" t="s">
        <v>1305</v>
      </c>
      <c r="S261" s="140">
        <f t="shared" si="62"/>
        <v>0</v>
      </c>
      <c r="T261" s="140" t="s">
        <v>1305</v>
      </c>
      <c r="V261" s="140">
        <f t="shared" si="63"/>
        <v>0</v>
      </c>
    </row>
    <row r="262" spans="1:22" s="167" customFormat="1" ht="15.75">
      <c r="B262" s="165" t="s">
        <v>795</v>
      </c>
      <c r="C262" s="166">
        <f t="shared" si="64"/>
        <v>0</v>
      </c>
      <c r="D262" s="184"/>
      <c r="E262" s="167" t="s">
        <v>1305</v>
      </c>
      <c r="G262" s="167">
        <f t="shared" si="58"/>
        <v>0</v>
      </c>
      <c r="H262" s="167" t="s">
        <v>1305</v>
      </c>
      <c r="J262" s="167">
        <f t="shared" si="59"/>
        <v>0</v>
      </c>
      <c r="K262" s="167" t="s">
        <v>1305</v>
      </c>
      <c r="M262" s="167">
        <f t="shared" si="60"/>
        <v>0</v>
      </c>
      <c r="N262" s="167" t="s">
        <v>1305</v>
      </c>
      <c r="P262" s="167">
        <f t="shared" si="61"/>
        <v>0</v>
      </c>
      <c r="Q262" s="167" t="s">
        <v>1305</v>
      </c>
      <c r="S262" s="167">
        <f t="shared" si="62"/>
        <v>0</v>
      </c>
      <c r="T262" s="167" t="s">
        <v>1305</v>
      </c>
      <c r="V262" s="167">
        <f t="shared" si="63"/>
        <v>0</v>
      </c>
    </row>
    <row r="263" spans="1:22" s="148" customFormat="1" ht="15.75">
      <c r="A263" s="137" t="s">
        <v>1341</v>
      </c>
      <c r="B263" s="146" t="s">
        <v>796</v>
      </c>
      <c r="C263" s="147">
        <f>'ECONOMIA &amp; PROFESIONES'!I55</f>
        <v>0.4</v>
      </c>
      <c r="D263" s="180"/>
      <c r="E263" s="148" t="s">
        <v>1305</v>
      </c>
      <c r="G263" s="148">
        <f t="shared" si="58"/>
        <v>0</v>
      </c>
      <c r="H263" s="148" t="s">
        <v>1305</v>
      </c>
      <c r="J263" s="148">
        <f t="shared" si="59"/>
        <v>0</v>
      </c>
      <c r="K263" s="148" t="s">
        <v>1305</v>
      </c>
      <c r="M263" s="148">
        <f t="shared" si="60"/>
        <v>0</v>
      </c>
      <c r="N263" s="148" t="s">
        <v>1305</v>
      </c>
      <c r="P263" s="148">
        <f t="shared" si="61"/>
        <v>0</v>
      </c>
      <c r="Q263" s="148" t="s">
        <v>1305</v>
      </c>
      <c r="S263" s="148">
        <f t="shared" si="62"/>
        <v>0</v>
      </c>
      <c r="T263" s="148" t="s">
        <v>1305</v>
      </c>
      <c r="V263" s="148">
        <f t="shared" si="63"/>
        <v>0</v>
      </c>
    </row>
    <row r="264" spans="1:22" s="148" customFormat="1" ht="15.75">
      <c r="A264" s="137" t="s">
        <v>1341</v>
      </c>
      <c r="B264" s="146" t="s">
        <v>797</v>
      </c>
      <c r="C264" s="147">
        <f>'ECONOMIA &amp; PROFESIONES'!E55</f>
        <v>1.5</v>
      </c>
      <c r="D264" s="180"/>
      <c r="E264" s="148" t="s">
        <v>1305</v>
      </c>
      <c r="G264" s="148">
        <f t="shared" si="58"/>
        <v>0</v>
      </c>
      <c r="H264" s="148" t="s">
        <v>1305</v>
      </c>
      <c r="J264" s="148">
        <f t="shared" si="59"/>
        <v>0</v>
      </c>
      <c r="K264" s="148" t="s">
        <v>1305</v>
      </c>
      <c r="M264" s="148">
        <f t="shared" si="60"/>
        <v>0</v>
      </c>
      <c r="N264" s="148" t="s">
        <v>1305</v>
      </c>
      <c r="P264" s="148">
        <f t="shared" si="61"/>
        <v>0</v>
      </c>
      <c r="Q264" s="148" t="s">
        <v>1305</v>
      </c>
      <c r="S264" s="148">
        <f t="shared" si="62"/>
        <v>0</v>
      </c>
      <c r="T264" s="148" t="s">
        <v>1305</v>
      </c>
      <c r="V264" s="148">
        <f t="shared" si="63"/>
        <v>0</v>
      </c>
    </row>
    <row r="265" spans="1:22" s="137" customFormat="1" ht="15.75">
      <c r="B265" s="135" t="s">
        <v>798</v>
      </c>
      <c r="C265" s="136">
        <v>0.1</v>
      </c>
      <c r="D265" s="182"/>
      <c r="E265" s="137" t="s">
        <v>1305</v>
      </c>
      <c r="G265" s="137">
        <f t="shared" si="58"/>
        <v>0</v>
      </c>
      <c r="H265" s="137" t="s">
        <v>1305</v>
      </c>
      <c r="J265" s="137">
        <f t="shared" si="59"/>
        <v>0</v>
      </c>
      <c r="K265" s="137" t="s">
        <v>1305</v>
      </c>
      <c r="M265" s="137">
        <f t="shared" si="60"/>
        <v>0</v>
      </c>
      <c r="N265" s="137" t="s">
        <v>1305</v>
      </c>
      <c r="P265" s="137">
        <f t="shared" si="61"/>
        <v>0</v>
      </c>
      <c r="Q265" s="137" t="s">
        <v>1305</v>
      </c>
      <c r="S265" s="137">
        <f t="shared" si="62"/>
        <v>0</v>
      </c>
      <c r="T265" s="137" t="s">
        <v>1305</v>
      </c>
      <c r="V265" s="137">
        <f t="shared" si="63"/>
        <v>0</v>
      </c>
    </row>
    <row r="266" spans="1:22" ht="15.75">
      <c r="A266" s="153" t="s">
        <v>1352</v>
      </c>
      <c r="B266" s="125" t="s">
        <v>799</v>
      </c>
      <c r="C266" s="130">
        <f t="shared" ref="C266" si="65">((G266*F266)+(I266*J266)+(L266*M266)+(O266*P266)+(R266*S266)+(U266*V266))/D266</f>
        <v>3.4166666666666665</v>
      </c>
      <c r="D266" s="180">
        <v>3</v>
      </c>
      <c r="E266" s="127" t="s">
        <v>672</v>
      </c>
      <c r="F266">
        <v>1</v>
      </c>
      <c r="G266" s="127">
        <f t="shared" si="58"/>
        <v>3</v>
      </c>
      <c r="H266" s="127" t="s">
        <v>870</v>
      </c>
      <c r="I266" s="127">
        <v>1</v>
      </c>
      <c r="J266" s="127">
        <f t="shared" si="59"/>
        <v>5</v>
      </c>
      <c r="K266" s="127" t="s">
        <v>596</v>
      </c>
      <c r="L266" s="127">
        <v>1</v>
      </c>
      <c r="M266" s="127">
        <f t="shared" si="60"/>
        <v>2.25</v>
      </c>
      <c r="N266" s="127" t="s">
        <v>1305</v>
      </c>
      <c r="P266" s="127">
        <f t="shared" si="61"/>
        <v>0</v>
      </c>
      <c r="Q266" s="127" t="s">
        <v>1305</v>
      </c>
      <c r="S266" s="127">
        <f t="shared" si="62"/>
        <v>0</v>
      </c>
      <c r="T266" s="127" t="s">
        <v>1305</v>
      </c>
      <c r="V266" s="127">
        <f t="shared" si="63"/>
        <v>0</v>
      </c>
    </row>
    <row r="267" spans="1:22" s="167" customFormat="1" ht="15.75">
      <c r="B267" s="165" t="s">
        <v>800</v>
      </c>
      <c r="C267" s="166">
        <f t="shared" si="64"/>
        <v>0</v>
      </c>
      <c r="D267" s="184"/>
      <c r="E267" s="167" t="s">
        <v>1305</v>
      </c>
      <c r="G267" s="167">
        <f t="shared" si="58"/>
        <v>0</v>
      </c>
      <c r="H267" s="167" t="s">
        <v>1305</v>
      </c>
      <c r="J267" s="167">
        <f t="shared" si="59"/>
        <v>0</v>
      </c>
      <c r="K267" s="167" t="s">
        <v>1305</v>
      </c>
      <c r="M267" s="167">
        <f t="shared" si="60"/>
        <v>0</v>
      </c>
      <c r="N267" s="167" t="s">
        <v>1305</v>
      </c>
      <c r="P267" s="167">
        <f t="shared" si="61"/>
        <v>0</v>
      </c>
      <c r="Q267" s="167" t="s">
        <v>1305</v>
      </c>
      <c r="S267" s="167">
        <f t="shared" si="62"/>
        <v>0</v>
      </c>
      <c r="T267" s="167" t="s">
        <v>1305</v>
      </c>
      <c r="V267" s="167">
        <f t="shared" si="63"/>
        <v>0</v>
      </c>
    </row>
    <row r="268" spans="1:22" s="167" customFormat="1" ht="15.75">
      <c r="B268" s="165" t="s">
        <v>801</v>
      </c>
      <c r="C268" s="166">
        <f t="shared" si="64"/>
        <v>0</v>
      </c>
      <c r="D268" s="184"/>
      <c r="E268" s="167" t="s">
        <v>1305</v>
      </c>
      <c r="G268" s="167">
        <f t="shared" si="58"/>
        <v>0</v>
      </c>
      <c r="H268" s="167" t="s">
        <v>1305</v>
      </c>
      <c r="J268" s="167">
        <f t="shared" si="59"/>
        <v>0</v>
      </c>
      <c r="K268" s="167" t="s">
        <v>1305</v>
      </c>
      <c r="M268" s="167">
        <f t="shared" si="60"/>
        <v>0</v>
      </c>
      <c r="N268" s="167" t="s">
        <v>1305</v>
      </c>
      <c r="P268" s="167">
        <f t="shared" si="61"/>
        <v>0</v>
      </c>
      <c r="Q268" s="167" t="s">
        <v>1305</v>
      </c>
      <c r="S268" s="167">
        <f t="shared" si="62"/>
        <v>0</v>
      </c>
      <c r="T268" s="167" t="s">
        <v>1305</v>
      </c>
      <c r="V268" s="167">
        <f t="shared" si="63"/>
        <v>0</v>
      </c>
    </row>
    <row r="269" spans="1:22" s="167" customFormat="1" ht="15.75">
      <c r="B269" s="165" t="s">
        <v>802</v>
      </c>
      <c r="C269" s="166">
        <f t="shared" si="64"/>
        <v>0</v>
      </c>
      <c r="D269" s="184"/>
      <c r="E269" s="167" t="s">
        <v>1305</v>
      </c>
      <c r="G269" s="167">
        <f t="shared" si="58"/>
        <v>0</v>
      </c>
      <c r="H269" s="167" t="s">
        <v>1305</v>
      </c>
      <c r="J269" s="167">
        <f t="shared" si="59"/>
        <v>0</v>
      </c>
      <c r="K269" s="167" t="s">
        <v>1305</v>
      </c>
      <c r="M269" s="167">
        <f t="shared" si="60"/>
        <v>0</v>
      </c>
      <c r="N269" s="167" t="s">
        <v>1305</v>
      </c>
      <c r="P269" s="167">
        <f t="shared" si="61"/>
        <v>0</v>
      </c>
      <c r="Q269" s="167" t="s">
        <v>1305</v>
      </c>
      <c r="S269" s="167">
        <f t="shared" si="62"/>
        <v>0</v>
      </c>
      <c r="T269" s="167" t="s">
        <v>1305</v>
      </c>
      <c r="V269" s="167">
        <f t="shared" si="63"/>
        <v>0</v>
      </c>
    </row>
    <row r="270" spans="1:22" ht="15.75">
      <c r="A270" s="153" t="s">
        <v>1352</v>
      </c>
      <c r="B270" s="125" t="s">
        <v>803</v>
      </c>
      <c r="C270" s="130">
        <f t="shared" ref="C270" si="66">((G270*F270)+(I270*J270)+(L270*M270)+(O270*P270)+(R270*S270)+(U270*V270))/D270</f>
        <v>3.3333333333333335</v>
      </c>
      <c r="D270" s="180">
        <v>3</v>
      </c>
      <c r="E270" s="127" t="s">
        <v>1051</v>
      </c>
      <c r="F270">
        <v>1</v>
      </c>
      <c r="G270" s="127">
        <f t="shared" si="58"/>
        <v>5</v>
      </c>
      <c r="H270" s="127" t="s">
        <v>870</v>
      </c>
      <c r="I270" s="127">
        <v>1</v>
      </c>
      <c r="J270" s="127">
        <f t="shared" si="59"/>
        <v>5</v>
      </c>
      <c r="K270" s="127" t="s">
        <v>1305</v>
      </c>
      <c r="M270" s="127">
        <f t="shared" si="60"/>
        <v>0</v>
      </c>
      <c r="N270" s="127" t="s">
        <v>1305</v>
      </c>
      <c r="P270" s="127">
        <f t="shared" si="61"/>
        <v>0</v>
      </c>
      <c r="Q270" s="127" t="s">
        <v>1305</v>
      </c>
      <c r="S270" s="127">
        <f t="shared" si="62"/>
        <v>0</v>
      </c>
      <c r="T270" s="127" t="s">
        <v>1305</v>
      </c>
      <c r="V270" s="127">
        <f t="shared" si="63"/>
        <v>0</v>
      </c>
    </row>
    <row r="271" spans="1:22" s="140" customFormat="1" ht="15.75">
      <c r="B271" s="138" t="s">
        <v>804</v>
      </c>
      <c r="C271" s="139">
        <f t="shared" si="64"/>
        <v>0</v>
      </c>
      <c r="D271" s="185"/>
      <c r="E271" s="140" t="s">
        <v>1305</v>
      </c>
      <c r="G271" s="140">
        <f t="shared" si="58"/>
        <v>0</v>
      </c>
      <c r="H271" s="140" t="s">
        <v>1305</v>
      </c>
      <c r="J271" s="140">
        <f t="shared" si="59"/>
        <v>0</v>
      </c>
      <c r="K271" s="140" t="s">
        <v>1305</v>
      </c>
      <c r="M271" s="140">
        <f t="shared" si="60"/>
        <v>0</v>
      </c>
      <c r="N271" s="140" t="s">
        <v>1305</v>
      </c>
      <c r="P271" s="140">
        <f t="shared" si="61"/>
        <v>0</v>
      </c>
      <c r="Q271" s="140" t="s">
        <v>1305</v>
      </c>
      <c r="S271" s="140">
        <f t="shared" si="62"/>
        <v>0</v>
      </c>
      <c r="T271" s="140" t="s">
        <v>1305</v>
      </c>
      <c r="V271" s="140">
        <f t="shared" si="63"/>
        <v>0</v>
      </c>
    </row>
    <row r="272" spans="1:22" ht="15.75">
      <c r="A272" s="153" t="s">
        <v>1348</v>
      </c>
      <c r="B272" s="125" t="s">
        <v>805</v>
      </c>
      <c r="C272" s="130">
        <f t="shared" ref="C272:C307" si="67">((G272*F272)+(I272*J272)+(L272*M272)+(O272*P272)+(R272*S272)+(U272*V272))/D272</f>
        <v>3.375</v>
      </c>
      <c r="D272" s="180">
        <v>1</v>
      </c>
      <c r="E272" s="127" t="s">
        <v>1208</v>
      </c>
      <c r="F272">
        <v>3</v>
      </c>
      <c r="G272" s="127">
        <f t="shared" si="58"/>
        <v>0.125</v>
      </c>
      <c r="H272" s="127" t="s">
        <v>1224</v>
      </c>
      <c r="I272" s="127">
        <v>2</v>
      </c>
      <c r="J272" s="127">
        <f t="shared" si="59"/>
        <v>1.5</v>
      </c>
      <c r="K272" s="127" t="s">
        <v>1305</v>
      </c>
      <c r="M272" s="127">
        <f t="shared" si="60"/>
        <v>0</v>
      </c>
      <c r="N272" s="127" t="s">
        <v>1305</v>
      </c>
      <c r="P272" s="127">
        <f t="shared" si="61"/>
        <v>0</v>
      </c>
      <c r="Q272" s="127" t="s">
        <v>1305</v>
      </c>
      <c r="S272" s="127">
        <f t="shared" si="62"/>
        <v>0</v>
      </c>
      <c r="T272" s="127" t="s">
        <v>1305</v>
      </c>
      <c r="V272" s="127">
        <f t="shared" si="63"/>
        <v>0</v>
      </c>
    </row>
    <row r="273" spans="1:22" ht="15.75">
      <c r="A273" s="153" t="s">
        <v>1344</v>
      </c>
      <c r="B273" s="125" t="s">
        <v>806</v>
      </c>
      <c r="C273" s="130">
        <f t="shared" si="67"/>
        <v>1</v>
      </c>
      <c r="D273" s="180">
        <v>1</v>
      </c>
      <c r="E273" s="127" t="s">
        <v>1026</v>
      </c>
      <c r="F273">
        <v>4</v>
      </c>
      <c r="G273" s="127">
        <f t="shared" si="58"/>
        <v>0.25</v>
      </c>
      <c r="H273" s="127" t="s">
        <v>807</v>
      </c>
      <c r="I273" s="127">
        <v>2</v>
      </c>
      <c r="J273" s="127">
        <f t="shared" si="59"/>
        <v>0</v>
      </c>
      <c r="K273" s="127" t="s">
        <v>1305</v>
      </c>
      <c r="M273" s="127">
        <f t="shared" si="60"/>
        <v>0</v>
      </c>
      <c r="N273" s="127" t="s">
        <v>1305</v>
      </c>
      <c r="P273" s="127">
        <f t="shared" si="61"/>
        <v>0</v>
      </c>
      <c r="Q273" s="127" t="s">
        <v>1305</v>
      </c>
      <c r="S273" s="127">
        <f t="shared" si="62"/>
        <v>0</v>
      </c>
      <c r="T273" s="127" t="s">
        <v>1305</v>
      </c>
      <c r="V273" s="127">
        <f t="shared" si="63"/>
        <v>0</v>
      </c>
    </row>
    <row r="274" spans="1:22" ht="15.75">
      <c r="A274" s="153" t="s">
        <v>1346</v>
      </c>
      <c r="B274" s="125" t="s">
        <v>807</v>
      </c>
      <c r="C274" s="130">
        <f t="shared" si="67"/>
        <v>0</v>
      </c>
      <c r="D274" s="180">
        <v>1</v>
      </c>
      <c r="E274" s="127" t="s">
        <v>1305</v>
      </c>
      <c r="G274" s="127">
        <f t="shared" si="58"/>
        <v>0</v>
      </c>
      <c r="H274" s="127" t="s">
        <v>1305</v>
      </c>
      <c r="J274" s="127">
        <f t="shared" si="59"/>
        <v>0</v>
      </c>
      <c r="K274" s="127" t="s">
        <v>1305</v>
      </c>
      <c r="M274" s="127">
        <f t="shared" si="60"/>
        <v>0</v>
      </c>
      <c r="N274" s="127" t="s">
        <v>1305</v>
      </c>
      <c r="P274" s="127">
        <f t="shared" si="61"/>
        <v>0</v>
      </c>
      <c r="Q274" s="127" t="s">
        <v>1305</v>
      </c>
      <c r="S274" s="127">
        <f t="shared" si="62"/>
        <v>0</v>
      </c>
      <c r="T274" s="127" t="s">
        <v>1305</v>
      </c>
      <c r="V274" s="127">
        <f t="shared" si="63"/>
        <v>0</v>
      </c>
    </row>
    <row r="275" spans="1:22" ht="15.75">
      <c r="A275" s="153" t="s">
        <v>1343</v>
      </c>
      <c r="B275" s="125" t="s">
        <v>808</v>
      </c>
      <c r="C275" s="130">
        <f t="shared" si="67"/>
        <v>8</v>
      </c>
      <c r="D275" s="180">
        <v>1</v>
      </c>
      <c r="E275" s="127" t="s">
        <v>896</v>
      </c>
      <c r="F275">
        <v>1</v>
      </c>
      <c r="G275" s="127">
        <f t="shared" si="58"/>
        <v>8</v>
      </c>
      <c r="H275" s="127" t="s">
        <v>807</v>
      </c>
      <c r="I275" s="127">
        <v>1</v>
      </c>
      <c r="J275" s="127">
        <f t="shared" si="59"/>
        <v>0</v>
      </c>
      <c r="K275" s="127" t="s">
        <v>1305</v>
      </c>
      <c r="M275" s="127">
        <f t="shared" si="60"/>
        <v>0</v>
      </c>
      <c r="N275" s="127" t="s">
        <v>1305</v>
      </c>
      <c r="P275" s="127">
        <f t="shared" si="61"/>
        <v>0</v>
      </c>
      <c r="Q275" s="127" t="s">
        <v>1305</v>
      </c>
      <c r="S275" s="127">
        <f t="shared" si="62"/>
        <v>0</v>
      </c>
      <c r="T275" s="127" t="s">
        <v>1305</v>
      </c>
      <c r="V275" s="127">
        <f t="shared" si="63"/>
        <v>0</v>
      </c>
    </row>
    <row r="276" spans="1:22" ht="15.75">
      <c r="A276" s="153"/>
      <c r="B276" s="125" t="s">
        <v>809</v>
      </c>
      <c r="C276" s="130">
        <f t="shared" si="67"/>
        <v>6</v>
      </c>
      <c r="D276" s="180">
        <v>1</v>
      </c>
      <c r="E276" s="127" t="s">
        <v>1051</v>
      </c>
      <c r="F276">
        <v>1</v>
      </c>
      <c r="G276" s="127">
        <f t="shared" si="58"/>
        <v>5</v>
      </c>
      <c r="H276" s="127" t="s">
        <v>1048</v>
      </c>
      <c r="I276" s="127">
        <v>1</v>
      </c>
      <c r="J276" s="127">
        <f t="shared" si="59"/>
        <v>1</v>
      </c>
      <c r="K276" s="127" t="s">
        <v>1305</v>
      </c>
      <c r="M276" s="127">
        <f t="shared" si="60"/>
        <v>0</v>
      </c>
      <c r="N276" s="127" t="s">
        <v>1305</v>
      </c>
      <c r="P276" s="127">
        <f t="shared" si="61"/>
        <v>0</v>
      </c>
      <c r="Q276" s="127" t="s">
        <v>1305</v>
      </c>
      <c r="S276" s="127">
        <f t="shared" si="62"/>
        <v>0</v>
      </c>
      <c r="T276" s="127" t="s">
        <v>1305</v>
      </c>
      <c r="V276" s="127">
        <f t="shared" si="63"/>
        <v>0</v>
      </c>
    </row>
    <row r="277" spans="1:22" ht="15.75">
      <c r="A277" s="153" t="s">
        <v>1346</v>
      </c>
      <c r="B277" s="125" t="s">
        <v>810</v>
      </c>
      <c r="C277" s="130">
        <f t="shared" si="67"/>
        <v>18</v>
      </c>
      <c r="D277" s="180">
        <v>1</v>
      </c>
      <c r="E277" s="127" t="s">
        <v>624</v>
      </c>
      <c r="F277">
        <v>3</v>
      </c>
      <c r="G277" s="127">
        <f t="shared" si="58"/>
        <v>6</v>
      </c>
      <c r="H277" s="127" t="s">
        <v>1305</v>
      </c>
      <c r="J277" s="127">
        <f t="shared" si="59"/>
        <v>0</v>
      </c>
      <c r="K277" s="127" t="s">
        <v>1305</v>
      </c>
      <c r="M277" s="127">
        <f t="shared" si="60"/>
        <v>0</v>
      </c>
      <c r="N277" s="127" t="s">
        <v>1305</v>
      </c>
      <c r="P277" s="127">
        <f t="shared" si="61"/>
        <v>0</v>
      </c>
      <c r="Q277" s="127" t="s">
        <v>1305</v>
      </c>
      <c r="S277" s="127">
        <f t="shared" si="62"/>
        <v>0</v>
      </c>
      <c r="T277" s="127" t="s">
        <v>1305</v>
      </c>
      <c r="V277" s="127">
        <f t="shared" si="63"/>
        <v>0</v>
      </c>
    </row>
    <row r="278" spans="1:22" ht="15.75">
      <c r="A278" s="153" t="s">
        <v>1343</v>
      </c>
      <c r="B278" s="125" t="s">
        <v>811</v>
      </c>
      <c r="C278" s="130">
        <f t="shared" si="67"/>
        <v>8</v>
      </c>
      <c r="D278" s="180">
        <v>1</v>
      </c>
      <c r="E278" s="127" t="s">
        <v>676</v>
      </c>
      <c r="F278">
        <v>8</v>
      </c>
      <c r="G278" s="127">
        <f t="shared" si="58"/>
        <v>1</v>
      </c>
      <c r="H278" s="127" t="s">
        <v>1305</v>
      </c>
      <c r="J278" s="127">
        <f t="shared" si="59"/>
        <v>0</v>
      </c>
      <c r="K278" s="127" t="s">
        <v>1305</v>
      </c>
      <c r="M278" s="127">
        <f t="shared" si="60"/>
        <v>0</v>
      </c>
      <c r="N278" s="127" t="s">
        <v>1305</v>
      </c>
      <c r="P278" s="127">
        <f t="shared" si="61"/>
        <v>0</v>
      </c>
      <c r="Q278" s="127" t="s">
        <v>1305</v>
      </c>
      <c r="S278" s="127">
        <f t="shared" si="62"/>
        <v>0</v>
      </c>
      <c r="T278" s="127" t="s">
        <v>1305</v>
      </c>
      <c r="V278" s="127">
        <f t="shared" si="63"/>
        <v>0</v>
      </c>
    </row>
    <row r="279" spans="1:22" ht="15.75">
      <c r="A279" s="153" t="s">
        <v>595</v>
      </c>
      <c r="B279" s="125" t="s">
        <v>812</v>
      </c>
      <c r="C279" s="130">
        <f t="shared" si="67"/>
        <v>48</v>
      </c>
      <c r="D279" s="180">
        <v>1</v>
      </c>
      <c r="E279" s="127" t="s">
        <v>811</v>
      </c>
      <c r="F279">
        <v>1</v>
      </c>
      <c r="G279" s="127">
        <f t="shared" si="58"/>
        <v>8</v>
      </c>
      <c r="H279" s="127" t="s">
        <v>994</v>
      </c>
      <c r="I279" s="127">
        <v>1</v>
      </c>
      <c r="J279" s="127">
        <f t="shared" si="59"/>
        <v>40</v>
      </c>
      <c r="K279" s="127" t="s">
        <v>1305</v>
      </c>
      <c r="M279" s="127">
        <f t="shared" si="60"/>
        <v>0</v>
      </c>
      <c r="N279" s="127" t="s">
        <v>1305</v>
      </c>
      <c r="P279" s="127">
        <f t="shared" si="61"/>
        <v>0</v>
      </c>
      <c r="Q279" s="127" t="s">
        <v>1305</v>
      </c>
      <c r="S279" s="127">
        <f t="shared" si="62"/>
        <v>0</v>
      </c>
      <c r="T279" s="127" t="s">
        <v>1305</v>
      </c>
      <c r="V279" s="127">
        <f t="shared" si="63"/>
        <v>0</v>
      </c>
    </row>
    <row r="280" spans="1:22" s="148" customFormat="1" ht="15.75">
      <c r="A280" s="137" t="s">
        <v>1341</v>
      </c>
      <c r="B280" s="146" t="s">
        <v>813</v>
      </c>
      <c r="C280" s="147">
        <f>'ECONOMIA &amp; PROFESIONES'!E61</f>
        <v>4.5</v>
      </c>
      <c r="D280" s="180"/>
      <c r="E280" s="148" t="s">
        <v>1305</v>
      </c>
      <c r="G280" s="148">
        <f t="shared" si="58"/>
        <v>0</v>
      </c>
      <c r="H280" s="148" t="s">
        <v>1305</v>
      </c>
      <c r="J280" s="148">
        <f t="shared" si="59"/>
        <v>0</v>
      </c>
      <c r="K280" s="148" t="s">
        <v>1305</v>
      </c>
      <c r="M280" s="148">
        <f t="shared" si="60"/>
        <v>0</v>
      </c>
      <c r="N280" s="148" t="s">
        <v>1305</v>
      </c>
      <c r="P280" s="148">
        <f t="shared" si="61"/>
        <v>0</v>
      </c>
      <c r="Q280" s="148" t="s">
        <v>1305</v>
      </c>
      <c r="S280" s="148">
        <f t="shared" si="62"/>
        <v>0</v>
      </c>
      <c r="T280" s="148" t="s">
        <v>1305</v>
      </c>
      <c r="V280" s="148">
        <f t="shared" si="63"/>
        <v>0</v>
      </c>
    </row>
    <row r="281" spans="1:22" ht="15.75">
      <c r="A281" s="153" t="s">
        <v>1346</v>
      </c>
      <c r="B281" s="125" t="s">
        <v>814</v>
      </c>
      <c r="C281" s="130">
        <f t="shared" si="67"/>
        <v>8</v>
      </c>
      <c r="D281" s="180">
        <v>1</v>
      </c>
      <c r="E281" s="127" t="s">
        <v>1158</v>
      </c>
      <c r="F281">
        <v>1</v>
      </c>
      <c r="G281" s="127">
        <f t="shared" si="58"/>
        <v>5</v>
      </c>
      <c r="H281" s="127" t="s">
        <v>672</v>
      </c>
      <c r="I281" s="127">
        <v>1</v>
      </c>
      <c r="J281" s="127">
        <f t="shared" si="59"/>
        <v>3</v>
      </c>
      <c r="K281" s="127" t="s">
        <v>1305</v>
      </c>
      <c r="M281" s="127">
        <f t="shared" si="60"/>
        <v>0</v>
      </c>
      <c r="N281" s="127" t="s">
        <v>1305</v>
      </c>
      <c r="P281" s="127">
        <f t="shared" si="61"/>
        <v>0</v>
      </c>
      <c r="Q281" s="127" t="s">
        <v>1305</v>
      </c>
      <c r="S281" s="127">
        <f t="shared" si="62"/>
        <v>0</v>
      </c>
      <c r="T281" s="127" t="s">
        <v>1305</v>
      </c>
      <c r="V281" s="127">
        <f t="shared" si="63"/>
        <v>0</v>
      </c>
    </row>
    <row r="282" spans="1:22" ht="15.75">
      <c r="A282" s="153" t="s">
        <v>1346</v>
      </c>
      <c r="B282" s="125" t="s">
        <v>815</v>
      </c>
      <c r="C282" s="130">
        <f t="shared" si="67"/>
        <v>8</v>
      </c>
      <c r="D282" s="180">
        <v>3</v>
      </c>
      <c r="E282" s="127" t="s">
        <v>814</v>
      </c>
      <c r="F282">
        <v>3</v>
      </c>
      <c r="G282" s="127">
        <f t="shared" si="58"/>
        <v>8</v>
      </c>
      <c r="H282" s="127" t="s">
        <v>1305</v>
      </c>
      <c r="J282" s="127">
        <f t="shared" si="59"/>
        <v>0</v>
      </c>
      <c r="K282" s="127" t="s">
        <v>1305</v>
      </c>
      <c r="M282" s="127">
        <f t="shared" si="60"/>
        <v>0</v>
      </c>
      <c r="N282" s="127" t="s">
        <v>1305</v>
      </c>
      <c r="P282" s="127">
        <f t="shared" si="61"/>
        <v>0</v>
      </c>
      <c r="Q282" s="127" t="s">
        <v>1305</v>
      </c>
      <c r="S282" s="127">
        <f t="shared" si="62"/>
        <v>0</v>
      </c>
      <c r="T282" s="127" t="s">
        <v>1305</v>
      </c>
      <c r="V282" s="127">
        <f t="shared" si="63"/>
        <v>0</v>
      </c>
    </row>
    <row r="283" spans="1:22" ht="15.75">
      <c r="A283" s="153" t="s">
        <v>1346</v>
      </c>
      <c r="B283" s="125" t="s">
        <v>816</v>
      </c>
      <c r="C283" s="130">
        <f t="shared" si="67"/>
        <v>3</v>
      </c>
      <c r="D283" s="180">
        <v>16</v>
      </c>
      <c r="E283" s="127" t="s">
        <v>814</v>
      </c>
      <c r="F283">
        <v>6</v>
      </c>
      <c r="G283" s="127">
        <f t="shared" si="58"/>
        <v>8</v>
      </c>
      <c r="H283" s="127" t="s">
        <v>1305</v>
      </c>
      <c r="J283" s="127">
        <f t="shared" si="59"/>
        <v>0</v>
      </c>
      <c r="K283" s="127" t="s">
        <v>1305</v>
      </c>
      <c r="M283" s="127">
        <f t="shared" si="60"/>
        <v>0</v>
      </c>
      <c r="N283" s="127" t="s">
        <v>1305</v>
      </c>
      <c r="P283" s="127">
        <f t="shared" si="61"/>
        <v>0</v>
      </c>
      <c r="Q283" s="127" t="s">
        <v>1305</v>
      </c>
      <c r="S283" s="127">
        <f t="shared" si="62"/>
        <v>0</v>
      </c>
      <c r="T283" s="127" t="s">
        <v>1305</v>
      </c>
      <c r="V283" s="127">
        <f t="shared" si="63"/>
        <v>0</v>
      </c>
    </row>
    <row r="284" spans="1:22" ht="15.75">
      <c r="A284" s="153" t="s">
        <v>1348</v>
      </c>
      <c r="B284" s="125" t="s">
        <v>817</v>
      </c>
      <c r="C284" s="130">
        <f t="shared" si="67"/>
        <v>1.4444444444444444</v>
      </c>
      <c r="D284" s="180">
        <v>1</v>
      </c>
      <c r="E284" s="127" t="s">
        <v>993</v>
      </c>
      <c r="F284">
        <v>1</v>
      </c>
      <c r="G284" s="127">
        <f t="shared" si="58"/>
        <v>0.33333333333333331</v>
      </c>
      <c r="H284" s="127" t="s">
        <v>823</v>
      </c>
      <c r="I284" s="127">
        <v>1</v>
      </c>
      <c r="J284" s="127">
        <f t="shared" si="59"/>
        <v>1.1111111111111112</v>
      </c>
      <c r="K284" s="127" t="s">
        <v>1305</v>
      </c>
      <c r="M284" s="127">
        <f t="shared" si="60"/>
        <v>0</v>
      </c>
      <c r="N284" s="127" t="s">
        <v>1305</v>
      </c>
      <c r="P284" s="127">
        <f t="shared" si="61"/>
        <v>0</v>
      </c>
      <c r="Q284" s="127" t="s">
        <v>1305</v>
      </c>
      <c r="S284" s="127">
        <f t="shared" si="62"/>
        <v>0</v>
      </c>
      <c r="T284" s="127" t="s">
        <v>1305</v>
      </c>
      <c r="V284" s="127">
        <f t="shared" si="63"/>
        <v>0</v>
      </c>
    </row>
    <row r="285" spans="1:22" s="140" customFormat="1" ht="15.75">
      <c r="A285" s="153"/>
      <c r="B285" s="138" t="s">
        <v>818</v>
      </c>
      <c r="C285" s="139">
        <f t="shared" si="64"/>
        <v>0</v>
      </c>
      <c r="D285" s="180"/>
      <c r="E285" s="140" t="s">
        <v>1305</v>
      </c>
      <c r="G285" s="140">
        <f t="shared" si="58"/>
        <v>0</v>
      </c>
      <c r="H285" s="140" t="s">
        <v>1305</v>
      </c>
      <c r="J285" s="140">
        <f t="shared" si="59"/>
        <v>0</v>
      </c>
      <c r="K285" s="140" t="s">
        <v>1305</v>
      </c>
      <c r="M285" s="140">
        <f t="shared" si="60"/>
        <v>0</v>
      </c>
      <c r="N285" s="140" t="s">
        <v>1305</v>
      </c>
      <c r="P285" s="140">
        <f t="shared" si="61"/>
        <v>0</v>
      </c>
      <c r="Q285" s="140" t="s">
        <v>1305</v>
      </c>
      <c r="S285" s="140">
        <f t="shared" si="62"/>
        <v>0</v>
      </c>
      <c r="T285" s="140" t="s">
        <v>1305</v>
      </c>
      <c r="V285" s="140">
        <f t="shared" si="63"/>
        <v>0</v>
      </c>
    </row>
    <row r="286" spans="1:22" ht="15.75">
      <c r="A286" s="153" t="s">
        <v>1346</v>
      </c>
      <c r="B286" s="125" t="s">
        <v>819</v>
      </c>
      <c r="C286" s="130">
        <f t="shared" si="67"/>
        <v>36</v>
      </c>
      <c r="D286" s="180">
        <v>1</v>
      </c>
      <c r="E286" s="127" t="s">
        <v>820</v>
      </c>
      <c r="F286">
        <v>4</v>
      </c>
      <c r="G286" s="127">
        <f t="shared" si="58"/>
        <v>9</v>
      </c>
      <c r="H286" s="127" t="s">
        <v>1305</v>
      </c>
      <c r="J286" s="127">
        <f t="shared" si="59"/>
        <v>0</v>
      </c>
      <c r="K286" s="127" t="s">
        <v>1305</v>
      </c>
      <c r="M286" s="127">
        <f t="shared" si="60"/>
        <v>0</v>
      </c>
      <c r="N286" s="127" t="s">
        <v>1305</v>
      </c>
      <c r="P286" s="127">
        <f t="shared" si="61"/>
        <v>0</v>
      </c>
      <c r="Q286" s="127" t="s">
        <v>1305</v>
      </c>
      <c r="S286" s="127">
        <f t="shared" si="62"/>
        <v>0</v>
      </c>
      <c r="T286" s="127" t="s">
        <v>1305</v>
      </c>
      <c r="V286" s="127">
        <f t="shared" si="63"/>
        <v>0</v>
      </c>
    </row>
    <row r="287" spans="1:22" s="137" customFormat="1" ht="15.75">
      <c r="A287" s="137" t="s">
        <v>1337</v>
      </c>
      <c r="B287" s="135" t="s">
        <v>820</v>
      </c>
      <c r="C287" s="136">
        <f>'ECONOMIA &amp; PROFESIONES'!C41</f>
        <v>9</v>
      </c>
      <c r="D287" s="180"/>
      <c r="E287" s="137" t="s">
        <v>1305</v>
      </c>
      <c r="G287" s="137">
        <f t="shared" si="58"/>
        <v>0</v>
      </c>
      <c r="H287" s="137" t="s">
        <v>1305</v>
      </c>
      <c r="J287" s="137">
        <f t="shared" si="59"/>
        <v>0</v>
      </c>
      <c r="K287" s="137" t="s">
        <v>1305</v>
      </c>
      <c r="M287" s="137">
        <f t="shared" si="60"/>
        <v>0</v>
      </c>
      <c r="N287" s="137" t="s">
        <v>1305</v>
      </c>
      <c r="P287" s="137">
        <f t="shared" si="61"/>
        <v>0</v>
      </c>
      <c r="Q287" s="137" t="s">
        <v>1305</v>
      </c>
      <c r="S287" s="137">
        <f t="shared" si="62"/>
        <v>0</v>
      </c>
      <c r="T287" s="137" t="s">
        <v>1305</v>
      </c>
      <c r="V287" s="137">
        <f t="shared" si="63"/>
        <v>0</v>
      </c>
    </row>
    <row r="288" spans="1:22" ht="15.75">
      <c r="A288" s="153" t="s">
        <v>1343</v>
      </c>
      <c r="B288" s="125" t="s">
        <v>821</v>
      </c>
      <c r="C288" s="130">
        <f t="shared" si="67"/>
        <v>90</v>
      </c>
      <c r="D288" s="180">
        <v>1</v>
      </c>
      <c r="E288" s="127" t="s">
        <v>822</v>
      </c>
      <c r="F288">
        <v>9</v>
      </c>
      <c r="G288" s="127">
        <f t="shared" si="58"/>
        <v>10</v>
      </c>
      <c r="H288" s="127" t="s">
        <v>1305</v>
      </c>
      <c r="J288" s="127">
        <f t="shared" si="59"/>
        <v>0</v>
      </c>
      <c r="K288" s="127" t="s">
        <v>1305</v>
      </c>
      <c r="M288" s="127">
        <f t="shared" si="60"/>
        <v>0</v>
      </c>
      <c r="N288" s="127" t="s">
        <v>1305</v>
      </c>
      <c r="P288" s="127">
        <f t="shared" si="61"/>
        <v>0</v>
      </c>
      <c r="Q288" s="127" t="s">
        <v>1305</v>
      </c>
      <c r="S288" s="127">
        <f t="shared" si="62"/>
        <v>0</v>
      </c>
      <c r="T288" s="127" t="s">
        <v>1305</v>
      </c>
      <c r="V288" s="127">
        <f t="shared" si="63"/>
        <v>0</v>
      </c>
    </row>
    <row r="289" spans="1:22" ht="15.75">
      <c r="A289" s="153" t="s">
        <v>1343</v>
      </c>
      <c r="B289" s="125" t="s">
        <v>822</v>
      </c>
      <c r="C289" s="130">
        <f t="shared" si="67"/>
        <v>10</v>
      </c>
      <c r="D289" s="180">
        <v>1</v>
      </c>
      <c r="E289" s="127" t="s">
        <v>824</v>
      </c>
      <c r="F289">
        <v>1</v>
      </c>
      <c r="G289" s="127">
        <f t="shared" si="58"/>
        <v>7</v>
      </c>
      <c r="H289" s="127" t="s">
        <v>672</v>
      </c>
      <c r="I289" s="127">
        <v>1</v>
      </c>
      <c r="J289" s="127">
        <f t="shared" si="59"/>
        <v>3</v>
      </c>
      <c r="K289" s="127" t="s">
        <v>1305</v>
      </c>
      <c r="M289" s="127">
        <f t="shared" si="60"/>
        <v>0</v>
      </c>
      <c r="N289" s="127" t="s">
        <v>1305</v>
      </c>
      <c r="P289" s="127">
        <f t="shared" si="61"/>
        <v>0</v>
      </c>
      <c r="Q289" s="127" t="s">
        <v>1305</v>
      </c>
      <c r="S289" s="127">
        <f t="shared" si="62"/>
        <v>0</v>
      </c>
      <c r="T289" s="127" t="s">
        <v>1305</v>
      </c>
      <c r="V289" s="127">
        <f t="shared" si="63"/>
        <v>0</v>
      </c>
    </row>
    <row r="290" spans="1:22" ht="15.75">
      <c r="A290" s="153" t="s">
        <v>1343</v>
      </c>
      <c r="B290" s="125" t="s">
        <v>823</v>
      </c>
      <c r="C290" s="130">
        <f t="shared" si="67"/>
        <v>1.1111111111111112</v>
      </c>
      <c r="D290" s="180">
        <v>9</v>
      </c>
      <c r="E290" s="127" t="s">
        <v>822</v>
      </c>
      <c r="F290">
        <v>1</v>
      </c>
      <c r="G290" s="127">
        <f t="shared" si="58"/>
        <v>10</v>
      </c>
      <c r="H290" s="127" t="s">
        <v>1305</v>
      </c>
      <c r="J290" s="127">
        <f t="shared" si="59"/>
        <v>0</v>
      </c>
      <c r="K290" s="127" t="s">
        <v>1305</v>
      </c>
      <c r="M290" s="127">
        <f t="shared" si="60"/>
        <v>0</v>
      </c>
      <c r="N290" s="127" t="s">
        <v>1305</v>
      </c>
      <c r="P290" s="127">
        <f t="shared" si="61"/>
        <v>0</v>
      </c>
      <c r="Q290" s="127" t="s">
        <v>1305</v>
      </c>
      <c r="S290" s="127">
        <f t="shared" si="62"/>
        <v>0</v>
      </c>
      <c r="T290" s="127" t="s">
        <v>1305</v>
      </c>
      <c r="V290" s="127">
        <f t="shared" si="63"/>
        <v>0</v>
      </c>
    </row>
    <row r="291" spans="1:22" s="137" customFormat="1" ht="15.75">
      <c r="A291" s="137" t="s">
        <v>1337</v>
      </c>
      <c r="B291" s="135" t="s">
        <v>824</v>
      </c>
      <c r="C291" s="136">
        <f>'ECONOMIA &amp; PROFESIONES'!B19</f>
        <v>7</v>
      </c>
      <c r="D291" s="182"/>
      <c r="E291" s="137" t="s">
        <v>1305</v>
      </c>
      <c r="G291" s="137">
        <f t="shared" si="58"/>
        <v>0</v>
      </c>
      <c r="H291" s="137" t="s">
        <v>1305</v>
      </c>
      <c r="J291" s="137">
        <f t="shared" si="59"/>
        <v>0</v>
      </c>
      <c r="K291" s="137" t="s">
        <v>1305</v>
      </c>
      <c r="M291" s="137">
        <f t="shared" si="60"/>
        <v>0</v>
      </c>
      <c r="N291" s="137" t="s">
        <v>1305</v>
      </c>
      <c r="P291" s="137">
        <f t="shared" si="61"/>
        <v>0</v>
      </c>
      <c r="Q291" s="137" t="s">
        <v>1305</v>
      </c>
      <c r="S291" s="137">
        <f t="shared" si="62"/>
        <v>0</v>
      </c>
      <c r="T291" s="137" t="s">
        <v>1305</v>
      </c>
      <c r="V291" s="137">
        <f t="shared" si="63"/>
        <v>0</v>
      </c>
    </row>
    <row r="292" spans="1:22" ht="15.75">
      <c r="A292" s="153" t="s">
        <v>1352</v>
      </c>
      <c r="B292" s="125" t="s">
        <v>825</v>
      </c>
      <c r="C292" s="130">
        <f t="shared" si="67"/>
        <v>81</v>
      </c>
      <c r="D292" s="180">
        <v>1</v>
      </c>
      <c r="E292" s="127" t="s">
        <v>822</v>
      </c>
      <c r="F292">
        <v>8</v>
      </c>
      <c r="G292" s="127">
        <f t="shared" si="58"/>
        <v>10</v>
      </c>
      <c r="H292" s="127" t="s">
        <v>556</v>
      </c>
      <c r="I292" s="127">
        <v>1</v>
      </c>
      <c r="J292" s="127">
        <f t="shared" si="59"/>
        <v>1</v>
      </c>
      <c r="K292" s="127" t="s">
        <v>1305</v>
      </c>
      <c r="M292" s="127">
        <f t="shared" si="60"/>
        <v>0</v>
      </c>
      <c r="N292" s="127" t="s">
        <v>1305</v>
      </c>
      <c r="P292" s="127">
        <f t="shared" si="61"/>
        <v>0</v>
      </c>
      <c r="Q292" s="127" t="s">
        <v>1305</v>
      </c>
      <c r="S292" s="127">
        <f t="shared" si="62"/>
        <v>0</v>
      </c>
      <c r="T292" s="127" t="s">
        <v>1305</v>
      </c>
      <c r="V292" s="127">
        <f t="shared" si="63"/>
        <v>0</v>
      </c>
    </row>
    <row r="293" spans="1:22" ht="15.75">
      <c r="A293" s="153" t="s">
        <v>1343</v>
      </c>
      <c r="B293" s="125" t="s">
        <v>826</v>
      </c>
      <c r="C293" s="130">
        <f t="shared" si="67"/>
        <v>30.25</v>
      </c>
      <c r="D293" s="180">
        <v>1</v>
      </c>
      <c r="E293" s="127" t="s">
        <v>822</v>
      </c>
      <c r="F293">
        <v>3</v>
      </c>
      <c r="G293" s="127">
        <f t="shared" si="58"/>
        <v>10</v>
      </c>
      <c r="H293" s="127" t="s">
        <v>1208</v>
      </c>
      <c r="I293" s="127">
        <v>2</v>
      </c>
      <c r="J293" s="127">
        <f t="shared" si="59"/>
        <v>0.125</v>
      </c>
      <c r="K293" s="127" t="s">
        <v>1305</v>
      </c>
      <c r="M293" s="127">
        <f t="shared" si="60"/>
        <v>0</v>
      </c>
      <c r="N293" s="127" t="s">
        <v>1305</v>
      </c>
      <c r="P293" s="127">
        <f t="shared" si="61"/>
        <v>0</v>
      </c>
      <c r="Q293" s="127" t="s">
        <v>1305</v>
      </c>
      <c r="S293" s="127">
        <f t="shared" si="62"/>
        <v>0</v>
      </c>
      <c r="T293" s="127" t="s">
        <v>1305</v>
      </c>
      <c r="V293" s="127">
        <f t="shared" si="63"/>
        <v>0</v>
      </c>
    </row>
    <row r="294" spans="1:22" ht="15.75">
      <c r="A294" s="153" t="s">
        <v>1344</v>
      </c>
      <c r="B294" s="125" t="s">
        <v>827</v>
      </c>
      <c r="C294" s="130">
        <f t="shared" si="67"/>
        <v>40</v>
      </c>
      <c r="D294" s="180">
        <v>1</v>
      </c>
      <c r="E294" s="127" t="s">
        <v>822</v>
      </c>
      <c r="F294">
        <v>4</v>
      </c>
      <c r="G294" s="127">
        <f t="shared" si="58"/>
        <v>10</v>
      </c>
      <c r="H294" s="127" t="s">
        <v>1305</v>
      </c>
      <c r="J294" s="127">
        <f t="shared" si="59"/>
        <v>0</v>
      </c>
      <c r="K294" s="127" t="s">
        <v>1305</v>
      </c>
      <c r="M294" s="127">
        <f t="shared" si="60"/>
        <v>0</v>
      </c>
      <c r="N294" s="127" t="s">
        <v>1305</v>
      </c>
      <c r="P294" s="127">
        <f t="shared" si="61"/>
        <v>0</v>
      </c>
      <c r="Q294" s="127" t="s">
        <v>1305</v>
      </c>
      <c r="S294" s="127">
        <f t="shared" si="62"/>
        <v>0</v>
      </c>
      <c r="T294" s="127" t="s">
        <v>1305</v>
      </c>
      <c r="V294" s="127">
        <f t="shared" si="63"/>
        <v>0</v>
      </c>
    </row>
    <row r="295" spans="1:22" ht="15.75">
      <c r="A295" s="153" t="s">
        <v>1348</v>
      </c>
      <c r="B295" s="125" t="s">
        <v>828</v>
      </c>
      <c r="C295" s="130">
        <f t="shared" si="67"/>
        <v>13.888888888888889</v>
      </c>
      <c r="D295" s="180">
        <v>1</v>
      </c>
      <c r="E295" s="127" t="s">
        <v>823</v>
      </c>
      <c r="F295">
        <v>8</v>
      </c>
      <c r="G295" s="127">
        <f t="shared" si="58"/>
        <v>1.1111111111111112</v>
      </c>
      <c r="H295" s="127" t="s">
        <v>649</v>
      </c>
      <c r="I295" s="127">
        <v>1</v>
      </c>
      <c r="J295" s="127">
        <f t="shared" si="59"/>
        <v>5</v>
      </c>
      <c r="K295" s="127" t="s">
        <v>1305</v>
      </c>
      <c r="M295" s="127">
        <f t="shared" si="60"/>
        <v>0</v>
      </c>
      <c r="N295" s="127" t="s">
        <v>1305</v>
      </c>
      <c r="P295" s="127">
        <f t="shared" si="61"/>
        <v>0</v>
      </c>
      <c r="Q295" s="127" t="s">
        <v>1305</v>
      </c>
      <c r="S295" s="127">
        <f t="shared" si="62"/>
        <v>0</v>
      </c>
      <c r="T295" s="127" t="s">
        <v>1305</v>
      </c>
      <c r="V295" s="127">
        <f t="shared" si="63"/>
        <v>0</v>
      </c>
    </row>
    <row r="296" spans="1:22" ht="15.75">
      <c r="A296" s="153" t="s">
        <v>1344</v>
      </c>
      <c r="B296" s="125" t="s">
        <v>829</v>
      </c>
      <c r="C296" s="130">
        <f t="shared" si="67"/>
        <v>80</v>
      </c>
      <c r="D296" s="180">
        <v>1</v>
      </c>
      <c r="E296" s="127" t="s">
        <v>822</v>
      </c>
      <c r="F296">
        <v>8</v>
      </c>
      <c r="G296" s="127">
        <f t="shared" si="58"/>
        <v>10</v>
      </c>
      <c r="H296" s="127" t="s">
        <v>1305</v>
      </c>
      <c r="J296" s="127">
        <f t="shared" si="59"/>
        <v>0</v>
      </c>
      <c r="K296" s="127" t="s">
        <v>1305</v>
      </c>
      <c r="M296" s="127">
        <f t="shared" si="60"/>
        <v>0</v>
      </c>
      <c r="N296" s="127" t="s">
        <v>1305</v>
      </c>
      <c r="P296" s="127">
        <f t="shared" si="61"/>
        <v>0</v>
      </c>
      <c r="Q296" s="127" t="s">
        <v>1305</v>
      </c>
      <c r="S296" s="127">
        <f t="shared" si="62"/>
        <v>0</v>
      </c>
      <c r="T296" s="127" t="s">
        <v>1305</v>
      </c>
      <c r="V296" s="127">
        <f t="shared" si="63"/>
        <v>0</v>
      </c>
    </row>
    <row r="297" spans="1:22" ht="15.75">
      <c r="A297" s="153" t="s">
        <v>1344</v>
      </c>
      <c r="B297" s="125" t="s">
        <v>830</v>
      </c>
      <c r="C297" s="130">
        <f t="shared" si="67"/>
        <v>80</v>
      </c>
      <c r="D297" s="180">
        <v>1</v>
      </c>
      <c r="E297" s="127" t="s">
        <v>822</v>
      </c>
      <c r="F297">
        <v>8</v>
      </c>
      <c r="G297" s="127">
        <f t="shared" si="58"/>
        <v>10</v>
      </c>
      <c r="H297" s="127" t="s">
        <v>1305</v>
      </c>
      <c r="J297" s="127">
        <f t="shared" si="59"/>
        <v>0</v>
      </c>
      <c r="K297" s="127" t="s">
        <v>1305</v>
      </c>
      <c r="M297" s="127">
        <f t="shared" si="60"/>
        <v>0</v>
      </c>
      <c r="N297" s="127" t="s">
        <v>1305</v>
      </c>
      <c r="P297" s="127">
        <f t="shared" si="61"/>
        <v>0</v>
      </c>
      <c r="Q297" s="127" t="s">
        <v>1305</v>
      </c>
      <c r="S297" s="127">
        <f t="shared" si="62"/>
        <v>0</v>
      </c>
      <c r="T297" s="127" t="s">
        <v>1305</v>
      </c>
      <c r="V297" s="127">
        <f t="shared" si="63"/>
        <v>0</v>
      </c>
    </row>
    <row r="298" spans="1:22" ht="15.75">
      <c r="A298" s="153" t="s">
        <v>1343</v>
      </c>
      <c r="B298" s="125" t="s">
        <v>831</v>
      </c>
      <c r="C298" s="130">
        <f t="shared" si="67"/>
        <v>10.25</v>
      </c>
      <c r="D298" s="180">
        <v>1</v>
      </c>
      <c r="E298" s="127" t="s">
        <v>822</v>
      </c>
      <c r="F298">
        <v>1</v>
      </c>
      <c r="G298" s="127">
        <f t="shared" si="58"/>
        <v>10</v>
      </c>
      <c r="H298" s="127" t="s">
        <v>1208</v>
      </c>
      <c r="I298" s="127">
        <v>2</v>
      </c>
      <c r="J298" s="127">
        <f t="shared" si="59"/>
        <v>0.125</v>
      </c>
      <c r="K298" s="127" t="s">
        <v>1305</v>
      </c>
      <c r="M298" s="127">
        <f t="shared" si="60"/>
        <v>0</v>
      </c>
      <c r="N298" s="127" t="s">
        <v>1305</v>
      </c>
      <c r="P298" s="127">
        <f t="shared" si="61"/>
        <v>0</v>
      </c>
      <c r="Q298" s="127" t="s">
        <v>1305</v>
      </c>
      <c r="S298" s="127">
        <f t="shared" si="62"/>
        <v>0</v>
      </c>
      <c r="T298" s="127" t="s">
        <v>1305</v>
      </c>
      <c r="V298" s="127">
        <f t="shared" si="63"/>
        <v>0</v>
      </c>
    </row>
    <row r="299" spans="1:22" s="140" customFormat="1" ht="15.75">
      <c r="A299" s="153"/>
      <c r="B299" s="138" t="s">
        <v>832</v>
      </c>
      <c r="C299" s="139">
        <f t="shared" si="64"/>
        <v>0</v>
      </c>
      <c r="D299" s="180"/>
      <c r="E299" s="140" t="s">
        <v>1305</v>
      </c>
      <c r="G299" s="140">
        <f t="shared" si="58"/>
        <v>0</v>
      </c>
      <c r="H299" s="140" t="s">
        <v>1305</v>
      </c>
      <c r="J299" s="140">
        <f t="shared" si="59"/>
        <v>0</v>
      </c>
      <c r="K299" s="140" t="s">
        <v>1305</v>
      </c>
      <c r="M299" s="140">
        <f t="shared" si="60"/>
        <v>0</v>
      </c>
      <c r="N299" s="140" t="s">
        <v>1305</v>
      </c>
      <c r="P299" s="140">
        <f t="shared" si="61"/>
        <v>0</v>
      </c>
      <c r="Q299" s="140" t="s">
        <v>1305</v>
      </c>
      <c r="S299" s="140">
        <f t="shared" si="62"/>
        <v>0</v>
      </c>
      <c r="T299" s="140" t="s">
        <v>1305</v>
      </c>
      <c r="V299" s="140">
        <f t="shared" si="63"/>
        <v>0</v>
      </c>
    </row>
    <row r="300" spans="1:22" ht="15.75">
      <c r="A300" s="153" t="s">
        <v>1344</v>
      </c>
      <c r="B300" s="125" t="s">
        <v>833</v>
      </c>
      <c r="C300" s="130">
        <f t="shared" si="67"/>
        <v>70</v>
      </c>
      <c r="D300" s="180">
        <v>1</v>
      </c>
      <c r="E300" s="127" t="s">
        <v>822</v>
      </c>
      <c r="F300">
        <v>7</v>
      </c>
      <c r="G300" s="127">
        <f t="shared" si="58"/>
        <v>10</v>
      </c>
      <c r="H300" s="127" t="s">
        <v>1305</v>
      </c>
      <c r="J300" s="127">
        <f t="shared" si="59"/>
        <v>0</v>
      </c>
      <c r="K300" s="127" t="s">
        <v>1305</v>
      </c>
      <c r="M300" s="127">
        <f t="shared" si="60"/>
        <v>0</v>
      </c>
      <c r="N300" s="127" t="s">
        <v>1305</v>
      </c>
      <c r="P300" s="127">
        <f t="shared" si="61"/>
        <v>0</v>
      </c>
      <c r="Q300" s="127" t="s">
        <v>1305</v>
      </c>
      <c r="S300" s="127">
        <f t="shared" si="62"/>
        <v>0</v>
      </c>
      <c r="T300" s="127" t="s">
        <v>1305</v>
      </c>
      <c r="V300" s="127">
        <f t="shared" si="63"/>
        <v>0</v>
      </c>
    </row>
    <row r="301" spans="1:22" ht="15.75">
      <c r="A301" s="153" t="s">
        <v>1343</v>
      </c>
      <c r="B301" s="125" t="s">
        <v>834</v>
      </c>
      <c r="C301" s="130">
        <f t="shared" si="67"/>
        <v>30.25</v>
      </c>
      <c r="D301" s="180">
        <v>1</v>
      </c>
      <c r="E301" s="127" t="s">
        <v>822</v>
      </c>
      <c r="F301">
        <v>3</v>
      </c>
      <c r="G301" s="127">
        <f t="shared" si="58"/>
        <v>10</v>
      </c>
      <c r="H301" s="127" t="s">
        <v>1208</v>
      </c>
      <c r="I301" s="127">
        <v>2</v>
      </c>
      <c r="J301" s="127">
        <f t="shared" si="59"/>
        <v>0.125</v>
      </c>
      <c r="K301" s="127" t="s">
        <v>1305</v>
      </c>
      <c r="M301" s="127">
        <f t="shared" si="60"/>
        <v>0</v>
      </c>
      <c r="N301" s="127" t="s">
        <v>1305</v>
      </c>
      <c r="P301" s="127">
        <f t="shared" si="61"/>
        <v>0</v>
      </c>
      <c r="Q301" s="127" t="s">
        <v>1305</v>
      </c>
      <c r="S301" s="127">
        <f t="shared" si="62"/>
        <v>0</v>
      </c>
      <c r="T301" s="127" t="s">
        <v>1305</v>
      </c>
      <c r="V301" s="127">
        <f t="shared" si="63"/>
        <v>0</v>
      </c>
    </row>
    <row r="302" spans="1:22" ht="15.75">
      <c r="A302" s="153" t="s">
        <v>1343</v>
      </c>
      <c r="B302" s="125" t="s">
        <v>835</v>
      </c>
      <c r="C302" s="130">
        <f t="shared" si="67"/>
        <v>10.25</v>
      </c>
      <c r="D302" s="180">
        <v>1</v>
      </c>
      <c r="E302" s="127" t="s">
        <v>822</v>
      </c>
      <c r="F302">
        <v>1</v>
      </c>
      <c r="G302" s="127">
        <f t="shared" si="58"/>
        <v>10</v>
      </c>
      <c r="H302" s="127" t="s">
        <v>1208</v>
      </c>
      <c r="I302" s="127">
        <v>2</v>
      </c>
      <c r="J302" s="127">
        <f t="shared" si="59"/>
        <v>0.125</v>
      </c>
      <c r="K302" s="127" t="s">
        <v>1305</v>
      </c>
      <c r="M302" s="127">
        <f t="shared" si="60"/>
        <v>0</v>
      </c>
      <c r="N302" s="127" t="s">
        <v>1305</v>
      </c>
      <c r="P302" s="127">
        <f t="shared" si="61"/>
        <v>0</v>
      </c>
      <c r="Q302" s="127" t="s">
        <v>1305</v>
      </c>
      <c r="S302" s="127">
        <f t="shared" si="62"/>
        <v>0</v>
      </c>
      <c r="T302" s="127" t="s">
        <v>1305</v>
      </c>
      <c r="V302" s="127">
        <f t="shared" si="63"/>
        <v>0</v>
      </c>
    </row>
    <row r="303" spans="1:22" ht="15.75">
      <c r="A303" s="153" t="s">
        <v>1344</v>
      </c>
      <c r="B303" s="125" t="s">
        <v>836</v>
      </c>
      <c r="C303" s="130">
        <f t="shared" si="67"/>
        <v>20.125</v>
      </c>
      <c r="D303" s="180">
        <v>1</v>
      </c>
      <c r="E303" s="127" t="s">
        <v>822</v>
      </c>
      <c r="F303">
        <v>2</v>
      </c>
      <c r="G303" s="127">
        <f t="shared" si="58"/>
        <v>10</v>
      </c>
      <c r="H303" s="127" t="s">
        <v>1208</v>
      </c>
      <c r="I303" s="127">
        <v>1</v>
      </c>
      <c r="J303" s="127">
        <f t="shared" si="59"/>
        <v>0.125</v>
      </c>
      <c r="K303" s="127" t="s">
        <v>1305</v>
      </c>
      <c r="M303" s="127">
        <f t="shared" si="60"/>
        <v>0</v>
      </c>
      <c r="N303" s="127" t="s">
        <v>1305</v>
      </c>
      <c r="P303" s="127">
        <f t="shared" si="61"/>
        <v>0</v>
      </c>
      <c r="Q303" s="127" t="s">
        <v>1305</v>
      </c>
      <c r="S303" s="127">
        <f t="shared" si="62"/>
        <v>0</v>
      </c>
      <c r="T303" s="127" t="s">
        <v>1305</v>
      </c>
      <c r="V303" s="127">
        <f t="shared" si="63"/>
        <v>0</v>
      </c>
    </row>
    <row r="304" spans="1:22" s="137" customFormat="1" ht="15.75">
      <c r="A304" s="137" t="s">
        <v>1339</v>
      </c>
      <c r="B304" s="135" t="s">
        <v>837</v>
      </c>
      <c r="C304" s="136">
        <f>'ECONOMIA &amp; PROFESIONES'!K34</f>
        <v>1.6</v>
      </c>
      <c r="D304" s="180"/>
      <c r="E304" s="137" t="s">
        <v>1305</v>
      </c>
      <c r="G304" s="137">
        <f t="shared" si="58"/>
        <v>0</v>
      </c>
      <c r="H304" s="137" t="s">
        <v>1305</v>
      </c>
      <c r="J304" s="137">
        <f t="shared" si="59"/>
        <v>0</v>
      </c>
      <c r="K304" s="137" t="s">
        <v>1305</v>
      </c>
      <c r="M304" s="137">
        <f t="shared" si="60"/>
        <v>0</v>
      </c>
      <c r="N304" s="137" t="s">
        <v>1305</v>
      </c>
      <c r="P304" s="137">
        <f t="shared" si="61"/>
        <v>0</v>
      </c>
      <c r="Q304" s="137" t="s">
        <v>1305</v>
      </c>
      <c r="S304" s="137">
        <f t="shared" si="62"/>
        <v>0</v>
      </c>
      <c r="T304" s="137" t="s">
        <v>1305</v>
      </c>
      <c r="V304" s="137">
        <f t="shared" si="63"/>
        <v>0</v>
      </c>
    </row>
    <row r="305" spans="1:22" ht="15.75">
      <c r="A305" s="153" t="s">
        <v>1346</v>
      </c>
      <c r="B305" s="125" t="s">
        <v>838</v>
      </c>
      <c r="C305" s="130">
        <f t="shared" si="67"/>
        <v>0.80000000000000016</v>
      </c>
      <c r="D305" s="180">
        <v>6</v>
      </c>
      <c r="E305" s="127" t="s">
        <v>837</v>
      </c>
      <c r="F305">
        <v>3</v>
      </c>
      <c r="G305" s="127">
        <f t="shared" si="58"/>
        <v>1.6</v>
      </c>
      <c r="H305" s="127" t="s">
        <v>1305</v>
      </c>
      <c r="J305" s="127">
        <f t="shared" si="59"/>
        <v>0</v>
      </c>
      <c r="K305" s="127" t="s">
        <v>1305</v>
      </c>
      <c r="M305" s="127">
        <f t="shared" si="60"/>
        <v>0</v>
      </c>
      <c r="N305" s="127" t="s">
        <v>1305</v>
      </c>
      <c r="P305" s="127">
        <f t="shared" si="61"/>
        <v>0</v>
      </c>
      <c r="Q305" s="127" t="s">
        <v>1305</v>
      </c>
      <c r="S305" s="127">
        <f t="shared" si="62"/>
        <v>0</v>
      </c>
      <c r="T305" s="127" t="s">
        <v>1305</v>
      </c>
      <c r="V305" s="127">
        <f t="shared" si="63"/>
        <v>0</v>
      </c>
    </row>
    <row r="306" spans="1:22" ht="15.75">
      <c r="A306" s="153" t="s">
        <v>1346</v>
      </c>
      <c r="B306" s="125" t="s">
        <v>839</v>
      </c>
      <c r="C306" s="130">
        <f t="shared" si="67"/>
        <v>2.4000000000000004</v>
      </c>
      <c r="D306" s="180">
        <v>4</v>
      </c>
      <c r="E306" s="127" t="s">
        <v>837</v>
      </c>
      <c r="F306">
        <v>6</v>
      </c>
      <c r="G306" s="127">
        <f t="shared" si="58"/>
        <v>1.6</v>
      </c>
      <c r="H306" s="127" t="s">
        <v>1305</v>
      </c>
      <c r="J306" s="127">
        <f t="shared" si="59"/>
        <v>0</v>
      </c>
      <c r="K306" s="127" t="s">
        <v>1305</v>
      </c>
      <c r="M306" s="127">
        <f t="shared" si="60"/>
        <v>0</v>
      </c>
      <c r="N306" s="127" t="s">
        <v>1305</v>
      </c>
      <c r="P306" s="127">
        <f t="shared" si="61"/>
        <v>0</v>
      </c>
      <c r="Q306" s="127" t="s">
        <v>1305</v>
      </c>
      <c r="S306" s="127">
        <f t="shared" si="62"/>
        <v>0</v>
      </c>
      <c r="T306" s="127" t="s">
        <v>1305</v>
      </c>
      <c r="V306" s="127">
        <f t="shared" si="63"/>
        <v>0</v>
      </c>
    </row>
    <row r="307" spans="1:22" ht="15.75">
      <c r="A307" s="153" t="s">
        <v>1346</v>
      </c>
      <c r="B307" s="125" t="s">
        <v>840</v>
      </c>
      <c r="C307" s="130">
        <f t="shared" si="67"/>
        <v>1.6000000000000003</v>
      </c>
      <c r="D307" s="180">
        <v>6</v>
      </c>
      <c r="E307" s="127" t="s">
        <v>837</v>
      </c>
      <c r="F307">
        <v>6</v>
      </c>
      <c r="G307" s="127">
        <f t="shared" si="58"/>
        <v>1.6</v>
      </c>
      <c r="H307" s="127" t="s">
        <v>1305</v>
      </c>
      <c r="J307" s="127">
        <f t="shared" si="59"/>
        <v>0</v>
      </c>
      <c r="K307" s="127" t="s">
        <v>1305</v>
      </c>
      <c r="M307" s="127">
        <f t="shared" si="60"/>
        <v>0</v>
      </c>
      <c r="N307" s="127" t="s">
        <v>1305</v>
      </c>
      <c r="P307" s="127">
        <f t="shared" si="61"/>
        <v>0</v>
      </c>
      <c r="Q307" s="127" t="s">
        <v>1305</v>
      </c>
      <c r="S307" s="127">
        <f t="shared" si="62"/>
        <v>0</v>
      </c>
      <c r="T307" s="127" t="s">
        <v>1305</v>
      </c>
      <c r="V307" s="127">
        <f t="shared" si="63"/>
        <v>0</v>
      </c>
    </row>
    <row r="308" spans="1:22" s="167" customFormat="1" ht="15.75">
      <c r="B308" s="165" t="s">
        <v>841</v>
      </c>
      <c r="C308" s="166">
        <v>0</v>
      </c>
      <c r="D308" s="180"/>
      <c r="E308" s="167" t="s">
        <v>1305</v>
      </c>
      <c r="G308" s="167">
        <f t="shared" si="58"/>
        <v>0</v>
      </c>
      <c r="H308" s="167" t="s">
        <v>1305</v>
      </c>
      <c r="J308" s="167">
        <f t="shared" si="59"/>
        <v>0</v>
      </c>
      <c r="K308" s="167" t="s">
        <v>1305</v>
      </c>
      <c r="M308" s="167">
        <f t="shared" si="60"/>
        <v>0</v>
      </c>
      <c r="N308" s="167" t="s">
        <v>1305</v>
      </c>
      <c r="P308" s="167">
        <f t="shared" si="61"/>
        <v>0</v>
      </c>
      <c r="Q308" s="167" t="s">
        <v>1305</v>
      </c>
      <c r="S308" s="167">
        <f t="shared" si="62"/>
        <v>0</v>
      </c>
      <c r="T308" s="167" t="s">
        <v>1305</v>
      </c>
      <c r="V308" s="167">
        <f t="shared" si="63"/>
        <v>0</v>
      </c>
    </row>
    <row r="309" spans="1:22" s="167" customFormat="1" ht="15.75">
      <c r="B309" s="165" t="s">
        <v>842</v>
      </c>
      <c r="C309" s="166">
        <v>0.1</v>
      </c>
      <c r="D309" s="180"/>
      <c r="E309" s="167" t="s">
        <v>1305</v>
      </c>
      <c r="G309" s="167">
        <f t="shared" si="58"/>
        <v>0</v>
      </c>
      <c r="H309" s="167" t="s">
        <v>1305</v>
      </c>
      <c r="J309" s="167">
        <f t="shared" si="59"/>
        <v>0</v>
      </c>
      <c r="K309" s="167" t="s">
        <v>1305</v>
      </c>
      <c r="M309" s="167">
        <f t="shared" si="60"/>
        <v>0</v>
      </c>
      <c r="N309" s="167" t="s">
        <v>1305</v>
      </c>
      <c r="P309" s="167">
        <f t="shared" si="61"/>
        <v>0</v>
      </c>
      <c r="Q309" s="167" t="s">
        <v>1305</v>
      </c>
      <c r="S309" s="167">
        <f t="shared" si="62"/>
        <v>0</v>
      </c>
      <c r="T309" s="167" t="s">
        <v>1305</v>
      </c>
      <c r="V309" s="167">
        <f t="shared" si="63"/>
        <v>0</v>
      </c>
    </row>
    <row r="310" spans="1:22" s="167" customFormat="1" ht="15.75">
      <c r="B310" s="165" t="s">
        <v>843</v>
      </c>
      <c r="C310" s="166">
        <f t="shared" si="64"/>
        <v>0</v>
      </c>
      <c r="D310" s="180"/>
      <c r="E310" s="167" t="s">
        <v>1305</v>
      </c>
      <c r="G310" s="167">
        <f t="shared" si="58"/>
        <v>0</v>
      </c>
      <c r="H310" s="167" t="s">
        <v>1305</v>
      </c>
      <c r="J310" s="167">
        <f t="shared" si="59"/>
        <v>0</v>
      </c>
      <c r="K310" s="167" t="s">
        <v>1305</v>
      </c>
      <c r="M310" s="167">
        <f t="shared" si="60"/>
        <v>0</v>
      </c>
      <c r="N310" s="167" t="s">
        <v>1305</v>
      </c>
      <c r="P310" s="167">
        <f t="shared" si="61"/>
        <v>0</v>
      </c>
      <c r="Q310" s="167" t="s">
        <v>1305</v>
      </c>
      <c r="S310" s="167">
        <f t="shared" si="62"/>
        <v>0</v>
      </c>
      <c r="T310" s="167" t="s">
        <v>1305</v>
      </c>
      <c r="V310" s="167">
        <f t="shared" si="63"/>
        <v>0</v>
      </c>
    </row>
    <row r="311" spans="1:22" s="137" customFormat="1" ht="15.75">
      <c r="A311" s="137" t="s">
        <v>1339</v>
      </c>
      <c r="B311" s="135" t="s">
        <v>844</v>
      </c>
      <c r="C311" s="136">
        <f>'ECONOMIA &amp; PROFESIONES'!C32</f>
        <v>1</v>
      </c>
      <c r="D311" s="180"/>
      <c r="E311" s="137" t="s">
        <v>1305</v>
      </c>
      <c r="G311" s="137">
        <f t="shared" si="58"/>
        <v>0</v>
      </c>
      <c r="H311" s="137" t="s">
        <v>1305</v>
      </c>
      <c r="J311" s="137">
        <f t="shared" si="59"/>
        <v>0</v>
      </c>
      <c r="K311" s="137" t="s">
        <v>1305</v>
      </c>
      <c r="M311" s="137">
        <f t="shared" si="60"/>
        <v>0</v>
      </c>
      <c r="N311" s="137" t="s">
        <v>1305</v>
      </c>
      <c r="P311" s="137">
        <f t="shared" si="61"/>
        <v>0</v>
      </c>
      <c r="Q311" s="137" t="s">
        <v>1305</v>
      </c>
      <c r="S311" s="137">
        <f t="shared" si="62"/>
        <v>0</v>
      </c>
      <c r="T311" s="137" t="s">
        <v>1305</v>
      </c>
      <c r="V311" s="137">
        <f t="shared" si="63"/>
        <v>0</v>
      </c>
    </row>
    <row r="312" spans="1:22" ht="15.75">
      <c r="A312" s="153" t="s">
        <v>1351</v>
      </c>
      <c r="B312" s="125" t="s">
        <v>845</v>
      </c>
      <c r="C312" s="130">
        <f t="shared" ref="C312:C342" si="68">((G312*F312)+(I312*J312)+(L312*M312)+(O312*P312)+(R312*S312)+(U312*V312))/D312</f>
        <v>66.125</v>
      </c>
      <c r="D312" s="180">
        <v>1</v>
      </c>
      <c r="E312" s="143" t="s">
        <v>856</v>
      </c>
      <c r="F312" s="143">
        <v>6</v>
      </c>
      <c r="G312" s="143">
        <f t="shared" si="58"/>
        <v>11</v>
      </c>
      <c r="H312" s="143" t="s">
        <v>1208</v>
      </c>
      <c r="I312" s="143">
        <v>1</v>
      </c>
      <c r="J312" s="127">
        <f t="shared" si="59"/>
        <v>0.125</v>
      </c>
      <c r="K312" s="127" t="s">
        <v>1305</v>
      </c>
      <c r="M312" s="127">
        <f t="shared" si="60"/>
        <v>0</v>
      </c>
      <c r="N312" s="127" t="s">
        <v>1305</v>
      </c>
      <c r="P312" s="127">
        <f t="shared" si="61"/>
        <v>0</v>
      </c>
      <c r="Q312" s="127" t="s">
        <v>1305</v>
      </c>
      <c r="S312" s="127">
        <f t="shared" si="62"/>
        <v>0</v>
      </c>
      <c r="T312" s="127" t="s">
        <v>1305</v>
      </c>
      <c r="V312" s="127">
        <f t="shared" si="63"/>
        <v>0</v>
      </c>
    </row>
    <row r="313" spans="1:22" ht="15.75">
      <c r="A313" s="153" t="s">
        <v>1351</v>
      </c>
      <c r="B313" s="125" t="s">
        <v>846</v>
      </c>
      <c r="C313" s="130">
        <f t="shared" si="68"/>
        <v>33.75</v>
      </c>
      <c r="D313" s="180">
        <v>1</v>
      </c>
      <c r="E313" s="143" t="s">
        <v>856</v>
      </c>
      <c r="F313" s="143">
        <v>3</v>
      </c>
      <c r="G313" s="143">
        <f t="shared" si="58"/>
        <v>11</v>
      </c>
      <c r="H313" s="143" t="s">
        <v>1026</v>
      </c>
      <c r="I313" s="143">
        <v>3</v>
      </c>
      <c r="J313" s="127">
        <f t="shared" si="59"/>
        <v>0.25</v>
      </c>
      <c r="K313" s="127" t="s">
        <v>1305</v>
      </c>
      <c r="M313" s="127">
        <f t="shared" si="60"/>
        <v>0</v>
      </c>
      <c r="N313" s="127" t="s">
        <v>1305</v>
      </c>
      <c r="P313" s="127">
        <f t="shared" si="61"/>
        <v>0</v>
      </c>
      <c r="Q313" s="127" t="s">
        <v>1305</v>
      </c>
      <c r="S313" s="127">
        <f t="shared" si="62"/>
        <v>0</v>
      </c>
      <c r="T313" s="127" t="s">
        <v>1305</v>
      </c>
      <c r="V313" s="127">
        <f t="shared" si="63"/>
        <v>0</v>
      </c>
    </row>
    <row r="314" spans="1:22" ht="15.75">
      <c r="A314" s="153" t="s">
        <v>1351</v>
      </c>
      <c r="B314" s="125" t="s">
        <v>847</v>
      </c>
      <c r="C314" s="130">
        <f t="shared" si="68"/>
        <v>7.333333333333333</v>
      </c>
      <c r="D314" s="180">
        <v>3</v>
      </c>
      <c r="E314" s="143" t="s">
        <v>856</v>
      </c>
      <c r="F314" s="143">
        <v>2</v>
      </c>
      <c r="G314" s="143">
        <f t="shared" si="58"/>
        <v>11</v>
      </c>
      <c r="H314" s="143" t="s">
        <v>1305</v>
      </c>
      <c r="I314" s="143"/>
      <c r="J314" s="127">
        <f t="shared" si="59"/>
        <v>0</v>
      </c>
      <c r="K314" s="127" t="s">
        <v>1305</v>
      </c>
      <c r="M314" s="127">
        <f t="shared" si="60"/>
        <v>0</v>
      </c>
      <c r="N314" s="127" t="s">
        <v>1305</v>
      </c>
      <c r="P314" s="127">
        <f t="shared" si="61"/>
        <v>0</v>
      </c>
      <c r="Q314" s="127" t="s">
        <v>1305</v>
      </c>
      <c r="S314" s="127">
        <f t="shared" si="62"/>
        <v>0</v>
      </c>
      <c r="T314" s="127" t="s">
        <v>1305</v>
      </c>
      <c r="V314" s="127">
        <f t="shared" si="63"/>
        <v>0</v>
      </c>
    </row>
    <row r="315" spans="1:22" ht="15.75">
      <c r="A315" s="153" t="s">
        <v>1351</v>
      </c>
      <c r="B315" s="125" t="s">
        <v>848</v>
      </c>
      <c r="C315" s="130">
        <f t="shared" si="68"/>
        <v>3.4375</v>
      </c>
      <c r="D315" s="180">
        <v>1</v>
      </c>
      <c r="E315" s="143" t="s">
        <v>849</v>
      </c>
      <c r="F315" s="143">
        <v>1</v>
      </c>
      <c r="G315" s="143">
        <f t="shared" si="58"/>
        <v>3.4375</v>
      </c>
      <c r="H315" s="143" t="s">
        <v>1305</v>
      </c>
      <c r="I315" s="143"/>
      <c r="J315" s="127">
        <f t="shared" si="59"/>
        <v>0</v>
      </c>
      <c r="K315" s="127" t="s">
        <v>1305</v>
      </c>
      <c r="M315" s="127">
        <f t="shared" si="60"/>
        <v>0</v>
      </c>
      <c r="N315" s="127" t="s">
        <v>1305</v>
      </c>
      <c r="P315" s="127">
        <f t="shared" si="61"/>
        <v>0</v>
      </c>
      <c r="Q315" s="127" t="s">
        <v>1305</v>
      </c>
      <c r="S315" s="127">
        <f t="shared" si="62"/>
        <v>0</v>
      </c>
      <c r="T315" s="127" t="s">
        <v>1305</v>
      </c>
      <c r="V315" s="127">
        <f t="shared" si="63"/>
        <v>0</v>
      </c>
    </row>
    <row r="316" spans="1:22" ht="15.75">
      <c r="A316" s="153" t="s">
        <v>1351</v>
      </c>
      <c r="B316" s="125" t="s">
        <v>849</v>
      </c>
      <c r="C316" s="130">
        <f t="shared" si="68"/>
        <v>3.4375</v>
      </c>
      <c r="D316" s="180">
        <v>8</v>
      </c>
      <c r="E316" s="143" t="s">
        <v>1158</v>
      </c>
      <c r="F316" s="143">
        <v>4</v>
      </c>
      <c r="G316" s="143">
        <f t="shared" si="58"/>
        <v>5</v>
      </c>
      <c r="H316" s="143" t="s">
        <v>844</v>
      </c>
      <c r="I316" s="143">
        <v>4</v>
      </c>
      <c r="J316" s="127">
        <f t="shared" si="59"/>
        <v>1</v>
      </c>
      <c r="K316" s="143" t="s">
        <v>850</v>
      </c>
      <c r="L316" s="127">
        <v>1</v>
      </c>
      <c r="M316" s="127">
        <f t="shared" si="60"/>
        <v>3.5</v>
      </c>
      <c r="N316" s="127" t="s">
        <v>1305</v>
      </c>
      <c r="P316" s="127">
        <f t="shared" si="61"/>
        <v>0</v>
      </c>
      <c r="Q316" s="127" t="s">
        <v>1305</v>
      </c>
      <c r="S316" s="127">
        <f t="shared" si="62"/>
        <v>0</v>
      </c>
      <c r="T316" s="127" t="s">
        <v>1305</v>
      </c>
      <c r="V316" s="127">
        <f t="shared" si="63"/>
        <v>0</v>
      </c>
    </row>
    <row r="317" spans="1:22" s="13" customFormat="1" ht="15.75">
      <c r="A317" s="153" t="s">
        <v>1351</v>
      </c>
      <c r="B317" s="144" t="s">
        <v>850</v>
      </c>
      <c r="C317" s="130">
        <f t="shared" si="68"/>
        <v>3.5</v>
      </c>
      <c r="D317" s="180">
        <v>1</v>
      </c>
      <c r="E317" s="13" t="s">
        <v>587</v>
      </c>
      <c r="F317" s="13">
        <v>1</v>
      </c>
      <c r="G317" s="13">
        <f t="shared" si="58"/>
        <v>1</v>
      </c>
      <c r="H317" s="13" t="s">
        <v>1267</v>
      </c>
      <c r="I317" s="13">
        <v>1</v>
      </c>
      <c r="J317" s="13">
        <f t="shared" si="59"/>
        <v>2.5</v>
      </c>
      <c r="K317" s="13" t="s">
        <v>1305</v>
      </c>
      <c r="M317" s="13">
        <f t="shared" si="60"/>
        <v>0</v>
      </c>
      <c r="N317" s="13" t="s">
        <v>1305</v>
      </c>
      <c r="P317" s="13">
        <f t="shared" si="61"/>
        <v>0</v>
      </c>
      <c r="Q317" s="13" t="s">
        <v>1305</v>
      </c>
      <c r="S317" s="13">
        <f t="shared" si="62"/>
        <v>0</v>
      </c>
      <c r="T317" s="13" t="s">
        <v>1305</v>
      </c>
      <c r="V317" s="13">
        <f t="shared" si="63"/>
        <v>0</v>
      </c>
    </row>
    <row r="318" spans="1:22" ht="15.75">
      <c r="A318" s="153" t="s">
        <v>1351</v>
      </c>
      <c r="B318" s="125" t="s">
        <v>851</v>
      </c>
      <c r="C318" s="130">
        <f t="shared" si="68"/>
        <v>34.625</v>
      </c>
      <c r="D318" s="180">
        <v>1</v>
      </c>
      <c r="E318" s="143" t="s">
        <v>855</v>
      </c>
      <c r="F318" s="143">
        <v>1</v>
      </c>
      <c r="G318" s="143">
        <f t="shared" si="58"/>
        <v>31.625</v>
      </c>
      <c r="H318" s="143" t="s">
        <v>672</v>
      </c>
      <c r="I318" s="143">
        <v>1</v>
      </c>
      <c r="J318" s="127">
        <f t="shared" ref="J318:J380" si="69">VLOOKUP(H318,IDPOINTS,2,FALSE)</f>
        <v>3</v>
      </c>
      <c r="K318" s="127" t="s">
        <v>1305</v>
      </c>
      <c r="M318" s="127">
        <f t="shared" ref="M318:M380" si="70">VLOOKUP(K318,IDPOINTS,2,FALSE)</f>
        <v>0</v>
      </c>
      <c r="N318" s="127" t="s">
        <v>1305</v>
      </c>
      <c r="P318" s="127">
        <f t="shared" ref="P318:P380" si="71">VLOOKUP(N318,IDPOINTS,2,FALSE)</f>
        <v>0</v>
      </c>
      <c r="Q318" s="127" t="s">
        <v>1305</v>
      </c>
      <c r="S318" s="127">
        <f t="shared" ref="S318:S380" si="72">VLOOKUP(Q318,IDPOINTS,2,FALSE)</f>
        <v>0</v>
      </c>
      <c r="T318" s="127" t="s">
        <v>1305</v>
      </c>
      <c r="V318" s="127">
        <f t="shared" ref="V318:V380" si="73">VLOOKUP(T318,IDPOINTS,2,FALSE)</f>
        <v>0</v>
      </c>
    </row>
    <row r="319" spans="1:22" ht="15.75">
      <c r="A319" s="153" t="s">
        <v>1351</v>
      </c>
      <c r="B319" s="125" t="s">
        <v>852</v>
      </c>
      <c r="C319" s="130">
        <f t="shared" si="68"/>
        <v>14.5</v>
      </c>
      <c r="D319" s="180">
        <v>1</v>
      </c>
      <c r="E319" s="143" t="s">
        <v>850</v>
      </c>
      <c r="F319" s="143">
        <v>1</v>
      </c>
      <c r="G319" s="143">
        <f t="shared" ref="G319:G328" si="74">VLOOKUP(E319,IDPOINTS,2,FALSE)</f>
        <v>3.5</v>
      </c>
      <c r="H319" s="143" t="s">
        <v>1170</v>
      </c>
      <c r="I319" s="143">
        <v>1</v>
      </c>
      <c r="J319" s="127">
        <f t="shared" si="69"/>
        <v>11</v>
      </c>
      <c r="K319" s="127" t="s">
        <v>1305</v>
      </c>
      <c r="M319" s="127">
        <f t="shared" si="70"/>
        <v>0</v>
      </c>
      <c r="N319" s="127" t="s">
        <v>1305</v>
      </c>
      <c r="P319" s="127">
        <f t="shared" si="71"/>
        <v>0</v>
      </c>
      <c r="Q319" s="127" t="s">
        <v>1305</v>
      </c>
      <c r="S319" s="127">
        <f t="shared" si="72"/>
        <v>0</v>
      </c>
      <c r="T319" s="127" t="s">
        <v>1305</v>
      </c>
      <c r="V319" s="127">
        <f t="shared" si="73"/>
        <v>0</v>
      </c>
    </row>
    <row r="320" spans="1:22" ht="15.75">
      <c r="A320" s="153" t="s">
        <v>1351</v>
      </c>
      <c r="B320" s="125" t="s">
        <v>853</v>
      </c>
      <c r="C320" s="130">
        <f t="shared" si="68"/>
        <v>8.4375</v>
      </c>
      <c r="D320" s="180">
        <v>8</v>
      </c>
      <c r="E320" s="143" t="s">
        <v>814</v>
      </c>
      <c r="F320" s="143">
        <v>8</v>
      </c>
      <c r="G320" s="143">
        <f t="shared" si="74"/>
        <v>8</v>
      </c>
      <c r="H320" s="143" t="s">
        <v>850</v>
      </c>
      <c r="I320" s="143">
        <v>1</v>
      </c>
      <c r="J320" s="127">
        <f t="shared" si="69"/>
        <v>3.5</v>
      </c>
      <c r="K320" s="127" t="s">
        <v>1305</v>
      </c>
      <c r="M320" s="127">
        <f t="shared" si="70"/>
        <v>0</v>
      </c>
      <c r="N320" s="127" t="s">
        <v>1305</v>
      </c>
      <c r="P320" s="127">
        <f t="shared" si="71"/>
        <v>0</v>
      </c>
      <c r="Q320" s="127" t="s">
        <v>1305</v>
      </c>
      <c r="S320" s="127">
        <f t="shared" si="72"/>
        <v>0</v>
      </c>
      <c r="T320" s="127" t="s">
        <v>1305</v>
      </c>
      <c r="V320" s="127">
        <f t="shared" si="73"/>
        <v>0</v>
      </c>
    </row>
    <row r="321" spans="1:22" ht="15.75">
      <c r="A321" s="153" t="s">
        <v>1351</v>
      </c>
      <c r="B321" s="125" t="s">
        <v>854</v>
      </c>
      <c r="C321" s="130">
        <f t="shared" si="68"/>
        <v>3.1640625</v>
      </c>
      <c r="D321" s="180">
        <v>16</v>
      </c>
      <c r="E321" s="143" t="s">
        <v>853</v>
      </c>
      <c r="F321" s="143">
        <v>6</v>
      </c>
      <c r="G321" s="143">
        <f t="shared" si="74"/>
        <v>8.4375</v>
      </c>
      <c r="H321" s="143" t="s">
        <v>1305</v>
      </c>
      <c r="I321" s="143"/>
      <c r="J321" s="127">
        <f t="shared" si="69"/>
        <v>0</v>
      </c>
      <c r="K321" s="127" t="s">
        <v>1305</v>
      </c>
      <c r="M321" s="127">
        <f t="shared" si="70"/>
        <v>0</v>
      </c>
      <c r="N321" s="127" t="s">
        <v>1305</v>
      </c>
      <c r="P321" s="127">
        <f t="shared" si="71"/>
        <v>0</v>
      </c>
      <c r="Q321" s="127" t="s">
        <v>1305</v>
      </c>
      <c r="S321" s="127">
        <f t="shared" si="72"/>
        <v>0</v>
      </c>
      <c r="T321" s="127" t="s">
        <v>1305</v>
      </c>
      <c r="V321" s="127">
        <f t="shared" si="73"/>
        <v>0</v>
      </c>
    </row>
    <row r="322" spans="1:22" ht="15.75">
      <c r="A322" s="153" t="s">
        <v>1351</v>
      </c>
      <c r="B322" s="125" t="s">
        <v>855</v>
      </c>
      <c r="C322" s="130">
        <f t="shared" si="68"/>
        <v>31.625</v>
      </c>
      <c r="D322" s="180">
        <v>8</v>
      </c>
      <c r="E322" s="143" t="s">
        <v>1245</v>
      </c>
      <c r="F322" s="143">
        <v>8</v>
      </c>
      <c r="G322" s="143">
        <f t="shared" si="74"/>
        <v>31</v>
      </c>
      <c r="H322" s="143" t="s">
        <v>862</v>
      </c>
      <c r="I322" s="143">
        <v>1</v>
      </c>
      <c r="J322" s="127">
        <f t="shared" si="69"/>
        <v>5</v>
      </c>
      <c r="K322" s="127" t="s">
        <v>1305</v>
      </c>
      <c r="M322" s="127">
        <f t="shared" si="70"/>
        <v>0</v>
      </c>
      <c r="N322" s="127" t="s">
        <v>1305</v>
      </c>
      <c r="P322" s="127">
        <f t="shared" si="71"/>
        <v>0</v>
      </c>
      <c r="Q322" s="127" t="s">
        <v>1305</v>
      </c>
      <c r="S322" s="127">
        <f t="shared" si="72"/>
        <v>0</v>
      </c>
      <c r="T322" s="127" t="s">
        <v>1305</v>
      </c>
      <c r="V322" s="127">
        <f t="shared" si="73"/>
        <v>0</v>
      </c>
    </row>
    <row r="323" spans="1:22" ht="15.75">
      <c r="A323" s="153" t="s">
        <v>1351</v>
      </c>
      <c r="B323" s="125" t="s">
        <v>856</v>
      </c>
      <c r="C323" s="130">
        <f t="shared" si="68"/>
        <v>11</v>
      </c>
      <c r="D323" s="180">
        <v>1</v>
      </c>
      <c r="E323" s="143" t="s">
        <v>1274</v>
      </c>
      <c r="F323" s="143">
        <v>1</v>
      </c>
      <c r="G323" s="143">
        <f t="shared" si="74"/>
        <v>6</v>
      </c>
      <c r="H323" s="143" t="s">
        <v>862</v>
      </c>
      <c r="I323" s="143">
        <v>1</v>
      </c>
      <c r="J323" s="127">
        <f t="shared" si="69"/>
        <v>5</v>
      </c>
      <c r="K323" s="127" t="s">
        <v>1305</v>
      </c>
      <c r="M323" s="127">
        <f t="shared" si="70"/>
        <v>0</v>
      </c>
      <c r="N323" s="127" t="s">
        <v>1305</v>
      </c>
      <c r="P323" s="127">
        <f t="shared" si="71"/>
        <v>0</v>
      </c>
      <c r="Q323" s="127" t="s">
        <v>1305</v>
      </c>
      <c r="S323" s="127">
        <f t="shared" si="72"/>
        <v>0</v>
      </c>
      <c r="T323" s="127" t="s">
        <v>1305</v>
      </c>
      <c r="V323" s="127">
        <f t="shared" si="73"/>
        <v>0</v>
      </c>
    </row>
    <row r="324" spans="1:22" ht="15.75">
      <c r="A324" s="153" t="s">
        <v>1351</v>
      </c>
      <c r="B324" s="125" t="s">
        <v>857</v>
      </c>
      <c r="C324" s="130">
        <f t="shared" si="68"/>
        <v>66.125</v>
      </c>
      <c r="D324" s="180">
        <v>1</v>
      </c>
      <c r="E324" s="143" t="s">
        <v>868</v>
      </c>
      <c r="F324" s="143">
        <v>6</v>
      </c>
      <c r="G324" s="143">
        <f t="shared" si="74"/>
        <v>11</v>
      </c>
      <c r="H324" s="143" t="s">
        <v>1208</v>
      </c>
      <c r="I324" s="143">
        <v>1</v>
      </c>
      <c r="J324" s="127">
        <f t="shared" si="69"/>
        <v>0.125</v>
      </c>
      <c r="K324" s="127" t="s">
        <v>1305</v>
      </c>
      <c r="M324" s="127">
        <f t="shared" si="70"/>
        <v>0</v>
      </c>
      <c r="N324" s="127" t="s">
        <v>1305</v>
      </c>
      <c r="P324" s="127">
        <f t="shared" si="71"/>
        <v>0</v>
      </c>
      <c r="Q324" s="127" t="s">
        <v>1305</v>
      </c>
      <c r="S324" s="127">
        <f t="shared" si="72"/>
        <v>0</v>
      </c>
      <c r="T324" s="127" t="s">
        <v>1305</v>
      </c>
      <c r="V324" s="127">
        <f t="shared" si="73"/>
        <v>0</v>
      </c>
    </row>
    <row r="325" spans="1:22" ht="15.75">
      <c r="A325" s="153" t="s">
        <v>1351</v>
      </c>
      <c r="B325" s="125" t="s">
        <v>858</v>
      </c>
      <c r="C325" s="130">
        <f t="shared" si="68"/>
        <v>33.75</v>
      </c>
      <c r="D325" s="180">
        <v>1</v>
      </c>
      <c r="E325" s="143" t="s">
        <v>868</v>
      </c>
      <c r="F325" s="143">
        <v>3</v>
      </c>
      <c r="G325" s="143">
        <f t="shared" si="74"/>
        <v>11</v>
      </c>
      <c r="H325" s="143" t="s">
        <v>1026</v>
      </c>
      <c r="I325" s="143">
        <v>3</v>
      </c>
      <c r="J325" s="127">
        <f t="shared" si="69"/>
        <v>0.25</v>
      </c>
      <c r="K325" s="127" t="s">
        <v>1305</v>
      </c>
      <c r="M325" s="127">
        <f t="shared" si="70"/>
        <v>0</v>
      </c>
      <c r="N325" s="127" t="s">
        <v>1305</v>
      </c>
      <c r="P325" s="127">
        <f t="shared" si="71"/>
        <v>0</v>
      </c>
      <c r="Q325" s="127" t="s">
        <v>1305</v>
      </c>
      <c r="S325" s="127">
        <f t="shared" si="72"/>
        <v>0</v>
      </c>
      <c r="T325" s="127" t="s">
        <v>1305</v>
      </c>
      <c r="V325" s="127">
        <f t="shared" si="73"/>
        <v>0</v>
      </c>
    </row>
    <row r="326" spans="1:22" ht="15.75">
      <c r="A326" s="153" t="s">
        <v>1351</v>
      </c>
      <c r="B326" s="125" t="s">
        <v>859</v>
      </c>
      <c r="C326" s="130">
        <f t="shared" si="68"/>
        <v>7.333333333333333</v>
      </c>
      <c r="D326" s="180">
        <v>3</v>
      </c>
      <c r="E326" s="143" t="s">
        <v>868</v>
      </c>
      <c r="F326" s="143">
        <v>2</v>
      </c>
      <c r="G326" s="143">
        <f t="shared" si="74"/>
        <v>11</v>
      </c>
      <c r="H326" s="143" t="s">
        <v>1305</v>
      </c>
      <c r="I326" s="143"/>
      <c r="J326" s="127">
        <f t="shared" si="69"/>
        <v>0</v>
      </c>
      <c r="K326" s="127" t="s">
        <v>1305</v>
      </c>
      <c r="M326" s="127">
        <f t="shared" si="70"/>
        <v>0</v>
      </c>
      <c r="N326" s="127" t="s">
        <v>1305</v>
      </c>
      <c r="P326" s="127">
        <f t="shared" si="71"/>
        <v>0</v>
      </c>
      <c r="Q326" s="127" t="s">
        <v>1305</v>
      </c>
      <c r="S326" s="127">
        <f t="shared" si="72"/>
        <v>0</v>
      </c>
      <c r="T326" s="127" t="s">
        <v>1305</v>
      </c>
      <c r="V326" s="127">
        <f t="shared" si="73"/>
        <v>0</v>
      </c>
    </row>
    <row r="327" spans="1:22" ht="15.75">
      <c r="A327" s="153" t="s">
        <v>1351</v>
      </c>
      <c r="B327" s="125" t="s">
        <v>860</v>
      </c>
      <c r="C327" s="130">
        <f t="shared" si="68"/>
        <v>3</v>
      </c>
      <c r="D327" s="180">
        <v>1</v>
      </c>
      <c r="E327" s="143" t="s">
        <v>861</v>
      </c>
      <c r="F327" s="143">
        <v>1</v>
      </c>
      <c r="G327" s="143">
        <f t="shared" si="74"/>
        <v>3</v>
      </c>
      <c r="H327" s="143" t="s">
        <v>1305</v>
      </c>
      <c r="I327" s="143"/>
      <c r="J327" s="127">
        <f t="shared" si="69"/>
        <v>0</v>
      </c>
      <c r="K327" s="127" t="s">
        <v>1305</v>
      </c>
      <c r="M327" s="127">
        <f t="shared" si="70"/>
        <v>0</v>
      </c>
      <c r="N327" s="127" t="s">
        <v>1305</v>
      </c>
      <c r="P327" s="127">
        <f t="shared" si="71"/>
        <v>0</v>
      </c>
      <c r="Q327" s="127" t="s">
        <v>1305</v>
      </c>
      <c r="S327" s="127">
        <f t="shared" si="72"/>
        <v>0</v>
      </c>
      <c r="T327" s="127" t="s">
        <v>1305</v>
      </c>
      <c r="V327" s="127">
        <f t="shared" si="73"/>
        <v>0</v>
      </c>
    </row>
    <row r="328" spans="1:22" ht="15.75">
      <c r="A328" s="153" t="s">
        <v>1351</v>
      </c>
      <c r="B328" s="125" t="s">
        <v>861</v>
      </c>
      <c r="C328" s="130">
        <f t="shared" si="68"/>
        <v>3</v>
      </c>
      <c r="D328" s="180">
        <v>8</v>
      </c>
      <c r="E328" s="143" t="s">
        <v>1158</v>
      </c>
      <c r="F328" s="143">
        <v>4</v>
      </c>
      <c r="G328" s="143">
        <f t="shared" si="74"/>
        <v>5</v>
      </c>
      <c r="H328" s="143" t="s">
        <v>844</v>
      </c>
      <c r="I328" s="143">
        <v>4</v>
      </c>
      <c r="J328" s="127">
        <f t="shared" si="69"/>
        <v>1</v>
      </c>
      <c r="K328" s="127" t="s">
        <v>1305</v>
      </c>
      <c r="M328" s="127">
        <f t="shared" si="70"/>
        <v>0</v>
      </c>
      <c r="N328" s="127" t="s">
        <v>1305</v>
      </c>
      <c r="P328" s="127">
        <f t="shared" si="71"/>
        <v>0</v>
      </c>
      <c r="Q328" s="127" t="s">
        <v>1305</v>
      </c>
      <c r="S328" s="127">
        <f t="shared" si="72"/>
        <v>0</v>
      </c>
      <c r="T328" s="127" t="s">
        <v>1305</v>
      </c>
      <c r="V328" s="127">
        <f t="shared" si="73"/>
        <v>0</v>
      </c>
    </row>
    <row r="329" spans="1:22" s="13" customFormat="1" ht="15.75">
      <c r="A329" s="153" t="s">
        <v>1351</v>
      </c>
      <c r="B329" s="144" t="s">
        <v>862</v>
      </c>
      <c r="C329" s="130">
        <f t="shared" si="68"/>
        <v>5</v>
      </c>
      <c r="D329" s="180">
        <v>1</v>
      </c>
      <c r="E329" s="13" t="s">
        <v>646</v>
      </c>
      <c r="F329" s="13">
        <v>1</v>
      </c>
      <c r="G329" s="13">
        <f t="shared" ref="G329:G386" si="75">VLOOKUP(E329,IDPOINTS,2,FALSE)</f>
        <v>5</v>
      </c>
      <c r="H329" s="13" t="s">
        <v>1305</v>
      </c>
      <c r="J329" s="13">
        <f t="shared" si="69"/>
        <v>0</v>
      </c>
      <c r="K329" s="13" t="s">
        <v>1305</v>
      </c>
      <c r="M329" s="13">
        <f t="shared" si="70"/>
        <v>0</v>
      </c>
      <c r="N329" s="13" t="s">
        <v>1305</v>
      </c>
      <c r="P329" s="13">
        <f t="shared" si="71"/>
        <v>0</v>
      </c>
      <c r="Q329" s="13" t="s">
        <v>1305</v>
      </c>
      <c r="S329" s="13">
        <f t="shared" si="72"/>
        <v>0</v>
      </c>
      <c r="T329" s="13" t="s">
        <v>1305</v>
      </c>
      <c r="V329" s="13">
        <f t="shared" si="73"/>
        <v>0</v>
      </c>
    </row>
    <row r="330" spans="1:22" ht="15.75">
      <c r="A330" s="153" t="s">
        <v>1351</v>
      </c>
      <c r="B330" s="125" t="s">
        <v>863</v>
      </c>
      <c r="C330" s="130">
        <f t="shared" si="68"/>
        <v>34.625</v>
      </c>
      <c r="D330" s="180">
        <v>1</v>
      </c>
      <c r="E330" s="143" t="s">
        <v>867</v>
      </c>
      <c r="F330" s="143">
        <v>1</v>
      </c>
      <c r="G330" s="143">
        <f t="shared" si="75"/>
        <v>31.625</v>
      </c>
      <c r="H330" s="143" t="s">
        <v>672</v>
      </c>
      <c r="I330" s="143">
        <v>1</v>
      </c>
      <c r="J330" s="127">
        <f t="shared" si="69"/>
        <v>3</v>
      </c>
      <c r="K330" s="127" t="s">
        <v>1305</v>
      </c>
      <c r="M330" s="127">
        <f t="shared" si="70"/>
        <v>0</v>
      </c>
      <c r="N330" s="127" t="s">
        <v>1305</v>
      </c>
      <c r="P330" s="127">
        <f t="shared" si="71"/>
        <v>0</v>
      </c>
      <c r="Q330" s="127" t="s">
        <v>1305</v>
      </c>
      <c r="S330" s="127">
        <f t="shared" si="72"/>
        <v>0</v>
      </c>
      <c r="T330" s="127" t="s">
        <v>1305</v>
      </c>
      <c r="V330" s="127">
        <f t="shared" si="73"/>
        <v>0</v>
      </c>
    </row>
    <row r="331" spans="1:22" ht="15.75">
      <c r="A331" s="153" t="s">
        <v>1351</v>
      </c>
      <c r="B331" s="125" t="s">
        <v>864</v>
      </c>
      <c r="C331" s="130">
        <f t="shared" si="68"/>
        <v>16</v>
      </c>
      <c r="D331" s="180">
        <v>1</v>
      </c>
      <c r="E331" s="143" t="s">
        <v>862</v>
      </c>
      <c r="F331" s="143">
        <v>1</v>
      </c>
      <c r="G331" s="143">
        <f t="shared" si="75"/>
        <v>5</v>
      </c>
      <c r="H331" s="143" t="s">
        <v>1170</v>
      </c>
      <c r="I331" s="143">
        <v>1</v>
      </c>
      <c r="J331" s="127">
        <f t="shared" si="69"/>
        <v>11</v>
      </c>
      <c r="K331" s="127" t="s">
        <v>1305</v>
      </c>
      <c r="M331" s="127">
        <f t="shared" si="70"/>
        <v>0</v>
      </c>
      <c r="N331" s="127" t="s">
        <v>1305</v>
      </c>
      <c r="P331" s="127">
        <f t="shared" si="71"/>
        <v>0</v>
      </c>
      <c r="Q331" s="127" t="s">
        <v>1305</v>
      </c>
      <c r="S331" s="127">
        <f t="shared" si="72"/>
        <v>0</v>
      </c>
      <c r="T331" s="127" t="s">
        <v>1305</v>
      </c>
      <c r="V331" s="127">
        <f t="shared" si="73"/>
        <v>0</v>
      </c>
    </row>
    <row r="332" spans="1:22" ht="15.75">
      <c r="A332" s="153" t="s">
        <v>1351</v>
      </c>
      <c r="B332" s="125" t="s">
        <v>865</v>
      </c>
      <c r="C332" s="130">
        <f t="shared" si="68"/>
        <v>8.625</v>
      </c>
      <c r="D332" s="180">
        <v>8</v>
      </c>
      <c r="E332" s="143" t="s">
        <v>814</v>
      </c>
      <c r="F332" s="143">
        <v>8</v>
      </c>
      <c r="G332" s="143">
        <f t="shared" si="75"/>
        <v>8</v>
      </c>
      <c r="H332" s="143" t="s">
        <v>862</v>
      </c>
      <c r="I332" s="143">
        <v>1</v>
      </c>
      <c r="J332" s="127">
        <f t="shared" si="69"/>
        <v>5</v>
      </c>
      <c r="K332" s="127" t="s">
        <v>1305</v>
      </c>
      <c r="M332" s="127">
        <f t="shared" si="70"/>
        <v>0</v>
      </c>
      <c r="N332" s="127" t="s">
        <v>1305</v>
      </c>
      <c r="P332" s="127">
        <f t="shared" si="71"/>
        <v>0</v>
      </c>
      <c r="Q332" s="127" t="s">
        <v>1305</v>
      </c>
      <c r="S332" s="127">
        <f t="shared" si="72"/>
        <v>0</v>
      </c>
      <c r="T332" s="127" t="s">
        <v>1305</v>
      </c>
      <c r="V332" s="127">
        <f t="shared" si="73"/>
        <v>0</v>
      </c>
    </row>
    <row r="333" spans="1:22" ht="15.75">
      <c r="A333" s="153" t="s">
        <v>1351</v>
      </c>
      <c r="B333" s="125" t="s">
        <v>866</v>
      </c>
      <c r="C333" s="130">
        <f t="shared" si="68"/>
        <v>3.234375</v>
      </c>
      <c r="D333" s="180">
        <v>16</v>
      </c>
      <c r="E333" s="143" t="s">
        <v>865</v>
      </c>
      <c r="F333" s="143">
        <v>6</v>
      </c>
      <c r="G333" s="143">
        <f t="shared" si="75"/>
        <v>8.625</v>
      </c>
      <c r="H333" s="143" t="s">
        <v>1305</v>
      </c>
      <c r="I333" s="143"/>
      <c r="J333" s="127">
        <f t="shared" si="69"/>
        <v>0</v>
      </c>
      <c r="K333" s="127" t="s">
        <v>1305</v>
      </c>
      <c r="M333" s="127">
        <f t="shared" si="70"/>
        <v>0</v>
      </c>
      <c r="N333" s="127" t="s">
        <v>1305</v>
      </c>
      <c r="P333" s="127">
        <f t="shared" si="71"/>
        <v>0</v>
      </c>
      <c r="Q333" s="127" t="s">
        <v>1305</v>
      </c>
      <c r="S333" s="127">
        <f t="shared" si="72"/>
        <v>0</v>
      </c>
      <c r="T333" s="127" t="s">
        <v>1305</v>
      </c>
      <c r="V333" s="127">
        <f t="shared" si="73"/>
        <v>0</v>
      </c>
    </row>
    <row r="334" spans="1:22" ht="15.75">
      <c r="A334" s="153" t="s">
        <v>1351</v>
      </c>
      <c r="B334" s="125" t="s">
        <v>867</v>
      </c>
      <c r="C334" s="130">
        <f t="shared" si="68"/>
        <v>31.625</v>
      </c>
      <c r="D334" s="180">
        <v>8</v>
      </c>
      <c r="E334" s="143" t="s">
        <v>1245</v>
      </c>
      <c r="F334" s="143">
        <v>8</v>
      </c>
      <c r="G334" s="143">
        <f t="shared" si="75"/>
        <v>31</v>
      </c>
      <c r="H334" s="143" t="s">
        <v>862</v>
      </c>
      <c r="I334" s="143">
        <v>1</v>
      </c>
      <c r="J334" s="127">
        <f t="shared" si="69"/>
        <v>5</v>
      </c>
      <c r="K334" s="127" t="s">
        <v>1305</v>
      </c>
      <c r="M334" s="127">
        <f t="shared" si="70"/>
        <v>0</v>
      </c>
      <c r="N334" s="127" t="s">
        <v>1305</v>
      </c>
      <c r="P334" s="127">
        <f t="shared" si="71"/>
        <v>0</v>
      </c>
      <c r="Q334" s="127" t="s">
        <v>1305</v>
      </c>
      <c r="S334" s="127">
        <f t="shared" si="72"/>
        <v>0</v>
      </c>
      <c r="T334" s="127" t="s">
        <v>1305</v>
      </c>
      <c r="V334" s="127">
        <f t="shared" si="73"/>
        <v>0</v>
      </c>
    </row>
    <row r="335" spans="1:22" ht="15.75">
      <c r="A335" s="153" t="s">
        <v>1351</v>
      </c>
      <c r="B335" s="125" t="s">
        <v>868</v>
      </c>
      <c r="C335" s="130">
        <f t="shared" si="68"/>
        <v>11</v>
      </c>
      <c r="D335" s="180">
        <v>1</v>
      </c>
      <c r="E335" s="143" t="s">
        <v>1274</v>
      </c>
      <c r="F335" s="143">
        <v>1</v>
      </c>
      <c r="G335" s="143">
        <f t="shared" si="75"/>
        <v>6</v>
      </c>
      <c r="H335" s="143" t="s">
        <v>862</v>
      </c>
      <c r="I335" s="143">
        <v>1</v>
      </c>
      <c r="J335" s="127">
        <f t="shared" si="69"/>
        <v>5</v>
      </c>
      <c r="K335" s="127" t="s">
        <v>1305</v>
      </c>
      <c r="M335" s="127">
        <f t="shared" si="70"/>
        <v>0</v>
      </c>
      <c r="N335" s="127" t="s">
        <v>1305</v>
      </c>
      <c r="P335" s="127">
        <f t="shared" si="71"/>
        <v>0</v>
      </c>
      <c r="Q335" s="127" t="s">
        <v>1305</v>
      </c>
      <c r="S335" s="127">
        <f t="shared" si="72"/>
        <v>0</v>
      </c>
      <c r="T335" s="127" t="s">
        <v>1305</v>
      </c>
      <c r="V335" s="127">
        <f t="shared" si="73"/>
        <v>0</v>
      </c>
    </row>
    <row r="336" spans="1:22" ht="15.75">
      <c r="A336" s="153" t="s">
        <v>1343</v>
      </c>
      <c r="B336" s="125" t="s">
        <v>869</v>
      </c>
      <c r="C336" s="130">
        <f t="shared" si="68"/>
        <v>2.75</v>
      </c>
      <c r="D336" s="180">
        <v>1</v>
      </c>
      <c r="E336" s="127" t="s">
        <v>1221</v>
      </c>
      <c r="F336">
        <v>1</v>
      </c>
      <c r="G336" s="127">
        <f t="shared" si="75"/>
        <v>2</v>
      </c>
      <c r="H336" s="127" t="s">
        <v>1208</v>
      </c>
      <c r="I336" s="127">
        <v>2</v>
      </c>
      <c r="J336" s="127">
        <f t="shared" si="69"/>
        <v>0.125</v>
      </c>
      <c r="K336" s="127" t="s">
        <v>1026</v>
      </c>
      <c r="L336" s="127">
        <v>2</v>
      </c>
      <c r="M336" s="127">
        <f t="shared" si="70"/>
        <v>0.25</v>
      </c>
      <c r="N336" s="127" t="s">
        <v>1305</v>
      </c>
      <c r="P336" s="127">
        <f t="shared" si="71"/>
        <v>0</v>
      </c>
      <c r="Q336" s="127" t="s">
        <v>1305</v>
      </c>
      <c r="S336" s="127">
        <f t="shared" si="72"/>
        <v>0</v>
      </c>
      <c r="T336" s="127" t="s">
        <v>1305</v>
      </c>
      <c r="V336" s="127">
        <f t="shared" si="73"/>
        <v>0</v>
      </c>
    </row>
    <row r="337" spans="1:22" s="148" customFormat="1" ht="15.75">
      <c r="A337" s="148" t="s">
        <v>1341</v>
      </c>
      <c r="B337" s="146" t="s">
        <v>870</v>
      </c>
      <c r="C337" s="147">
        <f>'ECONOMIA &amp; PROFESIONES'!E57</f>
        <v>5</v>
      </c>
      <c r="D337" s="183"/>
      <c r="E337" s="148" t="s">
        <v>1305</v>
      </c>
      <c r="G337" s="148">
        <f t="shared" si="75"/>
        <v>0</v>
      </c>
      <c r="H337" s="148" t="s">
        <v>1305</v>
      </c>
      <c r="J337" s="148">
        <f t="shared" si="69"/>
        <v>0</v>
      </c>
      <c r="K337" s="148" t="s">
        <v>1305</v>
      </c>
      <c r="M337" s="148">
        <f t="shared" si="70"/>
        <v>0</v>
      </c>
      <c r="N337" s="148" t="s">
        <v>1305</v>
      </c>
      <c r="P337" s="148">
        <f t="shared" si="71"/>
        <v>0</v>
      </c>
      <c r="Q337" s="148" t="s">
        <v>1305</v>
      </c>
      <c r="S337" s="148">
        <f t="shared" si="72"/>
        <v>0</v>
      </c>
      <c r="T337" s="148" t="s">
        <v>1305</v>
      </c>
      <c r="V337" s="148">
        <f t="shared" si="73"/>
        <v>0</v>
      </c>
    </row>
    <row r="338" spans="1:22" ht="15.75">
      <c r="A338" s="153" t="s">
        <v>1348</v>
      </c>
      <c r="B338" s="125" t="s">
        <v>871</v>
      </c>
      <c r="C338" s="130">
        <f t="shared" si="68"/>
        <v>63</v>
      </c>
      <c r="D338" s="180">
        <v>1</v>
      </c>
      <c r="E338" s="127" t="s">
        <v>1260</v>
      </c>
      <c r="F338">
        <v>9</v>
      </c>
      <c r="G338" s="127">
        <f t="shared" si="75"/>
        <v>7</v>
      </c>
      <c r="H338" s="127" t="s">
        <v>1305</v>
      </c>
      <c r="J338" s="127">
        <f t="shared" si="69"/>
        <v>0</v>
      </c>
      <c r="K338" s="127" t="s">
        <v>1305</v>
      </c>
      <c r="M338" s="127">
        <f t="shared" si="70"/>
        <v>0</v>
      </c>
      <c r="N338" s="127" t="s">
        <v>1305</v>
      </c>
      <c r="P338" s="127">
        <f t="shared" si="71"/>
        <v>0</v>
      </c>
      <c r="Q338" s="127" t="s">
        <v>1305</v>
      </c>
      <c r="S338" s="127">
        <f t="shared" si="72"/>
        <v>0</v>
      </c>
      <c r="T338" s="127" t="s">
        <v>1305</v>
      </c>
      <c r="V338" s="127">
        <f t="shared" si="73"/>
        <v>0</v>
      </c>
    </row>
    <row r="339" spans="1:22" s="140" customFormat="1" ht="15.75">
      <c r="A339" s="153"/>
      <c r="B339" s="138" t="s">
        <v>872</v>
      </c>
      <c r="C339" s="139">
        <f t="shared" ref="C339:C362" si="76">(G339*F339)+(I339*J339)+(L339*M339)+(O339*P339)+(R339*S339)+(U339*V339)</f>
        <v>0</v>
      </c>
      <c r="D339" s="180"/>
      <c r="E339" s="140" t="s">
        <v>1305</v>
      </c>
      <c r="G339" s="140">
        <f t="shared" si="75"/>
        <v>0</v>
      </c>
      <c r="H339" s="140" t="s">
        <v>1305</v>
      </c>
      <c r="J339" s="140">
        <f t="shared" si="69"/>
        <v>0</v>
      </c>
      <c r="K339" s="140" t="s">
        <v>1305</v>
      </c>
      <c r="M339" s="140">
        <f t="shared" si="70"/>
        <v>0</v>
      </c>
      <c r="N339" s="140" t="s">
        <v>1305</v>
      </c>
      <c r="P339" s="140">
        <f t="shared" si="71"/>
        <v>0</v>
      </c>
      <c r="Q339" s="140" t="s">
        <v>1305</v>
      </c>
      <c r="S339" s="140">
        <f t="shared" si="72"/>
        <v>0</v>
      </c>
      <c r="T339" s="140" t="s">
        <v>1305</v>
      </c>
      <c r="V339" s="140">
        <f t="shared" si="73"/>
        <v>0</v>
      </c>
    </row>
    <row r="340" spans="1:22" ht="15.75">
      <c r="A340" s="153" t="s">
        <v>1346</v>
      </c>
      <c r="B340" s="125" t="s">
        <v>873</v>
      </c>
      <c r="C340" s="130">
        <f t="shared" si="68"/>
        <v>16</v>
      </c>
      <c r="D340" s="180">
        <v>1</v>
      </c>
      <c r="E340" s="127" t="s">
        <v>896</v>
      </c>
      <c r="F340">
        <v>2</v>
      </c>
      <c r="G340" s="127">
        <f t="shared" si="75"/>
        <v>8</v>
      </c>
      <c r="H340" s="127" t="s">
        <v>1305</v>
      </c>
      <c r="J340" s="127">
        <f t="shared" si="69"/>
        <v>0</v>
      </c>
      <c r="K340" s="127" t="s">
        <v>1305</v>
      </c>
      <c r="M340" s="127">
        <f t="shared" si="70"/>
        <v>0</v>
      </c>
      <c r="N340" s="127" t="s">
        <v>1305</v>
      </c>
      <c r="P340" s="127">
        <f t="shared" si="71"/>
        <v>0</v>
      </c>
      <c r="Q340" s="127" t="s">
        <v>1305</v>
      </c>
      <c r="S340" s="127">
        <f t="shared" si="72"/>
        <v>0</v>
      </c>
      <c r="T340" s="127" t="s">
        <v>1305</v>
      </c>
      <c r="V340" s="127">
        <f t="shared" si="73"/>
        <v>0</v>
      </c>
    </row>
    <row r="341" spans="1:22" ht="15.75">
      <c r="A341" s="153" t="s">
        <v>1353</v>
      </c>
      <c r="B341" s="125" t="s">
        <v>874</v>
      </c>
      <c r="C341" s="130">
        <f t="shared" si="68"/>
        <v>42</v>
      </c>
      <c r="D341" s="180">
        <v>1</v>
      </c>
      <c r="E341" s="127" t="s">
        <v>659</v>
      </c>
      <c r="F341">
        <v>1</v>
      </c>
      <c r="G341" s="127">
        <f t="shared" si="75"/>
        <v>2</v>
      </c>
      <c r="H341" s="127" t="s">
        <v>896</v>
      </c>
      <c r="I341" s="127">
        <v>5</v>
      </c>
      <c r="J341" s="127">
        <f t="shared" si="69"/>
        <v>8</v>
      </c>
      <c r="K341" s="127" t="s">
        <v>1305</v>
      </c>
      <c r="M341" s="127">
        <f t="shared" si="70"/>
        <v>0</v>
      </c>
      <c r="N341" s="127" t="s">
        <v>1305</v>
      </c>
      <c r="P341" s="127">
        <f t="shared" si="71"/>
        <v>0</v>
      </c>
      <c r="Q341" s="127" t="s">
        <v>1305</v>
      </c>
      <c r="S341" s="127">
        <f t="shared" si="72"/>
        <v>0</v>
      </c>
      <c r="T341" s="127" t="s">
        <v>1305</v>
      </c>
      <c r="V341" s="127">
        <f t="shared" si="73"/>
        <v>0</v>
      </c>
    </row>
    <row r="342" spans="1:22" ht="15.75">
      <c r="A342" s="153" t="s">
        <v>595</v>
      </c>
      <c r="B342" s="125" t="s">
        <v>875</v>
      </c>
      <c r="C342" s="130">
        <f t="shared" si="68"/>
        <v>82</v>
      </c>
      <c r="D342" s="180">
        <v>1</v>
      </c>
      <c r="E342" s="127" t="s">
        <v>994</v>
      </c>
      <c r="F342">
        <v>1</v>
      </c>
      <c r="G342" s="127">
        <f t="shared" si="75"/>
        <v>40</v>
      </c>
      <c r="H342" s="127" t="s">
        <v>874</v>
      </c>
      <c r="I342" s="127">
        <v>1</v>
      </c>
      <c r="J342" s="127">
        <f t="shared" si="69"/>
        <v>42</v>
      </c>
      <c r="K342" s="127" t="s">
        <v>1305</v>
      </c>
      <c r="M342" s="127">
        <f t="shared" si="70"/>
        <v>0</v>
      </c>
      <c r="N342" s="127" t="s">
        <v>1305</v>
      </c>
      <c r="P342" s="127">
        <f t="shared" si="71"/>
        <v>0</v>
      </c>
      <c r="Q342" s="127" t="s">
        <v>1305</v>
      </c>
      <c r="S342" s="127">
        <f t="shared" si="72"/>
        <v>0</v>
      </c>
      <c r="T342" s="127" t="s">
        <v>1305</v>
      </c>
      <c r="V342" s="127">
        <f t="shared" si="73"/>
        <v>0</v>
      </c>
    </row>
    <row r="343" spans="1:22" s="167" customFormat="1" ht="15.75">
      <c r="B343" s="165" t="s">
        <v>876</v>
      </c>
      <c r="C343" s="166">
        <f t="shared" si="76"/>
        <v>0</v>
      </c>
      <c r="D343" s="184"/>
      <c r="E343" s="167" t="s">
        <v>1305</v>
      </c>
      <c r="G343" s="167">
        <f t="shared" si="75"/>
        <v>0</v>
      </c>
      <c r="H343" s="167" t="s">
        <v>1305</v>
      </c>
      <c r="J343" s="167">
        <f t="shared" si="69"/>
        <v>0</v>
      </c>
      <c r="K343" s="167" t="s">
        <v>1305</v>
      </c>
      <c r="M343" s="167">
        <f t="shared" si="70"/>
        <v>0</v>
      </c>
      <c r="N343" s="167" t="s">
        <v>1305</v>
      </c>
      <c r="P343" s="167">
        <f t="shared" si="71"/>
        <v>0</v>
      </c>
      <c r="Q343" s="167" t="s">
        <v>1305</v>
      </c>
      <c r="S343" s="167">
        <f t="shared" si="72"/>
        <v>0</v>
      </c>
      <c r="T343" s="167" t="s">
        <v>1305</v>
      </c>
      <c r="V343" s="167">
        <f t="shared" si="73"/>
        <v>0</v>
      </c>
    </row>
    <row r="344" spans="1:22" s="167" customFormat="1" ht="15.75">
      <c r="B344" s="165" t="s">
        <v>877</v>
      </c>
      <c r="C344" s="166">
        <f t="shared" si="76"/>
        <v>0</v>
      </c>
      <c r="D344" s="184"/>
      <c r="E344" s="167" t="s">
        <v>1305</v>
      </c>
      <c r="G344" s="167">
        <f t="shared" si="75"/>
        <v>0</v>
      </c>
      <c r="H344" s="167" t="s">
        <v>1305</v>
      </c>
      <c r="J344" s="167">
        <f t="shared" si="69"/>
        <v>0</v>
      </c>
      <c r="K344" s="167" t="s">
        <v>1305</v>
      </c>
      <c r="M344" s="167">
        <f t="shared" si="70"/>
        <v>0</v>
      </c>
      <c r="N344" s="167" t="s">
        <v>1305</v>
      </c>
      <c r="P344" s="167">
        <f t="shared" si="71"/>
        <v>0</v>
      </c>
      <c r="Q344" s="167" t="s">
        <v>1305</v>
      </c>
      <c r="S344" s="167">
        <f t="shared" si="72"/>
        <v>0</v>
      </c>
      <c r="T344" s="167" t="s">
        <v>1305</v>
      </c>
      <c r="V344" s="167">
        <f t="shared" si="73"/>
        <v>0</v>
      </c>
    </row>
    <row r="345" spans="1:22" s="167" customFormat="1" ht="15.75">
      <c r="B345" s="165" t="s">
        <v>878</v>
      </c>
      <c r="C345" s="166">
        <f t="shared" si="76"/>
        <v>0</v>
      </c>
      <c r="D345" s="184"/>
      <c r="E345" s="167" t="s">
        <v>1305</v>
      </c>
      <c r="G345" s="167">
        <f t="shared" si="75"/>
        <v>0</v>
      </c>
      <c r="H345" s="167" t="s">
        <v>1305</v>
      </c>
      <c r="J345" s="167">
        <f t="shared" si="69"/>
        <v>0</v>
      </c>
      <c r="K345" s="167" t="s">
        <v>1305</v>
      </c>
      <c r="M345" s="167">
        <f t="shared" si="70"/>
        <v>0</v>
      </c>
      <c r="N345" s="167" t="s">
        <v>1305</v>
      </c>
      <c r="P345" s="167">
        <f t="shared" si="71"/>
        <v>0</v>
      </c>
      <c r="Q345" s="167" t="s">
        <v>1305</v>
      </c>
      <c r="S345" s="167">
        <f t="shared" si="72"/>
        <v>0</v>
      </c>
      <c r="T345" s="167" t="s">
        <v>1305</v>
      </c>
      <c r="V345" s="167">
        <f t="shared" si="73"/>
        <v>0</v>
      </c>
    </row>
    <row r="346" spans="1:22" s="167" customFormat="1" ht="15.75">
      <c r="B346" s="165" t="s">
        <v>879</v>
      </c>
      <c r="C346" s="166">
        <f t="shared" si="76"/>
        <v>0</v>
      </c>
      <c r="D346" s="184"/>
      <c r="E346" s="167" t="s">
        <v>1305</v>
      </c>
      <c r="G346" s="167">
        <f t="shared" si="75"/>
        <v>0</v>
      </c>
      <c r="H346" s="167" t="s">
        <v>1305</v>
      </c>
      <c r="J346" s="167">
        <f t="shared" si="69"/>
        <v>0</v>
      </c>
      <c r="K346" s="167" t="s">
        <v>1305</v>
      </c>
      <c r="M346" s="167">
        <f t="shared" si="70"/>
        <v>0</v>
      </c>
      <c r="N346" s="167" t="s">
        <v>1305</v>
      </c>
      <c r="P346" s="167">
        <f t="shared" si="71"/>
        <v>0</v>
      </c>
      <c r="Q346" s="167" t="s">
        <v>1305</v>
      </c>
      <c r="S346" s="167">
        <f t="shared" si="72"/>
        <v>0</v>
      </c>
      <c r="T346" s="167" t="s">
        <v>1305</v>
      </c>
      <c r="V346" s="167">
        <f t="shared" si="73"/>
        <v>0</v>
      </c>
    </row>
    <row r="347" spans="1:22" s="167" customFormat="1" ht="15.75">
      <c r="B347" s="165" t="s">
        <v>880</v>
      </c>
      <c r="C347" s="166">
        <f t="shared" si="76"/>
        <v>0</v>
      </c>
      <c r="D347" s="184"/>
      <c r="E347" s="167" t="s">
        <v>1305</v>
      </c>
      <c r="G347" s="167">
        <f t="shared" si="75"/>
        <v>0</v>
      </c>
      <c r="H347" s="167" t="s">
        <v>1305</v>
      </c>
      <c r="J347" s="167">
        <f t="shared" si="69"/>
        <v>0</v>
      </c>
      <c r="K347" s="167" t="s">
        <v>1305</v>
      </c>
      <c r="M347" s="167">
        <f t="shared" si="70"/>
        <v>0</v>
      </c>
      <c r="N347" s="167" t="s">
        <v>1305</v>
      </c>
      <c r="P347" s="167">
        <f t="shared" si="71"/>
        <v>0</v>
      </c>
      <c r="Q347" s="167" t="s">
        <v>1305</v>
      </c>
      <c r="S347" s="167">
        <f t="shared" si="72"/>
        <v>0</v>
      </c>
      <c r="T347" s="167" t="s">
        <v>1305</v>
      </c>
      <c r="V347" s="167">
        <f t="shared" si="73"/>
        <v>0</v>
      </c>
    </row>
    <row r="348" spans="1:22" s="167" customFormat="1" ht="15.75">
      <c r="B348" s="165" t="s">
        <v>881</v>
      </c>
      <c r="C348" s="166">
        <f t="shared" si="76"/>
        <v>0</v>
      </c>
      <c r="D348" s="184"/>
      <c r="E348" s="167" t="s">
        <v>1305</v>
      </c>
      <c r="G348" s="167">
        <f t="shared" si="75"/>
        <v>0</v>
      </c>
      <c r="H348" s="167" t="s">
        <v>1305</v>
      </c>
      <c r="J348" s="167">
        <f t="shared" si="69"/>
        <v>0</v>
      </c>
      <c r="K348" s="167" t="s">
        <v>1305</v>
      </c>
      <c r="M348" s="167">
        <f t="shared" si="70"/>
        <v>0</v>
      </c>
      <c r="N348" s="167" t="s">
        <v>1305</v>
      </c>
      <c r="P348" s="167">
        <f t="shared" si="71"/>
        <v>0</v>
      </c>
      <c r="Q348" s="167" t="s">
        <v>1305</v>
      </c>
      <c r="S348" s="167">
        <f t="shared" si="72"/>
        <v>0</v>
      </c>
      <c r="T348" s="167" t="s">
        <v>1305</v>
      </c>
      <c r="V348" s="167">
        <f t="shared" si="73"/>
        <v>0</v>
      </c>
    </row>
    <row r="349" spans="1:22" s="167" customFormat="1" ht="15.75">
      <c r="B349" s="165" t="s">
        <v>882</v>
      </c>
      <c r="C349" s="166">
        <f t="shared" si="76"/>
        <v>0</v>
      </c>
      <c r="D349" s="184"/>
      <c r="E349" s="167" t="s">
        <v>1305</v>
      </c>
      <c r="G349" s="167">
        <f t="shared" si="75"/>
        <v>0</v>
      </c>
      <c r="H349" s="167" t="s">
        <v>1305</v>
      </c>
      <c r="J349" s="167">
        <f t="shared" si="69"/>
        <v>0</v>
      </c>
      <c r="K349" s="167" t="s">
        <v>1305</v>
      </c>
      <c r="M349" s="167">
        <f t="shared" si="70"/>
        <v>0</v>
      </c>
      <c r="N349" s="167" t="s">
        <v>1305</v>
      </c>
      <c r="P349" s="167">
        <f t="shared" si="71"/>
        <v>0</v>
      </c>
      <c r="Q349" s="167" t="s">
        <v>1305</v>
      </c>
      <c r="S349" s="167">
        <f t="shared" si="72"/>
        <v>0</v>
      </c>
      <c r="T349" s="167" t="s">
        <v>1305</v>
      </c>
      <c r="V349" s="167">
        <f t="shared" si="73"/>
        <v>0</v>
      </c>
    </row>
    <row r="350" spans="1:22" s="167" customFormat="1" ht="15.75">
      <c r="B350" s="165" t="s">
        <v>883</v>
      </c>
      <c r="C350" s="166">
        <f t="shared" si="76"/>
        <v>0</v>
      </c>
      <c r="D350" s="184"/>
      <c r="E350" s="167" t="s">
        <v>1305</v>
      </c>
      <c r="G350" s="167">
        <f t="shared" si="75"/>
        <v>0</v>
      </c>
      <c r="H350" s="167" t="s">
        <v>1305</v>
      </c>
      <c r="J350" s="167">
        <f t="shared" si="69"/>
        <v>0</v>
      </c>
      <c r="K350" s="167" t="s">
        <v>1305</v>
      </c>
      <c r="M350" s="167">
        <f t="shared" si="70"/>
        <v>0</v>
      </c>
      <c r="N350" s="167" t="s">
        <v>1305</v>
      </c>
      <c r="P350" s="167">
        <f t="shared" si="71"/>
        <v>0</v>
      </c>
      <c r="Q350" s="167" t="s">
        <v>1305</v>
      </c>
      <c r="S350" s="167">
        <f t="shared" si="72"/>
        <v>0</v>
      </c>
      <c r="T350" s="167" t="s">
        <v>1305</v>
      </c>
      <c r="V350" s="167">
        <f t="shared" si="73"/>
        <v>0</v>
      </c>
    </row>
    <row r="351" spans="1:22" s="167" customFormat="1" ht="15.75">
      <c r="B351" s="165" t="s">
        <v>884</v>
      </c>
      <c r="C351" s="166">
        <f t="shared" si="76"/>
        <v>0</v>
      </c>
      <c r="D351" s="184"/>
      <c r="E351" s="167" t="s">
        <v>1305</v>
      </c>
      <c r="G351" s="167">
        <f t="shared" si="75"/>
        <v>0</v>
      </c>
      <c r="H351" s="167" t="s">
        <v>1305</v>
      </c>
      <c r="J351" s="167">
        <f t="shared" si="69"/>
        <v>0</v>
      </c>
      <c r="K351" s="167" t="s">
        <v>1305</v>
      </c>
      <c r="M351" s="167">
        <f t="shared" si="70"/>
        <v>0</v>
      </c>
      <c r="N351" s="167" t="s">
        <v>1305</v>
      </c>
      <c r="P351" s="167">
        <f t="shared" si="71"/>
        <v>0</v>
      </c>
      <c r="Q351" s="167" t="s">
        <v>1305</v>
      </c>
      <c r="S351" s="167">
        <f t="shared" si="72"/>
        <v>0</v>
      </c>
      <c r="T351" s="167" t="s">
        <v>1305</v>
      </c>
      <c r="V351" s="167">
        <f t="shared" si="73"/>
        <v>0</v>
      </c>
    </row>
    <row r="352" spans="1:22" s="167" customFormat="1" ht="15.75">
      <c r="B352" s="165" t="s">
        <v>885</v>
      </c>
      <c r="C352" s="166">
        <f t="shared" si="76"/>
        <v>0</v>
      </c>
      <c r="D352" s="184"/>
      <c r="E352" s="167" t="s">
        <v>1305</v>
      </c>
      <c r="G352" s="167">
        <f t="shared" si="75"/>
        <v>0</v>
      </c>
      <c r="H352" s="167" t="s">
        <v>1305</v>
      </c>
      <c r="J352" s="167">
        <f t="shared" si="69"/>
        <v>0</v>
      </c>
      <c r="K352" s="167" t="s">
        <v>1305</v>
      </c>
      <c r="M352" s="167">
        <f t="shared" si="70"/>
        <v>0</v>
      </c>
      <c r="N352" s="167" t="s">
        <v>1305</v>
      </c>
      <c r="P352" s="167">
        <f t="shared" si="71"/>
        <v>0</v>
      </c>
      <c r="Q352" s="167" t="s">
        <v>1305</v>
      </c>
      <c r="S352" s="167">
        <f t="shared" si="72"/>
        <v>0</v>
      </c>
      <c r="T352" s="167" t="s">
        <v>1305</v>
      </c>
      <c r="V352" s="167">
        <f t="shared" si="73"/>
        <v>0</v>
      </c>
    </row>
    <row r="353" spans="1:22" s="148" customFormat="1" ht="15.75">
      <c r="A353" s="148" t="s">
        <v>1340</v>
      </c>
      <c r="B353" s="146" t="s">
        <v>886</v>
      </c>
      <c r="C353" s="147">
        <f>'ECONOMIA &amp; PROFESIONES'!I54</f>
        <v>1</v>
      </c>
      <c r="D353" s="183"/>
      <c r="E353" s="148" t="s">
        <v>1305</v>
      </c>
      <c r="G353" s="148">
        <f t="shared" si="75"/>
        <v>0</v>
      </c>
      <c r="H353" s="148" t="s">
        <v>1305</v>
      </c>
      <c r="J353" s="148">
        <f t="shared" si="69"/>
        <v>0</v>
      </c>
      <c r="K353" s="148" t="s">
        <v>1305</v>
      </c>
      <c r="M353" s="148">
        <f t="shared" si="70"/>
        <v>0</v>
      </c>
      <c r="N353" s="148" t="s">
        <v>1305</v>
      </c>
      <c r="P353" s="148">
        <f t="shared" si="71"/>
        <v>0</v>
      </c>
      <c r="Q353" s="148" t="s">
        <v>1305</v>
      </c>
      <c r="S353" s="148">
        <f t="shared" si="72"/>
        <v>0</v>
      </c>
      <c r="T353" s="148" t="s">
        <v>1305</v>
      </c>
      <c r="V353" s="148">
        <f t="shared" si="73"/>
        <v>0</v>
      </c>
    </row>
    <row r="354" spans="1:22" ht="15.75">
      <c r="A354" s="153" t="s">
        <v>1343</v>
      </c>
      <c r="B354" s="125" t="s">
        <v>887</v>
      </c>
      <c r="C354" s="130">
        <f t="shared" ref="C354:C361" si="77">((G354*F354)+(I354*J354)+(L354*M354)+(O354*P354)+(R354*S354)+(U354*V354))/D354</f>
        <v>24.25</v>
      </c>
      <c r="D354" s="180">
        <v>1</v>
      </c>
      <c r="E354" s="143" t="s">
        <v>896</v>
      </c>
      <c r="F354" s="143">
        <v>3</v>
      </c>
      <c r="G354" s="143">
        <f t="shared" si="75"/>
        <v>8</v>
      </c>
      <c r="H354" s="143" t="s">
        <v>1208</v>
      </c>
      <c r="I354" s="143">
        <v>2</v>
      </c>
      <c r="J354" s="127">
        <f t="shared" si="69"/>
        <v>0.125</v>
      </c>
      <c r="K354" s="127" t="s">
        <v>1305</v>
      </c>
      <c r="M354" s="127">
        <f t="shared" si="70"/>
        <v>0</v>
      </c>
      <c r="N354" s="127" t="s">
        <v>1305</v>
      </c>
      <c r="P354" s="127">
        <f t="shared" si="71"/>
        <v>0</v>
      </c>
      <c r="Q354" s="127" t="s">
        <v>1305</v>
      </c>
      <c r="S354" s="127">
        <f t="shared" si="72"/>
        <v>0</v>
      </c>
      <c r="T354" s="127" t="s">
        <v>1305</v>
      </c>
      <c r="V354" s="127">
        <f t="shared" si="73"/>
        <v>0</v>
      </c>
    </row>
    <row r="355" spans="1:22" ht="15.75">
      <c r="A355" s="153" t="s">
        <v>1343</v>
      </c>
      <c r="B355" s="125" t="s">
        <v>888</v>
      </c>
      <c r="C355" s="130">
        <f t="shared" si="77"/>
        <v>3</v>
      </c>
      <c r="D355" s="180">
        <v>16</v>
      </c>
      <c r="E355" s="143" t="s">
        <v>896</v>
      </c>
      <c r="F355">
        <v>6</v>
      </c>
      <c r="G355" s="127">
        <f t="shared" si="75"/>
        <v>8</v>
      </c>
      <c r="H355" s="127" t="s">
        <v>1305</v>
      </c>
      <c r="J355" s="127">
        <f t="shared" si="69"/>
        <v>0</v>
      </c>
      <c r="K355" s="127" t="s">
        <v>1305</v>
      </c>
      <c r="M355" s="127">
        <f t="shared" si="70"/>
        <v>0</v>
      </c>
      <c r="N355" s="127" t="s">
        <v>1305</v>
      </c>
      <c r="P355" s="127">
        <f t="shared" si="71"/>
        <v>0</v>
      </c>
      <c r="Q355" s="127" t="s">
        <v>1305</v>
      </c>
      <c r="S355" s="127">
        <f t="shared" si="72"/>
        <v>0</v>
      </c>
      <c r="T355" s="127" t="s">
        <v>1305</v>
      </c>
      <c r="V355" s="127">
        <f t="shared" si="73"/>
        <v>0</v>
      </c>
    </row>
    <row r="356" spans="1:22" ht="15.75">
      <c r="A356" s="153" t="s">
        <v>1343</v>
      </c>
      <c r="B356" s="125" t="s">
        <v>889</v>
      </c>
      <c r="C356" s="130">
        <f t="shared" si="77"/>
        <v>72</v>
      </c>
      <c r="D356" s="180">
        <v>1</v>
      </c>
      <c r="E356" s="127" t="s">
        <v>896</v>
      </c>
      <c r="F356">
        <v>9</v>
      </c>
      <c r="G356" s="127">
        <f t="shared" si="75"/>
        <v>8</v>
      </c>
      <c r="H356" s="127" t="s">
        <v>1305</v>
      </c>
      <c r="J356" s="127">
        <f t="shared" si="69"/>
        <v>0</v>
      </c>
      <c r="K356" s="127" t="s">
        <v>1305</v>
      </c>
      <c r="M356" s="127">
        <f t="shared" si="70"/>
        <v>0</v>
      </c>
      <c r="N356" s="127" t="s">
        <v>1305</v>
      </c>
      <c r="P356" s="127">
        <f t="shared" si="71"/>
        <v>0</v>
      </c>
      <c r="Q356" s="127" t="s">
        <v>1305</v>
      </c>
      <c r="S356" s="127">
        <f t="shared" si="72"/>
        <v>0</v>
      </c>
      <c r="T356" s="127" t="s">
        <v>1305</v>
      </c>
      <c r="V356" s="127">
        <f t="shared" si="73"/>
        <v>0</v>
      </c>
    </row>
    <row r="357" spans="1:22" ht="15.75">
      <c r="A357" s="153" t="s">
        <v>1344</v>
      </c>
      <c r="B357" s="125" t="s">
        <v>890</v>
      </c>
      <c r="C357" s="130">
        <f t="shared" si="77"/>
        <v>32</v>
      </c>
      <c r="D357" s="180">
        <v>1</v>
      </c>
      <c r="E357" s="143" t="s">
        <v>896</v>
      </c>
      <c r="F357">
        <v>4</v>
      </c>
      <c r="G357" s="127">
        <f t="shared" si="75"/>
        <v>8</v>
      </c>
      <c r="H357" s="127" t="s">
        <v>1305</v>
      </c>
      <c r="J357" s="127">
        <f t="shared" si="69"/>
        <v>0</v>
      </c>
      <c r="K357" s="127" t="s">
        <v>1305</v>
      </c>
      <c r="M357" s="127">
        <f t="shared" si="70"/>
        <v>0</v>
      </c>
      <c r="N357" s="127" t="s">
        <v>1305</v>
      </c>
      <c r="P357" s="127">
        <f t="shared" si="71"/>
        <v>0</v>
      </c>
      <c r="Q357" s="127" t="s">
        <v>1305</v>
      </c>
      <c r="S357" s="127">
        <f t="shared" si="72"/>
        <v>0</v>
      </c>
      <c r="T357" s="127" t="s">
        <v>1305</v>
      </c>
      <c r="V357" s="127">
        <f t="shared" si="73"/>
        <v>0</v>
      </c>
    </row>
    <row r="358" spans="1:22" ht="15.75">
      <c r="A358" s="153" t="s">
        <v>1344</v>
      </c>
      <c r="B358" s="125" t="s">
        <v>891</v>
      </c>
      <c r="C358" s="130">
        <f t="shared" si="77"/>
        <v>64</v>
      </c>
      <c r="D358" s="180">
        <v>1</v>
      </c>
      <c r="E358" s="143" t="s">
        <v>896</v>
      </c>
      <c r="F358">
        <v>8</v>
      </c>
      <c r="G358" s="127">
        <f t="shared" si="75"/>
        <v>8</v>
      </c>
      <c r="H358" s="127" t="s">
        <v>1305</v>
      </c>
      <c r="J358" s="127">
        <f t="shared" si="69"/>
        <v>0</v>
      </c>
      <c r="K358" s="127" t="s">
        <v>1305</v>
      </c>
      <c r="M358" s="127">
        <f t="shared" si="70"/>
        <v>0</v>
      </c>
      <c r="N358" s="127" t="s">
        <v>1305</v>
      </c>
      <c r="P358" s="127">
        <f t="shared" si="71"/>
        <v>0</v>
      </c>
      <c r="Q358" s="127" t="s">
        <v>1305</v>
      </c>
      <c r="S358" s="127">
        <f t="shared" si="72"/>
        <v>0</v>
      </c>
      <c r="T358" s="127" t="s">
        <v>1305</v>
      </c>
      <c r="V358" s="127">
        <f t="shared" si="73"/>
        <v>0</v>
      </c>
    </row>
    <row r="359" spans="1:22" ht="15.75">
      <c r="A359" s="153" t="s">
        <v>1343</v>
      </c>
      <c r="B359" s="125" t="s">
        <v>892</v>
      </c>
      <c r="C359" s="130">
        <f t="shared" si="77"/>
        <v>16</v>
      </c>
      <c r="D359" s="180">
        <v>3</v>
      </c>
      <c r="E359" s="143" t="s">
        <v>896</v>
      </c>
      <c r="F359">
        <v>6</v>
      </c>
      <c r="G359" s="127">
        <f t="shared" si="75"/>
        <v>8</v>
      </c>
      <c r="H359" s="127" t="s">
        <v>1305</v>
      </c>
      <c r="J359" s="127">
        <f t="shared" si="69"/>
        <v>0</v>
      </c>
      <c r="K359" s="127" t="s">
        <v>1305</v>
      </c>
      <c r="M359" s="127">
        <f t="shared" si="70"/>
        <v>0</v>
      </c>
      <c r="N359" s="127" t="s">
        <v>1305</v>
      </c>
      <c r="P359" s="127">
        <f t="shared" si="71"/>
        <v>0</v>
      </c>
      <c r="Q359" s="127" t="s">
        <v>1305</v>
      </c>
      <c r="S359" s="127">
        <f t="shared" si="72"/>
        <v>0</v>
      </c>
      <c r="T359" s="127" t="s">
        <v>1305</v>
      </c>
      <c r="V359" s="127">
        <f t="shared" si="73"/>
        <v>0</v>
      </c>
    </row>
    <row r="360" spans="1:22" ht="15.75">
      <c r="A360" s="153" t="s">
        <v>1344</v>
      </c>
      <c r="B360" s="125" t="s">
        <v>893</v>
      </c>
      <c r="C360" s="130">
        <f t="shared" si="77"/>
        <v>64</v>
      </c>
      <c r="D360" s="180">
        <v>1</v>
      </c>
      <c r="E360" s="143" t="s">
        <v>896</v>
      </c>
      <c r="F360">
        <v>8</v>
      </c>
      <c r="G360" s="127">
        <f t="shared" si="75"/>
        <v>8</v>
      </c>
      <c r="H360" s="127" t="s">
        <v>1305</v>
      </c>
      <c r="J360" s="127">
        <f t="shared" si="69"/>
        <v>0</v>
      </c>
      <c r="K360" s="127" t="s">
        <v>1305</v>
      </c>
      <c r="M360" s="127">
        <f t="shared" si="70"/>
        <v>0</v>
      </c>
      <c r="N360" s="127" t="s">
        <v>1305</v>
      </c>
      <c r="P360" s="127">
        <f t="shared" si="71"/>
        <v>0</v>
      </c>
      <c r="Q360" s="127" t="s">
        <v>1305</v>
      </c>
      <c r="S360" s="127">
        <f t="shared" si="72"/>
        <v>0</v>
      </c>
      <c r="T360" s="127" t="s">
        <v>1305</v>
      </c>
      <c r="V360" s="127">
        <f t="shared" si="73"/>
        <v>0</v>
      </c>
    </row>
    <row r="361" spans="1:22" ht="15.75">
      <c r="A361" s="153" t="s">
        <v>1343</v>
      </c>
      <c r="B361" s="125" t="s">
        <v>894</v>
      </c>
      <c r="C361" s="130">
        <f t="shared" si="77"/>
        <v>16.25</v>
      </c>
      <c r="D361" s="180">
        <v>1</v>
      </c>
      <c r="E361" s="143" t="s">
        <v>896</v>
      </c>
      <c r="F361">
        <v>2</v>
      </c>
      <c r="G361" s="127">
        <f t="shared" si="75"/>
        <v>8</v>
      </c>
      <c r="H361" s="127" t="s">
        <v>1208</v>
      </c>
      <c r="I361" s="127">
        <v>2</v>
      </c>
      <c r="J361" s="127">
        <f t="shared" si="69"/>
        <v>0.125</v>
      </c>
      <c r="K361" s="127" t="s">
        <v>1305</v>
      </c>
      <c r="M361" s="127">
        <f t="shared" si="70"/>
        <v>0</v>
      </c>
      <c r="N361" s="127" t="s">
        <v>1305</v>
      </c>
      <c r="P361" s="127">
        <f t="shared" si="71"/>
        <v>0</v>
      </c>
      <c r="Q361" s="127" t="s">
        <v>1305</v>
      </c>
      <c r="S361" s="127">
        <f t="shared" si="72"/>
        <v>0</v>
      </c>
      <c r="T361" s="127" t="s">
        <v>1305</v>
      </c>
      <c r="V361" s="127">
        <f t="shared" si="73"/>
        <v>0</v>
      </c>
    </row>
    <row r="362" spans="1:22" s="140" customFormat="1" ht="15.75">
      <c r="A362" s="153"/>
      <c r="B362" s="138" t="s">
        <v>895</v>
      </c>
      <c r="C362" s="139">
        <f t="shared" si="76"/>
        <v>0</v>
      </c>
      <c r="D362" s="180"/>
      <c r="E362" s="140" t="s">
        <v>1305</v>
      </c>
      <c r="G362" s="140">
        <f t="shared" si="75"/>
        <v>0</v>
      </c>
      <c r="H362" s="140" t="s">
        <v>1305</v>
      </c>
      <c r="J362" s="140">
        <f t="shared" si="69"/>
        <v>0</v>
      </c>
      <c r="K362" s="140" t="s">
        <v>1305</v>
      </c>
      <c r="M362" s="140">
        <f t="shared" si="70"/>
        <v>0</v>
      </c>
      <c r="N362" s="140" t="s">
        <v>1305</v>
      </c>
      <c r="P362" s="140">
        <f t="shared" si="71"/>
        <v>0</v>
      </c>
      <c r="Q362" s="140" t="s">
        <v>1305</v>
      </c>
      <c r="S362" s="140">
        <f t="shared" si="72"/>
        <v>0</v>
      </c>
      <c r="T362" s="140" t="s">
        <v>1305</v>
      </c>
      <c r="V362" s="140">
        <f t="shared" si="73"/>
        <v>0</v>
      </c>
    </row>
    <row r="363" spans="1:22" s="137" customFormat="1" ht="15.75">
      <c r="A363" s="158" t="s">
        <v>1343</v>
      </c>
      <c r="B363" s="144" t="s">
        <v>896</v>
      </c>
      <c r="C363" s="130">
        <f t="shared" ref="C363:C385" si="78">((G363*F363)+(I363*J363)+(L363*M363)+(O363*P363)+(R363*S363)+(U363*V363))/D363</f>
        <v>8</v>
      </c>
      <c r="D363" s="180">
        <v>1</v>
      </c>
      <c r="E363" s="13" t="s">
        <v>899</v>
      </c>
      <c r="F363" s="13">
        <v>1</v>
      </c>
      <c r="G363" s="13">
        <f t="shared" si="75"/>
        <v>5</v>
      </c>
      <c r="H363" s="13" t="s">
        <v>672</v>
      </c>
      <c r="I363" s="13">
        <v>1</v>
      </c>
      <c r="J363" s="13">
        <f t="shared" si="69"/>
        <v>3</v>
      </c>
      <c r="K363" s="13" t="s">
        <v>1305</v>
      </c>
      <c r="L363" s="13"/>
      <c r="M363" s="13">
        <f t="shared" si="70"/>
        <v>0</v>
      </c>
      <c r="N363" s="13" t="s">
        <v>1305</v>
      </c>
      <c r="O363" s="13"/>
      <c r="P363" s="13">
        <f t="shared" si="71"/>
        <v>0</v>
      </c>
      <c r="Q363" s="13" t="s">
        <v>1305</v>
      </c>
      <c r="R363" s="13"/>
      <c r="S363" s="137">
        <f t="shared" si="72"/>
        <v>0</v>
      </c>
      <c r="T363" s="137" t="s">
        <v>1305</v>
      </c>
      <c r="V363" s="137">
        <f t="shared" si="73"/>
        <v>0</v>
      </c>
    </row>
    <row r="364" spans="1:22" ht="15.75">
      <c r="A364" s="153" t="s">
        <v>1344</v>
      </c>
      <c r="B364" s="125" t="s">
        <v>897</v>
      </c>
      <c r="C364" s="130">
        <f t="shared" si="78"/>
        <v>40</v>
      </c>
      <c r="D364" s="180">
        <v>1</v>
      </c>
      <c r="E364" s="127" t="s">
        <v>896</v>
      </c>
      <c r="F364">
        <v>5</v>
      </c>
      <c r="G364" s="127">
        <f t="shared" si="75"/>
        <v>8</v>
      </c>
      <c r="H364" s="127" t="s">
        <v>1305</v>
      </c>
      <c r="J364" s="127">
        <f t="shared" si="69"/>
        <v>0</v>
      </c>
      <c r="K364" s="127" t="s">
        <v>1305</v>
      </c>
      <c r="M364" s="127">
        <f t="shared" si="70"/>
        <v>0</v>
      </c>
      <c r="N364" s="127" t="s">
        <v>1305</v>
      </c>
      <c r="P364" s="127">
        <f t="shared" si="71"/>
        <v>0</v>
      </c>
      <c r="Q364" s="127" t="s">
        <v>1305</v>
      </c>
      <c r="S364" s="127">
        <f t="shared" si="72"/>
        <v>0</v>
      </c>
      <c r="T364" s="127" t="s">
        <v>1305</v>
      </c>
      <c r="V364" s="127">
        <f t="shared" si="73"/>
        <v>0</v>
      </c>
    </row>
    <row r="365" spans="1:22" ht="15.75">
      <c r="A365" s="153" t="s">
        <v>1343</v>
      </c>
      <c r="B365" s="125" t="s">
        <v>898</v>
      </c>
      <c r="C365" s="130">
        <f t="shared" si="78"/>
        <v>0.88888888888888884</v>
      </c>
      <c r="D365" s="180">
        <v>9</v>
      </c>
      <c r="E365" s="158" t="s">
        <v>896</v>
      </c>
      <c r="F365">
        <v>1</v>
      </c>
      <c r="G365" s="127">
        <f t="shared" si="75"/>
        <v>8</v>
      </c>
      <c r="H365" s="127" t="s">
        <v>1305</v>
      </c>
      <c r="J365" s="127">
        <f t="shared" si="69"/>
        <v>0</v>
      </c>
      <c r="K365" s="127" t="s">
        <v>1305</v>
      </c>
      <c r="M365" s="127">
        <f t="shared" si="70"/>
        <v>0</v>
      </c>
      <c r="N365" s="127" t="s">
        <v>1305</v>
      </c>
      <c r="P365" s="127">
        <f t="shared" si="71"/>
        <v>0</v>
      </c>
      <c r="Q365" s="127" t="s">
        <v>1305</v>
      </c>
      <c r="S365" s="127">
        <f t="shared" si="72"/>
        <v>0</v>
      </c>
      <c r="T365" s="127" t="s">
        <v>1305</v>
      </c>
      <c r="V365" s="127">
        <f t="shared" si="73"/>
        <v>0</v>
      </c>
    </row>
    <row r="366" spans="1:22" s="137" customFormat="1" ht="15.75">
      <c r="A366" s="137" t="s">
        <v>1337</v>
      </c>
      <c r="B366" s="135" t="s">
        <v>899</v>
      </c>
      <c r="C366" s="136">
        <f>'ECONOMIA &amp; PROFESIONES'!B18</f>
        <v>5</v>
      </c>
      <c r="D366" s="180"/>
      <c r="E366" s="137" t="s">
        <v>1305</v>
      </c>
      <c r="G366" s="137">
        <f t="shared" si="75"/>
        <v>0</v>
      </c>
      <c r="H366" s="137" t="s">
        <v>1305</v>
      </c>
      <c r="J366" s="137">
        <f t="shared" si="69"/>
        <v>0</v>
      </c>
      <c r="K366" s="137" t="s">
        <v>1305</v>
      </c>
      <c r="M366" s="137">
        <f t="shared" si="70"/>
        <v>0</v>
      </c>
      <c r="N366" s="137" t="s">
        <v>1305</v>
      </c>
      <c r="P366" s="137">
        <f t="shared" si="71"/>
        <v>0</v>
      </c>
      <c r="Q366" s="137" t="s">
        <v>1305</v>
      </c>
      <c r="S366" s="137">
        <f t="shared" si="72"/>
        <v>0</v>
      </c>
      <c r="T366" s="137" t="s">
        <v>1305</v>
      </c>
      <c r="V366" s="137">
        <f t="shared" si="73"/>
        <v>0</v>
      </c>
    </row>
    <row r="367" spans="1:22" ht="15.75">
      <c r="A367" s="153" t="s">
        <v>1343</v>
      </c>
      <c r="B367" s="125" t="s">
        <v>900</v>
      </c>
      <c r="C367" s="130">
        <f t="shared" si="78"/>
        <v>24.25</v>
      </c>
      <c r="D367" s="180">
        <v>1</v>
      </c>
      <c r="E367" s="127" t="s">
        <v>896</v>
      </c>
      <c r="F367">
        <v>3</v>
      </c>
      <c r="G367" s="127">
        <f t="shared" si="75"/>
        <v>8</v>
      </c>
      <c r="H367" s="127" t="s">
        <v>1208</v>
      </c>
      <c r="I367" s="127">
        <v>2</v>
      </c>
      <c r="J367" s="127">
        <f t="shared" si="69"/>
        <v>0.125</v>
      </c>
      <c r="K367" s="127" t="s">
        <v>1305</v>
      </c>
      <c r="M367" s="127">
        <f t="shared" si="70"/>
        <v>0</v>
      </c>
      <c r="N367" s="127" t="s">
        <v>1305</v>
      </c>
      <c r="P367" s="127">
        <f t="shared" si="71"/>
        <v>0</v>
      </c>
      <c r="Q367" s="127" t="s">
        <v>1305</v>
      </c>
      <c r="S367" s="127">
        <f t="shared" si="72"/>
        <v>0</v>
      </c>
      <c r="T367" s="127" t="s">
        <v>1305</v>
      </c>
      <c r="V367" s="127">
        <f t="shared" si="73"/>
        <v>0</v>
      </c>
    </row>
    <row r="368" spans="1:22" ht="15.75">
      <c r="A368" s="153" t="s">
        <v>1343</v>
      </c>
      <c r="B368" s="125" t="s">
        <v>901</v>
      </c>
      <c r="C368" s="130">
        <f t="shared" si="78"/>
        <v>8.25</v>
      </c>
      <c r="D368" s="180">
        <v>1</v>
      </c>
      <c r="E368" s="143" t="s">
        <v>896</v>
      </c>
      <c r="F368">
        <v>1</v>
      </c>
      <c r="G368" s="127">
        <f t="shared" si="75"/>
        <v>8</v>
      </c>
      <c r="H368" s="127" t="s">
        <v>1208</v>
      </c>
      <c r="I368" s="127">
        <v>2</v>
      </c>
      <c r="J368" s="127">
        <f t="shared" si="69"/>
        <v>0.125</v>
      </c>
      <c r="K368" s="127" t="s">
        <v>1305</v>
      </c>
      <c r="M368" s="127">
        <f t="shared" si="70"/>
        <v>0</v>
      </c>
      <c r="N368" s="127" t="s">
        <v>1305</v>
      </c>
      <c r="P368" s="127">
        <f t="shared" si="71"/>
        <v>0</v>
      </c>
      <c r="Q368" s="127" t="s">
        <v>1305</v>
      </c>
      <c r="S368" s="127">
        <f t="shared" si="72"/>
        <v>0</v>
      </c>
      <c r="T368" s="127" t="s">
        <v>1305</v>
      </c>
      <c r="V368" s="127">
        <f t="shared" si="73"/>
        <v>0</v>
      </c>
    </row>
    <row r="369" spans="1:22" ht="15.75">
      <c r="A369" s="153" t="s">
        <v>1344</v>
      </c>
      <c r="B369" s="125" t="s">
        <v>902</v>
      </c>
      <c r="C369" s="130">
        <f t="shared" si="78"/>
        <v>16.125</v>
      </c>
      <c r="D369" s="180">
        <v>1</v>
      </c>
      <c r="E369" s="143" t="s">
        <v>896</v>
      </c>
      <c r="F369">
        <v>2</v>
      </c>
      <c r="G369" s="127">
        <f t="shared" si="75"/>
        <v>8</v>
      </c>
      <c r="H369" s="127" t="s">
        <v>1208</v>
      </c>
      <c r="I369" s="127">
        <v>1</v>
      </c>
      <c r="J369" s="127">
        <f t="shared" si="69"/>
        <v>0.125</v>
      </c>
      <c r="K369" s="127" t="s">
        <v>1305</v>
      </c>
      <c r="M369" s="127">
        <f t="shared" si="70"/>
        <v>0</v>
      </c>
      <c r="N369" s="127" t="s">
        <v>1305</v>
      </c>
      <c r="P369" s="127">
        <f t="shared" si="71"/>
        <v>0</v>
      </c>
      <c r="Q369" s="127" t="s">
        <v>1305</v>
      </c>
      <c r="S369" s="127">
        <f t="shared" si="72"/>
        <v>0</v>
      </c>
      <c r="T369" s="127" t="s">
        <v>1305</v>
      </c>
      <c r="V369" s="127">
        <f t="shared" si="73"/>
        <v>0</v>
      </c>
    </row>
    <row r="370" spans="1:22" ht="15.75">
      <c r="A370" s="153" t="s">
        <v>1343</v>
      </c>
      <c r="B370" s="125" t="s">
        <v>903</v>
      </c>
      <c r="C370" s="130">
        <f t="shared" si="78"/>
        <v>32</v>
      </c>
      <c r="D370" s="180">
        <v>1</v>
      </c>
      <c r="E370" s="143" t="s">
        <v>896</v>
      </c>
      <c r="F370">
        <v>4</v>
      </c>
      <c r="G370" s="127">
        <f t="shared" si="75"/>
        <v>8</v>
      </c>
      <c r="H370" s="127" t="s">
        <v>1305</v>
      </c>
      <c r="J370" s="127">
        <f t="shared" si="69"/>
        <v>0</v>
      </c>
      <c r="K370" s="127" t="s">
        <v>1305</v>
      </c>
      <c r="M370" s="127">
        <f t="shared" si="70"/>
        <v>0</v>
      </c>
      <c r="N370" s="127" t="s">
        <v>1305</v>
      </c>
      <c r="P370" s="127">
        <f t="shared" si="71"/>
        <v>0</v>
      </c>
      <c r="Q370" s="127" t="s">
        <v>1305</v>
      </c>
      <c r="S370" s="127">
        <f t="shared" si="72"/>
        <v>0</v>
      </c>
      <c r="T370" s="127" t="s">
        <v>1305</v>
      </c>
      <c r="V370" s="127">
        <f t="shared" si="73"/>
        <v>0</v>
      </c>
    </row>
    <row r="371" spans="1:22" ht="15.75">
      <c r="A371" s="153" t="s">
        <v>1345</v>
      </c>
      <c r="B371" s="125" t="s">
        <v>904</v>
      </c>
      <c r="C371" s="130">
        <f t="shared" si="78"/>
        <v>2</v>
      </c>
      <c r="D371" s="180">
        <v>1</v>
      </c>
      <c r="E371" s="127" t="s">
        <v>1208</v>
      </c>
      <c r="F371">
        <v>8</v>
      </c>
      <c r="G371" s="127">
        <f t="shared" si="75"/>
        <v>0.125</v>
      </c>
      <c r="H371" s="127" t="s">
        <v>928</v>
      </c>
      <c r="I371" s="127">
        <v>1</v>
      </c>
      <c r="J371" s="127">
        <f t="shared" si="69"/>
        <v>1</v>
      </c>
      <c r="K371" s="127" t="s">
        <v>1305</v>
      </c>
      <c r="M371" s="127">
        <f t="shared" si="70"/>
        <v>0</v>
      </c>
      <c r="N371" s="127" t="s">
        <v>1305</v>
      </c>
      <c r="P371" s="127">
        <f t="shared" si="71"/>
        <v>0</v>
      </c>
      <c r="Q371" s="127" t="s">
        <v>1305</v>
      </c>
      <c r="S371" s="127">
        <f t="shared" si="72"/>
        <v>0</v>
      </c>
      <c r="T371" s="127" t="s">
        <v>1305</v>
      </c>
      <c r="V371" s="127">
        <f t="shared" si="73"/>
        <v>0</v>
      </c>
    </row>
    <row r="372" spans="1:22" ht="15.75">
      <c r="A372" s="153" t="s">
        <v>1348</v>
      </c>
      <c r="B372" s="125" t="s">
        <v>905</v>
      </c>
      <c r="C372" s="130">
        <f t="shared" si="78"/>
        <v>11.78125</v>
      </c>
      <c r="D372" s="180">
        <v>1</v>
      </c>
      <c r="E372" s="127" t="s">
        <v>1248</v>
      </c>
      <c r="F372">
        <v>1</v>
      </c>
      <c r="G372" s="127">
        <f t="shared" si="75"/>
        <v>0.78125</v>
      </c>
      <c r="H372" s="143" t="s">
        <v>652</v>
      </c>
      <c r="I372" s="127">
        <v>1</v>
      </c>
      <c r="J372" s="127">
        <f t="shared" si="69"/>
        <v>11</v>
      </c>
      <c r="K372" s="127" t="s">
        <v>1305</v>
      </c>
      <c r="M372" s="127">
        <f t="shared" si="70"/>
        <v>0</v>
      </c>
      <c r="N372" s="127" t="s">
        <v>1305</v>
      </c>
      <c r="P372" s="127">
        <f t="shared" si="71"/>
        <v>0</v>
      </c>
      <c r="Q372" s="127" t="s">
        <v>1305</v>
      </c>
      <c r="S372" s="127">
        <f t="shared" si="72"/>
        <v>0</v>
      </c>
      <c r="T372" s="127" t="s">
        <v>1305</v>
      </c>
      <c r="V372" s="127">
        <f t="shared" si="73"/>
        <v>0</v>
      </c>
    </row>
    <row r="373" spans="1:22" ht="15.75">
      <c r="A373" s="153" t="s">
        <v>1353</v>
      </c>
      <c r="B373" s="125" t="s">
        <v>906</v>
      </c>
      <c r="C373" s="130">
        <f t="shared" si="78"/>
        <v>13</v>
      </c>
      <c r="D373" s="180">
        <v>1</v>
      </c>
      <c r="E373" s="127" t="s">
        <v>1026</v>
      </c>
      <c r="F373">
        <v>8</v>
      </c>
      <c r="G373" s="127">
        <f t="shared" si="75"/>
        <v>0.25</v>
      </c>
      <c r="H373" s="127" t="s">
        <v>750</v>
      </c>
      <c r="I373" s="127">
        <v>1</v>
      </c>
      <c r="J373" s="127">
        <f t="shared" si="69"/>
        <v>11</v>
      </c>
      <c r="K373" s="127" t="s">
        <v>1305</v>
      </c>
      <c r="M373" s="127">
        <f t="shared" si="70"/>
        <v>0</v>
      </c>
      <c r="N373" s="127" t="s">
        <v>1305</v>
      </c>
      <c r="P373" s="127">
        <f t="shared" si="71"/>
        <v>0</v>
      </c>
      <c r="Q373" s="127" t="s">
        <v>1305</v>
      </c>
      <c r="S373" s="127">
        <f t="shared" si="72"/>
        <v>0</v>
      </c>
      <c r="T373" s="127" t="s">
        <v>1305</v>
      </c>
      <c r="V373" s="127">
        <f t="shared" si="73"/>
        <v>0</v>
      </c>
    </row>
    <row r="374" spans="1:22" ht="15.75">
      <c r="A374" s="153" t="s">
        <v>1345</v>
      </c>
      <c r="B374" s="125" t="s">
        <v>907</v>
      </c>
      <c r="C374" s="130">
        <f t="shared" si="78"/>
        <v>9.125</v>
      </c>
      <c r="D374" s="180">
        <v>1</v>
      </c>
      <c r="E374" s="127" t="s">
        <v>913</v>
      </c>
      <c r="F374">
        <v>5</v>
      </c>
      <c r="G374" s="127">
        <f t="shared" si="75"/>
        <v>1.75</v>
      </c>
      <c r="H374" s="127" t="s">
        <v>1280</v>
      </c>
      <c r="I374" s="127">
        <v>1</v>
      </c>
      <c r="J374" s="127">
        <f t="shared" si="69"/>
        <v>0.375</v>
      </c>
      <c r="K374" s="127" t="s">
        <v>1305</v>
      </c>
      <c r="M374" s="127">
        <f t="shared" si="70"/>
        <v>0</v>
      </c>
      <c r="N374" s="127" t="s">
        <v>1305</v>
      </c>
      <c r="P374" s="127">
        <f t="shared" si="71"/>
        <v>0</v>
      </c>
      <c r="Q374" s="127" t="s">
        <v>1305</v>
      </c>
      <c r="S374" s="127">
        <f t="shared" si="72"/>
        <v>0</v>
      </c>
      <c r="T374" s="127" t="s">
        <v>1305</v>
      </c>
      <c r="V374" s="127">
        <f t="shared" si="73"/>
        <v>0</v>
      </c>
    </row>
    <row r="375" spans="1:22" ht="15.75">
      <c r="A375" s="153" t="s">
        <v>1345</v>
      </c>
      <c r="B375" s="125" t="s">
        <v>908</v>
      </c>
      <c r="C375" s="130">
        <f t="shared" si="78"/>
        <v>1.75</v>
      </c>
      <c r="D375" s="180">
        <v>1</v>
      </c>
      <c r="E375" s="143" t="s">
        <v>913</v>
      </c>
      <c r="F375" s="143">
        <v>1</v>
      </c>
      <c r="G375" s="143">
        <f t="shared" si="75"/>
        <v>1.75</v>
      </c>
      <c r="H375" s="143" t="s">
        <v>1305</v>
      </c>
      <c r="I375" s="143"/>
      <c r="J375" s="127">
        <f t="shared" si="69"/>
        <v>0</v>
      </c>
      <c r="K375" s="127" t="s">
        <v>1305</v>
      </c>
      <c r="M375" s="127">
        <f t="shared" si="70"/>
        <v>0</v>
      </c>
      <c r="N375" s="127" t="s">
        <v>1305</v>
      </c>
      <c r="P375" s="127">
        <f t="shared" si="71"/>
        <v>0</v>
      </c>
      <c r="Q375" s="127" t="s">
        <v>1305</v>
      </c>
      <c r="S375" s="127">
        <f t="shared" si="72"/>
        <v>0</v>
      </c>
      <c r="T375" s="127" t="s">
        <v>1305</v>
      </c>
      <c r="V375" s="127">
        <f t="shared" si="73"/>
        <v>0</v>
      </c>
    </row>
    <row r="376" spans="1:22" ht="15.75">
      <c r="A376" s="153" t="s">
        <v>1345</v>
      </c>
      <c r="B376" s="125" t="s">
        <v>909</v>
      </c>
      <c r="C376" s="130">
        <f t="shared" si="78"/>
        <v>3.5</v>
      </c>
      <c r="D376" s="180">
        <v>3</v>
      </c>
      <c r="E376" s="143" t="s">
        <v>913</v>
      </c>
      <c r="F376" s="143">
        <v>6</v>
      </c>
      <c r="G376" s="143">
        <f t="shared" si="75"/>
        <v>1.75</v>
      </c>
      <c r="H376" s="143" t="s">
        <v>1305</v>
      </c>
      <c r="I376" s="143"/>
      <c r="J376" s="127">
        <f t="shared" si="69"/>
        <v>0</v>
      </c>
      <c r="K376" s="127" t="s">
        <v>1305</v>
      </c>
      <c r="M376" s="127">
        <f t="shared" si="70"/>
        <v>0</v>
      </c>
      <c r="N376" s="127" t="s">
        <v>1305</v>
      </c>
      <c r="P376" s="127">
        <f t="shared" si="71"/>
        <v>0</v>
      </c>
      <c r="Q376" s="127" t="s">
        <v>1305</v>
      </c>
      <c r="S376" s="127">
        <f t="shared" si="72"/>
        <v>0</v>
      </c>
      <c r="T376" s="127" t="s">
        <v>1305</v>
      </c>
      <c r="V376" s="127">
        <f t="shared" si="73"/>
        <v>0</v>
      </c>
    </row>
    <row r="377" spans="1:22" ht="15.75">
      <c r="A377" s="153" t="s">
        <v>1345</v>
      </c>
      <c r="B377" s="125" t="s">
        <v>910</v>
      </c>
      <c r="C377" s="130">
        <f t="shared" si="78"/>
        <v>7.25</v>
      </c>
      <c r="D377" s="180">
        <v>1</v>
      </c>
      <c r="E377" s="143" t="s">
        <v>913</v>
      </c>
      <c r="F377" s="143">
        <v>4</v>
      </c>
      <c r="G377" s="143">
        <f t="shared" si="75"/>
        <v>1.75</v>
      </c>
      <c r="H377" s="143" t="s">
        <v>1208</v>
      </c>
      <c r="I377" s="143">
        <v>2</v>
      </c>
      <c r="J377" s="127">
        <f t="shared" si="69"/>
        <v>0.125</v>
      </c>
      <c r="K377" s="127" t="s">
        <v>1305</v>
      </c>
      <c r="M377" s="127">
        <f t="shared" si="70"/>
        <v>0</v>
      </c>
      <c r="N377" s="127" t="s">
        <v>1305</v>
      </c>
      <c r="P377" s="127">
        <f t="shared" si="71"/>
        <v>0</v>
      </c>
      <c r="Q377" s="127" t="s">
        <v>1305</v>
      </c>
      <c r="S377" s="127">
        <f t="shared" si="72"/>
        <v>0</v>
      </c>
      <c r="T377" s="127" t="s">
        <v>1305</v>
      </c>
      <c r="V377" s="127">
        <f t="shared" si="73"/>
        <v>0</v>
      </c>
    </row>
    <row r="378" spans="1:22" ht="15.75">
      <c r="A378" s="153" t="s">
        <v>1345</v>
      </c>
      <c r="B378" s="125" t="s">
        <v>911</v>
      </c>
      <c r="C378" s="130">
        <f t="shared" si="78"/>
        <v>4</v>
      </c>
      <c r="D378" s="180">
        <v>1</v>
      </c>
      <c r="E378" s="143" t="s">
        <v>913</v>
      </c>
      <c r="F378" s="143">
        <v>2</v>
      </c>
      <c r="G378" s="143">
        <f t="shared" si="75"/>
        <v>1.75</v>
      </c>
      <c r="H378" s="143" t="s">
        <v>1208</v>
      </c>
      <c r="I378" s="143">
        <v>4</v>
      </c>
      <c r="J378" s="127">
        <f t="shared" si="69"/>
        <v>0.125</v>
      </c>
      <c r="K378" s="127" t="s">
        <v>1305</v>
      </c>
      <c r="M378" s="127">
        <f t="shared" si="70"/>
        <v>0</v>
      </c>
      <c r="N378" s="127" t="s">
        <v>1305</v>
      </c>
      <c r="P378" s="127">
        <f t="shared" si="71"/>
        <v>0</v>
      </c>
      <c r="Q378" s="127" t="s">
        <v>1305</v>
      </c>
      <c r="S378" s="127">
        <f t="shared" si="72"/>
        <v>0</v>
      </c>
      <c r="T378" s="127" t="s">
        <v>1305</v>
      </c>
      <c r="V378" s="127">
        <f t="shared" si="73"/>
        <v>0</v>
      </c>
    </row>
    <row r="379" spans="1:22" s="137" customFormat="1" ht="15.75">
      <c r="A379" s="137" t="s">
        <v>1338</v>
      </c>
      <c r="B379" s="135" t="s">
        <v>912</v>
      </c>
      <c r="C379" s="136">
        <f>'ECONOMIA &amp; PROFESIONES'!E35</f>
        <v>7</v>
      </c>
      <c r="D379" s="180"/>
      <c r="E379" s="137" t="s">
        <v>1305</v>
      </c>
      <c r="G379" s="137">
        <f t="shared" si="75"/>
        <v>0</v>
      </c>
      <c r="H379" s="137" t="s">
        <v>1305</v>
      </c>
      <c r="J379" s="137">
        <f t="shared" si="69"/>
        <v>0</v>
      </c>
      <c r="K379" s="137" t="s">
        <v>1305</v>
      </c>
      <c r="M379" s="137">
        <f t="shared" si="70"/>
        <v>0</v>
      </c>
      <c r="N379" s="137" t="s">
        <v>1305</v>
      </c>
      <c r="P379" s="137">
        <f t="shared" si="71"/>
        <v>0</v>
      </c>
      <c r="Q379" s="137" t="s">
        <v>1305</v>
      </c>
      <c r="S379" s="137">
        <f t="shared" si="72"/>
        <v>0</v>
      </c>
      <c r="T379" s="137" t="s">
        <v>1305</v>
      </c>
      <c r="V379" s="137">
        <f t="shared" si="73"/>
        <v>0</v>
      </c>
    </row>
    <row r="380" spans="1:22" ht="15.75">
      <c r="A380" s="153" t="s">
        <v>1345</v>
      </c>
      <c r="B380" s="125" t="s">
        <v>913</v>
      </c>
      <c r="C380" s="130">
        <f t="shared" si="78"/>
        <v>1.75</v>
      </c>
      <c r="D380" s="180">
        <v>4</v>
      </c>
      <c r="E380" s="143" t="s">
        <v>912</v>
      </c>
      <c r="F380" s="143">
        <v>1</v>
      </c>
      <c r="G380" s="143">
        <f t="shared" si="75"/>
        <v>7</v>
      </c>
      <c r="H380" s="143" t="s">
        <v>1305</v>
      </c>
      <c r="I380" s="143"/>
      <c r="J380" s="127">
        <f t="shared" si="69"/>
        <v>0</v>
      </c>
      <c r="K380" s="127" t="s">
        <v>1305</v>
      </c>
      <c r="M380" s="127">
        <f t="shared" si="70"/>
        <v>0</v>
      </c>
      <c r="N380" s="127" t="s">
        <v>1305</v>
      </c>
      <c r="P380" s="127">
        <f t="shared" si="71"/>
        <v>0</v>
      </c>
      <c r="Q380" s="127" t="s">
        <v>1305</v>
      </c>
      <c r="S380" s="127">
        <f t="shared" si="72"/>
        <v>0</v>
      </c>
      <c r="T380" s="127" t="s">
        <v>1305</v>
      </c>
      <c r="V380" s="127">
        <f t="shared" si="73"/>
        <v>0</v>
      </c>
    </row>
    <row r="381" spans="1:22" ht="15.75">
      <c r="A381" s="153" t="s">
        <v>1345</v>
      </c>
      <c r="B381" s="125" t="s">
        <v>914</v>
      </c>
      <c r="C381" s="130">
        <f t="shared" si="78"/>
        <v>3.5</v>
      </c>
      <c r="D381" s="180">
        <v>1</v>
      </c>
      <c r="E381" s="143" t="s">
        <v>913</v>
      </c>
      <c r="F381" s="143">
        <v>2</v>
      </c>
      <c r="G381" s="143">
        <f t="shared" si="75"/>
        <v>1.75</v>
      </c>
      <c r="H381" s="143" t="s">
        <v>1305</v>
      </c>
      <c r="I381" s="143"/>
      <c r="J381" s="127">
        <f t="shared" ref="J381:J443" si="79">VLOOKUP(H381,IDPOINTS,2,FALSE)</f>
        <v>0</v>
      </c>
      <c r="K381" s="127" t="s">
        <v>1305</v>
      </c>
      <c r="M381" s="127">
        <f t="shared" ref="M381:M443" si="80">VLOOKUP(K381,IDPOINTS,2,FALSE)</f>
        <v>0</v>
      </c>
      <c r="N381" s="127" t="s">
        <v>1305</v>
      </c>
      <c r="P381" s="127">
        <f t="shared" ref="P381:P443" si="81">VLOOKUP(N381,IDPOINTS,2,FALSE)</f>
        <v>0</v>
      </c>
      <c r="Q381" s="127" t="s">
        <v>1305</v>
      </c>
      <c r="S381" s="127">
        <f t="shared" ref="S381:S443" si="82">VLOOKUP(Q381,IDPOINTS,2,FALSE)</f>
        <v>0</v>
      </c>
      <c r="T381" s="127" t="s">
        <v>1305</v>
      </c>
      <c r="V381" s="127">
        <f t="shared" ref="V381:V443" si="83">VLOOKUP(T381,IDPOINTS,2,FALSE)</f>
        <v>0</v>
      </c>
    </row>
    <row r="382" spans="1:22" ht="15.75">
      <c r="A382" s="153" t="s">
        <v>1345</v>
      </c>
      <c r="B382" s="125" t="s">
        <v>915</v>
      </c>
      <c r="C382" s="130">
        <f t="shared" si="78"/>
        <v>3.5416666666666665</v>
      </c>
      <c r="D382" s="180">
        <v>3</v>
      </c>
      <c r="E382" s="143" t="s">
        <v>913</v>
      </c>
      <c r="F382" s="143">
        <v>6</v>
      </c>
      <c r="G382" s="143">
        <f t="shared" si="75"/>
        <v>1.75</v>
      </c>
      <c r="H382" s="143" t="s">
        <v>1208</v>
      </c>
      <c r="I382" s="143">
        <v>1</v>
      </c>
      <c r="J382" s="127">
        <f t="shared" si="79"/>
        <v>0.125</v>
      </c>
      <c r="K382" s="127" t="s">
        <v>1305</v>
      </c>
      <c r="M382" s="127">
        <f t="shared" si="80"/>
        <v>0</v>
      </c>
      <c r="N382" s="127" t="s">
        <v>1305</v>
      </c>
      <c r="P382" s="127">
        <f t="shared" si="81"/>
        <v>0</v>
      </c>
      <c r="Q382" s="127" t="s">
        <v>1305</v>
      </c>
      <c r="S382" s="127">
        <f t="shared" si="82"/>
        <v>0</v>
      </c>
      <c r="T382" s="127" t="s">
        <v>1305</v>
      </c>
      <c r="V382" s="127">
        <f t="shared" si="83"/>
        <v>0</v>
      </c>
    </row>
    <row r="383" spans="1:22" ht="15.75">
      <c r="A383" s="153" t="s">
        <v>1345</v>
      </c>
      <c r="B383" s="125" t="s">
        <v>916</v>
      </c>
      <c r="C383" s="130">
        <f t="shared" si="78"/>
        <v>0.875</v>
      </c>
      <c r="D383" s="180">
        <v>6</v>
      </c>
      <c r="E383" s="143" t="s">
        <v>913</v>
      </c>
      <c r="F383" s="143">
        <v>3</v>
      </c>
      <c r="G383" s="143">
        <f t="shared" si="75"/>
        <v>1.75</v>
      </c>
      <c r="H383" s="143" t="s">
        <v>1305</v>
      </c>
      <c r="I383" s="143"/>
      <c r="J383" s="127">
        <f t="shared" si="79"/>
        <v>0</v>
      </c>
      <c r="K383" s="127" t="s">
        <v>1305</v>
      </c>
      <c r="M383" s="127">
        <f t="shared" si="80"/>
        <v>0</v>
      </c>
      <c r="N383" s="127" t="s">
        <v>1305</v>
      </c>
      <c r="P383" s="127">
        <f t="shared" si="81"/>
        <v>0</v>
      </c>
      <c r="Q383" s="127" t="s">
        <v>1305</v>
      </c>
      <c r="S383" s="127">
        <f t="shared" si="82"/>
        <v>0</v>
      </c>
      <c r="T383" s="127" t="s">
        <v>1305</v>
      </c>
      <c r="V383" s="127">
        <f t="shared" si="83"/>
        <v>0</v>
      </c>
    </row>
    <row r="384" spans="1:22" ht="15.75">
      <c r="A384" s="153" t="s">
        <v>1345</v>
      </c>
      <c r="B384" s="125" t="s">
        <v>917</v>
      </c>
      <c r="C384" s="130">
        <f t="shared" si="78"/>
        <v>2.625</v>
      </c>
      <c r="D384" s="180">
        <v>4</v>
      </c>
      <c r="E384" s="143" t="s">
        <v>913</v>
      </c>
      <c r="F384" s="143">
        <v>6</v>
      </c>
      <c r="G384" s="143">
        <f t="shared" si="75"/>
        <v>1.75</v>
      </c>
      <c r="H384" s="143" t="s">
        <v>1305</v>
      </c>
      <c r="I384" s="143"/>
      <c r="J384" s="127">
        <f t="shared" si="79"/>
        <v>0</v>
      </c>
      <c r="K384" s="127" t="s">
        <v>1305</v>
      </c>
      <c r="M384" s="127">
        <f t="shared" si="80"/>
        <v>0</v>
      </c>
      <c r="N384" s="127" t="s">
        <v>1305</v>
      </c>
      <c r="P384" s="127">
        <f t="shared" si="81"/>
        <v>0</v>
      </c>
      <c r="Q384" s="127" t="s">
        <v>1305</v>
      </c>
      <c r="S384" s="127">
        <f t="shared" si="82"/>
        <v>0</v>
      </c>
      <c r="T384" s="127" t="s">
        <v>1305</v>
      </c>
      <c r="V384" s="127">
        <f t="shared" si="83"/>
        <v>0</v>
      </c>
    </row>
    <row r="385" spans="1:22" ht="15.75">
      <c r="A385" s="153" t="s">
        <v>1345</v>
      </c>
      <c r="B385" s="125" t="s">
        <v>918</v>
      </c>
      <c r="C385" s="130">
        <f t="shared" si="78"/>
        <v>5.25</v>
      </c>
      <c r="D385" s="180">
        <v>2</v>
      </c>
      <c r="E385" s="143" t="s">
        <v>913</v>
      </c>
      <c r="F385" s="143">
        <v>6</v>
      </c>
      <c r="G385" s="143">
        <f t="shared" si="75"/>
        <v>1.75</v>
      </c>
      <c r="H385" s="143" t="s">
        <v>1305</v>
      </c>
      <c r="I385" s="143"/>
      <c r="J385" s="127">
        <f t="shared" si="79"/>
        <v>0</v>
      </c>
      <c r="K385" s="127" t="s">
        <v>1305</v>
      </c>
      <c r="M385" s="127">
        <f t="shared" si="80"/>
        <v>0</v>
      </c>
      <c r="N385" s="127" t="s">
        <v>1305</v>
      </c>
      <c r="P385" s="127">
        <f t="shared" si="81"/>
        <v>0</v>
      </c>
      <c r="Q385" s="127" t="s">
        <v>1305</v>
      </c>
      <c r="S385" s="127">
        <f t="shared" si="82"/>
        <v>0</v>
      </c>
      <c r="T385" s="127" t="s">
        <v>1305</v>
      </c>
      <c r="V385" s="127">
        <f t="shared" si="83"/>
        <v>0</v>
      </c>
    </row>
    <row r="386" spans="1:22" s="137" customFormat="1" ht="15.75">
      <c r="A386" s="137" t="s">
        <v>1338</v>
      </c>
      <c r="B386" s="135" t="s">
        <v>919</v>
      </c>
      <c r="C386" s="136">
        <f>'ECONOMIA &amp; PROFESIONES'!E35</f>
        <v>7</v>
      </c>
      <c r="D386" s="180"/>
      <c r="E386" s="137" t="s">
        <v>1305</v>
      </c>
      <c r="G386" s="137">
        <f t="shared" si="75"/>
        <v>0</v>
      </c>
      <c r="H386" s="137" t="s">
        <v>1305</v>
      </c>
      <c r="J386" s="137">
        <f t="shared" si="79"/>
        <v>0</v>
      </c>
      <c r="K386" s="137" t="s">
        <v>1305</v>
      </c>
      <c r="M386" s="137">
        <f t="shared" si="80"/>
        <v>0</v>
      </c>
      <c r="N386" s="137" t="s">
        <v>1305</v>
      </c>
      <c r="P386" s="137">
        <f t="shared" si="81"/>
        <v>0</v>
      </c>
      <c r="Q386" s="137" t="s">
        <v>1305</v>
      </c>
      <c r="S386" s="137">
        <f t="shared" si="82"/>
        <v>0</v>
      </c>
      <c r="T386" s="137" t="s">
        <v>1305</v>
      </c>
      <c r="V386" s="137">
        <f t="shared" si="83"/>
        <v>0</v>
      </c>
    </row>
    <row r="387" spans="1:22" s="137" customFormat="1" ht="15.75">
      <c r="A387" s="137" t="s">
        <v>560</v>
      </c>
      <c r="B387" s="135" t="s">
        <v>920</v>
      </c>
      <c r="C387" s="136">
        <f>'ECONOMIA &amp; PROFESIONES'!G37</f>
        <v>5</v>
      </c>
      <c r="D387" s="180"/>
      <c r="E387" s="137" t="s">
        <v>1305</v>
      </c>
      <c r="G387" s="137">
        <f t="shared" ref="G387:G444" si="84">VLOOKUP(E387,IDPOINTS,2,FALSE)</f>
        <v>0</v>
      </c>
      <c r="H387" s="137" t="s">
        <v>1305</v>
      </c>
      <c r="J387" s="137">
        <f t="shared" si="79"/>
        <v>0</v>
      </c>
      <c r="K387" s="137" t="s">
        <v>1305</v>
      </c>
      <c r="M387" s="137">
        <f t="shared" si="80"/>
        <v>0</v>
      </c>
      <c r="N387" s="137" t="s">
        <v>1305</v>
      </c>
      <c r="P387" s="137">
        <f t="shared" si="81"/>
        <v>0</v>
      </c>
      <c r="Q387" s="137" t="s">
        <v>1305</v>
      </c>
      <c r="S387" s="137">
        <f t="shared" si="82"/>
        <v>0</v>
      </c>
      <c r="T387" s="137" t="s">
        <v>1305</v>
      </c>
      <c r="V387" s="137">
        <f t="shared" si="83"/>
        <v>0</v>
      </c>
    </row>
    <row r="388" spans="1:22" ht="15.75">
      <c r="A388" s="153" t="s">
        <v>1345</v>
      </c>
      <c r="B388" s="125" t="s">
        <v>921</v>
      </c>
      <c r="C388" s="130">
        <f t="shared" ref="C388:C390" si="85">((G388*F388)+(I388*J388)+(L388*M388)+(O388*P388)+(R388*S388)+(U388*V388))/D388</f>
        <v>0.29166666666666669</v>
      </c>
      <c r="D388" s="180">
        <v>3</v>
      </c>
      <c r="E388" s="127" t="s">
        <v>1208</v>
      </c>
      <c r="F388">
        <v>7</v>
      </c>
      <c r="G388" s="127">
        <f t="shared" si="84"/>
        <v>0.125</v>
      </c>
      <c r="H388" s="127" t="s">
        <v>1305</v>
      </c>
      <c r="J388" s="127">
        <f t="shared" si="79"/>
        <v>0</v>
      </c>
      <c r="K388" s="127" t="s">
        <v>1305</v>
      </c>
      <c r="M388" s="127">
        <f t="shared" si="80"/>
        <v>0</v>
      </c>
      <c r="N388" s="127" t="s">
        <v>1305</v>
      </c>
      <c r="P388" s="127">
        <f t="shared" si="81"/>
        <v>0</v>
      </c>
      <c r="Q388" s="127" t="s">
        <v>1305</v>
      </c>
      <c r="S388" s="127">
        <f t="shared" si="82"/>
        <v>0</v>
      </c>
      <c r="T388" s="127" t="s">
        <v>1305</v>
      </c>
      <c r="V388" s="127">
        <f t="shared" si="83"/>
        <v>0</v>
      </c>
    </row>
    <row r="389" spans="1:22" ht="15.75">
      <c r="A389" s="153" t="s">
        <v>1343</v>
      </c>
      <c r="B389" s="125" t="s">
        <v>922</v>
      </c>
      <c r="C389" s="130">
        <f t="shared" si="85"/>
        <v>7.8923611111111107</v>
      </c>
      <c r="D389" s="180">
        <v>1</v>
      </c>
      <c r="E389" s="127" t="s">
        <v>898</v>
      </c>
      <c r="F389">
        <v>8</v>
      </c>
      <c r="G389" s="127">
        <f t="shared" si="84"/>
        <v>0.88888888888888884</v>
      </c>
      <c r="H389" s="127" t="s">
        <v>1248</v>
      </c>
      <c r="I389" s="127">
        <v>1</v>
      </c>
      <c r="J389" s="127">
        <f t="shared" si="79"/>
        <v>0.78125</v>
      </c>
      <c r="K389" s="127" t="s">
        <v>1305</v>
      </c>
      <c r="M389" s="127">
        <f t="shared" si="80"/>
        <v>0</v>
      </c>
      <c r="N389" s="127" t="s">
        <v>1305</v>
      </c>
      <c r="P389" s="127">
        <f t="shared" si="81"/>
        <v>0</v>
      </c>
      <c r="Q389" s="127" t="s">
        <v>1305</v>
      </c>
      <c r="S389" s="127">
        <f t="shared" si="82"/>
        <v>0</v>
      </c>
      <c r="T389" s="127" t="s">
        <v>1305</v>
      </c>
      <c r="V389" s="127">
        <f t="shared" si="83"/>
        <v>0</v>
      </c>
    </row>
    <row r="390" spans="1:22" ht="15.75">
      <c r="A390" s="153" t="s">
        <v>1346</v>
      </c>
      <c r="B390" s="125" t="s">
        <v>923</v>
      </c>
      <c r="C390" s="130">
        <f t="shared" si="85"/>
        <v>45</v>
      </c>
      <c r="D390" s="180">
        <v>1</v>
      </c>
      <c r="E390" s="127" t="s">
        <v>924</v>
      </c>
      <c r="F390">
        <v>9</v>
      </c>
      <c r="G390" s="127">
        <f t="shared" si="84"/>
        <v>5</v>
      </c>
      <c r="H390" s="127" t="s">
        <v>1305</v>
      </c>
      <c r="J390" s="127">
        <f t="shared" si="79"/>
        <v>0</v>
      </c>
      <c r="K390" s="127" t="s">
        <v>1305</v>
      </c>
      <c r="M390" s="127">
        <f t="shared" si="80"/>
        <v>0</v>
      </c>
      <c r="N390" s="127" t="s">
        <v>1305</v>
      </c>
      <c r="P390" s="127">
        <f t="shared" si="81"/>
        <v>0</v>
      </c>
      <c r="Q390" s="127" t="s">
        <v>1305</v>
      </c>
      <c r="S390" s="127">
        <f t="shared" si="82"/>
        <v>0</v>
      </c>
      <c r="T390" s="127" t="s">
        <v>1305</v>
      </c>
      <c r="V390" s="127">
        <f t="shared" si="83"/>
        <v>0</v>
      </c>
    </row>
    <row r="391" spans="1:22" s="137" customFormat="1" ht="15.75">
      <c r="A391" s="137" t="s">
        <v>1337</v>
      </c>
      <c r="B391" s="135" t="s">
        <v>924</v>
      </c>
      <c r="C391" s="136">
        <f>'ECONOMIA &amp; PROFESIONES'!C34</f>
        <v>5</v>
      </c>
      <c r="D391" s="180"/>
      <c r="E391" s="137" t="s">
        <v>1305</v>
      </c>
      <c r="G391" s="137">
        <f t="shared" si="84"/>
        <v>0</v>
      </c>
      <c r="H391" s="137" t="s">
        <v>1305</v>
      </c>
      <c r="J391" s="137">
        <f t="shared" si="79"/>
        <v>0</v>
      </c>
      <c r="K391" s="137" t="s">
        <v>1305</v>
      </c>
      <c r="M391" s="137">
        <f t="shared" si="80"/>
        <v>0</v>
      </c>
      <c r="N391" s="137" t="s">
        <v>1305</v>
      </c>
      <c r="P391" s="137">
        <f t="shared" si="81"/>
        <v>0</v>
      </c>
      <c r="Q391" s="137" t="s">
        <v>1305</v>
      </c>
      <c r="S391" s="137">
        <f t="shared" si="82"/>
        <v>0</v>
      </c>
      <c r="T391" s="137" t="s">
        <v>1305</v>
      </c>
      <c r="V391" s="137">
        <f t="shared" si="83"/>
        <v>0</v>
      </c>
    </row>
    <row r="392" spans="1:22" s="137" customFormat="1" ht="15.75">
      <c r="A392" s="137" t="s">
        <v>1337</v>
      </c>
      <c r="B392" s="135" t="s">
        <v>925</v>
      </c>
      <c r="C392" s="136">
        <f>'ECONOMIA &amp; PROFESIONES'!C34</f>
        <v>5</v>
      </c>
      <c r="D392" s="180"/>
      <c r="E392" s="137" t="s">
        <v>1305</v>
      </c>
      <c r="G392" s="137">
        <f t="shared" si="84"/>
        <v>0</v>
      </c>
      <c r="H392" s="137" t="s">
        <v>1305</v>
      </c>
      <c r="J392" s="137">
        <f t="shared" si="79"/>
        <v>0</v>
      </c>
      <c r="K392" s="137" t="s">
        <v>1305</v>
      </c>
      <c r="M392" s="137">
        <f t="shared" si="80"/>
        <v>0</v>
      </c>
      <c r="N392" s="137" t="s">
        <v>1305</v>
      </c>
      <c r="P392" s="137">
        <f t="shared" si="81"/>
        <v>0</v>
      </c>
      <c r="Q392" s="137" t="s">
        <v>1305</v>
      </c>
      <c r="S392" s="137">
        <f t="shared" si="82"/>
        <v>0</v>
      </c>
      <c r="T392" s="137" t="s">
        <v>1305</v>
      </c>
      <c r="V392" s="137">
        <f t="shared" si="83"/>
        <v>0</v>
      </c>
    </row>
    <row r="393" spans="1:22" s="167" customFormat="1" ht="15.75">
      <c r="B393" s="165" t="s">
        <v>926</v>
      </c>
      <c r="C393" s="166">
        <v>0.2</v>
      </c>
      <c r="D393" s="180"/>
      <c r="E393" s="167" t="s">
        <v>1305</v>
      </c>
      <c r="G393" s="167">
        <f t="shared" si="84"/>
        <v>0</v>
      </c>
      <c r="H393" s="167" t="s">
        <v>1305</v>
      </c>
      <c r="J393" s="167">
        <f t="shared" si="79"/>
        <v>0</v>
      </c>
      <c r="K393" s="167" t="s">
        <v>1305</v>
      </c>
      <c r="M393" s="167">
        <f t="shared" si="80"/>
        <v>0</v>
      </c>
      <c r="N393" s="167" t="s">
        <v>1305</v>
      </c>
      <c r="P393" s="167">
        <f t="shared" si="81"/>
        <v>0</v>
      </c>
      <c r="Q393" s="167" t="s">
        <v>1305</v>
      </c>
      <c r="S393" s="167">
        <f t="shared" si="82"/>
        <v>0</v>
      </c>
      <c r="T393" s="167" t="s">
        <v>1305</v>
      </c>
      <c r="V393" s="167">
        <f t="shared" si="83"/>
        <v>0</v>
      </c>
    </row>
    <row r="394" spans="1:22" ht="15.75">
      <c r="A394" s="153" t="s">
        <v>1347</v>
      </c>
      <c r="B394" s="125" t="s">
        <v>927</v>
      </c>
      <c r="C394" s="130">
        <f t="shared" ref="C394" si="86">((G394*F394)+(I394*J394)+(L394*M394)+(O394*P394)+(R394*S394)+(U394*V394))/D394</f>
        <v>6.5</v>
      </c>
      <c r="D394" s="180">
        <v>2</v>
      </c>
      <c r="E394" s="127" t="s">
        <v>1224</v>
      </c>
      <c r="F394">
        <v>4</v>
      </c>
      <c r="G394" s="127">
        <f t="shared" si="84"/>
        <v>1.5</v>
      </c>
      <c r="H394" s="127" t="s">
        <v>1173</v>
      </c>
      <c r="I394" s="127">
        <v>1</v>
      </c>
      <c r="J394" s="127">
        <f t="shared" si="79"/>
        <v>7</v>
      </c>
      <c r="K394" s="127" t="s">
        <v>1305</v>
      </c>
      <c r="M394" s="127">
        <f t="shared" si="80"/>
        <v>0</v>
      </c>
      <c r="N394" s="127" t="s">
        <v>1305</v>
      </c>
      <c r="P394" s="127">
        <f t="shared" si="81"/>
        <v>0</v>
      </c>
      <c r="Q394" s="127" t="s">
        <v>1305</v>
      </c>
      <c r="S394" s="127">
        <f t="shared" si="82"/>
        <v>0</v>
      </c>
      <c r="T394" s="127" t="s">
        <v>1305</v>
      </c>
      <c r="V394" s="127">
        <f t="shared" si="83"/>
        <v>0</v>
      </c>
    </row>
    <row r="395" spans="1:22" ht="15.75">
      <c r="A395" s="153" t="s">
        <v>1347</v>
      </c>
      <c r="B395" s="125" t="s">
        <v>928</v>
      </c>
      <c r="C395" s="130">
        <f>'ECONOMIA &amp; PROFESIONES'!B16</f>
        <v>1</v>
      </c>
      <c r="D395" s="180"/>
      <c r="E395" s="127" t="s">
        <v>1305</v>
      </c>
      <c r="G395" s="127">
        <f t="shared" si="84"/>
        <v>0</v>
      </c>
      <c r="H395" s="127" t="s">
        <v>1305</v>
      </c>
      <c r="J395" s="127">
        <f t="shared" si="79"/>
        <v>0</v>
      </c>
      <c r="K395" s="127" t="s">
        <v>1305</v>
      </c>
      <c r="M395" s="127">
        <f t="shared" si="80"/>
        <v>0</v>
      </c>
      <c r="N395" s="127" t="s">
        <v>1305</v>
      </c>
      <c r="P395" s="127">
        <f t="shared" si="81"/>
        <v>0</v>
      </c>
      <c r="Q395" s="127" t="s">
        <v>1305</v>
      </c>
      <c r="S395" s="127">
        <f t="shared" si="82"/>
        <v>0</v>
      </c>
      <c r="T395" s="127" t="s">
        <v>1305</v>
      </c>
      <c r="V395" s="127">
        <f t="shared" si="83"/>
        <v>0</v>
      </c>
    </row>
    <row r="396" spans="1:22" ht="15.75">
      <c r="A396" s="153" t="s">
        <v>1347</v>
      </c>
      <c r="B396" s="125" t="s">
        <v>929</v>
      </c>
      <c r="C396" s="130">
        <f t="shared" ref="C396:C427" si="87">((G396*F396)+(I396*J396)+(L396*M396)+(O396*P396)+(R396*S396)+(U396*V396))/D396</f>
        <v>4</v>
      </c>
      <c r="D396" s="180">
        <v>1</v>
      </c>
      <c r="E396" s="127" t="s">
        <v>928</v>
      </c>
      <c r="F396">
        <v>4</v>
      </c>
      <c r="G396" s="127">
        <f t="shared" si="84"/>
        <v>1</v>
      </c>
      <c r="H396" s="127" t="s">
        <v>1305</v>
      </c>
      <c r="J396" s="127">
        <f t="shared" si="79"/>
        <v>0</v>
      </c>
      <c r="K396" s="127" t="s">
        <v>1305</v>
      </c>
      <c r="M396" s="127">
        <f t="shared" si="80"/>
        <v>0</v>
      </c>
      <c r="N396" s="127" t="s">
        <v>1305</v>
      </c>
      <c r="P396" s="127">
        <f t="shared" si="81"/>
        <v>0</v>
      </c>
      <c r="Q396" s="127" t="s">
        <v>1305</v>
      </c>
      <c r="S396" s="127">
        <f t="shared" si="82"/>
        <v>0</v>
      </c>
      <c r="T396" s="127" t="s">
        <v>1305</v>
      </c>
      <c r="V396" s="127">
        <f t="shared" si="83"/>
        <v>0</v>
      </c>
    </row>
    <row r="397" spans="1:22" ht="15.75">
      <c r="A397" s="153" t="s">
        <v>1347</v>
      </c>
      <c r="B397" s="125" t="s">
        <v>930</v>
      </c>
      <c r="C397" s="130">
        <f t="shared" si="87"/>
        <v>8</v>
      </c>
      <c r="D397" s="180">
        <v>1</v>
      </c>
      <c r="E397" s="143" t="s">
        <v>928</v>
      </c>
      <c r="F397">
        <v>8</v>
      </c>
      <c r="G397" s="127">
        <f t="shared" si="84"/>
        <v>1</v>
      </c>
      <c r="H397" s="127" t="s">
        <v>1305</v>
      </c>
      <c r="J397" s="127">
        <f t="shared" si="79"/>
        <v>0</v>
      </c>
      <c r="K397" s="127" t="s">
        <v>1305</v>
      </c>
      <c r="M397" s="127">
        <f t="shared" si="80"/>
        <v>0</v>
      </c>
      <c r="N397" s="127" t="s">
        <v>1305</v>
      </c>
      <c r="P397" s="127">
        <f t="shared" si="81"/>
        <v>0</v>
      </c>
      <c r="Q397" s="127" t="s">
        <v>1305</v>
      </c>
      <c r="S397" s="127">
        <f t="shared" si="82"/>
        <v>0</v>
      </c>
      <c r="T397" s="127" t="s">
        <v>1305</v>
      </c>
      <c r="V397" s="127">
        <f t="shared" si="83"/>
        <v>0</v>
      </c>
    </row>
    <row r="398" spans="1:22" ht="15.75">
      <c r="A398" s="153" t="s">
        <v>1347</v>
      </c>
      <c r="B398" s="125" t="s">
        <v>931</v>
      </c>
      <c r="C398" s="130">
        <f t="shared" si="87"/>
        <v>5</v>
      </c>
      <c r="D398" s="180">
        <v>1</v>
      </c>
      <c r="E398" s="143" t="s">
        <v>928</v>
      </c>
      <c r="F398">
        <v>5</v>
      </c>
      <c r="G398" s="127">
        <f t="shared" si="84"/>
        <v>1</v>
      </c>
      <c r="H398" s="127" t="s">
        <v>1305</v>
      </c>
      <c r="J398" s="127">
        <f t="shared" si="79"/>
        <v>0</v>
      </c>
      <c r="K398" s="127" t="s">
        <v>1305</v>
      </c>
      <c r="M398" s="127">
        <f t="shared" si="80"/>
        <v>0</v>
      </c>
      <c r="N398" s="127" t="s">
        <v>1305</v>
      </c>
      <c r="P398" s="127">
        <f t="shared" si="81"/>
        <v>0</v>
      </c>
      <c r="Q398" s="127" t="s">
        <v>1305</v>
      </c>
      <c r="S398" s="127">
        <f t="shared" si="82"/>
        <v>0</v>
      </c>
      <c r="T398" s="127" t="s">
        <v>1305</v>
      </c>
      <c r="V398" s="127">
        <f t="shared" si="83"/>
        <v>0</v>
      </c>
    </row>
    <row r="399" spans="1:22" s="140" customFormat="1" ht="15.75">
      <c r="A399" s="153"/>
      <c r="B399" s="138" t="s">
        <v>932</v>
      </c>
      <c r="C399" s="139">
        <f t="shared" ref="C399" si="88">(G399*F399)+(I399*J399)+(L399*M399)+(O399*P399)+(R399*S399)+(U399*V399)</f>
        <v>0</v>
      </c>
      <c r="D399" s="180"/>
      <c r="E399" s="140" t="s">
        <v>928</v>
      </c>
      <c r="G399" s="140">
        <f t="shared" si="84"/>
        <v>1</v>
      </c>
      <c r="H399" s="140" t="s">
        <v>1305</v>
      </c>
      <c r="J399" s="140">
        <f t="shared" si="79"/>
        <v>0</v>
      </c>
      <c r="K399" s="140" t="s">
        <v>1305</v>
      </c>
      <c r="M399" s="140">
        <f t="shared" si="80"/>
        <v>0</v>
      </c>
      <c r="N399" s="140" t="s">
        <v>1305</v>
      </c>
      <c r="P399" s="140">
        <f t="shared" si="81"/>
        <v>0</v>
      </c>
      <c r="Q399" s="140" t="s">
        <v>1305</v>
      </c>
      <c r="S399" s="140">
        <f t="shared" si="82"/>
        <v>0</v>
      </c>
      <c r="T399" s="140" t="s">
        <v>1305</v>
      </c>
      <c r="V399" s="140">
        <f t="shared" si="83"/>
        <v>0</v>
      </c>
    </row>
    <row r="400" spans="1:22" ht="15.75">
      <c r="A400" s="153" t="s">
        <v>1347</v>
      </c>
      <c r="B400" s="125" t="s">
        <v>933</v>
      </c>
      <c r="C400" s="130">
        <f t="shared" si="87"/>
        <v>7</v>
      </c>
      <c r="D400" s="180">
        <v>1</v>
      </c>
      <c r="E400" s="143" t="s">
        <v>928</v>
      </c>
      <c r="F400">
        <v>7</v>
      </c>
      <c r="G400" s="127">
        <f t="shared" si="84"/>
        <v>1</v>
      </c>
      <c r="H400" s="127" t="s">
        <v>1305</v>
      </c>
      <c r="J400" s="127">
        <f t="shared" si="79"/>
        <v>0</v>
      </c>
      <c r="K400" s="127" t="s">
        <v>1305</v>
      </c>
      <c r="M400" s="127">
        <f t="shared" si="80"/>
        <v>0</v>
      </c>
      <c r="N400" s="127" t="s">
        <v>1305</v>
      </c>
      <c r="P400" s="127">
        <f t="shared" si="81"/>
        <v>0</v>
      </c>
      <c r="Q400" s="127" t="s">
        <v>1305</v>
      </c>
      <c r="S400" s="127">
        <f t="shared" si="82"/>
        <v>0</v>
      </c>
      <c r="T400" s="127" t="s">
        <v>1305</v>
      </c>
      <c r="V400" s="127">
        <f t="shared" si="83"/>
        <v>0</v>
      </c>
    </row>
    <row r="401" spans="1:22" ht="15.75">
      <c r="A401" s="153" t="s">
        <v>1352</v>
      </c>
      <c r="B401" s="125" t="s">
        <v>934</v>
      </c>
      <c r="C401" s="130">
        <f t="shared" si="87"/>
        <v>49.75</v>
      </c>
      <c r="D401" s="180">
        <v>1</v>
      </c>
      <c r="E401" s="127" t="s">
        <v>616</v>
      </c>
      <c r="F401">
        <v>1</v>
      </c>
      <c r="G401" s="127">
        <f t="shared" si="84"/>
        <v>49.5</v>
      </c>
      <c r="H401" s="127" t="s">
        <v>1026</v>
      </c>
      <c r="I401" s="127">
        <v>1</v>
      </c>
      <c r="J401" s="127">
        <f t="shared" si="79"/>
        <v>0.25</v>
      </c>
      <c r="K401" s="127" t="s">
        <v>1305</v>
      </c>
      <c r="M401" s="127">
        <f t="shared" si="80"/>
        <v>0</v>
      </c>
      <c r="N401" s="127" t="s">
        <v>1305</v>
      </c>
      <c r="P401" s="127">
        <f t="shared" si="81"/>
        <v>0</v>
      </c>
      <c r="Q401" s="127" t="s">
        <v>1305</v>
      </c>
      <c r="S401" s="127">
        <f t="shared" si="82"/>
        <v>0</v>
      </c>
      <c r="T401" s="127" t="s">
        <v>1305</v>
      </c>
      <c r="V401" s="127">
        <f t="shared" si="83"/>
        <v>0</v>
      </c>
    </row>
    <row r="402" spans="1:22" ht="15.75">
      <c r="A402" s="153" t="s">
        <v>1353</v>
      </c>
      <c r="B402" s="125" t="s">
        <v>935</v>
      </c>
      <c r="C402" s="130">
        <f t="shared" si="87"/>
        <v>1.125</v>
      </c>
      <c r="D402" s="180">
        <v>1</v>
      </c>
      <c r="E402" s="127" t="s">
        <v>676</v>
      </c>
      <c r="F402">
        <v>1</v>
      </c>
      <c r="G402" s="127">
        <f t="shared" si="84"/>
        <v>1</v>
      </c>
      <c r="H402" s="127" t="s">
        <v>1208</v>
      </c>
      <c r="I402" s="127">
        <v>1</v>
      </c>
      <c r="J402" s="127">
        <f t="shared" si="79"/>
        <v>0.125</v>
      </c>
      <c r="K402" s="127" t="s">
        <v>1305</v>
      </c>
      <c r="M402" s="127">
        <f t="shared" si="80"/>
        <v>0</v>
      </c>
      <c r="N402" s="127" t="s">
        <v>1305</v>
      </c>
      <c r="P402" s="127">
        <f t="shared" si="81"/>
        <v>0</v>
      </c>
      <c r="Q402" s="127" t="s">
        <v>1305</v>
      </c>
      <c r="S402" s="127">
        <f t="shared" si="82"/>
        <v>0</v>
      </c>
      <c r="T402" s="127" t="s">
        <v>1305</v>
      </c>
      <c r="V402" s="127">
        <f t="shared" si="83"/>
        <v>0</v>
      </c>
    </row>
    <row r="403" spans="1:22" ht="15.75">
      <c r="A403" s="153" t="s">
        <v>1351</v>
      </c>
      <c r="B403" s="125" t="s">
        <v>936</v>
      </c>
      <c r="C403" s="130">
        <f t="shared" si="87"/>
        <v>42.125</v>
      </c>
      <c r="D403" s="180">
        <v>1</v>
      </c>
      <c r="E403" s="143" t="s">
        <v>947</v>
      </c>
      <c r="F403" s="143">
        <v>6</v>
      </c>
      <c r="G403" s="143">
        <f t="shared" si="84"/>
        <v>7</v>
      </c>
      <c r="H403" s="143" t="s">
        <v>1208</v>
      </c>
      <c r="I403" s="143">
        <v>1</v>
      </c>
      <c r="J403" s="127">
        <f t="shared" si="79"/>
        <v>0.125</v>
      </c>
      <c r="K403" s="127" t="s">
        <v>1305</v>
      </c>
      <c r="M403" s="127">
        <f t="shared" si="80"/>
        <v>0</v>
      </c>
      <c r="N403" s="127" t="s">
        <v>1305</v>
      </c>
      <c r="P403" s="127">
        <f t="shared" si="81"/>
        <v>0</v>
      </c>
      <c r="Q403" s="127" t="s">
        <v>1305</v>
      </c>
      <c r="S403" s="127">
        <f t="shared" si="82"/>
        <v>0</v>
      </c>
      <c r="T403" s="127" t="s">
        <v>1305</v>
      </c>
      <c r="V403" s="127">
        <f t="shared" si="83"/>
        <v>0</v>
      </c>
    </row>
    <row r="404" spans="1:22" ht="15.75">
      <c r="A404" s="153" t="s">
        <v>1351</v>
      </c>
      <c r="B404" s="125" t="s">
        <v>937</v>
      </c>
      <c r="C404" s="130">
        <f t="shared" si="87"/>
        <v>21.75</v>
      </c>
      <c r="D404" s="180">
        <v>1</v>
      </c>
      <c r="E404" s="143" t="s">
        <v>947</v>
      </c>
      <c r="F404" s="143">
        <v>3</v>
      </c>
      <c r="G404" s="143">
        <f t="shared" si="84"/>
        <v>7</v>
      </c>
      <c r="H404" s="143" t="s">
        <v>1026</v>
      </c>
      <c r="I404" s="143">
        <v>3</v>
      </c>
      <c r="J404" s="127">
        <f t="shared" si="79"/>
        <v>0.25</v>
      </c>
      <c r="K404" s="127" t="s">
        <v>1305</v>
      </c>
      <c r="M404" s="127">
        <f t="shared" si="80"/>
        <v>0</v>
      </c>
      <c r="N404" s="127" t="s">
        <v>1305</v>
      </c>
      <c r="P404" s="127">
        <f t="shared" si="81"/>
        <v>0</v>
      </c>
      <c r="Q404" s="127" t="s">
        <v>1305</v>
      </c>
      <c r="S404" s="127">
        <f t="shared" si="82"/>
        <v>0</v>
      </c>
      <c r="T404" s="127" t="s">
        <v>1305</v>
      </c>
      <c r="V404" s="127">
        <f t="shared" si="83"/>
        <v>0</v>
      </c>
    </row>
    <row r="405" spans="1:22" ht="15.75">
      <c r="A405" s="153" t="s">
        <v>1351</v>
      </c>
      <c r="B405" s="125" t="s">
        <v>938</v>
      </c>
      <c r="C405" s="130">
        <f t="shared" si="87"/>
        <v>4.666666666666667</v>
      </c>
      <c r="D405" s="180">
        <v>3</v>
      </c>
      <c r="E405" s="143" t="s">
        <v>947</v>
      </c>
      <c r="F405" s="143">
        <v>2</v>
      </c>
      <c r="G405" s="143">
        <f t="shared" si="84"/>
        <v>7</v>
      </c>
      <c r="H405" s="143" t="s">
        <v>1305</v>
      </c>
      <c r="I405" s="143"/>
      <c r="J405" s="127">
        <f t="shared" si="79"/>
        <v>0</v>
      </c>
      <c r="K405" s="127" t="s">
        <v>1305</v>
      </c>
      <c r="M405" s="127">
        <f t="shared" si="80"/>
        <v>0</v>
      </c>
      <c r="N405" s="127" t="s">
        <v>1305</v>
      </c>
      <c r="P405" s="127">
        <f t="shared" si="81"/>
        <v>0</v>
      </c>
      <c r="Q405" s="127" t="s">
        <v>1305</v>
      </c>
      <c r="S405" s="127">
        <f t="shared" si="82"/>
        <v>0</v>
      </c>
      <c r="T405" s="127" t="s">
        <v>1305</v>
      </c>
      <c r="V405" s="127">
        <f t="shared" si="83"/>
        <v>0</v>
      </c>
    </row>
    <row r="406" spans="1:22" ht="15.75">
      <c r="A406" s="153" t="s">
        <v>1351</v>
      </c>
      <c r="B406" s="125" t="s">
        <v>939</v>
      </c>
      <c r="C406" s="130">
        <f t="shared" si="87"/>
        <v>3</v>
      </c>
      <c r="D406" s="180">
        <v>1</v>
      </c>
      <c r="E406" s="143" t="s">
        <v>940</v>
      </c>
      <c r="F406" s="143">
        <v>1</v>
      </c>
      <c r="G406" s="143">
        <f t="shared" si="84"/>
        <v>3</v>
      </c>
      <c r="H406" s="143" t="s">
        <v>1305</v>
      </c>
      <c r="I406" s="143"/>
      <c r="J406" s="127">
        <f t="shared" si="79"/>
        <v>0</v>
      </c>
      <c r="K406" s="127" t="s">
        <v>1305</v>
      </c>
      <c r="M406" s="127">
        <f t="shared" si="80"/>
        <v>0</v>
      </c>
      <c r="N406" s="127" t="s">
        <v>1305</v>
      </c>
      <c r="P406" s="127">
        <f t="shared" si="81"/>
        <v>0</v>
      </c>
      <c r="Q406" s="127" t="s">
        <v>1305</v>
      </c>
      <c r="S406" s="127">
        <f t="shared" si="82"/>
        <v>0</v>
      </c>
      <c r="T406" s="127" t="s">
        <v>1305</v>
      </c>
      <c r="V406" s="127">
        <f t="shared" si="83"/>
        <v>0</v>
      </c>
    </row>
    <row r="407" spans="1:22" ht="15.75">
      <c r="A407" s="153" t="s">
        <v>1351</v>
      </c>
      <c r="B407" s="125" t="s">
        <v>940</v>
      </c>
      <c r="C407" s="130">
        <f t="shared" si="87"/>
        <v>3</v>
      </c>
      <c r="D407" s="180">
        <v>8</v>
      </c>
      <c r="E407" s="143" t="s">
        <v>1158</v>
      </c>
      <c r="F407" s="143">
        <v>4</v>
      </c>
      <c r="G407" s="143">
        <f t="shared" si="84"/>
        <v>5</v>
      </c>
      <c r="H407" s="143" t="s">
        <v>844</v>
      </c>
      <c r="I407" s="143">
        <v>4</v>
      </c>
      <c r="J407" s="127">
        <f t="shared" si="79"/>
        <v>1</v>
      </c>
      <c r="K407" s="127" t="s">
        <v>1305</v>
      </c>
      <c r="M407" s="127">
        <f t="shared" si="80"/>
        <v>0</v>
      </c>
      <c r="N407" s="127" t="s">
        <v>1305</v>
      </c>
      <c r="P407" s="127">
        <f t="shared" si="81"/>
        <v>0</v>
      </c>
      <c r="Q407" s="127" t="s">
        <v>1305</v>
      </c>
      <c r="S407" s="127">
        <f t="shared" si="82"/>
        <v>0</v>
      </c>
      <c r="T407" s="127" t="s">
        <v>1305</v>
      </c>
      <c r="V407" s="127">
        <f t="shared" si="83"/>
        <v>0</v>
      </c>
    </row>
    <row r="408" spans="1:22" s="13" customFormat="1" ht="15.75">
      <c r="A408" s="153" t="s">
        <v>1351</v>
      </c>
      <c r="B408" s="144" t="s">
        <v>941</v>
      </c>
      <c r="C408" s="130">
        <f t="shared" si="87"/>
        <v>1</v>
      </c>
      <c r="D408" s="180">
        <v>1</v>
      </c>
      <c r="E408" s="13" t="s">
        <v>603</v>
      </c>
      <c r="G408" s="13">
        <f t="shared" si="84"/>
        <v>1</v>
      </c>
      <c r="H408" s="13" t="s">
        <v>1267</v>
      </c>
      <c r="J408" s="13">
        <f t="shared" si="79"/>
        <v>2.5</v>
      </c>
      <c r="K408" s="13" t="s">
        <v>606</v>
      </c>
      <c r="L408" s="13">
        <v>1</v>
      </c>
      <c r="M408" s="13">
        <f t="shared" si="80"/>
        <v>1</v>
      </c>
      <c r="N408" s="13" t="s">
        <v>1305</v>
      </c>
      <c r="P408" s="13">
        <f t="shared" si="81"/>
        <v>0</v>
      </c>
      <c r="Q408" s="13" t="s">
        <v>1305</v>
      </c>
      <c r="S408" s="13">
        <f t="shared" si="82"/>
        <v>0</v>
      </c>
      <c r="T408" s="13" t="s">
        <v>1305</v>
      </c>
      <c r="V408" s="13">
        <f t="shared" si="83"/>
        <v>0</v>
      </c>
    </row>
    <row r="409" spans="1:22" ht="15.75">
      <c r="A409" s="153" t="s">
        <v>1351</v>
      </c>
      <c r="B409" s="125" t="s">
        <v>942</v>
      </c>
      <c r="C409" s="130">
        <f t="shared" si="87"/>
        <v>34.125</v>
      </c>
      <c r="D409" s="180">
        <v>1</v>
      </c>
      <c r="E409" s="143" t="s">
        <v>946</v>
      </c>
      <c r="F409" s="143">
        <v>1</v>
      </c>
      <c r="G409" s="143">
        <f t="shared" si="84"/>
        <v>31.125</v>
      </c>
      <c r="H409" s="143" t="s">
        <v>672</v>
      </c>
      <c r="I409" s="143">
        <v>1</v>
      </c>
      <c r="J409" s="127">
        <f t="shared" si="79"/>
        <v>3</v>
      </c>
      <c r="K409" s="127" t="s">
        <v>1305</v>
      </c>
      <c r="M409" s="127">
        <f t="shared" si="80"/>
        <v>0</v>
      </c>
      <c r="N409" s="127" t="s">
        <v>1305</v>
      </c>
      <c r="P409" s="127">
        <f t="shared" si="81"/>
        <v>0</v>
      </c>
      <c r="Q409" s="127" t="s">
        <v>1305</v>
      </c>
      <c r="S409" s="127">
        <f t="shared" si="82"/>
        <v>0</v>
      </c>
      <c r="T409" s="127" t="s">
        <v>1305</v>
      </c>
      <c r="V409" s="127">
        <f t="shared" si="83"/>
        <v>0</v>
      </c>
    </row>
    <row r="410" spans="1:22" ht="15.75">
      <c r="A410" s="153" t="s">
        <v>1351</v>
      </c>
      <c r="B410" s="125" t="s">
        <v>943</v>
      </c>
      <c r="C410" s="130">
        <f t="shared" si="87"/>
        <v>12</v>
      </c>
      <c r="D410" s="180">
        <v>1</v>
      </c>
      <c r="E410" s="143" t="s">
        <v>941</v>
      </c>
      <c r="F410" s="143">
        <v>1</v>
      </c>
      <c r="G410" s="143">
        <f t="shared" si="84"/>
        <v>1</v>
      </c>
      <c r="H410" s="143" t="s">
        <v>1170</v>
      </c>
      <c r="I410" s="143">
        <v>1</v>
      </c>
      <c r="J410" s="127">
        <f t="shared" si="79"/>
        <v>11</v>
      </c>
      <c r="K410" s="127" t="s">
        <v>1305</v>
      </c>
      <c r="M410" s="127">
        <f t="shared" si="80"/>
        <v>0</v>
      </c>
      <c r="N410" s="127" t="s">
        <v>1305</v>
      </c>
      <c r="P410" s="127">
        <f t="shared" si="81"/>
        <v>0</v>
      </c>
      <c r="Q410" s="127" t="s">
        <v>1305</v>
      </c>
      <c r="S410" s="127">
        <f t="shared" si="82"/>
        <v>0</v>
      </c>
      <c r="T410" s="127" t="s">
        <v>1305</v>
      </c>
      <c r="V410" s="127">
        <f t="shared" si="83"/>
        <v>0</v>
      </c>
    </row>
    <row r="411" spans="1:22" ht="15.75">
      <c r="A411" s="153" t="s">
        <v>1351</v>
      </c>
      <c r="B411" s="125" t="s">
        <v>944</v>
      </c>
      <c r="C411" s="130">
        <f t="shared" si="87"/>
        <v>8.125</v>
      </c>
      <c r="D411" s="180">
        <v>8</v>
      </c>
      <c r="E411" s="143" t="s">
        <v>814</v>
      </c>
      <c r="F411" s="143">
        <v>8</v>
      </c>
      <c r="G411" s="143">
        <f t="shared" si="84"/>
        <v>8</v>
      </c>
      <c r="H411" s="143" t="s">
        <v>953</v>
      </c>
      <c r="I411" s="143">
        <v>1</v>
      </c>
      <c r="J411" s="127">
        <f t="shared" si="79"/>
        <v>1</v>
      </c>
      <c r="K411" s="127" t="s">
        <v>1305</v>
      </c>
      <c r="M411" s="127">
        <f t="shared" si="80"/>
        <v>0</v>
      </c>
      <c r="N411" s="127" t="s">
        <v>1305</v>
      </c>
      <c r="P411" s="127">
        <f t="shared" si="81"/>
        <v>0</v>
      </c>
      <c r="Q411" s="127" t="s">
        <v>1305</v>
      </c>
      <c r="S411" s="127">
        <f t="shared" si="82"/>
        <v>0</v>
      </c>
      <c r="T411" s="127" t="s">
        <v>1305</v>
      </c>
      <c r="V411" s="127">
        <f t="shared" si="83"/>
        <v>0</v>
      </c>
    </row>
    <row r="412" spans="1:22" ht="15.75">
      <c r="A412" s="153" t="s">
        <v>1351</v>
      </c>
      <c r="B412" s="125" t="s">
        <v>945</v>
      </c>
      <c r="C412" s="130">
        <f t="shared" si="87"/>
        <v>3.046875</v>
      </c>
      <c r="D412" s="180">
        <v>16</v>
      </c>
      <c r="E412" s="143" t="s">
        <v>944</v>
      </c>
      <c r="F412" s="143">
        <v>6</v>
      </c>
      <c r="G412" s="143">
        <f t="shared" si="84"/>
        <v>8.125</v>
      </c>
      <c r="H412" s="143" t="s">
        <v>1305</v>
      </c>
      <c r="I412" s="143"/>
      <c r="J412" s="127">
        <f t="shared" si="79"/>
        <v>0</v>
      </c>
      <c r="K412" s="127" t="s">
        <v>1305</v>
      </c>
      <c r="M412" s="127">
        <f t="shared" si="80"/>
        <v>0</v>
      </c>
      <c r="N412" s="127" t="s">
        <v>1305</v>
      </c>
      <c r="P412" s="127">
        <f t="shared" si="81"/>
        <v>0</v>
      </c>
      <c r="Q412" s="127" t="s">
        <v>1305</v>
      </c>
      <c r="S412" s="127">
        <f t="shared" si="82"/>
        <v>0</v>
      </c>
      <c r="T412" s="127" t="s">
        <v>1305</v>
      </c>
      <c r="V412" s="127">
        <f t="shared" si="83"/>
        <v>0</v>
      </c>
    </row>
    <row r="413" spans="1:22" ht="15.75">
      <c r="A413" s="153" t="s">
        <v>1351</v>
      </c>
      <c r="B413" s="125" t="s">
        <v>946</v>
      </c>
      <c r="C413" s="130">
        <f t="shared" si="87"/>
        <v>31.125</v>
      </c>
      <c r="D413" s="180">
        <v>8</v>
      </c>
      <c r="E413" s="143" t="s">
        <v>1245</v>
      </c>
      <c r="F413" s="143">
        <v>8</v>
      </c>
      <c r="G413" s="143">
        <f t="shared" si="84"/>
        <v>31</v>
      </c>
      <c r="H413" s="143" t="s">
        <v>953</v>
      </c>
      <c r="I413" s="143">
        <v>1</v>
      </c>
      <c r="J413" s="127">
        <f t="shared" si="79"/>
        <v>1</v>
      </c>
      <c r="K413" s="127" t="s">
        <v>1305</v>
      </c>
      <c r="M413" s="127">
        <f t="shared" si="80"/>
        <v>0</v>
      </c>
      <c r="N413" s="127" t="s">
        <v>1305</v>
      </c>
      <c r="P413" s="127">
        <f t="shared" si="81"/>
        <v>0</v>
      </c>
      <c r="Q413" s="127" t="s">
        <v>1305</v>
      </c>
      <c r="S413" s="127">
        <f t="shared" si="82"/>
        <v>0</v>
      </c>
      <c r="T413" s="127" t="s">
        <v>1305</v>
      </c>
      <c r="V413" s="127">
        <f t="shared" si="83"/>
        <v>0</v>
      </c>
    </row>
    <row r="414" spans="1:22" ht="15.75">
      <c r="A414" s="153" t="s">
        <v>1351</v>
      </c>
      <c r="B414" s="125" t="s">
        <v>947</v>
      </c>
      <c r="C414" s="130">
        <f t="shared" si="87"/>
        <v>7</v>
      </c>
      <c r="D414" s="180">
        <v>1</v>
      </c>
      <c r="E414" s="143" t="s">
        <v>1274</v>
      </c>
      <c r="F414" s="143">
        <v>1</v>
      </c>
      <c r="G414" s="143">
        <f t="shared" si="84"/>
        <v>6</v>
      </c>
      <c r="H414" s="143" t="s">
        <v>953</v>
      </c>
      <c r="I414" s="143">
        <v>1</v>
      </c>
      <c r="J414" s="127">
        <f t="shared" si="79"/>
        <v>1</v>
      </c>
      <c r="K414" s="127" t="s">
        <v>1305</v>
      </c>
      <c r="M414" s="127">
        <f t="shared" si="80"/>
        <v>0</v>
      </c>
      <c r="N414" s="127" t="s">
        <v>1305</v>
      </c>
      <c r="P414" s="127">
        <f t="shared" si="81"/>
        <v>0</v>
      </c>
      <c r="Q414" s="127" t="s">
        <v>1305</v>
      </c>
      <c r="S414" s="127">
        <f t="shared" si="82"/>
        <v>0</v>
      </c>
      <c r="T414" s="127" t="s">
        <v>1305</v>
      </c>
      <c r="V414" s="127">
        <f t="shared" si="83"/>
        <v>0</v>
      </c>
    </row>
    <row r="415" spans="1:22" ht="15.75">
      <c r="A415" s="153" t="s">
        <v>1351</v>
      </c>
      <c r="B415" s="125" t="s">
        <v>948</v>
      </c>
      <c r="C415" s="130">
        <f t="shared" si="87"/>
        <v>42.125</v>
      </c>
      <c r="D415" s="180">
        <v>1</v>
      </c>
      <c r="E415" s="143" t="s">
        <v>959</v>
      </c>
      <c r="F415" s="143">
        <v>6</v>
      </c>
      <c r="G415" s="143">
        <f t="shared" ref="G415:G419" si="89">VLOOKUP(E415,IDPOINTS,2,FALSE)</f>
        <v>7</v>
      </c>
      <c r="H415" s="143" t="s">
        <v>1208</v>
      </c>
      <c r="I415" s="143">
        <v>1</v>
      </c>
      <c r="J415" s="127">
        <f t="shared" si="79"/>
        <v>0.125</v>
      </c>
      <c r="K415" s="127" t="s">
        <v>1305</v>
      </c>
      <c r="M415" s="127">
        <f t="shared" si="80"/>
        <v>0</v>
      </c>
      <c r="N415" s="127" t="s">
        <v>1305</v>
      </c>
      <c r="P415" s="127">
        <f t="shared" si="81"/>
        <v>0</v>
      </c>
      <c r="Q415" s="127" t="s">
        <v>1305</v>
      </c>
      <c r="S415" s="127">
        <f t="shared" si="82"/>
        <v>0</v>
      </c>
      <c r="T415" s="127" t="s">
        <v>1305</v>
      </c>
      <c r="V415" s="127">
        <f t="shared" si="83"/>
        <v>0</v>
      </c>
    </row>
    <row r="416" spans="1:22" ht="15.75">
      <c r="A416" s="153" t="s">
        <v>1351</v>
      </c>
      <c r="B416" s="125" t="s">
        <v>949</v>
      </c>
      <c r="C416" s="130">
        <f t="shared" si="87"/>
        <v>21.75</v>
      </c>
      <c r="D416" s="180">
        <v>1</v>
      </c>
      <c r="E416" s="143" t="s">
        <v>959</v>
      </c>
      <c r="F416" s="143">
        <v>3</v>
      </c>
      <c r="G416" s="143">
        <f t="shared" si="89"/>
        <v>7</v>
      </c>
      <c r="H416" s="143" t="s">
        <v>1026</v>
      </c>
      <c r="I416" s="143">
        <v>3</v>
      </c>
      <c r="J416" s="127">
        <f t="shared" si="79"/>
        <v>0.25</v>
      </c>
      <c r="K416" s="127" t="s">
        <v>1305</v>
      </c>
      <c r="M416" s="127">
        <f t="shared" si="80"/>
        <v>0</v>
      </c>
      <c r="N416" s="127" t="s">
        <v>1305</v>
      </c>
      <c r="P416" s="127">
        <f t="shared" si="81"/>
        <v>0</v>
      </c>
      <c r="Q416" s="127" t="s">
        <v>1305</v>
      </c>
      <c r="S416" s="127">
        <f t="shared" si="82"/>
        <v>0</v>
      </c>
      <c r="T416" s="127" t="s">
        <v>1305</v>
      </c>
      <c r="V416" s="127">
        <f t="shared" si="83"/>
        <v>0</v>
      </c>
    </row>
    <row r="417" spans="1:22" ht="15.75">
      <c r="A417" s="153" t="s">
        <v>1351</v>
      </c>
      <c r="B417" s="125" t="s">
        <v>950</v>
      </c>
      <c r="C417" s="130">
        <f t="shared" si="87"/>
        <v>4.666666666666667</v>
      </c>
      <c r="D417" s="180">
        <v>3</v>
      </c>
      <c r="E417" s="143" t="s">
        <v>959</v>
      </c>
      <c r="F417" s="143">
        <v>2</v>
      </c>
      <c r="G417" s="143">
        <f t="shared" si="89"/>
        <v>7</v>
      </c>
      <c r="H417" s="143" t="s">
        <v>1305</v>
      </c>
      <c r="I417" s="143"/>
      <c r="J417" s="127">
        <f t="shared" si="79"/>
        <v>0</v>
      </c>
      <c r="K417" s="127" t="s">
        <v>1305</v>
      </c>
      <c r="M417" s="127">
        <f t="shared" si="80"/>
        <v>0</v>
      </c>
      <c r="N417" s="127" t="s">
        <v>1305</v>
      </c>
      <c r="P417" s="127">
        <f t="shared" si="81"/>
        <v>0</v>
      </c>
      <c r="Q417" s="127" t="s">
        <v>1305</v>
      </c>
      <c r="S417" s="127">
        <f t="shared" si="82"/>
        <v>0</v>
      </c>
      <c r="T417" s="127" t="s">
        <v>1305</v>
      </c>
      <c r="V417" s="127">
        <f t="shared" si="83"/>
        <v>0</v>
      </c>
    </row>
    <row r="418" spans="1:22" ht="15.75">
      <c r="A418" s="153" t="s">
        <v>1351</v>
      </c>
      <c r="B418" s="125" t="s">
        <v>951</v>
      </c>
      <c r="C418" s="130">
        <f t="shared" si="87"/>
        <v>3.125</v>
      </c>
      <c r="D418" s="180">
        <v>1</v>
      </c>
      <c r="E418" s="143" t="s">
        <v>952</v>
      </c>
      <c r="F418" s="143">
        <v>1</v>
      </c>
      <c r="G418" s="143">
        <f t="shared" si="89"/>
        <v>3.125</v>
      </c>
      <c r="H418" s="143" t="s">
        <v>1305</v>
      </c>
      <c r="I418" s="143"/>
      <c r="J418" s="127">
        <f t="shared" si="79"/>
        <v>0</v>
      </c>
      <c r="K418" s="127" t="s">
        <v>1305</v>
      </c>
      <c r="M418" s="127">
        <f t="shared" si="80"/>
        <v>0</v>
      </c>
      <c r="N418" s="127" t="s">
        <v>1305</v>
      </c>
      <c r="P418" s="127">
        <f t="shared" si="81"/>
        <v>0</v>
      </c>
      <c r="Q418" s="127" t="s">
        <v>1305</v>
      </c>
      <c r="S418" s="127">
        <f t="shared" si="82"/>
        <v>0</v>
      </c>
      <c r="T418" s="127" t="s">
        <v>1305</v>
      </c>
      <c r="V418" s="127">
        <f t="shared" si="83"/>
        <v>0</v>
      </c>
    </row>
    <row r="419" spans="1:22" ht="15.75">
      <c r="A419" s="153" t="s">
        <v>1351</v>
      </c>
      <c r="B419" s="125" t="s">
        <v>952</v>
      </c>
      <c r="C419" s="130">
        <f t="shared" si="87"/>
        <v>3.125</v>
      </c>
      <c r="D419" s="180">
        <v>8</v>
      </c>
      <c r="E419" s="143" t="s">
        <v>1158</v>
      </c>
      <c r="F419" s="143">
        <v>4</v>
      </c>
      <c r="G419" s="143">
        <f t="shared" si="89"/>
        <v>5</v>
      </c>
      <c r="H419" s="143" t="s">
        <v>844</v>
      </c>
      <c r="I419" s="143">
        <v>4</v>
      </c>
      <c r="J419" s="127">
        <f t="shared" si="79"/>
        <v>1</v>
      </c>
      <c r="K419" s="143" t="s">
        <v>953</v>
      </c>
      <c r="L419" s="127">
        <v>1</v>
      </c>
      <c r="M419" s="127">
        <f t="shared" si="80"/>
        <v>1</v>
      </c>
      <c r="N419" s="127" t="s">
        <v>1305</v>
      </c>
      <c r="P419" s="127">
        <f t="shared" si="81"/>
        <v>0</v>
      </c>
      <c r="Q419" s="127" t="s">
        <v>1305</v>
      </c>
      <c r="S419" s="127">
        <f t="shared" si="82"/>
        <v>0</v>
      </c>
      <c r="T419" s="127" t="s">
        <v>1305</v>
      </c>
      <c r="V419" s="127">
        <f t="shared" si="83"/>
        <v>0</v>
      </c>
    </row>
    <row r="420" spans="1:22" s="13" customFormat="1" ht="15.75">
      <c r="A420" s="153" t="s">
        <v>1351</v>
      </c>
      <c r="B420" s="144" t="s">
        <v>953</v>
      </c>
      <c r="C420" s="130">
        <f t="shared" si="87"/>
        <v>1</v>
      </c>
      <c r="D420" s="180">
        <v>1</v>
      </c>
      <c r="E420" s="13" t="s">
        <v>559</v>
      </c>
      <c r="F420" s="13">
        <v>1</v>
      </c>
      <c r="G420" s="13">
        <f t="shared" si="84"/>
        <v>1</v>
      </c>
      <c r="H420" s="13" t="s">
        <v>1273</v>
      </c>
      <c r="J420" s="13">
        <f t="shared" si="79"/>
        <v>1</v>
      </c>
      <c r="K420" s="13" t="s">
        <v>1048</v>
      </c>
      <c r="M420" s="13">
        <f t="shared" si="80"/>
        <v>1</v>
      </c>
      <c r="N420" s="13" t="s">
        <v>1305</v>
      </c>
      <c r="P420" s="13">
        <f t="shared" si="81"/>
        <v>0</v>
      </c>
      <c r="Q420" s="13" t="s">
        <v>1305</v>
      </c>
      <c r="S420" s="13">
        <f t="shared" si="82"/>
        <v>0</v>
      </c>
      <c r="T420" s="13" t="s">
        <v>1305</v>
      </c>
      <c r="V420" s="13">
        <f t="shared" si="83"/>
        <v>0</v>
      </c>
    </row>
    <row r="421" spans="1:22" ht="15.75">
      <c r="A421" s="153" t="s">
        <v>1351</v>
      </c>
      <c r="B421" s="125" t="s">
        <v>954</v>
      </c>
      <c r="C421" s="130">
        <f t="shared" si="87"/>
        <v>34.125</v>
      </c>
      <c r="D421" s="180">
        <v>1</v>
      </c>
      <c r="E421" s="143" t="s">
        <v>958</v>
      </c>
      <c r="F421" s="143">
        <v>1</v>
      </c>
      <c r="G421" s="143">
        <f t="shared" ref="G421:G435" si="90">VLOOKUP(E421,IDPOINTS,2,FALSE)</f>
        <v>31.125</v>
      </c>
      <c r="H421" s="143" t="s">
        <v>672</v>
      </c>
      <c r="I421" s="143">
        <v>1</v>
      </c>
      <c r="J421" s="127">
        <f t="shared" si="79"/>
        <v>3</v>
      </c>
      <c r="K421" s="127" t="s">
        <v>1305</v>
      </c>
      <c r="M421" s="127">
        <f t="shared" si="80"/>
        <v>0</v>
      </c>
      <c r="N421" s="127" t="s">
        <v>1305</v>
      </c>
      <c r="P421" s="127">
        <f t="shared" si="81"/>
        <v>0</v>
      </c>
      <c r="Q421" s="127" t="s">
        <v>1305</v>
      </c>
      <c r="S421" s="127">
        <f t="shared" si="82"/>
        <v>0</v>
      </c>
      <c r="T421" s="127" t="s">
        <v>1305</v>
      </c>
      <c r="V421" s="127">
        <f t="shared" si="83"/>
        <v>0</v>
      </c>
    </row>
    <row r="422" spans="1:22" ht="15.75">
      <c r="A422" s="153" t="s">
        <v>1351</v>
      </c>
      <c r="B422" s="125" t="s">
        <v>955</v>
      </c>
      <c r="C422" s="130">
        <f t="shared" si="87"/>
        <v>12</v>
      </c>
      <c r="D422" s="180">
        <v>1</v>
      </c>
      <c r="E422" s="143" t="s">
        <v>953</v>
      </c>
      <c r="F422" s="143">
        <v>1</v>
      </c>
      <c r="G422" s="143">
        <f t="shared" si="90"/>
        <v>1</v>
      </c>
      <c r="H422" s="143" t="s">
        <v>1170</v>
      </c>
      <c r="I422" s="143">
        <v>1</v>
      </c>
      <c r="J422" s="127">
        <f t="shared" si="79"/>
        <v>11</v>
      </c>
      <c r="K422" s="127" t="s">
        <v>1305</v>
      </c>
      <c r="M422" s="127">
        <f t="shared" si="80"/>
        <v>0</v>
      </c>
      <c r="N422" s="127" t="s">
        <v>1305</v>
      </c>
      <c r="P422" s="127">
        <f t="shared" si="81"/>
        <v>0</v>
      </c>
      <c r="Q422" s="127" t="s">
        <v>1305</v>
      </c>
      <c r="S422" s="127">
        <f t="shared" si="82"/>
        <v>0</v>
      </c>
      <c r="T422" s="127" t="s">
        <v>1305</v>
      </c>
      <c r="V422" s="127">
        <f t="shared" si="83"/>
        <v>0</v>
      </c>
    </row>
    <row r="423" spans="1:22" ht="15.75">
      <c r="A423" s="153" t="s">
        <v>1351</v>
      </c>
      <c r="B423" s="125" t="s">
        <v>956</v>
      </c>
      <c r="C423" s="130">
        <f t="shared" si="87"/>
        <v>8.125</v>
      </c>
      <c r="D423" s="180">
        <v>8</v>
      </c>
      <c r="E423" s="143" t="s">
        <v>814</v>
      </c>
      <c r="F423" s="143">
        <v>8</v>
      </c>
      <c r="G423" s="143">
        <f t="shared" si="90"/>
        <v>8</v>
      </c>
      <c r="H423" s="143" t="s">
        <v>953</v>
      </c>
      <c r="I423" s="143">
        <v>1</v>
      </c>
      <c r="J423" s="127">
        <f t="shared" si="79"/>
        <v>1</v>
      </c>
      <c r="K423" s="127" t="s">
        <v>1305</v>
      </c>
      <c r="M423" s="127">
        <f t="shared" si="80"/>
        <v>0</v>
      </c>
      <c r="N423" s="127" t="s">
        <v>1305</v>
      </c>
      <c r="P423" s="127">
        <f t="shared" si="81"/>
        <v>0</v>
      </c>
      <c r="Q423" s="127" t="s">
        <v>1305</v>
      </c>
      <c r="S423" s="127">
        <f t="shared" si="82"/>
        <v>0</v>
      </c>
      <c r="T423" s="127" t="s">
        <v>1305</v>
      </c>
      <c r="V423" s="127">
        <f t="shared" si="83"/>
        <v>0</v>
      </c>
    </row>
    <row r="424" spans="1:22" ht="15.75">
      <c r="A424" s="153" t="s">
        <v>1351</v>
      </c>
      <c r="B424" s="125" t="s">
        <v>957</v>
      </c>
      <c r="C424" s="130">
        <f t="shared" si="87"/>
        <v>3.046875</v>
      </c>
      <c r="D424" s="180">
        <v>16</v>
      </c>
      <c r="E424" s="143" t="s">
        <v>956</v>
      </c>
      <c r="F424" s="143">
        <v>6</v>
      </c>
      <c r="G424" s="143">
        <f t="shared" si="90"/>
        <v>8.125</v>
      </c>
      <c r="H424" s="143" t="s">
        <v>1305</v>
      </c>
      <c r="I424" s="143"/>
      <c r="J424" s="127">
        <f t="shared" si="79"/>
        <v>0</v>
      </c>
      <c r="K424" s="127" t="s">
        <v>1305</v>
      </c>
      <c r="M424" s="127">
        <f t="shared" si="80"/>
        <v>0</v>
      </c>
      <c r="N424" s="127" t="s">
        <v>1305</v>
      </c>
      <c r="P424" s="127">
        <f t="shared" si="81"/>
        <v>0</v>
      </c>
      <c r="Q424" s="127" t="s">
        <v>1305</v>
      </c>
      <c r="S424" s="127">
        <f t="shared" si="82"/>
        <v>0</v>
      </c>
      <c r="T424" s="127" t="s">
        <v>1305</v>
      </c>
      <c r="V424" s="127">
        <f t="shared" si="83"/>
        <v>0</v>
      </c>
    </row>
    <row r="425" spans="1:22" ht="15.75">
      <c r="A425" s="153" t="s">
        <v>1351</v>
      </c>
      <c r="B425" s="125" t="s">
        <v>958</v>
      </c>
      <c r="C425" s="130">
        <f t="shared" si="87"/>
        <v>31.125</v>
      </c>
      <c r="D425" s="180">
        <v>8</v>
      </c>
      <c r="E425" s="143" t="s">
        <v>1245</v>
      </c>
      <c r="F425" s="143">
        <v>8</v>
      </c>
      <c r="G425" s="143">
        <f t="shared" si="90"/>
        <v>31</v>
      </c>
      <c r="H425" s="143" t="s">
        <v>953</v>
      </c>
      <c r="I425" s="143">
        <v>1</v>
      </c>
      <c r="J425" s="127">
        <f t="shared" si="79"/>
        <v>1</v>
      </c>
      <c r="K425" s="127" t="s">
        <v>1305</v>
      </c>
      <c r="M425" s="127">
        <f t="shared" si="80"/>
        <v>0</v>
      </c>
      <c r="N425" s="127" t="s">
        <v>1305</v>
      </c>
      <c r="P425" s="127">
        <f t="shared" si="81"/>
        <v>0</v>
      </c>
      <c r="Q425" s="127" t="s">
        <v>1305</v>
      </c>
      <c r="S425" s="127">
        <f t="shared" si="82"/>
        <v>0</v>
      </c>
      <c r="T425" s="127" t="s">
        <v>1305</v>
      </c>
      <c r="V425" s="127">
        <f t="shared" si="83"/>
        <v>0</v>
      </c>
    </row>
    <row r="426" spans="1:22" ht="15.75">
      <c r="A426" s="153" t="s">
        <v>1351</v>
      </c>
      <c r="B426" s="125" t="s">
        <v>959</v>
      </c>
      <c r="C426" s="130">
        <f t="shared" si="87"/>
        <v>7</v>
      </c>
      <c r="D426" s="180">
        <v>1</v>
      </c>
      <c r="E426" s="143" t="s">
        <v>1274</v>
      </c>
      <c r="F426" s="143">
        <v>1</v>
      </c>
      <c r="G426" s="143">
        <f t="shared" si="90"/>
        <v>6</v>
      </c>
      <c r="H426" s="143" t="s">
        <v>953</v>
      </c>
      <c r="I426" s="143">
        <v>1</v>
      </c>
      <c r="J426" s="127">
        <f t="shared" si="79"/>
        <v>1</v>
      </c>
      <c r="K426" s="127" t="s">
        <v>1305</v>
      </c>
      <c r="M426" s="127">
        <f t="shared" si="80"/>
        <v>0</v>
      </c>
      <c r="N426" s="127" t="s">
        <v>1305</v>
      </c>
      <c r="P426" s="127">
        <f t="shared" si="81"/>
        <v>0</v>
      </c>
      <c r="Q426" s="127" t="s">
        <v>1305</v>
      </c>
      <c r="S426" s="127">
        <f t="shared" si="82"/>
        <v>0</v>
      </c>
      <c r="T426" s="127" t="s">
        <v>1305</v>
      </c>
      <c r="V426" s="127">
        <f t="shared" si="83"/>
        <v>0</v>
      </c>
    </row>
    <row r="427" spans="1:22" ht="15.75">
      <c r="A427" s="153" t="s">
        <v>1343</v>
      </c>
      <c r="B427" s="125" t="s">
        <v>960</v>
      </c>
      <c r="C427" s="130">
        <f t="shared" si="87"/>
        <v>20</v>
      </c>
      <c r="D427" s="180">
        <v>1</v>
      </c>
      <c r="E427" s="143" t="s">
        <v>822</v>
      </c>
      <c r="F427" s="143">
        <v>2</v>
      </c>
      <c r="G427" s="143">
        <f t="shared" si="90"/>
        <v>10</v>
      </c>
      <c r="H427" s="143" t="s">
        <v>202</v>
      </c>
      <c r="I427" s="143"/>
      <c r="J427" s="127">
        <f t="shared" si="79"/>
        <v>0</v>
      </c>
      <c r="K427" s="127" t="s">
        <v>1305</v>
      </c>
      <c r="M427" s="127">
        <f t="shared" si="80"/>
        <v>0</v>
      </c>
      <c r="N427" s="127" t="s">
        <v>1305</v>
      </c>
      <c r="P427" s="127">
        <f t="shared" si="81"/>
        <v>0</v>
      </c>
      <c r="Q427" s="127" t="s">
        <v>1305</v>
      </c>
      <c r="S427" s="127">
        <f t="shared" si="82"/>
        <v>0</v>
      </c>
      <c r="T427" s="127" t="s">
        <v>1305</v>
      </c>
      <c r="V427" s="127">
        <f t="shared" si="83"/>
        <v>0</v>
      </c>
    </row>
    <row r="428" spans="1:22" s="137" customFormat="1" ht="15.75">
      <c r="A428" s="137" t="s">
        <v>560</v>
      </c>
      <c r="B428" s="135" t="s">
        <v>961</v>
      </c>
      <c r="C428" s="136">
        <v>1</v>
      </c>
      <c r="D428" s="180"/>
      <c r="E428" s="137" t="s">
        <v>1305</v>
      </c>
      <c r="G428" s="137">
        <f t="shared" si="90"/>
        <v>0</v>
      </c>
      <c r="H428" s="137" t="s">
        <v>1305</v>
      </c>
      <c r="J428" s="137">
        <f t="shared" si="79"/>
        <v>0</v>
      </c>
      <c r="K428" s="137" t="s">
        <v>1305</v>
      </c>
      <c r="M428" s="137">
        <f t="shared" si="80"/>
        <v>0</v>
      </c>
      <c r="N428" s="137" t="s">
        <v>1305</v>
      </c>
      <c r="P428" s="137">
        <f t="shared" si="81"/>
        <v>0</v>
      </c>
      <c r="Q428" s="137" t="s">
        <v>1305</v>
      </c>
      <c r="S428" s="137">
        <f t="shared" si="82"/>
        <v>0</v>
      </c>
      <c r="T428" s="137" t="s">
        <v>1305</v>
      </c>
      <c r="V428" s="137">
        <f t="shared" si="83"/>
        <v>0</v>
      </c>
    </row>
    <row r="429" spans="1:22" s="137" customFormat="1" ht="15.75">
      <c r="A429" s="137" t="s">
        <v>560</v>
      </c>
      <c r="B429" s="135" t="s">
        <v>962</v>
      </c>
      <c r="C429" s="136">
        <f>'ECONOMIA &amp; PROFESIONES'!E56</f>
        <v>2.5</v>
      </c>
      <c r="D429" s="180"/>
      <c r="E429" s="137" t="s">
        <v>1305</v>
      </c>
      <c r="G429" s="137">
        <f t="shared" si="90"/>
        <v>0</v>
      </c>
      <c r="H429" s="137" t="s">
        <v>1305</v>
      </c>
      <c r="J429" s="137">
        <f t="shared" si="79"/>
        <v>0</v>
      </c>
      <c r="K429" s="137" t="s">
        <v>1305</v>
      </c>
      <c r="M429" s="137">
        <f t="shared" si="80"/>
        <v>0</v>
      </c>
      <c r="N429" s="137" t="s">
        <v>1305</v>
      </c>
      <c r="P429" s="137">
        <f t="shared" si="81"/>
        <v>0</v>
      </c>
      <c r="Q429" s="137" t="s">
        <v>1305</v>
      </c>
      <c r="S429" s="137">
        <f t="shared" si="82"/>
        <v>0</v>
      </c>
      <c r="T429" s="137" t="s">
        <v>1305</v>
      </c>
      <c r="V429" s="137">
        <f t="shared" si="83"/>
        <v>0</v>
      </c>
    </row>
    <row r="430" spans="1:22" s="137" customFormat="1" ht="15.75">
      <c r="A430" s="137" t="s">
        <v>560</v>
      </c>
      <c r="B430" s="135" t="s">
        <v>963</v>
      </c>
      <c r="C430" s="136">
        <f>'ECONOMIA &amp; PROFESIONES'!G32</f>
        <v>1</v>
      </c>
      <c r="D430" s="180"/>
      <c r="E430" s="137" t="s">
        <v>1305</v>
      </c>
      <c r="G430" s="137">
        <f t="shared" si="90"/>
        <v>0</v>
      </c>
      <c r="H430" s="137" t="s">
        <v>1305</v>
      </c>
      <c r="J430" s="137">
        <f t="shared" si="79"/>
        <v>0</v>
      </c>
      <c r="K430" s="137" t="s">
        <v>1305</v>
      </c>
      <c r="M430" s="137">
        <f t="shared" si="80"/>
        <v>0</v>
      </c>
      <c r="N430" s="137" t="s">
        <v>1305</v>
      </c>
      <c r="P430" s="137">
        <f t="shared" si="81"/>
        <v>0</v>
      </c>
      <c r="Q430" s="137" t="s">
        <v>1305</v>
      </c>
      <c r="S430" s="137">
        <f t="shared" si="82"/>
        <v>0</v>
      </c>
      <c r="T430" s="137" t="s">
        <v>1305</v>
      </c>
      <c r="V430" s="137">
        <f t="shared" si="83"/>
        <v>0</v>
      </c>
    </row>
    <row r="431" spans="1:22" ht="15.75">
      <c r="A431" s="153" t="s">
        <v>1351</v>
      </c>
      <c r="B431" s="125" t="s">
        <v>964</v>
      </c>
      <c r="C431" s="130">
        <f t="shared" ref="C431:C471" si="91">((G431*F431)+(I431*J431)+(L431*M431)+(O431*P431)+(R431*S431)+(U431*V431))/D431</f>
        <v>81.125</v>
      </c>
      <c r="D431" s="180">
        <v>1</v>
      </c>
      <c r="E431" s="143" t="s">
        <v>975</v>
      </c>
      <c r="F431" s="143">
        <v>6</v>
      </c>
      <c r="G431" s="143">
        <f t="shared" si="90"/>
        <v>13.5</v>
      </c>
      <c r="H431" s="143" t="s">
        <v>1208</v>
      </c>
      <c r="I431" s="143">
        <v>1</v>
      </c>
      <c r="J431" s="127">
        <f t="shared" si="79"/>
        <v>0.125</v>
      </c>
      <c r="K431" s="127" t="s">
        <v>1305</v>
      </c>
      <c r="M431" s="127">
        <f t="shared" si="80"/>
        <v>0</v>
      </c>
      <c r="N431" s="127" t="s">
        <v>1305</v>
      </c>
      <c r="P431" s="127">
        <f t="shared" si="81"/>
        <v>0</v>
      </c>
      <c r="Q431" s="127" t="s">
        <v>1305</v>
      </c>
      <c r="S431" s="127">
        <f t="shared" si="82"/>
        <v>0</v>
      </c>
      <c r="T431" s="127" t="s">
        <v>1305</v>
      </c>
      <c r="V431" s="127">
        <f t="shared" si="83"/>
        <v>0</v>
      </c>
    </row>
    <row r="432" spans="1:22" ht="15.75">
      <c r="A432" s="153" t="s">
        <v>1351</v>
      </c>
      <c r="B432" s="125" t="s">
        <v>965</v>
      </c>
      <c r="C432" s="130">
        <f t="shared" si="91"/>
        <v>41.25</v>
      </c>
      <c r="D432" s="180">
        <v>1</v>
      </c>
      <c r="E432" s="143" t="s">
        <v>975</v>
      </c>
      <c r="F432" s="143">
        <v>3</v>
      </c>
      <c r="G432" s="143">
        <f t="shared" si="90"/>
        <v>13.5</v>
      </c>
      <c r="H432" s="143" t="s">
        <v>1026</v>
      </c>
      <c r="I432" s="143">
        <v>3</v>
      </c>
      <c r="J432" s="127">
        <f t="shared" si="79"/>
        <v>0.25</v>
      </c>
      <c r="K432" s="127" t="s">
        <v>1305</v>
      </c>
      <c r="M432" s="127">
        <f t="shared" si="80"/>
        <v>0</v>
      </c>
      <c r="N432" s="127" t="s">
        <v>1305</v>
      </c>
      <c r="P432" s="127">
        <f t="shared" si="81"/>
        <v>0</v>
      </c>
      <c r="Q432" s="127" t="s">
        <v>1305</v>
      </c>
      <c r="S432" s="127">
        <f t="shared" si="82"/>
        <v>0</v>
      </c>
      <c r="T432" s="127" t="s">
        <v>1305</v>
      </c>
      <c r="V432" s="127">
        <f t="shared" si="83"/>
        <v>0</v>
      </c>
    </row>
    <row r="433" spans="1:22" ht="15.75">
      <c r="A433" s="153" t="s">
        <v>1351</v>
      </c>
      <c r="B433" s="125" t="s">
        <v>966</v>
      </c>
      <c r="C433" s="130">
        <f t="shared" si="91"/>
        <v>9</v>
      </c>
      <c r="D433" s="180">
        <v>3</v>
      </c>
      <c r="E433" s="143" t="s">
        <v>975</v>
      </c>
      <c r="F433" s="143">
        <v>2</v>
      </c>
      <c r="G433" s="143">
        <f t="shared" si="90"/>
        <v>13.5</v>
      </c>
      <c r="H433" s="143" t="s">
        <v>1305</v>
      </c>
      <c r="I433" s="143"/>
      <c r="J433" s="127">
        <f t="shared" si="79"/>
        <v>0</v>
      </c>
      <c r="K433" s="127" t="s">
        <v>1305</v>
      </c>
      <c r="M433" s="127">
        <f t="shared" si="80"/>
        <v>0</v>
      </c>
      <c r="N433" s="127" t="s">
        <v>1305</v>
      </c>
      <c r="P433" s="127">
        <f t="shared" si="81"/>
        <v>0</v>
      </c>
      <c r="Q433" s="127" t="s">
        <v>1305</v>
      </c>
      <c r="S433" s="127">
        <f t="shared" si="82"/>
        <v>0</v>
      </c>
      <c r="T433" s="127" t="s">
        <v>1305</v>
      </c>
      <c r="V433" s="127">
        <f t="shared" si="83"/>
        <v>0</v>
      </c>
    </row>
    <row r="434" spans="1:22" ht="15.75">
      <c r="A434" s="153" t="s">
        <v>1351</v>
      </c>
      <c r="B434" s="125" t="s">
        <v>967</v>
      </c>
      <c r="C434" s="130">
        <f t="shared" si="91"/>
        <v>3.9375</v>
      </c>
      <c r="D434" s="180">
        <v>1</v>
      </c>
      <c r="E434" s="143" t="s">
        <v>968</v>
      </c>
      <c r="F434" s="143">
        <v>1</v>
      </c>
      <c r="G434" s="143">
        <f t="shared" si="90"/>
        <v>3.9375</v>
      </c>
      <c r="H434" s="143" t="s">
        <v>1305</v>
      </c>
      <c r="I434" s="143"/>
      <c r="J434" s="127">
        <f t="shared" si="79"/>
        <v>0</v>
      </c>
      <c r="K434" s="127" t="s">
        <v>1305</v>
      </c>
      <c r="M434" s="127">
        <f t="shared" si="80"/>
        <v>0</v>
      </c>
      <c r="N434" s="127" t="s">
        <v>1305</v>
      </c>
      <c r="P434" s="127">
        <f t="shared" si="81"/>
        <v>0</v>
      </c>
      <c r="Q434" s="127" t="s">
        <v>1305</v>
      </c>
      <c r="S434" s="127">
        <f t="shared" si="82"/>
        <v>0</v>
      </c>
      <c r="T434" s="127" t="s">
        <v>1305</v>
      </c>
      <c r="V434" s="127">
        <f t="shared" si="83"/>
        <v>0</v>
      </c>
    </row>
    <row r="435" spans="1:22" ht="15.75">
      <c r="A435" s="153" t="s">
        <v>1351</v>
      </c>
      <c r="B435" s="125" t="s">
        <v>968</v>
      </c>
      <c r="C435" s="130">
        <f t="shared" si="91"/>
        <v>3.9375</v>
      </c>
      <c r="D435" s="180">
        <v>8</v>
      </c>
      <c r="E435" s="143" t="s">
        <v>1158</v>
      </c>
      <c r="F435" s="143">
        <v>4</v>
      </c>
      <c r="G435" s="143">
        <f t="shared" si="90"/>
        <v>5</v>
      </c>
      <c r="H435" s="143" t="s">
        <v>844</v>
      </c>
      <c r="I435" s="143">
        <v>4</v>
      </c>
      <c r="J435" s="127">
        <f t="shared" si="79"/>
        <v>1</v>
      </c>
      <c r="K435" s="127" t="s">
        <v>969</v>
      </c>
      <c r="L435" s="127">
        <v>1</v>
      </c>
      <c r="M435" s="127">
        <f t="shared" si="80"/>
        <v>7.5</v>
      </c>
      <c r="N435" s="127" t="s">
        <v>1305</v>
      </c>
      <c r="P435" s="127">
        <f t="shared" si="81"/>
        <v>0</v>
      </c>
      <c r="Q435" s="127" t="s">
        <v>1305</v>
      </c>
      <c r="S435" s="127">
        <f t="shared" si="82"/>
        <v>0</v>
      </c>
      <c r="T435" s="127" t="s">
        <v>1305</v>
      </c>
      <c r="V435" s="127">
        <f t="shared" si="83"/>
        <v>0</v>
      </c>
    </row>
    <row r="436" spans="1:22" s="13" customFormat="1" ht="15.75">
      <c r="A436" s="153" t="s">
        <v>1351</v>
      </c>
      <c r="B436" s="144" t="s">
        <v>969</v>
      </c>
      <c r="C436" s="130">
        <f t="shared" si="91"/>
        <v>7.5</v>
      </c>
      <c r="D436" s="180">
        <v>1</v>
      </c>
      <c r="E436" s="13" t="s">
        <v>862</v>
      </c>
      <c r="F436" s="13">
        <v>1</v>
      </c>
      <c r="G436" s="13">
        <f t="shared" si="84"/>
        <v>5</v>
      </c>
      <c r="H436" s="13" t="s">
        <v>1267</v>
      </c>
      <c r="I436" s="13">
        <v>1</v>
      </c>
      <c r="J436" s="13">
        <f t="shared" si="79"/>
        <v>2.5</v>
      </c>
      <c r="K436" s="13" t="s">
        <v>1305</v>
      </c>
      <c r="M436" s="13">
        <f t="shared" si="80"/>
        <v>0</v>
      </c>
      <c r="N436" s="13" t="s">
        <v>1305</v>
      </c>
      <c r="P436" s="13">
        <f t="shared" si="81"/>
        <v>0</v>
      </c>
      <c r="Q436" s="13" t="s">
        <v>1305</v>
      </c>
      <c r="S436" s="13">
        <f t="shared" si="82"/>
        <v>0</v>
      </c>
      <c r="T436" s="13" t="s">
        <v>1305</v>
      </c>
      <c r="V436" s="13">
        <f t="shared" si="83"/>
        <v>0</v>
      </c>
    </row>
    <row r="437" spans="1:22" ht="15.75">
      <c r="A437" s="153" t="s">
        <v>1351</v>
      </c>
      <c r="B437" s="125" t="s">
        <v>970</v>
      </c>
      <c r="C437" s="130">
        <f t="shared" si="91"/>
        <v>34.9375</v>
      </c>
      <c r="D437" s="180">
        <v>1</v>
      </c>
      <c r="E437" s="143" t="s">
        <v>974</v>
      </c>
      <c r="F437" s="143">
        <v>1</v>
      </c>
      <c r="G437" s="143">
        <f t="shared" si="84"/>
        <v>31.9375</v>
      </c>
      <c r="H437" s="143" t="s">
        <v>672</v>
      </c>
      <c r="I437" s="143">
        <v>1</v>
      </c>
      <c r="J437" s="127">
        <f t="shared" si="79"/>
        <v>3</v>
      </c>
      <c r="K437" s="127" t="s">
        <v>1305</v>
      </c>
      <c r="M437" s="127">
        <f t="shared" si="80"/>
        <v>0</v>
      </c>
      <c r="N437" s="127" t="s">
        <v>1305</v>
      </c>
      <c r="P437" s="127">
        <f t="shared" si="81"/>
        <v>0</v>
      </c>
      <c r="Q437" s="127" t="s">
        <v>1305</v>
      </c>
      <c r="S437" s="127">
        <f t="shared" si="82"/>
        <v>0</v>
      </c>
      <c r="T437" s="127" t="s">
        <v>1305</v>
      </c>
      <c r="V437" s="127">
        <f t="shared" si="83"/>
        <v>0</v>
      </c>
    </row>
    <row r="438" spans="1:22" ht="15.75">
      <c r="A438" s="153" t="s">
        <v>1351</v>
      </c>
      <c r="B438" s="125" t="s">
        <v>971</v>
      </c>
      <c r="C438" s="130">
        <f t="shared" si="91"/>
        <v>18.5</v>
      </c>
      <c r="D438" s="180">
        <v>1</v>
      </c>
      <c r="E438" s="143" t="s">
        <v>969</v>
      </c>
      <c r="F438" s="143">
        <v>1</v>
      </c>
      <c r="G438" s="143">
        <f t="shared" si="84"/>
        <v>7.5</v>
      </c>
      <c r="H438" s="143" t="s">
        <v>1170</v>
      </c>
      <c r="I438" s="143">
        <v>1</v>
      </c>
      <c r="J438" s="127">
        <f t="shared" si="79"/>
        <v>11</v>
      </c>
      <c r="K438" s="127" t="s">
        <v>1305</v>
      </c>
      <c r="M438" s="127">
        <f t="shared" si="80"/>
        <v>0</v>
      </c>
      <c r="N438" s="127" t="s">
        <v>1305</v>
      </c>
      <c r="P438" s="127">
        <f t="shared" si="81"/>
        <v>0</v>
      </c>
      <c r="Q438" s="127" t="s">
        <v>1305</v>
      </c>
      <c r="S438" s="127">
        <f t="shared" si="82"/>
        <v>0</v>
      </c>
      <c r="T438" s="127" t="s">
        <v>1305</v>
      </c>
      <c r="V438" s="127">
        <f t="shared" si="83"/>
        <v>0</v>
      </c>
    </row>
    <row r="439" spans="1:22" ht="15.75">
      <c r="A439" s="153" t="s">
        <v>1351</v>
      </c>
      <c r="B439" s="125" t="s">
        <v>972</v>
      </c>
      <c r="C439" s="130">
        <f t="shared" si="91"/>
        <v>8.9375</v>
      </c>
      <c r="D439" s="180">
        <v>8</v>
      </c>
      <c r="E439" s="143" t="s">
        <v>814</v>
      </c>
      <c r="F439" s="143">
        <v>8</v>
      </c>
      <c r="G439" s="143">
        <f t="shared" si="84"/>
        <v>8</v>
      </c>
      <c r="H439" s="143" t="s">
        <v>969</v>
      </c>
      <c r="I439" s="143">
        <v>1</v>
      </c>
      <c r="J439" s="127">
        <f t="shared" si="79"/>
        <v>7.5</v>
      </c>
      <c r="K439" s="127" t="s">
        <v>1305</v>
      </c>
      <c r="M439" s="127">
        <f t="shared" si="80"/>
        <v>0</v>
      </c>
      <c r="N439" s="127" t="s">
        <v>1305</v>
      </c>
      <c r="P439" s="127">
        <f t="shared" si="81"/>
        <v>0</v>
      </c>
      <c r="Q439" s="127" t="s">
        <v>1305</v>
      </c>
      <c r="S439" s="127">
        <f t="shared" si="82"/>
        <v>0</v>
      </c>
      <c r="T439" s="127" t="s">
        <v>1305</v>
      </c>
      <c r="V439" s="127">
        <f t="shared" si="83"/>
        <v>0</v>
      </c>
    </row>
    <row r="440" spans="1:22" ht="15.75">
      <c r="A440" s="153" t="s">
        <v>1351</v>
      </c>
      <c r="B440" s="125" t="s">
        <v>973</v>
      </c>
      <c r="C440" s="130">
        <f t="shared" si="91"/>
        <v>3.3515625</v>
      </c>
      <c r="D440" s="180">
        <v>16</v>
      </c>
      <c r="E440" s="143" t="s">
        <v>972</v>
      </c>
      <c r="F440" s="143">
        <v>6</v>
      </c>
      <c r="G440" s="143">
        <f t="shared" si="84"/>
        <v>8.9375</v>
      </c>
      <c r="H440" s="143" t="s">
        <v>1305</v>
      </c>
      <c r="I440" s="143"/>
      <c r="J440" s="127">
        <f t="shared" si="79"/>
        <v>0</v>
      </c>
      <c r="K440" s="127" t="s">
        <v>1305</v>
      </c>
      <c r="M440" s="127">
        <f t="shared" si="80"/>
        <v>0</v>
      </c>
      <c r="N440" s="127" t="s">
        <v>1305</v>
      </c>
      <c r="P440" s="127">
        <f t="shared" si="81"/>
        <v>0</v>
      </c>
      <c r="Q440" s="127" t="s">
        <v>1305</v>
      </c>
      <c r="S440" s="127">
        <f t="shared" si="82"/>
        <v>0</v>
      </c>
      <c r="T440" s="127" t="s">
        <v>1305</v>
      </c>
      <c r="V440" s="127">
        <f t="shared" si="83"/>
        <v>0</v>
      </c>
    </row>
    <row r="441" spans="1:22" ht="15.75">
      <c r="A441" s="153" t="s">
        <v>1351</v>
      </c>
      <c r="B441" s="125" t="s">
        <v>974</v>
      </c>
      <c r="C441" s="130">
        <f t="shared" si="91"/>
        <v>31.9375</v>
      </c>
      <c r="D441" s="180">
        <v>8</v>
      </c>
      <c r="E441" s="143" t="s">
        <v>1245</v>
      </c>
      <c r="F441" s="143">
        <v>8</v>
      </c>
      <c r="G441" s="143">
        <f t="shared" si="84"/>
        <v>31</v>
      </c>
      <c r="H441" s="143" t="s">
        <v>969</v>
      </c>
      <c r="I441" s="143">
        <v>1</v>
      </c>
      <c r="J441" s="127">
        <f t="shared" si="79"/>
        <v>7.5</v>
      </c>
      <c r="K441" s="127" t="s">
        <v>1305</v>
      </c>
      <c r="M441" s="127">
        <f t="shared" si="80"/>
        <v>0</v>
      </c>
      <c r="N441" s="127" t="s">
        <v>1305</v>
      </c>
      <c r="P441" s="127">
        <f t="shared" si="81"/>
        <v>0</v>
      </c>
      <c r="Q441" s="127" t="s">
        <v>1305</v>
      </c>
      <c r="S441" s="127">
        <f t="shared" si="82"/>
        <v>0</v>
      </c>
      <c r="T441" s="127" t="s">
        <v>1305</v>
      </c>
      <c r="V441" s="127">
        <f t="shared" si="83"/>
        <v>0</v>
      </c>
    </row>
    <row r="442" spans="1:22" ht="15.75">
      <c r="A442" s="153" t="s">
        <v>1351</v>
      </c>
      <c r="B442" s="125" t="s">
        <v>975</v>
      </c>
      <c r="C442" s="130">
        <f t="shared" si="91"/>
        <v>13.5</v>
      </c>
      <c r="D442" s="180">
        <v>1</v>
      </c>
      <c r="E442" s="143" t="s">
        <v>1274</v>
      </c>
      <c r="F442" s="143">
        <v>1</v>
      </c>
      <c r="G442" s="143">
        <f t="shared" si="84"/>
        <v>6</v>
      </c>
      <c r="H442" s="143" t="s">
        <v>969</v>
      </c>
      <c r="I442" s="143">
        <v>1</v>
      </c>
      <c r="J442" s="127">
        <f t="shared" si="79"/>
        <v>7.5</v>
      </c>
      <c r="K442" s="127" t="s">
        <v>1305</v>
      </c>
      <c r="M442" s="127">
        <f t="shared" si="80"/>
        <v>0</v>
      </c>
      <c r="N442" s="127" t="s">
        <v>1305</v>
      </c>
      <c r="P442" s="127">
        <f t="shared" si="81"/>
        <v>0</v>
      </c>
      <c r="Q442" s="127" t="s">
        <v>1305</v>
      </c>
      <c r="S442" s="127">
        <f t="shared" si="82"/>
        <v>0</v>
      </c>
      <c r="T442" s="127" t="s">
        <v>1305</v>
      </c>
      <c r="V442" s="127">
        <f t="shared" si="83"/>
        <v>0</v>
      </c>
    </row>
    <row r="443" spans="1:22" ht="15.75">
      <c r="A443" s="153" t="s">
        <v>1345</v>
      </c>
      <c r="B443" s="125" t="s">
        <v>976</v>
      </c>
      <c r="C443" s="130">
        <f t="shared" si="91"/>
        <v>3.5</v>
      </c>
      <c r="D443" s="180">
        <v>1</v>
      </c>
      <c r="E443" s="127" t="s">
        <v>1026</v>
      </c>
      <c r="F443">
        <v>2</v>
      </c>
      <c r="G443" s="127">
        <f t="shared" si="84"/>
        <v>0.25</v>
      </c>
      <c r="H443" s="127" t="s">
        <v>1224</v>
      </c>
      <c r="I443" s="127">
        <v>2</v>
      </c>
      <c r="J443" s="127">
        <f t="shared" si="79"/>
        <v>1.5</v>
      </c>
      <c r="K443" s="127" t="s">
        <v>1305</v>
      </c>
      <c r="M443" s="127">
        <f t="shared" si="80"/>
        <v>0</v>
      </c>
      <c r="N443" s="127" t="s">
        <v>1305</v>
      </c>
      <c r="P443" s="127">
        <f t="shared" si="81"/>
        <v>0</v>
      </c>
      <c r="Q443" s="127" t="s">
        <v>1305</v>
      </c>
      <c r="S443" s="127">
        <f t="shared" si="82"/>
        <v>0</v>
      </c>
      <c r="T443" s="127" t="s">
        <v>1305</v>
      </c>
      <c r="V443" s="127">
        <f t="shared" si="83"/>
        <v>0</v>
      </c>
    </row>
    <row r="444" spans="1:22" ht="15.75">
      <c r="A444" s="153" t="s">
        <v>1351</v>
      </c>
      <c r="B444" s="125" t="s">
        <v>977</v>
      </c>
      <c r="C444" s="130">
        <f t="shared" si="91"/>
        <v>42.125</v>
      </c>
      <c r="D444" s="180">
        <v>1</v>
      </c>
      <c r="E444" s="143" t="s">
        <v>988</v>
      </c>
      <c r="F444" s="143">
        <v>6</v>
      </c>
      <c r="G444" s="143">
        <f t="shared" si="84"/>
        <v>7</v>
      </c>
      <c r="H444" s="143" t="s">
        <v>1208</v>
      </c>
      <c r="I444" s="143">
        <v>1</v>
      </c>
      <c r="J444" s="127">
        <f t="shared" ref="J444:J502" si="92">VLOOKUP(H444,IDPOINTS,2,FALSE)</f>
        <v>0.125</v>
      </c>
      <c r="K444" s="127" t="s">
        <v>1305</v>
      </c>
      <c r="M444" s="127">
        <f t="shared" ref="M444:M504" si="93">VLOOKUP(K444,IDPOINTS,2,FALSE)</f>
        <v>0</v>
      </c>
      <c r="N444" s="127" t="s">
        <v>1305</v>
      </c>
      <c r="P444" s="127">
        <f t="shared" ref="P444:P504" si="94">VLOOKUP(N444,IDPOINTS,2,FALSE)</f>
        <v>0</v>
      </c>
      <c r="Q444" s="127" t="s">
        <v>1305</v>
      </c>
      <c r="S444" s="127">
        <f t="shared" ref="S444:S504" si="95">VLOOKUP(Q444,IDPOINTS,2,FALSE)</f>
        <v>0</v>
      </c>
      <c r="T444" s="127" t="s">
        <v>1305</v>
      </c>
      <c r="V444" s="127">
        <f t="shared" ref="V444:V504" si="96">VLOOKUP(T444,IDPOINTS,2,FALSE)</f>
        <v>0</v>
      </c>
    </row>
    <row r="445" spans="1:22" ht="15.75">
      <c r="A445" s="153" t="s">
        <v>1351</v>
      </c>
      <c r="B445" s="125" t="s">
        <v>978</v>
      </c>
      <c r="C445" s="130">
        <f t="shared" si="91"/>
        <v>21.75</v>
      </c>
      <c r="D445" s="180">
        <v>1</v>
      </c>
      <c r="E445" s="143" t="s">
        <v>988</v>
      </c>
      <c r="F445" s="143">
        <v>3</v>
      </c>
      <c r="G445" s="143">
        <f t="shared" ref="G445:G448" si="97">VLOOKUP(E445,IDPOINTS,2,FALSE)</f>
        <v>7</v>
      </c>
      <c r="H445" s="143" t="s">
        <v>1026</v>
      </c>
      <c r="I445" s="143">
        <v>3</v>
      </c>
      <c r="J445" s="127">
        <f t="shared" si="92"/>
        <v>0.25</v>
      </c>
      <c r="K445" s="127" t="s">
        <v>1305</v>
      </c>
      <c r="M445" s="127">
        <f t="shared" si="93"/>
        <v>0</v>
      </c>
      <c r="N445" s="127" t="s">
        <v>1305</v>
      </c>
      <c r="P445" s="127">
        <f t="shared" si="94"/>
        <v>0</v>
      </c>
      <c r="Q445" s="127" t="s">
        <v>1305</v>
      </c>
      <c r="S445" s="127">
        <f t="shared" si="95"/>
        <v>0</v>
      </c>
      <c r="T445" s="127" t="s">
        <v>1305</v>
      </c>
      <c r="V445" s="127">
        <f t="shared" si="96"/>
        <v>0</v>
      </c>
    </row>
    <row r="446" spans="1:22" ht="15.75">
      <c r="A446" s="153" t="s">
        <v>1351</v>
      </c>
      <c r="B446" s="125" t="s">
        <v>979</v>
      </c>
      <c r="C446" s="130">
        <f t="shared" si="91"/>
        <v>4.666666666666667</v>
      </c>
      <c r="D446" s="180">
        <v>3</v>
      </c>
      <c r="E446" s="143" t="s">
        <v>988</v>
      </c>
      <c r="F446" s="143">
        <v>2</v>
      </c>
      <c r="G446" s="143">
        <f t="shared" si="97"/>
        <v>7</v>
      </c>
      <c r="H446" s="143" t="s">
        <v>1305</v>
      </c>
      <c r="I446" s="143"/>
      <c r="J446" s="127">
        <f t="shared" si="92"/>
        <v>0</v>
      </c>
      <c r="K446" s="127" t="s">
        <v>1305</v>
      </c>
      <c r="M446" s="127">
        <f t="shared" si="93"/>
        <v>0</v>
      </c>
      <c r="N446" s="127" t="s">
        <v>1305</v>
      </c>
      <c r="P446" s="127">
        <f t="shared" si="94"/>
        <v>0</v>
      </c>
      <c r="Q446" s="127" t="s">
        <v>1305</v>
      </c>
      <c r="S446" s="127">
        <f t="shared" si="95"/>
        <v>0</v>
      </c>
      <c r="T446" s="127" t="s">
        <v>1305</v>
      </c>
      <c r="V446" s="127">
        <f t="shared" si="96"/>
        <v>0</v>
      </c>
    </row>
    <row r="447" spans="1:22" ht="15.75">
      <c r="A447" s="153" t="s">
        <v>1351</v>
      </c>
      <c r="B447" s="125" t="s">
        <v>980</v>
      </c>
      <c r="C447" s="130">
        <f t="shared" si="91"/>
        <v>3.125</v>
      </c>
      <c r="D447" s="180">
        <v>1</v>
      </c>
      <c r="E447" s="143" t="s">
        <v>981</v>
      </c>
      <c r="F447" s="143">
        <v>1</v>
      </c>
      <c r="G447" s="143">
        <f t="shared" si="97"/>
        <v>3.125</v>
      </c>
      <c r="H447" s="143" t="s">
        <v>1305</v>
      </c>
      <c r="I447" s="143"/>
      <c r="J447" s="127">
        <f t="shared" si="92"/>
        <v>0</v>
      </c>
      <c r="K447" s="127" t="s">
        <v>1305</v>
      </c>
      <c r="M447" s="127">
        <f t="shared" si="93"/>
        <v>0</v>
      </c>
      <c r="N447" s="127" t="s">
        <v>1305</v>
      </c>
      <c r="P447" s="127">
        <f t="shared" si="94"/>
        <v>0</v>
      </c>
      <c r="Q447" s="127" t="s">
        <v>1305</v>
      </c>
      <c r="S447" s="127">
        <f t="shared" si="95"/>
        <v>0</v>
      </c>
      <c r="T447" s="127" t="s">
        <v>1305</v>
      </c>
      <c r="V447" s="127">
        <f t="shared" si="96"/>
        <v>0</v>
      </c>
    </row>
    <row r="448" spans="1:22" ht="15.75">
      <c r="A448" s="153" t="s">
        <v>1351</v>
      </c>
      <c r="B448" s="125" t="s">
        <v>981</v>
      </c>
      <c r="C448" s="130">
        <f t="shared" si="91"/>
        <v>3.125</v>
      </c>
      <c r="D448" s="180">
        <v>8</v>
      </c>
      <c r="E448" s="143" t="s">
        <v>1158</v>
      </c>
      <c r="F448" s="143">
        <v>4</v>
      </c>
      <c r="G448" s="143">
        <f t="shared" si="97"/>
        <v>5</v>
      </c>
      <c r="H448" s="143" t="s">
        <v>844</v>
      </c>
      <c r="I448" s="143">
        <v>4</v>
      </c>
      <c r="J448" s="127">
        <f t="shared" si="92"/>
        <v>1</v>
      </c>
      <c r="K448" s="127" t="s">
        <v>982</v>
      </c>
      <c r="L448" s="127">
        <v>1</v>
      </c>
      <c r="M448" s="127">
        <f t="shared" si="93"/>
        <v>1</v>
      </c>
      <c r="N448" s="127" t="s">
        <v>1305</v>
      </c>
      <c r="P448" s="127">
        <f t="shared" si="94"/>
        <v>0</v>
      </c>
      <c r="Q448" s="127" t="s">
        <v>1305</v>
      </c>
      <c r="S448" s="127">
        <f t="shared" si="95"/>
        <v>0</v>
      </c>
      <c r="T448" s="127" t="s">
        <v>1305</v>
      </c>
      <c r="V448" s="127">
        <f t="shared" si="96"/>
        <v>0</v>
      </c>
    </row>
    <row r="449" spans="1:22" s="13" customFormat="1" ht="15.75">
      <c r="A449" s="153" t="s">
        <v>1351</v>
      </c>
      <c r="B449" s="144" t="s">
        <v>982</v>
      </c>
      <c r="C449" s="130">
        <f t="shared" si="91"/>
        <v>1</v>
      </c>
      <c r="D449" s="180">
        <v>1</v>
      </c>
      <c r="E449" s="13" t="s">
        <v>550</v>
      </c>
      <c r="F449" s="13">
        <v>1</v>
      </c>
      <c r="G449" s="13">
        <f t="shared" ref="G449:G507" si="98">VLOOKUP(E449,IDPOINTS,2,FALSE)</f>
        <v>1</v>
      </c>
      <c r="H449" s="13" t="s">
        <v>961</v>
      </c>
      <c r="J449" s="13">
        <f t="shared" si="92"/>
        <v>1</v>
      </c>
      <c r="K449" s="13" t="s">
        <v>1305</v>
      </c>
      <c r="M449" s="13">
        <f t="shared" si="93"/>
        <v>0</v>
      </c>
      <c r="N449" s="13" t="s">
        <v>1305</v>
      </c>
      <c r="P449" s="13">
        <f t="shared" si="94"/>
        <v>0</v>
      </c>
      <c r="Q449" s="13" t="s">
        <v>1305</v>
      </c>
      <c r="S449" s="13">
        <f t="shared" si="95"/>
        <v>0</v>
      </c>
      <c r="T449" s="13" t="s">
        <v>1305</v>
      </c>
      <c r="V449" s="13">
        <f t="shared" si="96"/>
        <v>0</v>
      </c>
    </row>
    <row r="450" spans="1:22" ht="15.75">
      <c r="A450" s="153" t="s">
        <v>1351</v>
      </c>
      <c r="B450" s="125" t="s">
        <v>983</v>
      </c>
      <c r="C450" s="130">
        <f t="shared" si="91"/>
        <v>34.125</v>
      </c>
      <c r="D450" s="180">
        <v>1</v>
      </c>
      <c r="E450" s="143" t="s">
        <v>987</v>
      </c>
      <c r="F450" s="143">
        <v>1</v>
      </c>
      <c r="G450" s="143">
        <f t="shared" si="98"/>
        <v>31.125</v>
      </c>
      <c r="H450" s="143" t="s">
        <v>672</v>
      </c>
      <c r="I450" s="143">
        <v>1</v>
      </c>
      <c r="J450" s="127">
        <f t="shared" si="92"/>
        <v>3</v>
      </c>
      <c r="K450" s="127" t="s">
        <v>1305</v>
      </c>
      <c r="M450" s="127">
        <f t="shared" si="93"/>
        <v>0</v>
      </c>
      <c r="N450" s="127" t="s">
        <v>1305</v>
      </c>
      <c r="P450" s="127">
        <f t="shared" si="94"/>
        <v>0</v>
      </c>
      <c r="Q450" s="127" t="s">
        <v>1305</v>
      </c>
      <c r="S450" s="127">
        <f t="shared" si="95"/>
        <v>0</v>
      </c>
      <c r="T450" s="127" t="s">
        <v>1305</v>
      </c>
      <c r="V450" s="127">
        <f t="shared" si="96"/>
        <v>0</v>
      </c>
    </row>
    <row r="451" spans="1:22" ht="15.75">
      <c r="A451" s="153" t="s">
        <v>1351</v>
      </c>
      <c r="B451" s="125" t="s">
        <v>984</v>
      </c>
      <c r="C451" s="130">
        <f t="shared" si="91"/>
        <v>12</v>
      </c>
      <c r="D451" s="180">
        <v>1</v>
      </c>
      <c r="E451" s="143" t="s">
        <v>982</v>
      </c>
      <c r="F451" s="143">
        <v>1</v>
      </c>
      <c r="G451" s="143">
        <f t="shared" si="98"/>
        <v>1</v>
      </c>
      <c r="H451" s="143" t="s">
        <v>1170</v>
      </c>
      <c r="I451" s="143">
        <v>1</v>
      </c>
      <c r="J451" s="127">
        <f t="shared" si="92"/>
        <v>11</v>
      </c>
      <c r="K451" s="127" t="s">
        <v>1305</v>
      </c>
      <c r="M451" s="127">
        <f t="shared" si="93"/>
        <v>0</v>
      </c>
      <c r="N451" s="127" t="s">
        <v>1305</v>
      </c>
      <c r="P451" s="127">
        <f t="shared" si="94"/>
        <v>0</v>
      </c>
      <c r="Q451" s="127" t="s">
        <v>1305</v>
      </c>
      <c r="S451" s="127">
        <f t="shared" si="95"/>
        <v>0</v>
      </c>
      <c r="T451" s="127" t="s">
        <v>1305</v>
      </c>
      <c r="V451" s="127">
        <f t="shared" si="96"/>
        <v>0</v>
      </c>
    </row>
    <row r="452" spans="1:22" ht="15.75">
      <c r="A452" s="153" t="s">
        <v>1351</v>
      </c>
      <c r="B452" s="125" t="s">
        <v>985</v>
      </c>
      <c r="C452" s="130">
        <f t="shared" si="91"/>
        <v>8.125</v>
      </c>
      <c r="D452" s="180">
        <v>8</v>
      </c>
      <c r="E452" s="143" t="s">
        <v>814</v>
      </c>
      <c r="F452" s="143">
        <v>8</v>
      </c>
      <c r="G452" s="143">
        <f t="shared" si="98"/>
        <v>8</v>
      </c>
      <c r="H452" s="143" t="s">
        <v>982</v>
      </c>
      <c r="I452" s="143">
        <v>1</v>
      </c>
      <c r="J452" s="127">
        <f t="shared" si="92"/>
        <v>1</v>
      </c>
      <c r="K452" s="127" t="s">
        <v>1305</v>
      </c>
      <c r="M452" s="127">
        <f t="shared" si="93"/>
        <v>0</v>
      </c>
      <c r="N452" s="127" t="s">
        <v>1305</v>
      </c>
      <c r="P452" s="127">
        <f t="shared" si="94"/>
        <v>0</v>
      </c>
      <c r="Q452" s="127" t="s">
        <v>1305</v>
      </c>
      <c r="S452" s="127">
        <f t="shared" si="95"/>
        <v>0</v>
      </c>
      <c r="T452" s="127" t="s">
        <v>1305</v>
      </c>
      <c r="V452" s="127">
        <f t="shared" si="96"/>
        <v>0</v>
      </c>
    </row>
    <row r="453" spans="1:22" ht="15.75">
      <c r="A453" s="153" t="s">
        <v>1351</v>
      </c>
      <c r="B453" s="125" t="s">
        <v>986</v>
      </c>
      <c r="C453" s="130">
        <f t="shared" si="91"/>
        <v>3.046875</v>
      </c>
      <c r="D453" s="180">
        <v>16</v>
      </c>
      <c r="E453" s="143" t="s">
        <v>985</v>
      </c>
      <c r="F453" s="143">
        <v>6</v>
      </c>
      <c r="G453" s="143">
        <f t="shared" si="98"/>
        <v>8.125</v>
      </c>
      <c r="H453" s="143" t="s">
        <v>1305</v>
      </c>
      <c r="I453" s="143"/>
      <c r="J453" s="127">
        <f t="shared" si="92"/>
        <v>0</v>
      </c>
      <c r="K453" s="127" t="s">
        <v>1305</v>
      </c>
      <c r="M453" s="127">
        <f t="shared" si="93"/>
        <v>0</v>
      </c>
      <c r="N453" s="127" t="s">
        <v>1305</v>
      </c>
      <c r="P453" s="127">
        <f t="shared" si="94"/>
        <v>0</v>
      </c>
      <c r="Q453" s="127" t="s">
        <v>1305</v>
      </c>
      <c r="S453" s="127">
        <f t="shared" si="95"/>
        <v>0</v>
      </c>
      <c r="T453" s="127" t="s">
        <v>1305</v>
      </c>
      <c r="V453" s="127">
        <f t="shared" si="96"/>
        <v>0</v>
      </c>
    </row>
    <row r="454" spans="1:22" ht="15.75">
      <c r="A454" s="153" t="s">
        <v>1351</v>
      </c>
      <c r="B454" s="125" t="s">
        <v>987</v>
      </c>
      <c r="C454" s="130">
        <f t="shared" si="91"/>
        <v>31.125</v>
      </c>
      <c r="D454" s="180">
        <v>8</v>
      </c>
      <c r="E454" s="143" t="s">
        <v>1245</v>
      </c>
      <c r="F454" s="143">
        <v>8</v>
      </c>
      <c r="G454" s="143">
        <f t="shared" si="98"/>
        <v>31</v>
      </c>
      <c r="H454" s="143" t="s">
        <v>982</v>
      </c>
      <c r="I454" s="143">
        <v>1</v>
      </c>
      <c r="J454" s="127">
        <f t="shared" si="92"/>
        <v>1</v>
      </c>
      <c r="K454" s="127" t="s">
        <v>1305</v>
      </c>
      <c r="M454" s="127">
        <f t="shared" si="93"/>
        <v>0</v>
      </c>
      <c r="N454" s="127" t="s">
        <v>1305</v>
      </c>
      <c r="P454" s="127">
        <f t="shared" si="94"/>
        <v>0</v>
      </c>
      <c r="Q454" s="127" t="s">
        <v>1305</v>
      </c>
      <c r="S454" s="127">
        <f t="shared" si="95"/>
        <v>0</v>
      </c>
      <c r="T454" s="127" t="s">
        <v>1305</v>
      </c>
      <c r="V454" s="127">
        <f t="shared" si="96"/>
        <v>0</v>
      </c>
    </row>
    <row r="455" spans="1:22" ht="15.75">
      <c r="A455" s="153" t="s">
        <v>1351</v>
      </c>
      <c r="B455" s="125" t="s">
        <v>988</v>
      </c>
      <c r="C455" s="130">
        <f t="shared" si="91"/>
        <v>7</v>
      </c>
      <c r="D455" s="180">
        <v>1</v>
      </c>
      <c r="E455" s="143" t="s">
        <v>1274</v>
      </c>
      <c r="F455" s="143">
        <v>1</v>
      </c>
      <c r="G455" s="143">
        <f t="shared" si="98"/>
        <v>6</v>
      </c>
      <c r="H455" s="143" t="s">
        <v>982</v>
      </c>
      <c r="I455" s="143">
        <v>1</v>
      </c>
      <c r="J455" s="127">
        <f t="shared" si="92"/>
        <v>1</v>
      </c>
      <c r="K455" s="127" t="s">
        <v>1305</v>
      </c>
      <c r="M455" s="127">
        <f t="shared" si="93"/>
        <v>0</v>
      </c>
      <c r="N455" s="127" t="s">
        <v>1305</v>
      </c>
      <c r="P455" s="127">
        <f t="shared" si="94"/>
        <v>0</v>
      </c>
      <c r="Q455" s="127" t="s">
        <v>1305</v>
      </c>
      <c r="S455" s="127">
        <f t="shared" si="95"/>
        <v>0</v>
      </c>
      <c r="T455" s="127" t="s">
        <v>1305</v>
      </c>
      <c r="V455" s="127">
        <f t="shared" si="96"/>
        <v>0</v>
      </c>
    </row>
    <row r="456" spans="1:22" ht="15.75">
      <c r="A456" s="153" t="s">
        <v>1351</v>
      </c>
      <c r="B456" s="125" t="s">
        <v>989</v>
      </c>
      <c r="C456" s="130">
        <f t="shared" si="91"/>
        <v>37</v>
      </c>
      <c r="D456" s="180">
        <v>1</v>
      </c>
      <c r="E456" s="127" t="s">
        <v>990</v>
      </c>
      <c r="F456">
        <v>4</v>
      </c>
      <c r="G456" s="127">
        <f t="shared" si="98"/>
        <v>9.25</v>
      </c>
      <c r="H456" s="127" t="s">
        <v>1305</v>
      </c>
      <c r="J456" s="127">
        <f t="shared" si="92"/>
        <v>0</v>
      </c>
      <c r="K456" s="127" t="s">
        <v>1305</v>
      </c>
      <c r="M456" s="127">
        <f t="shared" si="93"/>
        <v>0</v>
      </c>
      <c r="N456" s="127" t="s">
        <v>1305</v>
      </c>
      <c r="P456" s="127">
        <f t="shared" si="94"/>
        <v>0</v>
      </c>
      <c r="Q456" s="127" t="s">
        <v>1305</v>
      </c>
      <c r="S456" s="127">
        <f t="shared" si="95"/>
        <v>0</v>
      </c>
      <c r="T456" s="127" t="s">
        <v>1305</v>
      </c>
      <c r="V456" s="127">
        <f t="shared" si="96"/>
        <v>0</v>
      </c>
    </row>
    <row r="457" spans="1:22" ht="15.75">
      <c r="A457" s="153" t="s">
        <v>1351</v>
      </c>
      <c r="B457" s="125" t="s">
        <v>990</v>
      </c>
      <c r="C457" s="130">
        <f t="shared" si="91"/>
        <v>9.25</v>
      </c>
      <c r="D457" s="180">
        <v>1</v>
      </c>
      <c r="E457" s="127" t="s">
        <v>1173</v>
      </c>
      <c r="F457">
        <v>1</v>
      </c>
      <c r="G457" s="127">
        <f t="shared" si="98"/>
        <v>7</v>
      </c>
      <c r="H457" s="127" t="s">
        <v>596</v>
      </c>
      <c r="I457" s="127">
        <v>1</v>
      </c>
      <c r="J457" s="127">
        <f t="shared" si="92"/>
        <v>2.25</v>
      </c>
      <c r="K457" s="127" t="s">
        <v>1305</v>
      </c>
      <c r="M457" s="127">
        <f t="shared" si="93"/>
        <v>0</v>
      </c>
      <c r="N457" s="127" t="s">
        <v>1305</v>
      </c>
      <c r="P457" s="127">
        <f t="shared" si="94"/>
        <v>0</v>
      </c>
      <c r="Q457" s="127" t="s">
        <v>1305</v>
      </c>
      <c r="S457" s="127">
        <f t="shared" si="95"/>
        <v>0</v>
      </c>
      <c r="T457" s="127" t="s">
        <v>1305</v>
      </c>
      <c r="V457" s="127">
        <f t="shared" si="96"/>
        <v>0</v>
      </c>
    </row>
    <row r="458" spans="1:22" ht="15.75">
      <c r="A458" s="153" t="s">
        <v>1350</v>
      </c>
      <c r="B458" s="125" t="s">
        <v>991</v>
      </c>
      <c r="C458" s="130">
        <f t="shared" si="91"/>
        <v>79</v>
      </c>
      <c r="D458" s="180">
        <v>1</v>
      </c>
      <c r="E458" s="127" t="s">
        <v>1051</v>
      </c>
      <c r="F458">
        <v>8</v>
      </c>
      <c r="G458" s="127">
        <f t="shared" si="98"/>
        <v>5</v>
      </c>
      <c r="H458" s="127" t="s">
        <v>683</v>
      </c>
      <c r="I458" s="127">
        <v>1</v>
      </c>
      <c r="J458" s="127">
        <f t="shared" si="92"/>
        <v>39</v>
      </c>
      <c r="K458" s="127" t="s">
        <v>1305</v>
      </c>
      <c r="M458" s="127">
        <f t="shared" si="93"/>
        <v>0</v>
      </c>
      <c r="N458" s="127" t="s">
        <v>1305</v>
      </c>
      <c r="P458" s="127">
        <f t="shared" si="94"/>
        <v>0</v>
      </c>
      <c r="Q458" s="127" t="s">
        <v>1305</v>
      </c>
      <c r="S458" s="127">
        <f t="shared" si="95"/>
        <v>0</v>
      </c>
      <c r="T458" s="127" t="s">
        <v>1305</v>
      </c>
      <c r="V458" s="127">
        <f t="shared" si="96"/>
        <v>0</v>
      </c>
    </row>
    <row r="459" spans="1:22" s="137" customFormat="1" ht="15.75">
      <c r="A459" s="137" t="s">
        <v>560</v>
      </c>
      <c r="B459" s="135" t="s">
        <v>992</v>
      </c>
      <c r="C459" s="136">
        <f>'ECONOMIA &amp; PROFESIONES'!G33</f>
        <v>3</v>
      </c>
      <c r="D459" s="180"/>
      <c r="E459" s="137" t="s">
        <v>1305</v>
      </c>
      <c r="G459" s="137">
        <f t="shared" si="98"/>
        <v>0</v>
      </c>
      <c r="H459" s="137" t="s">
        <v>1305</v>
      </c>
      <c r="J459" s="137">
        <f t="shared" si="92"/>
        <v>0</v>
      </c>
      <c r="K459" s="137" t="s">
        <v>1305</v>
      </c>
      <c r="M459" s="137">
        <f t="shared" si="93"/>
        <v>0</v>
      </c>
      <c r="N459" s="137" t="s">
        <v>1305</v>
      </c>
      <c r="P459" s="137">
        <f t="shared" si="94"/>
        <v>0</v>
      </c>
      <c r="Q459" s="137" t="s">
        <v>1305</v>
      </c>
      <c r="S459" s="137">
        <f t="shared" si="95"/>
        <v>0</v>
      </c>
      <c r="T459" s="137" t="s">
        <v>1305</v>
      </c>
      <c r="V459" s="137">
        <f t="shared" si="96"/>
        <v>0</v>
      </c>
    </row>
    <row r="460" spans="1:22" ht="15.75">
      <c r="A460" s="153" t="s">
        <v>1348</v>
      </c>
      <c r="B460" s="125" t="s">
        <v>993</v>
      </c>
      <c r="C460" s="130">
        <f t="shared" si="91"/>
        <v>0.33333333333333331</v>
      </c>
      <c r="D460" s="180">
        <v>9</v>
      </c>
      <c r="E460" s="127" t="s">
        <v>992</v>
      </c>
      <c r="F460">
        <v>1</v>
      </c>
      <c r="G460" s="127">
        <f t="shared" si="98"/>
        <v>3</v>
      </c>
      <c r="H460" s="127" t="s">
        <v>1305</v>
      </c>
      <c r="J460" s="127">
        <f t="shared" si="92"/>
        <v>0</v>
      </c>
      <c r="K460" s="127" t="s">
        <v>1305</v>
      </c>
      <c r="M460" s="127">
        <f t="shared" si="93"/>
        <v>0</v>
      </c>
      <c r="N460" s="127" t="s">
        <v>1305</v>
      </c>
      <c r="P460" s="127">
        <f t="shared" si="94"/>
        <v>0</v>
      </c>
      <c r="Q460" s="127" t="s">
        <v>1305</v>
      </c>
      <c r="S460" s="127">
        <f t="shared" si="95"/>
        <v>0</v>
      </c>
      <c r="T460" s="127" t="s">
        <v>1305</v>
      </c>
      <c r="V460" s="127">
        <f t="shared" si="96"/>
        <v>0</v>
      </c>
    </row>
    <row r="461" spans="1:22" ht="15.75">
      <c r="A461" s="153" t="s">
        <v>595</v>
      </c>
      <c r="B461" s="125" t="s">
        <v>994</v>
      </c>
      <c r="C461" s="130">
        <f t="shared" si="91"/>
        <v>40</v>
      </c>
      <c r="D461" s="180">
        <v>1</v>
      </c>
      <c r="E461" s="127" t="s">
        <v>896</v>
      </c>
      <c r="F461">
        <v>5</v>
      </c>
      <c r="G461" s="127">
        <f t="shared" si="98"/>
        <v>8</v>
      </c>
      <c r="H461" s="127" t="s">
        <v>1305</v>
      </c>
      <c r="J461" s="127">
        <f t="shared" si="92"/>
        <v>0</v>
      </c>
      <c r="K461" s="127" t="s">
        <v>1305</v>
      </c>
      <c r="M461" s="127">
        <f t="shared" si="93"/>
        <v>0</v>
      </c>
      <c r="N461" s="127" t="s">
        <v>1305</v>
      </c>
      <c r="P461" s="127">
        <f t="shared" si="94"/>
        <v>0</v>
      </c>
      <c r="Q461" s="127" t="s">
        <v>1305</v>
      </c>
      <c r="S461" s="127">
        <f t="shared" si="95"/>
        <v>0</v>
      </c>
      <c r="T461" s="127" t="s">
        <v>1305</v>
      </c>
      <c r="V461" s="127">
        <f t="shared" si="96"/>
        <v>0</v>
      </c>
    </row>
    <row r="462" spans="1:22" ht="15.75">
      <c r="A462" s="153"/>
      <c r="B462" s="125" t="s">
        <v>995</v>
      </c>
      <c r="C462" s="130">
        <f t="shared" si="91"/>
        <v>102</v>
      </c>
      <c r="D462" s="180">
        <v>1</v>
      </c>
      <c r="E462" s="127" t="s">
        <v>1051</v>
      </c>
      <c r="F462">
        <v>1</v>
      </c>
      <c r="G462" s="127">
        <f t="shared" si="98"/>
        <v>5</v>
      </c>
      <c r="H462" s="127" t="s">
        <v>781</v>
      </c>
      <c r="I462" s="127">
        <v>1</v>
      </c>
      <c r="J462" s="127">
        <f t="shared" si="92"/>
        <v>97</v>
      </c>
      <c r="K462" s="127" t="s">
        <v>1305</v>
      </c>
      <c r="M462" s="127">
        <f t="shared" si="93"/>
        <v>0</v>
      </c>
      <c r="N462" s="127" t="s">
        <v>1305</v>
      </c>
      <c r="P462" s="127">
        <f t="shared" si="94"/>
        <v>0</v>
      </c>
      <c r="Q462" s="127" t="s">
        <v>1305</v>
      </c>
      <c r="S462" s="127">
        <f t="shared" si="95"/>
        <v>0</v>
      </c>
      <c r="T462" s="127" t="s">
        <v>1305</v>
      </c>
      <c r="V462" s="127">
        <f t="shared" si="96"/>
        <v>0</v>
      </c>
    </row>
    <row r="463" spans="1:22" ht="15.75">
      <c r="A463" s="153" t="s">
        <v>1346</v>
      </c>
      <c r="B463" s="125" t="s">
        <v>996</v>
      </c>
      <c r="C463" s="130">
        <f t="shared" si="91"/>
        <v>1</v>
      </c>
      <c r="D463" s="180">
        <v>1</v>
      </c>
      <c r="E463" s="127" t="s">
        <v>676</v>
      </c>
      <c r="F463">
        <v>1</v>
      </c>
      <c r="G463" s="127">
        <f t="shared" si="98"/>
        <v>1</v>
      </c>
      <c r="H463" s="127" t="s">
        <v>1258</v>
      </c>
      <c r="I463" s="127">
        <v>1</v>
      </c>
      <c r="J463" s="127">
        <f t="shared" si="92"/>
        <v>0</v>
      </c>
      <c r="K463" s="127" t="s">
        <v>1305</v>
      </c>
      <c r="M463" s="127">
        <f t="shared" si="93"/>
        <v>0</v>
      </c>
      <c r="N463" s="127" t="s">
        <v>1305</v>
      </c>
      <c r="P463" s="127">
        <f t="shared" si="94"/>
        <v>0</v>
      </c>
      <c r="Q463" s="127" t="s">
        <v>1305</v>
      </c>
      <c r="S463" s="127">
        <f t="shared" si="95"/>
        <v>0</v>
      </c>
      <c r="T463" s="127" t="s">
        <v>1305</v>
      </c>
      <c r="V463" s="127">
        <f t="shared" si="96"/>
        <v>0</v>
      </c>
    </row>
    <row r="464" spans="1:22" ht="15.75">
      <c r="A464" s="153" t="s">
        <v>1346</v>
      </c>
      <c r="B464" s="125" t="s">
        <v>997</v>
      </c>
      <c r="C464" s="130">
        <f t="shared" si="91"/>
        <v>0.5</v>
      </c>
      <c r="D464" s="180">
        <v>6</v>
      </c>
      <c r="E464" s="127" t="s">
        <v>996</v>
      </c>
      <c r="F464">
        <v>3</v>
      </c>
      <c r="G464" s="127">
        <f t="shared" si="98"/>
        <v>1</v>
      </c>
      <c r="H464" s="127" t="s">
        <v>1305</v>
      </c>
      <c r="J464" s="127">
        <f t="shared" si="92"/>
        <v>0</v>
      </c>
      <c r="K464" s="127" t="s">
        <v>1305</v>
      </c>
      <c r="M464" s="127">
        <f t="shared" si="93"/>
        <v>0</v>
      </c>
      <c r="N464" s="127" t="s">
        <v>1305</v>
      </c>
      <c r="P464" s="127">
        <f t="shared" si="94"/>
        <v>0</v>
      </c>
      <c r="Q464" s="127" t="s">
        <v>1305</v>
      </c>
      <c r="S464" s="127">
        <f t="shared" si="95"/>
        <v>0</v>
      </c>
      <c r="T464" s="127" t="s">
        <v>1305</v>
      </c>
      <c r="V464" s="127">
        <f t="shared" si="96"/>
        <v>0</v>
      </c>
    </row>
    <row r="465" spans="1:22" ht="15.75">
      <c r="A465" s="153" t="s">
        <v>1346</v>
      </c>
      <c r="B465" s="125" t="s">
        <v>998</v>
      </c>
      <c r="C465" s="130">
        <f t="shared" si="91"/>
        <v>1.5</v>
      </c>
      <c r="D465" s="180">
        <v>4</v>
      </c>
      <c r="E465" s="143" t="s">
        <v>996</v>
      </c>
      <c r="F465">
        <v>6</v>
      </c>
      <c r="G465" s="127">
        <f t="shared" si="98"/>
        <v>1</v>
      </c>
      <c r="H465" s="127" t="s">
        <v>1305</v>
      </c>
      <c r="J465" s="127">
        <f t="shared" si="92"/>
        <v>0</v>
      </c>
      <c r="K465" s="127" t="s">
        <v>1305</v>
      </c>
      <c r="M465" s="127">
        <f t="shared" si="93"/>
        <v>0</v>
      </c>
      <c r="N465" s="127" t="s">
        <v>1305</v>
      </c>
      <c r="P465" s="127">
        <f t="shared" si="94"/>
        <v>0</v>
      </c>
      <c r="Q465" s="127" t="s">
        <v>1305</v>
      </c>
      <c r="S465" s="127">
        <f t="shared" si="95"/>
        <v>0</v>
      </c>
      <c r="T465" s="127" t="s">
        <v>1305</v>
      </c>
      <c r="V465" s="127">
        <f t="shared" si="96"/>
        <v>0</v>
      </c>
    </row>
    <row r="466" spans="1:22" ht="15.75">
      <c r="A466" s="153" t="s">
        <v>1346</v>
      </c>
      <c r="B466" s="125" t="s">
        <v>999</v>
      </c>
      <c r="C466" s="130">
        <f t="shared" si="91"/>
        <v>1</v>
      </c>
      <c r="D466" s="180">
        <v>6</v>
      </c>
      <c r="E466" s="143" t="s">
        <v>996</v>
      </c>
      <c r="F466">
        <v>6</v>
      </c>
      <c r="G466" s="127">
        <f t="shared" si="98"/>
        <v>1</v>
      </c>
      <c r="H466" s="127" t="s">
        <v>1305</v>
      </c>
      <c r="J466" s="127">
        <f t="shared" si="92"/>
        <v>0</v>
      </c>
      <c r="K466" s="127" t="s">
        <v>1305</v>
      </c>
      <c r="M466" s="127">
        <f t="shared" si="93"/>
        <v>0</v>
      </c>
      <c r="N466" s="127" t="s">
        <v>1305</v>
      </c>
      <c r="P466" s="127">
        <f t="shared" si="94"/>
        <v>0</v>
      </c>
      <c r="Q466" s="127" t="s">
        <v>1305</v>
      </c>
      <c r="S466" s="127">
        <f t="shared" si="95"/>
        <v>0</v>
      </c>
      <c r="T466" s="127" t="s">
        <v>1305</v>
      </c>
      <c r="V466" s="127">
        <f t="shared" si="96"/>
        <v>0</v>
      </c>
    </row>
    <row r="467" spans="1:22" ht="15.75">
      <c r="A467" s="153" t="s">
        <v>1346</v>
      </c>
      <c r="B467" s="125" t="s">
        <v>1000</v>
      </c>
      <c r="C467" s="130">
        <f t="shared" si="91"/>
        <v>2</v>
      </c>
      <c r="D467" s="180">
        <v>6</v>
      </c>
      <c r="E467" s="127" t="s">
        <v>1003</v>
      </c>
      <c r="F467">
        <v>3</v>
      </c>
      <c r="G467" s="127">
        <f t="shared" si="98"/>
        <v>4</v>
      </c>
      <c r="H467" s="127" t="s">
        <v>1305</v>
      </c>
      <c r="J467" s="127">
        <f t="shared" si="92"/>
        <v>0</v>
      </c>
      <c r="K467" s="127" t="s">
        <v>1305</v>
      </c>
      <c r="M467" s="127">
        <f t="shared" si="93"/>
        <v>0</v>
      </c>
      <c r="N467" s="127" t="s">
        <v>1305</v>
      </c>
      <c r="P467" s="127">
        <f t="shared" si="94"/>
        <v>0</v>
      </c>
      <c r="Q467" s="127" t="s">
        <v>1305</v>
      </c>
      <c r="S467" s="127">
        <f t="shared" si="95"/>
        <v>0</v>
      </c>
      <c r="T467" s="127" t="s">
        <v>1305</v>
      </c>
      <c r="V467" s="127">
        <f t="shared" si="96"/>
        <v>0</v>
      </c>
    </row>
    <row r="468" spans="1:22" ht="15.75">
      <c r="A468" s="153" t="s">
        <v>1346</v>
      </c>
      <c r="B468" s="125" t="s">
        <v>1001</v>
      </c>
      <c r="C468" s="130">
        <f t="shared" si="91"/>
        <v>6</v>
      </c>
      <c r="D468" s="180">
        <v>4</v>
      </c>
      <c r="E468" s="127" t="s">
        <v>1003</v>
      </c>
      <c r="F468">
        <v>6</v>
      </c>
      <c r="G468" s="127">
        <f t="shared" si="98"/>
        <v>4</v>
      </c>
      <c r="H468" s="127" t="s">
        <v>1305</v>
      </c>
      <c r="J468" s="127">
        <f t="shared" si="92"/>
        <v>0</v>
      </c>
      <c r="K468" s="127" t="s">
        <v>1305</v>
      </c>
      <c r="M468" s="127">
        <f t="shared" si="93"/>
        <v>0</v>
      </c>
      <c r="N468" s="127" t="s">
        <v>1305</v>
      </c>
      <c r="P468" s="127">
        <f t="shared" si="94"/>
        <v>0</v>
      </c>
      <c r="Q468" s="127" t="s">
        <v>1305</v>
      </c>
      <c r="S468" s="127">
        <f t="shared" si="95"/>
        <v>0</v>
      </c>
      <c r="T468" s="127" t="s">
        <v>1305</v>
      </c>
      <c r="V468" s="127">
        <f t="shared" si="96"/>
        <v>0</v>
      </c>
    </row>
    <row r="469" spans="1:22" ht="15.75">
      <c r="A469" s="153" t="s">
        <v>1346</v>
      </c>
      <c r="B469" s="125" t="s">
        <v>1002</v>
      </c>
      <c r="C469" s="130">
        <f t="shared" si="91"/>
        <v>4</v>
      </c>
      <c r="D469" s="180">
        <v>6</v>
      </c>
      <c r="E469" s="127" t="s">
        <v>1003</v>
      </c>
      <c r="F469">
        <v>6</v>
      </c>
      <c r="G469" s="127">
        <f t="shared" si="98"/>
        <v>4</v>
      </c>
      <c r="H469" s="127" t="s">
        <v>1305</v>
      </c>
      <c r="J469" s="127">
        <f t="shared" si="92"/>
        <v>0</v>
      </c>
      <c r="K469" s="127" t="s">
        <v>1305</v>
      </c>
      <c r="M469" s="127">
        <f t="shared" si="93"/>
        <v>0</v>
      </c>
      <c r="N469" s="127" t="s">
        <v>1305</v>
      </c>
      <c r="P469" s="127">
        <f t="shared" si="94"/>
        <v>0</v>
      </c>
      <c r="Q469" s="127" t="s">
        <v>1305</v>
      </c>
      <c r="S469" s="127">
        <f t="shared" si="95"/>
        <v>0</v>
      </c>
      <c r="T469" s="127" t="s">
        <v>1305</v>
      </c>
      <c r="V469" s="127">
        <f t="shared" si="96"/>
        <v>0</v>
      </c>
    </row>
    <row r="470" spans="1:22" ht="15.75">
      <c r="A470" s="153" t="s">
        <v>1346</v>
      </c>
      <c r="B470" s="125" t="s">
        <v>1003</v>
      </c>
      <c r="C470" s="130">
        <f t="shared" si="91"/>
        <v>4</v>
      </c>
      <c r="D470" s="180">
        <v>1</v>
      </c>
      <c r="E470" s="127" t="s">
        <v>1215</v>
      </c>
      <c r="F470">
        <v>1</v>
      </c>
      <c r="G470" s="127">
        <f t="shared" si="98"/>
        <v>4</v>
      </c>
      <c r="H470" s="127" t="s">
        <v>1258</v>
      </c>
      <c r="I470" s="127">
        <v>1</v>
      </c>
      <c r="J470" s="127">
        <f t="shared" si="92"/>
        <v>0</v>
      </c>
      <c r="K470" s="127" t="s">
        <v>1305</v>
      </c>
      <c r="M470" s="127">
        <f t="shared" si="93"/>
        <v>0</v>
      </c>
      <c r="N470" s="127" t="s">
        <v>1305</v>
      </c>
      <c r="P470" s="127">
        <f t="shared" si="94"/>
        <v>0</v>
      </c>
      <c r="Q470" s="127" t="s">
        <v>1305</v>
      </c>
      <c r="S470" s="127">
        <f t="shared" si="95"/>
        <v>0</v>
      </c>
      <c r="T470" s="127" t="s">
        <v>1305</v>
      </c>
      <c r="V470" s="127">
        <f t="shared" si="96"/>
        <v>0</v>
      </c>
    </row>
    <row r="471" spans="1:22" ht="15.75">
      <c r="A471" s="153" t="s">
        <v>1348</v>
      </c>
      <c r="B471" s="125" t="s">
        <v>1004</v>
      </c>
      <c r="C471" s="130">
        <f t="shared" si="91"/>
        <v>22.75</v>
      </c>
      <c r="D471" s="180">
        <v>1</v>
      </c>
      <c r="E471" s="127" t="s">
        <v>618</v>
      </c>
      <c r="F471">
        <v>1</v>
      </c>
      <c r="G471" s="127">
        <f t="shared" si="98"/>
        <v>0.75</v>
      </c>
      <c r="H471" s="127" t="s">
        <v>1131</v>
      </c>
      <c r="I471" s="127">
        <v>1</v>
      </c>
      <c r="J471" s="127">
        <f t="shared" si="92"/>
        <v>11</v>
      </c>
      <c r="K471" s="127" t="s">
        <v>636</v>
      </c>
      <c r="L471" s="127">
        <v>1</v>
      </c>
      <c r="M471" s="127">
        <f t="shared" si="93"/>
        <v>11</v>
      </c>
      <c r="N471" s="127" t="s">
        <v>1305</v>
      </c>
      <c r="P471" s="127">
        <f t="shared" si="94"/>
        <v>0</v>
      </c>
      <c r="Q471" s="127" t="s">
        <v>1305</v>
      </c>
      <c r="S471" s="127">
        <f t="shared" si="95"/>
        <v>0</v>
      </c>
      <c r="T471" s="127" t="s">
        <v>1305</v>
      </c>
      <c r="V471" s="127">
        <f t="shared" si="96"/>
        <v>0</v>
      </c>
    </row>
    <row r="472" spans="1:22" s="137" customFormat="1" ht="15.75">
      <c r="A472" s="137" t="s">
        <v>1340</v>
      </c>
      <c r="B472" s="135" t="s">
        <v>1005</v>
      </c>
      <c r="C472" s="136">
        <f>'ECONOMIA &amp; PROFESIONES'!I37</f>
        <v>11</v>
      </c>
      <c r="D472" s="180"/>
      <c r="E472" s="137" t="s">
        <v>1305</v>
      </c>
      <c r="G472" s="137">
        <f t="shared" si="98"/>
        <v>0</v>
      </c>
      <c r="H472" s="137" t="s">
        <v>1305</v>
      </c>
      <c r="J472" s="137">
        <f t="shared" si="92"/>
        <v>0</v>
      </c>
      <c r="K472" s="137" t="s">
        <v>1305</v>
      </c>
      <c r="M472" s="137">
        <f t="shared" si="93"/>
        <v>0</v>
      </c>
      <c r="N472" s="137" t="s">
        <v>1305</v>
      </c>
      <c r="P472" s="137">
        <f t="shared" si="94"/>
        <v>0</v>
      </c>
      <c r="Q472" s="137" t="s">
        <v>1305</v>
      </c>
      <c r="S472" s="137">
        <f t="shared" si="95"/>
        <v>0</v>
      </c>
      <c r="T472" s="137" t="s">
        <v>1305</v>
      </c>
      <c r="V472" s="137">
        <f t="shared" si="96"/>
        <v>0</v>
      </c>
    </row>
    <row r="473" spans="1:22" s="137" customFormat="1" ht="15.75">
      <c r="A473" s="137" t="s">
        <v>1339</v>
      </c>
      <c r="B473" s="135" t="s">
        <v>1006</v>
      </c>
      <c r="C473" s="136">
        <f>'ECONOMIA &amp; PROFESIONES'!C46</f>
        <v>11</v>
      </c>
      <c r="D473" s="180"/>
      <c r="E473" s="137" t="s">
        <v>1305</v>
      </c>
      <c r="G473" s="137">
        <f t="shared" si="98"/>
        <v>0</v>
      </c>
      <c r="H473" s="137" t="s">
        <v>1305</v>
      </c>
      <c r="J473" s="137">
        <f t="shared" si="92"/>
        <v>0</v>
      </c>
      <c r="K473" s="137" t="s">
        <v>1305</v>
      </c>
      <c r="M473" s="137">
        <f t="shared" si="93"/>
        <v>0</v>
      </c>
      <c r="N473" s="137" t="s">
        <v>1305</v>
      </c>
      <c r="P473" s="137">
        <f t="shared" si="94"/>
        <v>0</v>
      </c>
      <c r="Q473" s="137" t="s">
        <v>1305</v>
      </c>
      <c r="S473" s="137">
        <f t="shared" si="95"/>
        <v>0</v>
      </c>
      <c r="T473" s="137" t="s">
        <v>1305</v>
      </c>
      <c r="V473" s="137">
        <f t="shared" si="96"/>
        <v>0</v>
      </c>
    </row>
    <row r="474" spans="1:22" s="140" customFormat="1" ht="15.75">
      <c r="A474" s="153"/>
      <c r="B474" s="138" t="s">
        <v>1007</v>
      </c>
      <c r="C474" s="139">
        <f t="shared" ref="C474" si="99">(G474*F474)+(I474*J474)+(L474*M474)+(O474*P474)+(R474*S474)+(U474*V474)</f>
        <v>0</v>
      </c>
      <c r="D474" s="180"/>
      <c r="E474" s="140" t="s">
        <v>1305</v>
      </c>
      <c r="G474" s="140">
        <f t="shared" si="98"/>
        <v>0</v>
      </c>
      <c r="H474" s="140" t="s">
        <v>1305</v>
      </c>
      <c r="J474" s="140">
        <f t="shared" si="92"/>
        <v>0</v>
      </c>
      <c r="K474" s="140" t="s">
        <v>1305</v>
      </c>
      <c r="M474" s="140">
        <f t="shared" si="93"/>
        <v>0</v>
      </c>
      <c r="N474" s="140" t="s">
        <v>1305</v>
      </c>
      <c r="P474" s="140">
        <f t="shared" si="94"/>
        <v>0</v>
      </c>
      <c r="Q474" s="140" t="s">
        <v>1305</v>
      </c>
      <c r="S474" s="140">
        <f t="shared" si="95"/>
        <v>0</v>
      </c>
      <c r="T474" s="140" t="s">
        <v>1305</v>
      </c>
      <c r="V474" s="140">
        <f t="shared" si="96"/>
        <v>0</v>
      </c>
    </row>
    <row r="475" spans="1:22" s="148" customFormat="1" ht="15.75">
      <c r="A475" s="153" t="s">
        <v>1350</v>
      </c>
      <c r="B475" s="146" t="s">
        <v>1008</v>
      </c>
      <c r="C475" s="147">
        <f>'ECONOMIA &amp; PROFESIONES'!I55</f>
        <v>0.4</v>
      </c>
      <c r="D475" s="180"/>
      <c r="E475" s="148" t="s">
        <v>1305</v>
      </c>
      <c r="G475" s="148">
        <f t="shared" si="98"/>
        <v>0</v>
      </c>
      <c r="H475" s="148" t="s">
        <v>1305</v>
      </c>
      <c r="J475" s="148">
        <f t="shared" si="92"/>
        <v>0</v>
      </c>
      <c r="K475" s="148" t="s">
        <v>1305</v>
      </c>
      <c r="M475" s="148">
        <f t="shared" si="93"/>
        <v>0</v>
      </c>
      <c r="N475" s="148" t="s">
        <v>1305</v>
      </c>
      <c r="P475" s="148">
        <f t="shared" si="94"/>
        <v>0</v>
      </c>
      <c r="Q475" s="148" t="s">
        <v>1305</v>
      </c>
      <c r="S475" s="148">
        <f t="shared" si="95"/>
        <v>0</v>
      </c>
      <c r="T475" s="148" t="s">
        <v>1305</v>
      </c>
      <c r="V475" s="148">
        <f t="shared" si="96"/>
        <v>0</v>
      </c>
    </row>
    <row r="476" spans="1:22" ht="15.75">
      <c r="A476" s="153" t="s">
        <v>1346</v>
      </c>
      <c r="B476" s="125" t="s">
        <v>1009</v>
      </c>
      <c r="C476" s="130">
        <f t="shared" ref="C476:C481" si="100">((G476*F476)+(I476*J476)+(L476*M476)+(O476*P476)+(R476*S476)+(U476*V476))/D476</f>
        <v>14</v>
      </c>
      <c r="D476" s="180">
        <v>1</v>
      </c>
      <c r="E476" s="127" t="s">
        <v>1019</v>
      </c>
      <c r="F476">
        <v>1</v>
      </c>
      <c r="G476" s="127">
        <f t="shared" si="98"/>
        <v>11</v>
      </c>
      <c r="H476" s="127" t="s">
        <v>672</v>
      </c>
      <c r="I476" s="127">
        <v>1</v>
      </c>
      <c r="J476" s="127">
        <f t="shared" si="92"/>
        <v>3</v>
      </c>
      <c r="K476" s="127" t="s">
        <v>1305</v>
      </c>
      <c r="M476" s="127">
        <f t="shared" si="93"/>
        <v>0</v>
      </c>
      <c r="N476" s="127" t="s">
        <v>1305</v>
      </c>
      <c r="P476" s="127">
        <f t="shared" si="94"/>
        <v>0</v>
      </c>
      <c r="Q476" s="127" t="s">
        <v>1305</v>
      </c>
      <c r="S476" s="127">
        <f t="shared" si="95"/>
        <v>0</v>
      </c>
      <c r="T476" s="127" t="s">
        <v>1305</v>
      </c>
      <c r="V476" s="127">
        <f t="shared" si="96"/>
        <v>0</v>
      </c>
    </row>
    <row r="477" spans="1:22" ht="15.75">
      <c r="A477" s="153" t="s">
        <v>1346</v>
      </c>
      <c r="B477" s="125" t="s">
        <v>1010</v>
      </c>
      <c r="C477" s="130">
        <f t="shared" si="100"/>
        <v>42</v>
      </c>
      <c r="D477" s="180">
        <v>6</v>
      </c>
      <c r="E477" s="127" t="s">
        <v>1014</v>
      </c>
      <c r="F477">
        <v>4</v>
      </c>
      <c r="G477" s="127">
        <f t="shared" si="98"/>
        <v>56</v>
      </c>
      <c r="H477" s="127" t="s">
        <v>1009</v>
      </c>
      <c r="I477" s="127">
        <v>2</v>
      </c>
      <c r="J477" s="127">
        <f t="shared" si="92"/>
        <v>14</v>
      </c>
      <c r="K477" s="127" t="s">
        <v>1305</v>
      </c>
      <c r="M477" s="127">
        <f t="shared" si="93"/>
        <v>0</v>
      </c>
      <c r="N477" s="127" t="s">
        <v>1305</v>
      </c>
      <c r="P477" s="127">
        <f t="shared" si="94"/>
        <v>0</v>
      </c>
      <c r="Q477" s="127" t="s">
        <v>1305</v>
      </c>
      <c r="S477" s="127">
        <f t="shared" si="95"/>
        <v>0</v>
      </c>
      <c r="T477" s="127" t="s">
        <v>1305</v>
      </c>
      <c r="V477" s="127">
        <f t="shared" si="96"/>
        <v>0</v>
      </c>
    </row>
    <row r="478" spans="1:22" ht="15.75">
      <c r="A478" s="153" t="s">
        <v>1346</v>
      </c>
      <c r="B478" s="125" t="s">
        <v>1011</v>
      </c>
      <c r="C478" s="130">
        <f t="shared" si="100"/>
        <v>28</v>
      </c>
      <c r="D478" s="180">
        <v>6</v>
      </c>
      <c r="E478" s="143" t="s">
        <v>1014</v>
      </c>
      <c r="F478">
        <v>3</v>
      </c>
      <c r="G478" s="127">
        <f t="shared" si="98"/>
        <v>56</v>
      </c>
      <c r="H478" s="127" t="s">
        <v>1305</v>
      </c>
      <c r="J478" s="127">
        <f t="shared" si="92"/>
        <v>0</v>
      </c>
      <c r="K478" s="127" t="s">
        <v>1305</v>
      </c>
      <c r="M478" s="127">
        <f t="shared" si="93"/>
        <v>0</v>
      </c>
      <c r="N478" s="127" t="s">
        <v>1305</v>
      </c>
      <c r="P478" s="127">
        <f t="shared" si="94"/>
        <v>0</v>
      </c>
      <c r="Q478" s="127" t="s">
        <v>1305</v>
      </c>
      <c r="S478" s="127">
        <f t="shared" si="95"/>
        <v>0</v>
      </c>
      <c r="T478" s="127" t="s">
        <v>1305</v>
      </c>
      <c r="V478" s="127">
        <f t="shared" si="96"/>
        <v>0</v>
      </c>
    </row>
    <row r="479" spans="1:22" ht="15.75">
      <c r="A479" s="153" t="s">
        <v>1346</v>
      </c>
      <c r="B479" s="125" t="s">
        <v>1012</v>
      </c>
      <c r="C479" s="130">
        <f t="shared" si="100"/>
        <v>84</v>
      </c>
      <c r="D479" s="180">
        <v>4</v>
      </c>
      <c r="E479" s="143" t="s">
        <v>1014</v>
      </c>
      <c r="F479">
        <v>6</v>
      </c>
      <c r="G479" s="127">
        <f t="shared" si="98"/>
        <v>56</v>
      </c>
      <c r="H479" s="127" t="s">
        <v>1305</v>
      </c>
      <c r="J479" s="127">
        <f t="shared" si="92"/>
        <v>0</v>
      </c>
      <c r="K479" s="127" t="s">
        <v>1305</v>
      </c>
      <c r="M479" s="127">
        <f t="shared" si="93"/>
        <v>0</v>
      </c>
      <c r="N479" s="127" t="s">
        <v>1305</v>
      </c>
      <c r="P479" s="127">
        <f t="shared" si="94"/>
        <v>0</v>
      </c>
      <c r="Q479" s="127" t="s">
        <v>1305</v>
      </c>
      <c r="S479" s="127">
        <f t="shared" si="95"/>
        <v>0</v>
      </c>
      <c r="T479" s="127" t="s">
        <v>1305</v>
      </c>
      <c r="V479" s="127">
        <f t="shared" si="96"/>
        <v>0</v>
      </c>
    </row>
    <row r="480" spans="1:22" ht="15.75">
      <c r="A480" s="153" t="s">
        <v>1346</v>
      </c>
      <c r="B480" s="125" t="s">
        <v>1013</v>
      </c>
      <c r="C480" s="130">
        <f t="shared" si="100"/>
        <v>56</v>
      </c>
      <c r="D480" s="180">
        <v>6</v>
      </c>
      <c r="E480" s="143" t="s">
        <v>1014</v>
      </c>
      <c r="F480">
        <v>6</v>
      </c>
      <c r="G480" s="127">
        <f t="shared" si="98"/>
        <v>56</v>
      </c>
      <c r="H480" s="127" t="s">
        <v>1305</v>
      </c>
      <c r="J480" s="127">
        <f t="shared" si="92"/>
        <v>0</v>
      </c>
      <c r="K480" s="127" t="s">
        <v>1305</v>
      </c>
      <c r="M480" s="127">
        <f t="shared" si="93"/>
        <v>0</v>
      </c>
      <c r="N480" s="127" t="s">
        <v>1305</v>
      </c>
      <c r="P480" s="127">
        <f t="shared" si="94"/>
        <v>0</v>
      </c>
      <c r="Q480" s="127" t="s">
        <v>1305</v>
      </c>
      <c r="S480" s="127">
        <f t="shared" si="95"/>
        <v>0</v>
      </c>
      <c r="T480" s="127" t="s">
        <v>1305</v>
      </c>
      <c r="V480" s="127">
        <f t="shared" si="96"/>
        <v>0</v>
      </c>
    </row>
    <row r="481" spans="1:22" ht="15.75">
      <c r="A481" s="153" t="s">
        <v>1346</v>
      </c>
      <c r="B481" s="125" t="s">
        <v>1014</v>
      </c>
      <c r="C481" s="130">
        <f t="shared" si="100"/>
        <v>56</v>
      </c>
      <c r="D481" s="180">
        <v>1</v>
      </c>
      <c r="E481" s="127" t="s">
        <v>1009</v>
      </c>
      <c r="F481">
        <v>4</v>
      </c>
      <c r="G481" s="127">
        <f t="shared" si="98"/>
        <v>14</v>
      </c>
      <c r="H481" s="127" t="s">
        <v>1305</v>
      </c>
      <c r="J481" s="127">
        <f t="shared" si="92"/>
        <v>0</v>
      </c>
      <c r="K481" s="127" t="s">
        <v>1305</v>
      </c>
      <c r="M481" s="127">
        <f t="shared" si="93"/>
        <v>0</v>
      </c>
      <c r="N481" s="127" t="s">
        <v>1305</v>
      </c>
      <c r="P481" s="127">
        <f t="shared" si="94"/>
        <v>0</v>
      </c>
      <c r="Q481" s="127" t="s">
        <v>1305</v>
      </c>
      <c r="S481" s="127">
        <f t="shared" si="95"/>
        <v>0</v>
      </c>
      <c r="T481" s="127" t="s">
        <v>1305</v>
      </c>
      <c r="V481" s="127">
        <f t="shared" si="96"/>
        <v>0</v>
      </c>
    </row>
    <row r="482" spans="1:22" s="137" customFormat="1" ht="15.75">
      <c r="A482" s="137" t="s">
        <v>1337</v>
      </c>
      <c r="B482" s="135" t="s">
        <v>1015</v>
      </c>
      <c r="C482" s="136">
        <f>'ECONOMIA &amp; PROFESIONES'!C40</f>
        <v>9</v>
      </c>
      <c r="D482" s="180"/>
      <c r="E482" s="137" t="s">
        <v>1305</v>
      </c>
      <c r="G482" s="137">
        <f t="shared" si="98"/>
        <v>0</v>
      </c>
      <c r="H482" s="137" t="s">
        <v>1305</v>
      </c>
      <c r="J482" s="137">
        <f t="shared" si="92"/>
        <v>0</v>
      </c>
      <c r="K482" s="137" t="s">
        <v>1305</v>
      </c>
      <c r="M482" s="137">
        <f t="shared" si="93"/>
        <v>0</v>
      </c>
      <c r="N482" s="137" t="s">
        <v>1305</v>
      </c>
      <c r="P482" s="137">
        <f t="shared" si="94"/>
        <v>0</v>
      </c>
      <c r="Q482" s="137" t="s">
        <v>1305</v>
      </c>
      <c r="S482" s="137">
        <f t="shared" si="95"/>
        <v>0</v>
      </c>
      <c r="T482" s="137" t="s">
        <v>1305</v>
      </c>
      <c r="V482" s="137">
        <f t="shared" si="96"/>
        <v>0</v>
      </c>
    </row>
    <row r="483" spans="1:22" s="148" customFormat="1" ht="15.75">
      <c r="A483" s="153" t="s">
        <v>1350</v>
      </c>
      <c r="B483" s="146" t="s">
        <v>1016</v>
      </c>
      <c r="C483" s="147">
        <f>'ECONOMIA &amp; PROFESIONES'!E67</f>
        <v>5.5</v>
      </c>
      <c r="D483" s="180"/>
      <c r="E483" s="148" t="s">
        <v>1305</v>
      </c>
      <c r="G483" s="148">
        <f t="shared" si="98"/>
        <v>0</v>
      </c>
      <c r="H483" s="148" t="s">
        <v>1305</v>
      </c>
      <c r="J483" s="148">
        <f t="shared" si="92"/>
        <v>0</v>
      </c>
      <c r="K483" s="148" t="s">
        <v>1305</v>
      </c>
      <c r="M483" s="148">
        <f t="shared" si="93"/>
        <v>0</v>
      </c>
      <c r="N483" s="148" t="s">
        <v>1305</v>
      </c>
      <c r="P483" s="148">
        <f t="shared" si="94"/>
        <v>0</v>
      </c>
      <c r="Q483" s="148" t="s">
        <v>1305</v>
      </c>
      <c r="S483" s="148">
        <f t="shared" si="95"/>
        <v>0</v>
      </c>
      <c r="T483" s="148" t="s">
        <v>1305</v>
      </c>
      <c r="V483" s="148">
        <f t="shared" si="96"/>
        <v>0</v>
      </c>
    </row>
    <row r="484" spans="1:22" ht="15.75">
      <c r="A484" s="153" t="s">
        <v>1352</v>
      </c>
      <c r="B484" s="125" t="s">
        <v>1017</v>
      </c>
      <c r="C484" s="130">
        <f>'ECONOMIA &amp; PROFESIONES'!G44</f>
        <v>11</v>
      </c>
      <c r="D484" s="180"/>
      <c r="E484" s="127" t="s">
        <v>1305</v>
      </c>
      <c r="G484" s="127">
        <f t="shared" si="98"/>
        <v>0</v>
      </c>
      <c r="H484" s="127" t="s">
        <v>1305</v>
      </c>
      <c r="J484" s="127">
        <f t="shared" si="92"/>
        <v>0</v>
      </c>
      <c r="K484" s="127" t="s">
        <v>1305</v>
      </c>
      <c r="M484" s="127">
        <f t="shared" si="93"/>
        <v>0</v>
      </c>
      <c r="N484" s="127" t="s">
        <v>1305</v>
      </c>
      <c r="P484" s="127">
        <f t="shared" si="94"/>
        <v>0</v>
      </c>
      <c r="Q484" s="127" t="s">
        <v>1305</v>
      </c>
      <c r="S484" s="127">
        <f t="shared" si="95"/>
        <v>0</v>
      </c>
      <c r="T484" s="127" t="s">
        <v>1305</v>
      </c>
      <c r="V484" s="127">
        <f t="shared" si="96"/>
        <v>0</v>
      </c>
    </row>
    <row r="485" spans="1:22" ht="15.75">
      <c r="A485" s="153" t="s">
        <v>1346</v>
      </c>
      <c r="B485" s="125" t="s">
        <v>1018</v>
      </c>
      <c r="C485" s="130">
        <f t="shared" ref="C485:C515" si="101">((G485*F485)+(I485*J485)+(L485*M485)+(O485*P485)+(R485*S485)+(U485*V485))/D485</f>
        <v>99</v>
      </c>
      <c r="D485" s="180">
        <v>1</v>
      </c>
      <c r="E485" s="127" t="s">
        <v>1017</v>
      </c>
      <c r="F485">
        <v>9</v>
      </c>
      <c r="G485" s="127">
        <f t="shared" si="98"/>
        <v>11</v>
      </c>
      <c r="H485" s="127" t="s">
        <v>1305</v>
      </c>
      <c r="J485" s="127">
        <f t="shared" si="92"/>
        <v>0</v>
      </c>
      <c r="K485" s="127" t="s">
        <v>1305</v>
      </c>
      <c r="M485" s="127">
        <f t="shared" si="93"/>
        <v>0</v>
      </c>
      <c r="N485" s="127" t="s">
        <v>1305</v>
      </c>
      <c r="P485" s="127">
        <f t="shared" si="94"/>
        <v>0</v>
      </c>
      <c r="Q485" s="127" t="s">
        <v>1305</v>
      </c>
      <c r="S485" s="127">
        <f t="shared" si="95"/>
        <v>0</v>
      </c>
      <c r="T485" s="127" t="s">
        <v>1305</v>
      </c>
      <c r="V485" s="127">
        <f t="shared" si="96"/>
        <v>0</v>
      </c>
    </row>
    <row r="486" spans="1:22" s="137" customFormat="1" ht="15.75">
      <c r="A486" s="137" t="s">
        <v>1337</v>
      </c>
      <c r="B486" s="135" t="s">
        <v>1019</v>
      </c>
      <c r="C486" s="136">
        <f>'ECONOMIA &amp; PROFESIONES'!C43</f>
        <v>11</v>
      </c>
      <c r="D486" s="180"/>
      <c r="E486" s="137" t="s">
        <v>1305</v>
      </c>
      <c r="G486" s="137">
        <f t="shared" si="98"/>
        <v>0</v>
      </c>
      <c r="H486" s="137" t="s">
        <v>1305</v>
      </c>
      <c r="J486" s="137">
        <f t="shared" si="92"/>
        <v>0</v>
      </c>
      <c r="K486" s="137" t="s">
        <v>1305</v>
      </c>
      <c r="M486" s="137">
        <f t="shared" si="93"/>
        <v>0</v>
      </c>
      <c r="N486" s="137" t="s">
        <v>1305</v>
      </c>
      <c r="P486" s="137">
        <f t="shared" si="94"/>
        <v>0</v>
      </c>
      <c r="Q486" s="137" t="s">
        <v>1305</v>
      </c>
      <c r="S486" s="137">
        <f t="shared" si="95"/>
        <v>0</v>
      </c>
      <c r="T486" s="137" t="s">
        <v>1305</v>
      </c>
      <c r="V486" s="137">
        <f t="shared" si="96"/>
        <v>0</v>
      </c>
    </row>
    <row r="487" spans="1:22" ht="15.75">
      <c r="A487" s="153" t="s">
        <v>1353</v>
      </c>
      <c r="B487" s="125" t="s">
        <v>1020</v>
      </c>
      <c r="C487" s="130">
        <f t="shared" si="101"/>
        <v>9</v>
      </c>
      <c r="D487" s="180">
        <v>1</v>
      </c>
      <c r="E487" s="127" t="s">
        <v>1026</v>
      </c>
      <c r="F487">
        <v>8</v>
      </c>
      <c r="G487" s="127">
        <f t="shared" si="98"/>
        <v>0.25</v>
      </c>
      <c r="H487" s="127" t="s">
        <v>1147</v>
      </c>
      <c r="I487" s="127">
        <v>1</v>
      </c>
      <c r="J487" s="127">
        <f t="shared" si="92"/>
        <v>7</v>
      </c>
      <c r="K487" s="127" t="s">
        <v>1305</v>
      </c>
      <c r="M487" s="127">
        <f t="shared" si="93"/>
        <v>0</v>
      </c>
      <c r="N487" s="127" t="s">
        <v>1305</v>
      </c>
      <c r="P487" s="127">
        <f t="shared" si="94"/>
        <v>0</v>
      </c>
      <c r="Q487" s="127" t="s">
        <v>1305</v>
      </c>
      <c r="S487" s="127">
        <f t="shared" si="95"/>
        <v>0</v>
      </c>
      <c r="T487" s="127" t="s">
        <v>1305</v>
      </c>
      <c r="V487" s="127">
        <f t="shared" si="96"/>
        <v>0</v>
      </c>
    </row>
    <row r="488" spans="1:22" s="145" customFormat="1" ht="15.75">
      <c r="A488" s="153" t="s">
        <v>1345</v>
      </c>
      <c r="B488" s="151" t="s">
        <v>1314</v>
      </c>
      <c r="C488" s="130">
        <f t="shared" si="101"/>
        <v>1</v>
      </c>
      <c r="D488" s="180">
        <v>1</v>
      </c>
      <c r="E488" s="145" t="s">
        <v>1026</v>
      </c>
      <c r="F488" s="145">
        <v>4</v>
      </c>
      <c r="G488" s="145">
        <f t="shared" si="98"/>
        <v>0.25</v>
      </c>
      <c r="H488" s="145" t="s">
        <v>1305</v>
      </c>
      <c r="J488" s="145">
        <f t="shared" ref="J488" si="102">VLOOKUP(H488,IDPOINTS,2,FALSE)</f>
        <v>0</v>
      </c>
      <c r="K488" s="145" t="s">
        <v>1305</v>
      </c>
      <c r="M488" s="145">
        <f t="shared" ref="M488" si="103">VLOOKUP(K488,IDPOINTS,2,FALSE)</f>
        <v>0</v>
      </c>
      <c r="N488" s="145" t="s">
        <v>1305</v>
      </c>
      <c r="P488" s="145">
        <f t="shared" ref="P488" si="104">VLOOKUP(N488,IDPOINTS,2,FALSE)</f>
        <v>0</v>
      </c>
      <c r="Q488" s="145" t="s">
        <v>1305</v>
      </c>
      <c r="S488" s="145">
        <f t="shared" ref="S488" si="105">VLOOKUP(Q488,IDPOINTS,2,FALSE)</f>
        <v>0</v>
      </c>
      <c r="T488" s="145" t="s">
        <v>1305</v>
      </c>
      <c r="V488" s="145">
        <f t="shared" ref="V488" si="106">VLOOKUP(T488,IDPOINTS,2,FALSE)</f>
        <v>0</v>
      </c>
    </row>
    <row r="489" spans="1:22" ht="15.75">
      <c r="A489" s="153" t="s">
        <v>1345</v>
      </c>
      <c r="B489" s="125" t="s">
        <v>1021</v>
      </c>
      <c r="C489" s="130">
        <f t="shared" si="101"/>
        <v>0.25</v>
      </c>
      <c r="D489" s="180">
        <v>1</v>
      </c>
      <c r="E489" s="145" t="s">
        <v>1026</v>
      </c>
      <c r="F489" s="145">
        <v>1</v>
      </c>
      <c r="G489" s="145">
        <f t="shared" si="98"/>
        <v>0.25</v>
      </c>
      <c r="H489" s="145" t="s">
        <v>1305</v>
      </c>
      <c r="I489" s="145"/>
      <c r="J489" s="127">
        <f t="shared" si="92"/>
        <v>0</v>
      </c>
      <c r="K489" s="127" t="s">
        <v>1305</v>
      </c>
      <c r="M489" s="127">
        <f t="shared" si="93"/>
        <v>0</v>
      </c>
      <c r="N489" s="127" t="s">
        <v>1305</v>
      </c>
      <c r="P489" s="127">
        <f t="shared" si="94"/>
        <v>0</v>
      </c>
      <c r="Q489" s="127" t="s">
        <v>1305</v>
      </c>
      <c r="S489" s="127">
        <f t="shared" si="95"/>
        <v>0</v>
      </c>
      <c r="T489" s="127" t="s">
        <v>1305</v>
      </c>
      <c r="V489" s="127">
        <f t="shared" si="96"/>
        <v>0</v>
      </c>
    </row>
    <row r="490" spans="1:22" ht="15.75">
      <c r="A490" s="153" t="s">
        <v>1345</v>
      </c>
      <c r="B490" s="125" t="s">
        <v>1022</v>
      </c>
      <c r="C490" s="130">
        <f t="shared" si="101"/>
        <v>0.5</v>
      </c>
      <c r="D490" s="180">
        <v>3</v>
      </c>
      <c r="E490" s="145" t="s">
        <v>1026</v>
      </c>
      <c r="F490" s="145">
        <v>6</v>
      </c>
      <c r="G490" s="145">
        <f t="shared" si="98"/>
        <v>0.25</v>
      </c>
      <c r="H490" s="145" t="s">
        <v>1305</v>
      </c>
      <c r="I490" s="145"/>
      <c r="J490" s="127">
        <f t="shared" si="92"/>
        <v>0</v>
      </c>
      <c r="K490" s="127" t="s">
        <v>1305</v>
      </c>
      <c r="M490" s="127">
        <f t="shared" si="93"/>
        <v>0</v>
      </c>
      <c r="N490" s="127" t="s">
        <v>1305</v>
      </c>
      <c r="P490" s="127">
        <f t="shared" si="94"/>
        <v>0</v>
      </c>
      <c r="Q490" s="127" t="s">
        <v>1305</v>
      </c>
      <c r="S490" s="127">
        <f t="shared" si="95"/>
        <v>0</v>
      </c>
      <c r="T490" s="127" t="s">
        <v>1305</v>
      </c>
      <c r="V490" s="127">
        <f t="shared" si="96"/>
        <v>0</v>
      </c>
    </row>
    <row r="491" spans="1:22" ht="15.75">
      <c r="A491" s="153" t="s">
        <v>1345</v>
      </c>
      <c r="B491" s="125" t="s">
        <v>1023</v>
      </c>
      <c r="C491" s="130">
        <f t="shared" si="101"/>
        <v>1.25</v>
      </c>
      <c r="D491" s="180">
        <v>1</v>
      </c>
      <c r="E491" s="145" t="s">
        <v>1026</v>
      </c>
      <c r="F491" s="145">
        <v>4</v>
      </c>
      <c r="G491" s="145">
        <f t="shared" si="98"/>
        <v>0.25</v>
      </c>
      <c r="H491" s="145" t="s">
        <v>1208</v>
      </c>
      <c r="I491" s="145">
        <v>2</v>
      </c>
      <c r="J491" s="127">
        <f t="shared" si="92"/>
        <v>0.125</v>
      </c>
      <c r="K491" s="127" t="s">
        <v>1305</v>
      </c>
      <c r="M491" s="127">
        <f t="shared" si="93"/>
        <v>0</v>
      </c>
      <c r="N491" s="127" t="s">
        <v>1305</v>
      </c>
      <c r="P491" s="127">
        <f t="shared" si="94"/>
        <v>0</v>
      </c>
      <c r="Q491" s="127" t="s">
        <v>1305</v>
      </c>
      <c r="S491" s="127">
        <f t="shared" si="95"/>
        <v>0</v>
      </c>
      <c r="T491" s="127" t="s">
        <v>1305</v>
      </c>
      <c r="V491" s="127">
        <f t="shared" si="96"/>
        <v>0</v>
      </c>
    </row>
    <row r="492" spans="1:22" ht="15.75">
      <c r="A492" s="153" t="s">
        <v>1345</v>
      </c>
      <c r="B492" s="125" t="s">
        <v>1024</v>
      </c>
      <c r="C492" s="130">
        <f t="shared" si="101"/>
        <v>1</v>
      </c>
      <c r="D492" s="180">
        <v>1</v>
      </c>
      <c r="E492" s="145" t="s">
        <v>1026</v>
      </c>
      <c r="F492" s="145">
        <v>2</v>
      </c>
      <c r="G492" s="145">
        <f t="shared" si="98"/>
        <v>0.25</v>
      </c>
      <c r="H492" s="145" t="s">
        <v>1208</v>
      </c>
      <c r="I492" s="145">
        <v>4</v>
      </c>
      <c r="J492" s="127">
        <f t="shared" si="92"/>
        <v>0.125</v>
      </c>
      <c r="K492" s="127" t="s">
        <v>1305</v>
      </c>
      <c r="M492" s="127">
        <f t="shared" si="93"/>
        <v>0</v>
      </c>
      <c r="N492" s="127" t="s">
        <v>1305</v>
      </c>
      <c r="P492" s="127">
        <f t="shared" si="94"/>
        <v>0</v>
      </c>
      <c r="Q492" s="127" t="s">
        <v>1305</v>
      </c>
      <c r="S492" s="127">
        <f t="shared" si="95"/>
        <v>0</v>
      </c>
      <c r="T492" s="127" t="s">
        <v>1305</v>
      </c>
      <c r="V492" s="127">
        <f t="shared" si="96"/>
        <v>0</v>
      </c>
    </row>
    <row r="493" spans="1:22" s="137" customFormat="1" ht="15.75">
      <c r="A493" s="137" t="s">
        <v>1338</v>
      </c>
      <c r="B493" s="135" t="s">
        <v>1025</v>
      </c>
      <c r="C493" s="136">
        <f>'ECONOMIA &amp; PROFESIONES'!E32</f>
        <v>1</v>
      </c>
      <c r="D493" s="180"/>
      <c r="E493" s="137" t="s">
        <v>1305</v>
      </c>
      <c r="G493" s="137">
        <f t="shared" si="98"/>
        <v>0</v>
      </c>
      <c r="H493" s="137" t="s">
        <v>1305</v>
      </c>
      <c r="J493" s="137">
        <f t="shared" si="92"/>
        <v>0</v>
      </c>
      <c r="K493" s="137" t="s">
        <v>1305</v>
      </c>
      <c r="M493" s="137">
        <f t="shared" si="93"/>
        <v>0</v>
      </c>
      <c r="N493" s="137" t="s">
        <v>1305</v>
      </c>
      <c r="P493" s="137">
        <f t="shared" si="94"/>
        <v>0</v>
      </c>
      <c r="Q493" s="137" t="s">
        <v>1305</v>
      </c>
      <c r="S493" s="137">
        <f t="shared" si="95"/>
        <v>0</v>
      </c>
      <c r="T493" s="137" t="s">
        <v>1305</v>
      </c>
      <c r="V493" s="137">
        <f t="shared" si="96"/>
        <v>0</v>
      </c>
    </row>
    <row r="494" spans="1:22" ht="15.75">
      <c r="A494" s="153" t="s">
        <v>1345</v>
      </c>
      <c r="B494" s="125" t="s">
        <v>1026</v>
      </c>
      <c r="C494" s="130">
        <f t="shared" si="101"/>
        <v>0.25</v>
      </c>
      <c r="D494" s="180">
        <v>4</v>
      </c>
      <c r="E494" s="145" t="s">
        <v>1025</v>
      </c>
      <c r="F494" s="145">
        <v>1</v>
      </c>
      <c r="G494" s="145">
        <f t="shared" si="98"/>
        <v>1</v>
      </c>
      <c r="H494" s="145" t="s">
        <v>1305</v>
      </c>
      <c r="I494" s="145"/>
      <c r="J494" s="127">
        <f t="shared" si="92"/>
        <v>0</v>
      </c>
      <c r="K494" s="127" t="s">
        <v>1305</v>
      </c>
      <c r="M494" s="127">
        <f t="shared" si="93"/>
        <v>0</v>
      </c>
      <c r="N494" s="127" t="s">
        <v>1305</v>
      </c>
      <c r="P494" s="127">
        <f t="shared" si="94"/>
        <v>0</v>
      </c>
      <c r="Q494" s="127" t="s">
        <v>1305</v>
      </c>
      <c r="S494" s="127">
        <f t="shared" si="95"/>
        <v>0</v>
      </c>
      <c r="T494" s="127" t="s">
        <v>1305</v>
      </c>
      <c r="V494" s="127">
        <f t="shared" si="96"/>
        <v>0</v>
      </c>
    </row>
    <row r="495" spans="1:22" ht="15.75">
      <c r="A495" s="153" t="s">
        <v>1345</v>
      </c>
      <c r="B495" s="125" t="s">
        <v>1027</v>
      </c>
      <c r="C495" s="130">
        <f t="shared" si="101"/>
        <v>0.5</v>
      </c>
      <c r="D495" s="180">
        <v>1</v>
      </c>
      <c r="E495" s="145" t="s">
        <v>1026</v>
      </c>
      <c r="F495" s="145">
        <v>2</v>
      </c>
      <c r="G495" s="145">
        <f t="shared" si="98"/>
        <v>0.25</v>
      </c>
      <c r="H495" s="145" t="s">
        <v>1305</v>
      </c>
      <c r="I495" s="145"/>
      <c r="J495" s="127">
        <f t="shared" si="92"/>
        <v>0</v>
      </c>
      <c r="K495" s="127" t="s">
        <v>1305</v>
      </c>
      <c r="M495" s="127">
        <f t="shared" si="93"/>
        <v>0</v>
      </c>
      <c r="N495" s="127" t="s">
        <v>1305</v>
      </c>
      <c r="P495" s="127">
        <f t="shared" si="94"/>
        <v>0</v>
      </c>
      <c r="Q495" s="127" t="s">
        <v>1305</v>
      </c>
      <c r="S495" s="127">
        <f t="shared" si="95"/>
        <v>0</v>
      </c>
      <c r="T495" s="127" t="s">
        <v>1305</v>
      </c>
      <c r="V495" s="127">
        <f t="shared" si="96"/>
        <v>0</v>
      </c>
    </row>
    <row r="496" spans="1:22" ht="15.75">
      <c r="A496" s="153" t="s">
        <v>1345</v>
      </c>
      <c r="B496" s="125" t="s">
        <v>1028</v>
      </c>
      <c r="C496" s="130">
        <f t="shared" si="101"/>
        <v>0.54166666666666663</v>
      </c>
      <c r="D496" s="180">
        <v>3</v>
      </c>
      <c r="E496" s="145" t="s">
        <v>1026</v>
      </c>
      <c r="F496" s="145">
        <v>6</v>
      </c>
      <c r="G496" s="145">
        <f t="shared" si="98"/>
        <v>0.25</v>
      </c>
      <c r="H496" s="145" t="s">
        <v>1208</v>
      </c>
      <c r="I496" s="145">
        <v>1</v>
      </c>
      <c r="J496" s="127">
        <f t="shared" si="92"/>
        <v>0.125</v>
      </c>
      <c r="K496" s="127" t="s">
        <v>1305</v>
      </c>
      <c r="M496" s="127">
        <f t="shared" si="93"/>
        <v>0</v>
      </c>
      <c r="N496" s="127" t="s">
        <v>1305</v>
      </c>
      <c r="P496" s="127">
        <f t="shared" si="94"/>
        <v>0</v>
      </c>
      <c r="Q496" s="127" t="s">
        <v>1305</v>
      </c>
      <c r="S496" s="127">
        <f t="shared" si="95"/>
        <v>0</v>
      </c>
      <c r="T496" s="127" t="s">
        <v>1305</v>
      </c>
      <c r="V496" s="127">
        <f t="shared" si="96"/>
        <v>0</v>
      </c>
    </row>
    <row r="497" spans="1:22" ht="15.75">
      <c r="A497" s="153" t="s">
        <v>1345</v>
      </c>
      <c r="B497" s="125" t="s">
        <v>1029</v>
      </c>
      <c r="C497" s="130">
        <f t="shared" si="101"/>
        <v>0.125</v>
      </c>
      <c r="D497" s="180">
        <v>6</v>
      </c>
      <c r="E497" s="145" t="s">
        <v>1026</v>
      </c>
      <c r="F497" s="145">
        <v>3</v>
      </c>
      <c r="G497" s="145">
        <f t="shared" si="98"/>
        <v>0.25</v>
      </c>
      <c r="H497" s="145" t="s">
        <v>1305</v>
      </c>
      <c r="I497" s="145"/>
      <c r="J497" s="127">
        <f t="shared" si="92"/>
        <v>0</v>
      </c>
      <c r="K497" s="127" t="s">
        <v>1305</v>
      </c>
      <c r="M497" s="127">
        <f t="shared" si="93"/>
        <v>0</v>
      </c>
      <c r="N497" s="127" t="s">
        <v>1305</v>
      </c>
      <c r="P497" s="127">
        <f t="shared" si="94"/>
        <v>0</v>
      </c>
      <c r="Q497" s="127" t="s">
        <v>1305</v>
      </c>
      <c r="S497" s="127">
        <f t="shared" si="95"/>
        <v>0</v>
      </c>
      <c r="T497" s="127" t="s">
        <v>1305</v>
      </c>
      <c r="V497" s="127">
        <f t="shared" si="96"/>
        <v>0</v>
      </c>
    </row>
    <row r="498" spans="1:22" ht="15.75">
      <c r="A498" s="153" t="s">
        <v>1345</v>
      </c>
      <c r="B498" s="125" t="s">
        <v>1030</v>
      </c>
      <c r="C498" s="130">
        <f t="shared" si="101"/>
        <v>0.375</v>
      </c>
      <c r="D498" s="180">
        <v>4</v>
      </c>
      <c r="E498" s="145" t="s">
        <v>1026</v>
      </c>
      <c r="F498" s="145">
        <v>6</v>
      </c>
      <c r="G498" s="145">
        <f t="shared" si="98"/>
        <v>0.25</v>
      </c>
      <c r="H498" s="145" t="s">
        <v>1305</v>
      </c>
      <c r="I498" s="145"/>
      <c r="J498" s="127">
        <f t="shared" si="92"/>
        <v>0</v>
      </c>
      <c r="K498" s="127" t="s">
        <v>1305</v>
      </c>
      <c r="M498" s="127">
        <f t="shared" si="93"/>
        <v>0</v>
      </c>
      <c r="N498" s="127" t="s">
        <v>1305</v>
      </c>
      <c r="P498" s="127">
        <f t="shared" si="94"/>
        <v>0</v>
      </c>
      <c r="Q498" s="127" t="s">
        <v>1305</v>
      </c>
      <c r="S498" s="127">
        <f t="shared" si="95"/>
        <v>0</v>
      </c>
      <c r="T498" s="127" t="s">
        <v>1305</v>
      </c>
      <c r="V498" s="127">
        <f t="shared" si="96"/>
        <v>0</v>
      </c>
    </row>
    <row r="499" spans="1:22" ht="15.75">
      <c r="A499" s="153" t="s">
        <v>1345</v>
      </c>
      <c r="B499" s="125" t="s">
        <v>1031</v>
      </c>
      <c r="C499" s="130">
        <f t="shared" si="101"/>
        <v>0.75</v>
      </c>
      <c r="D499" s="180">
        <v>2</v>
      </c>
      <c r="E499" s="145" t="s">
        <v>1026</v>
      </c>
      <c r="F499" s="145">
        <v>6</v>
      </c>
      <c r="G499" s="145">
        <f t="shared" si="98"/>
        <v>0.25</v>
      </c>
      <c r="H499" s="145" t="s">
        <v>1305</v>
      </c>
      <c r="I499" s="145"/>
      <c r="J499" s="127">
        <f t="shared" si="92"/>
        <v>0</v>
      </c>
      <c r="K499" s="127" t="s">
        <v>1305</v>
      </c>
      <c r="M499" s="127">
        <f t="shared" si="93"/>
        <v>0</v>
      </c>
      <c r="N499" s="127" t="s">
        <v>1305</v>
      </c>
      <c r="P499" s="127">
        <f t="shared" si="94"/>
        <v>0</v>
      </c>
      <c r="Q499" s="127" t="s">
        <v>1305</v>
      </c>
      <c r="S499" s="127">
        <f t="shared" si="95"/>
        <v>0</v>
      </c>
      <c r="T499" s="127" t="s">
        <v>1305</v>
      </c>
      <c r="V499" s="127">
        <f t="shared" si="96"/>
        <v>0</v>
      </c>
    </row>
    <row r="500" spans="1:22" s="137" customFormat="1" ht="15.75">
      <c r="A500" s="137" t="s">
        <v>1338</v>
      </c>
      <c r="B500" s="135" t="s">
        <v>1032</v>
      </c>
      <c r="C500" s="136">
        <f>'ECONOMIA &amp; PROFESIONES'!E32</f>
        <v>1</v>
      </c>
      <c r="D500" s="180"/>
      <c r="E500" s="137" t="s">
        <v>1305</v>
      </c>
      <c r="G500" s="137">
        <f t="shared" si="98"/>
        <v>0</v>
      </c>
      <c r="H500" s="137" t="s">
        <v>1305</v>
      </c>
      <c r="J500" s="137">
        <f t="shared" si="92"/>
        <v>0</v>
      </c>
      <c r="K500" s="137" t="s">
        <v>1305</v>
      </c>
      <c r="M500" s="137">
        <f t="shared" si="93"/>
        <v>0</v>
      </c>
      <c r="N500" s="137" t="s">
        <v>1305</v>
      </c>
      <c r="P500" s="137">
        <f t="shared" si="94"/>
        <v>0</v>
      </c>
      <c r="Q500" s="137" t="s">
        <v>1305</v>
      </c>
      <c r="S500" s="137">
        <f t="shared" si="95"/>
        <v>0</v>
      </c>
      <c r="T500" s="137" t="s">
        <v>1305</v>
      </c>
      <c r="V500" s="137">
        <f t="shared" si="96"/>
        <v>0</v>
      </c>
    </row>
    <row r="501" spans="1:22" ht="15.75">
      <c r="A501" s="153" t="s">
        <v>1353</v>
      </c>
      <c r="B501" s="125" t="s">
        <v>1033</v>
      </c>
      <c r="C501" s="130">
        <f t="shared" si="101"/>
        <v>29</v>
      </c>
      <c r="D501" s="180">
        <v>1</v>
      </c>
      <c r="E501" s="127" t="s">
        <v>1147</v>
      </c>
      <c r="F501">
        <v>2</v>
      </c>
      <c r="G501" s="127">
        <f t="shared" si="98"/>
        <v>7</v>
      </c>
      <c r="H501" s="127" t="s">
        <v>1114</v>
      </c>
      <c r="I501" s="127">
        <v>1</v>
      </c>
      <c r="J501" s="127">
        <f t="shared" si="92"/>
        <v>9</v>
      </c>
      <c r="K501" s="127" t="s">
        <v>676</v>
      </c>
      <c r="L501" s="127">
        <v>6</v>
      </c>
      <c r="M501" s="127">
        <f t="shared" si="93"/>
        <v>1</v>
      </c>
      <c r="N501" s="127" t="s">
        <v>1305</v>
      </c>
      <c r="P501" s="127">
        <f t="shared" si="94"/>
        <v>0</v>
      </c>
      <c r="Q501" s="127" t="s">
        <v>1305</v>
      </c>
      <c r="S501" s="127">
        <f t="shared" si="95"/>
        <v>0</v>
      </c>
      <c r="T501" s="127" t="s">
        <v>1305</v>
      </c>
      <c r="V501" s="127">
        <f t="shared" si="96"/>
        <v>0</v>
      </c>
    </row>
    <row r="502" spans="1:22" s="137" customFormat="1" ht="15.75">
      <c r="A502" s="137" t="s">
        <v>1337</v>
      </c>
      <c r="B502" s="135" t="s">
        <v>1034</v>
      </c>
      <c r="C502" s="136">
        <f>'ECONOMIA &amp; PROFESIONES'!C44</f>
        <v>11</v>
      </c>
      <c r="D502" s="180"/>
      <c r="E502" s="137" t="s">
        <v>1305</v>
      </c>
      <c r="G502" s="137">
        <f t="shared" si="98"/>
        <v>0</v>
      </c>
      <c r="H502" s="137" t="s">
        <v>1305</v>
      </c>
      <c r="J502" s="137">
        <f t="shared" si="92"/>
        <v>0</v>
      </c>
      <c r="K502" s="137" t="s">
        <v>1305</v>
      </c>
      <c r="M502" s="137">
        <f t="shared" si="93"/>
        <v>0</v>
      </c>
      <c r="N502" s="137" t="s">
        <v>1305</v>
      </c>
      <c r="P502" s="137">
        <f t="shared" si="94"/>
        <v>0</v>
      </c>
      <c r="Q502" s="137" t="s">
        <v>1305</v>
      </c>
      <c r="S502" s="137">
        <f t="shared" si="95"/>
        <v>0</v>
      </c>
      <c r="T502" s="137" t="s">
        <v>1305</v>
      </c>
      <c r="V502" s="137">
        <f t="shared" si="96"/>
        <v>0</v>
      </c>
    </row>
    <row r="503" spans="1:22" ht="15.75">
      <c r="A503" s="153" t="s">
        <v>1351</v>
      </c>
      <c r="B503" s="125" t="s">
        <v>1035</v>
      </c>
      <c r="C503" s="130">
        <f t="shared" si="101"/>
        <v>42.125</v>
      </c>
      <c r="D503" s="180">
        <v>1</v>
      </c>
      <c r="E503" s="145" t="s">
        <v>1047</v>
      </c>
      <c r="F503" s="145">
        <v>6</v>
      </c>
      <c r="G503" s="145">
        <f t="shared" si="98"/>
        <v>7</v>
      </c>
      <c r="H503" s="145" t="s">
        <v>1208</v>
      </c>
      <c r="I503" s="145">
        <v>1</v>
      </c>
      <c r="J503" s="145">
        <f t="shared" ref="J503:J507" si="107">VLOOKUP(H503,IDPOINTS,2,FALSE)</f>
        <v>0.125</v>
      </c>
      <c r="K503" s="145" t="s">
        <v>1305</v>
      </c>
      <c r="L503" s="145"/>
      <c r="M503" s="127">
        <f t="shared" si="93"/>
        <v>0</v>
      </c>
      <c r="N503" s="127" t="s">
        <v>1305</v>
      </c>
      <c r="P503" s="127">
        <f t="shared" si="94"/>
        <v>0</v>
      </c>
      <c r="Q503" s="127" t="s">
        <v>1305</v>
      </c>
      <c r="S503" s="127">
        <f t="shared" si="95"/>
        <v>0</v>
      </c>
      <c r="T503" s="127" t="s">
        <v>1305</v>
      </c>
      <c r="V503" s="127">
        <f t="shared" si="96"/>
        <v>0</v>
      </c>
    </row>
    <row r="504" spans="1:22" ht="15.75">
      <c r="A504" s="153" t="s">
        <v>1351</v>
      </c>
      <c r="B504" s="125" t="s">
        <v>1036</v>
      </c>
      <c r="C504" s="130">
        <f t="shared" si="101"/>
        <v>21.75</v>
      </c>
      <c r="D504" s="180">
        <v>1</v>
      </c>
      <c r="E504" s="145" t="s">
        <v>1047</v>
      </c>
      <c r="F504" s="145">
        <v>3</v>
      </c>
      <c r="G504" s="145">
        <f t="shared" si="98"/>
        <v>7</v>
      </c>
      <c r="H504" s="145" t="s">
        <v>1026</v>
      </c>
      <c r="I504" s="145">
        <v>3</v>
      </c>
      <c r="J504" s="145">
        <f t="shared" si="107"/>
        <v>0.25</v>
      </c>
      <c r="K504" s="145" t="s">
        <v>1305</v>
      </c>
      <c r="L504" s="145"/>
      <c r="M504" s="127">
        <f t="shared" si="93"/>
        <v>0</v>
      </c>
      <c r="N504" s="127" t="s">
        <v>1305</v>
      </c>
      <c r="P504" s="127">
        <f t="shared" si="94"/>
        <v>0</v>
      </c>
      <c r="Q504" s="127" t="s">
        <v>1305</v>
      </c>
      <c r="S504" s="127">
        <f t="shared" si="95"/>
        <v>0</v>
      </c>
      <c r="T504" s="127" t="s">
        <v>1305</v>
      </c>
      <c r="V504" s="127">
        <f t="shared" si="96"/>
        <v>0</v>
      </c>
    </row>
    <row r="505" spans="1:22" ht="15.75">
      <c r="A505" s="153" t="s">
        <v>1351</v>
      </c>
      <c r="B505" s="125" t="s">
        <v>1037</v>
      </c>
      <c r="C505" s="130">
        <f t="shared" si="101"/>
        <v>4.666666666666667</v>
      </c>
      <c r="D505" s="180">
        <v>3</v>
      </c>
      <c r="E505" s="145" t="s">
        <v>1047</v>
      </c>
      <c r="F505" s="145">
        <v>2</v>
      </c>
      <c r="G505" s="145">
        <f t="shared" si="98"/>
        <v>7</v>
      </c>
      <c r="H505" s="145" t="s">
        <v>1305</v>
      </c>
      <c r="I505" s="145"/>
      <c r="J505" s="145">
        <f t="shared" si="107"/>
        <v>0</v>
      </c>
      <c r="K505" s="145" t="s">
        <v>1305</v>
      </c>
      <c r="L505" s="145"/>
      <c r="M505" s="127">
        <f t="shared" ref="M505:M567" si="108">VLOOKUP(K505,IDPOINTS,2,FALSE)</f>
        <v>0</v>
      </c>
      <c r="N505" s="127" t="s">
        <v>1305</v>
      </c>
      <c r="P505" s="127">
        <f t="shared" ref="P505:P567" si="109">VLOOKUP(N505,IDPOINTS,2,FALSE)</f>
        <v>0</v>
      </c>
      <c r="Q505" s="127" t="s">
        <v>1305</v>
      </c>
      <c r="S505" s="127">
        <f t="shared" ref="S505:S567" si="110">VLOOKUP(Q505,IDPOINTS,2,FALSE)</f>
        <v>0</v>
      </c>
      <c r="T505" s="127" t="s">
        <v>1305</v>
      </c>
      <c r="V505" s="127">
        <f t="shared" ref="V505:V567" si="111">VLOOKUP(T505,IDPOINTS,2,FALSE)</f>
        <v>0</v>
      </c>
    </row>
    <row r="506" spans="1:22" ht="15.75">
      <c r="A506" s="153" t="s">
        <v>1351</v>
      </c>
      <c r="B506" s="125" t="s">
        <v>1038</v>
      </c>
      <c r="C506" s="130">
        <f t="shared" si="101"/>
        <v>3.125</v>
      </c>
      <c r="D506" s="180">
        <v>1</v>
      </c>
      <c r="E506" s="145" t="s">
        <v>1039</v>
      </c>
      <c r="F506" s="145">
        <v>1</v>
      </c>
      <c r="G506" s="145">
        <f t="shared" si="98"/>
        <v>3.125</v>
      </c>
      <c r="H506" s="145" t="s">
        <v>1305</v>
      </c>
      <c r="I506" s="145"/>
      <c r="J506" s="145">
        <f t="shared" si="107"/>
        <v>0</v>
      </c>
      <c r="K506" s="145" t="s">
        <v>1305</v>
      </c>
      <c r="L506" s="145"/>
      <c r="M506" s="127">
        <f t="shared" si="108"/>
        <v>0</v>
      </c>
      <c r="N506" s="127" t="s">
        <v>1305</v>
      </c>
      <c r="P506" s="127">
        <f t="shared" si="109"/>
        <v>0</v>
      </c>
      <c r="Q506" s="127" t="s">
        <v>1305</v>
      </c>
      <c r="S506" s="127">
        <f t="shared" si="110"/>
        <v>0</v>
      </c>
      <c r="T506" s="127" t="s">
        <v>1305</v>
      </c>
      <c r="V506" s="127">
        <f t="shared" si="111"/>
        <v>0</v>
      </c>
    </row>
    <row r="507" spans="1:22" ht="15.75">
      <c r="A507" s="153" t="s">
        <v>1351</v>
      </c>
      <c r="B507" s="125" t="s">
        <v>1039</v>
      </c>
      <c r="C507" s="130">
        <f t="shared" si="101"/>
        <v>3.125</v>
      </c>
      <c r="D507" s="180">
        <v>8</v>
      </c>
      <c r="E507" s="145" t="s">
        <v>1158</v>
      </c>
      <c r="F507" s="145">
        <v>4</v>
      </c>
      <c r="G507" s="145">
        <f t="shared" si="98"/>
        <v>5</v>
      </c>
      <c r="H507" s="145" t="s">
        <v>844</v>
      </c>
      <c r="I507" s="145">
        <v>4</v>
      </c>
      <c r="J507" s="145">
        <f t="shared" si="107"/>
        <v>1</v>
      </c>
      <c r="K507" s="145" t="s">
        <v>1040</v>
      </c>
      <c r="L507" s="145">
        <v>1</v>
      </c>
      <c r="M507" s="127">
        <f t="shared" si="108"/>
        <v>1</v>
      </c>
      <c r="N507" s="127" t="s">
        <v>1305</v>
      </c>
      <c r="P507" s="127">
        <f t="shared" si="109"/>
        <v>0</v>
      </c>
      <c r="Q507" s="127" t="s">
        <v>1305</v>
      </c>
      <c r="S507" s="127">
        <f t="shared" si="110"/>
        <v>0</v>
      </c>
      <c r="T507" s="127" t="s">
        <v>1305</v>
      </c>
      <c r="V507" s="127">
        <f t="shared" si="111"/>
        <v>0</v>
      </c>
    </row>
    <row r="508" spans="1:22" s="13" customFormat="1" ht="15.75">
      <c r="A508" s="153" t="s">
        <v>1351</v>
      </c>
      <c r="B508" s="144" t="s">
        <v>1040</v>
      </c>
      <c r="C508" s="130">
        <f t="shared" si="101"/>
        <v>1</v>
      </c>
      <c r="D508" s="180">
        <v>1</v>
      </c>
      <c r="E508" s="13" t="s">
        <v>1046</v>
      </c>
      <c r="F508" s="13">
        <v>1</v>
      </c>
      <c r="G508" s="13">
        <f t="shared" ref="G508:G565" si="112">VLOOKUP(E508,IDPOINTS,2,FALSE)</f>
        <v>1</v>
      </c>
      <c r="H508" s="13" t="s">
        <v>1305</v>
      </c>
      <c r="J508" s="13">
        <f t="shared" ref="J508:J565" si="113">VLOOKUP(H508,IDPOINTS,2,FALSE)</f>
        <v>0</v>
      </c>
      <c r="K508" s="13" t="s">
        <v>1305</v>
      </c>
      <c r="M508" s="13">
        <f t="shared" si="108"/>
        <v>0</v>
      </c>
      <c r="N508" s="13" t="s">
        <v>1305</v>
      </c>
      <c r="P508" s="13">
        <f t="shared" si="109"/>
        <v>0</v>
      </c>
      <c r="Q508" s="13" t="s">
        <v>1305</v>
      </c>
      <c r="S508" s="13">
        <f t="shared" si="110"/>
        <v>0</v>
      </c>
      <c r="T508" s="13" t="s">
        <v>1305</v>
      </c>
      <c r="V508" s="13">
        <f t="shared" si="111"/>
        <v>0</v>
      </c>
    </row>
    <row r="509" spans="1:22" ht="15.75">
      <c r="A509" s="153" t="s">
        <v>1351</v>
      </c>
      <c r="B509" s="125" t="s">
        <v>1041</v>
      </c>
      <c r="C509" s="130">
        <f t="shared" si="101"/>
        <v>34.125</v>
      </c>
      <c r="D509" s="180">
        <v>1</v>
      </c>
      <c r="E509" s="145" t="s">
        <v>1045</v>
      </c>
      <c r="F509" s="145">
        <v>1</v>
      </c>
      <c r="G509" s="145">
        <f t="shared" si="112"/>
        <v>31.125</v>
      </c>
      <c r="H509" s="145" t="s">
        <v>672</v>
      </c>
      <c r="I509" s="145">
        <v>1</v>
      </c>
      <c r="J509" s="127">
        <f t="shared" si="113"/>
        <v>3</v>
      </c>
      <c r="K509" s="127" t="s">
        <v>1305</v>
      </c>
      <c r="M509" s="127">
        <f t="shared" si="108"/>
        <v>0</v>
      </c>
      <c r="N509" s="127" t="s">
        <v>1305</v>
      </c>
      <c r="P509" s="127">
        <f t="shared" si="109"/>
        <v>0</v>
      </c>
      <c r="Q509" s="127" t="s">
        <v>1305</v>
      </c>
      <c r="S509" s="127">
        <f t="shared" si="110"/>
        <v>0</v>
      </c>
      <c r="T509" s="127" t="s">
        <v>1305</v>
      </c>
      <c r="V509" s="127">
        <f t="shared" si="111"/>
        <v>0</v>
      </c>
    </row>
    <row r="510" spans="1:22" ht="15.75">
      <c r="A510" s="153" t="s">
        <v>1351</v>
      </c>
      <c r="B510" s="125" t="s">
        <v>1042</v>
      </c>
      <c r="C510" s="130">
        <f t="shared" si="101"/>
        <v>12</v>
      </c>
      <c r="D510" s="180">
        <v>1</v>
      </c>
      <c r="E510" s="145" t="s">
        <v>1040</v>
      </c>
      <c r="F510" s="145">
        <v>1</v>
      </c>
      <c r="G510" s="145">
        <f t="shared" si="112"/>
        <v>1</v>
      </c>
      <c r="H510" s="145" t="s">
        <v>1170</v>
      </c>
      <c r="I510" s="145">
        <v>1</v>
      </c>
      <c r="J510" s="127">
        <f t="shared" si="113"/>
        <v>11</v>
      </c>
      <c r="K510" s="127" t="s">
        <v>1305</v>
      </c>
      <c r="M510" s="127">
        <f t="shared" si="108"/>
        <v>0</v>
      </c>
      <c r="N510" s="127" t="s">
        <v>1305</v>
      </c>
      <c r="P510" s="127">
        <f t="shared" si="109"/>
        <v>0</v>
      </c>
      <c r="Q510" s="127" t="s">
        <v>1305</v>
      </c>
      <c r="S510" s="127">
        <f t="shared" si="110"/>
        <v>0</v>
      </c>
      <c r="T510" s="127" t="s">
        <v>1305</v>
      </c>
      <c r="V510" s="127">
        <f t="shared" si="111"/>
        <v>0</v>
      </c>
    </row>
    <row r="511" spans="1:22" ht="15.75">
      <c r="A511" s="153" t="s">
        <v>1351</v>
      </c>
      <c r="B511" s="125" t="s">
        <v>1043</v>
      </c>
      <c r="C511" s="130">
        <f t="shared" si="101"/>
        <v>8.125</v>
      </c>
      <c r="D511" s="180">
        <v>8</v>
      </c>
      <c r="E511" s="145" t="s">
        <v>814</v>
      </c>
      <c r="F511" s="145">
        <v>8</v>
      </c>
      <c r="G511" s="145">
        <f t="shared" si="112"/>
        <v>8</v>
      </c>
      <c r="H511" s="145" t="s">
        <v>1040</v>
      </c>
      <c r="I511" s="145">
        <v>1</v>
      </c>
      <c r="J511" s="127">
        <f t="shared" si="113"/>
        <v>1</v>
      </c>
      <c r="K511" s="127" t="s">
        <v>1305</v>
      </c>
      <c r="M511" s="127">
        <f t="shared" si="108"/>
        <v>0</v>
      </c>
      <c r="N511" s="127" t="s">
        <v>1305</v>
      </c>
      <c r="P511" s="127">
        <f t="shared" si="109"/>
        <v>0</v>
      </c>
      <c r="Q511" s="127" t="s">
        <v>1305</v>
      </c>
      <c r="S511" s="127">
        <f t="shared" si="110"/>
        <v>0</v>
      </c>
      <c r="T511" s="127" t="s">
        <v>1305</v>
      </c>
      <c r="V511" s="127">
        <f t="shared" si="111"/>
        <v>0</v>
      </c>
    </row>
    <row r="512" spans="1:22" ht="15.75">
      <c r="A512" s="153" t="s">
        <v>1351</v>
      </c>
      <c r="B512" s="125" t="s">
        <v>1044</v>
      </c>
      <c r="C512" s="130">
        <f t="shared" si="101"/>
        <v>3.046875</v>
      </c>
      <c r="D512" s="180">
        <v>16</v>
      </c>
      <c r="E512" s="145" t="s">
        <v>1043</v>
      </c>
      <c r="F512" s="145">
        <v>6</v>
      </c>
      <c r="G512" s="145">
        <f t="shared" si="112"/>
        <v>8.125</v>
      </c>
      <c r="H512" s="145" t="s">
        <v>1305</v>
      </c>
      <c r="I512" s="145"/>
      <c r="J512" s="127">
        <f t="shared" si="113"/>
        <v>0</v>
      </c>
      <c r="K512" s="127" t="s">
        <v>1305</v>
      </c>
      <c r="M512" s="127">
        <f t="shared" si="108"/>
        <v>0</v>
      </c>
      <c r="N512" s="127" t="s">
        <v>1305</v>
      </c>
      <c r="P512" s="127">
        <f t="shared" si="109"/>
        <v>0</v>
      </c>
      <c r="Q512" s="127" t="s">
        <v>1305</v>
      </c>
      <c r="S512" s="127">
        <f t="shared" si="110"/>
        <v>0</v>
      </c>
      <c r="T512" s="127" t="s">
        <v>1305</v>
      </c>
      <c r="V512" s="127">
        <f t="shared" si="111"/>
        <v>0</v>
      </c>
    </row>
    <row r="513" spans="1:22" ht="15.75">
      <c r="A513" s="153" t="s">
        <v>1351</v>
      </c>
      <c r="B513" s="125" t="s">
        <v>1045</v>
      </c>
      <c r="C513" s="130">
        <f t="shared" si="101"/>
        <v>31.125</v>
      </c>
      <c r="D513" s="180">
        <v>8</v>
      </c>
      <c r="E513" s="145" t="s">
        <v>1245</v>
      </c>
      <c r="F513" s="145">
        <v>8</v>
      </c>
      <c r="G513" s="145">
        <f t="shared" si="112"/>
        <v>31</v>
      </c>
      <c r="H513" s="145" t="s">
        <v>1040</v>
      </c>
      <c r="I513" s="145">
        <v>1</v>
      </c>
      <c r="J513" s="127">
        <f t="shared" si="113"/>
        <v>1</v>
      </c>
      <c r="K513" s="127" t="s">
        <v>1305</v>
      </c>
      <c r="M513" s="127">
        <f t="shared" si="108"/>
        <v>0</v>
      </c>
      <c r="N513" s="127" t="s">
        <v>1305</v>
      </c>
      <c r="P513" s="127">
        <f t="shared" si="109"/>
        <v>0</v>
      </c>
      <c r="Q513" s="127" t="s">
        <v>1305</v>
      </c>
      <c r="S513" s="127">
        <f t="shared" si="110"/>
        <v>0</v>
      </c>
      <c r="T513" s="127" t="s">
        <v>1305</v>
      </c>
      <c r="V513" s="127">
        <f t="shared" si="111"/>
        <v>0</v>
      </c>
    </row>
    <row r="514" spans="1:22" s="137" customFormat="1" ht="15.75">
      <c r="A514" s="137" t="s">
        <v>560</v>
      </c>
      <c r="B514" s="135" t="s">
        <v>1046</v>
      </c>
      <c r="C514" s="136">
        <v>1</v>
      </c>
      <c r="D514" s="180"/>
      <c r="E514" s="137" t="s">
        <v>1305</v>
      </c>
      <c r="G514" s="137">
        <f t="shared" si="112"/>
        <v>0</v>
      </c>
      <c r="H514" s="137" t="s">
        <v>1305</v>
      </c>
      <c r="J514" s="137">
        <f t="shared" si="113"/>
        <v>0</v>
      </c>
      <c r="K514" s="137" t="s">
        <v>1305</v>
      </c>
      <c r="M514" s="137">
        <f t="shared" si="108"/>
        <v>0</v>
      </c>
      <c r="N514" s="137" t="s">
        <v>1305</v>
      </c>
      <c r="P514" s="137">
        <f t="shared" si="109"/>
        <v>0</v>
      </c>
      <c r="Q514" s="137" t="s">
        <v>1305</v>
      </c>
      <c r="S514" s="137">
        <f t="shared" si="110"/>
        <v>0</v>
      </c>
      <c r="T514" s="137" t="s">
        <v>1305</v>
      </c>
      <c r="V514" s="137">
        <f t="shared" si="111"/>
        <v>0</v>
      </c>
    </row>
    <row r="515" spans="1:22" ht="15.75">
      <c r="A515" s="153" t="s">
        <v>1351</v>
      </c>
      <c r="B515" s="125" t="s">
        <v>1047</v>
      </c>
      <c r="C515" s="130">
        <f t="shared" si="101"/>
        <v>7</v>
      </c>
      <c r="D515" s="180">
        <v>1</v>
      </c>
      <c r="E515" s="145" t="s">
        <v>1274</v>
      </c>
      <c r="F515" s="145">
        <v>1</v>
      </c>
      <c r="G515" s="145">
        <f t="shared" ref="G515" si="114">VLOOKUP(E515,IDPOINTS,2,FALSE)</f>
        <v>6</v>
      </c>
      <c r="H515" s="145" t="s">
        <v>1040</v>
      </c>
      <c r="I515" s="145">
        <v>1</v>
      </c>
      <c r="J515" s="127">
        <f t="shared" si="113"/>
        <v>1</v>
      </c>
      <c r="K515" s="127" t="s">
        <v>1305</v>
      </c>
      <c r="M515" s="127">
        <f t="shared" si="108"/>
        <v>0</v>
      </c>
      <c r="N515" s="127" t="s">
        <v>1305</v>
      </c>
      <c r="P515" s="127">
        <f t="shared" si="109"/>
        <v>0</v>
      </c>
      <c r="Q515" s="127" t="s">
        <v>1305</v>
      </c>
      <c r="S515" s="127">
        <f t="shared" si="110"/>
        <v>0</v>
      </c>
      <c r="T515" s="127" t="s">
        <v>1305</v>
      </c>
      <c r="V515" s="127">
        <f t="shared" si="111"/>
        <v>0</v>
      </c>
    </row>
    <row r="516" spans="1:22" s="137" customFormat="1" ht="15.75">
      <c r="A516" s="137" t="s">
        <v>560</v>
      </c>
      <c r="B516" s="135" t="s">
        <v>1048</v>
      </c>
      <c r="C516" s="136">
        <v>1</v>
      </c>
      <c r="D516" s="180"/>
      <c r="E516" s="137" t="s">
        <v>1305</v>
      </c>
      <c r="G516" s="137">
        <f t="shared" si="112"/>
        <v>0</v>
      </c>
      <c r="H516" s="137" t="s">
        <v>1305</v>
      </c>
      <c r="J516" s="137">
        <f t="shared" si="113"/>
        <v>0</v>
      </c>
      <c r="K516" s="137" t="s">
        <v>1305</v>
      </c>
      <c r="M516" s="137">
        <f t="shared" si="108"/>
        <v>0</v>
      </c>
      <c r="N516" s="137" t="s">
        <v>1305</v>
      </c>
      <c r="P516" s="137">
        <f t="shared" si="109"/>
        <v>0</v>
      </c>
      <c r="Q516" s="137" t="s">
        <v>1305</v>
      </c>
      <c r="S516" s="137">
        <f t="shared" si="110"/>
        <v>0</v>
      </c>
      <c r="T516" s="137" t="s">
        <v>1305</v>
      </c>
      <c r="V516" s="137">
        <f t="shared" si="111"/>
        <v>0</v>
      </c>
    </row>
    <row r="517" spans="1:22" s="167" customFormat="1" ht="15.75">
      <c r="A517" s="153"/>
      <c r="B517" s="165" t="s">
        <v>1049</v>
      </c>
      <c r="C517" s="166">
        <f t="shared" ref="C517:C522" si="115">(G517*F517)+(I517*J517)+(L517*M517)+(O517*P517)+(R517*S517)+(U517*V517)</f>
        <v>0</v>
      </c>
      <c r="D517" s="180"/>
      <c r="E517" s="167" t="s">
        <v>1305</v>
      </c>
      <c r="G517" s="167">
        <f t="shared" si="112"/>
        <v>0</v>
      </c>
      <c r="H517" s="167" t="s">
        <v>1305</v>
      </c>
      <c r="J517" s="167">
        <f t="shared" si="113"/>
        <v>0</v>
      </c>
      <c r="K517" s="167" t="s">
        <v>1305</v>
      </c>
      <c r="M517" s="167">
        <f t="shared" si="108"/>
        <v>0</v>
      </c>
      <c r="N517" s="167" t="s">
        <v>1305</v>
      </c>
      <c r="P517" s="167">
        <f t="shared" si="109"/>
        <v>0</v>
      </c>
      <c r="Q517" s="167" t="s">
        <v>1305</v>
      </c>
      <c r="S517" s="167">
        <f t="shared" si="110"/>
        <v>0</v>
      </c>
      <c r="T517" s="167" t="s">
        <v>1305</v>
      </c>
      <c r="V517" s="167">
        <f t="shared" si="111"/>
        <v>0</v>
      </c>
    </row>
    <row r="518" spans="1:22" ht="15.75">
      <c r="A518" s="153" t="s">
        <v>1345</v>
      </c>
      <c r="B518" s="125" t="s">
        <v>1050</v>
      </c>
      <c r="C518" s="130">
        <f t="shared" ref="C518:C519" si="116">((G518*F518)+(I518*J518)+(L518*M518)+(O518*P518)+(R518*S518)+(U518*V518))/D518</f>
        <v>7</v>
      </c>
      <c r="D518" s="180">
        <v>1</v>
      </c>
      <c r="E518" s="127" t="s">
        <v>1208</v>
      </c>
      <c r="F518">
        <v>8</v>
      </c>
      <c r="G518" s="127">
        <f t="shared" si="112"/>
        <v>0.125</v>
      </c>
      <c r="H518" s="127" t="s">
        <v>1274</v>
      </c>
      <c r="I518" s="127">
        <v>1</v>
      </c>
      <c r="J518" s="127">
        <f t="shared" si="113"/>
        <v>6</v>
      </c>
      <c r="K518" s="127" t="s">
        <v>1305</v>
      </c>
      <c r="M518" s="127">
        <f t="shared" si="108"/>
        <v>0</v>
      </c>
      <c r="N518" s="127" t="s">
        <v>1305</v>
      </c>
      <c r="P518" s="127">
        <f t="shared" si="109"/>
        <v>0</v>
      </c>
      <c r="Q518" s="127" t="s">
        <v>1305</v>
      </c>
      <c r="S518" s="127">
        <f t="shared" si="110"/>
        <v>0</v>
      </c>
      <c r="T518" s="127" t="s">
        <v>1305</v>
      </c>
      <c r="V518" s="127">
        <f t="shared" si="111"/>
        <v>0</v>
      </c>
    </row>
    <row r="519" spans="1:22" ht="15.75">
      <c r="A519" s="153" t="s">
        <v>1352</v>
      </c>
      <c r="B519" s="125" t="s">
        <v>1051</v>
      </c>
      <c r="C519" s="130">
        <f t="shared" si="116"/>
        <v>5</v>
      </c>
      <c r="D519" s="180">
        <v>3</v>
      </c>
      <c r="E519" s="127" t="s">
        <v>1240</v>
      </c>
      <c r="F519">
        <v>3</v>
      </c>
      <c r="G519" s="127">
        <f t="shared" si="112"/>
        <v>5</v>
      </c>
      <c r="H519" s="127" t="s">
        <v>1305</v>
      </c>
      <c r="J519" s="127">
        <f t="shared" si="113"/>
        <v>0</v>
      </c>
      <c r="K519" s="127" t="s">
        <v>1305</v>
      </c>
      <c r="M519" s="127">
        <f t="shared" si="108"/>
        <v>0</v>
      </c>
      <c r="N519" s="127" t="s">
        <v>1305</v>
      </c>
      <c r="P519" s="127">
        <f t="shared" si="109"/>
        <v>0</v>
      </c>
      <c r="Q519" s="127" t="s">
        <v>1305</v>
      </c>
      <c r="S519" s="127">
        <f t="shared" si="110"/>
        <v>0</v>
      </c>
      <c r="T519" s="127" t="s">
        <v>1305</v>
      </c>
      <c r="V519" s="127">
        <f t="shared" si="111"/>
        <v>0</v>
      </c>
    </row>
    <row r="520" spans="1:22" s="137" customFormat="1" ht="15.75">
      <c r="A520" s="137" t="s">
        <v>560</v>
      </c>
      <c r="B520" s="135" t="s">
        <v>1052</v>
      </c>
      <c r="C520" s="136">
        <v>1</v>
      </c>
      <c r="D520" s="180"/>
      <c r="E520" s="137" t="s">
        <v>1305</v>
      </c>
      <c r="G520" s="137">
        <f t="shared" si="112"/>
        <v>0</v>
      </c>
      <c r="H520" s="137" t="s">
        <v>1305</v>
      </c>
      <c r="J520" s="137">
        <f t="shared" si="113"/>
        <v>0</v>
      </c>
      <c r="K520" s="137" t="s">
        <v>1305</v>
      </c>
      <c r="M520" s="137">
        <f t="shared" si="108"/>
        <v>0</v>
      </c>
      <c r="N520" s="137" t="s">
        <v>1305</v>
      </c>
      <c r="P520" s="137">
        <f t="shared" si="109"/>
        <v>0</v>
      </c>
      <c r="Q520" s="137" t="s">
        <v>1305</v>
      </c>
      <c r="S520" s="137">
        <f t="shared" si="110"/>
        <v>0</v>
      </c>
      <c r="T520" s="137" t="s">
        <v>1305</v>
      </c>
      <c r="V520" s="137">
        <f t="shared" si="111"/>
        <v>0</v>
      </c>
    </row>
    <row r="521" spans="1:22" s="167" customFormat="1" ht="15.75">
      <c r="A521" s="153"/>
      <c r="B521" s="165" t="s">
        <v>1053</v>
      </c>
      <c r="C521" s="166">
        <f t="shared" si="115"/>
        <v>0</v>
      </c>
      <c r="D521" s="180"/>
      <c r="E521" s="167" t="s">
        <v>1305</v>
      </c>
      <c r="G521" s="167">
        <f t="shared" si="112"/>
        <v>0</v>
      </c>
      <c r="H521" s="167" t="s">
        <v>1305</v>
      </c>
      <c r="J521" s="167">
        <f t="shared" si="113"/>
        <v>0</v>
      </c>
      <c r="K521" s="167" t="s">
        <v>1305</v>
      </c>
      <c r="M521" s="167">
        <f t="shared" si="108"/>
        <v>0</v>
      </c>
      <c r="N521" s="167" t="s">
        <v>1305</v>
      </c>
      <c r="P521" s="167">
        <f t="shared" si="109"/>
        <v>0</v>
      </c>
      <c r="Q521" s="167" t="s">
        <v>1305</v>
      </c>
      <c r="S521" s="167">
        <f t="shared" si="110"/>
        <v>0</v>
      </c>
      <c r="T521" s="167" t="s">
        <v>1305</v>
      </c>
      <c r="V521" s="167">
        <f t="shared" si="111"/>
        <v>0</v>
      </c>
    </row>
    <row r="522" spans="1:22" s="148" customFormat="1" ht="15.75">
      <c r="A522" s="153" t="s">
        <v>1350</v>
      </c>
      <c r="B522" s="146" t="s">
        <v>1054</v>
      </c>
      <c r="C522" s="147">
        <f t="shared" si="115"/>
        <v>0</v>
      </c>
      <c r="D522" s="180"/>
      <c r="E522" s="148" t="s">
        <v>1305</v>
      </c>
      <c r="G522" s="148">
        <f t="shared" si="112"/>
        <v>0</v>
      </c>
      <c r="H522" s="148" t="s">
        <v>1305</v>
      </c>
      <c r="J522" s="148">
        <f t="shared" si="113"/>
        <v>0</v>
      </c>
      <c r="K522" s="148" t="s">
        <v>1305</v>
      </c>
      <c r="M522" s="148">
        <f t="shared" si="108"/>
        <v>0</v>
      </c>
      <c r="N522" s="148" t="s">
        <v>1305</v>
      </c>
      <c r="P522" s="148">
        <f t="shared" si="109"/>
        <v>0</v>
      </c>
      <c r="Q522" s="148" t="s">
        <v>1305</v>
      </c>
      <c r="S522" s="148">
        <f t="shared" si="110"/>
        <v>0</v>
      </c>
      <c r="T522" s="148" t="s">
        <v>1305</v>
      </c>
      <c r="V522" s="148">
        <f t="shared" si="111"/>
        <v>0</v>
      </c>
    </row>
    <row r="523" spans="1:22" ht="15.75">
      <c r="A523" s="153" t="s">
        <v>1351</v>
      </c>
      <c r="B523" s="125" t="s">
        <v>1055</v>
      </c>
      <c r="C523" s="130">
        <f t="shared" ref="C523:C533" si="117">((G523*F523)+(I523*J523)+(L523*M523)+(O523*P523)+(R523*S523)+(U523*V523))/D523</f>
        <v>42.125</v>
      </c>
      <c r="D523" s="180">
        <v>1</v>
      </c>
      <c r="E523" s="145" t="s">
        <v>1067</v>
      </c>
      <c r="F523" s="145">
        <v>6</v>
      </c>
      <c r="G523" s="145">
        <f t="shared" si="112"/>
        <v>7</v>
      </c>
      <c r="H523" s="145" t="s">
        <v>1208</v>
      </c>
      <c r="I523" s="145">
        <v>1</v>
      </c>
      <c r="J523" s="127">
        <f t="shared" si="113"/>
        <v>0.125</v>
      </c>
      <c r="K523" s="127" t="s">
        <v>1305</v>
      </c>
      <c r="M523" s="127">
        <f t="shared" si="108"/>
        <v>0</v>
      </c>
      <c r="N523" s="127" t="s">
        <v>1305</v>
      </c>
      <c r="P523" s="127">
        <f t="shared" si="109"/>
        <v>0</v>
      </c>
      <c r="Q523" s="127" t="s">
        <v>1305</v>
      </c>
      <c r="S523" s="127">
        <f t="shared" si="110"/>
        <v>0</v>
      </c>
      <c r="T523" s="127" t="s">
        <v>1305</v>
      </c>
      <c r="V523" s="127">
        <f t="shared" si="111"/>
        <v>0</v>
      </c>
    </row>
    <row r="524" spans="1:22" ht="15.75">
      <c r="A524" s="153" t="s">
        <v>1351</v>
      </c>
      <c r="B524" s="125" t="s">
        <v>1056</v>
      </c>
      <c r="C524" s="130">
        <f t="shared" si="117"/>
        <v>21.75</v>
      </c>
      <c r="D524" s="180">
        <v>1</v>
      </c>
      <c r="E524" s="145" t="s">
        <v>1067</v>
      </c>
      <c r="F524" s="145">
        <v>3</v>
      </c>
      <c r="G524" s="145">
        <f t="shared" si="112"/>
        <v>7</v>
      </c>
      <c r="H524" s="145" t="s">
        <v>1026</v>
      </c>
      <c r="I524" s="145">
        <v>3</v>
      </c>
      <c r="J524" s="127">
        <f t="shared" si="113"/>
        <v>0.25</v>
      </c>
      <c r="K524" s="127" t="s">
        <v>1305</v>
      </c>
      <c r="M524" s="127">
        <f t="shared" si="108"/>
        <v>0</v>
      </c>
      <c r="N524" s="127" t="s">
        <v>1305</v>
      </c>
      <c r="P524" s="127">
        <f t="shared" si="109"/>
        <v>0</v>
      </c>
      <c r="Q524" s="127" t="s">
        <v>1305</v>
      </c>
      <c r="S524" s="127">
        <f t="shared" si="110"/>
        <v>0</v>
      </c>
      <c r="T524" s="127" t="s">
        <v>1305</v>
      </c>
      <c r="V524" s="127">
        <f t="shared" si="111"/>
        <v>0</v>
      </c>
    </row>
    <row r="525" spans="1:22" ht="15.75">
      <c r="A525" s="153" t="s">
        <v>1351</v>
      </c>
      <c r="B525" s="125" t="s">
        <v>1057</v>
      </c>
      <c r="C525" s="130">
        <f t="shared" si="117"/>
        <v>4.666666666666667</v>
      </c>
      <c r="D525" s="180">
        <v>3</v>
      </c>
      <c r="E525" s="145" t="s">
        <v>1067</v>
      </c>
      <c r="F525" s="145">
        <v>2</v>
      </c>
      <c r="G525" s="145">
        <f t="shared" si="112"/>
        <v>7</v>
      </c>
      <c r="H525" s="145" t="s">
        <v>1305</v>
      </c>
      <c r="I525" s="145"/>
      <c r="J525" s="127">
        <f t="shared" si="113"/>
        <v>0</v>
      </c>
      <c r="K525" s="127" t="s">
        <v>1305</v>
      </c>
      <c r="M525" s="127">
        <f t="shared" si="108"/>
        <v>0</v>
      </c>
      <c r="N525" s="127" t="s">
        <v>1305</v>
      </c>
      <c r="P525" s="127">
        <f t="shared" si="109"/>
        <v>0</v>
      </c>
      <c r="Q525" s="127" t="s">
        <v>1305</v>
      </c>
      <c r="S525" s="127">
        <f t="shared" si="110"/>
        <v>0</v>
      </c>
      <c r="T525" s="127" t="s">
        <v>1305</v>
      </c>
      <c r="V525" s="127">
        <f t="shared" si="111"/>
        <v>0</v>
      </c>
    </row>
    <row r="526" spans="1:22" ht="15.75">
      <c r="A526" s="153" t="s">
        <v>1351</v>
      </c>
      <c r="B526" s="125" t="s">
        <v>1058</v>
      </c>
      <c r="C526" s="130">
        <f t="shared" si="117"/>
        <v>3.125</v>
      </c>
      <c r="D526" s="180">
        <v>1</v>
      </c>
      <c r="E526" s="145" t="s">
        <v>1059</v>
      </c>
      <c r="F526" s="145">
        <v>1</v>
      </c>
      <c r="G526" s="145">
        <f t="shared" si="112"/>
        <v>3.125</v>
      </c>
      <c r="H526" s="145" t="s">
        <v>1305</v>
      </c>
      <c r="I526" s="145"/>
      <c r="J526" s="127">
        <f t="shared" si="113"/>
        <v>0</v>
      </c>
      <c r="K526" s="127" t="s">
        <v>1305</v>
      </c>
      <c r="M526" s="127">
        <f t="shared" si="108"/>
        <v>0</v>
      </c>
      <c r="N526" s="127" t="s">
        <v>1305</v>
      </c>
      <c r="P526" s="127">
        <f t="shared" si="109"/>
        <v>0</v>
      </c>
      <c r="Q526" s="127" t="s">
        <v>1305</v>
      </c>
      <c r="S526" s="127">
        <f t="shared" si="110"/>
        <v>0</v>
      </c>
      <c r="T526" s="127" t="s">
        <v>1305</v>
      </c>
      <c r="V526" s="127">
        <f t="shared" si="111"/>
        <v>0</v>
      </c>
    </row>
    <row r="527" spans="1:22" ht="15.75">
      <c r="A527" s="153" t="s">
        <v>1351</v>
      </c>
      <c r="B527" s="125" t="s">
        <v>1059</v>
      </c>
      <c r="C527" s="130">
        <f t="shared" si="117"/>
        <v>3.125</v>
      </c>
      <c r="D527" s="180">
        <v>8</v>
      </c>
      <c r="E527" s="145" t="s">
        <v>1158</v>
      </c>
      <c r="F527" s="145">
        <v>4</v>
      </c>
      <c r="G527" s="145">
        <f t="shared" si="112"/>
        <v>5</v>
      </c>
      <c r="H527" s="145" t="s">
        <v>844</v>
      </c>
      <c r="I527" s="145">
        <v>4</v>
      </c>
      <c r="J527" s="127">
        <f t="shared" si="113"/>
        <v>1</v>
      </c>
      <c r="K527" s="127" t="s">
        <v>1060</v>
      </c>
      <c r="L527" s="127">
        <v>1</v>
      </c>
      <c r="M527" s="127">
        <f t="shared" si="108"/>
        <v>1</v>
      </c>
      <c r="N527" s="127" t="s">
        <v>1305</v>
      </c>
      <c r="P527" s="127">
        <f t="shared" si="109"/>
        <v>0</v>
      </c>
      <c r="Q527" s="127" t="s">
        <v>1305</v>
      </c>
      <c r="S527" s="127">
        <f t="shared" si="110"/>
        <v>0</v>
      </c>
      <c r="T527" s="127" t="s">
        <v>1305</v>
      </c>
      <c r="V527" s="127">
        <f t="shared" si="111"/>
        <v>0</v>
      </c>
    </row>
    <row r="528" spans="1:22" s="13" customFormat="1" ht="15.75">
      <c r="A528" s="153" t="s">
        <v>1351</v>
      </c>
      <c r="B528" s="144" t="s">
        <v>1060</v>
      </c>
      <c r="C528" s="130">
        <f t="shared" si="117"/>
        <v>1</v>
      </c>
      <c r="D528" s="180">
        <v>1</v>
      </c>
      <c r="E528" s="13" t="s">
        <v>1066</v>
      </c>
      <c r="F528" s="13">
        <v>1</v>
      </c>
      <c r="G528" s="13">
        <f t="shared" ref="G528:G533" si="118">VLOOKUP(E528,IDPOINTS,2,FALSE)</f>
        <v>1</v>
      </c>
      <c r="H528" s="13" t="s">
        <v>1052</v>
      </c>
      <c r="J528" s="13">
        <f t="shared" si="113"/>
        <v>1</v>
      </c>
      <c r="K528" s="13" t="s">
        <v>1305</v>
      </c>
      <c r="M528" s="13">
        <f t="shared" si="108"/>
        <v>0</v>
      </c>
      <c r="N528" s="13" t="s">
        <v>1305</v>
      </c>
      <c r="P528" s="13">
        <f t="shared" si="109"/>
        <v>0</v>
      </c>
      <c r="Q528" s="13" t="s">
        <v>1305</v>
      </c>
      <c r="S528" s="13">
        <f t="shared" si="110"/>
        <v>0</v>
      </c>
      <c r="T528" s="13" t="s">
        <v>1305</v>
      </c>
      <c r="V528" s="13">
        <f t="shared" si="111"/>
        <v>0</v>
      </c>
    </row>
    <row r="529" spans="1:22" ht="15.75">
      <c r="A529" s="153" t="s">
        <v>1351</v>
      </c>
      <c r="B529" s="125" t="s">
        <v>1061</v>
      </c>
      <c r="C529" s="130">
        <f t="shared" si="117"/>
        <v>34.125</v>
      </c>
      <c r="D529" s="180">
        <v>1</v>
      </c>
      <c r="E529" s="145" t="s">
        <v>1065</v>
      </c>
      <c r="F529" s="145">
        <v>1</v>
      </c>
      <c r="G529" s="145">
        <f t="shared" si="118"/>
        <v>31.125</v>
      </c>
      <c r="H529" s="145" t="s">
        <v>672</v>
      </c>
      <c r="I529" s="145">
        <v>1</v>
      </c>
      <c r="J529" s="127">
        <f t="shared" si="113"/>
        <v>3</v>
      </c>
      <c r="K529" s="127" t="s">
        <v>1305</v>
      </c>
      <c r="M529" s="127">
        <f t="shared" si="108"/>
        <v>0</v>
      </c>
      <c r="N529" s="127" t="s">
        <v>1305</v>
      </c>
      <c r="P529" s="127">
        <f t="shared" si="109"/>
        <v>0</v>
      </c>
      <c r="Q529" s="127" t="s">
        <v>1305</v>
      </c>
      <c r="S529" s="127">
        <f t="shared" si="110"/>
        <v>0</v>
      </c>
      <c r="T529" s="127" t="s">
        <v>1305</v>
      </c>
      <c r="V529" s="127">
        <f t="shared" si="111"/>
        <v>0</v>
      </c>
    </row>
    <row r="530" spans="1:22" ht="15.75">
      <c r="A530" s="153" t="s">
        <v>1351</v>
      </c>
      <c r="B530" s="125" t="s">
        <v>1062</v>
      </c>
      <c r="C530" s="130">
        <f t="shared" si="117"/>
        <v>12</v>
      </c>
      <c r="D530" s="180">
        <v>1</v>
      </c>
      <c r="E530" s="145" t="s">
        <v>1060</v>
      </c>
      <c r="F530" s="145">
        <v>1</v>
      </c>
      <c r="G530" s="145">
        <f t="shared" si="118"/>
        <v>1</v>
      </c>
      <c r="H530" s="145" t="s">
        <v>1170</v>
      </c>
      <c r="I530" s="145">
        <v>1</v>
      </c>
      <c r="J530" s="127">
        <f t="shared" si="113"/>
        <v>11</v>
      </c>
      <c r="K530" s="127" t="s">
        <v>1305</v>
      </c>
      <c r="M530" s="127">
        <f t="shared" si="108"/>
        <v>0</v>
      </c>
      <c r="N530" s="127" t="s">
        <v>1305</v>
      </c>
      <c r="P530" s="127">
        <f t="shared" si="109"/>
        <v>0</v>
      </c>
      <c r="Q530" s="127" t="s">
        <v>1305</v>
      </c>
      <c r="S530" s="127">
        <f t="shared" si="110"/>
        <v>0</v>
      </c>
      <c r="T530" s="127" t="s">
        <v>1305</v>
      </c>
      <c r="V530" s="127">
        <f t="shared" si="111"/>
        <v>0</v>
      </c>
    </row>
    <row r="531" spans="1:22" ht="15.75">
      <c r="A531" s="153" t="s">
        <v>1351</v>
      </c>
      <c r="B531" s="125" t="s">
        <v>1063</v>
      </c>
      <c r="C531" s="130">
        <f t="shared" si="117"/>
        <v>8.125</v>
      </c>
      <c r="D531" s="180">
        <v>8</v>
      </c>
      <c r="E531" s="145" t="s">
        <v>814</v>
      </c>
      <c r="F531" s="145">
        <v>8</v>
      </c>
      <c r="G531" s="145">
        <f t="shared" si="118"/>
        <v>8</v>
      </c>
      <c r="H531" s="145" t="s">
        <v>1060</v>
      </c>
      <c r="I531" s="145">
        <v>1</v>
      </c>
      <c r="J531" s="127">
        <f t="shared" si="113"/>
        <v>1</v>
      </c>
      <c r="K531" s="127" t="s">
        <v>1305</v>
      </c>
      <c r="M531" s="127">
        <f t="shared" si="108"/>
        <v>0</v>
      </c>
      <c r="N531" s="127" t="s">
        <v>1305</v>
      </c>
      <c r="P531" s="127">
        <f t="shared" si="109"/>
        <v>0</v>
      </c>
      <c r="Q531" s="127" t="s">
        <v>1305</v>
      </c>
      <c r="S531" s="127">
        <f t="shared" si="110"/>
        <v>0</v>
      </c>
      <c r="T531" s="127" t="s">
        <v>1305</v>
      </c>
      <c r="V531" s="127">
        <f t="shared" si="111"/>
        <v>0</v>
      </c>
    </row>
    <row r="532" spans="1:22" ht="15.75">
      <c r="A532" s="153" t="s">
        <v>1351</v>
      </c>
      <c r="B532" s="125" t="s">
        <v>1064</v>
      </c>
      <c r="C532" s="130">
        <f t="shared" si="117"/>
        <v>3.046875</v>
      </c>
      <c r="D532" s="180">
        <v>16</v>
      </c>
      <c r="E532" s="145" t="s">
        <v>1063</v>
      </c>
      <c r="F532" s="145">
        <v>6</v>
      </c>
      <c r="G532" s="145">
        <f t="shared" si="118"/>
        <v>8.125</v>
      </c>
      <c r="H532" s="145" t="s">
        <v>1305</v>
      </c>
      <c r="I532" s="145"/>
      <c r="J532" s="127">
        <f t="shared" si="113"/>
        <v>0</v>
      </c>
      <c r="K532" s="127" t="s">
        <v>1305</v>
      </c>
      <c r="M532" s="127">
        <f t="shared" si="108"/>
        <v>0</v>
      </c>
      <c r="N532" s="127" t="s">
        <v>1305</v>
      </c>
      <c r="P532" s="127">
        <f t="shared" si="109"/>
        <v>0</v>
      </c>
      <c r="Q532" s="127" t="s">
        <v>1305</v>
      </c>
      <c r="S532" s="127">
        <f t="shared" si="110"/>
        <v>0</v>
      </c>
      <c r="T532" s="127" t="s">
        <v>1305</v>
      </c>
      <c r="V532" s="127">
        <f t="shared" si="111"/>
        <v>0</v>
      </c>
    </row>
    <row r="533" spans="1:22" ht="15.75">
      <c r="A533" s="153" t="s">
        <v>1351</v>
      </c>
      <c r="B533" s="125" t="s">
        <v>1065</v>
      </c>
      <c r="C533" s="130">
        <f t="shared" si="117"/>
        <v>31.125</v>
      </c>
      <c r="D533" s="180">
        <v>8</v>
      </c>
      <c r="E533" s="145" t="s">
        <v>1245</v>
      </c>
      <c r="F533" s="145">
        <v>8</v>
      </c>
      <c r="G533" s="145">
        <f t="shared" si="118"/>
        <v>31</v>
      </c>
      <c r="H533" s="145" t="s">
        <v>1060</v>
      </c>
      <c r="I533" s="145">
        <v>1</v>
      </c>
      <c r="J533" s="127">
        <f t="shared" si="113"/>
        <v>1</v>
      </c>
      <c r="K533" s="127" t="s">
        <v>1305</v>
      </c>
      <c r="M533" s="127">
        <f t="shared" si="108"/>
        <v>0</v>
      </c>
      <c r="N533" s="127" t="s">
        <v>1305</v>
      </c>
      <c r="P533" s="127">
        <f t="shared" si="109"/>
        <v>0</v>
      </c>
      <c r="Q533" s="127" t="s">
        <v>1305</v>
      </c>
      <c r="S533" s="127">
        <f t="shared" si="110"/>
        <v>0</v>
      </c>
      <c r="T533" s="127" t="s">
        <v>1305</v>
      </c>
      <c r="V533" s="127">
        <f t="shared" si="111"/>
        <v>0</v>
      </c>
    </row>
    <row r="534" spans="1:22" s="137" customFormat="1" ht="15.75">
      <c r="A534" s="137" t="s">
        <v>560</v>
      </c>
      <c r="B534" s="135" t="s">
        <v>1066</v>
      </c>
      <c r="C534" s="136">
        <v>1</v>
      </c>
      <c r="D534" s="180"/>
      <c r="E534" s="137" t="s">
        <v>1305</v>
      </c>
      <c r="G534" s="137">
        <f t="shared" si="112"/>
        <v>0</v>
      </c>
      <c r="H534" s="137" t="s">
        <v>1305</v>
      </c>
      <c r="J534" s="137">
        <f t="shared" si="113"/>
        <v>0</v>
      </c>
      <c r="K534" s="137" t="s">
        <v>1305</v>
      </c>
      <c r="M534" s="137">
        <f t="shared" si="108"/>
        <v>0</v>
      </c>
      <c r="N534" s="137" t="s">
        <v>1305</v>
      </c>
      <c r="P534" s="137">
        <f t="shared" si="109"/>
        <v>0</v>
      </c>
      <c r="Q534" s="137" t="s">
        <v>1305</v>
      </c>
      <c r="S534" s="137">
        <f t="shared" si="110"/>
        <v>0</v>
      </c>
      <c r="T534" s="137" t="s">
        <v>1305</v>
      </c>
      <c r="V534" s="137">
        <f t="shared" si="111"/>
        <v>0</v>
      </c>
    </row>
    <row r="535" spans="1:22" ht="15.75">
      <c r="A535" s="153" t="s">
        <v>1351</v>
      </c>
      <c r="B535" s="125" t="s">
        <v>1067</v>
      </c>
      <c r="C535" s="130">
        <f t="shared" ref="C535:C536" si="119">((G535*F535)+(I535*J535)+(L535*M535)+(O535*P535)+(R535*S535)+(U535*V535))/D535</f>
        <v>7</v>
      </c>
      <c r="D535" s="180">
        <v>1</v>
      </c>
      <c r="E535" s="145" t="s">
        <v>1274</v>
      </c>
      <c r="F535" s="145">
        <v>1</v>
      </c>
      <c r="G535" s="145">
        <f t="shared" si="112"/>
        <v>6</v>
      </c>
      <c r="H535" s="145" t="s">
        <v>1060</v>
      </c>
      <c r="I535" s="145">
        <v>1</v>
      </c>
      <c r="J535" s="127">
        <f t="shared" si="113"/>
        <v>1</v>
      </c>
      <c r="K535" s="127" t="s">
        <v>1305</v>
      </c>
      <c r="M535" s="127">
        <f t="shared" si="108"/>
        <v>0</v>
      </c>
      <c r="N535" s="127" t="s">
        <v>1305</v>
      </c>
      <c r="P535" s="127">
        <f t="shared" si="109"/>
        <v>0</v>
      </c>
      <c r="Q535" s="127" t="s">
        <v>1305</v>
      </c>
      <c r="S535" s="127">
        <f t="shared" si="110"/>
        <v>0</v>
      </c>
      <c r="T535" s="127" t="s">
        <v>1305</v>
      </c>
      <c r="V535" s="127">
        <f t="shared" si="111"/>
        <v>0</v>
      </c>
    </row>
    <row r="536" spans="1:22" ht="15.75">
      <c r="A536" s="153" t="s">
        <v>1353</v>
      </c>
      <c r="B536" s="125" t="s">
        <v>1068</v>
      </c>
      <c r="C536" s="130">
        <f t="shared" si="119"/>
        <v>19.75</v>
      </c>
      <c r="D536" s="180">
        <v>1</v>
      </c>
      <c r="E536" s="127" t="s">
        <v>1026</v>
      </c>
      <c r="F536">
        <v>3</v>
      </c>
      <c r="G536" s="127">
        <f t="shared" si="112"/>
        <v>0.25</v>
      </c>
      <c r="H536" s="127" t="s">
        <v>676</v>
      </c>
      <c r="I536" s="127">
        <v>4</v>
      </c>
      <c r="J536" s="127">
        <f t="shared" si="113"/>
        <v>1</v>
      </c>
      <c r="K536" s="127" t="s">
        <v>1147</v>
      </c>
      <c r="L536" s="127">
        <v>1</v>
      </c>
      <c r="M536" s="127">
        <f t="shared" si="108"/>
        <v>7</v>
      </c>
      <c r="N536" s="127" t="s">
        <v>896</v>
      </c>
      <c r="O536" s="127">
        <v>1</v>
      </c>
      <c r="P536" s="127">
        <f t="shared" si="109"/>
        <v>8</v>
      </c>
      <c r="Q536" s="127" t="s">
        <v>1305</v>
      </c>
      <c r="S536" s="127">
        <f t="shared" si="110"/>
        <v>0</v>
      </c>
      <c r="T536" s="127" t="s">
        <v>1305</v>
      </c>
      <c r="V536" s="127">
        <f t="shared" si="111"/>
        <v>0</v>
      </c>
    </row>
    <row r="537" spans="1:22" s="137" customFormat="1" ht="15.75">
      <c r="A537" s="137" t="s">
        <v>1339</v>
      </c>
      <c r="B537" s="135" t="s">
        <v>1069</v>
      </c>
      <c r="C537" s="136">
        <f>'ECONOMIA &amp; PROFESIONES'!C33</f>
        <v>3</v>
      </c>
      <c r="D537" s="180"/>
      <c r="E537" s="137" t="s">
        <v>1305</v>
      </c>
      <c r="G537" s="137">
        <f t="shared" si="112"/>
        <v>0</v>
      </c>
      <c r="H537" s="137" t="s">
        <v>1305</v>
      </c>
      <c r="J537" s="137">
        <f t="shared" si="113"/>
        <v>0</v>
      </c>
      <c r="K537" s="137" t="s">
        <v>1305</v>
      </c>
      <c r="M537" s="137">
        <f t="shared" si="108"/>
        <v>0</v>
      </c>
      <c r="N537" s="137" t="s">
        <v>1305</v>
      </c>
      <c r="P537" s="137">
        <f t="shared" si="109"/>
        <v>0</v>
      </c>
      <c r="Q537" s="137" t="s">
        <v>1305</v>
      </c>
      <c r="S537" s="137">
        <f t="shared" si="110"/>
        <v>0</v>
      </c>
      <c r="T537" s="137" t="s">
        <v>1305</v>
      </c>
      <c r="V537" s="137">
        <f t="shared" si="111"/>
        <v>0</v>
      </c>
    </row>
    <row r="538" spans="1:22" s="137" customFormat="1" ht="15.75">
      <c r="A538" s="137" t="s">
        <v>560</v>
      </c>
      <c r="B538" s="135" t="s">
        <v>1070</v>
      </c>
      <c r="C538" s="136">
        <f>'ECONOMIA &amp; PROFESIONES'!G32</f>
        <v>1</v>
      </c>
      <c r="D538" s="180"/>
      <c r="E538" s="137" t="s">
        <v>1305</v>
      </c>
      <c r="G538" s="137">
        <f t="shared" si="112"/>
        <v>0</v>
      </c>
      <c r="H538" s="137" t="s">
        <v>1305</v>
      </c>
      <c r="J538" s="137">
        <f t="shared" si="113"/>
        <v>0</v>
      </c>
      <c r="K538" s="137" t="s">
        <v>1305</v>
      </c>
      <c r="M538" s="137">
        <f t="shared" si="108"/>
        <v>0</v>
      </c>
      <c r="N538" s="137" t="s">
        <v>1305</v>
      </c>
      <c r="P538" s="137">
        <f t="shared" si="109"/>
        <v>0</v>
      </c>
      <c r="Q538" s="137" t="s">
        <v>1305</v>
      </c>
      <c r="S538" s="137">
        <f t="shared" si="110"/>
        <v>0</v>
      </c>
      <c r="T538" s="137" t="s">
        <v>1305</v>
      </c>
      <c r="V538" s="137">
        <f t="shared" si="111"/>
        <v>0</v>
      </c>
    </row>
    <row r="539" spans="1:22" ht="15.75">
      <c r="A539" s="153" t="s">
        <v>1346</v>
      </c>
      <c r="B539" s="125" t="s">
        <v>1071</v>
      </c>
      <c r="C539" s="130">
        <f t="shared" ref="C539:C548" si="120">((G539*F539)+(I539*J539)+(L539*M539)+(O539*P539)+(R539*S539)+(U539*V539))/D539</f>
        <v>2</v>
      </c>
      <c r="D539" s="180">
        <v>4</v>
      </c>
      <c r="E539" s="127" t="s">
        <v>551</v>
      </c>
      <c r="F539">
        <v>4</v>
      </c>
      <c r="G539" s="127">
        <f t="shared" si="112"/>
        <v>2</v>
      </c>
      <c r="H539" s="127" t="s">
        <v>1305</v>
      </c>
      <c r="J539" s="127">
        <f t="shared" si="113"/>
        <v>0</v>
      </c>
      <c r="K539" s="127" t="s">
        <v>1305</v>
      </c>
      <c r="M539" s="127">
        <f t="shared" si="108"/>
        <v>0</v>
      </c>
      <c r="N539" s="127" t="s">
        <v>1305</v>
      </c>
      <c r="P539" s="127">
        <f t="shared" si="109"/>
        <v>0</v>
      </c>
      <c r="Q539" s="127" t="s">
        <v>1305</v>
      </c>
      <c r="S539" s="127">
        <f t="shared" si="110"/>
        <v>0</v>
      </c>
      <c r="T539" s="127" t="s">
        <v>1305</v>
      </c>
      <c r="V539" s="127">
        <f t="shared" si="111"/>
        <v>0</v>
      </c>
    </row>
    <row r="540" spans="1:22" ht="15.75">
      <c r="A540" s="153" t="s">
        <v>1346</v>
      </c>
      <c r="B540" s="125" t="s">
        <v>1072</v>
      </c>
      <c r="C540" s="130">
        <f t="shared" si="120"/>
        <v>1</v>
      </c>
      <c r="D540" s="180">
        <v>6</v>
      </c>
      <c r="E540" s="127" t="s">
        <v>1071</v>
      </c>
      <c r="F540">
        <v>3</v>
      </c>
      <c r="G540" s="127">
        <f t="shared" si="112"/>
        <v>2</v>
      </c>
      <c r="H540" s="127" t="s">
        <v>1305</v>
      </c>
      <c r="J540" s="127">
        <f t="shared" si="113"/>
        <v>0</v>
      </c>
      <c r="K540" s="127" t="s">
        <v>1305</v>
      </c>
      <c r="M540" s="127">
        <f t="shared" si="108"/>
        <v>0</v>
      </c>
      <c r="N540" s="127" t="s">
        <v>1305</v>
      </c>
      <c r="P540" s="127">
        <f t="shared" si="109"/>
        <v>0</v>
      </c>
      <c r="Q540" s="127" t="s">
        <v>1305</v>
      </c>
      <c r="S540" s="127">
        <f t="shared" si="110"/>
        <v>0</v>
      </c>
      <c r="T540" s="127" t="s">
        <v>1305</v>
      </c>
      <c r="V540" s="127">
        <f t="shared" si="111"/>
        <v>0</v>
      </c>
    </row>
    <row r="541" spans="1:22" ht="15.75">
      <c r="A541" s="153" t="s">
        <v>1346</v>
      </c>
      <c r="B541" s="125" t="s">
        <v>1073</v>
      </c>
      <c r="C541" s="130">
        <f t="shared" si="120"/>
        <v>3</v>
      </c>
      <c r="D541" s="180">
        <v>4</v>
      </c>
      <c r="E541" s="150" t="s">
        <v>1071</v>
      </c>
      <c r="F541">
        <v>6</v>
      </c>
      <c r="G541" s="127">
        <f t="shared" si="112"/>
        <v>2</v>
      </c>
      <c r="H541" s="127" t="s">
        <v>1305</v>
      </c>
      <c r="J541" s="127">
        <f t="shared" si="113"/>
        <v>0</v>
      </c>
      <c r="K541" s="127" t="s">
        <v>1305</v>
      </c>
      <c r="M541" s="127">
        <f t="shared" si="108"/>
        <v>0</v>
      </c>
      <c r="N541" s="127" t="s">
        <v>1305</v>
      </c>
      <c r="P541" s="127">
        <f t="shared" si="109"/>
        <v>0</v>
      </c>
      <c r="Q541" s="127" t="s">
        <v>1305</v>
      </c>
      <c r="S541" s="127">
        <f t="shared" si="110"/>
        <v>0</v>
      </c>
      <c r="T541" s="127" t="s">
        <v>1305</v>
      </c>
      <c r="V541" s="127">
        <f t="shared" si="111"/>
        <v>0</v>
      </c>
    </row>
    <row r="542" spans="1:22" ht="15.75">
      <c r="A542" s="153" t="s">
        <v>1346</v>
      </c>
      <c r="B542" s="125" t="s">
        <v>1074</v>
      </c>
      <c r="C542" s="130">
        <f t="shared" si="120"/>
        <v>1.8</v>
      </c>
      <c r="D542" s="180">
        <v>4</v>
      </c>
      <c r="E542" s="127" t="s">
        <v>763</v>
      </c>
      <c r="F542">
        <v>4</v>
      </c>
      <c r="G542" s="127">
        <f t="shared" si="112"/>
        <v>1.8</v>
      </c>
      <c r="H542" s="127" t="s">
        <v>1305</v>
      </c>
      <c r="J542" s="127">
        <f t="shared" si="113"/>
        <v>0</v>
      </c>
      <c r="K542" s="127" t="s">
        <v>1305</v>
      </c>
      <c r="M542" s="127">
        <f t="shared" si="108"/>
        <v>0</v>
      </c>
      <c r="N542" s="127" t="s">
        <v>1305</v>
      </c>
      <c r="P542" s="127">
        <f t="shared" si="109"/>
        <v>0</v>
      </c>
      <c r="Q542" s="127" t="s">
        <v>1305</v>
      </c>
      <c r="S542" s="127">
        <f t="shared" si="110"/>
        <v>0</v>
      </c>
      <c r="T542" s="127" t="s">
        <v>1305</v>
      </c>
      <c r="V542" s="127">
        <f t="shared" si="111"/>
        <v>0</v>
      </c>
    </row>
    <row r="543" spans="1:22" ht="15.75">
      <c r="A543" s="153" t="s">
        <v>1346</v>
      </c>
      <c r="B543" s="125" t="s">
        <v>1075</v>
      </c>
      <c r="C543" s="130">
        <f t="shared" si="120"/>
        <v>0.9</v>
      </c>
      <c r="D543" s="180">
        <v>6</v>
      </c>
      <c r="E543" s="127" t="s">
        <v>1074</v>
      </c>
      <c r="F543">
        <v>3</v>
      </c>
      <c r="G543" s="127">
        <f t="shared" si="112"/>
        <v>1.8</v>
      </c>
      <c r="H543" s="127" t="s">
        <v>1305</v>
      </c>
      <c r="J543" s="127">
        <f t="shared" si="113"/>
        <v>0</v>
      </c>
      <c r="K543" s="127" t="s">
        <v>1305</v>
      </c>
      <c r="M543" s="127">
        <f t="shared" si="108"/>
        <v>0</v>
      </c>
      <c r="N543" s="127" t="s">
        <v>1305</v>
      </c>
      <c r="P543" s="127">
        <f t="shared" si="109"/>
        <v>0</v>
      </c>
      <c r="Q543" s="127" t="s">
        <v>1305</v>
      </c>
      <c r="S543" s="127">
        <f t="shared" si="110"/>
        <v>0</v>
      </c>
      <c r="T543" s="127" t="s">
        <v>1305</v>
      </c>
      <c r="V543" s="127">
        <f t="shared" si="111"/>
        <v>0</v>
      </c>
    </row>
    <row r="544" spans="1:22" ht="15.75">
      <c r="A544" s="153" t="s">
        <v>1346</v>
      </c>
      <c r="B544" s="125" t="s">
        <v>1076</v>
      </c>
      <c r="C544" s="130">
        <f t="shared" si="120"/>
        <v>2.7</v>
      </c>
      <c r="D544" s="180">
        <v>4</v>
      </c>
      <c r="E544" s="150" t="s">
        <v>1074</v>
      </c>
      <c r="F544">
        <v>6</v>
      </c>
      <c r="G544" s="127">
        <f t="shared" si="112"/>
        <v>1.8</v>
      </c>
      <c r="H544" s="127" t="s">
        <v>1305</v>
      </c>
      <c r="J544" s="127">
        <f t="shared" si="113"/>
        <v>0</v>
      </c>
      <c r="K544" s="127" t="s">
        <v>1305</v>
      </c>
      <c r="M544" s="127">
        <f t="shared" si="108"/>
        <v>0</v>
      </c>
      <c r="N544" s="127" t="s">
        <v>1305</v>
      </c>
      <c r="P544" s="127">
        <f t="shared" si="109"/>
        <v>0</v>
      </c>
      <c r="Q544" s="127" t="s">
        <v>1305</v>
      </c>
      <c r="S544" s="127">
        <f t="shared" si="110"/>
        <v>0</v>
      </c>
      <c r="T544" s="127" t="s">
        <v>1305</v>
      </c>
      <c r="V544" s="127">
        <f t="shared" si="111"/>
        <v>0</v>
      </c>
    </row>
    <row r="545" spans="1:22" ht="15.75">
      <c r="A545" s="153" t="s">
        <v>1346</v>
      </c>
      <c r="B545" s="125" t="s">
        <v>1077</v>
      </c>
      <c r="C545" s="130">
        <f t="shared" si="120"/>
        <v>1.6</v>
      </c>
      <c r="D545" s="180">
        <v>4</v>
      </c>
      <c r="E545" s="127" t="s">
        <v>837</v>
      </c>
      <c r="F545">
        <v>4</v>
      </c>
      <c r="G545" s="127">
        <f t="shared" si="112"/>
        <v>1.6</v>
      </c>
      <c r="H545" s="127" t="s">
        <v>1305</v>
      </c>
      <c r="J545" s="127">
        <f t="shared" si="113"/>
        <v>0</v>
      </c>
      <c r="K545" s="127" t="s">
        <v>1305</v>
      </c>
      <c r="M545" s="127">
        <f t="shared" si="108"/>
        <v>0</v>
      </c>
      <c r="N545" s="127" t="s">
        <v>1305</v>
      </c>
      <c r="P545" s="127">
        <f t="shared" si="109"/>
        <v>0</v>
      </c>
      <c r="Q545" s="127" t="s">
        <v>1305</v>
      </c>
      <c r="S545" s="127">
        <f t="shared" si="110"/>
        <v>0</v>
      </c>
      <c r="T545" s="127" t="s">
        <v>1305</v>
      </c>
      <c r="V545" s="127">
        <f t="shared" si="111"/>
        <v>0</v>
      </c>
    </row>
    <row r="546" spans="1:22" ht="15.75">
      <c r="A546" s="153" t="s">
        <v>1346</v>
      </c>
      <c r="B546" s="125" t="s">
        <v>1078</v>
      </c>
      <c r="C546" s="130">
        <f t="shared" si="120"/>
        <v>0.80000000000000016</v>
      </c>
      <c r="D546" s="180">
        <v>6</v>
      </c>
      <c r="E546" s="127" t="s">
        <v>1077</v>
      </c>
      <c r="F546">
        <v>3</v>
      </c>
      <c r="G546" s="127">
        <f t="shared" si="112"/>
        <v>1.6</v>
      </c>
      <c r="H546" s="127" t="s">
        <v>1305</v>
      </c>
      <c r="J546" s="127">
        <f t="shared" si="113"/>
        <v>0</v>
      </c>
      <c r="K546" s="127" t="s">
        <v>1305</v>
      </c>
      <c r="M546" s="127">
        <f t="shared" si="108"/>
        <v>0</v>
      </c>
      <c r="N546" s="127" t="s">
        <v>1305</v>
      </c>
      <c r="P546" s="127">
        <f t="shared" si="109"/>
        <v>0</v>
      </c>
      <c r="Q546" s="127" t="s">
        <v>1305</v>
      </c>
      <c r="S546" s="127">
        <f t="shared" si="110"/>
        <v>0</v>
      </c>
      <c r="T546" s="127" t="s">
        <v>1305</v>
      </c>
      <c r="V546" s="127">
        <f t="shared" si="111"/>
        <v>0</v>
      </c>
    </row>
    <row r="547" spans="1:22" ht="15.75">
      <c r="A547" s="153" t="s">
        <v>1346</v>
      </c>
      <c r="B547" s="125" t="s">
        <v>1079</v>
      </c>
      <c r="C547" s="130">
        <f t="shared" si="120"/>
        <v>2.4000000000000004</v>
      </c>
      <c r="D547" s="180">
        <v>4</v>
      </c>
      <c r="E547" s="150" t="s">
        <v>1077</v>
      </c>
      <c r="F547">
        <v>6</v>
      </c>
      <c r="G547" s="127">
        <f t="shared" si="112"/>
        <v>1.6</v>
      </c>
      <c r="H547" s="127" t="s">
        <v>1305</v>
      </c>
      <c r="J547" s="127">
        <f t="shared" si="113"/>
        <v>0</v>
      </c>
      <c r="K547" s="127" t="s">
        <v>1305</v>
      </c>
      <c r="M547" s="127">
        <f t="shared" si="108"/>
        <v>0</v>
      </c>
      <c r="N547" s="127" t="s">
        <v>1305</v>
      </c>
      <c r="P547" s="127">
        <f t="shared" si="109"/>
        <v>0</v>
      </c>
      <c r="Q547" s="127" t="s">
        <v>1305</v>
      </c>
      <c r="S547" s="127">
        <f t="shared" si="110"/>
        <v>0</v>
      </c>
      <c r="T547" s="127" t="s">
        <v>1305</v>
      </c>
      <c r="V547" s="127">
        <f t="shared" si="111"/>
        <v>0</v>
      </c>
    </row>
    <row r="548" spans="1:22" ht="15.75">
      <c r="A548" s="153" t="s">
        <v>1352</v>
      </c>
      <c r="B548" s="125" t="s">
        <v>1080</v>
      </c>
      <c r="C548" s="130">
        <f t="shared" si="120"/>
        <v>14</v>
      </c>
      <c r="D548" s="180">
        <v>1</v>
      </c>
      <c r="E548" s="127" t="s">
        <v>667</v>
      </c>
      <c r="F548">
        <v>1</v>
      </c>
      <c r="G548" s="127">
        <f t="shared" si="112"/>
        <v>11</v>
      </c>
      <c r="H548" s="127" t="s">
        <v>672</v>
      </c>
      <c r="I548" s="127">
        <v>1</v>
      </c>
      <c r="J548" s="127">
        <f t="shared" si="113"/>
        <v>3</v>
      </c>
      <c r="K548" s="127" t="s">
        <v>1305</v>
      </c>
      <c r="M548" s="127">
        <f t="shared" si="108"/>
        <v>0</v>
      </c>
      <c r="N548" s="127" t="s">
        <v>1305</v>
      </c>
      <c r="P548" s="127">
        <f t="shared" si="109"/>
        <v>0</v>
      </c>
      <c r="Q548" s="127" t="s">
        <v>1305</v>
      </c>
      <c r="S548" s="127">
        <f t="shared" si="110"/>
        <v>0</v>
      </c>
      <c r="T548" s="127" t="s">
        <v>1305</v>
      </c>
      <c r="V548" s="127">
        <f t="shared" si="111"/>
        <v>0</v>
      </c>
    </row>
    <row r="549" spans="1:22" s="137" customFormat="1" ht="15.75">
      <c r="A549" s="137" t="s">
        <v>560</v>
      </c>
      <c r="B549" s="135" t="s">
        <v>1081</v>
      </c>
      <c r="C549" s="136">
        <v>1</v>
      </c>
      <c r="D549" s="180"/>
      <c r="E549" s="137" t="s">
        <v>1305</v>
      </c>
      <c r="G549" s="137">
        <f t="shared" si="112"/>
        <v>0</v>
      </c>
      <c r="H549" s="137" t="s">
        <v>1305</v>
      </c>
      <c r="J549" s="137">
        <f t="shared" si="113"/>
        <v>0</v>
      </c>
      <c r="K549" s="137" t="s">
        <v>1305</v>
      </c>
      <c r="M549" s="137">
        <f t="shared" si="108"/>
        <v>0</v>
      </c>
      <c r="N549" s="137" t="s">
        <v>1305</v>
      </c>
      <c r="P549" s="137">
        <f t="shared" si="109"/>
        <v>0</v>
      </c>
      <c r="Q549" s="137" t="s">
        <v>1305</v>
      </c>
      <c r="S549" s="137">
        <f t="shared" si="110"/>
        <v>0</v>
      </c>
      <c r="T549" s="137" t="s">
        <v>1305</v>
      </c>
      <c r="V549" s="137">
        <f t="shared" si="111"/>
        <v>0</v>
      </c>
    </row>
    <row r="550" spans="1:22" s="137" customFormat="1" ht="15.75">
      <c r="A550" s="137" t="s">
        <v>1340</v>
      </c>
      <c r="B550" s="135" t="s">
        <v>1082</v>
      </c>
      <c r="C550" s="136">
        <f>'ECONOMIA &amp; PROFESIONES'!I35</f>
        <v>7</v>
      </c>
      <c r="D550" s="180"/>
      <c r="E550" s="137" t="s">
        <v>1305</v>
      </c>
      <c r="G550" s="137">
        <f t="shared" si="112"/>
        <v>0</v>
      </c>
      <c r="H550" s="137" t="s">
        <v>1305</v>
      </c>
      <c r="J550" s="137">
        <f t="shared" si="113"/>
        <v>0</v>
      </c>
      <c r="K550" s="137" t="s">
        <v>1305</v>
      </c>
      <c r="M550" s="137">
        <f t="shared" si="108"/>
        <v>0</v>
      </c>
      <c r="N550" s="137" t="s">
        <v>1305</v>
      </c>
      <c r="P550" s="137">
        <f t="shared" si="109"/>
        <v>0</v>
      </c>
      <c r="Q550" s="137" t="s">
        <v>1305</v>
      </c>
      <c r="S550" s="137">
        <f t="shared" si="110"/>
        <v>0</v>
      </c>
      <c r="T550" s="137" t="s">
        <v>1305</v>
      </c>
      <c r="V550" s="137">
        <f t="shared" si="111"/>
        <v>0</v>
      </c>
    </row>
    <row r="551" spans="1:22" s="137" customFormat="1" ht="15.75">
      <c r="A551" s="137" t="s">
        <v>560</v>
      </c>
      <c r="B551" s="135" t="s">
        <v>1083</v>
      </c>
      <c r="C551" s="136">
        <f>'ECONOMIA &amp; PROFESIONES'!G32</f>
        <v>1</v>
      </c>
      <c r="D551" s="180"/>
      <c r="E551" s="137" t="s">
        <v>1305</v>
      </c>
      <c r="G551" s="137">
        <f t="shared" si="112"/>
        <v>0</v>
      </c>
      <c r="H551" s="137" t="s">
        <v>1305</v>
      </c>
      <c r="J551" s="137">
        <f t="shared" si="113"/>
        <v>0</v>
      </c>
      <c r="K551" s="137" t="s">
        <v>1305</v>
      </c>
      <c r="M551" s="137">
        <f t="shared" si="108"/>
        <v>0</v>
      </c>
      <c r="N551" s="137" t="s">
        <v>1305</v>
      </c>
      <c r="P551" s="137">
        <f t="shared" si="109"/>
        <v>0</v>
      </c>
      <c r="Q551" s="137" t="s">
        <v>1305</v>
      </c>
      <c r="S551" s="137">
        <f t="shared" si="110"/>
        <v>0</v>
      </c>
      <c r="T551" s="137" t="s">
        <v>1305</v>
      </c>
      <c r="V551" s="137">
        <f t="shared" si="111"/>
        <v>0</v>
      </c>
    </row>
    <row r="552" spans="1:22" ht="15.75">
      <c r="A552" s="153" t="s">
        <v>595</v>
      </c>
      <c r="B552" s="125" t="s">
        <v>1084</v>
      </c>
      <c r="C552" s="130">
        <f t="shared" ref="C552:C556" si="121">((G552*F552)+(I552*J552)+(L552*M552)+(O552*P552)+(R552*S552)+(U552*V552))/D552</f>
        <v>11.1875</v>
      </c>
      <c r="D552" s="180">
        <v>6</v>
      </c>
      <c r="E552" s="127" t="s">
        <v>822</v>
      </c>
      <c r="F552">
        <v>6</v>
      </c>
      <c r="G552" s="127">
        <f t="shared" si="112"/>
        <v>10</v>
      </c>
      <c r="H552" s="127" t="s">
        <v>1208</v>
      </c>
      <c r="I552" s="127">
        <v>1</v>
      </c>
      <c r="J552" s="127">
        <f t="shared" si="113"/>
        <v>0.125</v>
      </c>
      <c r="K552" s="127" t="s">
        <v>1147</v>
      </c>
      <c r="L552" s="127">
        <v>1</v>
      </c>
      <c r="M552" s="127">
        <f t="shared" si="108"/>
        <v>7</v>
      </c>
      <c r="N552" s="127" t="s">
        <v>1305</v>
      </c>
      <c r="P552" s="127">
        <f t="shared" si="109"/>
        <v>0</v>
      </c>
      <c r="Q552" s="127" t="s">
        <v>1305</v>
      </c>
      <c r="S552" s="127">
        <f t="shared" si="110"/>
        <v>0</v>
      </c>
      <c r="T552" s="127" t="s">
        <v>1305</v>
      </c>
      <c r="V552" s="127">
        <f t="shared" si="111"/>
        <v>0</v>
      </c>
    </row>
    <row r="553" spans="1:22" ht="15.75">
      <c r="A553" s="153" t="s">
        <v>1346</v>
      </c>
      <c r="B553" s="125" t="s">
        <v>1085</v>
      </c>
      <c r="C553" s="130">
        <f t="shared" si="121"/>
        <v>18</v>
      </c>
      <c r="D553" s="180">
        <v>1</v>
      </c>
      <c r="E553" s="127" t="s">
        <v>1090</v>
      </c>
      <c r="F553">
        <v>4</v>
      </c>
      <c r="G553" s="127">
        <f t="shared" si="112"/>
        <v>4.5</v>
      </c>
      <c r="H553" s="127" t="s">
        <v>1305</v>
      </c>
      <c r="J553" s="127">
        <f t="shared" si="113"/>
        <v>0</v>
      </c>
      <c r="K553" s="127" t="s">
        <v>1305</v>
      </c>
      <c r="M553" s="127">
        <f t="shared" si="108"/>
        <v>0</v>
      </c>
      <c r="N553" s="127" t="s">
        <v>1305</v>
      </c>
      <c r="P553" s="127">
        <f t="shared" si="109"/>
        <v>0</v>
      </c>
      <c r="Q553" s="127" t="s">
        <v>1305</v>
      </c>
      <c r="S553" s="127">
        <f t="shared" si="110"/>
        <v>0</v>
      </c>
      <c r="T553" s="127" t="s">
        <v>1305</v>
      </c>
      <c r="V553" s="127">
        <f t="shared" si="111"/>
        <v>0</v>
      </c>
    </row>
    <row r="554" spans="1:22" ht="15.75">
      <c r="A554" s="153" t="s">
        <v>1346</v>
      </c>
      <c r="B554" s="125" t="s">
        <v>1086</v>
      </c>
      <c r="C554" s="130">
        <f t="shared" si="121"/>
        <v>3.375</v>
      </c>
      <c r="D554" s="180">
        <v>6</v>
      </c>
      <c r="E554" s="127" t="s">
        <v>1088</v>
      </c>
      <c r="F554">
        <v>3</v>
      </c>
      <c r="G554" s="127">
        <f t="shared" si="112"/>
        <v>6.75</v>
      </c>
      <c r="H554" s="127" t="s">
        <v>1305</v>
      </c>
      <c r="J554" s="127">
        <f t="shared" si="113"/>
        <v>0</v>
      </c>
      <c r="K554" s="127" t="s">
        <v>1305</v>
      </c>
      <c r="M554" s="127">
        <f t="shared" si="108"/>
        <v>0</v>
      </c>
      <c r="N554" s="127" t="s">
        <v>1305</v>
      </c>
      <c r="P554" s="127">
        <f t="shared" si="109"/>
        <v>0</v>
      </c>
      <c r="Q554" s="127" t="s">
        <v>1305</v>
      </c>
      <c r="S554" s="127">
        <f t="shared" si="110"/>
        <v>0</v>
      </c>
      <c r="T554" s="127" t="s">
        <v>1305</v>
      </c>
      <c r="V554" s="127">
        <f t="shared" si="111"/>
        <v>0</v>
      </c>
    </row>
    <row r="555" spans="1:22" ht="15.75">
      <c r="A555" s="153" t="s">
        <v>1346</v>
      </c>
      <c r="B555" s="125" t="s">
        <v>1087</v>
      </c>
      <c r="C555" s="130">
        <f t="shared" si="121"/>
        <v>10.125</v>
      </c>
      <c r="D555" s="180">
        <v>4</v>
      </c>
      <c r="E555" s="127" t="s">
        <v>1088</v>
      </c>
      <c r="F555">
        <v>6</v>
      </c>
      <c r="G555" s="127">
        <f t="shared" si="112"/>
        <v>6.75</v>
      </c>
      <c r="H555" s="127" t="s">
        <v>1305</v>
      </c>
      <c r="J555" s="127">
        <f t="shared" si="113"/>
        <v>0</v>
      </c>
      <c r="K555" s="127" t="s">
        <v>1305</v>
      </c>
      <c r="M555" s="127">
        <f t="shared" si="108"/>
        <v>0</v>
      </c>
      <c r="N555" s="127" t="s">
        <v>1305</v>
      </c>
      <c r="P555" s="127">
        <f t="shared" si="109"/>
        <v>0</v>
      </c>
      <c r="Q555" s="127" t="s">
        <v>1305</v>
      </c>
      <c r="S555" s="127">
        <f t="shared" si="110"/>
        <v>0</v>
      </c>
      <c r="T555" s="127" t="s">
        <v>1305</v>
      </c>
      <c r="V555" s="127">
        <f t="shared" si="111"/>
        <v>0</v>
      </c>
    </row>
    <row r="556" spans="1:22" ht="15.75">
      <c r="A556" s="153" t="s">
        <v>1346</v>
      </c>
      <c r="B556" s="125" t="s">
        <v>1088</v>
      </c>
      <c r="C556" s="130">
        <f t="shared" si="121"/>
        <v>6.75</v>
      </c>
      <c r="D556" s="180">
        <v>6</v>
      </c>
      <c r="E556" s="127" t="s">
        <v>1090</v>
      </c>
      <c r="F556">
        <v>9</v>
      </c>
      <c r="G556" s="127">
        <f t="shared" si="112"/>
        <v>4.5</v>
      </c>
      <c r="H556" s="127" t="s">
        <v>1305</v>
      </c>
      <c r="J556" s="127">
        <f t="shared" si="113"/>
        <v>0</v>
      </c>
      <c r="K556" s="127" t="s">
        <v>1305</v>
      </c>
      <c r="M556" s="127">
        <f t="shared" si="108"/>
        <v>0</v>
      </c>
      <c r="N556" s="127" t="s">
        <v>1305</v>
      </c>
      <c r="P556" s="127">
        <f t="shared" si="109"/>
        <v>0</v>
      </c>
      <c r="Q556" s="127" t="s">
        <v>1305</v>
      </c>
      <c r="S556" s="127">
        <f t="shared" si="110"/>
        <v>0</v>
      </c>
      <c r="T556" s="127" t="s">
        <v>1305</v>
      </c>
      <c r="V556" s="127">
        <f t="shared" si="111"/>
        <v>0</v>
      </c>
    </row>
    <row r="557" spans="1:22" s="148" customFormat="1" ht="15.75">
      <c r="A557" s="148" t="s">
        <v>1341</v>
      </c>
      <c r="B557" s="146" t="s">
        <v>1089</v>
      </c>
      <c r="C557" s="147">
        <f>'ECONOMIA &amp; PROFESIONES'!E66</f>
        <v>4.5</v>
      </c>
      <c r="D557" s="180"/>
      <c r="E557" s="148" t="s">
        <v>1305</v>
      </c>
      <c r="G557" s="148">
        <f t="shared" si="112"/>
        <v>0</v>
      </c>
      <c r="H557" s="148" t="s">
        <v>1305</v>
      </c>
      <c r="J557" s="148">
        <f t="shared" si="113"/>
        <v>0</v>
      </c>
      <c r="K557" s="148" t="s">
        <v>1305</v>
      </c>
      <c r="M557" s="148">
        <f t="shared" si="108"/>
        <v>0</v>
      </c>
      <c r="N557" s="148" t="s">
        <v>1305</v>
      </c>
      <c r="P557" s="148">
        <f t="shared" si="109"/>
        <v>0</v>
      </c>
      <c r="Q557" s="148" t="s">
        <v>1305</v>
      </c>
      <c r="S557" s="148">
        <f t="shared" si="110"/>
        <v>0</v>
      </c>
      <c r="T557" s="148" t="s">
        <v>1305</v>
      </c>
      <c r="V557" s="148">
        <f t="shared" si="111"/>
        <v>0</v>
      </c>
    </row>
    <row r="558" spans="1:22" s="148" customFormat="1" ht="15.75">
      <c r="A558" s="148" t="s">
        <v>1341</v>
      </c>
      <c r="B558" s="146" t="s">
        <v>1090</v>
      </c>
      <c r="C558" s="147">
        <f>'ECONOMIA &amp; PROFESIONES'!E66</f>
        <v>4.5</v>
      </c>
      <c r="D558" s="180"/>
      <c r="E558" s="148" t="s">
        <v>1305</v>
      </c>
      <c r="G558" s="148">
        <f t="shared" si="112"/>
        <v>0</v>
      </c>
      <c r="H558" s="148" t="s">
        <v>1305</v>
      </c>
      <c r="J558" s="148">
        <f t="shared" si="113"/>
        <v>0</v>
      </c>
      <c r="K558" s="148" t="s">
        <v>1305</v>
      </c>
      <c r="M558" s="148">
        <f t="shared" si="108"/>
        <v>0</v>
      </c>
      <c r="N558" s="148" t="s">
        <v>1305</v>
      </c>
      <c r="P558" s="148">
        <f t="shared" si="109"/>
        <v>0</v>
      </c>
      <c r="Q558" s="148" t="s">
        <v>1305</v>
      </c>
      <c r="S558" s="148">
        <f t="shared" si="110"/>
        <v>0</v>
      </c>
      <c r="T558" s="148" t="s">
        <v>1305</v>
      </c>
      <c r="V558" s="148">
        <f t="shared" si="111"/>
        <v>0</v>
      </c>
    </row>
    <row r="559" spans="1:22" ht="15.75">
      <c r="A559" s="153" t="s">
        <v>1346</v>
      </c>
      <c r="B559" s="125" t="s">
        <v>1091</v>
      </c>
      <c r="C559" s="130">
        <f t="shared" ref="C559:C586" si="122">((G559*F559)+(I559*J559)+(L559*M559)+(O559*P559)+(R559*S559)+(U559*V559))/D559</f>
        <v>9</v>
      </c>
      <c r="D559" s="180">
        <v>6</v>
      </c>
      <c r="E559" s="127" t="s">
        <v>1085</v>
      </c>
      <c r="F559">
        <v>3</v>
      </c>
      <c r="G559" s="127">
        <f t="shared" si="112"/>
        <v>18</v>
      </c>
      <c r="H559" s="127" t="s">
        <v>1305</v>
      </c>
      <c r="J559" s="127">
        <f t="shared" si="113"/>
        <v>0</v>
      </c>
      <c r="K559" s="127" t="s">
        <v>1305</v>
      </c>
      <c r="M559" s="127">
        <f t="shared" si="108"/>
        <v>0</v>
      </c>
      <c r="N559" s="127" t="s">
        <v>1305</v>
      </c>
      <c r="P559" s="127">
        <f t="shared" si="109"/>
        <v>0</v>
      </c>
      <c r="Q559" s="127" t="s">
        <v>1305</v>
      </c>
      <c r="S559" s="127">
        <f t="shared" si="110"/>
        <v>0</v>
      </c>
      <c r="T559" s="127" t="s">
        <v>1305</v>
      </c>
      <c r="V559" s="127">
        <f t="shared" si="111"/>
        <v>0</v>
      </c>
    </row>
    <row r="560" spans="1:22" ht="15.75">
      <c r="A560" s="153" t="s">
        <v>1346</v>
      </c>
      <c r="B560" s="125" t="s">
        <v>1092</v>
      </c>
      <c r="C560" s="130">
        <f t="shared" si="122"/>
        <v>27</v>
      </c>
      <c r="D560" s="180">
        <v>4</v>
      </c>
      <c r="E560" s="127" t="s">
        <v>1085</v>
      </c>
      <c r="F560">
        <v>6</v>
      </c>
      <c r="G560" s="127">
        <f t="shared" si="112"/>
        <v>18</v>
      </c>
      <c r="H560" s="127" t="s">
        <v>1305</v>
      </c>
      <c r="J560" s="127">
        <f t="shared" si="113"/>
        <v>0</v>
      </c>
      <c r="K560" s="127" t="s">
        <v>1305</v>
      </c>
      <c r="M560" s="127">
        <f t="shared" si="108"/>
        <v>0</v>
      </c>
      <c r="N560" s="127" t="s">
        <v>1305</v>
      </c>
      <c r="P560" s="127">
        <f t="shared" si="109"/>
        <v>0</v>
      </c>
      <c r="Q560" s="127" t="s">
        <v>1305</v>
      </c>
      <c r="S560" s="127">
        <f t="shared" si="110"/>
        <v>0</v>
      </c>
      <c r="T560" s="127" t="s">
        <v>1305</v>
      </c>
      <c r="V560" s="127">
        <f t="shared" si="111"/>
        <v>0</v>
      </c>
    </row>
    <row r="561" spans="1:22" ht="15.75">
      <c r="A561" s="153" t="s">
        <v>1346</v>
      </c>
      <c r="B561" s="125" t="s">
        <v>1093</v>
      </c>
      <c r="C561" s="130">
        <f t="shared" si="122"/>
        <v>18</v>
      </c>
      <c r="D561" s="180">
        <v>6</v>
      </c>
      <c r="E561" s="127" t="s">
        <v>1085</v>
      </c>
      <c r="F561">
        <v>6</v>
      </c>
      <c r="G561" s="127">
        <f t="shared" si="112"/>
        <v>18</v>
      </c>
      <c r="H561" s="127" t="s">
        <v>1305</v>
      </c>
      <c r="J561" s="127">
        <f t="shared" si="113"/>
        <v>0</v>
      </c>
      <c r="K561" s="127" t="s">
        <v>1305</v>
      </c>
      <c r="M561" s="127">
        <f t="shared" si="108"/>
        <v>0</v>
      </c>
      <c r="N561" s="127" t="s">
        <v>1305</v>
      </c>
      <c r="P561" s="127">
        <f t="shared" si="109"/>
        <v>0</v>
      </c>
      <c r="Q561" s="127" t="s">
        <v>1305</v>
      </c>
      <c r="S561" s="127">
        <f t="shared" si="110"/>
        <v>0</v>
      </c>
      <c r="T561" s="127" t="s">
        <v>1305</v>
      </c>
      <c r="V561" s="127">
        <f t="shared" si="111"/>
        <v>0</v>
      </c>
    </row>
    <row r="562" spans="1:22" s="137" customFormat="1" ht="15.75">
      <c r="A562" s="137" t="s">
        <v>1342</v>
      </c>
      <c r="B562" s="135" t="s">
        <v>1094</v>
      </c>
      <c r="C562" s="136">
        <f>'ECONOMIA &amp; PROFESIONES'!I33</f>
        <v>3</v>
      </c>
      <c r="D562" s="182"/>
      <c r="E562" s="137" t="s">
        <v>1305</v>
      </c>
      <c r="G562" s="137">
        <f t="shared" si="112"/>
        <v>0</v>
      </c>
      <c r="H562" s="137" t="s">
        <v>1305</v>
      </c>
      <c r="J562" s="137">
        <f t="shared" si="113"/>
        <v>0</v>
      </c>
      <c r="K562" s="137" t="s">
        <v>1305</v>
      </c>
      <c r="M562" s="137">
        <f t="shared" si="108"/>
        <v>0</v>
      </c>
      <c r="N562" s="137" t="s">
        <v>1305</v>
      </c>
      <c r="P562" s="137">
        <f t="shared" si="109"/>
        <v>0</v>
      </c>
      <c r="Q562" s="137" t="s">
        <v>1305</v>
      </c>
      <c r="S562" s="137">
        <f t="shared" si="110"/>
        <v>0</v>
      </c>
      <c r="T562" s="137" t="s">
        <v>1305</v>
      </c>
      <c r="V562" s="137">
        <f t="shared" si="111"/>
        <v>0</v>
      </c>
    </row>
    <row r="563" spans="1:22" s="137" customFormat="1" ht="15.75">
      <c r="A563" s="137" t="s">
        <v>560</v>
      </c>
      <c r="B563" s="135" t="s">
        <v>1095</v>
      </c>
      <c r="C563" s="136">
        <f>'ECONOMIA &amp; PROFESIONES'!G41</f>
        <v>11</v>
      </c>
      <c r="D563" s="180"/>
      <c r="E563" s="137" t="s">
        <v>1305</v>
      </c>
      <c r="G563" s="137">
        <f t="shared" si="112"/>
        <v>0</v>
      </c>
      <c r="H563" s="137" t="s">
        <v>1305</v>
      </c>
      <c r="J563" s="137">
        <f t="shared" si="113"/>
        <v>0</v>
      </c>
      <c r="K563" s="137" t="s">
        <v>1305</v>
      </c>
      <c r="M563" s="137">
        <f t="shared" si="108"/>
        <v>0</v>
      </c>
      <c r="N563" s="137" t="s">
        <v>1305</v>
      </c>
      <c r="P563" s="137">
        <f t="shared" si="109"/>
        <v>0</v>
      </c>
      <c r="Q563" s="137" t="s">
        <v>1305</v>
      </c>
      <c r="S563" s="137">
        <f t="shared" si="110"/>
        <v>0</v>
      </c>
      <c r="T563" s="137" t="s">
        <v>1305</v>
      </c>
      <c r="V563" s="137">
        <f t="shared" si="111"/>
        <v>0</v>
      </c>
    </row>
    <row r="564" spans="1:22" ht="15.75">
      <c r="A564" s="153" t="s">
        <v>1348</v>
      </c>
      <c r="B564" s="125" t="s">
        <v>1096</v>
      </c>
      <c r="C564" s="130">
        <f t="shared" si="122"/>
        <v>16.399999999999999</v>
      </c>
      <c r="D564" s="180">
        <v>1</v>
      </c>
      <c r="E564" s="127" t="s">
        <v>1095</v>
      </c>
      <c r="F564">
        <v>1</v>
      </c>
      <c r="G564" s="127">
        <f t="shared" si="112"/>
        <v>11</v>
      </c>
      <c r="H564" s="127" t="s">
        <v>775</v>
      </c>
      <c r="I564" s="127">
        <v>1</v>
      </c>
      <c r="J564" s="127">
        <f t="shared" si="113"/>
        <v>0.4</v>
      </c>
      <c r="K564" s="127" t="s">
        <v>1239</v>
      </c>
      <c r="L564" s="127">
        <v>1</v>
      </c>
      <c r="M564" s="127">
        <f t="shared" si="108"/>
        <v>5</v>
      </c>
      <c r="N564" s="127" t="s">
        <v>1305</v>
      </c>
      <c r="P564" s="127">
        <f t="shared" si="109"/>
        <v>0</v>
      </c>
      <c r="Q564" s="127" t="s">
        <v>1305</v>
      </c>
      <c r="S564" s="127">
        <f t="shared" si="110"/>
        <v>0</v>
      </c>
      <c r="T564" s="127" t="s">
        <v>1305</v>
      </c>
      <c r="V564" s="127">
        <f t="shared" si="111"/>
        <v>0</v>
      </c>
    </row>
    <row r="565" spans="1:22" s="137" customFormat="1" ht="15.75">
      <c r="A565" s="137" t="s">
        <v>560</v>
      </c>
      <c r="B565" s="135" t="s">
        <v>1097</v>
      </c>
      <c r="C565" s="136">
        <f>'ECONOMIA &amp; PROFESIONES'!G41</f>
        <v>11</v>
      </c>
      <c r="D565" s="180"/>
      <c r="E565" s="137" t="s">
        <v>1305</v>
      </c>
      <c r="G565" s="137">
        <f t="shared" si="112"/>
        <v>0</v>
      </c>
      <c r="H565" s="137" t="s">
        <v>1305</v>
      </c>
      <c r="J565" s="137">
        <f t="shared" si="113"/>
        <v>0</v>
      </c>
      <c r="K565" s="137" t="s">
        <v>1305</v>
      </c>
      <c r="M565" s="137">
        <f t="shared" si="108"/>
        <v>0</v>
      </c>
      <c r="N565" s="137" t="s">
        <v>1305</v>
      </c>
      <c r="P565" s="137">
        <f t="shared" si="109"/>
        <v>0</v>
      </c>
      <c r="Q565" s="137" t="s">
        <v>1305</v>
      </c>
      <c r="S565" s="137">
        <f t="shared" si="110"/>
        <v>0</v>
      </c>
      <c r="T565" s="137" t="s">
        <v>1305</v>
      </c>
      <c r="V565" s="137">
        <f t="shared" si="111"/>
        <v>0</v>
      </c>
    </row>
    <row r="566" spans="1:22" ht="15.75">
      <c r="A566" s="153" t="s">
        <v>1351</v>
      </c>
      <c r="B566" s="125" t="s">
        <v>1098</v>
      </c>
      <c r="C566" s="130">
        <f t="shared" si="122"/>
        <v>48.125</v>
      </c>
      <c r="D566" s="180">
        <v>1</v>
      </c>
      <c r="E566" s="150" t="s">
        <v>1109</v>
      </c>
      <c r="F566" s="150">
        <v>6</v>
      </c>
      <c r="G566" s="150">
        <f t="shared" ref="G566:G570" si="123">VLOOKUP(E566,IDPOINTS,2,FALSE)</f>
        <v>8</v>
      </c>
      <c r="H566" s="150" t="s">
        <v>1208</v>
      </c>
      <c r="I566" s="150">
        <v>1</v>
      </c>
      <c r="J566" s="150">
        <f t="shared" ref="J566:J570" si="124">VLOOKUP(H566,IDPOINTS,2,FALSE)</f>
        <v>0.125</v>
      </c>
      <c r="K566" s="150" t="s">
        <v>1305</v>
      </c>
      <c r="L566" s="150"/>
      <c r="M566" s="127">
        <f t="shared" si="108"/>
        <v>0</v>
      </c>
      <c r="N566" s="127" t="s">
        <v>1305</v>
      </c>
      <c r="P566" s="127">
        <f t="shared" si="109"/>
        <v>0</v>
      </c>
      <c r="Q566" s="127" t="s">
        <v>1305</v>
      </c>
      <c r="S566" s="127">
        <f t="shared" si="110"/>
        <v>0</v>
      </c>
      <c r="T566" s="127" t="s">
        <v>1305</v>
      </c>
      <c r="V566" s="127">
        <f t="shared" si="111"/>
        <v>0</v>
      </c>
    </row>
    <row r="567" spans="1:22" ht="15.75">
      <c r="A567" s="153" t="s">
        <v>1351</v>
      </c>
      <c r="B567" s="125" t="s">
        <v>1099</v>
      </c>
      <c r="C567" s="130">
        <f t="shared" si="122"/>
        <v>24.75</v>
      </c>
      <c r="D567" s="180">
        <v>1</v>
      </c>
      <c r="E567" s="150" t="s">
        <v>1109</v>
      </c>
      <c r="F567" s="150">
        <v>3</v>
      </c>
      <c r="G567" s="150">
        <f t="shared" si="123"/>
        <v>8</v>
      </c>
      <c r="H567" s="150" t="s">
        <v>1026</v>
      </c>
      <c r="I567" s="150">
        <v>3</v>
      </c>
      <c r="J567" s="150">
        <f t="shared" si="124"/>
        <v>0.25</v>
      </c>
      <c r="K567" s="150" t="s">
        <v>1305</v>
      </c>
      <c r="L567" s="150"/>
      <c r="M567" s="127">
        <f t="shared" si="108"/>
        <v>0</v>
      </c>
      <c r="N567" s="127" t="s">
        <v>1305</v>
      </c>
      <c r="P567" s="127">
        <f t="shared" si="109"/>
        <v>0</v>
      </c>
      <c r="Q567" s="127" t="s">
        <v>1305</v>
      </c>
      <c r="S567" s="127">
        <f t="shared" si="110"/>
        <v>0</v>
      </c>
      <c r="T567" s="127" t="s">
        <v>1305</v>
      </c>
      <c r="V567" s="127">
        <f t="shared" si="111"/>
        <v>0</v>
      </c>
    </row>
    <row r="568" spans="1:22" ht="15.75">
      <c r="A568" s="153" t="s">
        <v>1351</v>
      </c>
      <c r="B568" s="125" t="s">
        <v>1100</v>
      </c>
      <c r="C568" s="130">
        <f t="shared" si="122"/>
        <v>5.333333333333333</v>
      </c>
      <c r="D568" s="180">
        <v>3</v>
      </c>
      <c r="E568" s="150" t="s">
        <v>1109</v>
      </c>
      <c r="F568" s="150">
        <v>2</v>
      </c>
      <c r="G568" s="150">
        <f t="shared" si="123"/>
        <v>8</v>
      </c>
      <c r="H568" s="150" t="s">
        <v>1305</v>
      </c>
      <c r="I568" s="150"/>
      <c r="J568" s="150">
        <f t="shared" si="124"/>
        <v>0</v>
      </c>
      <c r="K568" s="150" t="s">
        <v>1305</v>
      </c>
      <c r="L568" s="150"/>
      <c r="M568" s="127">
        <f t="shared" ref="M568:M629" si="125">VLOOKUP(K568,IDPOINTS,2,FALSE)</f>
        <v>0</v>
      </c>
      <c r="N568" s="127" t="s">
        <v>1305</v>
      </c>
      <c r="P568" s="127">
        <f t="shared" ref="P568:P629" si="126">VLOOKUP(N568,IDPOINTS,2,FALSE)</f>
        <v>0</v>
      </c>
      <c r="Q568" s="127" t="s">
        <v>1305</v>
      </c>
      <c r="S568" s="127">
        <f t="shared" ref="S568:S629" si="127">VLOOKUP(Q568,IDPOINTS,2,FALSE)</f>
        <v>0</v>
      </c>
      <c r="T568" s="127" t="s">
        <v>1305</v>
      </c>
      <c r="V568" s="127">
        <f t="shared" ref="V568:V629" si="128">VLOOKUP(T568,IDPOINTS,2,FALSE)</f>
        <v>0</v>
      </c>
    </row>
    <row r="569" spans="1:22" ht="15.75">
      <c r="A569" s="153" t="s">
        <v>1351</v>
      </c>
      <c r="B569" s="125" t="s">
        <v>1101</v>
      </c>
      <c r="C569" s="130">
        <f t="shared" si="122"/>
        <v>3.25</v>
      </c>
      <c r="D569" s="180">
        <v>1</v>
      </c>
      <c r="E569" s="150" t="s">
        <v>1102</v>
      </c>
      <c r="F569" s="150">
        <v>1</v>
      </c>
      <c r="G569" s="150">
        <f t="shared" si="123"/>
        <v>3.25</v>
      </c>
      <c r="H569" s="150" t="s">
        <v>1305</v>
      </c>
      <c r="I569" s="150"/>
      <c r="J569" s="150">
        <f t="shared" si="124"/>
        <v>0</v>
      </c>
      <c r="K569" s="150" t="s">
        <v>1305</v>
      </c>
      <c r="L569" s="150"/>
      <c r="M569" s="127">
        <f t="shared" si="125"/>
        <v>0</v>
      </c>
      <c r="N569" s="127" t="s">
        <v>1305</v>
      </c>
      <c r="P569" s="127">
        <f t="shared" si="126"/>
        <v>0</v>
      </c>
      <c r="Q569" s="127" t="s">
        <v>1305</v>
      </c>
      <c r="S569" s="127">
        <f t="shared" si="127"/>
        <v>0</v>
      </c>
      <c r="T569" s="127" t="s">
        <v>1305</v>
      </c>
      <c r="V569" s="127">
        <f t="shared" si="128"/>
        <v>0</v>
      </c>
    </row>
    <row r="570" spans="1:22" ht="15.75">
      <c r="A570" s="153" t="s">
        <v>1351</v>
      </c>
      <c r="B570" s="125" t="s">
        <v>1102</v>
      </c>
      <c r="C570" s="130">
        <f t="shared" si="122"/>
        <v>3.25</v>
      </c>
      <c r="D570" s="180">
        <v>8</v>
      </c>
      <c r="E570" s="150" t="s">
        <v>1158</v>
      </c>
      <c r="F570" s="150">
        <v>4</v>
      </c>
      <c r="G570" s="150">
        <f t="shared" si="123"/>
        <v>5</v>
      </c>
      <c r="H570" s="150" t="s">
        <v>844</v>
      </c>
      <c r="I570" s="150">
        <v>4</v>
      </c>
      <c r="J570" s="150">
        <f t="shared" si="124"/>
        <v>1</v>
      </c>
      <c r="K570" s="150" t="s">
        <v>1103</v>
      </c>
      <c r="L570" s="150">
        <v>1</v>
      </c>
      <c r="M570" s="127">
        <f t="shared" si="125"/>
        <v>2</v>
      </c>
      <c r="N570" s="127" t="s">
        <v>1305</v>
      </c>
      <c r="P570" s="127">
        <f t="shared" si="126"/>
        <v>0</v>
      </c>
      <c r="Q570" s="127" t="s">
        <v>1305</v>
      </c>
      <c r="S570" s="127">
        <f t="shared" si="127"/>
        <v>0</v>
      </c>
      <c r="T570" s="127" t="s">
        <v>1305</v>
      </c>
      <c r="V570" s="127">
        <f t="shared" si="128"/>
        <v>0</v>
      </c>
    </row>
    <row r="571" spans="1:22" s="13" customFormat="1" ht="15.75">
      <c r="A571" s="153" t="s">
        <v>1351</v>
      </c>
      <c r="B571" s="144" t="s">
        <v>1103</v>
      </c>
      <c r="C571" s="130">
        <f t="shared" si="122"/>
        <v>2</v>
      </c>
      <c r="D571" s="180">
        <v>1</v>
      </c>
      <c r="E571" s="13" t="s">
        <v>603</v>
      </c>
      <c r="F571" s="13">
        <v>1</v>
      </c>
      <c r="G571" s="13">
        <f t="shared" ref="G571:G629" si="129">VLOOKUP(E571,IDPOINTS,2,FALSE)</f>
        <v>1</v>
      </c>
      <c r="H571" s="13" t="s">
        <v>1129</v>
      </c>
      <c r="I571" s="13">
        <v>1</v>
      </c>
      <c r="J571" s="13">
        <f t="shared" ref="J571:J629" si="130">VLOOKUP(H571,IDPOINTS,2,FALSE)</f>
        <v>1</v>
      </c>
      <c r="K571" s="13" t="s">
        <v>1305</v>
      </c>
      <c r="M571" s="13">
        <f t="shared" si="125"/>
        <v>0</v>
      </c>
      <c r="N571" s="13" t="s">
        <v>1305</v>
      </c>
      <c r="P571" s="13">
        <f t="shared" si="126"/>
        <v>0</v>
      </c>
      <c r="Q571" s="13" t="s">
        <v>1305</v>
      </c>
      <c r="S571" s="13">
        <f t="shared" si="127"/>
        <v>0</v>
      </c>
      <c r="T571" s="13" t="s">
        <v>1305</v>
      </c>
      <c r="V571" s="13">
        <f t="shared" si="128"/>
        <v>0</v>
      </c>
    </row>
    <row r="572" spans="1:22" ht="15.75">
      <c r="A572" s="153" t="s">
        <v>1351</v>
      </c>
      <c r="B572" s="125" t="s">
        <v>1104</v>
      </c>
      <c r="C572" s="130">
        <f t="shared" si="122"/>
        <v>34.25</v>
      </c>
      <c r="D572" s="180">
        <v>1</v>
      </c>
      <c r="E572" s="150" t="s">
        <v>1108</v>
      </c>
      <c r="F572" s="150">
        <v>1</v>
      </c>
      <c r="G572" s="150">
        <f t="shared" si="129"/>
        <v>31.25</v>
      </c>
      <c r="H572" s="150" t="s">
        <v>672</v>
      </c>
      <c r="I572" s="150">
        <v>1</v>
      </c>
      <c r="J572" s="127">
        <f t="shared" si="130"/>
        <v>3</v>
      </c>
      <c r="K572" s="127" t="s">
        <v>1305</v>
      </c>
      <c r="M572" s="127">
        <f t="shared" si="125"/>
        <v>0</v>
      </c>
      <c r="N572" s="127" t="s">
        <v>1305</v>
      </c>
      <c r="P572" s="127">
        <f t="shared" si="126"/>
        <v>0</v>
      </c>
      <c r="Q572" s="127" t="s">
        <v>1305</v>
      </c>
      <c r="S572" s="127">
        <f t="shared" si="127"/>
        <v>0</v>
      </c>
      <c r="T572" s="127" t="s">
        <v>1305</v>
      </c>
      <c r="V572" s="127">
        <f t="shared" si="128"/>
        <v>0</v>
      </c>
    </row>
    <row r="573" spans="1:22" ht="15.75">
      <c r="A573" s="153" t="s">
        <v>1351</v>
      </c>
      <c r="B573" s="125" t="s">
        <v>1105</v>
      </c>
      <c r="C573" s="130">
        <f t="shared" si="122"/>
        <v>13</v>
      </c>
      <c r="D573" s="180">
        <v>1</v>
      </c>
      <c r="E573" s="150" t="s">
        <v>1103</v>
      </c>
      <c r="F573" s="150">
        <v>1</v>
      </c>
      <c r="G573" s="150">
        <f t="shared" si="129"/>
        <v>2</v>
      </c>
      <c r="H573" s="150" t="s">
        <v>1170</v>
      </c>
      <c r="I573" s="150">
        <v>1</v>
      </c>
      <c r="J573" s="127">
        <f t="shared" si="130"/>
        <v>11</v>
      </c>
      <c r="K573" s="127" t="s">
        <v>1305</v>
      </c>
      <c r="M573" s="127">
        <f t="shared" si="125"/>
        <v>0</v>
      </c>
      <c r="N573" s="127" t="s">
        <v>1305</v>
      </c>
      <c r="P573" s="127">
        <f t="shared" si="126"/>
        <v>0</v>
      </c>
      <c r="Q573" s="127" t="s">
        <v>1305</v>
      </c>
      <c r="S573" s="127">
        <f t="shared" si="127"/>
        <v>0</v>
      </c>
      <c r="T573" s="127" t="s">
        <v>1305</v>
      </c>
      <c r="V573" s="127">
        <f t="shared" si="128"/>
        <v>0</v>
      </c>
    </row>
    <row r="574" spans="1:22" ht="15.75">
      <c r="A574" s="153" t="s">
        <v>1351</v>
      </c>
      <c r="B574" s="125" t="s">
        <v>1106</v>
      </c>
      <c r="C574" s="130">
        <f t="shared" si="122"/>
        <v>8.25</v>
      </c>
      <c r="D574" s="180">
        <v>8</v>
      </c>
      <c r="E574" s="150" t="s">
        <v>814</v>
      </c>
      <c r="F574" s="150">
        <v>8</v>
      </c>
      <c r="G574" s="150">
        <f t="shared" si="129"/>
        <v>8</v>
      </c>
      <c r="H574" s="150" t="s">
        <v>1103</v>
      </c>
      <c r="I574" s="150">
        <v>1</v>
      </c>
      <c r="J574" s="127">
        <f t="shared" si="130"/>
        <v>2</v>
      </c>
      <c r="K574" s="127" t="s">
        <v>1305</v>
      </c>
      <c r="M574" s="127">
        <f t="shared" si="125"/>
        <v>0</v>
      </c>
      <c r="N574" s="127" t="s">
        <v>1305</v>
      </c>
      <c r="P574" s="127">
        <f t="shared" si="126"/>
        <v>0</v>
      </c>
      <c r="Q574" s="127" t="s">
        <v>1305</v>
      </c>
      <c r="S574" s="127">
        <f t="shared" si="127"/>
        <v>0</v>
      </c>
      <c r="T574" s="127" t="s">
        <v>1305</v>
      </c>
      <c r="V574" s="127">
        <f t="shared" si="128"/>
        <v>0</v>
      </c>
    </row>
    <row r="575" spans="1:22" ht="15.75">
      <c r="A575" s="153" t="s">
        <v>1351</v>
      </c>
      <c r="B575" s="125" t="s">
        <v>1107</v>
      </c>
      <c r="C575" s="130">
        <f t="shared" si="122"/>
        <v>3.09375</v>
      </c>
      <c r="D575" s="180">
        <v>16</v>
      </c>
      <c r="E575" s="150" t="s">
        <v>1106</v>
      </c>
      <c r="F575" s="150">
        <v>6</v>
      </c>
      <c r="G575" s="150">
        <f t="shared" si="129"/>
        <v>8.25</v>
      </c>
      <c r="H575" s="150" t="s">
        <v>1305</v>
      </c>
      <c r="I575" s="150"/>
      <c r="J575" s="127">
        <f t="shared" si="130"/>
        <v>0</v>
      </c>
      <c r="K575" s="127" t="s">
        <v>1305</v>
      </c>
      <c r="M575" s="127">
        <f t="shared" si="125"/>
        <v>0</v>
      </c>
      <c r="N575" s="127" t="s">
        <v>1305</v>
      </c>
      <c r="P575" s="127">
        <f t="shared" si="126"/>
        <v>0</v>
      </c>
      <c r="Q575" s="127" t="s">
        <v>1305</v>
      </c>
      <c r="S575" s="127">
        <f t="shared" si="127"/>
        <v>0</v>
      </c>
      <c r="T575" s="127" t="s">
        <v>1305</v>
      </c>
      <c r="V575" s="127">
        <f t="shared" si="128"/>
        <v>0</v>
      </c>
    </row>
    <row r="576" spans="1:22" ht="15.75">
      <c r="A576" s="153" t="s">
        <v>1351</v>
      </c>
      <c r="B576" s="125" t="s">
        <v>1108</v>
      </c>
      <c r="C576" s="130">
        <f t="shared" si="122"/>
        <v>31.25</v>
      </c>
      <c r="D576" s="180">
        <v>8</v>
      </c>
      <c r="E576" s="150" t="s">
        <v>1245</v>
      </c>
      <c r="F576" s="150">
        <v>8</v>
      </c>
      <c r="G576" s="150">
        <f t="shared" si="129"/>
        <v>31</v>
      </c>
      <c r="H576" s="150" t="s">
        <v>1103</v>
      </c>
      <c r="I576" s="150">
        <v>1</v>
      </c>
      <c r="J576" s="127">
        <f t="shared" si="130"/>
        <v>2</v>
      </c>
      <c r="K576" s="127" t="s">
        <v>1305</v>
      </c>
      <c r="M576" s="127">
        <f t="shared" si="125"/>
        <v>0</v>
      </c>
      <c r="N576" s="127" t="s">
        <v>1305</v>
      </c>
      <c r="P576" s="127">
        <f t="shared" si="126"/>
        <v>0</v>
      </c>
      <c r="Q576" s="127" t="s">
        <v>1305</v>
      </c>
      <c r="S576" s="127">
        <f t="shared" si="127"/>
        <v>0</v>
      </c>
      <c r="T576" s="127" t="s">
        <v>1305</v>
      </c>
      <c r="V576" s="127">
        <f t="shared" si="128"/>
        <v>0</v>
      </c>
    </row>
    <row r="577" spans="1:22" ht="15.75">
      <c r="A577" s="153" t="s">
        <v>1351</v>
      </c>
      <c r="B577" s="125" t="s">
        <v>1109</v>
      </c>
      <c r="C577" s="130">
        <f t="shared" si="122"/>
        <v>8</v>
      </c>
      <c r="D577" s="180">
        <v>1</v>
      </c>
      <c r="E577" s="150" t="s">
        <v>1274</v>
      </c>
      <c r="F577" s="150">
        <v>1</v>
      </c>
      <c r="G577" s="150">
        <f t="shared" si="129"/>
        <v>6</v>
      </c>
      <c r="H577" s="150" t="s">
        <v>1103</v>
      </c>
      <c r="I577" s="150">
        <v>1</v>
      </c>
      <c r="J577" s="127">
        <f t="shared" si="130"/>
        <v>2</v>
      </c>
      <c r="K577" s="127" t="s">
        <v>1305</v>
      </c>
      <c r="M577" s="127">
        <f t="shared" si="125"/>
        <v>0</v>
      </c>
      <c r="N577" s="127" t="s">
        <v>1305</v>
      </c>
      <c r="P577" s="127">
        <f t="shared" si="126"/>
        <v>0</v>
      </c>
      <c r="Q577" s="127" t="s">
        <v>1305</v>
      </c>
      <c r="S577" s="127">
        <f t="shared" si="127"/>
        <v>0</v>
      </c>
      <c r="T577" s="127" t="s">
        <v>1305</v>
      </c>
      <c r="V577" s="127">
        <f t="shared" si="128"/>
        <v>0</v>
      </c>
    </row>
    <row r="578" spans="1:22" ht="15.75">
      <c r="A578" s="153" t="s">
        <v>1346</v>
      </c>
      <c r="B578" s="125" t="s">
        <v>1110</v>
      </c>
      <c r="C578" s="130">
        <f t="shared" si="122"/>
        <v>14</v>
      </c>
      <c r="D578" s="180">
        <v>4</v>
      </c>
      <c r="E578" s="127" t="s">
        <v>1080</v>
      </c>
      <c r="F578">
        <v>4</v>
      </c>
      <c r="G578" s="127">
        <f t="shared" si="129"/>
        <v>14</v>
      </c>
      <c r="H578" s="127" t="s">
        <v>1305</v>
      </c>
      <c r="J578" s="127">
        <f t="shared" si="130"/>
        <v>0</v>
      </c>
      <c r="K578" s="127" t="s">
        <v>1305</v>
      </c>
      <c r="M578" s="127">
        <f t="shared" si="125"/>
        <v>0</v>
      </c>
      <c r="N578" s="127" t="s">
        <v>1305</v>
      </c>
      <c r="P578" s="127">
        <f t="shared" si="126"/>
        <v>0</v>
      </c>
      <c r="Q578" s="127" t="s">
        <v>1305</v>
      </c>
      <c r="S578" s="127">
        <f t="shared" si="127"/>
        <v>0</v>
      </c>
      <c r="T578" s="127" t="s">
        <v>1305</v>
      </c>
      <c r="V578" s="127">
        <f t="shared" si="128"/>
        <v>0</v>
      </c>
    </row>
    <row r="579" spans="1:22" ht="15.75">
      <c r="A579" s="153" t="s">
        <v>1346</v>
      </c>
      <c r="B579" s="125" t="s">
        <v>1111</v>
      </c>
      <c r="C579" s="130">
        <f t="shared" si="122"/>
        <v>14</v>
      </c>
      <c r="D579" s="180">
        <v>1</v>
      </c>
      <c r="E579" s="127" t="s">
        <v>1112</v>
      </c>
      <c r="F579">
        <v>2</v>
      </c>
      <c r="G579" s="127">
        <f t="shared" si="129"/>
        <v>7</v>
      </c>
      <c r="H579" s="127" t="s">
        <v>1305</v>
      </c>
      <c r="J579" s="127">
        <f t="shared" si="130"/>
        <v>0</v>
      </c>
      <c r="K579" s="127" t="s">
        <v>1305</v>
      </c>
      <c r="M579" s="127">
        <f t="shared" si="125"/>
        <v>0</v>
      </c>
      <c r="N579" s="127" t="s">
        <v>1305</v>
      </c>
      <c r="P579" s="127">
        <f t="shared" si="126"/>
        <v>0</v>
      </c>
      <c r="Q579" s="127" t="s">
        <v>1305</v>
      </c>
      <c r="S579" s="127">
        <f t="shared" si="127"/>
        <v>0</v>
      </c>
      <c r="T579" s="127" t="s">
        <v>1305</v>
      </c>
      <c r="V579" s="127">
        <f t="shared" si="128"/>
        <v>0</v>
      </c>
    </row>
    <row r="580" spans="1:22" ht="15.75">
      <c r="A580" s="153" t="s">
        <v>1346</v>
      </c>
      <c r="B580" s="125" t="s">
        <v>1112</v>
      </c>
      <c r="C580" s="130">
        <f t="shared" si="122"/>
        <v>7</v>
      </c>
      <c r="D580" s="180">
        <v>6</v>
      </c>
      <c r="E580" s="127" t="s">
        <v>1110</v>
      </c>
      <c r="F580">
        <v>3</v>
      </c>
      <c r="G580" s="127">
        <f t="shared" si="129"/>
        <v>14</v>
      </c>
      <c r="H580" s="127" t="s">
        <v>1305</v>
      </c>
      <c r="J580" s="127">
        <f t="shared" si="130"/>
        <v>0</v>
      </c>
      <c r="K580" s="127" t="s">
        <v>1305</v>
      </c>
      <c r="M580" s="127">
        <f t="shared" si="125"/>
        <v>0</v>
      </c>
      <c r="N580" s="127" t="s">
        <v>1305</v>
      </c>
      <c r="P580" s="127">
        <f t="shared" si="126"/>
        <v>0</v>
      </c>
      <c r="Q580" s="127" t="s">
        <v>1305</v>
      </c>
      <c r="S580" s="127">
        <f t="shared" si="127"/>
        <v>0</v>
      </c>
      <c r="T580" s="127" t="s">
        <v>1305</v>
      </c>
      <c r="V580" s="127">
        <f t="shared" si="128"/>
        <v>0</v>
      </c>
    </row>
    <row r="581" spans="1:22" ht="15.75">
      <c r="A581" s="153" t="s">
        <v>1346</v>
      </c>
      <c r="B581" s="125" t="s">
        <v>1113</v>
      </c>
      <c r="C581" s="130">
        <f t="shared" si="122"/>
        <v>14</v>
      </c>
      <c r="D581" s="180">
        <v>6</v>
      </c>
      <c r="E581" s="127" t="s">
        <v>1110</v>
      </c>
      <c r="F581">
        <v>6</v>
      </c>
      <c r="G581" s="127">
        <f t="shared" si="129"/>
        <v>14</v>
      </c>
      <c r="H581" s="127" t="s">
        <v>1305</v>
      </c>
      <c r="J581" s="127">
        <f t="shared" si="130"/>
        <v>0</v>
      </c>
      <c r="K581" s="127" t="s">
        <v>1305</v>
      </c>
      <c r="M581" s="127">
        <f t="shared" si="125"/>
        <v>0</v>
      </c>
      <c r="N581" s="127" t="s">
        <v>1305</v>
      </c>
      <c r="P581" s="127">
        <f t="shared" si="126"/>
        <v>0</v>
      </c>
      <c r="Q581" s="127" t="s">
        <v>1305</v>
      </c>
      <c r="S581" s="127">
        <f t="shared" si="127"/>
        <v>0</v>
      </c>
      <c r="T581" s="127" t="s">
        <v>1305</v>
      </c>
      <c r="V581" s="127">
        <f t="shared" si="128"/>
        <v>0</v>
      </c>
    </row>
    <row r="582" spans="1:22" s="137" customFormat="1" ht="15.75">
      <c r="A582" s="137" t="s">
        <v>1337</v>
      </c>
      <c r="B582" s="135" t="s">
        <v>1114</v>
      </c>
      <c r="C582" s="136">
        <f>'ECONOMIA &amp; PROFESIONES'!C40</f>
        <v>9</v>
      </c>
      <c r="D582" s="180"/>
      <c r="E582" s="137" t="s">
        <v>1305</v>
      </c>
      <c r="G582" s="137">
        <f t="shared" si="129"/>
        <v>0</v>
      </c>
      <c r="H582" s="137" t="s">
        <v>1305</v>
      </c>
      <c r="J582" s="137">
        <f t="shared" si="130"/>
        <v>0</v>
      </c>
      <c r="K582" s="137" t="s">
        <v>1305</v>
      </c>
      <c r="M582" s="137">
        <f t="shared" si="125"/>
        <v>0</v>
      </c>
      <c r="N582" s="137" t="s">
        <v>1305</v>
      </c>
      <c r="P582" s="137">
        <f t="shared" si="126"/>
        <v>0</v>
      </c>
      <c r="Q582" s="137" t="s">
        <v>1305</v>
      </c>
      <c r="S582" s="137">
        <f t="shared" si="127"/>
        <v>0</v>
      </c>
      <c r="T582" s="137" t="s">
        <v>1305</v>
      </c>
      <c r="V582" s="137">
        <f t="shared" si="128"/>
        <v>0</v>
      </c>
    </row>
    <row r="583" spans="1:22" ht="15.75">
      <c r="A583" s="153" t="s">
        <v>1346</v>
      </c>
      <c r="B583" s="125" t="s">
        <v>1115</v>
      </c>
      <c r="C583" s="130">
        <f t="shared" si="122"/>
        <v>36</v>
      </c>
      <c r="D583" s="180">
        <v>1</v>
      </c>
      <c r="E583" s="127" t="s">
        <v>1114</v>
      </c>
      <c r="F583">
        <v>4</v>
      </c>
      <c r="G583" s="127">
        <f t="shared" si="129"/>
        <v>9</v>
      </c>
      <c r="H583" s="127" t="s">
        <v>1305</v>
      </c>
      <c r="J583" s="127">
        <f t="shared" si="130"/>
        <v>0</v>
      </c>
      <c r="K583" s="127" t="s">
        <v>1305</v>
      </c>
      <c r="M583" s="127">
        <f t="shared" si="125"/>
        <v>0</v>
      </c>
      <c r="N583" s="127" t="s">
        <v>1305</v>
      </c>
      <c r="P583" s="127">
        <f t="shared" si="126"/>
        <v>0</v>
      </c>
      <c r="Q583" s="127" t="s">
        <v>1305</v>
      </c>
      <c r="S583" s="127">
        <f t="shared" si="127"/>
        <v>0</v>
      </c>
      <c r="T583" s="127" t="s">
        <v>1305</v>
      </c>
      <c r="V583" s="127">
        <f t="shared" si="128"/>
        <v>0</v>
      </c>
    </row>
    <row r="584" spans="1:22" ht="15.75">
      <c r="A584" s="153" t="s">
        <v>1346</v>
      </c>
      <c r="B584" s="125" t="s">
        <v>1116</v>
      </c>
      <c r="C584" s="130">
        <f t="shared" si="122"/>
        <v>36</v>
      </c>
      <c r="D584" s="180">
        <v>1</v>
      </c>
      <c r="E584" s="127" t="s">
        <v>1117</v>
      </c>
      <c r="F584">
        <v>2</v>
      </c>
      <c r="G584" s="127">
        <f t="shared" si="129"/>
        <v>18</v>
      </c>
      <c r="H584" s="127" t="s">
        <v>1305</v>
      </c>
      <c r="J584" s="127">
        <f t="shared" si="130"/>
        <v>0</v>
      </c>
      <c r="K584" s="127" t="s">
        <v>1305</v>
      </c>
      <c r="M584" s="127">
        <f t="shared" si="125"/>
        <v>0</v>
      </c>
      <c r="N584" s="127" t="s">
        <v>1305</v>
      </c>
      <c r="P584" s="127">
        <f t="shared" si="126"/>
        <v>0</v>
      </c>
      <c r="Q584" s="127" t="s">
        <v>1305</v>
      </c>
      <c r="S584" s="127">
        <f t="shared" si="127"/>
        <v>0</v>
      </c>
      <c r="T584" s="127" t="s">
        <v>1305</v>
      </c>
      <c r="V584" s="127">
        <f t="shared" si="128"/>
        <v>0</v>
      </c>
    </row>
    <row r="585" spans="1:22" ht="15.75">
      <c r="A585" s="153" t="s">
        <v>1346</v>
      </c>
      <c r="B585" s="125" t="s">
        <v>1117</v>
      </c>
      <c r="C585" s="130">
        <f t="shared" si="122"/>
        <v>18</v>
      </c>
      <c r="D585" s="180">
        <v>6</v>
      </c>
      <c r="E585" s="127" t="s">
        <v>1115</v>
      </c>
      <c r="F585">
        <v>3</v>
      </c>
      <c r="G585" s="127">
        <f t="shared" si="129"/>
        <v>36</v>
      </c>
      <c r="H585" s="127" t="s">
        <v>1305</v>
      </c>
      <c r="J585" s="127">
        <f t="shared" si="130"/>
        <v>0</v>
      </c>
      <c r="K585" s="127" t="s">
        <v>1305</v>
      </c>
      <c r="M585" s="127">
        <f t="shared" si="125"/>
        <v>0</v>
      </c>
      <c r="N585" s="127" t="s">
        <v>1305</v>
      </c>
      <c r="P585" s="127">
        <f t="shared" si="126"/>
        <v>0</v>
      </c>
      <c r="Q585" s="127" t="s">
        <v>1305</v>
      </c>
      <c r="S585" s="127">
        <f t="shared" si="127"/>
        <v>0</v>
      </c>
      <c r="T585" s="127" t="s">
        <v>1305</v>
      </c>
      <c r="V585" s="127">
        <f t="shared" si="128"/>
        <v>0</v>
      </c>
    </row>
    <row r="586" spans="1:22" ht="15.75">
      <c r="A586" s="153" t="s">
        <v>1346</v>
      </c>
      <c r="B586" s="125" t="s">
        <v>1118</v>
      </c>
      <c r="C586" s="130">
        <f t="shared" si="122"/>
        <v>54</v>
      </c>
      <c r="D586" s="180">
        <v>4</v>
      </c>
      <c r="E586" s="127" t="s">
        <v>1115</v>
      </c>
      <c r="F586">
        <v>6</v>
      </c>
      <c r="G586" s="127">
        <f t="shared" si="129"/>
        <v>36</v>
      </c>
      <c r="H586" s="127" t="s">
        <v>1305</v>
      </c>
      <c r="J586" s="127">
        <f t="shared" si="130"/>
        <v>0</v>
      </c>
      <c r="K586" s="127" t="s">
        <v>1305</v>
      </c>
      <c r="M586" s="127">
        <f t="shared" si="125"/>
        <v>0</v>
      </c>
      <c r="N586" s="127" t="s">
        <v>1305</v>
      </c>
      <c r="P586" s="127">
        <f t="shared" si="126"/>
        <v>0</v>
      </c>
      <c r="Q586" s="127" t="s">
        <v>1305</v>
      </c>
      <c r="S586" s="127">
        <f t="shared" si="127"/>
        <v>0</v>
      </c>
      <c r="T586" s="127" t="s">
        <v>1305</v>
      </c>
      <c r="V586" s="127">
        <f t="shared" si="128"/>
        <v>0</v>
      </c>
    </row>
    <row r="587" spans="1:22" s="137" customFormat="1" ht="15.75">
      <c r="A587" s="137" t="s">
        <v>1340</v>
      </c>
      <c r="B587" s="135" t="s">
        <v>1119</v>
      </c>
      <c r="C587" s="136">
        <f>'ECONOMIA &amp; PROFESIONES'!I36</f>
        <v>9</v>
      </c>
      <c r="D587" s="180"/>
      <c r="E587" s="137" t="s">
        <v>1305</v>
      </c>
      <c r="G587" s="137">
        <f t="shared" si="129"/>
        <v>0</v>
      </c>
      <c r="H587" s="137" t="s">
        <v>1305</v>
      </c>
      <c r="J587" s="137">
        <f t="shared" si="130"/>
        <v>0</v>
      </c>
      <c r="K587" s="137" t="s">
        <v>1305</v>
      </c>
      <c r="M587" s="137">
        <f t="shared" si="125"/>
        <v>0</v>
      </c>
      <c r="N587" s="137" t="s">
        <v>1305</v>
      </c>
      <c r="P587" s="137">
        <f t="shared" si="126"/>
        <v>0</v>
      </c>
      <c r="Q587" s="137" t="s">
        <v>1305</v>
      </c>
      <c r="S587" s="137">
        <f t="shared" si="127"/>
        <v>0</v>
      </c>
      <c r="T587" s="137" t="s">
        <v>1305</v>
      </c>
      <c r="V587" s="137">
        <f t="shared" si="128"/>
        <v>0</v>
      </c>
    </row>
    <row r="588" spans="1:22" s="137" customFormat="1" ht="15.75">
      <c r="A588" s="137" t="s">
        <v>1340</v>
      </c>
      <c r="B588" s="135" t="s">
        <v>1120</v>
      </c>
      <c r="C588" s="136">
        <f>'ECONOMIA &amp; PROFESIONES'!I36</f>
        <v>9</v>
      </c>
      <c r="D588" s="180"/>
      <c r="E588" s="137" t="s">
        <v>1305</v>
      </c>
      <c r="G588" s="137">
        <f t="shared" si="129"/>
        <v>0</v>
      </c>
      <c r="H588" s="137" t="s">
        <v>1305</v>
      </c>
      <c r="J588" s="137">
        <f t="shared" si="130"/>
        <v>0</v>
      </c>
      <c r="K588" s="137" t="s">
        <v>1305</v>
      </c>
      <c r="M588" s="137">
        <f t="shared" si="125"/>
        <v>0</v>
      </c>
      <c r="N588" s="137" t="s">
        <v>1305</v>
      </c>
      <c r="P588" s="137">
        <f t="shared" si="126"/>
        <v>0</v>
      </c>
      <c r="Q588" s="137" t="s">
        <v>1305</v>
      </c>
      <c r="S588" s="137">
        <f t="shared" si="127"/>
        <v>0</v>
      </c>
      <c r="T588" s="137" t="s">
        <v>1305</v>
      </c>
      <c r="V588" s="137">
        <f t="shared" si="128"/>
        <v>0</v>
      </c>
    </row>
    <row r="589" spans="1:22" s="137" customFormat="1" ht="15.75">
      <c r="A589" s="137" t="s">
        <v>1340</v>
      </c>
      <c r="B589" s="135" t="s">
        <v>1121</v>
      </c>
      <c r="C589" s="136">
        <f>'ECONOMIA &amp; PROFESIONES'!I36</f>
        <v>9</v>
      </c>
      <c r="D589" s="180"/>
      <c r="E589" s="137" t="s">
        <v>1305</v>
      </c>
      <c r="G589" s="137">
        <f t="shared" si="129"/>
        <v>0</v>
      </c>
      <c r="H589" s="137" t="s">
        <v>1305</v>
      </c>
      <c r="J589" s="137">
        <f t="shared" si="130"/>
        <v>0</v>
      </c>
      <c r="K589" s="137" t="s">
        <v>1305</v>
      </c>
      <c r="M589" s="137">
        <f t="shared" si="125"/>
        <v>0</v>
      </c>
      <c r="N589" s="137" t="s">
        <v>1305</v>
      </c>
      <c r="P589" s="137">
        <f t="shared" si="126"/>
        <v>0</v>
      </c>
      <c r="Q589" s="137" t="s">
        <v>1305</v>
      </c>
      <c r="S589" s="137">
        <f t="shared" si="127"/>
        <v>0</v>
      </c>
      <c r="T589" s="137" t="s">
        <v>1305</v>
      </c>
      <c r="V589" s="137">
        <f t="shared" si="128"/>
        <v>0</v>
      </c>
    </row>
    <row r="590" spans="1:22" ht="15.75">
      <c r="A590" s="153" t="s">
        <v>1348</v>
      </c>
      <c r="B590" s="125" t="s">
        <v>1122</v>
      </c>
      <c r="C590" s="130">
        <f t="shared" ref="C590:C620" si="131">((G590*F590)+(I590*J590)+(L590*M590)+(O590*P590)+(R590*S590)+(U590*V590))/D590</f>
        <v>32.75</v>
      </c>
      <c r="D590" s="180">
        <v>1</v>
      </c>
      <c r="E590" s="127" t="s">
        <v>649</v>
      </c>
      <c r="F590">
        <v>1</v>
      </c>
      <c r="G590" s="127">
        <f t="shared" si="129"/>
        <v>5</v>
      </c>
      <c r="H590" s="127" t="s">
        <v>636</v>
      </c>
      <c r="I590" s="127">
        <v>1</v>
      </c>
      <c r="J590" s="127">
        <f t="shared" si="130"/>
        <v>11</v>
      </c>
      <c r="K590" s="127" t="s">
        <v>618</v>
      </c>
      <c r="L590" s="127">
        <v>1</v>
      </c>
      <c r="M590" s="127">
        <f t="shared" si="125"/>
        <v>0.75</v>
      </c>
      <c r="N590" s="127" t="s">
        <v>561</v>
      </c>
      <c r="O590" s="127">
        <v>1</v>
      </c>
      <c r="P590" s="127">
        <f t="shared" si="126"/>
        <v>4</v>
      </c>
      <c r="Q590" s="127" t="s">
        <v>691</v>
      </c>
      <c r="R590" s="127">
        <v>1</v>
      </c>
      <c r="S590" s="127">
        <f t="shared" si="127"/>
        <v>12</v>
      </c>
      <c r="T590" s="127" t="s">
        <v>1305</v>
      </c>
      <c r="V590" s="127">
        <f t="shared" si="128"/>
        <v>0</v>
      </c>
    </row>
    <row r="591" spans="1:22" ht="15.75">
      <c r="A591" s="153" t="s">
        <v>595</v>
      </c>
      <c r="B591" s="125" t="s">
        <v>1123</v>
      </c>
      <c r="C591" s="130">
        <f t="shared" si="131"/>
        <v>3.0078125</v>
      </c>
      <c r="D591" s="180">
        <v>16</v>
      </c>
      <c r="E591" s="127" t="s">
        <v>896</v>
      </c>
      <c r="F591">
        <v>6</v>
      </c>
      <c r="G591" s="127">
        <f t="shared" si="129"/>
        <v>8</v>
      </c>
      <c r="H591" s="127" t="s">
        <v>1208</v>
      </c>
      <c r="I591" s="127">
        <v>1</v>
      </c>
      <c r="J591" s="127">
        <f t="shared" si="130"/>
        <v>0.125</v>
      </c>
      <c r="K591" s="127" t="s">
        <v>1305</v>
      </c>
      <c r="M591" s="127">
        <f t="shared" si="125"/>
        <v>0</v>
      </c>
      <c r="N591" s="127" t="s">
        <v>1305</v>
      </c>
      <c r="P591" s="127">
        <f t="shared" si="126"/>
        <v>0</v>
      </c>
      <c r="Q591" s="127" t="s">
        <v>1305</v>
      </c>
      <c r="S591" s="127">
        <f t="shared" si="127"/>
        <v>0</v>
      </c>
      <c r="T591" s="127" t="s">
        <v>1305</v>
      </c>
      <c r="V591" s="127">
        <f t="shared" si="128"/>
        <v>0</v>
      </c>
    </row>
    <row r="592" spans="1:22" ht="15.75">
      <c r="A592" s="153" t="s">
        <v>1351</v>
      </c>
      <c r="B592" s="125" t="s">
        <v>1124</v>
      </c>
      <c r="C592" s="130">
        <f t="shared" si="131"/>
        <v>42.125</v>
      </c>
      <c r="D592" s="180">
        <v>1</v>
      </c>
      <c r="E592" s="150" t="s">
        <v>1146</v>
      </c>
      <c r="F592" s="150">
        <v>6</v>
      </c>
      <c r="G592" s="150">
        <f t="shared" si="129"/>
        <v>7</v>
      </c>
      <c r="H592" s="150" t="s">
        <v>1208</v>
      </c>
      <c r="I592" s="150">
        <v>1</v>
      </c>
      <c r="J592" s="150">
        <f t="shared" si="130"/>
        <v>0.125</v>
      </c>
      <c r="K592" s="150" t="s">
        <v>1305</v>
      </c>
      <c r="L592" s="150"/>
      <c r="M592" s="127">
        <f t="shared" si="125"/>
        <v>0</v>
      </c>
      <c r="N592" s="127" t="s">
        <v>1305</v>
      </c>
      <c r="P592" s="127">
        <f t="shared" si="126"/>
        <v>0</v>
      </c>
      <c r="Q592" s="127" t="s">
        <v>1305</v>
      </c>
      <c r="S592" s="127">
        <f t="shared" si="127"/>
        <v>0</v>
      </c>
      <c r="T592" s="127" t="s">
        <v>1305</v>
      </c>
      <c r="V592" s="127">
        <f t="shared" si="128"/>
        <v>0</v>
      </c>
    </row>
    <row r="593" spans="1:22" ht="15.75">
      <c r="A593" s="153" t="s">
        <v>1351</v>
      </c>
      <c r="B593" s="125" t="s">
        <v>1125</v>
      </c>
      <c r="C593" s="130">
        <f t="shared" si="131"/>
        <v>21.75</v>
      </c>
      <c r="D593" s="180">
        <v>1</v>
      </c>
      <c r="E593" s="150" t="s">
        <v>1146</v>
      </c>
      <c r="F593" s="150">
        <v>3</v>
      </c>
      <c r="G593" s="150">
        <f t="shared" si="129"/>
        <v>7</v>
      </c>
      <c r="H593" s="150" t="s">
        <v>1026</v>
      </c>
      <c r="I593" s="150">
        <v>3</v>
      </c>
      <c r="J593" s="150">
        <f t="shared" si="130"/>
        <v>0.25</v>
      </c>
      <c r="K593" s="150" t="s">
        <v>1305</v>
      </c>
      <c r="L593" s="150"/>
      <c r="M593" s="127">
        <f t="shared" si="125"/>
        <v>0</v>
      </c>
      <c r="N593" s="127" t="s">
        <v>1305</v>
      </c>
      <c r="P593" s="127">
        <f t="shared" si="126"/>
        <v>0</v>
      </c>
      <c r="Q593" s="127" t="s">
        <v>1305</v>
      </c>
      <c r="S593" s="127">
        <f t="shared" si="127"/>
        <v>0</v>
      </c>
      <c r="T593" s="127" t="s">
        <v>1305</v>
      </c>
      <c r="V593" s="127">
        <f t="shared" si="128"/>
        <v>0</v>
      </c>
    </row>
    <row r="594" spans="1:22" ht="15.75">
      <c r="A594" s="153" t="s">
        <v>1351</v>
      </c>
      <c r="B594" s="125" t="s">
        <v>1126</v>
      </c>
      <c r="C594" s="130">
        <f t="shared" si="131"/>
        <v>4.666666666666667</v>
      </c>
      <c r="D594" s="180">
        <v>3</v>
      </c>
      <c r="E594" s="150" t="s">
        <v>1146</v>
      </c>
      <c r="F594" s="150">
        <v>2</v>
      </c>
      <c r="G594" s="150">
        <f t="shared" si="129"/>
        <v>7</v>
      </c>
      <c r="H594" s="150" t="s">
        <v>1305</v>
      </c>
      <c r="I594" s="150"/>
      <c r="J594" s="150">
        <f t="shared" si="130"/>
        <v>0</v>
      </c>
      <c r="K594" s="150" t="s">
        <v>1305</v>
      </c>
      <c r="L594" s="150"/>
      <c r="M594" s="127">
        <f t="shared" si="125"/>
        <v>0</v>
      </c>
      <c r="N594" s="127" t="s">
        <v>1305</v>
      </c>
      <c r="P594" s="127">
        <f t="shared" si="126"/>
        <v>0</v>
      </c>
      <c r="Q594" s="127" t="s">
        <v>1305</v>
      </c>
      <c r="S594" s="127">
        <f t="shared" si="127"/>
        <v>0</v>
      </c>
      <c r="T594" s="127" t="s">
        <v>1305</v>
      </c>
      <c r="V594" s="127">
        <f t="shared" si="128"/>
        <v>0</v>
      </c>
    </row>
    <row r="595" spans="1:22" ht="15.75">
      <c r="A595" s="153" t="s">
        <v>1351</v>
      </c>
      <c r="B595" s="125" t="s">
        <v>1127</v>
      </c>
      <c r="C595" s="130">
        <f t="shared" si="131"/>
        <v>3.125</v>
      </c>
      <c r="D595" s="180">
        <v>1</v>
      </c>
      <c r="E595" s="150" t="s">
        <v>1128</v>
      </c>
      <c r="F595" s="150">
        <v>1</v>
      </c>
      <c r="G595" s="150">
        <f t="shared" si="129"/>
        <v>3.125</v>
      </c>
      <c r="H595" s="150" t="s">
        <v>1305</v>
      </c>
      <c r="I595" s="150"/>
      <c r="J595" s="150">
        <f t="shared" si="130"/>
        <v>0</v>
      </c>
      <c r="K595" s="150" t="s">
        <v>1305</v>
      </c>
      <c r="L595" s="150"/>
      <c r="M595" s="127">
        <f t="shared" si="125"/>
        <v>0</v>
      </c>
      <c r="N595" s="127" t="s">
        <v>1305</v>
      </c>
      <c r="P595" s="127">
        <f t="shared" si="126"/>
        <v>0</v>
      </c>
      <c r="Q595" s="127" t="s">
        <v>1305</v>
      </c>
      <c r="S595" s="127">
        <f t="shared" si="127"/>
        <v>0</v>
      </c>
      <c r="T595" s="127" t="s">
        <v>1305</v>
      </c>
      <c r="V595" s="127">
        <f t="shared" si="128"/>
        <v>0</v>
      </c>
    </row>
    <row r="596" spans="1:22" ht="15.75">
      <c r="A596" s="153" t="s">
        <v>1351</v>
      </c>
      <c r="B596" s="125" t="s">
        <v>1128</v>
      </c>
      <c r="C596" s="130">
        <f t="shared" si="131"/>
        <v>3.125</v>
      </c>
      <c r="D596" s="180">
        <v>8</v>
      </c>
      <c r="E596" s="150" t="s">
        <v>1158</v>
      </c>
      <c r="F596" s="150">
        <v>4</v>
      </c>
      <c r="G596" s="150">
        <f t="shared" si="129"/>
        <v>5</v>
      </c>
      <c r="H596" s="150" t="s">
        <v>844</v>
      </c>
      <c r="I596" s="150">
        <v>4</v>
      </c>
      <c r="J596" s="150">
        <f t="shared" si="130"/>
        <v>1</v>
      </c>
      <c r="K596" s="150" t="s">
        <v>1129</v>
      </c>
      <c r="L596" s="150">
        <v>1</v>
      </c>
      <c r="M596" s="127">
        <f t="shared" si="125"/>
        <v>1</v>
      </c>
      <c r="N596" s="127" t="s">
        <v>1305</v>
      </c>
      <c r="P596" s="127">
        <f t="shared" si="126"/>
        <v>0</v>
      </c>
      <c r="Q596" s="127" t="s">
        <v>1305</v>
      </c>
      <c r="S596" s="127">
        <f t="shared" si="127"/>
        <v>0</v>
      </c>
      <c r="T596" s="127" t="s">
        <v>1305</v>
      </c>
      <c r="V596" s="127">
        <f t="shared" si="128"/>
        <v>0</v>
      </c>
    </row>
    <row r="597" spans="1:22" s="13" customFormat="1" ht="15.75">
      <c r="A597" s="153" t="s">
        <v>1351</v>
      </c>
      <c r="B597" s="144" t="s">
        <v>1129</v>
      </c>
      <c r="C597" s="130">
        <f t="shared" si="131"/>
        <v>1</v>
      </c>
      <c r="D597" s="180">
        <v>1</v>
      </c>
      <c r="E597" s="13" t="s">
        <v>1081</v>
      </c>
      <c r="F597" s="13">
        <v>1</v>
      </c>
      <c r="G597" s="13">
        <f t="shared" si="129"/>
        <v>1</v>
      </c>
      <c r="H597" s="13" t="s">
        <v>1145</v>
      </c>
      <c r="J597" s="13">
        <f t="shared" si="130"/>
        <v>1</v>
      </c>
      <c r="K597" s="13" t="s">
        <v>1305</v>
      </c>
      <c r="M597" s="13">
        <f t="shared" si="125"/>
        <v>0</v>
      </c>
      <c r="N597" s="13" t="s">
        <v>1305</v>
      </c>
      <c r="P597" s="13">
        <f t="shared" si="126"/>
        <v>0</v>
      </c>
      <c r="Q597" s="13" t="s">
        <v>1305</v>
      </c>
      <c r="S597" s="13">
        <f t="shared" si="127"/>
        <v>0</v>
      </c>
      <c r="T597" s="13" t="s">
        <v>1305</v>
      </c>
      <c r="V597" s="13">
        <f t="shared" si="128"/>
        <v>0</v>
      </c>
    </row>
    <row r="598" spans="1:22" ht="15.75">
      <c r="A598" s="153" t="s">
        <v>1351</v>
      </c>
      <c r="B598" s="125" t="s">
        <v>1130</v>
      </c>
      <c r="C598" s="130">
        <f t="shared" si="131"/>
        <v>34.125</v>
      </c>
      <c r="D598" s="180">
        <v>1</v>
      </c>
      <c r="E598" s="150" t="s">
        <v>1144</v>
      </c>
      <c r="F598" s="150">
        <v>1</v>
      </c>
      <c r="G598" s="150">
        <f t="shared" ref="G598" si="132">VLOOKUP(E598,IDPOINTS,2,FALSE)</f>
        <v>31.125</v>
      </c>
      <c r="H598" s="150" t="s">
        <v>672</v>
      </c>
      <c r="I598" s="150">
        <v>1</v>
      </c>
      <c r="J598" s="127">
        <f t="shared" si="130"/>
        <v>3</v>
      </c>
      <c r="K598" s="127" t="s">
        <v>1305</v>
      </c>
      <c r="M598" s="127">
        <f t="shared" si="125"/>
        <v>0</v>
      </c>
      <c r="N598" s="127" t="s">
        <v>1305</v>
      </c>
      <c r="P598" s="127">
        <f t="shared" si="126"/>
        <v>0</v>
      </c>
      <c r="Q598" s="127" t="s">
        <v>1305</v>
      </c>
      <c r="S598" s="127">
        <f t="shared" si="127"/>
        <v>0</v>
      </c>
      <c r="T598" s="127" t="s">
        <v>1305</v>
      </c>
      <c r="V598" s="127">
        <f t="shared" si="128"/>
        <v>0</v>
      </c>
    </row>
    <row r="599" spans="1:22" s="137" customFormat="1" ht="15.75">
      <c r="A599" s="137" t="s">
        <v>560</v>
      </c>
      <c r="B599" s="135" t="s">
        <v>1131</v>
      </c>
      <c r="C599" s="136">
        <f>'ECONOMIA &amp; PROFESIONES'!G42</f>
        <v>11</v>
      </c>
      <c r="D599" s="180"/>
      <c r="E599" s="137" t="s">
        <v>1305</v>
      </c>
      <c r="G599" s="137">
        <f t="shared" si="129"/>
        <v>0</v>
      </c>
      <c r="H599" s="137" t="s">
        <v>1305</v>
      </c>
      <c r="J599" s="137">
        <f t="shared" si="130"/>
        <v>0</v>
      </c>
      <c r="K599" s="137" t="s">
        <v>1305</v>
      </c>
      <c r="M599" s="137">
        <f t="shared" si="125"/>
        <v>0</v>
      </c>
      <c r="N599" s="137" t="s">
        <v>1305</v>
      </c>
      <c r="P599" s="137">
        <f t="shared" si="126"/>
        <v>0</v>
      </c>
      <c r="Q599" s="137" t="s">
        <v>1305</v>
      </c>
      <c r="S599" s="137">
        <f t="shared" si="127"/>
        <v>0</v>
      </c>
      <c r="T599" s="137" t="s">
        <v>1305</v>
      </c>
      <c r="V599" s="137">
        <f t="shared" si="128"/>
        <v>0</v>
      </c>
    </row>
    <row r="600" spans="1:22" ht="15.75">
      <c r="A600" s="153" t="s">
        <v>1346</v>
      </c>
      <c r="B600" s="125" t="s">
        <v>1132</v>
      </c>
      <c r="C600" s="130">
        <f t="shared" si="131"/>
        <v>25</v>
      </c>
      <c r="D600" s="180">
        <v>6</v>
      </c>
      <c r="E600" s="127" t="s">
        <v>1135</v>
      </c>
      <c r="F600">
        <v>3</v>
      </c>
      <c r="G600" s="127">
        <f t="shared" si="129"/>
        <v>50</v>
      </c>
      <c r="H600" s="127" t="s">
        <v>1305</v>
      </c>
      <c r="J600" s="127">
        <f t="shared" si="130"/>
        <v>0</v>
      </c>
      <c r="K600" s="127" t="s">
        <v>1305</v>
      </c>
      <c r="M600" s="127">
        <f t="shared" si="125"/>
        <v>0</v>
      </c>
      <c r="N600" s="127" t="s">
        <v>1305</v>
      </c>
      <c r="P600" s="127">
        <f t="shared" si="126"/>
        <v>0</v>
      </c>
      <c r="Q600" s="127" t="s">
        <v>1305</v>
      </c>
      <c r="S600" s="127">
        <f t="shared" si="127"/>
        <v>0</v>
      </c>
      <c r="T600" s="127" t="s">
        <v>1305</v>
      </c>
      <c r="V600" s="127">
        <f t="shared" si="128"/>
        <v>0</v>
      </c>
    </row>
    <row r="601" spans="1:22" ht="15.75">
      <c r="A601" s="153" t="s">
        <v>1346</v>
      </c>
      <c r="B601" s="125" t="s">
        <v>1133</v>
      </c>
      <c r="C601" s="130">
        <f t="shared" si="131"/>
        <v>75</v>
      </c>
      <c r="D601" s="180">
        <v>4</v>
      </c>
      <c r="E601" s="127" t="s">
        <v>1135</v>
      </c>
      <c r="F601" s="13">
        <v>6</v>
      </c>
      <c r="G601" s="127">
        <f t="shared" si="129"/>
        <v>50</v>
      </c>
      <c r="H601" s="127" t="s">
        <v>1305</v>
      </c>
      <c r="J601" s="127">
        <f t="shared" si="130"/>
        <v>0</v>
      </c>
      <c r="K601" s="127" t="s">
        <v>1305</v>
      </c>
      <c r="M601" s="127">
        <f t="shared" si="125"/>
        <v>0</v>
      </c>
      <c r="N601" s="127" t="s">
        <v>1305</v>
      </c>
      <c r="P601" s="127">
        <f t="shared" si="126"/>
        <v>0</v>
      </c>
      <c r="Q601" s="127" t="s">
        <v>1305</v>
      </c>
      <c r="S601" s="127">
        <f t="shared" si="127"/>
        <v>0</v>
      </c>
      <c r="T601" s="127" t="s">
        <v>1305</v>
      </c>
      <c r="V601" s="127">
        <f t="shared" si="128"/>
        <v>0</v>
      </c>
    </row>
    <row r="602" spans="1:22" ht="15.75">
      <c r="A602" s="153" t="s">
        <v>1346</v>
      </c>
      <c r="B602" s="125" t="s">
        <v>1134</v>
      </c>
      <c r="C602" s="130">
        <f t="shared" si="131"/>
        <v>50</v>
      </c>
      <c r="D602" s="180">
        <v>6</v>
      </c>
      <c r="E602" s="127" t="s">
        <v>1135</v>
      </c>
      <c r="F602">
        <v>6</v>
      </c>
      <c r="G602" s="127">
        <f t="shared" si="129"/>
        <v>50</v>
      </c>
      <c r="H602" s="127" t="s">
        <v>1305</v>
      </c>
      <c r="J602" s="127">
        <f t="shared" si="130"/>
        <v>0</v>
      </c>
      <c r="K602" s="127" t="s">
        <v>1305</v>
      </c>
      <c r="M602" s="127">
        <f t="shared" si="125"/>
        <v>0</v>
      </c>
      <c r="N602" s="127" t="s">
        <v>1305</v>
      </c>
      <c r="P602" s="127">
        <f t="shared" si="126"/>
        <v>0</v>
      </c>
      <c r="Q602" s="127" t="s">
        <v>1305</v>
      </c>
      <c r="S602" s="127">
        <f t="shared" si="127"/>
        <v>0</v>
      </c>
      <c r="T602" s="127" t="s">
        <v>1305</v>
      </c>
      <c r="V602" s="127">
        <f t="shared" si="128"/>
        <v>0</v>
      </c>
    </row>
    <row r="603" spans="1:22" ht="15.75">
      <c r="A603" s="153" t="s">
        <v>1346</v>
      </c>
      <c r="B603" s="125" t="s">
        <v>1135</v>
      </c>
      <c r="C603" s="130">
        <f t="shared" si="131"/>
        <v>50</v>
      </c>
      <c r="D603" s="180">
        <v>1</v>
      </c>
      <c r="E603" s="127" t="s">
        <v>1017</v>
      </c>
      <c r="F603">
        <v>2</v>
      </c>
      <c r="G603" s="127">
        <f t="shared" si="129"/>
        <v>11</v>
      </c>
      <c r="H603" s="127" t="s">
        <v>1009</v>
      </c>
      <c r="I603" s="127">
        <v>2</v>
      </c>
      <c r="J603" s="127">
        <f t="shared" si="130"/>
        <v>14</v>
      </c>
      <c r="K603" s="127" t="s">
        <v>1305</v>
      </c>
      <c r="M603" s="127">
        <f t="shared" si="125"/>
        <v>0</v>
      </c>
      <c r="N603" s="127" t="s">
        <v>1305</v>
      </c>
      <c r="P603" s="127">
        <f t="shared" si="126"/>
        <v>0</v>
      </c>
      <c r="Q603" s="127" t="s">
        <v>1305</v>
      </c>
      <c r="S603" s="127">
        <f t="shared" si="127"/>
        <v>0</v>
      </c>
      <c r="T603" s="127" t="s">
        <v>1305</v>
      </c>
      <c r="V603" s="127">
        <f t="shared" si="128"/>
        <v>0</v>
      </c>
    </row>
    <row r="604" spans="1:22" s="137" customFormat="1" ht="15.75">
      <c r="A604" s="137" t="s">
        <v>560</v>
      </c>
      <c r="B604" s="135" t="s">
        <v>1136</v>
      </c>
      <c r="C604" s="136">
        <f>'ECONOMIA &amp; PROFESIONES'!C38</f>
        <v>7</v>
      </c>
      <c r="D604" s="180"/>
      <c r="E604" s="137" t="s">
        <v>1305</v>
      </c>
      <c r="G604" s="137">
        <f t="shared" si="129"/>
        <v>0</v>
      </c>
      <c r="H604" s="137" t="s">
        <v>1305</v>
      </c>
      <c r="J604" s="137">
        <f t="shared" si="130"/>
        <v>0</v>
      </c>
      <c r="K604" s="137" t="s">
        <v>1305</v>
      </c>
      <c r="M604" s="137">
        <f t="shared" si="125"/>
        <v>0</v>
      </c>
      <c r="N604" s="137" t="s">
        <v>1305</v>
      </c>
      <c r="P604" s="137">
        <f t="shared" si="126"/>
        <v>0</v>
      </c>
      <c r="Q604" s="137" t="s">
        <v>1305</v>
      </c>
      <c r="S604" s="137">
        <f t="shared" si="127"/>
        <v>0</v>
      </c>
      <c r="T604" s="137" t="s">
        <v>1305</v>
      </c>
      <c r="V604" s="137">
        <f t="shared" si="128"/>
        <v>0</v>
      </c>
    </row>
    <row r="605" spans="1:22" ht="15.75">
      <c r="A605" s="153" t="s">
        <v>1346</v>
      </c>
      <c r="B605" s="125" t="s">
        <v>1137</v>
      </c>
      <c r="C605" s="130">
        <f t="shared" si="131"/>
        <v>28</v>
      </c>
      <c r="D605" s="180">
        <v>1</v>
      </c>
      <c r="E605" s="127" t="s">
        <v>1136</v>
      </c>
      <c r="F605">
        <v>4</v>
      </c>
      <c r="G605" s="127">
        <f t="shared" si="129"/>
        <v>7</v>
      </c>
      <c r="H605" s="127" t="s">
        <v>1305</v>
      </c>
      <c r="J605" s="127">
        <f t="shared" si="130"/>
        <v>0</v>
      </c>
      <c r="K605" s="127" t="s">
        <v>1305</v>
      </c>
      <c r="M605" s="127">
        <f t="shared" si="125"/>
        <v>0</v>
      </c>
      <c r="N605" s="127" t="s">
        <v>1305</v>
      </c>
      <c r="P605" s="127">
        <f t="shared" si="126"/>
        <v>0</v>
      </c>
      <c r="Q605" s="127" t="s">
        <v>1305</v>
      </c>
      <c r="S605" s="127">
        <f t="shared" si="127"/>
        <v>0</v>
      </c>
      <c r="T605" s="127" t="s">
        <v>1305</v>
      </c>
      <c r="V605" s="127">
        <f t="shared" si="128"/>
        <v>0</v>
      </c>
    </row>
    <row r="606" spans="1:22" ht="15.75">
      <c r="A606" s="153" t="s">
        <v>1346</v>
      </c>
      <c r="B606" s="125" t="s">
        <v>1138</v>
      </c>
      <c r="C606" s="130">
        <f t="shared" si="131"/>
        <v>14</v>
      </c>
      <c r="D606" s="180">
        <v>6</v>
      </c>
      <c r="E606" s="127" t="s">
        <v>1137</v>
      </c>
      <c r="F606">
        <v>3</v>
      </c>
      <c r="G606" s="127">
        <f t="shared" si="129"/>
        <v>28</v>
      </c>
      <c r="H606" s="127" t="s">
        <v>1305</v>
      </c>
      <c r="J606" s="127">
        <f t="shared" si="130"/>
        <v>0</v>
      </c>
      <c r="K606" s="127" t="s">
        <v>1305</v>
      </c>
      <c r="M606" s="127">
        <f t="shared" si="125"/>
        <v>0</v>
      </c>
      <c r="N606" s="127" t="s">
        <v>1305</v>
      </c>
      <c r="P606" s="127">
        <f t="shared" si="126"/>
        <v>0</v>
      </c>
      <c r="Q606" s="127" t="s">
        <v>1305</v>
      </c>
      <c r="S606" s="127">
        <f t="shared" si="127"/>
        <v>0</v>
      </c>
      <c r="T606" s="127" t="s">
        <v>1305</v>
      </c>
      <c r="V606" s="127">
        <f t="shared" si="128"/>
        <v>0</v>
      </c>
    </row>
    <row r="607" spans="1:22" ht="15.75">
      <c r="A607" s="153" t="s">
        <v>1346</v>
      </c>
      <c r="B607" s="125" t="s">
        <v>1139</v>
      </c>
      <c r="C607" s="130">
        <f t="shared" si="131"/>
        <v>42</v>
      </c>
      <c r="D607" s="180">
        <v>4</v>
      </c>
      <c r="E607" s="127" t="s">
        <v>1137</v>
      </c>
      <c r="F607">
        <v>6</v>
      </c>
      <c r="G607" s="127">
        <f t="shared" si="129"/>
        <v>28</v>
      </c>
      <c r="H607" s="127" t="s">
        <v>1305</v>
      </c>
      <c r="J607" s="127">
        <f t="shared" si="130"/>
        <v>0</v>
      </c>
      <c r="K607" s="127" t="s">
        <v>1305</v>
      </c>
      <c r="M607" s="127">
        <f t="shared" si="125"/>
        <v>0</v>
      </c>
      <c r="N607" s="127" t="s">
        <v>1305</v>
      </c>
      <c r="P607" s="127">
        <f t="shared" si="126"/>
        <v>0</v>
      </c>
      <c r="Q607" s="127" t="s">
        <v>1305</v>
      </c>
      <c r="S607" s="127">
        <f t="shared" si="127"/>
        <v>0</v>
      </c>
      <c r="T607" s="127" t="s">
        <v>1305</v>
      </c>
      <c r="V607" s="127">
        <f t="shared" si="128"/>
        <v>0</v>
      </c>
    </row>
    <row r="608" spans="1:22" ht="15.75">
      <c r="A608" s="153" t="s">
        <v>1346</v>
      </c>
      <c r="B608" s="125" t="s">
        <v>1140</v>
      </c>
      <c r="C608" s="130">
        <f t="shared" si="131"/>
        <v>28</v>
      </c>
      <c r="D608" s="180">
        <v>6</v>
      </c>
      <c r="E608" s="127" t="s">
        <v>1137</v>
      </c>
      <c r="F608">
        <v>6</v>
      </c>
      <c r="G608" s="127">
        <f t="shared" si="129"/>
        <v>28</v>
      </c>
      <c r="H608" s="127" t="s">
        <v>1305</v>
      </c>
      <c r="J608" s="127">
        <f t="shared" si="130"/>
        <v>0</v>
      </c>
      <c r="K608" s="127" t="s">
        <v>1305</v>
      </c>
      <c r="M608" s="127">
        <f t="shared" si="125"/>
        <v>0</v>
      </c>
      <c r="N608" s="127" t="s">
        <v>1305</v>
      </c>
      <c r="P608" s="127">
        <f t="shared" si="126"/>
        <v>0</v>
      </c>
      <c r="Q608" s="127" t="s">
        <v>1305</v>
      </c>
      <c r="S608" s="127">
        <f t="shared" si="127"/>
        <v>0</v>
      </c>
      <c r="T608" s="127" t="s">
        <v>1305</v>
      </c>
      <c r="V608" s="127">
        <f t="shared" si="128"/>
        <v>0</v>
      </c>
    </row>
    <row r="609" spans="1:22" ht="15.75">
      <c r="A609" s="153" t="s">
        <v>1351</v>
      </c>
      <c r="B609" s="125" t="s">
        <v>1141</v>
      </c>
      <c r="C609" s="130">
        <f t="shared" si="131"/>
        <v>12</v>
      </c>
      <c r="D609" s="180">
        <v>1</v>
      </c>
      <c r="E609" s="150" t="s">
        <v>1129</v>
      </c>
      <c r="F609" s="150">
        <v>1</v>
      </c>
      <c r="G609" s="150">
        <f t="shared" ref="G609:G613" si="133">VLOOKUP(E609,IDPOINTS,2,FALSE)</f>
        <v>1</v>
      </c>
      <c r="H609" s="150" t="s">
        <v>1170</v>
      </c>
      <c r="I609" s="150">
        <v>1</v>
      </c>
      <c r="J609" s="127">
        <f t="shared" si="130"/>
        <v>11</v>
      </c>
      <c r="K609" s="127" t="s">
        <v>1305</v>
      </c>
      <c r="M609" s="127">
        <f t="shared" si="125"/>
        <v>0</v>
      </c>
      <c r="N609" s="127" t="s">
        <v>1305</v>
      </c>
      <c r="P609" s="127">
        <f t="shared" si="126"/>
        <v>0</v>
      </c>
      <c r="Q609" s="127" t="s">
        <v>1305</v>
      </c>
      <c r="S609" s="127">
        <f t="shared" si="127"/>
        <v>0</v>
      </c>
      <c r="T609" s="127" t="s">
        <v>1305</v>
      </c>
      <c r="V609" s="127">
        <f t="shared" si="128"/>
        <v>0</v>
      </c>
    </row>
    <row r="610" spans="1:22" ht="15.75">
      <c r="A610" s="153" t="s">
        <v>1351</v>
      </c>
      <c r="B610" s="125" t="s">
        <v>1142</v>
      </c>
      <c r="C610" s="130">
        <f t="shared" si="131"/>
        <v>8.125</v>
      </c>
      <c r="D610" s="180">
        <v>8</v>
      </c>
      <c r="E610" s="150" t="s">
        <v>814</v>
      </c>
      <c r="F610" s="150">
        <v>8</v>
      </c>
      <c r="G610" s="150">
        <f t="shared" si="133"/>
        <v>8</v>
      </c>
      <c r="H610" s="150" t="s">
        <v>1129</v>
      </c>
      <c r="I610" s="150">
        <v>1</v>
      </c>
      <c r="J610" s="127">
        <f t="shared" si="130"/>
        <v>1</v>
      </c>
      <c r="K610" s="127" t="s">
        <v>1305</v>
      </c>
      <c r="M610" s="127">
        <f t="shared" si="125"/>
        <v>0</v>
      </c>
      <c r="N610" s="127" t="s">
        <v>1305</v>
      </c>
      <c r="P610" s="127">
        <f t="shared" si="126"/>
        <v>0</v>
      </c>
      <c r="Q610" s="127" t="s">
        <v>1305</v>
      </c>
      <c r="S610" s="127">
        <f t="shared" si="127"/>
        <v>0</v>
      </c>
      <c r="T610" s="127" t="s">
        <v>1305</v>
      </c>
      <c r="V610" s="127">
        <f t="shared" si="128"/>
        <v>0</v>
      </c>
    </row>
    <row r="611" spans="1:22" ht="15.75">
      <c r="A611" s="153" t="s">
        <v>1351</v>
      </c>
      <c r="B611" s="125" t="s">
        <v>1143</v>
      </c>
      <c r="C611" s="130">
        <f t="shared" si="131"/>
        <v>3.046875</v>
      </c>
      <c r="D611" s="180">
        <v>16</v>
      </c>
      <c r="E611" s="150" t="s">
        <v>1142</v>
      </c>
      <c r="F611" s="150">
        <v>6</v>
      </c>
      <c r="G611" s="150">
        <f t="shared" si="133"/>
        <v>8.125</v>
      </c>
      <c r="H611" s="150" t="s">
        <v>1305</v>
      </c>
      <c r="I611" s="150"/>
      <c r="J611" s="127">
        <f t="shared" si="130"/>
        <v>0</v>
      </c>
      <c r="K611" s="127" t="s">
        <v>1305</v>
      </c>
      <c r="M611" s="127">
        <f t="shared" si="125"/>
        <v>0</v>
      </c>
      <c r="N611" s="127" t="s">
        <v>1305</v>
      </c>
      <c r="P611" s="127">
        <f t="shared" si="126"/>
        <v>0</v>
      </c>
      <c r="Q611" s="127" t="s">
        <v>1305</v>
      </c>
      <c r="S611" s="127">
        <f t="shared" si="127"/>
        <v>0</v>
      </c>
      <c r="T611" s="127" t="s">
        <v>1305</v>
      </c>
      <c r="V611" s="127">
        <f t="shared" si="128"/>
        <v>0</v>
      </c>
    </row>
    <row r="612" spans="1:22" ht="15.75">
      <c r="A612" s="153" t="s">
        <v>1351</v>
      </c>
      <c r="B612" s="125" t="s">
        <v>1144</v>
      </c>
      <c r="C612" s="130">
        <f t="shared" si="131"/>
        <v>31.125</v>
      </c>
      <c r="D612" s="180">
        <v>8</v>
      </c>
      <c r="E612" s="150" t="s">
        <v>1245</v>
      </c>
      <c r="F612" s="150">
        <v>8</v>
      </c>
      <c r="G612" s="150">
        <f t="shared" si="133"/>
        <v>31</v>
      </c>
      <c r="H612" s="150" t="s">
        <v>1129</v>
      </c>
      <c r="I612" s="150">
        <v>1</v>
      </c>
      <c r="J612" s="127">
        <f t="shared" si="130"/>
        <v>1</v>
      </c>
      <c r="K612" s="127" t="s">
        <v>1305</v>
      </c>
      <c r="M612" s="127">
        <f t="shared" si="125"/>
        <v>0</v>
      </c>
      <c r="N612" s="127" t="s">
        <v>1305</v>
      </c>
      <c r="P612" s="127">
        <f t="shared" si="126"/>
        <v>0</v>
      </c>
      <c r="Q612" s="127" t="s">
        <v>1305</v>
      </c>
      <c r="S612" s="127">
        <f t="shared" si="127"/>
        <v>0</v>
      </c>
      <c r="T612" s="127" t="s">
        <v>1305</v>
      </c>
      <c r="V612" s="127">
        <f t="shared" si="128"/>
        <v>0</v>
      </c>
    </row>
    <row r="613" spans="1:22" s="137" customFormat="1" ht="15.75">
      <c r="A613" s="137" t="s">
        <v>560</v>
      </c>
      <c r="B613" s="135" t="s">
        <v>1145</v>
      </c>
      <c r="C613" s="136">
        <v>1</v>
      </c>
      <c r="D613" s="180"/>
      <c r="E613" s="137" t="s">
        <v>1305</v>
      </c>
      <c r="G613" s="137">
        <f t="shared" si="133"/>
        <v>0</v>
      </c>
      <c r="H613" s="137" t="s">
        <v>1305</v>
      </c>
      <c r="J613" s="137">
        <f t="shared" si="130"/>
        <v>0</v>
      </c>
      <c r="K613" s="137" t="s">
        <v>1305</v>
      </c>
      <c r="M613" s="137">
        <f t="shared" si="125"/>
        <v>0</v>
      </c>
      <c r="N613" s="137" t="s">
        <v>1305</v>
      </c>
      <c r="P613" s="137">
        <f t="shared" si="126"/>
        <v>0</v>
      </c>
      <c r="Q613" s="137" t="s">
        <v>1305</v>
      </c>
      <c r="S613" s="137">
        <f t="shared" si="127"/>
        <v>0</v>
      </c>
      <c r="T613" s="137" t="s">
        <v>1305</v>
      </c>
      <c r="V613" s="137">
        <f t="shared" si="128"/>
        <v>0</v>
      </c>
    </row>
    <row r="614" spans="1:22" ht="15.75">
      <c r="A614" s="153" t="s">
        <v>1351</v>
      </c>
      <c r="B614" s="125" t="s">
        <v>1146</v>
      </c>
      <c r="C614" s="130">
        <f t="shared" si="131"/>
        <v>7</v>
      </c>
      <c r="D614" s="180">
        <v>1</v>
      </c>
      <c r="E614" s="150" t="s">
        <v>1274</v>
      </c>
      <c r="F614" s="150">
        <v>1</v>
      </c>
      <c r="G614" s="150">
        <f t="shared" ref="G614" si="134">VLOOKUP(E614,IDPOINTS,2,FALSE)</f>
        <v>6</v>
      </c>
      <c r="H614" s="150" t="s">
        <v>1129</v>
      </c>
      <c r="I614" s="150">
        <v>1</v>
      </c>
      <c r="J614" s="127">
        <f t="shared" si="130"/>
        <v>1</v>
      </c>
      <c r="K614" s="127" t="s">
        <v>1305</v>
      </c>
      <c r="M614" s="127">
        <f t="shared" si="125"/>
        <v>0</v>
      </c>
      <c r="N614" s="127" t="s">
        <v>1305</v>
      </c>
      <c r="P614" s="127">
        <f t="shared" si="126"/>
        <v>0</v>
      </c>
      <c r="Q614" s="127" t="s">
        <v>1305</v>
      </c>
      <c r="S614" s="127">
        <f t="shared" si="127"/>
        <v>0</v>
      </c>
      <c r="T614" s="127" t="s">
        <v>1305</v>
      </c>
      <c r="V614" s="127">
        <f t="shared" si="128"/>
        <v>0</v>
      </c>
    </row>
    <row r="615" spans="1:22" s="137" customFormat="1" ht="15.75">
      <c r="A615" s="137" t="s">
        <v>1337</v>
      </c>
      <c r="B615" s="135" t="s">
        <v>1147</v>
      </c>
      <c r="C615" s="136">
        <f>'ECONOMIA &amp; PROFESIONES'!C37</f>
        <v>7</v>
      </c>
      <c r="D615" s="180"/>
      <c r="E615" s="137" t="s">
        <v>1305</v>
      </c>
      <c r="G615" s="137">
        <f t="shared" si="129"/>
        <v>0</v>
      </c>
      <c r="H615" s="137" t="s">
        <v>1305</v>
      </c>
      <c r="J615" s="137">
        <f t="shared" si="130"/>
        <v>0</v>
      </c>
      <c r="K615" s="137" t="s">
        <v>1305</v>
      </c>
      <c r="M615" s="137">
        <f t="shared" si="125"/>
        <v>0</v>
      </c>
      <c r="N615" s="137" t="s">
        <v>1305</v>
      </c>
      <c r="P615" s="137">
        <f t="shared" si="126"/>
        <v>0</v>
      </c>
      <c r="Q615" s="137" t="s">
        <v>1305</v>
      </c>
      <c r="S615" s="137">
        <f t="shared" si="127"/>
        <v>0</v>
      </c>
      <c r="T615" s="137" t="s">
        <v>1305</v>
      </c>
      <c r="V615" s="137">
        <f t="shared" si="128"/>
        <v>0</v>
      </c>
    </row>
    <row r="616" spans="1:22" ht="15.75">
      <c r="A616" s="153" t="s">
        <v>1353</v>
      </c>
      <c r="B616" s="125" t="s">
        <v>1148</v>
      </c>
      <c r="C616" s="130">
        <f t="shared" si="131"/>
        <v>63</v>
      </c>
      <c r="D616" s="180">
        <v>1</v>
      </c>
      <c r="E616" s="127" t="s">
        <v>1147</v>
      </c>
      <c r="F616">
        <v>9</v>
      </c>
      <c r="G616" s="127">
        <f t="shared" si="129"/>
        <v>7</v>
      </c>
      <c r="H616" s="127" t="s">
        <v>1305</v>
      </c>
      <c r="J616" s="127">
        <f t="shared" si="130"/>
        <v>0</v>
      </c>
      <c r="K616" s="127" t="s">
        <v>1305</v>
      </c>
      <c r="M616" s="127">
        <f t="shared" si="125"/>
        <v>0</v>
      </c>
      <c r="N616" s="127" t="s">
        <v>1305</v>
      </c>
      <c r="P616" s="127">
        <f t="shared" si="126"/>
        <v>0</v>
      </c>
      <c r="Q616" s="127" t="s">
        <v>1305</v>
      </c>
      <c r="S616" s="127">
        <f t="shared" si="127"/>
        <v>0</v>
      </c>
      <c r="T616" s="127" t="s">
        <v>1305</v>
      </c>
      <c r="V616" s="127">
        <f t="shared" si="128"/>
        <v>0</v>
      </c>
    </row>
    <row r="617" spans="1:22" ht="15.75">
      <c r="A617" s="153" t="s">
        <v>1353</v>
      </c>
      <c r="B617" s="125" t="s">
        <v>1149</v>
      </c>
      <c r="C617" s="130">
        <f t="shared" si="131"/>
        <v>64</v>
      </c>
      <c r="D617" s="180">
        <v>1</v>
      </c>
      <c r="E617" s="127" t="s">
        <v>1147</v>
      </c>
      <c r="F617" s="13">
        <v>4</v>
      </c>
      <c r="G617" s="127">
        <f t="shared" si="129"/>
        <v>7</v>
      </c>
      <c r="H617" s="127" t="s">
        <v>819</v>
      </c>
      <c r="I617" s="127">
        <v>1</v>
      </c>
      <c r="J617" s="127">
        <f t="shared" si="130"/>
        <v>36</v>
      </c>
      <c r="K617" s="127" t="s">
        <v>1305</v>
      </c>
      <c r="M617" s="127">
        <f t="shared" si="125"/>
        <v>0</v>
      </c>
      <c r="N617" s="127" t="s">
        <v>1305</v>
      </c>
      <c r="P617" s="127">
        <f t="shared" si="126"/>
        <v>0</v>
      </c>
      <c r="Q617" s="127" t="s">
        <v>1305</v>
      </c>
      <c r="S617" s="127">
        <f t="shared" si="127"/>
        <v>0</v>
      </c>
      <c r="T617" s="127" t="s">
        <v>1305</v>
      </c>
      <c r="V617" s="127">
        <f t="shared" si="128"/>
        <v>0</v>
      </c>
    </row>
    <row r="618" spans="1:22" s="137" customFormat="1" ht="15.75">
      <c r="A618" s="137" t="s">
        <v>1337</v>
      </c>
      <c r="B618" s="135" t="s">
        <v>1150</v>
      </c>
      <c r="C618" s="136">
        <f>'ECONOMIA &amp; PROFESIONES'!C37</f>
        <v>7</v>
      </c>
      <c r="D618" s="180"/>
      <c r="E618" s="137" t="s">
        <v>1305</v>
      </c>
      <c r="G618" s="137">
        <f t="shared" si="129"/>
        <v>0</v>
      </c>
      <c r="H618" s="137" t="s">
        <v>1305</v>
      </c>
      <c r="J618" s="137">
        <f t="shared" si="130"/>
        <v>0</v>
      </c>
      <c r="K618" s="137" t="s">
        <v>1305</v>
      </c>
      <c r="M618" s="137">
        <f t="shared" si="125"/>
        <v>0</v>
      </c>
      <c r="N618" s="137" t="s">
        <v>1305</v>
      </c>
      <c r="P618" s="137">
        <f t="shared" si="126"/>
        <v>0</v>
      </c>
      <c r="Q618" s="137" t="s">
        <v>1305</v>
      </c>
      <c r="S618" s="137">
        <f t="shared" si="127"/>
        <v>0</v>
      </c>
      <c r="T618" s="137" t="s">
        <v>1305</v>
      </c>
      <c r="V618" s="137">
        <f t="shared" si="128"/>
        <v>0</v>
      </c>
    </row>
    <row r="619" spans="1:22" ht="15.75">
      <c r="A619" s="153" t="s">
        <v>1353</v>
      </c>
      <c r="B619" s="125" t="s">
        <v>1151</v>
      </c>
      <c r="C619" s="130">
        <f t="shared" si="131"/>
        <v>7.125</v>
      </c>
      <c r="D619" s="180">
        <v>1</v>
      </c>
      <c r="E619" s="127" t="s">
        <v>1147</v>
      </c>
      <c r="F619" s="13">
        <v>1</v>
      </c>
      <c r="G619" s="127">
        <f t="shared" si="129"/>
        <v>7</v>
      </c>
      <c r="H619" s="127" t="s">
        <v>1208</v>
      </c>
      <c r="I619" s="127">
        <v>1</v>
      </c>
      <c r="J619" s="127">
        <f t="shared" si="130"/>
        <v>0.125</v>
      </c>
      <c r="K619" s="127" t="s">
        <v>1305</v>
      </c>
      <c r="M619" s="127">
        <f t="shared" si="125"/>
        <v>0</v>
      </c>
      <c r="N619" s="127" t="s">
        <v>1305</v>
      </c>
      <c r="P619" s="127">
        <f t="shared" si="126"/>
        <v>0</v>
      </c>
      <c r="Q619" s="127" t="s">
        <v>1305</v>
      </c>
      <c r="S619" s="127">
        <f t="shared" si="127"/>
        <v>0</v>
      </c>
      <c r="T619" s="127" t="s">
        <v>1305</v>
      </c>
      <c r="V619" s="127">
        <f t="shared" si="128"/>
        <v>0</v>
      </c>
    </row>
    <row r="620" spans="1:22" ht="15.75">
      <c r="A620" s="153" t="s">
        <v>1353</v>
      </c>
      <c r="B620" s="125" t="s">
        <v>1152</v>
      </c>
      <c r="C620" s="130">
        <f t="shared" si="131"/>
        <v>33.25</v>
      </c>
      <c r="D620" s="180">
        <v>1</v>
      </c>
      <c r="E620" s="127" t="s">
        <v>1151</v>
      </c>
      <c r="F620" s="13">
        <v>2</v>
      </c>
      <c r="G620" s="127">
        <f t="shared" si="129"/>
        <v>7.125</v>
      </c>
      <c r="H620" s="127" t="s">
        <v>1147</v>
      </c>
      <c r="I620" s="127">
        <v>1</v>
      </c>
      <c r="J620" s="127">
        <f t="shared" si="130"/>
        <v>7</v>
      </c>
      <c r="K620" s="127" t="s">
        <v>1210</v>
      </c>
      <c r="L620" s="127">
        <v>3</v>
      </c>
      <c r="M620" s="127">
        <f t="shared" si="125"/>
        <v>4</v>
      </c>
      <c r="N620" s="127" t="s">
        <v>1305</v>
      </c>
      <c r="P620" s="127">
        <f t="shared" si="126"/>
        <v>0</v>
      </c>
      <c r="Q620" s="127" t="s">
        <v>1305</v>
      </c>
      <c r="S620" s="127">
        <f t="shared" si="127"/>
        <v>0</v>
      </c>
      <c r="T620" s="127" t="s">
        <v>1305</v>
      </c>
      <c r="V620" s="127">
        <f t="shared" si="128"/>
        <v>0</v>
      </c>
    </row>
    <row r="621" spans="1:22" s="140" customFormat="1" ht="15.75">
      <c r="B621" s="138" t="s">
        <v>1153</v>
      </c>
      <c r="C621" s="139">
        <f t="shared" ref="C621:C624" si="135">(G621*F621)+(I621*J621)+(L621*M621)+(O621*P621)+(R621*S621)+(U621*V621)</f>
        <v>0</v>
      </c>
      <c r="D621" s="180"/>
      <c r="E621" s="140" t="s">
        <v>1305</v>
      </c>
      <c r="G621" s="140">
        <f t="shared" si="129"/>
        <v>0</v>
      </c>
      <c r="H621" s="140" t="s">
        <v>1305</v>
      </c>
      <c r="J621" s="140">
        <f t="shared" si="130"/>
        <v>0</v>
      </c>
      <c r="K621" s="140" t="s">
        <v>1305</v>
      </c>
      <c r="M621" s="140">
        <f t="shared" si="125"/>
        <v>0</v>
      </c>
      <c r="N621" s="140" t="s">
        <v>1305</v>
      </c>
      <c r="P621" s="140">
        <f t="shared" si="126"/>
        <v>0</v>
      </c>
      <c r="Q621" s="140" t="s">
        <v>1305</v>
      </c>
      <c r="S621" s="140">
        <f t="shared" si="127"/>
        <v>0</v>
      </c>
      <c r="T621" s="140" t="s">
        <v>1305</v>
      </c>
      <c r="V621" s="140">
        <f t="shared" si="128"/>
        <v>0</v>
      </c>
    </row>
    <row r="622" spans="1:22" s="137" customFormat="1" ht="15.75">
      <c r="A622" s="137" t="s">
        <v>560</v>
      </c>
      <c r="B622" s="135" t="s">
        <v>1154</v>
      </c>
      <c r="C622" s="136">
        <f t="shared" si="135"/>
        <v>0</v>
      </c>
      <c r="D622" s="180"/>
      <c r="E622" s="137" t="s">
        <v>1305</v>
      </c>
      <c r="G622" s="137">
        <f t="shared" si="129"/>
        <v>0</v>
      </c>
      <c r="H622" s="137" t="s">
        <v>1305</v>
      </c>
      <c r="J622" s="137">
        <f t="shared" si="130"/>
        <v>0</v>
      </c>
      <c r="K622" s="137" t="s">
        <v>1305</v>
      </c>
      <c r="M622" s="137">
        <f t="shared" si="125"/>
        <v>0</v>
      </c>
      <c r="N622" s="137" t="s">
        <v>1305</v>
      </c>
      <c r="P622" s="137">
        <f t="shared" si="126"/>
        <v>0</v>
      </c>
      <c r="Q622" s="137" t="s">
        <v>1305</v>
      </c>
      <c r="S622" s="137">
        <f t="shared" si="127"/>
        <v>0</v>
      </c>
      <c r="T622" s="137" t="s">
        <v>1305</v>
      </c>
      <c r="V622" s="137">
        <f t="shared" si="128"/>
        <v>0</v>
      </c>
    </row>
    <row r="623" spans="1:22" s="148" customFormat="1" ht="15.75">
      <c r="A623" s="153" t="s">
        <v>1350</v>
      </c>
      <c r="B623" s="146" t="s">
        <v>1155</v>
      </c>
      <c r="C623" s="147">
        <f>'ECONOMIA &amp; PROFESIONES'!E54</f>
        <v>1</v>
      </c>
      <c r="D623" s="180"/>
      <c r="E623" s="148" t="s">
        <v>1305</v>
      </c>
      <c r="G623" s="148">
        <f t="shared" si="129"/>
        <v>0</v>
      </c>
      <c r="H623" s="148" t="s">
        <v>1305</v>
      </c>
      <c r="J623" s="148">
        <f t="shared" si="130"/>
        <v>0</v>
      </c>
      <c r="K623" s="148" t="s">
        <v>1305</v>
      </c>
      <c r="M623" s="148">
        <f t="shared" si="125"/>
        <v>0</v>
      </c>
      <c r="N623" s="148" t="s">
        <v>1305</v>
      </c>
      <c r="P623" s="148">
        <f t="shared" si="126"/>
        <v>0</v>
      </c>
      <c r="Q623" s="148" t="s">
        <v>1305</v>
      </c>
      <c r="S623" s="148">
        <f t="shared" si="127"/>
        <v>0</v>
      </c>
      <c r="T623" s="148" t="s">
        <v>1305</v>
      </c>
      <c r="V623" s="148">
        <f t="shared" si="128"/>
        <v>0</v>
      </c>
    </row>
    <row r="624" spans="1:22" s="140" customFormat="1" ht="15.75">
      <c r="A624" s="153"/>
      <c r="B624" s="138" t="s">
        <v>1156</v>
      </c>
      <c r="C624" s="139">
        <f t="shared" si="135"/>
        <v>0</v>
      </c>
      <c r="D624" s="180"/>
      <c r="E624" s="140" t="s">
        <v>1305</v>
      </c>
      <c r="G624" s="140">
        <f t="shared" si="129"/>
        <v>0</v>
      </c>
      <c r="H624" s="140" t="s">
        <v>1305</v>
      </c>
      <c r="J624" s="140">
        <f t="shared" si="130"/>
        <v>0</v>
      </c>
      <c r="K624" s="140" t="s">
        <v>1305</v>
      </c>
      <c r="M624" s="140">
        <f t="shared" si="125"/>
        <v>0</v>
      </c>
      <c r="N624" s="140" t="s">
        <v>1305</v>
      </c>
      <c r="P624" s="140">
        <f t="shared" si="126"/>
        <v>0</v>
      </c>
      <c r="Q624" s="140" t="s">
        <v>1305</v>
      </c>
      <c r="S624" s="140">
        <f t="shared" si="127"/>
        <v>0</v>
      </c>
      <c r="T624" s="140" t="s">
        <v>1305</v>
      </c>
      <c r="V624" s="140">
        <f t="shared" si="128"/>
        <v>0</v>
      </c>
    </row>
    <row r="625" spans="1:22" s="137" customFormat="1" ht="15.75">
      <c r="A625" s="137" t="s">
        <v>1342</v>
      </c>
      <c r="B625" s="135" t="s">
        <v>1157</v>
      </c>
      <c r="C625" s="136">
        <f>'ECONOMIA &amp; PROFESIONES'!I33</f>
        <v>3</v>
      </c>
      <c r="D625" s="180"/>
      <c r="E625" s="137" t="s">
        <v>1305</v>
      </c>
      <c r="G625" s="137">
        <f t="shared" si="129"/>
        <v>0</v>
      </c>
      <c r="H625" s="137" t="s">
        <v>1305</v>
      </c>
      <c r="J625" s="137">
        <f t="shared" si="130"/>
        <v>0</v>
      </c>
      <c r="K625" s="137" t="s">
        <v>1305</v>
      </c>
      <c r="M625" s="137">
        <f t="shared" si="125"/>
        <v>0</v>
      </c>
      <c r="N625" s="137" t="s">
        <v>1305</v>
      </c>
      <c r="P625" s="137">
        <f t="shared" si="126"/>
        <v>0</v>
      </c>
      <c r="Q625" s="137" t="s">
        <v>1305</v>
      </c>
      <c r="S625" s="137">
        <f t="shared" si="127"/>
        <v>0</v>
      </c>
      <c r="T625" s="137" t="s">
        <v>1305</v>
      </c>
      <c r="V625" s="137">
        <f t="shared" si="128"/>
        <v>0</v>
      </c>
    </row>
    <row r="626" spans="1:22" s="137" customFormat="1" ht="15.75">
      <c r="A626" s="137" t="s">
        <v>1339</v>
      </c>
      <c r="B626" s="135" t="s">
        <v>1158</v>
      </c>
      <c r="C626" s="136">
        <f>'ECONOMIA &amp; PROFESIONES'!C35</f>
        <v>5</v>
      </c>
      <c r="D626" s="180"/>
      <c r="E626" s="137" t="s">
        <v>1305</v>
      </c>
      <c r="G626" s="137">
        <f t="shared" si="129"/>
        <v>0</v>
      </c>
      <c r="H626" s="137" t="s">
        <v>1305</v>
      </c>
      <c r="J626" s="137">
        <f t="shared" si="130"/>
        <v>0</v>
      </c>
      <c r="K626" s="137" t="s">
        <v>1305</v>
      </c>
      <c r="M626" s="137">
        <f t="shared" si="125"/>
        <v>0</v>
      </c>
      <c r="N626" s="137" t="s">
        <v>1305</v>
      </c>
      <c r="P626" s="137">
        <f t="shared" si="126"/>
        <v>0</v>
      </c>
      <c r="Q626" s="137" t="s">
        <v>1305</v>
      </c>
      <c r="S626" s="137">
        <f t="shared" si="127"/>
        <v>0</v>
      </c>
      <c r="T626" s="137" t="s">
        <v>1305</v>
      </c>
      <c r="V626" s="137">
        <f t="shared" si="128"/>
        <v>0</v>
      </c>
    </row>
    <row r="627" spans="1:22" ht="15.75">
      <c r="A627" s="153" t="s">
        <v>1346</v>
      </c>
      <c r="B627" s="125" t="s">
        <v>1159</v>
      </c>
      <c r="C627" s="130">
        <f t="shared" ref="C627:C633" si="136">((G627*F627)+(I627*J627)+(L627*M627)+(O627*P627)+(R627*S627)+(U627*V627))/D627</f>
        <v>20</v>
      </c>
      <c r="D627" s="180">
        <v>1</v>
      </c>
      <c r="E627" s="127" t="s">
        <v>1158</v>
      </c>
      <c r="F627">
        <v>4</v>
      </c>
      <c r="G627" s="127">
        <f t="shared" si="129"/>
        <v>5</v>
      </c>
      <c r="H627" s="127" t="s">
        <v>1305</v>
      </c>
      <c r="J627" s="127">
        <f t="shared" si="130"/>
        <v>0</v>
      </c>
      <c r="K627" s="127" t="s">
        <v>1305</v>
      </c>
      <c r="M627" s="127">
        <f t="shared" si="125"/>
        <v>0</v>
      </c>
      <c r="N627" s="127" t="s">
        <v>1305</v>
      </c>
      <c r="P627" s="127">
        <f t="shared" si="126"/>
        <v>0</v>
      </c>
      <c r="Q627" s="127" t="s">
        <v>1305</v>
      </c>
      <c r="S627" s="127">
        <f t="shared" si="127"/>
        <v>0</v>
      </c>
      <c r="T627" s="127" t="s">
        <v>1305</v>
      </c>
      <c r="V627" s="127">
        <f t="shared" si="128"/>
        <v>0</v>
      </c>
    </row>
    <row r="628" spans="1:22" ht="15.75">
      <c r="A628" s="153" t="s">
        <v>1346</v>
      </c>
      <c r="B628" s="125" t="s">
        <v>1160</v>
      </c>
      <c r="C628" s="130">
        <f t="shared" si="136"/>
        <v>10</v>
      </c>
      <c r="D628" s="180">
        <v>6</v>
      </c>
      <c r="E628" s="127" t="s">
        <v>1159</v>
      </c>
      <c r="F628">
        <v>3</v>
      </c>
      <c r="G628" s="127">
        <f t="shared" si="129"/>
        <v>20</v>
      </c>
      <c r="H628" s="127" t="s">
        <v>1305</v>
      </c>
      <c r="J628" s="127">
        <f t="shared" si="130"/>
        <v>0</v>
      </c>
      <c r="K628" s="127" t="s">
        <v>1305</v>
      </c>
      <c r="M628" s="127">
        <f t="shared" si="125"/>
        <v>0</v>
      </c>
      <c r="N628" s="127" t="s">
        <v>1305</v>
      </c>
      <c r="P628" s="127">
        <f t="shared" si="126"/>
        <v>0</v>
      </c>
      <c r="Q628" s="127" t="s">
        <v>1305</v>
      </c>
      <c r="S628" s="127">
        <f t="shared" si="127"/>
        <v>0</v>
      </c>
      <c r="T628" s="127" t="s">
        <v>1305</v>
      </c>
      <c r="V628" s="127">
        <f t="shared" si="128"/>
        <v>0</v>
      </c>
    </row>
    <row r="629" spans="1:22" ht="15.75">
      <c r="A629" s="153" t="s">
        <v>1346</v>
      </c>
      <c r="B629" s="125" t="s">
        <v>1161</v>
      </c>
      <c r="C629" s="130">
        <f t="shared" si="136"/>
        <v>30</v>
      </c>
      <c r="D629" s="180">
        <v>4</v>
      </c>
      <c r="E629" s="150" t="s">
        <v>1159</v>
      </c>
      <c r="F629">
        <v>6</v>
      </c>
      <c r="G629" s="127">
        <f t="shared" si="129"/>
        <v>20</v>
      </c>
      <c r="H629" s="127" t="s">
        <v>1305</v>
      </c>
      <c r="J629" s="127">
        <f t="shared" si="130"/>
        <v>0</v>
      </c>
      <c r="K629" s="127" t="s">
        <v>1305</v>
      </c>
      <c r="M629" s="127">
        <f t="shared" si="125"/>
        <v>0</v>
      </c>
      <c r="N629" s="127" t="s">
        <v>1305</v>
      </c>
      <c r="P629" s="127">
        <f t="shared" si="126"/>
        <v>0</v>
      </c>
      <c r="Q629" s="127" t="s">
        <v>1305</v>
      </c>
      <c r="S629" s="127">
        <f t="shared" si="127"/>
        <v>0</v>
      </c>
      <c r="T629" s="127" t="s">
        <v>1305</v>
      </c>
      <c r="V629" s="127">
        <f t="shared" si="128"/>
        <v>0</v>
      </c>
    </row>
    <row r="630" spans="1:22" ht="15.75">
      <c r="A630" s="153" t="s">
        <v>1346</v>
      </c>
      <c r="B630" s="125" t="s">
        <v>1162</v>
      </c>
      <c r="C630" s="130">
        <f t="shared" si="136"/>
        <v>20</v>
      </c>
      <c r="D630" s="180">
        <v>6</v>
      </c>
      <c r="E630" s="150" t="s">
        <v>1159</v>
      </c>
      <c r="F630">
        <v>6</v>
      </c>
      <c r="G630" s="127">
        <f t="shared" ref="G630:G691" si="137">VLOOKUP(E630,IDPOINTS,2,FALSE)</f>
        <v>20</v>
      </c>
      <c r="H630" s="127" t="s">
        <v>1305</v>
      </c>
      <c r="J630" s="127">
        <f t="shared" ref="J630:J691" si="138">VLOOKUP(H630,IDPOINTS,2,FALSE)</f>
        <v>0</v>
      </c>
      <c r="K630" s="127" t="s">
        <v>1305</v>
      </c>
      <c r="M630" s="127">
        <f t="shared" ref="M630:M691" si="139">VLOOKUP(K630,IDPOINTS,2,FALSE)</f>
        <v>0</v>
      </c>
      <c r="N630" s="127" t="s">
        <v>1305</v>
      </c>
      <c r="P630" s="127">
        <f t="shared" ref="P630:P691" si="140">VLOOKUP(N630,IDPOINTS,2,FALSE)</f>
        <v>0</v>
      </c>
      <c r="Q630" s="127" t="s">
        <v>1305</v>
      </c>
      <c r="S630" s="127">
        <f t="shared" ref="S630:S691" si="141">VLOOKUP(Q630,IDPOINTS,2,FALSE)</f>
        <v>0</v>
      </c>
      <c r="T630" s="127" t="s">
        <v>1305</v>
      </c>
      <c r="V630" s="127">
        <f t="shared" ref="V630:V691" si="142">VLOOKUP(T630,IDPOINTS,2,FALSE)</f>
        <v>0</v>
      </c>
    </row>
    <row r="631" spans="1:22" ht="15.75">
      <c r="A631" s="153" t="s">
        <v>1345</v>
      </c>
      <c r="B631" s="125" t="s">
        <v>1163</v>
      </c>
      <c r="C631" s="130">
        <f t="shared" si="136"/>
        <v>5.25</v>
      </c>
      <c r="D631" s="180">
        <v>6</v>
      </c>
      <c r="E631" s="127" t="s">
        <v>1224</v>
      </c>
      <c r="F631">
        <v>1</v>
      </c>
      <c r="G631" s="127">
        <f t="shared" si="137"/>
        <v>1.5</v>
      </c>
      <c r="H631" s="127" t="s">
        <v>562</v>
      </c>
      <c r="I631" s="127">
        <v>6</v>
      </c>
      <c r="J631" s="127">
        <f t="shared" si="138"/>
        <v>5</v>
      </c>
      <c r="K631" s="127" t="s">
        <v>1305</v>
      </c>
      <c r="M631" s="127">
        <f t="shared" si="139"/>
        <v>0</v>
      </c>
      <c r="N631" s="127" t="s">
        <v>1305</v>
      </c>
      <c r="P631" s="127">
        <f t="shared" si="140"/>
        <v>0</v>
      </c>
      <c r="Q631" s="127" t="s">
        <v>1305</v>
      </c>
      <c r="S631" s="127">
        <f t="shared" si="141"/>
        <v>0</v>
      </c>
      <c r="T631" s="127" t="s">
        <v>1305</v>
      </c>
      <c r="V631" s="127">
        <f t="shared" si="142"/>
        <v>0</v>
      </c>
    </row>
    <row r="632" spans="1:22" ht="15.75">
      <c r="A632" s="153" t="s">
        <v>1352</v>
      </c>
      <c r="B632" s="125" t="s">
        <v>1164</v>
      </c>
      <c r="C632" s="130">
        <f t="shared" si="136"/>
        <v>8</v>
      </c>
      <c r="D632" s="180">
        <v>1</v>
      </c>
      <c r="E632" s="127" t="s">
        <v>1167</v>
      </c>
      <c r="F632">
        <v>4</v>
      </c>
      <c r="G632" s="127">
        <f t="shared" si="137"/>
        <v>2</v>
      </c>
      <c r="H632" s="127" t="s">
        <v>1305</v>
      </c>
      <c r="J632" s="127">
        <f t="shared" si="138"/>
        <v>0</v>
      </c>
      <c r="K632" s="127" t="s">
        <v>1305</v>
      </c>
      <c r="M632" s="127">
        <f t="shared" si="139"/>
        <v>0</v>
      </c>
      <c r="N632" s="127" t="s">
        <v>1305</v>
      </c>
      <c r="P632" s="127">
        <f t="shared" si="140"/>
        <v>0</v>
      </c>
      <c r="Q632" s="127" t="s">
        <v>1305</v>
      </c>
      <c r="S632" s="127">
        <f t="shared" si="141"/>
        <v>0</v>
      </c>
      <c r="T632" s="127" t="s">
        <v>1305</v>
      </c>
      <c r="V632" s="127">
        <f t="shared" si="142"/>
        <v>0</v>
      </c>
    </row>
    <row r="633" spans="1:22" ht="15.75">
      <c r="A633" s="153" t="s">
        <v>1346</v>
      </c>
      <c r="B633" s="125" t="s">
        <v>1165</v>
      </c>
      <c r="C633" s="130">
        <f t="shared" si="136"/>
        <v>40.5</v>
      </c>
      <c r="D633" s="180">
        <v>1</v>
      </c>
      <c r="E633" s="127" t="s">
        <v>1090</v>
      </c>
      <c r="F633">
        <v>4</v>
      </c>
      <c r="G633" s="127">
        <f t="shared" si="137"/>
        <v>4.5</v>
      </c>
      <c r="H633" s="127" t="s">
        <v>1089</v>
      </c>
      <c r="I633" s="127">
        <v>5</v>
      </c>
      <c r="J633" s="127">
        <f t="shared" si="138"/>
        <v>4.5</v>
      </c>
      <c r="K633" s="127" t="s">
        <v>1305</v>
      </c>
      <c r="M633" s="127">
        <f t="shared" si="139"/>
        <v>0</v>
      </c>
      <c r="N633" s="127" t="s">
        <v>1305</v>
      </c>
      <c r="P633" s="127">
        <f t="shared" si="140"/>
        <v>0</v>
      </c>
      <c r="Q633" s="127" t="s">
        <v>1305</v>
      </c>
      <c r="S633" s="127">
        <f t="shared" si="141"/>
        <v>0</v>
      </c>
      <c r="T633" s="127" t="s">
        <v>1305</v>
      </c>
      <c r="V633" s="127">
        <f t="shared" si="142"/>
        <v>0</v>
      </c>
    </row>
    <row r="634" spans="1:22" s="137" customFormat="1" ht="15.75">
      <c r="A634" s="137" t="s">
        <v>560</v>
      </c>
      <c r="B634" s="135" t="s">
        <v>1166</v>
      </c>
      <c r="C634" s="136">
        <f>'ECONOMIA &amp; PROFESIONES'!G36</f>
        <v>5</v>
      </c>
      <c r="D634" s="180"/>
      <c r="E634" s="137" t="s">
        <v>1305</v>
      </c>
      <c r="G634" s="137">
        <f t="shared" si="137"/>
        <v>0</v>
      </c>
      <c r="H634" s="137" t="s">
        <v>1305</v>
      </c>
      <c r="J634" s="137">
        <f t="shared" si="138"/>
        <v>0</v>
      </c>
      <c r="K634" s="137" t="s">
        <v>1305</v>
      </c>
      <c r="M634" s="137">
        <f t="shared" si="139"/>
        <v>0</v>
      </c>
      <c r="N634" s="137" t="s">
        <v>1305</v>
      </c>
      <c r="P634" s="137">
        <f t="shared" si="140"/>
        <v>0</v>
      </c>
      <c r="Q634" s="137" t="s">
        <v>1305</v>
      </c>
      <c r="S634" s="137">
        <f t="shared" si="141"/>
        <v>0</v>
      </c>
      <c r="T634" s="137" t="s">
        <v>1305</v>
      </c>
      <c r="V634" s="137">
        <f t="shared" si="142"/>
        <v>0</v>
      </c>
    </row>
    <row r="635" spans="1:22" s="137" customFormat="1" ht="15.75">
      <c r="A635" s="137" t="s">
        <v>560</v>
      </c>
      <c r="B635" s="135" t="s">
        <v>1167</v>
      </c>
      <c r="C635" s="136">
        <v>2</v>
      </c>
      <c r="D635" s="180"/>
      <c r="E635" s="137" t="s">
        <v>1305</v>
      </c>
      <c r="G635" s="137">
        <f t="shared" si="137"/>
        <v>0</v>
      </c>
      <c r="H635" s="137" t="s">
        <v>1305</v>
      </c>
      <c r="J635" s="137">
        <f t="shared" si="138"/>
        <v>0</v>
      </c>
      <c r="K635" s="137" t="s">
        <v>1305</v>
      </c>
      <c r="M635" s="137">
        <f t="shared" si="139"/>
        <v>0</v>
      </c>
      <c r="N635" s="137" t="s">
        <v>1305</v>
      </c>
      <c r="P635" s="137">
        <f t="shared" si="140"/>
        <v>0</v>
      </c>
      <c r="Q635" s="137" t="s">
        <v>1305</v>
      </c>
      <c r="S635" s="137">
        <f t="shared" si="141"/>
        <v>0</v>
      </c>
      <c r="T635" s="137" t="s">
        <v>1305</v>
      </c>
      <c r="V635" s="137">
        <f t="shared" si="142"/>
        <v>0</v>
      </c>
    </row>
    <row r="636" spans="1:22" ht="15.75">
      <c r="A636" s="153" t="s">
        <v>1343</v>
      </c>
      <c r="B636" s="125" t="s">
        <v>1168</v>
      </c>
      <c r="C636" s="130">
        <f t="shared" ref="C636:C655" si="143">((G636*F636)+(I636*J636)+(L636*M636)+(O636*P636)+(R636*S636)+(U636*V636))/D636</f>
        <v>16</v>
      </c>
      <c r="D636" s="180">
        <v>1</v>
      </c>
      <c r="E636" s="127" t="s">
        <v>896</v>
      </c>
      <c r="F636">
        <v>2</v>
      </c>
      <c r="G636" s="127">
        <f t="shared" si="137"/>
        <v>8</v>
      </c>
      <c r="H636" s="127" t="s">
        <v>1305</v>
      </c>
      <c r="J636" s="127">
        <f t="shared" si="138"/>
        <v>0</v>
      </c>
      <c r="K636" s="127" t="s">
        <v>1305</v>
      </c>
      <c r="M636" s="127">
        <f t="shared" si="139"/>
        <v>0</v>
      </c>
      <c r="N636" s="127" t="s">
        <v>1305</v>
      </c>
      <c r="P636" s="127">
        <f t="shared" si="140"/>
        <v>0</v>
      </c>
      <c r="Q636" s="127" t="s">
        <v>1305</v>
      </c>
      <c r="S636" s="127">
        <f t="shared" si="141"/>
        <v>0</v>
      </c>
      <c r="T636" s="127" t="s">
        <v>1305</v>
      </c>
      <c r="V636" s="127">
        <f t="shared" si="142"/>
        <v>0</v>
      </c>
    </row>
    <row r="637" spans="1:22" ht="15.75">
      <c r="A637" s="153" t="s">
        <v>1344</v>
      </c>
      <c r="B637" s="125" t="s">
        <v>1169</v>
      </c>
      <c r="C637" s="130">
        <f t="shared" si="143"/>
        <v>9.5</v>
      </c>
      <c r="D637" s="180">
        <v>1</v>
      </c>
      <c r="E637" s="127" t="s">
        <v>896</v>
      </c>
      <c r="F637">
        <v>1</v>
      </c>
      <c r="G637" s="127">
        <f t="shared" si="137"/>
        <v>8</v>
      </c>
      <c r="H637" s="127" t="s">
        <v>1026</v>
      </c>
      <c r="I637" s="127">
        <v>6</v>
      </c>
      <c r="J637" s="127">
        <f t="shared" si="138"/>
        <v>0.25</v>
      </c>
      <c r="K637" s="127" t="s">
        <v>1305</v>
      </c>
      <c r="M637" s="127">
        <f t="shared" si="139"/>
        <v>0</v>
      </c>
      <c r="N637" s="127" t="s">
        <v>1305</v>
      </c>
      <c r="P637" s="127">
        <f t="shared" si="140"/>
        <v>0</v>
      </c>
      <c r="Q637" s="127" t="s">
        <v>1305</v>
      </c>
      <c r="S637" s="127">
        <f t="shared" si="141"/>
        <v>0</v>
      </c>
      <c r="T637" s="127" t="s">
        <v>1305</v>
      </c>
      <c r="V637" s="127">
        <f t="shared" si="142"/>
        <v>0</v>
      </c>
    </row>
    <row r="638" spans="1:22" ht="15.75">
      <c r="A638" s="153" t="s">
        <v>1345</v>
      </c>
      <c r="B638" s="125" t="s">
        <v>1170</v>
      </c>
      <c r="C638" s="130">
        <v>11</v>
      </c>
      <c r="D638" s="180">
        <v>1</v>
      </c>
      <c r="E638" s="127" t="s">
        <v>659</v>
      </c>
      <c r="F638">
        <v>1</v>
      </c>
      <c r="G638" s="127">
        <f t="shared" si="137"/>
        <v>2</v>
      </c>
      <c r="H638" s="127" t="s">
        <v>1171</v>
      </c>
      <c r="I638" s="127">
        <v>2</v>
      </c>
      <c r="J638" s="127">
        <f t="shared" si="138"/>
        <v>9</v>
      </c>
      <c r="K638" s="127" t="s">
        <v>1305</v>
      </c>
      <c r="M638" s="127">
        <f t="shared" si="139"/>
        <v>0</v>
      </c>
      <c r="N638" s="127" t="s">
        <v>1305</v>
      </c>
      <c r="P638" s="127">
        <f t="shared" si="140"/>
        <v>0</v>
      </c>
      <c r="Q638" s="127" t="s">
        <v>1305</v>
      </c>
      <c r="S638" s="127">
        <f t="shared" si="141"/>
        <v>0</v>
      </c>
      <c r="T638" s="127" t="s">
        <v>1305</v>
      </c>
      <c r="V638" s="127">
        <f t="shared" si="142"/>
        <v>0</v>
      </c>
    </row>
    <row r="639" spans="1:22" s="148" customFormat="1" ht="15.75">
      <c r="A639" s="137" t="s">
        <v>1341</v>
      </c>
      <c r="B639" s="146" t="s">
        <v>1171</v>
      </c>
      <c r="C639" s="147">
        <f>'ECONOMIA &amp; PROFESIONES'!C65</f>
        <v>9</v>
      </c>
      <c r="D639" s="180"/>
      <c r="E639" s="148" t="s">
        <v>1305</v>
      </c>
      <c r="G639" s="148">
        <f t="shared" si="137"/>
        <v>0</v>
      </c>
      <c r="H639" s="148" t="s">
        <v>1305</v>
      </c>
      <c r="J639" s="148">
        <f t="shared" si="138"/>
        <v>0</v>
      </c>
      <c r="K639" s="148" t="s">
        <v>1305</v>
      </c>
      <c r="M639" s="148">
        <f t="shared" si="139"/>
        <v>0</v>
      </c>
      <c r="N639" s="148" t="s">
        <v>1305</v>
      </c>
      <c r="P639" s="148">
        <f t="shared" si="140"/>
        <v>0</v>
      </c>
      <c r="Q639" s="148" t="s">
        <v>1305</v>
      </c>
      <c r="S639" s="148">
        <f t="shared" si="141"/>
        <v>0</v>
      </c>
      <c r="T639" s="148" t="s">
        <v>1305</v>
      </c>
      <c r="V639" s="148">
        <f t="shared" si="142"/>
        <v>0</v>
      </c>
    </row>
    <row r="640" spans="1:22" ht="15.75">
      <c r="A640" s="153"/>
      <c r="B640" s="125" t="s">
        <v>1172</v>
      </c>
      <c r="C640" s="130">
        <f t="shared" si="143"/>
        <v>7.25</v>
      </c>
      <c r="D640" s="180">
        <v>1</v>
      </c>
      <c r="E640" s="127" t="s">
        <v>1051</v>
      </c>
      <c r="F640">
        <v>1</v>
      </c>
      <c r="G640" s="127">
        <f t="shared" si="137"/>
        <v>5</v>
      </c>
      <c r="H640" s="127" t="s">
        <v>1276</v>
      </c>
      <c r="I640" s="127">
        <v>1</v>
      </c>
      <c r="J640" s="127">
        <f t="shared" si="138"/>
        <v>2.25</v>
      </c>
      <c r="K640" s="127" t="s">
        <v>1305</v>
      </c>
      <c r="M640" s="127">
        <f t="shared" si="139"/>
        <v>0</v>
      </c>
      <c r="N640" s="127" t="s">
        <v>1305</v>
      </c>
      <c r="P640" s="127">
        <f t="shared" si="140"/>
        <v>0</v>
      </c>
      <c r="Q640" s="127" t="s">
        <v>1305</v>
      </c>
      <c r="S640" s="127">
        <f t="shared" si="141"/>
        <v>0</v>
      </c>
      <c r="T640" s="127" t="s">
        <v>1305</v>
      </c>
      <c r="V640" s="127">
        <f t="shared" si="142"/>
        <v>0</v>
      </c>
    </row>
    <row r="641" spans="1:22" s="148" customFormat="1" ht="15.75">
      <c r="A641" s="137" t="s">
        <v>1341</v>
      </c>
      <c r="B641" s="146" t="s">
        <v>1173</v>
      </c>
      <c r="C641" s="147">
        <f>'ECONOMIA &amp; PROFESIONES'!E60</f>
        <v>7</v>
      </c>
      <c r="D641" s="180"/>
      <c r="E641" s="148" t="s">
        <v>1305</v>
      </c>
      <c r="G641" s="148">
        <f t="shared" si="137"/>
        <v>0</v>
      </c>
      <c r="H641" s="148" t="s">
        <v>1305</v>
      </c>
      <c r="J641" s="148">
        <f t="shared" si="138"/>
        <v>0</v>
      </c>
      <c r="K641" s="148" t="s">
        <v>1305</v>
      </c>
      <c r="M641" s="148">
        <f t="shared" si="139"/>
        <v>0</v>
      </c>
      <c r="N641" s="148" t="s">
        <v>1305</v>
      </c>
      <c r="P641" s="148">
        <f t="shared" si="140"/>
        <v>0</v>
      </c>
      <c r="Q641" s="148" t="s">
        <v>1305</v>
      </c>
      <c r="S641" s="148">
        <f t="shared" si="141"/>
        <v>0</v>
      </c>
      <c r="T641" s="148" t="s">
        <v>1305</v>
      </c>
      <c r="V641" s="148">
        <f t="shared" si="142"/>
        <v>0</v>
      </c>
    </row>
    <row r="642" spans="1:22" ht="15.75">
      <c r="A642" s="153" t="s">
        <v>1346</v>
      </c>
      <c r="B642" s="125" t="s">
        <v>1174</v>
      </c>
      <c r="C642" s="130">
        <f t="shared" si="143"/>
        <v>63</v>
      </c>
      <c r="D642" s="180">
        <v>1</v>
      </c>
      <c r="E642" s="127" t="s">
        <v>1173</v>
      </c>
      <c r="F642">
        <v>9</v>
      </c>
      <c r="G642" s="127">
        <f t="shared" si="137"/>
        <v>7</v>
      </c>
      <c r="H642" s="127" t="s">
        <v>1305</v>
      </c>
      <c r="J642" s="127">
        <f t="shared" si="138"/>
        <v>0</v>
      </c>
      <c r="K642" s="127" t="s">
        <v>1305</v>
      </c>
      <c r="M642" s="127">
        <f t="shared" si="139"/>
        <v>0</v>
      </c>
      <c r="N642" s="127" t="s">
        <v>1305</v>
      </c>
      <c r="P642" s="127">
        <f t="shared" si="140"/>
        <v>0</v>
      </c>
      <c r="Q642" s="127" t="s">
        <v>1305</v>
      </c>
      <c r="S642" s="127">
        <f t="shared" si="141"/>
        <v>0</v>
      </c>
      <c r="T642" s="127" t="s">
        <v>1305</v>
      </c>
      <c r="V642" s="127">
        <f t="shared" si="142"/>
        <v>0</v>
      </c>
    </row>
    <row r="643" spans="1:22" ht="15.75">
      <c r="A643" s="153" t="s">
        <v>1343</v>
      </c>
      <c r="B643" s="125" t="s">
        <v>1175</v>
      </c>
      <c r="C643" s="130">
        <f t="shared" si="143"/>
        <v>17</v>
      </c>
      <c r="D643" s="180">
        <v>1</v>
      </c>
      <c r="E643" s="127" t="s">
        <v>896</v>
      </c>
      <c r="F643" s="13">
        <v>2</v>
      </c>
      <c r="G643" s="127">
        <f t="shared" si="137"/>
        <v>8</v>
      </c>
      <c r="H643" s="127" t="s">
        <v>1026</v>
      </c>
      <c r="I643" s="127">
        <v>4</v>
      </c>
      <c r="J643" s="127">
        <f t="shared" si="138"/>
        <v>0.25</v>
      </c>
      <c r="K643" s="127" t="s">
        <v>1305</v>
      </c>
      <c r="M643" s="127">
        <f t="shared" si="139"/>
        <v>0</v>
      </c>
      <c r="N643" s="127" t="s">
        <v>1305</v>
      </c>
      <c r="P643" s="127">
        <f t="shared" si="140"/>
        <v>0</v>
      </c>
      <c r="Q643" s="127" t="s">
        <v>1305</v>
      </c>
      <c r="S643" s="127">
        <f t="shared" si="141"/>
        <v>0</v>
      </c>
      <c r="T643" s="127" t="s">
        <v>1305</v>
      </c>
      <c r="V643" s="127">
        <f t="shared" si="142"/>
        <v>0</v>
      </c>
    </row>
    <row r="644" spans="1:22" ht="15.75">
      <c r="A644" s="153" t="s">
        <v>1343</v>
      </c>
      <c r="B644" s="125" t="s">
        <v>1176</v>
      </c>
      <c r="C644" s="130">
        <f t="shared" si="143"/>
        <v>12</v>
      </c>
      <c r="D644" s="180">
        <v>1</v>
      </c>
      <c r="E644" s="127" t="s">
        <v>811</v>
      </c>
      <c r="F644" s="13">
        <v>1</v>
      </c>
      <c r="G644" s="127">
        <f t="shared" si="137"/>
        <v>8</v>
      </c>
      <c r="H644" s="127" t="s">
        <v>1025</v>
      </c>
      <c r="I644" s="127">
        <v>4</v>
      </c>
      <c r="J644" s="127">
        <f t="shared" si="138"/>
        <v>1</v>
      </c>
      <c r="K644" s="127" t="s">
        <v>1305</v>
      </c>
      <c r="M644" s="127">
        <f t="shared" si="139"/>
        <v>0</v>
      </c>
      <c r="N644" s="127" t="s">
        <v>1305</v>
      </c>
      <c r="P644" s="127">
        <f t="shared" si="140"/>
        <v>0</v>
      </c>
      <c r="Q644" s="127" t="s">
        <v>1305</v>
      </c>
      <c r="S644" s="127">
        <f t="shared" si="141"/>
        <v>0</v>
      </c>
      <c r="T644" s="127" t="s">
        <v>1305</v>
      </c>
      <c r="V644" s="127">
        <f t="shared" si="142"/>
        <v>0</v>
      </c>
    </row>
    <row r="645" spans="1:22" ht="15.75">
      <c r="A645" s="153" t="s">
        <v>1346</v>
      </c>
      <c r="B645" s="125" t="s">
        <v>1177</v>
      </c>
      <c r="C645" s="130">
        <f t="shared" si="143"/>
        <v>39</v>
      </c>
      <c r="D645" s="180">
        <v>1</v>
      </c>
      <c r="E645" s="127" t="s">
        <v>1115</v>
      </c>
      <c r="F645" s="13">
        <v>1</v>
      </c>
      <c r="G645" s="127">
        <f t="shared" si="137"/>
        <v>36</v>
      </c>
      <c r="H645" s="127" t="s">
        <v>672</v>
      </c>
      <c r="I645" s="127">
        <v>1</v>
      </c>
      <c r="J645" s="127">
        <f t="shared" si="138"/>
        <v>3</v>
      </c>
      <c r="K645" s="127" t="s">
        <v>1305</v>
      </c>
      <c r="M645" s="127">
        <f t="shared" si="139"/>
        <v>0</v>
      </c>
      <c r="N645" s="127" t="s">
        <v>1305</v>
      </c>
      <c r="P645" s="127">
        <f t="shared" si="140"/>
        <v>0</v>
      </c>
      <c r="Q645" s="127" t="s">
        <v>1305</v>
      </c>
      <c r="S645" s="127">
        <f t="shared" si="141"/>
        <v>0</v>
      </c>
      <c r="T645" s="127" t="s">
        <v>1305</v>
      </c>
      <c r="V645" s="127">
        <f t="shared" si="142"/>
        <v>0</v>
      </c>
    </row>
    <row r="646" spans="1:22" ht="15.75">
      <c r="A646" s="153" t="s">
        <v>1346</v>
      </c>
      <c r="B646" s="125" t="s">
        <v>1178</v>
      </c>
      <c r="C646" s="130">
        <f t="shared" si="143"/>
        <v>19.5</v>
      </c>
      <c r="D646" s="180">
        <v>6</v>
      </c>
      <c r="E646" s="127" t="s">
        <v>1177</v>
      </c>
      <c r="F646" s="13">
        <v>3</v>
      </c>
      <c r="G646" s="127">
        <f t="shared" si="137"/>
        <v>39</v>
      </c>
      <c r="H646" s="127" t="s">
        <v>1305</v>
      </c>
      <c r="J646" s="127">
        <f t="shared" si="138"/>
        <v>0</v>
      </c>
      <c r="K646" s="127" t="s">
        <v>1305</v>
      </c>
      <c r="M646" s="127">
        <f t="shared" si="139"/>
        <v>0</v>
      </c>
      <c r="N646" s="127" t="s">
        <v>1305</v>
      </c>
      <c r="P646" s="127">
        <f t="shared" si="140"/>
        <v>0</v>
      </c>
      <c r="Q646" s="127" t="s">
        <v>1305</v>
      </c>
      <c r="S646" s="127">
        <f t="shared" si="141"/>
        <v>0</v>
      </c>
      <c r="T646" s="127" t="s">
        <v>1305</v>
      </c>
      <c r="V646" s="127">
        <f t="shared" si="142"/>
        <v>0</v>
      </c>
    </row>
    <row r="647" spans="1:22" ht="15.75">
      <c r="A647" s="153" t="s">
        <v>1346</v>
      </c>
      <c r="B647" s="125" t="s">
        <v>1179</v>
      </c>
      <c r="C647" s="130">
        <f t="shared" si="143"/>
        <v>58.5</v>
      </c>
      <c r="D647" s="180">
        <v>4</v>
      </c>
      <c r="E647" s="127" t="s">
        <v>1177</v>
      </c>
      <c r="F647" s="13">
        <v>6</v>
      </c>
      <c r="G647" s="127">
        <f t="shared" si="137"/>
        <v>39</v>
      </c>
      <c r="H647" s="127" t="s">
        <v>1305</v>
      </c>
      <c r="J647" s="127">
        <f t="shared" si="138"/>
        <v>0</v>
      </c>
      <c r="K647" s="127" t="s">
        <v>1305</v>
      </c>
      <c r="M647" s="127">
        <f t="shared" si="139"/>
        <v>0</v>
      </c>
      <c r="N647" s="127" t="s">
        <v>1305</v>
      </c>
      <c r="P647" s="127">
        <f t="shared" si="140"/>
        <v>0</v>
      </c>
      <c r="Q647" s="127" t="s">
        <v>1305</v>
      </c>
      <c r="S647" s="127">
        <f t="shared" si="141"/>
        <v>0</v>
      </c>
      <c r="T647" s="127" t="s">
        <v>1305</v>
      </c>
      <c r="V647" s="127">
        <f t="shared" si="142"/>
        <v>0</v>
      </c>
    </row>
    <row r="648" spans="1:22" ht="15.75">
      <c r="A648" s="153" t="s">
        <v>1346</v>
      </c>
      <c r="B648" s="125" t="s">
        <v>1180</v>
      </c>
      <c r="C648" s="130">
        <f t="shared" si="143"/>
        <v>31</v>
      </c>
      <c r="D648" s="180">
        <v>1</v>
      </c>
      <c r="E648" s="127" t="s">
        <v>1137</v>
      </c>
      <c r="F648" s="13">
        <v>1</v>
      </c>
      <c r="G648" s="127">
        <f t="shared" si="137"/>
        <v>28</v>
      </c>
      <c r="H648" s="127" t="s">
        <v>672</v>
      </c>
      <c r="I648" s="127">
        <v>1</v>
      </c>
      <c r="J648" s="127">
        <f t="shared" si="138"/>
        <v>3</v>
      </c>
      <c r="K648" s="127" t="s">
        <v>1305</v>
      </c>
      <c r="M648" s="127">
        <f t="shared" si="139"/>
        <v>0</v>
      </c>
      <c r="N648" s="127" t="s">
        <v>1305</v>
      </c>
      <c r="P648" s="127">
        <f t="shared" si="140"/>
        <v>0</v>
      </c>
      <c r="Q648" s="127" t="s">
        <v>1305</v>
      </c>
      <c r="S648" s="127">
        <f t="shared" si="141"/>
        <v>0</v>
      </c>
      <c r="T648" s="127" t="s">
        <v>1305</v>
      </c>
      <c r="V648" s="127">
        <f t="shared" si="142"/>
        <v>0</v>
      </c>
    </row>
    <row r="649" spans="1:22" ht="15.75">
      <c r="A649" s="153" t="s">
        <v>1346</v>
      </c>
      <c r="B649" s="125" t="s">
        <v>1181</v>
      </c>
      <c r="C649" s="130">
        <f t="shared" si="143"/>
        <v>15.5</v>
      </c>
      <c r="D649" s="180">
        <v>6</v>
      </c>
      <c r="E649" s="127" t="s">
        <v>1180</v>
      </c>
      <c r="F649" s="13">
        <v>3</v>
      </c>
      <c r="G649" s="127">
        <f t="shared" si="137"/>
        <v>31</v>
      </c>
      <c r="H649" s="127" t="s">
        <v>1305</v>
      </c>
      <c r="J649" s="127">
        <f t="shared" si="138"/>
        <v>0</v>
      </c>
      <c r="K649" s="127" t="s">
        <v>1305</v>
      </c>
      <c r="M649" s="127">
        <f t="shared" si="139"/>
        <v>0</v>
      </c>
      <c r="N649" s="127" t="s">
        <v>1305</v>
      </c>
      <c r="P649" s="127">
        <f t="shared" si="140"/>
        <v>0</v>
      </c>
      <c r="Q649" s="127" t="s">
        <v>1305</v>
      </c>
      <c r="S649" s="127">
        <f t="shared" si="141"/>
        <v>0</v>
      </c>
      <c r="T649" s="127" t="s">
        <v>1305</v>
      </c>
      <c r="V649" s="127">
        <f t="shared" si="142"/>
        <v>0</v>
      </c>
    </row>
    <row r="650" spans="1:22" ht="15.75">
      <c r="A650" s="153" t="s">
        <v>1346</v>
      </c>
      <c r="B650" s="125" t="s">
        <v>1182</v>
      </c>
      <c r="C650" s="130">
        <f t="shared" si="143"/>
        <v>46.5</v>
      </c>
      <c r="D650" s="180">
        <v>4</v>
      </c>
      <c r="E650" s="127" t="s">
        <v>1180</v>
      </c>
      <c r="F650" s="13">
        <v>6</v>
      </c>
      <c r="G650" s="127">
        <f t="shared" si="137"/>
        <v>31</v>
      </c>
      <c r="H650" s="127" t="s">
        <v>1305</v>
      </c>
      <c r="J650" s="127">
        <f t="shared" si="138"/>
        <v>0</v>
      </c>
      <c r="K650" s="127" t="s">
        <v>1305</v>
      </c>
      <c r="M650" s="127">
        <f t="shared" si="139"/>
        <v>0</v>
      </c>
      <c r="N650" s="127" t="s">
        <v>1305</v>
      </c>
      <c r="P650" s="127">
        <f t="shared" si="140"/>
        <v>0</v>
      </c>
      <c r="Q650" s="127" t="s">
        <v>1305</v>
      </c>
      <c r="S650" s="127">
        <f t="shared" si="141"/>
        <v>0</v>
      </c>
      <c r="T650" s="127" t="s">
        <v>1305</v>
      </c>
      <c r="V650" s="127">
        <f t="shared" si="142"/>
        <v>0</v>
      </c>
    </row>
    <row r="651" spans="1:22" ht="15.75">
      <c r="A651" s="153" t="s">
        <v>1346</v>
      </c>
      <c r="B651" s="125" t="s">
        <v>1183</v>
      </c>
      <c r="C651" s="130">
        <f t="shared" si="143"/>
        <v>23</v>
      </c>
      <c r="D651" s="180">
        <v>1</v>
      </c>
      <c r="E651" s="127" t="s">
        <v>1159</v>
      </c>
      <c r="F651" s="13">
        <v>1</v>
      </c>
      <c r="G651" s="127">
        <f t="shared" si="137"/>
        <v>20</v>
      </c>
      <c r="H651" s="127" t="s">
        <v>672</v>
      </c>
      <c r="I651" s="127">
        <v>1</v>
      </c>
      <c r="J651" s="127">
        <f t="shared" si="138"/>
        <v>3</v>
      </c>
      <c r="K651" s="127" t="s">
        <v>1305</v>
      </c>
      <c r="M651" s="127">
        <f t="shared" si="139"/>
        <v>0</v>
      </c>
      <c r="N651" s="127" t="s">
        <v>1305</v>
      </c>
      <c r="P651" s="127">
        <f t="shared" si="140"/>
        <v>0</v>
      </c>
      <c r="Q651" s="127" t="s">
        <v>1305</v>
      </c>
      <c r="S651" s="127">
        <f t="shared" si="141"/>
        <v>0</v>
      </c>
      <c r="T651" s="127" t="s">
        <v>1305</v>
      </c>
      <c r="V651" s="127">
        <f t="shared" si="142"/>
        <v>0</v>
      </c>
    </row>
    <row r="652" spans="1:22" ht="15.75">
      <c r="A652" s="153" t="s">
        <v>1346</v>
      </c>
      <c r="B652" s="125" t="s">
        <v>1184</v>
      </c>
      <c r="C652" s="130">
        <f t="shared" si="143"/>
        <v>11.5</v>
      </c>
      <c r="D652" s="180">
        <v>6</v>
      </c>
      <c r="E652" s="127" t="s">
        <v>1183</v>
      </c>
      <c r="F652" s="13">
        <v>3</v>
      </c>
      <c r="G652" s="127">
        <f t="shared" si="137"/>
        <v>23</v>
      </c>
      <c r="H652" s="127" t="s">
        <v>1305</v>
      </c>
      <c r="J652" s="127">
        <f t="shared" si="138"/>
        <v>0</v>
      </c>
      <c r="K652" s="127" t="s">
        <v>1305</v>
      </c>
      <c r="M652" s="127">
        <f t="shared" si="139"/>
        <v>0</v>
      </c>
      <c r="N652" s="127" t="s">
        <v>1305</v>
      </c>
      <c r="P652" s="127">
        <f t="shared" si="140"/>
        <v>0</v>
      </c>
      <c r="Q652" s="127" t="s">
        <v>1305</v>
      </c>
      <c r="S652" s="127">
        <f t="shared" si="141"/>
        <v>0</v>
      </c>
      <c r="T652" s="127" t="s">
        <v>1305</v>
      </c>
      <c r="V652" s="127">
        <f t="shared" si="142"/>
        <v>0</v>
      </c>
    </row>
    <row r="653" spans="1:22" ht="15.75">
      <c r="A653" s="153" t="s">
        <v>1346</v>
      </c>
      <c r="B653" s="125" t="s">
        <v>1185</v>
      </c>
      <c r="C653" s="130">
        <f t="shared" si="143"/>
        <v>34.5</v>
      </c>
      <c r="D653" s="180">
        <v>4</v>
      </c>
      <c r="E653" s="127" t="s">
        <v>1183</v>
      </c>
      <c r="F653" s="13">
        <v>6</v>
      </c>
      <c r="G653" s="127">
        <f t="shared" si="137"/>
        <v>23</v>
      </c>
      <c r="H653" s="127" t="s">
        <v>1305</v>
      </c>
      <c r="J653" s="127">
        <f t="shared" si="138"/>
        <v>0</v>
      </c>
      <c r="K653" s="127" t="s">
        <v>1305</v>
      </c>
      <c r="M653" s="127">
        <f t="shared" si="139"/>
        <v>0</v>
      </c>
      <c r="N653" s="127" t="s">
        <v>1305</v>
      </c>
      <c r="P653" s="127">
        <f t="shared" si="140"/>
        <v>0</v>
      </c>
      <c r="Q653" s="127" t="s">
        <v>1305</v>
      </c>
      <c r="S653" s="127">
        <f t="shared" si="141"/>
        <v>0</v>
      </c>
      <c r="T653" s="127" t="s">
        <v>1305</v>
      </c>
      <c r="V653" s="127">
        <f t="shared" si="142"/>
        <v>0</v>
      </c>
    </row>
    <row r="654" spans="1:22" ht="15.75">
      <c r="A654" s="153" t="s">
        <v>1346</v>
      </c>
      <c r="B654" s="125" t="s">
        <v>1186</v>
      </c>
      <c r="C654" s="130">
        <f t="shared" si="143"/>
        <v>4</v>
      </c>
      <c r="D654" s="180">
        <v>1</v>
      </c>
      <c r="E654" s="127" t="s">
        <v>1210</v>
      </c>
      <c r="F654" s="13">
        <v>1</v>
      </c>
      <c r="G654" s="127">
        <f t="shared" si="137"/>
        <v>4</v>
      </c>
      <c r="H654" s="127" t="s">
        <v>1305</v>
      </c>
      <c r="J654" s="127">
        <f t="shared" si="138"/>
        <v>0</v>
      </c>
      <c r="K654" s="127" t="s">
        <v>1305</v>
      </c>
      <c r="M654" s="127">
        <f t="shared" si="139"/>
        <v>0</v>
      </c>
      <c r="N654" s="127" t="s">
        <v>1305</v>
      </c>
      <c r="P654" s="127">
        <f t="shared" si="140"/>
        <v>0</v>
      </c>
      <c r="Q654" s="127" t="s">
        <v>1305</v>
      </c>
      <c r="S654" s="127">
        <f t="shared" si="141"/>
        <v>0</v>
      </c>
      <c r="T654" s="127" t="s">
        <v>1305</v>
      </c>
      <c r="V654" s="127">
        <f t="shared" si="142"/>
        <v>0</v>
      </c>
    </row>
    <row r="655" spans="1:22" ht="15.75">
      <c r="A655" s="153" t="s">
        <v>1346</v>
      </c>
      <c r="B655" s="125" t="s">
        <v>1187</v>
      </c>
      <c r="C655" s="130">
        <f t="shared" si="143"/>
        <v>2</v>
      </c>
      <c r="D655" s="180">
        <v>6</v>
      </c>
      <c r="E655" s="127" t="s">
        <v>1186</v>
      </c>
      <c r="F655" s="13">
        <v>3</v>
      </c>
      <c r="G655" s="127">
        <f t="shared" si="137"/>
        <v>4</v>
      </c>
      <c r="H655" s="127" t="s">
        <v>1305</v>
      </c>
      <c r="J655" s="127">
        <f t="shared" si="138"/>
        <v>0</v>
      </c>
      <c r="K655" s="127" t="s">
        <v>1305</v>
      </c>
      <c r="M655" s="127">
        <f t="shared" si="139"/>
        <v>0</v>
      </c>
      <c r="N655" s="127" t="s">
        <v>1305</v>
      </c>
      <c r="P655" s="127">
        <f t="shared" si="140"/>
        <v>0</v>
      </c>
      <c r="Q655" s="127" t="s">
        <v>1305</v>
      </c>
      <c r="S655" s="127">
        <f t="shared" si="141"/>
        <v>0</v>
      </c>
      <c r="T655" s="127" t="s">
        <v>1305</v>
      </c>
      <c r="V655" s="127">
        <f t="shared" si="142"/>
        <v>0</v>
      </c>
    </row>
    <row r="656" spans="1:22" s="167" customFormat="1" ht="15.75">
      <c r="A656" s="153"/>
      <c r="B656" s="165" t="s">
        <v>1188</v>
      </c>
      <c r="C656" s="166">
        <f t="shared" ref="C656:C662" si="144">(G656*F656)+(I656*J656)+(L656*M656)+(O656*P656)+(R656*S656)+(U656*V656)</f>
        <v>0</v>
      </c>
      <c r="D656" s="180"/>
      <c r="E656" s="167" t="s">
        <v>1305</v>
      </c>
      <c r="G656" s="167">
        <f t="shared" si="137"/>
        <v>0</v>
      </c>
      <c r="H656" s="167" t="s">
        <v>1305</v>
      </c>
      <c r="J656" s="167">
        <f t="shared" si="138"/>
        <v>0</v>
      </c>
      <c r="K656" s="167" t="s">
        <v>1305</v>
      </c>
      <c r="M656" s="167">
        <f t="shared" si="139"/>
        <v>0</v>
      </c>
      <c r="N656" s="167" t="s">
        <v>1305</v>
      </c>
      <c r="P656" s="167">
        <f t="shared" si="140"/>
        <v>0</v>
      </c>
      <c r="Q656" s="167" t="s">
        <v>1305</v>
      </c>
      <c r="S656" s="167">
        <f t="shared" si="141"/>
        <v>0</v>
      </c>
      <c r="T656" s="167" t="s">
        <v>1305</v>
      </c>
      <c r="V656" s="167">
        <f t="shared" si="142"/>
        <v>0</v>
      </c>
    </row>
    <row r="657" spans="1:22" s="167" customFormat="1" ht="15.75">
      <c r="A657" s="153"/>
      <c r="B657" s="165" t="s">
        <v>1189</v>
      </c>
      <c r="C657" s="166">
        <f t="shared" si="144"/>
        <v>0</v>
      </c>
      <c r="D657" s="180"/>
      <c r="E657" s="167" t="s">
        <v>1190</v>
      </c>
      <c r="F657" s="167">
        <v>4</v>
      </c>
      <c r="G657" s="167">
        <f t="shared" si="137"/>
        <v>0</v>
      </c>
      <c r="H657" s="167" t="s">
        <v>1305</v>
      </c>
      <c r="J657" s="167">
        <f t="shared" si="138"/>
        <v>0</v>
      </c>
      <c r="K657" s="167" t="s">
        <v>1305</v>
      </c>
      <c r="M657" s="167">
        <f t="shared" si="139"/>
        <v>0</v>
      </c>
      <c r="N657" s="167" t="s">
        <v>1305</v>
      </c>
      <c r="P657" s="167">
        <f t="shared" si="140"/>
        <v>0</v>
      </c>
      <c r="Q657" s="167" t="s">
        <v>1305</v>
      </c>
      <c r="S657" s="167">
        <f t="shared" si="141"/>
        <v>0</v>
      </c>
      <c r="T657" s="167" t="s">
        <v>1305</v>
      </c>
      <c r="V657" s="167">
        <f t="shared" si="142"/>
        <v>0</v>
      </c>
    </row>
    <row r="658" spans="1:22" s="140" customFormat="1" ht="15.75">
      <c r="A658" s="153"/>
      <c r="B658" s="138" t="s">
        <v>1190</v>
      </c>
      <c r="C658" s="139">
        <f t="shared" si="144"/>
        <v>0</v>
      </c>
      <c r="D658" s="180"/>
      <c r="E658" s="140" t="s">
        <v>1305</v>
      </c>
      <c r="G658" s="140">
        <f t="shared" si="137"/>
        <v>0</v>
      </c>
      <c r="H658" s="140" t="s">
        <v>1305</v>
      </c>
      <c r="J658" s="140">
        <f t="shared" si="138"/>
        <v>0</v>
      </c>
      <c r="K658" s="140" t="s">
        <v>1305</v>
      </c>
      <c r="M658" s="140">
        <f t="shared" si="139"/>
        <v>0</v>
      </c>
      <c r="N658" s="140" t="s">
        <v>1305</v>
      </c>
      <c r="P658" s="140">
        <f t="shared" si="140"/>
        <v>0</v>
      </c>
      <c r="Q658" s="140" t="s">
        <v>1305</v>
      </c>
      <c r="S658" s="140">
        <f t="shared" si="141"/>
        <v>0</v>
      </c>
      <c r="T658" s="140" t="s">
        <v>1305</v>
      </c>
      <c r="V658" s="140">
        <f t="shared" si="142"/>
        <v>0</v>
      </c>
    </row>
    <row r="659" spans="1:22" s="137" customFormat="1" ht="15.75">
      <c r="A659" s="137" t="s">
        <v>1339</v>
      </c>
      <c r="B659" s="135" t="s">
        <v>1191</v>
      </c>
      <c r="C659" s="136">
        <f>'ECONOMIA &amp; PROFESIONES'!C47</f>
        <v>11</v>
      </c>
      <c r="D659" s="180"/>
      <c r="E659" s="137" t="s">
        <v>1305</v>
      </c>
      <c r="G659" s="137">
        <f t="shared" si="137"/>
        <v>0</v>
      </c>
      <c r="H659" s="137" t="s">
        <v>1305</v>
      </c>
      <c r="J659" s="137">
        <f t="shared" si="138"/>
        <v>0</v>
      </c>
      <c r="K659" s="137" t="s">
        <v>1305</v>
      </c>
      <c r="M659" s="137">
        <f t="shared" si="139"/>
        <v>0</v>
      </c>
      <c r="N659" s="137" t="s">
        <v>1305</v>
      </c>
      <c r="P659" s="137">
        <f t="shared" si="140"/>
        <v>0</v>
      </c>
      <c r="Q659" s="137" t="s">
        <v>1305</v>
      </c>
      <c r="S659" s="137">
        <f t="shared" si="141"/>
        <v>0</v>
      </c>
      <c r="T659" s="137" t="s">
        <v>1305</v>
      </c>
      <c r="V659" s="137">
        <f t="shared" si="142"/>
        <v>0</v>
      </c>
    </row>
    <row r="660" spans="1:22" ht="15.75">
      <c r="A660" s="153" t="s">
        <v>1344</v>
      </c>
      <c r="B660" s="125" t="s">
        <v>1192</v>
      </c>
      <c r="C660" s="130">
        <f t="shared" ref="C660" si="145">((G660*F660)+(I660*J660)+(L660*M660)+(O660*P660)+(R660*S660)+(U660*V660))/D660</f>
        <v>18.065625000000001</v>
      </c>
      <c r="D660" s="180">
        <v>2</v>
      </c>
      <c r="E660" s="127" t="s">
        <v>820</v>
      </c>
      <c r="F660">
        <v>4</v>
      </c>
      <c r="G660" s="127">
        <f t="shared" si="137"/>
        <v>9</v>
      </c>
      <c r="H660" s="127" t="s">
        <v>558</v>
      </c>
      <c r="I660" s="127">
        <v>1</v>
      </c>
      <c r="J660" s="127">
        <f t="shared" si="138"/>
        <v>0.13125000000000001</v>
      </c>
      <c r="K660" s="127" t="s">
        <v>1305</v>
      </c>
      <c r="M660" s="127">
        <f t="shared" si="139"/>
        <v>0</v>
      </c>
      <c r="N660" s="127" t="s">
        <v>1305</v>
      </c>
      <c r="P660" s="127">
        <f t="shared" si="140"/>
        <v>0</v>
      </c>
      <c r="Q660" s="127" t="s">
        <v>1305</v>
      </c>
      <c r="S660" s="127">
        <f t="shared" si="141"/>
        <v>0</v>
      </c>
      <c r="T660" s="127" t="s">
        <v>1305</v>
      </c>
      <c r="V660" s="127">
        <f t="shared" si="142"/>
        <v>0</v>
      </c>
    </row>
    <row r="661" spans="1:22" s="148" customFormat="1" ht="15.75">
      <c r="A661" s="137" t="s">
        <v>1341</v>
      </c>
      <c r="B661" s="146" t="s">
        <v>1193</v>
      </c>
      <c r="C661" s="147">
        <f>'ECONOMIA &amp; PROFESIONES'!E55</f>
        <v>1.5</v>
      </c>
      <c r="D661" s="180"/>
      <c r="E661" s="148" t="s">
        <v>1305</v>
      </c>
      <c r="G661" s="148">
        <f t="shared" si="137"/>
        <v>0</v>
      </c>
      <c r="H661" s="148" t="s">
        <v>1305</v>
      </c>
      <c r="J661" s="148">
        <f t="shared" si="138"/>
        <v>0</v>
      </c>
      <c r="K661" s="148" t="s">
        <v>1305</v>
      </c>
      <c r="M661" s="148">
        <f t="shared" si="139"/>
        <v>0</v>
      </c>
      <c r="N661" s="148" t="s">
        <v>1305</v>
      </c>
      <c r="P661" s="148">
        <f t="shared" si="140"/>
        <v>0</v>
      </c>
      <c r="Q661" s="148" t="s">
        <v>1305</v>
      </c>
      <c r="S661" s="148">
        <f t="shared" si="141"/>
        <v>0</v>
      </c>
      <c r="T661" s="148" t="s">
        <v>1305</v>
      </c>
      <c r="V661" s="148">
        <f t="shared" si="142"/>
        <v>0</v>
      </c>
    </row>
    <row r="662" spans="1:22" s="167" customFormat="1" ht="15.75">
      <c r="A662" s="153"/>
      <c r="B662" s="165" t="s">
        <v>1194</v>
      </c>
      <c r="C662" s="166">
        <f t="shared" si="144"/>
        <v>0</v>
      </c>
      <c r="D662" s="180"/>
      <c r="E662" s="167" t="s">
        <v>1259</v>
      </c>
      <c r="F662" s="167">
        <v>1</v>
      </c>
      <c r="G662" s="167">
        <f t="shared" si="137"/>
        <v>0</v>
      </c>
      <c r="H662" s="167" t="s">
        <v>1305</v>
      </c>
      <c r="J662" s="167">
        <f t="shared" si="138"/>
        <v>0</v>
      </c>
      <c r="K662" s="167" t="s">
        <v>1305</v>
      </c>
      <c r="M662" s="167">
        <f t="shared" si="139"/>
        <v>0</v>
      </c>
      <c r="N662" s="167" t="s">
        <v>1305</v>
      </c>
      <c r="P662" s="167">
        <f t="shared" si="140"/>
        <v>0</v>
      </c>
      <c r="Q662" s="167" t="s">
        <v>1305</v>
      </c>
      <c r="S662" s="167">
        <f t="shared" si="141"/>
        <v>0</v>
      </c>
      <c r="T662" s="167" t="s">
        <v>1305</v>
      </c>
      <c r="V662" s="167">
        <f t="shared" si="142"/>
        <v>0</v>
      </c>
    </row>
    <row r="663" spans="1:22" ht="15.75">
      <c r="A663" s="153" t="s">
        <v>1345</v>
      </c>
      <c r="B663" s="125" t="s">
        <v>1195</v>
      </c>
      <c r="C663" s="130">
        <f t="shared" ref="C663:C691" si="146">((G663*F663)+(I663*J663)+(L663*M663)+(O663*P663)+(R663*S663)+(U663*V663))/D663</f>
        <v>3</v>
      </c>
      <c r="D663" s="180">
        <v>1</v>
      </c>
      <c r="E663" s="152" t="s">
        <v>1201</v>
      </c>
      <c r="F663" s="152">
        <v>4</v>
      </c>
      <c r="G663" s="152">
        <f t="shared" si="137"/>
        <v>0.75</v>
      </c>
      <c r="H663" s="152" t="s">
        <v>1305</v>
      </c>
      <c r="I663" s="152"/>
      <c r="J663" s="127">
        <f t="shared" si="138"/>
        <v>0</v>
      </c>
      <c r="K663" s="127" t="s">
        <v>1305</v>
      </c>
      <c r="M663" s="127">
        <f t="shared" si="139"/>
        <v>0</v>
      </c>
      <c r="N663" s="127" t="s">
        <v>1305</v>
      </c>
      <c r="P663" s="127">
        <f t="shared" si="140"/>
        <v>0</v>
      </c>
      <c r="Q663" s="127" t="s">
        <v>1305</v>
      </c>
      <c r="S663" s="127">
        <f t="shared" si="141"/>
        <v>0</v>
      </c>
      <c r="T663" s="127" t="s">
        <v>1305</v>
      </c>
      <c r="V663" s="127">
        <f t="shared" si="142"/>
        <v>0</v>
      </c>
    </row>
    <row r="664" spans="1:22" ht="15.75">
      <c r="A664" s="153" t="s">
        <v>1345</v>
      </c>
      <c r="B664" s="125" t="s">
        <v>1196</v>
      </c>
      <c r="C664" s="130">
        <f t="shared" si="146"/>
        <v>0.75</v>
      </c>
      <c r="D664" s="180">
        <v>1</v>
      </c>
      <c r="E664" s="152" t="s">
        <v>1201</v>
      </c>
      <c r="F664" s="152">
        <v>1</v>
      </c>
      <c r="G664" s="152">
        <f t="shared" si="137"/>
        <v>0.75</v>
      </c>
      <c r="H664" s="152" t="s">
        <v>1305</v>
      </c>
      <c r="I664" s="152"/>
      <c r="J664" s="127">
        <f t="shared" si="138"/>
        <v>0</v>
      </c>
      <c r="K664" s="127" t="s">
        <v>1305</v>
      </c>
      <c r="M664" s="127">
        <f t="shared" si="139"/>
        <v>0</v>
      </c>
      <c r="N664" s="127" t="s">
        <v>1305</v>
      </c>
      <c r="P664" s="127">
        <f t="shared" si="140"/>
        <v>0</v>
      </c>
      <c r="Q664" s="127" t="s">
        <v>1305</v>
      </c>
      <c r="S664" s="127">
        <f t="shared" si="141"/>
        <v>0</v>
      </c>
      <c r="T664" s="127" t="s">
        <v>1305</v>
      </c>
      <c r="V664" s="127">
        <f t="shared" si="142"/>
        <v>0</v>
      </c>
    </row>
    <row r="665" spans="1:22" ht="15.75">
      <c r="A665" s="153" t="s">
        <v>1345</v>
      </c>
      <c r="B665" s="125" t="s">
        <v>1197</v>
      </c>
      <c r="C665" s="130">
        <f t="shared" si="146"/>
        <v>1.5</v>
      </c>
      <c r="D665" s="180">
        <v>3</v>
      </c>
      <c r="E665" s="152" t="s">
        <v>1201</v>
      </c>
      <c r="F665" s="152">
        <v>6</v>
      </c>
      <c r="G665" s="152">
        <f t="shared" si="137"/>
        <v>0.75</v>
      </c>
      <c r="H665" s="152" t="s">
        <v>1305</v>
      </c>
      <c r="I665" s="152"/>
      <c r="J665" s="127">
        <f t="shared" si="138"/>
        <v>0</v>
      </c>
      <c r="K665" s="127" t="s">
        <v>1305</v>
      </c>
      <c r="M665" s="127">
        <f t="shared" si="139"/>
        <v>0</v>
      </c>
      <c r="N665" s="127" t="s">
        <v>1305</v>
      </c>
      <c r="P665" s="127">
        <f t="shared" si="140"/>
        <v>0</v>
      </c>
      <c r="Q665" s="127" t="s">
        <v>1305</v>
      </c>
      <c r="S665" s="127">
        <f t="shared" si="141"/>
        <v>0</v>
      </c>
      <c r="T665" s="127" t="s">
        <v>1305</v>
      </c>
      <c r="V665" s="127">
        <f t="shared" si="142"/>
        <v>0</v>
      </c>
    </row>
    <row r="666" spans="1:22" ht="15.75">
      <c r="A666" s="153" t="s">
        <v>1345</v>
      </c>
      <c r="B666" s="125" t="s">
        <v>1198</v>
      </c>
      <c r="C666" s="130">
        <f t="shared" si="146"/>
        <v>3.25</v>
      </c>
      <c r="D666" s="180">
        <v>1</v>
      </c>
      <c r="E666" s="152" t="s">
        <v>1201</v>
      </c>
      <c r="F666" s="152">
        <v>4</v>
      </c>
      <c r="G666" s="152">
        <f t="shared" si="137"/>
        <v>0.75</v>
      </c>
      <c r="H666" s="152" t="s">
        <v>1208</v>
      </c>
      <c r="I666" s="152">
        <v>2</v>
      </c>
      <c r="J666" s="127">
        <f t="shared" si="138"/>
        <v>0.125</v>
      </c>
      <c r="K666" s="127" t="s">
        <v>1305</v>
      </c>
      <c r="M666" s="127">
        <f t="shared" si="139"/>
        <v>0</v>
      </c>
      <c r="N666" s="127" t="s">
        <v>1305</v>
      </c>
      <c r="P666" s="127">
        <f t="shared" si="140"/>
        <v>0</v>
      </c>
      <c r="Q666" s="127" t="s">
        <v>1305</v>
      </c>
      <c r="S666" s="127">
        <f t="shared" si="141"/>
        <v>0</v>
      </c>
      <c r="T666" s="127" t="s">
        <v>1305</v>
      </c>
      <c r="V666" s="127">
        <f t="shared" si="142"/>
        <v>0</v>
      </c>
    </row>
    <row r="667" spans="1:22" ht="15.75">
      <c r="A667" s="153" t="s">
        <v>1345</v>
      </c>
      <c r="B667" s="125" t="s">
        <v>1199</v>
      </c>
      <c r="C667" s="130">
        <f t="shared" si="146"/>
        <v>2</v>
      </c>
      <c r="D667" s="180">
        <v>1</v>
      </c>
      <c r="E667" s="152" t="s">
        <v>1201</v>
      </c>
      <c r="F667" s="152">
        <v>2</v>
      </c>
      <c r="G667" s="152">
        <f t="shared" si="137"/>
        <v>0.75</v>
      </c>
      <c r="H667" s="152" t="s">
        <v>1208</v>
      </c>
      <c r="I667" s="152">
        <v>4</v>
      </c>
      <c r="J667" s="127">
        <f t="shared" si="138"/>
        <v>0.125</v>
      </c>
      <c r="K667" s="127" t="s">
        <v>1305</v>
      </c>
      <c r="M667" s="127">
        <f t="shared" si="139"/>
        <v>0</v>
      </c>
      <c r="N667" s="127" t="s">
        <v>1305</v>
      </c>
      <c r="P667" s="127">
        <f t="shared" si="140"/>
        <v>0</v>
      </c>
      <c r="Q667" s="127" t="s">
        <v>1305</v>
      </c>
      <c r="S667" s="127">
        <f t="shared" si="141"/>
        <v>0</v>
      </c>
      <c r="T667" s="127" t="s">
        <v>1305</v>
      </c>
      <c r="V667" s="127">
        <f t="shared" si="142"/>
        <v>0</v>
      </c>
    </row>
    <row r="668" spans="1:22" s="137" customFormat="1" ht="15.75">
      <c r="A668" s="137" t="s">
        <v>1338</v>
      </c>
      <c r="B668" s="135" t="s">
        <v>1200</v>
      </c>
      <c r="C668" s="136">
        <f>'ECONOMIA &amp; PROFESIONES'!E33</f>
        <v>3</v>
      </c>
      <c r="D668" s="180"/>
      <c r="E668" s="137" t="s">
        <v>1305</v>
      </c>
      <c r="G668" s="137">
        <f t="shared" si="137"/>
        <v>0</v>
      </c>
      <c r="H668" s="137" t="s">
        <v>1305</v>
      </c>
      <c r="J668" s="137">
        <f t="shared" si="138"/>
        <v>0</v>
      </c>
      <c r="K668" s="137" t="s">
        <v>1305</v>
      </c>
      <c r="M668" s="137">
        <f t="shared" si="139"/>
        <v>0</v>
      </c>
      <c r="N668" s="137" t="s">
        <v>1305</v>
      </c>
      <c r="P668" s="137">
        <f t="shared" si="140"/>
        <v>0</v>
      </c>
      <c r="Q668" s="137" t="s">
        <v>1305</v>
      </c>
      <c r="S668" s="137">
        <f t="shared" si="141"/>
        <v>0</v>
      </c>
      <c r="T668" s="137" t="s">
        <v>1305</v>
      </c>
      <c r="V668" s="137">
        <f t="shared" si="142"/>
        <v>0</v>
      </c>
    </row>
    <row r="669" spans="1:22" ht="15.75">
      <c r="A669" s="153" t="s">
        <v>1345</v>
      </c>
      <c r="B669" s="125" t="s">
        <v>1201</v>
      </c>
      <c r="C669" s="130">
        <f t="shared" si="146"/>
        <v>0.75</v>
      </c>
      <c r="D669" s="180">
        <v>4</v>
      </c>
      <c r="E669" s="152" t="s">
        <v>1200</v>
      </c>
      <c r="F669" s="152">
        <v>1</v>
      </c>
      <c r="G669" s="152">
        <f t="shared" si="137"/>
        <v>3</v>
      </c>
      <c r="H669" s="152" t="s">
        <v>1305</v>
      </c>
      <c r="I669" s="152"/>
      <c r="J669" s="127">
        <f t="shared" si="138"/>
        <v>0</v>
      </c>
      <c r="K669" s="127" t="s">
        <v>1305</v>
      </c>
      <c r="M669" s="127">
        <f t="shared" si="139"/>
        <v>0</v>
      </c>
      <c r="N669" s="127" t="s">
        <v>1305</v>
      </c>
      <c r="P669" s="127">
        <f t="shared" si="140"/>
        <v>0</v>
      </c>
      <c r="Q669" s="127" t="s">
        <v>1305</v>
      </c>
      <c r="S669" s="127">
        <f t="shared" si="141"/>
        <v>0</v>
      </c>
      <c r="T669" s="127" t="s">
        <v>1305</v>
      </c>
      <c r="V669" s="127">
        <f t="shared" si="142"/>
        <v>0</v>
      </c>
    </row>
    <row r="670" spans="1:22" ht="15.75">
      <c r="A670" s="153" t="s">
        <v>1345</v>
      </c>
      <c r="B670" s="125" t="s">
        <v>1202</v>
      </c>
      <c r="C670" s="130">
        <f t="shared" si="146"/>
        <v>1.5</v>
      </c>
      <c r="D670" s="180">
        <v>1</v>
      </c>
      <c r="E670" s="152" t="s">
        <v>1201</v>
      </c>
      <c r="F670" s="152">
        <v>2</v>
      </c>
      <c r="G670" s="152">
        <f t="shared" si="137"/>
        <v>0.75</v>
      </c>
      <c r="H670" s="152" t="s">
        <v>1305</v>
      </c>
      <c r="I670" s="152"/>
      <c r="J670" s="127">
        <f t="shared" si="138"/>
        <v>0</v>
      </c>
      <c r="K670" s="127" t="s">
        <v>1305</v>
      </c>
      <c r="M670" s="127">
        <f t="shared" si="139"/>
        <v>0</v>
      </c>
      <c r="N670" s="127" t="s">
        <v>1305</v>
      </c>
      <c r="P670" s="127">
        <f t="shared" si="140"/>
        <v>0</v>
      </c>
      <c r="Q670" s="127" t="s">
        <v>1305</v>
      </c>
      <c r="S670" s="127">
        <f t="shared" si="141"/>
        <v>0</v>
      </c>
      <c r="T670" s="127" t="s">
        <v>1305</v>
      </c>
      <c r="V670" s="127">
        <f t="shared" si="142"/>
        <v>0</v>
      </c>
    </row>
    <row r="671" spans="1:22" ht="15.75">
      <c r="A671" s="153" t="s">
        <v>1345</v>
      </c>
      <c r="B671" s="125" t="s">
        <v>1203</v>
      </c>
      <c r="C671" s="130">
        <f t="shared" si="146"/>
        <v>1.5416666666666667</v>
      </c>
      <c r="D671" s="180">
        <v>3</v>
      </c>
      <c r="E671" s="152" t="s">
        <v>1201</v>
      </c>
      <c r="F671" s="152">
        <v>6</v>
      </c>
      <c r="G671" s="152">
        <f t="shared" si="137"/>
        <v>0.75</v>
      </c>
      <c r="H671" s="152" t="s">
        <v>1208</v>
      </c>
      <c r="I671" s="152">
        <v>1</v>
      </c>
      <c r="J671" s="127">
        <f t="shared" si="138"/>
        <v>0.125</v>
      </c>
      <c r="K671" s="127" t="s">
        <v>1305</v>
      </c>
      <c r="M671" s="127">
        <f t="shared" si="139"/>
        <v>0</v>
      </c>
      <c r="N671" s="127" t="s">
        <v>1305</v>
      </c>
      <c r="P671" s="127">
        <f t="shared" si="140"/>
        <v>0</v>
      </c>
      <c r="Q671" s="127" t="s">
        <v>1305</v>
      </c>
      <c r="S671" s="127">
        <f t="shared" si="141"/>
        <v>0</v>
      </c>
      <c r="T671" s="127" t="s">
        <v>1305</v>
      </c>
      <c r="V671" s="127">
        <f t="shared" si="142"/>
        <v>0</v>
      </c>
    </row>
    <row r="672" spans="1:22" ht="15.75">
      <c r="A672" s="153" t="s">
        <v>1345</v>
      </c>
      <c r="B672" s="125" t="s">
        <v>1204</v>
      </c>
      <c r="C672" s="130">
        <f t="shared" si="146"/>
        <v>0.375</v>
      </c>
      <c r="D672" s="180">
        <v>6</v>
      </c>
      <c r="E672" s="152" t="s">
        <v>1201</v>
      </c>
      <c r="F672" s="152">
        <v>3</v>
      </c>
      <c r="G672" s="152">
        <f t="shared" si="137"/>
        <v>0.75</v>
      </c>
      <c r="H672" s="152" t="s">
        <v>1305</v>
      </c>
      <c r="I672" s="152"/>
      <c r="J672" s="127">
        <f t="shared" si="138"/>
        <v>0</v>
      </c>
      <c r="K672" s="127" t="s">
        <v>1305</v>
      </c>
      <c r="M672" s="127">
        <f t="shared" si="139"/>
        <v>0</v>
      </c>
      <c r="N672" s="127" t="s">
        <v>1305</v>
      </c>
      <c r="P672" s="127">
        <f t="shared" si="140"/>
        <v>0</v>
      </c>
      <c r="Q672" s="127" t="s">
        <v>1305</v>
      </c>
      <c r="S672" s="127">
        <f t="shared" si="141"/>
        <v>0</v>
      </c>
      <c r="T672" s="127" t="s">
        <v>1305</v>
      </c>
      <c r="V672" s="127">
        <f t="shared" si="142"/>
        <v>0</v>
      </c>
    </row>
    <row r="673" spans="1:22" ht="15.75">
      <c r="A673" s="153" t="s">
        <v>1345</v>
      </c>
      <c r="B673" s="125" t="s">
        <v>1205</v>
      </c>
      <c r="C673" s="130">
        <f t="shared" si="146"/>
        <v>1.125</v>
      </c>
      <c r="D673" s="180">
        <v>4</v>
      </c>
      <c r="E673" s="152" t="s">
        <v>1201</v>
      </c>
      <c r="F673" s="152">
        <v>6</v>
      </c>
      <c r="G673" s="152">
        <f t="shared" si="137"/>
        <v>0.75</v>
      </c>
      <c r="H673" s="152" t="s">
        <v>1305</v>
      </c>
      <c r="I673" s="152"/>
      <c r="J673" s="127">
        <f t="shared" si="138"/>
        <v>0</v>
      </c>
      <c r="K673" s="127" t="s">
        <v>1305</v>
      </c>
      <c r="M673" s="127">
        <f t="shared" si="139"/>
        <v>0</v>
      </c>
      <c r="N673" s="127" t="s">
        <v>1305</v>
      </c>
      <c r="P673" s="127">
        <f t="shared" si="140"/>
        <v>0</v>
      </c>
      <c r="Q673" s="127" t="s">
        <v>1305</v>
      </c>
      <c r="S673" s="127">
        <f t="shared" si="141"/>
        <v>0</v>
      </c>
      <c r="T673" s="127" t="s">
        <v>1305</v>
      </c>
      <c r="V673" s="127">
        <f t="shared" si="142"/>
        <v>0</v>
      </c>
    </row>
    <row r="674" spans="1:22" ht="15.75">
      <c r="A674" s="153" t="s">
        <v>1345</v>
      </c>
      <c r="B674" s="125" t="s">
        <v>1206</v>
      </c>
      <c r="C674" s="130">
        <f t="shared" si="146"/>
        <v>2.25</v>
      </c>
      <c r="D674" s="180">
        <v>2</v>
      </c>
      <c r="E674" s="152" t="s">
        <v>1201</v>
      </c>
      <c r="F674" s="152">
        <v>6</v>
      </c>
      <c r="G674" s="152">
        <f t="shared" si="137"/>
        <v>0.75</v>
      </c>
      <c r="H674" s="152" t="s">
        <v>1305</v>
      </c>
      <c r="I674" s="152"/>
      <c r="J674" s="127">
        <f t="shared" si="138"/>
        <v>0</v>
      </c>
      <c r="K674" s="127" t="s">
        <v>1305</v>
      </c>
      <c r="M674" s="127">
        <f t="shared" si="139"/>
        <v>0</v>
      </c>
      <c r="N674" s="127" t="s">
        <v>1305</v>
      </c>
      <c r="P674" s="127">
        <f t="shared" si="140"/>
        <v>0</v>
      </c>
      <c r="Q674" s="127" t="s">
        <v>1305</v>
      </c>
      <c r="S674" s="127">
        <f t="shared" si="141"/>
        <v>0</v>
      </c>
      <c r="T674" s="127" t="s">
        <v>1305</v>
      </c>
      <c r="V674" s="127">
        <f t="shared" si="142"/>
        <v>0</v>
      </c>
    </row>
    <row r="675" spans="1:22" s="137" customFormat="1" ht="15.75">
      <c r="A675" s="137" t="s">
        <v>1338</v>
      </c>
      <c r="B675" s="135" t="s">
        <v>1207</v>
      </c>
      <c r="C675" s="136">
        <f>'ECONOMIA &amp; PROFESIONES'!E33</f>
        <v>3</v>
      </c>
      <c r="D675" s="180"/>
      <c r="E675" s="137" t="s">
        <v>1305</v>
      </c>
      <c r="G675" s="137">
        <f t="shared" si="137"/>
        <v>0</v>
      </c>
      <c r="H675" s="137" t="s">
        <v>1305</v>
      </c>
      <c r="J675" s="137">
        <f t="shared" si="138"/>
        <v>0</v>
      </c>
      <c r="K675" s="137" t="s">
        <v>1305</v>
      </c>
      <c r="M675" s="137">
        <f t="shared" si="139"/>
        <v>0</v>
      </c>
      <c r="N675" s="137" t="s">
        <v>1305</v>
      </c>
      <c r="P675" s="137">
        <f t="shared" si="140"/>
        <v>0</v>
      </c>
      <c r="Q675" s="137" t="s">
        <v>1305</v>
      </c>
      <c r="S675" s="137">
        <f t="shared" si="141"/>
        <v>0</v>
      </c>
      <c r="T675" s="137" t="s">
        <v>1305</v>
      </c>
      <c r="V675" s="137">
        <f t="shared" si="142"/>
        <v>0</v>
      </c>
    </row>
    <row r="676" spans="1:22" ht="15.75">
      <c r="A676" s="153" t="s">
        <v>1345</v>
      </c>
      <c r="B676" s="125" t="s">
        <v>1208</v>
      </c>
      <c r="C676" s="130">
        <f t="shared" si="146"/>
        <v>0.125</v>
      </c>
      <c r="D676" s="180">
        <v>4</v>
      </c>
      <c r="E676" s="127" t="s">
        <v>1026</v>
      </c>
      <c r="F676">
        <v>2</v>
      </c>
      <c r="G676" s="127">
        <f t="shared" si="137"/>
        <v>0.25</v>
      </c>
      <c r="H676" s="127" t="s">
        <v>1305</v>
      </c>
      <c r="J676" s="127">
        <f t="shared" si="138"/>
        <v>0</v>
      </c>
      <c r="K676" s="127" t="s">
        <v>1305</v>
      </c>
      <c r="M676" s="127">
        <f t="shared" si="139"/>
        <v>0</v>
      </c>
      <c r="N676" s="127" t="s">
        <v>1305</v>
      </c>
      <c r="P676" s="127">
        <f t="shared" si="140"/>
        <v>0</v>
      </c>
      <c r="Q676" s="127" t="s">
        <v>1305</v>
      </c>
      <c r="S676" s="127">
        <f t="shared" si="141"/>
        <v>0</v>
      </c>
      <c r="T676" s="127" t="s">
        <v>1305</v>
      </c>
      <c r="V676" s="127">
        <f t="shared" si="142"/>
        <v>0</v>
      </c>
    </row>
    <row r="677" spans="1:22" ht="15.75">
      <c r="A677" s="153" t="s">
        <v>1353</v>
      </c>
      <c r="B677" s="125" t="s">
        <v>1209</v>
      </c>
      <c r="C677" s="130">
        <f t="shared" si="146"/>
        <v>26.75</v>
      </c>
      <c r="D677" s="180">
        <v>1</v>
      </c>
      <c r="E677" s="127" t="s">
        <v>1068</v>
      </c>
      <c r="F677">
        <v>1</v>
      </c>
      <c r="G677" s="127">
        <f t="shared" si="137"/>
        <v>19.75</v>
      </c>
      <c r="H677" s="127" t="s">
        <v>1173</v>
      </c>
      <c r="I677" s="127">
        <v>1</v>
      </c>
      <c r="J677" s="127">
        <f t="shared" si="138"/>
        <v>7</v>
      </c>
      <c r="K677" s="127" t="s">
        <v>1305</v>
      </c>
      <c r="M677" s="127">
        <f t="shared" si="139"/>
        <v>0</v>
      </c>
      <c r="N677" s="127" t="s">
        <v>1305</v>
      </c>
      <c r="P677" s="127">
        <f t="shared" si="140"/>
        <v>0</v>
      </c>
      <c r="Q677" s="127" t="s">
        <v>1305</v>
      </c>
      <c r="S677" s="127">
        <f t="shared" si="141"/>
        <v>0</v>
      </c>
      <c r="T677" s="127" t="s">
        <v>1305</v>
      </c>
      <c r="V677" s="127">
        <f t="shared" si="142"/>
        <v>0</v>
      </c>
    </row>
    <row r="678" spans="1:22" ht="15.75">
      <c r="A678" s="153" t="s">
        <v>1346</v>
      </c>
      <c r="B678" s="125" t="s">
        <v>1210</v>
      </c>
      <c r="C678" s="130">
        <f t="shared" si="146"/>
        <v>4</v>
      </c>
      <c r="D678" s="180">
        <v>1</v>
      </c>
      <c r="E678" s="127" t="s">
        <v>676</v>
      </c>
      <c r="F678">
        <v>1</v>
      </c>
      <c r="G678" s="127">
        <f t="shared" si="137"/>
        <v>1</v>
      </c>
      <c r="H678" s="127" t="s">
        <v>672</v>
      </c>
      <c r="I678" s="127">
        <v>1</v>
      </c>
      <c r="J678" s="127">
        <f t="shared" si="138"/>
        <v>3</v>
      </c>
      <c r="K678" s="127" t="s">
        <v>1305</v>
      </c>
      <c r="M678" s="127">
        <f t="shared" si="139"/>
        <v>0</v>
      </c>
      <c r="N678" s="127" t="s">
        <v>1305</v>
      </c>
      <c r="P678" s="127">
        <f t="shared" si="140"/>
        <v>0</v>
      </c>
      <c r="Q678" s="127" t="s">
        <v>1305</v>
      </c>
      <c r="S678" s="127">
        <f t="shared" si="141"/>
        <v>0</v>
      </c>
      <c r="T678" s="127" t="s">
        <v>1305</v>
      </c>
      <c r="V678" s="127">
        <f t="shared" si="142"/>
        <v>0</v>
      </c>
    </row>
    <row r="679" spans="1:22" ht="15.75">
      <c r="A679" s="153" t="s">
        <v>1346</v>
      </c>
      <c r="B679" s="125" t="s">
        <v>1211</v>
      </c>
      <c r="C679" s="130">
        <f t="shared" si="146"/>
        <v>3.25</v>
      </c>
      <c r="D679" s="180">
        <v>1</v>
      </c>
      <c r="E679" s="127" t="s">
        <v>676</v>
      </c>
      <c r="F679">
        <v>3</v>
      </c>
      <c r="G679" s="127">
        <f t="shared" si="137"/>
        <v>1</v>
      </c>
      <c r="H679" s="127" t="s">
        <v>1208</v>
      </c>
      <c r="I679" s="127">
        <v>2</v>
      </c>
      <c r="J679" s="127">
        <f t="shared" si="138"/>
        <v>0.125</v>
      </c>
      <c r="K679" s="127" t="s">
        <v>1305</v>
      </c>
      <c r="M679" s="127">
        <f t="shared" si="139"/>
        <v>0</v>
      </c>
      <c r="N679" s="127" t="s">
        <v>1305</v>
      </c>
      <c r="P679" s="127">
        <f t="shared" si="140"/>
        <v>0</v>
      </c>
      <c r="Q679" s="127" t="s">
        <v>1305</v>
      </c>
      <c r="S679" s="127">
        <f t="shared" si="141"/>
        <v>0</v>
      </c>
      <c r="T679" s="127" t="s">
        <v>1305</v>
      </c>
      <c r="V679" s="127">
        <f t="shared" si="142"/>
        <v>0</v>
      </c>
    </row>
    <row r="680" spans="1:22" ht="15.75">
      <c r="A680" s="153" t="s">
        <v>1346</v>
      </c>
      <c r="B680" s="125" t="s">
        <v>1212</v>
      </c>
      <c r="C680" s="130">
        <f t="shared" si="146"/>
        <v>2</v>
      </c>
      <c r="D680" s="180">
        <v>6</v>
      </c>
      <c r="E680" s="127" t="s">
        <v>1215</v>
      </c>
      <c r="F680">
        <v>3</v>
      </c>
      <c r="G680" s="127">
        <f t="shared" si="137"/>
        <v>4</v>
      </c>
      <c r="H680" s="127" t="s">
        <v>1305</v>
      </c>
      <c r="J680" s="127">
        <f t="shared" si="138"/>
        <v>0</v>
      </c>
      <c r="K680" s="127" t="s">
        <v>1305</v>
      </c>
      <c r="M680" s="127">
        <f t="shared" si="139"/>
        <v>0</v>
      </c>
      <c r="N680" s="127" t="s">
        <v>1305</v>
      </c>
      <c r="P680" s="127">
        <f t="shared" si="140"/>
        <v>0</v>
      </c>
      <c r="Q680" s="127" t="s">
        <v>1305</v>
      </c>
      <c r="S680" s="127">
        <f t="shared" si="141"/>
        <v>0</v>
      </c>
      <c r="T680" s="127" t="s">
        <v>1305</v>
      </c>
      <c r="V680" s="127">
        <f t="shared" si="142"/>
        <v>0</v>
      </c>
    </row>
    <row r="681" spans="1:22" ht="15.75">
      <c r="A681" s="153" t="s">
        <v>1346</v>
      </c>
      <c r="B681" s="125" t="s">
        <v>1213</v>
      </c>
      <c r="C681" s="130">
        <f t="shared" si="146"/>
        <v>6</v>
      </c>
      <c r="D681" s="180">
        <v>4</v>
      </c>
      <c r="E681" s="127" t="s">
        <v>1215</v>
      </c>
      <c r="F681">
        <v>6</v>
      </c>
      <c r="G681" s="127">
        <f t="shared" si="137"/>
        <v>4</v>
      </c>
      <c r="H681" s="127" t="s">
        <v>1305</v>
      </c>
      <c r="J681" s="127">
        <f t="shared" si="138"/>
        <v>0</v>
      </c>
      <c r="K681" s="127" t="s">
        <v>1305</v>
      </c>
      <c r="M681" s="127">
        <f t="shared" si="139"/>
        <v>0</v>
      </c>
      <c r="N681" s="127" t="s">
        <v>1305</v>
      </c>
      <c r="P681" s="127">
        <f t="shared" si="140"/>
        <v>0</v>
      </c>
      <c r="Q681" s="127" t="s">
        <v>1305</v>
      </c>
      <c r="S681" s="127">
        <f t="shared" si="141"/>
        <v>0</v>
      </c>
      <c r="T681" s="127" t="s">
        <v>1305</v>
      </c>
      <c r="V681" s="127">
        <f t="shared" si="142"/>
        <v>0</v>
      </c>
    </row>
    <row r="682" spans="1:22" ht="15.75">
      <c r="A682" s="153" t="s">
        <v>1346</v>
      </c>
      <c r="B682" s="125" t="s">
        <v>1214</v>
      </c>
      <c r="C682" s="130">
        <f t="shared" si="146"/>
        <v>4</v>
      </c>
      <c r="D682" s="180">
        <v>6</v>
      </c>
      <c r="E682" s="127" t="s">
        <v>1215</v>
      </c>
      <c r="F682">
        <v>6</v>
      </c>
      <c r="G682" s="127">
        <f t="shared" si="137"/>
        <v>4</v>
      </c>
      <c r="H682" s="127" t="s">
        <v>1305</v>
      </c>
      <c r="J682" s="127">
        <f t="shared" si="138"/>
        <v>0</v>
      </c>
      <c r="K682" s="127" t="s">
        <v>1305</v>
      </c>
      <c r="M682" s="127">
        <f t="shared" si="139"/>
        <v>0</v>
      </c>
      <c r="N682" s="127" t="s">
        <v>1305</v>
      </c>
      <c r="P682" s="127">
        <f t="shared" si="140"/>
        <v>0</v>
      </c>
      <c r="Q682" s="127" t="s">
        <v>1305</v>
      </c>
      <c r="S682" s="127">
        <f t="shared" si="141"/>
        <v>0</v>
      </c>
      <c r="T682" s="127" t="s">
        <v>1305</v>
      </c>
      <c r="V682" s="127">
        <f t="shared" si="142"/>
        <v>0</v>
      </c>
    </row>
    <row r="683" spans="1:22" ht="15.75">
      <c r="A683" s="153" t="s">
        <v>1346</v>
      </c>
      <c r="B683" s="125" t="s">
        <v>1215</v>
      </c>
      <c r="C683" s="130">
        <f t="shared" si="146"/>
        <v>4</v>
      </c>
      <c r="D683" s="180">
        <v>4</v>
      </c>
      <c r="E683" s="127" t="s">
        <v>1210</v>
      </c>
      <c r="F683">
        <v>4</v>
      </c>
      <c r="G683" s="127">
        <f t="shared" si="137"/>
        <v>4</v>
      </c>
      <c r="H683" s="127" t="s">
        <v>1305</v>
      </c>
      <c r="J683" s="127">
        <f t="shared" si="138"/>
        <v>0</v>
      </c>
      <c r="K683" s="127" t="s">
        <v>1305</v>
      </c>
      <c r="M683" s="127">
        <f t="shared" si="139"/>
        <v>0</v>
      </c>
      <c r="N683" s="127" t="s">
        <v>1305</v>
      </c>
      <c r="P683" s="127">
        <f t="shared" si="140"/>
        <v>0</v>
      </c>
      <c r="Q683" s="127" t="s">
        <v>1305</v>
      </c>
      <c r="S683" s="127">
        <f t="shared" si="141"/>
        <v>0</v>
      </c>
      <c r="T683" s="127" t="s">
        <v>1305</v>
      </c>
      <c r="V683" s="127">
        <f t="shared" si="142"/>
        <v>0</v>
      </c>
    </row>
    <row r="684" spans="1:22" ht="15.75">
      <c r="A684" s="153" t="s">
        <v>1346</v>
      </c>
      <c r="B684" s="125" t="s">
        <v>1216</v>
      </c>
      <c r="C684" s="130">
        <f t="shared" si="146"/>
        <v>4</v>
      </c>
      <c r="D684" s="180">
        <v>1</v>
      </c>
      <c r="E684" s="127" t="s">
        <v>1210</v>
      </c>
      <c r="F684">
        <v>1</v>
      </c>
      <c r="G684" s="127">
        <f t="shared" si="137"/>
        <v>4</v>
      </c>
      <c r="H684" s="127" t="s">
        <v>1305</v>
      </c>
      <c r="J684" s="127">
        <f t="shared" si="138"/>
        <v>0</v>
      </c>
      <c r="K684" s="127" t="s">
        <v>1305</v>
      </c>
      <c r="M684" s="127">
        <f t="shared" si="139"/>
        <v>0</v>
      </c>
      <c r="N684" s="127" t="s">
        <v>1305</v>
      </c>
      <c r="P684" s="127">
        <f t="shared" si="140"/>
        <v>0</v>
      </c>
      <c r="Q684" s="127" t="s">
        <v>1305</v>
      </c>
      <c r="S684" s="127">
        <f t="shared" si="141"/>
        <v>0</v>
      </c>
      <c r="T684" s="127" t="s">
        <v>1305</v>
      </c>
      <c r="V684" s="127">
        <f t="shared" si="142"/>
        <v>0</v>
      </c>
    </row>
    <row r="685" spans="1:22" ht="15.75">
      <c r="A685" s="153" t="s">
        <v>1346</v>
      </c>
      <c r="B685" s="125" t="s">
        <v>1217</v>
      </c>
      <c r="C685" s="130">
        <f t="shared" si="146"/>
        <v>8.25</v>
      </c>
      <c r="D685" s="180">
        <v>1</v>
      </c>
      <c r="E685" s="127" t="s">
        <v>1210</v>
      </c>
      <c r="F685">
        <v>2</v>
      </c>
      <c r="G685" s="127">
        <f t="shared" si="137"/>
        <v>4</v>
      </c>
      <c r="H685" s="127" t="s">
        <v>1208</v>
      </c>
      <c r="I685" s="127">
        <v>2</v>
      </c>
      <c r="J685" s="127">
        <f t="shared" si="138"/>
        <v>0.125</v>
      </c>
      <c r="K685" s="127" t="s">
        <v>1305</v>
      </c>
      <c r="M685" s="127">
        <f t="shared" si="139"/>
        <v>0</v>
      </c>
      <c r="N685" s="127" t="s">
        <v>1305</v>
      </c>
      <c r="P685" s="127">
        <f t="shared" si="140"/>
        <v>0</v>
      </c>
      <c r="Q685" s="127" t="s">
        <v>1305</v>
      </c>
      <c r="S685" s="127">
        <f t="shared" si="141"/>
        <v>0</v>
      </c>
      <c r="T685" s="127" t="s">
        <v>1305</v>
      </c>
      <c r="V685" s="127">
        <f t="shared" si="142"/>
        <v>0</v>
      </c>
    </row>
    <row r="686" spans="1:22" ht="15.75">
      <c r="A686" s="153" t="s">
        <v>1346</v>
      </c>
      <c r="B686" s="125" t="s">
        <v>1218</v>
      </c>
      <c r="C686" s="130">
        <f t="shared" si="146"/>
        <v>12.25</v>
      </c>
      <c r="D686" s="180">
        <v>1</v>
      </c>
      <c r="E686" s="127" t="s">
        <v>1210</v>
      </c>
      <c r="F686">
        <v>3</v>
      </c>
      <c r="G686" s="127">
        <f t="shared" si="137"/>
        <v>4</v>
      </c>
      <c r="H686" s="127" t="s">
        <v>1208</v>
      </c>
      <c r="I686" s="127">
        <v>2</v>
      </c>
      <c r="J686" s="127">
        <f t="shared" si="138"/>
        <v>0.125</v>
      </c>
      <c r="K686" s="127" t="s">
        <v>1305</v>
      </c>
      <c r="M686" s="127">
        <f t="shared" si="139"/>
        <v>0</v>
      </c>
      <c r="N686" s="127" t="s">
        <v>1305</v>
      </c>
      <c r="P686" s="127">
        <f t="shared" si="140"/>
        <v>0</v>
      </c>
      <c r="Q686" s="127" t="s">
        <v>1305</v>
      </c>
      <c r="S686" s="127">
        <f t="shared" si="141"/>
        <v>0</v>
      </c>
      <c r="T686" s="127" t="s">
        <v>1305</v>
      </c>
      <c r="V686" s="127">
        <f t="shared" si="142"/>
        <v>0</v>
      </c>
    </row>
    <row r="687" spans="1:22" ht="15.75">
      <c r="A687" s="153" t="s">
        <v>1346</v>
      </c>
      <c r="B687" s="125" t="s">
        <v>1219</v>
      </c>
      <c r="C687" s="130">
        <f t="shared" si="146"/>
        <v>8</v>
      </c>
      <c r="D687" s="180">
        <v>1</v>
      </c>
      <c r="E687" s="127" t="s">
        <v>1210</v>
      </c>
      <c r="F687">
        <v>2</v>
      </c>
      <c r="G687" s="127">
        <f t="shared" si="137"/>
        <v>4</v>
      </c>
      <c r="H687" s="127" t="s">
        <v>1305</v>
      </c>
      <c r="J687" s="127">
        <f t="shared" si="138"/>
        <v>0</v>
      </c>
      <c r="K687" s="127" t="s">
        <v>1305</v>
      </c>
      <c r="M687" s="127">
        <f t="shared" si="139"/>
        <v>0</v>
      </c>
      <c r="N687" s="127" t="s">
        <v>1305</v>
      </c>
      <c r="P687" s="127">
        <f t="shared" si="140"/>
        <v>0</v>
      </c>
      <c r="Q687" s="127" t="s">
        <v>1305</v>
      </c>
      <c r="S687" s="127">
        <f t="shared" si="141"/>
        <v>0</v>
      </c>
      <c r="T687" s="127" t="s">
        <v>1305</v>
      </c>
      <c r="V687" s="127">
        <f t="shared" si="142"/>
        <v>0</v>
      </c>
    </row>
    <row r="688" spans="1:22" ht="15.75">
      <c r="A688" s="153" t="s">
        <v>1346</v>
      </c>
      <c r="B688" s="125" t="s">
        <v>1220</v>
      </c>
      <c r="C688" s="130">
        <f t="shared" si="146"/>
        <v>4.25</v>
      </c>
      <c r="D688" s="180">
        <v>1</v>
      </c>
      <c r="E688" s="127" t="s">
        <v>1210</v>
      </c>
      <c r="F688">
        <v>1</v>
      </c>
      <c r="G688" s="127">
        <f t="shared" si="137"/>
        <v>4</v>
      </c>
      <c r="H688" s="127" t="s">
        <v>1208</v>
      </c>
      <c r="I688" s="127">
        <v>2</v>
      </c>
      <c r="J688" s="127">
        <f t="shared" si="138"/>
        <v>0.125</v>
      </c>
      <c r="K688" s="127" t="s">
        <v>1305</v>
      </c>
      <c r="M688" s="127">
        <f t="shared" si="139"/>
        <v>0</v>
      </c>
      <c r="N688" s="127" t="s">
        <v>1305</v>
      </c>
      <c r="P688" s="127">
        <f t="shared" si="140"/>
        <v>0</v>
      </c>
      <c r="Q688" s="127" t="s">
        <v>1305</v>
      </c>
      <c r="S688" s="127">
        <f t="shared" si="141"/>
        <v>0</v>
      </c>
      <c r="T688" s="127" t="s">
        <v>1305</v>
      </c>
      <c r="V688" s="127">
        <f t="shared" si="142"/>
        <v>0</v>
      </c>
    </row>
    <row r="689" spans="1:22" ht="15.75">
      <c r="A689" s="153" t="s">
        <v>1346</v>
      </c>
      <c r="B689" s="125" t="s">
        <v>1221</v>
      </c>
      <c r="C689" s="130">
        <f t="shared" si="146"/>
        <v>2</v>
      </c>
      <c r="D689" s="180">
        <v>6</v>
      </c>
      <c r="E689" s="127" t="s">
        <v>1210</v>
      </c>
      <c r="F689">
        <v>3</v>
      </c>
      <c r="G689" s="127">
        <f t="shared" si="137"/>
        <v>4</v>
      </c>
      <c r="H689" s="127" t="s">
        <v>1305</v>
      </c>
      <c r="J689" s="127">
        <f t="shared" si="138"/>
        <v>0</v>
      </c>
      <c r="K689" s="127" t="s">
        <v>1305</v>
      </c>
      <c r="M689" s="127">
        <f t="shared" si="139"/>
        <v>0</v>
      </c>
      <c r="N689" s="127" t="s">
        <v>1305</v>
      </c>
      <c r="P689" s="127">
        <f t="shared" si="140"/>
        <v>0</v>
      </c>
      <c r="Q689" s="127" t="s">
        <v>1305</v>
      </c>
      <c r="S689" s="127">
        <f t="shared" si="141"/>
        <v>0</v>
      </c>
      <c r="T689" s="127" t="s">
        <v>1305</v>
      </c>
      <c r="V689" s="127">
        <f t="shared" si="142"/>
        <v>0</v>
      </c>
    </row>
    <row r="690" spans="1:22" ht="15.75">
      <c r="A690" s="153" t="s">
        <v>1346</v>
      </c>
      <c r="B690" s="125" t="s">
        <v>1222</v>
      </c>
      <c r="C690" s="130">
        <f t="shared" si="146"/>
        <v>6</v>
      </c>
      <c r="D690" s="180">
        <v>4</v>
      </c>
      <c r="E690" s="127" t="s">
        <v>1210</v>
      </c>
      <c r="F690">
        <v>6</v>
      </c>
      <c r="G690" s="127">
        <f t="shared" si="137"/>
        <v>4</v>
      </c>
      <c r="H690" s="127" t="s">
        <v>1305</v>
      </c>
      <c r="J690" s="127">
        <f t="shared" si="138"/>
        <v>0</v>
      </c>
      <c r="K690" s="127" t="s">
        <v>1305</v>
      </c>
      <c r="M690" s="127">
        <f t="shared" si="139"/>
        <v>0</v>
      </c>
      <c r="N690" s="127" t="s">
        <v>1305</v>
      </c>
      <c r="P690" s="127">
        <f t="shared" si="140"/>
        <v>0</v>
      </c>
      <c r="Q690" s="127" t="s">
        <v>1305</v>
      </c>
      <c r="S690" s="127">
        <f t="shared" si="141"/>
        <v>0</v>
      </c>
      <c r="T690" s="127" t="s">
        <v>1305</v>
      </c>
      <c r="V690" s="127">
        <f t="shared" si="142"/>
        <v>0</v>
      </c>
    </row>
    <row r="691" spans="1:22" ht="15.75">
      <c r="A691" s="153" t="s">
        <v>1344</v>
      </c>
      <c r="B691" s="125" t="s">
        <v>1223</v>
      </c>
      <c r="C691" s="130">
        <f t="shared" si="146"/>
        <v>24</v>
      </c>
      <c r="D691" s="180">
        <v>1</v>
      </c>
      <c r="E691" s="127" t="s">
        <v>1210</v>
      </c>
      <c r="F691">
        <v>6</v>
      </c>
      <c r="G691" s="127">
        <f t="shared" si="137"/>
        <v>4</v>
      </c>
      <c r="H691" s="127" t="s">
        <v>1305</v>
      </c>
      <c r="J691" s="127">
        <f t="shared" si="138"/>
        <v>0</v>
      </c>
      <c r="K691" s="127" t="s">
        <v>1305</v>
      </c>
      <c r="M691" s="127">
        <f t="shared" si="139"/>
        <v>0</v>
      </c>
      <c r="N691" s="127" t="s">
        <v>1305</v>
      </c>
      <c r="P691" s="127">
        <f t="shared" si="140"/>
        <v>0</v>
      </c>
      <c r="Q691" s="127" t="s">
        <v>1305</v>
      </c>
      <c r="S691" s="127">
        <f t="shared" si="141"/>
        <v>0</v>
      </c>
      <c r="T691" s="127" t="s">
        <v>1305</v>
      </c>
      <c r="V691" s="127">
        <f t="shared" si="142"/>
        <v>0</v>
      </c>
    </row>
    <row r="692" spans="1:22" s="148" customFormat="1" ht="15.75">
      <c r="A692" s="137" t="s">
        <v>1341</v>
      </c>
      <c r="B692" s="146" t="s">
        <v>1224</v>
      </c>
      <c r="C692" s="147">
        <f>'ECONOMIA &amp; PROFESIONES'!E55</f>
        <v>1.5</v>
      </c>
      <c r="D692" s="180"/>
      <c r="E692" s="148" t="s">
        <v>1305</v>
      </c>
      <c r="G692" s="148">
        <f t="shared" ref="G692:G750" si="147">VLOOKUP(E692,IDPOINTS,2,FALSE)</f>
        <v>0</v>
      </c>
      <c r="H692" s="148" t="s">
        <v>1305</v>
      </c>
      <c r="J692" s="148">
        <f t="shared" ref="J692:J750" si="148">VLOOKUP(H692,IDPOINTS,2,FALSE)</f>
        <v>0</v>
      </c>
      <c r="K692" s="148" t="s">
        <v>1305</v>
      </c>
      <c r="M692" s="148">
        <f t="shared" ref="M692:M754" si="149">VLOOKUP(K692,IDPOINTS,2,FALSE)</f>
        <v>0</v>
      </c>
      <c r="N692" s="148" t="s">
        <v>1305</v>
      </c>
      <c r="P692" s="148">
        <f t="shared" ref="P692:P754" si="150">VLOOKUP(N692,IDPOINTS,2,FALSE)</f>
        <v>0</v>
      </c>
      <c r="Q692" s="148" t="s">
        <v>1305</v>
      </c>
      <c r="S692" s="148">
        <f t="shared" ref="S692:S754" si="151">VLOOKUP(Q692,IDPOINTS,2,FALSE)</f>
        <v>0</v>
      </c>
      <c r="T692" s="148" t="s">
        <v>1305</v>
      </c>
      <c r="V692" s="148">
        <f t="shared" ref="V692:V754" si="152">VLOOKUP(T692,IDPOINTS,2,FALSE)</f>
        <v>0</v>
      </c>
    </row>
    <row r="693" spans="1:22" s="137" customFormat="1" ht="15.75">
      <c r="A693" s="137" t="s">
        <v>1338</v>
      </c>
      <c r="B693" s="135" t="s">
        <v>1225</v>
      </c>
      <c r="C693" s="136">
        <f>'ECONOMIA &amp; PROFESIONES'!E36</f>
        <v>9</v>
      </c>
      <c r="D693" s="180"/>
      <c r="E693" s="137" t="s">
        <v>1305</v>
      </c>
      <c r="G693" s="137">
        <f t="shared" si="147"/>
        <v>0</v>
      </c>
      <c r="H693" s="137" t="s">
        <v>1305</v>
      </c>
      <c r="J693" s="137">
        <f t="shared" si="148"/>
        <v>0</v>
      </c>
      <c r="K693" s="137" t="s">
        <v>1305</v>
      </c>
      <c r="M693" s="137">
        <f t="shared" si="149"/>
        <v>0</v>
      </c>
      <c r="N693" s="137" t="s">
        <v>1305</v>
      </c>
      <c r="P693" s="137">
        <f t="shared" si="150"/>
        <v>0</v>
      </c>
      <c r="Q693" s="137" t="s">
        <v>1305</v>
      </c>
      <c r="S693" s="137">
        <f t="shared" si="151"/>
        <v>0</v>
      </c>
      <c r="T693" s="137" t="s">
        <v>1305</v>
      </c>
      <c r="V693" s="137">
        <f t="shared" si="152"/>
        <v>0</v>
      </c>
    </row>
    <row r="694" spans="1:22" s="137" customFormat="1" ht="15.75">
      <c r="A694" s="137" t="s">
        <v>1338</v>
      </c>
      <c r="B694" s="135" t="s">
        <v>1226</v>
      </c>
      <c r="C694" s="136">
        <f>'ECONOMIA &amp; PROFESIONES'!E36</f>
        <v>9</v>
      </c>
      <c r="D694" s="180"/>
      <c r="E694" s="137" t="s">
        <v>1305</v>
      </c>
      <c r="G694" s="137">
        <f t="shared" si="147"/>
        <v>0</v>
      </c>
      <c r="H694" s="137" t="s">
        <v>1305</v>
      </c>
      <c r="J694" s="137">
        <f t="shared" si="148"/>
        <v>0</v>
      </c>
      <c r="K694" s="137" t="s">
        <v>1305</v>
      </c>
      <c r="M694" s="137">
        <f t="shared" si="149"/>
        <v>0</v>
      </c>
      <c r="N694" s="137" t="s">
        <v>1305</v>
      </c>
      <c r="P694" s="137">
        <f t="shared" si="150"/>
        <v>0</v>
      </c>
      <c r="Q694" s="137" t="s">
        <v>1305</v>
      </c>
      <c r="S694" s="137">
        <f t="shared" si="151"/>
        <v>0</v>
      </c>
      <c r="T694" s="137" t="s">
        <v>1305</v>
      </c>
      <c r="V694" s="137">
        <f t="shared" si="152"/>
        <v>0</v>
      </c>
    </row>
    <row r="695" spans="1:22" s="137" customFormat="1" ht="15.75">
      <c r="A695" s="137" t="s">
        <v>1338</v>
      </c>
      <c r="B695" s="135" t="s">
        <v>1227</v>
      </c>
      <c r="C695" s="136">
        <f>'ECONOMIA &amp; PROFESIONES'!E34</f>
        <v>5</v>
      </c>
      <c r="D695" s="180"/>
      <c r="E695" s="137" t="s">
        <v>1305</v>
      </c>
      <c r="G695" s="137">
        <f t="shared" si="147"/>
        <v>0</v>
      </c>
      <c r="H695" s="137" t="s">
        <v>1305</v>
      </c>
      <c r="J695" s="137">
        <f t="shared" si="148"/>
        <v>0</v>
      </c>
      <c r="K695" s="137" t="s">
        <v>1305</v>
      </c>
      <c r="M695" s="137">
        <f t="shared" si="149"/>
        <v>0</v>
      </c>
      <c r="N695" s="137" t="s">
        <v>1305</v>
      </c>
      <c r="P695" s="137">
        <f t="shared" si="150"/>
        <v>0</v>
      </c>
      <c r="Q695" s="137" t="s">
        <v>1305</v>
      </c>
      <c r="S695" s="137">
        <f t="shared" si="151"/>
        <v>0</v>
      </c>
      <c r="T695" s="137" t="s">
        <v>1305</v>
      </c>
      <c r="V695" s="137">
        <f t="shared" si="152"/>
        <v>0</v>
      </c>
    </row>
    <row r="696" spans="1:22" s="137" customFormat="1" ht="15.75">
      <c r="A696" s="137" t="s">
        <v>1338</v>
      </c>
      <c r="B696" s="135" t="s">
        <v>1228</v>
      </c>
      <c r="C696" s="136">
        <f>'ECONOMIA &amp; PROFESIONES'!E34</f>
        <v>5</v>
      </c>
      <c r="D696" s="180"/>
      <c r="E696" s="137" t="s">
        <v>1305</v>
      </c>
      <c r="G696" s="137">
        <f t="shared" si="147"/>
        <v>0</v>
      </c>
      <c r="H696" s="137" t="s">
        <v>1305</v>
      </c>
      <c r="J696" s="137">
        <f t="shared" si="148"/>
        <v>0</v>
      </c>
      <c r="K696" s="137" t="s">
        <v>1305</v>
      </c>
      <c r="M696" s="137">
        <f t="shared" si="149"/>
        <v>0</v>
      </c>
      <c r="N696" s="137" t="s">
        <v>1305</v>
      </c>
      <c r="P696" s="137">
        <f t="shared" si="150"/>
        <v>0</v>
      </c>
      <c r="Q696" s="137" t="s">
        <v>1305</v>
      </c>
      <c r="S696" s="137">
        <f t="shared" si="151"/>
        <v>0</v>
      </c>
      <c r="T696" s="137" t="s">
        <v>1305</v>
      </c>
      <c r="V696" s="137">
        <f t="shared" si="152"/>
        <v>0</v>
      </c>
    </row>
    <row r="697" spans="1:22" s="137" customFormat="1" ht="15.75">
      <c r="A697" s="137" t="s">
        <v>1338</v>
      </c>
      <c r="B697" s="135" t="s">
        <v>1229</v>
      </c>
      <c r="C697" s="136">
        <f>'ECONOMIA &amp; PROFESIONES'!E37</f>
        <v>11</v>
      </c>
      <c r="D697" s="180"/>
      <c r="E697" s="137" t="s">
        <v>1305</v>
      </c>
      <c r="G697" s="137">
        <f t="shared" si="147"/>
        <v>0</v>
      </c>
      <c r="H697" s="137" t="s">
        <v>1305</v>
      </c>
      <c r="J697" s="137">
        <f t="shared" si="148"/>
        <v>0</v>
      </c>
      <c r="K697" s="137" t="s">
        <v>1305</v>
      </c>
      <c r="M697" s="137">
        <f t="shared" si="149"/>
        <v>0</v>
      </c>
      <c r="N697" s="137" t="s">
        <v>1305</v>
      </c>
      <c r="P697" s="137">
        <f t="shared" si="150"/>
        <v>0</v>
      </c>
      <c r="Q697" s="137" t="s">
        <v>1305</v>
      </c>
      <c r="S697" s="137">
        <f t="shared" si="151"/>
        <v>0</v>
      </c>
      <c r="T697" s="137" t="s">
        <v>1305</v>
      </c>
      <c r="V697" s="137">
        <f t="shared" si="152"/>
        <v>0</v>
      </c>
    </row>
    <row r="698" spans="1:22" s="137" customFormat="1" ht="15.75">
      <c r="A698" s="137" t="s">
        <v>1338</v>
      </c>
      <c r="B698" s="135" t="s">
        <v>1230</v>
      </c>
      <c r="C698" s="136">
        <f>'ECONOMIA &amp; PROFESIONES'!E37</f>
        <v>11</v>
      </c>
      <c r="D698" s="180"/>
      <c r="E698" s="137" t="s">
        <v>1305</v>
      </c>
      <c r="G698" s="137">
        <f t="shared" si="147"/>
        <v>0</v>
      </c>
      <c r="H698" s="137" t="s">
        <v>1305</v>
      </c>
      <c r="J698" s="137">
        <f t="shared" si="148"/>
        <v>0</v>
      </c>
      <c r="K698" s="137" t="s">
        <v>1305</v>
      </c>
      <c r="M698" s="137">
        <f t="shared" si="149"/>
        <v>0</v>
      </c>
      <c r="N698" s="137" t="s">
        <v>1305</v>
      </c>
      <c r="P698" s="137">
        <f t="shared" si="150"/>
        <v>0</v>
      </c>
      <c r="Q698" s="137" t="s">
        <v>1305</v>
      </c>
      <c r="S698" s="137">
        <f t="shared" si="151"/>
        <v>0</v>
      </c>
      <c r="T698" s="137" t="s">
        <v>1305</v>
      </c>
      <c r="V698" s="137">
        <f t="shared" si="152"/>
        <v>0</v>
      </c>
    </row>
    <row r="699" spans="1:22" s="137" customFormat="1" ht="15.75">
      <c r="A699" s="137" t="s">
        <v>1338</v>
      </c>
      <c r="B699" s="135" t="s">
        <v>1231</v>
      </c>
      <c r="C699" s="136">
        <f>'ECONOMIA &amp; PROFESIONES'!E35</f>
        <v>7</v>
      </c>
      <c r="D699" s="180"/>
      <c r="E699" s="137" t="s">
        <v>1305</v>
      </c>
      <c r="G699" s="137">
        <f t="shared" si="147"/>
        <v>0</v>
      </c>
      <c r="H699" s="137" t="s">
        <v>1305</v>
      </c>
      <c r="J699" s="137">
        <f t="shared" si="148"/>
        <v>0</v>
      </c>
      <c r="K699" s="137" t="s">
        <v>1305</v>
      </c>
      <c r="M699" s="137">
        <f t="shared" si="149"/>
        <v>0</v>
      </c>
      <c r="N699" s="137" t="s">
        <v>1305</v>
      </c>
      <c r="P699" s="137">
        <f t="shared" si="150"/>
        <v>0</v>
      </c>
      <c r="Q699" s="137" t="s">
        <v>1305</v>
      </c>
      <c r="S699" s="137">
        <f t="shared" si="151"/>
        <v>0</v>
      </c>
      <c r="T699" s="137" t="s">
        <v>1305</v>
      </c>
      <c r="V699" s="137">
        <f t="shared" si="152"/>
        <v>0</v>
      </c>
    </row>
    <row r="700" spans="1:22" s="137" customFormat="1" ht="15.75">
      <c r="A700" s="137" t="s">
        <v>1338</v>
      </c>
      <c r="B700" s="135" t="s">
        <v>1232</v>
      </c>
      <c r="C700" s="136">
        <f>'ECONOMIA &amp; PROFESIONES'!E35</f>
        <v>7</v>
      </c>
      <c r="D700" s="180"/>
      <c r="E700" s="137" t="s">
        <v>1305</v>
      </c>
      <c r="G700" s="137">
        <f t="shared" si="147"/>
        <v>0</v>
      </c>
      <c r="H700" s="137" t="s">
        <v>1305</v>
      </c>
      <c r="J700" s="137">
        <f t="shared" si="148"/>
        <v>0</v>
      </c>
      <c r="K700" s="137" t="s">
        <v>1305</v>
      </c>
      <c r="M700" s="137">
        <f t="shared" si="149"/>
        <v>0</v>
      </c>
      <c r="N700" s="137" t="s">
        <v>1305</v>
      </c>
      <c r="P700" s="137">
        <f t="shared" si="150"/>
        <v>0</v>
      </c>
      <c r="Q700" s="137" t="s">
        <v>1305</v>
      </c>
      <c r="S700" s="137">
        <f t="shared" si="151"/>
        <v>0</v>
      </c>
      <c r="T700" s="137" t="s">
        <v>1305</v>
      </c>
      <c r="V700" s="137">
        <f t="shared" si="152"/>
        <v>0</v>
      </c>
    </row>
    <row r="701" spans="1:22" s="137" customFormat="1" ht="15.75">
      <c r="A701" s="137" t="s">
        <v>1338</v>
      </c>
      <c r="B701" s="135" t="s">
        <v>1233</v>
      </c>
      <c r="C701" s="136">
        <f>'ECONOMIA &amp; PROFESIONES'!E32</f>
        <v>1</v>
      </c>
      <c r="D701" s="180"/>
      <c r="E701" s="137" t="s">
        <v>1305</v>
      </c>
      <c r="G701" s="137">
        <f t="shared" si="147"/>
        <v>0</v>
      </c>
      <c r="H701" s="137" t="s">
        <v>1305</v>
      </c>
      <c r="J701" s="137">
        <f t="shared" si="148"/>
        <v>0</v>
      </c>
      <c r="K701" s="137" t="s">
        <v>1305</v>
      </c>
      <c r="M701" s="137">
        <f t="shared" si="149"/>
        <v>0</v>
      </c>
      <c r="N701" s="137" t="s">
        <v>1305</v>
      </c>
      <c r="P701" s="137">
        <f t="shared" si="150"/>
        <v>0</v>
      </c>
      <c r="Q701" s="137" t="s">
        <v>1305</v>
      </c>
      <c r="S701" s="137">
        <f t="shared" si="151"/>
        <v>0</v>
      </c>
      <c r="T701" s="137" t="s">
        <v>1305</v>
      </c>
      <c r="V701" s="137">
        <f t="shared" si="152"/>
        <v>0</v>
      </c>
    </row>
    <row r="702" spans="1:22" s="137" customFormat="1" ht="15.75">
      <c r="A702" s="137" t="s">
        <v>1338</v>
      </c>
      <c r="B702" s="135" t="s">
        <v>1234</v>
      </c>
      <c r="C702" s="136">
        <f>'ECONOMIA &amp; PROFESIONES'!E32</f>
        <v>1</v>
      </c>
      <c r="D702" s="180"/>
      <c r="E702" s="137" t="s">
        <v>1305</v>
      </c>
      <c r="G702" s="137">
        <f t="shared" si="147"/>
        <v>0</v>
      </c>
      <c r="H702" s="137" t="s">
        <v>1305</v>
      </c>
      <c r="J702" s="137">
        <f t="shared" si="148"/>
        <v>0</v>
      </c>
      <c r="K702" s="137" t="s">
        <v>1305</v>
      </c>
      <c r="M702" s="137">
        <f t="shared" si="149"/>
        <v>0</v>
      </c>
      <c r="N702" s="137" t="s">
        <v>1305</v>
      </c>
      <c r="P702" s="137">
        <f t="shared" si="150"/>
        <v>0</v>
      </c>
      <c r="Q702" s="137" t="s">
        <v>1305</v>
      </c>
      <c r="S702" s="137">
        <f t="shared" si="151"/>
        <v>0</v>
      </c>
      <c r="T702" s="137" t="s">
        <v>1305</v>
      </c>
      <c r="V702" s="137">
        <f t="shared" si="152"/>
        <v>0</v>
      </c>
    </row>
    <row r="703" spans="1:22" s="137" customFormat="1" ht="15.75">
      <c r="A703" s="137" t="s">
        <v>1338</v>
      </c>
      <c r="B703" s="135" t="s">
        <v>1235</v>
      </c>
      <c r="C703" s="136">
        <f>'ECONOMIA &amp; PROFESIONES'!E33</f>
        <v>3</v>
      </c>
      <c r="D703" s="180"/>
      <c r="E703" s="137" t="s">
        <v>1305</v>
      </c>
      <c r="G703" s="137">
        <f t="shared" si="147"/>
        <v>0</v>
      </c>
      <c r="H703" s="137" t="s">
        <v>1305</v>
      </c>
      <c r="J703" s="137">
        <f t="shared" si="148"/>
        <v>0</v>
      </c>
      <c r="K703" s="137" t="s">
        <v>1305</v>
      </c>
      <c r="M703" s="137">
        <f t="shared" si="149"/>
        <v>0</v>
      </c>
      <c r="N703" s="137" t="s">
        <v>1305</v>
      </c>
      <c r="P703" s="137">
        <f t="shared" si="150"/>
        <v>0</v>
      </c>
      <c r="Q703" s="137" t="s">
        <v>1305</v>
      </c>
      <c r="S703" s="137">
        <f t="shared" si="151"/>
        <v>0</v>
      </c>
      <c r="T703" s="137" t="s">
        <v>1305</v>
      </c>
      <c r="V703" s="137">
        <f t="shared" si="152"/>
        <v>0</v>
      </c>
    </row>
    <row r="704" spans="1:22" s="137" customFormat="1" ht="15.75">
      <c r="A704" s="137" t="s">
        <v>1338</v>
      </c>
      <c r="B704" s="135" t="s">
        <v>1236</v>
      </c>
      <c r="C704" s="136">
        <f>'ECONOMIA &amp; PROFESIONES'!E33</f>
        <v>3</v>
      </c>
      <c r="D704" s="180"/>
      <c r="E704" s="137" t="s">
        <v>1305</v>
      </c>
      <c r="G704" s="137">
        <f t="shared" si="147"/>
        <v>0</v>
      </c>
      <c r="H704" s="137" t="s">
        <v>1305</v>
      </c>
      <c r="J704" s="137">
        <f t="shared" si="148"/>
        <v>0</v>
      </c>
      <c r="K704" s="137" t="s">
        <v>1305</v>
      </c>
      <c r="M704" s="137">
        <f t="shared" si="149"/>
        <v>0</v>
      </c>
      <c r="N704" s="137" t="s">
        <v>1305</v>
      </c>
      <c r="P704" s="137">
        <f t="shared" si="150"/>
        <v>0</v>
      </c>
      <c r="Q704" s="137" t="s">
        <v>1305</v>
      </c>
      <c r="S704" s="137">
        <f t="shared" si="151"/>
        <v>0</v>
      </c>
      <c r="T704" s="137" t="s">
        <v>1305</v>
      </c>
      <c r="V704" s="137">
        <f t="shared" si="152"/>
        <v>0</v>
      </c>
    </row>
    <row r="705" spans="1:22" s="167" customFormat="1" ht="15.75">
      <c r="A705" s="153"/>
      <c r="B705" s="165" t="s">
        <v>1237</v>
      </c>
      <c r="C705" s="166">
        <f t="shared" ref="C705:C727" si="153">(G705*F705)+(I705*J705)+(L705*M705)+(O705*P705)+(R705*S705)+(U705*V705)</f>
        <v>0</v>
      </c>
      <c r="D705" s="180"/>
      <c r="E705" s="167" t="s">
        <v>1305</v>
      </c>
      <c r="G705" s="167">
        <f t="shared" si="147"/>
        <v>0</v>
      </c>
      <c r="H705" s="167" t="s">
        <v>1305</v>
      </c>
      <c r="J705" s="167">
        <f t="shared" si="148"/>
        <v>0</v>
      </c>
      <c r="K705" s="167" t="s">
        <v>1305</v>
      </c>
      <c r="M705" s="167">
        <f t="shared" si="149"/>
        <v>0</v>
      </c>
      <c r="N705" s="167" t="s">
        <v>1305</v>
      </c>
      <c r="P705" s="167">
        <f t="shared" si="150"/>
        <v>0</v>
      </c>
      <c r="Q705" s="167" t="s">
        <v>1305</v>
      </c>
      <c r="S705" s="167">
        <f t="shared" si="151"/>
        <v>0</v>
      </c>
      <c r="T705" s="167" t="s">
        <v>1305</v>
      </c>
      <c r="V705" s="167">
        <f t="shared" si="152"/>
        <v>0</v>
      </c>
    </row>
    <row r="706" spans="1:22" s="167" customFormat="1" ht="15.75">
      <c r="A706" s="153"/>
      <c r="B706" s="165" t="s">
        <v>1238</v>
      </c>
      <c r="C706" s="166">
        <f t="shared" si="153"/>
        <v>0</v>
      </c>
      <c r="D706" s="180"/>
      <c r="E706" s="167" t="s">
        <v>1305</v>
      </c>
      <c r="G706" s="167">
        <f t="shared" si="147"/>
        <v>0</v>
      </c>
      <c r="H706" s="167" t="s">
        <v>1305</v>
      </c>
      <c r="J706" s="167">
        <f t="shared" si="148"/>
        <v>0</v>
      </c>
      <c r="K706" s="167" t="s">
        <v>1305</v>
      </c>
      <c r="M706" s="167">
        <f t="shared" si="149"/>
        <v>0</v>
      </c>
      <c r="N706" s="167" t="s">
        <v>1305</v>
      </c>
      <c r="P706" s="167">
        <f t="shared" si="150"/>
        <v>0</v>
      </c>
      <c r="Q706" s="167" t="s">
        <v>1305</v>
      </c>
      <c r="S706" s="167">
        <f t="shared" si="151"/>
        <v>0</v>
      </c>
      <c r="T706" s="167" t="s">
        <v>1305</v>
      </c>
      <c r="V706" s="167">
        <f t="shared" si="152"/>
        <v>0</v>
      </c>
    </row>
    <row r="707" spans="1:22" ht="15.75">
      <c r="A707" s="153" t="s">
        <v>1348</v>
      </c>
      <c r="B707" s="125" t="s">
        <v>1239</v>
      </c>
      <c r="C707" s="130">
        <f t="shared" ref="C707" si="154">((G707*F707)+(I707*J707)+(L707*M707)+(O707*P707)+(R707*S707)+(U707*V707))/D707</f>
        <v>5</v>
      </c>
      <c r="D707" s="180">
        <v>1</v>
      </c>
      <c r="E707" s="127" t="s">
        <v>1240</v>
      </c>
      <c r="F707">
        <v>1</v>
      </c>
      <c r="G707" s="127">
        <f t="shared" si="147"/>
        <v>5</v>
      </c>
      <c r="H707" s="127" t="s">
        <v>1305</v>
      </c>
      <c r="J707" s="127">
        <f t="shared" si="148"/>
        <v>0</v>
      </c>
      <c r="K707" s="127" t="s">
        <v>1305</v>
      </c>
      <c r="M707" s="127">
        <f t="shared" si="149"/>
        <v>0</v>
      </c>
      <c r="N707" s="127" t="s">
        <v>1305</v>
      </c>
      <c r="P707" s="127">
        <f t="shared" si="150"/>
        <v>0</v>
      </c>
      <c r="Q707" s="127" t="s">
        <v>1305</v>
      </c>
      <c r="S707" s="127">
        <f t="shared" si="151"/>
        <v>0</v>
      </c>
      <c r="T707" s="127" t="s">
        <v>1305</v>
      </c>
      <c r="V707" s="127">
        <f t="shared" si="152"/>
        <v>0</v>
      </c>
    </row>
    <row r="708" spans="1:22" s="137" customFormat="1" ht="15.75">
      <c r="A708" s="137" t="s">
        <v>560</v>
      </c>
      <c r="B708" s="135" t="s">
        <v>1240</v>
      </c>
      <c r="C708" s="136">
        <f>'ECONOMIA &amp; PROFESIONES'!G38</f>
        <v>5</v>
      </c>
      <c r="D708" s="180"/>
      <c r="E708" s="137" t="s">
        <v>1305</v>
      </c>
      <c r="G708" s="137">
        <f t="shared" si="147"/>
        <v>0</v>
      </c>
      <c r="H708" s="137" t="s">
        <v>1305</v>
      </c>
      <c r="J708" s="137">
        <f t="shared" si="148"/>
        <v>0</v>
      </c>
      <c r="K708" s="137" t="s">
        <v>1305</v>
      </c>
      <c r="M708" s="137">
        <f t="shared" si="149"/>
        <v>0</v>
      </c>
      <c r="N708" s="137" t="s">
        <v>1305</v>
      </c>
      <c r="P708" s="137">
        <f t="shared" si="150"/>
        <v>0</v>
      </c>
      <c r="Q708" s="137" t="s">
        <v>1305</v>
      </c>
      <c r="S708" s="137">
        <f t="shared" si="151"/>
        <v>0</v>
      </c>
      <c r="T708" s="137" t="s">
        <v>1305</v>
      </c>
      <c r="V708" s="137">
        <f t="shared" si="152"/>
        <v>0</v>
      </c>
    </row>
    <row r="709" spans="1:22" s="137" customFormat="1" ht="15.75">
      <c r="A709" s="137" t="s">
        <v>560</v>
      </c>
      <c r="B709" s="135" t="s">
        <v>1241</v>
      </c>
      <c r="C709" s="136">
        <v>1</v>
      </c>
      <c r="D709" s="180"/>
      <c r="E709" s="137" t="s">
        <v>1305</v>
      </c>
      <c r="G709" s="137">
        <f t="shared" si="147"/>
        <v>0</v>
      </c>
      <c r="H709" s="137" t="s">
        <v>1305</v>
      </c>
      <c r="J709" s="137">
        <f t="shared" si="148"/>
        <v>0</v>
      </c>
      <c r="K709" s="137" t="s">
        <v>1305</v>
      </c>
      <c r="M709" s="137">
        <f t="shared" si="149"/>
        <v>0</v>
      </c>
      <c r="N709" s="137" t="s">
        <v>1305</v>
      </c>
      <c r="P709" s="137">
        <f t="shared" si="150"/>
        <v>0</v>
      </c>
      <c r="Q709" s="137" t="s">
        <v>1305</v>
      </c>
      <c r="S709" s="137">
        <f t="shared" si="151"/>
        <v>0</v>
      </c>
      <c r="T709" s="137" t="s">
        <v>1305</v>
      </c>
      <c r="V709" s="137">
        <f t="shared" si="152"/>
        <v>0</v>
      </c>
    </row>
    <row r="710" spans="1:22" ht="15.75">
      <c r="A710" s="153" t="s">
        <v>1348</v>
      </c>
      <c r="B710" s="125" t="s">
        <v>1242</v>
      </c>
      <c r="C710" s="130">
        <f t="shared" ref="C710" si="155">((G710*F710)+(I710*J710)+(L710*M710)+(O710*P710)+(R710*S710)+(U710*V710))/D710</f>
        <v>27.875</v>
      </c>
      <c r="D710" s="180">
        <v>1</v>
      </c>
      <c r="E710" s="127" t="s">
        <v>617</v>
      </c>
      <c r="F710">
        <v>1</v>
      </c>
      <c r="G710" s="127">
        <f t="shared" si="147"/>
        <v>4.875</v>
      </c>
      <c r="H710" s="127" t="s">
        <v>636</v>
      </c>
      <c r="I710" s="127">
        <v>1</v>
      </c>
      <c r="J710" s="127">
        <f t="shared" si="148"/>
        <v>11</v>
      </c>
      <c r="K710" s="127" t="s">
        <v>1131</v>
      </c>
      <c r="L710" s="127">
        <v>1</v>
      </c>
      <c r="M710" s="127">
        <f t="shared" si="149"/>
        <v>11</v>
      </c>
      <c r="N710" s="127" t="s">
        <v>1081</v>
      </c>
      <c r="O710" s="127">
        <v>1</v>
      </c>
      <c r="P710" s="127">
        <f t="shared" si="150"/>
        <v>1</v>
      </c>
      <c r="Q710" s="127" t="s">
        <v>1305</v>
      </c>
      <c r="S710" s="127">
        <f t="shared" si="151"/>
        <v>0</v>
      </c>
      <c r="T710" s="127" t="s">
        <v>1305</v>
      </c>
      <c r="V710" s="127">
        <f t="shared" si="152"/>
        <v>0</v>
      </c>
    </row>
    <row r="711" spans="1:22" s="137" customFormat="1" ht="15.75">
      <c r="A711" s="137" t="s">
        <v>560</v>
      </c>
      <c r="B711" s="135" t="s">
        <v>1243</v>
      </c>
      <c r="C711" s="136">
        <f>'ECONOMIA &amp; PROFESIONES'!G34</f>
        <v>3</v>
      </c>
      <c r="D711" s="180"/>
      <c r="E711" s="137" t="s">
        <v>1305</v>
      </c>
      <c r="G711" s="137">
        <f t="shared" si="147"/>
        <v>0</v>
      </c>
      <c r="H711" s="137" t="s">
        <v>1305</v>
      </c>
      <c r="J711" s="137">
        <f t="shared" si="148"/>
        <v>0</v>
      </c>
      <c r="K711" s="137" t="s">
        <v>1305</v>
      </c>
      <c r="M711" s="137">
        <f t="shared" si="149"/>
        <v>0</v>
      </c>
      <c r="N711" s="137" t="s">
        <v>1305</v>
      </c>
      <c r="P711" s="137">
        <f t="shared" si="150"/>
        <v>0</v>
      </c>
      <c r="Q711" s="137" t="s">
        <v>1305</v>
      </c>
      <c r="S711" s="137">
        <f t="shared" si="151"/>
        <v>0</v>
      </c>
      <c r="T711" s="137" t="s">
        <v>1305</v>
      </c>
      <c r="V711" s="137">
        <f t="shared" si="152"/>
        <v>0</v>
      </c>
    </row>
    <row r="712" spans="1:22" s="167" customFormat="1" ht="15.75">
      <c r="B712" s="165" t="s">
        <v>1244</v>
      </c>
      <c r="C712" s="166">
        <f t="shared" si="153"/>
        <v>0</v>
      </c>
      <c r="D712" s="180"/>
      <c r="E712" s="167" t="s">
        <v>1305</v>
      </c>
      <c r="G712" s="167">
        <f t="shared" si="147"/>
        <v>0</v>
      </c>
      <c r="H712" s="167" t="s">
        <v>1305</v>
      </c>
      <c r="J712" s="167">
        <f t="shared" si="148"/>
        <v>0</v>
      </c>
      <c r="K712" s="167" t="s">
        <v>1305</v>
      </c>
      <c r="M712" s="167">
        <f t="shared" si="149"/>
        <v>0</v>
      </c>
      <c r="N712" s="167" t="s">
        <v>1305</v>
      </c>
      <c r="P712" s="167">
        <f t="shared" si="150"/>
        <v>0</v>
      </c>
      <c r="Q712" s="167" t="s">
        <v>1305</v>
      </c>
      <c r="S712" s="167">
        <f t="shared" si="151"/>
        <v>0</v>
      </c>
      <c r="T712" s="167" t="s">
        <v>1305</v>
      </c>
      <c r="V712" s="167">
        <f t="shared" si="152"/>
        <v>0</v>
      </c>
    </row>
    <row r="713" spans="1:22" ht="15.75">
      <c r="A713" s="153" t="s">
        <v>1346</v>
      </c>
      <c r="B713" s="125" t="s">
        <v>1245</v>
      </c>
      <c r="C713" s="130">
        <f t="shared" ref="C713:C720" si="156">((G713*F713)+(I713*J713)+(L713*M713)+(O713*P713)+(R713*S713)+(U713*V713))/D713</f>
        <v>31</v>
      </c>
      <c r="D713" s="180">
        <v>1</v>
      </c>
      <c r="E713" s="127" t="s">
        <v>669</v>
      </c>
      <c r="F713">
        <v>1</v>
      </c>
      <c r="G713" s="127">
        <f t="shared" si="147"/>
        <v>28</v>
      </c>
      <c r="H713" s="127" t="s">
        <v>672</v>
      </c>
      <c r="I713" s="127">
        <v>1</v>
      </c>
      <c r="J713" s="127">
        <f t="shared" si="148"/>
        <v>3</v>
      </c>
      <c r="K713" s="127" t="s">
        <v>1305</v>
      </c>
      <c r="M713" s="127">
        <f t="shared" si="149"/>
        <v>0</v>
      </c>
      <c r="N713" s="127" t="s">
        <v>1305</v>
      </c>
      <c r="P713" s="127">
        <f t="shared" si="150"/>
        <v>0</v>
      </c>
      <c r="Q713" s="127" t="s">
        <v>1305</v>
      </c>
      <c r="S713" s="127">
        <f t="shared" si="151"/>
        <v>0</v>
      </c>
      <c r="T713" s="127" t="s">
        <v>1305</v>
      </c>
      <c r="V713" s="127">
        <f t="shared" si="152"/>
        <v>0</v>
      </c>
    </row>
    <row r="714" spans="1:22" ht="15.75">
      <c r="A714" s="153" t="s">
        <v>1353</v>
      </c>
      <c r="B714" s="125" t="s">
        <v>1247</v>
      </c>
      <c r="C714" s="130">
        <f t="shared" si="156"/>
        <v>45</v>
      </c>
      <c r="D714" s="180">
        <v>1</v>
      </c>
      <c r="E714" s="127" t="s">
        <v>870</v>
      </c>
      <c r="F714">
        <v>5</v>
      </c>
      <c r="G714" s="127">
        <f t="shared" si="147"/>
        <v>5</v>
      </c>
      <c r="H714" s="127" t="s">
        <v>1158</v>
      </c>
      <c r="I714" s="127">
        <v>4</v>
      </c>
      <c r="J714" s="127">
        <f t="shared" si="148"/>
        <v>5</v>
      </c>
      <c r="K714" s="127" t="s">
        <v>1305</v>
      </c>
      <c r="M714" s="127">
        <f t="shared" si="149"/>
        <v>0</v>
      </c>
      <c r="N714" s="127" t="s">
        <v>1305</v>
      </c>
      <c r="P714" s="127">
        <f t="shared" si="150"/>
        <v>0</v>
      </c>
      <c r="Q714" s="127" t="s">
        <v>1305</v>
      </c>
      <c r="S714" s="127">
        <f t="shared" si="151"/>
        <v>0</v>
      </c>
      <c r="T714" s="127" t="s">
        <v>1305</v>
      </c>
      <c r="V714" s="127">
        <f t="shared" si="152"/>
        <v>0</v>
      </c>
    </row>
    <row r="715" spans="1:22" ht="15.75">
      <c r="A715" s="153" t="s">
        <v>595</v>
      </c>
      <c r="B715" s="125" t="s">
        <v>1246</v>
      </c>
      <c r="C715" s="130">
        <f t="shared" si="156"/>
        <v>85</v>
      </c>
      <c r="D715" s="180">
        <v>1</v>
      </c>
      <c r="E715" s="127" t="s">
        <v>1247</v>
      </c>
      <c r="F715">
        <v>1</v>
      </c>
      <c r="G715" s="127">
        <f t="shared" si="147"/>
        <v>45</v>
      </c>
      <c r="H715" s="127" t="s">
        <v>994</v>
      </c>
      <c r="I715" s="127">
        <v>1</v>
      </c>
      <c r="J715" s="127">
        <f t="shared" si="148"/>
        <v>40</v>
      </c>
      <c r="K715" s="127" t="s">
        <v>1305</v>
      </c>
      <c r="M715" s="127">
        <f t="shared" si="149"/>
        <v>0</v>
      </c>
      <c r="N715" s="127" t="s">
        <v>1305</v>
      </c>
      <c r="P715" s="127">
        <f t="shared" si="150"/>
        <v>0</v>
      </c>
      <c r="Q715" s="127" t="s">
        <v>1305</v>
      </c>
      <c r="S715" s="127">
        <f t="shared" si="151"/>
        <v>0</v>
      </c>
      <c r="T715" s="127" t="s">
        <v>1305</v>
      </c>
      <c r="V715" s="127">
        <f t="shared" si="152"/>
        <v>0</v>
      </c>
    </row>
    <row r="716" spans="1:22" ht="15.75">
      <c r="A716" s="153"/>
      <c r="B716" s="125" t="s">
        <v>1248</v>
      </c>
      <c r="C716" s="130">
        <f t="shared" si="156"/>
        <v>0.78125</v>
      </c>
      <c r="D716" s="180">
        <v>4</v>
      </c>
      <c r="E716" s="127" t="s">
        <v>672</v>
      </c>
      <c r="F716">
        <v>1</v>
      </c>
      <c r="G716" s="127">
        <f t="shared" si="147"/>
        <v>3</v>
      </c>
      <c r="H716" s="127" t="s">
        <v>1208</v>
      </c>
      <c r="I716" s="127">
        <v>1</v>
      </c>
      <c r="J716" s="127">
        <f t="shared" si="148"/>
        <v>0.125</v>
      </c>
      <c r="K716" s="127" t="s">
        <v>1305</v>
      </c>
      <c r="M716" s="127">
        <f t="shared" si="149"/>
        <v>0</v>
      </c>
      <c r="N716" s="127" t="s">
        <v>1305</v>
      </c>
      <c r="P716" s="127">
        <f t="shared" si="150"/>
        <v>0</v>
      </c>
      <c r="Q716" s="127" t="s">
        <v>1305</v>
      </c>
      <c r="S716" s="127">
        <f t="shared" si="151"/>
        <v>0</v>
      </c>
      <c r="T716" s="127" t="s">
        <v>1305</v>
      </c>
      <c r="V716" s="127">
        <f t="shared" si="152"/>
        <v>0</v>
      </c>
    </row>
    <row r="717" spans="1:22" s="140" customFormat="1" ht="15.75">
      <c r="A717" s="153"/>
      <c r="B717" s="138" t="s">
        <v>1249</v>
      </c>
      <c r="C717" s="139">
        <f t="shared" si="153"/>
        <v>0</v>
      </c>
      <c r="D717" s="180"/>
      <c r="E717" s="140" t="s">
        <v>1305</v>
      </c>
      <c r="G717" s="140">
        <f t="shared" si="147"/>
        <v>0</v>
      </c>
      <c r="H717" s="140" t="s">
        <v>1305</v>
      </c>
      <c r="J717" s="140">
        <f t="shared" si="148"/>
        <v>0</v>
      </c>
      <c r="K717" s="140" t="s">
        <v>1305</v>
      </c>
      <c r="M717" s="140">
        <f t="shared" si="149"/>
        <v>0</v>
      </c>
      <c r="N717" s="140" t="s">
        <v>1305</v>
      </c>
      <c r="P717" s="140">
        <f t="shared" si="150"/>
        <v>0</v>
      </c>
      <c r="Q717" s="140" t="s">
        <v>1305</v>
      </c>
      <c r="S717" s="140">
        <f t="shared" si="151"/>
        <v>0</v>
      </c>
      <c r="T717" s="140" t="s">
        <v>1305</v>
      </c>
      <c r="V717" s="140">
        <f t="shared" si="152"/>
        <v>0</v>
      </c>
    </row>
    <row r="718" spans="1:22" ht="15.75">
      <c r="A718" s="153" t="s">
        <v>1353</v>
      </c>
      <c r="B718" s="125" t="s">
        <v>1250</v>
      </c>
      <c r="C718" s="130">
        <f t="shared" si="156"/>
        <v>10.375</v>
      </c>
      <c r="D718" s="180">
        <v>1</v>
      </c>
      <c r="E718" s="127" t="s">
        <v>659</v>
      </c>
      <c r="F718">
        <v>1</v>
      </c>
      <c r="G718" s="127">
        <f t="shared" si="147"/>
        <v>2</v>
      </c>
      <c r="H718" s="127" t="s">
        <v>1252</v>
      </c>
      <c r="I718" s="127">
        <v>1</v>
      </c>
      <c r="J718" s="127">
        <f t="shared" si="148"/>
        <v>8.375</v>
      </c>
      <c r="K718" s="127" t="s">
        <v>1305</v>
      </c>
      <c r="M718" s="127">
        <f t="shared" si="149"/>
        <v>0</v>
      </c>
      <c r="N718" s="127" t="s">
        <v>1305</v>
      </c>
      <c r="P718" s="127">
        <f t="shared" si="150"/>
        <v>0</v>
      </c>
      <c r="Q718" s="127" t="s">
        <v>1305</v>
      </c>
      <c r="S718" s="127">
        <f t="shared" si="151"/>
        <v>0</v>
      </c>
      <c r="T718" s="127" t="s">
        <v>1305</v>
      </c>
      <c r="V718" s="127">
        <f t="shared" si="152"/>
        <v>0</v>
      </c>
    </row>
    <row r="719" spans="1:22" s="140" customFormat="1" ht="15.75">
      <c r="A719" s="153"/>
      <c r="B719" s="138" t="s">
        <v>1251</v>
      </c>
      <c r="C719" s="139">
        <f t="shared" si="153"/>
        <v>0</v>
      </c>
      <c r="D719" s="180"/>
      <c r="E719" s="140" t="s">
        <v>1305</v>
      </c>
      <c r="G719" s="140">
        <f t="shared" si="147"/>
        <v>0</v>
      </c>
      <c r="H719" s="140" t="s">
        <v>1305</v>
      </c>
      <c r="J719" s="140">
        <f t="shared" si="148"/>
        <v>0</v>
      </c>
      <c r="K719" s="140" t="s">
        <v>1305</v>
      </c>
      <c r="M719" s="140">
        <f t="shared" si="149"/>
        <v>0</v>
      </c>
      <c r="N719" s="140" t="s">
        <v>1305</v>
      </c>
      <c r="P719" s="140">
        <f t="shared" si="150"/>
        <v>0</v>
      </c>
      <c r="Q719" s="140" t="s">
        <v>1305</v>
      </c>
      <c r="S719" s="140">
        <f t="shared" si="151"/>
        <v>0</v>
      </c>
      <c r="T719" s="140" t="s">
        <v>1305</v>
      </c>
      <c r="V719" s="140">
        <f t="shared" si="152"/>
        <v>0</v>
      </c>
    </row>
    <row r="720" spans="1:22" ht="15.75">
      <c r="A720" s="153" t="s">
        <v>1353</v>
      </c>
      <c r="B720" s="125" t="s">
        <v>1252</v>
      </c>
      <c r="C720" s="130">
        <f t="shared" si="156"/>
        <v>8.375</v>
      </c>
      <c r="D720" s="180">
        <v>1</v>
      </c>
      <c r="E720" s="127" t="s">
        <v>896</v>
      </c>
      <c r="F720">
        <v>1</v>
      </c>
      <c r="G720" s="127">
        <f t="shared" si="147"/>
        <v>8</v>
      </c>
      <c r="H720" s="127" t="s">
        <v>1208</v>
      </c>
      <c r="I720" s="127">
        <v>1</v>
      </c>
      <c r="J720" s="127">
        <f t="shared" si="148"/>
        <v>0.125</v>
      </c>
      <c r="K720" s="127" t="s">
        <v>1026</v>
      </c>
      <c r="L720" s="127">
        <v>1</v>
      </c>
      <c r="M720" s="127">
        <f t="shared" si="149"/>
        <v>0.25</v>
      </c>
      <c r="N720" s="127" t="s">
        <v>1305</v>
      </c>
      <c r="P720" s="127">
        <f t="shared" si="150"/>
        <v>0</v>
      </c>
      <c r="Q720" s="127" t="s">
        <v>1305</v>
      </c>
      <c r="S720" s="127">
        <f t="shared" si="151"/>
        <v>0</v>
      </c>
      <c r="T720" s="127" t="s">
        <v>1305</v>
      </c>
      <c r="V720" s="127">
        <f t="shared" si="152"/>
        <v>0</v>
      </c>
    </row>
    <row r="721" spans="1:22" s="137" customFormat="1" ht="15.75">
      <c r="A721" s="137" t="s">
        <v>1342</v>
      </c>
      <c r="B721" s="135" t="s">
        <v>1253</v>
      </c>
      <c r="C721" s="136">
        <f>'ECONOMIA &amp; PROFESIONES'!I33</f>
        <v>3</v>
      </c>
      <c r="D721" s="180"/>
      <c r="E721" s="137" t="s">
        <v>1305</v>
      </c>
      <c r="G721" s="137">
        <f t="shared" si="147"/>
        <v>0</v>
      </c>
      <c r="H721" s="137" t="s">
        <v>1305</v>
      </c>
      <c r="J721" s="137">
        <f t="shared" si="148"/>
        <v>0</v>
      </c>
      <c r="K721" s="137" t="s">
        <v>1305</v>
      </c>
      <c r="M721" s="137">
        <f t="shared" si="149"/>
        <v>0</v>
      </c>
      <c r="N721" s="137" t="s">
        <v>1305</v>
      </c>
      <c r="P721" s="137">
        <f t="shared" si="150"/>
        <v>0</v>
      </c>
      <c r="Q721" s="137" t="s">
        <v>1305</v>
      </c>
      <c r="S721" s="137">
        <f t="shared" si="151"/>
        <v>0</v>
      </c>
      <c r="T721" s="137" t="s">
        <v>1305</v>
      </c>
      <c r="V721" s="137">
        <f t="shared" si="152"/>
        <v>0</v>
      </c>
    </row>
    <row r="722" spans="1:22" s="167" customFormat="1" ht="15.75">
      <c r="A722" s="153"/>
      <c r="B722" s="165" t="s">
        <v>1254</v>
      </c>
      <c r="C722" s="166">
        <f t="shared" si="153"/>
        <v>0</v>
      </c>
      <c r="D722" s="180"/>
      <c r="E722" s="167" t="s">
        <v>1305</v>
      </c>
      <c r="G722" s="167">
        <f t="shared" si="147"/>
        <v>0</v>
      </c>
      <c r="H722" s="167" t="s">
        <v>1305</v>
      </c>
      <c r="J722" s="167">
        <f t="shared" si="148"/>
        <v>0</v>
      </c>
      <c r="K722" s="167" t="s">
        <v>1305</v>
      </c>
      <c r="M722" s="167">
        <f t="shared" si="149"/>
        <v>0</v>
      </c>
      <c r="N722" s="167" t="s">
        <v>1305</v>
      </c>
      <c r="P722" s="167">
        <f t="shared" si="150"/>
        <v>0</v>
      </c>
      <c r="Q722" s="167" t="s">
        <v>1305</v>
      </c>
      <c r="S722" s="167">
        <f t="shared" si="151"/>
        <v>0</v>
      </c>
      <c r="T722" s="167" t="s">
        <v>1305</v>
      </c>
      <c r="V722" s="167">
        <f t="shared" si="152"/>
        <v>0</v>
      </c>
    </row>
    <row r="723" spans="1:22" s="167" customFormat="1" ht="15.75">
      <c r="A723" s="153"/>
      <c r="B723" s="165" t="s">
        <v>1255</v>
      </c>
      <c r="C723" s="166">
        <f t="shared" si="153"/>
        <v>0</v>
      </c>
      <c r="D723" s="180"/>
      <c r="E723" s="167" t="s">
        <v>1305</v>
      </c>
      <c r="G723" s="167">
        <f t="shared" si="147"/>
        <v>0</v>
      </c>
      <c r="H723" s="167" t="s">
        <v>1305</v>
      </c>
      <c r="J723" s="167">
        <f t="shared" si="148"/>
        <v>0</v>
      </c>
      <c r="K723" s="167" t="s">
        <v>1305</v>
      </c>
      <c r="M723" s="167">
        <f t="shared" si="149"/>
        <v>0</v>
      </c>
      <c r="N723" s="167" t="s">
        <v>1305</v>
      </c>
      <c r="P723" s="167">
        <f t="shared" si="150"/>
        <v>0</v>
      </c>
      <c r="Q723" s="167" t="s">
        <v>1305</v>
      </c>
      <c r="S723" s="167">
        <f t="shared" si="151"/>
        <v>0</v>
      </c>
      <c r="T723" s="167" t="s">
        <v>1305</v>
      </c>
      <c r="V723" s="167">
        <f t="shared" si="152"/>
        <v>0</v>
      </c>
    </row>
    <row r="724" spans="1:22" s="167" customFormat="1" ht="15.75">
      <c r="A724" s="153"/>
      <c r="B724" s="165" t="s">
        <v>1256</v>
      </c>
      <c r="C724" s="166">
        <f t="shared" si="153"/>
        <v>0</v>
      </c>
      <c r="D724" s="180"/>
      <c r="E724" s="167" t="s">
        <v>1305</v>
      </c>
      <c r="G724" s="167">
        <f t="shared" si="147"/>
        <v>0</v>
      </c>
      <c r="H724" s="167" t="s">
        <v>1305</v>
      </c>
      <c r="J724" s="167">
        <f t="shared" si="148"/>
        <v>0</v>
      </c>
      <c r="K724" s="167" t="s">
        <v>1305</v>
      </c>
      <c r="M724" s="167">
        <f t="shared" si="149"/>
        <v>0</v>
      </c>
      <c r="N724" s="167" t="s">
        <v>1305</v>
      </c>
      <c r="P724" s="167">
        <f t="shared" si="150"/>
        <v>0</v>
      </c>
      <c r="Q724" s="167" t="s">
        <v>1305</v>
      </c>
      <c r="S724" s="167">
        <f t="shared" si="151"/>
        <v>0</v>
      </c>
      <c r="T724" s="167" t="s">
        <v>1305</v>
      </c>
      <c r="V724" s="167">
        <f t="shared" si="152"/>
        <v>0</v>
      </c>
    </row>
    <row r="725" spans="1:22" ht="15.75">
      <c r="A725" s="153" t="s">
        <v>1344</v>
      </c>
      <c r="B725" s="125" t="s">
        <v>1257</v>
      </c>
      <c r="C725" s="130">
        <f t="shared" ref="C725" si="157">((G725*F725)+(I725*J725)+(L725*M725)+(O725*P725)+(R725*S725)+(U725*V725))/D725</f>
        <v>40</v>
      </c>
      <c r="D725" s="180">
        <v>1</v>
      </c>
      <c r="E725" s="127" t="s">
        <v>1164</v>
      </c>
      <c r="F725">
        <v>5</v>
      </c>
      <c r="G725" s="127">
        <f t="shared" si="147"/>
        <v>8</v>
      </c>
      <c r="H725" s="127" t="s">
        <v>1305</v>
      </c>
      <c r="J725" s="127">
        <f t="shared" si="148"/>
        <v>0</v>
      </c>
      <c r="K725" s="127" t="s">
        <v>1305</v>
      </c>
      <c r="M725" s="127">
        <f t="shared" si="149"/>
        <v>0</v>
      </c>
      <c r="N725" s="127" t="s">
        <v>1305</v>
      </c>
      <c r="P725" s="127">
        <f t="shared" si="150"/>
        <v>0</v>
      </c>
      <c r="Q725" s="127" t="s">
        <v>1305</v>
      </c>
      <c r="S725" s="127">
        <f t="shared" si="151"/>
        <v>0</v>
      </c>
      <c r="T725" s="127" t="s">
        <v>1305</v>
      </c>
      <c r="V725" s="127">
        <f t="shared" si="152"/>
        <v>0</v>
      </c>
    </row>
    <row r="726" spans="1:22" s="140" customFormat="1" ht="15.75">
      <c r="A726" s="153"/>
      <c r="B726" s="138" t="s">
        <v>1258</v>
      </c>
      <c r="C726" s="139">
        <f t="shared" si="153"/>
        <v>0</v>
      </c>
      <c r="D726" s="180"/>
      <c r="E726" s="140" t="s">
        <v>1305</v>
      </c>
      <c r="G726" s="140">
        <f t="shared" si="147"/>
        <v>0</v>
      </c>
      <c r="H726" s="140" t="s">
        <v>1305</v>
      </c>
      <c r="J726" s="140">
        <f t="shared" si="148"/>
        <v>0</v>
      </c>
      <c r="K726" s="140" t="s">
        <v>1305</v>
      </c>
      <c r="M726" s="140">
        <f t="shared" si="149"/>
        <v>0</v>
      </c>
      <c r="N726" s="140" t="s">
        <v>1305</v>
      </c>
      <c r="P726" s="140">
        <f t="shared" si="150"/>
        <v>0</v>
      </c>
      <c r="Q726" s="140" t="s">
        <v>1305</v>
      </c>
      <c r="S726" s="140">
        <f t="shared" si="151"/>
        <v>0</v>
      </c>
      <c r="T726" s="140" t="s">
        <v>1305</v>
      </c>
      <c r="V726" s="140">
        <f t="shared" si="152"/>
        <v>0</v>
      </c>
    </row>
    <row r="727" spans="1:22" s="140" customFormat="1" ht="15.75">
      <c r="A727" s="153"/>
      <c r="B727" s="138" t="s">
        <v>1259</v>
      </c>
      <c r="C727" s="139">
        <f t="shared" si="153"/>
        <v>0</v>
      </c>
      <c r="D727" s="180"/>
      <c r="E727" s="140" t="s">
        <v>1305</v>
      </c>
      <c r="G727" s="140">
        <f t="shared" si="147"/>
        <v>0</v>
      </c>
      <c r="H727" s="140" t="s">
        <v>1305</v>
      </c>
      <c r="J727" s="140">
        <f t="shared" si="148"/>
        <v>0</v>
      </c>
      <c r="K727" s="140" t="s">
        <v>1305</v>
      </c>
      <c r="M727" s="140">
        <f t="shared" si="149"/>
        <v>0</v>
      </c>
      <c r="N727" s="140" t="s">
        <v>1305</v>
      </c>
      <c r="P727" s="140">
        <f t="shared" si="150"/>
        <v>0</v>
      </c>
      <c r="Q727" s="140" t="s">
        <v>1305</v>
      </c>
      <c r="S727" s="140">
        <f t="shared" si="151"/>
        <v>0</v>
      </c>
      <c r="T727" s="140" t="s">
        <v>1305</v>
      </c>
      <c r="V727" s="140">
        <f t="shared" si="152"/>
        <v>0</v>
      </c>
    </row>
    <row r="728" spans="1:22" s="137" customFormat="1" ht="15.75">
      <c r="A728" s="137" t="s">
        <v>560</v>
      </c>
      <c r="B728" s="135" t="s">
        <v>1260</v>
      </c>
      <c r="C728" s="136">
        <f>'ECONOMIA &amp; PROFESIONES'!G39</f>
        <v>7</v>
      </c>
      <c r="D728" s="180"/>
      <c r="E728" s="137" t="s">
        <v>1305</v>
      </c>
      <c r="G728" s="137">
        <f t="shared" si="147"/>
        <v>0</v>
      </c>
      <c r="H728" s="137" t="s">
        <v>1305</v>
      </c>
      <c r="J728" s="137">
        <f t="shared" si="148"/>
        <v>0</v>
      </c>
      <c r="K728" s="137" t="s">
        <v>1305</v>
      </c>
      <c r="M728" s="137">
        <f t="shared" si="149"/>
        <v>0</v>
      </c>
      <c r="N728" s="137" t="s">
        <v>1305</v>
      </c>
      <c r="P728" s="137">
        <f t="shared" si="150"/>
        <v>0</v>
      </c>
      <c r="Q728" s="137" t="s">
        <v>1305</v>
      </c>
      <c r="S728" s="137">
        <f t="shared" si="151"/>
        <v>0</v>
      </c>
      <c r="T728" s="137" t="s">
        <v>1305</v>
      </c>
      <c r="V728" s="137">
        <f t="shared" si="152"/>
        <v>0</v>
      </c>
    </row>
    <row r="729" spans="1:22" ht="15.75">
      <c r="A729" s="153"/>
      <c r="B729" s="125" t="s">
        <v>1261</v>
      </c>
      <c r="C729" s="136">
        <f>'ECONOMIA &amp; PROFESIONES'!G39</f>
        <v>7</v>
      </c>
      <c r="D729" s="180"/>
      <c r="E729" s="127" t="s">
        <v>1305</v>
      </c>
      <c r="G729" s="127">
        <f t="shared" si="147"/>
        <v>0</v>
      </c>
      <c r="H729" s="127" t="s">
        <v>1305</v>
      </c>
      <c r="J729" s="127">
        <f t="shared" si="148"/>
        <v>0</v>
      </c>
      <c r="K729" s="127" t="s">
        <v>1305</v>
      </c>
      <c r="M729" s="127">
        <f t="shared" si="149"/>
        <v>0</v>
      </c>
      <c r="N729" s="127" t="s">
        <v>1305</v>
      </c>
      <c r="P729" s="127">
        <f t="shared" si="150"/>
        <v>0</v>
      </c>
      <c r="Q729" s="127" t="s">
        <v>1305</v>
      </c>
      <c r="S729" s="127">
        <f t="shared" si="151"/>
        <v>0</v>
      </c>
      <c r="T729" s="127" t="s">
        <v>1305</v>
      </c>
      <c r="V729" s="127">
        <f t="shared" si="152"/>
        <v>0</v>
      </c>
    </row>
    <row r="730" spans="1:22" ht="15.75">
      <c r="A730" s="153" t="s">
        <v>1351</v>
      </c>
      <c r="B730" s="125" t="s">
        <v>1262</v>
      </c>
      <c r="C730" s="130">
        <f t="shared" ref="C730:C742" si="158">((G730*F730)+(I730*J730)+(L730*M730)+(O730*P730)+(R730*S730)+(U730*V730))/D730</f>
        <v>36.125</v>
      </c>
      <c r="D730" s="180">
        <v>1</v>
      </c>
      <c r="E730" s="152" t="s">
        <v>1274</v>
      </c>
      <c r="F730" s="152">
        <v>6</v>
      </c>
      <c r="G730" s="152">
        <f t="shared" si="147"/>
        <v>6</v>
      </c>
      <c r="H730" s="152" t="s">
        <v>1208</v>
      </c>
      <c r="I730" s="152">
        <v>1</v>
      </c>
      <c r="J730" s="152">
        <f t="shared" si="148"/>
        <v>0.125</v>
      </c>
      <c r="K730" s="152" t="s">
        <v>1305</v>
      </c>
      <c r="L730" s="152"/>
      <c r="M730" s="127">
        <f t="shared" si="149"/>
        <v>0</v>
      </c>
      <c r="N730" s="127" t="s">
        <v>1305</v>
      </c>
      <c r="P730" s="127">
        <f t="shared" si="150"/>
        <v>0</v>
      </c>
      <c r="Q730" s="127" t="s">
        <v>1305</v>
      </c>
      <c r="S730" s="127">
        <f t="shared" si="151"/>
        <v>0</v>
      </c>
      <c r="T730" s="127" t="s">
        <v>1305</v>
      </c>
      <c r="V730" s="127">
        <f t="shared" si="152"/>
        <v>0</v>
      </c>
    </row>
    <row r="731" spans="1:22" ht="15.75">
      <c r="A731" s="153" t="s">
        <v>1351</v>
      </c>
      <c r="B731" s="125" t="s">
        <v>1263</v>
      </c>
      <c r="C731" s="130">
        <f t="shared" si="158"/>
        <v>18.75</v>
      </c>
      <c r="D731" s="180">
        <v>1</v>
      </c>
      <c r="E731" s="152" t="s">
        <v>1274</v>
      </c>
      <c r="F731" s="152">
        <v>3</v>
      </c>
      <c r="G731" s="152">
        <f t="shared" si="147"/>
        <v>6</v>
      </c>
      <c r="H731" s="152" t="s">
        <v>1026</v>
      </c>
      <c r="I731" s="152">
        <v>3</v>
      </c>
      <c r="J731" s="152">
        <f t="shared" si="148"/>
        <v>0.25</v>
      </c>
      <c r="K731" s="152" t="s">
        <v>1305</v>
      </c>
      <c r="L731" s="152"/>
      <c r="M731" s="127">
        <f t="shared" si="149"/>
        <v>0</v>
      </c>
      <c r="N731" s="127" t="s">
        <v>1305</v>
      </c>
      <c r="P731" s="127">
        <f t="shared" si="150"/>
        <v>0</v>
      </c>
      <c r="Q731" s="127" t="s">
        <v>1305</v>
      </c>
      <c r="S731" s="127">
        <f t="shared" si="151"/>
        <v>0</v>
      </c>
      <c r="T731" s="127" t="s">
        <v>1305</v>
      </c>
      <c r="V731" s="127">
        <f t="shared" si="152"/>
        <v>0</v>
      </c>
    </row>
    <row r="732" spans="1:22" ht="15.75">
      <c r="A732" s="153" t="s">
        <v>1351</v>
      </c>
      <c r="B732" s="125" t="s">
        <v>1264</v>
      </c>
      <c r="C732" s="130">
        <f t="shared" si="158"/>
        <v>4</v>
      </c>
      <c r="D732" s="180">
        <v>3</v>
      </c>
      <c r="E732" s="152" t="s">
        <v>1274</v>
      </c>
      <c r="F732" s="152">
        <v>2</v>
      </c>
      <c r="G732" s="152">
        <f t="shared" si="147"/>
        <v>6</v>
      </c>
      <c r="H732" s="152" t="s">
        <v>1305</v>
      </c>
      <c r="I732" s="152"/>
      <c r="J732" s="152">
        <f t="shared" si="148"/>
        <v>0</v>
      </c>
      <c r="K732" s="152" t="s">
        <v>1305</v>
      </c>
      <c r="L732" s="152"/>
      <c r="M732" s="127">
        <f t="shared" si="149"/>
        <v>0</v>
      </c>
      <c r="N732" s="127" t="s">
        <v>1305</v>
      </c>
      <c r="P732" s="127">
        <f t="shared" si="150"/>
        <v>0</v>
      </c>
      <c r="Q732" s="127" t="s">
        <v>1305</v>
      </c>
      <c r="S732" s="127">
        <f t="shared" si="151"/>
        <v>0</v>
      </c>
      <c r="T732" s="127" t="s">
        <v>1305</v>
      </c>
      <c r="V732" s="127">
        <f t="shared" si="152"/>
        <v>0</v>
      </c>
    </row>
    <row r="733" spans="1:22" ht="15.75">
      <c r="A733" s="153" t="s">
        <v>1351</v>
      </c>
      <c r="B733" s="125" t="s">
        <v>1265</v>
      </c>
      <c r="C733" s="130">
        <f t="shared" si="158"/>
        <v>3.3125</v>
      </c>
      <c r="D733" s="180">
        <v>1</v>
      </c>
      <c r="E733" s="152" t="s">
        <v>1266</v>
      </c>
      <c r="F733" s="152">
        <v>1</v>
      </c>
      <c r="G733" s="152">
        <f t="shared" si="147"/>
        <v>3.3125</v>
      </c>
      <c r="H733" s="152" t="s">
        <v>1305</v>
      </c>
      <c r="I733" s="152"/>
      <c r="J733" s="152">
        <f t="shared" si="148"/>
        <v>0</v>
      </c>
      <c r="K733" s="152" t="s">
        <v>1305</v>
      </c>
      <c r="L733" s="152"/>
      <c r="M733" s="127">
        <f t="shared" si="149"/>
        <v>0</v>
      </c>
      <c r="N733" s="127" t="s">
        <v>1305</v>
      </c>
      <c r="P733" s="127">
        <f t="shared" si="150"/>
        <v>0</v>
      </c>
      <c r="Q733" s="127" t="s">
        <v>1305</v>
      </c>
      <c r="S733" s="127">
        <f t="shared" si="151"/>
        <v>0</v>
      </c>
      <c r="T733" s="127" t="s">
        <v>1305</v>
      </c>
      <c r="V733" s="127">
        <f t="shared" si="152"/>
        <v>0</v>
      </c>
    </row>
    <row r="734" spans="1:22" ht="15.75">
      <c r="A734" s="153" t="s">
        <v>1351</v>
      </c>
      <c r="B734" s="125" t="s">
        <v>1266</v>
      </c>
      <c r="C734" s="130">
        <f t="shared" si="158"/>
        <v>3.3125</v>
      </c>
      <c r="D734" s="180">
        <v>8</v>
      </c>
      <c r="E734" s="152" t="s">
        <v>1158</v>
      </c>
      <c r="F734" s="152">
        <v>4</v>
      </c>
      <c r="G734" s="152">
        <f t="shared" si="147"/>
        <v>5</v>
      </c>
      <c r="H734" s="152" t="s">
        <v>844</v>
      </c>
      <c r="I734" s="152">
        <v>4</v>
      </c>
      <c r="J734" s="152">
        <f t="shared" si="148"/>
        <v>1</v>
      </c>
      <c r="K734" s="152" t="s">
        <v>1267</v>
      </c>
      <c r="L734" s="152">
        <v>1</v>
      </c>
      <c r="M734" s="127">
        <f t="shared" si="149"/>
        <v>2.5</v>
      </c>
      <c r="N734" s="127" t="s">
        <v>1305</v>
      </c>
      <c r="P734" s="127">
        <f t="shared" si="150"/>
        <v>0</v>
      </c>
      <c r="Q734" s="127" t="s">
        <v>1305</v>
      </c>
      <c r="S734" s="127">
        <f t="shared" si="151"/>
        <v>0</v>
      </c>
      <c r="T734" s="127" t="s">
        <v>1305</v>
      </c>
      <c r="V734" s="127">
        <f t="shared" si="152"/>
        <v>0</v>
      </c>
    </row>
    <row r="735" spans="1:22" s="13" customFormat="1" ht="15.75">
      <c r="A735" s="153" t="s">
        <v>1351</v>
      </c>
      <c r="B735" s="144" t="s">
        <v>1267</v>
      </c>
      <c r="C735" s="130">
        <f t="shared" si="158"/>
        <v>2.5</v>
      </c>
      <c r="D735" s="180">
        <v>1</v>
      </c>
      <c r="E735" s="13" t="s">
        <v>962</v>
      </c>
      <c r="F735" s="13">
        <v>1</v>
      </c>
      <c r="G735" s="13">
        <f t="shared" si="147"/>
        <v>2.5</v>
      </c>
      <c r="H735" s="13" t="s">
        <v>614</v>
      </c>
      <c r="J735" s="13">
        <f t="shared" si="148"/>
        <v>0.83333333333333337</v>
      </c>
      <c r="K735" s="13" t="s">
        <v>1305</v>
      </c>
      <c r="M735" s="13">
        <f t="shared" si="149"/>
        <v>0</v>
      </c>
      <c r="N735" s="13" t="s">
        <v>1305</v>
      </c>
      <c r="P735" s="13">
        <f t="shared" si="150"/>
        <v>0</v>
      </c>
      <c r="Q735" s="13" t="s">
        <v>1305</v>
      </c>
      <c r="S735" s="13">
        <f t="shared" si="151"/>
        <v>0</v>
      </c>
      <c r="T735" s="13" t="s">
        <v>1305</v>
      </c>
      <c r="V735" s="13">
        <f t="shared" si="152"/>
        <v>0</v>
      </c>
    </row>
    <row r="736" spans="1:22" ht="15.75">
      <c r="A736" s="153" t="s">
        <v>1351</v>
      </c>
      <c r="B736" s="125" t="s">
        <v>1268</v>
      </c>
      <c r="C736" s="130">
        <f t="shared" si="158"/>
        <v>34.3125</v>
      </c>
      <c r="D736" s="180">
        <v>1</v>
      </c>
      <c r="E736" s="152" t="s">
        <v>1272</v>
      </c>
      <c r="F736" s="152">
        <v>1</v>
      </c>
      <c r="G736" s="152">
        <f t="shared" si="147"/>
        <v>31.3125</v>
      </c>
      <c r="H736" s="152" t="s">
        <v>672</v>
      </c>
      <c r="I736" s="152">
        <v>1</v>
      </c>
      <c r="J736" s="127">
        <f t="shared" si="148"/>
        <v>3</v>
      </c>
      <c r="K736" s="127" t="s">
        <v>1305</v>
      </c>
      <c r="M736" s="127">
        <f t="shared" si="149"/>
        <v>0</v>
      </c>
      <c r="N736" s="127" t="s">
        <v>1305</v>
      </c>
      <c r="P736" s="127">
        <f t="shared" si="150"/>
        <v>0</v>
      </c>
      <c r="Q736" s="127" t="s">
        <v>1305</v>
      </c>
      <c r="S736" s="127">
        <f t="shared" si="151"/>
        <v>0</v>
      </c>
      <c r="T736" s="127" t="s">
        <v>1305</v>
      </c>
      <c r="V736" s="127">
        <f t="shared" si="152"/>
        <v>0</v>
      </c>
    </row>
    <row r="737" spans="1:22" ht="15.75">
      <c r="A737" s="153" t="s">
        <v>1351</v>
      </c>
      <c r="B737" s="125" t="s">
        <v>1269</v>
      </c>
      <c r="C737" s="130">
        <f t="shared" si="158"/>
        <v>13.5</v>
      </c>
      <c r="D737" s="180">
        <v>1</v>
      </c>
      <c r="E737" s="152" t="s">
        <v>1267</v>
      </c>
      <c r="F737" s="152">
        <v>1</v>
      </c>
      <c r="G737" s="152">
        <f t="shared" si="147"/>
        <v>2.5</v>
      </c>
      <c r="H737" s="152" t="s">
        <v>1170</v>
      </c>
      <c r="I737" s="152">
        <v>1</v>
      </c>
      <c r="J737" s="127">
        <f t="shared" si="148"/>
        <v>11</v>
      </c>
      <c r="K737" s="127" t="s">
        <v>1305</v>
      </c>
      <c r="M737" s="127">
        <f t="shared" si="149"/>
        <v>0</v>
      </c>
      <c r="N737" s="127" t="s">
        <v>1305</v>
      </c>
      <c r="P737" s="127">
        <f t="shared" si="150"/>
        <v>0</v>
      </c>
      <c r="Q737" s="127" t="s">
        <v>1305</v>
      </c>
      <c r="S737" s="127">
        <f t="shared" si="151"/>
        <v>0</v>
      </c>
      <c r="T737" s="127" t="s">
        <v>1305</v>
      </c>
      <c r="V737" s="127">
        <f t="shared" si="152"/>
        <v>0</v>
      </c>
    </row>
    <row r="738" spans="1:22" ht="15.75">
      <c r="A738" s="153" t="s">
        <v>1351</v>
      </c>
      <c r="B738" s="125" t="s">
        <v>1270</v>
      </c>
      <c r="C738" s="130">
        <f t="shared" si="158"/>
        <v>8.3125</v>
      </c>
      <c r="D738" s="180">
        <v>8</v>
      </c>
      <c r="E738" s="152" t="s">
        <v>814</v>
      </c>
      <c r="F738" s="152">
        <v>8</v>
      </c>
      <c r="G738" s="152">
        <f t="shared" si="147"/>
        <v>8</v>
      </c>
      <c r="H738" s="152" t="s">
        <v>1267</v>
      </c>
      <c r="I738" s="152">
        <v>1</v>
      </c>
      <c r="J738" s="127">
        <f t="shared" si="148"/>
        <v>2.5</v>
      </c>
      <c r="K738" s="127" t="s">
        <v>1305</v>
      </c>
      <c r="M738" s="127">
        <f t="shared" si="149"/>
        <v>0</v>
      </c>
      <c r="N738" s="127" t="s">
        <v>1305</v>
      </c>
      <c r="P738" s="127">
        <f t="shared" si="150"/>
        <v>0</v>
      </c>
      <c r="Q738" s="127" t="s">
        <v>1305</v>
      </c>
      <c r="S738" s="127">
        <f t="shared" si="151"/>
        <v>0</v>
      </c>
      <c r="T738" s="127" t="s">
        <v>1305</v>
      </c>
      <c r="V738" s="127">
        <f t="shared" si="152"/>
        <v>0</v>
      </c>
    </row>
    <row r="739" spans="1:22" ht="15.75">
      <c r="A739" s="153" t="s">
        <v>1351</v>
      </c>
      <c r="B739" s="125" t="s">
        <v>1271</v>
      </c>
      <c r="C739" s="130">
        <f t="shared" si="158"/>
        <v>3.1171875</v>
      </c>
      <c r="D739" s="180">
        <v>16</v>
      </c>
      <c r="E739" s="152" t="s">
        <v>1270</v>
      </c>
      <c r="F739" s="152">
        <v>6</v>
      </c>
      <c r="G739" s="152">
        <f t="shared" si="147"/>
        <v>8.3125</v>
      </c>
      <c r="H739" s="152" t="s">
        <v>1305</v>
      </c>
      <c r="I739" s="152"/>
      <c r="J739" s="127">
        <f t="shared" si="148"/>
        <v>0</v>
      </c>
      <c r="K739" s="127" t="s">
        <v>1305</v>
      </c>
      <c r="M739" s="127">
        <f t="shared" si="149"/>
        <v>0</v>
      </c>
      <c r="N739" s="127" t="s">
        <v>1305</v>
      </c>
      <c r="P739" s="127">
        <f t="shared" si="150"/>
        <v>0</v>
      </c>
      <c r="Q739" s="127" t="s">
        <v>1305</v>
      </c>
      <c r="S739" s="127">
        <f t="shared" si="151"/>
        <v>0</v>
      </c>
      <c r="T739" s="127" t="s">
        <v>1305</v>
      </c>
      <c r="V739" s="127">
        <f t="shared" si="152"/>
        <v>0</v>
      </c>
    </row>
    <row r="740" spans="1:22" ht="15.75">
      <c r="A740" s="153" t="s">
        <v>1351</v>
      </c>
      <c r="B740" s="125" t="s">
        <v>1272</v>
      </c>
      <c r="C740" s="130">
        <f t="shared" si="158"/>
        <v>31.3125</v>
      </c>
      <c r="D740" s="180">
        <v>8</v>
      </c>
      <c r="E740" s="152" t="s">
        <v>1245</v>
      </c>
      <c r="F740" s="152">
        <v>8</v>
      </c>
      <c r="G740" s="152">
        <f t="shared" si="147"/>
        <v>31</v>
      </c>
      <c r="H740" s="152" t="s">
        <v>1267</v>
      </c>
      <c r="I740" s="152">
        <v>1</v>
      </c>
      <c r="J740" s="127">
        <f t="shared" si="148"/>
        <v>2.5</v>
      </c>
      <c r="K740" s="127" t="s">
        <v>1305</v>
      </c>
      <c r="M740" s="127">
        <f t="shared" si="149"/>
        <v>0</v>
      </c>
      <c r="N740" s="127" t="s">
        <v>1305</v>
      </c>
      <c r="P740" s="127">
        <f t="shared" si="150"/>
        <v>0</v>
      </c>
      <c r="Q740" s="127" t="s">
        <v>1305</v>
      </c>
      <c r="S740" s="127">
        <f t="shared" si="151"/>
        <v>0</v>
      </c>
      <c r="T740" s="127" t="s">
        <v>1305</v>
      </c>
      <c r="V740" s="127">
        <f t="shared" si="152"/>
        <v>0</v>
      </c>
    </row>
    <row r="741" spans="1:22" s="137" customFormat="1" ht="15.75">
      <c r="A741" s="137" t="s">
        <v>560</v>
      </c>
      <c r="B741" s="135" t="s">
        <v>1273</v>
      </c>
      <c r="C741" s="136">
        <v>1</v>
      </c>
      <c r="D741" s="180"/>
      <c r="E741" s="137" t="s">
        <v>202</v>
      </c>
      <c r="G741" s="137">
        <f t="shared" si="147"/>
        <v>0</v>
      </c>
      <c r="H741" s="137" t="s">
        <v>202</v>
      </c>
      <c r="J741" s="137">
        <f t="shared" si="148"/>
        <v>0</v>
      </c>
      <c r="K741" s="137" t="s">
        <v>1305</v>
      </c>
      <c r="M741" s="137">
        <f t="shared" si="149"/>
        <v>0</v>
      </c>
      <c r="N741" s="137" t="s">
        <v>1305</v>
      </c>
      <c r="P741" s="137">
        <f t="shared" si="150"/>
        <v>0</v>
      </c>
      <c r="Q741" s="137" t="s">
        <v>1305</v>
      </c>
      <c r="S741" s="137">
        <f t="shared" si="151"/>
        <v>0</v>
      </c>
      <c r="T741" s="137" t="s">
        <v>1305</v>
      </c>
      <c r="V741" s="137">
        <f t="shared" si="152"/>
        <v>0</v>
      </c>
    </row>
    <row r="742" spans="1:22" ht="15.75">
      <c r="A742" s="153" t="s">
        <v>1351</v>
      </c>
      <c r="B742" s="125" t="s">
        <v>1274</v>
      </c>
      <c r="C742" s="130">
        <f t="shared" si="158"/>
        <v>6</v>
      </c>
      <c r="D742" s="180">
        <v>1</v>
      </c>
      <c r="E742" s="127" t="s">
        <v>1224</v>
      </c>
      <c r="F742">
        <v>4</v>
      </c>
      <c r="G742" s="127">
        <f t="shared" si="147"/>
        <v>1.5</v>
      </c>
      <c r="H742" s="127" t="s">
        <v>1305</v>
      </c>
      <c r="J742" s="127">
        <f t="shared" si="148"/>
        <v>0</v>
      </c>
      <c r="K742" s="127" t="s">
        <v>1305</v>
      </c>
      <c r="M742" s="127">
        <f t="shared" si="149"/>
        <v>0</v>
      </c>
      <c r="N742" s="127" t="s">
        <v>1305</v>
      </c>
      <c r="P742" s="127">
        <f t="shared" si="150"/>
        <v>0</v>
      </c>
      <c r="Q742" s="127" t="s">
        <v>1305</v>
      </c>
      <c r="S742" s="127">
        <f t="shared" si="151"/>
        <v>0</v>
      </c>
      <c r="T742" s="127" t="s">
        <v>1305</v>
      </c>
      <c r="V742" s="127">
        <f t="shared" si="152"/>
        <v>0</v>
      </c>
    </row>
    <row r="743" spans="1:22" s="148" customFormat="1" ht="15.75">
      <c r="A743" s="137" t="s">
        <v>1341</v>
      </c>
      <c r="B743" s="146" t="s">
        <v>1275</v>
      </c>
      <c r="C743" s="147">
        <f>'ECONOMIA &amp; PROFESIONES'!E67</f>
        <v>5.5</v>
      </c>
      <c r="D743" s="180"/>
      <c r="E743" s="148" t="s">
        <v>1305</v>
      </c>
      <c r="G743" s="148">
        <f t="shared" si="147"/>
        <v>0</v>
      </c>
      <c r="H743" s="148" t="s">
        <v>1305</v>
      </c>
      <c r="J743" s="148">
        <f t="shared" si="148"/>
        <v>0</v>
      </c>
      <c r="K743" s="148" t="s">
        <v>1305</v>
      </c>
      <c r="M743" s="148">
        <f t="shared" si="149"/>
        <v>0</v>
      </c>
      <c r="N743" s="148" t="s">
        <v>1305</v>
      </c>
      <c r="P743" s="148">
        <f t="shared" si="150"/>
        <v>0</v>
      </c>
      <c r="Q743" s="148" t="s">
        <v>1305</v>
      </c>
      <c r="S743" s="148">
        <f t="shared" si="151"/>
        <v>0</v>
      </c>
      <c r="T743" s="148" t="s">
        <v>1305</v>
      </c>
      <c r="V743" s="148">
        <f t="shared" si="152"/>
        <v>0</v>
      </c>
    </row>
    <row r="744" spans="1:22" s="148" customFormat="1" ht="15.75">
      <c r="A744" s="137" t="s">
        <v>1341</v>
      </c>
      <c r="B744" s="146" t="s">
        <v>1276</v>
      </c>
      <c r="C744" s="147">
        <f>'ECONOMIA &amp; PROFESIONES'!E64</f>
        <v>2.25</v>
      </c>
      <c r="D744" s="180"/>
      <c r="E744" s="148" t="s">
        <v>1305</v>
      </c>
      <c r="G744" s="148">
        <f t="shared" si="147"/>
        <v>0</v>
      </c>
      <c r="H744" s="148" t="s">
        <v>1305</v>
      </c>
      <c r="J744" s="148">
        <f t="shared" si="148"/>
        <v>0</v>
      </c>
      <c r="K744" s="148" t="s">
        <v>1305</v>
      </c>
      <c r="M744" s="148">
        <f t="shared" si="149"/>
        <v>0</v>
      </c>
      <c r="N744" s="148" t="s">
        <v>1305</v>
      </c>
      <c r="P744" s="148">
        <f t="shared" si="150"/>
        <v>0</v>
      </c>
      <c r="Q744" s="148" t="s">
        <v>1305</v>
      </c>
      <c r="S744" s="148">
        <f t="shared" si="151"/>
        <v>0</v>
      </c>
      <c r="T744" s="148" t="s">
        <v>1305</v>
      </c>
      <c r="V744" s="148">
        <f t="shared" si="152"/>
        <v>0</v>
      </c>
    </row>
    <row r="745" spans="1:22" ht="15.75">
      <c r="A745" s="153" t="s">
        <v>1345</v>
      </c>
      <c r="B745" s="125" t="s">
        <v>1277</v>
      </c>
      <c r="C745" s="130">
        <f t="shared" ref="C745:C762" si="159">((G745*F745)+(I745*J745)+(L745*M745)+(O745*P745)+(R745*S745)+(U745*V745))/D745</f>
        <v>0.875</v>
      </c>
      <c r="D745" s="180">
        <v>1</v>
      </c>
      <c r="E745" s="127" t="s">
        <v>1026</v>
      </c>
      <c r="F745">
        <v>3</v>
      </c>
      <c r="G745" s="127">
        <f t="shared" si="147"/>
        <v>0.25</v>
      </c>
      <c r="H745" s="127" t="s">
        <v>1208</v>
      </c>
      <c r="I745" s="127">
        <v>1</v>
      </c>
      <c r="J745" s="127">
        <f t="shared" si="148"/>
        <v>0.125</v>
      </c>
      <c r="K745" s="127" t="s">
        <v>1305</v>
      </c>
      <c r="M745" s="127">
        <f t="shared" si="149"/>
        <v>0</v>
      </c>
      <c r="N745" s="127" t="s">
        <v>1305</v>
      </c>
      <c r="P745" s="127">
        <f t="shared" si="150"/>
        <v>0</v>
      </c>
      <c r="Q745" s="127" t="s">
        <v>1305</v>
      </c>
      <c r="S745" s="127">
        <f t="shared" si="151"/>
        <v>0</v>
      </c>
      <c r="T745" s="127" t="s">
        <v>1305</v>
      </c>
      <c r="V745" s="127">
        <f t="shared" si="152"/>
        <v>0</v>
      </c>
    </row>
    <row r="746" spans="1:22" ht="15.75">
      <c r="A746" s="153" t="s">
        <v>1345</v>
      </c>
      <c r="B746" s="125" t="s">
        <v>1278</v>
      </c>
      <c r="C746" s="130">
        <f t="shared" si="159"/>
        <v>0.625</v>
      </c>
      <c r="D746" s="180">
        <v>1</v>
      </c>
      <c r="E746" s="152" t="s">
        <v>1026</v>
      </c>
      <c r="F746">
        <v>2</v>
      </c>
      <c r="G746" s="127">
        <f t="shared" si="147"/>
        <v>0.25</v>
      </c>
      <c r="H746" s="152" t="s">
        <v>1208</v>
      </c>
      <c r="I746" s="127">
        <v>1</v>
      </c>
      <c r="J746" s="127">
        <f t="shared" si="148"/>
        <v>0.125</v>
      </c>
      <c r="K746" s="127" t="s">
        <v>1305</v>
      </c>
      <c r="M746" s="127">
        <f t="shared" si="149"/>
        <v>0</v>
      </c>
      <c r="N746" s="127" t="s">
        <v>1305</v>
      </c>
      <c r="P746" s="127">
        <f t="shared" si="150"/>
        <v>0</v>
      </c>
      <c r="Q746" s="127" t="s">
        <v>1305</v>
      </c>
      <c r="S746" s="127">
        <f t="shared" si="151"/>
        <v>0</v>
      </c>
      <c r="T746" s="127" t="s">
        <v>1305</v>
      </c>
      <c r="V746" s="127">
        <f t="shared" si="152"/>
        <v>0</v>
      </c>
    </row>
    <row r="747" spans="1:22" ht="15.75">
      <c r="A747" s="153" t="s">
        <v>1345</v>
      </c>
      <c r="B747" s="125" t="s">
        <v>1279</v>
      </c>
      <c r="C747" s="130">
        <f t="shared" si="159"/>
        <v>0.875</v>
      </c>
      <c r="D747" s="180">
        <v>1</v>
      </c>
      <c r="E747" s="152" t="s">
        <v>1026</v>
      </c>
      <c r="F747">
        <v>3</v>
      </c>
      <c r="G747" s="127">
        <f t="shared" si="147"/>
        <v>0.25</v>
      </c>
      <c r="H747" s="152" t="s">
        <v>1208</v>
      </c>
      <c r="I747" s="127">
        <v>1</v>
      </c>
      <c r="J747" s="127">
        <f t="shared" si="148"/>
        <v>0.125</v>
      </c>
      <c r="K747" s="127" t="s">
        <v>1305</v>
      </c>
      <c r="M747" s="127">
        <f t="shared" si="149"/>
        <v>0</v>
      </c>
      <c r="N747" s="127" t="s">
        <v>1305</v>
      </c>
      <c r="P747" s="127">
        <f t="shared" si="150"/>
        <v>0</v>
      </c>
      <c r="Q747" s="127" t="s">
        <v>1305</v>
      </c>
      <c r="S747" s="127">
        <f t="shared" si="151"/>
        <v>0</v>
      </c>
      <c r="T747" s="127" t="s">
        <v>1305</v>
      </c>
      <c r="V747" s="127">
        <f t="shared" si="152"/>
        <v>0</v>
      </c>
    </row>
    <row r="748" spans="1:22" ht="15.75">
      <c r="A748" s="153" t="s">
        <v>1345</v>
      </c>
      <c r="B748" s="125" t="s">
        <v>1280</v>
      </c>
      <c r="C748" s="130">
        <f t="shared" si="159"/>
        <v>0.375</v>
      </c>
      <c r="D748" s="180">
        <v>1</v>
      </c>
      <c r="E748" s="152" t="s">
        <v>1026</v>
      </c>
      <c r="F748">
        <v>1</v>
      </c>
      <c r="G748" s="127">
        <f t="shared" si="147"/>
        <v>0.25</v>
      </c>
      <c r="H748" s="152" t="s">
        <v>1208</v>
      </c>
      <c r="I748" s="127">
        <v>1</v>
      </c>
      <c r="J748" s="127">
        <f t="shared" si="148"/>
        <v>0.125</v>
      </c>
      <c r="K748" s="127" t="s">
        <v>1305</v>
      </c>
      <c r="M748" s="127">
        <f t="shared" si="149"/>
        <v>0</v>
      </c>
      <c r="N748" s="127" t="s">
        <v>1305</v>
      </c>
      <c r="P748" s="127">
        <f t="shared" si="150"/>
        <v>0</v>
      </c>
      <c r="Q748" s="127" t="s">
        <v>1305</v>
      </c>
      <c r="S748" s="127">
        <f t="shared" si="151"/>
        <v>0</v>
      </c>
      <c r="T748" s="127" t="s">
        <v>1305</v>
      </c>
      <c r="V748" s="127">
        <f t="shared" si="152"/>
        <v>0</v>
      </c>
    </row>
    <row r="749" spans="1:22" ht="15.75">
      <c r="A749" s="153" t="s">
        <v>1345</v>
      </c>
      <c r="B749" s="125" t="s">
        <v>1281</v>
      </c>
      <c r="C749" s="130">
        <f t="shared" si="159"/>
        <v>0.75</v>
      </c>
      <c r="D749" s="180">
        <v>1</v>
      </c>
      <c r="E749" s="152" t="s">
        <v>1026</v>
      </c>
      <c r="F749">
        <v>2</v>
      </c>
      <c r="G749" s="127">
        <f t="shared" si="147"/>
        <v>0.25</v>
      </c>
      <c r="H749" s="152" t="s">
        <v>1208</v>
      </c>
      <c r="I749" s="127">
        <v>2</v>
      </c>
      <c r="J749" s="127">
        <f t="shared" si="148"/>
        <v>0.125</v>
      </c>
      <c r="K749" s="127" t="s">
        <v>1305</v>
      </c>
      <c r="M749" s="127">
        <f t="shared" si="149"/>
        <v>0</v>
      </c>
      <c r="N749" s="127" t="s">
        <v>1305</v>
      </c>
      <c r="P749" s="127">
        <f t="shared" si="150"/>
        <v>0</v>
      </c>
      <c r="Q749" s="127" t="s">
        <v>1305</v>
      </c>
      <c r="S749" s="127">
        <f t="shared" si="151"/>
        <v>0</v>
      </c>
      <c r="T749" s="127" t="s">
        <v>1305</v>
      </c>
      <c r="V749" s="127">
        <f t="shared" si="152"/>
        <v>0</v>
      </c>
    </row>
    <row r="750" spans="1:22" ht="15.75">
      <c r="A750" s="153" t="s">
        <v>1352</v>
      </c>
      <c r="B750" s="125" t="s">
        <v>1282</v>
      </c>
      <c r="C750" s="130">
        <f t="shared" si="159"/>
        <v>17.399999999999999</v>
      </c>
      <c r="D750" s="180">
        <v>1</v>
      </c>
      <c r="E750" s="127" t="s">
        <v>615</v>
      </c>
      <c r="F750">
        <v>1</v>
      </c>
      <c r="G750" s="127">
        <f t="shared" si="147"/>
        <v>16</v>
      </c>
      <c r="H750" s="127" t="s">
        <v>796</v>
      </c>
      <c r="I750" s="127">
        <v>1</v>
      </c>
      <c r="J750" s="127">
        <f t="shared" si="148"/>
        <v>0.4</v>
      </c>
      <c r="K750" s="127" t="s">
        <v>886</v>
      </c>
      <c r="L750" s="127">
        <v>1</v>
      </c>
      <c r="M750" s="127">
        <f t="shared" si="149"/>
        <v>1</v>
      </c>
      <c r="N750" s="127" t="s">
        <v>1305</v>
      </c>
      <c r="P750" s="127">
        <f t="shared" si="150"/>
        <v>0</v>
      </c>
      <c r="Q750" s="127" t="s">
        <v>1305</v>
      </c>
      <c r="S750" s="127">
        <f t="shared" si="151"/>
        <v>0</v>
      </c>
      <c r="T750" s="127" t="s">
        <v>1305</v>
      </c>
      <c r="V750" s="127">
        <f t="shared" si="152"/>
        <v>0</v>
      </c>
    </row>
    <row r="751" spans="1:22" ht="15.75">
      <c r="A751" s="153" t="s">
        <v>1351</v>
      </c>
      <c r="B751" s="125" t="s">
        <v>1283</v>
      </c>
      <c r="C751" s="130">
        <f t="shared" si="159"/>
        <v>42.125</v>
      </c>
      <c r="D751" s="180">
        <v>1</v>
      </c>
      <c r="E751" s="152" t="s">
        <v>1294</v>
      </c>
      <c r="F751" s="152">
        <v>6</v>
      </c>
      <c r="G751" s="152">
        <f t="shared" ref="G751:G755" si="160">VLOOKUP(E751,IDPOINTS,2,FALSE)</f>
        <v>7</v>
      </c>
      <c r="H751" s="152" t="s">
        <v>1208</v>
      </c>
      <c r="I751" s="152">
        <v>1</v>
      </c>
      <c r="J751" s="152">
        <f t="shared" ref="J751:J755" si="161">VLOOKUP(H751,IDPOINTS,2,FALSE)</f>
        <v>0.125</v>
      </c>
      <c r="K751" s="152" t="s">
        <v>1305</v>
      </c>
      <c r="L751" s="152"/>
      <c r="M751" s="127">
        <f t="shared" si="149"/>
        <v>0</v>
      </c>
      <c r="N751" s="127" t="s">
        <v>1305</v>
      </c>
      <c r="P751" s="127">
        <f t="shared" si="150"/>
        <v>0</v>
      </c>
      <c r="Q751" s="127" t="s">
        <v>1305</v>
      </c>
      <c r="S751" s="127">
        <f t="shared" si="151"/>
        <v>0</v>
      </c>
      <c r="T751" s="127" t="s">
        <v>1305</v>
      </c>
      <c r="V751" s="127">
        <f t="shared" si="152"/>
        <v>0</v>
      </c>
    </row>
    <row r="752" spans="1:22" ht="15.75">
      <c r="A752" s="153" t="s">
        <v>1351</v>
      </c>
      <c r="B752" s="125" t="s">
        <v>1284</v>
      </c>
      <c r="C752" s="130">
        <f t="shared" si="159"/>
        <v>21.75</v>
      </c>
      <c r="D752" s="180">
        <v>1</v>
      </c>
      <c r="E752" s="152" t="s">
        <v>1294</v>
      </c>
      <c r="F752" s="152">
        <v>3</v>
      </c>
      <c r="G752" s="152">
        <f t="shared" si="160"/>
        <v>7</v>
      </c>
      <c r="H752" s="152" t="s">
        <v>1026</v>
      </c>
      <c r="I752" s="152">
        <v>3</v>
      </c>
      <c r="J752" s="152">
        <f t="shared" si="161"/>
        <v>0.25</v>
      </c>
      <c r="K752" s="152" t="s">
        <v>1305</v>
      </c>
      <c r="L752" s="152"/>
      <c r="M752" s="127">
        <f t="shared" si="149"/>
        <v>0</v>
      </c>
      <c r="N752" s="127" t="s">
        <v>1305</v>
      </c>
      <c r="P752" s="127">
        <f t="shared" si="150"/>
        <v>0</v>
      </c>
      <c r="Q752" s="127" t="s">
        <v>1305</v>
      </c>
      <c r="S752" s="127">
        <f t="shared" si="151"/>
        <v>0</v>
      </c>
      <c r="T752" s="127" t="s">
        <v>1305</v>
      </c>
      <c r="V752" s="127">
        <f t="shared" si="152"/>
        <v>0</v>
      </c>
    </row>
    <row r="753" spans="1:22" ht="15.75">
      <c r="A753" s="153" t="s">
        <v>1351</v>
      </c>
      <c r="B753" s="125" t="s">
        <v>1285</v>
      </c>
      <c r="C753" s="130">
        <f t="shared" si="159"/>
        <v>4.666666666666667</v>
      </c>
      <c r="D753" s="180">
        <v>3</v>
      </c>
      <c r="E753" s="152" t="s">
        <v>1294</v>
      </c>
      <c r="F753" s="152">
        <v>2</v>
      </c>
      <c r="G753" s="152">
        <f t="shared" si="160"/>
        <v>7</v>
      </c>
      <c r="H753" s="152" t="s">
        <v>1305</v>
      </c>
      <c r="I753" s="152"/>
      <c r="J753" s="152">
        <f t="shared" si="161"/>
        <v>0</v>
      </c>
      <c r="K753" s="152" t="s">
        <v>1305</v>
      </c>
      <c r="L753" s="152"/>
      <c r="M753" s="127">
        <f t="shared" si="149"/>
        <v>0</v>
      </c>
      <c r="N753" s="127" t="s">
        <v>1305</v>
      </c>
      <c r="P753" s="127">
        <f t="shared" si="150"/>
        <v>0</v>
      </c>
      <c r="Q753" s="127" t="s">
        <v>1305</v>
      </c>
      <c r="S753" s="127">
        <f t="shared" si="151"/>
        <v>0</v>
      </c>
      <c r="T753" s="127" t="s">
        <v>1305</v>
      </c>
      <c r="V753" s="127">
        <f t="shared" si="152"/>
        <v>0</v>
      </c>
    </row>
    <row r="754" spans="1:22" ht="15.75">
      <c r="A754" s="153" t="s">
        <v>1351</v>
      </c>
      <c r="B754" s="125" t="s">
        <v>1286</v>
      </c>
      <c r="C754" s="130">
        <f t="shared" si="159"/>
        <v>3.3125</v>
      </c>
      <c r="D754" s="180">
        <v>1</v>
      </c>
      <c r="E754" s="152" t="s">
        <v>1266</v>
      </c>
      <c r="F754" s="152">
        <v>1</v>
      </c>
      <c r="G754" s="152">
        <f t="shared" si="160"/>
        <v>3.3125</v>
      </c>
      <c r="H754" s="152" t="s">
        <v>1305</v>
      </c>
      <c r="I754" s="152"/>
      <c r="J754" s="152">
        <f t="shared" si="161"/>
        <v>0</v>
      </c>
      <c r="K754" s="152" t="s">
        <v>1305</v>
      </c>
      <c r="L754" s="152"/>
      <c r="M754" s="127">
        <f t="shared" si="149"/>
        <v>0</v>
      </c>
      <c r="N754" s="127" t="s">
        <v>1305</v>
      </c>
      <c r="P754" s="127">
        <f t="shared" si="150"/>
        <v>0</v>
      </c>
      <c r="Q754" s="127" t="s">
        <v>1305</v>
      </c>
      <c r="S754" s="127">
        <f t="shared" si="151"/>
        <v>0</v>
      </c>
      <c r="T754" s="127" t="s">
        <v>1305</v>
      </c>
      <c r="V754" s="127">
        <f t="shared" si="152"/>
        <v>0</v>
      </c>
    </row>
    <row r="755" spans="1:22" ht="15.75">
      <c r="A755" s="153" t="s">
        <v>1351</v>
      </c>
      <c r="B755" s="125" t="s">
        <v>1287</v>
      </c>
      <c r="C755" s="130">
        <f t="shared" si="159"/>
        <v>3.125</v>
      </c>
      <c r="D755" s="180">
        <v>8</v>
      </c>
      <c r="E755" s="152" t="s">
        <v>1158</v>
      </c>
      <c r="F755" s="152">
        <v>4</v>
      </c>
      <c r="G755" s="152">
        <f t="shared" si="160"/>
        <v>5</v>
      </c>
      <c r="H755" s="152" t="s">
        <v>844</v>
      </c>
      <c r="I755" s="152">
        <v>4</v>
      </c>
      <c r="J755" s="152">
        <f t="shared" si="161"/>
        <v>1</v>
      </c>
      <c r="K755" s="152" t="s">
        <v>1288</v>
      </c>
      <c r="L755" s="152">
        <v>1</v>
      </c>
      <c r="M755" s="127">
        <f t="shared" ref="M755:M763" si="162">VLOOKUP(K755,IDPOINTS,2,FALSE)</f>
        <v>1</v>
      </c>
      <c r="N755" s="127" t="s">
        <v>1305</v>
      </c>
      <c r="P755" s="127">
        <f t="shared" ref="P755:P763" si="163">VLOOKUP(N755,IDPOINTS,2,FALSE)</f>
        <v>0</v>
      </c>
      <c r="Q755" s="127" t="s">
        <v>1305</v>
      </c>
      <c r="S755" s="127">
        <f t="shared" ref="S755:S763" si="164">VLOOKUP(Q755,IDPOINTS,2,FALSE)</f>
        <v>0</v>
      </c>
      <c r="T755" s="127" t="s">
        <v>1305</v>
      </c>
      <c r="V755" s="127">
        <f t="shared" ref="V755:V763" si="165">VLOOKUP(T755,IDPOINTS,2,FALSE)</f>
        <v>0</v>
      </c>
    </row>
    <row r="756" spans="1:22" s="13" customFormat="1" ht="15.75">
      <c r="A756" s="153" t="s">
        <v>1351</v>
      </c>
      <c r="B756" s="144" t="s">
        <v>1288</v>
      </c>
      <c r="C756" s="130">
        <f t="shared" si="159"/>
        <v>1</v>
      </c>
      <c r="D756" s="180">
        <v>1</v>
      </c>
      <c r="E756" s="13" t="s">
        <v>715</v>
      </c>
      <c r="F756" s="13">
        <v>1</v>
      </c>
      <c r="G756" s="13">
        <f t="shared" ref="G756:G763" si="166">VLOOKUP(E756,IDPOINTS,2,FALSE)</f>
        <v>1</v>
      </c>
      <c r="H756" s="13" t="s">
        <v>1241</v>
      </c>
      <c r="J756" s="13">
        <f t="shared" ref="J756:J763" si="167">VLOOKUP(H756,IDPOINTS,2,FALSE)</f>
        <v>1</v>
      </c>
      <c r="K756" s="13" t="s">
        <v>1305</v>
      </c>
      <c r="M756" s="13">
        <f t="shared" si="162"/>
        <v>0</v>
      </c>
      <c r="N756" s="13" t="s">
        <v>1305</v>
      </c>
      <c r="P756" s="13">
        <f t="shared" si="163"/>
        <v>0</v>
      </c>
      <c r="Q756" s="13" t="s">
        <v>1305</v>
      </c>
      <c r="S756" s="13">
        <f t="shared" si="164"/>
        <v>0</v>
      </c>
      <c r="T756" s="13" t="s">
        <v>1305</v>
      </c>
      <c r="V756" s="13">
        <f t="shared" si="165"/>
        <v>0</v>
      </c>
    </row>
    <row r="757" spans="1:22" ht="15.75">
      <c r="A757" s="153" t="s">
        <v>1351</v>
      </c>
      <c r="B757" s="125" t="s">
        <v>1289</v>
      </c>
      <c r="C757" s="130">
        <f t="shared" si="159"/>
        <v>34.125</v>
      </c>
      <c r="D757" s="180">
        <v>1</v>
      </c>
      <c r="E757" s="152" t="s">
        <v>1293</v>
      </c>
      <c r="F757" s="152">
        <v>1</v>
      </c>
      <c r="G757" s="152">
        <f t="shared" si="166"/>
        <v>31.125</v>
      </c>
      <c r="H757" s="152" t="s">
        <v>672</v>
      </c>
      <c r="I757" s="152">
        <v>1</v>
      </c>
      <c r="J757" s="127">
        <f t="shared" si="167"/>
        <v>3</v>
      </c>
      <c r="K757" s="127" t="s">
        <v>1305</v>
      </c>
      <c r="M757" s="127">
        <f t="shared" si="162"/>
        <v>0</v>
      </c>
      <c r="N757" s="127" t="s">
        <v>1305</v>
      </c>
      <c r="P757" s="127">
        <f t="shared" si="163"/>
        <v>0</v>
      </c>
      <c r="Q757" s="127" t="s">
        <v>1305</v>
      </c>
      <c r="S757" s="127">
        <f t="shared" si="164"/>
        <v>0</v>
      </c>
      <c r="T757" s="127" t="s">
        <v>1305</v>
      </c>
      <c r="V757" s="127">
        <f t="shared" si="165"/>
        <v>0</v>
      </c>
    </row>
    <row r="758" spans="1:22" ht="15.75">
      <c r="A758" s="153" t="s">
        <v>1351</v>
      </c>
      <c r="B758" s="125" t="s">
        <v>1290</v>
      </c>
      <c r="C758" s="130">
        <f t="shared" si="159"/>
        <v>12</v>
      </c>
      <c r="D758" s="180">
        <v>1</v>
      </c>
      <c r="E758" s="152" t="s">
        <v>1288</v>
      </c>
      <c r="F758" s="152">
        <v>1</v>
      </c>
      <c r="G758" s="152">
        <f t="shared" si="166"/>
        <v>1</v>
      </c>
      <c r="H758" s="152" t="s">
        <v>1170</v>
      </c>
      <c r="I758" s="152">
        <v>1</v>
      </c>
      <c r="J758" s="127">
        <f t="shared" si="167"/>
        <v>11</v>
      </c>
      <c r="K758" s="127" t="s">
        <v>1305</v>
      </c>
      <c r="M758" s="127">
        <f t="shared" si="162"/>
        <v>0</v>
      </c>
      <c r="N758" s="127" t="s">
        <v>1305</v>
      </c>
      <c r="P758" s="127">
        <f t="shared" si="163"/>
        <v>0</v>
      </c>
      <c r="Q758" s="127" t="s">
        <v>1305</v>
      </c>
      <c r="S758" s="127">
        <f t="shared" si="164"/>
        <v>0</v>
      </c>
      <c r="T758" s="127" t="s">
        <v>1305</v>
      </c>
      <c r="V758" s="127">
        <f t="shared" si="165"/>
        <v>0</v>
      </c>
    </row>
    <row r="759" spans="1:22" ht="15.75">
      <c r="A759" s="153" t="s">
        <v>1351</v>
      </c>
      <c r="B759" s="125" t="s">
        <v>1291</v>
      </c>
      <c r="C759" s="130">
        <f t="shared" si="159"/>
        <v>8.125</v>
      </c>
      <c r="D759" s="180">
        <v>8</v>
      </c>
      <c r="E759" s="152" t="s">
        <v>814</v>
      </c>
      <c r="F759" s="152">
        <v>8</v>
      </c>
      <c r="G759" s="152">
        <f t="shared" si="166"/>
        <v>8</v>
      </c>
      <c r="H759" s="152" t="s">
        <v>1288</v>
      </c>
      <c r="I759" s="152">
        <v>1</v>
      </c>
      <c r="J759" s="127">
        <f t="shared" si="167"/>
        <v>1</v>
      </c>
      <c r="K759" s="127" t="s">
        <v>1305</v>
      </c>
      <c r="M759" s="127">
        <f t="shared" si="162"/>
        <v>0</v>
      </c>
      <c r="N759" s="127" t="s">
        <v>1305</v>
      </c>
      <c r="P759" s="127">
        <f t="shared" si="163"/>
        <v>0</v>
      </c>
      <c r="Q759" s="127" t="s">
        <v>1305</v>
      </c>
      <c r="S759" s="127">
        <f t="shared" si="164"/>
        <v>0</v>
      </c>
      <c r="T759" s="127" t="s">
        <v>1305</v>
      </c>
      <c r="V759" s="127">
        <f t="shared" si="165"/>
        <v>0</v>
      </c>
    </row>
    <row r="760" spans="1:22" ht="15.75">
      <c r="A760" s="153" t="s">
        <v>1351</v>
      </c>
      <c r="B760" s="125" t="s">
        <v>1292</v>
      </c>
      <c r="C760" s="130">
        <f t="shared" si="159"/>
        <v>3.046875</v>
      </c>
      <c r="D760" s="180">
        <v>16</v>
      </c>
      <c r="E760" s="152" t="s">
        <v>1291</v>
      </c>
      <c r="F760" s="152">
        <v>6</v>
      </c>
      <c r="G760" s="152">
        <f t="shared" si="166"/>
        <v>8.125</v>
      </c>
      <c r="H760" s="152" t="s">
        <v>1305</v>
      </c>
      <c r="I760" s="152"/>
      <c r="J760" s="127">
        <f t="shared" si="167"/>
        <v>0</v>
      </c>
      <c r="K760" s="127" t="s">
        <v>1305</v>
      </c>
      <c r="M760" s="127">
        <f t="shared" si="162"/>
        <v>0</v>
      </c>
      <c r="N760" s="127" t="s">
        <v>1305</v>
      </c>
      <c r="P760" s="127">
        <f t="shared" si="163"/>
        <v>0</v>
      </c>
      <c r="Q760" s="127" t="s">
        <v>1305</v>
      </c>
      <c r="S760" s="127">
        <f t="shared" si="164"/>
        <v>0</v>
      </c>
      <c r="T760" s="127" t="s">
        <v>1305</v>
      </c>
      <c r="V760" s="127">
        <f t="shared" si="165"/>
        <v>0</v>
      </c>
    </row>
    <row r="761" spans="1:22" ht="15.75">
      <c r="A761" s="153" t="s">
        <v>1351</v>
      </c>
      <c r="B761" s="125" t="s">
        <v>1293</v>
      </c>
      <c r="C761" s="130">
        <f t="shared" si="159"/>
        <v>31.125</v>
      </c>
      <c r="D761" s="180">
        <v>8</v>
      </c>
      <c r="E761" s="152" t="s">
        <v>1245</v>
      </c>
      <c r="F761" s="152">
        <v>8</v>
      </c>
      <c r="G761" s="152">
        <f t="shared" si="166"/>
        <v>31</v>
      </c>
      <c r="H761" s="152" t="s">
        <v>1288</v>
      </c>
      <c r="I761" s="152">
        <v>1</v>
      </c>
      <c r="J761" s="127">
        <f t="shared" si="167"/>
        <v>1</v>
      </c>
      <c r="K761" s="127" t="s">
        <v>1305</v>
      </c>
      <c r="M761" s="127">
        <f t="shared" si="162"/>
        <v>0</v>
      </c>
      <c r="N761" s="127" t="s">
        <v>1305</v>
      </c>
      <c r="P761" s="127">
        <f t="shared" si="163"/>
        <v>0</v>
      </c>
      <c r="Q761" s="127" t="s">
        <v>1305</v>
      </c>
      <c r="S761" s="127">
        <f t="shared" si="164"/>
        <v>0</v>
      </c>
      <c r="T761" s="127" t="s">
        <v>1305</v>
      </c>
      <c r="V761" s="127">
        <f t="shared" si="165"/>
        <v>0</v>
      </c>
    </row>
    <row r="762" spans="1:22" ht="15.75">
      <c r="A762" s="153" t="s">
        <v>1351</v>
      </c>
      <c r="B762" s="125" t="s">
        <v>1294</v>
      </c>
      <c r="C762" s="130">
        <f t="shared" si="159"/>
        <v>7</v>
      </c>
      <c r="D762" s="180">
        <v>1</v>
      </c>
      <c r="E762" s="127" t="s">
        <v>1274</v>
      </c>
      <c r="F762">
        <v>1</v>
      </c>
      <c r="G762" s="127">
        <f t="shared" si="166"/>
        <v>6</v>
      </c>
      <c r="H762" s="127" t="s">
        <v>1288</v>
      </c>
      <c r="I762" s="127">
        <v>1</v>
      </c>
      <c r="J762" s="127">
        <f t="shared" si="167"/>
        <v>1</v>
      </c>
      <c r="K762" s="127" t="s">
        <v>1305</v>
      </c>
      <c r="M762" s="127">
        <f t="shared" si="162"/>
        <v>0</v>
      </c>
      <c r="N762" s="127" t="s">
        <v>1305</v>
      </c>
      <c r="P762" s="127">
        <f t="shared" si="163"/>
        <v>0</v>
      </c>
      <c r="Q762" s="127" t="s">
        <v>1305</v>
      </c>
      <c r="S762" s="127">
        <f t="shared" si="164"/>
        <v>0</v>
      </c>
      <c r="T762" s="127" t="s">
        <v>1305</v>
      </c>
      <c r="V762" s="127">
        <f t="shared" si="165"/>
        <v>0</v>
      </c>
    </row>
    <row r="763" spans="1:22" s="148" customFormat="1" ht="15.75">
      <c r="A763" s="137" t="s">
        <v>1341</v>
      </c>
      <c r="B763" s="146" t="s">
        <v>1295</v>
      </c>
      <c r="C763" s="147">
        <f>'ECONOMIA &amp; PROFESIONES'!E54</f>
        <v>1</v>
      </c>
      <c r="D763" s="180"/>
      <c r="E763" s="148" t="s">
        <v>1305</v>
      </c>
      <c r="G763" s="148">
        <f t="shared" si="166"/>
        <v>0</v>
      </c>
      <c r="H763" s="148" t="s">
        <v>1305</v>
      </c>
      <c r="J763" s="148">
        <f t="shared" si="167"/>
        <v>0</v>
      </c>
      <c r="K763" s="148" t="s">
        <v>1305</v>
      </c>
      <c r="M763" s="148">
        <f t="shared" si="162"/>
        <v>0</v>
      </c>
      <c r="N763" s="148" t="s">
        <v>1305</v>
      </c>
      <c r="P763" s="148">
        <f t="shared" si="163"/>
        <v>0</v>
      </c>
      <c r="Q763" s="148" t="s">
        <v>1305</v>
      </c>
      <c r="S763" s="148">
        <f t="shared" si="164"/>
        <v>0</v>
      </c>
      <c r="T763" s="148" t="s">
        <v>1305</v>
      </c>
      <c r="V763" s="148">
        <f t="shared" si="165"/>
        <v>0</v>
      </c>
    </row>
    <row r="764" spans="1:22">
      <c r="D764" s="180"/>
    </row>
    <row r="765" spans="1:22">
      <c r="D765" s="180"/>
    </row>
    <row r="766" spans="1:22">
      <c r="D766" s="180"/>
    </row>
    <row r="767" spans="1:22">
      <c r="D767" s="180"/>
    </row>
    <row r="768" spans="1:22">
      <c r="D768" s="180"/>
    </row>
    <row r="769" spans="4:4">
      <c r="D769" s="180"/>
    </row>
  </sheetData>
  <autoFilter ref="A1:A763" xr:uid="{2953BC5E-7120-4D45-ABC5-7FC8BBC20652}"/>
  <dataValidations count="3">
    <dataValidation type="list" allowBlank="1" showInputMessage="1" showErrorMessage="1" sqref="H3:H763 N3:N763 K3:K763 T3:T763 Q3:Q763 E3:E763" xr:uid="{00000000-0002-0000-0500-000000000000}">
      <formula1>IDS</formula1>
    </dataValidation>
    <dataValidation type="list" allowBlank="1" showInputMessage="1" showErrorMessage="1" sqref="A231:A233 A3:A7 A16 A729:A740 A24:A25 A27 A29:A30 A19:A22 A33:A39 A41:A46 A48:A61 A63:A70 A627:A633 A112:A113 A102:A110 A115:A125 A134 A136 A138 A140 A127:A130 A142:A144 A148:A159 A165:A181 A183:A187 A189:A194 A196:A216 A218:A225 A227:A229 A9:A14 A243 A245 A239:A241 A247:A252 A254:A258 A161:A163 A745:A762 A281:A286 A261:A262 A338:A352 A312:A336 A354:A365 A367:A378 A388:A390 A380:A385 A393:A427 A431:A458 A460:A471 A474:A481 A483:A485 A487:A492 A501 A494:A499 A515 A517:A519 A503:A513 A535:A536 A521:A533 A539:A548 A552:A556 A564 A292:A303 A566:A581 A583:A586 A590:A598 A600:A603 A614 A616:A617 A605:A612 A623:A624 A619:A620 A636:A638 A640 A305:A308 A660 A642:A658 A662:A667 A669:A674 A705:A707 A710 A713:A720 A722:A727 A676:A691 A742 A235:A236 A310 A266:A279 A78:A100 A72:A76 A288:A290 A559:A561" xr:uid="{4CBEAF08-8E6B-46D6-B067-3D34DA21CF30}">
      <formula1>PROFESIONES</formula1>
    </dataValidation>
    <dataValidation type="list" allowBlank="1" showInputMessage="1" showErrorMessage="1" sqref="A8 A15 A280 A23 A26 A28 A31:A32 A40 A47 A62 A71 A101 A111 A114 A126 A131:A133 A135 A137 A304 A141 A145:A147 A160 A164 A182 A195 A217 A226 A17:A18 A234 A242 A244 A246 A253 A188 A259:A260 A287 A309 A337 A353 A291 A366 A379 A386:A387 A391:A392 A428:A430 A459 A472:A473 A482 A486 A493 A500 A502 A514 A516 A520 A534 A537:A538 A549:A551 A557:A558 A562:A563 A565 A582 A237:A238 A599 A604 A613 A615 A618 A621:A622 A625:A626 A634:A635 A639 A641 A659 A661 A668 A675 A587:A589 A708:A709 A711:A712 A721 A728 A741 A743:A744 A763 A692:A704 A263:A265 A311 A230 A139 A77" xr:uid="{7A461E07-8422-4EE5-8615-C033A548613D}">
      <formula1>EXTRACCIONES</formula1>
    </dataValidation>
  </dataValidations>
  <pageMargins left="0.7" right="0.7" top="0.75" bottom="0.75" header="0.3" footer="0.3"/>
  <pageSetup orientation="portrait" r:id="rId1"/>
  <ignoredErrors>
    <ignoredError sqref="C582 C743"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4FC70-2051-4689-B785-88D7ED1ED5CB}">
  <dimension ref="A1:H763"/>
  <sheetViews>
    <sheetView workbookViewId="0">
      <selection activeCell="C2" sqref="C2"/>
    </sheetView>
  </sheetViews>
  <sheetFormatPr baseColWidth="10" defaultRowHeight="15"/>
  <cols>
    <col min="1" max="1" width="20.5703125" customWidth="1"/>
    <col min="2" max="2" width="21" customWidth="1"/>
    <col min="3" max="3" width="28.28515625" customWidth="1"/>
    <col min="4" max="4" width="8.85546875" style="153" customWidth="1"/>
    <col min="5" max="5" width="28" customWidth="1"/>
    <col min="6" max="6" width="8.28515625" customWidth="1"/>
  </cols>
  <sheetData>
    <row r="1" spans="1:8" s="168" customFormat="1">
      <c r="A1" s="168" t="s">
        <v>1336</v>
      </c>
      <c r="B1" s="168" t="s">
        <v>205</v>
      </c>
      <c r="C1" s="131" t="s">
        <v>1354</v>
      </c>
      <c r="D1" s="131">
        <f>LARGE(D3:D84,1)</f>
        <v>9</v>
      </c>
      <c r="E1" s="131" t="s">
        <v>1355</v>
      </c>
      <c r="F1" s="168">
        <f>LARGE(F3:F260,1)</f>
        <v>72</v>
      </c>
    </row>
    <row r="2" spans="1:8">
      <c r="A2" s="169" t="s">
        <v>1337</v>
      </c>
      <c r="B2" s="169" t="s">
        <v>1343</v>
      </c>
      <c r="C2" s="178" t="s">
        <v>1341</v>
      </c>
      <c r="D2" s="178" t="s">
        <v>1356</v>
      </c>
      <c r="E2" s="178" t="s">
        <v>1348</v>
      </c>
      <c r="F2" s="178" t="s">
        <v>1356</v>
      </c>
      <c r="G2" s="162">
        <v>1</v>
      </c>
      <c r="H2">
        <f>($F$1/12)*1</f>
        <v>6</v>
      </c>
    </row>
    <row r="3" spans="1:8">
      <c r="A3" s="21" t="s">
        <v>1338</v>
      </c>
      <c r="B3" s="169" t="s">
        <v>1344</v>
      </c>
      <c r="C3" t="str">
        <f t="array" ref="C3:C763">IFERROR(INDEX(ListItemsCraft!$B$1:$B$763,SMALL(IF(indexop=$C$2,ROW()),ROW()-2)),"")</f>
        <v>blaze_rod</v>
      </c>
      <c r="D3" s="153">
        <f t="shared" ref="D3:D34" si="0">IFERROR(VLOOKUP(C3,listitems,2,0),"")</f>
        <v>4.5</v>
      </c>
      <c r="E3" t="str">
        <f t="array" ref="E3:E763">IFERROR(INDEX(ListItemsCraft!$B$1:$B$763,SMALL(IF(indexop=$E$2,ROW()),ROW()-2)),"")</f>
        <v>baked_potato</v>
      </c>
      <c r="F3">
        <f t="shared" ref="F3:F34" si="1">IFERROR(VLOOKUP(E3,listitems,2,0),"")</f>
        <v>4</v>
      </c>
      <c r="G3" s="61">
        <v>3</v>
      </c>
      <c r="H3">
        <f>($F$1/12)*3</f>
        <v>18</v>
      </c>
    </row>
    <row r="4" spans="1:8">
      <c r="A4" s="170" t="s">
        <v>560</v>
      </c>
      <c r="B4" s="21" t="s">
        <v>1345</v>
      </c>
      <c r="C4" t="str">
        <v>bone</v>
      </c>
      <c r="D4" s="153">
        <f t="shared" si="0"/>
        <v>2.5</v>
      </c>
      <c r="E4" t="str">
        <v>beetroot_soup</v>
      </c>
      <c r="F4" s="153">
        <f t="shared" si="1"/>
        <v>54.75</v>
      </c>
      <c r="G4" s="62">
        <v>5</v>
      </c>
      <c r="H4">
        <f>($F$1/12)*5</f>
        <v>30</v>
      </c>
    </row>
    <row r="5" spans="1:8">
      <c r="A5" s="171" t="s">
        <v>1339</v>
      </c>
      <c r="B5" s="171" t="s">
        <v>1346</v>
      </c>
      <c r="C5" t="str">
        <v>creeper_head</v>
      </c>
      <c r="D5" s="153">
        <f t="shared" si="0"/>
        <v>5</v>
      </c>
      <c r="E5" t="str">
        <v>bone_block</v>
      </c>
      <c r="F5" s="153">
        <f t="shared" si="1"/>
        <v>7.5</v>
      </c>
      <c r="G5" s="63">
        <v>7</v>
      </c>
      <c r="H5">
        <f>($F$1/12)*7</f>
        <v>42</v>
      </c>
    </row>
    <row r="6" spans="1:8">
      <c r="A6" s="172" t="s">
        <v>1340</v>
      </c>
      <c r="B6" s="172" t="s">
        <v>1347</v>
      </c>
      <c r="C6" t="str">
        <v>dragon_egg</v>
      </c>
      <c r="D6" s="153">
        <f t="shared" si="0"/>
        <v>5.5</v>
      </c>
      <c r="E6" t="str">
        <v>bone_meal</v>
      </c>
      <c r="F6" s="153">
        <f t="shared" si="1"/>
        <v>0.83333333333333337</v>
      </c>
      <c r="G6" s="64">
        <v>9</v>
      </c>
      <c r="H6">
        <f>($F$1/12)*9</f>
        <v>54</v>
      </c>
    </row>
    <row r="7" spans="1:8">
      <c r="A7" s="140" t="s">
        <v>1341</v>
      </c>
      <c r="B7" s="170" t="s">
        <v>1348</v>
      </c>
      <c r="C7" t="str">
        <v>dragon_head</v>
      </c>
      <c r="D7" s="153">
        <f t="shared" si="0"/>
        <v>5.5</v>
      </c>
      <c r="E7" t="str">
        <v>bowl</v>
      </c>
      <c r="F7" s="153">
        <f t="shared" si="1"/>
        <v>0.75</v>
      </c>
      <c r="G7" s="65">
        <v>11</v>
      </c>
      <c r="H7">
        <f>($F$1/12)*12</f>
        <v>72</v>
      </c>
    </row>
    <row r="8" spans="1:8">
      <c r="A8" s="173" t="s">
        <v>1342</v>
      </c>
      <c r="B8" s="140" t="s">
        <v>1350</v>
      </c>
      <c r="C8" t="str">
        <v>ender_eye</v>
      </c>
      <c r="D8" s="153">
        <f t="shared" si="0"/>
        <v>9</v>
      </c>
      <c r="E8" t="str">
        <v>bread</v>
      </c>
      <c r="F8" s="153">
        <f t="shared" si="1"/>
        <v>21</v>
      </c>
    </row>
    <row r="9" spans="1:8">
      <c r="B9" s="173" t="s">
        <v>1349</v>
      </c>
      <c r="C9" t="str">
        <v>ender_pearl</v>
      </c>
      <c r="D9" s="153">
        <f t="shared" si="0"/>
        <v>9</v>
      </c>
      <c r="E9" t="str">
        <v>cake</v>
      </c>
      <c r="F9" s="153">
        <f t="shared" si="1"/>
        <v>38.9</v>
      </c>
    </row>
    <row r="10" spans="1:8">
      <c r="B10" s="169" t="s">
        <v>595</v>
      </c>
      <c r="C10" t="str">
        <v>feather</v>
      </c>
      <c r="D10" s="153">
        <f t="shared" si="0"/>
        <v>0.4</v>
      </c>
      <c r="E10" t="str">
        <v>carrot_on_a_stick</v>
      </c>
      <c r="F10" s="153">
        <f t="shared" si="1"/>
        <v>8.375</v>
      </c>
    </row>
    <row r="11" spans="1:8">
      <c r="B11" s="170" t="s">
        <v>1351</v>
      </c>
      <c r="C11" t="str">
        <v>fermented_spider_eye</v>
      </c>
      <c r="D11" s="153">
        <f t="shared" si="0"/>
        <v>1.5</v>
      </c>
      <c r="E11" t="str">
        <v>carved_pumpkin</v>
      </c>
      <c r="F11" s="153">
        <f t="shared" si="1"/>
        <v>11</v>
      </c>
    </row>
    <row r="12" spans="1:8">
      <c r="B12" s="170" t="s">
        <v>1352</v>
      </c>
      <c r="C12" t="str">
        <v>ghast_tear</v>
      </c>
      <c r="D12" s="153">
        <f t="shared" si="0"/>
        <v>4.5</v>
      </c>
      <c r="E12" t="str">
        <v>cooked_beef</v>
      </c>
      <c r="F12" s="153">
        <f t="shared" si="1"/>
        <v>5.5</v>
      </c>
    </row>
    <row r="13" spans="1:8">
      <c r="B13" s="174" t="s">
        <v>1353</v>
      </c>
      <c r="C13" t="str">
        <v>gunpowder</v>
      </c>
      <c r="D13" s="153">
        <f t="shared" si="0"/>
        <v>5</v>
      </c>
      <c r="E13" t="str">
        <v>cooked_chicken</v>
      </c>
      <c r="F13" s="153">
        <f t="shared" si="1"/>
        <v>4</v>
      </c>
    </row>
    <row r="14" spans="1:8">
      <c r="C14" t="str">
        <v>prismarine_crystals</v>
      </c>
      <c r="D14" s="153">
        <f t="shared" si="0"/>
        <v>4.5</v>
      </c>
      <c r="E14" t="str">
        <v>cooked_cod</v>
      </c>
      <c r="F14" s="153">
        <f t="shared" si="1"/>
        <v>6</v>
      </c>
    </row>
    <row r="15" spans="1:8">
      <c r="C15" t="str">
        <v>prismarine_shard</v>
      </c>
      <c r="D15" s="153">
        <f t="shared" si="0"/>
        <v>4.5</v>
      </c>
      <c r="E15" t="str">
        <v>cooked_mutton</v>
      </c>
      <c r="F15" s="153">
        <f t="shared" si="1"/>
        <v>14</v>
      </c>
    </row>
    <row r="16" spans="1:8">
      <c r="C16" t="str">
        <v>shulker_shell</v>
      </c>
      <c r="D16" s="153">
        <f t="shared" si="0"/>
        <v>9</v>
      </c>
      <c r="E16" t="str">
        <v>cooked_porkchop</v>
      </c>
      <c r="F16" s="153">
        <f t="shared" si="1"/>
        <v>10</v>
      </c>
    </row>
    <row r="17" spans="1:6">
      <c r="C17" t="str">
        <v>slime_ball</v>
      </c>
      <c r="D17" s="153">
        <f t="shared" si="0"/>
        <v>7</v>
      </c>
      <c r="E17" t="str">
        <v>cooked_rabbit</v>
      </c>
      <c r="F17" s="153">
        <f t="shared" si="1"/>
        <v>12</v>
      </c>
    </row>
    <row r="18" spans="1:6">
      <c r="C18" t="str">
        <v>spider_eye</v>
      </c>
      <c r="D18" s="153">
        <f t="shared" si="0"/>
        <v>1.5</v>
      </c>
      <c r="E18" t="str">
        <v>cooked_salmon</v>
      </c>
      <c r="F18" s="153">
        <f t="shared" si="1"/>
        <v>6</v>
      </c>
    </row>
    <row r="19" spans="1:6">
      <c r="C19" t="str">
        <v>string</v>
      </c>
      <c r="D19" s="153">
        <f t="shared" si="0"/>
        <v>1.5</v>
      </c>
      <c r="E19" t="str">
        <v>cookie</v>
      </c>
      <c r="F19" s="153">
        <f t="shared" si="1"/>
        <v>21</v>
      </c>
    </row>
    <row r="20" spans="1:6">
      <c r="C20" t="str">
        <v>wither_rose</v>
      </c>
      <c r="D20" s="153">
        <f t="shared" si="0"/>
        <v>5.5</v>
      </c>
      <c r="E20" t="str">
        <v>dried_kelp</v>
      </c>
      <c r="F20" s="153">
        <f t="shared" si="1"/>
        <v>8</v>
      </c>
    </row>
    <row r="21" spans="1:6">
      <c r="C21" t="str">
        <v>wither_skeleton_skull</v>
      </c>
      <c r="D21" s="153">
        <f t="shared" si="0"/>
        <v>2.25</v>
      </c>
      <c r="E21" t="str">
        <v>dried_kelp_block</v>
      </c>
      <c r="F21" s="153">
        <f t="shared" si="1"/>
        <v>72</v>
      </c>
    </row>
    <row r="22" spans="1:6">
      <c r="C22" t="str">
        <v>zombie_head</v>
      </c>
      <c r="D22" s="153">
        <f t="shared" si="0"/>
        <v>1</v>
      </c>
      <c r="E22" t="str">
        <v>fishing_rod</v>
      </c>
      <c r="F22" s="153">
        <f t="shared" si="1"/>
        <v>3.375</v>
      </c>
    </row>
    <row r="23" spans="1:6">
      <c r="C23" t="str">
        <v/>
      </c>
      <c r="D23" s="153" t="str">
        <f t="shared" si="0"/>
        <v/>
      </c>
      <c r="E23" t="str">
        <v>glistering_melon_slice</v>
      </c>
      <c r="F23" s="153">
        <f t="shared" si="1"/>
        <v>1.4444444444444444</v>
      </c>
    </row>
    <row r="24" spans="1:6" ht="15.75">
      <c r="A24" s="125" t="s">
        <v>658</v>
      </c>
      <c r="C24" t="str">
        <v/>
      </c>
      <c r="D24" s="153" t="str">
        <f t="shared" si="0"/>
        <v/>
      </c>
      <c r="E24" t="str">
        <v>golden_carrot</v>
      </c>
      <c r="F24" s="153">
        <f t="shared" si="1"/>
        <v>13.888888888888889</v>
      </c>
    </row>
    <row r="25" spans="1:6">
      <c r="C25" t="str">
        <v/>
      </c>
      <c r="D25" s="153" t="str">
        <f t="shared" si="0"/>
        <v/>
      </c>
      <c r="E25" t="str">
        <v>hay_block</v>
      </c>
      <c r="F25" s="153">
        <f t="shared" si="1"/>
        <v>63</v>
      </c>
    </row>
    <row r="26" spans="1:6">
      <c r="C26" t="str">
        <v/>
      </c>
      <c r="D26" s="153" t="str">
        <f t="shared" si="0"/>
        <v/>
      </c>
      <c r="E26" t="str">
        <v>jack_o_lantern</v>
      </c>
      <c r="F26" s="153">
        <f t="shared" si="1"/>
        <v>11.78125</v>
      </c>
    </row>
    <row r="27" spans="1:6">
      <c r="C27" t="str">
        <v/>
      </c>
      <c r="D27" s="153" t="str">
        <f t="shared" si="0"/>
        <v/>
      </c>
      <c r="E27" t="str">
        <v>melon_slice</v>
      </c>
      <c r="F27" s="153">
        <f t="shared" si="1"/>
        <v>0.33333333333333331</v>
      </c>
    </row>
    <row r="28" spans="1:6">
      <c r="C28" t="str">
        <v/>
      </c>
      <c r="D28" s="153" t="str">
        <f t="shared" si="0"/>
        <v/>
      </c>
      <c r="E28" t="str">
        <v>mushroom_stew</v>
      </c>
      <c r="F28" s="153">
        <f t="shared" si="1"/>
        <v>22.75</v>
      </c>
    </row>
    <row r="29" spans="1:6">
      <c r="C29" t="str">
        <v/>
      </c>
      <c r="D29" s="153" t="str">
        <f t="shared" si="0"/>
        <v/>
      </c>
      <c r="E29" t="str">
        <v>pumpkin_pie</v>
      </c>
      <c r="F29" s="153">
        <f t="shared" si="1"/>
        <v>16.399999999999999</v>
      </c>
    </row>
    <row r="30" spans="1:6">
      <c r="C30" t="str">
        <v/>
      </c>
      <c r="D30" s="153" t="str">
        <f t="shared" si="0"/>
        <v/>
      </c>
      <c r="E30" t="str">
        <v>rabbit_stew</v>
      </c>
      <c r="F30" s="153">
        <f t="shared" si="1"/>
        <v>32.75</v>
      </c>
    </row>
    <row r="31" spans="1:6">
      <c r="C31" t="str">
        <v/>
      </c>
      <c r="D31" s="153" t="str">
        <f t="shared" si="0"/>
        <v/>
      </c>
      <c r="E31" t="str">
        <v>sugar</v>
      </c>
      <c r="F31" s="153">
        <f t="shared" si="1"/>
        <v>5</v>
      </c>
    </row>
    <row r="32" spans="1:6">
      <c r="C32" t="str">
        <v/>
      </c>
      <c r="D32" s="153" t="str">
        <f t="shared" si="0"/>
        <v/>
      </c>
      <c r="E32" t="str">
        <v>suspicious_stew</v>
      </c>
      <c r="F32" s="153">
        <f t="shared" si="1"/>
        <v>27.875</v>
      </c>
    </row>
    <row r="33" spans="3:6">
      <c r="C33" t="str">
        <v/>
      </c>
      <c r="D33" s="153" t="str">
        <f t="shared" si="0"/>
        <v/>
      </c>
      <c r="E33" t="str">
        <v/>
      </c>
      <c r="F33" s="153" t="str">
        <f t="shared" si="1"/>
        <v/>
      </c>
    </row>
    <row r="34" spans="3:6">
      <c r="C34" t="str">
        <v/>
      </c>
      <c r="D34" s="153" t="str">
        <f t="shared" si="0"/>
        <v/>
      </c>
      <c r="E34" t="str">
        <v/>
      </c>
      <c r="F34" s="153" t="str">
        <f t="shared" si="1"/>
        <v/>
      </c>
    </row>
    <row r="35" spans="3:6">
      <c r="C35" t="str">
        <v/>
      </c>
      <c r="D35" s="153" t="str">
        <f t="shared" ref="D35:D58" si="2">IFERROR(VLOOKUP(C35,listitems,2,0),"")</f>
        <v/>
      </c>
      <c r="E35" t="str">
        <v/>
      </c>
      <c r="F35" s="153" t="str">
        <f t="shared" ref="F35:F98" si="3">IFERROR(VLOOKUP(E35,listitems,2,0),"")</f>
        <v/>
      </c>
    </row>
    <row r="36" spans="3:6">
      <c r="C36" t="str">
        <v/>
      </c>
      <c r="D36" s="153" t="str">
        <f t="shared" si="2"/>
        <v/>
      </c>
      <c r="E36" t="str">
        <v/>
      </c>
      <c r="F36" s="153" t="str">
        <f t="shared" si="3"/>
        <v/>
      </c>
    </row>
    <row r="37" spans="3:6">
      <c r="C37" t="str">
        <v/>
      </c>
      <c r="D37" s="153" t="str">
        <f t="shared" si="2"/>
        <v/>
      </c>
      <c r="E37" t="str">
        <v/>
      </c>
      <c r="F37" s="153" t="str">
        <f t="shared" si="3"/>
        <v/>
      </c>
    </row>
    <row r="38" spans="3:6">
      <c r="C38" t="str">
        <v/>
      </c>
      <c r="D38" s="153" t="str">
        <f t="shared" si="2"/>
        <v/>
      </c>
      <c r="E38" t="str">
        <v/>
      </c>
      <c r="F38" s="153" t="str">
        <f t="shared" si="3"/>
        <v/>
      </c>
    </row>
    <row r="39" spans="3:6">
      <c r="C39" t="str">
        <v/>
      </c>
      <c r="D39" s="153" t="str">
        <f t="shared" si="2"/>
        <v/>
      </c>
      <c r="E39" t="str">
        <v/>
      </c>
      <c r="F39" s="153" t="str">
        <f t="shared" si="3"/>
        <v/>
      </c>
    </row>
    <row r="40" spans="3:6">
      <c r="C40" t="str">
        <v/>
      </c>
      <c r="D40" s="153" t="str">
        <f t="shared" si="2"/>
        <v/>
      </c>
      <c r="E40" t="str">
        <v/>
      </c>
      <c r="F40" s="153" t="str">
        <f t="shared" si="3"/>
        <v/>
      </c>
    </row>
    <row r="41" spans="3:6">
      <c r="C41" t="str">
        <v/>
      </c>
      <c r="D41" s="153" t="str">
        <f t="shared" si="2"/>
        <v/>
      </c>
      <c r="E41" t="str">
        <v/>
      </c>
      <c r="F41" s="153" t="str">
        <f t="shared" si="3"/>
        <v/>
      </c>
    </row>
    <row r="42" spans="3:6">
      <c r="C42" t="str">
        <v/>
      </c>
      <c r="D42" s="153" t="str">
        <f t="shared" si="2"/>
        <v/>
      </c>
      <c r="E42" t="str">
        <v/>
      </c>
      <c r="F42" s="153" t="str">
        <f t="shared" si="3"/>
        <v/>
      </c>
    </row>
    <row r="43" spans="3:6">
      <c r="C43" t="str">
        <v/>
      </c>
      <c r="D43" s="153" t="str">
        <f t="shared" si="2"/>
        <v/>
      </c>
      <c r="E43" t="str">
        <v/>
      </c>
      <c r="F43" s="153" t="str">
        <f t="shared" si="3"/>
        <v/>
      </c>
    </row>
    <row r="44" spans="3:6">
      <c r="C44" t="str">
        <v/>
      </c>
      <c r="D44" s="153" t="str">
        <f t="shared" si="2"/>
        <v/>
      </c>
      <c r="E44" t="str">
        <v/>
      </c>
      <c r="F44" s="153" t="str">
        <f t="shared" si="3"/>
        <v/>
      </c>
    </row>
    <row r="45" spans="3:6">
      <c r="C45" t="str">
        <v/>
      </c>
      <c r="D45" s="153" t="str">
        <f t="shared" si="2"/>
        <v/>
      </c>
      <c r="E45" t="str">
        <v/>
      </c>
      <c r="F45" s="153" t="str">
        <f t="shared" si="3"/>
        <v/>
      </c>
    </row>
    <row r="46" spans="3:6">
      <c r="C46" t="str">
        <v/>
      </c>
      <c r="D46" s="153" t="str">
        <f t="shared" si="2"/>
        <v/>
      </c>
      <c r="E46" t="str">
        <v/>
      </c>
      <c r="F46" s="153" t="str">
        <f t="shared" si="3"/>
        <v/>
      </c>
    </row>
    <row r="47" spans="3:6">
      <c r="C47" t="str">
        <v/>
      </c>
      <c r="D47" s="153" t="str">
        <f t="shared" si="2"/>
        <v/>
      </c>
      <c r="E47" t="str">
        <v/>
      </c>
      <c r="F47" s="153" t="str">
        <f t="shared" si="3"/>
        <v/>
      </c>
    </row>
    <row r="48" spans="3:6">
      <c r="C48" t="str">
        <v/>
      </c>
      <c r="D48" s="153" t="str">
        <f t="shared" si="2"/>
        <v/>
      </c>
      <c r="E48" t="str">
        <v/>
      </c>
      <c r="F48" s="153" t="str">
        <f t="shared" si="3"/>
        <v/>
      </c>
    </row>
    <row r="49" spans="3:6">
      <c r="C49" t="str">
        <v/>
      </c>
      <c r="D49" s="153" t="str">
        <f t="shared" si="2"/>
        <v/>
      </c>
      <c r="E49" t="str">
        <v/>
      </c>
      <c r="F49" s="153" t="str">
        <f t="shared" si="3"/>
        <v/>
      </c>
    </row>
    <row r="50" spans="3:6">
      <c r="C50" t="str">
        <v/>
      </c>
      <c r="D50" s="153" t="str">
        <f t="shared" si="2"/>
        <v/>
      </c>
      <c r="E50" t="str">
        <v/>
      </c>
      <c r="F50" s="153" t="str">
        <f t="shared" si="3"/>
        <v/>
      </c>
    </row>
    <row r="51" spans="3:6">
      <c r="C51" t="str">
        <v/>
      </c>
      <c r="D51" s="153" t="str">
        <f t="shared" si="2"/>
        <v/>
      </c>
      <c r="E51" t="str">
        <v/>
      </c>
      <c r="F51" s="153" t="str">
        <f t="shared" si="3"/>
        <v/>
      </c>
    </row>
    <row r="52" spans="3:6">
      <c r="C52" t="str">
        <v/>
      </c>
      <c r="D52" s="153" t="str">
        <f t="shared" si="2"/>
        <v/>
      </c>
      <c r="E52" t="str">
        <v/>
      </c>
      <c r="F52" s="153" t="str">
        <f t="shared" si="3"/>
        <v/>
      </c>
    </row>
    <row r="53" spans="3:6">
      <c r="C53" t="str">
        <v/>
      </c>
      <c r="D53" s="153" t="str">
        <f t="shared" si="2"/>
        <v/>
      </c>
      <c r="E53" t="str">
        <v/>
      </c>
      <c r="F53" s="153" t="str">
        <f t="shared" si="3"/>
        <v/>
      </c>
    </row>
    <row r="54" spans="3:6">
      <c r="C54" t="str">
        <v/>
      </c>
      <c r="D54" s="153" t="str">
        <f t="shared" si="2"/>
        <v/>
      </c>
      <c r="E54" t="str">
        <v/>
      </c>
      <c r="F54" s="153" t="str">
        <f t="shared" si="3"/>
        <v/>
      </c>
    </row>
    <row r="55" spans="3:6">
      <c r="C55" t="str">
        <v/>
      </c>
      <c r="D55" s="153" t="str">
        <f t="shared" si="2"/>
        <v/>
      </c>
      <c r="E55" t="str">
        <v/>
      </c>
      <c r="F55" s="153" t="str">
        <f t="shared" si="3"/>
        <v/>
      </c>
    </row>
    <row r="56" spans="3:6">
      <c r="C56" t="str">
        <v/>
      </c>
      <c r="D56" s="153" t="str">
        <f t="shared" si="2"/>
        <v/>
      </c>
      <c r="E56" t="str">
        <v/>
      </c>
      <c r="F56" s="153" t="str">
        <f t="shared" si="3"/>
        <v/>
      </c>
    </row>
    <row r="57" spans="3:6">
      <c r="C57" t="str">
        <v/>
      </c>
      <c r="D57" s="153" t="str">
        <f t="shared" si="2"/>
        <v/>
      </c>
      <c r="E57" t="str">
        <v/>
      </c>
      <c r="F57" s="158" t="str">
        <f t="shared" si="3"/>
        <v/>
      </c>
    </row>
    <row r="58" spans="3:6">
      <c r="C58" t="str">
        <v/>
      </c>
      <c r="D58" s="153" t="str">
        <f t="shared" si="2"/>
        <v/>
      </c>
      <c r="E58" t="str">
        <v/>
      </c>
      <c r="F58" s="158" t="str">
        <f t="shared" si="3"/>
        <v/>
      </c>
    </row>
    <row r="59" spans="3:6">
      <c r="C59" t="str">
        <v/>
      </c>
      <c r="E59" t="str">
        <v/>
      </c>
      <c r="F59" s="158" t="str">
        <f t="shared" si="3"/>
        <v/>
      </c>
    </row>
    <row r="60" spans="3:6">
      <c r="C60" t="str">
        <v/>
      </c>
      <c r="E60" t="str">
        <v/>
      </c>
      <c r="F60" s="158" t="str">
        <f t="shared" si="3"/>
        <v/>
      </c>
    </row>
    <row r="61" spans="3:6">
      <c r="C61" t="str">
        <v/>
      </c>
      <c r="E61" t="str">
        <v/>
      </c>
      <c r="F61" s="158" t="str">
        <f t="shared" si="3"/>
        <v/>
      </c>
    </row>
    <row r="62" spans="3:6">
      <c r="C62" t="str">
        <v/>
      </c>
      <c r="E62" t="str">
        <v/>
      </c>
      <c r="F62" s="158" t="str">
        <f t="shared" si="3"/>
        <v/>
      </c>
    </row>
    <row r="63" spans="3:6">
      <c r="C63" t="str">
        <v/>
      </c>
      <c r="E63" t="str">
        <v/>
      </c>
      <c r="F63" s="158" t="str">
        <f t="shared" si="3"/>
        <v/>
      </c>
    </row>
    <row r="64" spans="3:6">
      <c r="C64" t="str">
        <v/>
      </c>
      <c r="E64" t="str">
        <v/>
      </c>
      <c r="F64" s="158" t="str">
        <f t="shared" si="3"/>
        <v/>
      </c>
    </row>
    <row r="65" spans="3:6">
      <c r="C65" t="str">
        <v/>
      </c>
      <c r="E65" t="str">
        <v/>
      </c>
      <c r="F65" s="158" t="str">
        <f t="shared" si="3"/>
        <v/>
      </c>
    </row>
    <row r="66" spans="3:6">
      <c r="C66" t="str">
        <v/>
      </c>
      <c r="E66" t="str">
        <v/>
      </c>
      <c r="F66" s="158" t="str">
        <f t="shared" si="3"/>
        <v/>
      </c>
    </row>
    <row r="67" spans="3:6">
      <c r="C67" t="str">
        <v/>
      </c>
      <c r="E67" t="str">
        <v/>
      </c>
      <c r="F67" s="158" t="str">
        <f t="shared" si="3"/>
        <v/>
      </c>
    </row>
    <row r="68" spans="3:6">
      <c r="C68" t="str">
        <v/>
      </c>
      <c r="E68" t="str">
        <v/>
      </c>
      <c r="F68" s="158" t="str">
        <f t="shared" si="3"/>
        <v/>
      </c>
    </row>
    <row r="69" spans="3:6">
      <c r="C69" t="str">
        <v/>
      </c>
      <c r="E69" t="str">
        <v/>
      </c>
      <c r="F69" s="158" t="str">
        <f t="shared" si="3"/>
        <v/>
      </c>
    </row>
    <row r="70" spans="3:6">
      <c r="C70" t="str">
        <v/>
      </c>
      <c r="E70" t="str">
        <v/>
      </c>
      <c r="F70" s="158" t="str">
        <f t="shared" si="3"/>
        <v/>
      </c>
    </row>
    <row r="71" spans="3:6">
      <c r="C71" t="str">
        <v/>
      </c>
      <c r="E71" t="str">
        <v/>
      </c>
      <c r="F71" s="158" t="str">
        <f t="shared" si="3"/>
        <v/>
      </c>
    </row>
    <row r="72" spans="3:6">
      <c r="C72" t="str">
        <v/>
      </c>
      <c r="E72" t="str">
        <v/>
      </c>
      <c r="F72" s="158" t="str">
        <f t="shared" si="3"/>
        <v/>
      </c>
    </row>
    <row r="73" spans="3:6">
      <c r="C73" t="str">
        <v/>
      </c>
      <c r="E73" t="str">
        <v/>
      </c>
      <c r="F73" s="158" t="str">
        <f t="shared" si="3"/>
        <v/>
      </c>
    </row>
    <row r="74" spans="3:6">
      <c r="C74" t="str">
        <v/>
      </c>
      <c r="E74" t="str">
        <v/>
      </c>
      <c r="F74" s="158" t="str">
        <f t="shared" si="3"/>
        <v/>
      </c>
    </row>
    <row r="75" spans="3:6">
      <c r="C75" t="str">
        <v/>
      </c>
      <c r="E75" t="str">
        <v/>
      </c>
      <c r="F75" s="158" t="str">
        <f t="shared" si="3"/>
        <v/>
      </c>
    </row>
    <row r="76" spans="3:6">
      <c r="C76" t="str">
        <v/>
      </c>
      <c r="E76" t="str">
        <v/>
      </c>
      <c r="F76" s="158" t="str">
        <f t="shared" si="3"/>
        <v/>
      </c>
    </row>
    <row r="77" spans="3:6">
      <c r="C77" t="str">
        <v/>
      </c>
      <c r="E77" t="str">
        <v/>
      </c>
      <c r="F77" s="158" t="str">
        <f t="shared" si="3"/>
        <v/>
      </c>
    </row>
    <row r="78" spans="3:6">
      <c r="C78" t="str">
        <v/>
      </c>
      <c r="E78" t="str">
        <v/>
      </c>
      <c r="F78" s="158" t="str">
        <f t="shared" si="3"/>
        <v/>
      </c>
    </row>
    <row r="79" spans="3:6">
      <c r="C79" t="str">
        <v/>
      </c>
      <c r="E79" t="str">
        <v/>
      </c>
      <c r="F79" s="158" t="str">
        <f t="shared" si="3"/>
        <v/>
      </c>
    </row>
    <row r="80" spans="3:6">
      <c r="C80" t="str">
        <v/>
      </c>
      <c r="E80" t="str">
        <v/>
      </c>
      <c r="F80" s="158" t="str">
        <f t="shared" si="3"/>
        <v/>
      </c>
    </row>
    <row r="81" spans="3:6">
      <c r="C81" t="str">
        <v/>
      </c>
      <c r="E81" t="str">
        <v/>
      </c>
      <c r="F81" s="158" t="str">
        <f t="shared" si="3"/>
        <v/>
      </c>
    </row>
    <row r="82" spans="3:6">
      <c r="C82" t="str">
        <v/>
      </c>
      <c r="E82" t="str">
        <v/>
      </c>
      <c r="F82" s="158" t="str">
        <f t="shared" si="3"/>
        <v/>
      </c>
    </row>
    <row r="83" spans="3:6">
      <c r="C83" t="str">
        <v/>
      </c>
      <c r="E83" t="str">
        <v/>
      </c>
      <c r="F83" s="158" t="str">
        <f t="shared" si="3"/>
        <v/>
      </c>
    </row>
    <row r="84" spans="3:6">
      <c r="C84" t="str">
        <v/>
      </c>
      <c r="E84" t="str">
        <v/>
      </c>
      <c r="F84" s="158" t="str">
        <f t="shared" si="3"/>
        <v/>
      </c>
    </row>
    <row r="85" spans="3:6">
      <c r="C85" t="str">
        <v/>
      </c>
      <c r="E85" t="str">
        <v/>
      </c>
      <c r="F85" s="158" t="str">
        <f t="shared" si="3"/>
        <v/>
      </c>
    </row>
    <row r="86" spans="3:6">
      <c r="C86" t="str">
        <v/>
      </c>
      <c r="E86" t="str">
        <v/>
      </c>
      <c r="F86" s="158" t="str">
        <f t="shared" si="3"/>
        <v/>
      </c>
    </row>
    <row r="87" spans="3:6">
      <c r="C87" t="str">
        <v/>
      </c>
      <c r="E87" t="str">
        <v/>
      </c>
      <c r="F87" s="158" t="str">
        <f t="shared" si="3"/>
        <v/>
      </c>
    </row>
    <row r="88" spans="3:6">
      <c r="C88" t="str">
        <v/>
      </c>
      <c r="E88" t="str">
        <v/>
      </c>
      <c r="F88" s="158" t="str">
        <f t="shared" si="3"/>
        <v/>
      </c>
    </row>
    <row r="89" spans="3:6">
      <c r="C89" t="str">
        <v/>
      </c>
      <c r="E89" t="str">
        <v/>
      </c>
      <c r="F89" s="158" t="str">
        <f t="shared" si="3"/>
        <v/>
      </c>
    </row>
    <row r="90" spans="3:6">
      <c r="C90" t="str">
        <v/>
      </c>
      <c r="E90" t="str">
        <v/>
      </c>
      <c r="F90" s="158" t="str">
        <f t="shared" si="3"/>
        <v/>
      </c>
    </row>
    <row r="91" spans="3:6">
      <c r="C91" t="str">
        <v/>
      </c>
      <c r="E91" t="str">
        <v/>
      </c>
      <c r="F91" s="158" t="str">
        <f t="shared" si="3"/>
        <v/>
      </c>
    </row>
    <row r="92" spans="3:6">
      <c r="C92" t="str">
        <v/>
      </c>
      <c r="E92" t="str">
        <v/>
      </c>
      <c r="F92" s="158" t="str">
        <f t="shared" si="3"/>
        <v/>
      </c>
    </row>
    <row r="93" spans="3:6">
      <c r="C93" t="str">
        <v/>
      </c>
      <c r="E93" t="str">
        <v/>
      </c>
      <c r="F93" s="158" t="str">
        <f t="shared" si="3"/>
        <v/>
      </c>
    </row>
    <row r="94" spans="3:6">
      <c r="C94" t="str">
        <v/>
      </c>
      <c r="E94" t="str">
        <v/>
      </c>
      <c r="F94" s="158" t="str">
        <f t="shared" si="3"/>
        <v/>
      </c>
    </row>
    <row r="95" spans="3:6">
      <c r="C95" t="str">
        <v/>
      </c>
      <c r="E95" t="str">
        <v/>
      </c>
      <c r="F95" s="158" t="str">
        <f t="shared" si="3"/>
        <v/>
      </c>
    </row>
    <row r="96" spans="3:6">
      <c r="C96" t="str">
        <v/>
      </c>
      <c r="E96" t="str">
        <v/>
      </c>
      <c r="F96" s="158" t="str">
        <f t="shared" si="3"/>
        <v/>
      </c>
    </row>
    <row r="97" spans="3:6">
      <c r="C97" t="str">
        <v/>
      </c>
      <c r="E97" t="str">
        <v/>
      </c>
      <c r="F97" s="158" t="str">
        <f t="shared" si="3"/>
        <v/>
      </c>
    </row>
    <row r="98" spans="3:6">
      <c r="C98" t="str">
        <v/>
      </c>
      <c r="E98" t="str">
        <v/>
      </c>
      <c r="F98" s="158" t="str">
        <f t="shared" si="3"/>
        <v/>
      </c>
    </row>
    <row r="99" spans="3:6">
      <c r="C99" t="str">
        <v/>
      </c>
      <c r="E99" t="str">
        <v/>
      </c>
      <c r="F99" s="158" t="str">
        <f t="shared" ref="F99:F162" si="4">IFERROR(VLOOKUP(E99,listitems,2,0),"")</f>
        <v/>
      </c>
    </row>
    <row r="100" spans="3:6">
      <c r="C100" t="str">
        <v/>
      </c>
      <c r="E100" t="str">
        <v/>
      </c>
      <c r="F100" s="158" t="str">
        <f t="shared" si="4"/>
        <v/>
      </c>
    </row>
    <row r="101" spans="3:6">
      <c r="C101" t="str">
        <v/>
      </c>
      <c r="E101" t="str">
        <v/>
      </c>
      <c r="F101" s="158" t="str">
        <f t="shared" si="4"/>
        <v/>
      </c>
    </row>
    <row r="102" spans="3:6">
      <c r="C102" t="str">
        <v/>
      </c>
      <c r="E102" t="str">
        <v/>
      </c>
      <c r="F102" s="158" t="str">
        <f t="shared" si="4"/>
        <v/>
      </c>
    </row>
    <row r="103" spans="3:6">
      <c r="C103" t="str">
        <v/>
      </c>
      <c r="E103" t="str">
        <v/>
      </c>
      <c r="F103" s="158" t="str">
        <f t="shared" si="4"/>
        <v/>
      </c>
    </row>
    <row r="104" spans="3:6">
      <c r="C104" t="str">
        <v/>
      </c>
      <c r="E104" t="str">
        <v/>
      </c>
      <c r="F104" s="158" t="str">
        <f t="shared" si="4"/>
        <v/>
      </c>
    </row>
    <row r="105" spans="3:6">
      <c r="C105" t="str">
        <v/>
      </c>
      <c r="E105" t="str">
        <v/>
      </c>
      <c r="F105" s="158" t="str">
        <f t="shared" si="4"/>
        <v/>
      </c>
    </row>
    <row r="106" spans="3:6">
      <c r="C106" t="str">
        <v/>
      </c>
      <c r="E106" t="str">
        <v/>
      </c>
      <c r="F106" s="158" t="str">
        <f t="shared" si="4"/>
        <v/>
      </c>
    </row>
    <row r="107" spans="3:6">
      <c r="C107" t="str">
        <v/>
      </c>
      <c r="E107" t="str">
        <v/>
      </c>
      <c r="F107" s="158" t="str">
        <f t="shared" si="4"/>
        <v/>
      </c>
    </row>
    <row r="108" spans="3:6">
      <c r="C108" t="str">
        <v/>
      </c>
      <c r="E108" t="str">
        <v/>
      </c>
      <c r="F108" s="158" t="str">
        <f t="shared" si="4"/>
        <v/>
      </c>
    </row>
    <row r="109" spans="3:6">
      <c r="C109" t="str">
        <v/>
      </c>
      <c r="E109" t="str">
        <v/>
      </c>
      <c r="F109" s="158" t="str">
        <f t="shared" si="4"/>
        <v/>
      </c>
    </row>
    <row r="110" spans="3:6">
      <c r="C110" t="str">
        <v/>
      </c>
      <c r="E110" t="str">
        <v/>
      </c>
      <c r="F110" s="158" t="str">
        <f t="shared" si="4"/>
        <v/>
      </c>
    </row>
    <row r="111" spans="3:6">
      <c r="C111" t="str">
        <v/>
      </c>
      <c r="E111" t="str">
        <v/>
      </c>
      <c r="F111" s="158" t="str">
        <f t="shared" si="4"/>
        <v/>
      </c>
    </row>
    <row r="112" spans="3:6">
      <c r="C112" t="str">
        <v/>
      </c>
      <c r="E112" t="str">
        <v/>
      </c>
      <c r="F112" s="158" t="str">
        <f t="shared" si="4"/>
        <v/>
      </c>
    </row>
    <row r="113" spans="3:6">
      <c r="C113" t="str">
        <v/>
      </c>
      <c r="E113" t="str">
        <v/>
      </c>
      <c r="F113" s="158" t="str">
        <f t="shared" si="4"/>
        <v/>
      </c>
    </row>
    <row r="114" spans="3:6">
      <c r="C114" t="str">
        <v/>
      </c>
      <c r="E114" t="str">
        <v/>
      </c>
      <c r="F114" s="158" t="str">
        <f t="shared" si="4"/>
        <v/>
      </c>
    </row>
    <row r="115" spans="3:6">
      <c r="C115" t="str">
        <v/>
      </c>
      <c r="E115" t="str">
        <v/>
      </c>
      <c r="F115" s="158" t="str">
        <f t="shared" si="4"/>
        <v/>
      </c>
    </row>
    <row r="116" spans="3:6">
      <c r="C116" t="str">
        <v/>
      </c>
      <c r="E116" t="str">
        <v/>
      </c>
      <c r="F116" s="158" t="str">
        <f t="shared" si="4"/>
        <v/>
      </c>
    </row>
    <row r="117" spans="3:6">
      <c r="C117" t="str">
        <v/>
      </c>
      <c r="E117" t="str">
        <v/>
      </c>
      <c r="F117" s="158" t="str">
        <f t="shared" si="4"/>
        <v/>
      </c>
    </row>
    <row r="118" spans="3:6">
      <c r="C118" t="str">
        <v/>
      </c>
      <c r="E118" t="str">
        <v/>
      </c>
      <c r="F118" s="158" t="str">
        <f t="shared" si="4"/>
        <v/>
      </c>
    </row>
    <row r="119" spans="3:6">
      <c r="C119" t="str">
        <v/>
      </c>
      <c r="E119" t="str">
        <v/>
      </c>
      <c r="F119" s="158" t="str">
        <f t="shared" si="4"/>
        <v/>
      </c>
    </row>
    <row r="120" spans="3:6">
      <c r="C120" t="str">
        <v/>
      </c>
      <c r="E120" t="str">
        <v/>
      </c>
      <c r="F120" s="158" t="str">
        <f t="shared" si="4"/>
        <v/>
      </c>
    </row>
    <row r="121" spans="3:6">
      <c r="C121" t="str">
        <v/>
      </c>
      <c r="E121" t="str">
        <v/>
      </c>
      <c r="F121" s="158" t="str">
        <f t="shared" si="4"/>
        <v/>
      </c>
    </row>
    <row r="122" spans="3:6">
      <c r="C122" t="str">
        <v/>
      </c>
      <c r="E122" t="str">
        <v/>
      </c>
      <c r="F122" s="158" t="str">
        <f t="shared" si="4"/>
        <v/>
      </c>
    </row>
    <row r="123" spans="3:6">
      <c r="C123" t="str">
        <v/>
      </c>
      <c r="E123" t="str">
        <v/>
      </c>
      <c r="F123" s="158" t="str">
        <f t="shared" si="4"/>
        <v/>
      </c>
    </row>
    <row r="124" spans="3:6">
      <c r="C124" t="str">
        <v/>
      </c>
      <c r="E124" t="str">
        <v/>
      </c>
      <c r="F124" s="158" t="str">
        <f t="shared" si="4"/>
        <v/>
      </c>
    </row>
    <row r="125" spans="3:6">
      <c r="C125" t="str">
        <v/>
      </c>
      <c r="E125" t="str">
        <v/>
      </c>
      <c r="F125" s="158" t="str">
        <f t="shared" si="4"/>
        <v/>
      </c>
    </row>
    <row r="126" spans="3:6">
      <c r="C126" t="str">
        <v/>
      </c>
      <c r="E126" t="str">
        <v/>
      </c>
      <c r="F126" s="158" t="str">
        <f t="shared" si="4"/>
        <v/>
      </c>
    </row>
    <row r="127" spans="3:6">
      <c r="C127" t="str">
        <v/>
      </c>
      <c r="E127" t="str">
        <v/>
      </c>
      <c r="F127" s="158" t="str">
        <f t="shared" si="4"/>
        <v/>
      </c>
    </row>
    <row r="128" spans="3:6">
      <c r="C128" t="str">
        <v/>
      </c>
      <c r="E128" t="str">
        <v/>
      </c>
      <c r="F128" s="158" t="str">
        <f t="shared" si="4"/>
        <v/>
      </c>
    </row>
    <row r="129" spans="3:6">
      <c r="C129" t="str">
        <v/>
      </c>
      <c r="E129" t="str">
        <v/>
      </c>
      <c r="F129" s="158" t="str">
        <f t="shared" si="4"/>
        <v/>
      </c>
    </row>
    <row r="130" spans="3:6">
      <c r="C130" t="str">
        <v/>
      </c>
      <c r="E130" t="str">
        <v/>
      </c>
      <c r="F130" s="158" t="str">
        <f t="shared" si="4"/>
        <v/>
      </c>
    </row>
    <row r="131" spans="3:6">
      <c r="C131" t="str">
        <v/>
      </c>
      <c r="E131" t="str">
        <v/>
      </c>
      <c r="F131" s="158" t="str">
        <f t="shared" si="4"/>
        <v/>
      </c>
    </row>
    <row r="132" spans="3:6">
      <c r="C132" t="str">
        <v/>
      </c>
      <c r="E132" t="str">
        <v/>
      </c>
      <c r="F132" s="158" t="str">
        <f t="shared" si="4"/>
        <v/>
      </c>
    </row>
    <row r="133" spans="3:6">
      <c r="C133" t="str">
        <v/>
      </c>
      <c r="E133" t="str">
        <v/>
      </c>
      <c r="F133" s="158" t="str">
        <f t="shared" si="4"/>
        <v/>
      </c>
    </row>
    <row r="134" spans="3:6">
      <c r="C134" t="str">
        <v/>
      </c>
      <c r="E134" t="str">
        <v/>
      </c>
      <c r="F134" s="158" t="str">
        <f t="shared" si="4"/>
        <v/>
      </c>
    </row>
    <row r="135" spans="3:6">
      <c r="C135" t="str">
        <v/>
      </c>
      <c r="E135" t="str">
        <v/>
      </c>
      <c r="F135" s="158" t="str">
        <f t="shared" si="4"/>
        <v/>
      </c>
    </row>
    <row r="136" spans="3:6">
      <c r="C136" t="str">
        <v/>
      </c>
      <c r="E136" t="str">
        <v/>
      </c>
      <c r="F136" s="158" t="str">
        <f t="shared" si="4"/>
        <v/>
      </c>
    </row>
    <row r="137" spans="3:6">
      <c r="C137" t="str">
        <v/>
      </c>
      <c r="E137" t="str">
        <v/>
      </c>
      <c r="F137" s="158" t="str">
        <f t="shared" si="4"/>
        <v/>
      </c>
    </row>
    <row r="138" spans="3:6">
      <c r="C138" t="str">
        <v/>
      </c>
      <c r="E138" t="str">
        <v/>
      </c>
      <c r="F138" s="158" t="str">
        <f t="shared" si="4"/>
        <v/>
      </c>
    </row>
    <row r="139" spans="3:6">
      <c r="C139" t="str">
        <v/>
      </c>
      <c r="E139" t="str">
        <v/>
      </c>
      <c r="F139" s="158" t="str">
        <f t="shared" si="4"/>
        <v/>
      </c>
    </row>
    <row r="140" spans="3:6">
      <c r="C140" t="str">
        <v/>
      </c>
      <c r="E140" t="str">
        <v/>
      </c>
      <c r="F140" s="158" t="str">
        <f t="shared" si="4"/>
        <v/>
      </c>
    </row>
    <row r="141" spans="3:6">
      <c r="C141" t="str">
        <v/>
      </c>
      <c r="E141" t="str">
        <v/>
      </c>
      <c r="F141" s="158" t="str">
        <f t="shared" si="4"/>
        <v/>
      </c>
    </row>
    <row r="142" spans="3:6">
      <c r="C142" t="str">
        <v/>
      </c>
      <c r="E142" t="str">
        <v/>
      </c>
      <c r="F142" s="158" t="str">
        <f t="shared" si="4"/>
        <v/>
      </c>
    </row>
    <row r="143" spans="3:6">
      <c r="C143" t="str">
        <v/>
      </c>
      <c r="E143" t="str">
        <v/>
      </c>
      <c r="F143" s="158" t="str">
        <f t="shared" si="4"/>
        <v/>
      </c>
    </row>
    <row r="144" spans="3:6">
      <c r="C144" t="str">
        <v/>
      </c>
      <c r="E144" t="str">
        <v/>
      </c>
      <c r="F144" s="158" t="str">
        <f t="shared" si="4"/>
        <v/>
      </c>
    </row>
    <row r="145" spans="3:6">
      <c r="C145" t="str">
        <v/>
      </c>
      <c r="E145" t="str">
        <v/>
      </c>
      <c r="F145" s="158" t="str">
        <f t="shared" si="4"/>
        <v/>
      </c>
    </row>
    <row r="146" spans="3:6">
      <c r="C146" t="str">
        <v/>
      </c>
      <c r="E146" t="str">
        <v/>
      </c>
      <c r="F146" s="158" t="str">
        <f t="shared" si="4"/>
        <v/>
      </c>
    </row>
    <row r="147" spans="3:6">
      <c r="C147" t="str">
        <v/>
      </c>
      <c r="E147" t="str">
        <v/>
      </c>
      <c r="F147" s="158" t="str">
        <f t="shared" si="4"/>
        <v/>
      </c>
    </row>
    <row r="148" spans="3:6">
      <c r="C148" t="str">
        <v/>
      </c>
      <c r="E148" t="str">
        <v/>
      </c>
      <c r="F148" s="158" t="str">
        <f t="shared" si="4"/>
        <v/>
      </c>
    </row>
    <row r="149" spans="3:6">
      <c r="C149" t="str">
        <v/>
      </c>
      <c r="E149" t="str">
        <v/>
      </c>
      <c r="F149" s="158" t="str">
        <f t="shared" si="4"/>
        <v/>
      </c>
    </row>
    <row r="150" spans="3:6">
      <c r="C150" t="str">
        <v/>
      </c>
      <c r="E150" t="str">
        <v/>
      </c>
      <c r="F150" s="158" t="str">
        <f t="shared" si="4"/>
        <v/>
      </c>
    </row>
    <row r="151" spans="3:6">
      <c r="C151" t="str">
        <v/>
      </c>
      <c r="E151" t="str">
        <v/>
      </c>
      <c r="F151" s="158" t="str">
        <f t="shared" si="4"/>
        <v/>
      </c>
    </row>
    <row r="152" spans="3:6">
      <c r="C152" t="str">
        <v/>
      </c>
      <c r="E152" t="str">
        <v/>
      </c>
      <c r="F152" s="158" t="str">
        <f t="shared" si="4"/>
        <v/>
      </c>
    </row>
    <row r="153" spans="3:6">
      <c r="C153" t="str">
        <v/>
      </c>
      <c r="E153" t="str">
        <v/>
      </c>
      <c r="F153" s="158" t="str">
        <f t="shared" si="4"/>
        <v/>
      </c>
    </row>
    <row r="154" spans="3:6">
      <c r="C154" t="str">
        <v/>
      </c>
      <c r="E154" t="str">
        <v/>
      </c>
      <c r="F154" s="158" t="str">
        <f t="shared" si="4"/>
        <v/>
      </c>
    </row>
    <row r="155" spans="3:6">
      <c r="C155" t="str">
        <v/>
      </c>
      <c r="E155" t="str">
        <v/>
      </c>
      <c r="F155" s="158" t="str">
        <f t="shared" si="4"/>
        <v/>
      </c>
    </row>
    <row r="156" spans="3:6">
      <c r="C156" t="str">
        <v/>
      </c>
      <c r="E156" t="str">
        <v/>
      </c>
      <c r="F156" s="158" t="str">
        <f t="shared" si="4"/>
        <v/>
      </c>
    </row>
    <row r="157" spans="3:6">
      <c r="C157" t="str">
        <v/>
      </c>
      <c r="E157" t="str">
        <v/>
      </c>
      <c r="F157" s="158" t="str">
        <f t="shared" si="4"/>
        <v/>
      </c>
    </row>
    <row r="158" spans="3:6">
      <c r="C158" t="str">
        <v/>
      </c>
      <c r="E158" t="str">
        <v/>
      </c>
      <c r="F158" s="158" t="str">
        <f t="shared" si="4"/>
        <v/>
      </c>
    </row>
    <row r="159" spans="3:6">
      <c r="C159" t="str">
        <v/>
      </c>
      <c r="E159" t="str">
        <v/>
      </c>
      <c r="F159" s="158" t="str">
        <f t="shared" si="4"/>
        <v/>
      </c>
    </row>
    <row r="160" spans="3:6">
      <c r="C160" t="str">
        <v/>
      </c>
      <c r="E160" t="str">
        <v/>
      </c>
      <c r="F160" s="158" t="str">
        <f t="shared" si="4"/>
        <v/>
      </c>
    </row>
    <row r="161" spans="3:6">
      <c r="C161" t="str">
        <v/>
      </c>
      <c r="E161" t="str">
        <v/>
      </c>
      <c r="F161" s="158" t="str">
        <f t="shared" si="4"/>
        <v/>
      </c>
    </row>
    <row r="162" spans="3:6">
      <c r="C162" t="str">
        <v/>
      </c>
      <c r="E162" t="str">
        <v/>
      </c>
      <c r="F162" s="158" t="str">
        <f t="shared" si="4"/>
        <v/>
      </c>
    </row>
    <row r="163" spans="3:6">
      <c r="C163" t="str">
        <v/>
      </c>
      <c r="E163" t="str">
        <v/>
      </c>
      <c r="F163" s="158" t="str">
        <f t="shared" ref="F163:F221" si="5">IFERROR(VLOOKUP(E163,listitems,2,0),"")</f>
        <v/>
      </c>
    </row>
    <row r="164" spans="3:6">
      <c r="C164" t="str">
        <v/>
      </c>
      <c r="E164" t="str">
        <v/>
      </c>
      <c r="F164" s="158" t="str">
        <f t="shared" si="5"/>
        <v/>
      </c>
    </row>
    <row r="165" spans="3:6">
      <c r="C165" t="str">
        <v/>
      </c>
      <c r="E165" t="str">
        <v/>
      </c>
      <c r="F165" s="158" t="str">
        <f t="shared" si="5"/>
        <v/>
      </c>
    </row>
    <row r="166" spans="3:6">
      <c r="C166" t="str">
        <v/>
      </c>
      <c r="E166" t="str">
        <v/>
      </c>
      <c r="F166" s="158" t="str">
        <f t="shared" si="5"/>
        <v/>
      </c>
    </row>
    <row r="167" spans="3:6">
      <c r="C167" t="str">
        <v/>
      </c>
      <c r="E167" t="str">
        <v/>
      </c>
      <c r="F167" s="158" t="str">
        <f t="shared" si="5"/>
        <v/>
      </c>
    </row>
    <row r="168" spans="3:6">
      <c r="C168" t="str">
        <v/>
      </c>
      <c r="E168" t="str">
        <v/>
      </c>
      <c r="F168" s="158" t="str">
        <f t="shared" si="5"/>
        <v/>
      </c>
    </row>
    <row r="169" spans="3:6">
      <c r="C169" t="str">
        <v/>
      </c>
      <c r="E169" t="str">
        <v/>
      </c>
      <c r="F169" s="158" t="str">
        <f t="shared" si="5"/>
        <v/>
      </c>
    </row>
    <row r="170" spans="3:6">
      <c r="C170" t="str">
        <v/>
      </c>
      <c r="E170" t="str">
        <v/>
      </c>
      <c r="F170" s="158" t="str">
        <f t="shared" si="5"/>
        <v/>
      </c>
    </row>
    <row r="171" spans="3:6">
      <c r="C171" t="str">
        <v/>
      </c>
      <c r="E171" t="str">
        <v/>
      </c>
      <c r="F171" s="158" t="str">
        <f t="shared" si="5"/>
        <v/>
      </c>
    </row>
    <row r="172" spans="3:6">
      <c r="C172" t="str">
        <v/>
      </c>
      <c r="E172" t="str">
        <v/>
      </c>
      <c r="F172" s="158" t="str">
        <f t="shared" si="5"/>
        <v/>
      </c>
    </row>
    <row r="173" spans="3:6">
      <c r="C173" t="str">
        <v/>
      </c>
      <c r="E173" t="str">
        <v/>
      </c>
      <c r="F173" s="158" t="str">
        <f t="shared" si="5"/>
        <v/>
      </c>
    </row>
    <row r="174" spans="3:6">
      <c r="C174" t="str">
        <v/>
      </c>
      <c r="E174" t="str">
        <v/>
      </c>
      <c r="F174" s="158" t="str">
        <f t="shared" si="5"/>
        <v/>
      </c>
    </row>
    <row r="175" spans="3:6">
      <c r="C175" t="str">
        <v/>
      </c>
      <c r="E175" t="str">
        <v/>
      </c>
      <c r="F175" s="158" t="str">
        <f t="shared" si="5"/>
        <v/>
      </c>
    </row>
    <row r="176" spans="3:6">
      <c r="C176" t="str">
        <v/>
      </c>
      <c r="E176" t="str">
        <v/>
      </c>
      <c r="F176" s="158" t="str">
        <f t="shared" si="5"/>
        <v/>
      </c>
    </row>
    <row r="177" spans="3:6">
      <c r="C177" t="str">
        <v/>
      </c>
      <c r="E177" t="str">
        <v/>
      </c>
      <c r="F177" s="158" t="str">
        <f t="shared" si="5"/>
        <v/>
      </c>
    </row>
    <row r="178" spans="3:6">
      <c r="C178" t="str">
        <v/>
      </c>
      <c r="E178" t="str">
        <v/>
      </c>
      <c r="F178" s="158" t="str">
        <f t="shared" si="5"/>
        <v/>
      </c>
    </row>
    <row r="179" spans="3:6">
      <c r="C179" t="str">
        <v/>
      </c>
      <c r="E179" t="str">
        <v/>
      </c>
      <c r="F179" s="158" t="str">
        <f t="shared" si="5"/>
        <v/>
      </c>
    </row>
    <row r="180" spans="3:6">
      <c r="C180" t="str">
        <v/>
      </c>
      <c r="E180" t="str">
        <v/>
      </c>
      <c r="F180" s="158" t="str">
        <f t="shared" si="5"/>
        <v/>
      </c>
    </row>
    <row r="181" spans="3:6">
      <c r="C181" t="str">
        <v/>
      </c>
      <c r="E181" t="str">
        <v/>
      </c>
      <c r="F181" s="158" t="str">
        <f t="shared" si="5"/>
        <v/>
      </c>
    </row>
    <row r="182" spans="3:6">
      <c r="C182" t="str">
        <v/>
      </c>
      <c r="E182" t="str">
        <v/>
      </c>
      <c r="F182" s="158" t="str">
        <f t="shared" si="5"/>
        <v/>
      </c>
    </row>
    <row r="183" spans="3:6">
      <c r="C183" t="str">
        <v/>
      </c>
      <c r="E183" t="str">
        <v/>
      </c>
      <c r="F183" s="158" t="str">
        <f t="shared" si="5"/>
        <v/>
      </c>
    </row>
    <row r="184" spans="3:6">
      <c r="C184" t="str">
        <v/>
      </c>
      <c r="E184" t="str">
        <v/>
      </c>
      <c r="F184" s="158" t="str">
        <f t="shared" si="5"/>
        <v/>
      </c>
    </row>
    <row r="185" spans="3:6">
      <c r="C185" t="str">
        <v/>
      </c>
      <c r="E185" t="str">
        <v/>
      </c>
      <c r="F185" s="158" t="str">
        <f t="shared" si="5"/>
        <v/>
      </c>
    </row>
    <row r="186" spans="3:6">
      <c r="C186" t="str">
        <v/>
      </c>
      <c r="E186" t="str">
        <v/>
      </c>
      <c r="F186" s="158" t="str">
        <f t="shared" si="5"/>
        <v/>
      </c>
    </row>
    <row r="187" spans="3:6">
      <c r="C187" t="str">
        <v/>
      </c>
      <c r="E187" t="str">
        <v/>
      </c>
      <c r="F187" s="158" t="str">
        <f t="shared" si="5"/>
        <v/>
      </c>
    </row>
    <row r="188" spans="3:6">
      <c r="C188" t="str">
        <v/>
      </c>
      <c r="E188" t="str">
        <v/>
      </c>
      <c r="F188" s="158" t="str">
        <f t="shared" si="5"/>
        <v/>
      </c>
    </row>
    <row r="189" spans="3:6">
      <c r="C189" t="str">
        <v/>
      </c>
      <c r="E189" t="str">
        <v/>
      </c>
      <c r="F189" s="158" t="str">
        <f t="shared" si="5"/>
        <v/>
      </c>
    </row>
    <row r="190" spans="3:6">
      <c r="C190" t="str">
        <v/>
      </c>
      <c r="E190" t="str">
        <v/>
      </c>
      <c r="F190" s="158" t="str">
        <f t="shared" si="5"/>
        <v/>
      </c>
    </row>
    <row r="191" spans="3:6">
      <c r="C191" t="str">
        <v/>
      </c>
      <c r="E191" t="str">
        <v/>
      </c>
      <c r="F191" s="158" t="str">
        <f t="shared" si="5"/>
        <v/>
      </c>
    </row>
    <row r="192" spans="3:6">
      <c r="C192" t="str">
        <v/>
      </c>
      <c r="E192" t="str">
        <v/>
      </c>
      <c r="F192" s="158" t="str">
        <f t="shared" si="5"/>
        <v/>
      </c>
    </row>
    <row r="193" spans="3:6">
      <c r="C193" t="str">
        <v/>
      </c>
      <c r="E193" t="str">
        <v/>
      </c>
      <c r="F193" s="158" t="str">
        <f t="shared" si="5"/>
        <v/>
      </c>
    </row>
    <row r="194" spans="3:6">
      <c r="C194" t="str">
        <v/>
      </c>
      <c r="E194" t="str">
        <v/>
      </c>
      <c r="F194" s="158" t="str">
        <f t="shared" si="5"/>
        <v/>
      </c>
    </row>
    <row r="195" spans="3:6">
      <c r="C195" t="str">
        <v/>
      </c>
      <c r="E195" t="str">
        <v/>
      </c>
      <c r="F195" s="158" t="str">
        <f t="shared" si="5"/>
        <v/>
      </c>
    </row>
    <row r="196" spans="3:6">
      <c r="C196" t="str">
        <v/>
      </c>
      <c r="E196" t="str">
        <v/>
      </c>
      <c r="F196" s="158" t="str">
        <f t="shared" si="5"/>
        <v/>
      </c>
    </row>
    <row r="197" spans="3:6">
      <c r="C197" t="str">
        <v/>
      </c>
      <c r="E197" t="str">
        <v/>
      </c>
      <c r="F197" s="158" t="str">
        <f t="shared" si="5"/>
        <v/>
      </c>
    </row>
    <row r="198" spans="3:6">
      <c r="C198" t="str">
        <v/>
      </c>
      <c r="E198" t="str">
        <v/>
      </c>
      <c r="F198" s="158" t="str">
        <f t="shared" si="5"/>
        <v/>
      </c>
    </row>
    <row r="199" spans="3:6">
      <c r="C199" t="str">
        <v/>
      </c>
      <c r="E199" t="str">
        <v/>
      </c>
      <c r="F199" s="158" t="str">
        <f t="shared" si="5"/>
        <v/>
      </c>
    </row>
    <row r="200" spans="3:6">
      <c r="C200" t="str">
        <v/>
      </c>
      <c r="E200" t="str">
        <v/>
      </c>
      <c r="F200" s="158" t="str">
        <f t="shared" si="5"/>
        <v/>
      </c>
    </row>
    <row r="201" spans="3:6">
      <c r="C201" t="str">
        <v/>
      </c>
      <c r="E201" t="str">
        <v/>
      </c>
      <c r="F201" s="158" t="str">
        <f t="shared" si="5"/>
        <v/>
      </c>
    </row>
    <row r="202" spans="3:6">
      <c r="C202" t="str">
        <v/>
      </c>
      <c r="E202" t="str">
        <v/>
      </c>
      <c r="F202" s="158" t="str">
        <f t="shared" si="5"/>
        <v/>
      </c>
    </row>
    <row r="203" spans="3:6">
      <c r="C203" t="str">
        <v/>
      </c>
      <c r="E203" t="str">
        <v/>
      </c>
      <c r="F203" s="158" t="str">
        <f t="shared" si="5"/>
        <v/>
      </c>
    </row>
    <row r="204" spans="3:6">
      <c r="C204" t="str">
        <v/>
      </c>
      <c r="E204" t="str">
        <v/>
      </c>
      <c r="F204" s="158" t="str">
        <f t="shared" si="5"/>
        <v/>
      </c>
    </row>
    <row r="205" spans="3:6">
      <c r="C205" t="str">
        <v/>
      </c>
      <c r="E205" t="str">
        <v/>
      </c>
      <c r="F205" s="158" t="str">
        <f t="shared" si="5"/>
        <v/>
      </c>
    </row>
    <row r="206" spans="3:6">
      <c r="C206" t="str">
        <v/>
      </c>
      <c r="E206" t="str">
        <v/>
      </c>
      <c r="F206" s="158" t="str">
        <f t="shared" si="5"/>
        <v/>
      </c>
    </row>
    <row r="207" spans="3:6">
      <c r="C207" t="str">
        <v/>
      </c>
      <c r="E207" t="str">
        <v/>
      </c>
      <c r="F207" s="158" t="str">
        <f t="shared" si="5"/>
        <v/>
      </c>
    </row>
    <row r="208" spans="3:6">
      <c r="C208" t="str">
        <v/>
      </c>
      <c r="E208" t="str">
        <v/>
      </c>
      <c r="F208" s="158" t="str">
        <f t="shared" si="5"/>
        <v/>
      </c>
    </row>
    <row r="209" spans="3:6">
      <c r="C209" t="str">
        <v/>
      </c>
      <c r="E209" t="str">
        <v/>
      </c>
      <c r="F209" s="158" t="str">
        <f t="shared" si="5"/>
        <v/>
      </c>
    </row>
    <row r="210" spans="3:6">
      <c r="C210" t="str">
        <v/>
      </c>
      <c r="E210" t="str">
        <v/>
      </c>
      <c r="F210" s="158" t="str">
        <f t="shared" si="5"/>
        <v/>
      </c>
    </row>
    <row r="211" spans="3:6">
      <c r="C211" t="str">
        <v/>
      </c>
      <c r="E211" t="str">
        <v/>
      </c>
      <c r="F211" s="158" t="str">
        <f t="shared" si="5"/>
        <v/>
      </c>
    </row>
    <row r="212" spans="3:6">
      <c r="C212" t="str">
        <v/>
      </c>
      <c r="E212" t="str">
        <v/>
      </c>
      <c r="F212" s="158" t="str">
        <f t="shared" si="5"/>
        <v/>
      </c>
    </row>
    <row r="213" spans="3:6">
      <c r="C213" t="str">
        <v/>
      </c>
      <c r="E213" t="str">
        <v/>
      </c>
      <c r="F213" s="158" t="str">
        <f t="shared" si="5"/>
        <v/>
      </c>
    </row>
    <row r="214" spans="3:6">
      <c r="C214" t="str">
        <v/>
      </c>
      <c r="E214" t="str">
        <v/>
      </c>
      <c r="F214" s="158" t="str">
        <f t="shared" si="5"/>
        <v/>
      </c>
    </row>
    <row r="215" spans="3:6">
      <c r="C215" t="str">
        <v/>
      </c>
      <c r="E215" t="str">
        <v/>
      </c>
      <c r="F215" s="158" t="str">
        <f t="shared" si="5"/>
        <v/>
      </c>
    </row>
    <row r="216" spans="3:6">
      <c r="C216" t="str">
        <v/>
      </c>
      <c r="E216" t="str">
        <v/>
      </c>
      <c r="F216" s="158" t="str">
        <f t="shared" si="5"/>
        <v/>
      </c>
    </row>
    <row r="217" spans="3:6">
      <c r="C217" t="str">
        <v/>
      </c>
      <c r="E217" t="str">
        <v/>
      </c>
      <c r="F217" s="158" t="str">
        <f t="shared" si="5"/>
        <v/>
      </c>
    </row>
    <row r="218" spans="3:6">
      <c r="C218" t="str">
        <v/>
      </c>
      <c r="E218" t="str">
        <v/>
      </c>
      <c r="F218" s="158" t="str">
        <f t="shared" si="5"/>
        <v/>
      </c>
    </row>
    <row r="219" spans="3:6">
      <c r="C219" t="str">
        <v/>
      </c>
      <c r="E219" t="str">
        <v/>
      </c>
      <c r="F219" s="158" t="str">
        <f t="shared" si="5"/>
        <v/>
      </c>
    </row>
    <row r="220" spans="3:6">
      <c r="C220" t="str">
        <v/>
      </c>
      <c r="E220" t="str">
        <v/>
      </c>
      <c r="F220" s="158" t="str">
        <f t="shared" si="5"/>
        <v/>
      </c>
    </row>
    <row r="221" spans="3:6">
      <c r="C221" t="str">
        <v/>
      </c>
      <c r="E221" t="str">
        <v/>
      </c>
      <c r="F221" s="158" t="str">
        <f t="shared" si="5"/>
        <v/>
      </c>
    </row>
    <row r="222" spans="3:6">
      <c r="C222" t="str">
        <v/>
      </c>
      <c r="E222" t="str">
        <v/>
      </c>
    </row>
    <row r="223" spans="3:6">
      <c r="C223" t="str">
        <v/>
      </c>
      <c r="E223" t="str">
        <v/>
      </c>
    </row>
    <row r="224" spans="3:6">
      <c r="C224" t="str">
        <v/>
      </c>
      <c r="E224" t="str">
        <v/>
      </c>
    </row>
    <row r="225" spans="3:5">
      <c r="C225" t="str">
        <v/>
      </c>
      <c r="E225" t="str">
        <v/>
      </c>
    </row>
    <row r="226" spans="3:5">
      <c r="C226" t="str">
        <v/>
      </c>
      <c r="E226" t="str">
        <v/>
      </c>
    </row>
    <row r="227" spans="3:5">
      <c r="C227" t="str">
        <v/>
      </c>
      <c r="E227" t="str">
        <v/>
      </c>
    </row>
    <row r="228" spans="3:5">
      <c r="C228" t="str">
        <v/>
      </c>
      <c r="E228" t="str">
        <v/>
      </c>
    </row>
    <row r="229" spans="3:5">
      <c r="C229" t="str">
        <v/>
      </c>
      <c r="E229" t="str">
        <v/>
      </c>
    </row>
    <row r="230" spans="3:5">
      <c r="C230" t="str">
        <v/>
      </c>
      <c r="E230" t="str">
        <v/>
      </c>
    </row>
    <row r="231" spans="3:5">
      <c r="C231" t="str">
        <v/>
      </c>
      <c r="E231" t="str">
        <v/>
      </c>
    </row>
    <row r="232" spans="3:5">
      <c r="C232" t="str">
        <v/>
      </c>
      <c r="E232" t="str">
        <v/>
      </c>
    </row>
    <row r="233" spans="3:5">
      <c r="C233" t="str">
        <v/>
      </c>
      <c r="E233" t="str">
        <v/>
      </c>
    </row>
    <row r="234" spans="3:5">
      <c r="C234" t="str">
        <v/>
      </c>
      <c r="E234" t="str">
        <v/>
      </c>
    </row>
    <row r="235" spans="3:5">
      <c r="C235" t="str">
        <v/>
      </c>
      <c r="E235" t="str">
        <v/>
      </c>
    </row>
    <row r="236" spans="3:5">
      <c r="C236" t="str">
        <v/>
      </c>
      <c r="E236" t="str">
        <v/>
      </c>
    </row>
    <row r="237" spans="3:5">
      <c r="C237" t="str">
        <v/>
      </c>
      <c r="E237" t="str">
        <v/>
      </c>
    </row>
    <row r="238" spans="3:5">
      <c r="C238" t="str">
        <v/>
      </c>
      <c r="E238" t="str">
        <v/>
      </c>
    </row>
    <row r="239" spans="3:5">
      <c r="C239" t="str">
        <v/>
      </c>
      <c r="E239" t="str">
        <v/>
      </c>
    </row>
    <row r="240" spans="3:5">
      <c r="C240" t="str">
        <v/>
      </c>
      <c r="E240" t="str">
        <v/>
      </c>
    </row>
    <row r="241" spans="3:5">
      <c r="C241" t="str">
        <v/>
      </c>
      <c r="E241" t="str">
        <v/>
      </c>
    </row>
    <row r="242" spans="3:5">
      <c r="C242" t="str">
        <v/>
      </c>
      <c r="E242" t="str">
        <v/>
      </c>
    </row>
    <row r="243" spans="3:5">
      <c r="C243" t="str">
        <v/>
      </c>
      <c r="E243" t="str">
        <v/>
      </c>
    </row>
    <row r="244" spans="3:5">
      <c r="C244" t="str">
        <v/>
      </c>
      <c r="E244" t="str">
        <v/>
      </c>
    </row>
    <row r="245" spans="3:5">
      <c r="C245" t="str">
        <v/>
      </c>
      <c r="E245" t="str">
        <v/>
      </c>
    </row>
    <row r="246" spans="3:5">
      <c r="C246" t="str">
        <v/>
      </c>
      <c r="E246" t="str">
        <v/>
      </c>
    </row>
    <row r="247" spans="3:5">
      <c r="C247" t="str">
        <v/>
      </c>
      <c r="E247" t="str">
        <v/>
      </c>
    </row>
    <row r="248" spans="3:5">
      <c r="C248" t="str">
        <v/>
      </c>
      <c r="E248" t="str">
        <v/>
      </c>
    </row>
    <row r="249" spans="3:5">
      <c r="C249" t="str">
        <v/>
      </c>
      <c r="E249" t="str">
        <v/>
      </c>
    </row>
    <row r="250" spans="3:5">
      <c r="C250" t="str">
        <v/>
      </c>
      <c r="E250" t="str">
        <v/>
      </c>
    </row>
    <row r="251" spans="3:5">
      <c r="C251" t="str">
        <v/>
      </c>
      <c r="E251" t="str">
        <v/>
      </c>
    </row>
    <row r="252" spans="3:5">
      <c r="C252" t="str">
        <v/>
      </c>
      <c r="E252" t="str">
        <v/>
      </c>
    </row>
    <row r="253" spans="3:5">
      <c r="C253" t="str">
        <v/>
      </c>
      <c r="E253" t="str">
        <v/>
      </c>
    </row>
    <row r="254" spans="3:5">
      <c r="C254" t="str">
        <v/>
      </c>
      <c r="E254" t="str">
        <v/>
      </c>
    </row>
    <row r="255" spans="3:5">
      <c r="C255" t="str">
        <v/>
      </c>
      <c r="E255" t="str">
        <v/>
      </c>
    </row>
    <row r="256" spans="3:5">
      <c r="C256" t="str">
        <v/>
      </c>
      <c r="E256" t="str">
        <v/>
      </c>
    </row>
    <row r="257" spans="3:5">
      <c r="C257" t="str">
        <v/>
      </c>
      <c r="E257" t="str">
        <v/>
      </c>
    </row>
    <row r="258" spans="3:5">
      <c r="C258" t="str">
        <v/>
      </c>
      <c r="E258" t="str">
        <v/>
      </c>
    </row>
    <row r="259" spans="3:5">
      <c r="C259" t="str">
        <v/>
      </c>
      <c r="E259" t="str">
        <v/>
      </c>
    </row>
    <row r="260" spans="3:5">
      <c r="C260" t="str">
        <v/>
      </c>
      <c r="E260" t="str">
        <v/>
      </c>
    </row>
    <row r="261" spans="3:5">
      <c r="C261" t="str">
        <v/>
      </c>
      <c r="E261" t="str">
        <v/>
      </c>
    </row>
    <row r="262" spans="3:5">
      <c r="C262" t="str">
        <v/>
      </c>
      <c r="E262" t="str">
        <v/>
      </c>
    </row>
    <row r="263" spans="3:5">
      <c r="C263" t="str">
        <v/>
      </c>
      <c r="E263" t="str">
        <v/>
      </c>
    </row>
    <row r="264" spans="3:5">
      <c r="C264" t="str">
        <v/>
      </c>
      <c r="E264" t="str">
        <v/>
      </c>
    </row>
    <row r="265" spans="3:5">
      <c r="C265" t="str">
        <v/>
      </c>
      <c r="E265" t="str">
        <v/>
      </c>
    </row>
    <row r="266" spans="3:5">
      <c r="C266" t="str">
        <v/>
      </c>
      <c r="E266" t="str">
        <v/>
      </c>
    </row>
    <row r="267" spans="3:5">
      <c r="C267" t="str">
        <v/>
      </c>
      <c r="E267" t="str">
        <v/>
      </c>
    </row>
    <row r="268" spans="3:5">
      <c r="C268" t="str">
        <v/>
      </c>
      <c r="E268" t="str">
        <v/>
      </c>
    </row>
    <row r="269" spans="3:5">
      <c r="C269" t="str">
        <v/>
      </c>
      <c r="E269" t="str">
        <v/>
      </c>
    </row>
    <row r="270" spans="3:5">
      <c r="C270" t="str">
        <v/>
      </c>
      <c r="E270" t="str">
        <v/>
      </c>
    </row>
    <row r="271" spans="3:5">
      <c r="C271" t="str">
        <v/>
      </c>
      <c r="E271" t="str">
        <v/>
      </c>
    </row>
    <row r="272" spans="3:5">
      <c r="C272" t="str">
        <v/>
      </c>
      <c r="E272" t="str">
        <v/>
      </c>
    </row>
    <row r="273" spans="3:5">
      <c r="C273" t="str">
        <v/>
      </c>
      <c r="E273" t="str">
        <v/>
      </c>
    </row>
    <row r="274" spans="3:5">
      <c r="C274" t="str">
        <v/>
      </c>
      <c r="E274" t="str">
        <v/>
      </c>
    </row>
    <row r="275" spans="3:5">
      <c r="C275" t="str">
        <v/>
      </c>
      <c r="E275" t="str">
        <v/>
      </c>
    </row>
    <row r="276" spans="3:5">
      <c r="C276" t="str">
        <v/>
      </c>
      <c r="E276" t="str">
        <v/>
      </c>
    </row>
    <row r="277" spans="3:5">
      <c r="C277" t="str">
        <v/>
      </c>
      <c r="E277" t="str">
        <v/>
      </c>
    </row>
    <row r="278" spans="3:5">
      <c r="C278" t="str">
        <v/>
      </c>
      <c r="E278" t="str">
        <v/>
      </c>
    </row>
    <row r="279" spans="3:5">
      <c r="C279" t="str">
        <v/>
      </c>
      <c r="E279" t="str">
        <v/>
      </c>
    </row>
    <row r="280" spans="3:5">
      <c r="C280" t="str">
        <v/>
      </c>
      <c r="E280" t="str">
        <v/>
      </c>
    </row>
    <row r="281" spans="3:5">
      <c r="C281" t="str">
        <v/>
      </c>
      <c r="E281" t="str">
        <v/>
      </c>
    </row>
    <row r="282" spans="3:5">
      <c r="C282" t="str">
        <v/>
      </c>
      <c r="E282" t="str">
        <v/>
      </c>
    </row>
    <row r="283" spans="3:5">
      <c r="C283" t="str">
        <v/>
      </c>
      <c r="E283" t="str">
        <v/>
      </c>
    </row>
    <row r="284" spans="3:5">
      <c r="C284" t="str">
        <v/>
      </c>
      <c r="E284" t="str">
        <v/>
      </c>
    </row>
    <row r="285" spans="3:5">
      <c r="C285" t="str">
        <v/>
      </c>
      <c r="E285" t="str">
        <v/>
      </c>
    </row>
    <row r="286" spans="3:5">
      <c r="C286" t="str">
        <v/>
      </c>
      <c r="E286" t="str">
        <v/>
      </c>
    </row>
    <row r="287" spans="3:5">
      <c r="C287" t="str">
        <v/>
      </c>
      <c r="E287" t="str">
        <v/>
      </c>
    </row>
    <row r="288" spans="3:5">
      <c r="C288" t="str">
        <v/>
      </c>
      <c r="E288" t="str">
        <v/>
      </c>
    </row>
    <row r="289" spans="3:5">
      <c r="C289" t="str">
        <v/>
      </c>
      <c r="E289" t="str">
        <v/>
      </c>
    </row>
    <row r="290" spans="3:5">
      <c r="C290" t="str">
        <v/>
      </c>
      <c r="E290" t="str">
        <v/>
      </c>
    </row>
    <row r="291" spans="3:5">
      <c r="C291" t="str">
        <v/>
      </c>
      <c r="E291" t="str">
        <v/>
      </c>
    </row>
    <row r="292" spans="3:5">
      <c r="C292" t="str">
        <v/>
      </c>
      <c r="E292" t="str">
        <v/>
      </c>
    </row>
    <row r="293" spans="3:5">
      <c r="C293" t="str">
        <v/>
      </c>
      <c r="E293" t="str">
        <v/>
      </c>
    </row>
    <row r="294" spans="3:5">
      <c r="C294" t="str">
        <v/>
      </c>
      <c r="E294" t="str">
        <v/>
      </c>
    </row>
    <row r="295" spans="3:5">
      <c r="C295" t="str">
        <v/>
      </c>
      <c r="E295" t="str">
        <v/>
      </c>
    </row>
    <row r="296" spans="3:5">
      <c r="C296" t="str">
        <v/>
      </c>
      <c r="E296" t="str">
        <v/>
      </c>
    </row>
    <row r="297" spans="3:5">
      <c r="C297" t="str">
        <v/>
      </c>
      <c r="E297" t="str">
        <v/>
      </c>
    </row>
    <row r="298" spans="3:5">
      <c r="C298" t="str">
        <v/>
      </c>
      <c r="E298" t="str">
        <v/>
      </c>
    </row>
    <row r="299" spans="3:5">
      <c r="C299" t="str">
        <v/>
      </c>
      <c r="E299" t="str">
        <v/>
      </c>
    </row>
    <row r="300" spans="3:5">
      <c r="C300" t="str">
        <v/>
      </c>
      <c r="E300" t="str">
        <v/>
      </c>
    </row>
    <row r="301" spans="3:5">
      <c r="C301" t="str">
        <v/>
      </c>
      <c r="E301" t="str">
        <v/>
      </c>
    </row>
    <row r="302" spans="3:5">
      <c r="C302" t="str">
        <v/>
      </c>
      <c r="E302" t="str">
        <v/>
      </c>
    </row>
    <row r="303" spans="3:5">
      <c r="C303" t="str">
        <v/>
      </c>
      <c r="E303" t="str">
        <v/>
      </c>
    </row>
    <row r="304" spans="3:5">
      <c r="C304" t="str">
        <v/>
      </c>
      <c r="E304" t="str">
        <v/>
      </c>
    </row>
    <row r="305" spans="3:5">
      <c r="C305" t="str">
        <v/>
      </c>
      <c r="E305" t="str">
        <v/>
      </c>
    </row>
    <row r="306" spans="3:5">
      <c r="C306" t="str">
        <v/>
      </c>
      <c r="E306" t="str">
        <v/>
      </c>
    </row>
    <row r="307" spans="3:5">
      <c r="C307" t="str">
        <v/>
      </c>
      <c r="E307" t="str">
        <v/>
      </c>
    </row>
    <row r="308" spans="3:5">
      <c r="C308" t="str">
        <v/>
      </c>
      <c r="E308" t="str">
        <v/>
      </c>
    </row>
    <row r="309" spans="3:5">
      <c r="C309" t="str">
        <v/>
      </c>
      <c r="E309" t="str">
        <v/>
      </c>
    </row>
    <row r="310" spans="3:5">
      <c r="C310" t="str">
        <v/>
      </c>
      <c r="E310" t="str">
        <v/>
      </c>
    </row>
    <row r="311" spans="3:5">
      <c r="C311" t="str">
        <v/>
      </c>
      <c r="E311" t="str">
        <v/>
      </c>
    </row>
    <row r="312" spans="3:5">
      <c r="C312" t="str">
        <v/>
      </c>
      <c r="E312" t="str">
        <v/>
      </c>
    </row>
    <row r="313" spans="3:5">
      <c r="C313" t="str">
        <v/>
      </c>
      <c r="E313" t="str">
        <v/>
      </c>
    </row>
    <row r="314" spans="3:5">
      <c r="C314" t="str">
        <v/>
      </c>
      <c r="E314" t="str">
        <v/>
      </c>
    </row>
    <row r="315" spans="3:5">
      <c r="C315" t="str">
        <v/>
      </c>
      <c r="E315" t="str">
        <v/>
      </c>
    </row>
    <row r="316" spans="3:5">
      <c r="C316" t="str">
        <v/>
      </c>
      <c r="E316" t="str">
        <v/>
      </c>
    </row>
    <row r="317" spans="3:5">
      <c r="C317" t="str">
        <v/>
      </c>
      <c r="E317" t="str">
        <v/>
      </c>
    </row>
    <row r="318" spans="3:5">
      <c r="C318" t="str">
        <v/>
      </c>
      <c r="E318" t="str">
        <v/>
      </c>
    </row>
    <row r="319" spans="3:5">
      <c r="C319" t="str">
        <v/>
      </c>
      <c r="E319" t="str">
        <v/>
      </c>
    </row>
    <row r="320" spans="3:5">
      <c r="C320" t="str">
        <v/>
      </c>
      <c r="E320" t="str">
        <v/>
      </c>
    </row>
    <row r="321" spans="3:5">
      <c r="C321" t="str">
        <v/>
      </c>
      <c r="E321" t="str">
        <v/>
      </c>
    </row>
    <row r="322" spans="3:5">
      <c r="C322" t="str">
        <v/>
      </c>
      <c r="E322" t="str">
        <v/>
      </c>
    </row>
    <row r="323" spans="3:5">
      <c r="C323" t="str">
        <v/>
      </c>
      <c r="E323" t="str">
        <v/>
      </c>
    </row>
    <row r="324" spans="3:5">
      <c r="C324" t="str">
        <v/>
      </c>
      <c r="E324" t="str">
        <v/>
      </c>
    </row>
    <row r="325" spans="3:5">
      <c r="C325" t="str">
        <v/>
      </c>
      <c r="E325" t="str">
        <v/>
      </c>
    </row>
    <row r="326" spans="3:5">
      <c r="C326" t="str">
        <v/>
      </c>
      <c r="E326" t="str">
        <v/>
      </c>
    </row>
    <row r="327" spans="3:5">
      <c r="C327" t="str">
        <v/>
      </c>
      <c r="E327" t="str">
        <v/>
      </c>
    </row>
    <row r="328" spans="3:5">
      <c r="C328" t="str">
        <v/>
      </c>
      <c r="E328" t="str">
        <v/>
      </c>
    </row>
    <row r="329" spans="3:5">
      <c r="C329" t="str">
        <v/>
      </c>
      <c r="E329" t="str">
        <v/>
      </c>
    </row>
    <row r="330" spans="3:5">
      <c r="C330" t="str">
        <v/>
      </c>
      <c r="E330" t="str">
        <v/>
      </c>
    </row>
    <row r="331" spans="3:5">
      <c r="C331" t="str">
        <v/>
      </c>
      <c r="E331" t="str">
        <v/>
      </c>
    </row>
    <row r="332" spans="3:5">
      <c r="C332" t="str">
        <v/>
      </c>
      <c r="E332" t="str">
        <v/>
      </c>
    </row>
    <row r="333" spans="3:5">
      <c r="C333" t="str">
        <v/>
      </c>
      <c r="E333" t="str">
        <v/>
      </c>
    </row>
    <row r="334" spans="3:5">
      <c r="C334" t="str">
        <v/>
      </c>
      <c r="E334" t="str">
        <v/>
      </c>
    </row>
    <row r="335" spans="3:5">
      <c r="C335" t="str">
        <v/>
      </c>
      <c r="E335" t="str">
        <v/>
      </c>
    </row>
    <row r="336" spans="3:5">
      <c r="C336" t="str">
        <v/>
      </c>
      <c r="E336" t="str">
        <v/>
      </c>
    </row>
    <row r="337" spans="3:5">
      <c r="C337" t="str">
        <v/>
      </c>
      <c r="E337" t="str">
        <v/>
      </c>
    </row>
    <row r="338" spans="3:5">
      <c r="C338" t="str">
        <v/>
      </c>
      <c r="E338" t="str">
        <v/>
      </c>
    </row>
    <row r="339" spans="3:5">
      <c r="C339" t="str">
        <v/>
      </c>
      <c r="E339" t="str">
        <v/>
      </c>
    </row>
    <row r="340" spans="3:5">
      <c r="C340" t="str">
        <v/>
      </c>
      <c r="E340" t="str">
        <v/>
      </c>
    </row>
    <row r="341" spans="3:5">
      <c r="C341" t="str">
        <v/>
      </c>
      <c r="E341" t="str">
        <v/>
      </c>
    </row>
    <row r="342" spans="3:5">
      <c r="C342" t="str">
        <v/>
      </c>
      <c r="E342" t="str">
        <v/>
      </c>
    </row>
    <row r="343" spans="3:5">
      <c r="C343" t="str">
        <v/>
      </c>
      <c r="E343" t="str">
        <v/>
      </c>
    </row>
    <row r="344" spans="3:5">
      <c r="C344" t="str">
        <v/>
      </c>
      <c r="E344" t="str">
        <v/>
      </c>
    </row>
    <row r="345" spans="3:5">
      <c r="C345" t="str">
        <v/>
      </c>
      <c r="E345" t="str">
        <v/>
      </c>
    </row>
    <row r="346" spans="3:5">
      <c r="C346" t="str">
        <v/>
      </c>
      <c r="E346" t="str">
        <v/>
      </c>
    </row>
    <row r="347" spans="3:5">
      <c r="C347" t="str">
        <v/>
      </c>
      <c r="E347" t="str">
        <v/>
      </c>
    </row>
    <row r="348" spans="3:5">
      <c r="C348" t="str">
        <v/>
      </c>
      <c r="E348" t="str">
        <v/>
      </c>
    </row>
    <row r="349" spans="3:5">
      <c r="C349" t="str">
        <v/>
      </c>
      <c r="E349" t="str">
        <v/>
      </c>
    </row>
    <row r="350" spans="3:5">
      <c r="C350" t="str">
        <v/>
      </c>
      <c r="E350" t="str">
        <v/>
      </c>
    </row>
    <row r="351" spans="3:5">
      <c r="C351" t="str">
        <v/>
      </c>
      <c r="E351" t="str">
        <v/>
      </c>
    </row>
    <row r="352" spans="3:5">
      <c r="C352" t="str">
        <v/>
      </c>
      <c r="E352" t="str">
        <v/>
      </c>
    </row>
    <row r="353" spans="3:5">
      <c r="C353" t="str">
        <v/>
      </c>
      <c r="E353" t="str">
        <v/>
      </c>
    </row>
    <row r="354" spans="3:5">
      <c r="C354" t="str">
        <v/>
      </c>
      <c r="E354" t="str">
        <v/>
      </c>
    </row>
    <row r="355" spans="3:5">
      <c r="C355" t="str">
        <v/>
      </c>
      <c r="E355" t="str">
        <v/>
      </c>
    </row>
    <row r="356" spans="3:5">
      <c r="C356" t="str">
        <v/>
      </c>
      <c r="E356" t="str">
        <v/>
      </c>
    </row>
    <row r="357" spans="3:5">
      <c r="C357" t="str">
        <v/>
      </c>
      <c r="E357" t="str">
        <v/>
      </c>
    </row>
    <row r="358" spans="3:5">
      <c r="C358" t="str">
        <v/>
      </c>
      <c r="E358" t="str">
        <v/>
      </c>
    </row>
    <row r="359" spans="3:5">
      <c r="C359" t="str">
        <v/>
      </c>
      <c r="E359" t="str">
        <v/>
      </c>
    </row>
    <row r="360" spans="3:5">
      <c r="C360" t="str">
        <v/>
      </c>
      <c r="E360" t="str">
        <v/>
      </c>
    </row>
    <row r="361" spans="3:5">
      <c r="C361" t="str">
        <v/>
      </c>
      <c r="E361" t="str">
        <v/>
      </c>
    </row>
    <row r="362" spans="3:5">
      <c r="C362" t="str">
        <v/>
      </c>
      <c r="E362" t="str">
        <v/>
      </c>
    </row>
    <row r="363" spans="3:5">
      <c r="C363" t="str">
        <v/>
      </c>
      <c r="E363" t="str">
        <v/>
      </c>
    </row>
    <row r="364" spans="3:5">
      <c r="C364" t="str">
        <v/>
      </c>
      <c r="E364" t="str">
        <v/>
      </c>
    </row>
    <row r="365" spans="3:5">
      <c r="C365" t="str">
        <v/>
      </c>
      <c r="E365" t="str">
        <v/>
      </c>
    </row>
    <row r="366" spans="3:5">
      <c r="C366" t="str">
        <v/>
      </c>
      <c r="E366" t="str">
        <v/>
      </c>
    </row>
    <row r="367" spans="3:5">
      <c r="C367" t="str">
        <v/>
      </c>
      <c r="E367" t="str">
        <v/>
      </c>
    </row>
    <row r="368" spans="3:5">
      <c r="C368" t="str">
        <v/>
      </c>
      <c r="E368" t="str">
        <v/>
      </c>
    </row>
    <row r="369" spans="3:5">
      <c r="C369" t="str">
        <v/>
      </c>
      <c r="E369" t="str">
        <v/>
      </c>
    </row>
    <row r="370" spans="3:5">
      <c r="C370" t="str">
        <v/>
      </c>
      <c r="E370" t="str">
        <v/>
      </c>
    </row>
    <row r="371" spans="3:5">
      <c r="C371" t="str">
        <v/>
      </c>
      <c r="E371" t="str">
        <v/>
      </c>
    </row>
    <row r="372" spans="3:5">
      <c r="C372" t="str">
        <v/>
      </c>
      <c r="E372" t="str">
        <v/>
      </c>
    </row>
    <row r="373" spans="3:5">
      <c r="C373" t="str">
        <v/>
      </c>
      <c r="E373" t="str">
        <v/>
      </c>
    </row>
    <row r="374" spans="3:5">
      <c r="C374" t="str">
        <v/>
      </c>
      <c r="E374" t="str">
        <v/>
      </c>
    </row>
    <row r="375" spans="3:5">
      <c r="C375" t="str">
        <v/>
      </c>
      <c r="E375" t="str">
        <v/>
      </c>
    </row>
    <row r="376" spans="3:5">
      <c r="C376" t="str">
        <v/>
      </c>
      <c r="E376" t="str">
        <v/>
      </c>
    </row>
    <row r="377" spans="3:5">
      <c r="C377" t="str">
        <v/>
      </c>
      <c r="E377" t="str">
        <v/>
      </c>
    </row>
    <row r="378" spans="3:5">
      <c r="C378" t="str">
        <v/>
      </c>
      <c r="E378" t="str">
        <v/>
      </c>
    </row>
    <row r="379" spans="3:5">
      <c r="C379" t="str">
        <v/>
      </c>
      <c r="E379" t="str">
        <v/>
      </c>
    </row>
    <row r="380" spans="3:5">
      <c r="C380" t="str">
        <v/>
      </c>
      <c r="E380" t="str">
        <v/>
      </c>
    </row>
    <row r="381" spans="3:5">
      <c r="C381" t="str">
        <v/>
      </c>
      <c r="E381" t="str">
        <v/>
      </c>
    </row>
    <row r="382" spans="3:5">
      <c r="C382" t="str">
        <v/>
      </c>
      <c r="E382" t="str">
        <v/>
      </c>
    </row>
    <row r="383" spans="3:5">
      <c r="C383" t="str">
        <v/>
      </c>
      <c r="E383" t="str">
        <v/>
      </c>
    </row>
    <row r="384" spans="3:5">
      <c r="C384" t="str">
        <v/>
      </c>
      <c r="E384" t="str">
        <v/>
      </c>
    </row>
    <row r="385" spans="3:5">
      <c r="C385" t="str">
        <v/>
      </c>
      <c r="E385" t="str">
        <v/>
      </c>
    </row>
    <row r="386" spans="3:5">
      <c r="C386" t="str">
        <v/>
      </c>
      <c r="E386" t="str">
        <v/>
      </c>
    </row>
    <row r="387" spans="3:5">
      <c r="C387" t="str">
        <v/>
      </c>
      <c r="E387" t="str">
        <v/>
      </c>
    </row>
    <row r="388" spans="3:5">
      <c r="C388" t="str">
        <v/>
      </c>
      <c r="E388" t="str">
        <v/>
      </c>
    </row>
    <row r="389" spans="3:5">
      <c r="C389" t="str">
        <v/>
      </c>
      <c r="E389" t="str">
        <v/>
      </c>
    </row>
    <row r="390" spans="3:5">
      <c r="C390" t="str">
        <v/>
      </c>
      <c r="E390" t="str">
        <v/>
      </c>
    </row>
    <row r="391" spans="3:5">
      <c r="C391" t="str">
        <v/>
      </c>
      <c r="E391" t="str">
        <v/>
      </c>
    </row>
    <row r="392" spans="3:5">
      <c r="C392" t="str">
        <v/>
      </c>
      <c r="E392" t="str">
        <v/>
      </c>
    </row>
    <row r="393" spans="3:5">
      <c r="C393" t="str">
        <v/>
      </c>
      <c r="E393" t="str">
        <v/>
      </c>
    </row>
    <row r="394" spans="3:5">
      <c r="C394" t="str">
        <v/>
      </c>
      <c r="E394" t="str">
        <v/>
      </c>
    </row>
    <row r="395" spans="3:5">
      <c r="C395" t="str">
        <v/>
      </c>
      <c r="E395" t="str">
        <v/>
      </c>
    </row>
    <row r="396" spans="3:5">
      <c r="C396" t="str">
        <v/>
      </c>
      <c r="E396" t="str">
        <v/>
      </c>
    </row>
    <row r="397" spans="3:5">
      <c r="C397" t="str">
        <v/>
      </c>
      <c r="E397" t="str">
        <v/>
      </c>
    </row>
    <row r="398" spans="3:5">
      <c r="C398" t="str">
        <v/>
      </c>
      <c r="E398" t="str">
        <v/>
      </c>
    </row>
    <row r="399" spans="3:5">
      <c r="C399" t="str">
        <v/>
      </c>
      <c r="E399" t="str">
        <v/>
      </c>
    </row>
    <row r="400" spans="3:5">
      <c r="C400" t="str">
        <v/>
      </c>
      <c r="E400" t="str">
        <v/>
      </c>
    </row>
    <row r="401" spans="3:5">
      <c r="C401" t="str">
        <v/>
      </c>
      <c r="E401" t="str">
        <v/>
      </c>
    </row>
    <row r="402" spans="3:5">
      <c r="C402" t="str">
        <v/>
      </c>
      <c r="E402" t="str">
        <v/>
      </c>
    </row>
    <row r="403" spans="3:5">
      <c r="C403" t="str">
        <v/>
      </c>
      <c r="E403" t="str">
        <v/>
      </c>
    </row>
    <row r="404" spans="3:5">
      <c r="C404" t="str">
        <v/>
      </c>
      <c r="E404" t="str">
        <v/>
      </c>
    </row>
    <row r="405" spans="3:5">
      <c r="C405" t="str">
        <v/>
      </c>
      <c r="E405" t="str">
        <v/>
      </c>
    </row>
    <row r="406" spans="3:5">
      <c r="C406" t="str">
        <v/>
      </c>
      <c r="E406" t="str">
        <v/>
      </c>
    </row>
    <row r="407" spans="3:5">
      <c r="C407" t="str">
        <v/>
      </c>
      <c r="E407" t="str">
        <v/>
      </c>
    </row>
    <row r="408" spans="3:5">
      <c r="C408" t="str">
        <v/>
      </c>
      <c r="E408" t="str">
        <v/>
      </c>
    </row>
    <row r="409" spans="3:5">
      <c r="C409" t="str">
        <v/>
      </c>
      <c r="E409" t="str">
        <v/>
      </c>
    </row>
    <row r="410" spans="3:5">
      <c r="C410" t="str">
        <v/>
      </c>
      <c r="E410" t="str">
        <v/>
      </c>
    </row>
    <row r="411" spans="3:5">
      <c r="C411" t="str">
        <v/>
      </c>
      <c r="E411" t="str">
        <v/>
      </c>
    </row>
    <row r="412" spans="3:5">
      <c r="C412" t="str">
        <v/>
      </c>
      <c r="E412" t="str">
        <v/>
      </c>
    </row>
    <row r="413" spans="3:5">
      <c r="C413" t="str">
        <v/>
      </c>
      <c r="E413" t="str">
        <v/>
      </c>
    </row>
    <row r="414" spans="3:5">
      <c r="C414" t="str">
        <v/>
      </c>
      <c r="E414" t="str">
        <v/>
      </c>
    </row>
    <row r="415" spans="3:5">
      <c r="C415" t="str">
        <v/>
      </c>
      <c r="E415" t="str">
        <v/>
      </c>
    </row>
    <row r="416" spans="3:5">
      <c r="C416" t="str">
        <v/>
      </c>
      <c r="E416" t="str">
        <v/>
      </c>
    </row>
    <row r="417" spans="3:5">
      <c r="C417" t="str">
        <v/>
      </c>
      <c r="E417" t="str">
        <v/>
      </c>
    </row>
    <row r="418" spans="3:5">
      <c r="C418" t="str">
        <v/>
      </c>
      <c r="E418" t="str">
        <v/>
      </c>
    </row>
    <row r="419" spans="3:5">
      <c r="C419" t="str">
        <v/>
      </c>
      <c r="E419" t="str">
        <v/>
      </c>
    </row>
    <row r="420" spans="3:5">
      <c r="C420" t="str">
        <v/>
      </c>
      <c r="E420" t="str">
        <v/>
      </c>
    </row>
    <row r="421" spans="3:5">
      <c r="C421" t="str">
        <v/>
      </c>
      <c r="E421" t="str">
        <v/>
      </c>
    </row>
    <row r="422" spans="3:5">
      <c r="C422" t="str">
        <v/>
      </c>
      <c r="E422" t="str">
        <v/>
      </c>
    </row>
    <row r="423" spans="3:5">
      <c r="C423" t="str">
        <v/>
      </c>
      <c r="E423" t="str">
        <v/>
      </c>
    </row>
    <row r="424" spans="3:5">
      <c r="C424" t="str">
        <v/>
      </c>
      <c r="E424" t="str">
        <v/>
      </c>
    </row>
    <row r="425" spans="3:5">
      <c r="C425" t="str">
        <v/>
      </c>
      <c r="E425" t="str">
        <v/>
      </c>
    </row>
    <row r="426" spans="3:5">
      <c r="C426" t="str">
        <v/>
      </c>
      <c r="E426" t="str">
        <v/>
      </c>
    </row>
    <row r="427" spans="3:5">
      <c r="C427" t="str">
        <v/>
      </c>
      <c r="E427" t="str">
        <v/>
      </c>
    </row>
    <row r="428" spans="3:5">
      <c r="C428" t="str">
        <v/>
      </c>
      <c r="E428" t="str">
        <v/>
      </c>
    </row>
    <row r="429" spans="3:5">
      <c r="C429" t="str">
        <v/>
      </c>
      <c r="E429" t="str">
        <v/>
      </c>
    </row>
    <row r="430" spans="3:5">
      <c r="C430" t="str">
        <v/>
      </c>
      <c r="E430" t="str">
        <v/>
      </c>
    </row>
    <row r="431" spans="3:5">
      <c r="C431" t="str">
        <v/>
      </c>
      <c r="E431" t="str">
        <v/>
      </c>
    </row>
    <row r="432" spans="3:5">
      <c r="C432" t="str">
        <v/>
      </c>
      <c r="E432" t="str">
        <v/>
      </c>
    </row>
    <row r="433" spans="3:5">
      <c r="C433" t="str">
        <v/>
      </c>
      <c r="E433" t="str">
        <v/>
      </c>
    </row>
    <row r="434" spans="3:5">
      <c r="C434" t="str">
        <v/>
      </c>
      <c r="E434" t="str">
        <v/>
      </c>
    </row>
    <row r="435" spans="3:5">
      <c r="C435" t="str">
        <v/>
      </c>
      <c r="E435" t="str">
        <v/>
      </c>
    </row>
    <row r="436" spans="3:5">
      <c r="C436" t="str">
        <v/>
      </c>
      <c r="E436" t="str">
        <v/>
      </c>
    </row>
    <row r="437" spans="3:5">
      <c r="C437" t="str">
        <v/>
      </c>
      <c r="E437" t="str">
        <v/>
      </c>
    </row>
    <row r="438" spans="3:5">
      <c r="C438" t="str">
        <v/>
      </c>
      <c r="E438" t="str">
        <v/>
      </c>
    </row>
    <row r="439" spans="3:5">
      <c r="C439" t="str">
        <v/>
      </c>
      <c r="E439" t="str">
        <v/>
      </c>
    </row>
    <row r="440" spans="3:5">
      <c r="C440" t="str">
        <v/>
      </c>
      <c r="E440" t="str">
        <v/>
      </c>
    </row>
    <row r="441" spans="3:5">
      <c r="C441" t="str">
        <v/>
      </c>
      <c r="E441" t="str">
        <v/>
      </c>
    </row>
    <row r="442" spans="3:5">
      <c r="C442" t="str">
        <v/>
      </c>
      <c r="E442" t="str">
        <v/>
      </c>
    </row>
    <row r="443" spans="3:5">
      <c r="C443" t="str">
        <v/>
      </c>
      <c r="E443" t="str">
        <v/>
      </c>
    </row>
    <row r="444" spans="3:5">
      <c r="C444" t="str">
        <v/>
      </c>
      <c r="E444" t="str">
        <v/>
      </c>
    </row>
    <row r="445" spans="3:5">
      <c r="C445" t="str">
        <v/>
      </c>
      <c r="E445" t="str">
        <v/>
      </c>
    </row>
    <row r="446" spans="3:5">
      <c r="C446" t="str">
        <v/>
      </c>
      <c r="E446" t="str">
        <v/>
      </c>
    </row>
    <row r="447" spans="3:5">
      <c r="C447" t="str">
        <v/>
      </c>
      <c r="E447" t="str">
        <v/>
      </c>
    </row>
    <row r="448" spans="3:5">
      <c r="C448" t="str">
        <v/>
      </c>
      <c r="E448" t="str">
        <v/>
      </c>
    </row>
    <row r="449" spans="3:5">
      <c r="C449" t="str">
        <v/>
      </c>
      <c r="E449" t="str">
        <v/>
      </c>
    </row>
    <row r="450" spans="3:5">
      <c r="C450" t="str">
        <v/>
      </c>
      <c r="E450" t="str">
        <v/>
      </c>
    </row>
    <row r="451" spans="3:5">
      <c r="C451" t="str">
        <v/>
      </c>
      <c r="E451" t="str">
        <v/>
      </c>
    </row>
    <row r="452" spans="3:5">
      <c r="C452" t="str">
        <v/>
      </c>
      <c r="E452" t="str">
        <v/>
      </c>
    </row>
    <row r="453" spans="3:5">
      <c r="C453" t="str">
        <v/>
      </c>
      <c r="E453" t="str">
        <v/>
      </c>
    </row>
    <row r="454" spans="3:5">
      <c r="C454" t="str">
        <v/>
      </c>
      <c r="E454" t="str">
        <v/>
      </c>
    </row>
    <row r="455" spans="3:5">
      <c r="C455" t="str">
        <v/>
      </c>
      <c r="E455" t="str">
        <v/>
      </c>
    </row>
    <row r="456" spans="3:5">
      <c r="C456" t="str">
        <v/>
      </c>
      <c r="E456" t="str">
        <v/>
      </c>
    </row>
    <row r="457" spans="3:5">
      <c r="C457" t="str">
        <v/>
      </c>
      <c r="E457" t="str">
        <v/>
      </c>
    </row>
    <row r="458" spans="3:5">
      <c r="C458" t="str">
        <v/>
      </c>
      <c r="E458" t="str">
        <v/>
      </c>
    </row>
    <row r="459" spans="3:5">
      <c r="C459" t="str">
        <v/>
      </c>
      <c r="E459" t="str">
        <v/>
      </c>
    </row>
    <row r="460" spans="3:5">
      <c r="C460" t="str">
        <v/>
      </c>
      <c r="E460" t="str">
        <v/>
      </c>
    </row>
    <row r="461" spans="3:5">
      <c r="C461" t="str">
        <v/>
      </c>
      <c r="E461" t="str">
        <v/>
      </c>
    </row>
    <row r="462" spans="3:5">
      <c r="C462" t="str">
        <v/>
      </c>
      <c r="E462" t="str">
        <v/>
      </c>
    </row>
    <row r="463" spans="3:5">
      <c r="C463" t="str">
        <v/>
      </c>
      <c r="E463" t="str">
        <v/>
      </c>
    </row>
    <row r="464" spans="3:5">
      <c r="C464" t="str">
        <v/>
      </c>
      <c r="E464" t="str">
        <v/>
      </c>
    </row>
    <row r="465" spans="3:5">
      <c r="C465" t="str">
        <v/>
      </c>
      <c r="E465" t="str">
        <v/>
      </c>
    </row>
    <row r="466" spans="3:5">
      <c r="C466" t="str">
        <v/>
      </c>
      <c r="E466" t="str">
        <v/>
      </c>
    </row>
    <row r="467" spans="3:5">
      <c r="C467" t="str">
        <v/>
      </c>
      <c r="E467" t="str">
        <v/>
      </c>
    </row>
    <row r="468" spans="3:5">
      <c r="C468" t="str">
        <v/>
      </c>
      <c r="E468" t="str">
        <v/>
      </c>
    </row>
    <row r="469" spans="3:5">
      <c r="C469" t="str">
        <v/>
      </c>
      <c r="E469" t="str">
        <v/>
      </c>
    </row>
    <row r="470" spans="3:5">
      <c r="C470" t="str">
        <v/>
      </c>
      <c r="E470" t="str">
        <v/>
      </c>
    </row>
    <row r="471" spans="3:5">
      <c r="C471" t="str">
        <v/>
      </c>
      <c r="E471" t="str">
        <v/>
      </c>
    </row>
    <row r="472" spans="3:5">
      <c r="C472" t="str">
        <v/>
      </c>
      <c r="E472" t="str">
        <v/>
      </c>
    </row>
    <row r="473" spans="3:5">
      <c r="C473" t="str">
        <v/>
      </c>
      <c r="E473" t="str">
        <v/>
      </c>
    </row>
    <row r="474" spans="3:5">
      <c r="C474" t="str">
        <v/>
      </c>
      <c r="E474" t="str">
        <v/>
      </c>
    </row>
    <row r="475" spans="3:5">
      <c r="C475" t="str">
        <v/>
      </c>
      <c r="E475" t="str">
        <v/>
      </c>
    </row>
    <row r="476" spans="3:5">
      <c r="C476" t="str">
        <v/>
      </c>
      <c r="E476" t="str">
        <v/>
      </c>
    </row>
    <row r="477" spans="3:5">
      <c r="C477" t="str">
        <v/>
      </c>
      <c r="E477" t="str">
        <v/>
      </c>
    </row>
    <row r="478" spans="3:5">
      <c r="C478" t="str">
        <v/>
      </c>
      <c r="E478" t="str">
        <v/>
      </c>
    </row>
    <row r="479" spans="3:5">
      <c r="C479" t="str">
        <v/>
      </c>
      <c r="E479" t="str">
        <v/>
      </c>
    </row>
    <row r="480" spans="3:5">
      <c r="C480" t="str">
        <v/>
      </c>
      <c r="E480" t="str">
        <v/>
      </c>
    </row>
    <row r="481" spans="3:5">
      <c r="C481" t="str">
        <v/>
      </c>
      <c r="E481" t="str">
        <v/>
      </c>
    </row>
    <row r="482" spans="3:5">
      <c r="C482" t="str">
        <v/>
      </c>
      <c r="E482" t="str">
        <v/>
      </c>
    </row>
    <row r="483" spans="3:5">
      <c r="C483" t="str">
        <v/>
      </c>
      <c r="E483" t="str">
        <v/>
      </c>
    </row>
    <row r="484" spans="3:5">
      <c r="C484" t="str">
        <v/>
      </c>
      <c r="E484" t="str">
        <v/>
      </c>
    </row>
    <row r="485" spans="3:5">
      <c r="C485" t="str">
        <v/>
      </c>
      <c r="E485" t="str">
        <v/>
      </c>
    </row>
    <row r="486" spans="3:5">
      <c r="C486" t="str">
        <v/>
      </c>
      <c r="E486" t="str">
        <v/>
      </c>
    </row>
    <row r="487" spans="3:5">
      <c r="C487" t="str">
        <v/>
      </c>
      <c r="E487" t="str">
        <v/>
      </c>
    </row>
    <row r="488" spans="3:5">
      <c r="C488" t="str">
        <v/>
      </c>
      <c r="E488" t="str">
        <v/>
      </c>
    </row>
    <row r="489" spans="3:5">
      <c r="C489" t="str">
        <v/>
      </c>
      <c r="E489" t="str">
        <v/>
      </c>
    </row>
    <row r="490" spans="3:5">
      <c r="C490" t="str">
        <v/>
      </c>
      <c r="E490" t="str">
        <v/>
      </c>
    </row>
    <row r="491" spans="3:5">
      <c r="C491" t="str">
        <v/>
      </c>
      <c r="E491" t="str">
        <v/>
      </c>
    </row>
    <row r="492" spans="3:5">
      <c r="C492" t="str">
        <v/>
      </c>
      <c r="E492" t="str">
        <v/>
      </c>
    </row>
    <row r="493" spans="3:5">
      <c r="C493" t="str">
        <v/>
      </c>
      <c r="E493" t="str">
        <v/>
      </c>
    </row>
    <row r="494" spans="3:5">
      <c r="C494" t="str">
        <v/>
      </c>
      <c r="E494" t="str">
        <v/>
      </c>
    </row>
    <row r="495" spans="3:5">
      <c r="C495" t="str">
        <v/>
      </c>
      <c r="E495" t="str">
        <v/>
      </c>
    </row>
    <row r="496" spans="3:5">
      <c r="C496" t="str">
        <v/>
      </c>
      <c r="E496" t="str">
        <v/>
      </c>
    </row>
    <row r="497" spans="3:5">
      <c r="C497" t="str">
        <v/>
      </c>
      <c r="E497" t="str">
        <v/>
      </c>
    </row>
    <row r="498" spans="3:5">
      <c r="C498" t="str">
        <v/>
      </c>
      <c r="E498" t="str">
        <v/>
      </c>
    </row>
    <row r="499" spans="3:5">
      <c r="C499" t="str">
        <v/>
      </c>
      <c r="E499" t="str">
        <v/>
      </c>
    </row>
    <row r="500" spans="3:5">
      <c r="C500" t="str">
        <v/>
      </c>
      <c r="E500" t="str">
        <v/>
      </c>
    </row>
    <row r="501" spans="3:5">
      <c r="C501" t="str">
        <v/>
      </c>
      <c r="E501" t="str">
        <v/>
      </c>
    </row>
    <row r="502" spans="3:5">
      <c r="C502" t="str">
        <v/>
      </c>
      <c r="E502" t="str">
        <v/>
      </c>
    </row>
    <row r="503" spans="3:5">
      <c r="C503" t="str">
        <v/>
      </c>
      <c r="E503" t="str">
        <v/>
      </c>
    </row>
    <row r="504" spans="3:5">
      <c r="C504" t="str">
        <v/>
      </c>
      <c r="E504" t="str">
        <v/>
      </c>
    </row>
    <row r="505" spans="3:5">
      <c r="C505" t="str">
        <v/>
      </c>
      <c r="E505" t="str">
        <v/>
      </c>
    </row>
    <row r="506" spans="3:5">
      <c r="C506" t="str">
        <v/>
      </c>
      <c r="E506" t="str">
        <v/>
      </c>
    </row>
    <row r="507" spans="3:5">
      <c r="C507" t="str">
        <v/>
      </c>
      <c r="E507" t="str">
        <v/>
      </c>
    </row>
    <row r="508" spans="3:5">
      <c r="C508" t="str">
        <v/>
      </c>
      <c r="E508" t="str">
        <v/>
      </c>
    </row>
    <row r="509" spans="3:5">
      <c r="C509" t="str">
        <v/>
      </c>
      <c r="E509" t="str">
        <v/>
      </c>
    </row>
    <row r="510" spans="3:5">
      <c r="C510" t="str">
        <v/>
      </c>
      <c r="E510" t="str">
        <v/>
      </c>
    </row>
    <row r="511" spans="3:5">
      <c r="C511" t="str">
        <v/>
      </c>
      <c r="E511" t="str">
        <v/>
      </c>
    </row>
    <row r="512" spans="3:5">
      <c r="C512" t="str">
        <v/>
      </c>
      <c r="E512" t="str">
        <v/>
      </c>
    </row>
    <row r="513" spans="3:5">
      <c r="C513" t="str">
        <v/>
      </c>
      <c r="E513" t="str">
        <v/>
      </c>
    </row>
    <row r="514" spans="3:5">
      <c r="C514" t="str">
        <v/>
      </c>
      <c r="E514" t="str">
        <v/>
      </c>
    </row>
    <row r="515" spans="3:5">
      <c r="C515" t="str">
        <v/>
      </c>
      <c r="E515" t="str">
        <v/>
      </c>
    </row>
    <row r="516" spans="3:5">
      <c r="C516" t="str">
        <v/>
      </c>
      <c r="E516" t="str">
        <v/>
      </c>
    </row>
    <row r="517" spans="3:5">
      <c r="C517" t="str">
        <v/>
      </c>
      <c r="E517" t="str">
        <v/>
      </c>
    </row>
    <row r="518" spans="3:5">
      <c r="C518" t="str">
        <v/>
      </c>
      <c r="E518" t="str">
        <v/>
      </c>
    </row>
    <row r="519" spans="3:5">
      <c r="C519" t="str">
        <v/>
      </c>
      <c r="E519" t="str">
        <v/>
      </c>
    </row>
    <row r="520" spans="3:5">
      <c r="C520" t="str">
        <v/>
      </c>
      <c r="E520" t="str">
        <v/>
      </c>
    </row>
    <row r="521" spans="3:5">
      <c r="C521" t="str">
        <v/>
      </c>
      <c r="E521" t="str">
        <v/>
      </c>
    </row>
    <row r="522" spans="3:5">
      <c r="C522" t="str">
        <v/>
      </c>
      <c r="E522" t="str">
        <v/>
      </c>
    </row>
    <row r="523" spans="3:5">
      <c r="C523" t="str">
        <v/>
      </c>
      <c r="E523" t="str">
        <v/>
      </c>
    </row>
    <row r="524" spans="3:5">
      <c r="C524" t="str">
        <v/>
      </c>
      <c r="E524" t="str">
        <v/>
      </c>
    </row>
    <row r="525" spans="3:5">
      <c r="C525" t="str">
        <v/>
      </c>
      <c r="E525" t="str">
        <v/>
      </c>
    </row>
    <row r="526" spans="3:5">
      <c r="C526" t="str">
        <v/>
      </c>
      <c r="E526" t="str">
        <v/>
      </c>
    </row>
    <row r="527" spans="3:5">
      <c r="C527" t="str">
        <v/>
      </c>
      <c r="E527" t="str">
        <v/>
      </c>
    </row>
    <row r="528" spans="3:5">
      <c r="C528" t="str">
        <v/>
      </c>
      <c r="E528" t="str">
        <v/>
      </c>
    </row>
    <row r="529" spans="3:5">
      <c r="C529" t="str">
        <v/>
      </c>
      <c r="E529" t="str">
        <v/>
      </c>
    </row>
    <row r="530" spans="3:5">
      <c r="C530" t="str">
        <v/>
      </c>
      <c r="E530" t="str">
        <v/>
      </c>
    </row>
    <row r="531" spans="3:5">
      <c r="C531" t="str">
        <v/>
      </c>
      <c r="E531" t="str">
        <v/>
      </c>
    </row>
    <row r="532" spans="3:5">
      <c r="C532" t="str">
        <v/>
      </c>
      <c r="E532" t="str">
        <v/>
      </c>
    </row>
    <row r="533" spans="3:5">
      <c r="C533" t="str">
        <v/>
      </c>
      <c r="E533" t="str">
        <v/>
      </c>
    </row>
    <row r="534" spans="3:5">
      <c r="C534" t="str">
        <v/>
      </c>
      <c r="E534" t="str">
        <v/>
      </c>
    </row>
    <row r="535" spans="3:5">
      <c r="C535" t="str">
        <v/>
      </c>
      <c r="E535" t="str">
        <v/>
      </c>
    </row>
    <row r="536" spans="3:5">
      <c r="C536" t="str">
        <v/>
      </c>
      <c r="E536" t="str">
        <v/>
      </c>
    </row>
    <row r="537" spans="3:5">
      <c r="C537" t="str">
        <v/>
      </c>
      <c r="E537" t="str">
        <v/>
      </c>
    </row>
    <row r="538" spans="3:5">
      <c r="C538" t="str">
        <v/>
      </c>
      <c r="E538" t="str">
        <v/>
      </c>
    </row>
    <row r="539" spans="3:5">
      <c r="C539" t="str">
        <v/>
      </c>
      <c r="E539" t="str">
        <v/>
      </c>
    </row>
    <row r="540" spans="3:5">
      <c r="C540" t="str">
        <v/>
      </c>
      <c r="E540" t="str">
        <v/>
      </c>
    </row>
    <row r="541" spans="3:5">
      <c r="C541" t="str">
        <v/>
      </c>
      <c r="E541" t="str">
        <v/>
      </c>
    </row>
    <row r="542" spans="3:5">
      <c r="C542" t="str">
        <v/>
      </c>
      <c r="E542" t="str">
        <v/>
      </c>
    </row>
    <row r="543" spans="3:5">
      <c r="C543" t="str">
        <v/>
      </c>
      <c r="E543" t="str">
        <v/>
      </c>
    </row>
    <row r="544" spans="3:5">
      <c r="C544" t="str">
        <v/>
      </c>
      <c r="E544" t="str">
        <v/>
      </c>
    </row>
    <row r="545" spans="3:5">
      <c r="C545" t="str">
        <v/>
      </c>
      <c r="E545" t="str">
        <v/>
      </c>
    </row>
    <row r="546" spans="3:5">
      <c r="C546" t="str">
        <v/>
      </c>
      <c r="E546" t="str">
        <v/>
      </c>
    </row>
    <row r="547" spans="3:5">
      <c r="C547" t="str">
        <v/>
      </c>
      <c r="E547" t="str">
        <v/>
      </c>
    </row>
    <row r="548" spans="3:5">
      <c r="C548" t="str">
        <v/>
      </c>
      <c r="E548" t="str">
        <v/>
      </c>
    </row>
    <row r="549" spans="3:5">
      <c r="C549" t="str">
        <v/>
      </c>
      <c r="E549" t="str">
        <v/>
      </c>
    </row>
    <row r="550" spans="3:5">
      <c r="C550" t="str">
        <v/>
      </c>
      <c r="E550" t="str">
        <v/>
      </c>
    </row>
    <row r="551" spans="3:5">
      <c r="C551" t="str">
        <v/>
      </c>
      <c r="E551" t="str">
        <v/>
      </c>
    </row>
    <row r="552" spans="3:5">
      <c r="C552" t="str">
        <v/>
      </c>
      <c r="E552" t="str">
        <v/>
      </c>
    </row>
    <row r="553" spans="3:5">
      <c r="C553" t="str">
        <v/>
      </c>
      <c r="E553" t="str">
        <v/>
      </c>
    </row>
    <row r="554" spans="3:5">
      <c r="C554" t="str">
        <v/>
      </c>
      <c r="E554" t="str">
        <v/>
      </c>
    </row>
    <row r="555" spans="3:5">
      <c r="C555" t="str">
        <v/>
      </c>
      <c r="E555" t="str">
        <v/>
      </c>
    </row>
    <row r="556" spans="3:5">
      <c r="C556" t="str">
        <v/>
      </c>
      <c r="E556" t="str">
        <v/>
      </c>
    </row>
    <row r="557" spans="3:5">
      <c r="C557" t="str">
        <v/>
      </c>
      <c r="E557" t="str">
        <v/>
      </c>
    </row>
    <row r="558" spans="3:5">
      <c r="C558" t="str">
        <v/>
      </c>
      <c r="E558" t="str">
        <v/>
      </c>
    </row>
    <row r="559" spans="3:5">
      <c r="C559" t="str">
        <v/>
      </c>
      <c r="E559" t="str">
        <v/>
      </c>
    </row>
    <row r="560" spans="3:5">
      <c r="C560" t="str">
        <v/>
      </c>
      <c r="E560" t="str">
        <v/>
      </c>
    </row>
    <row r="561" spans="3:5">
      <c r="C561" t="str">
        <v/>
      </c>
      <c r="E561" t="str">
        <v/>
      </c>
    </row>
    <row r="562" spans="3:5">
      <c r="C562" t="str">
        <v/>
      </c>
      <c r="E562" t="str">
        <v/>
      </c>
    </row>
    <row r="563" spans="3:5">
      <c r="C563" t="str">
        <v/>
      </c>
      <c r="E563" t="str">
        <v/>
      </c>
    </row>
    <row r="564" spans="3:5">
      <c r="C564" t="str">
        <v/>
      </c>
      <c r="E564" t="str">
        <v/>
      </c>
    </row>
    <row r="565" spans="3:5">
      <c r="C565" t="str">
        <v/>
      </c>
      <c r="E565" t="str">
        <v/>
      </c>
    </row>
    <row r="566" spans="3:5">
      <c r="C566" t="str">
        <v/>
      </c>
      <c r="E566" t="str">
        <v/>
      </c>
    </row>
    <row r="567" spans="3:5">
      <c r="C567" t="str">
        <v/>
      </c>
      <c r="E567" t="str">
        <v/>
      </c>
    </row>
    <row r="568" spans="3:5">
      <c r="C568" t="str">
        <v/>
      </c>
      <c r="E568" t="str">
        <v/>
      </c>
    </row>
    <row r="569" spans="3:5">
      <c r="C569" t="str">
        <v/>
      </c>
      <c r="E569" t="str">
        <v/>
      </c>
    </row>
    <row r="570" spans="3:5">
      <c r="C570" t="str">
        <v/>
      </c>
      <c r="E570" t="str">
        <v/>
      </c>
    </row>
    <row r="571" spans="3:5">
      <c r="C571" t="str">
        <v/>
      </c>
      <c r="E571" t="str">
        <v/>
      </c>
    </row>
    <row r="572" spans="3:5">
      <c r="C572" t="str">
        <v/>
      </c>
      <c r="E572" t="str">
        <v/>
      </c>
    </row>
    <row r="573" spans="3:5">
      <c r="C573" t="str">
        <v/>
      </c>
      <c r="E573" t="str">
        <v/>
      </c>
    </row>
    <row r="574" spans="3:5">
      <c r="C574" t="str">
        <v/>
      </c>
      <c r="E574" t="str">
        <v/>
      </c>
    </row>
    <row r="575" spans="3:5">
      <c r="C575" t="str">
        <v/>
      </c>
      <c r="E575" t="str">
        <v/>
      </c>
    </row>
    <row r="576" spans="3:5">
      <c r="C576" t="str">
        <v/>
      </c>
      <c r="E576" t="str">
        <v/>
      </c>
    </row>
    <row r="577" spans="3:5">
      <c r="C577" t="str">
        <v/>
      </c>
      <c r="E577" t="str">
        <v/>
      </c>
    </row>
    <row r="578" spans="3:5">
      <c r="C578" t="str">
        <v/>
      </c>
      <c r="E578" t="str">
        <v/>
      </c>
    </row>
    <row r="579" spans="3:5">
      <c r="C579" t="str">
        <v/>
      </c>
      <c r="E579" t="str">
        <v/>
      </c>
    </row>
    <row r="580" spans="3:5">
      <c r="C580" t="str">
        <v/>
      </c>
      <c r="E580" t="str">
        <v/>
      </c>
    </row>
    <row r="581" spans="3:5">
      <c r="C581" t="str">
        <v/>
      </c>
      <c r="E581" t="str">
        <v/>
      </c>
    </row>
    <row r="582" spans="3:5">
      <c r="C582" t="str">
        <v/>
      </c>
      <c r="E582" t="str">
        <v/>
      </c>
    </row>
    <row r="583" spans="3:5">
      <c r="C583" t="str">
        <v/>
      </c>
      <c r="E583" t="str">
        <v/>
      </c>
    </row>
    <row r="584" spans="3:5">
      <c r="C584" t="str">
        <v/>
      </c>
      <c r="E584" t="str">
        <v/>
      </c>
    </row>
    <row r="585" spans="3:5">
      <c r="C585" t="str">
        <v/>
      </c>
      <c r="E585" t="str">
        <v/>
      </c>
    </row>
    <row r="586" spans="3:5">
      <c r="C586" t="str">
        <v/>
      </c>
      <c r="E586" t="str">
        <v/>
      </c>
    </row>
    <row r="587" spans="3:5">
      <c r="C587" t="str">
        <v/>
      </c>
      <c r="E587" t="str">
        <v/>
      </c>
    </row>
    <row r="588" spans="3:5">
      <c r="C588" t="str">
        <v/>
      </c>
      <c r="E588" t="str">
        <v/>
      </c>
    </row>
    <row r="589" spans="3:5">
      <c r="C589" t="str">
        <v/>
      </c>
      <c r="E589" t="str">
        <v/>
      </c>
    </row>
    <row r="590" spans="3:5">
      <c r="C590" t="str">
        <v/>
      </c>
      <c r="E590" t="str">
        <v/>
      </c>
    </row>
    <row r="591" spans="3:5">
      <c r="C591" t="str">
        <v/>
      </c>
      <c r="E591" t="str">
        <v/>
      </c>
    </row>
    <row r="592" spans="3:5">
      <c r="C592" t="str">
        <v/>
      </c>
      <c r="E592" t="str">
        <v/>
      </c>
    </row>
    <row r="593" spans="3:5">
      <c r="C593" t="str">
        <v/>
      </c>
      <c r="E593" t="str">
        <v/>
      </c>
    </row>
    <row r="594" spans="3:5">
      <c r="C594" t="str">
        <v/>
      </c>
      <c r="E594" t="str">
        <v/>
      </c>
    </row>
    <row r="595" spans="3:5">
      <c r="C595" t="str">
        <v/>
      </c>
      <c r="E595" t="str">
        <v/>
      </c>
    </row>
    <row r="596" spans="3:5">
      <c r="C596" t="str">
        <v/>
      </c>
      <c r="E596" t="str">
        <v/>
      </c>
    </row>
    <row r="597" spans="3:5">
      <c r="C597" t="str">
        <v/>
      </c>
      <c r="E597" t="str">
        <v/>
      </c>
    </row>
    <row r="598" spans="3:5">
      <c r="C598" t="str">
        <v/>
      </c>
      <c r="E598" t="str">
        <v/>
      </c>
    </row>
    <row r="599" spans="3:5">
      <c r="C599" t="str">
        <v/>
      </c>
      <c r="E599" t="str">
        <v/>
      </c>
    </row>
    <row r="600" spans="3:5">
      <c r="C600" t="str">
        <v/>
      </c>
      <c r="E600" t="str">
        <v/>
      </c>
    </row>
    <row r="601" spans="3:5">
      <c r="C601" t="str">
        <v/>
      </c>
      <c r="E601" t="str">
        <v/>
      </c>
    </row>
    <row r="602" spans="3:5">
      <c r="C602" t="str">
        <v/>
      </c>
      <c r="E602" t="str">
        <v/>
      </c>
    </row>
    <row r="603" spans="3:5">
      <c r="C603" t="str">
        <v/>
      </c>
      <c r="E603" t="str">
        <v/>
      </c>
    </row>
    <row r="604" spans="3:5">
      <c r="C604" t="str">
        <v/>
      </c>
      <c r="E604" t="str">
        <v/>
      </c>
    </row>
    <row r="605" spans="3:5">
      <c r="C605" t="str">
        <v/>
      </c>
      <c r="E605" t="str">
        <v/>
      </c>
    </row>
    <row r="606" spans="3:5">
      <c r="C606" t="str">
        <v/>
      </c>
      <c r="E606" t="str">
        <v/>
      </c>
    </row>
    <row r="607" spans="3:5">
      <c r="C607" t="str">
        <v/>
      </c>
      <c r="E607" t="str">
        <v/>
      </c>
    </row>
    <row r="608" spans="3:5">
      <c r="C608" t="str">
        <v/>
      </c>
      <c r="E608" t="str">
        <v/>
      </c>
    </row>
    <row r="609" spans="3:5">
      <c r="C609" t="str">
        <v/>
      </c>
      <c r="E609" t="str">
        <v/>
      </c>
    </row>
    <row r="610" spans="3:5">
      <c r="C610" t="str">
        <v/>
      </c>
      <c r="E610" t="str">
        <v/>
      </c>
    </row>
    <row r="611" spans="3:5">
      <c r="C611" t="str">
        <v/>
      </c>
      <c r="E611" t="str">
        <v/>
      </c>
    </row>
    <row r="612" spans="3:5">
      <c r="C612" t="str">
        <v/>
      </c>
      <c r="E612" t="str">
        <v/>
      </c>
    </row>
    <row r="613" spans="3:5">
      <c r="C613" t="str">
        <v/>
      </c>
      <c r="E613" t="str">
        <v/>
      </c>
    </row>
    <row r="614" spans="3:5">
      <c r="C614" t="str">
        <v/>
      </c>
      <c r="E614" t="str">
        <v/>
      </c>
    </row>
    <row r="615" spans="3:5">
      <c r="C615" t="str">
        <v/>
      </c>
      <c r="E615" t="str">
        <v/>
      </c>
    </row>
    <row r="616" spans="3:5">
      <c r="C616" t="str">
        <v/>
      </c>
      <c r="E616" t="str">
        <v/>
      </c>
    </row>
    <row r="617" spans="3:5">
      <c r="C617" t="str">
        <v/>
      </c>
      <c r="E617" t="str">
        <v/>
      </c>
    </row>
    <row r="618" spans="3:5">
      <c r="C618" t="str">
        <v/>
      </c>
      <c r="E618" t="str">
        <v/>
      </c>
    </row>
    <row r="619" spans="3:5">
      <c r="C619" t="str">
        <v/>
      </c>
      <c r="E619" t="str">
        <v/>
      </c>
    </row>
    <row r="620" spans="3:5">
      <c r="C620" t="str">
        <v/>
      </c>
      <c r="E620" t="str">
        <v/>
      </c>
    </row>
    <row r="621" spans="3:5">
      <c r="C621" t="str">
        <v/>
      </c>
      <c r="E621" t="str">
        <v/>
      </c>
    </row>
    <row r="622" spans="3:5">
      <c r="C622" t="str">
        <v/>
      </c>
      <c r="E622" t="str">
        <v/>
      </c>
    </row>
    <row r="623" spans="3:5">
      <c r="C623" t="str">
        <v/>
      </c>
      <c r="E623" t="str">
        <v/>
      </c>
    </row>
    <row r="624" spans="3:5">
      <c r="C624" t="str">
        <v/>
      </c>
      <c r="E624" t="str">
        <v/>
      </c>
    </row>
    <row r="625" spans="3:5">
      <c r="C625" t="str">
        <v/>
      </c>
      <c r="E625" t="str">
        <v/>
      </c>
    </row>
    <row r="626" spans="3:5">
      <c r="C626" t="str">
        <v/>
      </c>
      <c r="E626" t="str">
        <v/>
      </c>
    </row>
    <row r="627" spans="3:5">
      <c r="C627" t="str">
        <v/>
      </c>
      <c r="E627" t="str">
        <v/>
      </c>
    </row>
    <row r="628" spans="3:5">
      <c r="C628" t="str">
        <v/>
      </c>
      <c r="E628" t="str">
        <v/>
      </c>
    </row>
    <row r="629" spans="3:5">
      <c r="C629" t="str">
        <v/>
      </c>
      <c r="E629" t="str">
        <v/>
      </c>
    </row>
    <row r="630" spans="3:5">
      <c r="C630" t="str">
        <v/>
      </c>
      <c r="E630" t="str">
        <v/>
      </c>
    </row>
    <row r="631" spans="3:5">
      <c r="C631" t="str">
        <v/>
      </c>
      <c r="E631" t="str">
        <v/>
      </c>
    </row>
    <row r="632" spans="3:5">
      <c r="C632" t="str">
        <v/>
      </c>
      <c r="E632" t="str">
        <v/>
      </c>
    </row>
    <row r="633" spans="3:5">
      <c r="C633" t="str">
        <v/>
      </c>
      <c r="E633" t="str">
        <v/>
      </c>
    </row>
    <row r="634" spans="3:5">
      <c r="C634" t="str">
        <v/>
      </c>
      <c r="E634" t="str">
        <v/>
      </c>
    </row>
    <row r="635" spans="3:5">
      <c r="C635" t="str">
        <v/>
      </c>
      <c r="E635" t="str">
        <v/>
      </c>
    </row>
    <row r="636" spans="3:5">
      <c r="C636" t="str">
        <v/>
      </c>
      <c r="E636" t="str">
        <v/>
      </c>
    </row>
    <row r="637" spans="3:5">
      <c r="C637" t="str">
        <v/>
      </c>
      <c r="E637" t="str">
        <v/>
      </c>
    </row>
    <row r="638" spans="3:5">
      <c r="C638" t="str">
        <v/>
      </c>
      <c r="E638" t="str">
        <v/>
      </c>
    </row>
    <row r="639" spans="3:5">
      <c r="C639" t="str">
        <v/>
      </c>
      <c r="E639" t="str">
        <v/>
      </c>
    </row>
    <row r="640" spans="3:5">
      <c r="C640" t="str">
        <v/>
      </c>
      <c r="E640" t="str">
        <v/>
      </c>
    </row>
    <row r="641" spans="3:5">
      <c r="C641" t="str">
        <v/>
      </c>
      <c r="E641" t="str">
        <v/>
      </c>
    </row>
    <row r="642" spans="3:5">
      <c r="C642" t="str">
        <v/>
      </c>
      <c r="E642" t="str">
        <v/>
      </c>
    </row>
    <row r="643" spans="3:5">
      <c r="C643" t="str">
        <v/>
      </c>
      <c r="E643" t="str">
        <v/>
      </c>
    </row>
    <row r="644" spans="3:5">
      <c r="C644" t="str">
        <v/>
      </c>
      <c r="E644" t="str">
        <v/>
      </c>
    </row>
    <row r="645" spans="3:5">
      <c r="C645" t="str">
        <v/>
      </c>
      <c r="E645" t="str">
        <v/>
      </c>
    </row>
    <row r="646" spans="3:5">
      <c r="C646" t="str">
        <v/>
      </c>
      <c r="E646" t="str">
        <v/>
      </c>
    </row>
    <row r="647" spans="3:5">
      <c r="C647" t="str">
        <v/>
      </c>
      <c r="E647" t="str">
        <v/>
      </c>
    </row>
    <row r="648" spans="3:5">
      <c r="C648" t="str">
        <v/>
      </c>
      <c r="E648" t="str">
        <v/>
      </c>
    </row>
    <row r="649" spans="3:5">
      <c r="C649" t="str">
        <v/>
      </c>
      <c r="E649" t="str">
        <v/>
      </c>
    </row>
    <row r="650" spans="3:5">
      <c r="C650" t="str">
        <v/>
      </c>
      <c r="E650" t="str">
        <v/>
      </c>
    </row>
    <row r="651" spans="3:5">
      <c r="C651" t="str">
        <v/>
      </c>
      <c r="E651" t="str">
        <v/>
      </c>
    </row>
    <row r="652" spans="3:5">
      <c r="C652" t="str">
        <v/>
      </c>
      <c r="E652" t="str">
        <v/>
      </c>
    </row>
    <row r="653" spans="3:5">
      <c r="C653" t="str">
        <v/>
      </c>
      <c r="E653" t="str">
        <v/>
      </c>
    </row>
    <row r="654" spans="3:5">
      <c r="C654" t="str">
        <v/>
      </c>
      <c r="E654" t="str">
        <v/>
      </c>
    </row>
    <row r="655" spans="3:5">
      <c r="C655" t="str">
        <v/>
      </c>
      <c r="E655" t="str">
        <v/>
      </c>
    </row>
    <row r="656" spans="3:5">
      <c r="C656" t="str">
        <v/>
      </c>
      <c r="E656" t="str">
        <v/>
      </c>
    </row>
    <row r="657" spans="3:5">
      <c r="C657" t="str">
        <v/>
      </c>
      <c r="E657" t="str">
        <v/>
      </c>
    </row>
    <row r="658" spans="3:5">
      <c r="C658" t="str">
        <v/>
      </c>
      <c r="E658" t="str">
        <v/>
      </c>
    </row>
    <row r="659" spans="3:5">
      <c r="C659" t="str">
        <v/>
      </c>
      <c r="E659" t="str">
        <v/>
      </c>
    </row>
    <row r="660" spans="3:5">
      <c r="C660" t="str">
        <v/>
      </c>
      <c r="E660" t="str">
        <v/>
      </c>
    </row>
    <row r="661" spans="3:5">
      <c r="C661" t="str">
        <v/>
      </c>
      <c r="E661" t="str">
        <v/>
      </c>
    </row>
    <row r="662" spans="3:5">
      <c r="C662" t="str">
        <v/>
      </c>
      <c r="E662" t="str">
        <v/>
      </c>
    </row>
    <row r="663" spans="3:5">
      <c r="C663" t="str">
        <v/>
      </c>
      <c r="E663" t="str">
        <v/>
      </c>
    </row>
    <row r="664" spans="3:5">
      <c r="C664" t="str">
        <v/>
      </c>
      <c r="E664" t="str">
        <v/>
      </c>
    </row>
    <row r="665" spans="3:5">
      <c r="C665" t="str">
        <v/>
      </c>
      <c r="E665" t="str">
        <v/>
      </c>
    </row>
    <row r="666" spans="3:5">
      <c r="C666" t="str">
        <v/>
      </c>
      <c r="E666" t="str">
        <v/>
      </c>
    </row>
    <row r="667" spans="3:5">
      <c r="C667" t="str">
        <v/>
      </c>
      <c r="E667" t="str">
        <v/>
      </c>
    </row>
    <row r="668" spans="3:5">
      <c r="C668" t="str">
        <v/>
      </c>
      <c r="E668" t="str">
        <v/>
      </c>
    </row>
    <row r="669" spans="3:5">
      <c r="C669" t="str">
        <v/>
      </c>
      <c r="E669" t="str">
        <v/>
      </c>
    </row>
    <row r="670" spans="3:5">
      <c r="C670" t="str">
        <v/>
      </c>
      <c r="E670" t="str">
        <v/>
      </c>
    </row>
    <row r="671" spans="3:5">
      <c r="C671" t="str">
        <v/>
      </c>
      <c r="E671" t="str">
        <v/>
      </c>
    </row>
    <row r="672" spans="3:5">
      <c r="C672" t="str">
        <v/>
      </c>
      <c r="E672" t="str">
        <v/>
      </c>
    </row>
    <row r="673" spans="3:5">
      <c r="C673" t="str">
        <v/>
      </c>
      <c r="E673" t="str">
        <v/>
      </c>
    </row>
    <row r="674" spans="3:5">
      <c r="C674" t="str">
        <v/>
      </c>
      <c r="E674" t="str">
        <v/>
      </c>
    </row>
    <row r="675" spans="3:5">
      <c r="C675" t="str">
        <v/>
      </c>
      <c r="E675" t="str">
        <v/>
      </c>
    </row>
    <row r="676" spans="3:5">
      <c r="C676" t="str">
        <v/>
      </c>
      <c r="E676" t="str">
        <v/>
      </c>
    </row>
    <row r="677" spans="3:5">
      <c r="C677" t="str">
        <v/>
      </c>
      <c r="E677" t="str">
        <v/>
      </c>
    </row>
    <row r="678" spans="3:5">
      <c r="C678" t="str">
        <v/>
      </c>
      <c r="E678" t="str">
        <v/>
      </c>
    </row>
    <row r="679" spans="3:5">
      <c r="C679" t="str">
        <v/>
      </c>
      <c r="E679" t="str">
        <v/>
      </c>
    </row>
    <row r="680" spans="3:5">
      <c r="C680" t="str">
        <v/>
      </c>
      <c r="E680" t="str">
        <v/>
      </c>
    </row>
    <row r="681" spans="3:5">
      <c r="C681" t="str">
        <v/>
      </c>
      <c r="E681" t="str">
        <v/>
      </c>
    </row>
    <row r="682" spans="3:5">
      <c r="C682" t="str">
        <v/>
      </c>
      <c r="E682" t="str">
        <v/>
      </c>
    </row>
    <row r="683" spans="3:5">
      <c r="C683" t="str">
        <v/>
      </c>
      <c r="E683" t="str">
        <v/>
      </c>
    </row>
    <row r="684" spans="3:5">
      <c r="C684" t="str">
        <v/>
      </c>
      <c r="E684" t="str">
        <v/>
      </c>
    </row>
    <row r="685" spans="3:5">
      <c r="C685" t="str">
        <v/>
      </c>
      <c r="E685" t="str">
        <v/>
      </c>
    </row>
    <row r="686" spans="3:5">
      <c r="C686" t="str">
        <v/>
      </c>
      <c r="E686" t="str">
        <v/>
      </c>
    </row>
    <row r="687" spans="3:5">
      <c r="C687" t="str">
        <v/>
      </c>
      <c r="E687" t="str">
        <v/>
      </c>
    </row>
    <row r="688" spans="3:5">
      <c r="C688" t="str">
        <v/>
      </c>
      <c r="E688" t="str">
        <v/>
      </c>
    </row>
    <row r="689" spans="3:5">
      <c r="C689" t="str">
        <v/>
      </c>
      <c r="E689" t="str">
        <v/>
      </c>
    </row>
    <row r="690" spans="3:5">
      <c r="C690" t="str">
        <v/>
      </c>
      <c r="E690" t="str">
        <v/>
      </c>
    </row>
    <row r="691" spans="3:5">
      <c r="C691" t="str">
        <v/>
      </c>
      <c r="E691" t="str">
        <v/>
      </c>
    </row>
    <row r="692" spans="3:5">
      <c r="C692" t="str">
        <v/>
      </c>
      <c r="E692" t="str">
        <v/>
      </c>
    </row>
    <row r="693" spans="3:5">
      <c r="C693" t="str">
        <v/>
      </c>
      <c r="E693" t="str">
        <v/>
      </c>
    </row>
    <row r="694" spans="3:5">
      <c r="C694" t="str">
        <v/>
      </c>
      <c r="E694" t="str">
        <v/>
      </c>
    </row>
    <row r="695" spans="3:5">
      <c r="C695" t="str">
        <v/>
      </c>
      <c r="E695" t="str">
        <v/>
      </c>
    </row>
    <row r="696" spans="3:5">
      <c r="C696" t="str">
        <v/>
      </c>
      <c r="E696" t="str">
        <v/>
      </c>
    </row>
    <row r="697" spans="3:5">
      <c r="C697" t="str">
        <v/>
      </c>
      <c r="E697" t="str">
        <v/>
      </c>
    </row>
    <row r="698" spans="3:5">
      <c r="C698" t="str">
        <v/>
      </c>
      <c r="E698" t="str">
        <v/>
      </c>
    </row>
    <row r="699" spans="3:5">
      <c r="C699" t="str">
        <v/>
      </c>
      <c r="E699" t="str">
        <v/>
      </c>
    </row>
    <row r="700" spans="3:5">
      <c r="C700" t="str">
        <v/>
      </c>
      <c r="E700" t="str">
        <v/>
      </c>
    </row>
    <row r="701" spans="3:5">
      <c r="C701" t="str">
        <v/>
      </c>
      <c r="E701" t="str">
        <v/>
      </c>
    </row>
    <row r="702" spans="3:5">
      <c r="C702" t="str">
        <v/>
      </c>
      <c r="E702" t="str">
        <v/>
      </c>
    </row>
    <row r="703" spans="3:5">
      <c r="C703" t="str">
        <v/>
      </c>
      <c r="E703" t="str">
        <v/>
      </c>
    </row>
    <row r="704" spans="3:5">
      <c r="C704" t="str">
        <v/>
      </c>
      <c r="E704" t="str">
        <v/>
      </c>
    </row>
    <row r="705" spans="3:5">
      <c r="C705" t="str">
        <v/>
      </c>
      <c r="E705" t="str">
        <v/>
      </c>
    </row>
    <row r="706" spans="3:5">
      <c r="C706" t="str">
        <v/>
      </c>
      <c r="E706" t="str">
        <v/>
      </c>
    </row>
    <row r="707" spans="3:5">
      <c r="C707" t="str">
        <v/>
      </c>
      <c r="E707" t="str">
        <v/>
      </c>
    </row>
    <row r="708" spans="3:5">
      <c r="C708" t="str">
        <v/>
      </c>
      <c r="E708" t="str">
        <v/>
      </c>
    </row>
    <row r="709" spans="3:5">
      <c r="C709" t="str">
        <v/>
      </c>
      <c r="E709" t="str">
        <v/>
      </c>
    </row>
    <row r="710" spans="3:5">
      <c r="C710" t="str">
        <v/>
      </c>
      <c r="E710" t="str">
        <v/>
      </c>
    </row>
    <row r="711" spans="3:5">
      <c r="C711" t="str">
        <v/>
      </c>
      <c r="E711" t="str">
        <v/>
      </c>
    </row>
    <row r="712" spans="3:5">
      <c r="C712" t="str">
        <v/>
      </c>
      <c r="E712" t="str">
        <v/>
      </c>
    </row>
    <row r="713" spans="3:5">
      <c r="C713" t="str">
        <v/>
      </c>
      <c r="E713" t="str">
        <v/>
      </c>
    </row>
    <row r="714" spans="3:5">
      <c r="C714" t="str">
        <v/>
      </c>
      <c r="E714" t="str">
        <v/>
      </c>
    </row>
    <row r="715" spans="3:5">
      <c r="C715" t="str">
        <v/>
      </c>
      <c r="E715" t="str">
        <v/>
      </c>
    </row>
    <row r="716" spans="3:5">
      <c r="C716" t="str">
        <v/>
      </c>
      <c r="E716" t="str">
        <v/>
      </c>
    </row>
    <row r="717" spans="3:5">
      <c r="C717" t="str">
        <v/>
      </c>
      <c r="E717" t="str">
        <v/>
      </c>
    </row>
    <row r="718" spans="3:5">
      <c r="C718" t="str">
        <v/>
      </c>
      <c r="E718" t="str">
        <v/>
      </c>
    </row>
    <row r="719" spans="3:5">
      <c r="C719" t="str">
        <v/>
      </c>
      <c r="E719" t="str">
        <v/>
      </c>
    </row>
    <row r="720" spans="3:5">
      <c r="C720" t="str">
        <v/>
      </c>
      <c r="E720" t="str">
        <v/>
      </c>
    </row>
    <row r="721" spans="3:5">
      <c r="C721" t="str">
        <v/>
      </c>
      <c r="E721" t="str">
        <v/>
      </c>
    </row>
    <row r="722" spans="3:5">
      <c r="C722" t="str">
        <v/>
      </c>
      <c r="E722" t="str">
        <v/>
      </c>
    </row>
    <row r="723" spans="3:5">
      <c r="C723" t="str">
        <v/>
      </c>
      <c r="E723" t="str">
        <v/>
      </c>
    </row>
    <row r="724" spans="3:5">
      <c r="C724" t="str">
        <v/>
      </c>
      <c r="E724" t="str">
        <v/>
      </c>
    </row>
    <row r="725" spans="3:5">
      <c r="C725" t="str">
        <v/>
      </c>
      <c r="E725" t="str">
        <v/>
      </c>
    </row>
    <row r="726" spans="3:5">
      <c r="C726" t="str">
        <v/>
      </c>
      <c r="E726" t="str">
        <v/>
      </c>
    </row>
    <row r="727" spans="3:5">
      <c r="C727" t="str">
        <v/>
      </c>
      <c r="E727" t="str">
        <v/>
      </c>
    </row>
    <row r="728" spans="3:5">
      <c r="C728" t="str">
        <v/>
      </c>
      <c r="E728" t="str">
        <v/>
      </c>
    </row>
    <row r="729" spans="3:5">
      <c r="C729" t="str">
        <v/>
      </c>
      <c r="E729" t="str">
        <v/>
      </c>
    </row>
    <row r="730" spans="3:5">
      <c r="C730" t="str">
        <v/>
      </c>
      <c r="E730" t="str">
        <v/>
      </c>
    </row>
    <row r="731" spans="3:5">
      <c r="C731" t="str">
        <v/>
      </c>
      <c r="E731" t="str">
        <v/>
      </c>
    </row>
    <row r="732" spans="3:5">
      <c r="C732" t="str">
        <v/>
      </c>
      <c r="E732" t="str">
        <v/>
      </c>
    </row>
    <row r="733" spans="3:5">
      <c r="C733" t="str">
        <v/>
      </c>
      <c r="E733" t="str">
        <v/>
      </c>
    </row>
    <row r="734" spans="3:5">
      <c r="C734" t="str">
        <v/>
      </c>
      <c r="E734" t="str">
        <v/>
      </c>
    </row>
    <row r="735" spans="3:5">
      <c r="C735" t="str">
        <v/>
      </c>
      <c r="E735" t="str">
        <v/>
      </c>
    </row>
    <row r="736" spans="3:5">
      <c r="C736" t="str">
        <v/>
      </c>
      <c r="E736" t="str">
        <v/>
      </c>
    </row>
    <row r="737" spans="3:5">
      <c r="C737" t="str">
        <v/>
      </c>
      <c r="E737" t="str">
        <v/>
      </c>
    </row>
    <row r="738" spans="3:5">
      <c r="C738" t="str">
        <v/>
      </c>
      <c r="E738" t="str">
        <v/>
      </c>
    </row>
    <row r="739" spans="3:5">
      <c r="C739" t="str">
        <v/>
      </c>
      <c r="E739" t="str">
        <v/>
      </c>
    </row>
    <row r="740" spans="3:5">
      <c r="C740" t="str">
        <v/>
      </c>
      <c r="E740" t="str">
        <v/>
      </c>
    </row>
    <row r="741" spans="3:5">
      <c r="C741" t="str">
        <v/>
      </c>
      <c r="E741" t="str">
        <v/>
      </c>
    </row>
    <row r="742" spans="3:5">
      <c r="C742" t="str">
        <v/>
      </c>
      <c r="E742" t="str">
        <v/>
      </c>
    </row>
    <row r="743" spans="3:5">
      <c r="C743" t="str">
        <v/>
      </c>
      <c r="E743" t="str">
        <v/>
      </c>
    </row>
    <row r="744" spans="3:5">
      <c r="C744" t="str">
        <v/>
      </c>
      <c r="E744" t="str">
        <v/>
      </c>
    </row>
    <row r="745" spans="3:5">
      <c r="C745" t="str">
        <v/>
      </c>
      <c r="E745" t="str">
        <v/>
      </c>
    </row>
    <row r="746" spans="3:5">
      <c r="C746" t="str">
        <v/>
      </c>
      <c r="E746" t="str">
        <v/>
      </c>
    </row>
    <row r="747" spans="3:5">
      <c r="C747" t="str">
        <v/>
      </c>
      <c r="E747" t="str">
        <v/>
      </c>
    </row>
    <row r="748" spans="3:5">
      <c r="C748" t="str">
        <v/>
      </c>
      <c r="E748" t="str">
        <v/>
      </c>
    </row>
    <row r="749" spans="3:5">
      <c r="C749" t="str">
        <v/>
      </c>
      <c r="E749" t="str">
        <v/>
      </c>
    </row>
    <row r="750" spans="3:5">
      <c r="C750" t="str">
        <v/>
      </c>
      <c r="E750" t="str">
        <v/>
      </c>
    </row>
    <row r="751" spans="3:5">
      <c r="C751" t="str">
        <v/>
      </c>
      <c r="E751" t="str">
        <v/>
      </c>
    </row>
    <row r="752" spans="3:5">
      <c r="C752" t="str">
        <v/>
      </c>
      <c r="E752" t="str">
        <v/>
      </c>
    </row>
    <row r="753" spans="3:5">
      <c r="C753" t="str">
        <v/>
      </c>
      <c r="E753" t="str">
        <v/>
      </c>
    </row>
    <row r="754" spans="3:5">
      <c r="C754" t="str">
        <v/>
      </c>
      <c r="E754" t="str">
        <v/>
      </c>
    </row>
    <row r="755" spans="3:5">
      <c r="C755" t="str">
        <v/>
      </c>
      <c r="E755" t="str">
        <v/>
      </c>
    </row>
    <row r="756" spans="3:5">
      <c r="C756" t="str">
        <v/>
      </c>
      <c r="E756" t="str">
        <v/>
      </c>
    </row>
    <row r="757" spans="3:5">
      <c r="C757" t="str">
        <v/>
      </c>
      <c r="E757" t="str">
        <v/>
      </c>
    </row>
    <row r="758" spans="3:5">
      <c r="C758" t="str">
        <v/>
      </c>
      <c r="E758" t="str">
        <v/>
      </c>
    </row>
    <row r="759" spans="3:5">
      <c r="C759" t="str">
        <v/>
      </c>
      <c r="E759" t="str">
        <v/>
      </c>
    </row>
    <row r="760" spans="3:5">
      <c r="C760" t="str">
        <v/>
      </c>
      <c r="E760" t="str">
        <v/>
      </c>
    </row>
    <row r="761" spans="3:5">
      <c r="C761" t="str">
        <v/>
      </c>
      <c r="E761" t="str">
        <v/>
      </c>
    </row>
    <row r="762" spans="3:5">
      <c r="C762" t="str">
        <v/>
      </c>
      <c r="E762" t="str">
        <v/>
      </c>
    </row>
    <row r="763" spans="3:5">
      <c r="C763" t="str">
        <v/>
      </c>
      <c r="E763" t="str">
        <v/>
      </c>
    </row>
  </sheetData>
  <conditionalFormatting sqref="C3:D58">
    <cfRule type="cellIs" dxfId="11" priority="7" operator="between">
      <formula>7</formula>
      <formula>8.99</formula>
    </cfRule>
    <cfRule type="cellIs" dxfId="10" priority="8" operator="between">
      <formula>11</formula>
      <formula>11000000</formula>
    </cfRule>
    <cfRule type="cellIs" dxfId="9" priority="9" operator="between">
      <formula>9</formula>
      <formula>10.99</formula>
    </cfRule>
    <cfRule type="cellIs" dxfId="8" priority="10" operator="between">
      <formula>1.1</formula>
      <formula>3</formula>
    </cfRule>
    <cfRule type="cellIs" dxfId="7" priority="11" operator="between">
      <formula>3.1</formula>
      <formula>6.99</formula>
    </cfRule>
    <cfRule type="cellIs" dxfId="6" priority="12" operator="between">
      <formula>0</formula>
      <formula>1</formula>
    </cfRule>
  </conditionalFormatting>
  <conditionalFormatting sqref="F3:F221">
    <cfRule type="cellIs" dxfId="5" priority="1" operator="between">
      <formula>($F$1/12)*9</formula>
      <formula>($F$1/12)*12</formula>
    </cfRule>
    <cfRule type="cellIs" dxfId="4" priority="2" operator="between">
      <formula>($F$1/12)*7</formula>
      <formula>($F$1/12)*9</formula>
    </cfRule>
    <cfRule type="cellIs" dxfId="3" priority="3" operator="between">
      <formula>($F$1/12)*5</formula>
      <formula>($F$1/12)*7</formula>
    </cfRule>
    <cfRule type="cellIs" dxfId="2" priority="4" operator="between">
      <formula>($F$1/12)*3</formula>
      <formula>($F$1/12)*5</formula>
    </cfRule>
    <cfRule type="cellIs" dxfId="1" priority="5" operator="between">
      <formula>($F$1/12)*1</formula>
      <formula>($F$1/12)*3</formula>
    </cfRule>
    <cfRule type="cellIs" dxfId="0" priority="6" operator="between">
      <formula>0</formula>
      <formula>($F$1/12)*1</formula>
    </cfRule>
  </conditionalFormatting>
  <dataValidations count="2">
    <dataValidation type="list" allowBlank="1" showInputMessage="1" showErrorMessage="1" sqref="C2:D2 F2" xr:uid="{870BEB58-6AE5-4310-949A-0BA438D8D1F3}">
      <formula1>EXTRACCIONES</formula1>
    </dataValidation>
    <dataValidation type="list" allowBlank="1" showInputMessage="1" showErrorMessage="1" sqref="E2" xr:uid="{60951D33-70E5-435F-9833-BCD53BECA5B7}">
      <formula1>PROFESIONES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67950-8D38-44BC-ADA9-CE4CFB5DF8B4}">
  <dimension ref="A1:M55"/>
  <sheetViews>
    <sheetView tabSelected="1" workbookViewId="0">
      <selection activeCell="B1" sqref="B1:L20"/>
    </sheetView>
  </sheetViews>
  <sheetFormatPr baseColWidth="10" defaultRowHeight="15"/>
  <cols>
    <col min="1" max="1" width="11.42578125" style="158"/>
    <col min="3" max="3" width="20.5703125" customWidth="1"/>
    <col min="4" max="4" width="19.42578125" customWidth="1"/>
    <col min="5" max="5" width="17.42578125" style="158" customWidth="1"/>
    <col min="6" max="6" width="19.42578125" customWidth="1"/>
    <col min="7" max="7" width="13.140625" customWidth="1"/>
    <col min="8" max="8" width="18.140625" customWidth="1"/>
    <col min="10" max="10" width="19.7109375" customWidth="1"/>
  </cols>
  <sheetData>
    <row r="1" spans="2:11" s="186" customFormat="1" ht="18.75">
      <c r="C1" s="186" t="s">
        <v>1360</v>
      </c>
      <c r="D1" s="186" t="s">
        <v>1361</v>
      </c>
      <c r="E1" s="186" t="s">
        <v>1366</v>
      </c>
      <c r="F1" s="186" t="s">
        <v>1362</v>
      </c>
      <c r="G1" s="186" t="s">
        <v>1365</v>
      </c>
      <c r="H1" s="186" t="s">
        <v>1363</v>
      </c>
      <c r="I1" s="186" t="s">
        <v>1365</v>
      </c>
      <c r="J1" s="186" t="s">
        <v>1364</v>
      </c>
      <c r="K1" s="186" t="s">
        <v>1365</v>
      </c>
    </row>
    <row r="2" spans="2:11">
      <c r="B2" s="223"/>
      <c r="C2" t="s">
        <v>1358</v>
      </c>
      <c r="D2" t="s">
        <v>1359</v>
      </c>
      <c r="E2" s="158" t="s">
        <v>1367</v>
      </c>
      <c r="F2" t="str">
        <f>C7</f>
        <v>Cañon olvidado</v>
      </c>
      <c r="G2">
        <v>1</v>
      </c>
      <c r="H2" t="str">
        <f>C12</f>
        <v>Cavernas de Hellvalan</v>
      </c>
      <c r="I2">
        <v>2</v>
      </c>
      <c r="J2" t="str">
        <f>C17</f>
        <v>Rios profundos</v>
      </c>
      <c r="K2">
        <v>3</v>
      </c>
    </row>
    <row r="3" spans="2:11">
      <c r="B3" s="223"/>
      <c r="C3" t="s">
        <v>1368</v>
      </c>
      <c r="D3" t="s">
        <v>1369</v>
      </c>
      <c r="E3" s="158" t="s">
        <v>1370</v>
      </c>
      <c r="F3" t="str">
        <f>C8</f>
        <v>Planicies Venloth</v>
      </c>
      <c r="G3">
        <v>1</v>
      </c>
      <c r="H3" s="187" t="str">
        <f t="shared" ref="H3:H5" si="0">C13</f>
        <v>Islas Lejanas</v>
      </c>
      <c r="I3">
        <v>2</v>
      </c>
      <c r="J3" s="187" t="str">
        <f t="shared" ref="J3:J5" si="1">C18</f>
        <v>Montañas Celestes</v>
      </c>
      <c r="K3">
        <v>3</v>
      </c>
    </row>
    <row r="4" spans="2:11">
      <c r="B4" s="223"/>
      <c r="C4" t="s">
        <v>1372</v>
      </c>
      <c r="D4" t="s">
        <v>1384</v>
      </c>
      <c r="E4" s="158" t="s">
        <v>1373</v>
      </c>
      <c r="F4" t="str">
        <f>C9</f>
        <v>Bosque Sorgrim</v>
      </c>
      <c r="G4">
        <v>1</v>
      </c>
      <c r="H4" s="187" t="str">
        <f t="shared" si="0"/>
        <v>Bosque Silencioso</v>
      </c>
      <c r="I4">
        <v>2</v>
      </c>
      <c r="J4" s="187" t="str">
        <f t="shared" si="1"/>
        <v>llanura silvestre</v>
      </c>
      <c r="K4">
        <v>3</v>
      </c>
    </row>
    <row r="5" spans="2:11" ht="14.25" customHeight="1">
      <c r="B5" s="223"/>
      <c r="C5" t="s">
        <v>1371</v>
      </c>
      <c r="D5" t="s">
        <v>1374</v>
      </c>
      <c r="E5" s="158" t="s">
        <v>1375</v>
      </c>
      <c r="F5" t="str">
        <f>C10</f>
        <v>Cienega espesa</v>
      </c>
      <c r="G5">
        <v>1</v>
      </c>
      <c r="H5" s="187" t="str">
        <f t="shared" si="0"/>
        <v>Fisuras de Duraj</v>
      </c>
      <c r="I5">
        <v>2</v>
      </c>
      <c r="J5" s="187" t="str">
        <f t="shared" si="1"/>
        <v>Dunas de Duraj</v>
      </c>
      <c r="K5">
        <v>3</v>
      </c>
    </row>
    <row r="6" spans="2:11" s="186" customFormat="1" ht="18.75">
      <c r="C6" s="186" t="s">
        <v>1376</v>
      </c>
      <c r="D6" s="186" t="s">
        <v>1360</v>
      </c>
      <c r="E6" s="186" t="s">
        <v>1366</v>
      </c>
      <c r="F6" s="186" t="s">
        <v>1377</v>
      </c>
      <c r="G6" s="186" t="s">
        <v>1378</v>
      </c>
      <c r="H6" s="186" t="s">
        <v>1379</v>
      </c>
      <c r="I6" s="186" t="s">
        <v>1380</v>
      </c>
      <c r="J6" s="186" t="s">
        <v>1381</v>
      </c>
      <c r="K6" s="186" t="s">
        <v>1382</v>
      </c>
    </row>
    <row r="7" spans="2:11">
      <c r="B7" s="223" t="s">
        <v>1390</v>
      </c>
      <c r="C7" t="s">
        <v>1427</v>
      </c>
      <c r="D7" t="str">
        <f>$C$2</f>
        <v>Hellvalan</v>
      </c>
      <c r="E7" s="158" t="s">
        <v>1383</v>
      </c>
      <c r="F7" t="s">
        <v>1388</v>
      </c>
      <c r="G7" t="s">
        <v>1389</v>
      </c>
      <c r="J7" t="s">
        <v>1424</v>
      </c>
      <c r="K7" t="s">
        <v>1425</v>
      </c>
    </row>
    <row r="8" spans="2:11">
      <c r="B8" s="223"/>
      <c r="C8" t="s">
        <v>1426</v>
      </c>
      <c r="D8" t="str">
        <f>$C$3</f>
        <v>Venloth</v>
      </c>
      <c r="E8" s="158" t="s">
        <v>1370</v>
      </c>
      <c r="F8" t="s">
        <v>1387</v>
      </c>
      <c r="G8" t="s">
        <v>1083</v>
      </c>
      <c r="H8" t="s">
        <v>841</v>
      </c>
      <c r="J8" t="s">
        <v>1424</v>
      </c>
      <c r="K8" t="s">
        <v>1425</v>
      </c>
    </row>
    <row r="9" spans="2:11">
      <c r="B9" s="223"/>
      <c r="C9" t="s">
        <v>1428</v>
      </c>
      <c r="D9" t="str">
        <f>$C$4</f>
        <v>Sorgrim</v>
      </c>
      <c r="E9" s="158" t="s">
        <v>1373</v>
      </c>
      <c r="F9" t="s">
        <v>1386</v>
      </c>
      <c r="G9" t="s">
        <v>1387</v>
      </c>
      <c r="H9" t="s">
        <v>841</v>
      </c>
      <c r="J9" t="s">
        <v>1424</v>
      </c>
      <c r="K9" t="s">
        <v>1425</v>
      </c>
    </row>
    <row r="10" spans="2:11">
      <c r="B10" s="223"/>
      <c r="C10" t="s">
        <v>1385</v>
      </c>
      <c r="D10" t="str">
        <f>$C$5</f>
        <v>Duraj</v>
      </c>
      <c r="E10" s="158" t="s">
        <v>1375</v>
      </c>
      <c r="F10" t="s">
        <v>126</v>
      </c>
      <c r="G10" t="s">
        <v>1389</v>
      </c>
      <c r="H10" t="s">
        <v>841</v>
      </c>
      <c r="J10" t="s">
        <v>1424</v>
      </c>
      <c r="K10" t="s">
        <v>1425</v>
      </c>
    </row>
    <row r="11" spans="2:11" s="186" customFormat="1" ht="18.75">
      <c r="C11" s="186" t="s">
        <v>1376</v>
      </c>
      <c r="D11" s="186" t="s">
        <v>1360</v>
      </c>
      <c r="E11" s="186" t="s">
        <v>1366</v>
      </c>
      <c r="F11" s="186" t="s">
        <v>1377</v>
      </c>
      <c r="G11" s="186" t="s">
        <v>1378</v>
      </c>
      <c r="H11" s="186" t="s">
        <v>1379</v>
      </c>
      <c r="I11" s="186" t="s">
        <v>1380</v>
      </c>
      <c r="J11" s="186" t="s">
        <v>1381</v>
      </c>
      <c r="K11" s="186" t="s">
        <v>1382</v>
      </c>
    </row>
    <row r="12" spans="2:11" ht="15" customHeight="1">
      <c r="B12" s="223" t="s">
        <v>1391</v>
      </c>
      <c r="C12" t="s">
        <v>1402</v>
      </c>
      <c r="D12" s="158" t="str">
        <f>$C$2</f>
        <v>Hellvalan</v>
      </c>
      <c r="E12" s="158" t="s">
        <v>1367</v>
      </c>
      <c r="F12" t="s">
        <v>1210</v>
      </c>
      <c r="G12" t="s">
        <v>672</v>
      </c>
      <c r="H12" t="s">
        <v>844</v>
      </c>
      <c r="I12" t="s">
        <v>551</v>
      </c>
    </row>
    <row r="13" spans="2:11" ht="15" customHeight="1">
      <c r="B13" s="223"/>
      <c r="C13" t="s">
        <v>1403</v>
      </c>
      <c r="D13" s="158" t="str">
        <f>$C$3</f>
        <v>Venloth</v>
      </c>
      <c r="E13" s="158" t="s">
        <v>1398</v>
      </c>
      <c r="F13" t="s">
        <v>1394</v>
      </c>
      <c r="G13" t="s">
        <v>992</v>
      </c>
      <c r="H13" t="s">
        <v>1396</v>
      </c>
    </row>
    <row r="14" spans="2:11" ht="15" customHeight="1">
      <c r="B14" s="223"/>
      <c r="C14" t="s">
        <v>1404</v>
      </c>
      <c r="D14" s="158" t="str">
        <f>$C$4</f>
        <v>Sorgrim</v>
      </c>
      <c r="E14" s="158" t="s">
        <v>1399</v>
      </c>
      <c r="F14" t="s">
        <v>1392</v>
      </c>
      <c r="G14" t="s">
        <v>1395</v>
      </c>
      <c r="H14" t="s">
        <v>1397</v>
      </c>
    </row>
    <row r="15" spans="2:11" ht="15" customHeight="1">
      <c r="B15" s="223"/>
      <c r="C15" t="s">
        <v>1405</v>
      </c>
      <c r="D15" s="158" t="str">
        <f>$C$5</f>
        <v>Duraj</v>
      </c>
      <c r="E15" s="158" t="s">
        <v>1400</v>
      </c>
      <c r="F15" t="s">
        <v>122</v>
      </c>
      <c r="G15" t="s">
        <v>844</v>
      </c>
      <c r="H15" t="s">
        <v>1069</v>
      </c>
    </row>
    <row r="16" spans="2:11" s="186" customFormat="1" ht="18.75">
      <c r="C16" s="186" t="s">
        <v>1376</v>
      </c>
      <c r="D16" s="186" t="s">
        <v>1360</v>
      </c>
      <c r="E16" s="186" t="s">
        <v>1366</v>
      </c>
      <c r="F16" s="186" t="s">
        <v>1377</v>
      </c>
      <c r="G16" s="186" t="s">
        <v>1378</v>
      </c>
      <c r="H16" s="186" t="s">
        <v>1379</v>
      </c>
      <c r="I16" s="186" t="s">
        <v>1380</v>
      </c>
      <c r="J16" s="186" t="s">
        <v>1381</v>
      </c>
      <c r="K16" s="186" t="s">
        <v>1382</v>
      </c>
    </row>
    <row r="17" spans="2:9">
      <c r="B17" s="223" t="s">
        <v>1401</v>
      </c>
      <c r="C17" t="s">
        <v>1420</v>
      </c>
      <c r="D17" s="158" t="str">
        <f>$C$2</f>
        <v>Hellvalan</v>
      </c>
      <c r="E17" s="158" t="s">
        <v>1416</v>
      </c>
      <c r="F17" t="s">
        <v>1158</v>
      </c>
      <c r="G17" t="s">
        <v>920</v>
      </c>
      <c r="H17" t="s">
        <v>1412</v>
      </c>
      <c r="I17" t="s">
        <v>562</v>
      </c>
    </row>
    <row r="18" spans="2:9">
      <c r="B18" s="223"/>
      <c r="C18" t="s">
        <v>1421</v>
      </c>
      <c r="D18" s="158" t="str">
        <f>$C$3</f>
        <v>Venloth</v>
      </c>
      <c r="E18" s="158" t="s">
        <v>1418</v>
      </c>
      <c r="F18" t="s">
        <v>763</v>
      </c>
      <c r="G18" t="s">
        <v>1414</v>
      </c>
      <c r="H18" t="s">
        <v>1413</v>
      </c>
      <c r="I18" t="s">
        <v>1397</v>
      </c>
    </row>
    <row r="19" spans="2:9">
      <c r="B19" s="223"/>
      <c r="C19" t="s">
        <v>1422</v>
      </c>
      <c r="D19" s="158" t="str">
        <f>$C$4</f>
        <v>Sorgrim</v>
      </c>
      <c r="E19" s="158" t="s">
        <v>1417</v>
      </c>
      <c r="F19" t="s">
        <v>1210</v>
      </c>
      <c r="G19" t="s">
        <v>649</v>
      </c>
      <c r="H19" t="s">
        <v>1397</v>
      </c>
      <c r="I19" t="s">
        <v>1415</v>
      </c>
    </row>
    <row r="20" spans="2:9">
      <c r="B20" s="223"/>
      <c r="C20" t="s">
        <v>1423</v>
      </c>
      <c r="D20" s="158" t="str">
        <f>$C$5</f>
        <v>Duraj</v>
      </c>
      <c r="E20" s="158" t="s">
        <v>1419</v>
      </c>
      <c r="F20" t="s">
        <v>1158</v>
      </c>
      <c r="G20" t="s">
        <v>646</v>
      </c>
      <c r="H20" t="s">
        <v>837</v>
      </c>
      <c r="I20" t="s">
        <v>672</v>
      </c>
    </row>
    <row r="44" spans="10:13">
      <c r="J44" t="s">
        <v>1424</v>
      </c>
    </row>
    <row r="46" spans="10:13">
      <c r="J46" t="s">
        <v>122</v>
      </c>
      <c r="K46" s="158" t="s">
        <v>672</v>
      </c>
      <c r="L46" t="s">
        <v>1406</v>
      </c>
      <c r="M46" t="s">
        <v>837</v>
      </c>
    </row>
    <row r="47" spans="10:13">
      <c r="J47" t="s">
        <v>1397</v>
      </c>
      <c r="K47" s="158" t="s">
        <v>1392</v>
      </c>
      <c r="L47" t="s">
        <v>1407</v>
      </c>
    </row>
    <row r="48" spans="10:13">
      <c r="J48" t="s">
        <v>1394</v>
      </c>
      <c r="K48" s="158" t="s">
        <v>1393</v>
      </c>
      <c r="L48" t="s">
        <v>1408</v>
      </c>
    </row>
    <row r="49" spans="10:12">
      <c r="J49" t="s">
        <v>844</v>
      </c>
      <c r="K49" s="158" t="s">
        <v>992</v>
      </c>
      <c r="L49" t="s">
        <v>1409</v>
      </c>
    </row>
    <row r="50" spans="10:12">
      <c r="J50" t="s">
        <v>132</v>
      </c>
      <c r="K50" s="158" t="s">
        <v>1069</v>
      </c>
      <c r="L50" t="s">
        <v>1410</v>
      </c>
    </row>
    <row r="51" spans="10:12">
      <c r="J51" t="s">
        <v>767</v>
      </c>
      <c r="K51" s="158" t="s">
        <v>1342</v>
      </c>
      <c r="L51" t="s">
        <v>1411</v>
      </c>
    </row>
    <row r="52" spans="10:12">
      <c r="K52" s="158" t="s">
        <v>551</v>
      </c>
      <c r="L52" t="s">
        <v>920</v>
      </c>
    </row>
    <row r="53" spans="10:12">
      <c r="K53" s="158"/>
      <c r="L53" t="s">
        <v>1412</v>
      </c>
    </row>
    <row r="54" spans="10:12">
      <c r="K54" s="158"/>
      <c r="L54" t="s">
        <v>763</v>
      </c>
    </row>
    <row r="55" spans="10:12">
      <c r="K55" s="158"/>
      <c r="L55" t="s">
        <v>1158</v>
      </c>
    </row>
  </sheetData>
  <mergeCells count="4">
    <mergeCell ref="B7:B10"/>
    <mergeCell ref="B12:B15"/>
    <mergeCell ref="B17:B20"/>
    <mergeCell ref="B2:B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E196"/>
  <sheetViews>
    <sheetView topLeftCell="A10" workbookViewId="0">
      <selection activeCell="A3" sqref="A3:B3"/>
    </sheetView>
  </sheetViews>
  <sheetFormatPr baseColWidth="10" defaultRowHeight="15"/>
  <cols>
    <col min="1" max="4" width="14.7109375" customWidth="1"/>
    <col min="5" max="5" width="17.28515625" customWidth="1"/>
    <col min="6" max="6" width="18.140625" customWidth="1"/>
    <col min="7"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c r="A1" s="229" t="s">
        <v>148</v>
      </c>
      <c r="B1" s="229"/>
      <c r="C1" s="229"/>
      <c r="D1" s="229"/>
      <c r="E1" s="227" t="s">
        <v>157</v>
      </c>
      <c r="F1" s="227"/>
      <c r="G1" s="227"/>
      <c r="H1" s="227"/>
      <c r="I1" s="229" t="s">
        <v>149</v>
      </c>
      <c r="J1" s="229"/>
      <c r="K1" s="229"/>
      <c r="L1" s="229"/>
      <c r="M1" s="227" t="s">
        <v>147</v>
      </c>
      <c r="N1" s="227"/>
      <c r="O1" s="227"/>
      <c r="P1" s="227"/>
    </row>
    <row r="2" spans="1:16" ht="15" customHeight="1">
      <c r="A2" s="230" t="s">
        <v>238</v>
      </c>
      <c r="B2" s="230"/>
      <c r="C2" s="230" t="s">
        <v>239</v>
      </c>
      <c r="D2" s="230"/>
      <c r="E2" s="214" t="s">
        <v>249</v>
      </c>
      <c r="F2" s="214"/>
      <c r="G2" s="214" t="s">
        <v>252</v>
      </c>
      <c r="H2" s="214"/>
      <c r="I2" s="230" t="s">
        <v>291</v>
      </c>
      <c r="J2" s="230"/>
      <c r="K2" s="230" t="s">
        <v>254</v>
      </c>
      <c r="L2" s="230"/>
      <c r="M2" s="214" t="s">
        <v>256</v>
      </c>
      <c r="N2" s="214"/>
      <c r="O2" s="214" t="s">
        <v>257</v>
      </c>
      <c r="P2" s="214"/>
    </row>
    <row r="3" spans="1:16" ht="15" customHeight="1">
      <c r="A3" s="224" t="s">
        <v>240</v>
      </c>
      <c r="B3" s="224"/>
      <c r="C3" s="224" t="s">
        <v>244</v>
      </c>
      <c r="D3" s="224"/>
      <c r="E3" s="224" t="s">
        <v>296</v>
      </c>
      <c r="F3" s="224"/>
      <c r="G3" s="224" t="s">
        <v>371</v>
      </c>
      <c r="H3" s="224"/>
      <c r="I3" s="224" t="s">
        <v>308</v>
      </c>
      <c r="J3" s="224"/>
      <c r="K3" s="224" t="s">
        <v>322</v>
      </c>
      <c r="L3" s="224"/>
      <c r="M3" s="224" t="s">
        <v>316</v>
      </c>
      <c r="N3" s="224"/>
      <c r="O3" s="224" t="s">
        <v>258</v>
      </c>
      <c r="P3" s="224"/>
    </row>
    <row r="4" spans="1:16" ht="15" customHeight="1">
      <c r="A4" s="224" t="s">
        <v>242</v>
      </c>
      <c r="B4" s="224"/>
      <c r="C4" s="224" t="s">
        <v>306</v>
      </c>
      <c r="D4" s="224"/>
      <c r="E4" s="224" t="s">
        <v>250</v>
      </c>
      <c r="F4" s="224"/>
      <c r="G4" s="224" t="s">
        <v>298</v>
      </c>
      <c r="H4" s="224"/>
      <c r="I4" s="224" t="s">
        <v>269</v>
      </c>
      <c r="J4" s="224"/>
      <c r="K4" s="224" t="s">
        <v>321</v>
      </c>
      <c r="L4" s="224"/>
      <c r="M4" s="224" t="s">
        <v>312</v>
      </c>
      <c r="N4" s="224"/>
      <c r="O4" s="224" t="s">
        <v>324</v>
      </c>
      <c r="P4" s="224"/>
    </row>
    <row r="5" spans="1:16" ht="15" customHeight="1">
      <c r="A5" s="224" t="s">
        <v>305</v>
      </c>
      <c r="B5" s="224"/>
      <c r="C5" s="224" t="s">
        <v>245</v>
      </c>
      <c r="D5" s="224"/>
      <c r="E5" s="224" t="s">
        <v>297</v>
      </c>
      <c r="F5" s="224"/>
      <c r="G5" s="228" t="s">
        <v>299</v>
      </c>
      <c r="H5" s="228"/>
      <c r="I5" s="228" t="s">
        <v>270</v>
      </c>
      <c r="J5" s="228"/>
      <c r="K5" s="228" t="s">
        <v>315</v>
      </c>
      <c r="L5" s="228"/>
      <c r="M5" s="224" t="s">
        <v>259</v>
      </c>
      <c r="N5" s="224"/>
      <c r="O5" s="228" t="s">
        <v>319</v>
      </c>
      <c r="P5" s="228"/>
    </row>
    <row r="6" spans="1:16" ht="15" customHeight="1">
      <c r="A6" s="224" t="s">
        <v>265</v>
      </c>
      <c r="B6" s="224"/>
      <c r="C6" s="224" t="s">
        <v>246</v>
      </c>
      <c r="D6" s="224"/>
      <c r="E6" s="224" t="s">
        <v>303</v>
      </c>
      <c r="F6" s="224"/>
      <c r="G6" s="224" t="s">
        <v>300</v>
      </c>
      <c r="H6" s="224"/>
      <c r="I6" s="224" t="s">
        <v>346</v>
      </c>
      <c r="J6" s="224"/>
      <c r="K6" s="224" t="s">
        <v>326</v>
      </c>
      <c r="L6" s="224"/>
      <c r="M6" s="224" t="s">
        <v>313</v>
      </c>
      <c r="N6" s="224"/>
      <c r="O6" s="224" t="s">
        <v>318</v>
      </c>
      <c r="P6" s="224"/>
    </row>
    <row r="7" spans="1:16" ht="15" customHeight="1">
      <c r="A7" s="224" t="s">
        <v>267</v>
      </c>
      <c r="B7" s="224"/>
      <c r="C7" s="224" t="s">
        <v>247</v>
      </c>
      <c r="D7" s="224"/>
      <c r="E7" s="224" t="s">
        <v>251</v>
      </c>
      <c r="F7" s="224"/>
      <c r="G7" s="224" t="s">
        <v>301</v>
      </c>
      <c r="H7" s="224"/>
      <c r="I7" s="224" t="s">
        <v>310</v>
      </c>
      <c r="J7" s="224"/>
      <c r="K7" s="224" t="s">
        <v>325</v>
      </c>
      <c r="L7" s="224"/>
      <c r="M7" s="224" t="s">
        <v>314</v>
      </c>
      <c r="N7" s="224"/>
      <c r="O7" s="224" t="s">
        <v>320</v>
      </c>
      <c r="P7" s="224"/>
    </row>
    <row r="8" spans="1:16" ht="15" customHeight="1">
      <c r="A8" s="224" t="s">
        <v>243</v>
      </c>
      <c r="B8" s="224"/>
      <c r="C8" s="224" t="s">
        <v>248</v>
      </c>
      <c r="D8" s="224"/>
      <c r="E8" s="224" t="s">
        <v>304</v>
      </c>
      <c r="F8" s="224"/>
      <c r="G8" s="224" t="s">
        <v>302</v>
      </c>
      <c r="H8" s="224"/>
      <c r="I8" s="224" t="s">
        <v>311</v>
      </c>
      <c r="J8" s="224"/>
      <c r="K8" s="224" t="s">
        <v>323</v>
      </c>
      <c r="L8" s="224"/>
      <c r="M8" s="224" t="s">
        <v>260</v>
      </c>
      <c r="N8" s="224"/>
      <c r="O8" s="224" t="s">
        <v>317</v>
      </c>
      <c r="P8" s="224"/>
    </row>
    <row r="9" spans="1:16">
      <c r="A9" s="225" t="s">
        <v>327</v>
      </c>
      <c r="B9" s="225"/>
      <c r="C9" s="225" t="s">
        <v>328</v>
      </c>
      <c r="D9" s="225"/>
      <c r="E9" s="225" t="s">
        <v>307</v>
      </c>
      <c r="F9" s="225"/>
      <c r="G9" s="225" t="s">
        <v>253</v>
      </c>
      <c r="H9" s="225"/>
      <c r="I9" s="225" t="s">
        <v>255</v>
      </c>
      <c r="J9" s="225"/>
      <c r="K9" s="225" t="s">
        <v>38</v>
      </c>
      <c r="L9" s="225"/>
      <c r="M9" s="225" t="s">
        <v>261</v>
      </c>
      <c r="N9" s="225"/>
      <c r="O9" s="225" t="s">
        <v>263</v>
      </c>
      <c r="P9" s="225"/>
    </row>
    <row r="10" spans="1:16" ht="15" customHeight="1">
      <c r="A10" s="226" t="s">
        <v>288</v>
      </c>
      <c r="B10" s="226"/>
      <c r="C10" s="226" t="s">
        <v>244</v>
      </c>
      <c r="D10" s="226"/>
      <c r="E10" s="226" t="s">
        <v>296</v>
      </c>
      <c r="F10" s="226"/>
      <c r="G10" s="226" t="s">
        <v>372</v>
      </c>
      <c r="H10" s="226"/>
      <c r="I10" s="226" t="s">
        <v>308</v>
      </c>
      <c r="J10" s="226"/>
      <c r="K10" s="226" t="s">
        <v>322</v>
      </c>
      <c r="L10" s="226"/>
      <c r="M10" s="226" t="s">
        <v>316</v>
      </c>
      <c r="N10" s="226"/>
      <c r="O10" s="226" t="s">
        <v>258</v>
      </c>
      <c r="P10" s="226"/>
    </row>
    <row r="11" spans="1:16" ht="15" customHeight="1">
      <c r="A11" t="s">
        <v>264</v>
      </c>
      <c r="B11" t="s">
        <v>266</v>
      </c>
      <c r="C11" s="89" t="s">
        <v>341</v>
      </c>
      <c r="D11" s="89" t="s">
        <v>266</v>
      </c>
      <c r="E11" s="89" t="s">
        <v>339</v>
      </c>
      <c r="F11" s="89" t="s">
        <v>264</v>
      </c>
      <c r="G11" s="89" t="s">
        <v>339</v>
      </c>
      <c r="H11" s="89" t="s">
        <v>377</v>
      </c>
      <c r="I11" s="106" t="s">
        <v>262</v>
      </c>
      <c r="J11" s="106" t="s">
        <v>266</v>
      </c>
      <c r="K11" s="106" t="s">
        <v>262</v>
      </c>
      <c r="L11" s="106"/>
      <c r="M11" s="89" t="s">
        <v>7</v>
      </c>
      <c r="N11" s="89" t="s">
        <v>264</v>
      </c>
      <c r="O11" s="89" t="s">
        <v>7</v>
      </c>
      <c r="P11" s="89"/>
    </row>
    <row r="12" spans="1:16" ht="15" customHeight="1">
      <c r="C12" s="89"/>
      <c r="D12" s="89" t="s">
        <v>262</v>
      </c>
      <c r="E12" s="89"/>
      <c r="F12" s="89" t="s">
        <v>266</v>
      </c>
      <c r="G12" s="89"/>
      <c r="H12" s="110" t="s">
        <v>266</v>
      </c>
      <c r="I12" s="106"/>
      <c r="J12" s="106" t="s">
        <v>339</v>
      </c>
      <c r="K12" s="106" t="s">
        <v>340</v>
      </c>
      <c r="L12" s="106"/>
      <c r="M12" s="89"/>
      <c r="N12" s="89" t="s">
        <v>339</v>
      </c>
      <c r="O12" s="89"/>
      <c r="P12" s="89"/>
    </row>
    <row r="13" spans="1:16" ht="15" customHeight="1">
      <c r="C13" s="89"/>
      <c r="D13" s="89"/>
      <c r="E13" s="89"/>
      <c r="F13" s="89"/>
      <c r="G13" s="89"/>
      <c r="H13" s="110" t="s">
        <v>264</v>
      </c>
      <c r="I13" s="106"/>
      <c r="J13" s="106" t="s">
        <v>264</v>
      </c>
      <c r="K13" s="106"/>
      <c r="L13" s="106"/>
      <c r="M13" s="89"/>
      <c r="N13" s="89"/>
      <c r="O13" s="89"/>
      <c r="P13" s="89"/>
    </row>
    <row r="14" spans="1:16" ht="15" customHeight="1">
      <c r="C14" s="89"/>
      <c r="D14" s="89"/>
      <c r="E14" s="89"/>
      <c r="F14" s="89"/>
      <c r="G14" s="89"/>
      <c r="H14" s="89"/>
      <c r="I14" s="106"/>
      <c r="J14" s="106"/>
      <c r="K14" s="106"/>
      <c r="L14" s="106"/>
      <c r="M14" s="89"/>
      <c r="N14" s="89"/>
      <c r="O14" s="89"/>
      <c r="P14" s="89"/>
    </row>
    <row r="15" spans="1:16" ht="15" customHeight="1">
      <c r="A15" s="226" t="s">
        <v>289</v>
      </c>
      <c r="B15" s="226"/>
      <c r="C15" s="226" t="s">
        <v>306</v>
      </c>
      <c r="D15" s="226"/>
      <c r="E15" s="226" t="s">
        <v>268</v>
      </c>
      <c r="F15" s="226"/>
      <c r="G15" s="226" t="s">
        <v>333</v>
      </c>
      <c r="H15" s="226"/>
      <c r="I15" s="226" t="s">
        <v>269</v>
      </c>
      <c r="J15" s="226"/>
      <c r="K15" s="226" t="s">
        <v>321</v>
      </c>
      <c r="L15" s="226"/>
      <c r="M15" s="226" t="s">
        <v>312</v>
      </c>
      <c r="N15" s="226"/>
      <c r="O15" s="226" t="s">
        <v>324</v>
      </c>
      <c r="P15" s="226"/>
    </row>
    <row r="16" spans="1:16" ht="15" customHeight="1">
      <c r="A16" s="89" t="s">
        <v>240</v>
      </c>
      <c r="B16" s="2" t="s">
        <v>296</v>
      </c>
      <c r="C16" s="89" t="s">
        <v>244</v>
      </c>
      <c r="D16" s="89" t="s">
        <v>321</v>
      </c>
      <c r="E16" s="89" t="s">
        <v>296</v>
      </c>
      <c r="F16" s="89" t="s">
        <v>240</v>
      </c>
      <c r="G16" s="89" t="s">
        <v>339</v>
      </c>
      <c r="H16" s="89" t="s">
        <v>242</v>
      </c>
      <c r="I16" s="106" t="s">
        <v>321</v>
      </c>
      <c r="J16" s="106" t="s">
        <v>324</v>
      </c>
      <c r="K16" s="106" t="s">
        <v>322</v>
      </c>
      <c r="L16" s="106" t="s">
        <v>242</v>
      </c>
      <c r="M16" s="89" t="s">
        <v>242</v>
      </c>
      <c r="N16" s="89" t="s">
        <v>339</v>
      </c>
      <c r="O16" s="89" t="s">
        <v>258</v>
      </c>
      <c r="P16" s="89" t="s">
        <v>312</v>
      </c>
    </row>
    <row r="17" spans="1:16" ht="15" customHeight="1">
      <c r="A17" s="89" t="s">
        <v>264</v>
      </c>
      <c r="B17" t="s">
        <v>268</v>
      </c>
      <c r="C17" s="89" t="s">
        <v>341</v>
      </c>
      <c r="D17" s="2" t="s">
        <v>324</v>
      </c>
      <c r="E17" s="89"/>
      <c r="F17" s="89" t="s">
        <v>258</v>
      </c>
      <c r="G17" s="89"/>
      <c r="H17" s="89" t="s">
        <v>312</v>
      </c>
      <c r="I17" s="106" t="s">
        <v>308</v>
      </c>
      <c r="J17" s="106" t="s">
        <v>312</v>
      </c>
      <c r="K17" s="106" t="s">
        <v>340</v>
      </c>
      <c r="L17" s="106"/>
      <c r="M17" s="89" t="s">
        <v>264</v>
      </c>
      <c r="N17" s="89" t="s">
        <v>258</v>
      </c>
      <c r="O17" s="89" t="s">
        <v>266</v>
      </c>
      <c r="P17" s="89" t="s">
        <v>269</v>
      </c>
    </row>
    <row r="18" spans="1:16" ht="15" customHeight="1">
      <c r="A18" s="89"/>
      <c r="B18" t="s">
        <v>339</v>
      </c>
      <c r="C18" s="89"/>
      <c r="D18" s="89" t="s">
        <v>269</v>
      </c>
      <c r="E18" s="89"/>
      <c r="F18" s="89"/>
      <c r="G18" s="89"/>
      <c r="H18" s="89"/>
      <c r="I18" s="106"/>
      <c r="J18" s="106" t="s">
        <v>306</v>
      </c>
      <c r="K18" s="106"/>
      <c r="L18" s="106"/>
      <c r="M18" s="89"/>
      <c r="N18" s="89" t="s">
        <v>240</v>
      </c>
      <c r="O18" s="89"/>
      <c r="P18" s="89" t="s">
        <v>306</v>
      </c>
    </row>
    <row r="19" spans="1:16" ht="15" customHeight="1">
      <c r="A19" s="2"/>
      <c r="B19" s="89" t="s">
        <v>258</v>
      </c>
      <c r="C19" s="89"/>
      <c r="D19" s="89" t="s">
        <v>242</v>
      </c>
      <c r="E19" s="89"/>
      <c r="F19" s="89"/>
      <c r="G19" s="89"/>
      <c r="H19" s="89"/>
      <c r="I19" s="106"/>
      <c r="J19" s="106"/>
      <c r="K19" s="106"/>
      <c r="L19" s="106"/>
      <c r="M19" s="89"/>
      <c r="N19" s="89"/>
      <c r="O19" s="89"/>
      <c r="P19" s="89" t="s">
        <v>242</v>
      </c>
    </row>
    <row r="20" spans="1:16" ht="15" customHeight="1">
      <c r="A20" s="226" t="s">
        <v>329</v>
      </c>
      <c r="B20" s="226"/>
      <c r="C20" s="226" t="s">
        <v>245</v>
      </c>
      <c r="D20" s="226"/>
      <c r="E20" s="226" t="s">
        <v>297</v>
      </c>
      <c r="F20" s="226"/>
      <c r="G20" s="226" t="s">
        <v>334</v>
      </c>
      <c r="H20" s="226"/>
      <c r="I20" s="226" t="s">
        <v>270</v>
      </c>
      <c r="J20" s="226"/>
      <c r="K20" s="226" t="s">
        <v>315</v>
      </c>
      <c r="L20" s="226"/>
      <c r="M20" s="226" t="s">
        <v>259</v>
      </c>
      <c r="N20" s="226"/>
      <c r="O20" s="226" t="s">
        <v>319</v>
      </c>
      <c r="P20" s="226"/>
    </row>
    <row r="21" spans="1:16" ht="15" customHeight="1">
      <c r="A21" s="89" t="s">
        <v>242</v>
      </c>
      <c r="B21" s="89" t="s">
        <v>297</v>
      </c>
      <c r="C21" s="89" t="s">
        <v>306</v>
      </c>
      <c r="D21" s="89" t="s">
        <v>297</v>
      </c>
      <c r="E21" s="106" t="s">
        <v>296</v>
      </c>
      <c r="F21" s="106" t="s">
        <v>343</v>
      </c>
      <c r="G21" s="89" t="s">
        <v>339</v>
      </c>
      <c r="H21" s="89" t="s">
        <v>344</v>
      </c>
      <c r="I21" s="106" t="s">
        <v>269</v>
      </c>
      <c r="J21" s="106" t="s">
        <v>315</v>
      </c>
      <c r="K21" s="106" t="s">
        <v>321</v>
      </c>
      <c r="L21" s="106" t="s">
        <v>245</v>
      </c>
      <c r="M21" s="89" t="s">
        <v>312</v>
      </c>
      <c r="N21" s="89" t="s">
        <v>339</v>
      </c>
      <c r="O21" s="89" t="s">
        <v>324</v>
      </c>
      <c r="P21" s="89" t="s">
        <v>315</v>
      </c>
    </row>
    <row r="22" spans="1:16" ht="15" customHeight="1">
      <c r="A22" s="89" t="s">
        <v>240</v>
      </c>
      <c r="B22" s="89" t="s">
        <v>339</v>
      </c>
      <c r="C22" s="89" t="s">
        <v>342</v>
      </c>
      <c r="D22" s="89" t="s">
        <v>270</v>
      </c>
      <c r="E22" s="106"/>
      <c r="F22" s="106" t="s">
        <v>339</v>
      </c>
      <c r="G22" s="89"/>
      <c r="H22" s="89" t="s">
        <v>259</v>
      </c>
      <c r="I22" s="106"/>
      <c r="J22" s="106" t="s">
        <v>306</v>
      </c>
      <c r="K22" s="106" t="s">
        <v>322</v>
      </c>
      <c r="L22" s="106"/>
      <c r="M22" s="89" t="s">
        <v>343</v>
      </c>
      <c r="N22" s="89" t="s">
        <v>258</v>
      </c>
      <c r="O22" s="89" t="s">
        <v>258</v>
      </c>
      <c r="P22" s="89" t="s">
        <v>297</v>
      </c>
    </row>
    <row r="23" spans="1:16" ht="15" customHeight="1">
      <c r="A23" s="89"/>
      <c r="B23" s="89" t="s">
        <v>312</v>
      </c>
      <c r="C23" s="89"/>
      <c r="D23" s="89" t="s">
        <v>315</v>
      </c>
      <c r="E23" s="106"/>
      <c r="F23" s="106" t="s">
        <v>259</v>
      </c>
      <c r="G23" s="89"/>
      <c r="H23" s="89" t="s">
        <v>268</v>
      </c>
      <c r="I23" s="106"/>
      <c r="J23" s="106" t="s">
        <v>245</v>
      </c>
      <c r="K23" s="106" t="s">
        <v>340</v>
      </c>
      <c r="L23" s="106"/>
      <c r="M23" s="89"/>
      <c r="N23" s="89" t="s">
        <v>242</v>
      </c>
      <c r="O23" s="89"/>
      <c r="P23" s="89" t="s">
        <v>245</v>
      </c>
    </row>
    <row r="24" spans="1:16" ht="15" customHeight="1">
      <c r="A24" s="89"/>
      <c r="B24" s="89" t="s">
        <v>258</v>
      </c>
      <c r="C24" s="89"/>
      <c r="D24" s="89" t="s">
        <v>318</v>
      </c>
      <c r="E24" s="106"/>
      <c r="F24" s="106" t="s">
        <v>312</v>
      </c>
      <c r="G24" s="89"/>
      <c r="H24" s="89" t="s">
        <v>242</v>
      </c>
      <c r="I24" s="106"/>
      <c r="J24" s="106" t="s">
        <v>318</v>
      </c>
      <c r="K24" s="106"/>
      <c r="L24" s="106"/>
      <c r="M24" s="89"/>
      <c r="N24" s="89" t="s">
        <v>322</v>
      </c>
      <c r="O24" s="89"/>
      <c r="P24" s="89"/>
    </row>
    <row r="25" spans="1:16" ht="15" customHeight="1">
      <c r="A25" s="226" t="s">
        <v>330</v>
      </c>
      <c r="B25" s="226"/>
      <c r="C25" s="226" t="s">
        <v>246</v>
      </c>
      <c r="D25" s="226"/>
      <c r="E25" s="226" t="s">
        <v>303</v>
      </c>
      <c r="F25" s="226"/>
      <c r="G25" s="226" t="s">
        <v>335</v>
      </c>
      <c r="H25" s="226"/>
      <c r="I25" s="226" t="s">
        <v>346</v>
      </c>
      <c r="J25" s="226"/>
      <c r="K25" s="226" t="s">
        <v>326</v>
      </c>
      <c r="L25" s="226"/>
      <c r="M25" s="226" t="s">
        <v>313</v>
      </c>
      <c r="N25" s="226"/>
      <c r="O25" s="226" t="s">
        <v>318</v>
      </c>
      <c r="P25" s="226"/>
    </row>
    <row r="26" spans="1:16">
      <c r="A26" s="89" t="s">
        <v>343</v>
      </c>
      <c r="B26" s="89" t="s">
        <v>345</v>
      </c>
      <c r="C26" s="89" t="s">
        <v>245</v>
      </c>
      <c r="D26" s="89" t="s">
        <v>345</v>
      </c>
      <c r="E26" s="106" t="s">
        <v>297</v>
      </c>
      <c r="F26" s="106" t="s">
        <v>241</v>
      </c>
      <c r="G26" s="89" t="s">
        <v>339</v>
      </c>
      <c r="H26" s="89" t="s">
        <v>241</v>
      </c>
      <c r="I26" s="106" t="s">
        <v>270</v>
      </c>
      <c r="J26" s="106" t="s">
        <v>246</v>
      </c>
      <c r="K26" s="106" t="s">
        <v>315</v>
      </c>
      <c r="L26" s="106" t="s">
        <v>246</v>
      </c>
      <c r="M26" s="89" t="s">
        <v>316</v>
      </c>
      <c r="N26" s="89" t="s">
        <v>258</v>
      </c>
      <c r="O26" s="89" t="s">
        <v>324</v>
      </c>
      <c r="P26" s="89" t="s">
        <v>346</v>
      </c>
    </row>
    <row r="27" spans="1:16">
      <c r="A27" s="89" t="s">
        <v>242</v>
      </c>
      <c r="B27" s="89" t="s">
        <v>339</v>
      </c>
      <c r="C27" s="89" t="s">
        <v>306</v>
      </c>
      <c r="D27" s="89" t="s">
        <v>309</v>
      </c>
      <c r="E27" s="106" t="s">
        <v>296</v>
      </c>
      <c r="F27" s="106" t="s">
        <v>313</v>
      </c>
      <c r="G27" s="89"/>
      <c r="H27" s="89" t="s">
        <v>246</v>
      </c>
      <c r="I27" s="106" t="s">
        <v>269</v>
      </c>
      <c r="J27" s="106" t="s">
        <v>245</v>
      </c>
      <c r="K27" s="106" t="s">
        <v>321</v>
      </c>
      <c r="L27" s="106" t="s">
        <v>313</v>
      </c>
      <c r="M27" s="89" t="s">
        <v>259</v>
      </c>
      <c r="N27" s="89" t="s">
        <v>345</v>
      </c>
      <c r="O27" s="89" t="s">
        <v>319</v>
      </c>
      <c r="P27" s="89" t="s">
        <v>345</v>
      </c>
    </row>
    <row r="28" spans="1:16">
      <c r="A28" s="89"/>
      <c r="B28" s="89" t="s">
        <v>312</v>
      </c>
      <c r="C28" s="89" t="s">
        <v>340</v>
      </c>
      <c r="D28" s="89" t="s">
        <v>326</v>
      </c>
      <c r="E28" s="106"/>
      <c r="F28" s="106" t="s">
        <v>259</v>
      </c>
      <c r="G28" s="89"/>
      <c r="H28" s="89" t="s">
        <v>259</v>
      </c>
      <c r="I28" s="106"/>
      <c r="J28" s="106" t="s">
        <v>326</v>
      </c>
      <c r="K28" s="106" t="s">
        <v>340</v>
      </c>
      <c r="L28" s="106" t="s">
        <v>319</v>
      </c>
      <c r="M28" s="89"/>
      <c r="N28" s="89" t="s">
        <v>241</v>
      </c>
      <c r="O28" s="89"/>
      <c r="P28" s="89" t="s">
        <v>246</v>
      </c>
    </row>
    <row r="29" spans="1:16">
      <c r="C29" s="89"/>
      <c r="D29" s="89" t="s">
        <v>319</v>
      </c>
      <c r="E29" s="106"/>
      <c r="F29" s="106" t="s">
        <v>242</v>
      </c>
      <c r="G29" s="89"/>
      <c r="H29" s="89" t="s">
        <v>319</v>
      </c>
      <c r="I29" s="106"/>
      <c r="J29" s="106" t="s">
        <v>319</v>
      </c>
      <c r="K29" s="106"/>
      <c r="L29" s="106"/>
      <c r="M29" s="89"/>
      <c r="N29" s="89" t="s">
        <v>269</v>
      </c>
      <c r="O29" s="89"/>
      <c r="P29" s="89" t="s">
        <v>269</v>
      </c>
    </row>
    <row r="30" spans="1:16">
      <c r="A30" s="226" t="s">
        <v>331</v>
      </c>
      <c r="B30" s="226"/>
      <c r="C30" s="226" t="s">
        <v>247</v>
      </c>
      <c r="D30" s="226"/>
      <c r="E30" s="226" t="s">
        <v>251</v>
      </c>
      <c r="F30" s="226"/>
      <c r="G30" s="226" t="s">
        <v>336</v>
      </c>
      <c r="H30" s="226"/>
      <c r="I30" s="226" t="s">
        <v>310</v>
      </c>
      <c r="J30" s="226"/>
      <c r="K30" s="226" t="s">
        <v>338</v>
      </c>
      <c r="L30" s="226"/>
      <c r="M30" s="226" t="s">
        <v>314</v>
      </c>
      <c r="N30" s="226"/>
      <c r="O30" s="226" t="s">
        <v>320</v>
      </c>
      <c r="P30" s="226"/>
    </row>
    <row r="31" spans="1:16">
      <c r="A31" s="89" t="s">
        <v>241</v>
      </c>
      <c r="B31" s="89" t="s">
        <v>324</v>
      </c>
      <c r="C31" s="89" t="s">
        <v>246</v>
      </c>
      <c r="D31" s="89" t="s">
        <v>338</v>
      </c>
      <c r="E31" s="106" t="s">
        <v>345</v>
      </c>
      <c r="F31" s="106" t="s">
        <v>267</v>
      </c>
      <c r="G31" s="89" t="s">
        <v>339</v>
      </c>
      <c r="H31" s="89" t="s">
        <v>267</v>
      </c>
      <c r="I31" s="106" t="s">
        <v>346</v>
      </c>
      <c r="J31" s="106" t="s">
        <v>247</v>
      </c>
      <c r="K31" s="106" t="s">
        <v>326</v>
      </c>
      <c r="L31" s="106" t="s">
        <v>247</v>
      </c>
      <c r="M31" s="89" t="s">
        <v>313</v>
      </c>
      <c r="N31" s="89" t="s">
        <v>344</v>
      </c>
      <c r="O31" s="89" t="s">
        <v>318</v>
      </c>
      <c r="P31" s="89" t="s">
        <v>310</v>
      </c>
    </row>
    <row r="32" spans="1:16">
      <c r="A32" s="89" t="s">
        <v>343</v>
      </c>
      <c r="B32" s="89" t="s">
        <v>313</v>
      </c>
      <c r="C32" s="89" t="s">
        <v>245</v>
      </c>
      <c r="D32" s="89" t="s">
        <v>310</v>
      </c>
      <c r="E32" s="106"/>
      <c r="F32" s="106" t="s">
        <v>310</v>
      </c>
      <c r="G32" s="89"/>
      <c r="H32" s="89" t="s">
        <v>346</v>
      </c>
      <c r="I32" s="106" t="s">
        <v>270</v>
      </c>
      <c r="J32" s="106" t="s">
        <v>251</v>
      </c>
      <c r="K32" s="106" t="s">
        <v>315</v>
      </c>
      <c r="L32" s="106" t="s">
        <v>339</v>
      </c>
      <c r="M32" s="89" t="s">
        <v>259</v>
      </c>
      <c r="N32" s="89" t="s">
        <v>258</v>
      </c>
      <c r="O32" s="89" t="s">
        <v>319</v>
      </c>
      <c r="P32" s="89" t="s">
        <v>346</v>
      </c>
    </row>
    <row r="33" spans="1:31">
      <c r="A33" s="89"/>
      <c r="B33" s="89" t="s">
        <v>259</v>
      </c>
      <c r="C33" s="89"/>
      <c r="D33" s="89" t="s">
        <v>251</v>
      </c>
      <c r="E33" s="106"/>
      <c r="F33" s="106" t="s">
        <v>259</v>
      </c>
      <c r="G33" s="89"/>
      <c r="H33" s="89" t="s">
        <v>259</v>
      </c>
      <c r="I33" s="106" t="s">
        <v>269</v>
      </c>
      <c r="J33" s="106" t="s">
        <v>339</v>
      </c>
      <c r="K33" s="106" t="s">
        <v>321</v>
      </c>
      <c r="L33" s="106" t="s">
        <v>320</v>
      </c>
      <c r="M33" s="89"/>
      <c r="N33" s="89" t="s">
        <v>251</v>
      </c>
      <c r="O33" s="89"/>
      <c r="P33" s="89" t="s">
        <v>247</v>
      </c>
    </row>
    <row r="34" spans="1:31">
      <c r="B34" s="89" t="s">
        <v>338</v>
      </c>
      <c r="C34" s="89"/>
      <c r="D34" t="s">
        <v>315</v>
      </c>
      <c r="E34" s="106"/>
      <c r="F34" s="106" t="s">
        <v>346</v>
      </c>
      <c r="H34" t="s">
        <v>270</v>
      </c>
      <c r="I34" s="106"/>
      <c r="J34" s="106" t="s">
        <v>320</v>
      </c>
      <c r="K34" s="106"/>
      <c r="L34" s="106" t="s">
        <v>245</v>
      </c>
      <c r="N34" t="s">
        <v>310</v>
      </c>
      <c r="P34" t="s">
        <v>338</v>
      </c>
    </row>
    <row r="35" spans="1:31" s="106" customFormat="1">
      <c r="A35" s="226" t="s">
        <v>332</v>
      </c>
      <c r="B35" s="226"/>
      <c r="C35" s="226" t="s">
        <v>248</v>
      </c>
      <c r="D35" s="226"/>
      <c r="E35" s="226" t="s">
        <v>304</v>
      </c>
      <c r="F35" s="226"/>
      <c r="G35" s="226" t="s">
        <v>337</v>
      </c>
      <c r="H35" s="226"/>
      <c r="I35" s="226" t="s">
        <v>311</v>
      </c>
      <c r="J35" s="226"/>
      <c r="K35" s="226" t="s">
        <v>323</v>
      </c>
      <c r="L35" s="226"/>
      <c r="M35" s="226" t="s">
        <v>260</v>
      </c>
      <c r="N35" s="226"/>
      <c r="O35" s="226" t="s">
        <v>317</v>
      </c>
      <c r="P35" s="226"/>
    </row>
    <row r="36" spans="1:31" s="106" customFormat="1">
      <c r="A36" s="106" t="s">
        <v>267</v>
      </c>
      <c r="B36" s="106" t="s">
        <v>356</v>
      </c>
      <c r="C36" s="106" t="s">
        <v>247</v>
      </c>
      <c r="D36" s="106" t="s">
        <v>323</v>
      </c>
      <c r="E36" s="106" t="s">
        <v>251</v>
      </c>
      <c r="F36" s="106" t="s">
        <v>243</v>
      </c>
      <c r="G36" s="106" t="s">
        <v>339</v>
      </c>
      <c r="H36" s="106" t="s">
        <v>243</v>
      </c>
      <c r="I36" s="106" t="s">
        <v>346</v>
      </c>
      <c r="J36" s="106" t="s">
        <v>357</v>
      </c>
    </row>
    <row r="37" spans="1:31">
      <c r="A37" s="106" t="s">
        <v>241</v>
      </c>
      <c r="B37" s="106" t="s">
        <v>339</v>
      </c>
      <c r="C37" s="106" t="s">
        <v>246</v>
      </c>
      <c r="D37" s="106" t="s">
        <v>311</v>
      </c>
      <c r="E37" s="106" t="s">
        <v>345</v>
      </c>
      <c r="F37" s="106" t="s">
        <v>311</v>
      </c>
      <c r="G37" s="106"/>
      <c r="H37" s="106" t="s">
        <v>323</v>
      </c>
      <c r="I37" s="106" t="s">
        <v>310</v>
      </c>
      <c r="J37" s="106" t="s">
        <v>323</v>
      </c>
      <c r="K37" s="106"/>
      <c r="L37" s="106"/>
      <c r="M37" s="106"/>
      <c r="N37" s="106"/>
      <c r="O37" s="106"/>
      <c r="P37" s="106"/>
    </row>
    <row r="38" spans="1:31">
      <c r="A38" s="106"/>
      <c r="B38" s="106" t="s">
        <v>260</v>
      </c>
      <c r="C38" s="106"/>
      <c r="D38" s="106" t="s">
        <v>260</v>
      </c>
      <c r="E38" s="106"/>
      <c r="F38" s="106" t="s">
        <v>317</v>
      </c>
      <c r="G38" s="106"/>
      <c r="H38" s="106" t="s">
        <v>260</v>
      </c>
      <c r="I38" s="106"/>
      <c r="J38" s="106" t="s">
        <v>317</v>
      </c>
      <c r="K38" s="106"/>
      <c r="L38" s="106"/>
      <c r="M38" s="106"/>
      <c r="N38" s="106"/>
      <c r="O38" s="106"/>
      <c r="P38" s="106"/>
    </row>
    <row r="39" spans="1:31">
      <c r="A39" s="106"/>
      <c r="B39" s="106" t="s">
        <v>317</v>
      </c>
      <c r="C39" s="106"/>
      <c r="D39" s="106" t="s">
        <v>317</v>
      </c>
      <c r="E39" s="106"/>
      <c r="F39" s="106" t="s">
        <v>323</v>
      </c>
      <c r="G39" s="106"/>
      <c r="H39" s="106" t="s">
        <v>317</v>
      </c>
      <c r="I39" s="106"/>
      <c r="J39" s="106" t="s">
        <v>247</v>
      </c>
      <c r="K39" s="106"/>
      <c r="L39" s="106"/>
      <c r="M39" s="106"/>
      <c r="N39" s="106"/>
      <c r="O39" s="106"/>
      <c r="P39" s="106"/>
    </row>
    <row r="40" spans="1:31">
      <c r="A40" s="109"/>
      <c r="B40" s="109" t="s">
        <v>240</v>
      </c>
      <c r="C40" s="109"/>
      <c r="D40" s="109"/>
      <c r="E40" s="109"/>
      <c r="F40" s="109"/>
      <c r="G40" s="109"/>
      <c r="H40" s="109"/>
      <c r="I40" s="109"/>
      <c r="J40" s="109"/>
      <c r="K40" s="109"/>
      <c r="L40" s="109"/>
      <c r="M40" s="109"/>
      <c r="N40" s="109"/>
      <c r="O40" s="109"/>
      <c r="P40" s="109"/>
      <c r="Q40" s="109"/>
      <c r="R40" s="109"/>
      <c r="S40" s="109"/>
      <c r="T40" s="109"/>
      <c r="U40" s="109"/>
      <c r="V40" s="109"/>
      <c r="W40" s="109"/>
      <c r="X40" s="81"/>
      <c r="Y40" s="81"/>
      <c r="Z40" s="81"/>
      <c r="AA40" s="81"/>
      <c r="AB40" s="81"/>
      <c r="AC40" s="81"/>
      <c r="AD40" s="81"/>
      <c r="AE40" s="81"/>
    </row>
    <row r="41" spans="1:31">
      <c r="A41" s="109" t="s">
        <v>202</v>
      </c>
      <c r="B41" s="109"/>
      <c r="C41" s="109">
        <v>0</v>
      </c>
      <c r="D41" s="109"/>
      <c r="E41" s="109"/>
      <c r="F41" s="109"/>
      <c r="G41" s="109"/>
      <c r="H41" s="109"/>
      <c r="I41" s="109"/>
      <c r="J41" s="109"/>
      <c r="K41" s="109"/>
      <c r="L41" s="109"/>
      <c r="M41" s="109"/>
      <c r="N41" s="109"/>
      <c r="O41" s="109"/>
      <c r="P41" s="109"/>
      <c r="Q41" s="109"/>
      <c r="R41" s="109"/>
      <c r="S41" s="109"/>
      <c r="T41" s="109"/>
      <c r="U41" s="109"/>
      <c r="V41" s="109"/>
      <c r="W41" s="109"/>
      <c r="X41" s="81"/>
      <c r="Y41" s="81"/>
      <c r="Z41" s="81"/>
      <c r="AA41" s="81"/>
      <c r="AB41" s="81"/>
      <c r="AC41" s="81"/>
      <c r="AD41" s="81"/>
      <c r="AE41" s="81"/>
    </row>
    <row r="42" spans="1:31">
      <c r="A42" s="90"/>
      <c r="B42" s="90" t="s">
        <v>195</v>
      </c>
      <c r="C42" s="93" t="s">
        <v>194</v>
      </c>
      <c r="D42" s="97" t="s">
        <v>146</v>
      </c>
      <c r="E42" s="97" t="s">
        <v>271</v>
      </c>
      <c r="F42" s="93" t="s">
        <v>195</v>
      </c>
      <c r="G42" s="97" t="s">
        <v>276</v>
      </c>
      <c r="H42" s="97" t="s">
        <v>146</v>
      </c>
      <c r="I42" s="97" t="s">
        <v>272</v>
      </c>
      <c r="J42" s="93" t="s">
        <v>195</v>
      </c>
      <c r="K42" s="97" t="s">
        <v>276</v>
      </c>
      <c r="L42" s="97" t="s">
        <v>146</v>
      </c>
      <c r="M42" s="97" t="s">
        <v>273</v>
      </c>
      <c r="N42" s="93" t="s">
        <v>195</v>
      </c>
      <c r="O42" s="97" t="s">
        <v>276</v>
      </c>
      <c r="P42" s="97" t="s">
        <v>146</v>
      </c>
      <c r="Q42" s="97" t="s">
        <v>274</v>
      </c>
      <c r="R42" s="93" t="s">
        <v>195</v>
      </c>
      <c r="S42" s="97" t="s">
        <v>276</v>
      </c>
      <c r="T42" s="97" t="s">
        <v>146</v>
      </c>
      <c r="U42" s="97" t="s">
        <v>275</v>
      </c>
      <c r="V42" s="93" t="s">
        <v>195</v>
      </c>
      <c r="W42" s="97" t="s">
        <v>276</v>
      </c>
      <c r="X42" s="97" t="s">
        <v>146</v>
      </c>
      <c r="Y42" s="97" t="s">
        <v>358</v>
      </c>
      <c r="Z42" s="93" t="s">
        <v>195</v>
      </c>
      <c r="AA42" s="97" t="s">
        <v>276</v>
      </c>
      <c r="AB42" s="97" t="s">
        <v>146</v>
      </c>
      <c r="AC42" s="97" t="s">
        <v>359</v>
      </c>
      <c r="AD42" s="93" t="s">
        <v>195</v>
      </c>
      <c r="AE42" s="97" t="s">
        <v>276</v>
      </c>
    </row>
    <row r="43" spans="1:31">
      <c r="A43" s="96" t="s">
        <v>370</v>
      </c>
      <c r="B43" s="96"/>
      <c r="C43" s="91" t="e">
        <f>((D43*G43)+(K43*H43)+(O43*L43)+(S43*P43)+(W43*T43)+(X43*AA43)+(AB43*AE43))</f>
        <v>#NAME?</v>
      </c>
      <c r="D43" s="94">
        <v>16</v>
      </c>
      <c r="E43" s="95">
        <v>17</v>
      </c>
      <c r="F43" s="59" t="e">
        <f t="shared" ref="F43" si="0">VLOOKUP(E43,LISTAITEMS,2,FALSE)</f>
        <v>#NAME?</v>
      </c>
      <c r="G43" s="92" t="e">
        <f>VLOOKUP(E43,LISTAITEMS,5,FALSE)</f>
        <v>#NAME?</v>
      </c>
      <c r="H43" s="94">
        <v>32</v>
      </c>
      <c r="I43" s="95">
        <v>37</v>
      </c>
      <c r="J43" s="59" t="e">
        <f t="shared" ref="J43" si="1">VLOOKUP(I43,LISTAITEMS,2,FALSE)</f>
        <v>#NAME?</v>
      </c>
      <c r="K43" s="92" t="e">
        <f t="shared" ref="K43" si="2">VLOOKUP(I43,LISTAITEMS,5,FALSE)</f>
        <v>#NAME?</v>
      </c>
      <c r="L43" s="94">
        <v>0</v>
      </c>
      <c r="M43" s="95" t="s">
        <v>202</v>
      </c>
      <c r="N43" s="59" t="e">
        <f t="shared" ref="N43" si="3">VLOOKUP(M43,LISTAITEMS,2,FALSE)</f>
        <v>#NAME?</v>
      </c>
      <c r="O43" s="92" t="e">
        <f>VLOOKUP(M43,LISTAITEMS,5,FALSE)</f>
        <v>#NAME?</v>
      </c>
      <c r="P43" s="94">
        <v>0</v>
      </c>
      <c r="Q43" s="95" t="s">
        <v>202</v>
      </c>
      <c r="R43" s="59" t="e">
        <f t="shared" ref="R43" si="4">VLOOKUP(Q43,LISTAITEMS,2,FALSE)</f>
        <v>#NAME?</v>
      </c>
      <c r="S43" s="92" t="e">
        <f>VLOOKUP(Q43,LISTAITEMS,5,FALSE)</f>
        <v>#NAME?</v>
      </c>
      <c r="T43" s="94">
        <v>0</v>
      </c>
      <c r="U43" s="95" t="s">
        <v>202</v>
      </c>
      <c r="V43" s="59" t="e">
        <f t="shared" ref="V43" si="5">VLOOKUP(U43,LISTAITEMS,2,FALSE)</f>
        <v>#NAME?</v>
      </c>
      <c r="W43" s="92" t="e">
        <f>VLOOKUP(U43,LISTAITEMS,5,FALSE)</f>
        <v>#NAME?</v>
      </c>
      <c r="X43" s="94">
        <v>0</v>
      </c>
      <c r="Y43" s="95" t="s">
        <v>202</v>
      </c>
      <c r="Z43" s="59" t="e">
        <f t="shared" ref="Z43" si="6">VLOOKUP(Y43,LISTAITEMS,2,FALSE)</f>
        <v>#NAME?</v>
      </c>
      <c r="AA43" s="92" t="e">
        <f>VLOOKUP(Y43,LISTAITEMS,5,FALSE)</f>
        <v>#NAME?</v>
      </c>
      <c r="AB43" s="94">
        <v>0</v>
      </c>
      <c r="AC43" s="95" t="s">
        <v>202</v>
      </c>
      <c r="AD43" s="59" t="e">
        <f t="shared" ref="AD43" si="7">VLOOKUP(AC43,LISTAITEMS,2,FALSE)</f>
        <v>#NAME?</v>
      </c>
      <c r="AE43" s="92" t="e">
        <f>VLOOKUP(AC43,LISTAITEMS,5,FALSE)</f>
        <v>#NAME?</v>
      </c>
    </row>
    <row r="44" spans="1:31" s="111" customFormat="1">
      <c r="A44" s="109"/>
      <c r="B44" s="109" t="s">
        <v>242</v>
      </c>
      <c r="C44" s="109"/>
      <c r="D44" s="109"/>
      <c r="E44" s="109"/>
      <c r="F44" s="109"/>
      <c r="G44" s="109"/>
      <c r="H44" s="109"/>
      <c r="I44" s="109"/>
      <c r="J44" s="109"/>
      <c r="K44" s="109"/>
      <c r="L44" s="109"/>
      <c r="M44" s="109"/>
      <c r="N44" s="109"/>
      <c r="O44" s="109"/>
      <c r="P44" s="109"/>
      <c r="Q44" s="109"/>
      <c r="R44" s="109"/>
      <c r="S44" s="109"/>
      <c r="T44" s="109"/>
      <c r="U44" s="109"/>
      <c r="V44" s="109"/>
      <c r="W44" s="109"/>
      <c r="X44" s="81"/>
      <c r="Y44" s="81"/>
      <c r="Z44" s="81"/>
      <c r="AA44" s="81"/>
      <c r="AB44" s="81"/>
      <c r="AC44" s="81"/>
      <c r="AD44" s="81"/>
      <c r="AE44" s="81"/>
    </row>
    <row r="45" spans="1:31" s="111" customFormat="1">
      <c r="A45" s="90"/>
      <c r="B45" s="90" t="s">
        <v>195</v>
      </c>
      <c r="C45" s="93" t="s">
        <v>194</v>
      </c>
      <c r="D45" s="97" t="s">
        <v>146</v>
      </c>
      <c r="E45" s="97" t="s">
        <v>271</v>
      </c>
      <c r="F45" s="93" t="s">
        <v>195</v>
      </c>
      <c r="G45" s="97" t="s">
        <v>276</v>
      </c>
      <c r="H45" s="97" t="s">
        <v>146</v>
      </c>
      <c r="I45" s="97" t="s">
        <v>272</v>
      </c>
      <c r="J45" s="93" t="s">
        <v>195</v>
      </c>
      <c r="K45" s="97" t="s">
        <v>276</v>
      </c>
      <c r="L45" s="97" t="s">
        <v>146</v>
      </c>
      <c r="M45" s="97" t="s">
        <v>273</v>
      </c>
      <c r="N45" s="93" t="s">
        <v>195</v>
      </c>
      <c r="O45" s="97" t="s">
        <v>276</v>
      </c>
      <c r="P45" s="97" t="s">
        <v>146</v>
      </c>
      <c r="Q45" s="97" t="s">
        <v>274</v>
      </c>
      <c r="R45" s="93" t="s">
        <v>195</v>
      </c>
      <c r="S45" s="97" t="s">
        <v>276</v>
      </c>
      <c r="T45" s="97" t="s">
        <v>146</v>
      </c>
      <c r="U45" s="97" t="s">
        <v>275</v>
      </c>
      <c r="V45" s="93" t="s">
        <v>195</v>
      </c>
      <c r="W45" s="97" t="s">
        <v>276</v>
      </c>
      <c r="X45" s="97" t="s">
        <v>146</v>
      </c>
      <c r="Y45" s="97" t="s">
        <v>358</v>
      </c>
      <c r="Z45" s="93" t="s">
        <v>195</v>
      </c>
      <c r="AA45" s="97" t="s">
        <v>276</v>
      </c>
      <c r="AB45" s="97" t="s">
        <v>146</v>
      </c>
      <c r="AC45" s="97" t="s">
        <v>359</v>
      </c>
      <c r="AD45" s="93" t="s">
        <v>195</v>
      </c>
      <c r="AE45" s="97" t="s">
        <v>276</v>
      </c>
    </row>
    <row r="46" spans="1:31" s="111" customFormat="1">
      <c r="A46" s="96" t="s">
        <v>378</v>
      </c>
      <c r="B46" s="96"/>
      <c r="C46" s="91" t="e">
        <f t="shared" ref="C46" si="8">((D46*G46)+(K46*H46)+(O46*L46)+(S46*P46)+(W46*T46)+(X46*AA46)+(AB46*AE46))</f>
        <v>#NAME?</v>
      </c>
      <c r="D46" s="94">
        <v>1</v>
      </c>
      <c r="E46" s="95" t="s">
        <v>370</v>
      </c>
      <c r="F46" s="59" t="str">
        <f>E46</f>
        <v>Emplasto Astilloso</v>
      </c>
      <c r="G46" s="92" t="e">
        <f t="shared" ref="G46" si="9">VLOOKUP(E46,craftedesp,3,FALSE)</f>
        <v>#NAME?</v>
      </c>
      <c r="H46" s="94">
        <v>16</v>
      </c>
      <c r="I46" s="95">
        <v>17</v>
      </c>
      <c r="J46" s="59" t="e">
        <f t="shared" ref="J46" si="10">VLOOKUP(I46,LISTAITEMS,2,FALSE)</f>
        <v>#NAME?</v>
      </c>
      <c r="K46" s="92" t="e">
        <f>VLOOKUP(I46,LISTAITEMS,5,FALSE)</f>
        <v>#NAME?</v>
      </c>
      <c r="L46" s="94">
        <v>0</v>
      </c>
      <c r="M46" s="95" t="s">
        <v>202</v>
      </c>
      <c r="N46" s="59" t="e">
        <f t="shared" ref="N46" si="11">VLOOKUP(M46,LISTAITEMS,2,FALSE)</f>
        <v>#NAME?</v>
      </c>
      <c r="O46" s="92" t="e">
        <f t="shared" ref="O46" si="12">VLOOKUP(M46,LISTAITEMS,5,FALSE)</f>
        <v>#NAME?</v>
      </c>
      <c r="P46" s="94">
        <v>0</v>
      </c>
      <c r="Q46" s="95" t="s">
        <v>202</v>
      </c>
      <c r="R46" s="59" t="e">
        <f t="shared" ref="R46" si="13">VLOOKUP(Q46,LISTAITEMS,2,FALSE)</f>
        <v>#NAME?</v>
      </c>
      <c r="S46" s="92" t="e">
        <f t="shared" ref="S46" si="14">VLOOKUP(Q46,LISTAITEMS,5,FALSE)</f>
        <v>#NAME?</v>
      </c>
      <c r="T46" s="94">
        <v>0</v>
      </c>
      <c r="U46" s="95" t="s">
        <v>202</v>
      </c>
      <c r="V46" s="59" t="e">
        <f t="shared" ref="V46" si="15">VLOOKUP(U46,LISTAITEMS,2,FALSE)</f>
        <v>#NAME?</v>
      </c>
      <c r="W46" s="92" t="e">
        <f t="shared" ref="W46" si="16">VLOOKUP(U46,LISTAITEMS,5,FALSE)</f>
        <v>#NAME?</v>
      </c>
      <c r="X46" s="94">
        <v>0</v>
      </c>
      <c r="Y46" s="95" t="s">
        <v>202</v>
      </c>
      <c r="Z46" s="59" t="e">
        <f t="shared" ref="Z46" si="17">VLOOKUP(Y46,LISTAITEMS,2,FALSE)</f>
        <v>#NAME?</v>
      </c>
      <c r="AA46" s="92" t="e">
        <f t="shared" ref="AA46" si="18">VLOOKUP(Y46,LISTAITEMS,5,FALSE)</f>
        <v>#NAME?</v>
      </c>
      <c r="AB46" s="94">
        <v>0</v>
      </c>
      <c r="AC46" s="95" t="s">
        <v>202</v>
      </c>
      <c r="AD46" s="59" t="e">
        <f t="shared" ref="AD46" si="19">VLOOKUP(AC46,LISTAITEMS,2,FALSE)</f>
        <v>#NAME?</v>
      </c>
      <c r="AE46" s="92" t="e">
        <f t="shared" ref="AE46" si="20">VLOOKUP(AC46,LISTAITEMS,5,FALSE)</f>
        <v>#NAME?</v>
      </c>
    </row>
    <row r="47" spans="1:31" s="89" customFormat="1">
      <c r="A47"/>
      <c r="B47"/>
      <c r="C47"/>
      <c r="D47"/>
      <c r="E47"/>
      <c r="F47"/>
      <c r="G47"/>
      <c r="H47"/>
      <c r="I47"/>
      <c r="J47"/>
      <c r="K47"/>
      <c r="L47"/>
      <c r="M47"/>
      <c r="N47"/>
      <c r="O47"/>
      <c r="P47"/>
      <c r="Q47"/>
      <c r="R47"/>
      <c r="S47"/>
      <c r="T47"/>
      <c r="U47"/>
      <c r="V47"/>
      <c r="W47"/>
    </row>
    <row r="48" spans="1:31" s="107" customFormat="1">
      <c r="A48" s="109"/>
      <c r="B48" s="109" t="s">
        <v>244</v>
      </c>
      <c r="C48" s="109"/>
      <c r="D48" s="109"/>
      <c r="E48" s="109"/>
      <c r="F48" s="109"/>
      <c r="G48" s="109"/>
      <c r="H48" s="109"/>
      <c r="I48" s="109"/>
      <c r="J48" s="109"/>
      <c r="K48" s="109"/>
      <c r="L48" s="109"/>
      <c r="M48" s="109"/>
      <c r="N48" s="109"/>
      <c r="O48" s="109"/>
      <c r="P48" s="109"/>
      <c r="Q48" s="109"/>
      <c r="R48" s="109"/>
      <c r="S48" s="109"/>
      <c r="T48" s="109"/>
      <c r="U48" s="109"/>
      <c r="V48" s="109"/>
      <c r="W48" s="109"/>
      <c r="X48" s="81"/>
      <c r="Y48" s="81"/>
      <c r="Z48" s="81"/>
      <c r="AA48" s="81"/>
      <c r="AB48" s="81"/>
      <c r="AC48" s="81"/>
      <c r="AD48" s="81"/>
      <c r="AE48" s="81"/>
    </row>
    <row r="49" spans="1:31" s="107" customFormat="1">
      <c r="A49" s="90"/>
      <c r="B49" s="90" t="s">
        <v>195</v>
      </c>
      <c r="C49" s="93" t="s">
        <v>194</v>
      </c>
      <c r="D49" s="97" t="s">
        <v>146</v>
      </c>
      <c r="E49" s="97" t="s">
        <v>271</v>
      </c>
      <c r="F49" s="93" t="s">
        <v>195</v>
      </c>
      <c r="G49" s="97" t="s">
        <v>276</v>
      </c>
      <c r="H49" s="97" t="s">
        <v>146</v>
      </c>
      <c r="I49" s="97" t="s">
        <v>272</v>
      </c>
      <c r="J49" s="93" t="s">
        <v>195</v>
      </c>
      <c r="K49" s="97" t="s">
        <v>276</v>
      </c>
      <c r="L49" s="97" t="s">
        <v>146</v>
      </c>
      <c r="M49" s="97" t="s">
        <v>273</v>
      </c>
      <c r="N49" s="93" t="s">
        <v>195</v>
      </c>
      <c r="O49" s="97" t="s">
        <v>276</v>
      </c>
      <c r="P49" s="97" t="s">
        <v>146</v>
      </c>
      <c r="Q49" s="97" t="s">
        <v>274</v>
      </c>
      <c r="R49" s="93" t="s">
        <v>195</v>
      </c>
      <c r="S49" s="97" t="s">
        <v>276</v>
      </c>
      <c r="T49" s="97" t="s">
        <v>146</v>
      </c>
      <c r="U49" s="97" t="s">
        <v>275</v>
      </c>
      <c r="V49" s="93" t="s">
        <v>195</v>
      </c>
      <c r="W49" s="97" t="s">
        <v>276</v>
      </c>
      <c r="X49" s="97" t="s">
        <v>146</v>
      </c>
      <c r="Y49" s="97" t="s">
        <v>358</v>
      </c>
      <c r="Z49" s="93" t="s">
        <v>195</v>
      </c>
      <c r="AA49" s="97" t="s">
        <v>276</v>
      </c>
      <c r="AB49" s="97" t="s">
        <v>146</v>
      </c>
      <c r="AC49" s="97" t="s">
        <v>359</v>
      </c>
      <c r="AD49" s="93" t="s">
        <v>195</v>
      </c>
      <c r="AE49" s="97" t="s">
        <v>276</v>
      </c>
    </row>
    <row r="50" spans="1:31" s="107" customFormat="1">
      <c r="A50" s="96" t="s">
        <v>369</v>
      </c>
      <c r="B50" s="96"/>
      <c r="C50" s="91" t="e">
        <f t="shared" ref="C50" si="21">((D50*G50)+(K50*H50)+(O50*L50)+(S50*P50)+(W50*T50)+(X50*AA50)+(AB50*AE50))</f>
        <v>#NAME?</v>
      </c>
      <c r="D50" s="94">
        <v>14</v>
      </c>
      <c r="E50" s="95">
        <v>377</v>
      </c>
      <c r="F50" s="59" t="e">
        <f t="shared" ref="F50" si="22">VLOOKUP(E50,LISTAITEMS,2,FALSE)</f>
        <v>#NAME?</v>
      </c>
      <c r="G50" s="92" t="e">
        <f t="shared" ref="G50" si="23">VLOOKUP(E50,LISTAITEMS,5,FALSE)</f>
        <v>#NAME?</v>
      </c>
      <c r="H50" s="94">
        <v>1</v>
      </c>
      <c r="I50" s="95" t="s">
        <v>365</v>
      </c>
      <c r="J50" s="59" t="str">
        <f>I50</f>
        <v>Ppl Astillado</v>
      </c>
      <c r="K50" s="92" t="e">
        <f t="shared" ref="K50" si="24">VLOOKUP(I50,craftedesp,3,FALSE)</f>
        <v>#NAME?</v>
      </c>
      <c r="L50" s="94">
        <v>0</v>
      </c>
      <c r="M50" s="95" t="s">
        <v>202</v>
      </c>
      <c r="N50" s="59" t="e">
        <f t="shared" ref="N50" si="25">VLOOKUP(M50,LISTAITEMS,2,FALSE)</f>
        <v>#NAME?</v>
      </c>
      <c r="O50" s="92" t="e">
        <f t="shared" ref="O50" si="26">VLOOKUP(M50,LISTAITEMS,5,FALSE)</f>
        <v>#NAME?</v>
      </c>
      <c r="P50" s="94">
        <v>0</v>
      </c>
      <c r="Q50" s="95" t="s">
        <v>202</v>
      </c>
      <c r="R50" s="59" t="e">
        <f t="shared" ref="R50" si="27">VLOOKUP(Q50,LISTAITEMS,2,FALSE)</f>
        <v>#NAME?</v>
      </c>
      <c r="S50" s="92" t="e">
        <f t="shared" ref="S50" si="28">VLOOKUP(Q50,LISTAITEMS,5,FALSE)</f>
        <v>#NAME?</v>
      </c>
      <c r="T50" s="94">
        <v>0</v>
      </c>
      <c r="U50" s="95" t="s">
        <v>202</v>
      </c>
      <c r="V50" s="59" t="e">
        <f t="shared" ref="V50" si="29">VLOOKUP(U50,LISTAITEMS,2,FALSE)</f>
        <v>#NAME?</v>
      </c>
      <c r="W50" s="92" t="e">
        <f t="shared" ref="W50" si="30">VLOOKUP(U50,LISTAITEMS,5,FALSE)</f>
        <v>#NAME?</v>
      </c>
      <c r="X50" s="94">
        <v>0</v>
      </c>
      <c r="Y50" s="95" t="s">
        <v>202</v>
      </c>
      <c r="Z50" s="59" t="e">
        <f t="shared" ref="Z50" si="31">VLOOKUP(Y50,LISTAITEMS,2,FALSE)</f>
        <v>#NAME?</v>
      </c>
      <c r="AA50" s="92" t="e">
        <f t="shared" ref="AA50" si="32">VLOOKUP(Y50,LISTAITEMS,5,FALSE)</f>
        <v>#NAME?</v>
      </c>
      <c r="AB50" s="94">
        <v>0</v>
      </c>
      <c r="AC50" s="95" t="s">
        <v>202</v>
      </c>
      <c r="AD50" s="59" t="e">
        <f t="shared" ref="AD50" si="33">VLOOKUP(AC50,LISTAITEMS,2,FALSE)</f>
        <v>#NAME?</v>
      </c>
      <c r="AE50" s="92" t="e">
        <f t="shared" ref="AE50" si="34">VLOOKUP(AC50,LISTAITEMS,5,FALSE)</f>
        <v>#NAME?</v>
      </c>
    </row>
    <row r="52" spans="1:31" s="107" customFormat="1">
      <c r="A52" s="109"/>
      <c r="B52" s="109" t="s">
        <v>316</v>
      </c>
      <c r="C52" s="109"/>
      <c r="D52" s="109"/>
      <c r="E52" s="109"/>
      <c r="F52" s="109"/>
      <c r="G52" s="109"/>
      <c r="H52" s="109"/>
      <c r="I52" s="109"/>
      <c r="J52" s="109"/>
      <c r="K52" s="109"/>
      <c r="L52" s="109"/>
      <c r="M52" s="109"/>
      <c r="N52" s="109"/>
      <c r="O52" s="109"/>
      <c r="P52" s="109"/>
      <c r="Q52" s="109"/>
      <c r="R52" s="109"/>
      <c r="S52" s="109"/>
      <c r="T52" s="109"/>
      <c r="U52" s="109"/>
      <c r="V52" s="109"/>
      <c r="W52" s="109"/>
      <c r="X52" s="81"/>
      <c r="Y52" s="81"/>
      <c r="Z52" s="81"/>
      <c r="AA52" s="81"/>
      <c r="AB52" s="81"/>
      <c r="AC52" s="81"/>
      <c r="AD52" s="81"/>
      <c r="AE52" s="81"/>
    </row>
    <row r="53" spans="1:31" s="107" customFormat="1">
      <c r="A53" s="90"/>
      <c r="B53" s="90" t="s">
        <v>195</v>
      </c>
      <c r="C53" s="93" t="s">
        <v>194</v>
      </c>
      <c r="D53" s="97" t="s">
        <v>146</v>
      </c>
      <c r="E53" s="97" t="s">
        <v>271</v>
      </c>
      <c r="F53" s="93" t="s">
        <v>195</v>
      </c>
      <c r="G53" s="97" t="s">
        <v>276</v>
      </c>
      <c r="H53" s="97" t="s">
        <v>146</v>
      </c>
      <c r="I53" s="97" t="s">
        <v>272</v>
      </c>
      <c r="J53" s="93" t="s">
        <v>195</v>
      </c>
      <c r="K53" s="97" t="s">
        <v>276</v>
      </c>
      <c r="L53" s="97" t="s">
        <v>146</v>
      </c>
      <c r="M53" s="97" t="s">
        <v>273</v>
      </c>
      <c r="N53" s="93" t="s">
        <v>195</v>
      </c>
      <c r="O53" s="97" t="s">
        <v>276</v>
      </c>
      <c r="P53" s="97" t="s">
        <v>146</v>
      </c>
      <c r="Q53" s="97" t="s">
        <v>274</v>
      </c>
      <c r="R53" s="93" t="s">
        <v>195</v>
      </c>
      <c r="S53" s="97" t="s">
        <v>276</v>
      </c>
      <c r="T53" s="97" t="s">
        <v>146</v>
      </c>
      <c r="U53" s="97" t="s">
        <v>275</v>
      </c>
      <c r="V53" s="93" t="s">
        <v>195</v>
      </c>
      <c r="W53" s="97" t="s">
        <v>276</v>
      </c>
      <c r="X53" s="97" t="s">
        <v>146</v>
      </c>
      <c r="Y53" s="97" t="s">
        <v>358</v>
      </c>
      <c r="Z53" s="93" t="s">
        <v>195</v>
      </c>
      <c r="AA53" s="97" t="s">
        <v>276</v>
      </c>
      <c r="AB53" s="97" t="s">
        <v>146</v>
      </c>
      <c r="AC53" s="97" t="s">
        <v>359</v>
      </c>
      <c r="AD53" s="93" t="s">
        <v>195</v>
      </c>
      <c r="AE53" s="97" t="s">
        <v>276</v>
      </c>
    </row>
    <row r="54" spans="1:31" s="107" customFormat="1">
      <c r="A54" s="96" t="s">
        <v>365</v>
      </c>
      <c r="B54" s="96"/>
      <c r="C54" s="91" t="e">
        <f t="shared" ref="C54" si="35">((D54*G54)+(K54*H54)+(O54*L54)+(S54*P54)+(W54*T54)+(X54*AA54)+(AB54*AE54))</f>
        <v>#NAME?</v>
      </c>
      <c r="D54" s="94">
        <v>64</v>
      </c>
      <c r="E54" s="95">
        <v>17</v>
      </c>
      <c r="F54" s="59" t="e">
        <f t="shared" ref="F54" si="36">VLOOKUP(E54,LISTAITEMS,2,FALSE)</f>
        <v>#NAME?</v>
      </c>
      <c r="G54" s="92" t="e">
        <f t="shared" ref="G54" si="37">VLOOKUP(E54,LISTAITEMS,5,FALSE)</f>
        <v>#NAME?</v>
      </c>
      <c r="H54" s="94">
        <v>1</v>
      </c>
      <c r="I54" s="95" t="s">
        <v>290</v>
      </c>
      <c r="J54" s="59" t="str">
        <f>I54</f>
        <v>Corteza de roble</v>
      </c>
      <c r="K54" s="92" t="e">
        <f t="shared" ref="K54" si="38">VLOOKUP(I54,craftedesp,3,FALSE)</f>
        <v>#NAME?</v>
      </c>
      <c r="L54" s="94">
        <v>0</v>
      </c>
      <c r="M54" s="95" t="s">
        <v>202</v>
      </c>
      <c r="N54" s="59" t="e">
        <f t="shared" ref="N54" si="39">VLOOKUP(M54,LISTAITEMS,2,FALSE)</f>
        <v>#NAME?</v>
      </c>
      <c r="O54" s="92" t="e">
        <f t="shared" ref="O54" si="40">VLOOKUP(M54,LISTAITEMS,5,FALSE)</f>
        <v>#NAME?</v>
      </c>
      <c r="P54" s="94">
        <v>0</v>
      </c>
      <c r="Q54" s="95" t="s">
        <v>202</v>
      </c>
      <c r="R54" s="59" t="e">
        <f t="shared" ref="R54" si="41">VLOOKUP(Q54,LISTAITEMS,2,FALSE)</f>
        <v>#NAME?</v>
      </c>
      <c r="S54" s="92" t="e">
        <f t="shared" ref="S54" si="42">VLOOKUP(Q54,LISTAITEMS,5,FALSE)</f>
        <v>#NAME?</v>
      </c>
      <c r="T54" s="94">
        <v>0</v>
      </c>
      <c r="U54" s="95" t="s">
        <v>202</v>
      </c>
      <c r="V54" s="59" t="e">
        <f t="shared" ref="V54" si="43">VLOOKUP(U54,LISTAITEMS,2,FALSE)</f>
        <v>#NAME?</v>
      </c>
      <c r="W54" s="92" t="e">
        <f t="shared" ref="W54" si="44">VLOOKUP(U54,LISTAITEMS,5,FALSE)</f>
        <v>#NAME?</v>
      </c>
      <c r="X54" s="94">
        <v>0</v>
      </c>
      <c r="Y54" s="95" t="s">
        <v>202</v>
      </c>
      <c r="Z54" s="59" t="e">
        <f t="shared" ref="Z54" si="45">VLOOKUP(Y54,LISTAITEMS,2,FALSE)</f>
        <v>#NAME?</v>
      </c>
      <c r="AA54" s="92" t="e">
        <f t="shared" ref="AA54" si="46">VLOOKUP(Y54,LISTAITEMS,5,FALSE)</f>
        <v>#NAME?</v>
      </c>
      <c r="AB54" s="94">
        <v>0</v>
      </c>
      <c r="AC54" s="95" t="s">
        <v>202</v>
      </c>
      <c r="AD54" s="59" t="e">
        <f t="shared" ref="AD54" si="47">VLOOKUP(AC54,LISTAITEMS,2,FALSE)</f>
        <v>#NAME?</v>
      </c>
      <c r="AE54" s="92" t="e">
        <f t="shared" ref="AE54" si="48">VLOOKUP(AC54,LISTAITEMS,5,FALSE)</f>
        <v>#NAME?</v>
      </c>
    </row>
    <row r="55" spans="1:31" s="105" customFormat="1">
      <c r="A55"/>
      <c r="B55"/>
      <c r="C55"/>
      <c r="D55"/>
      <c r="E55"/>
      <c r="F55"/>
      <c r="G55"/>
      <c r="H55"/>
      <c r="I55"/>
      <c r="J55"/>
      <c r="K55"/>
      <c r="L55"/>
      <c r="M55"/>
      <c r="N55"/>
      <c r="O55"/>
      <c r="P55"/>
      <c r="Q55"/>
      <c r="R55"/>
      <c r="S55"/>
      <c r="T55"/>
      <c r="U55"/>
      <c r="V55"/>
      <c r="W55"/>
    </row>
    <row r="56" spans="1:31" s="105" customFormat="1">
      <c r="A56" s="109"/>
      <c r="B56" s="109" t="s">
        <v>258</v>
      </c>
      <c r="C56" s="109"/>
      <c r="D56" s="109"/>
      <c r="E56" s="109"/>
      <c r="F56" s="109"/>
      <c r="G56" s="109"/>
      <c r="H56" s="109"/>
      <c r="I56" s="109"/>
      <c r="J56" s="109"/>
      <c r="K56" s="109"/>
      <c r="L56" s="109"/>
      <c r="M56" s="109"/>
      <c r="N56" s="109"/>
      <c r="O56" s="109"/>
      <c r="P56" s="109"/>
      <c r="Q56" s="109"/>
      <c r="R56" s="109"/>
      <c r="S56" s="109"/>
      <c r="T56" s="109"/>
      <c r="U56" s="109"/>
      <c r="V56" s="109"/>
      <c r="W56" s="109"/>
      <c r="X56" s="81"/>
      <c r="Y56" s="81"/>
      <c r="Z56" s="81"/>
      <c r="AA56" s="81"/>
      <c r="AB56" s="81"/>
      <c r="AC56" s="81"/>
      <c r="AD56" s="81"/>
      <c r="AE56" s="81"/>
    </row>
    <row r="57" spans="1:31">
      <c r="A57" s="90"/>
      <c r="B57" s="90" t="s">
        <v>195</v>
      </c>
      <c r="C57" s="93" t="s">
        <v>194</v>
      </c>
      <c r="D57" s="97" t="s">
        <v>146</v>
      </c>
      <c r="E57" s="97" t="s">
        <v>271</v>
      </c>
      <c r="F57" s="93" t="s">
        <v>195</v>
      </c>
      <c r="G57" s="97" t="s">
        <v>276</v>
      </c>
      <c r="H57" s="97" t="s">
        <v>146</v>
      </c>
      <c r="I57" s="97" t="s">
        <v>272</v>
      </c>
      <c r="J57" s="93" t="s">
        <v>195</v>
      </c>
      <c r="K57" s="97" t="s">
        <v>276</v>
      </c>
      <c r="L57" s="97" t="s">
        <v>146</v>
      </c>
      <c r="M57" s="97" t="s">
        <v>273</v>
      </c>
      <c r="N57" s="93" t="s">
        <v>195</v>
      </c>
      <c r="O57" s="97" t="s">
        <v>276</v>
      </c>
      <c r="P57" s="97" t="s">
        <v>146</v>
      </c>
      <c r="Q57" s="97" t="s">
        <v>274</v>
      </c>
      <c r="R57" s="93" t="s">
        <v>195</v>
      </c>
      <c r="S57" s="97" t="s">
        <v>276</v>
      </c>
      <c r="T57" s="97" t="s">
        <v>146</v>
      </c>
      <c r="U57" s="97" t="s">
        <v>275</v>
      </c>
      <c r="V57" s="93" t="s">
        <v>195</v>
      </c>
      <c r="W57" s="97" t="s">
        <v>276</v>
      </c>
      <c r="X57" s="97" t="s">
        <v>146</v>
      </c>
      <c r="Y57" s="97" t="s">
        <v>358</v>
      </c>
      <c r="Z57" s="93" t="s">
        <v>195</v>
      </c>
      <c r="AA57" s="97" t="s">
        <v>276</v>
      </c>
      <c r="AB57" s="97" t="s">
        <v>146</v>
      </c>
      <c r="AC57" s="97" t="s">
        <v>359</v>
      </c>
      <c r="AD57" s="93" t="s">
        <v>195</v>
      </c>
      <c r="AE57" s="97" t="s">
        <v>276</v>
      </c>
    </row>
    <row r="58" spans="1:31">
      <c r="A58" s="96" t="s">
        <v>290</v>
      </c>
      <c r="B58" s="96"/>
      <c r="C58" s="91" t="e">
        <f t="shared" ref="C58:C63" si="49">((D58*G58)+(K58*H58)+(O58*L58)+(S58*P58)+(W58*T58)+(X58*AA58)+(AB58*AE58))</f>
        <v>#NAME?</v>
      </c>
      <c r="D58" s="94">
        <v>64</v>
      </c>
      <c r="E58" s="95">
        <v>17</v>
      </c>
      <c r="F58" s="59" t="e">
        <f t="shared" ref="F58:F59" si="50">VLOOKUP(E58,LISTAITEMS,2,FALSE)</f>
        <v>#NAME?</v>
      </c>
      <c r="G58" s="92" t="e">
        <f t="shared" ref="G58:G63" si="51">VLOOKUP(E58,LISTAITEMS,5,FALSE)</f>
        <v>#NAME?</v>
      </c>
      <c r="H58" s="94">
        <v>0</v>
      </c>
      <c r="I58" s="95" t="s">
        <v>202</v>
      </c>
      <c r="J58" s="59" t="e">
        <f t="shared" ref="J58:J59" si="52">VLOOKUP(I58,LISTAITEMS,2,FALSE)</f>
        <v>#NAME?</v>
      </c>
      <c r="K58" s="92" t="e">
        <f t="shared" ref="K58:K63" si="53">VLOOKUP(I58,LISTAITEMS,5,FALSE)</f>
        <v>#NAME?</v>
      </c>
      <c r="L58" s="94">
        <v>0</v>
      </c>
      <c r="M58" s="95" t="s">
        <v>202</v>
      </c>
      <c r="N58" s="59" t="e">
        <f t="shared" ref="N58:N59" si="54">VLOOKUP(M58,LISTAITEMS,2,FALSE)</f>
        <v>#NAME?</v>
      </c>
      <c r="O58" s="92" t="e">
        <f t="shared" ref="O58:O63" si="55">VLOOKUP(M58,LISTAITEMS,5,FALSE)</f>
        <v>#NAME?</v>
      </c>
      <c r="P58" s="94">
        <v>0</v>
      </c>
      <c r="Q58" s="95" t="s">
        <v>202</v>
      </c>
      <c r="R58" s="59" t="e">
        <f t="shared" ref="R58:R59" si="56">VLOOKUP(Q58,LISTAITEMS,2,FALSE)</f>
        <v>#NAME?</v>
      </c>
      <c r="S58" s="92" t="e">
        <f t="shared" ref="S58:S63" si="57">VLOOKUP(Q58,LISTAITEMS,5,FALSE)</f>
        <v>#NAME?</v>
      </c>
      <c r="T58" s="94">
        <v>0</v>
      </c>
      <c r="U58" s="95" t="s">
        <v>202</v>
      </c>
      <c r="V58" s="59" t="e">
        <f t="shared" ref="V58:V59" si="58">VLOOKUP(U58,LISTAITEMS,2,FALSE)</f>
        <v>#NAME?</v>
      </c>
      <c r="W58" s="92" t="e">
        <f t="shared" ref="W58:W63" si="59">VLOOKUP(U58,LISTAITEMS,5,FALSE)</f>
        <v>#NAME?</v>
      </c>
      <c r="X58" s="94">
        <v>0</v>
      </c>
      <c r="Y58" s="95" t="s">
        <v>202</v>
      </c>
      <c r="Z58" s="59" t="e">
        <f t="shared" ref="Z58:Z59" si="60">VLOOKUP(Y58,LISTAITEMS,2,FALSE)</f>
        <v>#NAME?</v>
      </c>
      <c r="AA58" s="92" t="e">
        <f t="shared" ref="AA58:AA63" si="61">VLOOKUP(Y58,LISTAITEMS,5,FALSE)</f>
        <v>#NAME?</v>
      </c>
      <c r="AB58" s="94">
        <v>0</v>
      </c>
      <c r="AC58" s="95" t="s">
        <v>202</v>
      </c>
      <c r="AD58" s="59" t="e">
        <f t="shared" ref="AD58:AD59" si="62">VLOOKUP(AC58,LISTAITEMS,2,FALSE)</f>
        <v>#NAME?</v>
      </c>
      <c r="AE58" s="92" t="e">
        <f t="shared" ref="AE58:AE63" si="63">VLOOKUP(AC58,LISTAITEMS,5,FALSE)</f>
        <v>#NAME?</v>
      </c>
    </row>
    <row r="59" spans="1:31">
      <c r="A59" s="96" t="s">
        <v>292</v>
      </c>
      <c r="B59" s="96"/>
      <c r="C59" s="91" t="e">
        <f t="shared" si="49"/>
        <v>#NAME?</v>
      </c>
      <c r="D59" s="94">
        <v>64</v>
      </c>
      <c r="E59" s="95" t="s">
        <v>196</v>
      </c>
      <c r="F59" s="59" t="e">
        <f t="shared" si="50"/>
        <v>#NAME?</v>
      </c>
      <c r="G59" s="92" t="e">
        <f t="shared" si="51"/>
        <v>#NAME?</v>
      </c>
      <c r="H59" s="94">
        <v>0</v>
      </c>
      <c r="I59" s="95" t="s">
        <v>202</v>
      </c>
      <c r="J59" s="59" t="e">
        <f t="shared" si="52"/>
        <v>#NAME?</v>
      </c>
      <c r="K59" s="92" t="e">
        <f t="shared" si="53"/>
        <v>#NAME?</v>
      </c>
      <c r="L59" s="94">
        <v>0</v>
      </c>
      <c r="M59" s="95" t="s">
        <v>202</v>
      </c>
      <c r="N59" s="59" t="e">
        <f t="shared" si="54"/>
        <v>#NAME?</v>
      </c>
      <c r="O59" s="92" t="e">
        <f t="shared" si="55"/>
        <v>#NAME?</v>
      </c>
      <c r="P59" s="94">
        <v>0</v>
      </c>
      <c r="Q59" s="95" t="s">
        <v>202</v>
      </c>
      <c r="R59" s="59" t="e">
        <f t="shared" si="56"/>
        <v>#NAME?</v>
      </c>
      <c r="S59" s="92" t="e">
        <f t="shared" si="57"/>
        <v>#NAME?</v>
      </c>
      <c r="T59" s="94">
        <v>0</v>
      </c>
      <c r="U59" s="95" t="s">
        <v>202</v>
      </c>
      <c r="V59" s="59" t="e">
        <f t="shared" si="58"/>
        <v>#NAME?</v>
      </c>
      <c r="W59" s="92" t="e">
        <f t="shared" si="59"/>
        <v>#NAME?</v>
      </c>
      <c r="X59" s="94">
        <v>0</v>
      </c>
      <c r="Y59" s="95" t="s">
        <v>202</v>
      </c>
      <c r="Z59" s="59" t="e">
        <f t="shared" si="60"/>
        <v>#NAME?</v>
      </c>
      <c r="AA59" s="92" t="e">
        <f t="shared" si="61"/>
        <v>#NAME?</v>
      </c>
      <c r="AB59" s="94">
        <v>0</v>
      </c>
      <c r="AC59" s="95" t="s">
        <v>202</v>
      </c>
      <c r="AD59" s="59" t="e">
        <f t="shared" si="62"/>
        <v>#NAME?</v>
      </c>
      <c r="AE59" s="92" t="e">
        <f t="shared" si="63"/>
        <v>#NAME?</v>
      </c>
    </row>
    <row r="60" spans="1:31" s="106" customFormat="1">
      <c r="A60" s="96" t="s">
        <v>293</v>
      </c>
      <c r="B60" s="96"/>
      <c r="C60" s="91" t="e">
        <f t="shared" si="49"/>
        <v>#NAME?</v>
      </c>
      <c r="D60" s="94">
        <v>64</v>
      </c>
      <c r="E60" s="95" t="s">
        <v>197</v>
      </c>
      <c r="F60" s="59" t="e">
        <f t="shared" ref="F60:F61" si="64">VLOOKUP(E60,LISTAITEMS,2,FALSE)</f>
        <v>#NAME?</v>
      </c>
      <c r="G60" s="92" t="e">
        <f t="shared" si="51"/>
        <v>#NAME?</v>
      </c>
      <c r="H60" s="94">
        <v>0</v>
      </c>
      <c r="I60" s="95" t="s">
        <v>202</v>
      </c>
      <c r="J60" s="59" t="e">
        <f t="shared" ref="J60:J61" si="65">VLOOKUP(I60,LISTAITEMS,2,FALSE)</f>
        <v>#NAME?</v>
      </c>
      <c r="K60" s="92" t="e">
        <f t="shared" si="53"/>
        <v>#NAME?</v>
      </c>
      <c r="L60" s="94">
        <v>0</v>
      </c>
      <c r="M60" s="95" t="s">
        <v>202</v>
      </c>
      <c r="N60" s="59" t="e">
        <f t="shared" ref="N60:N61" si="66">VLOOKUP(M60,LISTAITEMS,2,FALSE)</f>
        <v>#NAME?</v>
      </c>
      <c r="O60" s="92" t="e">
        <f t="shared" si="55"/>
        <v>#NAME?</v>
      </c>
      <c r="P60" s="94">
        <v>0</v>
      </c>
      <c r="Q60" s="95" t="s">
        <v>202</v>
      </c>
      <c r="R60" s="59" t="e">
        <f t="shared" ref="R60:R61" si="67">VLOOKUP(Q60,LISTAITEMS,2,FALSE)</f>
        <v>#NAME?</v>
      </c>
      <c r="S60" s="92" t="e">
        <f t="shared" si="57"/>
        <v>#NAME?</v>
      </c>
      <c r="T60" s="94">
        <v>0</v>
      </c>
      <c r="U60" s="95" t="s">
        <v>202</v>
      </c>
      <c r="V60" s="59" t="e">
        <f t="shared" ref="V60:V61" si="68">VLOOKUP(U60,LISTAITEMS,2,FALSE)</f>
        <v>#NAME?</v>
      </c>
      <c r="W60" s="92" t="e">
        <f t="shared" si="59"/>
        <v>#NAME?</v>
      </c>
      <c r="X60" s="94">
        <v>0</v>
      </c>
      <c r="Y60" s="95" t="s">
        <v>202</v>
      </c>
      <c r="Z60" s="59" t="e">
        <f t="shared" ref="Z60:Z61" si="69">VLOOKUP(Y60,LISTAITEMS,2,FALSE)</f>
        <v>#NAME?</v>
      </c>
      <c r="AA60" s="92" t="e">
        <f t="shared" si="61"/>
        <v>#NAME?</v>
      </c>
      <c r="AB60" s="94">
        <v>0</v>
      </c>
      <c r="AC60" s="95" t="s">
        <v>202</v>
      </c>
      <c r="AD60" s="59" t="e">
        <f t="shared" ref="AD60:AD61" si="70">VLOOKUP(AC60,LISTAITEMS,2,FALSE)</f>
        <v>#NAME?</v>
      </c>
      <c r="AE60" s="92" t="e">
        <f t="shared" si="63"/>
        <v>#NAME?</v>
      </c>
    </row>
    <row r="61" spans="1:31" s="106" customFormat="1">
      <c r="A61" s="96" t="s">
        <v>360</v>
      </c>
      <c r="B61" s="96"/>
      <c r="C61" s="91" t="e">
        <f t="shared" si="49"/>
        <v>#NAME?</v>
      </c>
      <c r="D61" s="94">
        <v>64</v>
      </c>
      <c r="E61" s="95" t="s">
        <v>198</v>
      </c>
      <c r="F61" s="59" t="e">
        <f t="shared" si="64"/>
        <v>#NAME?</v>
      </c>
      <c r="G61" s="92" t="e">
        <f t="shared" si="51"/>
        <v>#NAME?</v>
      </c>
      <c r="H61" s="94">
        <v>0</v>
      </c>
      <c r="I61" s="95" t="s">
        <v>202</v>
      </c>
      <c r="J61" s="59" t="e">
        <f t="shared" si="65"/>
        <v>#NAME?</v>
      </c>
      <c r="K61" s="92" t="e">
        <f t="shared" si="53"/>
        <v>#NAME?</v>
      </c>
      <c r="L61" s="94">
        <v>0</v>
      </c>
      <c r="M61" s="95" t="s">
        <v>202</v>
      </c>
      <c r="N61" s="59" t="e">
        <f t="shared" si="66"/>
        <v>#NAME?</v>
      </c>
      <c r="O61" s="92" t="e">
        <f t="shared" si="55"/>
        <v>#NAME?</v>
      </c>
      <c r="P61" s="94">
        <v>0</v>
      </c>
      <c r="Q61" s="95" t="s">
        <v>202</v>
      </c>
      <c r="R61" s="59" t="e">
        <f t="shared" si="67"/>
        <v>#NAME?</v>
      </c>
      <c r="S61" s="92" t="e">
        <f t="shared" si="57"/>
        <v>#NAME?</v>
      </c>
      <c r="T61" s="94">
        <v>0</v>
      </c>
      <c r="U61" s="95" t="s">
        <v>202</v>
      </c>
      <c r="V61" s="59" t="e">
        <f t="shared" si="68"/>
        <v>#NAME?</v>
      </c>
      <c r="W61" s="92" t="e">
        <f t="shared" si="59"/>
        <v>#NAME?</v>
      </c>
      <c r="X61" s="94">
        <v>0</v>
      </c>
      <c r="Y61" s="95" t="s">
        <v>202</v>
      </c>
      <c r="Z61" s="59" t="e">
        <f t="shared" si="69"/>
        <v>#NAME?</v>
      </c>
      <c r="AA61" s="92" t="e">
        <f t="shared" si="61"/>
        <v>#NAME?</v>
      </c>
      <c r="AB61" s="94">
        <v>0</v>
      </c>
      <c r="AC61" s="95" t="s">
        <v>202</v>
      </c>
      <c r="AD61" s="59" t="e">
        <f t="shared" si="70"/>
        <v>#NAME?</v>
      </c>
      <c r="AE61" s="92" t="e">
        <f t="shared" si="63"/>
        <v>#NAME?</v>
      </c>
    </row>
    <row r="62" spans="1:31" s="106" customFormat="1">
      <c r="A62" s="96" t="s">
        <v>294</v>
      </c>
      <c r="B62" s="96"/>
      <c r="C62" s="91" t="e">
        <f t="shared" si="49"/>
        <v>#NAME?</v>
      </c>
      <c r="D62" s="94">
        <v>64</v>
      </c>
      <c r="E62" s="95">
        <v>162</v>
      </c>
      <c r="F62" s="59" t="e">
        <f t="shared" ref="F62:F63" si="71">VLOOKUP(E62,LISTAITEMS,2,FALSE)</f>
        <v>#NAME?</v>
      </c>
      <c r="G62" s="92" t="e">
        <f t="shared" si="51"/>
        <v>#NAME?</v>
      </c>
      <c r="H62" s="94">
        <v>0</v>
      </c>
      <c r="I62" s="95" t="s">
        <v>202</v>
      </c>
      <c r="J62" s="59" t="e">
        <f t="shared" ref="J62:J63" si="72">VLOOKUP(I62,LISTAITEMS,2,FALSE)</f>
        <v>#NAME?</v>
      </c>
      <c r="K62" s="92" t="e">
        <f t="shared" si="53"/>
        <v>#NAME?</v>
      </c>
      <c r="L62" s="94">
        <v>0</v>
      </c>
      <c r="M62" s="95" t="s">
        <v>202</v>
      </c>
      <c r="N62" s="59" t="e">
        <f t="shared" ref="N62:N63" si="73">VLOOKUP(M62,LISTAITEMS,2,FALSE)</f>
        <v>#NAME?</v>
      </c>
      <c r="O62" s="92" t="e">
        <f t="shared" si="55"/>
        <v>#NAME?</v>
      </c>
      <c r="P62" s="94">
        <v>0</v>
      </c>
      <c r="Q62" s="95" t="s">
        <v>202</v>
      </c>
      <c r="R62" s="59" t="e">
        <f t="shared" ref="R62:R63" si="74">VLOOKUP(Q62,LISTAITEMS,2,FALSE)</f>
        <v>#NAME?</v>
      </c>
      <c r="S62" s="92" t="e">
        <f t="shared" si="57"/>
        <v>#NAME?</v>
      </c>
      <c r="T62" s="94">
        <v>0</v>
      </c>
      <c r="U62" s="95" t="s">
        <v>202</v>
      </c>
      <c r="V62" s="59" t="e">
        <f t="shared" ref="V62:V63" si="75">VLOOKUP(U62,LISTAITEMS,2,FALSE)</f>
        <v>#NAME?</v>
      </c>
      <c r="W62" s="92" t="e">
        <f t="shared" si="59"/>
        <v>#NAME?</v>
      </c>
      <c r="X62" s="94">
        <v>0</v>
      </c>
      <c r="Y62" s="95" t="s">
        <v>202</v>
      </c>
      <c r="Z62" s="59" t="e">
        <f t="shared" ref="Z62:Z63" si="76">VLOOKUP(Y62,LISTAITEMS,2,FALSE)</f>
        <v>#NAME?</v>
      </c>
      <c r="AA62" s="92" t="e">
        <f t="shared" si="61"/>
        <v>#NAME?</v>
      </c>
      <c r="AB62" s="94">
        <v>0</v>
      </c>
      <c r="AC62" s="95" t="s">
        <v>202</v>
      </c>
      <c r="AD62" s="59" t="e">
        <f t="shared" ref="AD62:AD63" si="77">VLOOKUP(AC62,LISTAITEMS,2,FALSE)</f>
        <v>#NAME?</v>
      </c>
      <c r="AE62" s="92" t="e">
        <f t="shared" si="63"/>
        <v>#NAME?</v>
      </c>
    </row>
    <row r="63" spans="1:31" s="106" customFormat="1">
      <c r="A63" s="96" t="s">
        <v>361</v>
      </c>
      <c r="B63" s="96"/>
      <c r="C63" s="91" t="e">
        <f t="shared" si="49"/>
        <v>#NAME?</v>
      </c>
      <c r="D63" s="94">
        <v>64</v>
      </c>
      <c r="E63" s="95" t="s">
        <v>200</v>
      </c>
      <c r="F63" s="59" t="e">
        <f t="shared" si="71"/>
        <v>#NAME?</v>
      </c>
      <c r="G63" s="92" t="e">
        <f t="shared" si="51"/>
        <v>#NAME?</v>
      </c>
      <c r="H63" s="94">
        <v>0</v>
      </c>
      <c r="I63" s="95" t="s">
        <v>202</v>
      </c>
      <c r="J63" s="59" t="e">
        <f t="shared" si="72"/>
        <v>#NAME?</v>
      </c>
      <c r="K63" s="92" t="e">
        <f t="shared" si="53"/>
        <v>#NAME?</v>
      </c>
      <c r="L63" s="94">
        <v>0</v>
      </c>
      <c r="M63" s="95" t="s">
        <v>202</v>
      </c>
      <c r="N63" s="59" t="e">
        <f t="shared" si="73"/>
        <v>#NAME?</v>
      </c>
      <c r="O63" s="92" t="e">
        <f t="shared" si="55"/>
        <v>#NAME?</v>
      </c>
      <c r="P63" s="94">
        <v>0</v>
      </c>
      <c r="Q63" s="95" t="s">
        <v>202</v>
      </c>
      <c r="R63" s="59" t="e">
        <f t="shared" si="74"/>
        <v>#NAME?</v>
      </c>
      <c r="S63" s="92" t="e">
        <f t="shared" si="57"/>
        <v>#NAME?</v>
      </c>
      <c r="T63" s="94">
        <v>0</v>
      </c>
      <c r="U63" s="95" t="s">
        <v>202</v>
      </c>
      <c r="V63" s="59" t="e">
        <f t="shared" si="75"/>
        <v>#NAME?</v>
      </c>
      <c r="W63" s="92" t="e">
        <f t="shared" si="59"/>
        <v>#NAME?</v>
      </c>
      <c r="X63" s="94">
        <v>0</v>
      </c>
      <c r="Y63" s="95" t="s">
        <v>202</v>
      </c>
      <c r="Z63" s="59" t="e">
        <f t="shared" si="76"/>
        <v>#NAME?</v>
      </c>
      <c r="AA63" s="92" t="e">
        <f t="shared" si="61"/>
        <v>#NAME?</v>
      </c>
      <c r="AB63" s="94">
        <v>0</v>
      </c>
      <c r="AC63" s="95" t="s">
        <v>202</v>
      </c>
      <c r="AD63" s="59" t="e">
        <f t="shared" si="77"/>
        <v>#NAME?</v>
      </c>
      <c r="AE63" s="92" t="e">
        <f t="shared" si="63"/>
        <v>#NAME?</v>
      </c>
    </row>
    <row r="67" spans="1:31" s="106" customFormat="1">
      <c r="A67" s="109"/>
      <c r="B67" s="109" t="s">
        <v>362</v>
      </c>
      <c r="C67" s="109"/>
      <c r="D67" s="109"/>
      <c r="E67" s="109"/>
      <c r="F67" s="109"/>
      <c r="G67" s="109"/>
      <c r="H67" s="109"/>
      <c r="I67" s="109"/>
      <c r="J67" s="109"/>
      <c r="K67" s="109"/>
      <c r="L67" s="109"/>
      <c r="M67" s="109"/>
      <c r="N67" s="109"/>
      <c r="O67" s="109"/>
      <c r="P67" s="109"/>
      <c r="Q67" s="109"/>
      <c r="R67" s="109"/>
      <c r="S67" s="109"/>
      <c r="T67" s="109"/>
      <c r="U67" s="109"/>
      <c r="V67" s="109"/>
      <c r="W67" s="109"/>
      <c r="X67" s="81"/>
      <c r="Y67" s="81"/>
      <c r="Z67" s="81"/>
      <c r="AA67" s="81"/>
      <c r="AB67" s="81"/>
      <c r="AC67" s="81"/>
      <c r="AD67" s="81"/>
      <c r="AE67" s="81"/>
    </row>
    <row r="68" spans="1:31" s="106" customFormat="1">
      <c r="A68" s="90"/>
      <c r="B68" s="90" t="s">
        <v>195</v>
      </c>
      <c r="C68" s="93" t="s">
        <v>194</v>
      </c>
      <c r="D68" s="97" t="s">
        <v>146</v>
      </c>
      <c r="E68" s="97" t="s">
        <v>271</v>
      </c>
      <c r="F68" s="93" t="s">
        <v>195</v>
      </c>
      <c r="G68" s="97" t="s">
        <v>276</v>
      </c>
      <c r="H68" s="97" t="s">
        <v>146</v>
      </c>
      <c r="I68" s="97" t="s">
        <v>272</v>
      </c>
      <c r="J68" s="93" t="s">
        <v>195</v>
      </c>
      <c r="K68" s="97" t="s">
        <v>276</v>
      </c>
      <c r="L68" s="97" t="s">
        <v>146</v>
      </c>
      <c r="M68" s="97" t="s">
        <v>273</v>
      </c>
      <c r="N68" s="93" t="s">
        <v>195</v>
      </c>
      <c r="O68" s="97" t="s">
        <v>276</v>
      </c>
      <c r="P68" s="97" t="s">
        <v>146</v>
      </c>
      <c r="Q68" s="97" t="s">
        <v>274</v>
      </c>
      <c r="R68" s="93" t="s">
        <v>195</v>
      </c>
      <c r="S68" s="97" t="s">
        <v>276</v>
      </c>
      <c r="T68" s="97" t="s">
        <v>146</v>
      </c>
      <c r="U68" s="97" t="s">
        <v>275</v>
      </c>
      <c r="V68" s="93" t="s">
        <v>195</v>
      </c>
      <c r="W68" s="97" t="s">
        <v>276</v>
      </c>
      <c r="X68" s="97" t="s">
        <v>146</v>
      </c>
      <c r="Y68" s="97" t="s">
        <v>358</v>
      </c>
      <c r="Z68" s="93" t="s">
        <v>195</v>
      </c>
      <c r="AA68" s="97" t="s">
        <v>276</v>
      </c>
      <c r="AB68" s="97" t="s">
        <v>146</v>
      </c>
      <c r="AC68" s="97" t="s">
        <v>359</v>
      </c>
      <c r="AD68" s="93" t="s">
        <v>195</v>
      </c>
      <c r="AE68" s="97" t="s">
        <v>276</v>
      </c>
    </row>
    <row r="69" spans="1:31" s="107" customFormat="1">
      <c r="A69" s="96" t="s">
        <v>364</v>
      </c>
      <c r="B69" s="96"/>
      <c r="C69" s="91" t="e">
        <f t="shared" ref="C69" si="78">((D69*G69)+(K69*H69)+(O69*L69)+(S69*P69)+(W69*T69)+(X69*AA69)+(AB69*AE69))</f>
        <v>#NAME?</v>
      </c>
      <c r="D69" s="94">
        <v>64</v>
      </c>
      <c r="E69" s="95" t="s">
        <v>199</v>
      </c>
      <c r="F69" s="59" t="e">
        <f t="shared" ref="F69" si="79">VLOOKUP(E69,LISTAITEMS,2,FALSE)</f>
        <v>#NAME?</v>
      </c>
      <c r="G69" s="92" t="e">
        <f t="shared" ref="G69" si="80">VLOOKUP(E69,LISTAITEMS,5,FALSE)</f>
        <v>#NAME?</v>
      </c>
      <c r="H69" s="94">
        <v>2</v>
      </c>
      <c r="I69" s="95">
        <v>61</v>
      </c>
      <c r="J69" s="59" t="e">
        <f t="shared" ref="J69" si="81">VLOOKUP(I69,LISTAITEMS,2,FALSE)</f>
        <v>#NAME?</v>
      </c>
      <c r="K69" s="92" t="e">
        <f t="shared" ref="K69" si="82">VLOOKUP(I69,LISTAITEMS,5,FALSE)</f>
        <v>#NAME?</v>
      </c>
      <c r="L69" s="94">
        <v>0</v>
      </c>
      <c r="M69" s="95" t="s">
        <v>202</v>
      </c>
      <c r="N69" s="59" t="e">
        <f t="shared" ref="N69" si="83">VLOOKUP(M69,LISTAITEMS,2,FALSE)</f>
        <v>#NAME?</v>
      </c>
      <c r="O69" s="92" t="e">
        <f t="shared" ref="O69" si="84">VLOOKUP(M69,LISTAITEMS,5,FALSE)</f>
        <v>#NAME?</v>
      </c>
      <c r="P69" s="94">
        <v>0</v>
      </c>
      <c r="Q69" s="95" t="s">
        <v>202</v>
      </c>
      <c r="R69" s="59" t="e">
        <f t="shared" ref="R69" si="85">VLOOKUP(Q69,LISTAITEMS,2,FALSE)</f>
        <v>#NAME?</v>
      </c>
      <c r="S69" s="92" t="e">
        <f t="shared" ref="S69" si="86">VLOOKUP(Q69,LISTAITEMS,5,FALSE)</f>
        <v>#NAME?</v>
      </c>
      <c r="T69" s="94">
        <v>0</v>
      </c>
      <c r="U69" s="95" t="s">
        <v>202</v>
      </c>
      <c r="V69" s="59" t="e">
        <f t="shared" ref="V69" si="87">VLOOKUP(U69,LISTAITEMS,2,FALSE)</f>
        <v>#NAME?</v>
      </c>
      <c r="W69" s="92" t="e">
        <f t="shared" ref="W69" si="88">VLOOKUP(U69,LISTAITEMS,5,FALSE)</f>
        <v>#NAME?</v>
      </c>
      <c r="X69" s="94">
        <v>0</v>
      </c>
      <c r="Y69" s="95" t="s">
        <v>202</v>
      </c>
      <c r="Z69" s="59" t="e">
        <f t="shared" ref="Z69" si="89">VLOOKUP(Y69,LISTAITEMS,2,FALSE)</f>
        <v>#NAME?</v>
      </c>
      <c r="AA69" s="92" t="e">
        <f t="shared" ref="AA69" si="90">VLOOKUP(Y69,LISTAITEMS,5,FALSE)</f>
        <v>#NAME?</v>
      </c>
      <c r="AB69" s="94">
        <v>0</v>
      </c>
      <c r="AC69" s="95" t="s">
        <v>202</v>
      </c>
      <c r="AD69" s="59" t="e">
        <f t="shared" ref="AD69" si="91">VLOOKUP(AC69,LISTAITEMS,2,FALSE)</f>
        <v>#NAME?</v>
      </c>
      <c r="AE69" s="92" t="e">
        <f t="shared" ref="AE69" si="92">VLOOKUP(AC69,LISTAITEMS,5,FALSE)</f>
        <v>#NAME?</v>
      </c>
    </row>
    <row r="75" spans="1:31" s="106" customFormat="1">
      <c r="A75" s="109"/>
      <c r="B75" s="109" t="s">
        <v>308</v>
      </c>
      <c r="C75" s="109"/>
      <c r="D75" s="109"/>
      <c r="E75" s="109"/>
      <c r="F75" s="109"/>
      <c r="G75" s="109"/>
      <c r="H75" s="109"/>
      <c r="I75" s="109"/>
      <c r="J75" s="109"/>
      <c r="K75" s="109"/>
      <c r="L75" s="109"/>
      <c r="M75" s="109"/>
      <c r="N75" s="109"/>
      <c r="O75" s="109"/>
      <c r="P75" s="109"/>
      <c r="Q75" s="109"/>
      <c r="R75" s="109"/>
      <c r="S75" s="109"/>
      <c r="T75" s="109"/>
      <c r="U75" s="109"/>
      <c r="V75" s="109"/>
      <c r="W75" s="109"/>
      <c r="X75" s="81"/>
      <c r="Y75" s="81"/>
      <c r="Z75" s="81"/>
      <c r="AA75" s="81"/>
      <c r="AB75" s="81"/>
      <c r="AC75" s="81"/>
      <c r="AD75" s="81"/>
      <c r="AE75" s="81"/>
    </row>
    <row r="76" spans="1:31" s="106" customFormat="1">
      <c r="A76" s="90"/>
      <c r="B76" s="90" t="s">
        <v>195</v>
      </c>
      <c r="C76" s="93" t="s">
        <v>194</v>
      </c>
      <c r="D76" s="97" t="s">
        <v>146</v>
      </c>
      <c r="E76" s="97" t="s">
        <v>271</v>
      </c>
      <c r="F76" s="93" t="s">
        <v>195</v>
      </c>
      <c r="G76" s="97" t="s">
        <v>276</v>
      </c>
      <c r="H76" s="97" t="s">
        <v>146</v>
      </c>
      <c r="I76" s="97" t="s">
        <v>272</v>
      </c>
      <c r="J76" s="93" t="s">
        <v>195</v>
      </c>
      <c r="K76" s="97" t="s">
        <v>276</v>
      </c>
      <c r="L76" s="97" t="s">
        <v>146</v>
      </c>
      <c r="M76" s="97" t="s">
        <v>273</v>
      </c>
      <c r="N76" s="93" t="s">
        <v>195</v>
      </c>
      <c r="O76" s="97" t="s">
        <v>276</v>
      </c>
      <c r="P76" s="97" t="s">
        <v>146</v>
      </c>
      <c r="Q76" s="97" t="s">
        <v>274</v>
      </c>
      <c r="R76" s="93" t="s">
        <v>195</v>
      </c>
      <c r="S76" s="97" t="s">
        <v>276</v>
      </c>
      <c r="T76" s="97" t="s">
        <v>146</v>
      </c>
      <c r="U76" s="97" t="s">
        <v>275</v>
      </c>
      <c r="V76" s="93" t="s">
        <v>195</v>
      </c>
      <c r="W76" s="97" t="s">
        <v>276</v>
      </c>
      <c r="X76" s="97" t="s">
        <v>146</v>
      </c>
      <c r="Y76" s="97" t="s">
        <v>358</v>
      </c>
      <c r="Z76" s="93" t="s">
        <v>195</v>
      </c>
      <c r="AA76" s="97" t="s">
        <v>276</v>
      </c>
      <c r="AB76" s="97" t="s">
        <v>146</v>
      </c>
      <c r="AC76" s="97" t="s">
        <v>359</v>
      </c>
      <c r="AD76" s="93" t="s">
        <v>195</v>
      </c>
      <c r="AE76" s="97" t="s">
        <v>276</v>
      </c>
    </row>
    <row r="77" spans="1:31" s="107" customFormat="1">
      <c r="A77" s="96" t="s">
        <v>368</v>
      </c>
      <c r="B77" s="96"/>
      <c r="C77" s="91" t="e">
        <f>((D77*G77)+(K77*H77)+(O77*L77)+(S77*P77)+(W77*T77)+(X77*AA77)+(AB77*AE77))</f>
        <v>#NAME?</v>
      </c>
      <c r="D77" s="94">
        <v>64</v>
      </c>
      <c r="E77" s="95" t="s">
        <v>199</v>
      </c>
      <c r="F77" s="59" t="e">
        <f t="shared" ref="F77" si="93">VLOOKUP(E77,LISTAITEMS,2,FALSE)</f>
        <v>#NAME?</v>
      </c>
      <c r="G77" s="92" t="e">
        <f>VLOOKUP(E77,LISTAITEMS,5,FALSE)</f>
        <v>#NAME?</v>
      </c>
      <c r="H77" s="94">
        <v>1</v>
      </c>
      <c r="I77" s="95" t="s">
        <v>369</v>
      </c>
      <c r="J77" s="59" t="str">
        <f>I77</f>
        <v>Artl Flamente</v>
      </c>
      <c r="K77" s="92" t="e">
        <f t="shared" ref="K77" si="94">VLOOKUP(I77,craftedesp,3,FALSE)</f>
        <v>#NAME?</v>
      </c>
      <c r="L77" s="94">
        <v>0</v>
      </c>
      <c r="M77" s="95" t="s">
        <v>202</v>
      </c>
      <c r="N77" s="59" t="e">
        <f t="shared" ref="N77" si="95">VLOOKUP(M77,LISTAITEMS,2,FALSE)</f>
        <v>#NAME?</v>
      </c>
      <c r="O77" s="92" t="e">
        <f>VLOOKUP(M77,LISTAITEMS,5,FALSE)</f>
        <v>#NAME?</v>
      </c>
      <c r="P77" s="94">
        <v>0</v>
      </c>
      <c r="Q77" s="95" t="s">
        <v>202</v>
      </c>
      <c r="R77" s="59" t="e">
        <f t="shared" ref="R77" si="96">VLOOKUP(Q77,LISTAITEMS,2,FALSE)</f>
        <v>#NAME?</v>
      </c>
      <c r="S77" s="92" t="e">
        <f>VLOOKUP(Q77,LISTAITEMS,5,FALSE)</f>
        <v>#NAME?</v>
      </c>
      <c r="T77" s="94">
        <v>0</v>
      </c>
      <c r="U77" s="95" t="s">
        <v>202</v>
      </c>
      <c r="V77" s="59" t="e">
        <f t="shared" ref="V77" si="97">VLOOKUP(U77,LISTAITEMS,2,FALSE)</f>
        <v>#NAME?</v>
      </c>
      <c r="W77" s="92" t="e">
        <f>VLOOKUP(U77,LISTAITEMS,5,FALSE)</f>
        <v>#NAME?</v>
      </c>
      <c r="X77" s="94">
        <v>0</v>
      </c>
      <c r="Y77" s="95" t="s">
        <v>202</v>
      </c>
      <c r="Z77" s="59" t="e">
        <f t="shared" ref="Z77" si="98">VLOOKUP(Y77,LISTAITEMS,2,FALSE)</f>
        <v>#NAME?</v>
      </c>
      <c r="AA77" s="92" t="e">
        <f>VLOOKUP(Y77,LISTAITEMS,5,FALSE)</f>
        <v>#NAME?</v>
      </c>
      <c r="AB77" s="94">
        <v>0</v>
      </c>
      <c r="AC77" s="95" t="s">
        <v>202</v>
      </c>
      <c r="AD77" s="59" t="e">
        <f t="shared" ref="AD77" si="99">VLOOKUP(AC77,LISTAITEMS,2,FALSE)</f>
        <v>#NAME?</v>
      </c>
      <c r="AE77" s="92" t="e">
        <f>VLOOKUP(AC77,LISTAITEMS,5,FALSE)</f>
        <v>#NAME?</v>
      </c>
    </row>
    <row r="81" spans="1:31" s="106" customFormat="1">
      <c r="A81" s="109"/>
      <c r="B81" s="109" t="s">
        <v>296</v>
      </c>
      <c r="C81" s="109"/>
      <c r="D81" s="109"/>
      <c r="E81" s="109"/>
      <c r="F81" s="109"/>
      <c r="G81" s="109"/>
      <c r="H81" s="109"/>
      <c r="I81" s="109"/>
      <c r="J81" s="109"/>
      <c r="K81" s="109"/>
      <c r="L81" s="109"/>
      <c r="M81" s="109"/>
      <c r="N81" s="109"/>
      <c r="O81" s="109"/>
      <c r="P81" s="109"/>
      <c r="Q81" s="109"/>
      <c r="R81" s="109"/>
      <c r="S81" s="109"/>
      <c r="T81" s="109"/>
      <c r="U81" s="109"/>
      <c r="V81" s="109"/>
      <c r="W81" s="109"/>
      <c r="X81" s="81"/>
      <c r="Y81" s="81"/>
      <c r="Z81" s="81"/>
      <c r="AA81" s="81"/>
      <c r="AB81" s="81"/>
      <c r="AC81" s="81"/>
      <c r="AD81" s="81"/>
      <c r="AE81" s="81"/>
    </row>
    <row r="82" spans="1:31" s="106" customFormat="1">
      <c r="A82" s="90"/>
      <c r="B82" s="90" t="s">
        <v>195</v>
      </c>
      <c r="C82" s="93" t="s">
        <v>194</v>
      </c>
      <c r="D82" s="97" t="s">
        <v>146</v>
      </c>
      <c r="E82" s="97" t="s">
        <v>271</v>
      </c>
      <c r="F82" s="93" t="s">
        <v>195</v>
      </c>
      <c r="G82" s="97" t="s">
        <v>276</v>
      </c>
      <c r="H82" s="97" t="s">
        <v>146</v>
      </c>
      <c r="I82" s="97" t="s">
        <v>272</v>
      </c>
      <c r="J82" s="93" t="s">
        <v>195</v>
      </c>
      <c r="K82" s="97" t="s">
        <v>276</v>
      </c>
      <c r="L82" s="97" t="s">
        <v>146</v>
      </c>
      <c r="M82" s="97" t="s">
        <v>273</v>
      </c>
      <c r="N82" s="93" t="s">
        <v>195</v>
      </c>
      <c r="O82" s="97" t="s">
        <v>276</v>
      </c>
      <c r="P82" s="97" t="s">
        <v>146</v>
      </c>
      <c r="Q82" s="97" t="s">
        <v>274</v>
      </c>
      <c r="R82" s="93" t="s">
        <v>195</v>
      </c>
      <c r="S82" s="97" t="s">
        <v>276</v>
      </c>
      <c r="T82" s="97" t="s">
        <v>146</v>
      </c>
      <c r="U82" s="97" t="s">
        <v>275</v>
      </c>
      <c r="V82" s="93" t="s">
        <v>195</v>
      </c>
      <c r="W82" s="97" t="s">
        <v>276</v>
      </c>
      <c r="X82" s="97" t="s">
        <v>146</v>
      </c>
      <c r="Y82" s="97" t="s">
        <v>358</v>
      </c>
      <c r="Z82" s="93" t="s">
        <v>195</v>
      </c>
      <c r="AA82" s="97" t="s">
        <v>276</v>
      </c>
      <c r="AB82" s="97" t="s">
        <v>146</v>
      </c>
      <c r="AC82" s="97" t="s">
        <v>359</v>
      </c>
      <c r="AD82" s="93" t="s">
        <v>195</v>
      </c>
      <c r="AE82" s="97" t="s">
        <v>276</v>
      </c>
    </row>
    <row r="83" spans="1:31" s="106" customFormat="1">
      <c r="A83" s="96" t="s">
        <v>375</v>
      </c>
      <c r="B83" s="96"/>
      <c r="C83" s="91" t="e">
        <f>((D83*G83)+(K83*H83)+(O83*L83)+(S83*P83)+(W83*T83)+(X83*AA83)+(AB83*AE83))</f>
        <v>#NAME?</v>
      </c>
      <c r="D83" s="94">
        <v>2</v>
      </c>
      <c r="E83" s="95" t="s">
        <v>363</v>
      </c>
      <c r="F83" s="59" t="str">
        <f>E83</f>
        <v>cadaber de pollo</v>
      </c>
      <c r="G83" s="92">
        <f t="shared" ref="G83" si="100">VLOOKUP(E83,craftedesp,3,FALSE)</f>
        <v>1</v>
      </c>
      <c r="H83" s="94">
        <v>1</v>
      </c>
      <c r="I83" s="95" t="s">
        <v>374</v>
      </c>
      <c r="J83" s="59" t="str">
        <f>I83</f>
        <v>Navaja de Hueso</v>
      </c>
      <c r="K83" s="92" t="e">
        <f t="shared" ref="K83" si="101">VLOOKUP(I83,craftedesp,3,FALSE)</f>
        <v>#NAME?</v>
      </c>
      <c r="L83" s="94">
        <v>0</v>
      </c>
      <c r="M83" s="95" t="s">
        <v>202</v>
      </c>
      <c r="N83" s="59" t="e">
        <f t="shared" ref="N83" si="102">VLOOKUP(M83,LISTAITEMS,2,FALSE)</f>
        <v>#NAME?</v>
      </c>
      <c r="O83" s="92" t="e">
        <f>VLOOKUP(M83,LISTAITEMS,5,FALSE)</f>
        <v>#NAME?</v>
      </c>
      <c r="P83" s="94">
        <v>0</v>
      </c>
      <c r="Q83" s="95" t="s">
        <v>202</v>
      </c>
      <c r="R83" s="59" t="e">
        <f t="shared" ref="R83" si="103">VLOOKUP(Q83,LISTAITEMS,2,FALSE)</f>
        <v>#NAME?</v>
      </c>
      <c r="S83" s="92" t="e">
        <f>VLOOKUP(Q83,LISTAITEMS,5,FALSE)</f>
        <v>#NAME?</v>
      </c>
      <c r="T83" s="94">
        <v>0</v>
      </c>
      <c r="U83" s="95" t="s">
        <v>202</v>
      </c>
      <c r="V83" s="59" t="e">
        <f t="shared" ref="V83" si="104">VLOOKUP(U83,LISTAITEMS,2,FALSE)</f>
        <v>#NAME?</v>
      </c>
      <c r="W83" s="92" t="e">
        <f>VLOOKUP(U83,LISTAITEMS,5,FALSE)</f>
        <v>#NAME?</v>
      </c>
      <c r="X83" s="94">
        <v>0</v>
      </c>
      <c r="Y83" s="95" t="s">
        <v>202</v>
      </c>
      <c r="Z83" s="59" t="e">
        <f t="shared" ref="Z83" si="105">VLOOKUP(Y83,LISTAITEMS,2,FALSE)</f>
        <v>#NAME?</v>
      </c>
      <c r="AA83" s="92" t="e">
        <f>VLOOKUP(Y83,LISTAITEMS,5,FALSE)</f>
        <v>#NAME?</v>
      </c>
      <c r="AB83" s="94">
        <v>0</v>
      </c>
      <c r="AC83" s="95" t="s">
        <v>202</v>
      </c>
      <c r="AD83" s="59" t="e">
        <f t="shared" ref="AD83" si="106">VLOOKUP(AC83,LISTAITEMS,2,FALSE)</f>
        <v>#NAME?</v>
      </c>
      <c r="AE83" s="92" t="e">
        <f>VLOOKUP(AC83,LISTAITEMS,5,FALSE)</f>
        <v>#NAME?</v>
      </c>
    </row>
    <row r="84" spans="1:31">
      <c r="C84">
        <v>476</v>
      </c>
    </row>
    <row r="85" spans="1:31" s="110" customFormat="1">
      <c r="A85" s="109"/>
      <c r="B85" s="109" t="s">
        <v>373</v>
      </c>
      <c r="C85" s="109"/>
      <c r="D85" s="109"/>
      <c r="E85" s="109"/>
      <c r="F85" s="109"/>
      <c r="G85" s="109"/>
      <c r="H85" s="109"/>
      <c r="I85" s="109"/>
      <c r="J85" s="109"/>
      <c r="K85" s="109"/>
      <c r="L85" s="109"/>
      <c r="M85" s="109"/>
      <c r="N85" s="109"/>
      <c r="O85" s="109"/>
      <c r="P85" s="109"/>
      <c r="Q85" s="109"/>
      <c r="R85" s="109"/>
      <c r="S85" s="109"/>
      <c r="T85" s="109"/>
      <c r="U85" s="109"/>
      <c r="V85" s="109"/>
      <c r="W85" s="109"/>
      <c r="X85" s="81"/>
      <c r="Y85" s="81"/>
      <c r="Z85" s="81"/>
      <c r="AA85" s="81"/>
      <c r="AB85" s="81"/>
      <c r="AC85" s="81"/>
      <c r="AD85" s="81"/>
      <c r="AE85" s="81"/>
    </row>
    <row r="86" spans="1:31" s="110" customFormat="1">
      <c r="A86" s="90"/>
      <c r="B86" s="90" t="s">
        <v>195</v>
      </c>
      <c r="C86" s="93" t="s">
        <v>194</v>
      </c>
      <c r="D86" s="97" t="s">
        <v>146</v>
      </c>
      <c r="E86" s="97" t="s">
        <v>271</v>
      </c>
      <c r="F86" s="93" t="s">
        <v>195</v>
      </c>
      <c r="G86" s="97" t="s">
        <v>276</v>
      </c>
      <c r="H86" s="97" t="s">
        <v>146</v>
      </c>
      <c r="I86" s="97" t="s">
        <v>272</v>
      </c>
      <c r="J86" s="93" t="s">
        <v>195</v>
      </c>
      <c r="K86" s="97" t="s">
        <v>276</v>
      </c>
      <c r="L86" s="97" t="s">
        <v>146</v>
      </c>
      <c r="M86" s="97" t="s">
        <v>273</v>
      </c>
      <c r="N86" s="93" t="s">
        <v>195</v>
      </c>
      <c r="O86" s="97" t="s">
        <v>276</v>
      </c>
      <c r="P86" s="97" t="s">
        <v>146</v>
      </c>
      <c r="Q86" s="97" t="s">
        <v>274</v>
      </c>
      <c r="R86" s="93" t="s">
        <v>195</v>
      </c>
      <c r="S86" s="97" t="s">
        <v>276</v>
      </c>
      <c r="T86" s="97" t="s">
        <v>146</v>
      </c>
      <c r="U86" s="97" t="s">
        <v>275</v>
      </c>
      <c r="V86" s="93" t="s">
        <v>195</v>
      </c>
      <c r="W86" s="97" t="s">
        <v>276</v>
      </c>
      <c r="X86" s="97" t="s">
        <v>146</v>
      </c>
      <c r="Y86" s="97" t="s">
        <v>358</v>
      </c>
      <c r="Z86" s="93" t="s">
        <v>195</v>
      </c>
      <c r="AA86" s="97" t="s">
        <v>276</v>
      </c>
      <c r="AB86" s="97" t="s">
        <v>146</v>
      </c>
      <c r="AC86" s="97" t="s">
        <v>359</v>
      </c>
      <c r="AD86" s="93" t="s">
        <v>195</v>
      </c>
      <c r="AE86" s="97" t="s">
        <v>276</v>
      </c>
    </row>
    <row r="87" spans="1:31" s="110" customFormat="1">
      <c r="A87" s="96" t="s">
        <v>374</v>
      </c>
      <c r="B87" s="96"/>
      <c r="C87" s="91" t="e">
        <f>((D87*G87)+(K87*H87)+(O87*L87)+(S87*P87)+(W87*T87)+(X87*AA87)+(AB87*AE87))</f>
        <v>#NAME?</v>
      </c>
      <c r="D87" s="94">
        <v>38</v>
      </c>
      <c r="E87" s="95">
        <v>352</v>
      </c>
      <c r="F87" s="59" t="e">
        <f t="shared" ref="F87" si="107">VLOOKUP(E87,LISTAITEMS,2,FALSE)</f>
        <v>#NAME?</v>
      </c>
      <c r="G87" s="92" t="e">
        <f>VLOOKUP(E87,LISTAITEMS,5,FALSE)</f>
        <v>#NAME?</v>
      </c>
      <c r="H87" s="94">
        <v>64</v>
      </c>
      <c r="I87" s="95">
        <v>280</v>
      </c>
      <c r="J87" s="59" t="e">
        <f t="shared" ref="J87" si="108">VLOOKUP(I87,LISTAITEMS,2,FALSE)</f>
        <v>#NAME?</v>
      </c>
      <c r="K87" s="92" t="e">
        <f>VLOOKUP(I87,LISTAITEMS,5,FALSE)</f>
        <v>#NAME?</v>
      </c>
      <c r="L87" s="94">
        <v>0</v>
      </c>
      <c r="M87" s="95" t="s">
        <v>202</v>
      </c>
      <c r="N87" s="59" t="e">
        <f t="shared" ref="N87" si="109">VLOOKUP(M87,LISTAITEMS,2,FALSE)</f>
        <v>#NAME?</v>
      </c>
      <c r="O87" s="92" t="e">
        <f>VLOOKUP(M87,LISTAITEMS,5,FALSE)</f>
        <v>#NAME?</v>
      </c>
      <c r="P87" s="94">
        <v>0</v>
      </c>
      <c r="Q87" s="95" t="s">
        <v>202</v>
      </c>
      <c r="R87" s="59" t="e">
        <f t="shared" ref="R87" si="110">VLOOKUP(Q87,LISTAITEMS,2,FALSE)</f>
        <v>#NAME?</v>
      </c>
      <c r="S87" s="92" t="e">
        <f>VLOOKUP(Q87,LISTAITEMS,5,FALSE)</f>
        <v>#NAME?</v>
      </c>
      <c r="T87" s="94">
        <v>0</v>
      </c>
      <c r="U87" s="95" t="s">
        <v>202</v>
      </c>
      <c r="V87" s="59" t="e">
        <f t="shared" ref="V87" si="111">VLOOKUP(U87,LISTAITEMS,2,FALSE)</f>
        <v>#NAME?</v>
      </c>
      <c r="W87" s="92" t="e">
        <f>VLOOKUP(U87,LISTAITEMS,5,FALSE)</f>
        <v>#NAME?</v>
      </c>
      <c r="X87" s="94">
        <v>0</v>
      </c>
      <c r="Y87" s="95" t="s">
        <v>202</v>
      </c>
      <c r="Z87" s="59" t="e">
        <f t="shared" ref="Z87" si="112">VLOOKUP(Y87,LISTAITEMS,2,FALSE)</f>
        <v>#NAME?</v>
      </c>
      <c r="AA87" s="92" t="e">
        <f>VLOOKUP(Y87,LISTAITEMS,5,FALSE)</f>
        <v>#NAME?</v>
      </c>
      <c r="AB87" s="94">
        <v>0</v>
      </c>
      <c r="AC87" s="95" t="s">
        <v>202</v>
      </c>
      <c r="AD87" s="59" t="e">
        <f t="shared" ref="AD87" si="113">VLOOKUP(AC87,LISTAITEMS,2,FALSE)</f>
        <v>#NAME?</v>
      </c>
      <c r="AE87" s="92" t="e">
        <f>VLOOKUP(AC87,LISTAITEMS,5,FALSE)</f>
        <v>#NAME?</v>
      </c>
    </row>
    <row r="91" spans="1:31" s="106" customFormat="1">
      <c r="A91" s="109"/>
      <c r="B91" s="109" t="s">
        <v>339</v>
      </c>
      <c r="C91" s="109"/>
      <c r="D91" s="109"/>
      <c r="E91" s="109"/>
      <c r="F91" s="109"/>
      <c r="G91" s="109"/>
      <c r="H91" s="109"/>
      <c r="I91" s="109"/>
      <c r="J91" s="109"/>
      <c r="K91" s="109"/>
      <c r="L91" s="109"/>
      <c r="M91" s="109"/>
      <c r="N91" s="109"/>
      <c r="O91" s="109"/>
      <c r="P91" s="109"/>
      <c r="Q91" s="109"/>
      <c r="R91" s="109"/>
      <c r="S91" s="109"/>
      <c r="T91" s="109"/>
      <c r="U91" s="109"/>
      <c r="V91" s="109"/>
      <c r="W91" s="109"/>
      <c r="X91" s="81"/>
      <c r="Y91" s="81"/>
      <c r="Z91" s="81"/>
      <c r="AA91" s="81"/>
      <c r="AB91" s="81"/>
      <c r="AC91" s="81"/>
      <c r="AD91" s="81"/>
      <c r="AE91" s="81"/>
    </row>
    <row r="92" spans="1:31" s="106" customFormat="1">
      <c r="A92" s="90"/>
      <c r="B92" s="90" t="s">
        <v>195</v>
      </c>
      <c r="C92" s="93" t="s">
        <v>194</v>
      </c>
      <c r="D92" s="97"/>
      <c r="E92" s="97"/>
      <c r="F92" s="93"/>
      <c r="G92" s="97"/>
      <c r="H92" s="97"/>
      <c r="I92" s="97"/>
      <c r="J92" s="93"/>
      <c r="K92" s="97"/>
      <c r="L92" s="97"/>
      <c r="M92" s="97"/>
      <c r="N92" s="93"/>
      <c r="O92" s="97"/>
      <c r="P92" s="97"/>
      <c r="Q92" s="97"/>
      <c r="R92" s="93"/>
      <c r="S92" s="97"/>
      <c r="T92" s="97"/>
      <c r="U92" s="97"/>
      <c r="V92" s="93"/>
      <c r="W92" s="97"/>
      <c r="X92" s="97"/>
      <c r="Y92" s="97"/>
      <c r="Z92" s="93"/>
      <c r="AA92" s="97"/>
      <c r="AB92" s="97"/>
      <c r="AC92" s="97"/>
      <c r="AD92" s="93"/>
      <c r="AE92" s="97"/>
    </row>
    <row r="93" spans="1:31" s="106" customFormat="1">
      <c r="A93" s="96" t="s">
        <v>363</v>
      </c>
      <c r="B93" s="96"/>
      <c r="C93" s="91">
        <f>'ECONOMIA &amp; PROFESIONES'!I32</f>
        <v>1</v>
      </c>
      <c r="D93" s="94"/>
      <c r="E93" s="95"/>
      <c r="F93" s="59"/>
      <c r="G93" s="92"/>
      <c r="H93" s="94"/>
      <c r="I93" s="95"/>
      <c r="J93" s="59"/>
      <c r="K93" s="92"/>
      <c r="L93" s="94"/>
      <c r="M93" s="95"/>
      <c r="N93" s="59"/>
      <c r="O93" s="92"/>
      <c r="P93" s="94"/>
      <c r="Q93" s="95"/>
      <c r="R93" s="59"/>
      <c r="S93" s="92"/>
      <c r="T93" s="94"/>
      <c r="U93" s="95"/>
      <c r="V93" s="59"/>
      <c r="W93" s="92"/>
      <c r="X93" s="94"/>
      <c r="Y93" s="95"/>
      <c r="Z93" s="59"/>
      <c r="AA93" s="92"/>
      <c r="AB93" s="94"/>
      <c r="AC93" s="95"/>
      <c r="AD93" s="59"/>
      <c r="AE93" s="92"/>
    </row>
    <row r="123" spans="1:23" s="89" customFormat="1">
      <c r="A123"/>
      <c r="B123"/>
      <c r="C123"/>
      <c r="D123"/>
      <c r="E123"/>
      <c r="F123"/>
      <c r="G123"/>
      <c r="H123"/>
      <c r="I123"/>
      <c r="J123"/>
      <c r="K123"/>
      <c r="L123"/>
      <c r="M123"/>
      <c r="N123"/>
      <c r="O123"/>
      <c r="P123"/>
      <c r="Q123"/>
      <c r="R123"/>
      <c r="S123"/>
      <c r="T123"/>
      <c r="U123"/>
      <c r="V123"/>
      <c r="W123"/>
    </row>
    <row r="124" spans="1:23" s="89" customFormat="1">
      <c r="A124"/>
      <c r="B124"/>
      <c r="C124"/>
      <c r="D124"/>
      <c r="E124"/>
      <c r="F124"/>
      <c r="G124"/>
      <c r="H124"/>
      <c r="I124"/>
      <c r="J124"/>
      <c r="K124"/>
      <c r="L124"/>
      <c r="M124"/>
      <c r="N124"/>
      <c r="O124"/>
      <c r="P124"/>
      <c r="Q124"/>
      <c r="R124"/>
      <c r="S124"/>
      <c r="T124"/>
      <c r="U124"/>
      <c r="V124"/>
      <c r="W124"/>
    </row>
    <row r="125" spans="1:23" s="89" customFormat="1">
      <c r="A125"/>
      <c r="B125"/>
      <c r="C125"/>
      <c r="D125"/>
      <c r="E125"/>
      <c r="F125"/>
      <c r="G125"/>
      <c r="H125"/>
      <c r="I125"/>
      <c r="J125"/>
      <c r="K125"/>
      <c r="L125"/>
      <c r="M125"/>
      <c r="N125"/>
      <c r="O125"/>
      <c r="P125"/>
      <c r="Q125"/>
      <c r="R125"/>
      <c r="S125"/>
      <c r="T125"/>
      <c r="U125"/>
      <c r="V125"/>
      <c r="W125"/>
    </row>
    <row r="126" spans="1:23" s="89" customFormat="1">
      <c r="A126"/>
      <c r="B126"/>
      <c r="C126"/>
      <c r="D126"/>
      <c r="E126"/>
      <c r="F126"/>
      <c r="G126"/>
      <c r="H126"/>
      <c r="I126"/>
      <c r="J126"/>
      <c r="K126"/>
      <c r="L126"/>
      <c r="M126"/>
      <c r="N126"/>
      <c r="O126"/>
      <c r="P126"/>
      <c r="Q126"/>
      <c r="R126"/>
      <c r="S126"/>
      <c r="T126"/>
      <c r="U126"/>
      <c r="V126"/>
      <c r="W126"/>
    </row>
    <row r="127" spans="1:23" s="89" customFormat="1">
      <c r="A127"/>
      <c r="B127"/>
      <c r="C127"/>
      <c r="D127"/>
      <c r="E127"/>
      <c r="F127"/>
      <c r="G127"/>
      <c r="H127"/>
      <c r="I127"/>
      <c r="J127"/>
      <c r="K127"/>
      <c r="L127"/>
      <c r="M127"/>
      <c r="N127"/>
      <c r="O127"/>
      <c r="P127"/>
      <c r="Q127"/>
      <c r="R127"/>
      <c r="S127"/>
      <c r="T127"/>
      <c r="U127"/>
      <c r="V127"/>
      <c r="W127"/>
    </row>
    <row r="133" spans="1:23" s="89" customFormat="1">
      <c r="A133"/>
      <c r="B133"/>
      <c r="C133"/>
      <c r="D133"/>
      <c r="E133"/>
      <c r="F133"/>
      <c r="G133"/>
      <c r="H133"/>
      <c r="I133"/>
      <c r="J133"/>
      <c r="K133"/>
      <c r="L133"/>
      <c r="M133"/>
      <c r="N133"/>
      <c r="O133"/>
      <c r="P133"/>
      <c r="Q133"/>
      <c r="R133"/>
      <c r="S133"/>
      <c r="T133"/>
      <c r="U133"/>
      <c r="V133"/>
      <c r="W133"/>
    </row>
    <row r="150" spans="1:23" s="104" customFormat="1">
      <c r="A150"/>
      <c r="B150"/>
      <c r="C150"/>
      <c r="D150"/>
      <c r="E150"/>
      <c r="F150"/>
      <c r="G150"/>
      <c r="H150"/>
      <c r="I150"/>
      <c r="J150"/>
      <c r="K150"/>
      <c r="L150"/>
      <c r="M150"/>
      <c r="N150"/>
      <c r="O150"/>
      <c r="P150"/>
      <c r="Q150"/>
      <c r="R150"/>
      <c r="S150"/>
      <c r="T150"/>
      <c r="U150"/>
      <c r="V150"/>
      <c r="W150"/>
    </row>
    <row r="151" spans="1:23" s="104" customFormat="1">
      <c r="A151"/>
      <c r="B151"/>
      <c r="C151"/>
      <c r="D151"/>
      <c r="E151"/>
      <c r="F151"/>
      <c r="G151"/>
      <c r="H151"/>
      <c r="I151"/>
      <c r="J151"/>
      <c r="K151"/>
      <c r="L151"/>
      <c r="M151"/>
      <c r="N151"/>
      <c r="O151"/>
      <c r="P151"/>
      <c r="Q151"/>
      <c r="R151"/>
      <c r="S151"/>
      <c r="T151"/>
      <c r="U151"/>
      <c r="V151"/>
      <c r="W151"/>
    </row>
    <row r="181" spans="1:23" s="105" customFormat="1">
      <c r="A181"/>
      <c r="B181"/>
      <c r="C181"/>
      <c r="D181"/>
      <c r="E181"/>
      <c r="F181"/>
      <c r="G181"/>
      <c r="H181"/>
      <c r="I181"/>
      <c r="J181"/>
      <c r="K181"/>
      <c r="L181"/>
      <c r="M181"/>
      <c r="N181"/>
      <c r="O181"/>
      <c r="P181"/>
      <c r="Q181"/>
      <c r="R181"/>
      <c r="S181"/>
      <c r="T181"/>
      <c r="U181"/>
      <c r="V181"/>
      <c r="W181"/>
    </row>
    <row r="182" spans="1:23" s="105" customFormat="1">
      <c r="A182"/>
      <c r="B182"/>
      <c r="C182"/>
      <c r="D182"/>
      <c r="E182"/>
      <c r="F182"/>
      <c r="G182"/>
      <c r="H182"/>
      <c r="I182"/>
      <c r="J182"/>
      <c r="K182"/>
      <c r="L182"/>
      <c r="M182"/>
      <c r="N182"/>
      <c r="O182"/>
      <c r="P182"/>
      <c r="Q182"/>
      <c r="R182"/>
      <c r="S182"/>
      <c r="T182"/>
      <c r="U182"/>
      <c r="V182"/>
      <c r="W182"/>
    </row>
    <row r="183" spans="1:23" s="105" customFormat="1">
      <c r="A183"/>
      <c r="B183"/>
      <c r="C183"/>
      <c r="D183"/>
      <c r="E183"/>
      <c r="F183"/>
      <c r="G183"/>
      <c r="H183"/>
      <c r="I183"/>
      <c r="J183"/>
      <c r="K183"/>
      <c r="L183"/>
      <c r="M183"/>
      <c r="N183"/>
      <c r="O183"/>
      <c r="P183"/>
      <c r="Q183"/>
      <c r="R183"/>
      <c r="S183"/>
      <c r="T183"/>
      <c r="U183"/>
      <c r="V183"/>
      <c r="W183"/>
    </row>
    <row r="184" spans="1:23" s="105" customFormat="1">
      <c r="A184"/>
      <c r="B184"/>
      <c r="C184"/>
      <c r="D184"/>
      <c r="E184"/>
      <c r="F184"/>
      <c r="G184"/>
      <c r="H184"/>
      <c r="I184"/>
      <c r="J184"/>
      <c r="K184"/>
      <c r="L184"/>
      <c r="M184"/>
      <c r="N184"/>
      <c r="O184"/>
      <c r="P184"/>
      <c r="Q184"/>
      <c r="R184"/>
      <c r="S184"/>
      <c r="T184"/>
      <c r="U184"/>
      <c r="V184"/>
      <c r="W184"/>
    </row>
    <row r="185" spans="1:23" s="105" customFormat="1">
      <c r="A185"/>
      <c r="B185"/>
      <c r="C185"/>
      <c r="D185"/>
      <c r="E185"/>
      <c r="F185"/>
      <c r="G185"/>
      <c r="H185"/>
      <c r="I185"/>
      <c r="J185"/>
      <c r="K185"/>
      <c r="L185"/>
      <c r="M185"/>
      <c r="N185"/>
      <c r="O185"/>
      <c r="P185"/>
      <c r="Q185"/>
      <c r="R185"/>
      <c r="S185"/>
      <c r="T185"/>
      <c r="U185"/>
      <c r="V185"/>
      <c r="W185"/>
    </row>
    <row r="192" spans="1:23" s="89" customFormat="1">
      <c r="A192"/>
      <c r="B192"/>
      <c r="C192"/>
      <c r="D192"/>
      <c r="E192"/>
      <c r="F192"/>
      <c r="G192"/>
      <c r="H192"/>
      <c r="I192"/>
      <c r="J192"/>
      <c r="K192"/>
      <c r="L192"/>
      <c r="M192"/>
      <c r="N192"/>
      <c r="O192"/>
      <c r="P192"/>
      <c r="Q192"/>
      <c r="R192"/>
      <c r="S192"/>
      <c r="T192"/>
      <c r="U192"/>
      <c r="V192"/>
      <c r="W192"/>
    </row>
    <row r="193" spans="1:23" s="89" customFormat="1">
      <c r="A193"/>
      <c r="B193"/>
      <c r="C193"/>
      <c r="D193"/>
      <c r="E193"/>
      <c r="F193"/>
      <c r="G193"/>
      <c r="H193"/>
      <c r="I193"/>
      <c r="J193"/>
      <c r="K193"/>
      <c r="L193"/>
      <c r="M193"/>
      <c r="N193"/>
      <c r="O193"/>
      <c r="P193"/>
      <c r="Q193"/>
      <c r="R193"/>
      <c r="S193"/>
      <c r="T193"/>
      <c r="U193"/>
      <c r="V193"/>
      <c r="W193"/>
    </row>
    <row r="194" spans="1:23" s="89" customFormat="1">
      <c r="A194"/>
      <c r="B194"/>
      <c r="C194"/>
      <c r="D194"/>
      <c r="E194"/>
      <c r="F194"/>
      <c r="G194"/>
      <c r="H194"/>
      <c r="I194"/>
      <c r="J194"/>
      <c r="K194"/>
      <c r="L194"/>
      <c r="M194"/>
      <c r="N194"/>
      <c r="O194"/>
      <c r="P194"/>
      <c r="Q194"/>
      <c r="R194"/>
      <c r="S194"/>
      <c r="T194"/>
      <c r="U194"/>
      <c r="V194"/>
      <c r="W194"/>
    </row>
    <row r="195" spans="1:23" s="89" customFormat="1">
      <c r="A195"/>
      <c r="B195"/>
      <c r="C195"/>
      <c r="D195"/>
      <c r="E195"/>
      <c r="F195"/>
      <c r="G195"/>
      <c r="H195"/>
      <c r="I195"/>
      <c r="J195"/>
      <c r="K195"/>
      <c r="L195"/>
      <c r="M195"/>
      <c r="N195"/>
      <c r="O195"/>
      <c r="P195"/>
      <c r="Q195"/>
      <c r="R195"/>
      <c r="S195"/>
      <c r="T195"/>
      <c r="U195"/>
      <c r="V195"/>
      <c r="W195"/>
    </row>
    <row r="196" spans="1:23" s="89" customFormat="1">
      <c r="A196"/>
      <c r="B196"/>
      <c r="C196"/>
      <c r="D196"/>
      <c r="E196"/>
      <c r="F196"/>
      <c r="G196"/>
      <c r="H196"/>
      <c r="I196"/>
      <c r="J196"/>
      <c r="K196"/>
      <c r="L196"/>
      <c r="M196"/>
      <c r="N196"/>
      <c r="O196"/>
      <c r="P196"/>
      <c r="Q196"/>
      <c r="R196"/>
      <c r="S196"/>
      <c r="T196"/>
      <c r="U196"/>
      <c r="V196"/>
      <c r="W196"/>
    </row>
  </sheetData>
  <mergeCells count="116">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E1:H1"/>
    <mergeCell ref="E2:F2"/>
    <mergeCell ref="G2:H2"/>
    <mergeCell ref="E3:F3"/>
    <mergeCell ref="G3:H3"/>
    <mergeCell ref="E4:F4"/>
    <mergeCell ref="G4:H4"/>
    <mergeCell ref="C5:D5"/>
    <mergeCell ref="C6:D6"/>
    <mergeCell ref="E5:F5"/>
    <mergeCell ref="G5:H5"/>
    <mergeCell ref="E6:F6"/>
    <mergeCell ref="G6:H6"/>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G10:H10"/>
    <mergeCell ref="G15:H15"/>
    <mergeCell ref="G20:H20"/>
    <mergeCell ref="I10:J10"/>
    <mergeCell ref="M25:N25"/>
    <mergeCell ref="O25:P25"/>
    <mergeCell ref="M30:N30"/>
    <mergeCell ref="O30:P30"/>
    <mergeCell ref="M10:N10"/>
    <mergeCell ref="O10:P10"/>
    <mergeCell ref="M15:N15"/>
    <mergeCell ref="O15:P15"/>
    <mergeCell ref="M20:N20"/>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xr:uid="{00000000-0002-0000-0700-000000000000}">
      <formula1>IDS</formula1>
    </dataValidation>
    <dataValidation type="list" allowBlank="1" showInputMessage="1" showErrorMessage="1" sqref="E77 E83 I83 I77 I54 I50 E87 I87 E46" xr:uid="{00000000-0002-0000-0700-000001000000}">
      <formula1>craftspar</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Z130"/>
  <sheetViews>
    <sheetView workbookViewId="0">
      <selection activeCell="F7" sqref="F7"/>
    </sheetView>
  </sheetViews>
  <sheetFormatPr baseColWidth="10" defaultRowHeight="15"/>
  <cols>
    <col min="2" max="2" width="17.42578125" customWidth="1"/>
    <col min="3" max="3" width="15" customWidth="1"/>
    <col min="5" max="5" width="13.7109375" customWidth="1"/>
    <col min="6" max="6" width="16.42578125" customWidth="1"/>
    <col min="7" max="7" width="5.42578125" customWidth="1"/>
    <col min="8" max="8" width="11.85546875" bestFit="1"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c r="A1" s="231" t="s">
        <v>347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31"/>
      <c r="B2" s="240" t="s">
        <v>286</v>
      </c>
      <c r="C2" s="31" t="s">
        <v>6</v>
      </c>
      <c r="D2" s="34">
        <f>'ECONOMIA &amp; PROFESIONES'!$N$5</f>
        <v>502</v>
      </c>
      <c r="E2" s="53" t="e">
        <f>(H2*G2)+(K2*J2)+(M2*N2)+(P2*Q2)+(S2*T2)+(V2*W2)+(Y2*Z2)</f>
        <v>#NAME?</v>
      </c>
      <c r="F2" s="95" t="s">
        <v>364</v>
      </c>
      <c r="G2" s="99">
        <v>2</v>
      </c>
      <c r="H2" s="92" t="e">
        <f>VLOOKUP(F2,craftedesp,3,FALSE)</f>
        <v>#NAME?</v>
      </c>
      <c r="I2" s="95" t="s">
        <v>290</v>
      </c>
      <c r="J2" s="99">
        <v>2</v>
      </c>
      <c r="K2" s="92" t="e">
        <f>VLOOKUP(I2,craftedesp,3,FALSE)</f>
        <v>#NAME?</v>
      </c>
      <c r="L2" s="95" t="s">
        <v>202</v>
      </c>
      <c r="M2" s="99">
        <v>0</v>
      </c>
      <c r="N2" s="92">
        <f t="shared" ref="N2:N26" si="0">VLOOKUP(L2,craftedesp,3,FALSE)</f>
        <v>0</v>
      </c>
      <c r="O2" s="95" t="s">
        <v>202</v>
      </c>
      <c r="P2" s="99">
        <v>0</v>
      </c>
      <c r="Q2" s="92">
        <f t="shared" ref="Q2:Q26" si="1">VLOOKUP(O2,craftedesp,3,FALSE)</f>
        <v>0</v>
      </c>
      <c r="R2" s="95" t="s">
        <v>202</v>
      </c>
      <c r="S2" s="99">
        <v>0</v>
      </c>
      <c r="T2" s="92">
        <f t="shared" ref="T2:T26" si="2">VLOOKUP(R2,craftedesp,3,FALSE)</f>
        <v>0</v>
      </c>
      <c r="U2" s="95" t="s">
        <v>202</v>
      </c>
      <c r="V2" s="99">
        <v>0</v>
      </c>
      <c r="W2" s="92">
        <f t="shared" ref="W2:W26" si="3">VLOOKUP(U2,craftedesp,3,FALSE)</f>
        <v>0</v>
      </c>
      <c r="X2" s="95" t="s">
        <v>202</v>
      </c>
      <c r="Y2" s="99">
        <v>0</v>
      </c>
      <c r="Z2" s="92">
        <f t="shared" ref="Z2:Z26" si="4">VLOOKUP(X2,craftedesp,3,FALSE)</f>
        <v>0</v>
      </c>
    </row>
    <row r="3" spans="1:26">
      <c r="A3" s="231"/>
      <c r="B3" s="241"/>
      <c r="C3" s="32" t="s">
        <v>113</v>
      </c>
      <c r="D3" s="34">
        <f>'ECONOMIA &amp; PROFESIONES'!$N$6</f>
        <v>505</v>
      </c>
      <c r="E3" s="53" t="e">
        <f t="shared" ref="E3:E26" si="5">(H3*G3)+(K3*J3)+(M3*N3)+(P3*Q3)+(S3*T3)+(V3*W3)+(Y3*Z3)</f>
        <v>#NAME?</v>
      </c>
      <c r="F3" s="95" t="s">
        <v>368</v>
      </c>
      <c r="G3" s="99">
        <v>1</v>
      </c>
      <c r="H3" s="92" t="e">
        <f t="shared" ref="H3:H26" si="6">VLOOKUP(F3,craftedesp,3,FALSE)</f>
        <v>#NAME?</v>
      </c>
      <c r="I3" s="95" t="s">
        <v>375</v>
      </c>
      <c r="J3" s="99">
        <v>2</v>
      </c>
      <c r="K3" s="92" t="e">
        <f t="shared" ref="K3:K26" si="7">VLOOKUP(I3,craftedesp,3,FALSE)</f>
        <v>#NAME?</v>
      </c>
      <c r="L3" s="95" t="s">
        <v>202</v>
      </c>
      <c r="M3" s="99">
        <v>0</v>
      </c>
      <c r="N3" s="92">
        <f t="shared" si="0"/>
        <v>0</v>
      </c>
      <c r="O3" s="95" t="s">
        <v>202</v>
      </c>
      <c r="P3" s="99">
        <v>0</v>
      </c>
      <c r="Q3" s="92">
        <f t="shared" si="1"/>
        <v>0</v>
      </c>
      <c r="R3" s="95" t="s">
        <v>202</v>
      </c>
      <c r="S3" s="99">
        <v>0</v>
      </c>
      <c r="T3" s="92">
        <f t="shared" si="2"/>
        <v>0</v>
      </c>
      <c r="U3" s="95" t="s">
        <v>202</v>
      </c>
      <c r="V3" s="99">
        <v>0</v>
      </c>
      <c r="W3" s="92">
        <f t="shared" si="3"/>
        <v>0</v>
      </c>
      <c r="X3" s="95" t="s">
        <v>202</v>
      </c>
      <c r="Y3" s="99">
        <v>0</v>
      </c>
      <c r="Z3" s="92">
        <f t="shared" si="4"/>
        <v>0</v>
      </c>
    </row>
    <row r="4" spans="1:26">
      <c r="A4" s="231"/>
      <c r="B4" s="241"/>
      <c r="C4" s="31" t="s">
        <v>114</v>
      </c>
      <c r="D4" s="34">
        <f>'ECONOMIA &amp; PROFESIONES'!$N$7</f>
        <v>508</v>
      </c>
      <c r="E4" s="53" t="e">
        <f t="shared" si="5"/>
        <v>#NAME?</v>
      </c>
      <c r="F4" s="95" t="s">
        <v>368</v>
      </c>
      <c r="G4" s="99">
        <v>2</v>
      </c>
      <c r="H4" s="92" t="e">
        <f t="shared" si="6"/>
        <v>#NAME?</v>
      </c>
      <c r="I4" s="95" t="s">
        <v>375</v>
      </c>
      <c r="J4" s="99">
        <v>2</v>
      </c>
      <c r="K4" s="92" t="e">
        <f t="shared" si="7"/>
        <v>#NAME?</v>
      </c>
      <c r="L4" s="95" t="s">
        <v>202</v>
      </c>
      <c r="M4" s="99">
        <v>0</v>
      </c>
      <c r="N4" s="92">
        <f t="shared" si="0"/>
        <v>0</v>
      </c>
      <c r="O4" s="95" t="s">
        <v>202</v>
      </c>
      <c r="P4" s="99">
        <v>0</v>
      </c>
      <c r="Q4" s="92">
        <f t="shared" si="1"/>
        <v>0</v>
      </c>
      <c r="R4" s="95" t="s">
        <v>202</v>
      </c>
      <c r="S4" s="99">
        <v>0</v>
      </c>
      <c r="T4" s="92">
        <f t="shared" si="2"/>
        <v>0</v>
      </c>
      <c r="U4" s="95" t="s">
        <v>202</v>
      </c>
      <c r="V4" s="99">
        <v>0</v>
      </c>
      <c r="W4" s="92">
        <f t="shared" si="3"/>
        <v>0</v>
      </c>
      <c r="X4" s="95" t="s">
        <v>202</v>
      </c>
      <c r="Y4" s="99">
        <v>0</v>
      </c>
      <c r="Z4" s="92">
        <f t="shared" si="4"/>
        <v>0</v>
      </c>
    </row>
    <row r="5" spans="1:26">
      <c r="A5" s="231"/>
      <c r="B5" s="241"/>
      <c r="C5" s="32" t="s">
        <v>115</v>
      </c>
      <c r="D5" s="34">
        <f>'ECONOMIA &amp; PROFESIONES'!$N$8</f>
        <v>507</v>
      </c>
      <c r="E5" s="53" t="e">
        <f t="shared" si="5"/>
        <v>#NAME?</v>
      </c>
      <c r="F5" s="95" t="s">
        <v>368</v>
      </c>
      <c r="G5" s="99">
        <v>1</v>
      </c>
      <c r="H5" s="92" t="e">
        <f t="shared" si="6"/>
        <v>#NAME?</v>
      </c>
      <c r="I5" s="95" t="s">
        <v>375</v>
      </c>
      <c r="J5" s="99">
        <v>3</v>
      </c>
      <c r="K5" s="92" t="e">
        <f t="shared" si="7"/>
        <v>#NAME?</v>
      </c>
      <c r="L5" s="95" t="s">
        <v>202</v>
      </c>
      <c r="M5" s="99">
        <v>0</v>
      </c>
      <c r="N5" s="92">
        <f t="shared" si="0"/>
        <v>0</v>
      </c>
      <c r="O5" s="95" t="s">
        <v>202</v>
      </c>
      <c r="P5" s="99">
        <v>0</v>
      </c>
      <c r="Q5" s="92">
        <f t="shared" si="1"/>
        <v>0</v>
      </c>
      <c r="R5" s="95" t="s">
        <v>202</v>
      </c>
      <c r="S5" s="99">
        <v>0</v>
      </c>
      <c r="T5" s="92">
        <f t="shared" si="2"/>
        <v>0</v>
      </c>
      <c r="U5" s="95" t="s">
        <v>202</v>
      </c>
      <c r="V5" s="99">
        <v>0</v>
      </c>
      <c r="W5" s="92">
        <f t="shared" si="3"/>
        <v>0</v>
      </c>
      <c r="X5" s="95" t="s">
        <v>202</v>
      </c>
      <c r="Y5" s="99">
        <v>0</v>
      </c>
      <c r="Z5" s="92">
        <f t="shared" si="4"/>
        <v>0</v>
      </c>
    </row>
    <row r="6" spans="1:26">
      <c r="A6" s="231"/>
      <c r="B6" s="242"/>
      <c r="C6" s="31" t="s">
        <v>116</v>
      </c>
      <c r="D6" s="34">
        <f>'ECONOMIA &amp; PROFESIONES'!$N$9</f>
        <v>504</v>
      </c>
      <c r="E6" s="53" t="e">
        <f t="shared" si="5"/>
        <v>#NAME?</v>
      </c>
      <c r="F6" s="95" t="s">
        <v>368</v>
      </c>
      <c r="G6" s="99">
        <v>1</v>
      </c>
      <c r="H6" s="92" t="e">
        <f t="shared" si="6"/>
        <v>#NAME?</v>
      </c>
      <c r="I6" s="95" t="s">
        <v>375</v>
      </c>
      <c r="J6" s="99">
        <v>1</v>
      </c>
      <c r="K6" s="92" t="e">
        <f t="shared" si="7"/>
        <v>#NAME?</v>
      </c>
      <c r="L6" s="95" t="s">
        <v>202</v>
      </c>
      <c r="M6" s="99">
        <v>0</v>
      </c>
      <c r="N6" s="92">
        <f t="shared" si="0"/>
        <v>0</v>
      </c>
      <c r="O6" s="95" t="s">
        <v>202</v>
      </c>
      <c r="P6" s="99">
        <v>0</v>
      </c>
      <c r="Q6" s="92">
        <f t="shared" si="1"/>
        <v>0</v>
      </c>
      <c r="R6" s="95" t="s">
        <v>202</v>
      </c>
      <c r="S6" s="99">
        <v>0</v>
      </c>
      <c r="T6" s="92">
        <f t="shared" si="2"/>
        <v>0</v>
      </c>
      <c r="U6" s="95" t="s">
        <v>202</v>
      </c>
      <c r="V6" s="99">
        <v>0</v>
      </c>
      <c r="W6" s="92">
        <f t="shared" si="3"/>
        <v>0</v>
      </c>
      <c r="X6" s="95" t="s">
        <v>202</v>
      </c>
      <c r="Y6" s="99">
        <v>0</v>
      </c>
      <c r="Z6" s="92">
        <f t="shared" si="4"/>
        <v>0</v>
      </c>
    </row>
    <row r="7" spans="1:26">
      <c r="A7" s="231"/>
      <c r="B7" s="232" t="s">
        <v>287</v>
      </c>
      <c r="C7" s="32" t="s">
        <v>6</v>
      </c>
      <c r="D7" s="34">
        <f>'ECONOMIA &amp; PROFESIONES'!$N$10</f>
        <v>2052</v>
      </c>
      <c r="E7" s="53">
        <f t="shared" si="5"/>
        <v>0</v>
      </c>
      <c r="F7" s="95" t="s">
        <v>202</v>
      </c>
      <c r="G7" s="99">
        <v>0</v>
      </c>
      <c r="H7" s="92">
        <f t="shared" si="6"/>
        <v>0</v>
      </c>
      <c r="I7" s="95" t="s">
        <v>202</v>
      </c>
      <c r="J7" s="99">
        <v>0</v>
      </c>
      <c r="K7" s="92">
        <f t="shared" si="7"/>
        <v>0</v>
      </c>
      <c r="L7" s="95" t="s">
        <v>202</v>
      </c>
      <c r="M7" s="99">
        <v>0</v>
      </c>
      <c r="N7" s="92">
        <f t="shared" si="0"/>
        <v>0</v>
      </c>
      <c r="O7" s="95" t="s">
        <v>202</v>
      </c>
      <c r="P7" s="99">
        <v>0</v>
      </c>
      <c r="Q7" s="92">
        <f t="shared" si="1"/>
        <v>0</v>
      </c>
      <c r="R7" s="95" t="s">
        <v>202</v>
      </c>
      <c r="S7" s="99">
        <v>0</v>
      </c>
      <c r="T7" s="92">
        <f t="shared" si="2"/>
        <v>0</v>
      </c>
      <c r="U7" s="95" t="s">
        <v>202</v>
      </c>
      <c r="V7" s="99">
        <v>0</v>
      </c>
      <c r="W7" s="92">
        <f t="shared" si="3"/>
        <v>0</v>
      </c>
      <c r="X7" s="95" t="s">
        <v>202</v>
      </c>
      <c r="Y7" s="99">
        <v>0</v>
      </c>
      <c r="Z7" s="92">
        <f t="shared" si="4"/>
        <v>0</v>
      </c>
    </row>
    <row r="8" spans="1:26">
      <c r="A8" s="231"/>
      <c r="B8" s="233"/>
      <c r="C8" s="31" t="s">
        <v>113</v>
      </c>
      <c r="D8" s="34">
        <f>'ECONOMIA &amp; PROFESIONES'!$N$11</f>
        <v>2130</v>
      </c>
      <c r="E8" s="53">
        <f t="shared" si="5"/>
        <v>0</v>
      </c>
      <c r="F8" s="95" t="s">
        <v>202</v>
      </c>
      <c r="G8" s="99">
        <v>0</v>
      </c>
      <c r="H8" s="92">
        <f t="shared" si="6"/>
        <v>0</v>
      </c>
      <c r="I8" s="95" t="s">
        <v>202</v>
      </c>
      <c r="J8" s="99">
        <v>0</v>
      </c>
      <c r="K8" s="92">
        <f t="shared" si="7"/>
        <v>0</v>
      </c>
      <c r="L8" s="95" t="s">
        <v>202</v>
      </c>
      <c r="M8" s="99">
        <v>0</v>
      </c>
      <c r="N8" s="92">
        <f t="shared" si="0"/>
        <v>0</v>
      </c>
      <c r="O8" s="95" t="s">
        <v>202</v>
      </c>
      <c r="P8" s="99">
        <v>0</v>
      </c>
      <c r="Q8" s="92">
        <f t="shared" si="1"/>
        <v>0</v>
      </c>
      <c r="R8" s="95" t="s">
        <v>202</v>
      </c>
      <c r="S8" s="99">
        <v>0</v>
      </c>
      <c r="T8" s="92">
        <f t="shared" si="2"/>
        <v>0</v>
      </c>
      <c r="U8" s="95" t="s">
        <v>202</v>
      </c>
      <c r="V8" s="99">
        <v>0</v>
      </c>
      <c r="W8" s="92">
        <f t="shared" si="3"/>
        <v>0</v>
      </c>
      <c r="X8" s="95" t="s">
        <v>202</v>
      </c>
      <c r="Y8" s="99">
        <v>0</v>
      </c>
      <c r="Z8" s="92">
        <f t="shared" si="4"/>
        <v>0</v>
      </c>
    </row>
    <row r="9" spans="1:26">
      <c r="A9" s="231"/>
      <c r="B9" s="233"/>
      <c r="C9" s="32" t="s">
        <v>114</v>
      </c>
      <c r="D9" s="34">
        <f>'ECONOMIA &amp; PROFESIONES'!$N$12</f>
        <v>2208</v>
      </c>
      <c r="E9" s="53">
        <f t="shared" si="5"/>
        <v>0</v>
      </c>
      <c r="F9" s="95" t="s">
        <v>202</v>
      </c>
      <c r="G9" s="99">
        <v>0</v>
      </c>
      <c r="H9" s="92">
        <f t="shared" si="6"/>
        <v>0</v>
      </c>
      <c r="I9" s="95" t="s">
        <v>202</v>
      </c>
      <c r="J9" s="99">
        <v>0</v>
      </c>
      <c r="K9" s="92">
        <f t="shared" si="7"/>
        <v>0</v>
      </c>
      <c r="L9" s="95" t="s">
        <v>202</v>
      </c>
      <c r="M9" s="99">
        <v>0</v>
      </c>
      <c r="N9" s="92">
        <f t="shared" si="0"/>
        <v>0</v>
      </c>
      <c r="O9" s="95" t="s">
        <v>202</v>
      </c>
      <c r="P9" s="99">
        <v>0</v>
      </c>
      <c r="Q9" s="92">
        <f t="shared" si="1"/>
        <v>0</v>
      </c>
      <c r="R9" s="95" t="s">
        <v>202</v>
      </c>
      <c r="S9" s="99">
        <v>0</v>
      </c>
      <c r="T9" s="92">
        <f t="shared" si="2"/>
        <v>0</v>
      </c>
      <c r="U9" s="95" t="s">
        <v>202</v>
      </c>
      <c r="V9" s="99">
        <v>0</v>
      </c>
      <c r="W9" s="92">
        <f t="shared" si="3"/>
        <v>0</v>
      </c>
      <c r="X9" s="95" t="s">
        <v>202</v>
      </c>
      <c r="Y9" s="99">
        <v>0</v>
      </c>
      <c r="Z9" s="92">
        <f t="shared" si="4"/>
        <v>0</v>
      </c>
    </row>
    <row r="10" spans="1:26">
      <c r="A10" s="231"/>
      <c r="B10" s="233"/>
      <c r="C10" s="31" t="s">
        <v>115</v>
      </c>
      <c r="D10" s="34">
        <f>'ECONOMIA &amp; PROFESIONES'!$N$13</f>
        <v>2182</v>
      </c>
      <c r="E10" s="53">
        <f t="shared" si="5"/>
        <v>0</v>
      </c>
      <c r="F10" s="95" t="s">
        <v>202</v>
      </c>
      <c r="G10" s="99">
        <v>0</v>
      </c>
      <c r="H10" s="92">
        <f t="shared" si="6"/>
        <v>0</v>
      </c>
      <c r="I10" s="95" t="s">
        <v>202</v>
      </c>
      <c r="J10" s="99">
        <v>0</v>
      </c>
      <c r="K10" s="92">
        <f t="shared" si="7"/>
        <v>0</v>
      </c>
      <c r="L10" s="95" t="s">
        <v>202</v>
      </c>
      <c r="M10" s="99">
        <v>0</v>
      </c>
      <c r="N10" s="92">
        <f t="shared" si="0"/>
        <v>0</v>
      </c>
      <c r="O10" s="95" t="s">
        <v>202</v>
      </c>
      <c r="P10" s="99">
        <v>0</v>
      </c>
      <c r="Q10" s="92">
        <f t="shared" si="1"/>
        <v>0</v>
      </c>
      <c r="R10" s="95" t="s">
        <v>202</v>
      </c>
      <c r="S10" s="99">
        <v>0</v>
      </c>
      <c r="T10" s="92">
        <f t="shared" si="2"/>
        <v>0</v>
      </c>
      <c r="U10" s="95" t="s">
        <v>202</v>
      </c>
      <c r="V10" s="99">
        <v>0</v>
      </c>
      <c r="W10" s="92">
        <f t="shared" si="3"/>
        <v>0</v>
      </c>
      <c r="X10" s="95" t="s">
        <v>202</v>
      </c>
      <c r="Y10" s="99">
        <v>0</v>
      </c>
      <c r="Z10" s="92">
        <f t="shared" si="4"/>
        <v>0</v>
      </c>
    </row>
    <row r="11" spans="1:26">
      <c r="A11" s="231"/>
      <c r="B11" s="234"/>
      <c r="C11" s="32" t="s">
        <v>116</v>
      </c>
      <c r="D11" s="34">
        <f>'ECONOMIA &amp; PROFESIONES'!$N$14</f>
        <v>2104</v>
      </c>
      <c r="E11" s="53">
        <f t="shared" si="5"/>
        <v>0</v>
      </c>
      <c r="F11" s="95" t="s">
        <v>202</v>
      </c>
      <c r="G11" s="99">
        <v>0</v>
      </c>
      <c r="H11" s="92">
        <f t="shared" si="6"/>
        <v>0</v>
      </c>
      <c r="I11" s="95" t="s">
        <v>202</v>
      </c>
      <c r="J11" s="99">
        <v>0</v>
      </c>
      <c r="K11" s="92">
        <f t="shared" si="7"/>
        <v>0</v>
      </c>
      <c r="L11" s="95" t="s">
        <v>202</v>
      </c>
      <c r="M11" s="99">
        <v>0</v>
      </c>
      <c r="N11" s="92">
        <f t="shared" si="0"/>
        <v>0</v>
      </c>
      <c r="O11" s="95" t="s">
        <v>202</v>
      </c>
      <c r="P11" s="99">
        <v>0</v>
      </c>
      <c r="Q11" s="92">
        <f t="shared" si="1"/>
        <v>0</v>
      </c>
      <c r="R11" s="95" t="s">
        <v>202</v>
      </c>
      <c r="S11" s="99">
        <v>0</v>
      </c>
      <c r="T11" s="92">
        <f t="shared" si="2"/>
        <v>0</v>
      </c>
      <c r="U11" s="95" t="s">
        <v>202</v>
      </c>
      <c r="V11" s="99">
        <v>0</v>
      </c>
      <c r="W11" s="92">
        <f t="shared" si="3"/>
        <v>0</v>
      </c>
      <c r="X11" s="95" t="s">
        <v>202</v>
      </c>
      <c r="Y11" s="99">
        <v>0</v>
      </c>
      <c r="Z11" s="92">
        <f t="shared" si="4"/>
        <v>0</v>
      </c>
    </row>
    <row r="12" spans="1:26">
      <c r="A12" s="231"/>
      <c r="B12" s="235" t="s">
        <v>353</v>
      </c>
      <c r="C12" s="31" t="s">
        <v>6</v>
      </c>
      <c r="D12" s="34">
        <f>'ECONOMIA &amp; PROFESIONES'!$N$15</f>
        <v>3652</v>
      </c>
      <c r="E12" s="53">
        <f t="shared" si="5"/>
        <v>0</v>
      </c>
      <c r="F12" s="95" t="s">
        <v>202</v>
      </c>
      <c r="G12" s="99">
        <v>0</v>
      </c>
      <c r="H12" s="92">
        <f t="shared" si="6"/>
        <v>0</v>
      </c>
      <c r="I12" s="95" t="s">
        <v>202</v>
      </c>
      <c r="J12" s="99">
        <v>0</v>
      </c>
      <c r="K12" s="92">
        <f t="shared" si="7"/>
        <v>0</v>
      </c>
      <c r="L12" s="95" t="s">
        <v>202</v>
      </c>
      <c r="M12" s="99">
        <v>0</v>
      </c>
      <c r="N12" s="92">
        <f t="shared" si="0"/>
        <v>0</v>
      </c>
      <c r="O12" s="95" t="s">
        <v>202</v>
      </c>
      <c r="P12" s="99">
        <v>0</v>
      </c>
      <c r="Q12" s="92">
        <f t="shared" si="1"/>
        <v>0</v>
      </c>
      <c r="R12" s="95" t="s">
        <v>202</v>
      </c>
      <c r="S12" s="99">
        <v>0</v>
      </c>
      <c r="T12" s="92">
        <f t="shared" si="2"/>
        <v>0</v>
      </c>
      <c r="U12" s="95" t="s">
        <v>202</v>
      </c>
      <c r="V12" s="99">
        <v>0</v>
      </c>
      <c r="W12" s="92">
        <f t="shared" si="3"/>
        <v>0</v>
      </c>
      <c r="X12" s="95" t="s">
        <v>202</v>
      </c>
      <c r="Y12" s="99">
        <v>0</v>
      </c>
      <c r="Z12" s="92">
        <f t="shared" si="4"/>
        <v>0</v>
      </c>
    </row>
    <row r="13" spans="1:26">
      <c r="A13" s="231"/>
      <c r="B13" s="236"/>
      <c r="C13" s="32" t="s">
        <v>113</v>
      </c>
      <c r="D13" s="34">
        <f>'ECONOMIA &amp; PROFESIONES'!$N$16</f>
        <v>3880</v>
      </c>
      <c r="E13" s="53">
        <f t="shared" si="5"/>
        <v>0</v>
      </c>
      <c r="F13" s="95" t="s">
        <v>202</v>
      </c>
      <c r="G13" s="99">
        <v>0</v>
      </c>
      <c r="H13" s="92">
        <f t="shared" si="6"/>
        <v>0</v>
      </c>
      <c r="I13" s="95" t="s">
        <v>202</v>
      </c>
      <c r="J13" s="99">
        <v>0</v>
      </c>
      <c r="K13" s="92">
        <f t="shared" si="7"/>
        <v>0</v>
      </c>
      <c r="L13" s="95" t="s">
        <v>202</v>
      </c>
      <c r="M13" s="99">
        <v>0</v>
      </c>
      <c r="N13" s="92">
        <f t="shared" si="0"/>
        <v>0</v>
      </c>
      <c r="O13" s="95" t="s">
        <v>202</v>
      </c>
      <c r="P13" s="99">
        <v>0</v>
      </c>
      <c r="Q13" s="92">
        <f t="shared" si="1"/>
        <v>0</v>
      </c>
      <c r="R13" s="95" t="s">
        <v>202</v>
      </c>
      <c r="S13" s="99">
        <v>0</v>
      </c>
      <c r="T13" s="92">
        <f t="shared" si="2"/>
        <v>0</v>
      </c>
      <c r="U13" s="95" t="s">
        <v>202</v>
      </c>
      <c r="V13" s="99">
        <v>0</v>
      </c>
      <c r="W13" s="92">
        <f t="shared" si="3"/>
        <v>0</v>
      </c>
      <c r="X13" s="95" t="s">
        <v>202</v>
      </c>
      <c r="Y13" s="99">
        <v>0</v>
      </c>
      <c r="Z13" s="92">
        <f t="shared" si="4"/>
        <v>0</v>
      </c>
    </row>
    <row r="14" spans="1:26">
      <c r="A14" s="231"/>
      <c r="B14" s="236"/>
      <c r="C14" s="31" t="s">
        <v>114</v>
      </c>
      <c r="D14" s="34">
        <f>'ECONOMIA &amp; PROFESIONES'!$N$17</f>
        <v>4108</v>
      </c>
      <c r="E14" s="53">
        <f t="shared" si="5"/>
        <v>0</v>
      </c>
      <c r="F14" s="95" t="s">
        <v>202</v>
      </c>
      <c r="G14" s="99">
        <v>0</v>
      </c>
      <c r="H14" s="92">
        <f t="shared" si="6"/>
        <v>0</v>
      </c>
      <c r="I14" s="95" t="s">
        <v>202</v>
      </c>
      <c r="J14" s="99">
        <v>0</v>
      </c>
      <c r="K14" s="92">
        <f t="shared" si="7"/>
        <v>0</v>
      </c>
      <c r="L14" s="95" t="s">
        <v>202</v>
      </c>
      <c r="M14" s="99">
        <v>0</v>
      </c>
      <c r="N14" s="92">
        <f t="shared" si="0"/>
        <v>0</v>
      </c>
      <c r="O14" s="95" t="s">
        <v>202</v>
      </c>
      <c r="P14" s="99">
        <v>0</v>
      </c>
      <c r="Q14" s="92">
        <f t="shared" si="1"/>
        <v>0</v>
      </c>
      <c r="R14" s="95" t="s">
        <v>202</v>
      </c>
      <c r="S14" s="99">
        <v>0</v>
      </c>
      <c r="T14" s="92">
        <f t="shared" si="2"/>
        <v>0</v>
      </c>
      <c r="U14" s="95" t="s">
        <v>202</v>
      </c>
      <c r="V14" s="99">
        <v>0</v>
      </c>
      <c r="W14" s="92">
        <f t="shared" si="3"/>
        <v>0</v>
      </c>
      <c r="X14" s="95" t="s">
        <v>202</v>
      </c>
      <c r="Y14" s="99">
        <v>0</v>
      </c>
      <c r="Z14" s="92">
        <f t="shared" si="4"/>
        <v>0</v>
      </c>
    </row>
    <row r="15" spans="1:26">
      <c r="A15" s="231"/>
      <c r="B15" s="235"/>
      <c r="C15" s="32" t="s">
        <v>115</v>
      </c>
      <c r="D15" s="34">
        <f>'ECONOMIA &amp; PROFESIONES'!$N$18</f>
        <v>4032</v>
      </c>
      <c r="E15" s="53">
        <f t="shared" si="5"/>
        <v>0</v>
      </c>
      <c r="F15" s="95" t="s">
        <v>202</v>
      </c>
      <c r="G15" s="99">
        <v>0</v>
      </c>
      <c r="H15" s="92">
        <f t="shared" si="6"/>
        <v>0</v>
      </c>
      <c r="I15" s="95" t="s">
        <v>202</v>
      </c>
      <c r="J15" s="99">
        <v>0</v>
      </c>
      <c r="K15" s="92">
        <f t="shared" si="7"/>
        <v>0</v>
      </c>
      <c r="L15" s="95" t="s">
        <v>202</v>
      </c>
      <c r="M15" s="99">
        <v>0</v>
      </c>
      <c r="N15" s="92">
        <f t="shared" si="0"/>
        <v>0</v>
      </c>
      <c r="O15" s="95" t="s">
        <v>202</v>
      </c>
      <c r="P15" s="99">
        <v>0</v>
      </c>
      <c r="Q15" s="92">
        <f t="shared" si="1"/>
        <v>0</v>
      </c>
      <c r="R15" s="95" t="s">
        <v>202</v>
      </c>
      <c r="S15" s="99">
        <v>0</v>
      </c>
      <c r="T15" s="92">
        <f t="shared" si="2"/>
        <v>0</v>
      </c>
      <c r="U15" s="95" t="s">
        <v>202</v>
      </c>
      <c r="V15" s="99">
        <v>0</v>
      </c>
      <c r="W15" s="92">
        <f t="shared" si="3"/>
        <v>0</v>
      </c>
      <c r="X15" s="95" t="s">
        <v>202</v>
      </c>
      <c r="Y15" s="99">
        <v>0</v>
      </c>
      <c r="Z15" s="92">
        <f t="shared" si="4"/>
        <v>0</v>
      </c>
    </row>
    <row r="16" spans="1:26">
      <c r="A16" s="231"/>
      <c r="B16" s="235"/>
      <c r="C16" s="31" t="s">
        <v>116</v>
      </c>
      <c r="D16" s="34">
        <f>'ECONOMIA &amp; PROFESIONES'!$N$19</f>
        <v>3804</v>
      </c>
      <c r="E16" s="53">
        <f t="shared" si="5"/>
        <v>0</v>
      </c>
      <c r="F16" s="95" t="s">
        <v>202</v>
      </c>
      <c r="G16" s="99">
        <v>0</v>
      </c>
      <c r="H16" s="92">
        <f t="shared" si="6"/>
        <v>0</v>
      </c>
      <c r="I16" s="95" t="s">
        <v>202</v>
      </c>
      <c r="J16" s="99">
        <v>0</v>
      </c>
      <c r="K16" s="92">
        <f t="shared" si="7"/>
        <v>0</v>
      </c>
      <c r="L16" s="95" t="s">
        <v>202</v>
      </c>
      <c r="M16" s="99">
        <v>0</v>
      </c>
      <c r="N16" s="92">
        <f t="shared" si="0"/>
        <v>0</v>
      </c>
      <c r="O16" s="95" t="s">
        <v>202</v>
      </c>
      <c r="P16" s="99">
        <v>0</v>
      </c>
      <c r="Q16" s="92">
        <f t="shared" si="1"/>
        <v>0</v>
      </c>
      <c r="R16" s="95" t="s">
        <v>202</v>
      </c>
      <c r="S16" s="99">
        <v>0</v>
      </c>
      <c r="T16" s="92">
        <f t="shared" si="2"/>
        <v>0</v>
      </c>
      <c r="U16" s="95" t="s">
        <v>202</v>
      </c>
      <c r="V16" s="99">
        <v>0</v>
      </c>
      <c r="W16" s="92">
        <f t="shared" si="3"/>
        <v>0</v>
      </c>
      <c r="X16" s="95" t="s">
        <v>202</v>
      </c>
      <c r="Y16" s="99">
        <v>0</v>
      </c>
      <c r="Z16" s="92">
        <f t="shared" si="4"/>
        <v>0</v>
      </c>
    </row>
    <row r="17" spans="1:26">
      <c r="A17" s="231"/>
      <c r="B17" s="237" t="s">
        <v>354</v>
      </c>
      <c r="C17" s="32" t="s">
        <v>6</v>
      </c>
      <c r="D17" s="34">
        <f>'ECONOMIA &amp; PROFESIONES'!$N$20</f>
        <v>5252</v>
      </c>
      <c r="E17" s="53">
        <f t="shared" si="5"/>
        <v>0</v>
      </c>
      <c r="F17" s="95" t="s">
        <v>202</v>
      </c>
      <c r="G17" s="99">
        <v>0</v>
      </c>
      <c r="H17" s="92">
        <f t="shared" si="6"/>
        <v>0</v>
      </c>
      <c r="I17" s="95" t="s">
        <v>202</v>
      </c>
      <c r="J17" s="99">
        <v>0</v>
      </c>
      <c r="K17" s="92">
        <f t="shared" si="7"/>
        <v>0</v>
      </c>
      <c r="L17" s="95" t="s">
        <v>202</v>
      </c>
      <c r="M17" s="99">
        <v>0</v>
      </c>
      <c r="N17" s="92">
        <f t="shared" si="0"/>
        <v>0</v>
      </c>
      <c r="O17" s="95" t="s">
        <v>202</v>
      </c>
      <c r="P17" s="99">
        <v>0</v>
      </c>
      <c r="Q17" s="92">
        <f t="shared" si="1"/>
        <v>0</v>
      </c>
      <c r="R17" s="95" t="s">
        <v>202</v>
      </c>
      <c r="S17" s="99">
        <v>0</v>
      </c>
      <c r="T17" s="92">
        <f t="shared" si="2"/>
        <v>0</v>
      </c>
      <c r="U17" s="95" t="s">
        <v>202</v>
      </c>
      <c r="V17" s="99">
        <v>0</v>
      </c>
      <c r="W17" s="92">
        <f t="shared" si="3"/>
        <v>0</v>
      </c>
      <c r="X17" s="95" t="s">
        <v>202</v>
      </c>
      <c r="Y17" s="99">
        <v>0</v>
      </c>
      <c r="Z17" s="92">
        <f t="shared" si="4"/>
        <v>0</v>
      </c>
    </row>
    <row r="18" spans="1:26">
      <c r="A18" s="231"/>
      <c r="B18" s="238"/>
      <c r="C18" s="31" t="s">
        <v>113</v>
      </c>
      <c r="D18" s="34">
        <f>'ECONOMIA &amp; PROFESIONES'!$N$21</f>
        <v>5630</v>
      </c>
      <c r="E18" s="53">
        <f t="shared" si="5"/>
        <v>0</v>
      </c>
      <c r="F18" s="95" t="s">
        <v>202</v>
      </c>
      <c r="G18" s="99">
        <v>0</v>
      </c>
      <c r="H18" s="92">
        <f t="shared" si="6"/>
        <v>0</v>
      </c>
      <c r="I18" s="95" t="s">
        <v>202</v>
      </c>
      <c r="J18" s="99">
        <v>0</v>
      </c>
      <c r="K18" s="92">
        <f t="shared" si="7"/>
        <v>0</v>
      </c>
      <c r="L18" s="95" t="s">
        <v>202</v>
      </c>
      <c r="M18" s="99">
        <v>0</v>
      </c>
      <c r="N18" s="92">
        <f t="shared" si="0"/>
        <v>0</v>
      </c>
      <c r="O18" s="95" t="s">
        <v>202</v>
      </c>
      <c r="P18" s="99">
        <v>0</v>
      </c>
      <c r="Q18" s="92">
        <f t="shared" si="1"/>
        <v>0</v>
      </c>
      <c r="R18" s="95" t="s">
        <v>202</v>
      </c>
      <c r="S18" s="99">
        <v>0</v>
      </c>
      <c r="T18" s="92">
        <f t="shared" si="2"/>
        <v>0</v>
      </c>
      <c r="U18" s="95" t="s">
        <v>202</v>
      </c>
      <c r="V18" s="99">
        <v>0</v>
      </c>
      <c r="W18" s="92">
        <f t="shared" si="3"/>
        <v>0</v>
      </c>
      <c r="X18" s="95" t="s">
        <v>202</v>
      </c>
      <c r="Y18" s="99">
        <v>0</v>
      </c>
      <c r="Z18" s="92">
        <f t="shared" si="4"/>
        <v>0</v>
      </c>
    </row>
    <row r="19" spans="1:26">
      <c r="A19" s="231"/>
      <c r="B19" s="238"/>
      <c r="C19" s="32" t="s">
        <v>114</v>
      </c>
      <c r="D19" s="34">
        <f>'ECONOMIA &amp; PROFESIONES'!$N$22</f>
        <v>6008</v>
      </c>
      <c r="E19" s="53">
        <f t="shared" si="5"/>
        <v>0</v>
      </c>
      <c r="F19" s="95" t="s">
        <v>202</v>
      </c>
      <c r="G19" s="99">
        <v>0</v>
      </c>
      <c r="H19" s="92">
        <f t="shared" si="6"/>
        <v>0</v>
      </c>
      <c r="I19" s="95" t="s">
        <v>202</v>
      </c>
      <c r="J19" s="99">
        <v>0</v>
      </c>
      <c r="K19" s="92">
        <f t="shared" si="7"/>
        <v>0</v>
      </c>
      <c r="L19" s="95" t="s">
        <v>202</v>
      </c>
      <c r="M19" s="99">
        <v>0</v>
      </c>
      <c r="N19" s="92">
        <f t="shared" si="0"/>
        <v>0</v>
      </c>
      <c r="O19" s="95" t="s">
        <v>202</v>
      </c>
      <c r="P19" s="99">
        <v>0</v>
      </c>
      <c r="Q19" s="92">
        <f t="shared" si="1"/>
        <v>0</v>
      </c>
      <c r="R19" s="95" t="s">
        <v>202</v>
      </c>
      <c r="S19" s="99">
        <v>0</v>
      </c>
      <c r="T19" s="92">
        <f t="shared" si="2"/>
        <v>0</v>
      </c>
      <c r="U19" s="95" t="s">
        <v>202</v>
      </c>
      <c r="V19" s="99">
        <v>0</v>
      </c>
      <c r="W19" s="92">
        <f t="shared" si="3"/>
        <v>0</v>
      </c>
      <c r="X19" s="95" t="s">
        <v>202</v>
      </c>
      <c r="Y19" s="99">
        <v>0</v>
      </c>
      <c r="Z19" s="92">
        <f t="shared" si="4"/>
        <v>0</v>
      </c>
    </row>
    <row r="20" spans="1:26">
      <c r="A20" s="231"/>
      <c r="B20" s="233"/>
      <c r="C20" s="31" t="s">
        <v>115</v>
      </c>
      <c r="D20" s="34">
        <f>'ECONOMIA &amp; PROFESIONES'!$N$23</f>
        <v>5882</v>
      </c>
      <c r="E20" s="53">
        <f t="shared" si="5"/>
        <v>0</v>
      </c>
      <c r="F20" s="95" t="s">
        <v>202</v>
      </c>
      <c r="G20" s="99">
        <v>0</v>
      </c>
      <c r="H20" s="92">
        <f t="shared" si="6"/>
        <v>0</v>
      </c>
      <c r="I20" s="95" t="s">
        <v>202</v>
      </c>
      <c r="J20" s="99">
        <v>0</v>
      </c>
      <c r="K20" s="92">
        <f t="shared" si="7"/>
        <v>0</v>
      </c>
      <c r="L20" s="95" t="s">
        <v>202</v>
      </c>
      <c r="M20" s="99">
        <v>0</v>
      </c>
      <c r="N20" s="92">
        <f t="shared" si="0"/>
        <v>0</v>
      </c>
      <c r="O20" s="95" t="s">
        <v>202</v>
      </c>
      <c r="P20" s="99">
        <v>0</v>
      </c>
      <c r="Q20" s="92">
        <f t="shared" si="1"/>
        <v>0</v>
      </c>
      <c r="R20" s="95" t="s">
        <v>202</v>
      </c>
      <c r="S20" s="99">
        <v>0</v>
      </c>
      <c r="T20" s="92">
        <f t="shared" si="2"/>
        <v>0</v>
      </c>
      <c r="U20" s="95" t="s">
        <v>202</v>
      </c>
      <c r="V20" s="99">
        <v>0</v>
      </c>
      <c r="W20" s="92">
        <f t="shared" si="3"/>
        <v>0</v>
      </c>
      <c r="X20" s="95" t="s">
        <v>202</v>
      </c>
      <c r="Y20" s="99">
        <v>0</v>
      </c>
      <c r="Z20" s="92">
        <f t="shared" si="4"/>
        <v>0</v>
      </c>
    </row>
    <row r="21" spans="1:26">
      <c r="A21" s="231"/>
      <c r="B21" s="239"/>
      <c r="C21" s="32" t="s">
        <v>116</v>
      </c>
      <c r="D21" s="34">
        <f>'ECONOMIA &amp; PROFESIONES'!$N$24</f>
        <v>5504</v>
      </c>
      <c r="E21" s="53">
        <f t="shared" si="5"/>
        <v>0</v>
      </c>
      <c r="F21" s="95" t="s">
        <v>202</v>
      </c>
      <c r="G21" s="99">
        <v>0</v>
      </c>
      <c r="H21" s="92">
        <f t="shared" si="6"/>
        <v>0</v>
      </c>
      <c r="I21" s="95" t="s">
        <v>202</v>
      </c>
      <c r="J21" s="99">
        <v>0</v>
      </c>
      <c r="K21" s="92">
        <f t="shared" si="7"/>
        <v>0</v>
      </c>
      <c r="L21" s="95" t="s">
        <v>202</v>
      </c>
      <c r="M21" s="99">
        <v>0</v>
      </c>
      <c r="N21" s="92">
        <f t="shared" si="0"/>
        <v>0</v>
      </c>
      <c r="O21" s="95" t="s">
        <v>202</v>
      </c>
      <c r="P21" s="99">
        <v>0</v>
      </c>
      <c r="Q21" s="92">
        <f t="shared" si="1"/>
        <v>0</v>
      </c>
      <c r="R21" s="95" t="s">
        <v>202</v>
      </c>
      <c r="S21" s="99">
        <v>0</v>
      </c>
      <c r="T21" s="92">
        <f t="shared" si="2"/>
        <v>0</v>
      </c>
      <c r="U21" s="95" t="s">
        <v>202</v>
      </c>
      <c r="V21" s="99">
        <v>0</v>
      </c>
      <c r="W21" s="92">
        <f t="shared" si="3"/>
        <v>0</v>
      </c>
      <c r="X21" s="95" t="s">
        <v>202</v>
      </c>
      <c r="Y21" s="99">
        <v>0</v>
      </c>
      <c r="Z21" s="92">
        <f t="shared" si="4"/>
        <v>0</v>
      </c>
    </row>
    <row r="22" spans="1:26">
      <c r="A22" s="231"/>
      <c r="B22" s="235" t="s">
        <v>352</v>
      </c>
      <c r="C22" s="31" t="s">
        <v>6</v>
      </c>
      <c r="D22" s="34">
        <f>'ECONOMIA &amp; PROFESIONES'!$N$25</f>
        <v>6852</v>
      </c>
      <c r="E22" s="53">
        <f t="shared" si="5"/>
        <v>0</v>
      </c>
      <c r="F22" s="95" t="s">
        <v>202</v>
      </c>
      <c r="G22" s="99">
        <v>0</v>
      </c>
      <c r="H22" s="92">
        <f t="shared" si="6"/>
        <v>0</v>
      </c>
      <c r="I22" s="95" t="s">
        <v>202</v>
      </c>
      <c r="J22" s="99">
        <v>0</v>
      </c>
      <c r="K22" s="92">
        <f t="shared" si="7"/>
        <v>0</v>
      </c>
      <c r="L22" s="95" t="s">
        <v>202</v>
      </c>
      <c r="M22" s="99">
        <v>0</v>
      </c>
      <c r="N22" s="92">
        <f t="shared" si="0"/>
        <v>0</v>
      </c>
      <c r="O22" s="95" t="s">
        <v>202</v>
      </c>
      <c r="P22" s="99">
        <v>0</v>
      </c>
      <c r="Q22" s="92">
        <f t="shared" si="1"/>
        <v>0</v>
      </c>
      <c r="R22" s="95" t="s">
        <v>202</v>
      </c>
      <c r="S22" s="99">
        <v>0</v>
      </c>
      <c r="T22" s="92">
        <f t="shared" si="2"/>
        <v>0</v>
      </c>
      <c r="U22" s="95" t="s">
        <v>202</v>
      </c>
      <c r="V22" s="99">
        <v>0</v>
      </c>
      <c r="W22" s="92">
        <f t="shared" si="3"/>
        <v>0</v>
      </c>
      <c r="X22" s="95" t="s">
        <v>202</v>
      </c>
      <c r="Y22" s="99">
        <v>0</v>
      </c>
      <c r="Z22" s="92">
        <f t="shared" si="4"/>
        <v>0</v>
      </c>
    </row>
    <row r="23" spans="1:26">
      <c r="A23" s="231"/>
      <c r="B23" s="235"/>
      <c r="C23" s="32" t="s">
        <v>113</v>
      </c>
      <c r="D23" s="34">
        <f>'ECONOMIA &amp; PROFESIONES'!$N$26</f>
        <v>7380</v>
      </c>
      <c r="E23" s="53">
        <f t="shared" si="5"/>
        <v>0</v>
      </c>
      <c r="F23" s="95" t="s">
        <v>202</v>
      </c>
      <c r="G23" s="99">
        <v>0</v>
      </c>
      <c r="H23" s="92">
        <f t="shared" si="6"/>
        <v>0</v>
      </c>
      <c r="I23" s="95" t="s">
        <v>202</v>
      </c>
      <c r="J23" s="99">
        <v>0</v>
      </c>
      <c r="K23" s="92">
        <f t="shared" si="7"/>
        <v>0</v>
      </c>
      <c r="L23" s="95" t="s">
        <v>202</v>
      </c>
      <c r="M23" s="99">
        <v>0</v>
      </c>
      <c r="N23" s="92">
        <f t="shared" si="0"/>
        <v>0</v>
      </c>
      <c r="O23" s="95" t="s">
        <v>202</v>
      </c>
      <c r="P23" s="99">
        <v>0</v>
      </c>
      <c r="Q23" s="92">
        <f t="shared" si="1"/>
        <v>0</v>
      </c>
      <c r="R23" s="95" t="s">
        <v>202</v>
      </c>
      <c r="S23" s="99">
        <v>0</v>
      </c>
      <c r="T23" s="92">
        <f t="shared" si="2"/>
        <v>0</v>
      </c>
      <c r="U23" s="95" t="s">
        <v>202</v>
      </c>
      <c r="V23" s="99">
        <v>0</v>
      </c>
      <c r="W23" s="92">
        <f t="shared" si="3"/>
        <v>0</v>
      </c>
      <c r="X23" s="95" t="s">
        <v>202</v>
      </c>
      <c r="Y23" s="99">
        <v>0</v>
      </c>
      <c r="Z23" s="92">
        <f t="shared" si="4"/>
        <v>0</v>
      </c>
    </row>
    <row r="24" spans="1:26">
      <c r="A24" s="231"/>
      <c r="B24" s="235"/>
      <c r="C24" s="31" t="s">
        <v>114</v>
      </c>
      <c r="D24" s="34">
        <f>'ECONOMIA &amp; PROFESIONES'!$N$27</f>
        <v>7908</v>
      </c>
      <c r="E24" s="53">
        <f t="shared" si="5"/>
        <v>0</v>
      </c>
      <c r="F24" s="95" t="s">
        <v>202</v>
      </c>
      <c r="G24" s="99">
        <v>0</v>
      </c>
      <c r="H24" s="92">
        <f t="shared" si="6"/>
        <v>0</v>
      </c>
      <c r="I24" s="95" t="s">
        <v>202</v>
      </c>
      <c r="J24" s="99">
        <v>0</v>
      </c>
      <c r="K24" s="92">
        <f t="shared" si="7"/>
        <v>0</v>
      </c>
      <c r="L24" s="95" t="s">
        <v>202</v>
      </c>
      <c r="M24" s="99">
        <v>0</v>
      </c>
      <c r="N24" s="92">
        <f t="shared" si="0"/>
        <v>0</v>
      </c>
      <c r="O24" s="95" t="s">
        <v>202</v>
      </c>
      <c r="P24" s="99">
        <v>0</v>
      </c>
      <c r="Q24" s="92">
        <f t="shared" si="1"/>
        <v>0</v>
      </c>
      <c r="R24" s="95" t="s">
        <v>202</v>
      </c>
      <c r="S24" s="99">
        <v>0</v>
      </c>
      <c r="T24" s="92">
        <f t="shared" si="2"/>
        <v>0</v>
      </c>
      <c r="U24" s="95" t="s">
        <v>202</v>
      </c>
      <c r="V24" s="99">
        <v>0</v>
      </c>
      <c r="W24" s="92">
        <f t="shared" si="3"/>
        <v>0</v>
      </c>
      <c r="X24" s="95" t="s">
        <v>202</v>
      </c>
      <c r="Y24" s="99">
        <v>0</v>
      </c>
      <c r="Z24" s="92">
        <f t="shared" si="4"/>
        <v>0</v>
      </c>
    </row>
    <row r="25" spans="1:26">
      <c r="A25" s="231"/>
      <c r="B25" s="235"/>
      <c r="C25" s="32" t="s">
        <v>115</v>
      </c>
      <c r="D25" s="34">
        <f>'ECONOMIA &amp; PROFESIONES'!$N$28</f>
        <v>7732</v>
      </c>
      <c r="E25" s="53">
        <f t="shared" si="5"/>
        <v>0</v>
      </c>
      <c r="F25" s="95" t="s">
        <v>202</v>
      </c>
      <c r="G25" s="99">
        <v>0</v>
      </c>
      <c r="H25" s="92">
        <f t="shared" si="6"/>
        <v>0</v>
      </c>
      <c r="I25" s="95" t="s">
        <v>202</v>
      </c>
      <c r="J25" s="99">
        <v>0</v>
      </c>
      <c r="K25" s="92">
        <f t="shared" si="7"/>
        <v>0</v>
      </c>
      <c r="L25" s="95" t="s">
        <v>202</v>
      </c>
      <c r="M25" s="99">
        <v>0</v>
      </c>
      <c r="N25" s="92">
        <f t="shared" si="0"/>
        <v>0</v>
      </c>
      <c r="O25" s="95" t="s">
        <v>202</v>
      </c>
      <c r="P25" s="99">
        <v>0</v>
      </c>
      <c r="Q25" s="92">
        <f t="shared" si="1"/>
        <v>0</v>
      </c>
      <c r="R25" s="95" t="s">
        <v>202</v>
      </c>
      <c r="S25" s="99">
        <v>0</v>
      </c>
      <c r="T25" s="92">
        <f t="shared" si="2"/>
        <v>0</v>
      </c>
      <c r="U25" s="95" t="s">
        <v>202</v>
      </c>
      <c r="V25" s="99">
        <v>0</v>
      </c>
      <c r="W25" s="92">
        <f t="shared" si="3"/>
        <v>0</v>
      </c>
      <c r="X25" s="95" t="s">
        <v>202</v>
      </c>
      <c r="Y25" s="99">
        <v>0</v>
      </c>
      <c r="Z25" s="92">
        <f t="shared" si="4"/>
        <v>0</v>
      </c>
    </row>
    <row r="26" spans="1:26">
      <c r="A26" s="231"/>
      <c r="B26" s="235"/>
      <c r="C26" s="31" t="s">
        <v>116</v>
      </c>
      <c r="D26" s="34">
        <f>'ECONOMIA &amp; PROFESIONES'!$N$29</f>
        <v>7204</v>
      </c>
      <c r="E26" s="53">
        <f t="shared" si="5"/>
        <v>0</v>
      </c>
      <c r="F26" s="95" t="s">
        <v>202</v>
      </c>
      <c r="G26" s="99">
        <v>0</v>
      </c>
      <c r="H26" s="92">
        <f t="shared" si="6"/>
        <v>0</v>
      </c>
      <c r="I26" s="95" t="s">
        <v>202</v>
      </c>
      <c r="J26" s="99">
        <v>0</v>
      </c>
      <c r="K26" s="92">
        <f t="shared" si="7"/>
        <v>0</v>
      </c>
      <c r="L26" s="95" t="s">
        <v>202</v>
      </c>
      <c r="M26" s="99">
        <v>0</v>
      </c>
      <c r="N26" s="92">
        <f t="shared" si="0"/>
        <v>0</v>
      </c>
      <c r="O26" s="95" t="s">
        <v>202</v>
      </c>
      <c r="P26" s="99">
        <v>0</v>
      </c>
      <c r="Q26" s="92">
        <f t="shared" si="1"/>
        <v>0</v>
      </c>
      <c r="R26" s="95" t="s">
        <v>202</v>
      </c>
      <c r="S26" s="99">
        <v>0</v>
      </c>
      <c r="T26" s="92">
        <f t="shared" si="2"/>
        <v>0</v>
      </c>
      <c r="U26" s="95" t="s">
        <v>202</v>
      </c>
      <c r="V26" s="99">
        <v>0</v>
      </c>
      <c r="W26" s="92">
        <f t="shared" si="3"/>
        <v>0</v>
      </c>
      <c r="X26" s="95" t="s">
        <v>202</v>
      </c>
      <c r="Y26" s="99">
        <v>0</v>
      </c>
      <c r="Z26" s="92">
        <f t="shared" si="4"/>
        <v>0</v>
      </c>
    </row>
    <row r="27" spans="1:26">
      <c r="A27" s="231" t="s">
        <v>376</v>
      </c>
      <c r="B27" s="81"/>
      <c r="C27" s="81"/>
      <c r="D27" s="108"/>
      <c r="E27" s="98" t="s">
        <v>277</v>
      </c>
      <c r="F27" s="98" t="s">
        <v>278</v>
      </c>
      <c r="G27" s="98" t="s">
        <v>355</v>
      </c>
      <c r="H27" s="98" t="s">
        <v>194</v>
      </c>
      <c r="I27" s="98" t="s">
        <v>279</v>
      </c>
      <c r="J27" s="98" t="s">
        <v>355</v>
      </c>
      <c r="K27" s="98" t="s">
        <v>194</v>
      </c>
      <c r="L27" s="98" t="s">
        <v>295</v>
      </c>
      <c r="M27" s="98" t="s">
        <v>355</v>
      </c>
      <c r="N27" s="98" t="s">
        <v>194</v>
      </c>
      <c r="O27" s="98" t="s">
        <v>348</v>
      </c>
      <c r="P27" s="98" t="s">
        <v>355</v>
      </c>
      <c r="Q27" s="98" t="s">
        <v>194</v>
      </c>
      <c r="R27" s="98" t="s">
        <v>349</v>
      </c>
      <c r="S27" s="98" t="s">
        <v>355</v>
      </c>
      <c r="T27" s="98" t="s">
        <v>194</v>
      </c>
      <c r="U27" s="98" t="s">
        <v>350</v>
      </c>
      <c r="V27" s="98" t="s">
        <v>355</v>
      </c>
      <c r="W27" s="98" t="s">
        <v>194</v>
      </c>
      <c r="X27" s="98" t="s">
        <v>351</v>
      </c>
      <c r="Y27" s="98" t="s">
        <v>355</v>
      </c>
      <c r="Z27" s="98" t="s">
        <v>194</v>
      </c>
    </row>
    <row r="28" spans="1:26">
      <c r="A28" s="231"/>
      <c r="B28" s="240" t="s">
        <v>286</v>
      </c>
      <c r="C28" s="31" t="s">
        <v>6</v>
      </c>
      <c r="D28" s="35">
        <f>'ECONOMIA &amp; PROFESIONES'!$O$5</f>
        <v>506</v>
      </c>
      <c r="E28" s="53" t="e">
        <f>(H28*G28)+(K28*J28)+(M28*N28)+(P28*Q28)+(S28*T28)+(V28*W28)+(Y28*Z28)</f>
        <v>#NAME?</v>
      </c>
      <c r="F28" s="95" t="s">
        <v>364</v>
      </c>
      <c r="G28" s="99">
        <v>2</v>
      </c>
      <c r="H28" s="92" t="e">
        <f t="shared" ref="H28:H52" si="8">VLOOKUP(F28,craftedesp,3,FALSE)</f>
        <v>#NAME?</v>
      </c>
      <c r="I28" s="95" t="s">
        <v>290</v>
      </c>
      <c r="J28" s="99">
        <v>2</v>
      </c>
      <c r="K28" s="92" t="e">
        <f t="shared" ref="K28:K52" si="9">VLOOKUP(I28,craftedesp,3,FALSE)</f>
        <v>#NAME?</v>
      </c>
      <c r="L28" s="95" t="s">
        <v>202</v>
      </c>
      <c r="M28" s="99">
        <v>0</v>
      </c>
      <c r="N28" s="92">
        <f t="shared" ref="N28:N52" si="10">VLOOKUP(L28,craftedesp,3,FALSE)</f>
        <v>0</v>
      </c>
      <c r="O28" s="95" t="s">
        <v>202</v>
      </c>
      <c r="P28" s="99">
        <v>0</v>
      </c>
      <c r="Q28" s="92">
        <f t="shared" ref="Q28:Q52" si="11">VLOOKUP(O28,craftedesp,3,FALSE)</f>
        <v>0</v>
      </c>
      <c r="R28" s="95" t="s">
        <v>202</v>
      </c>
      <c r="S28" s="99">
        <v>0</v>
      </c>
      <c r="T28" s="92">
        <f t="shared" ref="T28:T52" si="12">VLOOKUP(R28,craftedesp,3,FALSE)</f>
        <v>0</v>
      </c>
      <c r="U28" s="95" t="s">
        <v>202</v>
      </c>
      <c r="V28" s="99">
        <v>0</v>
      </c>
      <c r="W28" s="92">
        <f t="shared" ref="W28:W52" si="13">VLOOKUP(U28,craftedesp,3,FALSE)</f>
        <v>0</v>
      </c>
      <c r="X28" s="95" t="s">
        <v>202</v>
      </c>
      <c r="Y28" s="99">
        <v>0</v>
      </c>
      <c r="Z28" s="92">
        <f t="shared" ref="Z28:Z52" si="14">VLOOKUP(X28,craftedesp,3,FALSE)</f>
        <v>0</v>
      </c>
    </row>
    <row r="29" spans="1:26">
      <c r="A29" s="231"/>
      <c r="B29" s="241"/>
      <c r="C29" s="32" t="s">
        <v>113</v>
      </c>
      <c r="D29" s="35">
        <f>'ECONOMIA &amp; PROFESIONES'!$O$6</f>
        <v>515</v>
      </c>
      <c r="E29" s="53" t="e">
        <f t="shared" ref="E29:E52" si="15">(H29*G29)+(K29*J29)+(M29*N29)+(P29*Q29)+(S29*T29)+(V29*W29)+(Y29*Z29)</f>
        <v>#NAME?</v>
      </c>
      <c r="F29" s="95" t="s">
        <v>368</v>
      </c>
      <c r="G29" s="99">
        <v>1</v>
      </c>
      <c r="H29" s="92" t="e">
        <f t="shared" si="8"/>
        <v>#NAME?</v>
      </c>
      <c r="I29" s="95" t="s">
        <v>375</v>
      </c>
      <c r="J29" s="99">
        <v>2</v>
      </c>
      <c r="K29" s="92" t="e">
        <f t="shared" si="9"/>
        <v>#NAME?</v>
      </c>
      <c r="L29" s="95" t="s">
        <v>202</v>
      </c>
      <c r="M29" s="99">
        <v>0</v>
      </c>
      <c r="N29" s="92">
        <f t="shared" si="10"/>
        <v>0</v>
      </c>
      <c r="O29" s="95" t="s">
        <v>202</v>
      </c>
      <c r="P29" s="99">
        <v>0</v>
      </c>
      <c r="Q29" s="92">
        <f t="shared" si="11"/>
        <v>0</v>
      </c>
      <c r="R29" s="95" t="s">
        <v>202</v>
      </c>
      <c r="S29" s="99">
        <v>0</v>
      </c>
      <c r="T29" s="92">
        <f t="shared" si="12"/>
        <v>0</v>
      </c>
      <c r="U29" s="95" t="s">
        <v>202</v>
      </c>
      <c r="V29" s="99">
        <v>0</v>
      </c>
      <c r="W29" s="92">
        <f t="shared" si="13"/>
        <v>0</v>
      </c>
      <c r="X29" s="95" t="s">
        <v>202</v>
      </c>
      <c r="Y29" s="99">
        <v>0</v>
      </c>
      <c r="Z29" s="92">
        <f t="shared" si="14"/>
        <v>0</v>
      </c>
    </row>
    <row r="30" spans="1:26">
      <c r="A30" s="231"/>
      <c r="B30" s="241"/>
      <c r="C30" s="31" t="s">
        <v>114</v>
      </c>
      <c r="D30" s="35">
        <f>'ECONOMIA &amp; PROFESIONES'!$O$7</f>
        <v>524</v>
      </c>
      <c r="E30" s="53" t="e">
        <f t="shared" si="15"/>
        <v>#NAME?</v>
      </c>
      <c r="F30" s="95" t="s">
        <v>368</v>
      </c>
      <c r="G30" s="99">
        <v>2</v>
      </c>
      <c r="H30" s="92" t="e">
        <f t="shared" si="8"/>
        <v>#NAME?</v>
      </c>
      <c r="I30" s="95" t="s">
        <v>375</v>
      </c>
      <c r="J30" s="99">
        <v>2</v>
      </c>
      <c r="K30" s="92" t="e">
        <f t="shared" si="9"/>
        <v>#NAME?</v>
      </c>
      <c r="L30" s="95" t="s">
        <v>202</v>
      </c>
      <c r="M30" s="99">
        <v>0</v>
      </c>
      <c r="N30" s="92">
        <f t="shared" si="10"/>
        <v>0</v>
      </c>
      <c r="O30" s="95" t="s">
        <v>202</v>
      </c>
      <c r="P30" s="99">
        <v>0</v>
      </c>
      <c r="Q30" s="92">
        <f t="shared" si="11"/>
        <v>0</v>
      </c>
      <c r="R30" s="95" t="s">
        <v>202</v>
      </c>
      <c r="S30" s="99">
        <v>0</v>
      </c>
      <c r="T30" s="92">
        <f t="shared" si="12"/>
        <v>0</v>
      </c>
      <c r="U30" s="95" t="s">
        <v>202</v>
      </c>
      <c r="V30" s="99">
        <v>0</v>
      </c>
      <c r="W30" s="92">
        <f t="shared" si="13"/>
        <v>0</v>
      </c>
      <c r="X30" s="95" t="s">
        <v>202</v>
      </c>
      <c r="Y30" s="99">
        <v>0</v>
      </c>
      <c r="Z30" s="92">
        <f t="shared" si="14"/>
        <v>0</v>
      </c>
    </row>
    <row r="31" spans="1:26">
      <c r="A31" s="231"/>
      <c r="B31" s="241"/>
      <c r="C31" s="32" t="s">
        <v>115</v>
      </c>
      <c r="D31" s="35">
        <f>'ECONOMIA &amp; PROFESIONES'!$O$8</f>
        <v>521</v>
      </c>
      <c r="E31" s="53" t="e">
        <f t="shared" si="15"/>
        <v>#NAME?</v>
      </c>
      <c r="F31" s="95" t="s">
        <v>368</v>
      </c>
      <c r="G31" s="99">
        <v>1</v>
      </c>
      <c r="H31" s="92" t="e">
        <f t="shared" si="8"/>
        <v>#NAME?</v>
      </c>
      <c r="I31" s="95" t="s">
        <v>375</v>
      </c>
      <c r="J31" s="99">
        <v>3</v>
      </c>
      <c r="K31" s="92" t="e">
        <f t="shared" si="9"/>
        <v>#NAME?</v>
      </c>
      <c r="L31" s="95" t="s">
        <v>202</v>
      </c>
      <c r="M31" s="99">
        <v>0</v>
      </c>
      <c r="N31" s="92">
        <f t="shared" si="10"/>
        <v>0</v>
      </c>
      <c r="O31" s="95" t="s">
        <v>202</v>
      </c>
      <c r="P31" s="99">
        <v>0</v>
      </c>
      <c r="Q31" s="92">
        <f t="shared" si="11"/>
        <v>0</v>
      </c>
      <c r="R31" s="95" t="s">
        <v>202</v>
      </c>
      <c r="S31" s="99">
        <v>0</v>
      </c>
      <c r="T31" s="92">
        <f t="shared" si="12"/>
        <v>0</v>
      </c>
      <c r="U31" s="95" t="s">
        <v>202</v>
      </c>
      <c r="V31" s="99">
        <v>0</v>
      </c>
      <c r="W31" s="92">
        <f t="shared" si="13"/>
        <v>0</v>
      </c>
      <c r="X31" s="95" t="s">
        <v>202</v>
      </c>
      <c r="Y31" s="99">
        <v>0</v>
      </c>
      <c r="Z31" s="92">
        <f t="shared" si="14"/>
        <v>0</v>
      </c>
    </row>
    <row r="32" spans="1:26">
      <c r="A32" s="231"/>
      <c r="B32" s="242"/>
      <c r="C32" s="31" t="s">
        <v>116</v>
      </c>
      <c r="D32" s="35">
        <f>'ECONOMIA &amp; PROFESIONES'!$O$9</f>
        <v>512</v>
      </c>
      <c r="E32" s="53" t="e">
        <f t="shared" si="15"/>
        <v>#NAME?</v>
      </c>
      <c r="F32" s="95" t="s">
        <v>368</v>
      </c>
      <c r="G32" s="99">
        <v>1</v>
      </c>
      <c r="H32" s="92" t="e">
        <f t="shared" si="8"/>
        <v>#NAME?</v>
      </c>
      <c r="I32" s="95" t="s">
        <v>375</v>
      </c>
      <c r="J32" s="99">
        <v>1</v>
      </c>
      <c r="K32" s="92" t="e">
        <f t="shared" si="9"/>
        <v>#NAME?</v>
      </c>
      <c r="L32" s="95" t="s">
        <v>202</v>
      </c>
      <c r="M32" s="99">
        <v>0</v>
      </c>
      <c r="N32" s="92">
        <f t="shared" si="10"/>
        <v>0</v>
      </c>
      <c r="O32" s="95" t="s">
        <v>202</v>
      </c>
      <c r="P32" s="99">
        <v>0</v>
      </c>
      <c r="Q32" s="92">
        <f t="shared" si="11"/>
        <v>0</v>
      </c>
      <c r="R32" s="95" t="s">
        <v>202</v>
      </c>
      <c r="S32" s="99">
        <v>0</v>
      </c>
      <c r="T32" s="92">
        <f t="shared" si="12"/>
        <v>0</v>
      </c>
      <c r="U32" s="95" t="s">
        <v>202</v>
      </c>
      <c r="V32" s="99">
        <v>0</v>
      </c>
      <c r="W32" s="92">
        <f t="shared" si="13"/>
        <v>0</v>
      </c>
      <c r="X32" s="95" t="s">
        <v>202</v>
      </c>
      <c r="Y32" s="99">
        <v>0</v>
      </c>
      <c r="Z32" s="92">
        <f t="shared" si="14"/>
        <v>0</v>
      </c>
    </row>
    <row r="33" spans="1:26">
      <c r="A33" s="231"/>
      <c r="B33" s="232" t="s">
        <v>287</v>
      </c>
      <c r="C33" s="32" t="s">
        <v>6</v>
      </c>
      <c r="D33" s="35">
        <f>'ECONOMIA &amp; PROFESIONES'!$O$10</f>
        <v>2056</v>
      </c>
      <c r="E33" s="53">
        <f t="shared" si="15"/>
        <v>0</v>
      </c>
      <c r="F33" s="95" t="s">
        <v>202</v>
      </c>
      <c r="G33" s="99">
        <v>0</v>
      </c>
      <c r="H33" s="92">
        <f t="shared" si="8"/>
        <v>0</v>
      </c>
      <c r="I33" s="95" t="s">
        <v>202</v>
      </c>
      <c r="J33" s="99">
        <v>0</v>
      </c>
      <c r="K33" s="92">
        <f t="shared" si="9"/>
        <v>0</v>
      </c>
      <c r="L33" s="95" t="s">
        <v>202</v>
      </c>
      <c r="M33" s="99">
        <v>0</v>
      </c>
      <c r="N33" s="92">
        <f t="shared" si="10"/>
        <v>0</v>
      </c>
      <c r="O33" s="95" t="s">
        <v>202</v>
      </c>
      <c r="P33" s="99">
        <v>0</v>
      </c>
      <c r="Q33" s="92">
        <f t="shared" si="11"/>
        <v>0</v>
      </c>
      <c r="R33" s="95" t="s">
        <v>202</v>
      </c>
      <c r="S33" s="99">
        <v>0</v>
      </c>
      <c r="T33" s="92">
        <f t="shared" si="12"/>
        <v>0</v>
      </c>
      <c r="U33" s="95" t="s">
        <v>202</v>
      </c>
      <c r="V33" s="99">
        <v>0</v>
      </c>
      <c r="W33" s="92">
        <f t="shared" si="13"/>
        <v>0</v>
      </c>
      <c r="X33" s="95" t="s">
        <v>202</v>
      </c>
      <c r="Y33" s="99">
        <v>0</v>
      </c>
      <c r="Z33" s="92">
        <f t="shared" si="14"/>
        <v>0</v>
      </c>
    </row>
    <row r="34" spans="1:26">
      <c r="A34" s="231"/>
      <c r="B34" s="233"/>
      <c r="C34" s="31" t="s">
        <v>113</v>
      </c>
      <c r="D34" s="35">
        <f>'ECONOMIA &amp; PROFESIONES'!$O$11</f>
        <v>2140</v>
      </c>
      <c r="E34" s="53">
        <f t="shared" si="15"/>
        <v>0</v>
      </c>
      <c r="F34" s="95" t="s">
        <v>202</v>
      </c>
      <c r="G34" s="99">
        <v>0</v>
      </c>
      <c r="H34" s="92">
        <f t="shared" si="8"/>
        <v>0</v>
      </c>
      <c r="I34" s="95" t="s">
        <v>202</v>
      </c>
      <c r="J34" s="99">
        <v>0</v>
      </c>
      <c r="K34" s="92">
        <f t="shared" si="9"/>
        <v>0</v>
      </c>
      <c r="L34" s="95" t="s">
        <v>202</v>
      </c>
      <c r="M34" s="99">
        <v>0</v>
      </c>
      <c r="N34" s="92">
        <f t="shared" si="10"/>
        <v>0</v>
      </c>
      <c r="O34" s="95" t="s">
        <v>202</v>
      </c>
      <c r="P34" s="99">
        <v>0</v>
      </c>
      <c r="Q34" s="92">
        <f t="shared" si="11"/>
        <v>0</v>
      </c>
      <c r="R34" s="95" t="s">
        <v>202</v>
      </c>
      <c r="S34" s="99">
        <v>0</v>
      </c>
      <c r="T34" s="92">
        <f t="shared" si="12"/>
        <v>0</v>
      </c>
      <c r="U34" s="95" t="s">
        <v>202</v>
      </c>
      <c r="V34" s="99">
        <v>0</v>
      </c>
      <c r="W34" s="92">
        <f t="shared" si="13"/>
        <v>0</v>
      </c>
      <c r="X34" s="95" t="s">
        <v>202</v>
      </c>
      <c r="Y34" s="99">
        <v>0</v>
      </c>
      <c r="Z34" s="92">
        <f t="shared" si="14"/>
        <v>0</v>
      </c>
    </row>
    <row r="35" spans="1:26">
      <c r="A35" s="231"/>
      <c r="B35" s="233"/>
      <c r="C35" s="32" t="s">
        <v>114</v>
      </c>
      <c r="D35" s="35">
        <f>'ECONOMIA &amp; PROFESIONES'!$O$12</f>
        <v>2224</v>
      </c>
      <c r="E35" s="53">
        <f t="shared" si="15"/>
        <v>0</v>
      </c>
      <c r="F35" s="95" t="s">
        <v>202</v>
      </c>
      <c r="G35" s="99">
        <v>0</v>
      </c>
      <c r="H35" s="92">
        <f t="shared" si="8"/>
        <v>0</v>
      </c>
      <c r="I35" s="95" t="s">
        <v>202</v>
      </c>
      <c r="J35" s="99">
        <v>0</v>
      </c>
      <c r="K35" s="92">
        <f t="shared" si="9"/>
        <v>0</v>
      </c>
      <c r="L35" s="95" t="s">
        <v>202</v>
      </c>
      <c r="M35" s="99">
        <v>0</v>
      </c>
      <c r="N35" s="92">
        <f t="shared" si="10"/>
        <v>0</v>
      </c>
      <c r="O35" s="95" t="s">
        <v>202</v>
      </c>
      <c r="P35" s="99">
        <v>0</v>
      </c>
      <c r="Q35" s="92">
        <f t="shared" si="11"/>
        <v>0</v>
      </c>
      <c r="R35" s="95" t="s">
        <v>202</v>
      </c>
      <c r="S35" s="99">
        <v>0</v>
      </c>
      <c r="T35" s="92">
        <f t="shared" si="12"/>
        <v>0</v>
      </c>
      <c r="U35" s="95" t="s">
        <v>202</v>
      </c>
      <c r="V35" s="99">
        <v>0</v>
      </c>
      <c r="W35" s="92">
        <f t="shared" si="13"/>
        <v>0</v>
      </c>
      <c r="X35" s="95" t="s">
        <v>202</v>
      </c>
      <c r="Y35" s="99">
        <v>0</v>
      </c>
      <c r="Z35" s="92">
        <f t="shared" si="14"/>
        <v>0</v>
      </c>
    </row>
    <row r="36" spans="1:26">
      <c r="A36" s="231"/>
      <c r="B36" s="233"/>
      <c r="C36" s="31" t="s">
        <v>115</v>
      </c>
      <c r="D36" s="35">
        <f>'ECONOMIA &amp; PROFESIONES'!$O$13</f>
        <v>2196</v>
      </c>
      <c r="E36" s="53">
        <f t="shared" si="15"/>
        <v>0</v>
      </c>
      <c r="F36" s="95" t="s">
        <v>202</v>
      </c>
      <c r="G36" s="99">
        <v>0</v>
      </c>
      <c r="H36" s="92">
        <f t="shared" si="8"/>
        <v>0</v>
      </c>
      <c r="I36" s="95" t="s">
        <v>202</v>
      </c>
      <c r="J36" s="99">
        <v>0</v>
      </c>
      <c r="K36" s="92">
        <f t="shared" si="9"/>
        <v>0</v>
      </c>
      <c r="L36" s="95" t="s">
        <v>202</v>
      </c>
      <c r="M36" s="99">
        <v>0</v>
      </c>
      <c r="N36" s="92">
        <f t="shared" si="10"/>
        <v>0</v>
      </c>
      <c r="O36" s="95" t="s">
        <v>202</v>
      </c>
      <c r="P36" s="99">
        <v>0</v>
      </c>
      <c r="Q36" s="92">
        <f t="shared" si="11"/>
        <v>0</v>
      </c>
      <c r="R36" s="95" t="s">
        <v>202</v>
      </c>
      <c r="S36" s="99">
        <v>0</v>
      </c>
      <c r="T36" s="92">
        <f t="shared" si="12"/>
        <v>0</v>
      </c>
      <c r="U36" s="95" t="s">
        <v>202</v>
      </c>
      <c r="V36" s="99">
        <v>0</v>
      </c>
      <c r="W36" s="92">
        <f t="shared" si="13"/>
        <v>0</v>
      </c>
      <c r="X36" s="95" t="s">
        <v>202</v>
      </c>
      <c r="Y36" s="99">
        <v>0</v>
      </c>
      <c r="Z36" s="92">
        <f t="shared" si="14"/>
        <v>0</v>
      </c>
    </row>
    <row r="37" spans="1:26">
      <c r="A37" s="231"/>
      <c r="B37" s="234"/>
      <c r="C37" s="32" t="s">
        <v>116</v>
      </c>
      <c r="D37" s="35">
        <f>'ECONOMIA &amp; PROFESIONES'!$O$14</f>
        <v>2112</v>
      </c>
      <c r="E37" s="53">
        <f t="shared" si="15"/>
        <v>0</v>
      </c>
      <c r="F37" s="95" t="s">
        <v>202</v>
      </c>
      <c r="G37" s="99">
        <v>0</v>
      </c>
      <c r="H37" s="92">
        <f t="shared" si="8"/>
        <v>0</v>
      </c>
      <c r="I37" s="95" t="s">
        <v>202</v>
      </c>
      <c r="J37" s="99">
        <v>0</v>
      </c>
      <c r="K37" s="92">
        <f t="shared" si="9"/>
        <v>0</v>
      </c>
      <c r="L37" s="95" t="s">
        <v>202</v>
      </c>
      <c r="M37" s="99">
        <v>0</v>
      </c>
      <c r="N37" s="92">
        <f t="shared" si="10"/>
        <v>0</v>
      </c>
      <c r="O37" s="95" t="s">
        <v>202</v>
      </c>
      <c r="P37" s="99">
        <v>0</v>
      </c>
      <c r="Q37" s="92">
        <f t="shared" si="11"/>
        <v>0</v>
      </c>
      <c r="R37" s="95" t="s">
        <v>202</v>
      </c>
      <c r="S37" s="99">
        <v>0</v>
      </c>
      <c r="T37" s="92">
        <f t="shared" si="12"/>
        <v>0</v>
      </c>
      <c r="U37" s="95" t="s">
        <v>202</v>
      </c>
      <c r="V37" s="99">
        <v>0</v>
      </c>
      <c r="W37" s="92">
        <f t="shared" si="13"/>
        <v>0</v>
      </c>
      <c r="X37" s="95" t="s">
        <v>202</v>
      </c>
      <c r="Y37" s="99">
        <v>0</v>
      </c>
      <c r="Z37" s="92">
        <f t="shared" si="14"/>
        <v>0</v>
      </c>
    </row>
    <row r="38" spans="1:26">
      <c r="A38" s="231"/>
      <c r="B38" s="235" t="s">
        <v>353</v>
      </c>
      <c r="C38" s="31" t="s">
        <v>6</v>
      </c>
      <c r="D38" s="35">
        <f>'ECONOMIA &amp; PROFESIONES'!$O$15</f>
        <v>3656</v>
      </c>
      <c r="E38" s="53">
        <f t="shared" si="15"/>
        <v>0</v>
      </c>
      <c r="F38" s="95" t="s">
        <v>202</v>
      </c>
      <c r="G38" s="99">
        <v>0</v>
      </c>
      <c r="H38" s="92">
        <f t="shared" si="8"/>
        <v>0</v>
      </c>
      <c r="I38" s="95" t="s">
        <v>202</v>
      </c>
      <c r="J38" s="99">
        <v>0</v>
      </c>
      <c r="K38" s="92">
        <f t="shared" si="9"/>
        <v>0</v>
      </c>
      <c r="L38" s="95" t="s">
        <v>202</v>
      </c>
      <c r="M38" s="99">
        <v>0</v>
      </c>
      <c r="N38" s="92">
        <f t="shared" si="10"/>
        <v>0</v>
      </c>
      <c r="O38" s="95" t="s">
        <v>202</v>
      </c>
      <c r="P38" s="99">
        <v>0</v>
      </c>
      <c r="Q38" s="92">
        <f t="shared" si="11"/>
        <v>0</v>
      </c>
      <c r="R38" s="95" t="s">
        <v>202</v>
      </c>
      <c r="S38" s="99">
        <v>0</v>
      </c>
      <c r="T38" s="92">
        <f t="shared" si="12"/>
        <v>0</v>
      </c>
      <c r="U38" s="95" t="s">
        <v>202</v>
      </c>
      <c r="V38" s="99">
        <v>0</v>
      </c>
      <c r="W38" s="92">
        <f t="shared" si="13"/>
        <v>0</v>
      </c>
      <c r="X38" s="95" t="s">
        <v>202</v>
      </c>
      <c r="Y38" s="99">
        <v>0</v>
      </c>
      <c r="Z38" s="92">
        <f t="shared" si="14"/>
        <v>0</v>
      </c>
    </row>
    <row r="39" spans="1:26">
      <c r="A39" s="231"/>
      <c r="B39" s="236"/>
      <c r="C39" s="32" t="s">
        <v>113</v>
      </c>
      <c r="D39" s="35">
        <f>'ECONOMIA &amp; PROFESIONES'!$O$16</f>
        <v>3890</v>
      </c>
      <c r="E39" s="53">
        <f t="shared" si="15"/>
        <v>0</v>
      </c>
      <c r="F39" s="95" t="s">
        <v>202</v>
      </c>
      <c r="G39" s="99">
        <v>0</v>
      </c>
      <c r="H39" s="92">
        <f t="shared" si="8"/>
        <v>0</v>
      </c>
      <c r="I39" s="95" t="s">
        <v>202</v>
      </c>
      <c r="J39" s="99">
        <v>0</v>
      </c>
      <c r="K39" s="92">
        <f t="shared" si="9"/>
        <v>0</v>
      </c>
      <c r="L39" s="95" t="s">
        <v>202</v>
      </c>
      <c r="M39" s="99">
        <v>0</v>
      </c>
      <c r="N39" s="92">
        <f t="shared" si="10"/>
        <v>0</v>
      </c>
      <c r="O39" s="95" t="s">
        <v>202</v>
      </c>
      <c r="P39" s="99">
        <v>0</v>
      </c>
      <c r="Q39" s="92">
        <f t="shared" si="11"/>
        <v>0</v>
      </c>
      <c r="R39" s="95" t="s">
        <v>202</v>
      </c>
      <c r="S39" s="99">
        <v>0</v>
      </c>
      <c r="T39" s="92">
        <f t="shared" si="12"/>
        <v>0</v>
      </c>
      <c r="U39" s="95" t="s">
        <v>202</v>
      </c>
      <c r="V39" s="99">
        <v>0</v>
      </c>
      <c r="W39" s="92">
        <f t="shared" si="13"/>
        <v>0</v>
      </c>
      <c r="X39" s="95" t="s">
        <v>202</v>
      </c>
      <c r="Y39" s="99">
        <v>0</v>
      </c>
      <c r="Z39" s="92">
        <f t="shared" si="14"/>
        <v>0</v>
      </c>
    </row>
    <row r="40" spans="1:26">
      <c r="A40" s="231"/>
      <c r="B40" s="236"/>
      <c r="C40" s="31" t="s">
        <v>114</v>
      </c>
      <c r="D40" s="35">
        <f>'ECONOMIA &amp; PROFESIONES'!$O$17</f>
        <v>4124</v>
      </c>
      <c r="E40" s="53">
        <f t="shared" si="15"/>
        <v>0</v>
      </c>
      <c r="F40" s="95" t="s">
        <v>202</v>
      </c>
      <c r="G40" s="99">
        <v>0</v>
      </c>
      <c r="H40" s="92">
        <f t="shared" si="8"/>
        <v>0</v>
      </c>
      <c r="I40" s="95" t="s">
        <v>202</v>
      </c>
      <c r="J40" s="99">
        <v>0</v>
      </c>
      <c r="K40" s="92">
        <f t="shared" si="9"/>
        <v>0</v>
      </c>
      <c r="L40" s="95" t="s">
        <v>202</v>
      </c>
      <c r="M40" s="99">
        <v>0</v>
      </c>
      <c r="N40" s="92">
        <f t="shared" si="10"/>
        <v>0</v>
      </c>
      <c r="O40" s="95" t="s">
        <v>202</v>
      </c>
      <c r="P40" s="99">
        <v>0</v>
      </c>
      <c r="Q40" s="92">
        <f t="shared" si="11"/>
        <v>0</v>
      </c>
      <c r="R40" s="95" t="s">
        <v>202</v>
      </c>
      <c r="S40" s="99">
        <v>0</v>
      </c>
      <c r="T40" s="92">
        <f t="shared" si="12"/>
        <v>0</v>
      </c>
      <c r="U40" s="95" t="s">
        <v>202</v>
      </c>
      <c r="V40" s="99">
        <v>0</v>
      </c>
      <c r="W40" s="92">
        <f t="shared" si="13"/>
        <v>0</v>
      </c>
      <c r="X40" s="95" t="s">
        <v>202</v>
      </c>
      <c r="Y40" s="99">
        <v>0</v>
      </c>
      <c r="Z40" s="92">
        <f t="shared" si="14"/>
        <v>0</v>
      </c>
    </row>
    <row r="41" spans="1:26">
      <c r="A41" s="231"/>
      <c r="B41" s="235"/>
      <c r="C41" s="32" t="s">
        <v>115</v>
      </c>
      <c r="D41" s="35">
        <f>'ECONOMIA &amp; PROFESIONES'!$O$18</f>
        <v>4046</v>
      </c>
      <c r="E41" s="53">
        <f t="shared" si="15"/>
        <v>0</v>
      </c>
      <c r="F41" s="95" t="s">
        <v>202</v>
      </c>
      <c r="G41" s="99">
        <v>0</v>
      </c>
      <c r="H41" s="92">
        <f t="shared" si="8"/>
        <v>0</v>
      </c>
      <c r="I41" s="95" t="s">
        <v>202</v>
      </c>
      <c r="J41" s="99">
        <v>0</v>
      </c>
      <c r="K41" s="92">
        <f t="shared" si="9"/>
        <v>0</v>
      </c>
      <c r="L41" s="95" t="s">
        <v>202</v>
      </c>
      <c r="M41" s="99">
        <v>0</v>
      </c>
      <c r="N41" s="92">
        <f t="shared" si="10"/>
        <v>0</v>
      </c>
      <c r="O41" s="95" t="s">
        <v>202</v>
      </c>
      <c r="P41" s="99">
        <v>0</v>
      </c>
      <c r="Q41" s="92">
        <f t="shared" si="11"/>
        <v>0</v>
      </c>
      <c r="R41" s="95" t="s">
        <v>202</v>
      </c>
      <c r="S41" s="99">
        <v>0</v>
      </c>
      <c r="T41" s="92">
        <f t="shared" si="12"/>
        <v>0</v>
      </c>
      <c r="U41" s="95" t="s">
        <v>202</v>
      </c>
      <c r="V41" s="99">
        <v>0</v>
      </c>
      <c r="W41" s="92">
        <f t="shared" si="13"/>
        <v>0</v>
      </c>
      <c r="X41" s="95" t="s">
        <v>202</v>
      </c>
      <c r="Y41" s="99">
        <v>0</v>
      </c>
      <c r="Z41" s="92">
        <f t="shared" si="14"/>
        <v>0</v>
      </c>
    </row>
    <row r="42" spans="1:26">
      <c r="A42" s="231"/>
      <c r="B42" s="235"/>
      <c r="C42" s="31" t="s">
        <v>116</v>
      </c>
      <c r="D42" s="35">
        <f>'ECONOMIA &amp; PROFESIONES'!$O$19</f>
        <v>3812</v>
      </c>
      <c r="E42" s="53">
        <f t="shared" si="15"/>
        <v>0</v>
      </c>
      <c r="F42" s="95" t="s">
        <v>202</v>
      </c>
      <c r="G42" s="99">
        <v>0</v>
      </c>
      <c r="H42" s="92">
        <f t="shared" si="8"/>
        <v>0</v>
      </c>
      <c r="I42" s="95" t="s">
        <v>202</v>
      </c>
      <c r="J42" s="99">
        <v>0</v>
      </c>
      <c r="K42" s="92">
        <f t="shared" si="9"/>
        <v>0</v>
      </c>
      <c r="L42" s="95" t="s">
        <v>202</v>
      </c>
      <c r="M42" s="99">
        <v>0</v>
      </c>
      <c r="N42" s="92">
        <f t="shared" si="10"/>
        <v>0</v>
      </c>
      <c r="O42" s="95" t="s">
        <v>202</v>
      </c>
      <c r="P42" s="99">
        <v>0</v>
      </c>
      <c r="Q42" s="92">
        <f t="shared" si="11"/>
        <v>0</v>
      </c>
      <c r="R42" s="95" t="s">
        <v>202</v>
      </c>
      <c r="S42" s="99">
        <v>0</v>
      </c>
      <c r="T42" s="92">
        <f t="shared" si="12"/>
        <v>0</v>
      </c>
      <c r="U42" s="95" t="s">
        <v>202</v>
      </c>
      <c r="V42" s="99">
        <v>0</v>
      </c>
      <c r="W42" s="92">
        <f t="shared" si="13"/>
        <v>0</v>
      </c>
      <c r="X42" s="95" t="s">
        <v>202</v>
      </c>
      <c r="Y42" s="99">
        <v>0</v>
      </c>
      <c r="Z42" s="92">
        <f t="shared" si="14"/>
        <v>0</v>
      </c>
    </row>
    <row r="43" spans="1:26">
      <c r="A43" s="231"/>
      <c r="B43" s="237" t="s">
        <v>354</v>
      </c>
      <c r="C43" s="32" t="s">
        <v>6</v>
      </c>
      <c r="D43" s="35">
        <f>'ECONOMIA &amp; PROFESIONES'!$O$20</f>
        <v>5256</v>
      </c>
      <c r="E43" s="53">
        <f t="shared" si="15"/>
        <v>0</v>
      </c>
      <c r="F43" s="95" t="s">
        <v>202</v>
      </c>
      <c r="G43" s="99">
        <v>0</v>
      </c>
      <c r="H43" s="92">
        <f t="shared" si="8"/>
        <v>0</v>
      </c>
      <c r="I43" s="95" t="s">
        <v>202</v>
      </c>
      <c r="J43" s="99">
        <v>0</v>
      </c>
      <c r="K43" s="92">
        <f t="shared" si="9"/>
        <v>0</v>
      </c>
      <c r="L43" s="95" t="s">
        <v>202</v>
      </c>
      <c r="M43" s="99">
        <v>0</v>
      </c>
      <c r="N43" s="92">
        <f t="shared" si="10"/>
        <v>0</v>
      </c>
      <c r="O43" s="95" t="s">
        <v>202</v>
      </c>
      <c r="P43" s="99">
        <v>0</v>
      </c>
      <c r="Q43" s="92">
        <f t="shared" si="11"/>
        <v>0</v>
      </c>
      <c r="R43" s="95" t="s">
        <v>202</v>
      </c>
      <c r="S43" s="99">
        <v>0</v>
      </c>
      <c r="T43" s="92">
        <f t="shared" si="12"/>
        <v>0</v>
      </c>
      <c r="U43" s="95" t="s">
        <v>202</v>
      </c>
      <c r="V43" s="99">
        <v>0</v>
      </c>
      <c r="W43" s="92">
        <f t="shared" si="13"/>
        <v>0</v>
      </c>
      <c r="X43" s="95" t="s">
        <v>202</v>
      </c>
      <c r="Y43" s="99">
        <v>0</v>
      </c>
      <c r="Z43" s="92">
        <f t="shared" si="14"/>
        <v>0</v>
      </c>
    </row>
    <row r="44" spans="1:26">
      <c r="A44" s="231"/>
      <c r="B44" s="238"/>
      <c r="C44" s="31" t="s">
        <v>113</v>
      </c>
      <c r="D44" s="35">
        <f>'ECONOMIA &amp; PROFESIONES'!$O$21</f>
        <v>5640</v>
      </c>
      <c r="E44" s="53">
        <f t="shared" si="15"/>
        <v>0</v>
      </c>
      <c r="F44" s="95" t="s">
        <v>202</v>
      </c>
      <c r="G44" s="99">
        <v>0</v>
      </c>
      <c r="H44" s="92">
        <f t="shared" si="8"/>
        <v>0</v>
      </c>
      <c r="I44" s="95" t="s">
        <v>202</v>
      </c>
      <c r="J44" s="99">
        <v>0</v>
      </c>
      <c r="K44" s="92">
        <f t="shared" si="9"/>
        <v>0</v>
      </c>
      <c r="L44" s="95" t="s">
        <v>202</v>
      </c>
      <c r="M44" s="99">
        <v>0</v>
      </c>
      <c r="N44" s="92">
        <f t="shared" si="10"/>
        <v>0</v>
      </c>
      <c r="O44" s="95" t="s">
        <v>202</v>
      </c>
      <c r="P44" s="99">
        <v>0</v>
      </c>
      <c r="Q44" s="92">
        <f t="shared" si="11"/>
        <v>0</v>
      </c>
      <c r="R44" s="95" t="s">
        <v>202</v>
      </c>
      <c r="S44" s="99">
        <v>0</v>
      </c>
      <c r="T44" s="92">
        <f t="shared" si="12"/>
        <v>0</v>
      </c>
      <c r="U44" s="95" t="s">
        <v>202</v>
      </c>
      <c r="V44" s="99">
        <v>0</v>
      </c>
      <c r="W44" s="92">
        <f t="shared" si="13"/>
        <v>0</v>
      </c>
      <c r="X44" s="95" t="s">
        <v>202</v>
      </c>
      <c r="Y44" s="99">
        <v>0</v>
      </c>
      <c r="Z44" s="92">
        <f t="shared" si="14"/>
        <v>0</v>
      </c>
    </row>
    <row r="45" spans="1:26">
      <c r="A45" s="231"/>
      <c r="B45" s="238"/>
      <c r="C45" s="32" t="s">
        <v>114</v>
      </c>
      <c r="D45" s="35">
        <f>'ECONOMIA &amp; PROFESIONES'!$O$22</f>
        <v>6024</v>
      </c>
      <c r="E45" s="53">
        <f t="shared" si="15"/>
        <v>0</v>
      </c>
      <c r="F45" s="95" t="s">
        <v>202</v>
      </c>
      <c r="G45" s="99">
        <v>0</v>
      </c>
      <c r="H45" s="92">
        <f t="shared" si="8"/>
        <v>0</v>
      </c>
      <c r="I45" s="95" t="s">
        <v>202</v>
      </c>
      <c r="J45" s="99">
        <v>0</v>
      </c>
      <c r="K45" s="92">
        <f t="shared" si="9"/>
        <v>0</v>
      </c>
      <c r="L45" s="95" t="s">
        <v>202</v>
      </c>
      <c r="M45" s="99">
        <v>0</v>
      </c>
      <c r="N45" s="92">
        <f t="shared" si="10"/>
        <v>0</v>
      </c>
      <c r="O45" s="95" t="s">
        <v>202</v>
      </c>
      <c r="P45" s="99">
        <v>0</v>
      </c>
      <c r="Q45" s="92">
        <f t="shared" si="11"/>
        <v>0</v>
      </c>
      <c r="R45" s="95" t="s">
        <v>202</v>
      </c>
      <c r="S45" s="99">
        <v>0</v>
      </c>
      <c r="T45" s="92">
        <f t="shared" si="12"/>
        <v>0</v>
      </c>
      <c r="U45" s="95" t="s">
        <v>202</v>
      </c>
      <c r="V45" s="99">
        <v>0</v>
      </c>
      <c r="W45" s="92">
        <f t="shared" si="13"/>
        <v>0</v>
      </c>
      <c r="X45" s="95" t="s">
        <v>202</v>
      </c>
      <c r="Y45" s="99">
        <v>0</v>
      </c>
      <c r="Z45" s="92">
        <f t="shared" si="14"/>
        <v>0</v>
      </c>
    </row>
    <row r="46" spans="1:26">
      <c r="A46" s="231"/>
      <c r="B46" s="233"/>
      <c r="C46" s="31" t="s">
        <v>115</v>
      </c>
      <c r="D46" s="35">
        <f>'ECONOMIA &amp; PROFESIONES'!$O$23</f>
        <v>5896</v>
      </c>
      <c r="E46" s="53">
        <f t="shared" si="15"/>
        <v>0</v>
      </c>
      <c r="F46" s="95" t="s">
        <v>202</v>
      </c>
      <c r="G46" s="99">
        <v>0</v>
      </c>
      <c r="H46" s="92">
        <f t="shared" si="8"/>
        <v>0</v>
      </c>
      <c r="I46" s="95" t="s">
        <v>202</v>
      </c>
      <c r="J46" s="99">
        <v>0</v>
      </c>
      <c r="K46" s="92">
        <f t="shared" si="9"/>
        <v>0</v>
      </c>
      <c r="L46" s="95" t="s">
        <v>202</v>
      </c>
      <c r="M46" s="99">
        <v>0</v>
      </c>
      <c r="N46" s="92">
        <f t="shared" si="10"/>
        <v>0</v>
      </c>
      <c r="O46" s="95" t="s">
        <v>202</v>
      </c>
      <c r="P46" s="99">
        <v>0</v>
      </c>
      <c r="Q46" s="92">
        <f t="shared" si="11"/>
        <v>0</v>
      </c>
      <c r="R46" s="95" t="s">
        <v>202</v>
      </c>
      <c r="S46" s="99">
        <v>0</v>
      </c>
      <c r="T46" s="92">
        <f t="shared" si="12"/>
        <v>0</v>
      </c>
      <c r="U46" s="95" t="s">
        <v>202</v>
      </c>
      <c r="V46" s="99">
        <v>0</v>
      </c>
      <c r="W46" s="92">
        <f t="shared" si="13"/>
        <v>0</v>
      </c>
      <c r="X46" s="95" t="s">
        <v>202</v>
      </c>
      <c r="Y46" s="99">
        <v>0</v>
      </c>
      <c r="Z46" s="92">
        <f t="shared" si="14"/>
        <v>0</v>
      </c>
    </row>
    <row r="47" spans="1:26">
      <c r="A47" s="231"/>
      <c r="B47" s="239"/>
      <c r="C47" s="32" t="s">
        <v>116</v>
      </c>
      <c r="D47" s="35">
        <f>'ECONOMIA &amp; PROFESIONES'!$O$24</f>
        <v>5512</v>
      </c>
      <c r="E47" s="53">
        <f t="shared" si="15"/>
        <v>0</v>
      </c>
      <c r="F47" s="95" t="s">
        <v>202</v>
      </c>
      <c r="G47" s="99">
        <v>0</v>
      </c>
      <c r="H47" s="92">
        <f t="shared" si="8"/>
        <v>0</v>
      </c>
      <c r="I47" s="95" t="s">
        <v>202</v>
      </c>
      <c r="J47" s="99">
        <v>0</v>
      </c>
      <c r="K47" s="92">
        <f t="shared" si="9"/>
        <v>0</v>
      </c>
      <c r="L47" s="95" t="s">
        <v>202</v>
      </c>
      <c r="M47" s="99">
        <v>0</v>
      </c>
      <c r="N47" s="92">
        <f t="shared" si="10"/>
        <v>0</v>
      </c>
      <c r="O47" s="95" t="s">
        <v>202</v>
      </c>
      <c r="P47" s="99">
        <v>0</v>
      </c>
      <c r="Q47" s="92">
        <f t="shared" si="11"/>
        <v>0</v>
      </c>
      <c r="R47" s="95" t="s">
        <v>202</v>
      </c>
      <c r="S47" s="99">
        <v>0</v>
      </c>
      <c r="T47" s="92">
        <f t="shared" si="12"/>
        <v>0</v>
      </c>
      <c r="U47" s="95" t="s">
        <v>202</v>
      </c>
      <c r="V47" s="99">
        <v>0</v>
      </c>
      <c r="W47" s="92">
        <f t="shared" si="13"/>
        <v>0</v>
      </c>
      <c r="X47" s="95" t="s">
        <v>202</v>
      </c>
      <c r="Y47" s="99">
        <v>0</v>
      </c>
      <c r="Z47" s="92">
        <f t="shared" si="14"/>
        <v>0</v>
      </c>
    </row>
    <row r="48" spans="1:26">
      <c r="A48" s="231"/>
      <c r="B48" s="235" t="s">
        <v>352</v>
      </c>
      <c r="C48" s="31" t="s">
        <v>6</v>
      </c>
      <c r="D48" s="35">
        <f>'ECONOMIA &amp; PROFESIONES'!$O$25</f>
        <v>6856</v>
      </c>
      <c r="E48" s="53">
        <f t="shared" si="15"/>
        <v>0</v>
      </c>
      <c r="F48" s="95" t="s">
        <v>202</v>
      </c>
      <c r="G48" s="99">
        <v>0</v>
      </c>
      <c r="H48" s="92">
        <f t="shared" si="8"/>
        <v>0</v>
      </c>
      <c r="I48" s="95" t="s">
        <v>202</v>
      </c>
      <c r="J48" s="99">
        <v>0</v>
      </c>
      <c r="K48" s="92">
        <f t="shared" si="9"/>
        <v>0</v>
      </c>
      <c r="L48" s="95" t="s">
        <v>202</v>
      </c>
      <c r="M48" s="99">
        <v>0</v>
      </c>
      <c r="N48" s="92">
        <f t="shared" si="10"/>
        <v>0</v>
      </c>
      <c r="O48" s="95" t="s">
        <v>202</v>
      </c>
      <c r="P48" s="99">
        <v>0</v>
      </c>
      <c r="Q48" s="92">
        <f t="shared" si="11"/>
        <v>0</v>
      </c>
      <c r="R48" s="95" t="s">
        <v>202</v>
      </c>
      <c r="S48" s="99">
        <v>0</v>
      </c>
      <c r="T48" s="92">
        <f t="shared" si="12"/>
        <v>0</v>
      </c>
      <c r="U48" s="95" t="s">
        <v>202</v>
      </c>
      <c r="V48" s="99">
        <v>0</v>
      </c>
      <c r="W48" s="92">
        <f t="shared" si="13"/>
        <v>0</v>
      </c>
      <c r="X48" s="95" t="s">
        <v>202</v>
      </c>
      <c r="Y48" s="99">
        <v>0</v>
      </c>
      <c r="Z48" s="92">
        <f t="shared" si="14"/>
        <v>0</v>
      </c>
    </row>
    <row r="49" spans="1:26">
      <c r="A49" s="231"/>
      <c r="B49" s="235"/>
      <c r="C49" s="32" t="s">
        <v>113</v>
      </c>
      <c r="D49" s="35">
        <f>'ECONOMIA &amp; PROFESIONES'!$O$26</f>
        <v>7390</v>
      </c>
      <c r="E49" s="53">
        <f t="shared" si="15"/>
        <v>0</v>
      </c>
      <c r="F49" s="95" t="s">
        <v>202</v>
      </c>
      <c r="G49" s="99">
        <v>0</v>
      </c>
      <c r="H49" s="92">
        <f t="shared" si="8"/>
        <v>0</v>
      </c>
      <c r="I49" s="95" t="s">
        <v>202</v>
      </c>
      <c r="J49" s="99">
        <v>0</v>
      </c>
      <c r="K49" s="92">
        <f t="shared" si="9"/>
        <v>0</v>
      </c>
      <c r="L49" s="95" t="s">
        <v>202</v>
      </c>
      <c r="M49" s="99">
        <v>0</v>
      </c>
      <c r="N49" s="92">
        <f t="shared" si="10"/>
        <v>0</v>
      </c>
      <c r="O49" s="95" t="s">
        <v>202</v>
      </c>
      <c r="P49" s="99">
        <v>0</v>
      </c>
      <c r="Q49" s="92">
        <f t="shared" si="11"/>
        <v>0</v>
      </c>
      <c r="R49" s="95" t="s">
        <v>202</v>
      </c>
      <c r="S49" s="99">
        <v>0</v>
      </c>
      <c r="T49" s="92">
        <f t="shared" si="12"/>
        <v>0</v>
      </c>
      <c r="U49" s="95" t="s">
        <v>202</v>
      </c>
      <c r="V49" s="99">
        <v>0</v>
      </c>
      <c r="W49" s="92">
        <f t="shared" si="13"/>
        <v>0</v>
      </c>
      <c r="X49" s="95" t="s">
        <v>202</v>
      </c>
      <c r="Y49" s="99">
        <v>0</v>
      </c>
      <c r="Z49" s="92">
        <f t="shared" si="14"/>
        <v>0</v>
      </c>
    </row>
    <row r="50" spans="1:26">
      <c r="A50" s="231"/>
      <c r="B50" s="235"/>
      <c r="C50" s="31" t="s">
        <v>114</v>
      </c>
      <c r="D50" s="35">
        <f>'ECONOMIA &amp; PROFESIONES'!$O$27</f>
        <v>7924</v>
      </c>
      <c r="E50" s="53">
        <f t="shared" si="15"/>
        <v>0</v>
      </c>
      <c r="F50" s="95" t="s">
        <v>202</v>
      </c>
      <c r="G50" s="99">
        <v>0</v>
      </c>
      <c r="H50" s="92">
        <f t="shared" si="8"/>
        <v>0</v>
      </c>
      <c r="I50" s="95" t="s">
        <v>202</v>
      </c>
      <c r="J50" s="99">
        <v>0</v>
      </c>
      <c r="K50" s="92">
        <f t="shared" si="9"/>
        <v>0</v>
      </c>
      <c r="L50" s="95" t="s">
        <v>202</v>
      </c>
      <c r="M50" s="99">
        <v>0</v>
      </c>
      <c r="N50" s="92">
        <f t="shared" si="10"/>
        <v>0</v>
      </c>
      <c r="O50" s="95" t="s">
        <v>202</v>
      </c>
      <c r="P50" s="99">
        <v>0</v>
      </c>
      <c r="Q50" s="92">
        <f t="shared" si="11"/>
        <v>0</v>
      </c>
      <c r="R50" s="95" t="s">
        <v>202</v>
      </c>
      <c r="S50" s="99">
        <v>0</v>
      </c>
      <c r="T50" s="92">
        <f t="shared" si="12"/>
        <v>0</v>
      </c>
      <c r="U50" s="95" t="s">
        <v>202</v>
      </c>
      <c r="V50" s="99">
        <v>0</v>
      </c>
      <c r="W50" s="92">
        <f t="shared" si="13"/>
        <v>0</v>
      </c>
      <c r="X50" s="95" t="s">
        <v>202</v>
      </c>
      <c r="Y50" s="99">
        <v>0</v>
      </c>
      <c r="Z50" s="92">
        <f t="shared" si="14"/>
        <v>0</v>
      </c>
    </row>
    <row r="51" spans="1:26">
      <c r="A51" s="231"/>
      <c r="B51" s="235"/>
      <c r="C51" s="32" t="s">
        <v>115</v>
      </c>
      <c r="D51" s="35">
        <f>'ECONOMIA &amp; PROFESIONES'!$O$28</f>
        <v>7746</v>
      </c>
      <c r="E51" s="53">
        <f t="shared" si="15"/>
        <v>0</v>
      </c>
      <c r="F51" s="95" t="s">
        <v>202</v>
      </c>
      <c r="G51" s="99">
        <v>0</v>
      </c>
      <c r="H51" s="92">
        <f t="shared" si="8"/>
        <v>0</v>
      </c>
      <c r="I51" s="95" t="s">
        <v>202</v>
      </c>
      <c r="J51" s="99">
        <v>0</v>
      </c>
      <c r="K51" s="92">
        <f t="shared" si="9"/>
        <v>0</v>
      </c>
      <c r="L51" s="95" t="s">
        <v>202</v>
      </c>
      <c r="M51" s="99">
        <v>0</v>
      </c>
      <c r="N51" s="92">
        <f t="shared" si="10"/>
        <v>0</v>
      </c>
      <c r="O51" s="95" t="s">
        <v>202</v>
      </c>
      <c r="P51" s="99">
        <v>0</v>
      </c>
      <c r="Q51" s="92">
        <f t="shared" si="11"/>
        <v>0</v>
      </c>
      <c r="R51" s="95" t="s">
        <v>202</v>
      </c>
      <c r="S51" s="99">
        <v>0</v>
      </c>
      <c r="T51" s="92">
        <f t="shared" si="12"/>
        <v>0</v>
      </c>
      <c r="U51" s="95" t="s">
        <v>202</v>
      </c>
      <c r="V51" s="99">
        <v>0</v>
      </c>
      <c r="W51" s="92">
        <f t="shared" si="13"/>
        <v>0</v>
      </c>
      <c r="X51" s="95" t="s">
        <v>202</v>
      </c>
      <c r="Y51" s="99">
        <v>0</v>
      </c>
      <c r="Z51" s="92">
        <f t="shared" si="14"/>
        <v>0</v>
      </c>
    </row>
    <row r="52" spans="1:26">
      <c r="A52" s="231"/>
      <c r="B52" s="235"/>
      <c r="C52" s="31" t="s">
        <v>116</v>
      </c>
      <c r="D52" s="35">
        <f>'ECONOMIA &amp; PROFESIONES'!$O$29</f>
        <v>7212</v>
      </c>
      <c r="E52" s="53">
        <f t="shared" si="15"/>
        <v>0</v>
      </c>
      <c r="F52" s="95" t="s">
        <v>202</v>
      </c>
      <c r="G52" s="99">
        <v>0</v>
      </c>
      <c r="H52" s="92">
        <f t="shared" si="8"/>
        <v>0</v>
      </c>
      <c r="I52" s="95" t="s">
        <v>202</v>
      </c>
      <c r="J52" s="99">
        <v>0</v>
      </c>
      <c r="K52" s="92">
        <f t="shared" si="9"/>
        <v>0</v>
      </c>
      <c r="L52" s="95" t="s">
        <v>202</v>
      </c>
      <c r="M52" s="99">
        <v>0</v>
      </c>
      <c r="N52" s="92">
        <f t="shared" si="10"/>
        <v>0</v>
      </c>
      <c r="O52" s="95" t="s">
        <v>202</v>
      </c>
      <c r="P52" s="99">
        <v>0</v>
      </c>
      <c r="Q52" s="92">
        <f t="shared" si="11"/>
        <v>0</v>
      </c>
      <c r="R52" s="95" t="s">
        <v>202</v>
      </c>
      <c r="S52" s="99">
        <v>0</v>
      </c>
      <c r="T52" s="92">
        <f t="shared" si="12"/>
        <v>0</v>
      </c>
      <c r="U52" s="95" t="s">
        <v>202</v>
      </c>
      <c r="V52" s="99">
        <v>0</v>
      </c>
      <c r="W52" s="92">
        <f t="shared" si="13"/>
        <v>0</v>
      </c>
      <c r="X52" s="95" t="s">
        <v>202</v>
      </c>
      <c r="Y52" s="99">
        <v>0</v>
      </c>
      <c r="Z52" s="92">
        <f t="shared" si="14"/>
        <v>0</v>
      </c>
    </row>
    <row r="53" spans="1:26">
      <c r="A53" s="231" t="s">
        <v>2</v>
      </c>
      <c r="B53" s="81"/>
      <c r="C53" s="81"/>
      <c r="D53" s="108"/>
      <c r="E53" s="98" t="s">
        <v>277</v>
      </c>
      <c r="F53" s="98" t="s">
        <v>278</v>
      </c>
      <c r="G53" s="98" t="s">
        <v>355</v>
      </c>
      <c r="H53" s="98" t="s">
        <v>194</v>
      </c>
      <c r="I53" s="98" t="s">
        <v>279</v>
      </c>
      <c r="J53" s="98" t="s">
        <v>355</v>
      </c>
      <c r="K53" s="98" t="s">
        <v>194</v>
      </c>
      <c r="L53" s="98" t="s">
        <v>295</v>
      </c>
      <c r="M53" s="98" t="s">
        <v>355</v>
      </c>
      <c r="N53" s="98" t="s">
        <v>194</v>
      </c>
      <c r="O53" s="98" t="s">
        <v>348</v>
      </c>
      <c r="P53" s="98" t="s">
        <v>355</v>
      </c>
      <c r="Q53" s="98" t="s">
        <v>194</v>
      </c>
      <c r="R53" s="98" t="s">
        <v>349</v>
      </c>
      <c r="S53" s="98" t="s">
        <v>355</v>
      </c>
      <c r="T53" s="98" t="s">
        <v>194</v>
      </c>
      <c r="U53" s="98" t="s">
        <v>350</v>
      </c>
      <c r="V53" s="98" t="s">
        <v>355</v>
      </c>
      <c r="W53" s="98" t="s">
        <v>194</v>
      </c>
      <c r="X53" s="98" t="s">
        <v>351</v>
      </c>
      <c r="Y53" s="98" t="s">
        <v>355</v>
      </c>
      <c r="Z53" s="98" t="s">
        <v>194</v>
      </c>
    </row>
    <row r="54" spans="1:26">
      <c r="A54" s="231"/>
      <c r="B54" s="240" t="s">
        <v>286</v>
      </c>
      <c r="C54" s="31" t="s">
        <v>6</v>
      </c>
      <c r="D54" s="34">
        <f>'ECONOMIA &amp; PROFESIONES'!$P$5</f>
        <v>510</v>
      </c>
      <c r="E54" s="53">
        <f>(H54*G54)+(K54*J54)+(M54*N54)+(P54*Q54)+(S54*T54)+(V54*W54)+(Y54*Z54)</f>
        <v>0</v>
      </c>
      <c r="F54" s="95" t="s">
        <v>202</v>
      </c>
      <c r="G54" s="99">
        <v>0</v>
      </c>
      <c r="H54" s="92">
        <f t="shared" ref="H54:H78" si="16">VLOOKUP(F54,craftedesp,3,FALSE)</f>
        <v>0</v>
      </c>
      <c r="I54" s="95" t="s">
        <v>202</v>
      </c>
      <c r="J54" s="99">
        <v>0</v>
      </c>
      <c r="K54" s="92">
        <f t="shared" ref="K54:K78" si="17">VLOOKUP(I54,craftedesp,3,FALSE)</f>
        <v>0</v>
      </c>
      <c r="L54" s="95" t="s">
        <v>202</v>
      </c>
      <c r="M54" s="99">
        <v>0</v>
      </c>
      <c r="N54" s="92">
        <f t="shared" ref="N54:N78" si="18">VLOOKUP(L54,craftedesp,3,FALSE)</f>
        <v>0</v>
      </c>
      <c r="O54" s="95" t="s">
        <v>202</v>
      </c>
      <c r="P54" s="99">
        <v>0</v>
      </c>
      <c r="Q54" s="92">
        <f t="shared" ref="Q54:Q78" si="19">VLOOKUP(O54,craftedesp,3,FALSE)</f>
        <v>0</v>
      </c>
      <c r="R54" s="95" t="s">
        <v>202</v>
      </c>
      <c r="S54" s="99">
        <v>0</v>
      </c>
      <c r="T54" s="92">
        <f t="shared" ref="T54:T78" si="20">VLOOKUP(R54,craftedesp,3,FALSE)</f>
        <v>0</v>
      </c>
      <c r="U54" s="95" t="s">
        <v>202</v>
      </c>
      <c r="V54" s="99">
        <v>0</v>
      </c>
      <c r="W54" s="92">
        <f t="shared" ref="W54:W78" si="21">VLOOKUP(U54,craftedesp,3,FALSE)</f>
        <v>0</v>
      </c>
      <c r="X54" s="95" t="s">
        <v>202</v>
      </c>
      <c r="Y54" s="99">
        <v>0</v>
      </c>
      <c r="Z54" s="92">
        <f t="shared" ref="Z54:Z78" si="22">VLOOKUP(X54,craftedesp,3,FALSE)</f>
        <v>0</v>
      </c>
    </row>
    <row r="55" spans="1:26">
      <c r="A55" s="231"/>
      <c r="B55" s="241"/>
      <c r="C55" s="32" t="s">
        <v>113</v>
      </c>
      <c r="D55" s="34">
        <f>'ECONOMIA &amp; PROFESIONES'!$P$6</f>
        <v>525</v>
      </c>
      <c r="E55" s="53">
        <f t="shared" ref="E55:E78" si="23">(H55*G55)+(K55*J55)+(M55*N55)+(P55*Q55)+(S55*T55)+(V55*W55)+(Y55*Z55)</f>
        <v>0</v>
      </c>
      <c r="F55" s="95" t="s">
        <v>202</v>
      </c>
      <c r="G55" s="99">
        <v>0</v>
      </c>
      <c r="H55" s="92">
        <f t="shared" si="16"/>
        <v>0</v>
      </c>
      <c r="I55" s="95" t="s">
        <v>202</v>
      </c>
      <c r="J55" s="99">
        <v>0</v>
      </c>
      <c r="K55" s="92">
        <f t="shared" si="17"/>
        <v>0</v>
      </c>
      <c r="L55" s="95" t="s">
        <v>202</v>
      </c>
      <c r="M55" s="99">
        <v>0</v>
      </c>
      <c r="N55" s="92">
        <f t="shared" si="18"/>
        <v>0</v>
      </c>
      <c r="O55" s="95" t="s">
        <v>202</v>
      </c>
      <c r="P55" s="99">
        <v>0</v>
      </c>
      <c r="Q55" s="92">
        <f t="shared" si="19"/>
        <v>0</v>
      </c>
      <c r="R55" s="95" t="s">
        <v>202</v>
      </c>
      <c r="S55" s="99">
        <v>0</v>
      </c>
      <c r="T55" s="92">
        <f t="shared" si="20"/>
        <v>0</v>
      </c>
      <c r="U55" s="95" t="s">
        <v>202</v>
      </c>
      <c r="V55" s="99">
        <v>0</v>
      </c>
      <c r="W55" s="92">
        <f t="shared" si="21"/>
        <v>0</v>
      </c>
      <c r="X55" s="95" t="s">
        <v>202</v>
      </c>
      <c r="Y55" s="99">
        <v>0</v>
      </c>
      <c r="Z55" s="92">
        <f t="shared" si="22"/>
        <v>0</v>
      </c>
    </row>
    <row r="56" spans="1:26">
      <c r="A56" s="231"/>
      <c r="B56" s="241"/>
      <c r="C56" s="31" t="s">
        <v>114</v>
      </c>
      <c r="D56" s="34">
        <f>'ECONOMIA &amp; PROFESIONES'!$P$7</f>
        <v>540</v>
      </c>
      <c r="E56" s="53">
        <f t="shared" si="23"/>
        <v>0</v>
      </c>
      <c r="F56" s="95" t="s">
        <v>202</v>
      </c>
      <c r="G56" s="99">
        <v>0</v>
      </c>
      <c r="H56" s="92">
        <f t="shared" si="16"/>
        <v>0</v>
      </c>
      <c r="I56" s="95" t="s">
        <v>202</v>
      </c>
      <c r="J56" s="99">
        <v>0</v>
      </c>
      <c r="K56" s="92">
        <f t="shared" si="17"/>
        <v>0</v>
      </c>
      <c r="L56" s="95" t="s">
        <v>202</v>
      </c>
      <c r="M56" s="99">
        <v>0</v>
      </c>
      <c r="N56" s="92">
        <f t="shared" si="18"/>
        <v>0</v>
      </c>
      <c r="O56" s="95" t="s">
        <v>202</v>
      </c>
      <c r="P56" s="99">
        <v>0</v>
      </c>
      <c r="Q56" s="92">
        <f t="shared" si="19"/>
        <v>0</v>
      </c>
      <c r="R56" s="95" t="s">
        <v>202</v>
      </c>
      <c r="S56" s="99">
        <v>0</v>
      </c>
      <c r="T56" s="92">
        <f t="shared" si="20"/>
        <v>0</v>
      </c>
      <c r="U56" s="95" t="s">
        <v>202</v>
      </c>
      <c r="V56" s="99">
        <v>0</v>
      </c>
      <c r="W56" s="92">
        <f t="shared" si="21"/>
        <v>0</v>
      </c>
      <c r="X56" s="95" t="s">
        <v>202</v>
      </c>
      <c r="Y56" s="99">
        <v>0</v>
      </c>
      <c r="Z56" s="92">
        <f t="shared" si="22"/>
        <v>0</v>
      </c>
    </row>
    <row r="57" spans="1:26">
      <c r="A57" s="231"/>
      <c r="B57" s="241"/>
      <c r="C57" s="32" t="s">
        <v>115</v>
      </c>
      <c r="D57" s="34">
        <f>'ECONOMIA &amp; PROFESIONES'!$P$8</f>
        <v>535</v>
      </c>
      <c r="E57" s="53">
        <f t="shared" si="23"/>
        <v>0</v>
      </c>
      <c r="F57" s="95" t="s">
        <v>202</v>
      </c>
      <c r="G57" s="99">
        <v>0</v>
      </c>
      <c r="H57" s="92">
        <f t="shared" si="16"/>
        <v>0</v>
      </c>
      <c r="I57" s="95" t="s">
        <v>202</v>
      </c>
      <c r="J57" s="99">
        <v>0</v>
      </c>
      <c r="K57" s="92">
        <f t="shared" si="17"/>
        <v>0</v>
      </c>
      <c r="L57" s="95" t="s">
        <v>202</v>
      </c>
      <c r="M57" s="99">
        <v>0</v>
      </c>
      <c r="N57" s="92">
        <f t="shared" si="18"/>
        <v>0</v>
      </c>
      <c r="O57" s="95" t="s">
        <v>202</v>
      </c>
      <c r="P57" s="99">
        <v>0</v>
      </c>
      <c r="Q57" s="92">
        <f t="shared" si="19"/>
        <v>0</v>
      </c>
      <c r="R57" s="95" t="s">
        <v>202</v>
      </c>
      <c r="S57" s="99">
        <v>0</v>
      </c>
      <c r="T57" s="92">
        <f t="shared" si="20"/>
        <v>0</v>
      </c>
      <c r="U57" s="95" t="s">
        <v>202</v>
      </c>
      <c r="V57" s="99">
        <v>0</v>
      </c>
      <c r="W57" s="92">
        <f t="shared" si="21"/>
        <v>0</v>
      </c>
      <c r="X57" s="95" t="s">
        <v>202</v>
      </c>
      <c r="Y57" s="99">
        <v>0</v>
      </c>
      <c r="Z57" s="92">
        <f t="shared" si="22"/>
        <v>0</v>
      </c>
    </row>
    <row r="58" spans="1:26">
      <c r="A58" s="231"/>
      <c r="B58" s="242"/>
      <c r="C58" s="31" t="s">
        <v>116</v>
      </c>
      <c r="D58" s="34">
        <f>'ECONOMIA &amp; PROFESIONES'!$P$9</f>
        <v>520</v>
      </c>
      <c r="E58" s="53">
        <f t="shared" si="23"/>
        <v>0</v>
      </c>
      <c r="F58" s="95" t="s">
        <v>202</v>
      </c>
      <c r="G58" s="99">
        <v>0</v>
      </c>
      <c r="H58" s="92">
        <f t="shared" si="16"/>
        <v>0</v>
      </c>
      <c r="I58" s="95" t="s">
        <v>202</v>
      </c>
      <c r="J58" s="99">
        <v>0</v>
      </c>
      <c r="K58" s="92">
        <f t="shared" si="17"/>
        <v>0</v>
      </c>
      <c r="L58" s="95" t="s">
        <v>202</v>
      </c>
      <c r="M58" s="99">
        <v>0</v>
      </c>
      <c r="N58" s="92">
        <f t="shared" si="18"/>
        <v>0</v>
      </c>
      <c r="O58" s="95" t="s">
        <v>202</v>
      </c>
      <c r="P58" s="99">
        <v>0</v>
      </c>
      <c r="Q58" s="92">
        <f t="shared" si="19"/>
        <v>0</v>
      </c>
      <c r="R58" s="95" t="s">
        <v>202</v>
      </c>
      <c r="S58" s="99">
        <v>0</v>
      </c>
      <c r="T58" s="92">
        <f t="shared" si="20"/>
        <v>0</v>
      </c>
      <c r="U58" s="95" t="s">
        <v>202</v>
      </c>
      <c r="V58" s="99">
        <v>0</v>
      </c>
      <c r="W58" s="92">
        <f t="shared" si="21"/>
        <v>0</v>
      </c>
      <c r="X58" s="95" t="s">
        <v>202</v>
      </c>
      <c r="Y58" s="99">
        <v>0</v>
      </c>
      <c r="Z58" s="92">
        <f t="shared" si="22"/>
        <v>0</v>
      </c>
    </row>
    <row r="59" spans="1:26">
      <c r="A59" s="231"/>
      <c r="B59" s="232" t="s">
        <v>287</v>
      </c>
      <c r="C59" s="32" t="s">
        <v>6</v>
      </c>
      <c r="D59" s="34">
        <f>'ECONOMIA &amp; PROFESIONES'!$P$10</f>
        <v>2060</v>
      </c>
      <c r="E59" s="53">
        <f t="shared" si="23"/>
        <v>0</v>
      </c>
      <c r="F59" s="95" t="s">
        <v>202</v>
      </c>
      <c r="G59" s="99">
        <v>0</v>
      </c>
      <c r="H59" s="92">
        <f t="shared" si="16"/>
        <v>0</v>
      </c>
      <c r="I59" s="95" t="s">
        <v>202</v>
      </c>
      <c r="J59" s="99">
        <v>0</v>
      </c>
      <c r="K59" s="92">
        <f t="shared" si="17"/>
        <v>0</v>
      </c>
      <c r="L59" s="95" t="s">
        <v>202</v>
      </c>
      <c r="M59" s="99">
        <v>0</v>
      </c>
      <c r="N59" s="92">
        <f t="shared" si="18"/>
        <v>0</v>
      </c>
      <c r="O59" s="95" t="s">
        <v>202</v>
      </c>
      <c r="P59" s="99">
        <v>0</v>
      </c>
      <c r="Q59" s="92">
        <f t="shared" si="19"/>
        <v>0</v>
      </c>
      <c r="R59" s="95" t="s">
        <v>202</v>
      </c>
      <c r="S59" s="99">
        <v>0</v>
      </c>
      <c r="T59" s="92">
        <f t="shared" si="20"/>
        <v>0</v>
      </c>
      <c r="U59" s="95" t="s">
        <v>202</v>
      </c>
      <c r="V59" s="99">
        <v>0</v>
      </c>
      <c r="W59" s="92">
        <f t="shared" si="21"/>
        <v>0</v>
      </c>
      <c r="X59" s="95" t="s">
        <v>202</v>
      </c>
      <c r="Y59" s="99">
        <v>0</v>
      </c>
      <c r="Z59" s="92">
        <f t="shared" si="22"/>
        <v>0</v>
      </c>
    </row>
    <row r="60" spans="1:26">
      <c r="A60" s="231"/>
      <c r="B60" s="233"/>
      <c r="C60" s="31" t="s">
        <v>113</v>
      </c>
      <c r="D60" s="34">
        <f>'ECONOMIA &amp; PROFESIONES'!$P$11</f>
        <v>2150</v>
      </c>
      <c r="E60" s="53">
        <f t="shared" si="23"/>
        <v>0</v>
      </c>
      <c r="F60" s="95" t="s">
        <v>202</v>
      </c>
      <c r="G60" s="99">
        <v>0</v>
      </c>
      <c r="H60" s="92">
        <f t="shared" si="16"/>
        <v>0</v>
      </c>
      <c r="I60" s="95" t="s">
        <v>202</v>
      </c>
      <c r="J60" s="99">
        <v>0</v>
      </c>
      <c r="K60" s="92">
        <f t="shared" si="17"/>
        <v>0</v>
      </c>
      <c r="L60" s="95" t="s">
        <v>202</v>
      </c>
      <c r="M60" s="99">
        <v>0</v>
      </c>
      <c r="N60" s="92">
        <f t="shared" si="18"/>
        <v>0</v>
      </c>
      <c r="O60" s="95" t="s">
        <v>202</v>
      </c>
      <c r="P60" s="99">
        <v>0</v>
      </c>
      <c r="Q60" s="92">
        <f t="shared" si="19"/>
        <v>0</v>
      </c>
      <c r="R60" s="95" t="s">
        <v>202</v>
      </c>
      <c r="S60" s="99">
        <v>0</v>
      </c>
      <c r="T60" s="92">
        <f t="shared" si="20"/>
        <v>0</v>
      </c>
      <c r="U60" s="95" t="s">
        <v>202</v>
      </c>
      <c r="V60" s="99">
        <v>0</v>
      </c>
      <c r="W60" s="92">
        <f t="shared" si="21"/>
        <v>0</v>
      </c>
      <c r="X60" s="95" t="s">
        <v>202</v>
      </c>
      <c r="Y60" s="99">
        <v>0</v>
      </c>
      <c r="Z60" s="92">
        <f t="shared" si="22"/>
        <v>0</v>
      </c>
    </row>
    <row r="61" spans="1:26">
      <c r="A61" s="231"/>
      <c r="B61" s="233"/>
      <c r="C61" s="32" t="s">
        <v>114</v>
      </c>
      <c r="D61" s="34">
        <f>'ECONOMIA &amp; PROFESIONES'!$P$12</f>
        <v>2240</v>
      </c>
      <c r="E61" s="53">
        <f t="shared" si="23"/>
        <v>0</v>
      </c>
      <c r="F61" s="95" t="s">
        <v>202</v>
      </c>
      <c r="G61" s="99">
        <v>0</v>
      </c>
      <c r="H61" s="92">
        <f t="shared" si="16"/>
        <v>0</v>
      </c>
      <c r="I61" s="95" t="s">
        <v>202</v>
      </c>
      <c r="J61" s="99">
        <v>0</v>
      </c>
      <c r="K61" s="92">
        <f t="shared" si="17"/>
        <v>0</v>
      </c>
      <c r="L61" s="95" t="s">
        <v>202</v>
      </c>
      <c r="M61" s="99">
        <v>0</v>
      </c>
      <c r="N61" s="92">
        <f t="shared" si="18"/>
        <v>0</v>
      </c>
      <c r="O61" s="95" t="s">
        <v>202</v>
      </c>
      <c r="P61" s="99">
        <v>0</v>
      </c>
      <c r="Q61" s="92">
        <f t="shared" si="19"/>
        <v>0</v>
      </c>
      <c r="R61" s="95" t="s">
        <v>202</v>
      </c>
      <c r="S61" s="99">
        <v>0</v>
      </c>
      <c r="T61" s="92">
        <f t="shared" si="20"/>
        <v>0</v>
      </c>
      <c r="U61" s="95" t="s">
        <v>202</v>
      </c>
      <c r="V61" s="99">
        <v>0</v>
      </c>
      <c r="W61" s="92">
        <f t="shared" si="21"/>
        <v>0</v>
      </c>
      <c r="X61" s="95" t="s">
        <v>202</v>
      </c>
      <c r="Y61" s="99">
        <v>0</v>
      </c>
      <c r="Z61" s="92">
        <f t="shared" si="22"/>
        <v>0</v>
      </c>
    </row>
    <row r="62" spans="1:26">
      <c r="A62" s="231"/>
      <c r="B62" s="233"/>
      <c r="C62" s="31" t="s">
        <v>115</v>
      </c>
      <c r="D62" s="34">
        <f>'ECONOMIA &amp; PROFESIONES'!$P$13</f>
        <v>2210</v>
      </c>
      <c r="E62" s="53">
        <f t="shared" si="23"/>
        <v>0</v>
      </c>
      <c r="F62" s="95" t="s">
        <v>202</v>
      </c>
      <c r="G62" s="99">
        <v>0</v>
      </c>
      <c r="H62" s="92">
        <f t="shared" si="16"/>
        <v>0</v>
      </c>
      <c r="I62" s="95" t="s">
        <v>202</v>
      </c>
      <c r="J62" s="99">
        <v>0</v>
      </c>
      <c r="K62" s="92">
        <f t="shared" si="17"/>
        <v>0</v>
      </c>
      <c r="L62" s="95" t="s">
        <v>202</v>
      </c>
      <c r="M62" s="99">
        <v>0</v>
      </c>
      <c r="N62" s="92">
        <f t="shared" si="18"/>
        <v>0</v>
      </c>
      <c r="O62" s="95" t="s">
        <v>202</v>
      </c>
      <c r="P62" s="99">
        <v>0</v>
      </c>
      <c r="Q62" s="92">
        <f t="shared" si="19"/>
        <v>0</v>
      </c>
      <c r="R62" s="95" t="s">
        <v>202</v>
      </c>
      <c r="S62" s="99">
        <v>0</v>
      </c>
      <c r="T62" s="92">
        <f t="shared" si="20"/>
        <v>0</v>
      </c>
      <c r="U62" s="95" t="s">
        <v>202</v>
      </c>
      <c r="V62" s="99">
        <v>0</v>
      </c>
      <c r="W62" s="92">
        <f t="shared" si="21"/>
        <v>0</v>
      </c>
      <c r="X62" s="95" t="s">
        <v>202</v>
      </c>
      <c r="Y62" s="99">
        <v>0</v>
      </c>
      <c r="Z62" s="92">
        <f t="shared" si="22"/>
        <v>0</v>
      </c>
    </row>
    <row r="63" spans="1:26">
      <c r="A63" s="231"/>
      <c r="B63" s="234"/>
      <c r="C63" s="32" t="s">
        <v>116</v>
      </c>
      <c r="D63" s="34">
        <f>'ECONOMIA &amp; PROFESIONES'!$P$14</f>
        <v>2120</v>
      </c>
      <c r="E63" s="53">
        <f t="shared" si="23"/>
        <v>0</v>
      </c>
      <c r="F63" s="95" t="s">
        <v>202</v>
      </c>
      <c r="G63" s="99">
        <v>0</v>
      </c>
      <c r="H63" s="92">
        <f t="shared" si="16"/>
        <v>0</v>
      </c>
      <c r="I63" s="95" t="s">
        <v>202</v>
      </c>
      <c r="J63" s="99">
        <v>0</v>
      </c>
      <c r="K63" s="92">
        <f t="shared" si="17"/>
        <v>0</v>
      </c>
      <c r="L63" s="95" t="s">
        <v>202</v>
      </c>
      <c r="M63" s="99">
        <v>0</v>
      </c>
      <c r="N63" s="92">
        <f t="shared" si="18"/>
        <v>0</v>
      </c>
      <c r="O63" s="95" t="s">
        <v>202</v>
      </c>
      <c r="P63" s="99">
        <v>0</v>
      </c>
      <c r="Q63" s="92">
        <f t="shared" si="19"/>
        <v>0</v>
      </c>
      <c r="R63" s="95" t="s">
        <v>202</v>
      </c>
      <c r="S63" s="99">
        <v>0</v>
      </c>
      <c r="T63" s="92">
        <f t="shared" si="20"/>
        <v>0</v>
      </c>
      <c r="U63" s="95" t="s">
        <v>202</v>
      </c>
      <c r="V63" s="99">
        <v>0</v>
      </c>
      <c r="W63" s="92">
        <f t="shared" si="21"/>
        <v>0</v>
      </c>
      <c r="X63" s="95" t="s">
        <v>202</v>
      </c>
      <c r="Y63" s="99">
        <v>0</v>
      </c>
      <c r="Z63" s="92">
        <f t="shared" si="22"/>
        <v>0</v>
      </c>
    </row>
    <row r="64" spans="1:26">
      <c r="A64" s="231"/>
      <c r="B64" s="235" t="s">
        <v>353</v>
      </c>
      <c r="C64" s="31" t="s">
        <v>6</v>
      </c>
      <c r="D64" s="34">
        <f>'ECONOMIA &amp; PROFESIONES'!$P$15</f>
        <v>3660</v>
      </c>
      <c r="E64" s="53">
        <f t="shared" si="23"/>
        <v>0</v>
      </c>
      <c r="F64" s="95" t="s">
        <v>202</v>
      </c>
      <c r="G64" s="99">
        <v>0</v>
      </c>
      <c r="H64" s="92">
        <f t="shared" si="16"/>
        <v>0</v>
      </c>
      <c r="I64" s="95" t="s">
        <v>202</v>
      </c>
      <c r="J64" s="99">
        <v>0</v>
      </c>
      <c r="K64" s="92">
        <f t="shared" si="17"/>
        <v>0</v>
      </c>
      <c r="L64" s="95" t="s">
        <v>202</v>
      </c>
      <c r="M64" s="99">
        <v>0</v>
      </c>
      <c r="N64" s="92">
        <f t="shared" si="18"/>
        <v>0</v>
      </c>
      <c r="O64" s="95" t="s">
        <v>202</v>
      </c>
      <c r="P64" s="99">
        <v>0</v>
      </c>
      <c r="Q64" s="92">
        <f t="shared" si="19"/>
        <v>0</v>
      </c>
      <c r="R64" s="95" t="s">
        <v>202</v>
      </c>
      <c r="S64" s="99">
        <v>0</v>
      </c>
      <c r="T64" s="92">
        <f t="shared" si="20"/>
        <v>0</v>
      </c>
      <c r="U64" s="95" t="s">
        <v>202</v>
      </c>
      <c r="V64" s="99">
        <v>0</v>
      </c>
      <c r="W64" s="92">
        <f t="shared" si="21"/>
        <v>0</v>
      </c>
      <c r="X64" s="95" t="s">
        <v>202</v>
      </c>
      <c r="Y64" s="99">
        <v>0</v>
      </c>
      <c r="Z64" s="92">
        <f t="shared" si="22"/>
        <v>0</v>
      </c>
    </row>
    <row r="65" spans="1:26">
      <c r="A65" s="231"/>
      <c r="B65" s="236"/>
      <c r="C65" s="32" t="s">
        <v>113</v>
      </c>
      <c r="D65" s="34">
        <f>'ECONOMIA &amp; PROFESIONES'!$P$16</f>
        <v>3900</v>
      </c>
      <c r="E65" s="53">
        <f t="shared" si="23"/>
        <v>0</v>
      </c>
      <c r="F65" s="95" t="s">
        <v>202</v>
      </c>
      <c r="G65" s="99">
        <v>0</v>
      </c>
      <c r="H65" s="92">
        <f t="shared" si="16"/>
        <v>0</v>
      </c>
      <c r="I65" s="95" t="s">
        <v>202</v>
      </c>
      <c r="J65" s="99">
        <v>0</v>
      </c>
      <c r="K65" s="92">
        <f t="shared" si="17"/>
        <v>0</v>
      </c>
      <c r="L65" s="95" t="s">
        <v>202</v>
      </c>
      <c r="M65" s="99">
        <v>0</v>
      </c>
      <c r="N65" s="92">
        <f t="shared" si="18"/>
        <v>0</v>
      </c>
      <c r="O65" s="95" t="s">
        <v>202</v>
      </c>
      <c r="P65" s="99">
        <v>0</v>
      </c>
      <c r="Q65" s="92">
        <f t="shared" si="19"/>
        <v>0</v>
      </c>
      <c r="R65" s="95" t="s">
        <v>202</v>
      </c>
      <c r="S65" s="99">
        <v>0</v>
      </c>
      <c r="T65" s="92">
        <f t="shared" si="20"/>
        <v>0</v>
      </c>
      <c r="U65" s="95" t="s">
        <v>202</v>
      </c>
      <c r="V65" s="99">
        <v>0</v>
      </c>
      <c r="W65" s="92">
        <f t="shared" si="21"/>
        <v>0</v>
      </c>
      <c r="X65" s="95" t="s">
        <v>202</v>
      </c>
      <c r="Y65" s="99">
        <v>0</v>
      </c>
      <c r="Z65" s="92">
        <f t="shared" si="22"/>
        <v>0</v>
      </c>
    </row>
    <row r="66" spans="1:26">
      <c r="A66" s="231"/>
      <c r="B66" s="236"/>
      <c r="C66" s="31" t="s">
        <v>114</v>
      </c>
      <c r="D66" s="34">
        <f>'ECONOMIA &amp; PROFESIONES'!$P$17</f>
        <v>4140</v>
      </c>
      <c r="E66" s="53">
        <f t="shared" si="23"/>
        <v>0</v>
      </c>
      <c r="F66" s="95" t="s">
        <v>202</v>
      </c>
      <c r="G66" s="99">
        <v>0</v>
      </c>
      <c r="H66" s="92">
        <f t="shared" si="16"/>
        <v>0</v>
      </c>
      <c r="I66" s="95" t="s">
        <v>202</v>
      </c>
      <c r="J66" s="99">
        <v>0</v>
      </c>
      <c r="K66" s="92">
        <f t="shared" si="17"/>
        <v>0</v>
      </c>
      <c r="L66" s="95" t="s">
        <v>202</v>
      </c>
      <c r="M66" s="99">
        <v>0</v>
      </c>
      <c r="N66" s="92">
        <f t="shared" si="18"/>
        <v>0</v>
      </c>
      <c r="O66" s="95" t="s">
        <v>202</v>
      </c>
      <c r="P66" s="99">
        <v>0</v>
      </c>
      <c r="Q66" s="92">
        <f t="shared" si="19"/>
        <v>0</v>
      </c>
      <c r="R66" s="95" t="s">
        <v>202</v>
      </c>
      <c r="S66" s="99">
        <v>0</v>
      </c>
      <c r="T66" s="92">
        <f t="shared" si="20"/>
        <v>0</v>
      </c>
      <c r="U66" s="95" t="s">
        <v>202</v>
      </c>
      <c r="V66" s="99">
        <v>0</v>
      </c>
      <c r="W66" s="92">
        <f t="shared" si="21"/>
        <v>0</v>
      </c>
      <c r="X66" s="95" t="s">
        <v>202</v>
      </c>
      <c r="Y66" s="99">
        <v>0</v>
      </c>
      <c r="Z66" s="92">
        <f t="shared" si="22"/>
        <v>0</v>
      </c>
    </row>
    <row r="67" spans="1:26">
      <c r="A67" s="231"/>
      <c r="B67" s="235"/>
      <c r="C67" s="32" t="s">
        <v>115</v>
      </c>
      <c r="D67" s="34">
        <f>'ECONOMIA &amp; PROFESIONES'!$P$18</f>
        <v>4060</v>
      </c>
      <c r="E67" s="53">
        <f t="shared" si="23"/>
        <v>0</v>
      </c>
      <c r="F67" s="95" t="s">
        <v>202</v>
      </c>
      <c r="G67" s="99">
        <v>0</v>
      </c>
      <c r="H67" s="92">
        <f t="shared" si="16"/>
        <v>0</v>
      </c>
      <c r="I67" s="95" t="s">
        <v>202</v>
      </c>
      <c r="J67" s="99">
        <v>0</v>
      </c>
      <c r="K67" s="92">
        <f t="shared" si="17"/>
        <v>0</v>
      </c>
      <c r="L67" s="95" t="s">
        <v>202</v>
      </c>
      <c r="M67" s="99">
        <v>0</v>
      </c>
      <c r="N67" s="92">
        <f t="shared" si="18"/>
        <v>0</v>
      </c>
      <c r="O67" s="95" t="s">
        <v>202</v>
      </c>
      <c r="P67" s="99">
        <v>0</v>
      </c>
      <c r="Q67" s="92">
        <f t="shared" si="19"/>
        <v>0</v>
      </c>
      <c r="R67" s="95" t="s">
        <v>202</v>
      </c>
      <c r="S67" s="99">
        <v>0</v>
      </c>
      <c r="T67" s="92">
        <f t="shared" si="20"/>
        <v>0</v>
      </c>
      <c r="U67" s="95" t="s">
        <v>202</v>
      </c>
      <c r="V67" s="99">
        <v>0</v>
      </c>
      <c r="W67" s="92">
        <f t="shared" si="21"/>
        <v>0</v>
      </c>
      <c r="X67" s="95" t="s">
        <v>202</v>
      </c>
      <c r="Y67" s="99">
        <v>0</v>
      </c>
      <c r="Z67" s="92">
        <f t="shared" si="22"/>
        <v>0</v>
      </c>
    </row>
    <row r="68" spans="1:26">
      <c r="A68" s="231"/>
      <c r="B68" s="235"/>
      <c r="C68" s="31" t="s">
        <v>116</v>
      </c>
      <c r="D68" s="34">
        <f>'ECONOMIA &amp; PROFESIONES'!$P$19</f>
        <v>3820</v>
      </c>
      <c r="E68" s="53">
        <f t="shared" si="23"/>
        <v>0</v>
      </c>
      <c r="F68" s="95" t="s">
        <v>202</v>
      </c>
      <c r="G68" s="99">
        <v>0</v>
      </c>
      <c r="H68" s="92">
        <f t="shared" si="16"/>
        <v>0</v>
      </c>
      <c r="I68" s="95" t="s">
        <v>202</v>
      </c>
      <c r="J68" s="99">
        <v>0</v>
      </c>
      <c r="K68" s="92">
        <f t="shared" si="17"/>
        <v>0</v>
      </c>
      <c r="L68" s="95" t="s">
        <v>202</v>
      </c>
      <c r="M68" s="99">
        <v>0</v>
      </c>
      <c r="N68" s="92">
        <f t="shared" si="18"/>
        <v>0</v>
      </c>
      <c r="O68" s="95" t="s">
        <v>202</v>
      </c>
      <c r="P68" s="99">
        <v>0</v>
      </c>
      <c r="Q68" s="92">
        <f t="shared" si="19"/>
        <v>0</v>
      </c>
      <c r="R68" s="95" t="s">
        <v>202</v>
      </c>
      <c r="S68" s="99">
        <v>0</v>
      </c>
      <c r="T68" s="92">
        <f t="shared" si="20"/>
        <v>0</v>
      </c>
      <c r="U68" s="95" t="s">
        <v>202</v>
      </c>
      <c r="V68" s="99">
        <v>0</v>
      </c>
      <c r="W68" s="92">
        <f t="shared" si="21"/>
        <v>0</v>
      </c>
      <c r="X68" s="95" t="s">
        <v>202</v>
      </c>
      <c r="Y68" s="99">
        <v>0</v>
      </c>
      <c r="Z68" s="92">
        <f t="shared" si="22"/>
        <v>0</v>
      </c>
    </row>
    <row r="69" spans="1:26">
      <c r="A69" s="231"/>
      <c r="B69" s="237" t="s">
        <v>354</v>
      </c>
      <c r="C69" s="32" t="s">
        <v>6</v>
      </c>
      <c r="D69" s="34">
        <f>'ECONOMIA &amp; PROFESIONES'!$P$20</f>
        <v>5260</v>
      </c>
      <c r="E69" s="53">
        <f t="shared" si="23"/>
        <v>0</v>
      </c>
      <c r="F69" s="95" t="s">
        <v>202</v>
      </c>
      <c r="G69" s="99">
        <v>0</v>
      </c>
      <c r="H69" s="92">
        <f t="shared" si="16"/>
        <v>0</v>
      </c>
      <c r="I69" s="95" t="s">
        <v>202</v>
      </c>
      <c r="J69" s="99">
        <v>0</v>
      </c>
      <c r="K69" s="92">
        <f t="shared" si="17"/>
        <v>0</v>
      </c>
      <c r="L69" s="95" t="s">
        <v>202</v>
      </c>
      <c r="M69" s="99">
        <v>0</v>
      </c>
      <c r="N69" s="92">
        <f t="shared" si="18"/>
        <v>0</v>
      </c>
      <c r="O69" s="95" t="s">
        <v>202</v>
      </c>
      <c r="P69" s="99">
        <v>0</v>
      </c>
      <c r="Q69" s="92">
        <f t="shared" si="19"/>
        <v>0</v>
      </c>
      <c r="R69" s="95" t="s">
        <v>202</v>
      </c>
      <c r="S69" s="99">
        <v>0</v>
      </c>
      <c r="T69" s="92">
        <f t="shared" si="20"/>
        <v>0</v>
      </c>
      <c r="U69" s="95" t="s">
        <v>202</v>
      </c>
      <c r="V69" s="99">
        <v>0</v>
      </c>
      <c r="W69" s="92">
        <f t="shared" si="21"/>
        <v>0</v>
      </c>
      <c r="X69" s="95" t="s">
        <v>202</v>
      </c>
      <c r="Y69" s="99">
        <v>0</v>
      </c>
      <c r="Z69" s="92">
        <f t="shared" si="22"/>
        <v>0</v>
      </c>
    </row>
    <row r="70" spans="1:26">
      <c r="A70" s="231"/>
      <c r="B70" s="238"/>
      <c r="C70" s="31" t="s">
        <v>113</v>
      </c>
      <c r="D70" s="34">
        <f>'ECONOMIA &amp; PROFESIONES'!$P$21</f>
        <v>5650</v>
      </c>
      <c r="E70" s="53">
        <f t="shared" si="23"/>
        <v>0</v>
      </c>
      <c r="F70" s="95" t="s">
        <v>202</v>
      </c>
      <c r="G70" s="99">
        <v>0</v>
      </c>
      <c r="H70" s="92">
        <f t="shared" si="16"/>
        <v>0</v>
      </c>
      <c r="I70" s="95" t="s">
        <v>202</v>
      </c>
      <c r="J70" s="99">
        <v>0</v>
      </c>
      <c r="K70" s="92">
        <f t="shared" si="17"/>
        <v>0</v>
      </c>
      <c r="L70" s="95" t="s">
        <v>202</v>
      </c>
      <c r="M70" s="99">
        <v>0</v>
      </c>
      <c r="N70" s="92">
        <f t="shared" si="18"/>
        <v>0</v>
      </c>
      <c r="O70" s="95" t="s">
        <v>202</v>
      </c>
      <c r="P70" s="99">
        <v>0</v>
      </c>
      <c r="Q70" s="92">
        <f t="shared" si="19"/>
        <v>0</v>
      </c>
      <c r="R70" s="95" t="s">
        <v>202</v>
      </c>
      <c r="S70" s="99">
        <v>0</v>
      </c>
      <c r="T70" s="92">
        <f t="shared" si="20"/>
        <v>0</v>
      </c>
      <c r="U70" s="95" t="s">
        <v>202</v>
      </c>
      <c r="V70" s="99">
        <v>0</v>
      </c>
      <c r="W70" s="92">
        <f t="shared" si="21"/>
        <v>0</v>
      </c>
      <c r="X70" s="95" t="s">
        <v>202</v>
      </c>
      <c r="Y70" s="99">
        <v>0</v>
      </c>
      <c r="Z70" s="92">
        <f t="shared" si="22"/>
        <v>0</v>
      </c>
    </row>
    <row r="71" spans="1:26">
      <c r="A71" s="231"/>
      <c r="B71" s="238"/>
      <c r="C71" s="32" t="s">
        <v>114</v>
      </c>
      <c r="D71" s="34">
        <f>'ECONOMIA &amp; PROFESIONES'!$P$22</f>
        <v>6040</v>
      </c>
      <c r="E71" s="53">
        <f t="shared" si="23"/>
        <v>0</v>
      </c>
      <c r="F71" s="95" t="s">
        <v>202</v>
      </c>
      <c r="G71" s="99">
        <v>0</v>
      </c>
      <c r="H71" s="92">
        <f t="shared" si="16"/>
        <v>0</v>
      </c>
      <c r="I71" s="95" t="s">
        <v>202</v>
      </c>
      <c r="J71" s="99">
        <v>0</v>
      </c>
      <c r="K71" s="92">
        <f t="shared" si="17"/>
        <v>0</v>
      </c>
      <c r="L71" s="95" t="s">
        <v>202</v>
      </c>
      <c r="M71" s="99">
        <v>0</v>
      </c>
      <c r="N71" s="92">
        <f t="shared" si="18"/>
        <v>0</v>
      </c>
      <c r="O71" s="95" t="s">
        <v>202</v>
      </c>
      <c r="P71" s="99">
        <v>0</v>
      </c>
      <c r="Q71" s="92">
        <f t="shared" si="19"/>
        <v>0</v>
      </c>
      <c r="R71" s="95" t="s">
        <v>202</v>
      </c>
      <c r="S71" s="99">
        <v>0</v>
      </c>
      <c r="T71" s="92">
        <f t="shared" si="20"/>
        <v>0</v>
      </c>
      <c r="U71" s="95" t="s">
        <v>202</v>
      </c>
      <c r="V71" s="99">
        <v>0</v>
      </c>
      <c r="W71" s="92">
        <f t="shared" si="21"/>
        <v>0</v>
      </c>
      <c r="X71" s="95" t="s">
        <v>202</v>
      </c>
      <c r="Y71" s="99">
        <v>0</v>
      </c>
      <c r="Z71" s="92">
        <f t="shared" si="22"/>
        <v>0</v>
      </c>
    </row>
    <row r="72" spans="1:26">
      <c r="A72" s="231"/>
      <c r="B72" s="233"/>
      <c r="C72" s="31" t="s">
        <v>115</v>
      </c>
      <c r="D72" s="34">
        <f>'ECONOMIA &amp; PROFESIONES'!$P$23</f>
        <v>5910</v>
      </c>
      <c r="E72" s="53">
        <f t="shared" si="23"/>
        <v>0</v>
      </c>
      <c r="F72" s="95" t="s">
        <v>202</v>
      </c>
      <c r="G72" s="99">
        <v>0</v>
      </c>
      <c r="H72" s="92">
        <f t="shared" si="16"/>
        <v>0</v>
      </c>
      <c r="I72" s="95" t="s">
        <v>202</v>
      </c>
      <c r="J72" s="99">
        <v>0</v>
      </c>
      <c r="K72" s="92">
        <f t="shared" si="17"/>
        <v>0</v>
      </c>
      <c r="L72" s="95" t="s">
        <v>202</v>
      </c>
      <c r="M72" s="99">
        <v>0</v>
      </c>
      <c r="N72" s="92">
        <f t="shared" si="18"/>
        <v>0</v>
      </c>
      <c r="O72" s="95" t="s">
        <v>202</v>
      </c>
      <c r="P72" s="99">
        <v>0</v>
      </c>
      <c r="Q72" s="92">
        <f t="shared" si="19"/>
        <v>0</v>
      </c>
      <c r="R72" s="95" t="s">
        <v>202</v>
      </c>
      <c r="S72" s="99">
        <v>0</v>
      </c>
      <c r="T72" s="92">
        <f t="shared" si="20"/>
        <v>0</v>
      </c>
      <c r="U72" s="95" t="s">
        <v>202</v>
      </c>
      <c r="V72" s="99">
        <v>0</v>
      </c>
      <c r="W72" s="92">
        <f t="shared" si="21"/>
        <v>0</v>
      </c>
      <c r="X72" s="95" t="s">
        <v>202</v>
      </c>
      <c r="Y72" s="99">
        <v>0</v>
      </c>
      <c r="Z72" s="92">
        <f t="shared" si="22"/>
        <v>0</v>
      </c>
    </row>
    <row r="73" spans="1:26">
      <c r="A73" s="231"/>
      <c r="B73" s="239"/>
      <c r="C73" s="32" t="s">
        <v>116</v>
      </c>
      <c r="D73" s="34">
        <f>'ECONOMIA &amp; PROFESIONES'!$P$24</f>
        <v>5520</v>
      </c>
      <c r="E73" s="53">
        <f t="shared" si="23"/>
        <v>0</v>
      </c>
      <c r="F73" s="95" t="s">
        <v>202</v>
      </c>
      <c r="G73" s="99">
        <v>0</v>
      </c>
      <c r="H73" s="92">
        <f t="shared" si="16"/>
        <v>0</v>
      </c>
      <c r="I73" s="95" t="s">
        <v>202</v>
      </c>
      <c r="J73" s="99">
        <v>0</v>
      </c>
      <c r="K73" s="92">
        <f t="shared" si="17"/>
        <v>0</v>
      </c>
      <c r="L73" s="95" t="s">
        <v>202</v>
      </c>
      <c r="M73" s="99">
        <v>0</v>
      </c>
      <c r="N73" s="92">
        <f t="shared" si="18"/>
        <v>0</v>
      </c>
      <c r="O73" s="95" t="s">
        <v>202</v>
      </c>
      <c r="P73" s="99">
        <v>0</v>
      </c>
      <c r="Q73" s="92">
        <f t="shared" si="19"/>
        <v>0</v>
      </c>
      <c r="R73" s="95" t="s">
        <v>202</v>
      </c>
      <c r="S73" s="99">
        <v>0</v>
      </c>
      <c r="T73" s="92">
        <f t="shared" si="20"/>
        <v>0</v>
      </c>
      <c r="U73" s="95" t="s">
        <v>202</v>
      </c>
      <c r="V73" s="99">
        <v>0</v>
      </c>
      <c r="W73" s="92">
        <f t="shared" si="21"/>
        <v>0</v>
      </c>
      <c r="X73" s="95" t="s">
        <v>202</v>
      </c>
      <c r="Y73" s="99">
        <v>0</v>
      </c>
      <c r="Z73" s="92">
        <f t="shared" si="22"/>
        <v>0</v>
      </c>
    </row>
    <row r="74" spans="1:26">
      <c r="A74" s="231"/>
      <c r="B74" s="235" t="s">
        <v>352</v>
      </c>
      <c r="C74" s="31" t="s">
        <v>6</v>
      </c>
      <c r="D74" s="34">
        <f>'ECONOMIA &amp; PROFESIONES'!$P$25</f>
        <v>6860</v>
      </c>
      <c r="E74" s="53">
        <f t="shared" si="23"/>
        <v>0</v>
      </c>
      <c r="F74" s="95" t="s">
        <v>202</v>
      </c>
      <c r="G74" s="99">
        <v>0</v>
      </c>
      <c r="H74" s="92">
        <f t="shared" si="16"/>
        <v>0</v>
      </c>
      <c r="I74" s="95" t="s">
        <v>202</v>
      </c>
      <c r="J74" s="99">
        <v>0</v>
      </c>
      <c r="K74" s="92">
        <f t="shared" si="17"/>
        <v>0</v>
      </c>
      <c r="L74" s="95" t="s">
        <v>202</v>
      </c>
      <c r="M74" s="99">
        <v>0</v>
      </c>
      <c r="N74" s="92">
        <f t="shared" si="18"/>
        <v>0</v>
      </c>
      <c r="O74" s="95" t="s">
        <v>202</v>
      </c>
      <c r="P74" s="99">
        <v>0</v>
      </c>
      <c r="Q74" s="92">
        <f t="shared" si="19"/>
        <v>0</v>
      </c>
      <c r="R74" s="95" t="s">
        <v>202</v>
      </c>
      <c r="S74" s="99">
        <v>0</v>
      </c>
      <c r="T74" s="92">
        <f t="shared" si="20"/>
        <v>0</v>
      </c>
      <c r="U74" s="95" t="s">
        <v>202</v>
      </c>
      <c r="V74" s="99">
        <v>0</v>
      </c>
      <c r="W74" s="92">
        <f t="shared" si="21"/>
        <v>0</v>
      </c>
      <c r="X74" s="95" t="s">
        <v>202</v>
      </c>
      <c r="Y74" s="99">
        <v>0</v>
      </c>
      <c r="Z74" s="92">
        <f t="shared" si="22"/>
        <v>0</v>
      </c>
    </row>
    <row r="75" spans="1:26">
      <c r="A75" s="231"/>
      <c r="B75" s="235"/>
      <c r="C75" s="32" t="s">
        <v>113</v>
      </c>
      <c r="D75" s="34">
        <f>'ECONOMIA &amp; PROFESIONES'!$P$26</f>
        <v>7400</v>
      </c>
      <c r="E75" s="53">
        <f t="shared" si="23"/>
        <v>0</v>
      </c>
      <c r="F75" s="95" t="s">
        <v>202</v>
      </c>
      <c r="G75" s="99">
        <v>0</v>
      </c>
      <c r="H75" s="92">
        <f t="shared" si="16"/>
        <v>0</v>
      </c>
      <c r="I75" s="95" t="s">
        <v>202</v>
      </c>
      <c r="J75" s="99">
        <v>0</v>
      </c>
      <c r="K75" s="92">
        <f t="shared" si="17"/>
        <v>0</v>
      </c>
      <c r="L75" s="95" t="s">
        <v>202</v>
      </c>
      <c r="M75" s="99">
        <v>0</v>
      </c>
      <c r="N75" s="92">
        <f t="shared" si="18"/>
        <v>0</v>
      </c>
      <c r="O75" s="95" t="s">
        <v>202</v>
      </c>
      <c r="P75" s="99">
        <v>0</v>
      </c>
      <c r="Q75" s="92">
        <f t="shared" si="19"/>
        <v>0</v>
      </c>
      <c r="R75" s="95" t="s">
        <v>202</v>
      </c>
      <c r="S75" s="99">
        <v>0</v>
      </c>
      <c r="T75" s="92">
        <f t="shared" si="20"/>
        <v>0</v>
      </c>
      <c r="U75" s="95" t="s">
        <v>202</v>
      </c>
      <c r="V75" s="99">
        <v>0</v>
      </c>
      <c r="W75" s="92">
        <f t="shared" si="21"/>
        <v>0</v>
      </c>
      <c r="X75" s="95" t="s">
        <v>202</v>
      </c>
      <c r="Y75" s="99">
        <v>0</v>
      </c>
      <c r="Z75" s="92">
        <f t="shared" si="22"/>
        <v>0</v>
      </c>
    </row>
    <row r="76" spans="1:26">
      <c r="A76" s="231"/>
      <c r="B76" s="235"/>
      <c r="C76" s="31" t="s">
        <v>114</v>
      </c>
      <c r="D76" s="34">
        <f>'ECONOMIA &amp; PROFESIONES'!$P$27</f>
        <v>7940</v>
      </c>
      <c r="E76" s="53">
        <f t="shared" si="23"/>
        <v>0</v>
      </c>
      <c r="F76" s="95" t="s">
        <v>202</v>
      </c>
      <c r="G76" s="99">
        <v>0</v>
      </c>
      <c r="H76" s="92">
        <f t="shared" si="16"/>
        <v>0</v>
      </c>
      <c r="I76" s="95" t="s">
        <v>202</v>
      </c>
      <c r="J76" s="99">
        <v>0</v>
      </c>
      <c r="K76" s="92">
        <f t="shared" si="17"/>
        <v>0</v>
      </c>
      <c r="L76" s="95" t="s">
        <v>202</v>
      </c>
      <c r="M76" s="99">
        <v>0</v>
      </c>
      <c r="N76" s="92">
        <f t="shared" si="18"/>
        <v>0</v>
      </c>
      <c r="O76" s="95" t="s">
        <v>202</v>
      </c>
      <c r="P76" s="99">
        <v>0</v>
      </c>
      <c r="Q76" s="92">
        <f t="shared" si="19"/>
        <v>0</v>
      </c>
      <c r="R76" s="95" t="s">
        <v>202</v>
      </c>
      <c r="S76" s="99">
        <v>0</v>
      </c>
      <c r="T76" s="92">
        <f t="shared" si="20"/>
        <v>0</v>
      </c>
      <c r="U76" s="95" t="s">
        <v>202</v>
      </c>
      <c r="V76" s="99">
        <v>0</v>
      </c>
      <c r="W76" s="92">
        <f t="shared" si="21"/>
        <v>0</v>
      </c>
      <c r="X76" s="95" t="s">
        <v>202</v>
      </c>
      <c r="Y76" s="99">
        <v>0</v>
      </c>
      <c r="Z76" s="92">
        <f t="shared" si="22"/>
        <v>0</v>
      </c>
    </row>
    <row r="77" spans="1:26">
      <c r="A77" s="231"/>
      <c r="B77" s="235"/>
      <c r="C77" s="32" t="s">
        <v>115</v>
      </c>
      <c r="D77" s="34">
        <f>'ECONOMIA &amp; PROFESIONES'!$P$28</f>
        <v>7760</v>
      </c>
      <c r="E77" s="53">
        <f t="shared" si="23"/>
        <v>0</v>
      </c>
      <c r="F77" s="95" t="s">
        <v>202</v>
      </c>
      <c r="G77" s="99">
        <v>0</v>
      </c>
      <c r="H77" s="92">
        <f t="shared" si="16"/>
        <v>0</v>
      </c>
      <c r="I77" s="95" t="s">
        <v>202</v>
      </c>
      <c r="J77" s="99">
        <v>0</v>
      </c>
      <c r="K77" s="92">
        <f t="shared" si="17"/>
        <v>0</v>
      </c>
      <c r="L77" s="95" t="s">
        <v>202</v>
      </c>
      <c r="M77" s="99">
        <v>0</v>
      </c>
      <c r="N77" s="92">
        <f t="shared" si="18"/>
        <v>0</v>
      </c>
      <c r="O77" s="95" t="s">
        <v>202</v>
      </c>
      <c r="P77" s="99">
        <v>0</v>
      </c>
      <c r="Q77" s="92">
        <f t="shared" si="19"/>
        <v>0</v>
      </c>
      <c r="R77" s="95" t="s">
        <v>202</v>
      </c>
      <c r="S77" s="99">
        <v>0</v>
      </c>
      <c r="T77" s="92">
        <f t="shared" si="20"/>
        <v>0</v>
      </c>
      <c r="U77" s="95" t="s">
        <v>202</v>
      </c>
      <c r="V77" s="99">
        <v>0</v>
      </c>
      <c r="W77" s="92">
        <f t="shared" si="21"/>
        <v>0</v>
      </c>
      <c r="X77" s="95" t="s">
        <v>202</v>
      </c>
      <c r="Y77" s="99">
        <v>0</v>
      </c>
      <c r="Z77" s="92">
        <f t="shared" si="22"/>
        <v>0</v>
      </c>
    </row>
    <row r="78" spans="1:26">
      <c r="A78" s="231"/>
      <c r="B78" s="235"/>
      <c r="C78" s="31" t="s">
        <v>116</v>
      </c>
      <c r="D78" s="34">
        <f>'ECONOMIA &amp; PROFESIONES'!$P$29</f>
        <v>7220</v>
      </c>
      <c r="E78" s="53">
        <f t="shared" si="23"/>
        <v>0</v>
      </c>
      <c r="F78" s="95" t="s">
        <v>202</v>
      </c>
      <c r="G78" s="99">
        <v>0</v>
      </c>
      <c r="H78" s="92">
        <f t="shared" si="16"/>
        <v>0</v>
      </c>
      <c r="I78" s="95" t="s">
        <v>202</v>
      </c>
      <c r="J78" s="99">
        <v>0</v>
      </c>
      <c r="K78" s="92">
        <f t="shared" si="17"/>
        <v>0</v>
      </c>
      <c r="L78" s="95" t="s">
        <v>202</v>
      </c>
      <c r="M78" s="99">
        <v>0</v>
      </c>
      <c r="N78" s="92">
        <f t="shared" si="18"/>
        <v>0</v>
      </c>
      <c r="O78" s="95" t="s">
        <v>202</v>
      </c>
      <c r="P78" s="99">
        <v>0</v>
      </c>
      <c r="Q78" s="92">
        <f t="shared" si="19"/>
        <v>0</v>
      </c>
      <c r="R78" s="95" t="s">
        <v>202</v>
      </c>
      <c r="S78" s="99">
        <v>0</v>
      </c>
      <c r="T78" s="92">
        <f t="shared" si="20"/>
        <v>0</v>
      </c>
      <c r="U78" s="95" t="s">
        <v>202</v>
      </c>
      <c r="V78" s="99">
        <v>0</v>
      </c>
      <c r="W78" s="92">
        <f t="shared" si="21"/>
        <v>0</v>
      </c>
      <c r="X78" s="95" t="s">
        <v>202</v>
      </c>
      <c r="Y78" s="99">
        <v>0</v>
      </c>
      <c r="Z78" s="92">
        <f t="shared" si="22"/>
        <v>0</v>
      </c>
    </row>
    <row r="79" spans="1:26">
      <c r="A79" s="231" t="s">
        <v>3</v>
      </c>
      <c r="B79" s="81"/>
      <c r="C79" s="81"/>
      <c r="D79" s="108"/>
      <c r="E79" s="98" t="s">
        <v>277</v>
      </c>
      <c r="F79" s="98" t="s">
        <v>278</v>
      </c>
      <c r="G79" s="98" t="s">
        <v>355</v>
      </c>
      <c r="H79" s="98" t="s">
        <v>194</v>
      </c>
      <c r="I79" s="98" t="s">
        <v>279</v>
      </c>
      <c r="J79" s="98" t="s">
        <v>355</v>
      </c>
      <c r="K79" s="98" t="s">
        <v>194</v>
      </c>
      <c r="L79" s="98" t="s">
        <v>295</v>
      </c>
      <c r="M79" s="98" t="s">
        <v>355</v>
      </c>
      <c r="N79" s="98" t="s">
        <v>194</v>
      </c>
      <c r="O79" s="98" t="s">
        <v>348</v>
      </c>
      <c r="P79" s="98" t="s">
        <v>355</v>
      </c>
      <c r="Q79" s="98" t="s">
        <v>194</v>
      </c>
      <c r="R79" s="98" t="s">
        <v>349</v>
      </c>
      <c r="S79" s="98" t="s">
        <v>355</v>
      </c>
      <c r="T79" s="98" t="s">
        <v>194</v>
      </c>
      <c r="U79" s="98" t="s">
        <v>350</v>
      </c>
      <c r="V79" s="98" t="s">
        <v>355</v>
      </c>
      <c r="W79" s="98" t="s">
        <v>194</v>
      </c>
      <c r="X79" s="98" t="s">
        <v>351</v>
      </c>
      <c r="Y79" s="98" t="s">
        <v>355</v>
      </c>
      <c r="Z79" s="98" t="s">
        <v>194</v>
      </c>
    </row>
    <row r="80" spans="1:26">
      <c r="A80" s="231"/>
      <c r="B80" s="240" t="s">
        <v>286</v>
      </c>
      <c r="C80" s="31" t="s">
        <v>6</v>
      </c>
      <c r="D80" s="35">
        <f>'ECONOMIA &amp; PROFESIONES'!$Q$5</f>
        <v>514</v>
      </c>
      <c r="E80" s="53">
        <f>(H80*G80)+(K80*J80)+(M80*N80)+(P80*Q80)+(S80*T80)+(V80*W80)+(Y80*Z80)</f>
        <v>0</v>
      </c>
      <c r="F80" s="95" t="s">
        <v>202</v>
      </c>
      <c r="G80" s="99">
        <v>0</v>
      </c>
      <c r="H80" s="92">
        <f t="shared" ref="H80:H104" si="24">VLOOKUP(F80,craftedesp,3,FALSE)</f>
        <v>0</v>
      </c>
      <c r="I80" s="95" t="s">
        <v>202</v>
      </c>
      <c r="J80" s="99">
        <v>0</v>
      </c>
      <c r="K80" s="92">
        <f t="shared" ref="K80:K104" si="25">VLOOKUP(I80,craftedesp,3,FALSE)</f>
        <v>0</v>
      </c>
      <c r="L80" s="95" t="s">
        <v>202</v>
      </c>
      <c r="M80" s="99">
        <v>0</v>
      </c>
      <c r="N80" s="92">
        <f t="shared" ref="N80:N104" si="26">VLOOKUP(L80,craftedesp,3,FALSE)</f>
        <v>0</v>
      </c>
      <c r="O80" s="95" t="s">
        <v>202</v>
      </c>
      <c r="P80" s="99">
        <v>0</v>
      </c>
      <c r="Q80" s="92">
        <f t="shared" ref="Q80:Q104" si="27">VLOOKUP(O80,craftedesp,3,FALSE)</f>
        <v>0</v>
      </c>
      <c r="R80" s="95" t="s">
        <v>202</v>
      </c>
      <c r="S80" s="99">
        <v>0</v>
      </c>
      <c r="T80" s="92">
        <f t="shared" ref="T80:T104" si="28">VLOOKUP(R80,craftedesp,3,FALSE)</f>
        <v>0</v>
      </c>
      <c r="U80" s="95" t="s">
        <v>202</v>
      </c>
      <c r="V80" s="99">
        <v>0</v>
      </c>
      <c r="W80" s="92">
        <f t="shared" ref="W80:W104" si="29">VLOOKUP(U80,craftedesp,3,FALSE)</f>
        <v>0</v>
      </c>
      <c r="X80" s="95" t="s">
        <v>202</v>
      </c>
      <c r="Y80" s="99">
        <v>0</v>
      </c>
      <c r="Z80" s="92">
        <f t="shared" ref="Z80:Z104" si="30">VLOOKUP(X80,craftedesp,3,FALSE)</f>
        <v>0</v>
      </c>
    </row>
    <row r="81" spans="1:26">
      <c r="A81" s="231"/>
      <c r="B81" s="241"/>
      <c r="C81" s="32" t="s">
        <v>113</v>
      </c>
      <c r="D81" s="35">
        <f>'ECONOMIA &amp; PROFESIONES'!$Q$6</f>
        <v>535</v>
      </c>
      <c r="E81" s="53">
        <f t="shared" ref="E81:E104" si="31">(H81*G81)+(K81*J81)+(M81*N81)+(P81*Q81)+(S81*T81)+(V81*W81)+(Y81*Z81)</f>
        <v>0</v>
      </c>
      <c r="F81" s="95" t="s">
        <v>202</v>
      </c>
      <c r="G81" s="99">
        <v>0</v>
      </c>
      <c r="H81" s="92">
        <f t="shared" si="24"/>
        <v>0</v>
      </c>
      <c r="I81" s="95" t="s">
        <v>202</v>
      </c>
      <c r="J81" s="99">
        <v>0</v>
      </c>
      <c r="K81" s="92">
        <f t="shared" si="25"/>
        <v>0</v>
      </c>
      <c r="L81" s="95" t="s">
        <v>202</v>
      </c>
      <c r="M81" s="99">
        <v>0</v>
      </c>
      <c r="N81" s="92">
        <f t="shared" si="26"/>
        <v>0</v>
      </c>
      <c r="O81" s="95" t="s">
        <v>202</v>
      </c>
      <c r="P81" s="99">
        <v>0</v>
      </c>
      <c r="Q81" s="92">
        <f t="shared" si="27"/>
        <v>0</v>
      </c>
      <c r="R81" s="95" t="s">
        <v>202</v>
      </c>
      <c r="S81" s="99">
        <v>0</v>
      </c>
      <c r="T81" s="92">
        <f t="shared" si="28"/>
        <v>0</v>
      </c>
      <c r="U81" s="95" t="s">
        <v>202</v>
      </c>
      <c r="V81" s="99">
        <v>0</v>
      </c>
      <c r="W81" s="92">
        <f t="shared" si="29"/>
        <v>0</v>
      </c>
      <c r="X81" s="95" t="s">
        <v>202</v>
      </c>
      <c r="Y81" s="99">
        <v>0</v>
      </c>
      <c r="Z81" s="92">
        <f t="shared" si="30"/>
        <v>0</v>
      </c>
    </row>
    <row r="82" spans="1:26">
      <c r="A82" s="231"/>
      <c r="B82" s="241"/>
      <c r="C82" s="31" t="s">
        <v>114</v>
      </c>
      <c r="D82" s="35">
        <f>'ECONOMIA &amp; PROFESIONES'!$Q$7</f>
        <v>556</v>
      </c>
      <c r="E82" s="53">
        <f t="shared" si="31"/>
        <v>0</v>
      </c>
      <c r="F82" s="95" t="s">
        <v>202</v>
      </c>
      <c r="G82" s="99">
        <v>0</v>
      </c>
      <c r="H82" s="92">
        <f t="shared" si="24"/>
        <v>0</v>
      </c>
      <c r="I82" s="95" t="s">
        <v>202</v>
      </c>
      <c r="J82" s="99">
        <v>0</v>
      </c>
      <c r="K82" s="92">
        <f t="shared" si="25"/>
        <v>0</v>
      </c>
      <c r="L82" s="95" t="s">
        <v>202</v>
      </c>
      <c r="M82" s="99">
        <v>0</v>
      </c>
      <c r="N82" s="92">
        <f t="shared" si="26"/>
        <v>0</v>
      </c>
      <c r="O82" s="95" t="s">
        <v>202</v>
      </c>
      <c r="P82" s="99">
        <v>0</v>
      </c>
      <c r="Q82" s="92">
        <f t="shared" si="27"/>
        <v>0</v>
      </c>
      <c r="R82" s="95" t="s">
        <v>202</v>
      </c>
      <c r="S82" s="99">
        <v>0</v>
      </c>
      <c r="T82" s="92">
        <f t="shared" si="28"/>
        <v>0</v>
      </c>
      <c r="U82" s="95" t="s">
        <v>202</v>
      </c>
      <c r="V82" s="99">
        <v>0</v>
      </c>
      <c r="W82" s="92">
        <f t="shared" si="29"/>
        <v>0</v>
      </c>
      <c r="X82" s="95" t="s">
        <v>202</v>
      </c>
      <c r="Y82" s="99">
        <v>0</v>
      </c>
      <c r="Z82" s="92">
        <f t="shared" si="30"/>
        <v>0</v>
      </c>
    </row>
    <row r="83" spans="1:26">
      <c r="A83" s="231"/>
      <c r="B83" s="241"/>
      <c r="C83" s="32" t="s">
        <v>115</v>
      </c>
      <c r="D83" s="35">
        <f>'ECONOMIA &amp; PROFESIONES'!$Q$8</f>
        <v>549</v>
      </c>
      <c r="E83" s="53">
        <f t="shared" si="31"/>
        <v>0</v>
      </c>
      <c r="F83" s="95" t="s">
        <v>202</v>
      </c>
      <c r="G83" s="99">
        <v>0</v>
      </c>
      <c r="H83" s="92">
        <f t="shared" si="24"/>
        <v>0</v>
      </c>
      <c r="I83" s="95" t="s">
        <v>202</v>
      </c>
      <c r="J83" s="99">
        <v>0</v>
      </c>
      <c r="K83" s="92">
        <f t="shared" si="25"/>
        <v>0</v>
      </c>
      <c r="L83" s="95" t="s">
        <v>202</v>
      </c>
      <c r="M83" s="99">
        <v>0</v>
      </c>
      <c r="N83" s="92">
        <f t="shared" si="26"/>
        <v>0</v>
      </c>
      <c r="O83" s="95" t="s">
        <v>202</v>
      </c>
      <c r="P83" s="99">
        <v>0</v>
      </c>
      <c r="Q83" s="92">
        <f t="shared" si="27"/>
        <v>0</v>
      </c>
      <c r="R83" s="95" t="s">
        <v>202</v>
      </c>
      <c r="S83" s="99">
        <v>0</v>
      </c>
      <c r="T83" s="92">
        <f t="shared" si="28"/>
        <v>0</v>
      </c>
      <c r="U83" s="95" t="s">
        <v>202</v>
      </c>
      <c r="V83" s="99">
        <v>0</v>
      </c>
      <c r="W83" s="92">
        <f t="shared" si="29"/>
        <v>0</v>
      </c>
      <c r="X83" s="95" t="s">
        <v>202</v>
      </c>
      <c r="Y83" s="99">
        <v>0</v>
      </c>
      <c r="Z83" s="92">
        <f t="shared" si="30"/>
        <v>0</v>
      </c>
    </row>
    <row r="84" spans="1:26">
      <c r="A84" s="231"/>
      <c r="B84" s="242"/>
      <c r="C84" s="31" t="s">
        <v>116</v>
      </c>
      <c r="D84" s="35">
        <f>'ECONOMIA &amp; PROFESIONES'!$Q$9</f>
        <v>528</v>
      </c>
      <c r="E84" s="53">
        <f t="shared" si="31"/>
        <v>0</v>
      </c>
      <c r="F84" s="95" t="s">
        <v>202</v>
      </c>
      <c r="G84" s="99">
        <v>0</v>
      </c>
      <c r="H84" s="92">
        <f t="shared" si="24"/>
        <v>0</v>
      </c>
      <c r="I84" s="95" t="s">
        <v>202</v>
      </c>
      <c r="J84" s="99">
        <v>0</v>
      </c>
      <c r="K84" s="92">
        <f t="shared" si="25"/>
        <v>0</v>
      </c>
      <c r="L84" s="95" t="s">
        <v>202</v>
      </c>
      <c r="M84" s="99">
        <v>0</v>
      </c>
      <c r="N84" s="92">
        <f t="shared" si="26"/>
        <v>0</v>
      </c>
      <c r="O84" s="95" t="s">
        <v>202</v>
      </c>
      <c r="P84" s="99">
        <v>0</v>
      </c>
      <c r="Q84" s="92">
        <f t="shared" si="27"/>
        <v>0</v>
      </c>
      <c r="R84" s="95" t="s">
        <v>202</v>
      </c>
      <c r="S84" s="99">
        <v>0</v>
      </c>
      <c r="T84" s="92">
        <f t="shared" si="28"/>
        <v>0</v>
      </c>
      <c r="U84" s="95" t="s">
        <v>202</v>
      </c>
      <c r="V84" s="99">
        <v>0</v>
      </c>
      <c r="W84" s="92">
        <f t="shared" si="29"/>
        <v>0</v>
      </c>
      <c r="X84" s="95" t="s">
        <v>202</v>
      </c>
      <c r="Y84" s="99">
        <v>0</v>
      </c>
      <c r="Z84" s="92">
        <f t="shared" si="30"/>
        <v>0</v>
      </c>
    </row>
    <row r="85" spans="1:26">
      <c r="A85" s="231"/>
      <c r="B85" s="232" t="s">
        <v>287</v>
      </c>
      <c r="C85" s="32" t="s">
        <v>6</v>
      </c>
      <c r="D85" s="35">
        <f>'ECONOMIA &amp; PROFESIONES'!$Q$10</f>
        <v>2064</v>
      </c>
      <c r="E85" s="53">
        <f t="shared" si="31"/>
        <v>0</v>
      </c>
      <c r="F85" s="95" t="s">
        <v>202</v>
      </c>
      <c r="G85" s="99">
        <v>0</v>
      </c>
      <c r="H85" s="92">
        <f t="shared" si="24"/>
        <v>0</v>
      </c>
      <c r="I85" s="95" t="s">
        <v>202</v>
      </c>
      <c r="J85" s="99">
        <v>0</v>
      </c>
      <c r="K85" s="92">
        <f t="shared" si="25"/>
        <v>0</v>
      </c>
      <c r="L85" s="95" t="s">
        <v>202</v>
      </c>
      <c r="M85" s="99">
        <v>0</v>
      </c>
      <c r="N85" s="92">
        <f t="shared" si="26"/>
        <v>0</v>
      </c>
      <c r="O85" s="95" t="s">
        <v>202</v>
      </c>
      <c r="P85" s="99">
        <v>0</v>
      </c>
      <c r="Q85" s="92">
        <f t="shared" si="27"/>
        <v>0</v>
      </c>
      <c r="R85" s="95" t="s">
        <v>202</v>
      </c>
      <c r="S85" s="99">
        <v>0</v>
      </c>
      <c r="T85" s="92">
        <f t="shared" si="28"/>
        <v>0</v>
      </c>
      <c r="U85" s="95" t="s">
        <v>202</v>
      </c>
      <c r="V85" s="99">
        <v>0</v>
      </c>
      <c r="W85" s="92">
        <f t="shared" si="29"/>
        <v>0</v>
      </c>
      <c r="X85" s="95" t="s">
        <v>202</v>
      </c>
      <c r="Y85" s="99">
        <v>0</v>
      </c>
      <c r="Z85" s="92">
        <f t="shared" si="30"/>
        <v>0</v>
      </c>
    </row>
    <row r="86" spans="1:26">
      <c r="A86" s="231"/>
      <c r="B86" s="233"/>
      <c r="C86" s="31" t="s">
        <v>113</v>
      </c>
      <c r="D86" s="35">
        <f>'ECONOMIA &amp; PROFESIONES'!$Q$11</f>
        <v>2160</v>
      </c>
      <c r="E86" s="53">
        <f t="shared" si="31"/>
        <v>0</v>
      </c>
      <c r="F86" s="95" t="s">
        <v>202</v>
      </c>
      <c r="G86" s="99">
        <v>0</v>
      </c>
      <c r="H86" s="92">
        <f t="shared" si="24"/>
        <v>0</v>
      </c>
      <c r="I86" s="95" t="s">
        <v>202</v>
      </c>
      <c r="J86" s="99">
        <v>0</v>
      </c>
      <c r="K86" s="92">
        <f t="shared" si="25"/>
        <v>0</v>
      </c>
      <c r="L86" s="95" t="s">
        <v>202</v>
      </c>
      <c r="M86" s="99">
        <v>0</v>
      </c>
      <c r="N86" s="92">
        <f t="shared" si="26"/>
        <v>0</v>
      </c>
      <c r="O86" s="95" t="s">
        <v>202</v>
      </c>
      <c r="P86" s="99">
        <v>0</v>
      </c>
      <c r="Q86" s="92">
        <f t="shared" si="27"/>
        <v>0</v>
      </c>
      <c r="R86" s="95" t="s">
        <v>202</v>
      </c>
      <c r="S86" s="99">
        <v>0</v>
      </c>
      <c r="T86" s="92">
        <f t="shared" si="28"/>
        <v>0</v>
      </c>
      <c r="U86" s="95" t="s">
        <v>202</v>
      </c>
      <c r="V86" s="99">
        <v>0</v>
      </c>
      <c r="W86" s="92">
        <f t="shared" si="29"/>
        <v>0</v>
      </c>
      <c r="X86" s="95" t="s">
        <v>202</v>
      </c>
      <c r="Y86" s="99">
        <v>0</v>
      </c>
      <c r="Z86" s="92">
        <f t="shared" si="30"/>
        <v>0</v>
      </c>
    </row>
    <row r="87" spans="1:26">
      <c r="A87" s="231"/>
      <c r="B87" s="233"/>
      <c r="C87" s="32" t="s">
        <v>114</v>
      </c>
      <c r="D87" s="35">
        <f>'ECONOMIA &amp; PROFESIONES'!$Q$12</f>
        <v>2256</v>
      </c>
      <c r="E87" s="53">
        <f t="shared" si="31"/>
        <v>0</v>
      </c>
      <c r="F87" s="95" t="s">
        <v>202</v>
      </c>
      <c r="G87" s="99">
        <v>0</v>
      </c>
      <c r="H87" s="92">
        <f t="shared" si="24"/>
        <v>0</v>
      </c>
      <c r="I87" s="95" t="s">
        <v>202</v>
      </c>
      <c r="J87" s="99">
        <v>0</v>
      </c>
      <c r="K87" s="92">
        <f t="shared" si="25"/>
        <v>0</v>
      </c>
      <c r="L87" s="95" t="s">
        <v>202</v>
      </c>
      <c r="M87" s="99">
        <v>0</v>
      </c>
      <c r="N87" s="92">
        <f t="shared" si="26"/>
        <v>0</v>
      </c>
      <c r="O87" s="95" t="s">
        <v>202</v>
      </c>
      <c r="P87" s="99">
        <v>0</v>
      </c>
      <c r="Q87" s="92">
        <f t="shared" si="27"/>
        <v>0</v>
      </c>
      <c r="R87" s="95" t="s">
        <v>202</v>
      </c>
      <c r="S87" s="99">
        <v>0</v>
      </c>
      <c r="T87" s="92">
        <f t="shared" si="28"/>
        <v>0</v>
      </c>
      <c r="U87" s="95" t="s">
        <v>202</v>
      </c>
      <c r="V87" s="99">
        <v>0</v>
      </c>
      <c r="W87" s="92">
        <f t="shared" si="29"/>
        <v>0</v>
      </c>
      <c r="X87" s="95" t="s">
        <v>202</v>
      </c>
      <c r="Y87" s="99">
        <v>0</v>
      </c>
      <c r="Z87" s="92">
        <f t="shared" si="30"/>
        <v>0</v>
      </c>
    </row>
    <row r="88" spans="1:26">
      <c r="A88" s="231"/>
      <c r="B88" s="233"/>
      <c r="C88" s="31" t="s">
        <v>115</v>
      </c>
      <c r="D88" s="35">
        <f>'ECONOMIA &amp; PROFESIONES'!$Q$13</f>
        <v>2224</v>
      </c>
      <c r="E88" s="53">
        <f t="shared" si="31"/>
        <v>0</v>
      </c>
      <c r="F88" s="95" t="s">
        <v>202</v>
      </c>
      <c r="G88" s="99">
        <v>0</v>
      </c>
      <c r="H88" s="92">
        <f t="shared" si="24"/>
        <v>0</v>
      </c>
      <c r="I88" s="95" t="s">
        <v>202</v>
      </c>
      <c r="J88" s="99">
        <v>0</v>
      </c>
      <c r="K88" s="92">
        <f t="shared" si="25"/>
        <v>0</v>
      </c>
      <c r="L88" s="95" t="s">
        <v>202</v>
      </c>
      <c r="M88" s="99">
        <v>0</v>
      </c>
      <c r="N88" s="92">
        <f t="shared" si="26"/>
        <v>0</v>
      </c>
      <c r="O88" s="95" t="s">
        <v>202</v>
      </c>
      <c r="P88" s="99">
        <v>0</v>
      </c>
      <c r="Q88" s="92">
        <f t="shared" si="27"/>
        <v>0</v>
      </c>
      <c r="R88" s="95" t="s">
        <v>202</v>
      </c>
      <c r="S88" s="99">
        <v>0</v>
      </c>
      <c r="T88" s="92">
        <f t="shared" si="28"/>
        <v>0</v>
      </c>
      <c r="U88" s="95" t="s">
        <v>202</v>
      </c>
      <c r="V88" s="99">
        <v>0</v>
      </c>
      <c r="W88" s="92">
        <f t="shared" si="29"/>
        <v>0</v>
      </c>
      <c r="X88" s="95" t="s">
        <v>202</v>
      </c>
      <c r="Y88" s="99">
        <v>0</v>
      </c>
      <c r="Z88" s="92">
        <f t="shared" si="30"/>
        <v>0</v>
      </c>
    </row>
    <row r="89" spans="1:26">
      <c r="A89" s="231"/>
      <c r="B89" s="234"/>
      <c r="C89" s="32" t="s">
        <v>116</v>
      </c>
      <c r="D89" s="35">
        <f>'ECONOMIA &amp; PROFESIONES'!$Q$14</f>
        <v>2128</v>
      </c>
      <c r="E89" s="53">
        <f t="shared" si="31"/>
        <v>0</v>
      </c>
      <c r="F89" s="95" t="s">
        <v>202</v>
      </c>
      <c r="G89" s="99">
        <v>0</v>
      </c>
      <c r="H89" s="92">
        <f t="shared" si="24"/>
        <v>0</v>
      </c>
      <c r="I89" s="95" t="s">
        <v>202</v>
      </c>
      <c r="J89" s="99">
        <v>0</v>
      </c>
      <c r="K89" s="92">
        <f t="shared" si="25"/>
        <v>0</v>
      </c>
      <c r="L89" s="95" t="s">
        <v>202</v>
      </c>
      <c r="M89" s="99">
        <v>0</v>
      </c>
      <c r="N89" s="92">
        <f t="shared" si="26"/>
        <v>0</v>
      </c>
      <c r="O89" s="95" t="s">
        <v>202</v>
      </c>
      <c r="P89" s="99">
        <v>0</v>
      </c>
      <c r="Q89" s="92">
        <f t="shared" si="27"/>
        <v>0</v>
      </c>
      <c r="R89" s="95" t="s">
        <v>202</v>
      </c>
      <c r="S89" s="99">
        <v>0</v>
      </c>
      <c r="T89" s="92">
        <f t="shared" si="28"/>
        <v>0</v>
      </c>
      <c r="U89" s="95" t="s">
        <v>202</v>
      </c>
      <c r="V89" s="99">
        <v>0</v>
      </c>
      <c r="W89" s="92">
        <f t="shared" si="29"/>
        <v>0</v>
      </c>
      <c r="X89" s="95" t="s">
        <v>202</v>
      </c>
      <c r="Y89" s="99">
        <v>0</v>
      </c>
      <c r="Z89" s="92">
        <f t="shared" si="30"/>
        <v>0</v>
      </c>
    </row>
    <row r="90" spans="1:26">
      <c r="A90" s="231"/>
      <c r="B90" s="235" t="s">
        <v>353</v>
      </c>
      <c r="C90" s="31" t="s">
        <v>6</v>
      </c>
      <c r="D90" s="35">
        <f>'ECONOMIA &amp; PROFESIONES'!$Q$15</f>
        <v>3664</v>
      </c>
      <c r="E90" s="53">
        <f t="shared" si="31"/>
        <v>0</v>
      </c>
      <c r="F90" s="95" t="s">
        <v>202</v>
      </c>
      <c r="G90" s="99">
        <v>0</v>
      </c>
      <c r="H90" s="92">
        <f t="shared" si="24"/>
        <v>0</v>
      </c>
      <c r="I90" s="95" t="s">
        <v>202</v>
      </c>
      <c r="J90" s="99">
        <v>0</v>
      </c>
      <c r="K90" s="92">
        <f t="shared" si="25"/>
        <v>0</v>
      </c>
      <c r="L90" s="95" t="s">
        <v>202</v>
      </c>
      <c r="M90" s="99">
        <v>0</v>
      </c>
      <c r="N90" s="92">
        <f t="shared" si="26"/>
        <v>0</v>
      </c>
      <c r="O90" s="95" t="s">
        <v>202</v>
      </c>
      <c r="P90" s="99">
        <v>0</v>
      </c>
      <c r="Q90" s="92">
        <f t="shared" si="27"/>
        <v>0</v>
      </c>
      <c r="R90" s="95" t="s">
        <v>202</v>
      </c>
      <c r="S90" s="99">
        <v>0</v>
      </c>
      <c r="T90" s="92">
        <f t="shared" si="28"/>
        <v>0</v>
      </c>
      <c r="U90" s="95" t="s">
        <v>202</v>
      </c>
      <c r="V90" s="99">
        <v>0</v>
      </c>
      <c r="W90" s="92">
        <f t="shared" si="29"/>
        <v>0</v>
      </c>
      <c r="X90" s="95" t="s">
        <v>202</v>
      </c>
      <c r="Y90" s="99">
        <v>0</v>
      </c>
      <c r="Z90" s="92">
        <f t="shared" si="30"/>
        <v>0</v>
      </c>
    </row>
    <row r="91" spans="1:26">
      <c r="A91" s="231"/>
      <c r="B91" s="236"/>
      <c r="C91" s="32" t="s">
        <v>113</v>
      </c>
      <c r="D91" s="35">
        <f>'ECONOMIA &amp; PROFESIONES'!$Q$16</f>
        <v>3910</v>
      </c>
      <c r="E91" s="53">
        <f t="shared" si="31"/>
        <v>0</v>
      </c>
      <c r="F91" s="95" t="s">
        <v>202</v>
      </c>
      <c r="G91" s="99">
        <v>0</v>
      </c>
      <c r="H91" s="92">
        <f t="shared" si="24"/>
        <v>0</v>
      </c>
      <c r="I91" s="95" t="s">
        <v>202</v>
      </c>
      <c r="J91" s="99">
        <v>0</v>
      </c>
      <c r="K91" s="92">
        <f t="shared" si="25"/>
        <v>0</v>
      </c>
      <c r="L91" s="95" t="s">
        <v>202</v>
      </c>
      <c r="M91" s="99">
        <v>0</v>
      </c>
      <c r="N91" s="92">
        <f t="shared" si="26"/>
        <v>0</v>
      </c>
      <c r="O91" s="95" t="s">
        <v>202</v>
      </c>
      <c r="P91" s="99">
        <v>0</v>
      </c>
      <c r="Q91" s="92">
        <f t="shared" si="27"/>
        <v>0</v>
      </c>
      <c r="R91" s="95" t="s">
        <v>202</v>
      </c>
      <c r="S91" s="99">
        <v>0</v>
      </c>
      <c r="T91" s="92">
        <f t="shared" si="28"/>
        <v>0</v>
      </c>
      <c r="U91" s="95" t="s">
        <v>202</v>
      </c>
      <c r="V91" s="99">
        <v>0</v>
      </c>
      <c r="W91" s="92">
        <f t="shared" si="29"/>
        <v>0</v>
      </c>
      <c r="X91" s="95" t="s">
        <v>202</v>
      </c>
      <c r="Y91" s="99">
        <v>0</v>
      </c>
      <c r="Z91" s="92">
        <f t="shared" si="30"/>
        <v>0</v>
      </c>
    </row>
    <row r="92" spans="1:26">
      <c r="A92" s="231"/>
      <c r="B92" s="236"/>
      <c r="C92" s="31" t="s">
        <v>114</v>
      </c>
      <c r="D92" s="35">
        <f>'ECONOMIA &amp; PROFESIONES'!$Q$17</f>
        <v>4156</v>
      </c>
      <c r="E92" s="53">
        <f t="shared" si="31"/>
        <v>0</v>
      </c>
      <c r="F92" s="95" t="s">
        <v>202</v>
      </c>
      <c r="G92" s="99">
        <v>0</v>
      </c>
      <c r="H92" s="92">
        <f t="shared" si="24"/>
        <v>0</v>
      </c>
      <c r="I92" s="95" t="s">
        <v>202</v>
      </c>
      <c r="J92" s="99">
        <v>0</v>
      </c>
      <c r="K92" s="92">
        <f t="shared" si="25"/>
        <v>0</v>
      </c>
      <c r="L92" s="95" t="s">
        <v>202</v>
      </c>
      <c r="M92" s="99">
        <v>0</v>
      </c>
      <c r="N92" s="92">
        <f t="shared" si="26"/>
        <v>0</v>
      </c>
      <c r="O92" s="95" t="s">
        <v>202</v>
      </c>
      <c r="P92" s="99">
        <v>0</v>
      </c>
      <c r="Q92" s="92">
        <f t="shared" si="27"/>
        <v>0</v>
      </c>
      <c r="R92" s="95" t="s">
        <v>202</v>
      </c>
      <c r="S92" s="99">
        <v>0</v>
      </c>
      <c r="T92" s="92">
        <f t="shared" si="28"/>
        <v>0</v>
      </c>
      <c r="U92" s="95" t="s">
        <v>202</v>
      </c>
      <c r="V92" s="99">
        <v>0</v>
      </c>
      <c r="W92" s="92">
        <f t="shared" si="29"/>
        <v>0</v>
      </c>
      <c r="X92" s="95" t="s">
        <v>202</v>
      </c>
      <c r="Y92" s="99">
        <v>0</v>
      </c>
      <c r="Z92" s="92">
        <f t="shared" si="30"/>
        <v>0</v>
      </c>
    </row>
    <row r="93" spans="1:26">
      <c r="A93" s="231"/>
      <c r="B93" s="235"/>
      <c r="C93" s="32" t="s">
        <v>115</v>
      </c>
      <c r="D93" s="35">
        <f>'ECONOMIA &amp; PROFESIONES'!$Q$18</f>
        <v>4074</v>
      </c>
      <c r="E93" s="53">
        <f t="shared" si="31"/>
        <v>0</v>
      </c>
      <c r="F93" s="95" t="s">
        <v>202</v>
      </c>
      <c r="G93" s="99">
        <v>0</v>
      </c>
      <c r="H93" s="92">
        <f t="shared" si="24"/>
        <v>0</v>
      </c>
      <c r="I93" s="95" t="s">
        <v>202</v>
      </c>
      <c r="J93" s="99">
        <v>0</v>
      </c>
      <c r="K93" s="92">
        <f t="shared" si="25"/>
        <v>0</v>
      </c>
      <c r="L93" s="95" t="s">
        <v>202</v>
      </c>
      <c r="M93" s="99">
        <v>0</v>
      </c>
      <c r="N93" s="92">
        <f t="shared" si="26"/>
        <v>0</v>
      </c>
      <c r="O93" s="95" t="s">
        <v>202</v>
      </c>
      <c r="P93" s="99">
        <v>0</v>
      </c>
      <c r="Q93" s="92">
        <f t="shared" si="27"/>
        <v>0</v>
      </c>
      <c r="R93" s="95" t="s">
        <v>202</v>
      </c>
      <c r="S93" s="99">
        <v>0</v>
      </c>
      <c r="T93" s="92">
        <f t="shared" si="28"/>
        <v>0</v>
      </c>
      <c r="U93" s="95" t="s">
        <v>202</v>
      </c>
      <c r="V93" s="99">
        <v>0</v>
      </c>
      <c r="W93" s="92">
        <f t="shared" si="29"/>
        <v>0</v>
      </c>
      <c r="X93" s="95" t="s">
        <v>202</v>
      </c>
      <c r="Y93" s="99">
        <v>0</v>
      </c>
      <c r="Z93" s="92">
        <f t="shared" si="30"/>
        <v>0</v>
      </c>
    </row>
    <row r="94" spans="1:26">
      <c r="A94" s="231"/>
      <c r="B94" s="235"/>
      <c r="C94" s="31" t="s">
        <v>116</v>
      </c>
      <c r="D94" s="35">
        <f>'ECONOMIA &amp; PROFESIONES'!$Q$19</f>
        <v>3828</v>
      </c>
      <c r="E94" s="53">
        <f t="shared" si="31"/>
        <v>0</v>
      </c>
      <c r="F94" s="95" t="s">
        <v>202</v>
      </c>
      <c r="G94" s="99">
        <v>0</v>
      </c>
      <c r="H94" s="92">
        <f t="shared" si="24"/>
        <v>0</v>
      </c>
      <c r="I94" s="95" t="s">
        <v>202</v>
      </c>
      <c r="J94" s="99">
        <v>0</v>
      </c>
      <c r="K94" s="92">
        <f t="shared" si="25"/>
        <v>0</v>
      </c>
      <c r="L94" s="95" t="s">
        <v>202</v>
      </c>
      <c r="M94" s="99">
        <v>0</v>
      </c>
      <c r="N94" s="92">
        <f t="shared" si="26"/>
        <v>0</v>
      </c>
      <c r="O94" s="95" t="s">
        <v>202</v>
      </c>
      <c r="P94" s="99">
        <v>0</v>
      </c>
      <c r="Q94" s="92">
        <f t="shared" si="27"/>
        <v>0</v>
      </c>
      <c r="R94" s="95" t="s">
        <v>202</v>
      </c>
      <c r="S94" s="99">
        <v>0</v>
      </c>
      <c r="T94" s="92">
        <f t="shared" si="28"/>
        <v>0</v>
      </c>
      <c r="U94" s="95" t="s">
        <v>202</v>
      </c>
      <c r="V94" s="99">
        <v>0</v>
      </c>
      <c r="W94" s="92">
        <f t="shared" si="29"/>
        <v>0</v>
      </c>
      <c r="X94" s="95" t="s">
        <v>202</v>
      </c>
      <c r="Y94" s="99">
        <v>0</v>
      </c>
      <c r="Z94" s="92">
        <f t="shared" si="30"/>
        <v>0</v>
      </c>
    </row>
    <row r="95" spans="1:26">
      <c r="A95" s="231"/>
      <c r="B95" s="237" t="s">
        <v>354</v>
      </c>
      <c r="C95" s="32" t="s">
        <v>6</v>
      </c>
      <c r="D95" s="35">
        <f>'ECONOMIA &amp; PROFESIONES'!$Q$20</f>
        <v>5264</v>
      </c>
      <c r="E95" s="53">
        <f t="shared" si="31"/>
        <v>0</v>
      </c>
      <c r="F95" s="95" t="s">
        <v>202</v>
      </c>
      <c r="G95" s="99">
        <v>0</v>
      </c>
      <c r="H95" s="92">
        <f t="shared" si="24"/>
        <v>0</v>
      </c>
      <c r="I95" s="95" t="s">
        <v>202</v>
      </c>
      <c r="J95" s="99">
        <v>0</v>
      </c>
      <c r="K95" s="92">
        <f t="shared" si="25"/>
        <v>0</v>
      </c>
      <c r="L95" s="95" t="s">
        <v>202</v>
      </c>
      <c r="M95" s="99">
        <v>0</v>
      </c>
      <c r="N95" s="92">
        <f t="shared" si="26"/>
        <v>0</v>
      </c>
      <c r="O95" s="95" t="s">
        <v>202</v>
      </c>
      <c r="P95" s="99">
        <v>0</v>
      </c>
      <c r="Q95" s="92">
        <f t="shared" si="27"/>
        <v>0</v>
      </c>
      <c r="R95" s="95" t="s">
        <v>202</v>
      </c>
      <c r="S95" s="99">
        <v>0</v>
      </c>
      <c r="T95" s="92">
        <f t="shared" si="28"/>
        <v>0</v>
      </c>
      <c r="U95" s="95" t="s">
        <v>202</v>
      </c>
      <c r="V95" s="99">
        <v>0</v>
      </c>
      <c r="W95" s="92">
        <f t="shared" si="29"/>
        <v>0</v>
      </c>
      <c r="X95" s="95" t="s">
        <v>202</v>
      </c>
      <c r="Y95" s="99">
        <v>0</v>
      </c>
      <c r="Z95" s="92">
        <f t="shared" si="30"/>
        <v>0</v>
      </c>
    </row>
    <row r="96" spans="1:26">
      <c r="A96" s="231"/>
      <c r="B96" s="238"/>
      <c r="C96" s="31" t="s">
        <v>113</v>
      </c>
      <c r="D96" s="35">
        <f>'ECONOMIA &amp; PROFESIONES'!$Q$21</f>
        <v>5660</v>
      </c>
      <c r="E96" s="53">
        <f t="shared" si="31"/>
        <v>0</v>
      </c>
      <c r="F96" s="95" t="s">
        <v>202</v>
      </c>
      <c r="G96" s="99">
        <v>0</v>
      </c>
      <c r="H96" s="92">
        <f t="shared" si="24"/>
        <v>0</v>
      </c>
      <c r="I96" s="95" t="s">
        <v>202</v>
      </c>
      <c r="J96" s="99">
        <v>0</v>
      </c>
      <c r="K96" s="92">
        <f t="shared" si="25"/>
        <v>0</v>
      </c>
      <c r="L96" s="95" t="s">
        <v>202</v>
      </c>
      <c r="M96" s="99">
        <v>0</v>
      </c>
      <c r="N96" s="92">
        <f t="shared" si="26"/>
        <v>0</v>
      </c>
      <c r="O96" s="95" t="s">
        <v>202</v>
      </c>
      <c r="P96" s="99">
        <v>0</v>
      </c>
      <c r="Q96" s="92">
        <f t="shared" si="27"/>
        <v>0</v>
      </c>
      <c r="R96" s="95" t="s">
        <v>202</v>
      </c>
      <c r="S96" s="99">
        <v>0</v>
      </c>
      <c r="T96" s="92">
        <f t="shared" si="28"/>
        <v>0</v>
      </c>
      <c r="U96" s="95" t="s">
        <v>202</v>
      </c>
      <c r="V96" s="99">
        <v>0</v>
      </c>
      <c r="W96" s="92">
        <f t="shared" si="29"/>
        <v>0</v>
      </c>
      <c r="X96" s="95" t="s">
        <v>202</v>
      </c>
      <c r="Y96" s="99">
        <v>0</v>
      </c>
      <c r="Z96" s="92">
        <f t="shared" si="30"/>
        <v>0</v>
      </c>
    </row>
    <row r="97" spans="1:26">
      <c r="A97" s="231"/>
      <c r="B97" s="238"/>
      <c r="C97" s="32" t="s">
        <v>114</v>
      </c>
      <c r="D97" s="35">
        <f>'ECONOMIA &amp; PROFESIONES'!$Q$22</f>
        <v>6056</v>
      </c>
      <c r="E97" s="53">
        <f t="shared" si="31"/>
        <v>0</v>
      </c>
      <c r="F97" s="95" t="s">
        <v>202</v>
      </c>
      <c r="G97" s="99">
        <v>0</v>
      </c>
      <c r="H97" s="92">
        <f t="shared" si="24"/>
        <v>0</v>
      </c>
      <c r="I97" s="95" t="s">
        <v>202</v>
      </c>
      <c r="J97" s="99">
        <v>0</v>
      </c>
      <c r="K97" s="92">
        <f t="shared" si="25"/>
        <v>0</v>
      </c>
      <c r="L97" s="95" t="s">
        <v>202</v>
      </c>
      <c r="M97" s="99">
        <v>0</v>
      </c>
      <c r="N97" s="92">
        <f t="shared" si="26"/>
        <v>0</v>
      </c>
      <c r="O97" s="95" t="s">
        <v>202</v>
      </c>
      <c r="P97" s="99">
        <v>0</v>
      </c>
      <c r="Q97" s="92">
        <f t="shared" si="27"/>
        <v>0</v>
      </c>
      <c r="R97" s="95" t="s">
        <v>202</v>
      </c>
      <c r="S97" s="99">
        <v>0</v>
      </c>
      <c r="T97" s="92">
        <f t="shared" si="28"/>
        <v>0</v>
      </c>
      <c r="U97" s="95" t="s">
        <v>202</v>
      </c>
      <c r="V97" s="99">
        <v>0</v>
      </c>
      <c r="W97" s="92">
        <f t="shared" si="29"/>
        <v>0</v>
      </c>
      <c r="X97" s="95" t="s">
        <v>202</v>
      </c>
      <c r="Y97" s="99">
        <v>0</v>
      </c>
      <c r="Z97" s="92">
        <f t="shared" si="30"/>
        <v>0</v>
      </c>
    </row>
    <row r="98" spans="1:26">
      <c r="A98" s="231"/>
      <c r="B98" s="233"/>
      <c r="C98" s="31" t="s">
        <v>115</v>
      </c>
      <c r="D98" s="35">
        <f>'ECONOMIA &amp; PROFESIONES'!$Q$23</f>
        <v>5924</v>
      </c>
      <c r="E98" s="53">
        <f t="shared" si="31"/>
        <v>0</v>
      </c>
      <c r="F98" s="95" t="s">
        <v>202</v>
      </c>
      <c r="G98" s="99">
        <v>0</v>
      </c>
      <c r="H98" s="92">
        <f t="shared" si="24"/>
        <v>0</v>
      </c>
      <c r="I98" s="95" t="s">
        <v>202</v>
      </c>
      <c r="J98" s="99">
        <v>0</v>
      </c>
      <c r="K98" s="92">
        <f t="shared" si="25"/>
        <v>0</v>
      </c>
      <c r="L98" s="95" t="s">
        <v>202</v>
      </c>
      <c r="M98" s="99">
        <v>0</v>
      </c>
      <c r="N98" s="92">
        <f t="shared" si="26"/>
        <v>0</v>
      </c>
      <c r="O98" s="95" t="s">
        <v>202</v>
      </c>
      <c r="P98" s="99">
        <v>0</v>
      </c>
      <c r="Q98" s="92">
        <f t="shared" si="27"/>
        <v>0</v>
      </c>
      <c r="R98" s="95" t="s">
        <v>202</v>
      </c>
      <c r="S98" s="99">
        <v>0</v>
      </c>
      <c r="T98" s="92">
        <f t="shared" si="28"/>
        <v>0</v>
      </c>
      <c r="U98" s="95" t="s">
        <v>202</v>
      </c>
      <c r="V98" s="99">
        <v>0</v>
      </c>
      <c r="W98" s="92">
        <f t="shared" si="29"/>
        <v>0</v>
      </c>
      <c r="X98" s="95" t="s">
        <v>202</v>
      </c>
      <c r="Y98" s="99">
        <v>0</v>
      </c>
      <c r="Z98" s="92">
        <f t="shared" si="30"/>
        <v>0</v>
      </c>
    </row>
    <row r="99" spans="1:26">
      <c r="A99" s="231"/>
      <c r="B99" s="239"/>
      <c r="C99" s="32" t="s">
        <v>116</v>
      </c>
      <c r="D99" s="35">
        <f>'ECONOMIA &amp; PROFESIONES'!$Q$24</f>
        <v>5528</v>
      </c>
      <c r="E99" s="53">
        <f t="shared" si="31"/>
        <v>0</v>
      </c>
      <c r="F99" s="95" t="s">
        <v>202</v>
      </c>
      <c r="G99" s="99">
        <v>0</v>
      </c>
      <c r="H99" s="92">
        <f t="shared" si="24"/>
        <v>0</v>
      </c>
      <c r="I99" s="95" t="s">
        <v>202</v>
      </c>
      <c r="J99" s="99">
        <v>0</v>
      </c>
      <c r="K99" s="92">
        <f t="shared" si="25"/>
        <v>0</v>
      </c>
      <c r="L99" s="95" t="s">
        <v>202</v>
      </c>
      <c r="M99" s="99">
        <v>0</v>
      </c>
      <c r="N99" s="92">
        <f t="shared" si="26"/>
        <v>0</v>
      </c>
      <c r="O99" s="95" t="s">
        <v>202</v>
      </c>
      <c r="P99" s="99">
        <v>0</v>
      </c>
      <c r="Q99" s="92">
        <f t="shared" si="27"/>
        <v>0</v>
      </c>
      <c r="R99" s="95" t="s">
        <v>202</v>
      </c>
      <c r="S99" s="99">
        <v>0</v>
      </c>
      <c r="T99" s="92">
        <f t="shared" si="28"/>
        <v>0</v>
      </c>
      <c r="U99" s="95" t="s">
        <v>202</v>
      </c>
      <c r="V99" s="99">
        <v>0</v>
      </c>
      <c r="W99" s="92">
        <f t="shared" si="29"/>
        <v>0</v>
      </c>
      <c r="X99" s="95" t="s">
        <v>202</v>
      </c>
      <c r="Y99" s="99">
        <v>0</v>
      </c>
      <c r="Z99" s="92">
        <f t="shared" si="30"/>
        <v>0</v>
      </c>
    </row>
    <row r="100" spans="1:26">
      <c r="A100" s="231"/>
      <c r="B100" s="235" t="s">
        <v>352</v>
      </c>
      <c r="C100" s="31" t="s">
        <v>6</v>
      </c>
      <c r="D100" s="35">
        <f>'ECONOMIA &amp; PROFESIONES'!$Q$25</f>
        <v>6864</v>
      </c>
      <c r="E100" s="53">
        <f t="shared" si="31"/>
        <v>0</v>
      </c>
      <c r="F100" s="95" t="s">
        <v>202</v>
      </c>
      <c r="G100" s="99">
        <v>0</v>
      </c>
      <c r="H100" s="92">
        <f t="shared" si="24"/>
        <v>0</v>
      </c>
      <c r="I100" s="95" t="s">
        <v>202</v>
      </c>
      <c r="J100" s="99">
        <v>0</v>
      </c>
      <c r="K100" s="92">
        <f t="shared" si="25"/>
        <v>0</v>
      </c>
      <c r="L100" s="95" t="s">
        <v>202</v>
      </c>
      <c r="M100" s="99">
        <v>0</v>
      </c>
      <c r="N100" s="92">
        <f t="shared" si="26"/>
        <v>0</v>
      </c>
      <c r="O100" s="95" t="s">
        <v>202</v>
      </c>
      <c r="P100" s="99">
        <v>0</v>
      </c>
      <c r="Q100" s="92">
        <f t="shared" si="27"/>
        <v>0</v>
      </c>
      <c r="R100" s="95" t="s">
        <v>202</v>
      </c>
      <c r="S100" s="99">
        <v>0</v>
      </c>
      <c r="T100" s="92">
        <f t="shared" si="28"/>
        <v>0</v>
      </c>
      <c r="U100" s="95" t="s">
        <v>202</v>
      </c>
      <c r="V100" s="99">
        <v>0</v>
      </c>
      <c r="W100" s="92">
        <f t="shared" si="29"/>
        <v>0</v>
      </c>
      <c r="X100" s="95" t="s">
        <v>202</v>
      </c>
      <c r="Y100" s="99">
        <v>0</v>
      </c>
      <c r="Z100" s="92">
        <f t="shared" si="30"/>
        <v>0</v>
      </c>
    </row>
    <row r="101" spans="1:26">
      <c r="A101" s="231"/>
      <c r="B101" s="235"/>
      <c r="C101" s="32" t="s">
        <v>113</v>
      </c>
      <c r="D101" s="35">
        <f>'ECONOMIA &amp; PROFESIONES'!$Q$26</f>
        <v>7410</v>
      </c>
      <c r="E101" s="53">
        <f t="shared" si="31"/>
        <v>0</v>
      </c>
      <c r="F101" s="95" t="s">
        <v>202</v>
      </c>
      <c r="G101" s="99">
        <v>0</v>
      </c>
      <c r="H101" s="92">
        <f t="shared" si="24"/>
        <v>0</v>
      </c>
      <c r="I101" s="95" t="s">
        <v>202</v>
      </c>
      <c r="J101" s="99">
        <v>0</v>
      </c>
      <c r="K101" s="92">
        <f t="shared" si="25"/>
        <v>0</v>
      </c>
      <c r="L101" s="95" t="s">
        <v>202</v>
      </c>
      <c r="M101" s="99">
        <v>0</v>
      </c>
      <c r="N101" s="92">
        <f t="shared" si="26"/>
        <v>0</v>
      </c>
      <c r="O101" s="95" t="s">
        <v>202</v>
      </c>
      <c r="P101" s="99">
        <v>0</v>
      </c>
      <c r="Q101" s="92">
        <f t="shared" si="27"/>
        <v>0</v>
      </c>
      <c r="R101" s="95" t="s">
        <v>202</v>
      </c>
      <c r="S101" s="99">
        <v>0</v>
      </c>
      <c r="T101" s="92">
        <f t="shared" si="28"/>
        <v>0</v>
      </c>
      <c r="U101" s="95" t="s">
        <v>202</v>
      </c>
      <c r="V101" s="99">
        <v>0</v>
      </c>
      <c r="W101" s="92">
        <f t="shared" si="29"/>
        <v>0</v>
      </c>
      <c r="X101" s="95" t="s">
        <v>202</v>
      </c>
      <c r="Y101" s="99">
        <v>0</v>
      </c>
      <c r="Z101" s="92">
        <f t="shared" si="30"/>
        <v>0</v>
      </c>
    </row>
    <row r="102" spans="1:26">
      <c r="A102" s="231"/>
      <c r="B102" s="235"/>
      <c r="C102" s="31" t="s">
        <v>114</v>
      </c>
      <c r="D102" s="35">
        <f>'ECONOMIA &amp; PROFESIONES'!$Q$27</f>
        <v>7956</v>
      </c>
      <c r="E102" s="53">
        <f t="shared" si="31"/>
        <v>0</v>
      </c>
      <c r="F102" s="95" t="s">
        <v>202</v>
      </c>
      <c r="G102" s="99">
        <v>0</v>
      </c>
      <c r="H102" s="92">
        <f t="shared" si="24"/>
        <v>0</v>
      </c>
      <c r="I102" s="95" t="s">
        <v>202</v>
      </c>
      <c r="J102" s="99">
        <v>0</v>
      </c>
      <c r="K102" s="92">
        <f t="shared" si="25"/>
        <v>0</v>
      </c>
      <c r="L102" s="95" t="s">
        <v>202</v>
      </c>
      <c r="M102" s="99">
        <v>0</v>
      </c>
      <c r="N102" s="92">
        <f t="shared" si="26"/>
        <v>0</v>
      </c>
      <c r="O102" s="95" t="s">
        <v>202</v>
      </c>
      <c r="P102" s="99">
        <v>0</v>
      </c>
      <c r="Q102" s="92">
        <f t="shared" si="27"/>
        <v>0</v>
      </c>
      <c r="R102" s="95" t="s">
        <v>202</v>
      </c>
      <c r="S102" s="99">
        <v>0</v>
      </c>
      <c r="T102" s="92">
        <f t="shared" si="28"/>
        <v>0</v>
      </c>
      <c r="U102" s="95" t="s">
        <v>202</v>
      </c>
      <c r="V102" s="99">
        <v>0</v>
      </c>
      <c r="W102" s="92">
        <f t="shared" si="29"/>
        <v>0</v>
      </c>
      <c r="X102" s="95" t="s">
        <v>202</v>
      </c>
      <c r="Y102" s="99">
        <v>0</v>
      </c>
      <c r="Z102" s="92">
        <f t="shared" si="30"/>
        <v>0</v>
      </c>
    </row>
    <row r="103" spans="1:26">
      <c r="A103" s="231"/>
      <c r="B103" s="235"/>
      <c r="C103" s="32" t="s">
        <v>115</v>
      </c>
      <c r="D103" s="35">
        <f>'ECONOMIA &amp; PROFESIONES'!$Q$28</f>
        <v>7774</v>
      </c>
      <c r="E103" s="53">
        <f t="shared" si="31"/>
        <v>0</v>
      </c>
      <c r="F103" s="95" t="s">
        <v>202</v>
      </c>
      <c r="G103" s="99">
        <v>0</v>
      </c>
      <c r="H103" s="92">
        <f t="shared" si="24"/>
        <v>0</v>
      </c>
      <c r="I103" s="95" t="s">
        <v>202</v>
      </c>
      <c r="J103" s="99">
        <v>0</v>
      </c>
      <c r="K103" s="92">
        <f t="shared" si="25"/>
        <v>0</v>
      </c>
      <c r="L103" s="95" t="s">
        <v>202</v>
      </c>
      <c r="M103" s="99">
        <v>0</v>
      </c>
      <c r="N103" s="92">
        <f t="shared" si="26"/>
        <v>0</v>
      </c>
      <c r="O103" s="95" t="s">
        <v>202</v>
      </c>
      <c r="P103" s="99">
        <v>0</v>
      </c>
      <c r="Q103" s="92">
        <f t="shared" si="27"/>
        <v>0</v>
      </c>
      <c r="R103" s="95" t="s">
        <v>202</v>
      </c>
      <c r="S103" s="99">
        <v>0</v>
      </c>
      <c r="T103" s="92">
        <f t="shared" si="28"/>
        <v>0</v>
      </c>
      <c r="U103" s="95" t="s">
        <v>202</v>
      </c>
      <c r="V103" s="99">
        <v>0</v>
      </c>
      <c r="W103" s="92">
        <f t="shared" si="29"/>
        <v>0</v>
      </c>
      <c r="X103" s="95" t="s">
        <v>202</v>
      </c>
      <c r="Y103" s="99">
        <v>0</v>
      </c>
      <c r="Z103" s="92">
        <f t="shared" si="30"/>
        <v>0</v>
      </c>
    </row>
    <row r="104" spans="1:26">
      <c r="A104" s="231"/>
      <c r="B104" s="235"/>
      <c r="C104" s="31" t="s">
        <v>116</v>
      </c>
      <c r="D104" s="35">
        <f>'ECONOMIA &amp; PROFESIONES'!$Q$29</f>
        <v>7228</v>
      </c>
      <c r="E104" s="53">
        <f t="shared" si="31"/>
        <v>0</v>
      </c>
      <c r="F104" s="95" t="s">
        <v>202</v>
      </c>
      <c r="G104" s="99">
        <v>0</v>
      </c>
      <c r="H104" s="92">
        <f t="shared" si="24"/>
        <v>0</v>
      </c>
      <c r="I104" s="95" t="s">
        <v>202</v>
      </c>
      <c r="J104" s="99">
        <v>0</v>
      </c>
      <c r="K104" s="92">
        <f t="shared" si="25"/>
        <v>0</v>
      </c>
      <c r="L104" s="95" t="s">
        <v>202</v>
      </c>
      <c r="M104" s="99">
        <v>0</v>
      </c>
      <c r="N104" s="92">
        <f t="shared" si="26"/>
        <v>0</v>
      </c>
      <c r="O104" s="95" t="s">
        <v>202</v>
      </c>
      <c r="P104" s="99">
        <v>0</v>
      </c>
      <c r="Q104" s="92">
        <f t="shared" si="27"/>
        <v>0</v>
      </c>
      <c r="R104" s="95" t="s">
        <v>202</v>
      </c>
      <c r="S104" s="99">
        <v>0</v>
      </c>
      <c r="T104" s="92">
        <f t="shared" si="28"/>
        <v>0</v>
      </c>
      <c r="U104" s="95" t="s">
        <v>202</v>
      </c>
      <c r="V104" s="99">
        <v>0</v>
      </c>
      <c r="W104" s="92">
        <f t="shared" si="29"/>
        <v>0</v>
      </c>
      <c r="X104" s="95" t="s">
        <v>202</v>
      </c>
      <c r="Y104" s="99">
        <v>0</v>
      </c>
      <c r="Z104" s="92">
        <f t="shared" si="30"/>
        <v>0</v>
      </c>
    </row>
    <row r="105" spans="1:26">
      <c r="A105" s="231" t="s">
        <v>4</v>
      </c>
      <c r="B105" s="81"/>
      <c r="C105" s="81"/>
      <c r="D105" s="108"/>
      <c r="E105" s="98" t="s">
        <v>277</v>
      </c>
      <c r="F105" s="98" t="s">
        <v>278</v>
      </c>
      <c r="G105" s="98" t="s">
        <v>355</v>
      </c>
      <c r="H105" s="98" t="s">
        <v>194</v>
      </c>
      <c r="I105" s="98" t="s">
        <v>279</v>
      </c>
      <c r="J105" s="98" t="s">
        <v>355</v>
      </c>
      <c r="K105" s="98" t="s">
        <v>194</v>
      </c>
      <c r="L105" s="98" t="s">
        <v>295</v>
      </c>
      <c r="M105" s="98" t="s">
        <v>355</v>
      </c>
      <c r="N105" s="98" t="s">
        <v>194</v>
      </c>
      <c r="O105" s="98" t="s">
        <v>348</v>
      </c>
      <c r="P105" s="98" t="s">
        <v>355</v>
      </c>
      <c r="Q105" s="98" t="s">
        <v>194</v>
      </c>
      <c r="R105" s="98" t="s">
        <v>349</v>
      </c>
      <c r="S105" s="98" t="s">
        <v>355</v>
      </c>
      <c r="T105" s="98" t="s">
        <v>194</v>
      </c>
      <c r="U105" s="98" t="s">
        <v>350</v>
      </c>
      <c r="V105" s="98" t="s">
        <v>355</v>
      </c>
      <c r="W105" s="98" t="s">
        <v>194</v>
      </c>
      <c r="X105" s="98" t="s">
        <v>351</v>
      </c>
      <c r="Y105" s="98" t="s">
        <v>355</v>
      </c>
      <c r="Z105" s="98" t="s">
        <v>194</v>
      </c>
    </row>
    <row r="106" spans="1:26">
      <c r="A106" s="231"/>
      <c r="B106" s="240" t="s">
        <v>286</v>
      </c>
      <c r="C106" s="31" t="s">
        <v>6</v>
      </c>
      <c r="D106" s="34">
        <f>'ECONOMIA &amp; PROFESIONES'!$R$5</f>
        <v>522</v>
      </c>
      <c r="E106" s="53">
        <f>(H106*G106)+(K106*J106)+(M106*N106)+(P106*Q106)+(S106*T106)+(V106*W106)+(Y106*Z106)</f>
        <v>0</v>
      </c>
      <c r="F106" s="95" t="s">
        <v>202</v>
      </c>
      <c r="G106" s="99">
        <v>0</v>
      </c>
      <c r="H106" s="92">
        <f t="shared" ref="H106:H130" si="32">VLOOKUP(F106,craftedesp,3,FALSE)</f>
        <v>0</v>
      </c>
      <c r="I106" s="95" t="s">
        <v>202</v>
      </c>
      <c r="J106" s="99">
        <v>0</v>
      </c>
      <c r="K106" s="92">
        <f t="shared" ref="K106:K130" si="33">VLOOKUP(I106,craftedesp,3,FALSE)</f>
        <v>0</v>
      </c>
      <c r="L106" s="95" t="s">
        <v>202</v>
      </c>
      <c r="M106" s="99">
        <v>0</v>
      </c>
      <c r="N106" s="92">
        <f t="shared" ref="N106:N130" si="34">VLOOKUP(L106,craftedesp,3,FALSE)</f>
        <v>0</v>
      </c>
      <c r="O106" s="95" t="s">
        <v>202</v>
      </c>
      <c r="P106" s="99">
        <v>0</v>
      </c>
      <c r="Q106" s="92">
        <f t="shared" ref="Q106:Q130" si="35">VLOOKUP(O106,craftedesp,3,FALSE)</f>
        <v>0</v>
      </c>
      <c r="R106" s="95" t="s">
        <v>202</v>
      </c>
      <c r="S106" s="99">
        <v>0</v>
      </c>
      <c r="T106" s="92">
        <f t="shared" ref="T106:T130" si="36">VLOOKUP(R106,craftedesp,3,FALSE)</f>
        <v>0</v>
      </c>
      <c r="U106" s="95" t="s">
        <v>202</v>
      </c>
      <c r="V106" s="99">
        <v>0</v>
      </c>
      <c r="W106" s="92">
        <f t="shared" ref="W106:W130" si="37">VLOOKUP(U106,craftedesp,3,FALSE)</f>
        <v>0</v>
      </c>
      <c r="X106" s="95" t="s">
        <v>202</v>
      </c>
      <c r="Y106" s="99">
        <v>0</v>
      </c>
      <c r="Z106" s="92">
        <f t="shared" ref="Z106:Z130" si="38">VLOOKUP(X106,craftedesp,3,FALSE)</f>
        <v>0</v>
      </c>
    </row>
    <row r="107" spans="1:26">
      <c r="A107" s="231"/>
      <c r="B107" s="241"/>
      <c r="C107" s="32" t="s">
        <v>113</v>
      </c>
      <c r="D107" s="34">
        <f>'ECONOMIA &amp; PROFESIONES'!$R$6</f>
        <v>555</v>
      </c>
      <c r="E107" s="53">
        <f t="shared" ref="E107:E130" si="39">(H107*G107)+(K107*J107)+(M107*N107)+(P107*Q107)+(S107*T107)+(V107*W107)+(Y107*Z107)</f>
        <v>0</v>
      </c>
      <c r="F107" s="95" t="s">
        <v>202</v>
      </c>
      <c r="G107" s="99">
        <v>0</v>
      </c>
      <c r="H107" s="92">
        <f t="shared" si="32"/>
        <v>0</v>
      </c>
      <c r="I107" s="95" t="s">
        <v>202</v>
      </c>
      <c r="J107" s="99">
        <v>0</v>
      </c>
      <c r="K107" s="92">
        <f t="shared" si="33"/>
        <v>0</v>
      </c>
      <c r="L107" s="95" t="s">
        <v>202</v>
      </c>
      <c r="M107" s="99">
        <v>0</v>
      </c>
      <c r="N107" s="92">
        <f t="shared" si="34"/>
        <v>0</v>
      </c>
      <c r="O107" s="95" t="s">
        <v>202</v>
      </c>
      <c r="P107" s="99">
        <v>0</v>
      </c>
      <c r="Q107" s="92">
        <f t="shared" si="35"/>
        <v>0</v>
      </c>
      <c r="R107" s="95" t="s">
        <v>202</v>
      </c>
      <c r="S107" s="99">
        <v>0</v>
      </c>
      <c r="T107" s="92">
        <f t="shared" si="36"/>
        <v>0</v>
      </c>
      <c r="U107" s="95" t="s">
        <v>202</v>
      </c>
      <c r="V107" s="99">
        <v>0</v>
      </c>
      <c r="W107" s="92">
        <f t="shared" si="37"/>
        <v>0</v>
      </c>
      <c r="X107" s="95" t="s">
        <v>202</v>
      </c>
      <c r="Y107" s="99">
        <v>0</v>
      </c>
      <c r="Z107" s="92">
        <f t="shared" si="38"/>
        <v>0</v>
      </c>
    </row>
    <row r="108" spans="1:26">
      <c r="A108" s="231"/>
      <c r="B108" s="241"/>
      <c r="C108" s="31" t="s">
        <v>114</v>
      </c>
      <c r="D108" s="34">
        <f>'ECONOMIA &amp; PROFESIONES'!$R$7</f>
        <v>588</v>
      </c>
      <c r="E108" s="53">
        <f t="shared" si="39"/>
        <v>0</v>
      </c>
      <c r="F108" s="95" t="s">
        <v>202</v>
      </c>
      <c r="G108" s="99">
        <v>0</v>
      </c>
      <c r="H108" s="92">
        <f t="shared" si="32"/>
        <v>0</v>
      </c>
      <c r="I108" s="95" t="s">
        <v>202</v>
      </c>
      <c r="J108" s="99">
        <v>0</v>
      </c>
      <c r="K108" s="92">
        <f t="shared" si="33"/>
        <v>0</v>
      </c>
      <c r="L108" s="95" t="s">
        <v>202</v>
      </c>
      <c r="M108" s="99">
        <v>0</v>
      </c>
      <c r="N108" s="92">
        <f t="shared" si="34"/>
        <v>0</v>
      </c>
      <c r="O108" s="95" t="s">
        <v>202</v>
      </c>
      <c r="P108" s="99">
        <v>0</v>
      </c>
      <c r="Q108" s="92">
        <f t="shared" si="35"/>
        <v>0</v>
      </c>
      <c r="R108" s="95" t="s">
        <v>202</v>
      </c>
      <c r="S108" s="99">
        <v>0</v>
      </c>
      <c r="T108" s="92">
        <f t="shared" si="36"/>
        <v>0</v>
      </c>
      <c r="U108" s="95" t="s">
        <v>202</v>
      </c>
      <c r="V108" s="99">
        <v>0</v>
      </c>
      <c r="W108" s="92">
        <f t="shared" si="37"/>
        <v>0</v>
      </c>
      <c r="X108" s="95" t="s">
        <v>202</v>
      </c>
      <c r="Y108" s="99">
        <v>0</v>
      </c>
      <c r="Z108" s="92">
        <f t="shared" si="38"/>
        <v>0</v>
      </c>
    </row>
    <row r="109" spans="1:26">
      <c r="A109" s="231"/>
      <c r="B109" s="241"/>
      <c r="C109" s="32" t="s">
        <v>115</v>
      </c>
      <c r="D109" s="34">
        <f>'ECONOMIA &amp; PROFESIONES'!$R$8</f>
        <v>577</v>
      </c>
      <c r="E109" s="53">
        <f t="shared" si="39"/>
        <v>0</v>
      </c>
      <c r="F109" s="95" t="s">
        <v>202</v>
      </c>
      <c r="G109" s="99">
        <v>0</v>
      </c>
      <c r="H109" s="92">
        <f t="shared" si="32"/>
        <v>0</v>
      </c>
      <c r="I109" s="95" t="s">
        <v>202</v>
      </c>
      <c r="J109" s="99">
        <v>0</v>
      </c>
      <c r="K109" s="92">
        <f t="shared" si="33"/>
        <v>0</v>
      </c>
      <c r="L109" s="95" t="s">
        <v>202</v>
      </c>
      <c r="M109" s="99">
        <v>0</v>
      </c>
      <c r="N109" s="92">
        <f t="shared" si="34"/>
        <v>0</v>
      </c>
      <c r="O109" s="95" t="s">
        <v>202</v>
      </c>
      <c r="P109" s="99">
        <v>0</v>
      </c>
      <c r="Q109" s="92">
        <f t="shared" si="35"/>
        <v>0</v>
      </c>
      <c r="R109" s="95" t="s">
        <v>202</v>
      </c>
      <c r="S109" s="99">
        <v>0</v>
      </c>
      <c r="T109" s="92">
        <f t="shared" si="36"/>
        <v>0</v>
      </c>
      <c r="U109" s="95" t="s">
        <v>202</v>
      </c>
      <c r="V109" s="99">
        <v>0</v>
      </c>
      <c r="W109" s="92">
        <f t="shared" si="37"/>
        <v>0</v>
      </c>
      <c r="X109" s="95" t="s">
        <v>202</v>
      </c>
      <c r="Y109" s="99">
        <v>0</v>
      </c>
      <c r="Z109" s="92">
        <f t="shared" si="38"/>
        <v>0</v>
      </c>
    </row>
    <row r="110" spans="1:26">
      <c r="A110" s="231"/>
      <c r="B110" s="242"/>
      <c r="C110" s="31" t="s">
        <v>116</v>
      </c>
      <c r="D110" s="34">
        <f>'ECONOMIA &amp; PROFESIONES'!$R$9</f>
        <v>544</v>
      </c>
      <c r="E110" s="53">
        <f t="shared" si="39"/>
        <v>0</v>
      </c>
      <c r="F110" s="95" t="s">
        <v>202</v>
      </c>
      <c r="G110" s="99">
        <v>0</v>
      </c>
      <c r="H110" s="92">
        <f t="shared" si="32"/>
        <v>0</v>
      </c>
      <c r="I110" s="95" t="s">
        <v>202</v>
      </c>
      <c r="J110" s="99">
        <v>0</v>
      </c>
      <c r="K110" s="92">
        <f t="shared" si="33"/>
        <v>0</v>
      </c>
      <c r="L110" s="95" t="s">
        <v>202</v>
      </c>
      <c r="M110" s="99">
        <v>0</v>
      </c>
      <c r="N110" s="92">
        <f t="shared" si="34"/>
        <v>0</v>
      </c>
      <c r="O110" s="95" t="s">
        <v>202</v>
      </c>
      <c r="P110" s="99">
        <v>0</v>
      </c>
      <c r="Q110" s="92">
        <f t="shared" si="35"/>
        <v>0</v>
      </c>
      <c r="R110" s="95" t="s">
        <v>202</v>
      </c>
      <c r="S110" s="99">
        <v>0</v>
      </c>
      <c r="T110" s="92">
        <f t="shared" si="36"/>
        <v>0</v>
      </c>
      <c r="U110" s="95" t="s">
        <v>202</v>
      </c>
      <c r="V110" s="99">
        <v>0</v>
      </c>
      <c r="W110" s="92">
        <f t="shared" si="37"/>
        <v>0</v>
      </c>
      <c r="X110" s="95" t="s">
        <v>202</v>
      </c>
      <c r="Y110" s="99">
        <v>0</v>
      </c>
      <c r="Z110" s="92">
        <f t="shared" si="38"/>
        <v>0</v>
      </c>
    </row>
    <row r="111" spans="1:26">
      <c r="A111" s="231"/>
      <c r="B111" s="232" t="s">
        <v>287</v>
      </c>
      <c r="C111" s="32" t="s">
        <v>6</v>
      </c>
      <c r="D111" s="34">
        <f>'ECONOMIA &amp; PROFESIONES'!$R$10</f>
        <v>2072</v>
      </c>
      <c r="E111" s="53">
        <f t="shared" si="39"/>
        <v>0</v>
      </c>
      <c r="F111" s="95" t="s">
        <v>202</v>
      </c>
      <c r="G111" s="99">
        <v>0</v>
      </c>
      <c r="H111" s="92">
        <f t="shared" si="32"/>
        <v>0</v>
      </c>
      <c r="I111" s="95" t="s">
        <v>202</v>
      </c>
      <c r="J111" s="99">
        <v>0</v>
      </c>
      <c r="K111" s="92">
        <f t="shared" si="33"/>
        <v>0</v>
      </c>
      <c r="L111" s="95" t="s">
        <v>202</v>
      </c>
      <c r="M111" s="99">
        <v>0</v>
      </c>
      <c r="N111" s="92">
        <f t="shared" si="34"/>
        <v>0</v>
      </c>
      <c r="O111" s="95" t="s">
        <v>202</v>
      </c>
      <c r="P111" s="99">
        <v>0</v>
      </c>
      <c r="Q111" s="92">
        <f t="shared" si="35"/>
        <v>0</v>
      </c>
      <c r="R111" s="95" t="s">
        <v>202</v>
      </c>
      <c r="S111" s="99">
        <v>0</v>
      </c>
      <c r="T111" s="92">
        <f t="shared" si="36"/>
        <v>0</v>
      </c>
      <c r="U111" s="95" t="s">
        <v>202</v>
      </c>
      <c r="V111" s="99">
        <v>0</v>
      </c>
      <c r="W111" s="92">
        <f t="shared" si="37"/>
        <v>0</v>
      </c>
      <c r="X111" s="95" t="s">
        <v>202</v>
      </c>
      <c r="Y111" s="99">
        <v>0</v>
      </c>
      <c r="Z111" s="92">
        <f t="shared" si="38"/>
        <v>0</v>
      </c>
    </row>
    <row r="112" spans="1:26">
      <c r="A112" s="231"/>
      <c r="B112" s="233"/>
      <c r="C112" s="31" t="s">
        <v>113</v>
      </c>
      <c r="D112" s="34">
        <f>'ECONOMIA &amp; PROFESIONES'!$R$11</f>
        <v>2180</v>
      </c>
      <c r="E112" s="53">
        <f t="shared" si="39"/>
        <v>0</v>
      </c>
      <c r="F112" s="95" t="s">
        <v>202</v>
      </c>
      <c r="G112" s="99">
        <v>0</v>
      </c>
      <c r="H112" s="92">
        <f t="shared" si="32"/>
        <v>0</v>
      </c>
      <c r="I112" s="95" t="s">
        <v>202</v>
      </c>
      <c r="J112" s="99">
        <v>0</v>
      </c>
      <c r="K112" s="92">
        <f t="shared" si="33"/>
        <v>0</v>
      </c>
      <c r="L112" s="95" t="s">
        <v>202</v>
      </c>
      <c r="M112" s="99">
        <v>0</v>
      </c>
      <c r="N112" s="92">
        <f t="shared" si="34"/>
        <v>0</v>
      </c>
      <c r="O112" s="95" t="s">
        <v>202</v>
      </c>
      <c r="P112" s="99">
        <v>0</v>
      </c>
      <c r="Q112" s="92">
        <f t="shared" si="35"/>
        <v>0</v>
      </c>
      <c r="R112" s="95" t="s">
        <v>202</v>
      </c>
      <c r="S112" s="99">
        <v>0</v>
      </c>
      <c r="T112" s="92">
        <f t="shared" si="36"/>
        <v>0</v>
      </c>
      <c r="U112" s="95" t="s">
        <v>202</v>
      </c>
      <c r="V112" s="99">
        <v>0</v>
      </c>
      <c r="W112" s="92">
        <f t="shared" si="37"/>
        <v>0</v>
      </c>
      <c r="X112" s="95" t="s">
        <v>202</v>
      </c>
      <c r="Y112" s="99">
        <v>0</v>
      </c>
      <c r="Z112" s="92">
        <f t="shared" si="38"/>
        <v>0</v>
      </c>
    </row>
    <row r="113" spans="1:26">
      <c r="A113" s="231"/>
      <c r="B113" s="233"/>
      <c r="C113" s="32" t="s">
        <v>114</v>
      </c>
      <c r="D113" s="34">
        <f>'ECONOMIA &amp; PROFESIONES'!$R$12</f>
        <v>2288</v>
      </c>
      <c r="E113" s="53">
        <f t="shared" si="39"/>
        <v>0</v>
      </c>
      <c r="F113" s="95" t="s">
        <v>202</v>
      </c>
      <c r="G113" s="99">
        <v>0</v>
      </c>
      <c r="H113" s="92">
        <f t="shared" si="32"/>
        <v>0</v>
      </c>
      <c r="I113" s="95" t="s">
        <v>202</v>
      </c>
      <c r="J113" s="99">
        <v>0</v>
      </c>
      <c r="K113" s="92">
        <f t="shared" si="33"/>
        <v>0</v>
      </c>
      <c r="L113" s="95" t="s">
        <v>202</v>
      </c>
      <c r="M113" s="99">
        <v>0</v>
      </c>
      <c r="N113" s="92">
        <f t="shared" si="34"/>
        <v>0</v>
      </c>
      <c r="O113" s="95" t="s">
        <v>202</v>
      </c>
      <c r="P113" s="99">
        <v>0</v>
      </c>
      <c r="Q113" s="92">
        <f t="shared" si="35"/>
        <v>0</v>
      </c>
      <c r="R113" s="95" t="s">
        <v>202</v>
      </c>
      <c r="S113" s="99">
        <v>0</v>
      </c>
      <c r="T113" s="92">
        <f t="shared" si="36"/>
        <v>0</v>
      </c>
      <c r="U113" s="95" t="s">
        <v>202</v>
      </c>
      <c r="V113" s="99">
        <v>0</v>
      </c>
      <c r="W113" s="92">
        <f t="shared" si="37"/>
        <v>0</v>
      </c>
      <c r="X113" s="95" t="s">
        <v>202</v>
      </c>
      <c r="Y113" s="99">
        <v>0</v>
      </c>
      <c r="Z113" s="92">
        <f t="shared" si="38"/>
        <v>0</v>
      </c>
    </row>
    <row r="114" spans="1:26">
      <c r="A114" s="231"/>
      <c r="B114" s="233"/>
      <c r="C114" s="31" t="s">
        <v>115</v>
      </c>
      <c r="D114" s="34">
        <f>'ECONOMIA &amp; PROFESIONES'!$R$13</f>
        <v>2252</v>
      </c>
      <c r="E114" s="53">
        <f t="shared" si="39"/>
        <v>0</v>
      </c>
      <c r="F114" s="95" t="s">
        <v>202</v>
      </c>
      <c r="G114" s="99">
        <v>0</v>
      </c>
      <c r="H114" s="92">
        <f t="shared" si="32"/>
        <v>0</v>
      </c>
      <c r="I114" s="95" t="s">
        <v>202</v>
      </c>
      <c r="J114" s="99">
        <v>0</v>
      </c>
      <c r="K114" s="92">
        <f t="shared" si="33"/>
        <v>0</v>
      </c>
      <c r="L114" s="95" t="s">
        <v>202</v>
      </c>
      <c r="M114" s="99">
        <v>0</v>
      </c>
      <c r="N114" s="92">
        <f t="shared" si="34"/>
        <v>0</v>
      </c>
      <c r="O114" s="95" t="s">
        <v>202</v>
      </c>
      <c r="P114" s="99">
        <v>0</v>
      </c>
      <c r="Q114" s="92">
        <f t="shared" si="35"/>
        <v>0</v>
      </c>
      <c r="R114" s="95" t="s">
        <v>202</v>
      </c>
      <c r="S114" s="99">
        <v>0</v>
      </c>
      <c r="T114" s="92">
        <f t="shared" si="36"/>
        <v>0</v>
      </c>
      <c r="U114" s="95" t="s">
        <v>202</v>
      </c>
      <c r="V114" s="99">
        <v>0</v>
      </c>
      <c r="W114" s="92">
        <f t="shared" si="37"/>
        <v>0</v>
      </c>
      <c r="X114" s="95" t="s">
        <v>202</v>
      </c>
      <c r="Y114" s="99">
        <v>0</v>
      </c>
      <c r="Z114" s="92">
        <f t="shared" si="38"/>
        <v>0</v>
      </c>
    </row>
    <row r="115" spans="1:26">
      <c r="A115" s="231"/>
      <c r="B115" s="234"/>
      <c r="C115" s="32" t="s">
        <v>116</v>
      </c>
      <c r="D115" s="34">
        <f>'ECONOMIA &amp; PROFESIONES'!$R$14</f>
        <v>2144</v>
      </c>
      <c r="E115" s="53">
        <f t="shared" si="39"/>
        <v>0</v>
      </c>
      <c r="F115" s="95" t="s">
        <v>202</v>
      </c>
      <c r="G115" s="99">
        <v>0</v>
      </c>
      <c r="H115" s="92">
        <f t="shared" si="32"/>
        <v>0</v>
      </c>
      <c r="I115" s="95" t="s">
        <v>202</v>
      </c>
      <c r="J115" s="99">
        <v>0</v>
      </c>
      <c r="K115" s="92">
        <f t="shared" si="33"/>
        <v>0</v>
      </c>
      <c r="L115" s="95" t="s">
        <v>202</v>
      </c>
      <c r="M115" s="99">
        <v>0</v>
      </c>
      <c r="N115" s="92">
        <f t="shared" si="34"/>
        <v>0</v>
      </c>
      <c r="O115" s="95" t="s">
        <v>202</v>
      </c>
      <c r="P115" s="99">
        <v>0</v>
      </c>
      <c r="Q115" s="92">
        <f t="shared" si="35"/>
        <v>0</v>
      </c>
      <c r="R115" s="95" t="s">
        <v>202</v>
      </c>
      <c r="S115" s="99">
        <v>0</v>
      </c>
      <c r="T115" s="92">
        <f t="shared" si="36"/>
        <v>0</v>
      </c>
      <c r="U115" s="95" t="s">
        <v>202</v>
      </c>
      <c r="V115" s="99">
        <v>0</v>
      </c>
      <c r="W115" s="92">
        <f t="shared" si="37"/>
        <v>0</v>
      </c>
      <c r="X115" s="95" t="s">
        <v>202</v>
      </c>
      <c r="Y115" s="99">
        <v>0</v>
      </c>
      <c r="Z115" s="92">
        <f t="shared" si="38"/>
        <v>0</v>
      </c>
    </row>
    <row r="116" spans="1:26">
      <c r="A116" s="231"/>
      <c r="B116" s="235" t="s">
        <v>353</v>
      </c>
      <c r="C116" s="31" t="s">
        <v>6</v>
      </c>
      <c r="D116" s="34">
        <f>'ECONOMIA &amp; PROFESIONES'!$R$15</f>
        <v>3672</v>
      </c>
      <c r="E116" s="53">
        <f t="shared" si="39"/>
        <v>0</v>
      </c>
      <c r="F116" s="95" t="s">
        <v>202</v>
      </c>
      <c r="G116" s="99">
        <v>0</v>
      </c>
      <c r="H116" s="92">
        <f t="shared" si="32"/>
        <v>0</v>
      </c>
      <c r="I116" s="95" t="s">
        <v>202</v>
      </c>
      <c r="J116" s="99">
        <v>0</v>
      </c>
      <c r="K116" s="92">
        <f t="shared" si="33"/>
        <v>0</v>
      </c>
      <c r="L116" s="95" t="s">
        <v>202</v>
      </c>
      <c r="M116" s="99">
        <v>0</v>
      </c>
      <c r="N116" s="92">
        <f t="shared" si="34"/>
        <v>0</v>
      </c>
      <c r="O116" s="95" t="s">
        <v>202</v>
      </c>
      <c r="P116" s="99">
        <v>0</v>
      </c>
      <c r="Q116" s="92">
        <f t="shared" si="35"/>
        <v>0</v>
      </c>
      <c r="R116" s="95" t="s">
        <v>202</v>
      </c>
      <c r="S116" s="99">
        <v>0</v>
      </c>
      <c r="T116" s="92">
        <f t="shared" si="36"/>
        <v>0</v>
      </c>
      <c r="U116" s="95" t="s">
        <v>202</v>
      </c>
      <c r="V116" s="99">
        <v>0</v>
      </c>
      <c r="W116" s="92">
        <f t="shared" si="37"/>
        <v>0</v>
      </c>
      <c r="X116" s="95" t="s">
        <v>202</v>
      </c>
      <c r="Y116" s="99">
        <v>0</v>
      </c>
      <c r="Z116" s="92">
        <f t="shared" si="38"/>
        <v>0</v>
      </c>
    </row>
    <row r="117" spans="1:26">
      <c r="A117" s="231"/>
      <c r="B117" s="236"/>
      <c r="C117" s="32" t="s">
        <v>113</v>
      </c>
      <c r="D117" s="34">
        <f>'ECONOMIA &amp; PROFESIONES'!$R$16</f>
        <v>3930</v>
      </c>
      <c r="E117" s="53">
        <f t="shared" si="39"/>
        <v>0</v>
      </c>
      <c r="F117" s="95" t="s">
        <v>202</v>
      </c>
      <c r="G117" s="99">
        <v>0</v>
      </c>
      <c r="H117" s="92">
        <f t="shared" si="32"/>
        <v>0</v>
      </c>
      <c r="I117" s="95" t="s">
        <v>202</v>
      </c>
      <c r="J117" s="99">
        <v>0</v>
      </c>
      <c r="K117" s="92">
        <f t="shared" si="33"/>
        <v>0</v>
      </c>
      <c r="L117" s="95" t="s">
        <v>202</v>
      </c>
      <c r="M117" s="99">
        <v>0</v>
      </c>
      <c r="N117" s="92">
        <f t="shared" si="34"/>
        <v>0</v>
      </c>
      <c r="O117" s="95" t="s">
        <v>202</v>
      </c>
      <c r="P117" s="99">
        <v>0</v>
      </c>
      <c r="Q117" s="92">
        <f t="shared" si="35"/>
        <v>0</v>
      </c>
      <c r="R117" s="95" t="s">
        <v>202</v>
      </c>
      <c r="S117" s="99">
        <v>0</v>
      </c>
      <c r="T117" s="92">
        <f t="shared" si="36"/>
        <v>0</v>
      </c>
      <c r="U117" s="95" t="s">
        <v>202</v>
      </c>
      <c r="V117" s="99">
        <v>0</v>
      </c>
      <c r="W117" s="92">
        <f t="shared" si="37"/>
        <v>0</v>
      </c>
      <c r="X117" s="95" t="s">
        <v>202</v>
      </c>
      <c r="Y117" s="99">
        <v>0</v>
      </c>
      <c r="Z117" s="92">
        <f t="shared" si="38"/>
        <v>0</v>
      </c>
    </row>
    <row r="118" spans="1:26">
      <c r="A118" s="231"/>
      <c r="B118" s="236"/>
      <c r="C118" s="31" t="s">
        <v>114</v>
      </c>
      <c r="D118" s="34">
        <f>'ECONOMIA &amp; PROFESIONES'!$R$17</f>
        <v>4188</v>
      </c>
      <c r="E118" s="53">
        <f t="shared" si="39"/>
        <v>0</v>
      </c>
      <c r="F118" s="95" t="s">
        <v>202</v>
      </c>
      <c r="G118" s="99">
        <v>0</v>
      </c>
      <c r="H118" s="92">
        <f t="shared" si="32"/>
        <v>0</v>
      </c>
      <c r="I118" s="95" t="s">
        <v>202</v>
      </c>
      <c r="J118" s="99">
        <v>0</v>
      </c>
      <c r="K118" s="92">
        <f t="shared" si="33"/>
        <v>0</v>
      </c>
      <c r="L118" s="95" t="s">
        <v>202</v>
      </c>
      <c r="M118" s="99">
        <v>0</v>
      </c>
      <c r="N118" s="92">
        <f t="shared" si="34"/>
        <v>0</v>
      </c>
      <c r="O118" s="95" t="s">
        <v>202</v>
      </c>
      <c r="P118" s="99">
        <v>0</v>
      </c>
      <c r="Q118" s="92">
        <f t="shared" si="35"/>
        <v>0</v>
      </c>
      <c r="R118" s="95" t="s">
        <v>202</v>
      </c>
      <c r="S118" s="99">
        <v>0</v>
      </c>
      <c r="T118" s="92">
        <f t="shared" si="36"/>
        <v>0</v>
      </c>
      <c r="U118" s="95" t="s">
        <v>202</v>
      </c>
      <c r="V118" s="99">
        <v>0</v>
      </c>
      <c r="W118" s="92">
        <f t="shared" si="37"/>
        <v>0</v>
      </c>
      <c r="X118" s="95" t="s">
        <v>202</v>
      </c>
      <c r="Y118" s="99">
        <v>0</v>
      </c>
      <c r="Z118" s="92">
        <f t="shared" si="38"/>
        <v>0</v>
      </c>
    </row>
    <row r="119" spans="1:26">
      <c r="A119" s="231"/>
      <c r="B119" s="235"/>
      <c r="C119" s="32" t="s">
        <v>115</v>
      </c>
      <c r="D119" s="34">
        <f>'ECONOMIA &amp; PROFESIONES'!$R$18</f>
        <v>4102</v>
      </c>
      <c r="E119" s="53">
        <f t="shared" si="39"/>
        <v>0</v>
      </c>
      <c r="F119" s="95" t="s">
        <v>202</v>
      </c>
      <c r="G119" s="99">
        <v>0</v>
      </c>
      <c r="H119" s="92">
        <f t="shared" si="32"/>
        <v>0</v>
      </c>
      <c r="I119" s="95" t="s">
        <v>202</v>
      </c>
      <c r="J119" s="99">
        <v>0</v>
      </c>
      <c r="K119" s="92">
        <f t="shared" si="33"/>
        <v>0</v>
      </c>
      <c r="L119" s="95" t="s">
        <v>202</v>
      </c>
      <c r="M119" s="99">
        <v>0</v>
      </c>
      <c r="N119" s="92">
        <f t="shared" si="34"/>
        <v>0</v>
      </c>
      <c r="O119" s="95" t="s">
        <v>202</v>
      </c>
      <c r="P119" s="99">
        <v>0</v>
      </c>
      <c r="Q119" s="92">
        <f t="shared" si="35"/>
        <v>0</v>
      </c>
      <c r="R119" s="95" t="s">
        <v>202</v>
      </c>
      <c r="S119" s="99">
        <v>0</v>
      </c>
      <c r="T119" s="92">
        <f t="shared" si="36"/>
        <v>0</v>
      </c>
      <c r="U119" s="95" t="s">
        <v>202</v>
      </c>
      <c r="V119" s="99">
        <v>0</v>
      </c>
      <c r="W119" s="92">
        <f t="shared" si="37"/>
        <v>0</v>
      </c>
      <c r="X119" s="95" t="s">
        <v>202</v>
      </c>
      <c r="Y119" s="99">
        <v>0</v>
      </c>
      <c r="Z119" s="92">
        <f t="shared" si="38"/>
        <v>0</v>
      </c>
    </row>
    <row r="120" spans="1:26">
      <c r="A120" s="231"/>
      <c r="B120" s="235"/>
      <c r="C120" s="31" t="s">
        <v>116</v>
      </c>
      <c r="D120" s="34">
        <f>'ECONOMIA &amp; PROFESIONES'!$R$19</f>
        <v>3844</v>
      </c>
      <c r="E120" s="53">
        <f t="shared" si="39"/>
        <v>0</v>
      </c>
      <c r="F120" s="95" t="s">
        <v>202</v>
      </c>
      <c r="G120" s="99">
        <v>0</v>
      </c>
      <c r="H120" s="92">
        <f t="shared" si="32"/>
        <v>0</v>
      </c>
      <c r="I120" s="95" t="s">
        <v>202</v>
      </c>
      <c r="J120" s="99">
        <v>0</v>
      </c>
      <c r="K120" s="92">
        <f t="shared" si="33"/>
        <v>0</v>
      </c>
      <c r="L120" s="95" t="s">
        <v>202</v>
      </c>
      <c r="M120" s="99">
        <v>0</v>
      </c>
      <c r="N120" s="92">
        <f t="shared" si="34"/>
        <v>0</v>
      </c>
      <c r="O120" s="95" t="s">
        <v>202</v>
      </c>
      <c r="P120" s="99">
        <v>0</v>
      </c>
      <c r="Q120" s="92">
        <f t="shared" si="35"/>
        <v>0</v>
      </c>
      <c r="R120" s="95" t="s">
        <v>202</v>
      </c>
      <c r="S120" s="99">
        <v>0</v>
      </c>
      <c r="T120" s="92">
        <f t="shared" si="36"/>
        <v>0</v>
      </c>
      <c r="U120" s="95" t="s">
        <v>202</v>
      </c>
      <c r="V120" s="99">
        <v>0</v>
      </c>
      <c r="W120" s="92">
        <f t="shared" si="37"/>
        <v>0</v>
      </c>
      <c r="X120" s="95" t="s">
        <v>202</v>
      </c>
      <c r="Y120" s="99">
        <v>0</v>
      </c>
      <c r="Z120" s="92">
        <f t="shared" si="38"/>
        <v>0</v>
      </c>
    </row>
    <row r="121" spans="1:26">
      <c r="A121" s="231"/>
      <c r="B121" s="237" t="s">
        <v>354</v>
      </c>
      <c r="C121" s="32" t="s">
        <v>6</v>
      </c>
      <c r="D121" s="34">
        <f>'ECONOMIA &amp; PROFESIONES'!$R$20</f>
        <v>5272</v>
      </c>
      <c r="E121" s="53">
        <f t="shared" si="39"/>
        <v>0</v>
      </c>
      <c r="F121" s="95" t="s">
        <v>202</v>
      </c>
      <c r="G121" s="99">
        <v>0</v>
      </c>
      <c r="H121" s="92">
        <f t="shared" si="32"/>
        <v>0</v>
      </c>
      <c r="I121" s="95" t="s">
        <v>202</v>
      </c>
      <c r="J121" s="99">
        <v>0</v>
      </c>
      <c r="K121" s="92">
        <f t="shared" si="33"/>
        <v>0</v>
      </c>
      <c r="L121" s="95" t="s">
        <v>202</v>
      </c>
      <c r="M121" s="99">
        <v>0</v>
      </c>
      <c r="N121" s="92">
        <f t="shared" si="34"/>
        <v>0</v>
      </c>
      <c r="O121" s="95" t="s">
        <v>202</v>
      </c>
      <c r="P121" s="99">
        <v>0</v>
      </c>
      <c r="Q121" s="92">
        <f t="shared" si="35"/>
        <v>0</v>
      </c>
      <c r="R121" s="95" t="s">
        <v>202</v>
      </c>
      <c r="S121" s="99">
        <v>0</v>
      </c>
      <c r="T121" s="92">
        <f t="shared" si="36"/>
        <v>0</v>
      </c>
      <c r="U121" s="95" t="s">
        <v>202</v>
      </c>
      <c r="V121" s="99">
        <v>0</v>
      </c>
      <c r="W121" s="92">
        <f t="shared" si="37"/>
        <v>0</v>
      </c>
      <c r="X121" s="95" t="s">
        <v>202</v>
      </c>
      <c r="Y121" s="99">
        <v>0</v>
      </c>
      <c r="Z121" s="92">
        <f t="shared" si="38"/>
        <v>0</v>
      </c>
    </row>
    <row r="122" spans="1:26">
      <c r="A122" s="231"/>
      <c r="B122" s="238"/>
      <c r="C122" s="31" t="s">
        <v>113</v>
      </c>
      <c r="D122" s="34">
        <f>'ECONOMIA &amp; PROFESIONES'!$R$21</f>
        <v>5680</v>
      </c>
      <c r="E122" s="53">
        <f t="shared" si="39"/>
        <v>0</v>
      </c>
      <c r="F122" s="95" t="s">
        <v>202</v>
      </c>
      <c r="G122" s="99">
        <v>0</v>
      </c>
      <c r="H122" s="92">
        <f t="shared" si="32"/>
        <v>0</v>
      </c>
      <c r="I122" s="95" t="s">
        <v>202</v>
      </c>
      <c r="J122" s="99">
        <v>0</v>
      </c>
      <c r="K122" s="92">
        <f t="shared" si="33"/>
        <v>0</v>
      </c>
      <c r="L122" s="95" t="s">
        <v>202</v>
      </c>
      <c r="M122" s="99">
        <v>0</v>
      </c>
      <c r="N122" s="92">
        <f t="shared" si="34"/>
        <v>0</v>
      </c>
      <c r="O122" s="95" t="s">
        <v>202</v>
      </c>
      <c r="P122" s="99">
        <v>0</v>
      </c>
      <c r="Q122" s="92">
        <f t="shared" si="35"/>
        <v>0</v>
      </c>
      <c r="R122" s="95" t="s">
        <v>202</v>
      </c>
      <c r="S122" s="99">
        <v>0</v>
      </c>
      <c r="T122" s="92">
        <f t="shared" si="36"/>
        <v>0</v>
      </c>
      <c r="U122" s="95" t="s">
        <v>202</v>
      </c>
      <c r="V122" s="99">
        <v>0</v>
      </c>
      <c r="W122" s="92">
        <f t="shared" si="37"/>
        <v>0</v>
      </c>
      <c r="X122" s="95" t="s">
        <v>202</v>
      </c>
      <c r="Y122" s="99">
        <v>0</v>
      </c>
      <c r="Z122" s="92">
        <f t="shared" si="38"/>
        <v>0</v>
      </c>
    </row>
    <row r="123" spans="1:26">
      <c r="A123" s="231"/>
      <c r="B123" s="238"/>
      <c r="C123" s="32" t="s">
        <v>114</v>
      </c>
      <c r="D123" s="34">
        <f>'ECONOMIA &amp; PROFESIONES'!$R$22</f>
        <v>6088</v>
      </c>
      <c r="E123" s="53">
        <f t="shared" si="39"/>
        <v>0</v>
      </c>
      <c r="F123" s="95" t="s">
        <v>202</v>
      </c>
      <c r="G123" s="99">
        <v>0</v>
      </c>
      <c r="H123" s="92">
        <f t="shared" si="32"/>
        <v>0</v>
      </c>
      <c r="I123" s="95" t="s">
        <v>202</v>
      </c>
      <c r="J123" s="99">
        <v>0</v>
      </c>
      <c r="K123" s="92">
        <f t="shared" si="33"/>
        <v>0</v>
      </c>
      <c r="L123" s="95" t="s">
        <v>202</v>
      </c>
      <c r="M123" s="99">
        <v>0</v>
      </c>
      <c r="N123" s="92">
        <f t="shared" si="34"/>
        <v>0</v>
      </c>
      <c r="O123" s="95" t="s">
        <v>202</v>
      </c>
      <c r="P123" s="99">
        <v>0</v>
      </c>
      <c r="Q123" s="92">
        <f t="shared" si="35"/>
        <v>0</v>
      </c>
      <c r="R123" s="95" t="s">
        <v>202</v>
      </c>
      <c r="S123" s="99">
        <v>0</v>
      </c>
      <c r="T123" s="92">
        <f t="shared" si="36"/>
        <v>0</v>
      </c>
      <c r="U123" s="95" t="s">
        <v>202</v>
      </c>
      <c r="V123" s="99">
        <v>0</v>
      </c>
      <c r="W123" s="92">
        <f t="shared" si="37"/>
        <v>0</v>
      </c>
      <c r="X123" s="95" t="s">
        <v>202</v>
      </c>
      <c r="Y123" s="99">
        <v>0</v>
      </c>
      <c r="Z123" s="92">
        <f t="shared" si="38"/>
        <v>0</v>
      </c>
    </row>
    <row r="124" spans="1:26">
      <c r="A124" s="231"/>
      <c r="B124" s="233"/>
      <c r="C124" s="31" t="s">
        <v>115</v>
      </c>
      <c r="D124" s="34">
        <f>'ECONOMIA &amp; PROFESIONES'!$R$23</f>
        <v>5952</v>
      </c>
      <c r="E124" s="53">
        <f t="shared" si="39"/>
        <v>0</v>
      </c>
      <c r="F124" s="95" t="s">
        <v>202</v>
      </c>
      <c r="G124" s="99">
        <v>0</v>
      </c>
      <c r="H124" s="92">
        <f t="shared" si="32"/>
        <v>0</v>
      </c>
      <c r="I124" s="95" t="s">
        <v>202</v>
      </c>
      <c r="J124" s="99">
        <v>0</v>
      </c>
      <c r="K124" s="92">
        <f t="shared" si="33"/>
        <v>0</v>
      </c>
      <c r="L124" s="95" t="s">
        <v>202</v>
      </c>
      <c r="M124" s="99">
        <v>0</v>
      </c>
      <c r="N124" s="92">
        <f t="shared" si="34"/>
        <v>0</v>
      </c>
      <c r="O124" s="95" t="s">
        <v>202</v>
      </c>
      <c r="P124" s="99">
        <v>0</v>
      </c>
      <c r="Q124" s="92">
        <f t="shared" si="35"/>
        <v>0</v>
      </c>
      <c r="R124" s="95" t="s">
        <v>202</v>
      </c>
      <c r="S124" s="99">
        <v>0</v>
      </c>
      <c r="T124" s="92">
        <f t="shared" si="36"/>
        <v>0</v>
      </c>
      <c r="U124" s="95" t="s">
        <v>202</v>
      </c>
      <c r="V124" s="99">
        <v>0</v>
      </c>
      <c r="W124" s="92">
        <f t="shared" si="37"/>
        <v>0</v>
      </c>
      <c r="X124" s="95" t="s">
        <v>202</v>
      </c>
      <c r="Y124" s="99">
        <v>0</v>
      </c>
      <c r="Z124" s="92">
        <f t="shared" si="38"/>
        <v>0</v>
      </c>
    </row>
    <row r="125" spans="1:26">
      <c r="A125" s="231"/>
      <c r="B125" s="239"/>
      <c r="C125" s="32" t="s">
        <v>116</v>
      </c>
      <c r="D125" s="34">
        <f>'ECONOMIA &amp; PROFESIONES'!$R$24</f>
        <v>5544</v>
      </c>
      <c r="E125" s="53">
        <f t="shared" si="39"/>
        <v>0</v>
      </c>
      <c r="F125" s="95" t="s">
        <v>202</v>
      </c>
      <c r="G125" s="99">
        <v>0</v>
      </c>
      <c r="H125" s="92">
        <f t="shared" si="32"/>
        <v>0</v>
      </c>
      <c r="I125" s="95" t="s">
        <v>202</v>
      </c>
      <c r="J125" s="99">
        <v>0</v>
      </c>
      <c r="K125" s="92">
        <f t="shared" si="33"/>
        <v>0</v>
      </c>
      <c r="L125" s="95" t="s">
        <v>202</v>
      </c>
      <c r="M125" s="99">
        <v>0</v>
      </c>
      <c r="N125" s="92">
        <f t="shared" si="34"/>
        <v>0</v>
      </c>
      <c r="O125" s="95" t="s">
        <v>202</v>
      </c>
      <c r="P125" s="99">
        <v>0</v>
      </c>
      <c r="Q125" s="92">
        <f t="shared" si="35"/>
        <v>0</v>
      </c>
      <c r="R125" s="95" t="s">
        <v>202</v>
      </c>
      <c r="S125" s="99">
        <v>0</v>
      </c>
      <c r="T125" s="92">
        <f t="shared" si="36"/>
        <v>0</v>
      </c>
      <c r="U125" s="95" t="s">
        <v>202</v>
      </c>
      <c r="V125" s="99">
        <v>0</v>
      </c>
      <c r="W125" s="92">
        <f t="shared" si="37"/>
        <v>0</v>
      </c>
      <c r="X125" s="95" t="s">
        <v>202</v>
      </c>
      <c r="Y125" s="99">
        <v>0</v>
      </c>
      <c r="Z125" s="92">
        <f t="shared" si="38"/>
        <v>0</v>
      </c>
    </row>
    <row r="126" spans="1:26">
      <c r="A126" s="231"/>
      <c r="B126" s="235" t="s">
        <v>352</v>
      </c>
      <c r="C126" s="31" t="s">
        <v>6</v>
      </c>
      <c r="D126" s="34">
        <f>'ECONOMIA &amp; PROFESIONES'!$R$25</f>
        <v>6872</v>
      </c>
      <c r="E126" s="53">
        <f t="shared" si="39"/>
        <v>0</v>
      </c>
      <c r="F126" s="95" t="s">
        <v>202</v>
      </c>
      <c r="G126" s="99">
        <v>0</v>
      </c>
      <c r="H126" s="92">
        <f t="shared" si="32"/>
        <v>0</v>
      </c>
      <c r="I126" s="95" t="s">
        <v>202</v>
      </c>
      <c r="J126" s="99">
        <v>0</v>
      </c>
      <c r="K126" s="92">
        <f t="shared" si="33"/>
        <v>0</v>
      </c>
      <c r="L126" s="95" t="s">
        <v>202</v>
      </c>
      <c r="M126" s="99">
        <v>0</v>
      </c>
      <c r="N126" s="92">
        <f t="shared" si="34"/>
        <v>0</v>
      </c>
      <c r="O126" s="95" t="s">
        <v>202</v>
      </c>
      <c r="P126" s="99">
        <v>0</v>
      </c>
      <c r="Q126" s="92">
        <f t="shared" si="35"/>
        <v>0</v>
      </c>
      <c r="R126" s="95" t="s">
        <v>202</v>
      </c>
      <c r="S126" s="99">
        <v>0</v>
      </c>
      <c r="T126" s="92">
        <f t="shared" si="36"/>
        <v>0</v>
      </c>
      <c r="U126" s="95" t="s">
        <v>202</v>
      </c>
      <c r="V126" s="99">
        <v>0</v>
      </c>
      <c r="W126" s="92">
        <f t="shared" si="37"/>
        <v>0</v>
      </c>
      <c r="X126" s="95" t="s">
        <v>202</v>
      </c>
      <c r="Y126" s="99">
        <v>0</v>
      </c>
      <c r="Z126" s="92">
        <f t="shared" si="38"/>
        <v>0</v>
      </c>
    </row>
    <row r="127" spans="1:26">
      <c r="A127" s="231"/>
      <c r="B127" s="235"/>
      <c r="C127" s="32" t="s">
        <v>113</v>
      </c>
      <c r="D127" s="34">
        <f>'ECONOMIA &amp; PROFESIONES'!$R$26</f>
        <v>7430</v>
      </c>
      <c r="E127" s="53">
        <f t="shared" si="39"/>
        <v>0</v>
      </c>
      <c r="F127" s="95" t="s">
        <v>202</v>
      </c>
      <c r="G127" s="99">
        <v>0</v>
      </c>
      <c r="H127" s="92">
        <f t="shared" si="32"/>
        <v>0</v>
      </c>
      <c r="I127" s="95" t="s">
        <v>202</v>
      </c>
      <c r="J127" s="99">
        <v>0</v>
      </c>
      <c r="K127" s="92">
        <f t="shared" si="33"/>
        <v>0</v>
      </c>
      <c r="L127" s="95" t="s">
        <v>202</v>
      </c>
      <c r="M127" s="99">
        <v>0</v>
      </c>
      <c r="N127" s="92">
        <f t="shared" si="34"/>
        <v>0</v>
      </c>
      <c r="O127" s="95" t="s">
        <v>202</v>
      </c>
      <c r="P127" s="99">
        <v>0</v>
      </c>
      <c r="Q127" s="92">
        <f t="shared" si="35"/>
        <v>0</v>
      </c>
      <c r="R127" s="95" t="s">
        <v>202</v>
      </c>
      <c r="S127" s="99">
        <v>0</v>
      </c>
      <c r="T127" s="92">
        <f t="shared" si="36"/>
        <v>0</v>
      </c>
      <c r="U127" s="95" t="s">
        <v>202</v>
      </c>
      <c r="V127" s="99">
        <v>0</v>
      </c>
      <c r="W127" s="92">
        <f t="shared" si="37"/>
        <v>0</v>
      </c>
      <c r="X127" s="95" t="s">
        <v>202</v>
      </c>
      <c r="Y127" s="99">
        <v>0</v>
      </c>
      <c r="Z127" s="92">
        <f t="shared" si="38"/>
        <v>0</v>
      </c>
    </row>
    <row r="128" spans="1:26">
      <c r="A128" s="231"/>
      <c r="B128" s="235"/>
      <c r="C128" s="31" t="s">
        <v>114</v>
      </c>
      <c r="D128" s="34">
        <f>'ECONOMIA &amp; PROFESIONES'!$R$27</f>
        <v>7988</v>
      </c>
      <c r="E128" s="53">
        <f t="shared" si="39"/>
        <v>0</v>
      </c>
      <c r="F128" s="95" t="s">
        <v>202</v>
      </c>
      <c r="G128" s="99">
        <v>0</v>
      </c>
      <c r="H128" s="92">
        <f t="shared" si="32"/>
        <v>0</v>
      </c>
      <c r="I128" s="95" t="s">
        <v>202</v>
      </c>
      <c r="J128" s="99">
        <v>0</v>
      </c>
      <c r="K128" s="92">
        <f t="shared" si="33"/>
        <v>0</v>
      </c>
      <c r="L128" s="95" t="s">
        <v>202</v>
      </c>
      <c r="M128" s="99">
        <v>0</v>
      </c>
      <c r="N128" s="92">
        <f t="shared" si="34"/>
        <v>0</v>
      </c>
      <c r="O128" s="95" t="s">
        <v>202</v>
      </c>
      <c r="P128" s="99">
        <v>0</v>
      </c>
      <c r="Q128" s="92">
        <f t="shared" si="35"/>
        <v>0</v>
      </c>
      <c r="R128" s="95" t="s">
        <v>202</v>
      </c>
      <c r="S128" s="99">
        <v>0</v>
      </c>
      <c r="T128" s="92">
        <f t="shared" si="36"/>
        <v>0</v>
      </c>
      <c r="U128" s="95" t="s">
        <v>202</v>
      </c>
      <c r="V128" s="99">
        <v>0</v>
      </c>
      <c r="W128" s="92">
        <f t="shared" si="37"/>
        <v>0</v>
      </c>
      <c r="X128" s="95" t="s">
        <v>202</v>
      </c>
      <c r="Y128" s="99">
        <v>0</v>
      </c>
      <c r="Z128" s="92">
        <f t="shared" si="38"/>
        <v>0</v>
      </c>
    </row>
    <row r="129" spans="1:26">
      <c r="A129" s="231"/>
      <c r="B129" s="235"/>
      <c r="C129" s="32" t="s">
        <v>115</v>
      </c>
      <c r="D129" s="34">
        <f>'ECONOMIA &amp; PROFESIONES'!$R$28</f>
        <v>7802</v>
      </c>
      <c r="E129" s="53">
        <f t="shared" si="39"/>
        <v>0</v>
      </c>
      <c r="F129" s="95" t="s">
        <v>202</v>
      </c>
      <c r="G129" s="99">
        <v>0</v>
      </c>
      <c r="H129" s="92">
        <f t="shared" si="32"/>
        <v>0</v>
      </c>
      <c r="I129" s="95" t="s">
        <v>202</v>
      </c>
      <c r="J129" s="99">
        <v>0</v>
      </c>
      <c r="K129" s="92">
        <f t="shared" si="33"/>
        <v>0</v>
      </c>
      <c r="L129" s="95" t="s">
        <v>202</v>
      </c>
      <c r="M129" s="99">
        <v>0</v>
      </c>
      <c r="N129" s="92">
        <f t="shared" si="34"/>
        <v>0</v>
      </c>
      <c r="O129" s="95" t="s">
        <v>202</v>
      </c>
      <c r="P129" s="99">
        <v>0</v>
      </c>
      <c r="Q129" s="92">
        <f t="shared" si="35"/>
        <v>0</v>
      </c>
      <c r="R129" s="95" t="s">
        <v>202</v>
      </c>
      <c r="S129" s="99">
        <v>0</v>
      </c>
      <c r="T129" s="92">
        <f t="shared" si="36"/>
        <v>0</v>
      </c>
      <c r="U129" s="95" t="s">
        <v>202</v>
      </c>
      <c r="V129" s="99">
        <v>0</v>
      </c>
      <c r="W129" s="92">
        <f t="shared" si="37"/>
        <v>0</v>
      </c>
      <c r="X129" s="95" t="s">
        <v>202</v>
      </c>
      <c r="Y129" s="99">
        <v>0</v>
      </c>
      <c r="Z129" s="92">
        <f t="shared" si="38"/>
        <v>0</v>
      </c>
    </row>
    <row r="130" spans="1:26">
      <c r="A130" s="231"/>
      <c r="B130" s="235"/>
      <c r="C130" s="31" t="s">
        <v>116</v>
      </c>
      <c r="D130" s="34">
        <f>'ECONOMIA &amp; PROFESIONES'!$R$29</f>
        <v>7244</v>
      </c>
      <c r="E130" s="53">
        <f t="shared" si="39"/>
        <v>0</v>
      </c>
      <c r="F130" s="95" t="s">
        <v>202</v>
      </c>
      <c r="G130" s="99">
        <v>0</v>
      </c>
      <c r="H130" s="92">
        <f t="shared" si="32"/>
        <v>0</v>
      </c>
      <c r="I130" s="95" t="s">
        <v>202</v>
      </c>
      <c r="J130" s="99">
        <v>0</v>
      </c>
      <c r="K130" s="92">
        <f t="shared" si="33"/>
        <v>0</v>
      </c>
      <c r="L130" s="95" t="s">
        <v>202</v>
      </c>
      <c r="M130" s="99">
        <v>0</v>
      </c>
      <c r="N130" s="92">
        <f t="shared" si="34"/>
        <v>0</v>
      </c>
      <c r="O130" s="95" t="s">
        <v>202</v>
      </c>
      <c r="P130" s="99">
        <v>0</v>
      </c>
      <c r="Q130" s="92">
        <f t="shared" si="35"/>
        <v>0</v>
      </c>
      <c r="R130" s="95" t="s">
        <v>202</v>
      </c>
      <c r="S130" s="99">
        <v>0</v>
      </c>
      <c r="T130" s="92">
        <f t="shared" si="36"/>
        <v>0</v>
      </c>
      <c r="U130" s="95" t="s">
        <v>202</v>
      </c>
      <c r="V130" s="99">
        <v>0</v>
      </c>
      <c r="W130" s="92">
        <f t="shared" si="37"/>
        <v>0</v>
      </c>
      <c r="X130" s="95" t="s">
        <v>202</v>
      </c>
      <c r="Y130" s="99">
        <v>0</v>
      </c>
      <c r="Z130" s="92">
        <f t="shared" si="38"/>
        <v>0</v>
      </c>
    </row>
  </sheetData>
  <mergeCells count="30">
    <mergeCell ref="A105:A130"/>
    <mergeCell ref="B106:B110"/>
    <mergeCell ref="B111:B115"/>
    <mergeCell ref="B116:B120"/>
    <mergeCell ref="B121:B125"/>
    <mergeCell ref="B126:B130"/>
    <mergeCell ref="A79:A104"/>
    <mergeCell ref="B80:B84"/>
    <mergeCell ref="B85:B89"/>
    <mergeCell ref="B90:B94"/>
    <mergeCell ref="B95:B99"/>
    <mergeCell ref="B100:B104"/>
    <mergeCell ref="A53:A78"/>
    <mergeCell ref="B54:B58"/>
    <mergeCell ref="B59:B63"/>
    <mergeCell ref="B64:B68"/>
    <mergeCell ref="B69:B73"/>
    <mergeCell ref="B74:B78"/>
    <mergeCell ref="A27:A52"/>
    <mergeCell ref="B28:B32"/>
    <mergeCell ref="B33:B37"/>
    <mergeCell ref="B38:B42"/>
    <mergeCell ref="B43:B47"/>
    <mergeCell ref="B48:B52"/>
    <mergeCell ref="A1:A26"/>
    <mergeCell ref="B7:B11"/>
    <mergeCell ref="B12:B16"/>
    <mergeCell ref="B17:B21"/>
    <mergeCell ref="B22:B26"/>
    <mergeCell ref="B2:B6"/>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xr:uid="{00000000-0002-0000-0800-000000000000}">
      <formula1>craftspar</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Z26"/>
  <sheetViews>
    <sheetView workbookViewId="0">
      <selection activeCell="D24" sqref="D24:D26"/>
    </sheetView>
  </sheetViews>
  <sheetFormatPr baseColWidth="10" defaultRowHeight="15"/>
  <cols>
    <col min="6" max="6" width="16.5703125" customWidth="1"/>
    <col min="9" max="9" width="16.42578125" customWidth="1"/>
  </cols>
  <sheetData>
    <row r="1" spans="1:26">
      <c r="A1" s="231" t="s">
        <v>367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31"/>
      <c r="B2" s="240" t="s">
        <v>286</v>
      </c>
      <c r="C2" s="31" t="s">
        <v>6</v>
      </c>
      <c r="D2" s="34">
        <f>'ECONOMIA &amp; PROFESIONES'!$P$7</f>
        <v>540</v>
      </c>
      <c r="E2" s="53">
        <f>(H2*G2)+(K2*J2)+(M2*N2)+(P2*Q2)+(S2*T2)+(V2*W2)+(Y2*Z2)</f>
        <v>0</v>
      </c>
      <c r="F2" s="95" t="s">
        <v>202</v>
      </c>
      <c r="G2" s="99">
        <v>0</v>
      </c>
      <c r="H2" s="92">
        <f t="shared" ref="H2:H26" si="0">VLOOKUP(F2,craftedesp,3,FALSE)</f>
        <v>0</v>
      </c>
      <c r="I2" s="95" t="s">
        <v>202</v>
      </c>
      <c r="J2" s="99">
        <v>0</v>
      </c>
      <c r="K2" s="92">
        <f t="shared" ref="K2:K26" si="1">VLOOKUP(I2,craftedesp,3,FALSE)</f>
        <v>0</v>
      </c>
      <c r="L2" s="95" t="s">
        <v>202</v>
      </c>
      <c r="M2" s="99">
        <v>0</v>
      </c>
      <c r="N2" s="92">
        <f t="shared" ref="N2:N26" si="2">VLOOKUP(L2,craftedesp,3,FALSE)</f>
        <v>0</v>
      </c>
      <c r="O2" s="95" t="s">
        <v>202</v>
      </c>
      <c r="P2" s="99">
        <v>0</v>
      </c>
      <c r="Q2" s="92">
        <f t="shared" ref="Q2:Q26" si="3">VLOOKUP(O2,craftedesp,3,FALSE)</f>
        <v>0</v>
      </c>
      <c r="R2" s="95" t="s">
        <v>202</v>
      </c>
      <c r="S2" s="99">
        <v>0</v>
      </c>
      <c r="T2" s="92">
        <f t="shared" ref="T2:T26" si="4">VLOOKUP(R2,craftedesp,3,FALSE)</f>
        <v>0</v>
      </c>
      <c r="U2" s="95" t="s">
        <v>202</v>
      </c>
      <c r="V2" s="99">
        <v>0</v>
      </c>
      <c r="W2" s="92">
        <f t="shared" ref="W2:W26" si="5">VLOOKUP(U2,craftedesp,3,FALSE)</f>
        <v>0</v>
      </c>
      <c r="X2" s="95" t="s">
        <v>202</v>
      </c>
      <c r="Y2" s="99">
        <v>0</v>
      </c>
      <c r="Z2" s="92">
        <f t="shared" ref="Z2:Z26" si="6">VLOOKUP(X2,craftedesp,3,FALSE)</f>
        <v>0</v>
      </c>
    </row>
    <row r="3" spans="1:26">
      <c r="A3" s="231"/>
      <c r="B3" s="241"/>
      <c r="C3" s="32" t="s">
        <v>113</v>
      </c>
      <c r="D3" s="34">
        <f>'ECONOMIA &amp; PROFESIONES'!$P$7</f>
        <v>540</v>
      </c>
      <c r="E3" s="53">
        <f t="shared" ref="E3:E26" si="7">(H3*G3)+(K3*J3)+(M3*N3)+(P3*Q3)+(S3*T3)+(V3*W3)+(Y3*Z3)</f>
        <v>0</v>
      </c>
      <c r="F3" s="95" t="s">
        <v>202</v>
      </c>
      <c r="G3" s="99">
        <v>0</v>
      </c>
      <c r="H3" s="92">
        <f t="shared" si="0"/>
        <v>0</v>
      </c>
      <c r="I3" s="95" t="s">
        <v>202</v>
      </c>
      <c r="J3" s="99">
        <v>0</v>
      </c>
      <c r="K3" s="92">
        <f t="shared" si="1"/>
        <v>0</v>
      </c>
      <c r="L3" s="95" t="s">
        <v>202</v>
      </c>
      <c r="M3" s="99">
        <v>0</v>
      </c>
      <c r="N3" s="92">
        <f t="shared" si="2"/>
        <v>0</v>
      </c>
      <c r="O3" s="95" t="s">
        <v>202</v>
      </c>
      <c r="P3" s="99">
        <v>0</v>
      </c>
      <c r="Q3" s="92">
        <f t="shared" si="3"/>
        <v>0</v>
      </c>
      <c r="R3" s="95" t="s">
        <v>202</v>
      </c>
      <c r="S3" s="99">
        <v>0</v>
      </c>
      <c r="T3" s="92">
        <f t="shared" si="4"/>
        <v>0</v>
      </c>
      <c r="U3" s="95" t="s">
        <v>202</v>
      </c>
      <c r="V3" s="99">
        <v>0</v>
      </c>
      <c r="W3" s="92">
        <f t="shared" si="5"/>
        <v>0</v>
      </c>
      <c r="X3" s="95" t="s">
        <v>202</v>
      </c>
      <c r="Y3" s="99">
        <v>0</v>
      </c>
      <c r="Z3" s="92">
        <f t="shared" si="6"/>
        <v>0</v>
      </c>
    </row>
    <row r="4" spans="1:26">
      <c r="A4" s="231"/>
      <c r="B4" s="241"/>
      <c r="C4" s="31" t="s">
        <v>366</v>
      </c>
      <c r="D4" s="34">
        <f>'ECONOMIA &amp; PROFESIONES'!$P$7</f>
        <v>540</v>
      </c>
      <c r="E4" s="53" t="e">
        <f t="shared" si="7"/>
        <v>#NAME?</v>
      </c>
      <c r="F4" s="95" t="s">
        <v>375</v>
      </c>
      <c r="G4" s="99">
        <v>14</v>
      </c>
      <c r="H4" s="92" t="e">
        <f t="shared" si="0"/>
        <v>#NAME?</v>
      </c>
      <c r="I4" s="95" t="s">
        <v>202</v>
      </c>
      <c r="J4" s="99">
        <v>24</v>
      </c>
      <c r="K4" s="92">
        <f t="shared" si="1"/>
        <v>0</v>
      </c>
      <c r="L4" s="95" t="s">
        <v>202</v>
      </c>
      <c r="M4" s="99">
        <v>0</v>
      </c>
      <c r="N4" s="92">
        <f t="shared" si="2"/>
        <v>0</v>
      </c>
      <c r="O4" s="95" t="s">
        <v>202</v>
      </c>
      <c r="P4" s="99">
        <v>0</v>
      </c>
      <c r="Q4" s="92">
        <f t="shared" si="3"/>
        <v>0</v>
      </c>
      <c r="R4" s="95" t="s">
        <v>202</v>
      </c>
      <c r="S4" s="99">
        <v>0</v>
      </c>
      <c r="T4" s="92">
        <f t="shared" si="4"/>
        <v>0</v>
      </c>
      <c r="U4" s="95" t="s">
        <v>202</v>
      </c>
      <c r="V4" s="99">
        <v>0</v>
      </c>
      <c r="W4" s="92">
        <f t="shared" si="5"/>
        <v>0</v>
      </c>
      <c r="X4" s="95" t="s">
        <v>202</v>
      </c>
      <c r="Y4" s="99">
        <v>0</v>
      </c>
      <c r="Z4" s="92">
        <f t="shared" si="6"/>
        <v>0</v>
      </c>
    </row>
    <row r="5" spans="1:26">
      <c r="A5" s="231"/>
      <c r="B5" s="241"/>
      <c r="C5" s="32" t="s">
        <v>115</v>
      </c>
      <c r="D5" s="34">
        <f>'ECONOMIA &amp; PROFESIONES'!$P$7</f>
        <v>540</v>
      </c>
      <c r="E5" s="53">
        <f t="shared" si="7"/>
        <v>0</v>
      </c>
      <c r="F5" s="95" t="s">
        <v>202</v>
      </c>
      <c r="G5" s="99">
        <v>0</v>
      </c>
      <c r="H5" s="92">
        <f t="shared" si="0"/>
        <v>0</v>
      </c>
      <c r="I5" s="95" t="s">
        <v>202</v>
      </c>
      <c r="J5" s="99">
        <v>0</v>
      </c>
      <c r="K5" s="92">
        <f t="shared" si="1"/>
        <v>0</v>
      </c>
      <c r="L5" s="95" t="s">
        <v>202</v>
      </c>
      <c r="M5" s="99">
        <v>0</v>
      </c>
      <c r="N5" s="92">
        <f t="shared" si="2"/>
        <v>0</v>
      </c>
      <c r="O5" s="95" t="s">
        <v>202</v>
      </c>
      <c r="P5" s="99">
        <v>0</v>
      </c>
      <c r="Q5" s="92">
        <f t="shared" si="3"/>
        <v>0</v>
      </c>
      <c r="R5" s="95" t="s">
        <v>202</v>
      </c>
      <c r="S5" s="99">
        <v>0</v>
      </c>
      <c r="T5" s="92">
        <f t="shared" si="4"/>
        <v>0</v>
      </c>
      <c r="U5" s="95" t="s">
        <v>202</v>
      </c>
      <c r="V5" s="99">
        <v>0</v>
      </c>
      <c r="W5" s="92">
        <f t="shared" si="5"/>
        <v>0</v>
      </c>
      <c r="X5" s="95" t="s">
        <v>202</v>
      </c>
      <c r="Y5" s="99">
        <v>0</v>
      </c>
      <c r="Z5" s="92">
        <f t="shared" si="6"/>
        <v>0</v>
      </c>
    </row>
    <row r="6" spans="1:26">
      <c r="A6" s="231"/>
      <c r="B6" s="242"/>
      <c r="C6" s="31" t="s">
        <v>116</v>
      </c>
      <c r="D6" s="34">
        <f>'ECONOMIA &amp; PROFESIONES'!$P$7</f>
        <v>540</v>
      </c>
      <c r="E6" s="53">
        <f t="shared" si="7"/>
        <v>0</v>
      </c>
      <c r="F6" s="95" t="s">
        <v>202</v>
      </c>
      <c r="G6" s="99">
        <v>0</v>
      </c>
      <c r="H6" s="92">
        <f t="shared" si="0"/>
        <v>0</v>
      </c>
      <c r="I6" s="95" t="s">
        <v>202</v>
      </c>
      <c r="J6" s="99">
        <v>0</v>
      </c>
      <c r="K6" s="92">
        <f t="shared" si="1"/>
        <v>0</v>
      </c>
      <c r="L6" s="95" t="s">
        <v>202</v>
      </c>
      <c r="M6" s="99">
        <v>0</v>
      </c>
      <c r="N6" s="92">
        <f t="shared" si="2"/>
        <v>0</v>
      </c>
      <c r="O6" s="95" t="s">
        <v>202</v>
      </c>
      <c r="P6" s="99">
        <v>0</v>
      </c>
      <c r="Q6" s="92">
        <f t="shared" si="3"/>
        <v>0</v>
      </c>
      <c r="R6" s="95" t="s">
        <v>202</v>
      </c>
      <c r="S6" s="99">
        <v>0</v>
      </c>
      <c r="T6" s="92">
        <f t="shared" si="4"/>
        <v>0</v>
      </c>
      <c r="U6" s="95" t="s">
        <v>202</v>
      </c>
      <c r="V6" s="99">
        <v>0</v>
      </c>
      <c r="W6" s="92">
        <f t="shared" si="5"/>
        <v>0</v>
      </c>
      <c r="X6" s="95" t="s">
        <v>202</v>
      </c>
      <c r="Y6" s="99">
        <v>0</v>
      </c>
      <c r="Z6" s="92">
        <f t="shared" si="6"/>
        <v>0</v>
      </c>
    </row>
    <row r="7" spans="1:26">
      <c r="A7" s="231"/>
      <c r="B7" s="232" t="s">
        <v>287</v>
      </c>
      <c r="C7" s="32" t="s">
        <v>6</v>
      </c>
      <c r="D7" s="34">
        <f>'ECONOMIA &amp; PROFESIONES'!$P$12</f>
        <v>2240</v>
      </c>
      <c r="E7" s="53">
        <f t="shared" si="7"/>
        <v>0</v>
      </c>
      <c r="F7" s="95" t="s">
        <v>202</v>
      </c>
      <c r="G7" s="99">
        <v>0</v>
      </c>
      <c r="H7" s="92">
        <f t="shared" si="0"/>
        <v>0</v>
      </c>
      <c r="I7" s="95" t="s">
        <v>202</v>
      </c>
      <c r="J7" s="99">
        <v>0</v>
      </c>
      <c r="K7" s="92">
        <f t="shared" si="1"/>
        <v>0</v>
      </c>
      <c r="L7" s="95" t="s">
        <v>202</v>
      </c>
      <c r="M7" s="99">
        <v>0</v>
      </c>
      <c r="N7" s="92">
        <f t="shared" si="2"/>
        <v>0</v>
      </c>
      <c r="O7" s="95" t="s">
        <v>202</v>
      </c>
      <c r="P7" s="99">
        <v>0</v>
      </c>
      <c r="Q7" s="92">
        <f t="shared" si="3"/>
        <v>0</v>
      </c>
      <c r="R7" s="95" t="s">
        <v>202</v>
      </c>
      <c r="S7" s="99">
        <v>0</v>
      </c>
      <c r="T7" s="92">
        <f t="shared" si="4"/>
        <v>0</v>
      </c>
      <c r="U7" s="95" t="s">
        <v>202</v>
      </c>
      <c r="V7" s="99">
        <v>0</v>
      </c>
      <c r="W7" s="92">
        <f t="shared" si="5"/>
        <v>0</v>
      </c>
      <c r="X7" s="95" t="s">
        <v>202</v>
      </c>
      <c r="Y7" s="99">
        <v>0</v>
      </c>
      <c r="Z7" s="92">
        <f t="shared" si="6"/>
        <v>0</v>
      </c>
    </row>
    <row r="8" spans="1:26">
      <c r="A8" s="231"/>
      <c r="B8" s="233"/>
      <c r="C8" s="31" t="s">
        <v>113</v>
      </c>
      <c r="D8" s="34">
        <f>'ECONOMIA &amp; PROFESIONES'!$P$12</f>
        <v>2240</v>
      </c>
      <c r="E8" s="53">
        <f t="shared" si="7"/>
        <v>0</v>
      </c>
      <c r="F8" s="95" t="s">
        <v>202</v>
      </c>
      <c r="G8" s="99">
        <v>0</v>
      </c>
      <c r="H8" s="92">
        <f t="shared" si="0"/>
        <v>0</v>
      </c>
      <c r="I8" s="95" t="s">
        <v>202</v>
      </c>
      <c r="J8" s="99">
        <v>0</v>
      </c>
      <c r="K8" s="92">
        <f t="shared" si="1"/>
        <v>0</v>
      </c>
      <c r="L8" s="95" t="s">
        <v>202</v>
      </c>
      <c r="M8" s="99">
        <v>0</v>
      </c>
      <c r="N8" s="92">
        <f t="shared" si="2"/>
        <v>0</v>
      </c>
      <c r="O8" s="95" t="s">
        <v>202</v>
      </c>
      <c r="P8" s="99">
        <v>0</v>
      </c>
      <c r="Q8" s="92">
        <f t="shared" si="3"/>
        <v>0</v>
      </c>
      <c r="R8" s="95" t="s">
        <v>202</v>
      </c>
      <c r="S8" s="99">
        <v>0</v>
      </c>
      <c r="T8" s="92">
        <f t="shared" si="4"/>
        <v>0</v>
      </c>
      <c r="U8" s="95" t="s">
        <v>202</v>
      </c>
      <c r="V8" s="99">
        <v>0</v>
      </c>
      <c r="W8" s="92">
        <f t="shared" si="5"/>
        <v>0</v>
      </c>
      <c r="X8" s="95" t="s">
        <v>202</v>
      </c>
      <c r="Y8" s="99">
        <v>0</v>
      </c>
      <c r="Z8" s="92">
        <f t="shared" si="6"/>
        <v>0</v>
      </c>
    </row>
    <row r="9" spans="1:26">
      <c r="A9" s="231"/>
      <c r="B9" s="233"/>
      <c r="C9" s="32" t="s">
        <v>114</v>
      </c>
      <c r="D9" s="34">
        <f>'ECONOMIA &amp; PROFESIONES'!$P$12</f>
        <v>2240</v>
      </c>
      <c r="E9" s="53">
        <f t="shared" si="7"/>
        <v>0</v>
      </c>
      <c r="F9" s="95" t="s">
        <v>202</v>
      </c>
      <c r="G9" s="99">
        <v>0</v>
      </c>
      <c r="H9" s="92">
        <f t="shared" si="0"/>
        <v>0</v>
      </c>
      <c r="I9" s="95" t="s">
        <v>202</v>
      </c>
      <c r="J9" s="99">
        <v>0</v>
      </c>
      <c r="K9" s="92">
        <f t="shared" si="1"/>
        <v>0</v>
      </c>
      <c r="L9" s="95" t="s">
        <v>202</v>
      </c>
      <c r="M9" s="99">
        <v>0</v>
      </c>
      <c r="N9" s="92">
        <f t="shared" si="2"/>
        <v>0</v>
      </c>
      <c r="O9" s="95" t="s">
        <v>202</v>
      </c>
      <c r="P9" s="99">
        <v>0</v>
      </c>
      <c r="Q9" s="92">
        <f t="shared" si="3"/>
        <v>0</v>
      </c>
      <c r="R9" s="95" t="s">
        <v>202</v>
      </c>
      <c r="S9" s="99">
        <v>0</v>
      </c>
      <c r="T9" s="92">
        <f t="shared" si="4"/>
        <v>0</v>
      </c>
      <c r="U9" s="95" t="s">
        <v>202</v>
      </c>
      <c r="V9" s="99">
        <v>0</v>
      </c>
      <c r="W9" s="92">
        <f t="shared" si="5"/>
        <v>0</v>
      </c>
      <c r="X9" s="95" t="s">
        <v>202</v>
      </c>
      <c r="Y9" s="99">
        <v>0</v>
      </c>
      <c r="Z9" s="92">
        <f t="shared" si="6"/>
        <v>0</v>
      </c>
    </row>
    <row r="10" spans="1:26">
      <c r="A10" s="231"/>
      <c r="B10" s="233"/>
      <c r="C10" s="31" t="s">
        <v>115</v>
      </c>
      <c r="D10" s="34">
        <f>'ECONOMIA &amp; PROFESIONES'!$P$12</f>
        <v>2240</v>
      </c>
      <c r="E10" s="53">
        <f t="shared" si="7"/>
        <v>0</v>
      </c>
      <c r="F10" s="95" t="s">
        <v>202</v>
      </c>
      <c r="G10" s="99">
        <v>0</v>
      </c>
      <c r="H10" s="92">
        <f t="shared" si="0"/>
        <v>0</v>
      </c>
      <c r="I10" s="95" t="s">
        <v>202</v>
      </c>
      <c r="J10" s="99">
        <v>0</v>
      </c>
      <c r="K10" s="92">
        <f t="shared" si="1"/>
        <v>0</v>
      </c>
      <c r="L10" s="95" t="s">
        <v>202</v>
      </c>
      <c r="M10" s="99">
        <v>0</v>
      </c>
      <c r="N10" s="92">
        <f t="shared" si="2"/>
        <v>0</v>
      </c>
      <c r="O10" s="95" t="s">
        <v>202</v>
      </c>
      <c r="P10" s="99">
        <v>0</v>
      </c>
      <c r="Q10" s="92">
        <f t="shared" si="3"/>
        <v>0</v>
      </c>
      <c r="R10" s="95" t="s">
        <v>202</v>
      </c>
      <c r="S10" s="99">
        <v>0</v>
      </c>
      <c r="T10" s="92">
        <f t="shared" si="4"/>
        <v>0</v>
      </c>
      <c r="U10" s="95" t="s">
        <v>202</v>
      </c>
      <c r="V10" s="99">
        <v>0</v>
      </c>
      <c r="W10" s="92">
        <f t="shared" si="5"/>
        <v>0</v>
      </c>
      <c r="X10" s="95" t="s">
        <v>202</v>
      </c>
      <c r="Y10" s="99">
        <v>0</v>
      </c>
      <c r="Z10" s="92">
        <f t="shared" si="6"/>
        <v>0</v>
      </c>
    </row>
    <row r="11" spans="1:26">
      <c r="A11" s="231"/>
      <c r="B11" s="234"/>
      <c r="C11" s="32" t="s">
        <v>116</v>
      </c>
      <c r="D11" s="34">
        <f>'ECONOMIA &amp; PROFESIONES'!$P$12</f>
        <v>2240</v>
      </c>
      <c r="E11" s="53">
        <f t="shared" si="7"/>
        <v>0</v>
      </c>
      <c r="F11" s="95" t="s">
        <v>202</v>
      </c>
      <c r="G11" s="99">
        <v>0</v>
      </c>
      <c r="H11" s="92">
        <f t="shared" si="0"/>
        <v>0</v>
      </c>
      <c r="I11" s="95" t="s">
        <v>202</v>
      </c>
      <c r="J11" s="99">
        <v>0</v>
      </c>
      <c r="K11" s="92">
        <f t="shared" si="1"/>
        <v>0</v>
      </c>
      <c r="L11" s="95" t="s">
        <v>202</v>
      </c>
      <c r="M11" s="99">
        <v>0</v>
      </c>
      <c r="N11" s="92">
        <f t="shared" si="2"/>
        <v>0</v>
      </c>
      <c r="O11" s="95" t="s">
        <v>202</v>
      </c>
      <c r="P11" s="99">
        <v>0</v>
      </c>
      <c r="Q11" s="92">
        <f t="shared" si="3"/>
        <v>0</v>
      </c>
      <c r="R11" s="95" t="s">
        <v>202</v>
      </c>
      <c r="S11" s="99">
        <v>0</v>
      </c>
      <c r="T11" s="92">
        <f t="shared" si="4"/>
        <v>0</v>
      </c>
      <c r="U11" s="95" t="s">
        <v>202</v>
      </c>
      <c r="V11" s="99">
        <v>0</v>
      </c>
      <c r="W11" s="92">
        <f t="shared" si="5"/>
        <v>0</v>
      </c>
      <c r="X11" s="95" t="s">
        <v>202</v>
      </c>
      <c r="Y11" s="99">
        <v>0</v>
      </c>
      <c r="Z11" s="92">
        <f t="shared" si="6"/>
        <v>0</v>
      </c>
    </row>
    <row r="12" spans="1:26">
      <c r="A12" s="231"/>
      <c r="B12" s="235" t="s">
        <v>353</v>
      </c>
      <c r="C12" s="31" t="s">
        <v>6</v>
      </c>
      <c r="D12" s="34">
        <f>'ECONOMIA &amp; PROFESIONES'!$P$17</f>
        <v>4140</v>
      </c>
      <c r="E12" s="53">
        <f t="shared" si="7"/>
        <v>0</v>
      </c>
      <c r="F12" s="95" t="s">
        <v>202</v>
      </c>
      <c r="G12" s="99">
        <v>0</v>
      </c>
      <c r="H12" s="92">
        <f t="shared" si="0"/>
        <v>0</v>
      </c>
      <c r="I12" s="95" t="s">
        <v>202</v>
      </c>
      <c r="J12" s="99">
        <v>0</v>
      </c>
      <c r="K12" s="92">
        <f t="shared" si="1"/>
        <v>0</v>
      </c>
      <c r="L12" s="95" t="s">
        <v>202</v>
      </c>
      <c r="M12" s="99">
        <v>0</v>
      </c>
      <c r="N12" s="92">
        <f t="shared" si="2"/>
        <v>0</v>
      </c>
      <c r="O12" s="95" t="s">
        <v>202</v>
      </c>
      <c r="P12" s="99">
        <v>0</v>
      </c>
      <c r="Q12" s="92">
        <f t="shared" si="3"/>
        <v>0</v>
      </c>
      <c r="R12" s="95" t="s">
        <v>202</v>
      </c>
      <c r="S12" s="99">
        <v>0</v>
      </c>
      <c r="T12" s="92">
        <f t="shared" si="4"/>
        <v>0</v>
      </c>
      <c r="U12" s="95" t="s">
        <v>202</v>
      </c>
      <c r="V12" s="99">
        <v>0</v>
      </c>
      <c r="W12" s="92">
        <f t="shared" si="5"/>
        <v>0</v>
      </c>
      <c r="X12" s="95" t="s">
        <v>202</v>
      </c>
      <c r="Y12" s="99">
        <v>0</v>
      </c>
      <c r="Z12" s="92">
        <f t="shared" si="6"/>
        <v>0</v>
      </c>
    </row>
    <row r="13" spans="1:26">
      <c r="A13" s="231"/>
      <c r="B13" s="236"/>
      <c r="C13" s="32" t="s">
        <v>113</v>
      </c>
      <c r="D13" s="34">
        <f>'ECONOMIA &amp; PROFESIONES'!$P$17</f>
        <v>4140</v>
      </c>
      <c r="E13" s="53">
        <f t="shared" si="7"/>
        <v>0</v>
      </c>
      <c r="F13" s="95" t="s">
        <v>202</v>
      </c>
      <c r="G13" s="99">
        <v>0</v>
      </c>
      <c r="H13" s="92">
        <f t="shared" si="0"/>
        <v>0</v>
      </c>
      <c r="I13" s="95" t="s">
        <v>202</v>
      </c>
      <c r="J13" s="99">
        <v>0</v>
      </c>
      <c r="K13" s="92">
        <f t="shared" si="1"/>
        <v>0</v>
      </c>
      <c r="L13" s="95" t="s">
        <v>202</v>
      </c>
      <c r="M13" s="99">
        <v>0</v>
      </c>
      <c r="N13" s="92">
        <f t="shared" si="2"/>
        <v>0</v>
      </c>
      <c r="O13" s="95" t="s">
        <v>202</v>
      </c>
      <c r="P13" s="99">
        <v>0</v>
      </c>
      <c r="Q13" s="92">
        <f t="shared" si="3"/>
        <v>0</v>
      </c>
      <c r="R13" s="95" t="s">
        <v>202</v>
      </c>
      <c r="S13" s="99">
        <v>0</v>
      </c>
      <c r="T13" s="92">
        <f t="shared" si="4"/>
        <v>0</v>
      </c>
      <c r="U13" s="95" t="s">
        <v>202</v>
      </c>
      <c r="V13" s="99">
        <v>0</v>
      </c>
      <c r="W13" s="92">
        <f t="shared" si="5"/>
        <v>0</v>
      </c>
      <c r="X13" s="95" t="s">
        <v>202</v>
      </c>
      <c r="Y13" s="99">
        <v>0</v>
      </c>
      <c r="Z13" s="92">
        <f t="shared" si="6"/>
        <v>0</v>
      </c>
    </row>
    <row r="14" spans="1:26">
      <c r="A14" s="231"/>
      <c r="B14" s="236"/>
      <c r="C14" s="31" t="s">
        <v>114</v>
      </c>
      <c r="D14" s="34">
        <f>'ECONOMIA &amp; PROFESIONES'!$P$17</f>
        <v>4140</v>
      </c>
      <c r="E14" s="53">
        <f t="shared" si="7"/>
        <v>0</v>
      </c>
      <c r="F14" s="95" t="s">
        <v>202</v>
      </c>
      <c r="G14" s="99">
        <v>0</v>
      </c>
      <c r="H14" s="92">
        <f t="shared" si="0"/>
        <v>0</v>
      </c>
      <c r="I14" s="95" t="s">
        <v>202</v>
      </c>
      <c r="J14" s="99">
        <v>0</v>
      </c>
      <c r="K14" s="92">
        <f t="shared" si="1"/>
        <v>0</v>
      </c>
      <c r="L14" s="95" t="s">
        <v>202</v>
      </c>
      <c r="M14" s="99">
        <v>0</v>
      </c>
      <c r="N14" s="92">
        <f t="shared" si="2"/>
        <v>0</v>
      </c>
      <c r="O14" s="95" t="s">
        <v>202</v>
      </c>
      <c r="P14" s="99">
        <v>0</v>
      </c>
      <c r="Q14" s="92">
        <f t="shared" si="3"/>
        <v>0</v>
      </c>
      <c r="R14" s="95" t="s">
        <v>202</v>
      </c>
      <c r="S14" s="99">
        <v>0</v>
      </c>
      <c r="T14" s="92">
        <f t="shared" si="4"/>
        <v>0</v>
      </c>
      <c r="U14" s="95" t="s">
        <v>202</v>
      </c>
      <c r="V14" s="99">
        <v>0</v>
      </c>
      <c r="W14" s="92">
        <f t="shared" si="5"/>
        <v>0</v>
      </c>
      <c r="X14" s="95" t="s">
        <v>202</v>
      </c>
      <c r="Y14" s="99">
        <v>0</v>
      </c>
      <c r="Z14" s="92">
        <f t="shared" si="6"/>
        <v>0</v>
      </c>
    </row>
    <row r="15" spans="1:26">
      <c r="A15" s="231"/>
      <c r="B15" s="235"/>
      <c r="C15" s="32" t="s">
        <v>115</v>
      </c>
      <c r="D15" s="34">
        <f>'ECONOMIA &amp; PROFESIONES'!$P$17</f>
        <v>4140</v>
      </c>
      <c r="E15" s="53">
        <f t="shared" si="7"/>
        <v>0</v>
      </c>
      <c r="F15" s="95" t="s">
        <v>202</v>
      </c>
      <c r="G15" s="99">
        <v>0</v>
      </c>
      <c r="H15" s="92">
        <f t="shared" si="0"/>
        <v>0</v>
      </c>
      <c r="I15" s="95" t="s">
        <v>202</v>
      </c>
      <c r="J15" s="99">
        <v>0</v>
      </c>
      <c r="K15" s="92">
        <f t="shared" si="1"/>
        <v>0</v>
      </c>
      <c r="L15" s="95" t="s">
        <v>202</v>
      </c>
      <c r="M15" s="99">
        <v>0</v>
      </c>
      <c r="N15" s="92">
        <f t="shared" si="2"/>
        <v>0</v>
      </c>
      <c r="O15" s="95" t="s">
        <v>202</v>
      </c>
      <c r="P15" s="99">
        <v>0</v>
      </c>
      <c r="Q15" s="92">
        <f t="shared" si="3"/>
        <v>0</v>
      </c>
      <c r="R15" s="95" t="s">
        <v>202</v>
      </c>
      <c r="S15" s="99">
        <v>0</v>
      </c>
      <c r="T15" s="92">
        <f t="shared" si="4"/>
        <v>0</v>
      </c>
      <c r="U15" s="95" t="s">
        <v>202</v>
      </c>
      <c r="V15" s="99">
        <v>0</v>
      </c>
      <c r="W15" s="92">
        <f t="shared" si="5"/>
        <v>0</v>
      </c>
      <c r="X15" s="95" t="s">
        <v>202</v>
      </c>
      <c r="Y15" s="99">
        <v>0</v>
      </c>
      <c r="Z15" s="92">
        <f t="shared" si="6"/>
        <v>0</v>
      </c>
    </row>
    <row r="16" spans="1:26">
      <c r="A16" s="231"/>
      <c r="B16" s="235"/>
      <c r="C16" s="31" t="s">
        <v>116</v>
      </c>
      <c r="D16" s="34">
        <f>'ECONOMIA &amp; PROFESIONES'!$P$17</f>
        <v>4140</v>
      </c>
      <c r="E16" s="53">
        <f t="shared" si="7"/>
        <v>0</v>
      </c>
      <c r="F16" s="95" t="s">
        <v>202</v>
      </c>
      <c r="G16" s="99">
        <v>0</v>
      </c>
      <c r="H16" s="92">
        <f t="shared" si="0"/>
        <v>0</v>
      </c>
      <c r="I16" s="95" t="s">
        <v>202</v>
      </c>
      <c r="J16" s="99">
        <v>0</v>
      </c>
      <c r="K16" s="92">
        <f t="shared" si="1"/>
        <v>0</v>
      </c>
      <c r="L16" s="95" t="s">
        <v>202</v>
      </c>
      <c r="M16" s="99">
        <v>0</v>
      </c>
      <c r="N16" s="92">
        <f t="shared" si="2"/>
        <v>0</v>
      </c>
      <c r="O16" s="95" t="s">
        <v>202</v>
      </c>
      <c r="P16" s="99">
        <v>0</v>
      </c>
      <c r="Q16" s="92">
        <f t="shared" si="3"/>
        <v>0</v>
      </c>
      <c r="R16" s="95" t="s">
        <v>202</v>
      </c>
      <c r="S16" s="99">
        <v>0</v>
      </c>
      <c r="T16" s="92">
        <f t="shared" si="4"/>
        <v>0</v>
      </c>
      <c r="U16" s="95" t="s">
        <v>202</v>
      </c>
      <c r="V16" s="99">
        <v>0</v>
      </c>
      <c r="W16" s="92">
        <f t="shared" si="5"/>
        <v>0</v>
      </c>
      <c r="X16" s="95" t="s">
        <v>202</v>
      </c>
      <c r="Y16" s="99">
        <v>0</v>
      </c>
      <c r="Z16" s="92">
        <f t="shared" si="6"/>
        <v>0</v>
      </c>
    </row>
    <row r="17" spans="1:26">
      <c r="A17" s="231"/>
      <c r="B17" s="237" t="s">
        <v>354</v>
      </c>
      <c r="C17" s="32" t="s">
        <v>6</v>
      </c>
      <c r="D17" s="34">
        <f>'ECONOMIA &amp; PROFESIONES'!$P$22</f>
        <v>6040</v>
      </c>
      <c r="E17" s="53">
        <f t="shared" si="7"/>
        <v>0</v>
      </c>
      <c r="F17" s="95" t="s">
        <v>202</v>
      </c>
      <c r="G17" s="99">
        <v>0</v>
      </c>
      <c r="H17" s="92">
        <f t="shared" si="0"/>
        <v>0</v>
      </c>
      <c r="I17" s="95" t="s">
        <v>202</v>
      </c>
      <c r="J17" s="99">
        <v>0</v>
      </c>
      <c r="K17" s="92">
        <f t="shared" si="1"/>
        <v>0</v>
      </c>
      <c r="L17" s="95" t="s">
        <v>202</v>
      </c>
      <c r="M17" s="99">
        <v>0</v>
      </c>
      <c r="N17" s="92">
        <f t="shared" si="2"/>
        <v>0</v>
      </c>
      <c r="O17" s="95" t="s">
        <v>202</v>
      </c>
      <c r="P17" s="99">
        <v>0</v>
      </c>
      <c r="Q17" s="92">
        <f t="shared" si="3"/>
        <v>0</v>
      </c>
      <c r="R17" s="95" t="s">
        <v>202</v>
      </c>
      <c r="S17" s="99">
        <v>0</v>
      </c>
      <c r="T17" s="92">
        <f t="shared" si="4"/>
        <v>0</v>
      </c>
      <c r="U17" s="95" t="s">
        <v>202</v>
      </c>
      <c r="V17" s="99">
        <v>0</v>
      </c>
      <c r="W17" s="92">
        <f t="shared" si="5"/>
        <v>0</v>
      </c>
      <c r="X17" s="95" t="s">
        <v>202</v>
      </c>
      <c r="Y17" s="99">
        <v>0</v>
      </c>
      <c r="Z17" s="92">
        <f t="shared" si="6"/>
        <v>0</v>
      </c>
    </row>
    <row r="18" spans="1:26">
      <c r="A18" s="231"/>
      <c r="B18" s="238"/>
      <c r="C18" s="31" t="s">
        <v>113</v>
      </c>
      <c r="D18" s="34">
        <f>'ECONOMIA &amp; PROFESIONES'!$P$22</f>
        <v>6040</v>
      </c>
      <c r="E18" s="53">
        <f t="shared" si="7"/>
        <v>0</v>
      </c>
      <c r="F18" s="95" t="s">
        <v>202</v>
      </c>
      <c r="G18" s="99">
        <v>0</v>
      </c>
      <c r="H18" s="92">
        <f t="shared" si="0"/>
        <v>0</v>
      </c>
      <c r="I18" s="95" t="s">
        <v>202</v>
      </c>
      <c r="J18" s="99">
        <v>0</v>
      </c>
      <c r="K18" s="92">
        <f t="shared" si="1"/>
        <v>0</v>
      </c>
      <c r="L18" s="95" t="s">
        <v>202</v>
      </c>
      <c r="M18" s="99">
        <v>0</v>
      </c>
      <c r="N18" s="92">
        <f t="shared" si="2"/>
        <v>0</v>
      </c>
      <c r="O18" s="95" t="s">
        <v>202</v>
      </c>
      <c r="P18" s="99">
        <v>0</v>
      </c>
      <c r="Q18" s="92">
        <f t="shared" si="3"/>
        <v>0</v>
      </c>
      <c r="R18" s="95" t="s">
        <v>202</v>
      </c>
      <c r="S18" s="99">
        <v>0</v>
      </c>
      <c r="T18" s="92">
        <f t="shared" si="4"/>
        <v>0</v>
      </c>
      <c r="U18" s="95" t="s">
        <v>202</v>
      </c>
      <c r="V18" s="99">
        <v>0</v>
      </c>
      <c r="W18" s="92">
        <f t="shared" si="5"/>
        <v>0</v>
      </c>
      <c r="X18" s="95" t="s">
        <v>202</v>
      </c>
      <c r="Y18" s="99">
        <v>0</v>
      </c>
      <c r="Z18" s="92">
        <f t="shared" si="6"/>
        <v>0</v>
      </c>
    </row>
    <row r="19" spans="1:26">
      <c r="A19" s="231"/>
      <c r="B19" s="238"/>
      <c r="C19" s="32" t="s">
        <v>114</v>
      </c>
      <c r="D19" s="34">
        <f>'ECONOMIA &amp; PROFESIONES'!$P$22</f>
        <v>6040</v>
      </c>
      <c r="E19" s="53">
        <f t="shared" si="7"/>
        <v>0</v>
      </c>
      <c r="F19" s="95" t="s">
        <v>202</v>
      </c>
      <c r="G19" s="99">
        <v>0</v>
      </c>
      <c r="H19" s="92">
        <f t="shared" si="0"/>
        <v>0</v>
      </c>
      <c r="I19" s="95" t="s">
        <v>202</v>
      </c>
      <c r="J19" s="99">
        <v>0</v>
      </c>
      <c r="K19" s="92">
        <f t="shared" si="1"/>
        <v>0</v>
      </c>
      <c r="L19" s="95" t="s">
        <v>202</v>
      </c>
      <c r="M19" s="99">
        <v>0</v>
      </c>
      <c r="N19" s="92">
        <f t="shared" si="2"/>
        <v>0</v>
      </c>
      <c r="O19" s="95" t="s">
        <v>202</v>
      </c>
      <c r="P19" s="99">
        <v>0</v>
      </c>
      <c r="Q19" s="92">
        <f t="shared" si="3"/>
        <v>0</v>
      </c>
      <c r="R19" s="95" t="s">
        <v>202</v>
      </c>
      <c r="S19" s="99">
        <v>0</v>
      </c>
      <c r="T19" s="92">
        <f t="shared" si="4"/>
        <v>0</v>
      </c>
      <c r="U19" s="95" t="s">
        <v>202</v>
      </c>
      <c r="V19" s="99">
        <v>0</v>
      </c>
      <c r="W19" s="92">
        <f t="shared" si="5"/>
        <v>0</v>
      </c>
      <c r="X19" s="95" t="s">
        <v>202</v>
      </c>
      <c r="Y19" s="99">
        <v>0</v>
      </c>
      <c r="Z19" s="92">
        <f t="shared" si="6"/>
        <v>0</v>
      </c>
    </row>
    <row r="20" spans="1:26">
      <c r="A20" s="231"/>
      <c r="B20" s="233"/>
      <c r="C20" s="31" t="s">
        <v>115</v>
      </c>
      <c r="D20" s="34">
        <f>'ECONOMIA &amp; PROFESIONES'!$P$22</f>
        <v>6040</v>
      </c>
      <c r="E20" s="53">
        <f t="shared" si="7"/>
        <v>0</v>
      </c>
      <c r="F20" s="95" t="s">
        <v>202</v>
      </c>
      <c r="G20" s="99">
        <v>0</v>
      </c>
      <c r="H20" s="92">
        <f t="shared" si="0"/>
        <v>0</v>
      </c>
      <c r="I20" s="95" t="s">
        <v>202</v>
      </c>
      <c r="J20" s="99">
        <v>0</v>
      </c>
      <c r="K20" s="92">
        <f t="shared" si="1"/>
        <v>0</v>
      </c>
      <c r="L20" s="95" t="s">
        <v>202</v>
      </c>
      <c r="M20" s="99">
        <v>0</v>
      </c>
      <c r="N20" s="92">
        <f t="shared" si="2"/>
        <v>0</v>
      </c>
      <c r="O20" s="95" t="s">
        <v>202</v>
      </c>
      <c r="P20" s="99">
        <v>0</v>
      </c>
      <c r="Q20" s="92">
        <f t="shared" si="3"/>
        <v>0</v>
      </c>
      <c r="R20" s="95" t="s">
        <v>202</v>
      </c>
      <c r="S20" s="99">
        <v>0</v>
      </c>
      <c r="T20" s="92">
        <f t="shared" si="4"/>
        <v>0</v>
      </c>
      <c r="U20" s="95" t="s">
        <v>202</v>
      </c>
      <c r="V20" s="99">
        <v>0</v>
      </c>
      <c r="W20" s="92">
        <f t="shared" si="5"/>
        <v>0</v>
      </c>
      <c r="X20" s="95" t="s">
        <v>202</v>
      </c>
      <c r="Y20" s="99">
        <v>0</v>
      </c>
      <c r="Z20" s="92">
        <f t="shared" si="6"/>
        <v>0</v>
      </c>
    </row>
    <row r="21" spans="1:26">
      <c r="A21" s="231"/>
      <c r="B21" s="239"/>
      <c r="C21" s="32" t="s">
        <v>116</v>
      </c>
      <c r="D21" s="34">
        <f>'ECONOMIA &amp; PROFESIONES'!$P$22</f>
        <v>6040</v>
      </c>
      <c r="E21" s="53">
        <f t="shared" si="7"/>
        <v>0</v>
      </c>
      <c r="F21" s="95" t="s">
        <v>202</v>
      </c>
      <c r="G21" s="99">
        <v>0</v>
      </c>
      <c r="H21" s="92">
        <f t="shared" si="0"/>
        <v>0</v>
      </c>
      <c r="I21" s="95" t="s">
        <v>202</v>
      </c>
      <c r="J21" s="99">
        <v>0</v>
      </c>
      <c r="K21" s="92">
        <f t="shared" si="1"/>
        <v>0</v>
      </c>
      <c r="L21" s="95" t="s">
        <v>202</v>
      </c>
      <c r="M21" s="99">
        <v>0</v>
      </c>
      <c r="N21" s="92">
        <f t="shared" si="2"/>
        <v>0</v>
      </c>
      <c r="O21" s="95" t="s">
        <v>202</v>
      </c>
      <c r="P21" s="99">
        <v>0</v>
      </c>
      <c r="Q21" s="92">
        <f t="shared" si="3"/>
        <v>0</v>
      </c>
      <c r="R21" s="95" t="s">
        <v>202</v>
      </c>
      <c r="S21" s="99">
        <v>0</v>
      </c>
      <c r="T21" s="92">
        <f t="shared" si="4"/>
        <v>0</v>
      </c>
      <c r="U21" s="95" t="s">
        <v>202</v>
      </c>
      <c r="V21" s="99">
        <v>0</v>
      </c>
      <c r="W21" s="92">
        <f t="shared" si="5"/>
        <v>0</v>
      </c>
      <c r="X21" s="95" t="s">
        <v>202</v>
      </c>
      <c r="Y21" s="99">
        <v>0</v>
      </c>
      <c r="Z21" s="92">
        <f t="shared" si="6"/>
        <v>0</v>
      </c>
    </row>
    <row r="22" spans="1:26">
      <c r="A22" s="231"/>
      <c r="B22" s="235" t="s">
        <v>352</v>
      </c>
      <c r="C22" s="31" t="s">
        <v>6</v>
      </c>
      <c r="D22" s="34">
        <f>'ECONOMIA &amp; PROFESIONES'!$P$27</f>
        <v>7940</v>
      </c>
      <c r="E22" s="53">
        <f t="shared" si="7"/>
        <v>0</v>
      </c>
      <c r="F22" s="95" t="s">
        <v>202</v>
      </c>
      <c r="G22" s="99">
        <v>0</v>
      </c>
      <c r="H22" s="92">
        <f t="shared" si="0"/>
        <v>0</v>
      </c>
      <c r="I22" s="95" t="s">
        <v>202</v>
      </c>
      <c r="J22" s="99">
        <v>0</v>
      </c>
      <c r="K22" s="92">
        <f t="shared" si="1"/>
        <v>0</v>
      </c>
      <c r="L22" s="95" t="s">
        <v>202</v>
      </c>
      <c r="M22" s="99">
        <v>0</v>
      </c>
      <c r="N22" s="92">
        <f t="shared" si="2"/>
        <v>0</v>
      </c>
      <c r="O22" s="95" t="s">
        <v>202</v>
      </c>
      <c r="P22" s="99">
        <v>0</v>
      </c>
      <c r="Q22" s="92">
        <f t="shared" si="3"/>
        <v>0</v>
      </c>
      <c r="R22" s="95" t="s">
        <v>202</v>
      </c>
      <c r="S22" s="99">
        <v>0</v>
      </c>
      <c r="T22" s="92">
        <f t="shared" si="4"/>
        <v>0</v>
      </c>
      <c r="U22" s="95" t="s">
        <v>202</v>
      </c>
      <c r="V22" s="99">
        <v>0</v>
      </c>
      <c r="W22" s="92">
        <f t="shared" si="5"/>
        <v>0</v>
      </c>
      <c r="X22" s="95" t="s">
        <v>202</v>
      </c>
      <c r="Y22" s="99">
        <v>0</v>
      </c>
      <c r="Z22" s="92">
        <f t="shared" si="6"/>
        <v>0</v>
      </c>
    </row>
    <row r="23" spans="1:26">
      <c r="A23" s="231"/>
      <c r="B23" s="235"/>
      <c r="C23" s="32" t="s">
        <v>113</v>
      </c>
      <c r="D23" s="34">
        <f>'ECONOMIA &amp; PROFESIONES'!$P$27</f>
        <v>7940</v>
      </c>
      <c r="E23" s="53">
        <f t="shared" si="7"/>
        <v>0</v>
      </c>
      <c r="F23" s="95" t="s">
        <v>202</v>
      </c>
      <c r="G23" s="99">
        <v>0</v>
      </c>
      <c r="H23" s="92">
        <f t="shared" si="0"/>
        <v>0</v>
      </c>
      <c r="I23" s="95" t="s">
        <v>202</v>
      </c>
      <c r="J23" s="99">
        <v>0</v>
      </c>
      <c r="K23" s="92">
        <f t="shared" si="1"/>
        <v>0</v>
      </c>
      <c r="L23" s="95" t="s">
        <v>202</v>
      </c>
      <c r="M23" s="99">
        <v>0</v>
      </c>
      <c r="N23" s="92">
        <f t="shared" si="2"/>
        <v>0</v>
      </c>
      <c r="O23" s="95" t="s">
        <v>202</v>
      </c>
      <c r="P23" s="99">
        <v>0</v>
      </c>
      <c r="Q23" s="92">
        <f t="shared" si="3"/>
        <v>0</v>
      </c>
      <c r="R23" s="95" t="s">
        <v>202</v>
      </c>
      <c r="S23" s="99">
        <v>0</v>
      </c>
      <c r="T23" s="92">
        <f t="shared" si="4"/>
        <v>0</v>
      </c>
      <c r="U23" s="95" t="s">
        <v>202</v>
      </c>
      <c r="V23" s="99">
        <v>0</v>
      </c>
      <c r="W23" s="92">
        <f t="shared" si="5"/>
        <v>0</v>
      </c>
      <c r="X23" s="95" t="s">
        <v>202</v>
      </c>
      <c r="Y23" s="99">
        <v>0</v>
      </c>
      <c r="Z23" s="92">
        <f t="shared" si="6"/>
        <v>0</v>
      </c>
    </row>
    <row r="24" spans="1:26">
      <c r="A24" s="231"/>
      <c r="B24" s="235"/>
      <c r="C24" s="31" t="s">
        <v>114</v>
      </c>
      <c r="D24" s="34">
        <f>'ECONOMIA &amp; PROFESIONES'!$P$27</f>
        <v>7940</v>
      </c>
      <c r="E24" s="53">
        <f t="shared" si="7"/>
        <v>0</v>
      </c>
      <c r="F24" s="95" t="s">
        <v>202</v>
      </c>
      <c r="G24" s="99">
        <v>0</v>
      </c>
      <c r="H24" s="92">
        <f t="shared" si="0"/>
        <v>0</v>
      </c>
      <c r="I24" s="95" t="s">
        <v>202</v>
      </c>
      <c r="J24" s="99">
        <v>0</v>
      </c>
      <c r="K24" s="92">
        <f t="shared" si="1"/>
        <v>0</v>
      </c>
      <c r="L24" s="95" t="s">
        <v>202</v>
      </c>
      <c r="M24" s="99">
        <v>0</v>
      </c>
      <c r="N24" s="92">
        <f t="shared" si="2"/>
        <v>0</v>
      </c>
      <c r="O24" s="95" t="s">
        <v>202</v>
      </c>
      <c r="P24" s="99">
        <v>0</v>
      </c>
      <c r="Q24" s="92">
        <f t="shared" si="3"/>
        <v>0</v>
      </c>
      <c r="R24" s="95" t="s">
        <v>202</v>
      </c>
      <c r="S24" s="99">
        <v>0</v>
      </c>
      <c r="T24" s="92">
        <f t="shared" si="4"/>
        <v>0</v>
      </c>
      <c r="U24" s="95" t="s">
        <v>202</v>
      </c>
      <c r="V24" s="99">
        <v>0</v>
      </c>
      <c r="W24" s="92">
        <f t="shared" si="5"/>
        <v>0</v>
      </c>
      <c r="X24" s="95" t="s">
        <v>202</v>
      </c>
      <c r="Y24" s="99">
        <v>0</v>
      </c>
      <c r="Z24" s="92">
        <f t="shared" si="6"/>
        <v>0</v>
      </c>
    </row>
    <row r="25" spans="1:26">
      <c r="A25" s="231"/>
      <c r="B25" s="235"/>
      <c r="C25" s="32" t="s">
        <v>115</v>
      </c>
      <c r="D25" s="34">
        <f>'ECONOMIA &amp; PROFESIONES'!$P$27</f>
        <v>7940</v>
      </c>
      <c r="E25" s="53">
        <f t="shared" si="7"/>
        <v>0</v>
      </c>
      <c r="F25" s="95" t="s">
        <v>202</v>
      </c>
      <c r="G25" s="99">
        <v>0</v>
      </c>
      <c r="H25" s="92">
        <f t="shared" si="0"/>
        <v>0</v>
      </c>
      <c r="I25" s="95" t="s">
        <v>202</v>
      </c>
      <c r="J25" s="99">
        <v>0</v>
      </c>
      <c r="K25" s="92">
        <f t="shared" si="1"/>
        <v>0</v>
      </c>
      <c r="L25" s="95" t="s">
        <v>202</v>
      </c>
      <c r="M25" s="99">
        <v>0</v>
      </c>
      <c r="N25" s="92">
        <f t="shared" si="2"/>
        <v>0</v>
      </c>
      <c r="O25" s="95" t="s">
        <v>202</v>
      </c>
      <c r="P25" s="99">
        <v>0</v>
      </c>
      <c r="Q25" s="92">
        <f t="shared" si="3"/>
        <v>0</v>
      </c>
      <c r="R25" s="95" t="s">
        <v>202</v>
      </c>
      <c r="S25" s="99">
        <v>0</v>
      </c>
      <c r="T25" s="92">
        <f t="shared" si="4"/>
        <v>0</v>
      </c>
      <c r="U25" s="95" t="s">
        <v>202</v>
      </c>
      <c r="V25" s="99">
        <v>0</v>
      </c>
      <c r="W25" s="92">
        <f t="shared" si="5"/>
        <v>0</v>
      </c>
      <c r="X25" s="95" t="s">
        <v>202</v>
      </c>
      <c r="Y25" s="99">
        <v>0</v>
      </c>
      <c r="Z25" s="92">
        <f t="shared" si="6"/>
        <v>0</v>
      </c>
    </row>
    <row r="26" spans="1:26">
      <c r="A26" s="231"/>
      <c r="B26" s="235"/>
      <c r="C26" s="31" t="s">
        <v>116</v>
      </c>
      <c r="D26" s="34">
        <f>'ECONOMIA &amp; PROFESIONES'!$P$27</f>
        <v>7940</v>
      </c>
      <c r="E26" s="53">
        <f t="shared" si="7"/>
        <v>0</v>
      </c>
      <c r="F26" s="95" t="s">
        <v>202</v>
      </c>
      <c r="G26" s="99">
        <v>0</v>
      </c>
      <c r="H26" s="92">
        <f t="shared" si="0"/>
        <v>0</v>
      </c>
      <c r="I26" s="95" t="s">
        <v>202</v>
      </c>
      <c r="J26" s="99">
        <v>0</v>
      </c>
      <c r="K26" s="92">
        <f t="shared" si="1"/>
        <v>0</v>
      </c>
      <c r="L26" s="95" t="s">
        <v>202</v>
      </c>
      <c r="M26" s="99">
        <v>0</v>
      </c>
      <c r="N26" s="92">
        <f t="shared" si="2"/>
        <v>0</v>
      </c>
      <c r="O26" s="95" t="s">
        <v>202</v>
      </c>
      <c r="P26" s="99">
        <v>0</v>
      </c>
      <c r="Q26" s="92">
        <f t="shared" si="3"/>
        <v>0</v>
      </c>
      <c r="R26" s="95" t="s">
        <v>202</v>
      </c>
      <c r="S26" s="99">
        <v>0</v>
      </c>
      <c r="T26" s="92">
        <f t="shared" si="4"/>
        <v>0</v>
      </c>
      <c r="U26" s="95" t="s">
        <v>202</v>
      </c>
      <c r="V26" s="99">
        <v>0</v>
      </c>
      <c r="W26" s="92">
        <f t="shared" si="5"/>
        <v>0</v>
      </c>
      <c r="X26" s="95" t="s">
        <v>202</v>
      </c>
      <c r="Y26" s="99">
        <v>0</v>
      </c>
      <c r="Z26" s="92">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xr:uid="{00000000-0002-0000-0900-000000000000}">
      <formula1>craftspar</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
  <dimension ref="A1:Q94"/>
  <sheetViews>
    <sheetView workbookViewId="0">
      <selection activeCell="P44" sqref="P44"/>
    </sheetView>
  </sheetViews>
  <sheetFormatPr baseColWidth="10" defaultRowHeight="15"/>
  <cols>
    <col min="1" max="2" width="16.42578125" customWidth="1"/>
    <col min="3" max="8" width="18.140625" customWidth="1"/>
    <col min="9" max="9" width="20.85546875" customWidth="1"/>
    <col min="10" max="10" width="18.140625" customWidth="1"/>
    <col min="15" max="16" width="17.85546875" customWidth="1"/>
  </cols>
  <sheetData>
    <row r="1" spans="1:10" ht="27.75" customHeight="1">
      <c r="A1" s="1" t="s">
        <v>15</v>
      </c>
      <c r="B1" s="3" t="s">
        <v>5</v>
      </c>
      <c r="C1" s="1" t="s">
        <v>6</v>
      </c>
      <c r="D1" s="3" t="s">
        <v>5</v>
      </c>
      <c r="E1" s="1" t="s">
        <v>13</v>
      </c>
      <c r="F1" s="3" t="s">
        <v>0</v>
      </c>
      <c r="G1" s="3" t="s">
        <v>1</v>
      </c>
      <c r="H1" s="3" t="s">
        <v>2</v>
      </c>
      <c r="I1" s="3" t="s">
        <v>3</v>
      </c>
      <c r="J1" s="3" t="s">
        <v>14</v>
      </c>
    </row>
    <row r="2" spans="1:10">
      <c r="A2" t="s">
        <v>87</v>
      </c>
      <c r="B2" s="2">
        <f>'ECONOMIA &amp; PROFESIONES'!$B$16</f>
        <v>1</v>
      </c>
      <c r="C2" t="s">
        <v>7</v>
      </c>
      <c r="D2">
        <f>$B$2*2</f>
        <v>2</v>
      </c>
      <c r="E2" t="s">
        <v>9</v>
      </c>
      <c r="F2">
        <f>$B$2*5</f>
        <v>5</v>
      </c>
      <c r="G2">
        <f>$B$3*5</f>
        <v>15</v>
      </c>
      <c r="H2">
        <f>$B$4*5</f>
        <v>25</v>
      </c>
      <c r="I2">
        <f>$B$5*5</f>
        <v>35</v>
      </c>
      <c r="J2">
        <f>$B$6*5</f>
        <v>55</v>
      </c>
    </row>
    <row r="3" spans="1:10">
      <c r="A3" t="s">
        <v>88</v>
      </c>
      <c r="B3" s="2">
        <f>'ECONOMIA &amp; PROFESIONES'!$B$17</f>
        <v>3</v>
      </c>
      <c r="C3" t="s">
        <v>8</v>
      </c>
      <c r="D3">
        <f>$B$3*2</f>
        <v>6</v>
      </c>
      <c r="E3" t="s">
        <v>10</v>
      </c>
      <c r="F3">
        <f>$B$2*8</f>
        <v>8</v>
      </c>
      <c r="G3">
        <f>$B$3*8</f>
        <v>24</v>
      </c>
      <c r="H3">
        <f>$B$4*8</f>
        <v>40</v>
      </c>
      <c r="I3">
        <f>$B$5*8</f>
        <v>56</v>
      </c>
      <c r="J3">
        <f>$B$6*8</f>
        <v>88</v>
      </c>
    </row>
    <row r="4" spans="1:10">
      <c r="A4" t="s">
        <v>2</v>
      </c>
      <c r="B4" s="2">
        <f>'ECONOMIA &amp; PROFESIONES'!$B$18</f>
        <v>5</v>
      </c>
      <c r="C4" t="s">
        <v>2</v>
      </c>
      <c r="D4">
        <f>$B$4*2</f>
        <v>10</v>
      </c>
      <c r="E4" t="s">
        <v>11</v>
      </c>
      <c r="F4">
        <f>$B$2*7</f>
        <v>7</v>
      </c>
      <c r="G4">
        <f>$B$3*7</f>
        <v>21</v>
      </c>
      <c r="H4">
        <f>$B$4*7</f>
        <v>35</v>
      </c>
      <c r="I4">
        <f>$B$5*7</f>
        <v>49</v>
      </c>
      <c r="J4">
        <f>$B$6*7</f>
        <v>77</v>
      </c>
    </row>
    <row r="5" spans="1:10">
      <c r="A5" t="s">
        <v>3</v>
      </c>
      <c r="B5" s="2">
        <f>'ECONOMIA &amp; PROFESIONES'!$B$19</f>
        <v>7</v>
      </c>
      <c r="C5" t="s">
        <v>3</v>
      </c>
      <c r="D5">
        <f>$B$5*2</f>
        <v>14</v>
      </c>
      <c r="E5" t="s">
        <v>12</v>
      </c>
      <c r="F5">
        <f>$B$2*4</f>
        <v>4</v>
      </c>
      <c r="G5">
        <f>$B$3*4</f>
        <v>12</v>
      </c>
      <c r="H5">
        <f>$B$4*4</f>
        <v>20</v>
      </c>
      <c r="I5">
        <f>$B$5*4</f>
        <v>28</v>
      </c>
      <c r="J5">
        <f>$B$6*4</f>
        <v>44</v>
      </c>
    </row>
    <row r="6" spans="1:10">
      <c r="A6" t="s">
        <v>4</v>
      </c>
      <c r="B6" s="2">
        <f>'ECONOMIA &amp; PROFESIONES'!$B$20</f>
        <v>11</v>
      </c>
      <c r="C6" t="s">
        <v>4</v>
      </c>
      <c r="D6">
        <f>$B$6*2</f>
        <v>22</v>
      </c>
    </row>
    <row r="7" spans="1:10" ht="27.75" customHeight="1">
      <c r="A7" s="1" t="s">
        <v>16</v>
      </c>
      <c r="B7" s="3" t="s">
        <v>5</v>
      </c>
      <c r="C7" s="1" t="s">
        <v>20</v>
      </c>
      <c r="D7" s="3" t="s">
        <v>55</v>
      </c>
      <c r="E7" s="1" t="s">
        <v>56</v>
      </c>
      <c r="F7" s="3" t="s">
        <v>60</v>
      </c>
      <c r="G7" s="1" t="s">
        <v>55</v>
      </c>
      <c r="H7" s="3" t="s">
        <v>56</v>
      </c>
      <c r="J7" s="14" t="s">
        <v>93</v>
      </c>
    </row>
    <row r="8" spans="1:10">
      <c r="A8" t="s">
        <v>17</v>
      </c>
      <c r="B8" s="37">
        <v>200</v>
      </c>
      <c r="C8" s="37" t="s">
        <v>57</v>
      </c>
      <c r="D8" s="37">
        <v>1</v>
      </c>
      <c r="E8" s="37">
        <v>5</v>
      </c>
      <c r="H8">
        <v>5</v>
      </c>
      <c r="J8" t="s">
        <v>95</v>
      </c>
    </row>
    <row r="9" spans="1:10">
      <c r="A9" t="s">
        <v>18</v>
      </c>
      <c r="B9" s="37">
        <v>200</v>
      </c>
      <c r="C9" s="37" t="s">
        <v>59</v>
      </c>
      <c r="D9" s="37">
        <v>1</v>
      </c>
      <c r="E9" s="28"/>
      <c r="J9" t="s">
        <v>96</v>
      </c>
    </row>
    <row r="10" spans="1:10">
      <c r="A10" s="19" t="s">
        <v>19</v>
      </c>
      <c r="B10" s="37">
        <v>500</v>
      </c>
      <c r="C10" s="37" t="s">
        <v>58</v>
      </c>
      <c r="D10" s="37">
        <v>1</v>
      </c>
      <c r="E10" s="28"/>
      <c r="G10" s="2"/>
      <c r="J10" s="2" t="s">
        <v>94</v>
      </c>
    </row>
    <row r="11" spans="1:10">
      <c r="A11" t="s">
        <v>78</v>
      </c>
      <c r="B11" s="37">
        <v>50</v>
      </c>
      <c r="C11" s="37" t="s">
        <v>281</v>
      </c>
      <c r="D11" s="37">
        <v>1</v>
      </c>
      <c r="E11" s="28"/>
      <c r="G11" s="2"/>
    </row>
    <row r="12" spans="1:10">
      <c r="C12" s="37" t="s">
        <v>280</v>
      </c>
      <c r="D12" s="37">
        <v>1</v>
      </c>
      <c r="E12" s="28"/>
      <c r="G12" s="2"/>
    </row>
    <row r="13" spans="1:10">
      <c r="C13" s="37"/>
      <c r="D13" s="37"/>
      <c r="E13" s="28"/>
      <c r="G13" s="2"/>
    </row>
    <row r="14" spans="1:10" s="88" customFormat="1">
      <c r="C14" s="87"/>
      <c r="D14" s="87"/>
      <c r="E14" s="68"/>
      <c r="G14" s="2"/>
    </row>
    <row r="15" spans="1:10" s="88" customFormat="1">
      <c r="C15" s="87"/>
      <c r="D15" s="87"/>
      <c r="E15" s="68"/>
      <c r="G15" s="2"/>
    </row>
    <row r="16" spans="1:10" s="86" customFormat="1">
      <c r="C16" s="85"/>
      <c r="D16" s="85"/>
      <c r="E16" s="68"/>
      <c r="G16" s="2"/>
    </row>
    <row r="17" spans="1:9" ht="27.75" customHeight="1">
      <c r="A17" s="243" t="s">
        <v>39</v>
      </c>
      <c r="B17" s="243"/>
      <c r="C17" s="3" t="s">
        <v>35</v>
      </c>
      <c r="D17" s="3" t="s">
        <v>51</v>
      </c>
      <c r="E17" s="3" t="s">
        <v>52</v>
      </c>
      <c r="F17" s="3" t="s">
        <v>53</v>
      </c>
      <c r="G17" s="3" t="s">
        <v>54</v>
      </c>
    </row>
    <row r="18" spans="1:9">
      <c r="A18" s="224" t="s">
        <v>73</v>
      </c>
      <c r="B18" s="224"/>
      <c r="C18" s="37">
        <v>0</v>
      </c>
      <c r="D18" s="28">
        <f>$C$18+1</f>
        <v>1</v>
      </c>
      <c r="E18" s="28">
        <f>$D$18+1</f>
        <v>2</v>
      </c>
      <c r="F18" s="28">
        <f>$E$18+1</f>
        <v>3</v>
      </c>
      <c r="G18" s="28">
        <f>$F$18+1</f>
        <v>4</v>
      </c>
    </row>
    <row r="19" spans="1:9">
      <c r="A19" s="224" t="s">
        <v>74</v>
      </c>
      <c r="B19" s="224"/>
      <c r="C19" s="37">
        <v>0</v>
      </c>
      <c r="D19" s="28">
        <f>$C$19+1</f>
        <v>1</v>
      </c>
      <c r="E19" s="28">
        <f>$D$19+2</f>
        <v>3</v>
      </c>
      <c r="F19" s="28">
        <f>$E$19+2</f>
        <v>5</v>
      </c>
      <c r="G19" s="28">
        <f>$F$19+2</f>
        <v>7</v>
      </c>
    </row>
    <row r="20" spans="1:9">
      <c r="A20" s="224" t="s">
        <v>40</v>
      </c>
      <c r="B20" s="224"/>
      <c r="C20" s="37">
        <v>0</v>
      </c>
      <c r="D20" s="28">
        <f>$C$20+1</f>
        <v>1</v>
      </c>
      <c r="E20" s="28">
        <f>$D$20+1</f>
        <v>2</v>
      </c>
      <c r="F20" s="28">
        <f>$E$20+1</f>
        <v>3</v>
      </c>
      <c r="G20" s="28">
        <f>$F$20+1</f>
        <v>4</v>
      </c>
    </row>
    <row r="21" spans="1:9">
      <c r="A21" s="224" t="s">
        <v>41</v>
      </c>
      <c r="B21" s="224"/>
      <c r="C21" s="37">
        <v>0</v>
      </c>
      <c r="D21" s="28">
        <f>$C$21+2</f>
        <v>2</v>
      </c>
      <c r="E21" s="28">
        <f>$D$21+1</f>
        <v>3</v>
      </c>
      <c r="F21" s="28">
        <f>$E$21+1</f>
        <v>4</v>
      </c>
      <c r="G21" s="28">
        <f>$F$21+1</f>
        <v>5</v>
      </c>
    </row>
    <row r="22" spans="1:9">
      <c r="A22" s="224" t="s">
        <v>44</v>
      </c>
      <c r="B22" s="224"/>
      <c r="C22" s="37">
        <v>0</v>
      </c>
      <c r="D22" s="28">
        <f>$C$22+1</f>
        <v>1</v>
      </c>
      <c r="E22" s="28">
        <f>$D$22+1</f>
        <v>2</v>
      </c>
      <c r="F22" s="28">
        <f>$E$22+1</f>
        <v>3</v>
      </c>
      <c r="G22" s="28">
        <f>$F$22+1</f>
        <v>4</v>
      </c>
    </row>
    <row r="23" spans="1:9">
      <c r="A23" s="224" t="s">
        <v>42</v>
      </c>
      <c r="B23" s="224"/>
      <c r="C23" s="37">
        <v>0</v>
      </c>
      <c r="D23" s="28">
        <f>C23</f>
        <v>0</v>
      </c>
      <c r="E23" s="28">
        <f>$D$23+1</f>
        <v>1</v>
      </c>
      <c r="F23" s="28">
        <f>$E$23+1</f>
        <v>2</v>
      </c>
      <c r="G23" s="28">
        <f>$F$23+1</f>
        <v>3</v>
      </c>
    </row>
    <row r="24" spans="1:9">
      <c r="A24" s="224" t="s">
        <v>43</v>
      </c>
      <c r="B24" s="224"/>
      <c r="C24" s="37">
        <v>0</v>
      </c>
      <c r="D24" s="28">
        <f>$C$24+1</f>
        <v>1</v>
      </c>
      <c r="E24" s="28">
        <f>$D$24+1</f>
        <v>2</v>
      </c>
      <c r="F24" s="28">
        <f>$E$24+1</f>
        <v>3</v>
      </c>
      <c r="G24" s="28">
        <f>$F$24+1</f>
        <v>4</v>
      </c>
    </row>
    <row r="25" spans="1:9">
      <c r="A25" s="224" t="s">
        <v>45</v>
      </c>
      <c r="B25" s="224"/>
      <c r="C25" s="37">
        <v>5</v>
      </c>
      <c r="D25" s="28">
        <f>$C$25+1</f>
        <v>6</v>
      </c>
      <c r="E25" s="28">
        <f>$D$25+1</f>
        <v>7</v>
      </c>
      <c r="F25" s="28">
        <f>$E$25+1</f>
        <v>8</v>
      </c>
      <c r="G25" s="28">
        <f>$F$25+1</f>
        <v>9</v>
      </c>
    </row>
    <row r="26" spans="1:9">
      <c r="A26" s="224" t="s">
        <v>46</v>
      </c>
      <c r="B26" s="224"/>
      <c r="C26" s="37">
        <v>6</v>
      </c>
      <c r="D26" s="28">
        <f>$C$26+1</f>
        <v>7</v>
      </c>
      <c r="E26" s="28">
        <f>$D$26+1</f>
        <v>8</v>
      </c>
      <c r="F26" s="28">
        <f>$E$26+1</f>
        <v>9</v>
      </c>
      <c r="G26" s="28">
        <f>$F$26+1</f>
        <v>10</v>
      </c>
      <c r="I26" s="15" t="s">
        <v>99</v>
      </c>
    </row>
    <row r="27" spans="1:9">
      <c r="A27" s="224" t="s">
        <v>47</v>
      </c>
      <c r="B27" s="224"/>
      <c r="C27" s="38">
        <v>0.7</v>
      </c>
      <c r="D27" s="28">
        <f>$C$27/2</f>
        <v>0.35</v>
      </c>
      <c r="E27" s="28">
        <f>$D$27/2</f>
        <v>0.17499999999999999</v>
      </c>
      <c r="F27" s="28">
        <f>$E$27/2</f>
        <v>8.7499999999999994E-2</v>
      </c>
      <c r="G27" s="28">
        <f>$F$27/2</f>
        <v>4.3749999999999997E-2</v>
      </c>
      <c r="I27" s="37">
        <v>5</v>
      </c>
    </row>
    <row r="28" spans="1:9">
      <c r="A28" s="224" t="s">
        <v>48</v>
      </c>
      <c r="B28" s="224"/>
      <c r="C28" s="37">
        <f>C27/2</f>
        <v>0.35</v>
      </c>
      <c r="D28" s="28">
        <f>$D$27/2</f>
        <v>0.17499999999999999</v>
      </c>
      <c r="E28" s="28">
        <f>$E$27/2</f>
        <v>8.7499999999999994E-2</v>
      </c>
      <c r="F28" s="28">
        <f>$F$27/2</f>
        <v>4.3749999999999997E-2</v>
      </c>
      <c r="G28" s="28">
        <f>$G$27/2</f>
        <v>2.1874999999999999E-2</v>
      </c>
    </row>
    <row r="29" spans="1:9">
      <c r="A29" s="224" t="s">
        <v>75</v>
      </c>
      <c r="B29" s="224"/>
      <c r="C29" s="37">
        <v>0</v>
      </c>
      <c r="D29" s="67">
        <v>1</v>
      </c>
      <c r="E29" s="67">
        <v>1</v>
      </c>
      <c r="F29" s="67">
        <v>2</v>
      </c>
      <c r="G29" s="67">
        <v>2</v>
      </c>
    </row>
    <row r="30" spans="1:9">
      <c r="A30" s="224" t="s">
        <v>76</v>
      </c>
      <c r="B30" s="224"/>
      <c r="C30" s="37">
        <v>0</v>
      </c>
      <c r="D30" s="67">
        <v>1</v>
      </c>
      <c r="E30" s="67">
        <v>2</v>
      </c>
      <c r="F30" s="67">
        <v>3</v>
      </c>
      <c r="G30" s="67">
        <v>4</v>
      </c>
    </row>
    <row r="31" spans="1:9">
      <c r="A31" s="248" t="s">
        <v>49</v>
      </c>
      <c r="B31" s="248"/>
      <c r="C31" s="248"/>
      <c r="D31" s="248"/>
      <c r="E31" s="248"/>
      <c r="F31" s="248"/>
      <c r="G31" s="248"/>
      <c r="H31" s="1" t="s">
        <v>65</v>
      </c>
      <c r="I31" s="15" t="s">
        <v>98</v>
      </c>
    </row>
    <row r="32" spans="1:9">
      <c r="A32" s="224" t="s">
        <v>50</v>
      </c>
      <c r="B32" s="224"/>
      <c r="C32" s="37">
        <v>8.9</v>
      </c>
      <c r="D32" s="28">
        <f>C32*3</f>
        <v>26.700000000000003</v>
      </c>
      <c r="E32" s="28">
        <f>D32*3</f>
        <v>80.100000000000009</v>
      </c>
      <c r="F32" s="28">
        <f>E32*3</f>
        <v>240.3</v>
      </c>
      <c r="G32" s="28">
        <f>F32*2</f>
        <v>480.6</v>
      </c>
      <c r="H32" s="28">
        <f>ROUNDDOWN(G32/5*H64,0)</f>
        <v>768</v>
      </c>
      <c r="I32" s="28">
        <f>H32+(5*I27)</f>
        <v>793</v>
      </c>
    </row>
    <row r="33" spans="1:17">
      <c r="A33" s="224" t="str">
        <f>C12</f>
        <v>Esencia</v>
      </c>
      <c r="B33" s="224"/>
      <c r="C33" s="37">
        <f>ROUNDDOWN(C32/2,0)</f>
        <v>4</v>
      </c>
      <c r="D33" s="28">
        <f>ROUNDDOWN(D32/2,0)</f>
        <v>13</v>
      </c>
      <c r="E33" s="28">
        <f t="shared" ref="D33:G35" si="0">ROUNDDOWN(E32/2,0)</f>
        <v>40</v>
      </c>
      <c r="F33" s="28">
        <f t="shared" si="0"/>
        <v>120</v>
      </c>
      <c r="G33" s="28">
        <f t="shared" si="0"/>
        <v>240</v>
      </c>
      <c r="H33" s="28"/>
      <c r="I33" s="28"/>
    </row>
    <row r="34" spans="1:17">
      <c r="A34" s="224" t="str">
        <f>C12</f>
        <v>Esencia</v>
      </c>
      <c r="B34" s="224"/>
      <c r="C34" s="37">
        <f>ROUNDDOWN(C33/2,0)</f>
        <v>2</v>
      </c>
      <c r="D34" s="28">
        <f t="shared" si="0"/>
        <v>6</v>
      </c>
      <c r="E34" s="28">
        <f t="shared" si="0"/>
        <v>20</v>
      </c>
      <c r="F34" s="28">
        <f t="shared" si="0"/>
        <v>60</v>
      </c>
      <c r="G34" s="28">
        <f t="shared" si="0"/>
        <v>120</v>
      </c>
      <c r="H34" s="28"/>
      <c r="I34" s="28"/>
    </row>
    <row r="35" spans="1:17">
      <c r="A35" s="228" t="str">
        <f>C11</f>
        <v>Inteligencia</v>
      </c>
      <c r="B35" s="228"/>
      <c r="C35" s="37">
        <f t="shared" ref="C35" si="1">ROUNDDOWN(C34/2,0)</f>
        <v>1</v>
      </c>
      <c r="D35" s="28">
        <f t="shared" si="0"/>
        <v>3</v>
      </c>
      <c r="E35" s="28">
        <f t="shared" si="0"/>
        <v>10</v>
      </c>
      <c r="F35" s="28">
        <f t="shared" si="0"/>
        <v>30</v>
      </c>
      <c r="G35" s="28">
        <f t="shared" si="0"/>
        <v>60</v>
      </c>
      <c r="H35" s="28"/>
      <c r="I35" s="28"/>
    </row>
    <row r="36" spans="1:17">
      <c r="A36" s="248" t="s">
        <v>21</v>
      </c>
      <c r="B36" s="248"/>
      <c r="C36" s="248"/>
      <c r="D36" s="248"/>
      <c r="E36" s="248"/>
      <c r="F36" s="248"/>
      <c r="G36" s="248"/>
    </row>
    <row r="37" spans="1:17">
      <c r="A37" s="246" t="s">
        <v>61</v>
      </c>
      <c r="B37" s="246"/>
      <c r="C37" s="246"/>
      <c r="D37" s="246"/>
      <c r="E37" s="246"/>
      <c r="F37" s="246"/>
      <c r="G37" s="246"/>
      <c r="H37" s="4" t="s">
        <v>82</v>
      </c>
    </row>
    <row r="38" spans="1:17">
      <c r="A38" s="224" t="s">
        <v>69</v>
      </c>
      <c r="B38" s="224"/>
      <c r="C38" s="39"/>
      <c r="D38" s="28"/>
      <c r="E38" s="28"/>
      <c r="F38" s="28"/>
      <c r="G38" s="28"/>
      <c r="H38" s="28">
        <v>300</v>
      </c>
    </row>
    <row r="39" spans="1:17">
      <c r="A39" s="224" t="s">
        <v>67</v>
      </c>
      <c r="B39" s="224"/>
      <c r="C39" s="67">
        <v>1800</v>
      </c>
      <c r="D39" s="28">
        <f>C39+$H$38</f>
        <v>2100</v>
      </c>
      <c r="E39" s="68">
        <f t="shared" ref="E39:G39" si="2">D39+$H$38</f>
        <v>2400</v>
      </c>
      <c r="F39" s="68">
        <f t="shared" si="2"/>
        <v>2700</v>
      </c>
      <c r="G39" s="68">
        <f t="shared" si="2"/>
        <v>3000</v>
      </c>
      <c r="H39" s="28"/>
    </row>
    <row r="40" spans="1:17">
      <c r="A40" s="245" t="s">
        <v>68</v>
      </c>
      <c r="B40" s="245"/>
      <c r="C40" s="39">
        <v>1800</v>
      </c>
      <c r="D40" s="39">
        <v>1800</v>
      </c>
      <c r="E40" s="39">
        <v>1800</v>
      </c>
      <c r="F40" s="39">
        <v>1800</v>
      </c>
      <c r="G40" s="39">
        <v>1800</v>
      </c>
      <c r="H40" s="28"/>
    </row>
    <row r="41" spans="1:17" ht="27.75" customHeight="1">
      <c r="A41" s="243" t="s">
        <v>38</v>
      </c>
      <c r="B41" s="243"/>
      <c r="C41" s="3" t="s">
        <v>7</v>
      </c>
      <c r="D41" s="3" t="s">
        <v>8</v>
      </c>
      <c r="E41" s="3" t="s">
        <v>83</v>
      </c>
      <c r="F41" s="3" t="s">
        <v>84</v>
      </c>
      <c r="G41" s="3" t="s">
        <v>85</v>
      </c>
      <c r="H41" s="3" t="s">
        <v>62</v>
      </c>
      <c r="I41" s="23" t="s">
        <v>119</v>
      </c>
      <c r="J41" s="243" t="s">
        <v>283</v>
      </c>
      <c r="K41" s="243"/>
      <c r="L41" s="243" t="s">
        <v>285</v>
      </c>
      <c r="M41" s="243"/>
      <c r="N41" s="243" t="s">
        <v>380</v>
      </c>
      <c r="O41" s="243"/>
      <c r="P41" s="243"/>
      <c r="Q41" s="243"/>
    </row>
    <row r="42" spans="1:17">
      <c r="A42" s="246" t="s">
        <v>20</v>
      </c>
      <c r="B42" s="246"/>
      <c r="C42" s="246"/>
      <c r="D42" s="246"/>
      <c r="E42" s="246"/>
      <c r="F42" s="246"/>
      <c r="G42" s="246"/>
      <c r="H42" s="6">
        <v>2</v>
      </c>
      <c r="I42" s="41">
        <v>1</v>
      </c>
      <c r="J42" s="195" t="s">
        <v>379</v>
      </c>
      <c r="K42" s="195"/>
      <c r="L42" s="195">
        <v>2</v>
      </c>
      <c r="M42" s="195"/>
      <c r="N42" s="224" t="s">
        <v>381</v>
      </c>
      <c r="O42" s="224"/>
      <c r="P42" s="113" t="s">
        <v>386</v>
      </c>
      <c r="Q42" s="113"/>
    </row>
    <row r="43" spans="1:17">
      <c r="A43" s="224" t="str">
        <f>C8</f>
        <v>Vitalidad</v>
      </c>
      <c r="B43" s="224"/>
      <c r="C43" s="28">
        <f>D8*H42</f>
        <v>2</v>
      </c>
      <c r="D43" s="28">
        <f>C43*3</f>
        <v>6</v>
      </c>
      <c r="E43" s="28">
        <f>D43*3</f>
        <v>18</v>
      </c>
      <c r="F43" s="28">
        <f>E43*3</f>
        <v>54</v>
      </c>
      <c r="G43" s="28">
        <f>F43*3</f>
        <v>162</v>
      </c>
      <c r="H43" s="26" t="s">
        <v>120</v>
      </c>
      <c r="N43" s="224" t="s">
        <v>382</v>
      </c>
      <c r="O43" s="224"/>
      <c r="P43" s="113" t="s">
        <v>387</v>
      </c>
      <c r="Q43" s="113"/>
    </row>
    <row r="44" spans="1:17">
      <c r="A44" s="224" t="str">
        <f>C9</f>
        <v>Fuerza</v>
      </c>
      <c r="B44" s="224"/>
      <c r="C44" s="28">
        <f>D9*H42</f>
        <v>2</v>
      </c>
      <c r="D44" s="68">
        <f t="shared" ref="D44:G46" si="3">C44*3</f>
        <v>6</v>
      </c>
      <c r="E44" s="68">
        <f t="shared" si="3"/>
        <v>18</v>
      </c>
      <c r="F44" s="68">
        <f t="shared" si="3"/>
        <v>54</v>
      </c>
      <c r="G44" s="68">
        <f t="shared" si="3"/>
        <v>162</v>
      </c>
      <c r="H44" s="6">
        <v>2</v>
      </c>
      <c r="N44" s="224" t="s">
        <v>383</v>
      </c>
      <c r="O44" s="224"/>
      <c r="P44" s="113" t="s">
        <v>388</v>
      </c>
      <c r="Q44" s="113"/>
    </row>
    <row r="45" spans="1:17">
      <c r="A45" s="224" t="str">
        <f>C10</f>
        <v>Agilidad</v>
      </c>
      <c r="B45" s="224"/>
      <c r="C45" s="28">
        <f>D10*H42</f>
        <v>2</v>
      </c>
      <c r="D45" s="68">
        <f t="shared" si="3"/>
        <v>6</v>
      </c>
      <c r="E45" s="68">
        <f t="shared" si="3"/>
        <v>18</v>
      </c>
      <c r="F45" s="68">
        <f t="shared" si="3"/>
        <v>54</v>
      </c>
      <c r="G45" s="68">
        <f t="shared" si="3"/>
        <v>162</v>
      </c>
      <c r="N45" s="224" t="s">
        <v>384</v>
      </c>
      <c r="O45" s="224"/>
      <c r="P45" s="113" t="s">
        <v>389</v>
      </c>
      <c r="Q45" s="113"/>
    </row>
    <row r="46" spans="1:17">
      <c r="A46" s="224" t="str">
        <f>C11</f>
        <v>Inteligencia</v>
      </c>
      <c r="B46" s="224"/>
      <c r="C46" s="28">
        <f>D11*H42</f>
        <v>2</v>
      </c>
      <c r="D46" s="68">
        <f t="shared" si="3"/>
        <v>6</v>
      </c>
      <c r="E46" s="68">
        <f t="shared" si="3"/>
        <v>18</v>
      </c>
      <c r="F46" s="68">
        <f t="shared" si="3"/>
        <v>54</v>
      </c>
      <c r="G46" s="68">
        <f t="shared" si="3"/>
        <v>162</v>
      </c>
      <c r="N46" s="224" t="s">
        <v>385</v>
      </c>
      <c r="O46" s="224"/>
      <c r="P46" s="113" t="s">
        <v>390</v>
      </c>
      <c r="Q46" s="113"/>
    </row>
    <row r="47" spans="1:17">
      <c r="A47" s="224" t="s">
        <v>77</v>
      </c>
      <c r="B47" s="224"/>
      <c r="C47" s="28">
        <f>(C$23+C$24)/2*$H$42</f>
        <v>0</v>
      </c>
      <c r="D47" s="28">
        <f>($D$23+$D$24)/2*$H$42</f>
        <v>1</v>
      </c>
      <c r="E47" s="28">
        <f>($E$23+$E$24)/2*$H$42</f>
        <v>3</v>
      </c>
      <c r="F47" s="28">
        <f>($F$23+$F$24)/2*$H$42</f>
        <v>5</v>
      </c>
      <c r="G47" s="28">
        <f>($G$23+$G$24)/2*$H$42</f>
        <v>7</v>
      </c>
      <c r="N47" s="113"/>
      <c r="O47" s="113"/>
      <c r="P47" s="244"/>
      <c r="Q47" s="244"/>
    </row>
    <row r="48" spans="1:17">
      <c r="A48" s="246" t="s">
        <v>49</v>
      </c>
      <c r="B48" s="246"/>
      <c r="C48" s="246"/>
      <c r="D48" s="246"/>
      <c r="E48" s="246"/>
      <c r="F48" s="246"/>
      <c r="G48" s="246"/>
      <c r="N48" s="113"/>
      <c r="O48" s="113"/>
      <c r="P48" s="244"/>
      <c r="Q48" s="244"/>
    </row>
    <row r="49" spans="1:17">
      <c r="A49" s="224" t="s">
        <v>50</v>
      </c>
      <c r="B49" s="224"/>
      <c r="C49" s="40">
        <f>ROUNDDOWN(C32/5*H42,0)</f>
        <v>3</v>
      </c>
      <c r="D49" s="40">
        <f>ROUNDDOWN(D32/5*H42,0)</f>
        <v>10</v>
      </c>
      <c r="E49" s="40">
        <f>ROUNDDOWN(E32/5*H42,0)</f>
        <v>32</v>
      </c>
      <c r="F49" s="40">
        <f>ROUNDDOWN(F32/5*H42,0)</f>
        <v>96</v>
      </c>
      <c r="G49" s="40">
        <f>ROUNDDOWN(G32/5*H42,0)</f>
        <v>192</v>
      </c>
      <c r="N49" s="113"/>
      <c r="O49" s="113"/>
      <c r="P49" s="244"/>
      <c r="Q49" s="244"/>
    </row>
    <row r="50" spans="1:17">
      <c r="A50" s="224" t="str">
        <f>C12</f>
        <v>Esencia</v>
      </c>
      <c r="B50" s="224"/>
      <c r="C50" s="40">
        <f>ROUNDDOWN(C49/3,0)</f>
        <v>1</v>
      </c>
      <c r="D50" s="40">
        <f>ROUNDDOWN(D49/3,0)</f>
        <v>3</v>
      </c>
      <c r="E50" s="40">
        <f>ROUNDDOWN(E49/3,0)</f>
        <v>10</v>
      </c>
      <c r="F50" s="40">
        <f>ROUNDDOWN(F49/3,0)</f>
        <v>32</v>
      </c>
      <c r="G50" s="40">
        <f>ROUNDDOWN(G49/3,0)</f>
        <v>64</v>
      </c>
      <c r="N50" s="113"/>
      <c r="O50" s="113"/>
      <c r="P50" s="244"/>
      <c r="Q50" s="244"/>
    </row>
    <row r="51" spans="1:17">
      <c r="A51" s="224"/>
      <c r="B51" s="224"/>
      <c r="N51" s="113"/>
      <c r="O51" s="113"/>
      <c r="P51" s="244"/>
      <c r="Q51" s="244"/>
    </row>
    <row r="52" spans="1:17" ht="27.75" customHeight="1">
      <c r="A52" s="243" t="s">
        <v>63</v>
      </c>
      <c r="B52" s="243"/>
      <c r="C52" s="3" t="s">
        <v>0</v>
      </c>
      <c r="D52" s="3" t="s">
        <v>86</v>
      </c>
      <c r="E52" s="3" t="s">
        <v>83</v>
      </c>
      <c r="F52" s="3" t="s">
        <v>84</v>
      </c>
      <c r="G52" s="3" t="s">
        <v>85</v>
      </c>
      <c r="H52" s="3" t="s">
        <v>62</v>
      </c>
      <c r="J52" s="243" t="s">
        <v>283</v>
      </c>
      <c r="K52" s="243"/>
      <c r="L52" s="243" t="s">
        <v>285</v>
      </c>
      <c r="M52" s="243"/>
    </row>
    <row r="53" spans="1:17">
      <c r="A53" s="246" t="s">
        <v>20</v>
      </c>
      <c r="B53" s="246"/>
      <c r="C53" s="246"/>
      <c r="D53" s="246"/>
      <c r="E53" s="246"/>
      <c r="F53" s="246"/>
      <c r="G53" s="246"/>
      <c r="H53" s="6">
        <f>$H$55*$I$42</f>
        <v>5</v>
      </c>
      <c r="J53" s="195" t="s">
        <v>284</v>
      </c>
      <c r="K53" s="195"/>
      <c r="L53" s="195">
        <v>1</v>
      </c>
      <c r="M53" s="195"/>
    </row>
    <row r="54" spans="1:17">
      <c r="A54" s="224" t="str">
        <f>C8</f>
        <v>Vitalidad</v>
      </c>
      <c r="B54" s="224"/>
      <c r="C54">
        <f>D8*H53</f>
        <v>5</v>
      </c>
      <c r="D54" s="101">
        <f>ROUNDDOWN(C54*1.7,0)</f>
        <v>8</v>
      </c>
      <c r="E54" s="101">
        <f>ROUNDDOWN(D54*1.7,0)</f>
        <v>13</v>
      </c>
      <c r="F54" s="101">
        <f>ROUNDDOWN(E54*1.7,0)</f>
        <v>22</v>
      </c>
      <c r="G54" s="101">
        <f>ROUNDDOWN(F54*1.7,0)</f>
        <v>37</v>
      </c>
      <c r="H54" s="26" t="s">
        <v>120</v>
      </c>
    </row>
    <row r="55" spans="1:17">
      <c r="A55" s="224" t="str">
        <f>C9</f>
        <v>Fuerza</v>
      </c>
      <c r="B55" s="224"/>
      <c r="C55">
        <f>D9*H53</f>
        <v>5</v>
      </c>
      <c r="D55" s="101">
        <f t="shared" ref="D55:G55" si="4">ROUNDDOWN(C55*1.7,0)</f>
        <v>8</v>
      </c>
      <c r="E55" s="101">
        <f t="shared" si="4"/>
        <v>13</v>
      </c>
      <c r="F55" s="101">
        <f t="shared" si="4"/>
        <v>22</v>
      </c>
      <c r="G55" s="101">
        <f t="shared" si="4"/>
        <v>37</v>
      </c>
      <c r="H55" s="6">
        <v>5</v>
      </c>
    </row>
    <row r="56" spans="1:17">
      <c r="A56" s="224" t="str">
        <f>C10</f>
        <v>Agilidad</v>
      </c>
      <c r="B56" s="224"/>
      <c r="C56">
        <f>D10*H53</f>
        <v>5</v>
      </c>
      <c r="D56" s="101">
        <f t="shared" ref="D56:G56" si="5">ROUNDDOWN(C56*1.7,0)</f>
        <v>8</v>
      </c>
      <c r="E56" s="101">
        <f t="shared" si="5"/>
        <v>13</v>
      </c>
      <c r="F56" s="101">
        <f t="shared" si="5"/>
        <v>22</v>
      </c>
      <c r="G56" s="101">
        <f t="shared" si="5"/>
        <v>37</v>
      </c>
    </row>
    <row r="57" spans="1:17">
      <c r="A57" s="224" t="str">
        <f>C11</f>
        <v>Inteligencia</v>
      </c>
      <c r="B57" s="224"/>
      <c r="C57">
        <f>D11*H53</f>
        <v>5</v>
      </c>
      <c r="D57" s="101">
        <f t="shared" ref="D57:G57" si="6">ROUNDDOWN(C57*1.7,0)</f>
        <v>8</v>
      </c>
      <c r="E57" s="101">
        <f t="shared" si="6"/>
        <v>13</v>
      </c>
      <c r="F57" s="101">
        <f t="shared" si="6"/>
        <v>22</v>
      </c>
      <c r="G57" s="101">
        <f t="shared" si="6"/>
        <v>37</v>
      </c>
    </row>
    <row r="58" spans="1:17">
      <c r="A58" s="224" t="s">
        <v>77</v>
      </c>
      <c r="B58" s="224"/>
      <c r="C58">
        <f>(C$23+C$24)/2*$H$53</f>
        <v>0</v>
      </c>
      <c r="D58">
        <f>(D$23+D$24)/2*$H$53</f>
        <v>2.5</v>
      </c>
      <c r="E58">
        <f>(E$23+E$24)/2*$H$53</f>
        <v>7.5</v>
      </c>
      <c r="F58">
        <f>(F$23+F$24)/2*$H$53</f>
        <v>12.5</v>
      </c>
      <c r="G58">
        <f>(G$23+G$24)/2*$H$53</f>
        <v>17.5</v>
      </c>
    </row>
    <row r="59" spans="1:17">
      <c r="A59" s="246" t="s">
        <v>49</v>
      </c>
      <c r="B59" s="246"/>
      <c r="C59" s="246"/>
      <c r="D59" s="246"/>
      <c r="E59" s="246"/>
      <c r="F59" s="246"/>
      <c r="G59" s="246"/>
    </row>
    <row r="60" spans="1:17">
      <c r="A60" s="224" t="s">
        <v>50</v>
      </c>
      <c r="B60" s="224"/>
      <c r="C60" s="5">
        <f>ROUNDDOWN(C32/5*H53,0)</f>
        <v>8</v>
      </c>
      <c r="D60" s="5">
        <f>ROUNDDOWN(D32/5*H53,0)</f>
        <v>26</v>
      </c>
      <c r="E60" s="5">
        <f>ROUNDDOWN(E32/5*H53,0)</f>
        <v>80</v>
      </c>
      <c r="F60" s="5">
        <f>ROUNDDOWN(F32/5*H53,0)</f>
        <v>240</v>
      </c>
      <c r="G60" s="5">
        <f>ROUNDDOWN(G32/5*H53,0)</f>
        <v>480</v>
      </c>
    </row>
    <row r="61" spans="1:17">
      <c r="A61" s="224" t="str">
        <f>C12</f>
        <v>Esencia</v>
      </c>
      <c r="B61" s="224"/>
      <c r="C61" s="5">
        <f>ROUNDDOWN(C60/3,0)</f>
        <v>2</v>
      </c>
      <c r="D61" s="5">
        <f>ROUNDDOWN(D60/3,0)</f>
        <v>8</v>
      </c>
      <c r="E61" s="5">
        <f>ROUNDDOWN(E60/3,0)</f>
        <v>26</v>
      </c>
      <c r="F61" s="5">
        <f>ROUNDDOWN(F60/3,0)</f>
        <v>80</v>
      </c>
      <c r="G61" s="5">
        <f>ROUNDDOWN(G60/3,0)</f>
        <v>160</v>
      </c>
    </row>
    <row r="62" spans="1:17">
      <c r="A62" s="247"/>
      <c r="B62" s="247"/>
    </row>
    <row r="63" spans="1:17" ht="27.75" customHeight="1">
      <c r="A63" s="243" t="s">
        <v>64</v>
      </c>
      <c r="B63" s="243"/>
      <c r="C63" s="3" t="s">
        <v>0</v>
      </c>
      <c r="D63" s="3" t="s">
        <v>86</v>
      </c>
      <c r="E63" s="3" t="s">
        <v>83</v>
      </c>
      <c r="F63" s="3" t="s">
        <v>84</v>
      </c>
      <c r="G63" s="3" t="s">
        <v>85</v>
      </c>
      <c r="H63" s="3" t="s">
        <v>62</v>
      </c>
    </row>
    <row r="64" spans="1:17">
      <c r="A64" s="246" t="s">
        <v>20</v>
      </c>
      <c r="B64" s="246"/>
      <c r="C64" s="246"/>
      <c r="D64" s="246"/>
      <c r="E64" s="246"/>
      <c r="F64" s="246"/>
      <c r="G64" s="246"/>
      <c r="H64" s="6">
        <f>$H$66*$I$42</f>
        <v>8</v>
      </c>
    </row>
    <row r="65" spans="1:8">
      <c r="A65" s="224" t="str">
        <f>C8</f>
        <v>Vitalidad</v>
      </c>
      <c r="B65" s="224"/>
      <c r="C65">
        <f>D8*H64</f>
        <v>8</v>
      </c>
      <c r="D65">
        <f>ROUNDDOWN(C65*1.7,0)</f>
        <v>13</v>
      </c>
      <c r="E65">
        <f>ROUNDDOWN(D65*1.7,0)</f>
        <v>22</v>
      </c>
      <c r="F65">
        <f>ROUNDDOWN(E65*1.7,0)</f>
        <v>37</v>
      </c>
      <c r="G65">
        <f>ROUNDDOWN(F65*1.7,0)</f>
        <v>62</v>
      </c>
      <c r="H65" s="26" t="s">
        <v>120</v>
      </c>
    </row>
    <row r="66" spans="1:8">
      <c r="A66" s="224" t="str">
        <f>C9</f>
        <v>Fuerza</v>
      </c>
      <c r="B66" s="224"/>
      <c r="C66">
        <f>D9*H64</f>
        <v>8</v>
      </c>
      <c r="D66" s="101">
        <f t="shared" ref="D66:G68" si="7">ROUNDDOWN(C66*1.7,0)</f>
        <v>13</v>
      </c>
      <c r="E66" s="101">
        <f t="shared" si="7"/>
        <v>22</v>
      </c>
      <c r="F66" s="101">
        <f t="shared" si="7"/>
        <v>37</v>
      </c>
      <c r="G66" s="101">
        <f t="shared" si="7"/>
        <v>62</v>
      </c>
      <c r="H66" s="6">
        <v>8</v>
      </c>
    </row>
    <row r="67" spans="1:8">
      <c r="A67" s="224" t="str">
        <f>C10</f>
        <v>Agilidad</v>
      </c>
      <c r="B67" s="224"/>
      <c r="C67">
        <f>D9*H64</f>
        <v>8</v>
      </c>
      <c r="D67" s="101">
        <f t="shared" si="7"/>
        <v>13</v>
      </c>
      <c r="E67" s="101">
        <f t="shared" si="7"/>
        <v>22</v>
      </c>
      <c r="F67" s="101">
        <f t="shared" si="7"/>
        <v>37</v>
      </c>
      <c r="G67" s="101">
        <f t="shared" si="7"/>
        <v>62</v>
      </c>
    </row>
    <row r="68" spans="1:8">
      <c r="A68" s="224" t="str">
        <f>C11</f>
        <v>Inteligencia</v>
      </c>
      <c r="B68" s="224"/>
      <c r="C68">
        <f>D9*H64</f>
        <v>8</v>
      </c>
      <c r="D68" s="101">
        <f t="shared" si="7"/>
        <v>13</v>
      </c>
      <c r="E68" s="101">
        <f t="shared" si="7"/>
        <v>22</v>
      </c>
      <c r="F68" s="101">
        <f t="shared" si="7"/>
        <v>37</v>
      </c>
      <c r="G68" s="101">
        <f t="shared" si="7"/>
        <v>62</v>
      </c>
    </row>
    <row r="69" spans="1:8">
      <c r="A69" s="224" t="s">
        <v>77</v>
      </c>
      <c r="B69" s="224"/>
      <c r="C69">
        <f>(C$23+C$24)/2*$H$64</f>
        <v>0</v>
      </c>
      <c r="D69">
        <f>(D$23+D$24)/2*$H$64</f>
        <v>4</v>
      </c>
      <c r="E69">
        <f>(E$23+E$24)/2*$H$64</f>
        <v>12</v>
      </c>
      <c r="F69">
        <f>(F$23+F$24)/2*$H$64</f>
        <v>20</v>
      </c>
      <c r="G69">
        <f>(G$23+G$24)/2*$H$64</f>
        <v>28</v>
      </c>
    </row>
    <row r="70" spans="1:8">
      <c r="A70" s="246" t="s">
        <v>49</v>
      </c>
      <c r="B70" s="246"/>
      <c r="C70" s="246"/>
      <c r="D70" s="246"/>
      <c r="E70" s="246"/>
      <c r="F70" s="246"/>
      <c r="G70" s="246"/>
    </row>
    <row r="71" spans="1:8">
      <c r="A71" s="224" t="s">
        <v>50</v>
      </c>
      <c r="B71" s="224"/>
      <c r="C71" s="5">
        <f>ROUNDDOWN(C32/5*H64,0)</f>
        <v>14</v>
      </c>
      <c r="D71" s="5">
        <f>ROUNDDOWN(D32/5*H64,0)</f>
        <v>42</v>
      </c>
      <c r="E71" s="5">
        <f>ROUNDDOWN(E32/5*H64,0)</f>
        <v>128</v>
      </c>
      <c r="F71" s="5">
        <f>ROUNDDOWN(F32/5*H64,0)</f>
        <v>384</v>
      </c>
      <c r="G71" s="5">
        <f>ROUNDDOWN(G32/5*H64,0)</f>
        <v>768</v>
      </c>
    </row>
    <row r="72" spans="1:8">
      <c r="A72" s="224" t="str">
        <f>C12</f>
        <v>Esencia</v>
      </c>
      <c r="B72" s="224"/>
      <c r="C72" s="5">
        <f>ROUNDDOWN(C71/3,0)</f>
        <v>4</v>
      </c>
      <c r="D72" s="5">
        <f>ROUNDDOWN(D71/3,0)</f>
        <v>14</v>
      </c>
      <c r="E72" s="5">
        <f>ROUNDDOWN(E71/3,0)</f>
        <v>42</v>
      </c>
      <c r="F72" s="5">
        <f>ROUNDDOWN(F71/3,0)</f>
        <v>128</v>
      </c>
      <c r="G72" s="5">
        <f>ROUNDDOWN(G71/3,0)</f>
        <v>256</v>
      </c>
    </row>
    <row r="73" spans="1:8">
      <c r="A73" s="244"/>
      <c r="B73" s="244"/>
    </row>
    <row r="74" spans="1:8" ht="27.75" customHeight="1">
      <c r="A74" s="243" t="s">
        <v>11</v>
      </c>
      <c r="B74" s="243"/>
      <c r="C74" s="3" t="s">
        <v>0</v>
      </c>
      <c r="D74" s="3" t="s">
        <v>86</v>
      </c>
      <c r="E74" s="3" t="s">
        <v>83</v>
      </c>
      <c r="F74" s="3" t="s">
        <v>84</v>
      </c>
      <c r="G74" s="3" t="s">
        <v>85</v>
      </c>
      <c r="H74" s="3" t="s">
        <v>62</v>
      </c>
    </row>
    <row r="75" spans="1:8">
      <c r="A75" s="246" t="s">
        <v>20</v>
      </c>
      <c r="B75" s="246"/>
      <c r="C75" s="246"/>
      <c r="D75" s="246"/>
      <c r="E75" s="246"/>
      <c r="F75" s="246"/>
      <c r="G75" s="246"/>
      <c r="H75" s="6">
        <f>$H$77*$I$42</f>
        <v>7</v>
      </c>
    </row>
    <row r="76" spans="1:8">
      <c r="A76" s="224" t="str">
        <f>C8</f>
        <v>Vitalidad</v>
      </c>
      <c r="B76" s="224"/>
      <c r="C76">
        <f>D8*H75</f>
        <v>7</v>
      </c>
      <c r="D76" s="101">
        <f>ROUNDDOWN(C76*1.7,0)</f>
        <v>11</v>
      </c>
      <c r="E76" s="101">
        <f>ROUNDDOWN(D76*1.7,0)</f>
        <v>18</v>
      </c>
      <c r="F76" s="101">
        <f>ROUNDDOWN(E76*1.7,0)</f>
        <v>30</v>
      </c>
      <c r="G76" s="101">
        <f>ROUNDDOWN(F76*1.7,0)</f>
        <v>51</v>
      </c>
      <c r="H76" s="26" t="s">
        <v>120</v>
      </c>
    </row>
    <row r="77" spans="1:8">
      <c r="A77" s="224" t="str">
        <f>C9</f>
        <v>Fuerza</v>
      </c>
      <c r="B77" s="224"/>
      <c r="C77">
        <f>D9*H75</f>
        <v>7</v>
      </c>
      <c r="D77" s="101">
        <f t="shared" ref="D77:G77" si="8">ROUNDDOWN(C77*1.7,0)</f>
        <v>11</v>
      </c>
      <c r="E77" s="101">
        <f t="shared" si="8"/>
        <v>18</v>
      </c>
      <c r="F77" s="101">
        <f t="shared" si="8"/>
        <v>30</v>
      </c>
      <c r="G77" s="101">
        <f t="shared" si="8"/>
        <v>51</v>
      </c>
      <c r="H77" s="6">
        <v>7</v>
      </c>
    </row>
    <row r="78" spans="1:8">
      <c r="A78" s="224" t="str">
        <f>C10</f>
        <v>Agilidad</v>
      </c>
      <c r="B78" s="224"/>
      <c r="C78">
        <f>D10*H75</f>
        <v>7</v>
      </c>
      <c r="D78" s="101">
        <f t="shared" ref="D78:G78" si="9">ROUNDDOWN(C78*1.7,0)</f>
        <v>11</v>
      </c>
      <c r="E78" s="101">
        <f t="shared" si="9"/>
        <v>18</v>
      </c>
      <c r="F78" s="101">
        <f t="shared" si="9"/>
        <v>30</v>
      </c>
      <c r="G78" s="101">
        <f t="shared" si="9"/>
        <v>51</v>
      </c>
    </row>
    <row r="79" spans="1:8">
      <c r="A79" s="224" t="str">
        <f>C11</f>
        <v>Inteligencia</v>
      </c>
      <c r="B79" s="224"/>
      <c r="C79">
        <f>D11*H75</f>
        <v>7</v>
      </c>
      <c r="D79" s="101">
        <f t="shared" ref="D79:G79" si="10">ROUNDDOWN(C79*1.7,0)</f>
        <v>11</v>
      </c>
      <c r="E79" s="101">
        <f t="shared" si="10"/>
        <v>18</v>
      </c>
      <c r="F79" s="101">
        <f t="shared" si="10"/>
        <v>30</v>
      </c>
      <c r="G79" s="101">
        <f t="shared" si="10"/>
        <v>51</v>
      </c>
    </row>
    <row r="80" spans="1:8">
      <c r="A80" s="224" t="s">
        <v>77</v>
      </c>
      <c r="B80" s="224"/>
      <c r="C80">
        <f>(C$23+C$24)/2*$H$75</f>
        <v>0</v>
      </c>
      <c r="D80">
        <f>(D$23+D$24)/2*$H$75</f>
        <v>3.5</v>
      </c>
      <c r="E80">
        <f>(E$23+E$24)/2*$H$75</f>
        <v>10.5</v>
      </c>
      <c r="F80">
        <f>(F$23+F$24)/2*$H$75</f>
        <v>17.5</v>
      </c>
      <c r="G80">
        <f>(G$23+G$24)/2*$H$75</f>
        <v>24.5</v>
      </c>
    </row>
    <row r="81" spans="1:8">
      <c r="A81" s="246" t="s">
        <v>49</v>
      </c>
      <c r="B81" s="246"/>
      <c r="C81" s="246"/>
      <c r="D81" s="246"/>
      <c r="E81" s="246"/>
      <c r="F81" s="246"/>
      <c r="G81" s="246"/>
    </row>
    <row r="82" spans="1:8">
      <c r="A82" s="224" t="s">
        <v>50</v>
      </c>
      <c r="B82" s="224"/>
      <c r="C82" s="5">
        <f>ROUNDDOWN(C32/5*H75,0)</f>
        <v>12</v>
      </c>
      <c r="D82" s="5">
        <f>ROUNDDOWN(D32/5*H75,0)</f>
        <v>37</v>
      </c>
      <c r="E82" s="5">
        <f>ROUNDDOWN(E32/5*H75,0)</f>
        <v>112</v>
      </c>
      <c r="F82" s="5">
        <f>ROUNDDOWN(F32/5*H75,0)</f>
        <v>336</v>
      </c>
      <c r="G82" s="5">
        <f>ROUNDDOWN(G32/5*H75,0)</f>
        <v>672</v>
      </c>
    </row>
    <row r="83" spans="1:8">
      <c r="A83" s="224" t="str">
        <f>C12</f>
        <v>Esencia</v>
      </c>
      <c r="B83" s="224"/>
      <c r="C83" s="5">
        <f>ROUNDDOWN(C82/3,0)</f>
        <v>4</v>
      </c>
      <c r="D83" s="5">
        <f t="shared" ref="D83:G83" si="11">ROUNDDOWN(D82/3,0)</f>
        <v>12</v>
      </c>
      <c r="E83" s="5">
        <f t="shared" si="11"/>
        <v>37</v>
      </c>
      <c r="F83" s="5">
        <f t="shared" si="11"/>
        <v>112</v>
      </c>
      <c r="G83" s="5">
        <f t="shared" si="11"/>
        <v>224</v>
      </c>
    </row>
    <row r="84" spans="1:8">
      <c r="A84" s="244"/>
      <c r="B84" s="244"/>
    </row>
    <row r="85" spans="1:8" ht="27.75" customHeight="1">
      <c r="A85" s="243" t="s">
        <v>66</v>
      </c>
      <c r="B85" s="243"/>
      <c r="C85" s="3" t="s">
        <v>0</v>
      </c>
      <c r="D85" s="3" t="s">
        <v>86</v>
      </c>
      <c r="E85" s="3" t="s">
        <v>83</v>
      </c>
      <c r="F85" s="3" t="s">
        <v>84</v>
      </c>
      <c r="G85" s="3" t="s">
        <v>85</v>
      </c>
      <c r="H85" s="3" t="s">
        <v>62</v>
      </c>
    </row>
    <row r="86" spans="1:8">
      <c r="A86" s="246" t="s">
        <v>20</v>
      </c>
      <c r="B86" s="246"/>
      <c r="C86" s="246"/>
      <c r="D86" s="246"/>
      <c r="E86" s="246"/>
      <c r="F86" s="246"/>
      <c r="G86" s="246"/>
      <c r="H86" s="6">
        <v>4</v>
      </c>
    </row>
    <row r="87" spans="1:8">
      <c r="A87" s="224" t="str">
        <f>C8</f>
        <v>Vitalidad</v>
      </c>
      <c r="B87" s="224"/>
      <c r="C87">
        <f>D9*H86</f>
        <v>4</v>
      </c>
      <c r="D87" s="101">
        <f>ROUNDDOWN(C87*1.7,0)</f>
        <v>6</v>
      </c>
      <c r="E87" s="101">
        <f>ROUNDDOWN(D87*1.7,0)</f>
        <v>10</v>
      </c>
      <c r="F87" s="101">
        <f>ROUNDDOWN(E87*1.7,0)</f>
        <v>17</v>
      </c>
      <c r="G87" s="101">
        <f>ROUNDDOWN(F87*1.7,0)</f>
        <v>28</v>
      </c>
      <c r="H87" s="26" t="s">
        <v>120</v>
      </c>
    </row>
    <row r="88" spans="1:8">
      <c r="A88" s="224" t="str">
        <f>C9</f>
        <v>Fuerza</v>
      </c>
      <c r="B88" s="224"/>
      <c r="C88">
        <f>D10*H86</f>
        <v>4</v>
      </c>
      <c r="D88" s="101">
        <f t="shared" ref="D88:G88" si="12">ROUNDDOWN(C88*1.7,0)</f>
        <v>6</v>
      </c>
      <c r="E88" s="101">
        <f t="shared" si="12"/>
        <v>10</v>
      </c>
      <c r="F88" s="101">
        <f t="shared" si="12"/>
        <v>17</v>
      </c>
      <c r="G88" s="101">
        <f t="shared" si="12"/>
        <v>28</v>
      </c>
      <c r="H88" s="6">
        <v>4</v>
      </c>
    </row>
    <row r="89" spans="1:8">
      <c r="A89" s="224" t="str">
        <f>C10</f>
        <v>Agilidad</v>
      </c>
      <c r="B89" s="224"/>
      <c r="C89">
        <f>D11*H86</f>
        <v>4</v>
      </c>
      <c r="D89" s="101">
        <f t="shared" ref="D89:G89" si="13">ROUNDDOWN(C89*1.7,0)</f>
        <v>6</v>
      </c>
      <c r="E89" s="101">
        <f t="shared" si="13"/>
        <v>10</v>
      </c>
      <c r="F89" s="101">
        <f t="shared" si="13"/>
        <v>17</v>
      </c>
      <c r="G89" s="101">
        <f t="shared" si="13"/>
        <v>28</v>
      </c>
    </row>
    <row r="90" spans="1:8">
      <c r="A90" s="224" t="str">
        <f>C11</f>
        <v>Inteligencia</v>
      </c>
      <c r="B90" s="224"/>
      <c r="C90">
        <f>D12*H86</f>
        <v>4</v>
      </c>
      <c r="D90" s="101">
        <f t="shared" ref="D90:G90" si="14">ROUNDDOWN(C90*1.7,0)</f>
        <v>6</v>
      </c>
      <c r="E90" s="101">
        <f t="shared" si="14"/>
        <v>10</v>
      </c>
      <c r="F90" s="101">
        <f t="shared" si="14"/>
        <v>17</v>
      </c>
      <c r="G90" s="101">
        <f t="shared" si="14"/>
        <v>28</v>
      </c>
    </row>
    <row r="91" spans="1:8">
      <c r="A91" s="224" t="s">
        <v>77</v>
      </c>
      <c r="B91" s="224"/>
      <c r="C91">
        <f>(C$23+C$24)/2*$H$86</f>
        <v>0</v>
      </c>
      <c r="D91">
        <f>(D$23+D$24)/2*$H$86</f>
        <v>2</v>
      </c>
      <c r="E91">
        <f>(E$23+E$24)/2*$H$86</f>
        <v>6</v>
      </c>
      <c r="F91">
        <f>(F$23+F$24)/2*$H$86</f>
        <v>10</v>
      </c>
      <c r="G91">
        <f>(G$23+G$24)/2*$H$86</f>
        <v>14</v>
      </c>
    </row>
    <row r="92" spans="1:8">
      <c r="A92" s="246" t="s">
        <v>49</v>
      </c>
      <c r="B92" s="246"/>
      <c r="C92" s="246"/>
      <c r="D92" s="246"/>
      <c r="E92" s="246"/>
      <c r="F92" s="246"/>
      <c r="G92" s="246"/>
    </row>
    <row r="93" spans="1:8">
      <c r="A93" s="224" t="s">
        <v>50</v>
      </c>
      <c r="B93" s="224"/>
      <c r="C93" s="5">
        <f>ROUNDDOWN(C32/5*H86,0)</f>
        <v>7</v>
      </c>
      <c r="D93" s="5">
        <f>ROUNDDOWN(D32/5*H86,0)</f>
        <v>21</v>
      </c>
      <c r="E93" s="5">
        <f>ROUNDDOWN(E32/5*H86,0)</f>
        <v>64</v>
      </c>
      <c r="F93" s="5">
        <f>ROUNDDOWN(F32/5*H86,0)</f>
        <v>192</v>
      </c>
      <c r="G93" s="5">
        <f>ROUNDDOWN(G32/5*H86,0)</f>
        <v>384</v>
      </c>
    </row>
    <row r="94" spans="1:8">
      <c r="A94" s="224" t="str">
        <f>C12</f>
        <v>Esencia</v>
      </c>
      <c r="B94" s="224"/>
      <c r="C94" s="5">
        <f>ROUNDDOWN(C93/3,0)</f>
        <v>2</v>
      </c>
      <c r="D94" s="5">
        <f t="shared" ref="D94:G94" si="15">ROUNDDOWN(D93/3,0)</f>
        <v>7</v>
      </c>
      <c r="E94" s="5">
        <f t="shared" si="15"/>
        <v>21</v>
      </c>
      <c r="F94" s="5">
        <f t="shared" si="15"/>
        <v>64</v>
      </c>
      <c r="G94" s="5">
        <f t="shared" si="15"/>
        <v>128</v>
      </c>
    </row>
  </sheetData>
  <mergeCells count="97">
    <mergeCell ref="P50:Q50"/>
    <mergeCell ref="P51:Q51"/>
    <mergeCell ref="P47:Q47"/>
    <mergeCell ref="P48:Q48"/>
    <mergeCell ref="P49:Q49"/>
    <mergeCell ref="N44:O44"/>
    <mergeCell ref="N45:O45"/>
    <mergeCell ref="N46:O46"/>
    <mergeCell ref="N42:O42"/>
    <mergeCell ref="N41:Q41"/>
    <mergeCell ref="N43:O43"/>
    <mergeCell ref="A32:B32"/>
    <mergeCell ref="A33:B33"/>
    <mergeCell ref="A34:B34"/>
    <mergeCell ref="A35:B35"/>
    <mergeCell ref="A43:B43"/>
    <mergeCell ref="A36:G36"/>
    <mergeCell ref="A38:B38"/>
    <mergeCell ref="A39:B39"/>
    <mergeCell ref="A41:B41"/>
    <mergeCell ref="A17:B17"/>
    <mergeCell ref="A18:B18"/>
    <mergeCell ref="A19:B19"/>
    <mergeCell ref="A20:B20"/>
    <mergeCell ref="A21:B21"/>
    <mergeCell ref="A22:B22"/>
    <mergeCell ref="A23:B23"/>
    <mergeCell ref="A24:B24"/>
    <mergeCell ref="A25:B25"/>
    <mergeCell ref="A31:G31"/>
    <mergeCell ref="A30:B30"/>
    <mergeCell ref="A29:B29"/>
    <mergeCell ref="A26:B26"/>
    <mergeCell ref="A27:B27"/>
    <mergeCell ref="A28:B28"/>
    <mergeCell ref="A55:B55"/>
    <mergeCell ref="A50:B50"/>
    <mergeCell ref="A46:B46"/>
    <mergeCell ref="A47:B47"/>
    <mergeCell ref="A48:G48"/>
    <mergeCell ref="A49:B49"/>
    <mergeCell ref="A51:B51"/>
    <mergeCell ref="A54:B54"/>
    <mergeCell ref="A45:B45"/>
    <mergeCell ref="A37:G37"/>
    <mergeCell ref="A52:B52"/>
    <mergeCell ref="A53:G53"/>
    <mergeCell ref="A42:G42"/>
    <mergeCell ref="A44:B44"/>
    <mergeCell ref="A56:B56"/>
    <mergeCell ref="A57:B57"/>
    <mergeCell ref="A58:B58"/>
    <mergeCell ref="A59:G59"/>
    <mergeCell ref="A60:B60"/>
    <mergeCell ref="A72:B72"/>
    <mergeCell ref="A74:B74"/>
    <mergeCell ref="A70:G70"/>
    <mergeCell ref="A61:B61"/>
    <mergeCell ref="A63:B63"/>
    <mergeCell ref="A64:G64"/>
    <mergeCell ref="A65:B65"/>
    <mergeCell ref="A66:B66"/>
    <mergeCell ref="A67:B67"/>
    <mergeCell ref="A68:B68"/>
    <mergeCell ref="A69:B69"/>
    <mergeCell ref="A62:B62"/>
    <mergeCell ref="A94:B94"/>
    <mergeCell ref="A85:B85"/>
    <mergeCell ref="A86:G86"/>
    <mergeCell ref="A87:B87"/>
    <mergeCell ref="A88:B88"/>
    <mergeCell ref="A89:B89"/>
    <mergeCell ref="A90:B90"/>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J53:K53"/>
    <mergeCell ref="L53:M53"/>
    <mergeCell ref="J41:K41"/>
    <mergeCell ref="L41:M41"/>
    <mergeCell ref="J42:K42"/>
    <mergeCell ref="L42:M42"/>
    <mergeCell ref="J52:K52"/>
    <mergeCell ref="L52:M52"/>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4">
    <pageSetUpPr fitToPage="1"/>
  </sheetPr>
  <dimension ref="A1:Z148"/>
  <sheetViews>
    <sheetView topLeftCell="V1" workbookViewId="0">
      <selection activeCell="Z4" sqref="Z4:Z8"/>
    </sheetView>
  </sheetViews>
  <sheetFormatPr baseColWidth="10" defaultRowHeight="15"/>
  <cols>
    <col min="22" max="22" width="19.85546875" customWidth="1"/>
    <col min="23" max="26" width="17.140625" customWidth="1"/>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36</v>
      </c>
      <c r="B2" s="195"/>
      <c r="C2" s="195">
        <f>'ECONOMIA &amp; PROFESIONES'!$N$3</f>
        <v>1</v>
      </c>
      <c r="D2" s="195"/>
      <c r="E2" s="195" t="s">
        <v>81</v>
      </c>
      <c r="F2" s="195"/>
      <c r="G2" s="195" t="s">
        <v>90</v>
      </c>
      <c r="H2" s="195"/>
      <c r="I2" s="195" t="str">
        <f>MAIN!$J$42</f>
        <v>&amp;4Poder de Arma:</v>
      </c>
      <c r="J2" s="195"/>
      <c r="K2" s="195">
        <f>MAIN!$L$42</f>
        <v>2</v>
      </c>
      <c r="L2" s="195"/>
    </row>
    <row r="3" spans="1:26" ht="29.25" customHeight="1">
      <c r="A3" s="249" t="s">
        <v>7</v>
      </c>
      <c r="B3" s="249"/>
      <c r="C3" s="249"/>
      <c r="D3" s="249"/>
      <c r="E3" s="249" t="s">
        <v>8</v>
      </c>
      <c r="F3" s="249"/>
      <c r="G3" s="249"/>
      <c r="H3" s="249"/>
      <c r="I3" s="249" t="s">
        <v>83</v>
      </c>
      <c r="J3" s="249"/>
      <c r="K3" s="249"/>
      <c r="L3" s="249"/>
      <c r="M3" s="249" t="s">
        <v>84</v>
      </c>
      <c r="N3" s="249"/>
      <c r="O3" s="249"/>
      <c r="P3" s="249"/>
      <c r="Q3" s="249" t="s">
        <v>85</v>
      </c>
      <c r="R3" s="249"/>
      <c r="S3" s="249"/>
      <c r="T3" s="249"/>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101" t="str">
        <f>$I$2&amp;" "&amp;ROUND(MAIN!$C$44*$C$2*$K$2/5*$U$4,0)</f>
        <v>&amp;4Poder de Arma: 1</v>
      </c>
      <c r="W4" s="101" t="str">
        <f>$I$2&amp;" "&amp;ROUND(MAIN!$D$44*$C$2*$K$2/5*$U$4,0)</f>
        <v>&amp;4Poder de Arma: 2</v>
      </c>
      <c r="X4" s="101" t="str">
        <f>$I$2&amp;" "&amp;ROUND(MAIN!$E$44*$C$2*$K$2/5*$U$4,0)</f>
        <v>&amp;4Poder de Arma: 7</v>
      </c>
      <c r="Y4" s="101" t="str">
        <f>$I$2&amp;" "&amp;ROUND(MAIN!$F$44*$C$2*$K$2/5*$U$4,0)</f>
        <v>&amp;4Poder de Arma: 22</v>
      </c>
      <c r="Z4" s="101" t="str">
        <f>$I$2&amp;" "&amp;ROUND(MAIN!$G$44*$C$2*$K$2/5*$U$4,0)</f>
        <v>&amp;4Poder de Arma: 65</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101" t="str">
        <f>$I$2&amp;" "&amp;ROUND(MAIN!$C$44*$C$2*$K$2/5*$U$5,0)</f>
        <v>&amp;4Poder de Arma: 2</v>
      </c>
      <c r="W5" s="101" t="str">
        <f>$I$2&amp;" "&amp;ROUND(MAIN!$D$44*$C$2*$K$2/5*$U$5,0)</f>
        <v>&amp;4Poder de Arma: 5</v>
      </c>
      <c r="X5" s="101" t="str">
        <f>$I$2&amp;" "&amp;ROUND(MAIN!$E$44*$C$2*$K$2/5*$U$5,0)</f>
        <v>&amp;4Poder de Arma: 14</v>
      </c>
      <c r="Y5" s="101" t="str">
        <f>$I$2&amp;" "&amp;ROUND(MAIN!$F$44*$C$2*$K$2/5*$U$5,0)</f>
        <v>&amp;4Poder de Arma: 43</v>
      </c>
      <c r="Z5" s="101" t="str">
        <f>$I$2&amp;" "&amp;ROUND(MAIN!$G$44*$C$2*$K$2/5*$U$5,0)</f>
        <v>&amp;4Poder de Arma: 130</v>
      </c>
    </row>
    <row r="6" spans="1:26">
      <c r="A6" s="9" t="s">
        <v>22</v>
      </c>
      <c r="B6" s="9"/>
      <c r="C6" s="9"/>
      <c r="D6" s="9"/>
      <c r="E6" s="9" t="s">
        <v>22</v>
      </c>
      <c r="F6" s="9"/>
      <c r="G6" s="9"/>
      <c r="H6" s="9"/>
      <c r="I6" s="9" t="s">
        <v>22</v>
      </c>
      <c r="J6" s="9"/>
      <c r="K6" s="9"/>
      <c r="L6" s="9"/>
      <c r="M6" s="9" t="s">
        <v>22</v>
      </c>
      <c r="N6" s="9"/>
      <c r="O6" s="9"/>
      <c r="P6" s="9"/>
      <c r="Q6" s="9" t="s">
        <v>22</v>
      </c>
      <c r="R6" s="9"/>
      <c r="S6" s="9"/>
      <c r="T6" s="9"/>
      <c r="U6">
        <v>3</v>
      </c>
      <c r="V6" s="101" t="str">
        <f>$I$2&amp;" "&amp;ROUND(MAIN!$C$44*$C$2*$K$2/5*$U$6,0)</f>
        <v>&amp;4Poder de Arma: 2</v>
      </c>
      <c r="W6" s="101" t="str">
        <f>$I$2&amp;" "&amp;ROUND(MAIN!$D$44*$C$2*$K$2/5*$U$6,0)</f>
        <v>&amp;4Poder de Arma: 7</v>
      </c>
      <c r="X6" s="101" t="str">
        <f>$I$2&amp;" "&amp;ROUND(MAIN!$E$44*$C$2*$K$2/5*$U$6,0)</f>
        <v>&amp;4Poder de Arma: 22</v>
      </c>
      <c r="Y6" s="101" t="str">
        <f>$I$2&amp;" "&amp;ROUND(MAIN!$F$44*$C$2*$K$2/5*$U$6,0)</f>
        <v>&amp;4Poder de Arma: 65</v>
      </c>
      <c r="Z6" s="101" t="str">
        <f>$I$2&amp;" "&amp;ROUND(MAIN!$G$44*$C$2*$K$2/5*$U$6,0)</f>
        <v>&amp;4Poder de Arma: 194</v>
      </c>
    </row>
    <row r="7" spans="1:26">
      <c r="A7" s="9" t="s">
        <v>23</v>
      </c>
      <c r="B7" s="9"/>
      <c r="C7" s="9"/>
      <c r="D7" s="9"/>
      <c r="E7" s="9" t="s">
        <v>23</v>
      </c>
      <c r="F7" s="9"/>
      <c r="G7" s="9"/>
      <c r="H7" s="9"/>
      <c r="I7" s="9" t="s">
        <v>23</v>
      </c>
      <c r="J7" s="9"/>
      <c r="K7" s="9"/>
      <c r="L7" s="9"/>
      <c r="M7" s="9" t="s">
        <v>23</v>
      </c>
      <c r="N7" s="9"/>
      <c r="O7" s="9"/>
      <c r="P7" s="9"/>
      <c r="Q7" s="9" t="s">
        <v>23</v>
      </c>
      <c r="R7" s="9"/>
      <c r="S7" s="9"/>
      <c r="T7" s="9"/>
      <c r="U7">
        <v>4</v>
      </c>
      <c r="V7" s="101" t="str">
        <f>$I$2&amp;" "&amp;ROUND(MAIN!$C$44*$C$2*$K$2/5*$U$7,0)</f>
        <v>&amp;4Poder de Arma: 3</v>
      </c>
      <c r="W7" s="101" t="str">
        <f>$I$2&amp;" "&amp;ROUND(MAIN!$D$44*$C$2*$K$2/5*$U$7,0)</f>
        <v>&amp;4Poder de Arma: 10</v>
      </c>
      <c r="X7" s="101" t="str">
        <f>$I$2&amp;" "&amp;ROUND(MAIN!$E$44*$C$2*$K$2/5*$U$7,0)</f>
        <v>&amp;4Poder de Arma: 29</v>
      </c>
      <c r="Y7" s="101" t="str">
        <f>$I$2&amp;" "&amp;ROUND(MAIN!$F$44*$C$2*$K$2/5*$U$7,0)</f>
        <v>&amp;4Poder de Arma: 86</v>
      </c>
      <c r="Z7" s="101" t="str">
        <f>$I$2&amp;" "&amp;ROUND(MAIN!$G$44*$C$2*$K$2/5*$U$7,0)</f>
        <v>&amp;4Poder de Arma: 259</v>
      </c>
    </row>
    <row r="8" spans="1:26">
      <c r="A8" s="9" t="s">
        <v>24</v>
      </c>
      <c r="B8" s="9"/>
      <c r="C8" s="9"/>
      <c r="D8" s="9"/>
      <c r="E8" s="9" t="s">
        <v>24</v>
      </c>
      <c r="F8" s="9"/>
      <c r="G8" s="9"/>
      <c r="H8" s="9"/>
      <c r="I8" s="9" t="s">
        <v>24</v>
      </c>
      <c r="J8" s="9"/>
      <c r="K8" s="9"/>
      <c r="L8" s="9"/>
      <c r="M8" s="9" t="s">
        <v>24</v>
      </c>
      <c r="N8" s="9"/>
      <c r="O8" s="9"/>
      <c r="P8" s="9"/>
      <c r="Q8" s="9" t="s">
        <v>24</v>
      </c>
      <c r="R8" s="9"/>
      <c r="S8" s="9"/>
      <c r="T8" s="9"/>
      <c r="U8">
        <v>5</v>
      </c>
      <c r="V8" s="101" t="str">
        <f>$I$2&amp;" "&amp;ROUND(MAIN!$C$44*$C$2*$K$2/5*$U$8,0)</f>
        <v>&amp;4Poder de Arma: 4</v>
      </c>
      <c r="W8" s="101" t="str">
        <f>$I$2&amp;" "&amp;ROUND(MAIN!$D$44*$C$2*$K$2/5*$U$8,0)</f>
        <v>&amp;4Poder de Arma: 12</v>
      </c>
      <c r="X8" s="101" t="str">
        <f>$I$2&amp;" "&amp;ROUND(MAIN!$E$44*$C$2*$K$2/5*$U$8,0)</f>
        <v>&amp;4Poder de Arma: 36</v>
      </c>
      <c r="Y8" s="101" t="str">
        <f>$I$2&amp;" "&amp;ROUND(MAIN!$F$44*$C$2*$K$2/5*$U$8,0)</f>
        <v>&amp;4Poder de Arma: 108</v>
      </c>
      <c r="Z8" s="101" t="str">
        <f>$I$2&amp;" "&amp;ROUND(MAIN!$G$44*$C$2*$K$2/5*$U$8,0)</f>
        <v>&amp;4Poder de Arma: 324</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&amp;6"&amp;(MAIN!$D$2+(MAIN!$C$18+MAIN!$C$19)/2*MAIN!$B$9+(MAIN!$C$20+MAIN!$C$21)/2*MAIN!$B$8+(MAIN!$C$47*MAIN!$B$11)+($C$2*MAIN!$B$10))/10&amp;" &amp;aAlmakos'"</f>
        <v xml:space="preserve">  - '&amp;aVenta: &amp;650.2 &amp;aAlmakos'</v>
      </c>
      <c r="B21" s="20"/>
      <c r="C21" s="20"/>
      <c r="D21" s="20"/>
      <c r="E21" s="20" t="str">
        <f>"  - '&amp;aVenta: &amp;6"&amp;(MAIN!$D$3+(MAIN!$C$18+MAIN!$C$19)/2*MAIN!$B$9+(MAIN!$C$20+MAIN!$C$21)/2*MAIN!$B$8+(MAIN!$C$47*MAIN!$B$11)+($C$2*MAIN!$B$10))/10&amp;" &amp;aAlmakos'"</f>
        <v xml:space="preserve">  - '&amp;aVenta: &amp;650.6 &amp;aAlmakos'</v>
      </c>
      <c r="F21" s="20"/>
      <c r="G21" s="20"/>
      <c r="H21" s="20"/>
      <c r="I21" s="20" t="str">
        <f>"  - '&amp;aVenta: &amp;6"&amp;(MAIN!$D$4+(MAIN!$C$18+MAIN!$C$19)/2*MAIN!$B$9+(MAIN!$C$20+MAIN!$C$21)/2*MAIN!$B$8+(MAIN!$C$47*MAIN!$B$11)+($C$2*MAIN!$B$10))/10&amp;" &amp;aAlmakos'"</f>
        <v xml:space="preserve">  - '&amp;aVenta: &amp;651 &amp;aAlmakos'</v>
      </c>
      <c r="J21" s="20"/>
      <c r="K21" s="20"/>
      <c r="L21" s="20"/>
      <c r="M21" s="20" t="str">
        <f>"  - '&amp;aVenta: &amp;6"&amp;(MAIN!$D$5+(MAIN!$C$18+MAIN!$C$19)/2*MAIN!$B$9+(MAIN!$C$20+MAIN!$C$21)/2*MAIN!$B$8+(MAIN!$C$47*MAIN!$B$11)+($C$2*MAIN!$B$10))/10&amp;" &amp;aAlmakos'"</f>
        <v xml:space="preserve">  - '&amp;aVenta: &amp;651.4 &amp;aAlmakos'</v>
      </c>
      <c r="N21" s="20"/>
      <c r="O21" s="20"/>
      <c r="P21" s="20"/>
      <c r="Q21" s="20" t="str">
        <f>"  - '&amp;aVenta: &amp;6"&amp;(MAIN!$D$6+(MAIN!$C$18+MAIN!$C$19)/2*MAIN!$B$9+(MAIN!$C$20+MAIN!$C$21)/2*MAIN!$B$8+(MAIN!$C$47*MAIN!$B$11)+($C$2*MAIN!$B$10))/10&amp;" &amp;aAlmakos'"</f>
        <v xml:space="preserve">  - '&amp;aVenta: &amp;652.2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c r="A45" s="8"/>
      <c r="B45" s="8"/>
      <c r="C45" s="8"/>
      <c r="D45" s="8"/>
    </row>
    <row r="46" spans="1:20">
      <c r="A46" s="8"/>
      <c r="B46" s="8"/>
      <c r="C46" s="8"/>
      <c r="D46" s="8"/>
    </row>
    <row r="47" spans="1:20">
      <c r="A47" s="8"/>
      <c r="B47" s="8"/>
      <c r="C47" s="8"/>
      <c r="D47" s="8"/>
    </row>
    <row r="48" spans="1:20">
      <c r="A48" s="8"/>
      <c r="B48" s="8"/>
      <c r="C48" s="8"/>
      <c r="D48" s="8"/>
    </row>
    <row r="49" spans="1:4">
      <c r="A49" s="8"/>
      <c r="B49" s="8"/>
      <c r="C49" s="8"/>
      <c r="D49" s="8"/>
    </row>
    <row r="50" spans="1:4">
      <c r="A50" s="8"/>
      <c r="B50" s="8"/>
      <c r="C50" s="8"/>
      <c r="D50" s="8"/>
    </row>
    <row r="51" spans="1:4">
      <c r="A51" s="8"/>
      <c r="B51" s="8"/>
      <c r="C51" s="8"/>
      <c r="D51" s="8"/>
    </row>
    <row r="52" spans="1:4">
      <c r="A52" s="8"/>
      <c r="B52" s="8"/>
      <c r="C52" s="8"/>
      <c r="D52" s="8"/>
    </row>
    <row r="53" spans="1:4">
      <c r="A53" s="8"/>
      <c r="B53" s="8"/>
      <c r="C53" s="8"/>
      <c r="D53" s="8"/>
    </row>
    <row r="54" spans="1:4">
      <c r="A54" s="8"/>
      <c r="B54" s="8"/>
      <c r="C54" s="8"/>
      <c r="D54" s="8"/>
    </row>
    <row r="55" spans="1:4">
      <c r="A55" s="8"/>
      <c r="B55" s="8"/>
      <c r="C55" s="8"/>
      <c r="D55" s="8"/>
    </row>
    <row r="56" spans="1:4">
      <c r="A56" s="8"/>
      <c r="B56" s="8"/>
      <c r="C56" s="8"/>
      <c r="D56" s="8"/>
    </row>
    <row r="57" spans="1:4">
      <c r="A57" s="8"/>
      <c r="B57" s="8"/>
      <c r="C57" s="8"/>
      <c r="D57" s="8"/>
    </row>
    <row r="58" spans="1:4">
      <c r="A58" s="8"/>
      <c r="B58" s="8"/>
      <c r="C58" s="8"/>
      <c r="D58" s="8"/>
    </row>
    <row r="59" spans="1:4">
      <c r="A59" s="8"/>
      <c r="B59" s="8"/>
      <c r="C59" s="8"/>
      <c r="D59" s="8"/>
    </row>
    <row r="60" spans="1:4">
      <c r="A60" s="8"/>
      <c r="B60" s="8"/>
      <c r="C60" s="8"/>
      <c r="D60" s="8"/>
    </row>
    <row r="61" spans="1:4">
      <c r="A61" s="8"/>
      <c r="B61" s="8"/>
      <c r="C61" s="8"/>
      <c r="D61" s="8"/>
    </row>
    <row r="62" spans="1:4">
      <c r="A62" s="8"/>
      <c r="B62" s="8"/>
      <c r="C62" s="8"/>
      <c r="D62" s="8"/>
    </row>
    <row r="63" spans="1:4">
      <c r="A63" s="8"/>
      <c r="B63" s="8"/>
      <c r="C63" s="8"/>
      <c r="D63" s="8"/>
    </row>
    <row r="64" spans="1:4">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M3:P3"/>
    <mergeCell ref="Q3:T3"/>
    <mergeCell ref="A3:D3"/>
    <mergeCell ref="E3:H3"/>
    <mergeCell ref="I3:L3"/>
    <mergeCell ref="K1:L1"/>
    <mergeCell ref="K2:L2"/>
    <mergeCell ref="A1:B1"/>
    <mergeCell ref="A2:B2"/>
    <mergeCell ref="C1:D1"/>
    <mergeCell ref="I1:J1"/>
    <mergeCell ref="I2:J2"/>
    <mergeCell ref="G1:H1"/>
    <mergeCell ref="G2:H2"/>
    <mergeCell ref="E1:F1"/>
    <mergeCell ref="C2:D2"/>
    <mergeCell ref="E2:F2"/>
  </mergeCells>
  <pageMargins left="0.7" right="0.7" top="0.75" bottom="0.75" header="0.3" footer="0.3"/>
  <pageSetup paperSize="9" scale="38"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5"/>
  <dimension ref="A1:Z147"/>
  <sheetViews>
    <sheetView topLeftCell="A28" workbookViewId="0">
      <selection activeCell="A38" sqref="A38:XFD40"/>
    </sheetView>
  </sheetViews>
  <sheetFormatPr baseColWidth="10" defaultRowHeight="15"/>
  <sheetData>
    <row r="1" spans="1:26" ht="30.75" customHeight="1">
      <c r="A1" s="243" t="s">
        <v>19</v>
      </c>
      <c r="B1" s="243"/>
      <c r="C1" s="243" t="s">
        <v>70</v>
      </c>
      <c r="D1" s="243"/>
      <c r="E1" s="243" t="s">
        <v>80</v>
      </c>
      <c r="F1" s="243"/>
      <c r="G1" s="243" t="s">
        <v>89</v>
      </c>
      <c r="H1" s="243"/>
      <c r="I1" s="243" t="s">
        <v>283</v>
      </c>
      <c r="J1" s="243"/>
      <c r="K1" s="243" t="s">
        <v>285</v>
      </c>
      <c r="L1" s="243"/>
    </row>
    <row r="2" spans="1:26">
      <c r="A2" s="195" t="s">
        <v>36</v>
      </c>
      <c r="B2" s="195"/>
      <c r="C2" s="195">
        <f>'ECONOMIA &amp; PROFESIONES'!$N$3</f>
        <v>1</v>
      </c>
      <c r="D2" s="195"/>
      <c r="E2" s="195" t="s">
        <v>81</v>
      </c>
      <c r="F2" s="195"/>
      <c r="G2" s="195" t="s">
        <v>90</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101">
        <v>1</v>
      </c>
      <c r="V4" s="101" t="str">
        <f>"+"&amp;ROUND(MAIN!$C$55*$C$2*$K$2/5*$U$4,0)&amp;" "&amp;$I$2</f>
        <v>+1 Armor</v>
      </c>
      <c r="W4" s="101" t="str">
        <f>"+"&amp;ROUND(MAIN!$D$55*$C$2*$K$2/5*$U$4,0)&amp;" "&amp;$I$2</f>
        <v>+2 Armor</v>
      </c>
      <c r="X4" s="101" t="str">
        <f>"+"&amp;ROUND(MAIN!$E$55*$C$2*$K$2/5*$U$4,0)&amp;" "&amp;$I$2</f>
        <v>+3 Armor</v>
      </c>
      <c r="Y4" s="101" t="str">
        <f>"+"&amp;ROUND(MAIN!$F$55*$C$2*$K$2/5*$U$4,0)&amp;" "&amp;$I$2</f>
        <v>+4 Armor</v>
      </c>
      <c r="Z4" s="101" t="str">
        <f>"+"&amp;ROUND(MAIN!$G$55*$C$2*$K$2/5*$U$4,0)&amp;" "&amp;$I$2</f>
        <v>+7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101">
        <v>2</v>
      </c>
      <c r="V5" s="101" t="str">
        <f>"+"&amp;ROUND(MAIN!$C$55*$C$2*$K$2/5*$U$5,0)&amp;" "&amp;$I$2</f>
        <v>+2 Armor</v>
      </c>
      <c r="W5" s="101" t="str">
        <f>"+"&amp;ROUND(MAIN!$D$55*$C$2*$K$2/5*$U$5,0)&amp;" "&amp;$I$2</f>
        <v>+3 Armor</v>
      </c>
      <c r="X5" s="101" t="str">
        <f>"+"&amp;ROUND(MAIN!$E$55*$C$2*$K$2/5*$U$5,0)&amp;" "&amp;$I$2</f>
        <v>+5 Armor</v>
      </c>
      <c r="Y5" s="101" t="str">
        <f>"+"&amp;ROUND(MAIN!$F$55*$C$2*$K$2/5*$U$5,0)&amp;" "&amp;$I$2</f>
        <v>+9 Armor</v>
      </c>
      <c r="Z5" s="101" t="str">
        <f>"+"&amp;ROUND(MAIN!$G$55*$C$2*$K$2/5*$U$5,0)&amp;" "&amp;$I$2</f>
        <v>+15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+3 Armor</v>
      </c>
      <c r="W6" s="101" t="str">
        <f>"+"&amp;ROUND(MAIN!$D$55*$C$2*$K$2/5*$U$6,0)&amp;" "&amp;$I$2</f>
        <v>+5 Armor</v>
      </c>
      <c r="X6" s="101" t="str">
        <f>"+"&amp;ROUND(MAIN!$E$55*$C$2*$K$2/5*$U$6,0)&amp;" "&amp;$I$2</f>
        <v>+8 Armor</v>
      </c>
      <c r="Y6" s="101" t="str">
        <f>"+"&amp;ROUND(MAIN!$F$55*$C$2*$K$2/5*$U$6,0)&amp;" "&amp;$I$2</f>
        <v>+13 Armor</v>
      </c>
      <c r="Z6" s="101" t="str">
        <f>"+"&amp;ROUND(MAIN!$G$55*$C$2*$K$2/5*$U$6,0)&amp;" "&amp;$I$2</f>
        <v>+22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+4 Armor</v>
      </c>
      <c r="W7" s="101" t="str">
        <f>"+"&amp;ROUND(MAIN!$D$55*$C$2*$K$2/5*$U$7,0)&amp;" "&amp;$I$2</f>
        <v>+6 Armor</v>
      </c>
      <c r="X7" s="101" t="str">
        <f>"+"&amp;ROUND(MAIN!$E$55*$C$2*$K$2/5*$U$7,0)&amp;" "&amp;$I$2</f>
        <v>+10 Armor</v>
      </c>
      <c r="Y7" s="101" t="str">
        <f>"+"&amp;ROUND(MAIN!$F$55*$C$2*$K$2/5*$U$7,0)&amp;" "&amp;$I$2</f>
        <v>+18 Armor</v>
      </c>
      <c r="Z7" s="101" t="str">
        <f>"+"&amp;ROUND(MAIN!$G$55*$C$2*$K$2/5*$U$7,0)&amp;" "&amp;$I$2</f>
        <v>+30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+5 Armor</v>
      </c>
      <c r="W8" s="101" t="str">
        <f>"+"&amp;ROUND(MAIN!$D$55*$C$2*$K$2/5*$U$8,0)&amp;" "&amp;$I$2</f>
        <v>+8 Armor</v>
      </c>
      <c r="X8" s="101" t="str">
        <f>"+"&amp;ROUND(MAIN!$E$55*$C$2*$K$2/5*$U$8,0)&amp;" "&amp;$I$2</f>
        <v>+13 Armor</v>
      </c>
      <c r="Y8" s="101" t="str">
        <f>"+"&amp;ROUND(MAIN!$F$55*$C$2*$K$2/5*$U$8,0)&amp;" "&amp;$I$2</f>
        <v>+22 Armor</v>
      </c>
      <c r="Z8" s="101" t="str">
        <f>"+"&amp;ROUND(MAIN!$G$55*$C$2*$K$2/5*$U$8,0)&amp;" "&amp;$I$2</f>
        <v>+37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&amp;6"&amp;(MAIN!$F$2+(MAIN!$C$18+MAIN!$C$19)/2*MAIN!$B$9+(MAIN!$C$20+MAIN!$C$21)/2*MAIN!$B$8+(MAIN!$C$58*MAIN!$B$11)+($C$2*MAIN!$B$10))/10&amp;" &amp;aAlmakos'"</f>
        <v xml:space="preserve">  - '&amp;aVenta: &amp;650.5 &amp;aAlmakos'</v>
      </c>
      <c r="B21" s="20"/>
      <c r="C21" s="20"/>
      <c r="D21" s="20"/>
      <c r="E21" s="20" t="str">
        <f>"  - '&amp;aVenta: &amp;6"&amp;(MAIN!$G$2+(MAIN!$C$18+MAIN!$C$19)/2*MAIN!$B$9+(MAIN!$C$20+MAIN!$C$21)/2*MAIN!$B$8+(MAIN!$C$58*MAIN!$B$11)+($C$2*MAIN!$B$10))/10&amp;" &amp;aAlmakos'"</f>
        <v xml:space="preserve">  - '&amp;aVenta: &amp;651.5 &amp;aAlmakos'</v>
      </c>
      <c r="F21" s="20"/>
      <c r="G21" s="20"/>
      <c r="H21" s="20"/>
      <c r="I21" s="20" t="str">
        <f>"  - '&amp;aVenta: &amp;6"&amp;(MAIN!$H$2+(MAIN!$C$18+MAIN!$C$19)/2*MAIN!$B$9+(MAIN!$C$20+MAIN!$C$21)/2*MAIN!$B$8+(MAIN!$C$58*MAIN!$B$11)+($C$2*MAIN!$B$10))/10&amp;" &amp;aAlmakos'"</f>
        <v xml:space="preserve">  - '&amp;aVenta: &amp;652.5 &amp;aAlmakos'</v>
      </c>
      <c r="J21" s="20"/>
      <c r="K21" s="20"/>
      <c r="L21" s="20"/>
      <c r="M21" s="20" t="str">
        <f>"  - '&amp;aVenta: &amp;6"&amp;(MAIN!$I$2+(MAIN!$C$18+MAIN!$C$19)/2*MAIN!$B$9+(MAIN!$C$20+MAIN!$C$21)/2*MAIN!$B$8+(MAIN!$C$58*MAIN!$B$11)+($C$2*MAIN!$B$10))/10&amp;" &amp;aAlmakos'"</f>
        <v xml:space="preserve">  - '&amp;aVenta: &amp;653.5 &amp;aAlmakos'</v>
      </c>
      <c r="N21" s="20"/>
      <c r="O21" s="20"/>
      <c r="P21" s="20"/>
      <c r="Q21" s="20" t="str">
        <f>"  - '&amp;aVenta: &amp;6"&amp;(MAIN!$J$2+(MAIN!$C$18+MAIN!$C$19)/2*MAIN!$B$9+(MAIN!$C$20+MAIN!$C$21)/2*MAIN!$B$8+(MAIN!$C$58*MAIN!$B$11)+($C$2*MAIN!$B$10))/10&amp;" &amp;aAlmakos'"</f>
        <v xml:space="preserve">  - '&amp;aVenta: &amp;655.5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row>
    <row r="46" spans="1:20">
      <c r="A46" s="8"/>
    </row>
    <row r="47" spans="1:20">
      <c r="A47" s="8"/>
      <c r="E47" s="13"/>
      <c r="F47" s="13"/>
    </row>
    <row r="48" spans="1:20">
      <c r="A48" s="8"/>
      <c r="D48" s="13"/>
      <c r="E48" s="13"/>
      <c r="F48" s="13"/>
    </row>
    <row r="49" spans="1:17">
      <c r="A49" s="8"/>
      <c r="D49" s="13"/>
      <c r="E49" s="13"/>
      <c r="F49" s="13"/>
    </row>
    <row r="50" spans="1:17">
      <c r="A50" s="8"/>
      <c r="D50" s="13"/>
      <c r="E50" s="13"/>
      <c r="F50" s="13"/>
    </row>
    <row r="51" spans="1:17">
      <c r="A51" s="8"/>
      <c r="D51" s="13"/>
      <c r="G51" s="13"/>
      <c r="H51" s="13"/>
      <c r="I51" s="13"/>
    </row>
    <row r="52" spans="1:17">
      <c r="A52" s="8"/>
      <c r="B52" s="8"/>
      <c r="C52" s="8"/>
      <c r="D52" s="8"/>
      <c r="G52" s="13"/>
      <c r="H52" s="13"/>
      <c r="I52" s="13"/>
    </row>
    <row r="53" spans="1:17">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c r="A54" s="8"/>
      <c r="B54" s="8"/>
      <c r="C54" s="8"/>
      <c r="D54" s="8"/>
      <c r="G54" s="13"/>
      <c r="H54" s="13"/>
      <c r="I54" s="13"/>
    </row>
    <row r="55" spans="1:17">
      <c r="A55" s="8"/>
      <c r="B55" s="8"/>
      <c r="C55" s="8"/>
      <c r="D55" s="8"/>
    </row>
    <row r="56" spans="1:17">
      <c r="A56" s="8"/>
      <c r="B56" s="8"/>
      <c r="C56" s="8"/>
      <c r="D56" s="8"/>
    </row>
    <row r="57" spans="1:17">
      <c r="A57" s="8"/>
      <c r="B57" s="8"/>
      <c r="C57" s="8"/>
      <c r="D57" s="8"/>
    </row>
    <row r="58" spans="1:17">
      <c r="A58" s="8"/>
      <c r="B58" s="8"/>
      <c r="C58" s="8"/>
      <c r="D58" s="8"/>
    </row>
    <row r="59" spans="1:17">
      <c r="A59" s="8"/>
      <c r="B59" s="8"/>
      <c r="C59" s="8"/>
      <c r="D59" s="8"/>
    </row>
    <row r="60" spans="1:17">
      <c r="A60" s="8"/>
      <c r="B60" s="8"/>
      <c r="C60" s="8"/>
      <c r="D60" s="8"/>
    </row>
    <row r="61" spans="1:17">
      <c r="A61" s="8"/>
      <c r="B61" s="8"/>
      <c r="C61" s="8"/>
      <c r="D61" s="8"/>
    </row>
    <row r="62" spans="1:17">
      <c r="A62" s="8"/>
      <c r="B62" s="8"/>
      <c r="C62" s="8"/>
      <c r="D62" s="8"/>
    </row>
    <row r="63" spans="1:17">
      <c r="A63" s="8"/>
      <c r="B63" s="8"/>
      <c r="C63" s="8"/>
      <c r="D63" s="8"/>
    </row>
    <row r="64" spans="1:17">
      <c r="A64" s="8"/>
      <c r="B64" s="8"/>
      <c r="C64" s="8"/>
      <c r="D64" s="8"/>
    </row>
    <row r="65" spans="1:17">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c r="A66" s="8"/>
      <c r="B66" s="8"/>
      <c r="C66" s="8"/>
      <c r="D66" s="8"/>
    </row>
    <row r="67" spans="1:17">
      <c r="A67" s="8"/>
      <c r="B67" s="8"/>
      <c r="C67" s="8"/>
      <c r="D67" s="8"/>
    </row>
    <row r="68" spans="1:17">
      <c r="A68" s="8"/>
      <c r="B68" s="8"/>
      <c r="C68" s="8"/>
      <c r="D68" s="8"/>
    </row>
    <row r="69" spans="1:17">
      <c r="A69" s="8"/>
      <c r="B69" s="8"/>
      <c r="C69" s="8"/>
      <c r="D69" s="8"/>
    </row>
    <row r="70" spans="1:17">
      <c r="A70" s="8"/>
      <c r="B70" s="8"/>
      <c r="C70" s="8"/>
      <c r="D70" s="8"/>
    </row>
    <row r="71" spans="1:17">
      <c r="A71" s="8"/>
      <c r="B71" s="8"/>
      <c r="C71" s="8"/>
      <c r="D71" s="8"/>
    </row>
    <row r="72" spans="1:17">
      <c r="A72" s="8"/>
      <c r="B72" s="8"/>
      <c r="C72" s="8"/>
      <c r="D72" s="8"/>
    </row>
    <row r="73" spans="1:17">
      <c r="A73" s="8"/>
      <c r="B73" s="8"/>
      <c r="C73" s="8"/>
      <c r="D73" s="8"/>
    </row>
    <row r="74" spans="1:17">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c r="A75" s="8"/>
      <c r="B75" s="8"/>
      <c r="C75" s="8"/>
      <c r="D75" s="8"/>
    </row>
    <row r="76" spans="1:17">
      <c r="A76" s="8"/>
      <c r="B76" s="8"/>
      <c r="C76" s="8"/>
      <c r="D76" s="8"/>
    </row>
    <row r="77" spans="1:17">
      <c r="A77" s="8"/>
      <c r="B77" s="8"/>
      <c r="C77" s="8"/>
      <c r="D77" s="8"/>
    </row>
    <row r="78" spans="1:17">
      <c r="A78" s="8"/>
      <c r="B78" s="8"/>
      <c r="C78" s="8"/>
      <c r="D78" s="8"/>
    </row>
    <row r="79" spans="1:17">
      <c r="A79" s="8"/>
      <c r="B79" s="8"/>
      <c r="C79" s="8"/>
      <c r="D79" s="8"/>
    </row>
    <row r="80" spans="1:17">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6"/>
  <dimension ref="A1:Z148"/>
  <sheetViews>
    <sheetView workbookViewId="0">
      <selection activeCell="A35" sqref="A35"/>
    </sheetView>
  </sheetViews>
  <sheetFormatPr baseColWidth="10" defaultRowHeight="15"/>
  <sheetData>
    <row r="1" spans="1:26" ht="30.75" customHeight="1">
      <c r="A1" s="243" t="s">
        <v>19</v>
      </c>
      <c r="B1" s="243"/>
      <c r="C1" s="243" t="s">
        <v>70</v>
      </c>
      <c r="D1" s="243"/>
      <c r="E1" s="243" t="s">
        <v>80</v>
      </c>
      <c r="F1" s="243"/>
      <c r="G1" s="243" t="s">
        <v>89</v>
      </c>
      <c r="H1" s="243"/>
      <c r="I1" s="243" t="s">
        <v>283</v>
      </c>
      <c r="J1" s="243"/>
      <c r="K1" s="243" t="s">
        <v>285</v>
      </c>
      <c r="L1" s="243"/>
    </row>
    <row r="2" spans="1:26">
      <c r="A2" s="195" t="s">
        <v>36</v>
      </c>
      <c r="B2" s="195"/>
      <c r="C2" s="195">
        <f>'ECONOMIA &amp; PROFESIONES'!$N$3</f>
        <v>1</v>
      </c>
      <c r="D2" s="195"/>
      <c r="E2" s="195" t="s">
        <v>81</v>
      </c>
      <c r="F2" s="195"/>
      <c r="G2" s="195" t="s">
        <v>90</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&amp;6"&amp;(MAIN!$F$3+(MAIN!$C$18+MAIN!$C$19)/2*MAIN!$B$9+(MAIN!$C$20+MAIN!$C$21)/2*MAIN!$B$8+(MAIN!$C$69*MAIN!$B$11)+($C$2*MAIN!$B$10))/10&amp;" &amp;aAlmakos'"</f>
        <v xml:space="preserve">  - '&amp;aVenta: &amp;650.8 &amp;aAlmakos'</v>
      </c>
      <c r="B21" s="20"/>
      <c r="C21" s="20"/>
      <c r="D21" s="20"/>
      <c r="E21" s="20" t="str">
        <f>"  - '&amp;aVenta: &amp;6"&amp;(MAIN!$G$3+(MAIN!$C$18+MAIN!$C$19)/2*MAIN!$B$9+(MAIN!$C$20+MAIN!$C$21)/2*MAIN!$B$8+(MAIN!$C$69*MAIN!$B$11)+($C$2*MAIN!$B$10))/10&amp;" &amp;aAlmakos'"</f>
        <v xml:space="preserve">  - '&amp;aVenta: &amp;652.4 &amp;aAlmakos'</v>
      </c>
      <c r="F21" s="20"/>
      <c r="G21" s="20"/>
      <c r="H21" s="20"/>
      <c r="I21" s="20" t="str">
        <f>"  - '&amp;aVenta: &amp;6"&amp;(MAIN!$H$3+(MAIN!$C$18+MAIN!$C$19)/2*MAIN!$B$9+(MAIN!$C$20+MAIN!$C$21)/2*MAIN!$B$8+(MAIN!$C$69*MAIN!$B$11)+($C$2*MAIN!$B$10))/10&amp;" &amp;aAlmakos'"</f>
        <v xml:space="preserve">  - '&amp;aVenta: &amp;654 &amp;aAlmakos'</v>
      </c>
      <c r="J21" s="20"/>
      <c r="K21" s="20"/>
      <c r="L21" s="20"/>
      <c r="M21" s="20" t="str">
        <f>"  - '&amp;aVenta: &amp;6"&amp;(MAIN!$I$3+(MAIN!$C$18+MAIN!$C$19)/2*MAIN!$B$9+(MAIN!$C$20+MAIN!$C$21)/2*MAIN!$B$8+(MAIN!$C$69*MAIN!$B$11)+($C$2*MAIN!$B$10))/10&amp;" &amp;aAlmakos'"</f>
        <v xml:space="preserve">  - '&amp;aVenta: &amp;655.6 &amp;aAlmakos'</v>
      </c>
      <c r="N21" s="20"/>
      <c r="O21" s="20"/>
      <c r="P21" s="20"/>
      <c r="Q21" s="20" t="str">
        <f>"  - '&amp;aVenta: &amp;6"&amp;(MAIN!$J$3+(MAIN!$C$18+MAIN!$C$19)/2*MAIN!$B$9+(MAIN!$C$20+MAIN!$C$21)/2*MAIN!$B$8+(MAIN!$C$69*MAIN!$B$11)+($C$2*MAIN!$B$10))/10&amp;" &amp;aAlmakos'"</f>
        <v xml:space="preserve">  - '&amp;aVenta: &amp;658.8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6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8"/>
    </row>
    <row r="48" spans="1:20">
      <c r="A48" s="8"/>
      <c r="E48" s="13"/>
      <c r="F48" s="13"/>
    </row>
    <row r="49" spans="1:9">
      <c r="A49" s="8"/>
      <c r="D49" s="13"/>
      <c r="E49" s="13"/>
      <c r="F49" s="13"/>
    </row>
    <row r="50" spans="1:9">
      <c r="A50" s="8"/>
      <c r="D50" s="13"/>
      <c r="E50" s="13"/>
      <c r="F50" s="13"/>
    </row>
    <row r="51" spans="1:9">
      <c r="A51" s="8"/>
      <c r="D51" s="13"/>
      <c r="G51" s="13"/>
      <c r="H51" s="13"/>
      <c r="I51" s="13"/>
    </row>
    <row r="52" spans="1:9">
      <c r="A52" s="8"/>
      <c r="B52" s="8"/>
      <c r="C52" s="8"/>
      <c r="D52" s="8"/>
      <c r="G52" s="13"/>
      <c r="H52" s="13"/>
      <c r="I52" s="13"/>
    </row>
    <row r="53" spans="1:9">
      <c r="A53" s="8"/>
      <c r="B53" s="8"/>
      <c r="C53" s="8"/>
      <c r="D53" s="8"/>
      <c r="G53" s="13"/>
      <c r="H53" s="13"/>
      <c r="I53" s="13"/>
    </row>
    <row r="54" spans="1:9">
      <c r="A54" s="8"/>
      <c r="B54" s="8"/>
      <c r="C54" s="8"/>
      <c r="D54" s="8"/>
      <c r="G54" s="13"/>
      <c r="H54" s="13"/>
      <c r="I54" s="13"/>
    </row>
    <row r="55" spans="1:9">
      <c r="A55" s="8"/>
      <c r="B55" s="8"/>
      <c r="C55" s="8"/>
      <c r="D55" s="8"/>
      <c r="G55" s="13"/>
      <c r="H55" s="13"/>
      <c r="I55" s="13"/>
    </row>
    <row r="56" spans="1:9">
      <c r="A56" s="8"/>
      <c r="B56" s="8"/>
      <c r="C56" s="8"/>
      <c r="D56" s="8"/>
    </row>
    <row r="57" spans="1:9">
      <c r="A57" s="8"/>
      <c r="B57" s="8"/>
      <c r="C57" s="8"/>
      <c r="D57" s="8"/>
    </row>
    <row r="58" spans="1:9">
      <c r="A58" s="8"/>
      <c r="B58" s="8"/>
      <c r="C58" s="8"/>
      <c r="D58" s="8"/>
    </row>
    <row r="59" spans="1:9">
      <c r="A59" s="8"/>
      <c r="B59" s="8"/>
      <c r="C59" s="8"/>
      <c r="D59" s="8"/>
    </row>
    <row r="60" spans="1:9">
      <c r="A60" s="8"/>
      <c r="B60" s="8"/>
      <c r="C60" s="8"/>
      <c r="D60" s="8"/>
    </row>
    <row r="61" spans="1:9">
      <c r="A61" s="8"/>
      <c r="B61" s="8"/>
      <c r="C61" s="8"/>
      <c r="D61" s="8"/>
    </row>
    <row r="62" spans="1:9">
      <c r="A62" s="8"/>
      <c r="B62" s="8"/>
      <c r="C62" s="8"/>
      <c r="D62" s="8"/>
    </row>
    <row r="63" spans="1:9">
      <c r="A63" s="8"/>
      <c r="B63" s="8"/>
      <c r="C63" s="8"/>
      <c r="D63" s="8"/>
    </row>
    <row r="64" spans="1:9">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7"/>
  <dimension ref="A1:Z148"/>
  <sheetViews>
    <sheetView topLeftCell="A22" workbookViewId="0">
      <selection activeCell="A38" sqref="A38:XFD40"/>
    </sheetView>
  </sheetViews>
  <sheetFormatPr baseColWidth="10" defaultRowHeight="15"/>
  <sheetData>
    <row r="1" spans="1:26" ht="30.75" customHeight="1">
      <c r="A1" s="243" t="s">
        <v>19</v>
      </c>
      <c r="B1" s="243"/>
      <c r="C1" s="243" t="s">
        <v>70</v>
      </c>
      <c r="D1" s="243"/>
      <c r="E1" s="243" t="s">
        <v>80</v>
      </c>
      <c r="F1" s="243"/>
      <c r="G1" s="243" t="s">
        <v>89</v>
      </c>
      <c r="H1" s="243"/>
      <c r="I1" s="243" t="s">
        <v>283</v>
      </c>
      <c r="J1" s="243"/>
      <c r="K1" s="243" t="s">
        <v>285</v>
      </c>
      <c r="L1" s="243"/>
    </row>
    <row r="2" spans="1:26">
      <c r="A2" s="195" t="s">
        <v>36</v>
      </c>
      <c r="B2" s="195"/>
      <c r="C2" s="195">
        <f>'ECONOMIA &amp; PROFESIONES'!$N$3</f>
        <v>1</v>
      </c>
      <c r="D2" s="195"/>
      <c r="E2" s="195" t="s">
        <v>81</v>
      </c>
      <c r="F2" s="195"/>
      <c r="G2" s="195" t="s">
        <v>90</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&amp;6"&amp;(MAIN!$F$4+(MAIN!$C$18+MAIN!$C$19)/2*MAIN!$B$9+(MAIN!$C$20+MAIN!$C$21)/2*MAIN!$B$8+(MAIN!$C$80*MAIN!$B$11)+($C$2*MAIN!$B$10))/10&amp;" &amp;aAlmakos'"</f>
        <v xml:space="preserve">  - '&amp;aVenta: &amp;650.7 &amp;aAlmakos'</v>
      </c>
      <c r="B21" s="20"/>
      <c r="C21" s="20"/>
      <c r="D21" s="20"/>
      <c r="E21" s="20" t="str">
        <f>"  - '&amp;aVenta: &amp;6"&amp;(MAIN!$G$4+(MAIN!$C$18+MAIN!$C$19)/2*MAIN!$B$9+(MAIN!$C$20+MAIN!$C$21)/2*MAIN!$B$8+(MAIN!$C$80*MAIN!$B$11)+($C$2*MAIN!$B$10))/10&amp;" &amp;aAlmakos'"</f>
        <v xml:space="preserve">  - '&amp;aVenta: &amp;652.1 &amp;aAlmakos'</v>
      </c>
      <c r="F21" s="20"/>
      <c r="G21" s="20"/>
      <c r="H21" s="20"/>
      <c r="I21" s="20" t="str">
        <f>"  - '&amp;aVenta: &amp;6"&amp;(MAIN!$H$4+(MAIN!$C$18+MAIN!$C$19)/2*MAIN!$B$9+(MAIN!$C$20+MAIN!$C$21)/2*MAIN!$B$8+(MAIN!$C$80*MAIN!$B$11)+($C$2*MAIN!$B$10))/10&amp;" &amp;aAlmakos'"</f>
        <v xml:space="preserve">  - '&amp;aVenta: &amp;653.5 &amp;aAlmakos'</v>
      </c>
      <c r="J21" s="20"/>
      <c r="K21" s="20"/>
      <c r="L21" s="20"/>
      <c r="M21" s="20" t="str">
        <f>"  - '&amp;aVenta: &amp;6"&amp;(MAIN!$I$4+(MAIN!$C$18+MAIN!$C$19)/2*MAIN!$B$9+(MAIN!$C$20+MAIN!$C$21)/2*MAIN!$B$8+(MAIN!$C$80*MAIN!$B$11)+($C$2*MAIN!$B$10))/10&amp;" &amp;aAlmakos'"</f>
        <v xml:space="preserve">  - '&amp;aVenta: &amp;654.9 &amp;aAlmakos'</v>
      </c>
      <c r="N21" s="20"/>
      <c r="O21" s="20"/>
      <c r="P21" s="20"/>
      <c r="Q21" s="20" t="str">
        <f>"  - '&amp;aVenta: &amp;6"&amp;(MAIN!$J$4+(MAIN!$C$18+MAIN!$C$19)/2*MAIN!$B$9+(MAIN!$C$20+MAIN!$C$21)/2*MAIN!$B$8+(MAIN!$C$80*MAIN!$B$11)+($C$2*MAIN!$B$10))/10&amp;" &amp;aAlmakos'"</f>
        <v xml:space="preserve">  - '&amp;aVenta: &amp;657.7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A3:D3"/>
    <mergeCell ref="E3:H3"/>
    <mergeCell ref="I3:L3"/>
    <mergeCell ref="I1:J1"/>
    <mergeCell ref="A1:B1"/>
    <mergeCell ref="C1:D1"/>
    <mergeCell ref="E1:F1"/>
    <mergeCell ref="A2:B2"/>
    <mergeCell ref="C2:D2"/>
    <mergeCell ref="E2:F2"/>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8"/>
  <dimension ref="A1:Z148"/>
  <sheetViews>
    <sheetView topLeftCell="A22" workbookViewId="0">
      <selection activeCell="A38" sqref="A38:XFD40"/>
    </sheetView>
  </sheetViews>
  <sheetFormatPr baseColWidth="10" defaultRowHeight="15"/>
  <sheetData>
    <row r="1" spans="1:26" ht="30.75" customHeight="1">
      <c r="A1" s="243" t="s">
        <v>19</v>
      </c>
      <c r="B1" s="243"/>
      <c r="C1" s="243" t="s">
        <v>70</v>
      </c>
      <c r="D1" s="243"/>
      <c r="E1" s="243" t="s">
        <v>80</v>
      </c>
      <c r="F1" s="243"/>
      <c r="G1" s="243" t="s">
        <v>89</v>
      </c>
      <c r="H1" s="243"/>
      <c r="I1" s="243" t="s">
        <v>283</v>
      </c>
      <c r="J1" s="243"/>
      <c r="K1" s="243" t="s">
        <v>285</v>
      </c>
      <c r="L1" s="243"/>
    </row>
    <row r="2" spans="1:26">
      <c r="A2" s="195" t="s">
        <v>36</v>
      </c>
      <c r="B2" s="195"/>
      <c r="C2" s="195">
        <f>'ECONOMIA &amp; PROFESIONES'!$N$3</f>
        <v>1</v>
      </c>
      <c r="D2" s="195"/>
      <c r="E2" s="195" t="s">
        <v>81</v>
      </c>
      <c r="F2" s="195"/>
      <c r="G2" s="195" t="s">
        <v>90</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&amp;6"&amp;(MAIN!$F$5+(MAIN!$C$18+MAIN!$C$19)/2*MAIN!$B$9+(MAIN!$C$20+MAIN!$C$21)/2*MAIN!$B$8+(MAIN!$C$91*MAIN!$B$11)+($C$2*MAIN!$B$10))/10&amp;" &amp;aAlmakos'"</f>
        <v xml:space="preserve">  - '&amp;aVenta: &amp;650.4 &amp;aAlmakos'</v>
      </c>
      <c r="B21" s="20"/>
      <c r="C21" s="20"/>
      <c r="D21" s="20"/>
      <c r="E21" s="20" t="str">
        <f>"  - '&amp;aVenta: &amp;6"&amp;(MAIN!$G$5+(MAIN!$C$18+MAIN!$C$19)/2*MAIN!$B$9+(MAIN!$C$20+MAIN!$C$21)/2*MAIN!$B$8+(MAIN!$C$91*MAIN!$B$11)+($C$2*MAIN!$B$10))/10&amp;" &amp;aAlmakos'"</f>
        <v xml:space="preserve">  - '&amp;aVenta: &amp;651.2 &amp;aAlmakos'</v>
      </c>
      <c r="F21" s="20"/>
      <c r="G21" s="20"/>
      <c r="H21" s="20"/>
      <c r="I21" s="20" t="str">
        <f>"  - '&amp;aVenta: &amp;6"&amp;(MAIN!$H$5+(MAIN!$C$18+MAIN!$C$19)/2*MAIN!$B$9+(MAIN!$C$20+MAIN!$C$21)/2*MAIN!$B$8+(MAIN!$C$91*MAIN!$B$11)+($C$2*MAIN!$B$10))/10&amp;" &amp;aAlmakos'"</f>
        <v xml:space="preserve">  - '&amp;aVenta: &amp;652 &amp;aAlmakos'</v>
      </c>
      <c r="J21" s="20"/>
      <c r="K21" s="20"/>
      <c r="L21" s="20"/>
      <c r="M21" s="20" t="str">
        <f>"  - '&amp;aVenta: &amp;6"&amp;(MAIN!$I$5+(MAIN!$C$18+MAIN!$C$19)/2*MAIN!$B$9+(MAIN!$C$20+MAIN!$C$21)/2*MAIN!$B$8+(MAIN!$C$91*MAIN!$B$11)+($C$2*MAIN!$B$10))/10&amp;" &amp;aAlmakos'"</f>
        <v xml:space="preserve">  - '&amp;aVenta: &amp;652.8 &amp;aAlmakos'</v>
      </c>
      <c r="N21" s="20"/>
      <c r="O21" s="20"/>
      <c r="P21" s="20"/>
      <c r="Q21" s="20" t="str">
        <f>"  - '&amp;aVenta: &amp;6"&amp;(MAIN!$J$5+(MAIN!$C$18+MAIN!$C$19)/2*MAIN!$B$9+(MAIN!$C$20+MAIN!$C$21)/2*MAIN!$B$8+(MAIN!$C$91*MAIN!$B$11)+($C$2*MAIN!$B$10))/10&amp;" &amp;aAlmakos'"</f>
        <v xml:space="preserve">  - '&amp;aVenta: &amp;654.4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9"/>
  <dimension ref="A1:Z170"/>
  <sheetViews>
    <sheetView topLeftCell="T1" workbookViewId="0">
      <selection activeCell="Z4" sqref="Z4:Z8"/>
    </sheetView>
  </sheetViews>
  <sheetFormatPr baseColWidth="10" defaultColWidth="11.42578125" defaultRowHeight="15"/>
  <cols>
    <col min="1" max="21" width="11.42578125" style="16"/>
    <col min="22" max="22" width="14" style="16" customWidth="1"/>
    <col min="23" max="16384" width="11.42578125" style="16"/>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100</v>
      </c>
      <c r="B2" s="195"/>
      <c r="C2" s="195">
        <f>'ECONOMIA &amp; PROFESIONES'!$O$3</f>
        <v>3</v>
      </c>
      <c r="D2" s="195"/>
      <c r="E2" s="195" t="s">
        <v>81</v>
      </c>
      <c r="F2" s="195"/>
      <c r="G2" s="195" t="s">
        <v>97</v>
      </c>
      <c r="H2" s="195"/>
      <c r="I2" s="195" t="str">
        <f>MAIN!$J$42</f>
        <v>&amp;4Poder de Arma:</v>
      </c>
      <c r="J2" s="195"/>
      <c r="K2" s="195">
        <f>MAIN!$L$42</f>
        <v>2</v>
      </c>
      <c r="L2" s="195"/>
    </row>
    <row r="3" spans="1:26" ht="29.25" customHeight="1">
      <c r="A3" s="249" t="s">
        <v>7</v>
      </c>
      <c r="B3" s="249"/>
      <c r="C3" s="249"/>
      <c r="D3" s="249"/>
      <c r="E3" s="249" t="s">
        <v>8</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$I$2&amp;" "&amp;ROUND(MAIN!$C$44*$C$2*$K$2/5*$U$4,0)</f>
        <v>&amp;4Poder de Arma: 2</v>
      </c>
      <c r="W4" s="101" t="str">
        <f>$I$2&amp;" "&amp;ROUND(MAIN!$D$44*$C$2*$K$2/5*$U$4,0)</f>
        <v>&amp;4Poder de Arma: 7</v>
      </c>
      <c r="X4" s="101" t="str">
        <f>$I$2&amp;" "&amp;ROUND(MAIN!$E$44*$C$2*$K$2/5*$U$4,0)</f>
        <v>&amp;4Poder de Arma: 22</v>
      </c>
      <c r="Y4" s="101" t="str">
        <f>$I$2&amp;" "&amp;ROUND(MAIN!$F$44*$C$2*$K$2/5*$U$4,0)</f>
        <v>&amp;4Poder de Arma: 65</v>
      </c>
      <c r="Z4" s="101" t="str">
        <f>$I$2&amp;" "&amp;ROUND(MAIN!$G$44*$C$2*$K$2/5*$U$4,0)</f>
        <v>&amp;4Poder de Arma: 194</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$I$2&amp;" "&amp;ROUND(MAIN!$C$44*$C$2*$K$2/5*$U$5,0)</f>
        <v>&amp;4Poder de Arma: 5</v>
      </c>
      <c r="W5" s="101" t="str">
        <f>$I$2&amp;" "&amp;ROUND(MAIN!$D$44*$C$2*$K$2/5*$U$5,0)</f>
        <v>&amp;4Poder de Arma: 14</v>
      </c>
      <c r="X5" s="101" t="str">
        <f>$I$2&amp;" "&amp;ROUND(MAIN!$E$44*$C$2*$K$2/5*$U$5,0)</f>
        <v>&amp;4Poder de Arma: 43</v>
      </c>
      <c r="Y5" s="101" t="str">
        <f>$I$2&amp;" "&amp;ROUND(MAIN!$F$44*$C$2*$K$2/5*$U$5,0)</f>
        <v>&amp;4Poder de Arma: 130</v>
      </c>
      <c r="Z5" s="101" t="str">
        <f>$I$2&amp;" "&amp;ROUND(MAIN!$G$44*$C$2*$K$2/5*$U$5,0)</f>
        <v>&amp;4Poder de Arma: 389</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7</v>
      </c>
      <c r="W6" s="101" t="str">
        <f>$I$2&amp;" "&amp;ROUND(MAIN!$D$44*$C$2*$K$2/5*$U$6,0)</f>
        <v>&amp;4Poder de Arma: 22</v>
      </c>
      <c r="X6" s="101" t="str">
        <f>$I$2&amp;" "&amp;ROUND(MAIN!$E$44*$C$2*$K$2/5*$U$6,0)</f>
        <v>&amp;4Poder de Arma: 65</v>
      </c>
      <c r="Y6" s="101" t="str">
        <f>$I$2&amp;" "&amp;ROUND(MAIN!$F$44*$C$2*$K$2/5*$U$6,0)</f>
        <v>&amp;4Poder de Arma: 194</v>
      </c>
      <c r="Z6" s="101" t="str">
        <f>$I$2&amp;" "&amp;ROUND(MAIN!$G$44*$C$2*$K$2/5*$U$6,0)</f>
        <v>&amp;4Poder de Arma: 583</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10</v>
      </c>
      <c r="W7" s="101" t="str">
        <f>$I$2&amp;" "&amp;ROUND(MAIN!$D$44*$C$2*$K$2/5*$U$7,0)</f>
        <v>&amp;4Poder de Arma: 29</v>
      </c>
      <c r="X7" s="101" t="str">
        <f>$I$2&amp;" "&amp;ROUND(MAIN!$E$44*$C$2*$K$2/5*$U$7,0)</f>
        <v>&amp;4Poder de Arma: 86</v>
      </c>
      <c r="Y7" s="101" t="str">
        <f>$I$2&amp;" "&amp;ROUND(MAIN!$F$44*$C$2*$K$2/5*$U$7,0)</f>
        <v>&amp;4Poder de Arma: 259</v>
      </c>
      <c r="Z7" s="101" t="str">
        <f>$I$2&amp;" "&amp;ROUND(MAIN!$G$44*$C$2*$K$2/5*$U$7,0)</f>
        <v>&amp;4Poder de Arma: 778</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12</v>
      </c>
      <c r="W8" s="101" t="str">
        <f>$I$2&amp;" "&amp;ROUND(MAIN!$D$44*$C$2*$K$2/5*$U$8,0)</f>
        <v>&amp;4Poder de Arma: 36</v>
      </c>
      <c r="X8" s="101" t="str">
        <f>$I$2&amp;" "&amp;ROUND(MAIN!$E$44*$C$2*$K$2/5*$U$8,0)</f>
        <v>&amp;4Poder de Arma: 108</v>
      </c>
      <c r="Y8" s="101" t="str">
        <f>$I$2&amp;" "&amp;ROUND(MAIN!$F$44*$C$2*$K$2/5*$U$8,0)</f>
        <v>&amp;4Poder de Arma: 324</v>
      </c>
      <c r="Z8" s="101" t="str">
        <f>$I$2&amp;" "&amp;ROUND(MAIN!$G$44*$C$2*$K$2/5*$U$8,0)</f>
        <v>&amp;4Poder de Arma: 972</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c r="A39" s="9" t="s">
        <v>28</v>
      </c>
      <c r="B39" s="9"/>
      <c r="C39" s="9"/>
      <c r="D39" s="9"/>
      <c r="E39" s="9" t="s">
        <v>28</v>
      </c>
      <c r="F39" s="9"/>
      <c r="G39" s="9"/>
      <c r="H39" s="9"/>
      <c r="I39" s="9" t="s">
        <v>28</v>
      </c>
      <c r="J39" s="9"/>
      <c r="K39" s="9"/>
      <c r="L39" s="9"/>
      <c r="M39" s="9" t="s">
        <v>28</v>
      </c>
      <c r="N39" s="9"/>
      <c r="O39" s="9"/>
      <c r="P39" s="9"/>
      <c r="Q39" s="9" t="s">
        <v>28</v>
      </c>
      <c r="R39" s="9"/>
      <c r="S39" s="9"/>
      <c r="T39" s="9"/>
    </row>
    <row r="40" spans="1:20">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c r="A42" s="9" t="s">
        <v>29</v>
      </c>
      <c r="B42" s="9"/>
      <c r="C42" s="9"/>
      <c r="D42" s="9"/>
      <c r="E42" s="9" t="s">
        <v>29</v>
      </c>
      <c r="F42" s="9"/>
      <c r="G42" s="9"/>
      <c r="H42" s="9"/>
      <c r="I42" s="9" t="s">
        <v>29</v>
      </c>
      <c r="J42" s="9"/>
      <c r="K42" s="9"/>
      <c r="L42" s="9"/>
      <c r="M42" s="9" t="s">
        <v>29</v>
      </c>
      <c r="N42" s="9"/>
      <c r="O42" s="9"/>
      <c r="P42" s="9"/>
      <c r="Q42" s="9" t="s">
        <v>29</v>
      </c>
      <c r="R42" s="9"/>
      <c r="S42" s="9"/>
      <c r="T42" s="9"/>
    </row>
    <row r="43" spans="1:20">
      <c r="A43" s="20" t="str">
        <f>"  - '&amp;aVenta: &amp;6"&amp;(MAIN!$D$2+(MAIN!$D$18+MAIN!$D$19)/2*MAIN!$B$9+(MAIN!$D$20+MAIN!$D$21)/2*MAIN!$B$8+(MAIN!$D$47*MAIN!$B$11)+($C$2*MAIN!$B$10))/10&amp;" &amp;aAlmakos'"</f>
        <v xml:space="preserve">  - '&amp;aVenta: &amp;6205.2 &amp;aAlmakos'</v>
      </c>
      <c r="B43" s="20"/>
      <c r="C43" s="20"/>
      <c r="D43" s="20"/>
      <c r="E43" s="20" t="str">
        <f>"  - '&amp;aVenta: &amp;6"&amp;(MAIN!$D$3+(MAIN!$D$18+MAIN!$D$19)/2*MAIN!$B$9+(MAIN!$D$20+MAIN!$D$21)/2*MAIN!$B$8+(MAIN!$D$47*MAIN!$B$11)+($C$2*MAIN!$B$10))/10&amp;" &amp;aAlmakos'"</f>
        <v xml:space="preserve">  - '&amp;aVenta: &amp;6205.6 &amp;aAlmakos'</v>
      </c>
      <c r="F43" s="20"/>
      <c r="G43" s="20"/>
      <c r="H43" s="20"/>
      <c r="I43" s="20" t="str">
        <f>"  - '&amp;aVenta: &amp;6"&amp;(MAIN!$D$4+(MAIN!$D$18+MAIN!$D$19)/2*MAIN!$B$9+(MAIN!$D$20+MAIN!$D$21)/2*MAIN!$B$8+(MAIN!$D$47*MAIN!$B$11)+($C$2*MAIN!$B$10))/10&amp;" &amp;aAlmakos'"</f>
        <v xml:space="preserve">  - '&amp;aVenta: &amp;6206 &amp;aAlmakos'</v>
      </c>
      <c r="J43" s="20"/>
      <c r="K43" s="20"/>
      <c r="L43" s="20"/>
      <c r="M43" s="20" t="str">
        <f>"  - '&amp;aVenta: &amp;6"&amp;(MAIN!$D$5+(MAIN!$D$18+MAIN!$D$19)/2*MAIN!$B$9+(MAIN!$D$20+MAIN!$D$21)/2*MAIN!$B$8+(MAIN!$D$47*MAIN!$B$11)+($C$2*MAIN!$B$10))/10&amp;" &amp;aAlmakos'"</f>
        <v xml:space="preserve">  - '&amp;aVenta: &amp;6206.4 &amp;aAlmakos'</v>
      </c>
      <c r="N43" s="20"/>
      <c r="O43" s="20"/>
      <c r="P43" s="20"/>
      <c r="Q43" s="20" t="str">
        <f>"  - '&amp;aVenta: &amp;6"&amp;(MAIN!$D$6+(MAIN!$D$18+MAIN!$D$19)/2*MAIN!$B$9+(MAIN!$D$20+MAIN!$D$21)/2*MAIN!$B$8+(MAIN!$D$47*MAIN!$B$11)+($C$2*MAIN!$B$10))/10&amp;" &amp;aAlmakos'"</f>
        <v xml:space="preserve">  - '&amp;aVenta: &amp;6207.2 &amp;aAlmakos'</v>
      </c>
      <c r="R43" s="20"/>
      <c r="S43" s="20"/>
      <c r="T43" s="20"/>
    </row>
    <row r="44" spans="1:20">
      <c r="A44" s="9" t="s">
        <v>30</v>
      </c>
      <c r="B44" s="9"/>
      <c r="C44" s="9"/>
      <c r="D44" s="9"/>
      <c r="E44" s="9" t="s">
        <v>30</v>
      </c>
      <c r="F44" s="9"/>
      <c r="G44" s="9"/>
      <c r="H44" s="9"/>
      <c r="I44" s="9" t="s">
        <v>30</v>
      </c>
      <c r="J44" s="9"/>
      <c r="K44" s="9"/>
      <c r="L44" s="9"/>
      <c r="M44" s="9" t="s">
        <v>30</v>
      </c>
      <c r="N44" s="9"/>
      <c r="O44" s="9"/>
      <c r="P44" s="9"/>
      <c r="Q44" s="9" t="s">
        <v>30</v>
      </c>
      <c r="R44" s="9"/>
      <c r="S44" s="9"/>
      <c r="T44" s="9"/>
    </row>
    <row r="45" spans="1:20">
      <c r="A45" s="9" t="s">
        <v>31</v>
      </c>
      <c r="B45" s="9"/>
      <c r="C45" s="9"/>
      <c r="D45" s="9"/>
      <c r="E45" s="9" t="s">
        <v>31</v>
      </c>
      <c r="F45" s="9"/>
      <c r="G45" s="9"/>
      <c r="H45" s="9"/>
      <c r="I45" s="9" t="s">
        <v>31</v>
      </c>
      <c r="J45" s="9"/>
      <c r="K45" s="9"/>
      <c r="L45" s="9"/>
      <c r="M45" s="9" t="s">
        <v>31</v>
      </c>
      <c r="N45" s="9"/>
      <c r="O45" s="9"/>
      <c r="P45" s="9"/>
      <c r="Q45" s="9" t="s">
        <v>31</v>
      </c>
      <c r="R45" s="9"/>
      <c r="S45" s="9"/>
      <c r="T45" s="9"/>
    </row>
    <row r="46" spans="1:20" s="84" customFormat="1">
      <c r="A46" s="9" t="s">
        <v>237</v>
      </c>
      <c r="B46" s="9"/>
      <c r="C46" s="9"/>
      <c r="D46" s="9"/>
      <c r="E46" s="9" t="s">
        <v>237</v>
      </c>
      <c r="F46" s="9"/>
      <c r="G46" s="9"/>
      <c r="H46" s="9"/>
      <c r="I46" s="9" t="s">
        <v>237</v>
      </c>
      <c r="J46" s="9"/>
      <c r="K46" s="9"/>
      <c r="L46" s="9"/>
      <c r="M46" s="9" t="s">
        <v>237</v>
      </c>
      <c r="N46" s="9"/>
      <c r="O46" s="9"/>
      <c r="P46" s="9"/>
      <c r="Q46" s="9" t="s">
        <v>237</v>
      </c>
      <c r="R46" s="9"/>
      <c r="S46" s="9"/>
      <c r="T46" s="9"/>
    </row>
    <row r="47" spans="1:20">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c r="A49" s="9" t="s">
        <v>32</v>
      </c>
      <c r="B49" s="9"/>
      <c r="C49" s="9"/>
      <c r="D49" s="9"/>
      <c r="E49" s="9" t="s">
        <v>32</v>
      </c>
      <c r="F49" s="9"/>
      <c r="G49" s="9"/>
      <c r="H49" s="9"/>
      <c r="I49" s="9" t="s">
        <v>32</v>
      </c>
      <c r="J49" s="9"/>
      <c r="K49" s="9"/>
      <c r="L49" s="9"/>
      <c r="M49" s="9" t="s">
        <v>32</v>
      </c>
      <c r="N49" s="9"/>
      <c r="O49" s="9"/>
      <c r="P49" s="9"/>
      <c r="Q49" s="9" t="s">
        <v>32</v>
      </c>
      <c r="R49" s="9"/>
      <c r="S49" s="9"/>
      <c r="T49" s="9"/>
    </row>
    <row r="50" spans="1:20" s="101" customFormat="1">
      <c r="A50" s="9" t="s">
        <v>282</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c r="A51" s="9" t="s">
        <v>33</v>
      </c>
      <c r="B51" s="9"/>
      <c r="C51" s="9"/>
      <c r="D51" s="9"/>
      <c r="E51" s="9" t="s">
        <v>33</v>
      </c>
      <c r="F51" s="9"/>
      <c r="G51" s="9"/>
      <c r="H51" s="9"/>
      <c r="I51" s="9" t="s">
        <v>33</v>
      </c>
      <c r="J51" s="9"/>
      <c r="K51" s="9"/>
      <c r="L51" s="9"/>
      <c r="M51" s="9" t="s">
        <v>33</v>
      </c>
      <c r="N51" s="9"/>
      <c r="O51" s="9"/>
      <c r="P51" s="9"/>
      <c r="Q51" s="9" t="s">
        <v>33</v>
      </c>
      <c r="R51" s="9"/>
      <c r="S51" s="9"/>
      <c r="T51" s="9"/>
    </row>
    <row r="52" spans="1:20">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c r="A56" s="9" t="s">
        <v>71</v>
      </c>
      <c r="B56" s="9"/>
      <c r="C56" s="9"/>
      <c r="D56" s="9"/>
      <c r="E56" s="9" t="s">
        <v>71</v>
      </c>
      <c r="F56" s="9"/>
      <c r="G56" s="9"/>
      <c r="H56" s="9"/>
      <c r="I56" s="9" t="s">
        <v>71</v>
      </c>
      <c r="J56" s="9"/>
      <c r="K56" s="9"/>
      <c r="L56" s="9"/>
      <c r="M56" s="9" t="s">
        <v>71</v>
      </c>
      <c r="N56" s="9"/>
      <c r="O56" s="9"/>
      <c r="P56" s="9"/>
      <c r="Q56" s="9" t="s">
        <v>71</v>
      </c>
      <c r="R56" s="9"/>
      <c r="S56" s="9"/>
      <c r="T56" s="9"/>
    </row>
    <row r="57" spans="1:20">
      <c r="A57" s="9" t="s">
        <v>72</v>
      </c>
      <c r="B57" s="9"/>
      <c r="C57" s="9"/>
      <c r="D57" s="9"/>
      <c r="E57" s="9" t="s">
        <v>72</v>
      </c>
      <c r="F57" s="9"/>
      <c r="G57" s="9"/>
      <c r="H57" s="9"/>
      <c r="I57" s="9" t="s">
        <v>72</v>
      </c>
      <c r="J57" s="9"/>
      <c r="K57" s="9"/>
      <c r="L57" s="9"/>
      <c r="M57" s="9" t="s">
        <v>72</v>
      </c>
      <c r="N57" s="9"/>
      <c r="O57" s="9"/>
      <c r="P57" s="9"/>
      <c r="Q57" s="9" t="s">
        <v>72</v>
      </c>
      <c r="R57" s="9"/>
      <c r="S57" s="9"/>
      <c r="T57" s="9"/>
    </row>
    <row r="58" spans="1:20">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103" customFormat="1">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c r="A61" s="9" t="s">
        <v>34</v>
      </c>
      <c r="B61" s="9"/>
      <c r="C61" s="9"/>
      <c r="D61" s="9"/>
      <c r="E61" s="9" t="s">
        <v>34</v>
      </c>
      <c r="F61" s="9"/>
      <c r="G61" s="9"/>
      <c r="H61" s="9"/>
      <c r="I61" s="9" t="s">
        <v>34</v>
      </c>
      <c r="J61" s="9"/>
      <c r="K61" s="9"/>
      <c r="L61" s="9"/>
      <c r="M61" s="9" t="s">
        <v>34</v>
      </c>
      <c r="N61" s="9"/>
      <c r="O61" s="9"/>
      <c r="P61" s="9"/>
      <c r="Q61" s="9" t="s">
        <v>34</v>
      </c>
      <c r="R61" s="9"/>
      <c r="S61" s="9"/>
      <c r="T61" s="9"/>
    </row>
    <row r="62" spans="1:20" s="103" customFormat="1">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c r="A63" s="9" t="s">
        <v>79</v>
      </c>
      <c r="B63" s="9"/>
      <c r="C63" s="9"/>
      <c r="D63" s="9"/>
      <c r="E63" s="9" t="s">
        <v>79</v>
      </c>
      <c r="F63" s="9"/>
      <c r="G63" s="9"/>
      <c r="H63" s="9"/>
      <c r="I63" s="9" t="s">
        <v>79</v>
      </c>
      <c r="J63" s="9"/>
      <c r="K63" s="9"/>
      <c r="L63" s="9"/>
      <c r="M63" s="9" t="s">
        <v>79</v>
      </c>
      <c r="N63" s="9"/>
      <c r="O63" s="9"/>
      <c r="P63" s="9"/>
      <c r="Q63" s="9" t="s">
        <v>79</v>
      </c>
      <c r="R63" s="9"/>
      <c r="S63" s="9"/>
      <c r="T63" s="9"/>
    </row>
    <row r="64" spans="1:20">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c r="A67" s="9"/>
      <c r="B67" s="9"/>
      <c r="C67" s="9"/>
      <c r="D67" s="9"/>
    </row>
    <row r="68" spans="1:20">
      <c r="A68" s="9"/>
      <c r="B68" s="9"/>
      <c r="C68" s="9"/>
      <c r="D68" s="9"/>
    </row>
    <row r="69" spans="1:20">
      <c r="A69" s="9"/>
      <c r="B69" s="9"/>
      <c r="C69" s="9"/>
      <c r="D69" s="9"/>
    </row>
    <row r="70" spans="1:20">
      <c r="A70" s="9"/>
      <c r="B70" s="9"/>
      <c r="C70" s="9"/>
      <c r="D70" s="9"/>
    </row>
    <row r="71" spans="1:20">
      <c r="A71" s="9"/>
      <c r="B71" s="9"/>
      <c r="C71" s="9"/>
      <c r="D71" s="9"/>
    </row>
    <row r="72" spans="1:20">
      <c r="A72" s="9"/>
      <c r="B72" s="9"/>
      <c r="C72" s="9"/>
      <c r="D72" s="9"/>
    </row>
    <row r="73" spans="1:20">
      <c r="A73" s="9"/>
      <c r="B73" s="9"/>
      <c r="C73" s="9"/>
      <c r="D73" s="9"/>
    </row>
    <row r="74" spans="1:20">
      <c r="A74" s="9"/>
      <c r="B74" s="9"/>
      <c r="C74" s="9"/>
      <c r="D74" s="9"/>
    </row>
    <row r="75" spans="1:20">
      <c r="A75" s="9"/>
      <c r="B75" s="9"/>
      <c r="C75" s="9"/>
      <c r="D75" s="9"/>
    </row>
    <row r="76" spans="1:20">
      <c r="A76" s="9"/>
      <c r="B76" s="9"/>
      <c r="C76" s="9"/>
      <c r="D76" s="9"/>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0"/>
  <dimension ref="A1:Z169"/>
  <sheetViews>
    <sheetView topLeftCell="A49" workbookViewId="0">
      <selection activeCell="A59" sqref="A59:XFD61"/>
    </sheetView>
  </sheetViews>
  <sheetFormatPr baseColWidth="10" defaultColWidth="11.42578125" defaultRowHeight="15"/>
  <cols>
    <col min="1" max="16384" width="11.42578125" style="16"/>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100</v>
      </c>
      <c r="B2" s="195"/>
      <c r="C2" s="195">
        <f>'ECONOMIA &amp; PROFESIONES'!$O$3</f>
        <v>3</v>
      </c>
      <c r="D2" s="195"/>
      <c r="E2" s="195" t="s">
        <v>81</v>
      </c>
      <c r="F2" s="195"/>
      <c r="G2" s="195" t="s">
        <v>97</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"+"&amp;ROUND(MAIN!$C$55*$C$2*$K$2/5*$U$4,0)&amp;" "&amp;$I$2</f>
        <v>+3 Armor</v>
      </c>
      <c r="W4" s="101" t="str">
        <f>"+"&amp;ROUND(MAIN!$D$55*$C$2*$K$2/5*$U$4,0)&amp;" "&amp;$I$2</f>
        <v>+5 Armor</v>
      </c>
      <c r="X4" s="101" t="str">
        <f>"+"&amp;ROUND(MAIN!$E$55*$C$2*$K$2/5*$U$4,0)&amp;" "&amp;$I$2</f>
        <v>+8 Armor</v>
      </c>
      <c r="Y4" s="101" t="str">
        <f>"+"&amp;ROUND(MAIN!$F$55*$C$2*$K$2/5*$U$4,0)&amp;" "&amp;$I$2</f>
        <v>+13 Armor</v>
      </c>
      <c r="Z4" s="101" t="str">
        <f>"+"&amp;ROUND(MAIN!$G$55*$C$2*$K$2/5*$U$4,0)&amp;" "&amp;$I$2</f>
        <v>+22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"+"&amp;ROUND(MAIN!$C$55*$C$2*$K$2/5*$U$5,0)&amp;" "&amp;$I$2</f>
        <v>+6 Armor</v>
      </c>
      <c r="W5" s="101" t="str">
        <f>"+"&amp;ROUND(MAIN!$D$55*$C$2*$K$2/5*$U$5,0)&amp;" "&amp;$I$2</f>
        <v>+10 Armor</v>
      </c>
      <c r="X5" s="101" t="str">
        <f>"+"&amp;ROUND(MAIN!$E$55*$C$2*$K$2/5*$U$5,0)&amp;" "&amp;$I$2</f>
        <v>+16 Armor</v>
      </c>
      <c r="Y5" s="101" t="str">
        <f>"+"&amp;ROUND(MAIN!$F$55*$C$2*$K$2/5*$U$5,0)&amp;" "&amp;$I$2</f>
        <v>+26 Armor</v>
      </c>
      <c r="Z5" s="101" t="str">
        <f>"+"&amp;ROUND(MAIN!$G$55*$C$2*$K$2/5*$U$5,0)&amp;" "&amp;$I$2</f>
        <v>+44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+9 Armor</v>
      </c>
      <c r="W6" s="101" t="str">
        <f>"+"&amp;ROUND(MAIN!$D$55*$C$2*$K$2/5*$U$6,0)&amp;" "&amp;$I$2</f>
        <v>+14 Armor</v>
      </c>
      <c r="X6" s="101" t="str">
        <f>"+"&amp;ROUND(MAIN!$E$55*$C$2*$K$2/5*$U$6,0)&amp;" "&amp;$I$2</f>
        <v>+23 Armor</v>
      </c>
      <c r="Y6" s="101" t="str">
        <f>"+"&amp;ROUND(MAIN!$F$55*$C$2*$K$2/5*$U$6,0)&amp;" "&amp;$I$2</f>
        <v>+40 Armor</v>
      </c>
      <c r="Z6" s="101" t="str">
        <f>"+"&amp;ROUND(MAIN!$G$55*$C$2*$K$2/5*$U$6,0)&amp;" "&amp;$I$2</f>
        <v>+67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+12 Armor</v>
      </c>
      <c r="W7" s="101" t="str">
        <f>"+"&amp;ROUND(MAIN!$D$55*$C$2*$K$2/5*$U$7,0)&amp;" "&amp;$I$2</f>
        <v>+19 Armor</v>
      </c>
      <c r="X7" s="101" t="str">
        <f>"+"&amp;ROUND(MAIN!$E$55*$C$2*$K$2/5*$U$7,0)&amp;" "&amp;$I$2</f>
        <v>+31 Armor</v>
      </c>
      <c r="Y7" s="101" t="str">
        <f>"+"&amp;ROUND(MAIN!$F$55*$C$2*$K$2/5*$U$7,0)&amp;" "&amp;$I$2</f>
        <v>+53 Armor</v>
      </c>
      <c r="Z7" s="101" t="str">
        <f>"+"&amp;ROUND(MAIN!$G$55*$C$2*$K$2/5*$U$7,0)&amp;" "&amp;$I$2</f>
        <v>+89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+15 Armor</v>
      </c>
      <c r="W8" s="101" t="str">
        <f>"+"&amp;ROUND(MAIN!$D$55*$C$2*$K$2/5*$U$8,0)&amp;" "&amp;$I$2</f>
        <v>+24 Armor</v>
      </c>
      <c r="X8" s="101" t="str">
        <f>"+"&amp;ROUND(MAIN!$E$55*$C$2*$K$2/5*$U$8,0)&amp;" "&amp;$I$2</f>
        <v>+39 Armor</v>
      </c>
      <c r="Y8" s="101" t="str">
        <f>"+"&amp;ROUND(MAIN!$F$55*$C$2*$K$2/5*$U$8,0)&amp;" "&amp;$I$2</f>
        <v>+66 Armor</v>
      </c>
      <c r="Z8" s="101" t="str">
        <f>"+"&amp;ROUND(MAIN!$G$55*$C$2*$K$2/5*$U$8,0)&amp;" "&amp;$I$2</f>
        <v>+111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&amp;6"&amp;(MAIN!$F$2+(MAIN!$D$18+MAIN!$D$19)/2*MAIN!$B$9+(MAIN!$D$20+MAIN!$D$21)/2*MAIN!$B$8+(MAIN!$D$58*MAIN!$B$11)+($C$2*MAIN!$B$10))/10&amp;" &amp;aAlmakos'"</f>
        <v xml:space="preserve">  - '&amp;aVenta: &amp;6213 &amp;aAlmakos'</v>
      </c>
      <c r="B42" s="20"/>
      <c r="C42" s="20"/>
      <c r="D42" s="20"/>
      <c r="E42" s="20" t="str">
        <f>"  - '&amp;aVenta: &amp;6"&amp;(MAIN!$G$2+(MAIN!$D$18+MAIN!$D$19)/2*MAIN!$B$9+(MAIN!$D$20+MAIN!$D$21)/2*MAIN!$B$8+(MAIN!$D$58*MAIN!$B$11)+($C$2*MAIN!$B$10))/10&amp;" &amp;aAlmakos'"</f>
        <v xml:space="preserve">  - '&amp;aVenta: &amp;6214 &amp;aAlmakos'</v>
      </c>
      <c r="F42" s="20"/>
      <c r="G42" s="20"/>
      <c r="H42" s="20"/>
      <c r="I42" s="20" t="str">
        <f>"  - '&amp;aVenta: &amp;6"&amp;(MAIN!$H$2+(MAIN!$D$18+MAIN!$D$19)/2*MAIN!$B$9+(MAIN!$D$20+MAIN!$D$21)/2*MAIN!$B$8+(MAIN!$D$58*MAIN!$B$11)+($C$2*MAIN!$B$10))/10&amp;" &amp;aAlmakos'"</f>
        <v xml:space="preserve">  - '&amp;aVenta: &amp;6215 &amp;aAlmakos'</v>
      </c>
      <c r="J42" s="20"/>
      <c r="K42" s="20"/>
      <c r="L42" s="20"/>
      <c r="M42" s="20" t="str">
        <f>"  - '&amp;aVenta: &amp;6"&amp;(MAIN!$I$2+(MAIN!$D$18+MAIN!$D$19)/2*MAIN!$B$9+(MAIN!$D$20+MAIN!$D$21)/2*MAIN!$B$8+(MAIN!$D$58*MAIN!$B$11)+($C$2*MAIN!$B$10))/10&amp;" &amp;aAlmakos'"</f>
        <v xml:space="preserve">  - '&amp;aVenta: &amp;6216 &amp;aAlmakos'</v>
      </c>
      <c r="N42" s="20"/>
      <c r="O42" s="20"/>
      <c r="P42" s="20"/>
      <c r="Q42" s="20" t="str">
        <f>"  - '&amp;aVenta: &amp;6"&amp;(MAIN!$J$2+(MAIN!$D$18+MAIN!$D$19)/2*MAIN!$B$9+(MAIN!$D$20+MAIN!$D$21)/2*MAIN!$B$8+(MAIN!$D$58*MAIN!$B$11)+($C$2*MAIN!$B$10))/10&amp;" &amp;aAlmakos'"</f>
        <v xml:space="preserve">  - '&amp;aVenta: &amp;6218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1"/>
  <dimension ref="A1:Z169"/>
  <sheetViews>
    <sheetView topLeftCell="A46" workbookViewId="0">
      <selection activeCell="A59" sqref="A59:XFD61"/>
    </sheetView>
  </sheetViews>
  <sheetFormatPr baseColWidth="10" defaultColWidth="11.42578125" defaultRowHeight="15"/>
  <cols>
    <col min="1" max="16384" width="11.42578125" style="17"/>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100</v>
      </c>
      <c r="B2" s="195"/>
      <c r="C2" s="195">
        <f>'ECONOMIA &amp; PROFESIONES'!$O$3</f>
        <v>3</v>
      </c>
      <c r="D2" s="195"/>
      <c r="E2" s="195" t="s">
        <v>81</v>
      </c>
      <c r="F2" s="195"/>
      <c r="G2" s="195" t="s">
        <v>97</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&amp;6"&amp;(MAIN!$F$3+(MAIN!$D$18+MAIN!$D$19)/2*MAIN!$B$9+(MAIN!$D$20+MAIN!$D$21)/2*MAIN!$B$8+(MAIN!$D$69*MAIN!$B$11)+($C$2*MAIN!$B$10))/10&amp;" &amp;aAlmakos'"</f>
        <v xml:space="preserve">  - '&amp;aVenta: &amp;6220.8 &amp;aAlmakos'</v>
      </c>
      <c r="B42" s="20"/>
      <c r="C42" s="20"/>
      <c r="D42" s="20"/>
      <c r="E42" s="20" t="str">
        <f>"  - '&amp;aVenta: &amp;6"&amp;(MAIN!$G$3+(MAIN!$D$18+MAIN!$D$19)/2*MAIN!$B$9+(MAIN!$D$20+MAIN!$D$21)/2*MAIN!$B$8+(MAIN!$D$69*MAIN!$B$11)+($C$2*MAIN!$B$10))/10&amp;" &amp;aAlmakos'"</f>
        <v xml:space="preserve">  - '&amp;aVenta: &amp;6222.4 &amp;aAlmakos'</v>
      </c>
      <c r="F42" s="20"/>
      <c r="G42" s="20"/>
      <c r="H42" s="20"/>
      <c r="I42" s="20" t="str">
        <f>"  - '&amp;aVenta: &amp;6"&amp;(MAIN!$H$3+(MAIN!$D$18+MAIN!$D$19)/2*MAIN!$B$9+(MAIN!$D$20+MAIN!$D$21)/2*MAIN!$B$8+(MAIN!$D$69*MAIN!$B$11)+($C$2*MAIN!$B$10))/10&amp;" &amp;aAlmakos'"</f>
        <v xml:space="preserve">  - '&amp;aVenta: &amp;6224 &amp;aAlmakos'</v>
      </c>
      <c r="J42" s="20"/>
      <c r="K42" s="20"/>
      <c r="L42" s="20"/>
      <c r="M42" s="20" t="str">
        <f>"  - '&amp;aVenta: &amp;6"&amp;(MAIN!$I$3+(MAIN!$D$18+MAIN!$D$19)/2*MAIN!$B$9+(MAIN!$D$20+MAIN!$D$21)/2*MAIN!$B$8+(MAIN!$D$69*MAIN!$B$11)+($C$2*MAIN!$B$10))/10&amp;" &amp;aAlmakos'"</f>
        <v xml:space="preserve">  - '&amp;aVenta: &amp;6225.6 &amp;aAlmakos'</v>
      </c>
      <c r="N42" s="20"/>
      <c r="O42" s="20"/>
      <c r="P42" s="20"/>
      <c r="Q42" s="20" t="str">
        <f>"  - '&amp;aVenta: &amp;6"&amp;(MAIN!$J$3+(MAIN!$D$18+MAIN!$D$19)/2*MAIN!$B$9+(MAIN!$D$20+MAIN!$D$21)/2*MAIN!$B$8+(MAIN!$D$69*MAIN!$B$11)+($C$2*MAIN!$B$10))/10&amp;" &amp;aAlmakos'"</f>
        <v xml:space="preserve">  - '&amp;aVenta: &amp;6228.8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2"/>
  <dimension ref="A1:Z169"/>
  <sheetViews>
    <sheetView topLeftCell="A44" workbookViewId="0">
      <selection activeCell="A59" sqref="A59:XFD61"/>
    </sheetView>
  </sheetViews>
  <sheetFormatPr baseColWidth="10" defaultColWidth="11.5703125" defaultRowHeight="15"/>
  <cols>
    <col min="1" max="16384" width="11.5703125" style="18"/>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100</v>
      </c>
      <c r="B2" s="195"/>
      <c r="C2" s="195">
        <f>'ECONOMIA &amp; PROFESIONES'!$O$3</f>
        <v>3</v>
      </c>
      <c r="D2" s="195"/>
      <c r="E2" s="195" t="s">
        <v>81</v>
      </c>
      <c r="F2" s="195"/>
      <c r="G2" s="195" t="s">
        <v>97</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&amp;6"&amp;(MAIN!$F$4+(MAIN!$D$18+MAIN!$D$19)/2*MAIN!$B$9+(MAIN!$D$20+MAIN!$D$21)/2*MAIN!$B$8+(MAIN!$D$80*MAIN!$B$11)+($C$2*MAIN!$B$10))/10&amp;" &amp;aAlmakos'"</f>
        <v xml:space="preserve">  - '&amp;aVenta: &amp;6218.2 &amp;aAlmakos'</v>
      </c>
      <c r="B42" s="20"/>
      <c r="C42" s="20"/>
      <c r="D42" s="20"/>
      <c r="E42" s="20" t="str">
        <f>"  - '&amp;aVenta: &amp;6"&amp;(MAIN!$G$4+(MAIN!$D$18+MAIN!$D$19)/2*MAIN!$B$9+(MAIN!$D$20+MAIN!$D$21)/2*MAIN!$B$8+(MAIN!$D$80*MAIN!$B$11)+($C$2*MAIN!$B$10))/10&amp;" &amp;aAlmakos'"</f>
        <v xml:space="preserve">  - '&amp;aVenta: &amp;6219.6 &amp;aAlmakos'</v>
      </c>
      <c r="F42" s="20"/>
      <c r="G42" s="20"/>
      <c r="H42" s="20"/>
      <c r="I42" s="20" t="str">
        <f>"  - '&amp;aVenta: &amp;6"&amp;(MAIN!$H$4+(MAIN!$D$18+MAIN!$D$19)/2*MAIN!$B$9+(MAIN!$D$20+MAIN!$D$21)/2*MAIN!$B$8+(MAIN!$D$80*MAIN!$B$11)+($C$2*MAIN!$B$10))/10&amp;" &amp;aAlmakos'"</f>
        <v xml:space="preserve">  - '&amp;aVenta: &amp;6221 &amp;aAlmakos'</v>
      </c>
      <c r="J42" s="20"/>
      <c r="K42" s="20"/>
      <c r="L42" s="20"/>
      <c r="M42" s="20" t="str">
        <f>"  - '&amp;aVenta: &amp;6"&amp;(MAIN!$I$4+(MAIN!$D$18+MAIN!$D$19)/2*MAIN!$B$9+(MAIN!$D$20+MAIN!$D$21)/2*MAIN!$B$8+(MAIN!$D$80*MAIN!$B$11)+($C$2*MAIN!$B$10))/10&amp;" &amp;aAlmakos'"</f>
        <v xml:space="preserve">  - '&amp;aVenta: &amp;6222.4 &amp;aAlmakos'</v>
      </c>
      <c r="N42" s="20"/>
      <c r="O42" s="20"/>
      <c r="P42" s="20"/>
      <c r="Q42" s="20" t="str">
        <f>"  - '&amp;aVenta: &amp;6"&amp;(MAIN!$J$4+(MAIN!$D$18+MAIN!$D$19)/2*MAIN!$B$9+(MAIN!$D$20+MAIN!$D$21)/2*MAIN!$B$8+(MAIN!$D$80*MAIN!$B$11)+($C$2*MAIN!$B$10))/10&amp;" &amp;aAlmakos'"</f>
        <v xml:space="preserve">  - '&amp;aVenta: &amp;6225.2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3"/>
  <dimension ref="A1:Z169"/>
  <sheetViews>
    <sheetView topLeftCell="A46" workbookViewId="0">
      <selection activeCell="A59" sqref="A59:XFD61"/>
    </sheetView>
  </sheetViews>
  <sheetFormatPr baseColWidth="10" defaultColWidth="11.5703125" defaultRowHeight="15"/>
  <cols>
    <col min="1" max="16384" width="11.5703125" style="18"/>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100</v>
      </c>
      <c r="B2" s="195"/>
      <c r="C2" s="195">
        <f>'ECONOMIA &amp; PROFESIONES'!$O$3</f>
        <v>3</v>
      </c>
      <c r="D2" s="195"/>
      <c r="E2" s="195" t="s">
        <v>81</v>
      </c>
      <c r="F2" s="195"/>
      <c r="G2" s="195" t="s">
        <v>97</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&amp;6"&amp;(MAIN!$F$5+(MAIN!$D$18+MAIN!$D$19)/2*MAIN!$B$9+(MAIN!$D$20+MAIN!$D$21)/2*MAIN!$B$8+(MAIN!$D$91*MAIN!$B$11)+($C$2*MAIN!$B$10))/10&amp;" &amp;aAlmakos'"</f>
        <v xml:space="preserve">  - '&amp;aVenta: &amp;6210.4 &amp;aAlmakos'</v>
      </c>
      <c r="B42" s="20"/>
      <c r="C42" s="20"/>
      <c r="D42" s="20"/>
      <c r="E42" s="20" t="str">
        <f>"  - '&amp;aVenta: &amp;6"&amp;(MAIN!$G$5+(MAIN!$D$18+MAIN!$D$19)/2*MAIN!$B$9+(MAIN!$D$20+MAIN!$D$21)/2*MAIN!$B$8+(MAIN!$D$91*MAIN!$B$11)+($C$2*MAIN!$B$10))/10&amp;" &amp;aAlmakos'"</f>
        <v xml:space="preserve">  - '&amp;aVenta: &amp;6211.2 &amp;aAlmakos'</v>
      </c>
      <c r="F42" s="20"/>
      <c r="G42" s="20"/>
      <c r="H42" s="20"/>
      <c r="I42" s="20" t="str">
        <f>"  - '&amp;aVenta: &amp;6"&amp;(MAIN!$H$5+(MAIN!$D$18+MAIN!$D$19)/2*MAIN!$B$9+(MAIN!$D$20+MAIN!$D$21)/2*MAIN!$B$8+(MAIN!$D$91*MAIN!$B$11)+($C$2*MAIN!$B$10))/10&amp;" &amp;aAlmakos'"</f>
        <v xml:space="preserve">  - '&amp;aVenta: &amp;6212 &amp;aAlmakos'</v>
      </c>
      <c r="J42" s="20"/>
      <c r="K42" s="20"/>
      <c r="L42" s="20"/>
      <c r="M42" s="20" t="str">
        <f>"  - '&amp;aVenta: &amp;6"&amp;(MAIN!$I$5+(MAIN!$D$18+MAIN!$D$19)/2*MAIN!$B$9+(MAIN!$D$20+MAIN!$D$21)/2*MAIN!$B$8+(MAIN!$D$91*MAIN!$B$11)+($C$2*MAIN!$B$10))/10&amp;" &amp;aAlmakos'"</f>
        <v xml:space="preserve">  - '&amp;aVenta: &amp;6212.8 &amp;aAlmakos'</v>
      </c>
      <c r="N42" s="20"/>
      <c r="O42" s="20"/>
      <c r="P42" s="20"/>
      <c r="Q42" s="20" t="str">
        <f>"  - '&amp;aVenta: &amp;6"&amp;(MAIN!$J$5+(MAIN!$D$18+MAIN!$D$19)/2*MAIN!$B$9+(MAIN!$D$20+MAIN!$D$21)/2*MAIN!$B$8+(MAIN!$D$91*MAIN!$B$11)+($C$2*MAIN!$B$10))/10&amp;" &amp;aAlmakos'"</f>
        <v xml:space="preserve">  - '&amp;aVenta: &amp;6214.4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4"/>
  <dimension ref="A1:Z189"/>
  <sheetViews>
    <sheetView topLeftCell="T1" workbookViewId="0">
      <selection activeCell="Z4" sqref="Z4:Z8"/>
    </sheetView>
  </sheetViews>
  <sheetFormatPr baseColWidth="10" defaultColWidth="11.42578125" defaultRowHeight="15"/>
  <cols>
    <col min="1" max="25" width="11.42578125" style="19"/>
    <col min="26" max="26" width="13.28515625" style="19" customWidth="1"/>
    <col min="27" max="16384" width="11.42578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102</v>
      </c>
      <c r="B2" s="195"/>
      <c r="C2" s="195">
        <f>'ECONOMIA &amp; PROFESIONES'!$P$3</f>
        <v>5</v>
      </c>
      <c r="D2" s="195"/>
      <c r="E2" s="195" t="s">
        <v>81</v>
      </c>
      <c r="F2" s="195"/>
      <c r="G2" s="195" t="s">
        <v>103</v>
      </c>
      <c r="H2" s="195"/>
      <c r="I2" s="195" t="str">
        <f>MAIN!$J$42</f>
        <v>&amp;4Poder de Arma:</v>
      </c>
      <c r="J2" s="195"/>
      <c r="K2" s="195">
        <f>MAIN!$L$42</f>
        <v>2</v>
      </c>
      <c r="L2" s="195"/>
    </row>
    <row r="3" spans="1:26" ht="29.25" customHeight="1">
      <c r="A3" s="249" t="s">
        <v>7</v>
      </c>
      <c r="B3" s="249"/>
      <c r="C3" s="249"/>
      <c r="D3" s="249"/>
      <c r="E3" s="249" t="s">
        <v>8</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$I$2&amp;" "&amp;ROUND(MAIN!$C$44*$C$2*$K$2/5*$U$4,0)</f>
        <v>&amp;4Poder de Arma: 4</v>
      </c>
      <c r="W4" s="101" t="str">
        <f>$I$2&amp;" "&amp;ROUND(MAIN!$D$44*$C$2*$K$2/5*$U$4,0)</f>
        <v>&amp;4Poder de Arma: 12</v>
      </c>
      <c r="X4" s="101" t="str">
        <f>$I$2&amp;" "&amp;ROUND(MAIN!$E$44*$C$2*$K$2/5*$U$4,0)</f>
        <v>&amp;4Poder de Arma: 36</v>
      </c>
      <c r="Y4" s="101" t="str">
        <f>$I$2&amp;" "&amp;ROUND(MAIN!$F$44*$C$2*$K$2/5*$U$4,0)</f>
        <v>&amp;4Poder de Arma: 108</v>
      </c>
      <c r="Z4" s="101" t="str">
        <f>$I$2&amp;" "&amp;ROUND(MAIN!$G$44*$C$2*$K$2/5*$U$4,0)</f>
        <v>&amp;4Poder de Arma: 324</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$I$2&amp;" "&amp;ROUND(MAIN!$C$44*$C$2*$K$2/5*$U$5,0)</f>
        <v>&amp;4Poder de Arma: 8</v>
      </c>
      <c r="W5" s="101" t="str">
        <f>$I$2&amp;" "&amp;ROUND(MAIN!$D$44*$C$2*$K$2/5*$U$5,0)</f>
        <v>&amp;4Poder de Arma: 24</v>
      </c>
      <c r="X5" s="101" t="str">
        <f>$I$2&amp;" "&amp;ROUND(MAIN!$E$44*$C$2*$K$2/5*$U$5,0)</f>
        <v>&amp;4Poder de Arma: 72</v>
      </c>
      <c r="Y5" s="101" t="str">
        <f>$I$2&amp;" "&amp;ROUND(MAIN!$F$44*$C$2*$K$2/5*$U$5,0)</f>
        <v>&amp;4Poder de Arma: 216</v>
      </c>
      <c r="Z5" s="101" t="str">
        <f>$I$2&amp;" "&amp;ROUND(MAIN!$G$44*$C$2*$K$2/5*$U$5,0)</f>
        <v>&amp;4Poder de Arma: 648</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12</v>
      </c>
      <c r="W6" s="101" t="str">
        <f>$I$2&amp;" "&amp;ROUND(MAIN!$D$44*$C$2*$K$2/5*$U$6,0)</f>
        <v>&amp;4Poder de Arma: 36</v>
      </c>
      <c r="X6" s="101" t="str">
        <f>$I$2&amp;" "&amp;ROUND(MAIN!$E$44*$C$2*$K$2/5*$U$6,0)</f>
        <v>&amp;4Poder de Arma: 108</v>
      </c>
      <c r="Y6" s="101" t="str">
        <f>$I$2&amp;" "&amp;ROUND(MAIN!$F$44*$C$2*$K$2/5*$U$6,0)</f>
        <v>&amp;4Poder de Arma: 324</v>
      </c>
      <c r="Z6" s="101" t="str">
        <f>$I$2&amp;" "&amp;ROUND(MAIN!$G$44*$C$2*$K$2/5*$U$6,0)</f>
        <v>&amp;4Poder de Arma: 972</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16</v>
      </c>
      <c r="W7" s="101" t="str">
        <f>$I$2&amp;" "&amp;ROUND(MAIN!$D$44*$C$2*$K$2/5*$U$7,0)</f>
        <v>&amp;4Poder de Arma: 48</v>
      </c>
      <c r="X7" s="101" t="str">
        <f>$I$2&amp;" "&amp;ROUND(MAIN!$E$44*$C$2*$K$2/5*$U$7,0)</f>
        <v>&amp;4Poder de Arma: 144</v>
      </c>
      <c r="Y7" s="101" t="str">
        <f>$I$2&amp;" "&amp;ROUND(MAIN!$F$44*$C$2*$K$2/5*$U$7,0)</f>
        <v>&amp;4Poder de Arma: 432</v>
      </c>
      <c r="Z7" s="101" t="str">
        <f>$I$2&amp;" "&amp;ROUND(MAIN!$G$44*$C$2*$K$2/5*$U$7,0)</f>
        <v>&amp;4Poder de Arma: 1296</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20</v>
      </c>
      <c r="W8" s="101" t="str">
        <f>$I$2&amp;" "&amp;ROUND(MAIN!$D$44*$C$2*$K$2/5*$U$8,0)</f>
        <v>&amp;4Poder de Arma: 60</v>
      </c>
      <c r="X8" s="101" t="str">
        <f>$I$2&amp;" "&amp;ROUND(MAIN!$E$44*$C$2*$K$2/5*$U$8,0)</f>
        <v>&amp;4Poder de Arma: 180</v>
      </c>
      <c r="Y8" s="101" t="str">
        <f>$I$2&amp;" "&amp;ROUND(MAIN!$F$44*$C$2*$K$2/5*$U$8,0)</f>
        <v>&amp;4Poder de Arma: 540</v>
      </c>
      <c r="Z8" s="101" t="str">
        <f>$I$2&amp;" "&amp;ROUND(MAIN!$G$44*$C$2*$K$2/5*$U$8,0)</f>
        <v>&amp;4Poder de Arma: 1620</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&amp;6"&amp;(MAIN!$D$2+(MAIN!$E$18+MAIN!$E$19)/2*MAIN!$B$9+(MAIN!$E$20+MAIN!$E$21)/2*MAIN!$B$8+(MAIN!$E$47*MAIN!$B$11)+($C$2*MAIN!$B$10))/10&amp;" &amp;aAlmakos'"</f>
        <v xml:space="preserve">  - '&amp;aVenta: &amp;6365.2 &amp;aAlmakos'</v>
      </c>
      <c r="B62" s="20"/>
      <c r="C62" s="20"/>
      <c r="D62" s="20"/>
      <c r="E62" s="20" t="str">
        <f>"  - '&amp;aVenta: &amp;6"&amp;(MAIN!$D$3+(MAIN!$E$18+MAIN!$E$19)/2*MAIN!$B$9+(MAIN!$E$20+MAIN!$E$21)/2*MAIN!$B$8+(MAIN!$E$47*MAIN!$B$11)+($C$2*MAIN!$B$10))/10&amp;" &amp;aAlmakos'"</f>
        <v xml:space="preserve">  - '&amp;aVenta: &amp;6365.6 &amp;aAlmakos'</v>
      </c>
      <c r="F62" s="20"/>
      <c r="G62" s="20"/>
      <c r="H62" s="20"/>
      <c r="I62" s="20" t="str">
        <f>"  - '&amp;aVenta: &amp;6"&amp;(MAIN!$D$4+(MAIN!$E$18+MAIN!$E$19)/2*MAIN!$B$9+(MAIN!$E$20+MAIN!$E$21)/2*MAIN!$B$8+(MAIN!$E$47*MAIN!$B$11)+($C$2*MAIN!$B$10))/10&amp;" &amp;aAlmakos'"</f>
        <v xml:space="preserve">  - '&amp;aVenta: &amp;6366 &amp;aAlmakos'</v>
      </c>
      <c r="J62" s="20"/>
      <c r="K62" s="20"/>
      <c r="L62" s="20"/>
      <c r="M62" s="20" t="str">
        <f>"  - '&amp;aVenta: &amp;6"&amp;(MAIN!$D$5+(MAIN!$E$18+MAIN!$E$19)/2*MAIN!$B$9+(MAIN!$E$20+MAIN!$E$21)/2*MAIN!$B$8+(MAIN!$E$47*MAIN!$B$11)+($C$2*MAIN!$B$10))/10&amp;" &amp;aAlmakos'"</f>
        <v xml:space="preserve">  - '&amp;aVenta: &amp;6366.4 &amp;aAlmakos'</v>
      </c>
      <c r="N62" s="20"/>
      <c r="O62" s="20"/>
      <c r="P62" s="20"/>
      <c r="Q62" s="20" t="str">
        <f>"  - '&amp;aVenta: &amp;6"&amp;(MAIN!$D$6+(MAIN!$E$18+MAIN!$E$19)/2*MAIN!$B$9+(MAIN!$E$20+MAIN!$E$21)/2*MAIN!$B$8+(MAIN!$E$47*MAIN!$B$11)+($C$2*MAIN!$B$10))/10&amp;" &amp;aAlmakos'"</f>
        <v xml:space="preserve">  - '&amp;aVenta: &amp;6367.2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102</v>
      </c>
      <c r="B2" s="195"/>
      <c r="C2" s="195">
        <f>'ECONOMIA &amp; PROFESIONES'!$P$3</f>
        <v>5</v>
      </c>
      <c r="D2" s="195"/>
      <c r="E2" s="195" t="s">
        <v>81</v>
      </c>
      <c r="F2" s="195"/>
      <c r="G2" s="195" t="s">
        <v>103</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"+"&amp;ROUND(MAIN!$C$55*$C$2*$K$2/5*$U$4,0)&amp;" "&amp;$I$2</f>
        <v>+5 Armor</v>
      </c>
      <c r="W4" s="101" t="str">
        <f>"+"&amp;ROUND(MAIN!$D$55*$C$2*$K$2/5*$U$4,0)&amp;" "&amp;$I$2</f>
        <v>+8 Armor</v>
      </c>
      <c r="X4" s="101" t="str">
        <f>"+"&amp;ROUND(MAIN!$E$55*$C$2*$K$2/5*$U$4,0)&amp;" "&amp;$I$2</f>
        <v>+13 Armor</v>
      </c>
      <c r="Y4" s="101" t="str">
        <f>"+"&amp;ROUND(MAIN!$F$55*$C$2*$K$2/5*$U$4,0)&amp;" "&amp;$I$2</f>
        <v>+22 Armor</v>
      </c>
      <c r="Z4" s="101" t="str">
        <f>"+"&amp;ROUND(MAIN!$G$55*$C$2*$K$2/5*$U$4,0)&amp;" "&amp;$I$2</f>
        <v>+37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"+"&amp;ROUND(MAIN!$C$55*$C$2*$K$2/5*$U$5,0)&amp;" "&amp;$I$2</f>
        <v>+10 Armor</v>
      </c>
      <c r="W5" s="101" t="str">
        <f>"+"&amp;ROUND(MAIN!$D$55*$C$2*$K$2/5*$U$5,0)&amp;" "&amp;$I$2</f>
        <v>+16 Armor</v>
      </c>
      <c r="X5" s="101" t="str">
        <f>"+"&amp;ROUND(MAIN!$E$55*$C$2*$K$2/5*$U$5,0)&amp;" "&amp;$I$2</f>
        <v>+26 Armor</v>
      </c>
      <c r="Y5" s="101" t="str">
        <f>"+"&amp;ROUND(MAIN!$F$55*$C$2*$K$2/5*$U$5,0)&amp;" "&amp;$I$2</f>
        <v>+44 Armor</v>
      </c>
      <c r="Z5" s="101" t="str">
        <f>"+"&amp;ROUND(MAIN!$G$55*$C$2*$K$2/5*$U$5,0)&amp;"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+15 Armor</v>
      </c>
      <c r="W6" s="101" t="str">
        <f>"+"&amp;ROUND(MAIN!$D$55*$C$2*$K$2/5*$U$6,0)&amp;" "&amp;$I$2</f>
        <v>+24 Armor</v>
      </c>
      <c r="X6" s="101" t="str">
        <f>"+"&amp;ROUND(MAIN!$E$55*$C$2*$K$2/5*$U$6,0)&amp;" "&amp;$I$2</f>
        <v>+39 Armor</v>
      </c>
      <c r="Y6" s="101" t="str">
        <f>"+"&amp;ROUND(MAIN!$F$55*$C$2*$K$2/5*$U$6,0)&amp;" "&amp;$I$2</f>
        <v>+66 Armor</v>
      </c>
      <c r="Z6" s="101" t="str">
        <f>"+"&amp;ROUND(MAIN!$G$55*$C$2*$K$2/5*$U$6,0)&amp;" "&amp;$I$2</f>
        <v>+111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+20 Armor</v>
      </c>
      <c r="W7" s="101" t="str">
        <f>"+"&amp;ROUND(MAIN!$D$55*$C$2*$K$2/5*$U$7,0)&amp;" "&amp;$I$2</f>
        <v>+32 Armor</v>
      </c>
      <c r="X7" s="101" t="str">
        <f>"+"&amp;ROUND(MAIN!$E$55*$C$2*$K$2/5*$U$7,0)&amp;" "&amp;$I$2</f>
        <v>+52 Armor</v>
      </c>
      <c r="Y7" s="101" t="str">
        <f>"+"&amp;ROUND(MAIN!$F$55*$C$2*$K$2/5*$U$7,0)&amp;" "&amp;$I$2</f>
        <v>+88 Armor</v>
      </c>
      <c r="Z7" s="101" t="str">
        <f>"+"&amp;ROUND(MAIN!$G$55*$C$2*$K$2/5*$U$7,0)&amp;" "&amp;$I$2</f>
        <v>+148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+25 Armor</v>
      </c>
      <c r="W8" s="101" t="str">
        <f>"+"&amp;ROUND(MAIN!$D$55*$C$2*$K$2/5*$U$8,0)&amp;" "&amp;$I$2</f>
        <v>+40 Armor</v>
      </c>
      <c r="X8" s="101" t="str">
        <f>"+"&amp;ROUND(MAIN!$E$55*$C$2*$K$2/5*$U$8,0)&amp;" "&amp;$I$2</f>
        <v>+65 Armor</v>
      </c>
      <c r="Y8" s="101" t="str">
        <f>"+"&amp;ROUND(MAIN!$F$55*$C$2*$K$2/5*$U$8,0)&amp;" "&amp;$I$2</f>
        <v>+110 Armor</v>
      </c>
      <c r="Z8" s="101" t="str">
        <f>"+"&amp;ROUND(MAIN!$G$55*$C$2*$K$2/5*$U$8,0)&amp;" "&amp;$I$2</f>
        <v>+185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&amp;6"&amp;(MAIN!$F$2+(MAIN!$E$18+MAIN!$E$19)/2*MAIN!$B$9+(MAIN!$E$20+MAIN!$E$21)/2*MAIN!$B$8+(MAIN!$E$58*MAIN!$B$11)+($C$2*MAIN!$B$10))/10&amp;" &amp;aAlmakos'"</f>
        <v xml:space="preserve">  - '&amp;aVenta: &amp;6388 &amp;aAlmakos'</v>
      </c>
      <c r="B62" s="20"/>
      <c r="C62" s="20"/>
      <c r="D62" s="20"/>
      <c r="E62" s="20" t="str">
        <f>"  - '&amp;aVenta: &amp;6"&amp;(MAIN!$G$2+(MAIN!$E$18+MAIN!$E$19)/2*MAIN!$B$9+(MAIN!$E$20+MAIN!$E$21)/2*MAIN!$B$8+(MAIN!$E$58*MAIN!$B$11)+($C$2*MAIN!$B$10))/10&amp;" &amp;aAlmakos'"</f>
        <v xml:space="preserve">  - '&amp;aVenta: &amp;6389 &amp;aAlmakos'</v>
      </c>
      <c r="F62" s="20"/>
      <c r="G62" s="20"/>
      <c r="H62" s="20"/>
      <c r="I62" s="20" t="str">
        <f>"  - '&amp;aVenta: &amp;6"&amp;(MAIN!$H$2+(MAIN!$E$18+MAIN!$E$19)/2*MAIN!$B$9+(MAIN!$E$20+MAIN!$E$21)/2*MAIN!$B$8+(MAIN!$E$58*MAIN!$B$11)+($C$2*MAIN!$B$10))/10&amp;" &amp;aAlmakos'"</f>
        <v xml:space="preserve">  - '&amp;aVenta: &amp;6390 &amp;aAlmakos'</v>
      </c>
      <c r="J62" s="20"/>
      <c r="K62" s="20"/>
      <c r="L62" s="20"/>
      <c r="M62" s="20" t="str">
        <f>"  - '&amp;aVenta: &amp;6"&amp;(MAIN!$I$2+(MAIN!$E$18+MAIN!$E$19)/2*MAIN!$B$9+(MAIN!$E$20+MAIN!$E$21)/2*MAIN!$B$8+(MAIN!$E$58*MAIN!$B$11)+($C$2*MAIN!$B$10))/10&amp;" &amp;aAlmakos'"</f>
        <v xml:space="preserve">  - '&amp;aVenta: &amp;6391 &amp;aAlmakos'</v>
      </c>
      <c r="N62" s="20"/>
      <c r="O62" s="20"/>
      <c r="P62" s="20"/>
      <c r="Q62" s="20" t="str">
        <f>"  - '&amp;aVenta: &amp;6"&amp;(MAIN!$J$2+(MAIN!$E$18+MAIN!$E$19)/2*MAIN!$B$9+(MAIN!$E$20+MAIN!$E$21)/2*MAIN!$B$8+(MAIN!$E$58*MAIN!$B$11)+($C$2*MAIN!$B$10))/10&amp;" &amp;aAlmakos'"</f>
        <v xml:space="preserve">  - '&amp;aVenta: &amp;6393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6"/>
  <dimension ref="A1:Z189"/>
  <sheetViews>
    <sheetView topLeftCell="A68" workbookViewId="0">
      <selection activeCell="A79" sqref="A79:XFD81"/>
    </sheetView>
  </sheetViews>
  <sheetFormatPr baseColWidth="10" defaultColWidth="11.42578125" defaultRowHeight="15"/>
  <cols>
    <col min="1" max="16384" width="11.42578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102</v>
      </c>
      <c r="B2" s="195"/>
      <c r="C2" s="195">
        <f>'ECONOMIA &amp; PROFESIONES'!$P$3</f>
        <v>5</v>
      </c>
      <c r="D2" s="195"/>
      <c r="E2" s="195" t="s">
        <v>81</v>
      </c>
      <c r="F2" s="195"/>
      <c r="G2" s="195" t="s">
        <v>103</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&amp;6"&amp;(MAIN!$F$3+(MAIN!$E$18+MAIN!$E$19)/2*MAIN!$B$9+(MAIN!$E$20+MAIN!$E$21)/2*MAIN!$B$8+(MAIN!$E$69*MAIN!$B$11)+($C$2*MAIN!$B$10))/10&amp;" &amp;aAlmakos'"</f>
        <v xml:space="preserve">  - '&amp;aVenta: &amp;6410.8 &amp;aAlmakos'</v>
      </c>
      <c r="B62" s="20"/>
      <c r="C62" s="20"/>
      <c r="D62" s="20"/>
      <c r="E62" s="20" t="str">
        <f>"  - '&amp;aVenta: &amp;6"&amp;(MAIN!$G$3+(MAIN!$E$18+MAIN!$E$19)/2*MAIN!$B$9+(MAIN!$E$20+MAIN!$E$21)/2*MAIN!$B$8+(MAIN!$E$69*MAIN!$B$11)+($C$2*MAIN!$B$10))/10&amp;" &amp;aAlmakos'"</f>
        <v xml:space="preserve">  - '&amp;aVenta: &amp;6412.4 &amp;aAlmakos'</v>
      </c>
      <c r="F62" s="20"/>
      <c r="G62" s="20"/>
      <c r="H62" s="20"/>
      <c r="I62" s="20" t="str">
        <f>"  - '&amp;aVenta: &amp;6"&amp;(MAIN!$H$3+(MAIN!$E$18+MAIN!$E$19)/2*MAIN!$B$9+(MAIN!$E$20+MAIN!$E$21)/2*MAIN!$B$8+(MAIN!$E$69*MAIN!$B$11)+($C$2*MAIN!$B$10))/10&amp;" &amp;aAlmakos'"</f>
        <v xml:space="preserve">  - '&amp;aVenta: &amp;6414 &amp;aAlmakos'</v>
      </c>
      <c r="J62" s="20"/>
      <c r="K62" s="20"/>
      <c r="L62" s="20"/>
      <c r="M62" s="20" t="str">
        <f>"  - '&amp;aVenta: &amp;6"&amp;(MAIN!$I$3+(MAIN!$E$18+MAIN!$E$19)/2*MAIN!$B$9+(MAIN!$E$20+MAIN!$E$21)/2*MAIN!$B$8+(MAIN!$E$69*MAIN!$B$11)+($C$2*MAIN!$B$10))/10&amp;" &amp;aAlmakos'"</f>
        <v xml:space="preserve">  - '&amp;aVenta: &amp;6415.6 &amp;aAlmakos'</v>
      </c>
      <c r="N62" s="20"/>
      <c r="O62" s="20"/>
      <c r="P62" s="20"/>
      <c r="Q62" s="20" t="str">
        <f>"  - '&amp;aVenta: &amp;6"&amp;(MAIN!$J$3+(MAIN!$E$18+MAIN!$E$19)/2*MAIN!$B$9+(MAIN!$E$20+MAIN!$E$21)/2*MAIN!$B$8+(MAIN!$E$69*MAIN!$B$11)+($C$2*MAIN!$B$10))/10&amp;" &amp;aAlmakos'"</f>
        <v xml:space="preserve">  - '&amp;aVenta: &amp;6418.8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7"/>
  <dimension ref="A1:Z189"/>
  <sheetViews>
    <sheetView topLeftCell="A64" workbookViewId="0">
      <selection activeCell="A79" sqref="A79:XFD81"/>
    </sheetView>
  </sheetViews>
  <sheetFormatPr baseColWidth="10" defaultColWidth="11.5703125" defaultRowHeight="15"/>
  <cols>
    <col min="1" max="16384" width="11.5703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102</v>
      </c>
      <c r="B2" s="195"/>
      <c r="C2" s="195">
        <f>'ECONOMIA &amp; PROFESIONES'!$P$3</f>
        <v>5</v>
      </c>
      <c r="D2" s="195"/>
      <c r="E2" s="195" t="s">
        <v>81</v>
      </c>
      <c r="F2" s="195"/>
      <c r="G2" s="195" t="s">
        <v>103</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&amp;6"&amp;(MAIN!$F$4+(MAIN!$E$18+MAIN!$E$19)/2*MAIN!$B$9+(MAIN!$E$20+MAIN!$E$21)/2*MAIN!$B$8+(MAIN!$E$80*MAIN!$B$11)+($C$2*MAIN!$B$10))/10&amp;" &amp;aAlmakos'"</f>
        <v xml:space="preserve">  - '&amp;aVenta: &amp;6403.2 &amp;aAlmakos'</v>
      </c>
      <c r="B62" s="20"/>
      <c r="C62" s="20"/>
      <c r="D62" s="20"/>
      <c r="E62" s="20" t="str">
        <f>"  - '&amp;aVenta: &amp;6"&amp;(MAIN!$G$4+(MAIN!$E$18+MAIN!$E$19)/2*MAIN!$B$9+(MAIN!$E$20+MAIN!$E$21)/2*MAIN!$B$8+(MAIN!$E$80*MAIN!$B$11)+($C$2*MAIN!$B$10))/10&amp;" &amp;aAlmakos'"</f>
        <v xml:space="preserve">  - '&amp;aVenta: &amp;6404.6 &amp;aAlmakos'</v>
      </c>
      <c r="F62" s="20"/>
      <c r="G62" s="20"/>
      <c r="H62" s="20"/>
      <c r="I62" s="20" t="str">
        <f>"  - '&amp;aVenta: &amp;6"&amp;(MAIN!$H$4+(MAIN!$E$18+MAIN!$E$19)/2*MAIN!$B$9+(MAIN!$E$20+MAIN!$E$21)/2*MAIN!$B$8+(MAIN!$E$80*MAIN!$B$11)+($C$2*MAIN!$B$10))/10&amp;" &amp;aAlmakos'"</f>
        <v xml:space="preserve">  - '&amp;aVenta: &amp;6406 &amp;aAlmakos'</v>
      </c>
      <c r="J62" s="20"/>
      <c r="K62" s="20"/>
      <c r="L62" s="20"/>
      <c r="M62" s="20" t="str">
        <f>"  - '&amp;aVenta: &amp;6"&amp;(MAIN!$I$4+(MAIN!$E$18+MAIN!$E$19)/2*MAIN!$B$9+(MAIN!$E$20+MAIN!$E$21)/2*MAIN!$B$8+(MAIN!$E$80*MAIN!$B$11)+($C$2*MAIN!$B$10))/10&amp;" &amp;aAlmakos'"</f>
        <v xml:space="preserve">  - '&amp;aVenta: &amp;6407.4 &amp;aAlmakos'</v>
      </c>
      <c r="N62" s="20"/>
      <c r="O62" s="20"/>
      <c r="P62" s="20"/>
      <c r="Q62" s="20" t="str">
        <f>"  - '&amp;aVenta: &amp;6"&amp;(MAIN!$J$4+(MAIN!$E$18+MAIN!$E$19)/2*MAIN!$B$9+(MAIN!$E$20+MAIN!$E$21)/2*MAIN!$B$8+(MAIN!$E$80*MAIN!$B$11)+($C$2*MAIN!$B$10))/10&amp;" &amp;aAlmakos'"</f>
        <v xml:space="preserve">  - '&amp;aVenta: &amp;6410.2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18"/>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102</v>
      </c>
      <c r="B2" s="195"/>
      <c r="C2" s="195">
        <f>'ECONOMIA &amp; PROFESIONES'!$P$3</f>
        <v>5</v>
      </c>
      <c r="D2" s="195"/>
      <c r="E2" s="195" t="s">
        <v>81</v>
      </c>
      <c r="F2" s="195"/>
      <c r="G2" s="195" t="s">
        <v>103</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&amp;6"&amp;(MAIN!$F$5+(MAIN!$E$18+MAIN!$E$19)/2*MAIN!$B$9+(MAIN!$E$20+MAIN!$E$21)/2*MAIN!$B$8+(MAIN!$E$91*MAIN!$B$11)+($C$2*MAIN!$B$10))/10&amp;" &amp;aAlmakos'"</f>
        <v xml:space="preserve">  - '&amp;aVenta: &amp;6380.4 &amp;aAlmakos'</v>
      </c>
      <c r="B62" s="20"/>
      <c r="C62" s="20"/>
      <c r="D62" s="20"/>
      <c r="E62" s="20" t="str">
        <f>"  - '&amp;aVenta: &amp;6"&amp;(MAIN!$G$5+(MAIN!$E$18+MAIN!$E$19)/2*MAIN!$B$9+(MAIN!$E$20+MAIN!$E$21)/2*MAIN!$B$8+(MAIN!$E$91*MAIN!$B$11)+($C$2*MAIN!$B$10))/10&amp;" &amp;aAlmakos'"</f>
        <v xml:space="preserve">  - '&amp;aVenta: &amp;6381.2 &amp;aAlmakos'</v>
      </c>
      <c r="F62" s="20"/>
      <c r="G62" s="20"/>
      <c r="H62" s="20"/>
      <c r="I62" s="20" t="str">
        <f>"  - '&amp;aVenta: &amp;6"&amp;(MAIN!$H$5+(MAIN!$E$18+MAIN!$E$19)/2*MAIN!$B$9+(MAIN!$E$20+MAIN!$E$21)/2*MAIN!$B$8+(MAIN!$E$91*MAIN!$B$11)+($C$2*MAIN!$B$10))/10&amp;" &amp;aAlmakos'"</f>
        <v xml:space="preserve">  - '&amp;aVenta: &amp;6382 &amp;aAlmakos'</v>
      </c>
      <c r="J62" s="20"/>
      <c r="K62" s="20"/>
      <c r="L62" s="20"/>
      <c r="M62" s="20" t="str">
        <f>"  - '&amp;aVenta: &amp;6"&amp;(MAIN!$I$5+(MAIN!$E$18+MAIN!$E$19)/2*MAIN!$B$9+(MAIN!$E$20+MAIN!$E$21)/2*MAIN!$B$8+(MAIN!$E$91*MAIN!$B$11)+($C$2*MAIN!$B$10))/10&amp;" &amp;aAlmakos'"</f>
        <v xml:space="preserve">  - '&amp;aVenta: &amp;6382.8 &amp;aAlmakos'</v>
      </c>
      <c r="N62" s="20"/>
      <c r="O62" s="20"/>
      <c r="P62" s="20"/>
      <c r="Q62" s="20" t="str">
        <f>"  - '&amp;aVenta: &amp;6"&amp;(MAIN!$J$5+(MAIN!$E$18+MAIN!$E$19)/2*MAIN!$B$9+(MAIN!$E$20+MAIN!$E$21)/2*MAIN!$B$8+(MAIN!$E$91*MAIN!$B$11)+($C$2*MAIN!$B$10))/10&amp;" &amp;aAlmakos'"</f>
        <v xml:space="preserve">  - '&amp;aVenta: &amp;6384.4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19"/>
  <dimension ref="A1:Z189"/>
  <sheetViews>
    <sheetView topLeftCell="T1" workbookViewId="0">
      <selection activeCell="Z4" sqref="Z4:Z8"/>
    </sheetView>
  </sheetViews>
  <sheetFormatPr baseColWidth="10" defaultColWidth="11.42578125" defaultRowHeight="15"/>
  <cols>
    <col min="1" max="16384" width="11.42578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104</v>
      </c>
      <c r="B2" s="195"/>
      <c r="C2" s="195">
        <f>'ECONOMIA &amp; PROFESIONES'!$Q$3</f>
        <v>7</v>
      </c>
      <c r="D2" s="195"/>
      <c r="E2" s="195" t="s">
        <v>81</v>
      </c>
      <c r="F2" s="195"/>
      <c r="G2" s="195" t="s">
        <v>3</v>
      </c>
      <c r="H2" s="195"/>
      <c r="I2" s="195" t="str">
        <f>MAIN!$J$42</f>
        <v>&amp;4Poder de Arma:</v>
      </c>
      <c r="J2" s="195"/>
      <c r="K2" s="195">
        <f>MAIN!$L$42</f>
        <v>2</v>
      </c>
      <c r="L2" s="195"/>
    </row>
    <row r="3" spans="1:26" ht="29.25" customHeight="1">
      <c r="A3" s="249" t="s">
        <v>7</v>
      </c>
      <c r="B3" s="249"/>
      <c r="C3" s="249"/>
      <c r="D3" s="249"/>
      <c r="E3" s="249" t="s">
        <v>8</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$I$2&amp;" "&amp;ROUND(MAIN!$C$44*$C$2*$K$2/5*$U$4,0)</f>
        <v>&amp;4Poder de Arma: 6</v>
      </c>
      <c r="W4" s="101" t="str">
        <f>$I$2&amp;" "&amp;ROUND(MAIN!$D$44*$C$2*$K$2/5*$U$4,0)</f>
        <v>&amp;4Poder de Arma: 17</v>
      </c>
      <c r="X4" s="101" t="str">
        <f>$I$2&amp;" "&amp;ROUND(MAIN!$E$44*$C$2*$K$2/5*$U$4,0)</f>
        <v>&amp;4Poder de Arma: 50</v>
      </c>
      <c r="Y4" s="101" t="str">
        <f>$I$2&amp;" "&amp;ROUND(MAIN!$F$44*$C$2*$K$2/5*$U$4,0)</f>
        <v>&amp;4Poder de Arma: 151</v>
      </c>
      <c r="Z4" s="101" t="str">
        <f>$I$2&amp;" "&amp;ROUND(MAIN!$G$44*$C$2*$K$2/5*$U$4,0)</f>
        <v>&amp;4Poder de Arma: 454</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$I$2&amp;" "&amp;ROUND(MAIN!$C$44*$C$2*$K$2/5*$U$5,0)</f>
        <v>&amp;4Poder de Arma: 11</v>
      </c>
      <c r="W5" s="101" t="str">
        <f>$I$2&amp;" "&amp;ROUND(MAIN!$D$44*$C$2*$K$2/5*$U$5,0)</f>
        <v>&amp;4Poder de Arma: 34</v>
      </c>
      <c r="X5" s="101" t="str">
        <f>$I$2&amp;" "&amp;ROUND(MAIN!$E$44*$C$2*$K$2/5*$U$5,0)</f>
        <v>&amp;4Poder de Arma: 101</v>
      </c>
      <c r="Y5" s="101" t="str">
        <f>$I$2&amp;" "&amp;ROUND(MAIN!$F$44*$C$2*$K$2/5*$U$5,0)</f>
        <v>&amp;4Poder de Arma: 302</v>
      </c>
      <c r="Z5" s="101" t="str">
        <f>$I$2&amp;" "&amp;ROUND(MAIN!$G$44*$C$2*$K$2/5*$U$5,0)</f>
        <v>&amp;4Poder de Arma: 907</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17</v>
      </c>
      <c r="W6" s="101" t="str">
        <f>$I$2&amp;" "&amp;ROUND(MAIN!$D$44*$C$2*$K$2/5*$U$6,0)</f>
        <v>&amp;4Poder de Arma: 50</v>
      </c>
      <c r="X6" s="101" t="str">
        <f>$I$2&amp;" "&amp;ROUND(MAIN!$E$44*$C$2*$K$2/5*$U$6,0)</f>
        <v>&amp;4Poder de Arma: 151</v>
      </c>
      <c r="Y6" s="101" t="str">
        <f>$I$2&amp;" "&amp;ROUND(MAIN!$F$44*$C$2*$K$2/5*$U$6,0)</f>
        <v>&amp;4Poder de Arma: 454</v>
      </c>
      <c r="Z6" s="101" t="str">
        <f>$I$2&amp;" "&amp;ROUND(MAIN!$G$44*$C$2*$K$2/5*$U$6,0)</f>
        <v>&amp;4Poder de Arma: 1361</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22</v>
      </c>
      <c r="W7" s="101" t="str">
        <f>$I$2&amp;" "&amp;ROUND(MAIN!$D$44*$C$2*$K$2/5*$U$7,0)</f>
        <v>&amp;4Poder de Arma: 67</v>
      </c>
      <c r="X7" s="101" t="str">
        <f>$I$2&amp;" "&amp;ROUND(MAIN!$E$44*$C$2*$K$2/5*$U$7,0)</f>
        <v>&amp;4Poder de Arma: 202</v>
      </c>
      <c r="Y7" s="101" t="str">
        <f>$I$2&amp;" "&amp;ROUND(MAIN!$F$44*$C$2*$K$2/5*$U$7,0)</f>
        <v>&amp;4Poder de Arma: 605</v>
      </c>
      <c r="Z7" s="101" t="str">
        <f>$I$2&amp;" "&amp;ROUND(MAIN!$G$44*$C$2*$K$2/5*$U$7,0)</f>
        <v>&amp;4Poder de Arma: 1814</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28</v>
      </c>
      <c r="W8" s="101" t="str">
        <f>$I$2&amp;" "&amp;ROUND(MAIN!$D$44*$C$2*$K$2/5*$U$8,0)</f>
        <v>&amp;4Poder de Arma: 84</v>
      </c>
      <c r="X8" s="101" t="str">
        <f>$I$2&amp;" "&amp;ROUND(MAIN!$E$44*$C$2*$K$2/5*$U$8,0)</f>
        <v>&amp;4Poder de Arma: 252</v>
      </c>
      <c r="Y8" s="101" t="str">
        <f>$I$2&amp;" "&amp;ROUND(MAIN!$F$44*$C$2*$K$2/5*$U$8,0)</f>
        <v>&amp;4Poder de Arma: 756</v>
      </c>
      <c r="Z8" s="101" t="str">
        <f>$I$2&amp;" "&amp;ROUND(MAIN!$G$44*$C$2*$K$2/5*$U$8,0)</f>
        <v>&amp;4Poder de Arma: 2268</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&amp;6"&amp;(MAIN!$D$2+(MAIN!$F$18+MAIN!$F$19)/2*MAIN!$B$9+(MAIN!$F$20+MAIN!$F$21)/2*MAIN!$B$8+(MAIN!$F$47*MAIN!$B$11)+($C$2*MAIN!$B$10))/10&amp;" &amp;aAlmakos'"</f>
        <v xml:space="preserve">  - '&amp;aVenta: &amp;6525.2 &amp;aAlmakos'</v>
      </c>
      <c r="B62" s="20"/>
      <c r="C62" s="20"/>
      <c r="D62" s="20"/>
      <c r="E62" s="20" t="str">
        <f>"  - '&amp;aVenta: &amp;6"&amp;(MAIN!$D$3+(MAIN!$F$18+MAIN!$F$19)/2*MAIN!$B$9+(MAIN!$F$20+MAIN!$F$21)/2*MAIN!$B$8+(MAIN!$F$47*MAIN!$B$11)+($C$2*MAIN!$B$10))/10&amp;" &amp;aAlmakos'"</f>
        <v xml:space="preserve">  - '&amp;aVenta: &amp;6525.6 &amp;aAlmakos'</v>
      </c>
      <c r="F62" s="20"/>
      <c r="G62" s="20"/>
      <c r="H62" s="20"/>
      <c r="I62" s="20" t="str">
        <f>"  - '&amp;aVenta: &amp;6"&amp;(MAIN!$D$4+(MAIN!$F$18+MAIN!$F$19)/2*MAIN!$B$9+(MAIN!$F$20+MAIN!$F$21)/2*MAIN!$B$8+(MAIN!$F$47*MAIN!$B$11)+($C$2*MAIN!$B$10))/10&amp;" &amp;aAlmakos'"</f>
        <v xml:space="preserve">  - '&amp;aVenta: &amp;6526 &amp;aAlmakos'</v>
      </c>
      <c r="J62" s="20"/>
      <c r="K62" s="20"/>
      <c r="L62" s="20"/>
      <c r="M62" s="20" t="str">
        <f>"  - '&amp;aVenta: &amp;6"&amp;(MAIN!$D$5+(MAIN!$F$18+MAIN!$F$19)/2*MAIN!$B$9+(MAIN!$F$20+MAIN!$F$21)/2*MAIN!$B$8+(MAIN!$F$47*MAIN!$B$11)+($C$2*MAIN!$B$10))/10&amp;" &amp;aAlmakos'"</f>
        <v xml:space="preserve">  - '&amp;aVenta: &amp;6526.4 &amp;aAlmakos'</v>
      </c>
      <c r="N62" s="20"/>
      <c r="O62" s="20"/>
      <c r="P62" s="20"/>
      <c r="Q62" s="20" t="str">
        <f>"  - '&amp;aVenta: &amp;6"&amp;(MAIN!$D$6+(MAIN!$F$18+MAIN!$F$19)/2*MAIN!$B$9+(MAIN!$F$20+MAIN!$F$21)/2*MAIN!$B$8+(MAIN!$F$47*MAIN!$B$11)+($C$2*MAIN!$B$10))/10&amp;" &amp;aAlmakos'"</f>
        <v xml:space="preserve">  - '&amp;aVenta: &amp;6527.2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0"/>
  <dimension ref="A1:Z189"/>
  <sheetViews>
    <sheetView topLeftCell="A67" workbookViewId="0">
      <selection activeCell="A79" sqref="A79:XFD81"/>
    </sheetView>
  </sheetViews>
  <sheetFormatPr baseColWidth="10" defaultColWidth="11.42578125" defaultRowHeight="15"/>
  <cols>
    <col min="1" max="16384" width="11.42578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104</v>
      </c>
      <c r="B2" s="195"/>
      <c r="C2" s="195">
        <f>'ECONOMIA &amp; PROFESIONES'!$Q$3</f>
        <v>7</v>
      </c>
      <c r="D2" s="195"/>
      <c r="E2" s="195" t="s">
        <v>81</v>
      </c>
      <c r="F2" s="195"/>
      <c r="G2" s="195" t="s">
        <v>3</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"+"&amp;ROUND(MAIN!$C$55*$C$2*$K$2/5*$U$4,0)&amp;" "&amp;$I$2</f>
        <v>+7 Armor</v>
      </c>
      <c r="W4" s="101" t="str">
        <f>"+"&amp;ROUND(MAIN!$D$55*$C$2*$K$2/5*$U$4,0)&amp;" "&amp;$I$2</f>
        <v>+11 Armor</v>
      </c>
      <c r="X4" s="101" t="str">
        <f>"+"&amp;ROUND(MAIN!$E$55*$C$2*$K$2/5*$U$4,0)&amp;" "&amp;$I$2</f>
        <v>+18 Armor</v>
      </c>
      <c r="Y4" s="101" t="str">
        <f>"+"&amp;ROUND(MAIN!$F$55*$C$2*$K$2/5*$U$4,0)&amp;" "&amp;$I$2</f>
        <v>+31 Armor</v>
      </c>
      <c r="Z4" s="101" t="str">
        <f>"+"&amp;ROUND(MAIN!$G$55*$C$2*$K$2/5*$U$4,0)&amp;" "&amp;$I$2</f>
        <v>+52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"+"&amp;ROUND(MAIN!$C$55*$C$2*$K$2/5*$U$5,0)&amp;" "&amp;$I$2</f>
        <v>+14 Armor</v>
      </c>
      <c r="W5" s="101" t="str">
        <f>"+"&amp;ROUND(MAIN!$D$55*$C$2*$K$2/5*$U$5,0)&amp;" "&amp;$I$2</f>
        <v>+22 Armor</v>
      </c>
      <c r="X5" s="101" t="str">
        <f>"+"&amp;ROUND(MAIN!$E$55*$C$2*$K$2/5*$U$5,0)&amp;" "&amp;$I$2</f>
        <v>+36 Armor</v>
      </c>
      <c r="Y5" s="101" t="str">
        <f>"+"&amp;ROUND(MAIN!$F$55*$C$2*$K$2/5*$U$5,0)&amp;" "&amp;$I$2</f>
        <v>+62 Armor</v>
      </c>
      <c r="Z5" s="101" t="str">
        <f>"+"&amp;ROUND(MAIN!$G$55*$C$2*$K$2/5*$U$5,0)&amp;" "&amp;$I$2</f>
        <v>+104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+21 Armor</v>
      </c>
      <c r="W6" s="101" t="str">
        <f>"+"&amp;ROUND(MAIN!$D$55*$C$2*$K$2/5*$U$6,0)&amp;" "&amp;$I$2</f>
        <v>+34 Armor</v>
      </c>
      <c r="X6" s="101" t="str">
        <f>"+"&amp;ROUND(MAIN!$E$55*$C$2*$K$2/5*$U$6,0)&amp;" "&amp;$I$2</f>
        <v>+55 Armor</v>
      </c>
      <c r="Y6" s="101" t="str">
        <f>"+"&amp;ROUND(MAIN!$F$55*$C$2*$K$2/5*$U$6,0)&amp;" "&amp;$I$2</f>
        <v>+92 Armor</v>
      </c>
      <c r="Z6" s="101" t="str">
        <f>"+"&amp;ROUND(MAIN!$G$55*$C$2*$K$2/5*$U$6,0)&amp;" "&amp;$I$2</f>
        <v>+155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+28 Armor</v>
      </c>
      <c r="W7" s="101" t="str">
        <f>"+"&amp;ROUND(MAIN!$D$55*$C$2*$K$2/5*$U$7,0)&amp;" "&amp;$I$2</f>
        <v>+45 Armor</v>
      </c>
      <c r="X7" s="101" t="str">
        <f>"+"&amp;ROUND(MAIN!$E$55*$C$2*$K$2/5*$U$7,0)&amp;" "&amp;$I$2</f>
        <v>+73 Armor</v>
      </c>
      <c r="Y7" s="101" t="str">
        <f>"+"&amp;ROUND(MAIN!$F$55*$C$2*$K$2/5*$U$7,0)&amp;" "&amp;$I$2</f>
        <v>+123 Armor</v>
      </c>
      <c r="Z7" s="101" t="str">
        <f>"+"&amp;ROUND(MAIN!$G$55*$C$2*$K$2/5*$U$7,0)&amp;" "&amp;$I$2</f>
        <v>+207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+35 Armor</v>
      </c>
      <c r="W8" s="101" t="str">
        <f>"+"&amp;ROUND(MAIN!$D$55*$C$2*$K$2/5*$U$8,0)&amp;" "&amp;$I$2</f>
        <v>+56 Armor</v>
      </c>
      <c r="X8" s="101" t="str">
        <f>"+"&amp;ROUND(MAIN!$E$55*$C$2*$K$2/5*$U$8,0)&amp;" "&amp;$I$2</f>
        <v>+91 Armor</v>
      </c>
      <c r="Y8" s="101" t="str">
        <f>"+"&amp;ROUND(MAIN!$F$55*$C$2*$K$2/5*$U$8,0)&amp;" "&amp;$I$2</f>
        <v>+154 Armor</v>
      </c>
      <c r="Z8" s="101" t="str">
        <f>"+"&amp;ROUND(MAIN!$G$55*$C$2*$K$2/5*$U$8,0)&amp;" "&amp;$I$2</f>
        <v>+259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49" t="str">
        <f>"  - '&amp;aVenta: &amp;6"&amp;(MAIN!$F$2+(MAIN!$F$18+MAIN!$F$19)/2*MAIN!$B$9+(MAIN!$F$20+MAIN!$F$21)/2*MAIN!$B$8+(MAIN!$F$58*MAIN!$B$11)+($C$2*MAIN!$B$10))/10&amp;" &amp;aAlmakos'"</f>
        <v xml:space="preserve">  - '&amp;aVenta: &amp;6563 &amp;aAlmakos'</v>
      </c>
      <c r="B62" s="20"/>
      <c r="C62" s="20"/>
      <c r="D62" s="20"/>
      <c r="E62" s="20" t="str">
        <f>"  - '&amp;aVenta: &amp;6"&amp;(MAIN!$G$2+(MAIN!$F$18+MAIN!$F$19)/2*MAIN!$B$9+(MAIN!$F$20+MAIN!$F$21)/2*MAIN!$B$8+(MAIN!$F$58*MAIN!$B$11)+($C$2*MAIN!$B$10))/10&amp;" &amp;aAlmakos'"</f>
        <v xml:space="preserve">  - '&amp;aVenta: &amp;6564 &amp;aAlmakos'</v>
      </c>
      <c r="F62" s="20"/>
      <c r="G62" s="20"/>
      <c r="H62" s="20"/>
      <c r="I62" s="20" t="str">
        <f>"  - '&amp;aVenta: &amp;6"&amp;(MAIN!$H$2+(MAIN!$F$18+MAIN!$F$19)/2*MAIN!$B$9+(MAIN!$F$20+MAIN!$F$21)/2*MAIN!$B$8+(MAIN!$F$58*MAIN!$B$11)+($C$2*MAIN!$B$10))/10&amp;" &amp;aAlmakos'"</f>
        <v xml:space="preserve">  - '&amp;aVenta: &amp;6565 &amp;aAlmakos'</v>
      </c>
      <c r="J62" s="20"/>
      <c r="K62" s="20"/>
      <c r="L62" s="20"/>
      <c r="M62" s="20" t="str">
        <f>"  - '&amp;aVenta: &amp;6"&amp;(MAIN!$I$2+(MAIN!$F$18+MAIN!$F$19)/2*MAIN!$B$9+(MAIN!$F$20+MAIN!$F$21)/2*MAIN!$B$8+(MAIN!$F$58*MAIN!$B$11)+($C$2*MAIN!$B$10))/10&amp;" &amp;aAlmakos'"</f>
        <v xml:space="preserve">  - '&amp;aVenta: &amp;6566 &amp;aAlmakos'</v>
      </c>
      <c r="N62" s="20"/>
      <c r="O62" s="20"/>
      <c r="P62" s="20"/>
      <c r="Q62" s="20" t="str">
        <f>"  - '&amp;aVenta: &amp;6"&amp;(MAIN!$J$2+(MAIN!$F$18+MAIN!$F$19)/2*MAIN!$B$9+(MAIN!$F$20+MAIN!$F$21)/2*MAIN!$B$8+(MAIN!$F$58*MAIN!$B$11)+($C$2*MAIN!$B$10))/10&amp;" &amp;aAlmakos'"</f>
        <v xml:space="preserve">  - '&amp;aVenta: &amp;6568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1"/>
  <dimension ref="A1:Z189"/>
  <sheetViews>
    <sheetView topLeftCell="A70" workbookViewId="0">
      <selection activeCell="A79" sqref="A79:XFD81"/>
    </sheetView>
  </sheetViews>
  <sheetFormatPr baseColWidth="10" defaultColWidth="11.42578125" defaultRowHeight="15"/>
  <cols>
    <col min="1" max="16384" width="11.42578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104</v>
      </c>
      <c r="B2" s="195"/>
      <c r="C2" s="195">
        <f>'ECONOMIA &amp; PROFESIONES'!$Q$3</f>
        <v>7</v>
      </c>
      <c r="D2" s="195"/>
      <c r="E2" s="195" t="s">
        <v>81</v>
      </c>
      <c r="F2" s="195"/>
      <c r="G2" s="195" t="s">
        <v>3</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&amp;6"&amp;(MAIN!$F$3+(MAIN!$F$18+MAIN!$F$19)/2*MAIN!$B$9+(MAIN!$F$20+MAIN!$F$21)/2*MAIN!$B$8+(MAIN!$F$69*MAIN!$B$11)+($C$2*MAIN!$B$10))/10&amp;" &amp;aAlmakos'"</f>
        <v xml:space="preserve">  - '&amp;aVenta: &amp;6600.8 &amp;aAlmakos'</v>
      </c>
      <c r="B62" s="20"/>
      <c r="C62" s="20"/>
      <c r="D62" s="20"/>
      <c r="E62" s="20" t="str">
        <f>"  - '&amp;aVenta: &amp;6"&amp;(MAIN!$G$3+(MAIN!$F$18+MAIN!$F$19)/2*MAIN!$B$9+(MAIN!$F$20+MAIN!$F$21)/2*MAIN!$B$8+(MAIN!$F$69*MAIN!$B$11)+($C$2*MAIN!$B$10))/10&amp;" &amp;aAlmakos'"</f>
        <v xml:space="preserve">  - '&amp;aVenta: &amp;6602.4 &amp;aAlmakos'</v>
      </c>
      <c r="F62" s="20"/>
      <c r="G62" s="20"/>
      <c r="H62" s="20"/>
      <c r="I62" s="20" t="str">
        <f>"  - '&amp;aVenta: &amp;6"&amp;(MAIN!$H$3+(MAIN!$F$18+MAIN!$F$19)/2*MAIN!$B$9+(MAIN!$F$20+MAIN!$F$21)/2*MAIN!$B$8+(MAIN!$F$69*MAIN!$B$11)+($C$2*MAIN!$B$10))/10&amp;" &amp;aAlmakos'"</f>
        <v xml:space="preserve">  - '&amp;aVenta: &amp;6604 &amp;aAlmakos'</v>
      </c>
      <c r="J62" s="20"/>
      <c r="K62" s="20"/>
      <c r="L62" s="20"/>
      <c r="M62" s="20" t="str">
        <f>"  - '&amp;aVenta: &amp;6"&amp;(MAIN!$I$3+(MAIN!$F$18+MAIN!$F$19)/2*MAIN!$B$9+(MAIN!$F$20+MAIN!$F$21)/2*MAIN!$B$8+(MAIN!$F$69*MAIN!$B$11)+($C$2*MAIN!$B$10))/10&amp;" &amp;aAlmakos'"</f>
        <v xml:space="preserve">  - '&amp;aVenta: &amp;6605.6 &amp;aAlmakos'</v>
      </c>
      <c r="N62" s="20"/>
      <c r="O62" s="20"/>
      <c r="P62" s="20"/>
      <c r="Q62" s="20" t="str">
        <f>"  - '&amp;aVenta: &amp;6"&amp;(MAIN!$J$3+(MAIN!$F$18+MAIN!$F$19)/2*MAIN!$B$9+(MAIN!$F$20+MAIN!$F$21)/2*MAIN!$B$8+(MAIN!$F$69*MAIN!$B$11)+($C$2*MAIN!$B$10))/10&amp;" &amp;aAlmakos'"</f>
        <v xml:space="preserve">  - '&amp;aVenta: &amp;6608.8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2"/>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104</v>
      </c>
      <c r="B2" s="195"/>
      <c r="C2" s="195">
        <f>'ECONOMIA &amp; PROFESIONES'!$Q$3</f>
        <v>7</v>
      </c>
      <c r="D2" s="195"/>
      <c r="E2" s="195" t="s">
        <v>81</v>
      </c>
      <c r="F2" s="195"/>
      <c r="G2" s="195" t="s">
        <v>3</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&amp;6"&amp;(MAIN!$F$4+(MAIN!$F$18+MAIN!$F$19)/2*MAIN!$B$9+(MAIN!$F$20+MAIN!$F$21)/2*MAIN!$B$8+(MAIN!$F$80*MAIN!$B$11)+($C$2*MAIN!$B$10))/10&amp;" &amp;aAlmakos'"</f>
        <v xml:space="preserve">  - '&amp;aVenta: &amp;6588.2 &amp;aAlmakos'</v>
      </c>
      <c r="B62" s="20"/>
      <c r="C62" s="20"/>
      <c r="D62" s="20"/>
      <c r="E62" s="20" t="str">
        <f>"  - '&amp;aVenta: &amp;6"&amp;(MAIN!$G$4+(MAIN!$F$18+MAIN!$F$19)/2*MAIN!$B$9+(MAIN!$F$20+MAIN!$F$21)/2*MAIN!$B$8+(MAIN!$F$80*MAIN!$B$11)+($C$2*MAIN!$B$10))/10&amp;" &amp;aAlmakos'"</f>
        <v xml:space="preserve">  - '&amp;aVenta: &amp;6589.6 &amp;aAlmakos'</v>
      </c>
      <c r="F62" s="20"/>
      <c r="G62" s="20"/>
      <c r="H62" s="20"/>
      <c r="I62" s="20" t="str">
        <f>"  - '&amp;aVenta: &amp;6"&amp;(MAIN!$H$4+(MAIN!$F$18+MAIN!$F$19)/2*MAIN!$B$9+(MAIN!$F$20+MAIN!$F$21)/2*MAIN!$B$8+(MAIN!$F$80*MAIN!$B$11)+($C$2*MAIN!$B$10))/10&amp;" &amp;aAlmakos'"</f>
        <v xml:space="preserve">  - '&amp;aVenta: &amp;6591 &amp;aAlmakos'</v>
      </c>
      <c r="J62" s="20"/>
      <c r="K62" s="20"/>
      <c r="L62" s="20"/>
      <c r="M62" s="20" t="str">
        <f>"  - '&amp;aVenta: &amp;6"&amp;(MAIN!$I$4+(MAIN!$F$18+MAIN!$F$19)/2*MAIN!$B$9+(MAIN!$F$20+MAIN!$F$21)/2*MAIN!$B$8+(MAIN!$F$80*MAIN!$B$11)+($C$2*MAIN!$B$10))/10&amp;" &amp;aAlmakos'"</f>
        <v xml:space="preserve">  - '&amp;aVenta: &amp;6592.4 &amp;aAlmakos'</v>
      </c>
      <c r="N62" s="20"/>
      <c r="O62" s="20"/>
      <c r="P62" s="20"/>
      <c r="Q62" s="20" t="str">
        <f>"  - '&amp;aVenta: &amp;6"&amp;(MAIN!$J$4+(MAIN!$F$18+MAIN!$F$19)/2*MAIN!$B$9+(MAIN!$F$20+MAIN!$F$21)/2*MAIN!$B$8+(MAIN!$F$80*MAIN!$B$11)+($C$2*MAIN!$B$10))/10&amp;" &amp;aAlmakos'"</f>
        <v xml:space="preserve">  - '&amp;aVenta: &amp;6595.2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3"/>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104</v>
      </c>
      <c r="B2" s="195"/>
      <c r="C2" s="195">
        <f>'ECONOMIA &amp; PROFESIONES'!$Q$3</f>
        <v>7</v>
      </c>
      <c r="D2" s="195"/>
      <c r="E2" s="195" t="s">
        <v>81</v>
      </c>
      <c r="F2" s="195"/>
      <c r="G2" s="195" t="s">
        <v>3</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&amp;6"&amp;(MAIN!$F$5+(MAIN!$F$18+MAIN!$F$19)/2*MAIN!$B$9+(MAIN!$F$20+MAIN!$F$21)/2*MAIN!$B$8+(MAIN!$F$91*MAIN!$B$11)+($C$2*MAIN!$B$10))/10&amp;" &amp;aAlmakos'"</f>
        <v xml:space="preserve">  - '&amp;aVenta: &amp;6550.4 &amp;aAlmakos'</v>
      </c>
      <c r="B62" s="20"/>
      <c r="C62" s="20"/>
      <c r="D62" s="20"/>
      <c r="E62" s="20" t="str">
        <f>"  - '&amp;aVenta: &amp;6"&amp;(MAIN!$G$5+(MAIN!$F$18+MAIN!$F$19)/2*MAIN!$B$9+(MAIN!$F$20+MAIN!$F$21)/2*MAIN!$B$8+(MAIN!$F$91*MAIN!$B$11)+($C$2*MAIN!$B$10))/10&amp;" &amp;aAlmakos'"</f>
        <v xml:space="preserve">  - '&amp;aVenta: &amp;6551.2 &amp;aAlmakos'</v>
      </c>
      <c r="F62" s="20"/>
      <c r="G62" s="20"/>
      <c r="H62" s="20"/>
      <c r="I62" s="20" t="str">
        <f>"  - '&amp;aVenta: &amp;6"&amp;(MAIN!$H$5+(MAIN!$F$18+MAIN!$F$19)/2*MAIN!$B$9+(MAIN!$F$20+MAIN!$F$21)/2*MAIN!$B$8+(MAIN!$F$91*MAIN!$B$11)+($C$2*MAIN!$B$10))/10&amp;" &amp;aAlmakos'"</f>
        <v xml:space="preserve">  - '&amp;aVenta: &amp;6552 &amp;aAlmakos'</v>
      </c>
      <c r="J62" s="20"/>
      <c r="K62" s="20"/>
      <c r="L62" s="20"/>
      <c r="M62" s="20" t="str">
        <f>"  - '&amp;aVenta: &amp;6"&amp;(MAIN!$I$5+(MAIN!$F$18+MAIN!$F$19)/2*MAIN!$B$9+(MAIN!$F$20+MAIN!$F$21)/2*MAIN!$B$8+(MAIN!$F$91*MAIN!$B$11)+($C$2*MAIN!$B$10))/10&amp;" &amp;aAlmakos'"</f>
        <v xml:space="preserve">  - '&amp;aVenta: &amp;6552.8 &amp;aAlmakos'</v>
      </c>
      <c r="N62" s="20"/>
      <c r="O62" s="20"/>
      <c r="P62" s="20"/>
      <c r="Q62" s="20" t="str">
        <f>"  - '&amp;aVenta: &amp;6"&amp;(MAIN!$J$5+(MAIN!$F$18+MAIN!$F$19)/2*MAIN!$B$9+(MAIN!$F$20+MAIN!$F$21)/2*MAIN!$B$8+(MAIN!$F$91*MAIN!$B$11)+($C$2*MAIN!$B$10))/10&amp;" &amp;aAlmakos'"</f>
        <v xml:space="preserve">  - '&amp;aVenta: &amp;6554.4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4"/>
  <dimension ref="A1:Z189"/>
  <sheetViews>
    <sheetView topLeftCell="S1" workbookViewId="0">
      <selection activeCell="Z4" sqref="Z4:Z8"/>
    </sheetView>
  </sheetViews>
  <sheetFormatPr baseColWidth="10" defaultColWidth="11.42578125" defaultRowHeight="15"/>
  <cols>
    <col min="1" max="16384" width="11.42578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105</v>
      </c>
      <c r="B2" s="195"/>
      <c r="C2" s="195">
        <f>'ECONOMIA &amp; PROFESIONES'!$R$3</f>
        <v>9</v>
      </c>
      <c r="D2" s="195"/>
      <c r="E2" s="195" t="s">
        <v>107</v>
      </c>
      <c r="F2" s="195"/>
      <c r="G2" s="195" t="s">
        <v>106</v>
      </c>
      <c r="H2" s="195"/>
      <c r="I2" s="195" t="str">
        <f>MAIN!$J$42</f>
        <v>&amp;4Poder de Arma:</v>
      </c>
      <c r="J2" s="195"/>
      <c r="K2" s="195">
        <f>MAIN!$L$42</f>
        <v>2</v>
      </c>
      <c r="L2" s="195"/>
    </row>
    <row r="3" spans="1:26" ht="29.25" customHeight="1">
      <c r="A3" s="249" t="s">
        <v>7</v>
      </c>
      <c r="B3" s="249"/>
      <c r="C3" s="249"/>
      <c r="D3" s="249"/>
      <c r="E3" s="249" t="s">
        <v>8</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$I$2&amp;" "&amp;ROUND(MAIN!$C$44*$C$2*$K$2/5*$U$4,0)</f>
        <v>&amp;4Poder de Arma: 7</v>
      </c>
      <c r="W4" s="101" t="str">
        <f>$I$2&amp;" "&amp;ROUND(MAIN!$D$44*$C$2*$K$2/5*$U$4,0)</f>
        <v>&amp;4Poder de Arma: 22</v>
      </c>
      <c r="X4" s="101" t="str">
        <f>$I$2&amp;" "&amp;ROUND(MAIN!$E$44*$C$2*$K$2/5*$U$4,0)</f>
        <v>&amp;4Poder de Arma: 65</v>
      </c>
      <c r="Y4" s="101" t="str">
        <f>$I$2&amp;" "&amp;ROUND(MAIN!$F$44*$C$2*$K$2/5*$U$4,0)</f>
        <v>&amp;4Poder de Arma: 194</v>
      </c>
      <c r="Z4" s="101" t="str">
        <f>$I$2&amp;" "&amp;ROUND(MAIN!$G$44*$C$2*$K$2/5*$U$4,0)</f>
        <v>&amp;4Poder de Arma: 583</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$I$2&amp;" "&amp;ROUND(MAIN!$C$44*$C$2*$K$2/5*$U$5,0)</f>
        <v>&amp;4Poder de Arma: 14</v>
      </c>
      <c r="W5" s="101" t="str">
        <f>$I$2&amp;" "&amp;ROUND(MAIN!$D$44*$C$2*$K$2/5*$U$5,0)</f>
        <v>&amp;4Poder de Arma: 43</v>
      </c>
      <c r="X5" s="101" t="str">
        <f>$I$2&amp;" "&amp;ROUND(MAIN!$E$44*$C$2*$K$2/5*$U$5,0)</f>
        <v>&amp;4Poder de Arma: 130</v>
      </c>
      <c r="Y5" s="101" t="str">
        <f>$I$2&amp;" "&amp;ROUND(MAIN!$F$44*$C$2*$K$2/5*$U$5,0)</f>
        <v>&amp;4Poder de Arma: 389</v>
      </c>
      <c r="Z5" s="101" t="str">
        <f>$I$2&amp;" "&amp;ROUND(MAIN!$G$44*$C$2*$K$2/5*$U$5,0)</f>
        <v>&amp;4Poder de Arma: 1166</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22</v>
      </c>
      <c r="W6" s="101" t="str">
        <f>$I$2&amp;" "&amp;ROUND(MAIN!$D$44*$C$2*$K$2/5*$U$6,0)</f>
        <v>&amp;4Poder de Arma: 65</v>
      </c>
      <c r="X6" s="101" t="str">
        <f>$I$2&amp;" "&amp;ROUND(MAIN!$E$44*$C$2*$K$2/5*$U$6,0)</f>
        <v>&amp;4Poder de Arma: 194</v>
      </c>
      <c r="Y6" s="101" t="str">
        <f>$I$2&amp;" "&amp;ROUND(MAIN!$F$44*$C$2*$K$2/5*$U$6,0)</f>
        <v>&amp;4Poder de Arma: 583</v>
      </c>
      <c r="Z6" s="101" t="str">
        <f>$I$2&amp;" "&amp;ROUND(MAIN!$G$44*$C$2*$K$2/5*$U$6,0)</f>
        <v>&amp;4Poder de Arma: 1750</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29</v>
      </c>
      <c r="W7" s="101" t="str">
        <f>$I$2&amp;" "&amp;ROUND(MAIN!$D$44*$C$2*$K$2/5*$U$7,0)</f>
        <v>&amp;4Poder de Arma: 86</v>
      </c>
      <c r="X7" s="101" t="str">
        <f>$I$2&amp;" "&amp;ROUND(MAIN!$E$44*$C$2*$K$2/5*$U$7,0)</f>
        <v>&amp;4Poder de Arma: 259</v>
      </c>
      <c r="Y7" s="101" t="str">
        <f>$I$2&amp;" "&amp;ROUND(MAIN!$F$44*$C$2*$K$2/5*$U$7,0)</f>
        <v>&amp;4Poder de Arma: 778</v>
      </c>
      <c r="Z7" s="101" t="str">
        <f>$I$2&amp;" "&amp;ROUND(MAIN!$G$44*$C$2*$K$2/5*$U$7,0)</f>
        <v>&amp;4Poder de Arma: 2333</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36</v>
      </c>
      <c r="W8" s="101" t="str">
        <f>$I$2&amp;" "&amp;ROUND(MAIN!$D$44*$C$2*$K$2/5*$U$8,0)</f>
        <v>&amp;4Poder de Arma: 108</v>
      </c>
      <c r="X8" s="101" t="str">
        <f>$I$2&amp;" "&amp;ROUND(MAIN!$E$44*$C$2*$K$2/5*$U$8,0)</f>
        <v>&amp;4Poder de Arma: 324</v>
      </c>
      <c r="Y8" s="101" t="str">
        <f>$I$2&amp;" "&amp;ROUND(MAIN!$F$44*$C$2*$K$2/5*$U$8,0)</f>
        <v>&amp;4Poder de Arma: 972</v>
      </c>
      <c r="Z8" s="101" t="str">
        <f>$I$2&amp;" "&amp;ROUND(MAIN!$G$44*$C$2*$K$2/5*$U$8,0)</f>
        <v>&amp;4Poder de Arma: 2916</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&amp;6"&amp;(MAIN!$D$2+(MAIN!$G$18+MAIN!$G$19)/2*MAIN!$B$9+(MAIN!$G$20+MAIN!$G$21)/2*MAIN!$B$8+(MAIN!$G$47*MAIN!$B$11)+($C$2*MAIN!$B$10))/10&amp;" &amp;aAlmakos'"</f>
        <v xml:space="preserve">  - '&amp;aVenta: &amp;6685.2 &amp;aAlmakos'</v>
      </c>
      <c r="B62" s="20"/>
      <c r="C62" s="20"/>
      <c r="D62" s="20"/>
      <c r="E62" s="20" t="str">
        <f>"  - '&amp;aVenta: &amp;6"&amp;(MAIN!$D$3+(MAIN!$G$18+MAIN!$G$19)/2*MAIN!$B$9+(MAIN!$G$20+MAIN!$G$21)/2*MAIN!$B$8+(MAIN!$G$47*MAIN!$B$11)+($C$2*MAIN!$B$10))/10&amp;" &amp;aAlmakos'"</f>
        <v xml:space="preserve">  - '&amp;aVenta: &amp;6685.6 &amp;aAlmakos'</v>
      </c>
      <c r="F62" s="20"/>
      <c r="G62" s="20"/>
      <c r="H62" s="20"/>
      <c r="I62" s="20" t="str">
        <f>"  - '&amp;aVenta: &amp;6"&amp;(MAIN!$D$4+(MAIN!$G$18+MAIN!$G$19)/2*MAIN!$B$9+(MAIN!$G$20+MAIN!$G$21)/2*MAIN!$B$8+(MAIN!$G$47*MAIN!$B$11)+($C$2*MAIN!$B$10))/10&amp;" &amp;aAlmakos'"</f>
        <v xml:space="preserve">  - '&amp;aVenta: &amp;6686 &amp;aAlmakos'</v>
      </c>
      <c r="J62" s="20"/>
      <c r="K62" s="20"/>
      <c r="L62" s="20"/>
      <c r="M62" s="20" t="str">
        <f>"  - '&amp;aVenta: &amp;6"&amp;(MAIN!$D$5+(MAIN!$G$18+MAIN!$G$19)/2*MAIN!$B$9+(MAIN!$G$20+MAIN!$G$21)/2*MAIN!$B$8+(MAIN!$G$47*MAIN!$B$11)+($C$2*MAIN!$B$10))/10&amp;" &amp;aAlmakos'"</f>
        <v xml:space="preserve">  - '&amp;aVenta: &amp;6686.4 &amp;aAlmakos'</v>
      </c>
      <c r="N62" s="20"/>
      <c r="O62" s="20"/>
      <c r="P62" s="20"/>
      <c r="Q62" s="20" t="str">
        <f>"  - '&amp;aVenta: &amp;6"&amp;(MAIN!$D$6+(MAIN!$G$18+MAIN!$G$19)/2*MAIN!$B$9+(MAIN!$G$20+MAIN!$G$21)/2*MAIN!$B$8+(MAIN!$G$47*MAIN!$B$11)+($C$2*MAIN!$B$10))/10&amp;" &amp;aAlmakos'"</f>
        <v xml:space="preserve">  - '&amp;aVenta: &amp;6687.2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105</v>
      </c>
      <c r="B2" s="195"/>
      <c r="C2" s="195">
        <f>'ECONOMIA &amp; PROFESIONES'!$R$3</f>
        <v>9</v>
      </c>
      <c r="D2" s="195"/>
      <c r="E2" s="195" t="s">
        <v>107</v>
      </c>
      <c r="F2" s="195"/>
      <c r="G2" s="195" t="s">
        <v>106</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"+"&amp;ROUND(MAIN!$C$55*$C$2*$K$2/5*$U$4,0)&amp;" "&amp;$I$2</f>
        <v>+9 Armor</v>
      </c>
      <c r="W4" s="101" t="str">
        <f>"+"&amp;ROUND(MAIN!$D$55*$C$2*$K$2/5*$U$4,0)&amp;" "&amp;$I$2</f>
        <v>+14 Armor</v>
      </c>
      <c r="X4" s="101" t="str">
        <f>"+"&amp;ROUND(MAIN!$E$55*$C$2*$K$2/5*$U$4,0)&amp;" "&amp;$I$2</f>
        <v>+23 Armor</v>
      </c>
      <c r="Y4" s="101" t="str">
        <f>"+"&amp;ROUND(MAIN!$F$55*$C$2*$K$2/5*$U$4,0)&amp;" "&amp;$I$2</f>
        <v>+40 Armor</v>
      </c>
      <c r="Z4" s="101" t="str">
        <f>"+"&amp;ROUND(MAIN!$G$55*$C$2*$K$2/5*$U$4,0)&amp;" "&amp;$I$2</f>
        <v>+67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"+"&amp;ROUND(MAIN!$C$55*$C$2*$K$2/5*$U$5,0)&amp;" "&amp;$I$2</f>
        <v>+18 Armor</v>
      </c>
      <c r="W5" s="101" t="str">
        <f>"+"&amp;ROUND(MAIN!$D$55*$C$2*$K$2/5*$U$5,0)&amp;" "&amp;$I$2</f>
        <v>+29 Armor</v>
      </c>
      <c r="X5" s="101" t="str">
        <f>"+"&amp;ROUND(MAIN!$E$55*$C$2*$K$2/5*$U$5,0)&amp;" "&amp;$I$2</f>
        <v>+47 Armor</v>
      </c>
      <c r="Y5" s="101" t="str">
        <f>"+"&amp;ROUND(MAIN!$F$55*$C$2*$K$2/5*$U$5,0)&amp;" "&amp;$I$2</f>
        <v>+79 Armor</v>
      </c>
      <c r="Z5" s="101" t="str">
        <f>"+"&amp;ROUND(MAIN!$G$55*$C$2*$K$2/5*$U$5,0)&amp;" "&amp;$I$2</f>
        <v>+133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+27 Armor</v>
      </c>
      <c r="W6" s="101" t="str">
        <f>"+"&amp;ROUND(MAIN!$D$55*$C$2*$K$2/5*$U$6,0)&amp;" "&amp;$I$2</f>
        <v>+43 Armor</v>
      </c>
      <c r="X6" s="101" t="str">
        <f>"+"&amp;ROUND(MAIN!$E$55*$C$2*$K$2/5*$U$6,0)&amp;" "&amp;$I$2</f>
        <v>+70 Armor</v>
      </c>
      <c r="Y6" s="101" t="str">
        <f>"+"&amp;ROUND(MAIN!$F$55*$C$2*$K$2/5*$U$6,0)&amp;" "&amp;$I$2</f>
        <v>+119 Armor</v>
      </c>
      <c r="Z6" s="101" t="str">
        <f>"+"&amp;ROUND(MAIN!$G$55*$C$2*$K$2/5*$U$6,0)&amp;" "&amp;$I$2</f>
        <v>+200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+36 Armor</v>
      </c>
      <c r="W7" s="101" t="str">
        <f>"+"&amp;ROUND(MAIN!$D$55*$C$2*$K$2/5*$U$7,0)&amp;" "&amp;$I$2</f>
        <v>+58 Armor</v>
      </c>
      <c r="X7" s="101" t="str">
        <f>"+"&amp;ROUND(MAIN!$E$55*$C$2*$K$2/5*$U$7,0)&amp;" "&amp;$I$2</f>
        <v>+94 Armor</v>
      </c>
      <c r="Y7" s="101" t="str">
        <f>"+"&amp;ROUND(MAIN!$F$55*$C$2*$K$2/5*$U$7,0)&amp;" "&amp;$I$2</f>
        <v>+158 Armor</v>
      </c>
      <c r="Z7" s="101" t="str">
        <f>"+"&amp;ROUND(MAIN!$G$55*$C$2*$K$2/5*$U$7,0)&amp;" "&amp;$I$2</f>
        <v>+266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+45 Armor</v>
      </c>
      <c r="W8" s="101" t="str">
        <f>"+"&amp;ROUND(MAIN!$D$55*$C$2*$K$2/5*$U$8,0)&amp;" "&amp;$I$2</f>
        <v>+72 Armor</v>
      </c>
      <c r="X8" s="101" t="str">
        <f>"+"&amp;ROUND(MAIN!$E$55*$C$2*$K$2/5*$U$8,0)&amp;" "&amp;$I$2</f>
        <v>+117 Armor</v>
      </c>
      <c r="Y8" s="101" t="str">
        <f>"+"&amp;ROUND(MAIN!$F$55*$C$2*$K$2/5*$U$8,0)&amp;" "&amp;$I$2</f>
        <v>+198 Armor</v>
      </c>
      <c r="Z8" s="101" t="str">
        <f>"+"&amp;ROUND(MAIN!$G$55*$C$2*$K$2/5*$U$8,0)&amp;" "&amp;$I$2</f>
        <v>+333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&amp;6"&amp;(MAIN!$F$2+(MAIN!$G$18+MAIN!$G$19)/2*MAIN!$B$9+(MAIN!$G$20+MAIN!$G$21)/2*MAIN!$B$8+(MAIN!$G$58*MAIN!$B$11)+($C$2*MAIN!$B$10))/10&amp;" &amp;aAlmakos'"</f>
        <v xml:space="preserve">  - '&amp;aVenta: &amp;6738 &amp;aAlmakos'</v>
      </c>
      <c r="B62" s="20"/>
      <c r="C62" s="20"/>
      <c r="D62" s="20"/>
      <c r="E62" s="20" t="str">
        <f>"  - '&amp;aVenta: &amp;6"&amp;(MAIN!$G$2+(MAIN!$G$18+MAIN!$G$19)/2*MAIN!$B$9+(MAIN!$G$20+MAIN!$G$21)/2*MAIN!$B$8+(MAIN!$G$58*MAIN!$B$11)+($C$2*MAIN!$B$10))/10&amp;" &amp;aAlmakos'"</f>
        <v xml:space="preserve">  - '&amp;aVenta: &amp;6739 &amp;aAlmakos'</v>
      </c>
      <c r="F62" s="20"/>
      <c r="G62" s="20"/>
      <c r="H62" s="20"/>
      <c r="I62" s="20" t="str">
        <f>"  - '&amp;aVenta: &amp;6"&amp;(MAIN!$H$2+(MAIN!$G$18+MAIN!$G$19)/2*MAIN!$B$9+(MAIN!$G$20+MAIN!$G$21)/2*MAIN!$B$8+(MAIN!$G$58*MAIN!$B$11)+($C$2*MAIN!$B$10))/10&amp;" &amp;aAlmakos'"</f>
        <v xml:space="preserve">  - '&amp;aVenta: &amp;6740 &amp;aAlmakos'</v>
      </c>
      <c r="J62" s="20"/>
      <c r="K62" s="20"/>
      <c r="L62" s="20"/>
      <c r="M62" s="20" t="str">
        <f>"  - '&amp;aVenta: &amp;6"&amp;(MAIN!$I$2+(MAIN!$G$18+MAIN!$G$19)/2*MAIN!$B$9+(MAIN!$G$20+MAIN!$G$21)/2*MAIN!$B$8+(MAIN!$G$58*MAIN!$B$11)+($C$2*MAIN!$B$10))/10&amp;" &amp;aAlmakos'"</f>
        <v xml:space="preserve">  - '&amp;aVenta: &amp;6741 &amp;aAlmakos'</v>
      </c>
      <c r="N62" s="20"/>
      <c r="O62" s="20"/>
      <c r="P62" s="20"/>
      <c r="Q62" s="20" t="str">
        <f>"  - '&amp;aVenta: &amp;6"&amp;(MAIN!$J$2+(MAIN!$G$18+MAIN!$G$19)/2*MAIN!$B$9+(MAIN!$G$20+MAIN!$G$21)/2*MAIN!$B$8+(MAIN!$G$58*MAIN!$B$11)+($C$2*MAIN!$B$10))/10&amp;" &amp;aAlmakos'"</f>
        <v xml:space="preserve">  - '&amp;aVenta: &amp;6743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6"/>
  <dimension ref="A1:Z189"/>
  <sheetViews>
    <sheetView topLeftCell="A65" workbookViewId="0">
      <selection activeCell="A79" sqref="A79:XFD81"/>
    </sheetView>
  </sheetViews>
  <sheetFormatPr baseColWidth="10" defaultColWidth="11.42578125" defaultRowHeight="15"/>
  <cols>
    <col min="1" max="16384" width="11.42578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105</v>
      </c>
      <c r="B2" s="195"/>
      <c r="C2" s="195">
        <f>'ECONOMIA &amp; PROFESIONES'!$R$3</f>
        <v>9</v>
      </c>
      <c r="D2" s="195"/>
      <c r="E2" s="195" t="s">
        <v>107</v>
      </c>
      <c r="F2" s="195"/>
      <c r="G2" s="195" t="s">
        <v>106</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&amp;6"&amp;(MAIN!$F$3+(MAIN!$G$18+MAIN!$G$19)/2*MAIN!$B$9+(MAIN!$G$20+MAIN!$G$21)/2*MAIN!$B$8+(MAIN!$G$69*MAIN!$B$11)+($C$2*MAIN!$B$10))/10&amp;" &amp;aAlmakos'"</f>
        <v xml:space="preserve">  - '&amp;aVenta: &amp;6790.8 &amp;aAlmakos'</v>
      </c>
      <c r="B62" s="20"/>
      <c r="C62" s="20"/>
      <c r="D62" s="20"/>
      <c r="E62" s="20" t="str">
        <f>"  - '&amp;aVenta: &amp;6"&amp;(MAIN!$G$3+(MAIN!$G$18+MAIN!$G$19)/2*MAIN!$B$9+(MAIN!$G$20+MAIN!$G$21)/2*MAIN!$B$8+(MAIN!$G$69*MAIN!$B$11)+($C$2*MAIN!$B$10))/10&amp;" &amp;aAlmakos'"</f>
        <v xml:space="preserve">  - '&amp;aVenta: &amp;6792.4 &amp;aAlmakos'</v>
      </c>
      <c r="F62" s="20"/>
      <c r="G62" s="20"/>
      <c r="H62" s="20"/>
      <c r="I62" s="20" t="str">
        <f>"  - '&amp;aVenta: &amp;6"&amp;(MAIN!$H$3+(MAIN!$G$18+MAIN!$G$19)/2*MAIN!$B$9+(MAIN!$G$20+MAIN!$G$21)/2*MAIN!$B$8+(MAIN!$G$69*MAIN!$B$11)+($C$2*MAIN!$B$10))/10&amp;" &amp;aAlmakos'"</f>
        <v xml:space="preserve">  - '&amp;aVenta: &amp;6794 &amp;aAlmakos'</v>
      </c>
      <c r="J62" s="20"/>
      <c r="K62" s="20"/>
      <c r="L62" s="20"/>
      <c r="M62" s="20" t="str">
        <f>"  - '&amp;aVenta: &amp;6"&amp;(MAIN!$I$3+(MAIN!$G$18+MAIN!$G$19)/2*MAIN!$B$9+(MAIN!$G$20+MAIN!$G$21)/2*MAIN!$B$8+(MAIN!$G$69*MAIN!$B$11)+($C$2*MAIN!$B$10))/10&amp;" &amp;aAlmakos'"</f>
        <v xml:space="preserve">  - '&amp;aVenta: &amp;6795.6 &amp;aAlmakos'</v>
      </c>
      <c r="N62" s="20"/>
      <c r="O62" s="20"/>
      <c r="P62" s="20"/>
      <c r="Q62" s="20" t="str">
        <f>"  - '&amp;aVenta: &amp;6"&amp;(MAIN!$J$3+(MAIN!$G$18+MAIN!$G$19)/2*MAIN!$B$9+(MAIN!$G$20+MAIN!$G$21)/2*MAIN!$B$8+(MAIN!$G$69*MAIN!$B$11)+($C$2*MAIN!$B$10))/10&amp;" &amp;aAlmakos'"</f>
        <v xml:space="preserve">  - '&amp;aVenta: &amp;6798.8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27"/>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105</v>
      </c>
      <c r="B2" s="195"/>
      <c r="C2" s="195">
        <f>'ECONOMIA &amp; PROFESIONES'!$R$3</f>
        <v>9</v>
      </c>
      <c r="D2" s="195"/>
      <c r="E2" s="195" t="s">
        <v>107</v>
      </c>
      <c r="F2" s="195"/>
      <c r="G2" s="195" t="s">
        <v>106</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&amp;6"&amp;(MAIN!$F$4+(MAIN!$G$18+MAIN!$G$19)/2*MAIN!$B$9+(MAIN!$G$20+MAIN!$G$21)/2*MAIN!$B$8+(MAIN!$G$80*MAIN!$B$11)+($C$2*MAIN!$B$10))/10&amp;" &amp;aAlmakos'"</f>
        <v xml:space="preserve">  - '&amp;aVenta: &amp;6773.2 &amp;aAlmakos'</v>
      </c>
      <c r="B62" s="20"/>
      <c r="C62" s="20"/>
      <c r="D62" s="20"/>
      <c r="E62" s="20" t="str">
        <f>"  - '&amp;aVenta: &amp;6"&amp;(MAIN!$G$4+(MAIN!$G$18+MAIN!$G$19)/2*MAIN!$B$9+(MAIN!$G$20+MAIN!$G$21)/2*MAIN!$B$8+(MAIN!$G$80*MAIN!$B$11)+($C$2*MAIN!$B$10))/10&amp;" &amp;aAlmakos'"</f>
        <v xml:space="preserve">  - '&amp;aVenta: &amp;6774.6 &amp;aAlmakos'</v>
      </c>
      <c r="F62" s="20"/>
      <c r="G62" s="20"/>
      <c r="H62" s="20"/>
      <c r="I62" s="20" t="str">
        <f>"  - '&amp;aVenta: &amp;6"&amp;(MAIN!$H$4+(MAIN!$G$18+MAIN!$G$19)/2*MAIN!$B$9+(MAIN!$G$20+MAIN!$G$21)/2*MAIN!$B$8+(MAIN!$G$80*MAIN!$B$11)+($C$2*MAIN!$B$10))/10&amp;" &amp;aAlmakos'"</f>
        <v xml:space="preserve">  - '&amp;aVenta: &amp;6776 &amp;aAlmakos'</v>
      </c>
      <c r="J62" s="20"/>
      <c r="K62" s="20"/>
      <c r="L62" s="20"/>
      <c r="M62" s="20" t="str">
        <f>"  - '&amp;aVenta: &amp;6"&amp;(MAIN!$I$4+(MAIN!$G$18+MAIN!$G$19)/2*MAIN!$B$9+(MAIN!$G$20+MAIN!$G$21)/2*MAIN!$B$8+(MAIN!$G$80*MAIN!$B$11)+($C$2*MAIN!$B$10))/10&amp;" &amp;aAlmakos'"</f>
        <v xml:space="preserve">  - '&amp;aVenta: &amp;6777.4 &amp;aAlmakos'</v>
      </c>
      <c r="N62" s="20"/>
      <c r="O62" s="20"/>
      <c r="P62" s="20"/>
      <c r="Q62" s="20" t="str">
        <f>"  - '&amp;aVenta: &amp;6"&amp;(MAIN!$J$4+(MAIN!$G$18+MAIN!$G$19)/2*MAIN!$B$9+(MAIN!$G$20+MAIN!$G$21)/2*MAIN!$B$8+(MAIN!$G$80*MAIN!$B$11)+($C$2*MAIN!$B$10))/10&amp;" &amp;aAlmakos'"</f>
        <v xml:space="preserve">  - '&amp;aVenta: &amp;6780.2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28"/>
  <dimension ref="A1:Z189"/>
  <sheetViews>
    <sheetView topLeftCell="A73" workbookViewId="0">
      <selection activeCell="A79" sqref="A79"/>
    </sheetView>
  </sheetViews>
  <sheetFormatPr baseColWidth="10" defaultColWidth="11.5703125" defaultRowHeight="15"/>
  <cols>
    <col min="1" max="16384" width="11.5703125" style="19"/>
  </cols>
  <sheetData>
    <row r="1" spans="1:26" ht="30.75" customHeight="1">
      <c r="A1" s="243" t="s">
        <v>19</v>
      </c>
      <c r="B1" s="243"/>
      <c r="C1" s="243" t="s">
        <v>70</v>
      </c>
      <c r="D1" s="243"/>
      <c r="E1" s="243" t="s">
        <v>80</v>
      </c>
      <c r="F1" s="243"/>
      <c r="G1" s="243" t="s">
        <v>89</v>
      </c>
      <c r="H1" s="243"/>
      <c r="I1" s="243" t="s">
        <v>283</v>
      </c>
      <c r="J1" s="243"/>
      <c r="K1" s="243" t="s">
        <v>285</v>
      </c>
      <c r="L1" s="243"/>
    </row>
    <row r="2" spans="1:26">
      <c r="A2" s="195" t="s">
        <v>105</v>
      </c>
      <c r="B2" s="195"/>
      <c r="C2" s="195">
        <f>'ECONOMIA &amp; PROFESIONES'!$R$3</f>
        <v>9</v>
      </c>
      <c r="D2" s="195"/>
      <c r="E2" s="195" t="s">
        <v>107</v>
      </c>
      <c r="F2" s="195"/>
      <c r="G2" s="195" t="s">
        <v>106</v>
      </c>
      <c r="H2" s="195"/>
      <c r="I2" s="195" t="str">
        <f>MAIN!$J$53</f>
        <v>Armor</v>
      </c>
      <c r="J2" s="195"/>
      <c r="K2" s="195">
        <f>MAIN!$L$53</f>
        <v>1</v>
      </c>
      <c r="L2" s="195"/>
    </row>
    <row r="3" spans="1:26" ht="29.25" customHeight="1">
      <c r="A3" s="249" t="s">
        <v>0</v>
      </c>
      <c r="B3" s="249"/>
      <c r="C3" s="249"/>
      <c r="D3" s="249"/>
      <c r="E3" s="249" t="s">
        <v>86</v>
      </c>
      <c r="F3" s="249"/>
      <c r="G3" s="249"/>
      <c r="H3" s="249"/>
      <c r="I3" s="249" t="s">
        <v>83</v>
      </c>
      <c r="J3" s="249"/>
      <c r="K3" s="249"/>
      <c r="L3" s="249"/>
      <c r="M3" s="249" t="s">
        <v>84</v>
      </c>
      <c r="N3" s="249"/>
      <c r="O3" s="249"/>
      <c r="P3" s="249"/>
      <c r="Q3" s="249" t="s">
        <v>85</v>
      </c>
      <c r="R3" s="249"/>
      <c r="S3" s="249"/>
      <c r="T3" s="249"/>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&amp;6"&amp;(MAIN!$F$5+(MAIN!$G$18+MAIN!$G$19)/2*MAIN!$B$9+(MAIN!$G$20+MAIN!$G$21)/2*MAIN!$B$8+(MAIN!$G$91*MAIN!$B$11)+($C$2*MAIN!$B$10))/10&amp;" &amp;aAlmakos'"</f>
        <v xml:space="preserve">  - '&amp;aVenta: &amp;6720.4 &amp;aAlmakos'</v>
      </c>
      <c r="B62" s="20"/>
      <c r="C62" s="20"/>
      <c r="D62" s="20"/>
      <c r="E62" s="20" t="str">
        <f>"  - '&amp;aVenta: &amp;6"&amp;(MAIN!$G$5+(MAIN!$G$18+MAIN!$G$19)/2*MAIN!$B$9+(MAIN!$G$20+MAIN!$G$21)/2*MAIN!$B$8+(MAIN!$G$91*MAIN!$B$11)+($C$2*MAIN!$B$10))/10&amp;" &amp;aAlmakos'"</f>
        <v xml:space="preserve">  - '&amp;aVenta: &amp;6721.2 &amp;aAlmakos'</v>
      </c>
      <c r="F62" s="20"/>
      <c r="G62" s="20"/>
      <c r="H62" s="20"/>
      <c r="I62" s="20" t="str">
        <f>"  - '&amp;aVenta: &amp;6"&amp;(MAIN!$H$5+(MAIN!$G$18+MAIN!$G$19)/2*MAIN!$B$9+(MAIN!$G$20+MAIN!$G$21)/2*MAIN!$B$8+(MAIN!$G$91*MAIN!$B$11)+($C$2*MAIN!$B$10))/10&amp;" &amp;aAlmakos'"</f>
        <v xml:space="preserve">  - '&amp;aVenta: &amp;6722 &amp;aAlmakos'</v>
      </c>
      <c r="J62" s="20"/>
      <c r="K62" s="20"/>
      <c r="L62" s="20"/>
      <c r="M62" s="20" t="str">
        <f>"  - '&amp;aVenta: &amp;6"&amp;(MAIN!$I$5+(MAIN!$G$18+MAIN!$G$19)/2*MAIN!$B$9+(MAIN!$G$20+MAIN!$G$21)/2*MAIN!$B$8+(MAIN!$G$91*MAIN!$B$11)+($C$2*MAIN!$B$10))/10&amp;" &amp;aAlmakos'"</f>
        <v xml:space="preserve">  - '&amp;aVenta: &amp;6722.8 &amp;aAlmakos'</v>
      </c>
      <c r="N62" s="20"/>
      <c r="O62" s="20"/>
      <c r="P62" s="20"/>
      <c r="Q62" s="20" t="str">
        <f>"  - '&amp;aVenta: &amp;6"&amp;(MAIN!$J$5+(MAIN!$G$18+MAIN!$G$19)/2*MAIN!$B$9+(MAIN!$G$20+MAIN!$G$21)/2*MAIN!$B$8+(MAIN!$G$91*MAIN!$B$11)+($C$2*MAIN!$B$10))/10&amp;" &amp;aAlmakos'"</f>
        <v xml:space="preserve">  - '&amp;aVenta: &amp;6724.4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37</vt:i4>
      </vt:variant>
      <vt:variant>
        <vt:lpstr>Rangos con nombre</vt:lpstr>
      </vt:variant>
      <vt:variant>
        <vt:i4>15</vt:i4>
      </vt:variant>
    </vt:vector>
  </HeadingPairs>
  <TitlesOfParts>
    <vt:vector size="52" baseType="lpstr">
      <vt:lpstr>Historia</vt:lpstr>
      <vt:lpstr>Skills Humanos</vt:lpstr>
      <vt:lpstr>Skills Licantropo</vt:lpstr>
      <vt:lpstr>Skills Vampiro</vt:lpstr>
      <vt:lpstr>ECONOMIA &amp; PROFESIONES</vt:lpstr>
      <vt:lpstr>ListItemsCraft</vt:lpstr>
      <vt:lpstr>ItemsCore</vt:lpstr>
      <vt:lpstr>Mundos</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EXTRACCIONES</vt:lpstr>
      <vt:lpstr>IDPOINTS</vt:lpstr>
      <vt:lpstr>IDS</vt:lpstr>
      <vt:lpstr>indexop</vt:lpstr>
      <vt:lpstr>listitems</vt:lpstr>
      <vt:lpstr>listnames</vt:lpstr>
      <vt:lpstr>MATERIAALQ</vt:lpstr>
      <vt:lpstr>MATERIACAR</vt:lpstr>
      <vt:lpstr>MATERIAGAN</vt:lpstr>
      <vt:lpstr>MATERIAMIN</vt:lpstr>
      <vt:lpstr>PROFESIONES</vt:lpstr>
      <vt:lpstr>PuntosItems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2019-10-03T05:34:01Z</dcterms:modified>
</cp:coreProperties>
</file>