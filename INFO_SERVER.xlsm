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B230852A-1EBB-49D3-9817-4D3EFBA3BBD4}" xr6:coauthVersionLast="32" xr6:coauthVersionMax="32" xr10:uidLastSave="{00000000-0000-0000-0000-000000000000}"/>
  <bookViews>
    <workbookView xWindow="0" yWindow="7200" windowWidth="20400" windowHeight="7680" tabRatio="893" xr2:uid="{00000000-000D-0000-FFFF-FFFF00000000}"/>
  </bookViews>
  <sheets>
    <sheet name="Skills" sheetId="40"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<sst xmlns="http://schemas.openxmlformats.org/spreadsheetml/2006/main" count="10342" uniqueCount="1324">
  <si>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</si>
  <si>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</si>
  <si>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</si>
  <si>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</si>
  <si>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</si>
  <si>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</si>
  <si>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</si>
  <si>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</si>
  <si>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</si>
  <si>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</si>
  <si>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</si>
  <si>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</si>
  <si>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</si>
  <si>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</si>
  <si>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</si>
  <si>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</si>
  <si>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</si>
  <si>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</si>
  <si>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</si>
  <si>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</si>
  <si>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</si>
  <si>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</si>
  <si>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</si>
  <si>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</si>
  <si>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</si>
  <si>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</si>
  <si>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</si>
  <si>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</si>
  <si>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</si>
  <si>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</si>
  <si>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</si>
  <si>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</si>
  <si>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</si>
  <si>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</si>
  <si>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</si>
  <si>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</si>
  <si>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</si>
  <si>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</si>
  <si>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</si>
  <si>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</si>
  <si>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</si>
  <si>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</si>
  <si>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</si>
  <si>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</si>
  <si>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</si>
  <si>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</si>
  <si>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</si>
  <si>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</si>
  <si>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</si>
  <si>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</si>
  <si>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</si>
  <si>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</si>
  <si>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</si>
  <si>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</si>
  <si>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</si>
  <si>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</si>
  <si>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</si>
  <si>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</si>
  <si>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</si>
  <si>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</si>
  <si>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</si>
  <si>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</si>
  <si>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</si>
  <si>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</si>
  <si>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</si>
  <si>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</si>
  <si>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</si>
  <si>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</si>
  <si>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</si>
  <si>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</si>
  <si>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</si>
  <si>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</si>
  <si>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</si>
  <si>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</si>
  <si>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</si>
  <si>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</si>
  <si>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</si>
  <si>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</si>
  <si>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</si>
  <si>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</si>
  <si>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</si>
  <si>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</si>
  <si>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</si>
  <si>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</si>
  <si>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</si>
  <si>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</si>
  <si>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</si>
  <si>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</si>
  <si>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</si>
  <si>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</si>
  <si>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</si>
  <si>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</si>
  <si>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</si>
  <si>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</si>
  <si>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</si>
  <si>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</si>
  <si>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</si>
  <si>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</si>
  <si>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</si>
  <si>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</si>
  <si>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</si>
  <si>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</si>
  <si>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</si>
  <si>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</si>
  <si>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</si>
  <si>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</si>
  <si>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</si>
  <si>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</si>
  <si>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</si>
  <si>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</si>
  <si>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</si>
  <si>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</si>
  <si>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</si>
  <si>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</si>
  <si>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</si>
  <si>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</si>
  <si>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</si>
  <si>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</si>
  <si>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</si>
  <si>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</si>
  <si>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</si>
  <si>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</si>
  <si>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</si>
  <si>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</si>
  <si>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</si>
  <si>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</si>
  <si>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</si>
  <si>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</si>
  <si>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</si>
  <si>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</si>
  <si>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</si>
  <si>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</si>
  <si>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</si>
  <si>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</si>
  <si>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</si>
  <si>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</si>
  <si>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</si>
  <si>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</si>
  <si>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</si>
  <si>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</si>
  <si>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</si>
  <si>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</si>
  <si>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</si>
  <si>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</si>
  <si>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</si>
  <si>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</si>
  <si>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</si>
  <si>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</si>
  <si>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</si>
  <si>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</si>
  <si>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</si>
  <si>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</si>
  <si>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</si>
  <si>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</si>
  <si>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</si>
  <si>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</si>
  <si>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</si>
  <si>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</si>
  <si>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</si>
  <si>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</si>
  <si>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</si>
  <si>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</si>
  <si>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</si>
  <si>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</si>
  <si>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</si>
  <si>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</si>
  <si>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</si>
  <si>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</si>
  <si>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</si>
  <si>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</si>
  <si>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</si>
  <si>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</si>
  <si>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</si>
  <si>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</si>
  <si>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</si>
  <si>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</si>
  <si>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</si>
  <si>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</si>
  <si>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</si>
  <si>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</si>
  <si>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</si>
  <si>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</si>
  <si>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</si>
  <si>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</si>
  <si>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</si>
  <si>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</si>
  <si>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</si>
  <si>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</si>
  <si>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</si>
  <si>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</si>
  <si>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</si>
  <si>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</si>
  <si>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</si>
  <si>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</si>
  <si>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</si>
  <si>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</si>
  <si>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</si>
  <si>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</si>
  <si>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</si>
  <si>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</si>
  <si>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</si>
  <si>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</si>
  <si>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</si>
  <si>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</si>
  <si>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</si>
  <si>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</si>
  <si>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</si>
  <si>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</si>
  <si>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</si>
  <si>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</si>
  <si>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</si>
  <si>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</si>
  <si>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</si>
  <si>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</si>
  <si>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</si>
  <si>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</si>
  <si>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</si>
  <si>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</si>
  <si>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</si>
  <si>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</si>
  <si>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</si>
  <si>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</si>
  <si>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</si>
  <si>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</si>
  <si>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</si>
  <si>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</si>
  <si>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</si>
  <si>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</si>
  <si>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</si>
  <si>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</si>
  <si>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</si>
  <si>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</si>
  <si>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</si>
  <si>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</si>
  <si>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</si>
  <si>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</si>
  <si>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</si>
  <si>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</si>
  <si>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</si>
  <si>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</si>
  <si>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</si>
  <si>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</si>
  <si>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</si>
  <si>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</si>
  <si>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</si>
  <si>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</si>
  <si>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</si>
  <si>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</si>
  <si>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</si>
  <si>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</si>
  <si>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</si>
  <si>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</si>
  <si>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</si>
  <si>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</si>
  <si>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</si>
  <si>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</si>
  <si>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</si>
  <si>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</si>
  <si>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</si>
  <si>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</si>
  <si>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</si>
  <si>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</si>
  <si>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</si>
  <si>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</si>
  <si>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</si>
  <si>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</si>
  <si>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</si>
  <si>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</si>
  <si>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</si>
  <si>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</si>
  <si>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</si>
  <si>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</si>
  <si>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</si>
  <si>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</si>
  <si>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</si>
  <si>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</si>
  <si>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</si>
  <si>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</si>
  <si>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</si>
  <si>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</si>
  <si>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</si>
  <si>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</si>
  <si>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</si>
  <si>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</si>
  <si>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</si>
  <si>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</si>
  <si>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</si>
  <si>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</si>
  <si>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</si>
  <si>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</si>
  <si>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</si>
  <si>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</si>
  <si>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</si>
  <si>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</si>
  <si>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</si>
  <si>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</si>
  <si>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</si>
  <si>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</si>
  <si>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</si>
  <si>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</si>
  <si>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</si>
  <si>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</si>
  <si>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</si>
  <si>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</si>
  <si>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</si>
  <si>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</si>
  <si>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</si>
  <si>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</si>
  <si>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</si>
  <si>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</si>
  <si>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</si>
  <si>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</si>
  <si>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</si>
  <si>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</si>
  <si>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</si>
  <si>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</si>
  <si>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</si>
  <si>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</si>
  <si>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</si>
  <si>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</si>
  <si>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</si>
  <si>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</si>
  <si>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</si>
  <si>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</si>
  <si>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</si>
  <si>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</si>
  <si>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</si>
  <si>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</si>
  <si>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</si>
  <si>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</si>
  <si>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</si>
  <si>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</si>
  <si>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</si>
  <si>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</si>
  <si>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</si>
  <si>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</si>
  <si>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</si>
  <si>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</si>
  <si>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</si>
  <si>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</si>
  <si>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</si>
  <si>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</si>
  <si>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</si>
  <si>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</si>
  <si>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</si>
  <si>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</si>
  <si>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</si>
  <si>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</si>
  <si>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</si>
  <si>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</si>
  <si>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</si>
  <si>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</si>
  <si>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</si>
  <si>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</si>
  <si>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</si>
  <si>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</si>
  <si>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</si>
  <si>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</si>
  <si>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</si>
  <si>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</si>
  <si>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</si>
  <si>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</si>
  <si>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</si>
  <si>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</si>
  <si>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</si>
  <si>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</si>
  <si>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</si>
  <si>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</si>
  <si>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</si>
  <si>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</si>
  <si>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</si>
  <si>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</si>
  <si>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</si>
  <si>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</si>
  <si>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</si>
  <si>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</si>
  <si>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</si>
  <si>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</si>
  <si>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</si>
  <si>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</si>
  <si>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</si>
  <si>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</si>
  <si>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</si>
  <si>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</si>
  <si>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</si>
  <si>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</si>
  <si>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</si>
  <si>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</si>
  <si>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</si>
  <si>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</si>
  <si>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</si>
  <si>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</si>
  <si>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</si>
  <si>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</si>
  <si>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</si>
  <si>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</si>
  <si>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</si>
  <si>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</si>
  <si>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</si>
  <si>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</si>
  <si>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</si>
  <si>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</si>
  <si>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</si>
  <si>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</si>
  <si>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</si>
  <si>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</si>
  <si>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</si>
  <si>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</si>
  <si>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</si>
  <si>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</si>
  <si>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</si>
  <si>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</si>
  <si>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</si>
  <si>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</si>
  <si>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</si>
  <si>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</si>
  <si>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</si>
  <si>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</si>
  <si>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</si>
  <si>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</si>
  <si>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</si>
  <si>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</si>
  <si>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</si>
  <si>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</si>
  <si>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</si>
  <si>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</si>
  <si>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</si>
  <si>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</si>
  <si>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</si>
  <si>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</si>
  <si>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</si>
  <si>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</si>
  <si>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</si>
  <si>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</si>
  <si>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</si>
  <si>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</si>
  <si>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</si>
  <si>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</si>
  <si>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</si>
  <si>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</si>
  <si>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</si>
  <si>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</si>
  <si>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</si>
  <si>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</si>
  <si>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</si>
  <si>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</si>
  <si>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</si>
  <si>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</si>
  <si>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</si>
  <si>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</si>
  <si>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</si>
  <si>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</si>
  <si>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</si>
  <si>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</si>
  <si>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</si>
  <si>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</si>
  <si>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</si>
  <si>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</si>
  <si>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</si>
  <si>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</si>
  <si>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</si>
  <si>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</si>
  <si>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</si>
  <si>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</si>
  <si>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</si>
  <si>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</si>
  <si>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</si>
  <si>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</si>
  <si>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</si>
  <si>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</si>
  <si>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</si>
  <si>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</si>
  <si>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</si>
  <si>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</si>
  <si>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</si>
  <si>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</si>
  <si>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</si>
  <si>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</si>
  <si>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</si>
  <si>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</si>
  <si>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</si>
  <si>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</si>
  <si>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</si>
  <si>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</si>
  <si>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</si>
  <si>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</si>
  <si>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</si>
  <si>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</si>
  <si>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</si>
  <si>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</si>
  <si>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</si>
  <si>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</si>
  <si>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</si>
  <si>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</si>
  <si>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</si>
  <si>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</si>
  <si>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</si>
  <si>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</si>
  <si>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</si>
  <si>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</si>
  <si>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</si>
  <si>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</si>
  <si>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</si>
  <si>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</si>
  <si>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</si>
  <si>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</si>
  <si>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</si>
  <si>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</si>
  <si>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</si>
  <si>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</si>
  <si>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</si>
  <si>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</si>
  <si>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</si>
  <si>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</si>
  <si>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</si>
  <si>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</si>
  <si>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</si>
  <si>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</si>
  <si>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</si>
  <si>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</si>
  <si>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</si>
  <si>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</si>
  <si>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</si>
  <si>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</si>
  <si>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</si>
  <si>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</si>
  <si>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</si>
  <si>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</si>
  <si>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</si>
  <si>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</si>
  <si>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</si>
  <si>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</si>
  <si>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</si>
  <si>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</si>
  <si>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</si>
  <si>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</si>
  <si>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</si>
  <si>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</si>
  <si>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</si>
  <si>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</si>
  <si>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</si>
  <si>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</si>
  <si>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</si>
  <si>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</si>
  <si>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</si>
  <si>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</si>
  <si>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</si>
  <si>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</si>
  <si>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</si>
  <si>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</si>
  <si>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</si>
  <si>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</si>
  <si>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</si>
  <si>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</si>
  <si>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</si>
  <si>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</si>
  <si>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</si>
  <si>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</si>
  <si>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</si>
  <si>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</si>
  <si>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</si>
  <si>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</si>
  <si>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</si>
  <si>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</si>
  <si>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</si>
  <si>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</si>
  <si>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</si>
  <si>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</si>
  <si>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</si>
  <si>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</si>
  <si>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</si>
  <si>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</si>
  <si>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</si>
  <si>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</si>
  <si>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</si>
  <si>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</si>
  <si>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</si>
  <si>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</si>
  <si>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</si>
  <si>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</si>
  <si>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</si>
  <si>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</si>
  <si>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</si>
  <si>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</si>
  <si>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</si>
  <si>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</si>
  <si>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</si>
  <si>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</si>
  <si>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</si>
  <si>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</si>
  <si>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</si>
  <si>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</si>
  <si>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</si>
  <si>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</si>
  <si>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</si>
  <si>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</si>
  <si>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</si>
  <si>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</si>
  <si>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</si>
  <si>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</si>
  <si>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</si>
  <si>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</si>
  <si>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</si>
  <si>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</si>
  <si>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</si>
  <si>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</si>
  <si>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</si>
  <si>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</si>
  <si>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</si>
  <si>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</si>
  <si>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</si>
  <si>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</si>
  <si>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</si>
  <si>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</si>
  <si>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</si>
  <si>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</si>
  <si>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</si>
  <si>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</si>
  <si>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</si>
  <si>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</si>
  <si>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</si>
  <si>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</si>
  <si>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</si>
  <si>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</si>
  <si>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</si>
  <si>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</si>
  <si>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</si>
  <si>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</si>
  <si>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</si>
  <si>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</si>
  <si>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</si>
  <si>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</si>
  <si>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</si>
  <si>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</si>
  <si>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</si>
  <si>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</si>
  <si>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</si>
  <si>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</si>
  <si>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</si>
  <si>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</si>
  <si>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</si>
  <si>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</si>
  <si>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</si>
  <si>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</si>
  <si>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</si>
  <si>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</si>
  <si>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</si>
  <si>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</si>
  <si>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</si>
  <si>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</si>
  <si>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</si>
  <si>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</si>
  <si>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</si>
  <si>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</si>
  <si>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</si>
  <si>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</si>
  <si>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</si>
  <si>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</si>
  <si>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</si>
  <si>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</si>
  <si>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</si>
  <si>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</si>
  <si>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</si>
  <si>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</si>
  <si>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</si>
  <si>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</si>
  <si>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</si>
  <si>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</si>
  <si>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</si>
  <si>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</si>
  <si>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</si>
  <si>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</si>
  <si>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</si>
  <si>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</si>
  <si>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</si>
  <si>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</si>
  <si>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</si>
  <si>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</si>
  <si>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</si>
  <si>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</si>
  <si>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</si>
  <si>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</si>
  <si>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</si>
  <si>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</si>
  <si>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</si>
  <si>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</si>
  <si>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</si>
  <si>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</si>
  <si>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</si>
  <si>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</si>
  <si>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</si>
  <si>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</si>
  <si>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</si>
  <si>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</si>
  <si>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</si>
  <si>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</si>
  <si>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</si>
  <si>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</si>
  <si>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</si>
  <si>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</si>
  <si>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</si>
  <si>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</si>
  <si>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</si>
  <si>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</si>
  <si>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</si>
  <si>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</si>
  <si>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</si>
  <si>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</si>
  <si>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</si>
  <si>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</si>
  <si>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</si>
  <si>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</si>
  <si>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</si>
  <si>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</si>
  <si>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</si>
  <si>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</si>
  <si>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</si>
  <si>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</si>
  <si>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</si>
  <si>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</si>
  <si>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</si>
  <si>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</si>
  <si>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</si>
  <si>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</si>
  <si>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</si>
  <si>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</si>
  <si>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</si>
  <si>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</si>
  <si>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</si>
  <si>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</si>
  <si>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</si>
  <si>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</si>
  <si>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</si>
  <si>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</si>
  <si>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</si>
  <si>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</si>
  <si>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</si>
  <si>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</si>
  <si>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</si>
  <si>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</si>
  <si>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</si>
  <si>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</si>
  <si>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</si>
  <si>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</si>
  <si>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</si>
  <si>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</si>
  <si>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</si>
  <si>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</si>
  <si>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</si>
  <si>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</si>
  <si>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</si>
  <si>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</si>
  <si>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</si>
  <si>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</si>
  <si>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</si>
  <si>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</si>
  <si>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</si>
  <si>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</si>
  <si>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</si>
  <si>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</si>
  <si>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</si>
  <si>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</si>
  <si>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</si>
  <si>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</si>
  <si>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</si>
  <si>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</si>
  <si>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</si>
  <si>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</si>
  <si>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</si>
  <si>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</si>
  <si>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</si>
  <si>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</si>
  <si>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</si>
  <si>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</si>
  <si>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</si>
  <si>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</si>
  <si>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</si>
  <si>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</si>
  <si>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</si>
  <si>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</si>
  <si>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</si>
  <si>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</si>
  <si>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</si>
  <si>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</si>
  <si>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</si>
  <si>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</si>
  <si>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</si>
  <si>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</si>
  <si>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</si>
  <si>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</si>
  <si>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</si>
  <si>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</si>
  <si>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</si>
  <si>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</si>
  <si>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</si>
  <si>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</si>
  <si>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</si>
  <si>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</si>
  <si>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</si>
  <si>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</si>
  <si>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</si>
  <si>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</si>
  <si>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</si>
  <si>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</si>
  <si>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</si>
  <si>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</si>
  <si>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</si>
  <si>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</si>
  <si>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</si>
  <si>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</si>
  <si>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</si>
  <si>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</si>
  <si>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</si>
  <si>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</si>
  <si>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</si>
  <si>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</si>
  <si>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</si>
  <si>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</si>
  <si>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</si>
  <si>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</si>
  <si>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</si>
  <si>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</si>
  <si>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</si>
  <si>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</si>
  <si>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</si>
  <si>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</si>
  <si>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</si>
  <si>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</si>
  <si>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</si>
  <si>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</si>
  <si>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</si>
  <si>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</si>
  <si>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</si>
  <si>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</si>
  <si>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</si>
  <si>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</si>
  <si>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</si>
  <si>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</si>
  <si>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</si>
  <si>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</si>
  <si>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</si>
  <si>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</si>
  <si>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</si>
  <si>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</si>
  <si>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</si>
  <si>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</si>
  <si>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</si>
  <si>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</si>
  <si>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</si>
  <si>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</si>
  <si>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</si>
  <si>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</si>
  <si>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</si>
  <si>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</si>
  <si>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</si>
  <si>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</si>
  <si>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</si>
  <si>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</si>
  <si>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</si>
  <si>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</si>
  <si>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</si>
  <si>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</si>
  <si>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</si>
  <si>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</si>
  <si>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</si>
  <si>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</si>
  <si>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</si>
  <si>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</si>
  <si>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</si>
  <si>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</si>
  <si>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</si>
  <si>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</si>
  <si>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</si>
  <si>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</si>
  <si>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</si>
  <si>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</si>
  <si>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</si>
  <si>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</si>
  <si>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</si>
  <si>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</si>
  <si>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</si>
  <si>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</si>
  <si>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</si>
  <si>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</si>
  <si>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</si>
  <si>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</si>
  <si>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</si>
  <si>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</si>
  <si>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</si>
  <si>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</si>
  <si>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</si>
  <si>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</si>
  <si>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</si>
  <si>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</si>
  <si>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</si>
  <si>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</si>
  <si>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</si>
  <si>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</si>
  <si>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</si>
  <si>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</si>
  <si>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</si>
  <si>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</si>
  <si>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</si>
  <si>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</si>
  <si>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</si>
  <si>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</si>
  <si>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</si>
  <si>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</si>
  <si>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</si>
  <si>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</si>
  <si>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</si>
  <si>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</si>
  <si>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</si>
  <si>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</si>
  <si>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</si>
  <si>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</si>
  <si>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</si>
  <si>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</si>
  <si>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</si>
  <si>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</si>
  <si>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</si>
  <si>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</si>
  <si>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</si>
  <si>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</si>
  <si>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</si>
  <si>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</si>
  <si>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</si>
  <si>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</si>
  <si>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</si>
  <si>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</si>
  <si>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</si>
  <si>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</si>
  <si>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</si>
  <si>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</si>
  <si>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</si>
  <si>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</si>
  <si>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</si>
  <si>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</si>
  <si>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</si>
  <si>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</si>
  <si>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</si>
  <si>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</si>
  <si>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</si>
  <si>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</si>
  <si>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</si>
  <si>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</si>
  <si>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</si>
  <si>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</si>
  <si>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</si>
  <si>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</si>
  <si>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</si>
  <si>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</si>
  <si>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</si>
  <si>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</si>
  <si>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</si>
  <si>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</si>
  <si>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</si>
  <si>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</si>
  <si>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</si>
  <si>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</si>
  <si>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</si>
  <si>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</si>
  <si>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</si>
  <si>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</si>
  <si>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</si>
  <si>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</si>
  <si>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</si>
  <si>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</si>
  <si>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</si>
  <si>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</si>
  <si>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</si>
  <si>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</si>
  <si>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</si>
  <si>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</si>
  <si>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</si>
  <si>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</si>
  <si>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</si>
  <si>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</si>
  <si>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</si>
  <si>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</si>
  <si>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</si>
  <si>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</si>
  <si>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</si>
  <si>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</si>
  <si>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</si>
  <si>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</si>
  <si>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</si>
  <si>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</si>
  <si>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</si>
  <si>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</si>
  <si>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</si>
  <si>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</si>
  <si>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</si>
  <si>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</si>
  <si>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</si>
  <si>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</si>
  <si>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</si>
  <si>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</si>
  <si>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</si>
  <si>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</si>
  <si>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</si>
  <si>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</si>
  <si>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</si>
  <si>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</si>
  <si>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</si>
  <si>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</si>
  <si>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</si>
  <si>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</si>
  <si>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</si>
  <si>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</si>
  <si>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</si>
  <si>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</si>
  <si>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</si>
  <si>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</si>
  <si>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</si>
  <si>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</si>
  <si>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</si>
  <si>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</si>
  <si>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</si>
  <si>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</si>
  <si>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</si>
  <si>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</si>
  <si>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</si>
  <si>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</si>
  <si>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</si>
  <si>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</si>
  <si>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</si>
  <si>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</si>
  <si>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</si>
  <si>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</si>
  <si>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</si>
  <si>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</si>
  <si>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</si>
  <si>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</si>
  <si>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</si>
  <si>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</si>
  <si>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</si>
  <si>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</si>
  <si>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</si>
  <si>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</si>
  <si>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</si>
  <si>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</si>
  <si>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</si>
  <si>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</si>
  <si>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</si>
  <si>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</si>
  <si>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</si>
  <si>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</si>
  <si>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</si>
  <si>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</si>
  <si>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</si>
  <si>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</si>
  <si>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</si>
  <si>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</si>
  <si>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</si>
  <si>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</si>
  <si>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</si>
  <si>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</si>
  <si>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</si>
  <si>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</si>
  <si>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</si>
  <si>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</si>
  <si>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</si>
  <si>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</si>
  <si>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</si>
  <si>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</si>
  <si>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</si>
  <si>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</si>
  <si>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</si>
  <si>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</si>
  <si>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</si>
  <si>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</si>
  <si>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</si>
  <si>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</si>
  <si>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</si>
  <si>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</si>
  <si>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</si>
  <si>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</si>
  <si>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</si>
  <si>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</si>
  <si>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</si>
  <si>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</si>
  <si>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</si>
  <si>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</si>
  <si>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</si>
  <si>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</si>
  <si>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</si>
  <si>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</si>
  <si>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</si>
  <si>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</si>
  <si>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</si>
  <si>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</si>
  <si>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</si>
  <si>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</si>
  <si>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</si>
  <si>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</si>
  <si>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</si>
  <si>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</si>
  <si>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</si>
  <si>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</si>
  <si>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</si>
  <si>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</si>
  <si>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</si>
  <si>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</si>
  <si>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</si>
  <si>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</si>
  <si>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</si>
  <si>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</si>
  <si>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</si>
  <si>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</si>
  <si>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</si>
  <si>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</si>
  <si>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</si>
  <si>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</si>
  <si>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</si>
  <si>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</si>
  <si>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</si>
  <si>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</si>
  <si>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</si>
  <si>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</si>
  <si>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</si>
  <si>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</si>
  <si>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</si>
  <si>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</si>
  <si>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</si>
  <si>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</si>
  <si>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</si>
  <si>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</si>
  <si>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</si>
  <si>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</si>
  <si>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</si>
  <si>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</si>
  <si>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</si>
  <si>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</si>
  <si>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</si>
  <si>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</si>
  <si>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</si>
  <si>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</si>
  <si>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</si>
  <si>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</si>
  <si>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</si>
  <si>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</si>
  <si>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</si>
  <si>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</si>
  <si>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</si>
  <si>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</si>
  <si>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</si>
  <si>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</si>
  <si>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</si>
  <si>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</si>
  <si>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</si>
  <si>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</si>
  <si>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</si>
  <si>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</si>
  <si>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</si>
  <si>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</si>
  <si>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</si>
  <si>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</si>
  <si>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</si>
  <si>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</si>
  <si>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</si>
  <si>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</si>
  <si>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</si>
  <si>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</si>
  <si>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</si>
  <si>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</si>
  <si>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</si>
  <si>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</si>
  <si>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</si>
  <si>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</si>
  <si>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</si>
  <si>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</si>
  <si>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</si>
  <si>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</si>
  <si>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</si>
  <si>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</si>
  <si>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</si>
  <si>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</si>
  <si>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</si>
  <si>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</si>
  <si>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</si>
  <si>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</si>
  <si>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</si>
  <si>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</si>
  <si>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</si>
  <si>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</si>
  <si>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</si>
  <si>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</si>
  <si>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</si>
  <si>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</si>
  <si>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</si>
  <si>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</si>
  <si>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</si>
  <si>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</si>
  <si>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</si>
  <si>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</si>
  <si>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</si>
  <si>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</si>
  <si>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</si>
  <si>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</si>
  <si>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</si>
  <si>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</si>
  <si>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</si>
  <si>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</si>
  <si>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</si>
  <si>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</si>
  <si>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</si>
  <si>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</si>
  <si>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</si>
  <si>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</si>
  <si>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</si>
  <si>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</si>
  <si>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</si>
  <si>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</si>
  <si>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</si>
  <si>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</si>
  <si>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</si>
  <si>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</si>
  <si>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</si>
  <si>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</si>
  <si>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</si>
  <si>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</si>
  <si>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</si>
  <si>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</si>
  <si>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</si>
  <si>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</si>
  <si>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</si>
  <si>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</si>
  <si>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</si>
  <si>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</si>
  <si>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</si>
  <si>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</si>
  <si>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</si>
  <si>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</si>
  <si>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</si>
  <si>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</si>
  <si>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</si>
  <si>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</si>
  <si>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</si>
  <si>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</si>
  <si>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</si>
  <si>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</si>
  <si>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</si>
  <si>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</si>
  <si>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</si>
  <si>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</si>
  <si>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</si>
  <si>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</si>
  <si>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</si>
  <si>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</si>
  <si>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</si>
  <si>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</si>
  <si>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</si>
  <si>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</si>
  <si>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</si>
  <si>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</si>
  <si>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</si>
  <si>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</si>
  <si>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</si>
  <si>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</si>
  <si>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</si>
  <si>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</si>
  <si>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</si>
  <si>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</si>
  <si>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</si>
  <si>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</si>
  <si>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</si>
  <si>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</si>
  <si>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</si>
  <si>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r>
      <t>Lanza ósea, Astillas de huesos y Espíritu óseo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</si>
  <si>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t>Cosecha rápida</t>
  </si>
  <si>
    <r>
      <t>Aumenta un </t>
    </r>
    <r>
      <rPr>
        <sz val="9"/>
        <color rgb="FF8BD442"/>
        <rFont val="Arial"/>
        <family val="2"/>
      </rPr>
      <t>15%</t>
    </r>
    <r>
      <rPr>
        <sz val="9"/>
        <color rgb="FFA99877"/>
        <rFont val="Arial"/>
        <family val="2"/>
      </rPr>
      <t> la velocidad de ataque de Astillas de huesos, Absorber sangre y Guadaña espectral.</t>
    </r>
  </si>
  <si>
    <t>Rigor mortis</t>
  </si>
  <si>
    <r>
      <t>Las habilidades de veneno también ralentizan a los enemigos un </t>
    </r>
    <r>
      <rPr>
        <sz val="9"/>
        <color rgb="FF8BD442"/>
        <rFont val="Arial"/>
        <family val="2"/>
      </rPr>
      <t>30%</t>
    </r>
    <r>
      <rPr>
        <sz val="9"/>
        <color rgb="FFA99877"/>
        <rFont val="Arial"/>
        <family val="2"/>
      </rPr>
      <t> y reducen su velocidad de ataque un </t>
    </r>
    <r>
      <rPr>
        <sz val="9"/>
        <color rgb="FF8BD442"/>
        <rFont val="Arial"/>
        <family val="2"/>
      </rPr>
      <t>30%</t>
    </r>
    <r>
      <rPr>
        <sz val="9"/>
        <color rgb="FFA99877"/>
        <rFont val="Arial"/>
        <family val="2"/>
      </rPr>
      <t> durante </t>
    </r>
    <r>
      <rPr>
        <sz val="9"/>
        <color rgb="FF8BD442"/>
        <rFont val="Arial"/>
        <family val="2"/>
      </rPr>
      <t>5</t>
    </r>
    <r>
      <rPr>
        <sz val="9"/>
        <color rgb="FFA99877"/>
        <rFont val="Arial"/>
        <family val="2"/>
      </rPr>
      <t> s.</t>
    </r>
  </si>
  <si>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</si>
  <si>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</si>
  <si>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</si>
  <si>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</si>
  <si>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</si>
  <si>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r>
      <t>Aumenta tu regeneración de vida un </t>
    </r>
    <r>
      <rPr>
        <sz val="9"/>
        <color rgb="FF8BD442"/>
        <rFont val="Arial"/>
        <family val="2"/>
      </rPr>
      <t>10%</t>
    </r>
    <r>
      <rPr>
        <sz val="9"/>
        <color rgb="FFA99877"/>
        <rFont val="Arial"/>
        <family val="2"/>
      </rPr>
      <t> por cada enemigo que esté en un radio de </t>
    </r>
    <r>
      <rPr>
        <sz val="9"/>
        <color rgb="FF8BD442"/>
        <rFont val="Arial"/>
        <family val="2"/>
      </rPr>
      <t>20</t>
    </r>
    <r>
      <rPr>
        <sz val="9"/>
        <color rgb="FFA99877"/>
        <rFont val="Arial"/>
        <family val="2"/>
      </rPr>
      <t> m.</t>
    </r>
  </si>
  <si>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</si>
  <si>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</si>
  <si>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</si>
  <si>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r>
      <t>No puedes perder vida durante </t>
    </r>
    <r>
      <rPr>
        <sz val="9"/>
        <color rgb="FF8BD442"/>
        <rFont val="Arial"/>
        <family val="2"/>
      </rPr>
      <t>4</t>
    </r>
    <r>
      <rPr>
        <sz val="9"/>
        <color rgb="FFA99877"/>
        <rFont val="Arial"/>
        <family val="2"/>
      </rPr>
      <t> s tras usar Reino de los muertos, Ejército de muertos o Ilusión.</t>
    </r>
  </si>
  <si>
    <t>Furor de la caza</t>
  </si>
  <si>
    <r>
      <t>Los enemigos golpeados por las habilidades que gasten odio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</si>
  <si>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Depredador</t>
  </si>
  <si>
    <r>
      <t>Aumenta un </t>
    </r>
    <r>
      <rPr>
        <sz val="9"/>
        <color rgb="FF8BD442"/>
        <rFont val="Arial"/>
        <family val="2"/>
      </rPr>
      <t>20%</t>
    </r>
    <r>
      <rPr>
        <sz val="9"/>
        <color rgb="FFA99877"/>
        <rFont val="Arial"/>
        <family val="2"/>
      </rPr>
      <t> el daño infligido a enemigos ralentizados o helados.</t>
    </r>
  </si>
  <si>
    <t>Puntería</t>
  </si>
  <si>
    <r>
      <t>Aumenta un </t>
    </r>
    <r>
      <rPr>
        <sz val="9"/>
        <color rgb="FF8BD442"/>
        <rFont val="Arial"/>
        <family val="2"/>
      </rPr>
      <t>4%</t>
    </r>
    <r>
      <rPr>
        <sz val="9"/>
        <color rgb="FFA99877"/>
        <rFont val="Arial"/>
        <family val="2"/>
      </rPr>
      <t> la probabilidad de golpe crítico cada segundo. Este bonus se reinicia </t>
    </r>
    <r>
      <rPr>
        <sz val="9"/>
        <color rgb="FF8BD442"/>
        <rFont val="Arial"/>
        <family val="2"/>
      </rPr>
      <t>1</t>
    </r>
    <r>
      <rPr>
        <sz val="9"/>
        <color rgb="FFA99877"/>
        <rFont val="Arial"/>
        <family val="2"/>
      </rPr>
      <t> s después de asestar un golpe crítico.</t>
    </r>
  </si>
  <si>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</si>
  <si>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</si>
  <si>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</si>
  <si>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</si>
  <si>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</si>
  <si>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</si>
  <si>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</si>
  <si>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</si>
  <si>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r>
      <t>Absorbe la sangre del enemigo seleccionado, lo que le inflige un </t>
    </r>
    <r>
      <rPr>
        <sz val="9"/>
        <color rgb="FF8BD442"/>
        <rFont val="Arial"/>
        <family val="2"/>
      </rPr>
      <t>300%</t>
    </r>
    <r>
      <rPr>
        <sz val="9"/>
        <color rgb="FFA99877"/>
        <rFont val="Arial"/>
        <family val="2"/>
      </rPr>
      <t xml:space="preserve"> de daño de arma como daño físico.
Absorber sangre te cura un 2% de tu vida total por segundo mientras se canaliza.
</t>
    </r>
  </si>
  <si>
    <t>SECUNDARIAS</t>
  </si>
  <si>
    <t>Fuego rápido</t>
  </si>
  <si>
    <r>
      <t>Coste:</t>
    </r>
    <r>
      <rPr>
        <sz val="9"/>
        <color rgb="FFA99877"/>
        <rFont val="Arial"/>
        <family val="2"/>
      </rPr>
      <t> </t>
    </r>
    <r>
      <rPr>
        <sz val="9"/>
        <color rgb="FF8BD442"/>
        <rFont val="Arial"/>
        <family val="2"/>
      </rPr>
      <t>20</t>
    </r>
    <r>
      <rPr>
        <sz val="9"/>
        <color rgb="FFA99877"/>
        <rFont val="Arial"/>
        <family val="2"/>
      </rPr>
      <t> p. de odio al activar la habilidad y </t>
    </r>
    <r>
      <rPr>
        <sz val="9"/>
        <color rgb="FF8BD442"/>
        <rFont val="Arial"/>
        <family val="2"/>
      </rPr>
      <t>6</t>
    </r>
    <r>
      <rPr>
        <sz val="9"/>
        <color rgb="FFA99877"/>
        <rFont val="Arial"/>
        <family val="2"/>
      </rPr>
      <t xml:space="preserve"> p. de odio mientras se canaliza
Disparas rápidamente e infliges un 685% de daño de arma como daño físico.
Se necesita: Arco o ballesta
</t>
    </r>
  </si>
  <si>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</si>
  <si>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</si>
  <si>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</si>
  <si>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</si>
  <si>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</si>
  <si>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</si>
  <si>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</si>
  <si>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</si>
  <si>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</si>
  <si>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</si>
  <si>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</si>
  <si>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</si>
  <si>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</si>
  <si>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</si>
  <si>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</si>
  <si>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</si>
  <si>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Ilusión</t>
  </si>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</sst>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2"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5">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0" fillId="0" borderId="0" xfId="0" applyAlignment="1">
      <alignment horizontal="left"/>
    </xf>
    <xf numFmtId="0" fontId="13" fillId="32"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4" fillId="28"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xf numFmtId="0" fontId="21" fillId="0" borderId="0" xfId="0" applyFont="1" applyAlignment="1">
      <alignment horizontal="left" vertical="top" wrapText="1"/>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O93"/>
  <sheetViews>
    <sheetView tabSelected="1" topLeftCell="C2" workbookViewId="0">
      <selection activeCell="F2" sqref="F2:G2"/>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 min="6" max="6" width="24.42578125" style="306" customWidth="1"/>
    <col min="7" max="7" width="47.7109375" style="306" customWidth="1"/>
    <col min="8" max="8" width="24.42578125" style="306" customWidth="1"/>
    <col min="9" max="9" width="47.7109375" style="306" customWidth="1"/>
    <col min="10" max="10" width="24.42578125" style="306" customWidth="1"/>
    <col min="11" max="11" width="47" style="306" customWidth="1"/>
    <col min="12" max="12" width="24.42578125" style="306" customWidth="1"/>
    <col min="13" max="13" width="47" style="306" customWidth="1"/>
    <col min="14" max="14" width="24.42578125" style="306" customWidth="1"/>
    <col min="15" max="15" width="47" style="306" customWidth="1"/>
  </cols>
  <sheetData>
    <row r="2" spans="1:15" x14ac:dyDescent="0.25">
      <c r="A2" s="307" t="s">
        <v>1264</v>
      </c>
      <c r="B2" s="307"/>
      <c r="C2" s="307" t="s">
        <v>1292</v>
      </c>
      <c r="D2" s="307"/>
      <c r="F2" s="307" t="s">
        <v>1264</v>
      </c>
      <c r="G2" s="307"/>
      <c r="H2" s="307" t="s">
        <v>1292</v>
      </c>
      <c r="I2" s="307"/>
      <c r="J2" s="307" t="s">
        <v>1299</v>
      </c>
      <c r="K2" s="307"/>
      <c r="L2" s="307" t="s">
        <v>1314</v>
      </c>
      <c r="M2" s="307"/>
      <c r="N2" s="307" t="s">
        <v>1315</v>
      </c>
      <c r="O2" s="307"/>
    </row>
    <row r="3" spans="1:15" x14ac:dyDescent="0.25">
      <c r="A3" t="s">
        <v>203</v>
      </c>
      <c r="B3" t="s">
        <v>1265</v>
      </c>
      <c r="C3" s="298" t="s">
        <v>203</v>
      </c>
      <c r="D3" s="298" t="s">
        <v>1265</v>
      </c>
      <c r="F3" s="306" t="s">
        <v>203</v>
      </c>
      <c r="G3" s="306" t="s">
        <v>1265</v>
      </c>
      <c r="H3" s="306" t="s">
        <v>203</v>
      </c>
      <c r="I3" s="306" t="s">
        <v>1265</v>
      </c>
      <c r="J3" s="306" t="s">
        <v>203</v>
      </c>
      <c r="K3" s="306" t="s">
        <v>1265</v>
      </c>
      <c r="L3" s="306" t="s">
        <v>203</v>
      </c>
      <c r="M3" s="306" t="s">
        <v>1265</v>
      </c>
      <c r="N3" s="306" t="s">
        <v>203</v>
      </c>
      <c r="O3" s="306" t="s">
        <v>1265</v>
      </c>
    </row>
    <row r="4" spans="1:15" ht="54.75" customHeight="1" x14ac:dyDescent="0.25">
      <c r="A4" s="13" t="s">
        <v>1266</v>
      </c>
      <c r="B4" s="302" t="s">
        <v>1267</v>
      </c>
      <c r="C4" s="13" t="s">
        <v>1294</v>
      </c>
      <c r="D4" s="302" t="s">
        <v>1293</v>
      </c>
      <c r="F4" s="13" t="s">
        <v>1266</v>
      </c>
      <c r="G4" s="302" t="s">
        <v>1267</v>
      </c>
      <c r="H4" s="13" t="s">
        <v>1294</v>
      </c>
      <c r="I4" s="302" t="s">
        <v>1293</v>
      </c>
      <c r="J4" s="13" t="s">
        <v>1300</v>
      </c>
      <c r="K4" s="384" t="s">
        <v>1301</v>
      </c>
      <c r="L4" s="13" t="s">
        <v>1306</v>
      </c>
      <c r="M4" s="302" t="s">
        <v>1307</v>
      </c>
      <c r="N4" s="13" t="s">
        <v>1316</v>
      </c>
      <c r="O4" s="302" t="s">
        <v>1317</v>
      </c>
    </row>
    <row r="5" spans="1:15" ht="54.75" customHeight="1" x14ac:dyDescent="0.25">
      <c r="A5" s="13" t="s">
        <v>1268</v>
      </c>
      <c r="B5" s="302" t="s">
        <v>1269</v>
      </c>
      <c r="C5" s="13" t="s">
        <v>1295</v>
      </c>
      <c r="D5" s="302" t="s">
        <v>1296</v>
      </c>
      <c r="F5" s="13" t="s">
        <v>1268</v>
      </c>
      <c r="G5" s="302" t="s">
        <v>1269</v>
      </c>
      <c r="H5" s="13" t="s">
        <v>1295</v>
      </c>
      <c r="I5" s="302" t="s">
        <v>1296</v>
      </c>
      <c r="J5" s="13" t="s">
        <v>1302</v>
      </c>
      <c r="K5" s="304" t="s">
        <v>1303</v>
      </c>
      <c r="L5" s="13" t="s">
        <v>1308</v>
      </c>
      <c r="M5" s="302" t="s">
        <v>1309</v>
      </c>
      <c r="N5" s="13" t="s">
        <v>1318</v>
      </c>
      <c r="O5" s="302" t="s">
        <v>1319</v>
      </c>
    </row>
    <row r="6" spans="1:15" ht="54.75" customHeight="1" x14ac:dyDescent="0.25">
      <c r="A6" s="13" t="s">
        <v>1270</v>
      </c>
      <c r="B6" s="302" t="s">
        <v>1271</v>
      </c>
      <c r="C6" s="13" t="s">
        <v>1297</v>
      </c>
      <c r="D6" s="302" t="s">
        <v>1298</v>
      </c>
      <c r="F6" s="13" t="s">
        <v>1270</v>
      </c>
      <c r="G6" s="302" t="s">
        <v>1271</v>
      </c>
      <c r="H6" s="13" t="s">
        <v>1297</v>
      </c>
      <c r="I6" s="302" t="s">
        <v>1298</v>
      </c>
      <c r="J6" s="13" t="s">
        <v>1304</v>
      </c>
      <c r="K6" s="302" t="s">
        <v>1305</v>
      </c>
      <c r="L6" s="13" t="s">
        <v>1310</v>
      </c>
      <c r="M6" s="302" t="s">
        <v>1311</v>
      </c>
      <c r="N6" s="13" t="s">
        <v>1320</v>
      </c>
      <c r="O6" s="302" t="s">
        <v>1321</v>
      </c>
    </row>
    <row r="7" spans="1:15" ht="54.75" customHeight="1" x14ac:dyDescent="0.25">
      <c r="A7" s="13" t="s">
        <v>1272</v>
      </c>
      <c r="B7" s="302" t="s">
        <v>1273</v>
      </c>
      <c r="C7" s="303"/>
      <c r="D7" s="302"/>
      <c r="F7" s="13" t="s">
        <v>1272</v>
      </c>
      <c r="G7" s="302" t="s">
        <v>1273</v>
      </c>
      <c r="H7" s="303"/>
      <c r="I7" s="302"/>
      <c r="J7" s="303"/>
      <c r="K7" s="302"/>
      <c r="L7" s="13" t="s">
        <v>1312</v>
      </c>
      <c r="M7" s="302" t="s">
        <v>1313</v>
      </c>
      <c r="N7" s="13" t="s">
        <v>1322</v>
      </c>
      <c r="O7" s="302" t="s">
        <v>1323</v>
      </c>
    </row>
    <row r="8" spans="1:15" ht="54.75" customHeight="1" x14ac:dyDescent="0.25">
      <c r="A8" s="13" t="s">
        <v>1274</v>
      </c>
      <c r="B8" s="302" t="s">
        <v>1275</v>
      </c>
      <c r="C8" s="304"/>
      <c r="D8" s="302"/>
      <c r="F8" s="13" t="s">
        <v>1274</v>
      </c>
      <c r="G8" s="302" t="s">
        <v>1275</v>
      </c>
      <c r="H8" s="304"/>
      <c r="I8" s="302"/>
      <c r="J8" s="304"/>
      <c r="K8" s="302"/>
      <c r="L8" s="303"/>
      <c r="M8" s="302"/>
      <c r="N8" s="303"/>
      <c r="O8" s="302"/>
    </row>
    <row r="9" spans="1:15" ht="54.75" customHeight="1" x14ac:dyDescent="0.25">
      <c r="A9" s="13" t="s">
        <v>1276</v>
      </c>
      <c r="B9" s="302" t="s">
        <v>1277</v>
      </c>
      <c r="C9" s="302"/>
      <c r="D9" s="302"/>
      <c r="F9" s="13" t="s">
        <v>1276</v>
      </c>
      <c r="G9" s="302" t="s">
        <v>1277</v>
      </c>
      <c r="H9" s="302"/>
      <c r="I9" s="302"/>
      <c r="J9" s="304"/>
      <c r="K9" s="302"/>
      <c r="L9" s="304"/>
      <c r="M9" s="302"/>
      <c r="N9" s="304"/>
      <c r="O9" s="302"/>
    </row>
    <row r="10" spans="1:15" ht="54.75" customHeight="1" x14ac:dyDescent="0.25">
      <c r="A10" s="13" t="s">
        <v>1278</v>
      </c>
      <c r="B10" s="302" t="s">
        <v>1279</v>
      </c>
      <c r="C10" s="302"/>
      <c r="D10" s="302"/>
      <c r="F10" s="13" t="s">
        <v>1278</v>
      </c>
      <c r="G10" s="302" t="s">
        <v>1279</v>
      </c>
      <c r="H10" s="302"/>
      <c r="I10" s="302"/>
      <c r="J10" s="302"/>
      <c r="K10" s="302"/>
      <c r="L10" s="302"/>
      <c r="M10" s="302"/>
      <c r="N10" s="302"/>
      <c r="O10" s="302"/>
    </row>
    <row r="11" spans="1:15" ht="54.75" customHeight="1" x14ac:dyDescent="0.25">
      <c r="A11" s="13" t="s">
        <v>1280</v>
      </c>
      <c r="B11" s="302" t="s">
        <v>1281</v>
      </c>
      <c r="C11" s="301"/>
      <c r="D11" s="302"/>
      <c r="F11" s="13" t="s">
        <v>1280</v>
      </c>
      <c r="G11" s="302" t="s">
        <v>1281</v>
      </c>
      <c r="H11" s="301"/>
      <c r="I11" s="302"/>
      <c r="J11" s="301"/>
      <c r="K11" s="302"/>
      <c r="L11" s="301"/>
      <c r="M11" s="302"/>
      <c r="N11" s="301"/>
      <c r="O11" s="302"/>
    </row>
    <row r="12" spans="1:15" ht="54.75" customHeight="1" x14ac:dyDescent="0.25">
      <c r="A12" s="13" t="s">
        <v>1282</v>
      </c>
      <c r="B12" s="302" t="s">
        <v>1283</v>
      </c>
      <c r="C12" s="301"/>
      <c r="D12" s="302"/>
      <c r="F12" s="13" t="s">
        <v>1282</v>
      </c>
      <c r="G12" s="302" t="s">
        <v>1283</v>
      </c>
      <c r="H12" s="301"/>
      <c r="I12" s="302"/>
      <c r="J12" s="301"/>
      <c r="K12" s="302"/>
      <c r="L12" s="301"/>
      <c r="M12" s="302"/>
      <c r="N12" s="301"/>
      <c r="O12" s="302"/>
    </row>
    <row r="13" spans="1:15" ht="54.75" customHeight="1" x14ac:dyDescent="0.25">
      <c r="A13" s="13" t="s">
        <v>1284</v>
      </c>
      <c r="B13" s="302" t="s">
        <v>1285</v>
      </c>
      <c r="C13" s="301"/>
      <c r="D13" s="302"/>
      <c r="F13" s="13" t="s">
        <v>1284</v>
      </c>
      <c r="G13" s="302" t="s">
        <v>1285</v>
      </c>
      <c r="H13" s="301"/>
      <c r="I13" s="302"/>
      <c r="J13" s="301"/>
      <c r="K13" s="302"/>
      <c r="L13" s="301"/>
      <c r="M13" s="302"/>
      <c r="N13" s="301"/>
      <c r="O13" s="302"/>
    </row>
    <row r="14" spans="1:15" ht="54.75" customHeight="1" x14ac:dyDescent="0.25">
      <c r="A14" s="13" t="s">
        <v>1286</v>
      </c>
      <c r="B14" s="302" t="s">
        <v>1287</v>
      </c>
      <c r="C14" s="301"/>
      <c r="D14" s="302"/>
      <c r="F14" s="13" t="s">
        <v>1286</v>
      </c>
      <c r="G14" s="302" t="s">
        <v>1287</v>
      </c>
      <c r="H14" s="301"/>
      <c r="I14" s="302"/>
      <c r="J14" s="301"/>
      <c r="K14" s="302"/>
      <c r="L14" s="301"/>
      <c r="M14" s="302"/>
      <c r="N14" s="301"/>
      <c r="O14" s="302"/>
    </row>
    <row r="15" spans="1:15" ht="54.75" customHeight="1" x14ac:dyDescent="0.25">
      <c r="A15" s="13" t="s">
        <v>1288</v>
      </c>
      <c r="B15" s="302" t="s">
        <v>1289</v>
      </c>
      <c r="C15" s="301"/>
      <c r="D15" s="302"/>
      <c r="F15" s="13" t="s">
        <v>1288</v>
      </c>
      <c r="G15" s="302" t="s">
        <v>1289</v>
      </c>
      <c r="H15" s="301"/>
      <c r="I15" s="302"/>
      <c r="J15" s="301"/>
      <c r="K15" s="302"/>
      <c r="L15" s="301"/>
      <c r="M15" s="302"/>
      <c r="N15" s="301"/>
      <c r="O15" s="302"/>
    </row>
    <row r="16" spans="1:15" ht="54.75" customHeight="1" x14ac:dyDescent="0.25">
      <c r="A16" s="13" t="s">
        <v>1290</v>
      </c>
      <c r="B16" s="302" t="s">
        <v>1291</v>
      </c>
      <c r="C16" s="301"/>
      <c r="D16" s="302"/>
      <c r="F16" s="13" t="s">
        <v>1290</v>
      </c>
      <c r="G16" s="302" t="s">
        <v>1291</v>
      </c>
      <c r="H16" s="301"/>
      <c r="I16" s="302"/>
      <c r="J16" s="301"/>
      <c r="K16" s="302"/>
      <c r="L16" s="301"/>
      <c r="M16" s="302"/>
      <c r="N16" s="301"/>
      <c r="O16" s="302"/>
    </row>
    <row r="17" spans="1:15" ht="54.75" customHeight="1" x14ac:dyDescent="0.25">
      <c r="B17" s="300"/>
      <c r="D17" s="300"/>
      <c r="G17" s="300"/>
      <c r="I17" s="300"/>
      <c r="K17" s="300"/>
      <c r="M17" s="300"/>
      <c r="O17" s="300"/>
    </row>
    <row r="18" spans="1:15" ht="54.75" customHeight="1" x14ac:dyDescent="0.25">
      <c r="A18" s="106"/>
      <c r="B18" s="300"/>
      <c r="C18" s="106"/>
      <c r="D18" s="300"/>
      <c r="F18" s="305"/>
      <c r="G18" s="300"/>
      <c r="H18" s="305"/>
      <c r="I18" s="300"/>
      <c r="J18" s="305"/>
      <c r="K18" s="300"/>
      <c r="L18" s="305"/>
      <c r="M18" s="300"/>
      <c r="N18" s="305"/>
      <c r="O18" s="300"/>
    </row>
    <row r="19" spans="1:15" ht="54.75" customHeight="1" x14ac:dyDescent="0.25">
      <c r="A19" s="106"/>
      <c r="B19" s="300"/>
      <c r="C19" s="106"/>
      <c r="D19" s="300"/>
      <c r="F19" s="305"/>
      <c r="G19" s="300"/>
      <c r="H19" s="305"/>
      <c r="I19" s="300"/>
      <c r="J19" s="305"/>
      <c r="K19" s="300"/>
      <c r="L19" s="305"/>
      <c r="M19" s="300"/>
      <c r="N19" s="305"/>
      <c r="O19" s="300"/>
    </row>
    <row r="20" spans="1:15" ht="54.75" customHeight="1" x14ac:dyDescent="0.25">
      <c r="A20" s="106"/>
      <c r="B20" s="300"/>
      <c r="C20" s="106"/>
      <c r="D20" s="300"/>
      <c r="F20" s="305"/>
      <c r="G20" s="300"/>
      <c r="H20" s="305"/>
      <c r="I20" s="300"/>
      <c r="J20" s="305"/>
      <c r="K20" s="300"/>
      <c r="L20" s="305"/>
      <c r="M20" s="300"/>
      <c r="N20" s="305"/>
      <c r="O20" s="300"/>
    </row>
    <row r="21" spans="1:15" ht="54.75" customHeight="1" x14ac:dyDescent="0.25">
      <c r="A21" s="106"/>
      <c r="B21" s="300"/>
      <c r="C21" s="106"/>
      <c r="D21" s="300"/>
      <c r="F21" s="305"/>
      <c r="G21" s="300"/>
      <c r="H21" s="305"/>
      <c r="I21" s="300"/>
      <c r="J21" s="305"/>
      <c r="K21" s="300"/>
      <c r="L21" s="305"/>
      <c r="M21" s="300"/>
      <c r="N21" s="305"/>
      <c r="O21" s="300"/>
    </row>
    <row r="22" spans="1:15" ht="54.75" customHeight="1" x14ac:dyDescent="0.25">
      <c r="A22" s="106"/>
      <c r="B22" s="300"/>
      <c r="C22" s="106"/>
      <c r="D22" s="300"/>
      <c r="F22" s="305"/>
      <c r="G22" s="300"/>
      <c r="H22" s="305"/>
      <c r="I22" s="300"/>
      <c r="J22" s="305"/>
      <c r="K22" s="300"/>
      <c r="L22" s="305"/>
      <c r="M22" s="300"/>
      <c r="N22" s="305"/>
      <c r="O22" s="300"/>
    </row>
    <row r="23" spans="1:15" ht="54.75" customHeight="1" x14ac:dyDescent="0.25">
      <c r="A23" s="106"/>
      <c r="B23" s="300"/>
      <c r="C23" s="106"/>
      <c r="D23" s="300"/>
      <c r="F23" s="305"/>
      <c r="G23" s="300"/>
      <c r="H23" s="305"/>
      <c r="I23" s="300"/>
      <c r="J23" s="305"/>
      <c r="K23" s="300"/>
      <c r="L23" s="305"/>
      <c r="M23" s="300"/>
      <c r="N23" s="305"/>
      <c r="O23" s="300"/>
    </row>
    <row r="24" spans="1:15" ht="54.75" customHeight="1" x14ac:dyDescent="0.25">
      <c r="A24" s="106"/>
      <c r="B24" s="300"/>
      <c r="C24" s="106"/>
      <c r="D24" s="300"/>
      <c r="F24" s="305"/>
      <c r="G24" s="300"/>
      <c r="H24" s="305"/>
      <c r="I24" s="300"/>
      <c r="J24" s="305"/>
      <c r="K24" s="300"/>
      <c r="L24" s="305"/>
      <c r="M24" s="300"/>
      <c r="N24" s="305"/>
      <c r="O24" s="300"/>
    </row>
    <row r="25" spans="1:15" ht="54.75" customHeight="1" x14ac:dyDescent="0.25">
      <c r="A25" s="106"/>
      <c r="B25" s="300"/>
      <c r="C25" s="106"/>
      <c r="D25" s="300"/>
      <c r="F25" s="305"/>
      <c r="G25" s="300"/>
      <c r="H25" s="305"/>
      <c r="I25" s="300"/>
      <c r="J25" s="305"/>
      <c r="K25" s="300"/>
      <c r="L25" s="305"/>
      <c r="M25" s="300"/>
      <c r="N25" s="305"/>
      <c r="O25" s="300"/>
    </row>
    <row r="26" spans="1:15" ht="54.75" customHeight="1" x14ac:dyDescent="0.25">
      <c r="A26" s="106"/>
      <c r="B26" s="300"/>
      <c r="C26" s="106"/>
      <c r="D26" s="300"/>
      <c r="F26" s="305"/>
      <c r="G26" s="300"/>
      <c r="H26" s="305"/>
      <c r="I26" s="300"/>
      <c r="J26" s="305"/>
      <c r="K26" s="300"/>
      <c r="L26" s="305"/>
      <c r="M26" s="300"/>
      <c r="N26" s="305"/>
      <c r="O26" s="300"/>
    </row>
    <row r="27" spans="1:15" ht="54.75" customHeight="1" x14ac:dyDescent="0.25">
      <c r="A27" s="106"/>
      <c r="B27" s="300"/>
      <c r="C27" s="106"/>
      <c r="D27" s="300"/>
      <c r="F27" s="305"/>
      <c r="G27" s="300"/>
      <c r="H27" s="305"/>
      <c r="I27" s="300"/>
      <c r="J27" s="305"/>
      <c r="K27" s="300"/>
      <c r="L27" s="305"/>
      <c r="M27" s="300"/>
      <c r="N27" s="305"/>
      <c r="O27" s="300"/>
    </row>
    <row r="28" spans="1:15" ht="54.75" customHeight="1" x14ac:dyDescent="0.25">
      <c r="A28" s="106"/>
      <c r="B28" s="300"/>
      <c r="C28" s="106"/>
      <c r="D28" s="300"/>
      <c r="F28" s="305"/>
      <c r="G28" s="300"/>
      <c r="H28" s="305"/>
      <c r="I28" s="300"/>
      <c r="J28" s="305"/>
      <c r="K28" s="300"/>
      <c r="L28" s="305"/>
      <c r="M28" s="300"/>
      <c r="N28" s="305"/>
      <c r="O28" s="300"/>
    </row>
    <row r="29" spans="1:15" ht="54.75" customHeight="1" x14ac:dyDescent="0.25">
      <c r="A29" s="106"/>
      <c r="B29" s="300"/>
      <c r="C29" s="106"/>
      <c r="D29" s="300"/>
      <c r="F29" s="305"/>
      <c r="G29" s="300"/>
      <c r="H29" s="305"/>
      <c r="I29" s="300"/>
      <c r="J29" s="305"/>
      <c r="K29" s="300"/>
      <c r="L29" s="305"/>
      <c r="M29" s="300"/>
      <c r="N29" s="305"/>
      <c r="O29" s="300"/>
    </row>
    <row r="30" spans="1:15" ht="54.75" customHeight="1" x14ac:dyDescent="0.25">
      <c r="A30" s="106"/>
      <c r="B30" s="300"/>
      <c r="C30" s="106"/>
      <c r="D30" s="300"/>
      <c r="F30" s="305"/>
      <c r="G30" s="300"/>
      <c r="H30" s="305"/>
      <c r="I30" s="300"/>
      <c r="J30" s="305"/>
      <c r="K30" s="300"/>
      <c r="L30" s="305"/>
      <c r="M30" s="300"/>
      <c r="N30" s="305"/>
      <c r="O30" s="300"/>
    </row>
    <row r="31" spans="1:15" ht="54.75" customHeight="1" x14ac:dyDescent="0.25">
      <c r="A31" s="106"/>
      <c r="B31" s="300"/>
      <c r="C31" s="106"/>
      <c r="D31" s="300"/>
      <c r="F31" s="305"/>
      <c r="G31" s="300"/>
      <c r="H31" s="305"/>
      <c r="I31" s="300"/>
      <c r="J31" s="305"/>
      <c r="K31" s="300"/>
      <c r="L31" s="305"/>
      <c r="M31" s="300"/>
      <c r="N31" s="305"/>
      <c r="O31" s="300"/>
    </row>
    <row r="32" spans="1:15" ht="54.75" customHeight="1" x14ac:dyDescent="0.25">
      <c r="A32" s="106"/>
      <c r="B32" s="300"/>
      <c r="C32" s="106"/>
      <c r="D32" s="300"/>
      <c r="F32" s="305"/>
      <c r="G32" s="300"/>
      <c r="H32" s="305"/>
      <c r="I32" s="300"/>
      <c r="J32" s="305"/>
      <c r="K32" s="300"/>
      <c r="L32" s="305"/>
      <c r="M32" s="300"/>
      <c r="N32" s="305"/>
      <c r="O32" s="300"/>
    </row>
    <row r="33" spans="1:15" ht="54.75" customHeight="1" x14ac:dyDescent="0.25">
      <c r="A33" s="106"/>
      <c r="B33" s="300"/>
      <c r="C33" s="106"/>
      <c r="D33" s="300"/>
      <c r="F33" s="305"/>
      <c r="G33" s="300"/>
      <c r="H33" s="305"/>
      <c r="I33" s="300"/>
      <c r="J33" s="305"/>
      <c r="K33" s="300"/>
      <c r="L33" s="305"/>
      <c r="M33" s="300"/>
      <c r="N33" s="305"/>
      <c r="O33" s="300"/>
    </row>
    <row r="34" spans="1:15" ht="54.75" customHeight="1" x14ac:dyDescent="0.25">
      <c r="A34" s="106"/>
      <c r="B34" s="300"/>
      <c r="C34" s="106"/>
      <c r="D34" s="300"/>
      <c r="F34" s="305"/>
      <c r="G34" s="300"/>
      <c r="H34" s="305"/>
      <c r="I34" s="300"/>
      <c r="J34" s="305"/>
      <c r="K34" s="300"/>
      <c r="L34" s="305"/>
      <c r="M34" s="300"/>
      <c r="N34" s="305"/>
      <c r="O34" s="300"/>
    </row>
    <row r="35" spans="1:15" ht="54.75" customHeight="1" x14ac:dyDescent="0.25">
      <c r="A35" s="106"/>
      <c r="B35" s="300"/>
      <c r="C35" s="106"/>
      <c r="D35" s="300"/>
      <c r="F35" s="305"/>
      <c r="G35" s="300"/>
      <c r="H35" s="305"/>
      <c r="I35" s="300"/>
      <c r="J35" s="305"/>
      <c r="K35" s="300"/>
      <c r="L35" s="305"/>
      <c r="M35" s="300"/>
      <c r="N35" s="305"/>
      <c r="O35" s="300"/>
    </row>
    <row r="36" spans="1:15" ht="54.75" customHeight="1" x14ac:dyDescent="0.25">
      <c r="A36" s="106"/>
      <c r="B36" s="300"/>
      <c r="C36" s="106"/>
      <c r="D36" s="300"/>
      <c r="F36" s="305"/>
      <c r="G36" s="300"/>
      <c r="H36" s="305"/>
      <c r="I36" s="300"/>
      <c r="J36" s="305"/>
      <c r="K36" s="300"/>
      <c r="L36" s="305"/>
      <c r="M36" s="300"/>
      <c r="N36" s="305"/>
      <c r="O36" s="300"/>
    </row>
    <row r="37" spans="1:15" ht="54.75" customHeight="1" x14ac:dyDescent="0.25">
      <c r="A37" s="106"/>
      <c r="B37" s="300"/>
      <c r="C37" s="106"/>
      <c r="D37" s="300"/>
      <c r="F37" s="305"/>
      <c r="G37" s="300"/>
      <c r="H37" s="305"/>
      <c r="I37" s="300"/>
      <c r="J37" s="305"/>
      <c r="K37" s="300"/>
      <c r="L37" s="305"/>
      <c r="M37" s="300"/>
      <c r="N37" s="305"/>
      <c r="O37" s="300"/>
    </row>
    <row r="38" spans="1:15" ht="54.75" customHeight="1" x14ac:dyDescent="0.25">
      <c r="A38" s="106"/>
      <c r="B38" s="300"/>
      <c r="C38" s="106"/>
      <c r="D38" s="300"/>
      <c r="F38" s="305"/>
      <c r="G38" s="300"/>
      <c r="H38" s="305"/>
      <c r="I38" s="300"/>
      <c r="J38" s="305"/>
      <c r="K38" s="300"/>
      <c r="L38" s="305"/>
      <c r="M38" s="300"/>
      <c r="N38" s="305"/>
      <c r="O38" s="300"/>
    </row>
    <row r="39" spans="1:15" ht="54.75" customHeight="1" x14ac:dyDescent="0.25">
      <c r="A39" s="106"/>
      <c r="B39" s="300"/>
      <c r="C39" s="106"/>
      <c r="D39" s="300"/>
      <c r="F39" s="305"/>
      <c r="G39" s="300"/>
      <c r="H39" s="305"/>
      <c r="I39" s="300"/>
      <c r="J39" s="305"/>
      <c r="K39" s="300"/>
      <c r="L39" s="305"/>
      <c r="M39" s="300"/>
      <c r="N39" s="305"/>
      <c r="O39" s="300"/>
    </row>
    <row r="40" spans="1:15" ht="54.75" customHeight="1" x14ac:dyDescent="0.25">
      <c r="A40" s="106"/>
      <c r="B40" s="300"/>
      <c r="C40" s="106"/>
      <c r="D40" s="300"/>
      <c r="F40" s="305"/>
      <c r="G40" s="300"/>
      <c r="H40" s="305"/>
      <c r="I40" s="300"/>
      <c r="J40" s="305"/>
      <c r="K40" s="300"/>
      <c r="L40" s="305"/>
      <c r="M40" s="300"/>
      <c r="N40" s="305"/>
      <c r="O40" s="300"/>
    </row>
    <row r="41" spans="1:15" ht="54.75" customHeight="1" x14ac:dyDescent="0.25">
      <c r="A41" s="106"/>
      <c r="B41" s="300"/>
      <c r="C41" s="106"/>
      <c r="D41" s="300"/>
      <c r="F41" s="305"/>
      <c r="G41" s="300"/>
      <c r="H41" s="305"/>
      <c r="I41" s="300"/>
      <c r="J41" s="305"/>
      <c r="K41" s="300"/>
      <c r="L41" s="305"/>
      <c r="M41" s="300"/>
      <c r="N41" s="305"/>
      <c r="O41" s="300"/>
    </row>
    <row r="42" spans="1:15" ht="54.75" customHeight="1" x14ac:dyDescent="0.25">
      <c r="A42" s="106"/>
      <c r="B42" s="300"/>
      <c r="C42" s="106"/>
      <c r="D42" s="300"/>
      <c r="F42" s="305"/>
      <c r="G42" s="300"/>
      <c r="H42" s="305"/>
      <c r="I42" s="300"/>
      <c r="J42" s="305"/>
      <c r="K42" s="300"/>
      <c r="L42" s="305"/>
      <c r="M42" s="300"/>
      <c r="N42" s="305"/>
      <c r="O42" s="300"/>
    </row>
    <row r="43" spans="1:15" ht="54.75" customHeight="1" x14ac:dyDescent="0.25">
      <c r="A43" s="106"/>
      <c r="B43" s="300"/>
      <c r="C43" s="106"/>
      <c r="D43" s="300"/>
      <c r="F43" s="305"/>
      <c r="G43" s="300"/>
      <c r="H43" s="305"/>
      <c r="I43" s="300"/>
      <c r="J43" s="305"/>
      <c r="K43" s="300"/>
      <c r="L43" s="305"/>
      <c r="M43" s="300"/>
      <c r="N43" s="305"/>
      <c r="O43" s="300"/>
    </row>
    <row r="44" spans="1:15" ht="54.75" customHeight="1" x14ac:dyDescent="0.25">
      <c r="A44" s="106"/>
      <c r="B44" s="300"/>
      <c r="C44" s="106"/>
      <c r="D44" s="300"/>
      <c r="F44" s="305"/>
      <c r="G44" s="300"/>
      <c r="H44" s="305"/>
      <c r="I44" s="300"/>
      <c r="J44" s="305"/>
      <c r="K44" s="300"/>
      <c r="L44" s="305"/>
      <c r="M44" s="300"/>
      <c r="N44" s="305"/>
      <c r="O44" s="300"/>
    </row>
    <row r="45" spans="1:15" ht="54.75" customHeight="1" x14ac:dyDescent="0.25">
      <c r="A45" s="106"/>
      <c r="B45" s="300"/>
      <c r="C45" s="106"/>
      <c r="D45" s="300"/>
      <c r="F45" s="305"/>
      <c r="G45" s="300"/>
      <c r="H45" s="305"/>
      <c r="I45" s="300"/>
      <c r="J45" s="305"/>
      <c r="K45" s="300"/>
      <c r="L45" s="305"/>
      <c r="M45" s="300"/>
      <c r="N45" s="305"/>
      <c r="O45" s="300"/>
    </row>
    <row r="46" spans="1:15" ht="54.75" customHeight="1" x14ac:dyDescent="0.25">
      <c r="A46" s="106"/>
      <c r="B46" s="300"/>
      <c r="C46" s="106"/>
      <c r="D46" s="300"/>
      <c r="F46" s="305"/>
      <c r="G46" s="300"/>
      <c r="H46" s="305"/>
      <c r="I46" s="300"/>
      <c r="J46" s="305"/>
      <c r="K46" s="300"/>
      <c r="L46" s="305"/>
      <c r="M46" s="300"/>
      <c r="N46" s="305"/>
      <c r="O46" s="300"/>
    </row>
    <row r="47" spans="1:15" ht="54.75" customHeight="1" x14ac:dyDescent="0.25">
      <c r="A47" s="106"/>
      <c r="B47" s="300"/>
      <c r="C47" s="106"/>
      <c r="D47" s="300"/>
      <c r="F47" s="305"/>
      <c r="G47" s="300"/>
      <c r="H47" s="305"/>
      <c r="I47" s="300"/>
      <c r="J47" s="305"/>
      <c r="K47" s="300"/>
      <c r="L47" s="305"/>
      <c r="M47" s="300"/>
      <c r="N47" s="305"/>
      <c r="O47" s="300"/>
    </row>
    <row r="48" spans="1:15" ht="54.75" customHeight="1" x14ac:dyDescent="0.25">
      <c r="A48" s="106"/>
      <c r="B48" s="300"/>
      <c r="C48" s="106"/>
      <c r="D48" s="300"/>
      <c r="F48" s="305"/>
      <c r="G48" s="300"/>
      <c r="H48" s="305"/>
      <c r="I48" s="300"/>
      <c r="J48" s="305"/>
      <c r="K48" s="300"/>
      <c r="L48" s="305"/>
      <c r="M48" s="300"/>
      <c r="N48" s="305"/>
      <c r="O48" s="300"/>
    </row>
    <row r="49" spans="1:15" ht="54.75" customHeight="1" x14ac:dyDescent="0.25">
      <c r="A49" s="106"/>
      <c r="B49" s="300"/>
      <c r="C49" s="106"/>
      <c r="D49" s="300"/>
      <c r="F49" s="305"/>
      <c r="G49" s="300"/>
      <c r="H49" s="305"/>
      <c r="I49" s="300"/>
      <c r="J49" s="305"/>
      <c r="K49" s="300"/>
      <c r="L49" s="305"/>
      <c r="M49" s="300"/>
      <c r="N49" s="305"/>
      <c r="O49" s="300"/>
    </row>
    <row r="50" spans="1:15" ht="54.75" customHeight="1" x14ac:dyDescent="0.25">
      <c r="A50" s="106"/>
      <c r="B50" s="300"/>
      <c r="C50" s="106"/>
      <c r="D50" s="300"/>
      <c r="F50" s="305"/>
      <c r="G50" s="300"/>
      <c r="H50" s="305"/>
      <c r="I50" s="300"/>
      <c r="J50" s="305"/>
      <c r="K50" s="300"/>
      <c r="L50" s="305"/>
      <c r="M50" s="300"/>
      <c r="N50" s="305"/>
      <c r="O50" s="300"/>
    </row>
    <row r="51" spans="1:15" ht="54.75" customHeight="1" x14ac:dyDescent="0.25">
      <c r="A51" s="106"/>
      <c r="B51" s="300"/>
      <c r="C51" s="106"/>
      <c r="D51" s="300"/>
      <c r="F51" s="305"/>
      <c r="G51" s="300"/>
      <c r="H51" s="305"/>
      <c r="I51" s="300"/>
      <c r="J51" s="305"/>
      <c r="K51" s="300"/>
      <c r="L51" s="305"/>
      <c r="M51" s="300"/>
      <c r="N51" s="305"/>
      <c r="O51" s="300"/>
    </row>
    <row r="52" spans="1:15" ht="54.75" customHeight="1" x14ac:dyDescent="0.25">
      <c r="A52" s="106"/>
      <c r="B52" s="300"/>
      <c r="C52" s="106"/>
      <c r="D52" s="300"/>
      <c r="F52" s="305"/>
      <c r="G52" s="300"/>
      <c r="H52" s="305"/>
      <c r="I52" s="300"/>
      <c r="J52" s="305"/>
      <c r="K52" s="300"/>
      <c r="L52" s="305"/>
      <c r="M52" s="300"/>
      <c r="N52" s="305"/>
      <c r="O52" s="300"/>
    </row>
    <row r="53" spans="1:15" ht="54.75" customHeight="1" x14ac:dyDescent="0.25">
      <c r="A53" s="106"/>
      <c r="B53" s="300"/>
      <c r="C53" s="106"/>
      <c r="D53" s="300"/>
      <c r="F53" s="305"/>
      <c r="G53" s="300"/>
      <c r="H53" s="305"/>
      <c r="I53" s="300"/>
      <c r="J53" s="305"/>
      <c r="K53" s="300"/>
      <c r="L53" s="305"/>
      <c r="M53" s="300"/>
      <c r="N53" s="305"/>
      <c r="O53" s="300"/>
    </row>
    <row r="54" spans="1:15" ht="54.75" customHeight="1" x14ac:dyDescent="0.25">
      <c r="A54" s="106"/>
      <c r="B54" s="300"/>
      <c r="C54" s="106"/>
      <c r="D54" s="300"/>
      <c r="F54" s="305"/>
      <c r="G54" s="300"/>
      <c r="H54" s="305"/>
      <c r="I54" s="300"/>
      <c r="J54" s="305"/>
      <c r="K54" s="300"/>
      <c r="L54" s="305"/>
      <c r="M54" s="300"/>
      <c r="N54" s="305"/>
      <c r="O54" s="300"/>
    </row>
    <row r="55" spans="1:15" ht="54.75" customHeight="1" x14ac:dyDescent="0.25">
      <c r="A55" s="106"/>
      <c r="B55" s="300"/>
      <c r="C55" s="106"/>
      <c r="D55" s="300"/>
      <c r="F55" s="305"/>
      <c r="G55" s="300"/>
      <c r="H55" s="305"/>
      <c r="I55" s="300"/>
      <c r="J55" s="305"/>
      <c r="K55" s="300"/>
      <c r="L55" s="305"/>
      <c r="M55" s="300"/>
      <c r="N55" s="305"/>
      <c r="O55" s="300"/>
    </row>
    <row r="56" spans="1:15" ht="54.75" customHeight="1" x14ac:dyDescent="0.25">
      <c r="A56" s="106"/>
      <c r="B56" s="300"/>
      <c r="C56" s="106"/>
      <c r="D56" s="300"/>
      <c r="F56" s="305"/>
      <c r="G56" s="300"/>
      <c r="H56" s="305"/>
      <c r="I56" s="300"/>
      <c r="J56" s="305"/>
      <c r="K56" s="300"/>
      <c r="L56" s="305"/>
      <c r="M56" s="300"/>
      <c r="N56" s="305"/>
      <c r="O56" s="300"/>
    </row>
    <row r="57" spans="1:15" ht="54.75" customHeight="1" x14ac:dyDescent="0.25">
      <c r="A57" s="106"/>
      <c r="B57" s="300"/>
      <c r="C57" s="106"/>
      <c r="D57" s="300"/>
      <c r="F57" s="305"/>
      <c r="G57" s="300"/>
      <c r="H57" s="305"/>
      <c r="I57" s="300"/>
      <c r="J57" s="305"/>
      <c r="K57" s="300"/>
      <c r="L57" s="305"/>
      <c r="M57" s="300"/>
      <c r="N57" s="305"/>
      <c r="O57" s="300"/>
    </row>
    <row r="58" spans="1:15" ht="54.75" customHeight="1" x14ac:dyDescent="0.25">
      <c r="A58" s="106"/>
      <c r="B58" s="300"/>
      <c r="C58" s="106"/>
      <c r="D58" s="300"/>
      <c r="F58" s="305"/>
      <c r="G58" s="300"/>
      <c r="H58" s="305"/>
      <c r="I58" s="300"/>
      <c r="J58" s="305"/>
      <c r="K58" s="300"/>
      <c r="L58" s="305"/>
      <c r="M58" s="300"/>
      <c r="N58" s="305"/>
      <c r="O58" s="300"/>
    </row>
    <row r="59" spans="1:15" ht="54.75" customHeight="1" x14ac:dyDescent="0.25">
      <c r="A59" s="106"/>
      <c r="B59" s="300"/>
      <c r="C59" s="106"/>
      <c r="D59" s="300"/>
      <c r="F59" s="305"/>
      <c r="G59" s="300"/>
      <c r="H59" s="305"/>
      <c r="I59" s="300"/>
      <c r="J59" s="305"/>
      <c r="K59" s="300"/>
      <c r="L59" s="305"/>
      <c r="M59" s="300"/>
      <c r="N59" s="305"/>
      <c r="O59" s="300"/>
    </row>
    <row r="60" spans="1:15" ht="54.75" customHeight="1" x14ac:dyDescent="0.25">
      <c r="A60" s="106"/>
      <c r="B60" s="300"/>
      <c r="C60" s="106"/>
      <c r="D60" s="300"/>
      <c r="F60" s="305"/>
      <c r="G60" s="300"/>
      <c r="H60" s="305"/>
      <c r="I60" s="300"/>
      <c r="J60" s="305"/>
      <c r="K60" s="300"/>
      <c r="L60" s="305"/>
      <c r="M60" s="300"/>
      <c r="N60" s="305"/>
      <c r="O60" s="300"/>
    </row>
    <row r="61" spans="1:15" ht="54.75" customHeight="1" x14ac:dyDescent="0.25">
      <c r="A61" s="106"/>
      <c r="B61" s="300"/>
      <c r="C61" s="106"/>
      <c r="D61" s="300"/>
      <c r="F61" s="305"/>
      <c r="G61" s="300"/>
      <c r="H61" s="305"/>
      <c r="I61" s="300"/>
      <c r="J61" s="305"/>
      <c r="K61" s="300"/>
      <c r="L61" s="305"/>
      <c r="M61" s="300"/>
      <c r="N61" s="305"/>
      <c r="O61" s="300"/>
    </row>
    <row r="62" spans="1:15" ht="54.75" customHeight="1" x14ac:dyDescent="0.25">
      <c r="A62" s="106"/>
      <c r="B62" s="300"/>
      <c r="C62" s="106"/>
      <c r="D62" s="300"/>
      <c r="F62" s="305"/>
      <c r="G62" s="300"/>
      <c r="H62" s="305"/>
      <c r="I62" s="300"/>
      <c r="J62" s="305"/>
      <c r="K62" s="300"/>
      <c r="L62" s="305"/>
      <c r="M62" s="300"/>
      <c r="N62" s="305"/>
      <c r="O62" s="300"/>
    </row>
    <row r="63" spans="1:15" x14ac:dyDescent="0.25">
      <c r="A63" s="106"/>
      <c r="B63" s="300"/>
      <c r="C63" s="106"/>
      <c r="D63" s="300"/>
      <c r="F63" s="305"/>
      <c r="G63" s="300"/>
      <c r="H63" s="305"/>
      <c r="I63" s="300"/>
      <c r="J63" s="305"/>
      <c r="K63" s="300"/>
      <c r="L63" s="305"/>
      <c r="M63" s="300"/>
      <c r="N63" s="305"/>
      <c r="O63" s="300"/>
    </row>
    <row r="64" spans="1:15" x14ac:dyDescent="0.25">
      <c r="A64" s="106"/>
      <c r="B64" s="300"/>
      <c r="C64" s="106"/>
      <c r="D64" s="300"/>
      <c r="F64" s="305"/>
      <c r="G64" s="300"/>
      <c r="H64" s="305"/>
      <c r="I64" s="300"/>
      <c r="J64" s="305"/>
      <c r="K64" s="300"/>
      <c r="L64" s="305"/>
      <c r="M64" s="300"/>
      <c r="N64" s="305"/>
      <c r="O64" s="300"/>
    </row>
    <row r="65" spans="1:15" x14ac:dyDescent="0.25">
      <c r="A65" s="106"/>
      <c r="B65" s="300"/>
      <c r="C65" s="106"/>
      <c r="D65" s="300"/>
      <c r="F65" s="305"/>
      <c r="G65" s="300"/>
      <c r="H65" s="305"/>
      <c r="I65" s="300"/>
      <c r="J65" s="305"/>
      <c r="K65" s="300"/>
      <c r="L65" s="305"/>
      <c r="M65" s="300"/>
      <c r="N65" s="305"/>
      <c r="O65" s="300"/>
    </row>
    <row r="66" spans="1:15" x14ac:dyDescent="0.25">
      <c r="A66" s="106"/>
      <c r="B66" s="300"/>
      <c r="C66" s="106"/>
      <c r="D66" s="300"/>
      <c r="F66" s="305"/>
      <c r="G66" s="300"/>
      <c r="H66" s="305"/>
      <c r="I66" s="300"/>
      <c r="J66" s="305"/>
      <c r="K66" s="300"/>
      <c r="L66" s="305"/>
      <c r="M66" s="300"/>
      <c r="N66" s="305"/>
      <c r="O66" s="300"/>
    </row>
    <row r="67" spans="1:15" x14ac:dyDescent="0.25">
      <c r="A67" s="106"/>
      <c r="B67" s="300"/>
      <c r="C67" s="106"/>
      <c r="D67" s="300"/>
      <c r="F67" s="305"/>
      <c r="G67" s="300"/>
      <c r="H67" s="305"/>
      <c r="I67" s="300"/>
      <c r="J67" s="305"/>
      <c r="K67" s="300"/>
      <c r="L67" s="305"/>
      <c r="M67" s="300"/>
      <c r="N67" s="305"/>
      <c r="O67" s="300"/>
    </row>
    <row r="68" spans="1:15" x14ac:dyDescent="0.25">
      <c r="A68" s="106"/>
      <c r="B68" s="300"/>
      <c r="C68" s="106"/>
      <c r="D68" s="300"/>
      <c r="F68" s="305"/>
      <c r="G68" s="300"/>
      <c r="H68" s="305"/>
      <c r="I68" s="300"/>
      <c r="J68" s="305"/>
      <c r="K68" s="300"/>
      <c r="L68" s="305"/>
      <c r="M68" s="300"/>
      <c r="N68" s="305"/>
      <c r="O68" s="300"/>
    </row>
    <row r="69" spans="1:15" x14ac:dyDescent="0.25">
      <c r="A69" s="106"/>
      <c r="B69" s="300"/>
      <c r="C69" s="106"/>
      <c r="D69" s="300"/>
      <c r="F69" s="305"/>
      <c r="G69" s="300"/>
      <c r="H69" s="305"/>
      <c r="I69" s="300"/>
      <c r="J69" s="305"/>
      <c r="K69" s="300"/>
      <c r="L69" s="305"/>
      <c r="M69" s="300"/>
      <c r="N69" s="305"/>
      <c r="O69" s="300"/>
    </row>
    <row r="70" spans="1:15" x14ac:dyDescent="0.25">
      <c r="A70" s="106"/>
      <c r="B70" s="300"/>
      <c r="C70" s="106"/>
      <c r="D70" s="300"/>
      <c r="F70" s="305"/>
      <c r="G70" s="300"/>
      <c r="H70" s="305"/>
      <c r="I70" s="300"/>
      <c r="J70" s="305"/>
      <c r="K70" s="300"/>
      <c r="L70" s="305"/>
      <c r="M70" s="300"/>
      <c r="N70" s="305"/>
      <c r="O70" s="300"/>
    </row>
    <row r="71" spans="1:15" x14ac:dyDescent="0.25">
      <c r="A71" s="106"/>
      <c r="B71" s="300"/>
      <c r="C71" s="106"/>
      <c r="D71" s="300"/>
      <c r="F71" s="305"/>
      <c r="G71" s="300"/>
      <c r="H71" s="305"/>
      <c r="I71" s="300"/>
      <c r="J71" s="305"/>
      <c r="K71" s="300"/>
      <c r="L71" s="305"/>
      <c r="M71" s="300"/>
      <c r="N71" s="305"/>
      <c r="O71" s="300"/>
    </row>
    <row r="72" spans="1:15" x14ac:dyDescent="0.25">
      <c r="A72" s="106"/>
      <c r="B72" s="300"/>
      <c r="C72" s="106"/>
      <c r="D72" s="300"/>
      <c r="F72" s="305"/>
      <c r="G72" s="300"/>
      <c r="H72" s="305"/>
      <c r="I72" s="300"/>
      <c r="J72" s="305"/>
      <c r="K72" s="300"/>
      <c r="L72" s="305"/>
      <c r="M72" s="300"/>
      <c r="N72" s="305"/>
      <c r="O72" s="300"/>
    </row>
    <row r="73" spans="1:15" x14ac:dyDescent="0.25">
      <c r="A73" s="106"/>
      <c r="B73" s="300"/>
      <c r="C73" s="106"/>
      <c r="D73" s="300"/>
      <c r="F73" s="305"/>
      <c r="G73" s="300"/>
      <c r="H73" s="305"/>
      <c r="I73" s="300"/>
      <c r="J73" s="305"/>
      <c r="K73" s="300"/>
      <c r="L73" s="305"/>
      <c r="M73" s="300"/>
      <c r="N73" s="305"/>
      <c r="O73" s="300"/>
    </row>
    <row r="74" spans="1:15" x14ac:dyDescent="0.25">
      <c r="A74" s="106"/>
      <c r="B74" s="300"/>
      <c r="C74" s="106"/>
      <c r="D74" s="300"/>
      <c r="F74" s="305"/>
      <c r="G74" s="300"/>
      <c r="H74" s="305"/>
      <c r="I74" s="300"/>
      <c r="J74" s="305"/>
      <c r="K74" s="300"/>
      <c r="L74" s="305"/>
      <c r="M74" s="300"/>
      <c r="N74" s="305"/>
      <c r="O74" s="300"/>
    </row>
    <row r="75" spans="1:15" x14ac:dyDescent="0.25">
      <c r="A75" s="106"/>
      <c r="B75" s="300"/>
      <c r="C75" s="106"/>
      <c r="D75" s="300"/>
      <c r="F75" s="305"/>
      <c r="G75" s="300"/>
      <c r="H75" s="305"/>
      <c r="I75" s="300"/>
      <c r="J75" s="305"/>
      <c r="K75" s="300"/>
      <c r="L75" s="305"/>
      <c r="M75" s="300"/>
      <c r="N75" s="305"/>
      <c r="O75" s="300"/>
    </row>
    <row r="76" spans="1:15" x14ac:dyDescent="0.25">
      <c r="A76" s="106"/>
      <c r="B76" s="300"/>
      <c r="C76" s="106"/>
      <c r="D76" s="300"/>
      <c r="F76" s="305"/>
      <c r="G76" s="300"/>
      <c r="H76" s="305"/>
      <c r="I76" s="300"/>
      <c r="J76" s="305"/>
      <c r="K76" s="300"/>
      <c r="L76" s="305"/>
      <c r="M76" s="300"/>
      <c r="N76" s="305"/>
      <c r="O76" s="300"/>
    </row>
    <row r="77" spans="1:15" x14ac:dyDescent="0.25">
      <c r="A77" s="106"/>
      <c r="B77" s="300"/>
      <c r="C77" s="106"/>
      <c r="D77" s="300"/>
      <c r="F77" s="305"/>
      <c r="G77" s="300"/>
      <c r="H77" s="305"/>
      <c r="I77" s="300"/>
      <c r="J77" s="305"/>
      <c r="K77" s="300"/>
      <c r="L77" s="305"/>
      <c r="M77" s="300"/>
      <c r="N77" s="305"/>
      <c r="O77" s="300"/>
    </row>
    <row r="78" spans="1:15" x14ac:dyDescent="0.25">
      <c r="A78" s="106"/>
      <c r="B78" s="300"/>
      <c r="C78" s="106"/>
      <c r="D78" s="300"/>
      <c r="F78" s="305"/>
      <c r="G78" s="300"/>
      <c r="H78" s="305"/>
      <c r="I78" s="300"/>
      <c r="J78" s="305"/>
      <c r="K78" s="300"/>
      <c r="L78" s="305"/>
      <c r="M78" s="300"/>
      <c r="N78" s="305"/>
      <c r="O78" s="300"/>
    </row>
    <row r="79" spans="1:15" x14ac:dyDescent="0.25">
      <c r="A79" s="106"/>
      <c r="B79" s="300"/>
      <c r="C79" s="106"/>
      <c r="D79" s="300"/>
      <c r="F79" s="305"/>
      <c r="G79" s="300"/>
      <c r="H79" s="305"/>
      <c r="I79" s="300"/>
      <c r="J79" s="305"/>
      <c r="K79" s="300"/>
      <c r="L79" s="305"/>
      <c r="M79" s="300"/>
      <c r="N79" s="305"/>
      <c r="O79" s="300"/>
    </row>
    <row r="80" spans="1:15" x14ac:dyDescent="0.25">
      <c r="A80" s="106"/>
      <c r="B80" s="300"/>
      <c r="C80" s="106"/>
      <c r="D80" s="300"/>
      <c r="F80" s="305"/>
      <c r="G80" s="300"/>
      <c r="H80" s="305"/>
      <c r="I80" s="300"/>
      <c r="J80" s="305"/>
      <c r="K80" s="300"/>
      <c r="L80" s="305"/>
      <c r="M80" s="300"/>
      <c r="N80" s="305"/>
      <c r="O80" s="300"/>
    </row>
    <row r="81" spans="1:15" x14ac:dyDescent="0.25">
      <c r="A81" s="106"/>
      <c r="B81" s="300"/>
      <c r="C81" s="106"/>
      <c r="D81" s="300"/>
      <c r="F81" s="305"/>
      <c r="G81" s="300"/>
      <c r="H81" s="305"/>
      <c r="I81" s="300"/>
      <c r="J81" s="305"/>
      <c r="K81" s="300"/>
      <c r="L81" s="305"/>
      <c r="M81" s="300"/>
      <c r="N81" s="305"/>
      <c r="O81" s="300"/>
    </row>
    <row r="82" spans="1:15" x14ac:dyDescent="0.25">
      <c r="A82" s="106"/>
      <c r="B82" s="300"/>
      <c r="C82" s="106"/>
      <c r="D82" s="300"/>
      <c r="F82" s="305"/>
      <c r="G82" s="300"/>
      <c r="H82" s="305"/>
      <c r="I82" s="300"/>
      <c r="J82" s="305"/>
      <c r="K82" s="300"/>
      <c r="L82" s="305"/>
      <c r="M82" s="300"/>
      <c r="N82" s="305"/>
      <c r="O82" s="300"/>
    </row>
    <row r="83" spans="1:15" x14ac:dyDescent="0.25">
      <c r="A83" s="106"/>
      <c r="B83" s="300"/>
      <c r="C83" s="106"/>
      <c r="D83" s="300"/>
      <c r="F83" s="305"/>
      <c r="G83" s="300"/>
      <c r="H83" s="305"/>
      <c r="I83" s="300"/>
      <c r="J83" s="305"/>
      <c r="K83" s="300"/>
      <c r="L83" s="305"/>
      <c r="M83" s="300"/>
      <c r="N83" s="305"/>
      <c r="O83" s="300"/>
    </row>
    <row r="84" spans="1:15" x14ac:dyDescent="0.25">
      <c r="A84" s="106"/>
      <c r="B84" s="300"/>
      <c r="C84" s="106"/>
      <c r="D84" s="300"/>
      <c r="F84" s="305"/>
      <c r="G84" s="300"/>
      <c r="H84" s="305"/>
      <c r="I84" s="300"/>
      <c r="J84" s="305"/>
      <c r="K84" s="300"/>
      <c r="L84" s="305"/>
      <c r="M84" s="300"/>
      <c r="N84" s="305"/>
      <c r="O84" s="300"/>
    </row>
    <row r="85" spans="1:15" x14ac:dyDescent="0.25">
      <c r="A85" s="106"/>
      <c r="B85" s="300"/>
      <c r="C85" s="106"/>
      <c r="D85" s="300"/>
      <c r="F85" s="305"/>
      <c r="G85" s="300"/>
      <c r="H85" s="305"/>
      <c r="I85" s="300"/>
      <c r="J85" s="305"/>
      <c r="K85" s="300"/>
      <c r="L85" s="305"/>
      <c r="M85" s="300"/>
      <c r="N85" s="305"/>
      <c r="O85" s="300"/>
    </row>
    <row r="86" spans="1:15" x14ac:dyDescent="0.25">
      <c r="A86" s="106"/>
      <c r="B86" s="300"/>
      <c r="C86" s="106"/>
      <c r="D86" s="300"/>
      <c r="F86" s="305"/>
      <c r="G86" s="300"/>
      <c r="H86" s="305"/>
      <c r="I86" s="300"/>
      <c r="J86" s="305"/>
      <c r="K86" s="300"/>
      <c r="L86" s="305"/>
      <c r="M86" s="300"/>
      <c r="N86" s="305"/>
      <c r="O86" s="300"/>
    </row>
    <row r="87" spans="1:15" x14ac:dyDescent="0.25">
      <c r="A87" s="106"/>
      <c r="B87" s="300"/>
      <c r="C87" s="106"/>
      <c r="D87" s="300"/>
      <c r="F87" s="305"/>
      <c r="G87" s="300"/>
      <c r="H87" s="305"/>
      <c r="I87" s="300"/>
      <c r="J87" s="305"/>
      <c r="K87" s="300"/>
      <c r="L87" s="305"/>
      <c r="M87" s="300"/>
      <c r="N87" s="305"/>
      <c r="O87" s="300"/>
    </row>
    <row r="88" spans="1:15" x14ac:dyDescent="0.25">
      <c r="A88" s="106"/>
      <c r="B88" s="300"/>
      <c r="C88" s="106"/>
      <c r="D88" s="300"/>
      <c r="F88" s="305"/>
      <c r="G88" s="300"/>
      <c r="H88" s="305"/>
      <c r="I88" s="300"/>
      <c r="J88" s="305"/>
      <c r="K88" s="300"/>
      <c r="L88" s="305"/>
      <c r="M88" s="300"/>
      <c r="N88" s="305"/>
      <c r="O88" s="300"/>
    </row>
    <row r="89" spans="1:15" x14ac:dyDescent="0.25">
      <c r="A89" s="106"/>
      <c r="B89" s="300"/>
      <c r="C89" s="106"/>
      <c r="D89" s="300"/>
      <c r="F89" s="305"/>
      <c r="G89" s="300"/>
      <c r="H89" s="305"/>
      <c r="I89" s="300"/>
      <c r="J89" s="305"/>
      <c r="K89" s="300"/>
      <c r="L89" s="305"/>
      <c r="M89" s="300"/>
      <c r="N89" s="305"/>
      <c r="O89" s="300"/>
    </row>
    <row r="90" spans="1:15" x14ac:dyDescent="0.25">
      <c r="A90" s="106"/>
      <c r="B90" s="300"/>
      <c r="C90" s="106"/>
      <c r="D90" s="300"/>
      <c r="F90" s="305"/>
      <c r="G90" s="300"/>
      <c r="H90" s="305"/>
      <c r="I90" s="300"/>
      <c r="J90" s="305"/>
      <c r="K90" s="300"/>
      <c r="L90" s="305"/>
      <c r="M90" s="300"/>
      <c r="N90" s="305"/>
      <c r="O90" s="300"/>
    </row>
    <row r="91" spans="1:15" x14ac:dyDescent="0.25">
      <c r="A91" s="106"/>
      <c r="B91" s="300"/>
      <c r="C91" s="106"/>
      <c r="D91" s="300"/>
      <c r="F91" s="305"/>
      <c r="G91" s="300"/>
      <c r="H91" s="305"/>
      <c r="I91" s="300"/>
      <c r="J91" s="305"/>
      <c r="K91" s="300"/>
      <c r="L91" s="305"/>
      <c r="M91" s="300"/>
      <c r="N91" s="305"/>
      <c r="O91" s="300"/>
    </row>
    <row r="92" spans="1:15" x14ac:dyDescent="0.25">
      <c r="A92" s="106"/>
      <c r="B92" s="300"/>
      <c r="C92" s="106"/>
      <c r="D92" s="300"/>
      <c r="F92" s="305"/>
      <c r="G92" s="300"/>
      <c r="H92" s="305"/>
      <c r="I92" s="300"/>
      <c r="J92" s="305"/>
      <c r="K92" s="300"/>
      <c r="L92" s="305"/>
      <c r="M92" s="300"/>
      <c r="N92" s="305"/>
      <c r="O92" s="300"/>
    </row>
    <row r="93" spans="1:15" x14ac:dyDescent="0.25">
      <c r="A93" s="106"/>
      <c r="B93" s="300"/>
      <c r="C93" s="106"/>
      <c r="D93" s="300"/>
      <c r="F93" s="305"/>
      <c r="G93" s="300"/>
      <c r="H93" s="305"/>
      <c r="I93" s="300"/>
      <c r="J93" s="305"/>
      <c r="K93" s="300"/>
      <c r="L93" s="305"/>
      <c r="M93" s="300"/>
      <c r="N93" s="305"/>
      <c r="O93" s="300"/>
    </row>
  </sheetData>
  <mergeCells count="7">
    <mergeCell ref="L2:M2"/>
    <mergeCell ref="N2:O2"/>
    <mergeCell ref="A2:B2"/>
    <mergeCell ref="C2:D2"/>
    <mergeCell ref="F2:G2"/>
    <mergeCell ref="H2:I2"/>
    <mergeCell ref="J2:K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workbookViewId="0">
      <selection activeCell="D2" sqref="D2:E2"/>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21" t="s">
        <v>146</v>
      </c>
      <c r="E1" s="321"/>
      <c r="F1" s="321"/>
      <c r="G1" s="321"/>
      <c r="H1" s="321"/>
      <c r="I1" s="321"/>
      <c r="J1" s="321"/>
      <c r="K1" s="323"/>
      <c r="L1" s="330" t="s">
        <v>199</v>
      </c>
      <c r="M1" s="331"/>
      <c r="N1" s="329" t="s">
        <v>164</v>
      </c>
      <c r="O1" s="329"/>
      <c r="P1" s="329"/>
      <c r="Q1" s="329"/>
      <c r="R1" s="329"/>
      <c r="S1" s="25"/>
    </row>
    <row r="2" spans="1:24" x14ac:dyDescent="0.25">
      <c r="B2" s="50" t="s">
        <v>147</v>
      </c>
      <c r="C2" s="50" t="s">
        <v>62</v>
      </c>
      <c r="D2" s="316" t="s">
        <v>152</v>
      </c>
      <c r="E2" s="316"/>
      <c r="F2" s="316" t="s">
        <v>150</v>
      </c>
      <c r="G2" s="316"/>
      <c r="H2" s="316" t="s">
        <v>151</v>
      </c>
      <c r="I2" s="316"/>
      <c r="J2" s="316" t="s">
        <v>160</v>
      </c>
      <c r="K2" s="317"/>
      <c r="L2" s="332"/>
      <c r="M2" s="333"/>
      <c r="N2" s="29" t="s">
        <v>35</v>
      </c>
      <c r="O2" s="30" t="s">
        <v>51</v>
      </c>
      <c r="P2" s="29" t="s">
        <v>52</v>
      </c>
      <c r="Q2" s="30" t="s">
        <v>53</v>
      </c>
      <c r="R2" s="29" t="s">
        <v>54</v>
      </c>
    </row>
    <row r="3" spans="1:24" x14ac:dyDescent="0.25">
      <c r="B3" s="28">
        <v>1</v>
      </c>
      <c r="C3" s="53">
        <v>1</v>
      </c>
      <c r="D3" s="318" t="s">
        <v>122</v>
      </c>
      <c r="E3" s="318"/>
      <c r="F3" s="314" t="s">
        <v>128</v>
      </c>
      <c r="G3" s="314"/>
      <c r="H3" s="318" t="s">
        <v>134</v>
      </c>
      <c r="I3" s="318"/>
      <c r="J3" s="318" t="s">
        <v>135</v>
      </c>
      <c r="K3" s="319"/>
      <c r="L3" s="332"/>
      <c r="M3" s="333"/>
      <c r="N3" s="33">
        <v>1</v>
      </c>
      <c r="O3" s="33">
        <v>3</v>
      </c>
      <c r="P3" s="33">
        <v>5</v>
      </c>
      <c r="Q3" s="33">
        <v>7</v>
      </c>
      <c r="R3" s="33">
        <v>9</v>
      </c>
      <c r="S3" s="311" t="s">
        <v>165</v>
      </c>
      <c r="T3" s="312"/>
      <c r="U3" s="312"/>
      <c r="V3" s="312"/>
      <c r="W3" s="312"/>
      <c r="X3" s="312"/>
    </row>
    <row r="4" spans="1:24" s="24" customFormat="1" x14ac:dyDescent="0.25">
      <c r="B4" s="28">
        <v>2</v>
      </c>
      <c r="C4" s="54">
        <f>$C$3+2</f>
        <v>3</v>
      </c>
      <c r="D4" s="318" t="s">
        <v>123</v>
      </c>
      <c r="E4" s="318"/>
      <c r="F4" s="314" t="s">
        <v>129</v>
      </c>
      <c r="G4" s="314"/>
      <c r="H4" s="318" t="s">
        <v>136</v>
      </c>
      <c r="I4" s="318"/>
      <c r="J4" s="318" t="s">
        <v>137</v>
      </c>
      <c r="K4" s="319"/>
      <c r="L4" s="334"/>
      <c r="M4" s="335"/>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18" t="s">
        <v>124</v>
      </c>
      <c r="E5" s="318"/>
      <c r="F5" s="314" t="s">
        <v>130</v>
      </c>
      <c r="G5" s="314"/>
      <c r="H5" s="318" t="s">
        <v>139</v>
      </c>
      <c r="I5" s="318"/>
      <c r="J5" s="318" t="s">
        <v>138</v>
      </c>
      <c r="K5" s="319"/>
      <c r="L5" s="336"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18" t="s">
        <v>127</v>
      </c>
      <c r="E6" s="318"/>
      <c r="F6" s="314" t="s">
        <v>131</v>
      </c>
      <c r="G6" s="314"/>
      <c r="H6" s="318" t="s">
        <v>140</v>
      </c>
      <c r="I6" s="318"/>
      <c r="J6" s="318" t="s">
        <v>141</v>
      </c>
      <c r="K6" s="319"/>
      <c r="L6" s="337"/>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18" t="s">
        <v>126</v>
      </c>
      <c r="E7" s="318"/>
      <c r="F7" s="314" t="s">
        <v>132</v>
      </c>
      <c r="G7" s="314"/>
      <c r="H7" s="318" t="s">
        <v>142</v>
      </c>
      <c r="I7" s="318"/>
      <c r="J7" s="318" t="s">
        <v>143</v>
      </c>
      <c r="K7" s="319"/>
      <c r="L7" s="337"/>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18" t="s">
        <v>125</v>
      </c>
      <c r="E8" s="318"/>
      <c r="F8" s="314" t="s">
        <v>133</v>
      </c>
      <c r="G8" s="314"/>
      <c r="H8" s="318" t="s">
        <v>144</v>
      </c>
      <c r="I8" s="318"/>
      <c r="J8" s="318" t="s">
        <v>145</v>
      </c>
      <c r="K8" s="319"/>
      <c r="L8" s="337"/>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21" t="s">
        <v>163</v>
      </c>
      <c r="E9" s="321"/>
      <c r="F9" s="321"/>
      <c r="G9" s="321"/>
      <c r="H9" s="321"/>
      <c r="I9" s="321"/>
      <c r="J9" s="321"/>
      <c r="K9" s="323"/>
      <c r="L9" s="338"/>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14">
        <v>1.5</v>
      </c>
      <c r="E10" s="314"/>
      <c r="F10" s="314">
        <v>2.5</v>
      </c>
      <c r="G10" s="314"/>
      <c r="H10" s="314">
        <v>64</v>
      </c>
      <c r="I10" s="314"/>
      <c r="J10" s="314">
        <v>64</v>
      </c>
      <c r="K10" s="315"/>
      <c r="L10" s="339"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14">
        <v>64</v>
      </c>
      <c r="E11" s="314"/>
      <c r="F11" s="314">
        <v>64</v>
      </c>
      <c r="G11" s="314"/>
      <c r="H11" s="314">
        <v>64</v>
      </c>
      <c r="I11" s="314"/>
      <c r="J11" s="314">
        <v>64</v>
      </c>
      <c r="K11" s="315"/>
      <c r="L11" s="326"/>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21" t="s">
        <v>169</v>
      </c>
      <c r="B12" s="321"/>
      <c r="C12" s="27"/>
      <c r="D12" s="321" t="s">
        <v>167</v>
      </c>
      <c r="E12" s="321"/>
      <c r="F12" s="321"/>
      <c r="G12" s="321"/>
      <c r="H12" s="321"/>
      <c r="I12" s="321"/>
      <c r="J12" s="321"/>
      <c r="K12" s="323"/>
      <c r="L12" s="326"/>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16" t="s">
        <v>152</v>
      </c>
      <c r="E13" s="316"/>
      <c r="F13" s="316" t="s">
        <v>150</v>
      </c>
      <c r="G13" s="316"/>
      <c r="H13" s="316" t="s">
        <v>151</v>
      </c>
      <c r="I13" s="316"/>
      <c r="J13" s="316" t="s">
        <v>160</v>
      </c>
      <c r="K13" s="317"/>
      <c r="L13" s="326"/>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3">
        <f>ROUND((D10*$B$13)/$B$14,2)</f>
        <v>128.33000000000001</v>
      </c>
      <c r="E14" s="313"/>
      <c r="F14" s="313">
        <f>ROUND((F10*$B$13)/$B$14,2)</f>
        <v>213.89</v>
      </c>
      <c r="G14" s="313"/>
      <c r="H14" s="313">
        <f>ROUND((H10*$B$13)/$B$14,2)</f>
        <v>5475.56</v>
      </c>
      <c r="I14" s="313"/>
      <c r="J14" s="313">
        <f>ROUND((J10*$B$13)/$B$14,2)</f>
        <v>5475.56</v>
      </c>
      <c r="K14" s="313"/>
      <c r="L14" s="340"/>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21" t="s">
        <v>171</v>
      </c>
      <c r="B15" s="321"/>
      <c r="C15" s="51" t="s">
        <v>162</v>
      </c>
      <c r="D15" s="313">
        <f>ROUND($D$14/$D$11,2)</f>
        <v>2.0099999999999998</v>
      </c>
      <c r="E15" s="313"/>
      <c r="F15" s="313">
        <f>ROUND($F$14/$F$11,2)</f>
        <v>3.34</v>
      </c>
      <c r="G15" s="313"/>
      <c r="H15" s="313">
        <f>ROUND($H$14/$H$11,2)</f>
        <v>85.56</v>
      </c>
      <c r="I15" s="313"/>
      <c r="J15" s="313">
        <f>ROUND($J$14/$J$11,2)</f>
        <v>85.56</v>
      </c>
      <c r="K15" s="313"/>
      <c r="L15" s="320"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8"/>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8"/>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0"/>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0"/>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4"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5"/>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5"/>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26"/>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21" t="s">
        <v>198</v>
      </c>
      <c r="E24" s="321"/>
      <c r="F24" s="321"/>
      <c r="G24" s="321"/>
      <c r="H24" s="321"/>
      <c r="I24" s="321"/>
      <c r="J24" s="321"/>
      <c r="K24" s="323"/>
      <c r="L24" s="327"/>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2" t="s">
        <v>152</v>
      </c>
      <c r="E25" s="322"/>
      <c r="F25" s="322" t="s">
        <v>150</v>
      </c>
      <c r="G25" s="322"/>
      <c r="H25" s="322" t="s">
        <v>151</v>
      </c>
      <c r="I25" s="322"/>
      <c r="J25" s="322" t="s">
        <v>160</v>
      </c>
      <c r="K25" s="322"/>
      <c r="L25" s="320"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0"/>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0"/>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0"/>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0"/>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10" t="s">
        <v>985</v>
      </c>
      <c r="E41" s="310"/>
      <c r="F41" s="310"/>
      <c r="G41" s="310"/>
      <c r="H41" s="310" t="s">
        <v>1005</v>
      </c>
      <c r="I41" s="310"/>
      <c r="J41" s="310"/>
      <c r="K41" s="310"/>
    </row>
    <row r="42" spans="1:23" x14ac:dyDescent="0.25">
      <c r="B42" s="166"/>
      <c r="C42" s="165"/>
      <c r="D42" s="308" t="s">
        <v>986</v>
      </c>
      <c r="E42" s="309"/>
      <c r="F42" s="309"/>
      <c r="G42" s="309"/>
      <c r="H42" s="308" t="s">
        <v>988</v>
      </c>
      <c r="I42" s="309"/>
      <c r="J42" s="309"/>
      <c r="K42" s="309"/>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42" t="s">
        <v>925</v>
      </c>
      <c r="H1" s="343"/>
      <c r="I1" s="343"/>
      <c r="J1" s="343"/>
      <c r="K1" s="341" t="s">
        <v>927</v>
      </c>
      <c r="L1" s="341"/>
      <c r="M1" s="341"/>
      <c r="N1" s="341"/>
      <c r="O1" s="344" t="s">
        <v>928</v>
      </c>
      <c r="P1" s="344"/>
      <c r="Q1" s="344"/>
      <c r="R1" s="344"/>
      <c r="S1" s="341" t="s">
        <v>929</v>
      </c>
      <c r="T1" s="341"/>
      <c r="U1" s="341"/>
      <c r="V1" s="341"/>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53" t="s">
        <v>152</v>
      </c>
      <c r="B1" s="353"/>
      <c r="C1" s="353"/>
      <c r="D1" s="353"/>
      <c r="E1" s="353" t="s">
        <v>150</v>
      </c>
      <c r="F1" s="353"/>
      <c r="G1" s="353"/>
      <c r="H1" s="353"/>
      <c r="I1" s="353" t="s">
        <v>151</v>
      </c>
      <c r="J1" s="353"/>
      <c r="K1" s="353"/>
      <c r="L1" s="353"/>
      <c r="M1" s="353" t="s">
        <v>160</v>
      </c>
      <c r="N1" s="353"/>
      <c r="O1" s="353"/>
      <c r="P1" s="353"/>
      <c r="Q1" s="187"/>
      <c r="R1" s="187"/>
    </row>
    <row r="2" spans="1:18" x14ac:dyDescent="0.25">
      <c r="A2" s="354" t="s">
        <v>1010</v>
      </c>
      <c r="B2" s="355"/>
      <c r="C2" s="355"/>
      <c r="D2" s="355"/>
      <c r="E2" s="354" t="s">
        <v>1010</v>
      </c>
      <c r="F2" s="355"/>
      <c r="G2" s="355"/>
      <c r="H2" s="355"/>
      <c r="I2" s="354" t="s">
        <v>1010</v>
      </c>
      <c r="J2" s="355"/>
      <c r="K2" s="355"/>
      <c r="L2" s="355"/>
      <c r="M2" s="354" t="s">
        <v>1010</v>
      </c>
      <c r="N2" s="355"/>
      <c r="O2" s="355"/>
      <c r="P2" s="355"/>
    </row>
    <row r="3" spans="1:18" x14ac:dyDescent="0.25">
      <c r="A3" s="356" t="s">
        <v>1008</v>
      </c>
      <c r="B3" s="357"/>
      <c r="C3" s="349">
        <f>COUNTA(A8:A30)</f>
        <v>16</v>
      </c>
      <c r="D3" s="350"/>
      <c r="E3" s="356" t="s">
        <v>1008</v>
      </c>
      <c r="F3" s="357"/>
      <c r="G3" s="349">
        <f>COUNTA(E8:E30)</f>
        <v>16</v>
      </c>
      <c r="H3" s="350"/>
      <c r="I3" s="356" t="s">
        <v>1008</v>
      </c>
      <c r="J3" s="357"/>
      <c r="K3" s="349">
        <f>COUNTA(I8:I30)</f>
        <v>19</v>
      </c>
      <c r="L3" s="350"/>
      <c r="M3" s="356" t="s">
        <v>1008</v>
      </c>
      <c r="N3" s="357"/>
      <c r="O3" s="349">
        <f>COUNTA(M8:M30)</f>
        <v>2</v>
      </c>
      <c r="P3" s="350"/>
    </row>
    <row r="4" spans="1:18" s="181" customFormat="1" x14ac:dyDescent="0.25">
      <c r="A4" s="356" t="s">
        <v>1009</v>
      </c>
      <c r="B4" s="357"/>
      <c r="C4" s="349">
        <f>ROUNDDOWN((C5+C6)/C3,1)</f>
        <v>3.1</v>
      </c>
      <c r="D4" s="350"/>
      <c r="E4" s="356" t="s">
        <v>1009</v>
      </c>
      <c r="F4" s="357"/>
      <c r="G4" s="349">
        <f>ROUNDDOWN((G5+G6)/G3,1)</f>
        <v>3.1</v>
      </c>
      <c r="H4" s="350"/>
      <c r="I4" s="356" t="s">
        <v>1009</v>
      </c>
      <c r="J4" s="357"/>
      <c r="K4" s="349">
        <f>ROUNDDOWN((K5+K6)/K3,1)</f>
        <v>2.6</v>
      </c>
      <c r="L4" s="350"/>
      <c r="M4" s="356" t="s">
        <v>1009</v>
      </c>
      <c r="N4" s="357"/>
      <c r="O4" s="349">
        <f>ROUNDDOWN((O5+O6)/O3,1)</f>
        <v>25</v>
      </c>
      <c r="P4" s="350"/>
    </row>
    <row r="5" spans="1:18" x14ac:dyDescent="0.25">
      <c r="A5" s="356" t="s">
        <v>1007</v>
      </c>
      <c r="B5" s="357"/>
      <c r="C5" s="349">
        <v>0</v>
      </c>
      <c r="D5" s="350"/>
      <c r="E5" s="356" t="s">
        <v>1007</v>
      </c>
      <c r="F5" s="357"/>
      <c r="G5" s="349">
        <v>0</v>
      </c>
      <c r="H5" s="350"/>
      <c r="I5" s="356" t="s">
        <v>1007</v>
      </c>
      <c r="J5" s="357"/>
      <c r="K5" s="349">
        <v>0</v>
      </c>
      <c r="L5" s="350"/>
      <c r="M5" s="356" t="s">
        <v>1007</v>
      </c>
      <c r="N5" s="357"/>
      <c r="O5" s="349">
        <v>0</v>
      </c>
      <c r="P5" s="350"/>
    </row>
    <row r="6" spans="1:18" x14ac:dyDescent="0.25">
      <c r="A6" s="356" t="s">
        <v>1016</v>
      </c>
      <c r="B6" s="357"/>
      <c r="C6" s="347">
        <v>50</v>
      </c>
      <c r="D6" s="351"/>
      <c r="E6" s="356" t="s">
        <v>1016</v>
      </c>
      <c r="F6" s="357"/>
      <c r="G6" s="347">
        <v>50</v>
      </c>
      <c r="H6" s="351"/>
      <c r="I6" s="356" t="s">
        <v>1016</v>
      </c>
      <c r="J6" s="357"/>
      <c r="K6" s="347">
        <v>50</v>
      </c>
      <c r="L6" s="351"/>
      <c r="M6" s="356" t="s">
        <v>1016</v>
      </c>
      <c r="N6" s="357"/>
      <c r="O6" s="347">
        <v>50</v>
      </c>
      <c r="P6" s="351"/>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5" t="s">
        <v>1011</v>
      </c>
      <c r="C31" s="345"/>
      <c r="D31" s="346"/>
      <c r="E31" s="257"/>
      <c r="F31" s="345" t="s">
        <v>1011</v>
      </c>
      <c r="G31" s="345"/>
      <c r="H31" s="346"/>
      <c r="I31" s="257"/>
      <c r="J31" s="345" t="s">
        <v>1011</v>
      </c>
      <c r="K31" s="345"/>
      <c r="L31" s="346"/>
      <c r="M31" s="257"/>
      <c r="N31" s="345" t="s">
        <v>1011</v>
      </c>
      <c r="O31" s="345"/>
      <c r="P31" s="346"/>
    </row>
    <row r="32" spans="1:16" x14ac:dyDescent="0.25">
      <c r="A32" s="258"/>
      <c r="B32" s="258" t="s">
        <v>1008</v>
      </c>
      <c r="C32" s="349">
        <f>COUNTA(A37:A59)</f>
        <v>5</v>
      </c>
      <c r="D32" s="350"/>
      <c r="E32" s="258"/>
      <c r="F32" s="258" t="s">
        <v>1008</v>
      </c>
      <c r="G32" s="349">
        <f>COUNTA(E37:E59)</f>
        <v>10</v>
      </c>
      <c r="H32" s="350"/>
      <c r="I32" s="258"/>
      <c r="J32" s="258" t="s">
        <v>1008</v>
      </c>
      <c r="K32" s="349">
        <f>COUNTA(I37:I59)</f>
        <v>13</v>
      </c>
      <c r="L32" s="350"/>
      <c r="M32" s="258"/>
      <c r="N32" s="258" t="s">
        <v>1008</v>
      </c>
      <c r="O32" s="349">
        <f>COUNTA(M37:M59)</f>
        <v>3</v>
      </c>
      <c r="P32" s="350"/>
    </row>
    <row r="33" spans="1:16" x14ac:dyDescent="0.25">
      <c r="A33" s="258"/>
      <c r="B33" s="258" t="s">
        <v>1009</v>
      </c>
      <c r="C33" s="349">
        <f>ROUNDDOWN(C34/C32,1)</f>
        <v>10</v>
      </c>
      <c r="D33" s="350"/>
      <c r="E33" s="258"/>
      <c r="F33" s="258" t="s">
        <v>1009</v>
      </c>
      <c r="G33" s="349">
        <f>ROUNDDOWN(G34/G32,1)</f>
        <v>5</v>
      </c>
      <c r="H33" s="350"/>
      <c r="I33" s="258"/>
      <c r="J33" s="258" t="s">
        <v>1009</v>
      </c>
      <c r="K33" s="349">
        <f>ROUNDDOWN(K34/K32,1)</f>
        <v>3.8</v>
      </c>
      <c r="L33" s="350"/>
      <c r="M33" s="258"/>
      <c r="N33" s="258" t="s">
        <v>1009</v>
      </c>
      <c r="O33" s="349">
        <f>ROUNDDOWN(O34/O32,1)</f>
        <v>16.600000000000001</v>
      </c>
      <c r="P33" s="350"/>
    </row>
    <row r="34" spans="1:16" x14ac:dyDescent="0.25">
      <c r="A34" s="258"/>
      <c r="B34" s="258" t="s">
        <v>1007</v>
      </c>
      <c r="C34" s="349">
        <v>50</v>
      </c>
      <c r="D34" s="350"/>
      <c r="E34" s="258"/>
      <c r="F34" s="258" t="s">
        <v>1007</v>
      </c>
      <c r="G34" s="349">
        <v>50</v>
      </c>
      <c r="H34" s="350"/>
      <c r="I34" s="258"/>
      <c r="J34" s="258" t="s">
        <v>1007</v>
      </c>
      <c r="K34" s="349">
        <v>50</v>
      </c>
      <c r="L34" s="350"/>
      <c r="M34" s="258"/>
      <c r="N34" s="258" t="s">
        <v>1007</v>
      </c>
      <c r="O34" s="349">
        <v>50</v>
      </c>
      <c r="P34" s="350"/>
    </row>
    <row r="35" spans="1:16" x14ac:dyDescent="0.25">
      <c r="A35" s="258"/>
      <c r="B35" s="258" t="s">
        <v>1016</v>
      </c>
      <c r="C35" s="347">
        <v>50</v>
      </c>
      <c r="D35" s="351"/>
      <c r="E35" s="258"/>
      <c r="F35" s="258" t="s">
        <v>1016</v>
      </c>
      <c r="G35" s="347">
        <v>50</v>
      </c>
      <c r="H35" s="351"/>
      <c r="I35" s="258"/>
      <c r="J35" s="258" t="s">
        <v>1016</v>
      </c>
      <c r="K35" s="347">
        <v>50</v>
      </c>
      <c r="L35" s="351"/>
      <c r="M35" s="258"/>
      <c r="N35" s="258" t="s">
        <v>1016</v>
      </c>
      <c r="O35" s="347">
        <v>50</v>
      </c>
      <c r="P35" s="351"/>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5" t="s">
        <v>1012</v>
      </c>
      <c r="C60" s="345"/>
      <c r="D60" s="346"/>
      <c r="E60" s="259"/>
      <c r="F60" s="345" t="s">
        <v>1012</v>
      </c>
      <c r="G60" s="345"/>
      <c r="H60" s="346"/>
      <c r="I60" s="259"/>
      <c r="J60" s="345" t="s">
        <v>1012</v>
      </c>
      <c r="K60" s="345"/>
      <c r="L60" s="346"/>
      <c r="M60" s="259"/>
      <c r="N60" s="345" t="s">
        <v>1012</v>
      </c>
      <c r="O60" s="345"/>
      <c r="P60" s="346"/>
    </row>
    <row r="61" spans="1:16" x14ac:dyDescent="0.25">
      <c r="A61" s="258"/>
      <c r="B61" s="258" t="s">
        <v>1008</v>
      </c>
      <c r="C61" s="349">
        <f>COUNTA(A66:A88)</f>
        <v>18</v>
      </c>
      <c r="D61" s="317"/>
      <c r="E61" s="258"/>
      <c r="F61" s="258" t="s">
        <v>1008</v>
      </c>
      <c r="G61" s="349">
        <f>COUNTA(E66:E88)</f>
        <v>14</v>
      </c>
      <c r="H61" s="317"/>
      <c r="I61" s="258"/>
      <c r="J61" s="258" t="s">
        <v>1008</v>
      </c>
      <c r="K61" s="349">
        <f>COUNTA(I66:I88)</f>
        <v>12</v>
      </c>
      <c r="L61" s="317"/>
      <c r="M61" s="258"/>
      <c r="N61" s="258" t="s">
        <v>1008</v>
      </c>
      <c r="O61" s="349">
        <f>COUNTA(M66:M88)</f>
        <v>1</v>
      </c>
      <c r="P61" s="317"/>
    </row>
    <row r="62" spans="1:16" x14ac:dyDescent="0.25">
      <c r="A62" s="258"/>
      <c r="B62" s="258" t="s">
        <v>1009</v>
      </c>
      <c r="C62" s="349">
        <f>ROUNDDOWN(C64/C61,1)</f>
        <v>2.7</v>
      </c>
      <c r="D62" s="317"/>
      <c r="E62" s="258"/>
      <c r="F62" s="258" t="s">
        <v>1009</v>
      </c>
      <c r="G62" s="349">
        <f>ROUNDDOWN(G64/G61,1)</f>
        <v>3.5</v>
      </c>
      <c r="H62" s="317"/>
      <c r="I62" s="258"/>
      <c r="J62" s="258" t="s">
        <v>1009</v>
      </c>
      <c r="K62" s="349">
        <f>ROUNDDOWN(K64/K61,1)</f>
        <v>4.0999999999999996</v>
      </c>
      <c r="L62" s="317"/>
      <c r="M62" s="258"/>
      <c r="N62" s="258" t="s">
        <v>1009</v>
      </c>
      <c r="O62" s="349">
        <f>ROUNDDOWN(O64/O61,1)</f>
        <v>50</v>
      </c>
      <c r="P62" s="317"/>
    </row>
    <row r="63" spans="1:16" x14ac:dyDescent="0.25">
      <c r="A63" s="258"/>
      <c r="B63" s="258" t="s">
        <v>1007</v>
      </c>
      <c r="C63" s="349">
        <v>100</v>
      </c>
      <c r="D63" s="317"/>
      <c r="E63" s="258"/>
      <c r="F63" s="258" t="s">
        <v>1007</v>
      </c>
      <c r="G63" s="349">
        <v>100</v>
      </c>
      <c r="H63" s="317"/>
      <c r="I63" s="258"/>
      <c r="J63" s="258" t="s">
        <v>1007</v>
      </c>
      <c r="K63" s="349">
        <v>100</v>
      </c>
      <c r="L63" s="317"/>
      <c r="M63" s="258"/>
      <c r="N63" s="258" t="s">
        <v>1007</v>
      </c>
      <c r="O63" s="349">
        <v>100</v>
      </c>
      <c r="P63" s="317"/>
    </row>
    <row r="64" spans="1:16" x14ac:dyDescent="0.25">
      <c r="A64" s="258"/>
      <c r="B64" s="258" t="s">
        <v>1016</v>
      </c>
      <c r="C64" s="347">
        <v>50</v>
      </c>
      <c r="D64" s="348"/>
      <c r="E64" s="258"/>
      <c r="F64" s="258" t="s">
        <v>1016</v>
      </c>
      <c r="G64" s="347">
        <v>50</v>
      </c>
      <c r="H64" s="348"/>
      <c r="I64" s="258"/>
      <c r="J64" s="258" t="s">
        <v>1016</v>
      </c>
      <c r="K64" s="347">
        <v>50</v>
      </c>
      <c r="L64" s="348"/>
      <c r="M64" s="258"/>
      <c r="N64" s="258" t="s">
        <v>1016</v>
      </c>
      <c r="O64" s="347">
        <v>50</v>
      </c>
      <c r="P64" s="348"/>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5" t="s">
        <v>1013</v>
      </c>
      <c r="C89" s="345"/>
      <c r="D89" s="346"/>
      <c r="E89" s="259"/>
      <c r="F89" s="345" t="s">
        <v>1013</v>
      </c>
      <c r="G89" s="345"/>
      <c r="H89" s="346"/>
      <c r="I89" s="259"/>
      <c r="J89" s="345" t="s">
        <v>1013</v>
      </c>
      <c r="K89" s="345"/>
      <c r="L89" s="346"/>
      <c r="M89" s="259"/>
      <c r="N89" s="345" t="s">
        <v>1013</v>
      </c>
      <c r="O89" s="345"/>
      <c r="P89" s="346"/>
    </row>
    <row r="90" spans="1:16" x14ac:dyDescent="0.25">
      <c r="A90" s="258"/>
      <c r="B90" s="258" t="s">
        <v>1008</v>
      </c>
      <c r="C90" s="349">
        <f>COUNTA(A95:A129)</f>
        <v>35</v>
      </c>
      <c r="D90" s="317"/>
      <c r="E90" s="258"/>
      <c r="F90" s="258" t="s">
        <v>1008</v>
      </c>
      <c r="G90" s="349">
        <f>COUNTA(E95:E129)</f>
        <v>7</v>
      </c>
      <c r="H90" s="317"/>
      <c r="I90" s="258"/>
      <c r="J90" s="258" t="s">
        <v>1008</v>
      </c>
      <c r="K90" s="349">
        <f>COUNTA(I95:I129)</f>
        <v>17</v>
      </c>
      <c r="L90" s="317"/>
      <c r="M90" s="258"/>
      <c r="N90" s="258" t="s">
        <v>1008</v>
      </c>
      <c r="O90" s="349">
        <f>COUNTA(M95:M129)</f>
        <v>4</v>
      </c>
      <c r="P90" s="317"/>
    </row>
    <row r="91" spans="1:16" x14ac:dyDescent="0.25">
      <c r="A91" s="258"/>
      <c r="B91" s="258" t="s">
        <v>1009</v>
      </c>
      <c r="C91" s="349">
        <f>ROUNDDOWN(C93/C90,1)</f>
        <v>1.4</v>
      </c>
      <c r="D91" s="350"/>
      <c r="E91" s="258"/>
      <c r="F91" s="258" t="s">
        <v>1009</v>
      </c>
      <c r="G91" s="349">
        <f>ROUNDDOWN(G93/G90,1)</f>
        <v>7.1</v>
      </c>
      <c r="H91" s="350"/>
      <c r="I91" s="258"/>
      <c r="J91" s="258" t="s">
        <v>1009</v>
      </c>
      <c r="K91" s="349">
        <f>ROUNDDOWN(K93/K90,1)</f>
        <v>2.9</v>
      </c>
      <c r="L91" s="350"/>
      <c r="M91" s="258"/>
      <c r="N91" s="258" t="s">
        <v>1009</v>
      </c>
      <c r="O91" s="349">
        <f>ROUNDDOWN(O93/O90,1)</f>
        <v>12.5</v>
      </c>
      <c r="P91" s="350"/>
    </row>
    <row r="92" spans="1:16" x14ac:dyDescent="0.25">
      <c r="A92" s="258"/>
      <c r="B92" s="258" t="s">
        <v>1007</v>
      </c>
      <c r="C92" s="349">
        <v>150</v>
      </c>
      <c r="D92" s="350"/>
      <c r="E92" s="258"/>
      <c r="F92" s="258" t="s">
        <v>1007</v>
      </c>
      <c r="G92" s="349">
        <v>150</v>
      </c>
      <c r="H92" s="350"/>
      <c r="I92" s="258"/>
      <c r="J92" s="258" t="s">
        <v>1007</v>
      </c>
      <c r="K92" s="349">
        <v>150</v>
      </c>
      <c r="L92" s="350"/>
      <c r="M92" s="258"/>
      <c r="N92" s="258" t="s">
        <v>1007</v>
      </c>
      <c r="O92" s="349">
        <v>150</v>
      </c>
      <c r="P92" s="350"/>
    </row>
    <row r="93" spans="1:16" x14ac:dyDescent="0.25">
      <c r="A93" s="258"/>
      <c r="B93" s="258" t="s">
        <v>1016</v>
      </c>
      <c r="C93" s="347">
        <v>50</v>
      </c>
      <c r="D93" s="351"/>
      <c r="E93" s="258"/>
      <c r="F93" s="258" t="s">
        <v>1016</v>
      </c>
      <c r="G93" s="347">
        <v>50</v>
      </c>
      <c r="H93" s="351"/>
      <c r="I93" s="258"/>
      <c r="J93" s="258" t="s">
        <v>1016</v>
      </c>
      <c r="K93" s="347">
        <v>50</v>
      </c>
      <c r="L93" s="351"/>
      <c r="M93" s="258"/>
      <c r="N93" s="258" t="s">
        <v>1016</v>
      </c>
      <c r="O93" s="347">
        <v>50</v>
      </c>
      <c r="P93" s="351"/>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5" t="s">
        <v>1014</v>
      </c>
      <c r="C130" s="345"/>
      <c r="D130" s="346"/>
      <c r="E130" s="257"/>
      <c r="F130" s="345" t="s">
        <v>1014</v>
      </c>
      <c r="G130" s="345"/>
      <c r="H130" s="346"/>
      <c r="I130" s="257"/>
      <c r="J130" s="345" t="s">
        <v>1014</v>
      </c>
      <c r="K130" s="345"/>
      <c r="L130" s="346"/>
      <c r="M130" s="257"/>
      <c r="N130" s="345" t="s">
        <v>1014</v>
      </c>
      <c r="O130" s="345"/>
      <c r="P130" s="346"/>
    </row>
    <row r="131" spans="1:16" x14ac:dyDescent="0.25">
      <c r="A131" s="258"/>
      <c r="B131" s="258" t="s">
        <v>1008</v>
      </c>
      <c r="C131" s="349">
        <f>COUNTA(A136:A158)</f>
        <v>20</v>
      </c>
      <c r="D131" s="317"/>
      <c r="E131" s="258"/>
      <c r="F131" s="258" t="s">
        <v>1008</v>
      </c>
      <c r="G131" s="349">
        <f>COUNTA(E136:E158)</f>
        <v>7</v>
      </c>
      <c r="H131" s="317"/>
      <c r="I131" s="258"/>
      <c r="J131" s="258" t="s">
        <v>1008</v>
      </c>
      <c r="K131" s="349">
        <f>COUNTA(I136:I158)</f>
        <v>21</v>
      </c>
      <c r="L131" s="317"/>
      <c r="M131" s="258"/>
      <c r="N131" s="258" t="s">
        <v>1008</v>
      </c>
      <c r="O131" s="349">
        <f>COUNTA(M136:M158)</f>
        <v>2</v>
      </c>
      <c r="P131" s="317"/>
    </row>
    <row r="132" spans="1:16" x14ac:dyDescent="0.25">
      <c r="A132" s="258"/>
      <c r="B132" s="258" t="s">
        <v>1009</v>
      </c>
      <c r="C132" s="349">
        <f>ROUNDDOWN(C134/C131,1)</f>
        <v>2.5</v>
      </c>
      <c r="D132" s="317"/>
      <c r="E132" s="258"/>
      <c r="F132" s="258" t="s">
        <v>1009</v>
      </c>
      <c r="G132" s="349">
        <f>ROUNDDOWN(G134/G131,1)</f>
        <v>7.1</v>
      </c>
      <c r="H132" s="317"/>
      <c r="I132" s="258"/>
      <c r="J132" s="258" t="s">
        <v>1009</v>
      </c>
      <c r="K132" s="349">
        <f>ROUNDDOWN(K134/K131,1)</f>
        <v>2.2999999999999998</v>
      </c>
      <c r="L132" s="317"/>
      <c r="M132" s="258"/>
      <c r="N132" s="258" t="s">
        <v>1009</v>
      </c>
      <c r="O132" s="349">
        <f>ROUNDDOWN(O134/O131,1)</f>
        <v>25</v>
      </c>
      <c r="P132" s="317"/>
    </row>
    <row r="133" spans="1:16" x14ac:dyDescent="0.25">
      <c r="A133" s="258"/>
      <c r="B133" s="258" t="s">
        <v>1007</v>
      </c>
      <c r="C133" s="349">
        <v>200</v>
      </c>
      <c r="D133" s="317"/>
      <c r="E133" s="258"/>
      <c r="F133" s="258" t="s">
        <v>1007</v>
      </c>
      <c r="G133" s="349">
        <v>200</v>
      </c>
      <c r="H133" s="317"/>
      <c r="I133" s="258"/>
      <c r="J133" s="258" t="s">
        <v>1007</v>
      </c>
      <c r="K133" s="349">
        <v>200</v>
      </c>
      <c r="L133" s="317"/>
      <c r="M133" s="258"/>
      <c r="N133" s="258" t="s">
        <v>1007</v>
      </c>
      <c r="O133" s="349">
        <v>200</v>
      </c>
      <c r="P133" s="317"/>
    </row>
    <row r="134" spans="1:16" x14ac:dyDescent="0.25">
      <c r="A134" s="258"/>
      <c r="B134" s="258" t="s">
        <v>1016</v>
      </c>
      <c r="C134" s="347">
        <v>50</v>
      </c>
      <c r="D134" s="348"/>
      <c r="E134" s="258"/>
      <c r="F134" s="258" t="s">
        <v>1016</v>
      </c>
      <c r="G134" s="347">
        <v>50</v>
      </c>
      <c r="H134" s="348"/>
      <c r="I134" s="258"/>
      <c r="J134" s="258" t="s">
        <v>1016</v>
      </c>
      <c r="K134" s="347">
        <v>50</v>
      </c>
      <c r="L134" s="348"/>
      <c r="M134" s="258"/>
      <c r="N134" s="258" t="s">
        <v>1016</v>
      </c>
      <c r="O134" s="347">
        <v>50</v>
      </c>
      <c r="P134" s="348"/>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52" t="s">
        <v>1015</v>
      </c>
      <c r="C159" s="345"/>
      <c r="D159" s="346"/>
      <c r="E159" s="257"/>
      <c r="F159" s="352" t="s">
        <v>1015</v>
      </c>
      <c r="G159" s="345"/>
      <c r="H159" s="346"/>
      <c r="I159" s="257"/>
      <c r="J159" s="352" t="s">
        <v>1015</v>
      </c>
      <c r="K159" s="345"/>
      <c r="L159" s="346"/>
      <c r="M159" s="257"/>
      <c r="N159" s="352" t="s">
        <v>1015</v>
      </c>
      <c r="O159" s="345"/>
      <c r="P159" s="346"/>
    </row>
    <row r="160" spans="1:16" x14ac:dyDescent="0.25">
      <c r="A160" s="258"/>
      <c r="B160" s="258" t="s">
        <v>1008</v>
      </c>
      <c r="C160" s="349">
        <f>COUNTA(A165:A187)</f>
        <v>12</v>
      </c>
      <c r="D160" s="350"/>
      <c r="E160" s="258"/>
      <c r="F160" s="258" t="s">
        <v>1008</v>
      </c>
      <c r="G160" s="349">
        <f>COUNTA(E165:E187)</f>
        <v>7</v>
      </c>
      <c r="H160" s="350"/>
      <c r="I160" s="258"/>
      <c r="J160" s="258" t="s">
        <v>1008</v>
      </c>
      <c r="K160" s="349">
        <f>COUNTA(I165:I187)</f>
        <v>22</v>
      </c>
      <c r="L160" s="350"/>
      <c r="M160" s="258"/>
      <c r="N160" s="258" t="s">
        <v>1008</v>
      </c>
      <c r="O160" s="349">
        <f>COUNTA(M165:M187)</f>
        <v>4</v>
      </c>
      <c r="P160" s="350"/>
    </row>
    <row r="161" spans="1:16" x14ac:dyDescent="0.25">
      <c r="A161" s="258"/>
      <c r="B161" s="258" t="s">
        <v>1009</v>
      </c>
      <c r="C161" s="349">
        <f>ROUNDDOWN(C163/C160,1)</f>
        <v>4.0999999999999996</v>
      </c>
      <c r="D161" s="350"/>
      <c r="E161" s="258"/>
      <c r="F161" s="258" t="s">
        <v>1009</v>
      </c>
      <c r="G161" s="349">
        <f>ROUNDDOWN(G163/G160,1)</f>
        <v>7.1</v>
      </c>
      <c r="H161" s="350"/>
      <c r="I161" s="258"/>
      <c r="J161" s="258" t="s">
        <v>1009</v>
      </c>
      <c r="K161" s="349">
        <f>ROUNDDOWN(K163/K160,1)</f>
        <v>2.2000000000000002</v>
      </c>
      <c r="L161" s="350"/>
      <c r="M161" s="258"/>
      <c r="N161" s="258" t="s">
        <v>1009</v>
      </c>
      <c r="O161" s="349">
        <f>ROUNDDOWN(O163/O160,1)</f>
        <v>12.5</v>
      </c>
      <c r="P161" s="350"/>
    </row>
    <row r="162" spans="1:16" x14ac:dyDescent="0.25">
      <c r="A162" s="258"/>
      <c r="B162" s="258" t="s">
        <v>1007</v>
      </c>
      <c r="C162" s="349">
        <v>250</v>
      </c>
      <c r="D162" s="350"/>
      <c r="E162" s="258"/>
      <c r="F162" s="258" t="s">
        <v>1007</v>
      </c>
      <c r="G162" s="349">
        <v>250</v>
      </c>
      <c r="H162" s="350"/>
      <c r="I162" s="258"/>
      <c r="J162" s="258" t="s">
        <v>1007</v>
      </c>
      <c r="K162" s="349">
        <v>250</v>
      </c>
      <c r="L162" s="350"/>
      <c r="M162" s="258"/>
      <c r="N162" s="258" t="s">
        <v>1007</v>
      </c>
      <c r="O162" s="349">
        <v>250</v>
      </c>
      <c r="P162" s="350"/>
    </row>
    <row r="163" spans="1:16" x14ac:dyDescent="0.25">
      <c r="A163" s="258"/>
      <c r="B163" s="258" t="s">
        <v>1016</v>
      </c>
      <c r="C163" s="347">
        <v>50</v>
      </c>
      <c r="D163" s="351"/>
      <c r="E163" s="258"/>
      <c r="F163" s="258" t="s">
        <v>1016</v>
      </c>
      <c r="G163" s="347">
        <v>50</v>
      </c>
      <c r="H163" s="351"/>
      <c r="I163" s="258"/>
      <c r="J163" s="258" t="s">
        <v>1016</v>
      </c>
      <c r="K163" s="347">
        <v>50</v>
      </c>
      <c r="L163" s="351"/>
      <c r="M163" s="258"/>
      <c r="N163" s="258" t="s">
        <v>1016</v>
      </c>
      <c r="O163" s="347">
        <v>50</v>
      </c>
      <c r="P163" s="351"/>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workbookViewId="0">
      <selection activeCell="A2" sqref="A2:B2"/>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63" t="s">
        <v>151</v>
      </c>
      <c r="B1" s="363"/>
      <c r="C1" s="363"/>
      <c r="D1" s="363"/>
      <c r="E1" s="361" t="s">
        <v>160</v>
      </c>
      <c r="F1" s="361"/>
      <c r="G1" s="361"/>
      <c r="H1" s="361"/>
      <c r="I1" s="363" t="s">
        <v>152</v>
      </c>
      <c r="J1" s="363"/>
      <c r="K1" s="363"/>
      <c r="L1" s="363"/>
      <c r="M1" s="361" t="s">
        <v>150</v>
      </c>
      <c r="N1" s="361"/>
      <c r="O1" s="361"/>
      <c r="P1" s="361"/>
    </row>
    <row r="2" spans="1:16" ht="15" customHeight="1" x14ac:dyDescent="0.25">
      <c r="A2" s="364" t="s">
        <v>1111</v>
      </c>
      <c r="B2" s="364"/>
      <c r="C2" s="364" t="s">
        <v>1112</v>
      </c>
      <c r="D2" s="364"/>
      <c r="E2" s="321" t="s">
        <v>1122</v>
      </c>
      <c r="F2" s="321"/>
      <c r="G2" s="321" t="s">
        <v>1125</v>
      </c>
      <c r="H2" s="321"/>
      <c r="I2" s="364" t="s">
        <v>1164</v>
      </c>
      <c r="J2" s="364"/>
      <c r="K2" s="364" t="s">
        <v>1127</v>
      </c>
      <c r="L2" s="364"/>
      <c r="M2" s="321" t="s">
        <v>1129</v>
      </c>
      <c r="N2" s="321"/>
      <c r="O2" s="321" t="s">
        <v>1130</v>
      </c>
      <c r="P2" s="321"/>
    </row>
    <row r="3" spans="1:16" ht="15" customHeight="1" x14ac:dyDescent="0.25">
      <c r="A3" s="358" t="s">
        <v>1113</v>
      </c>
      <c r="B3" s="358"/>
      <c r="C3" s="358" t="s">
        <v>1117</v>
      </c>
      <c r="D3" s="358"/>
      <c r="E3" s="358" t="s">
        <v>1169</v>
      </c>
      <c r="F3" s="358"/>
      <c r="G3" s="358" t="s">
        <v>1244</v>
      </c>
      <c r="H3" s="358"/>
      <c r="I3" s="358" t="s">
        <v>1181</v>
      </c>
      <c r="J3" s="358"/>
      <c r="K3" s="358" t="s">
        <v>1195</v>
      </c>
      <c r="L3" s="358"/>
      <c r="M3" s="358" t="s">
        <v>1189</v>
      </c>
      <c r="N3" s="358"/>
      <c r="O3" s="358" t="s">
        <v>1131</v>
      </c>
      <c r="P3" s="358"/>
    </row>
    <row r="4" spans="1:16" ht="15" customHeight="1" x14ac:dyDescent="0.25">
      <c r="A4" s="358" t="s">
        <v>1115</v>
      </c>
      <c r="B4" s="358"/>
      <c r="C4" s="358" t="s">
        <v>1179</v>
      </c>
      <c r="D4" s="358"/>
      <c r="E4" s="358" t="s">
        <v>1123</v>
      </c>
      <c r="F4" s="358"/>
      <c r="G4" s="358" t="s">
        <v>1171</v>
      </c>
      <c r="H4" s="358"/>
      <c r="I4" s="358" t="s">
        <v>1142</v>
      </c>
      <c r="J4" s="358"/>
      <c r="K4" s="358" t="s">
        <v>1194</v>
      </c>
      <c r="L4" s="358"/>
      <c r="M4" s="358" t="s">
        <v>1185</v>
      </c>
      <c r="N4" s="358"/>
      <c r="O4" s="358" t="s">
        <v>1197</v>
      </c>
      <c r="P4" s="358"/>
    </row>
    <row r="5" spans="1:16" ht="15" customHeight="1" x14ac:dyDescent="0.25">
      <c r="A5" s="358" t="s">
        <v>1178</v>
      </c>
      <c r="B5" s="358"/>
      <c r="C5" s="358" t="s">
        <v>1118</v>
      </c>
      <c r="D5" s="358"/>
      <c r="E5" s="358" t="s">
        <v>1170</v>
      </c>
      <c r="F5" s="358"/>
      <c r="G5" s="362" t="s">
        <v>1172</v>
      </c>
      <c r="H5" s="362"/>
      <c r="I5" s="362" t="s">
        <v>1143</v>
      </c>
      <c r="J5" s="362"/>
      <c r="K5" s="362" t="s">
        <v>1188</v>
      </c>
      <c r="L5" s="362"/>
      <c r="M5" s="358" t="s">
        <v>1132</v>
      </c>
      <c r="N5" s="358"/>
      <c r="O5" s="362" t="s">
        <v>1192</v>
      </c>
      <c r="P5" s="362"/>
    </row>
    <row r="6" spans="1:16" ht="15" customHeight="1" x14ac:dyDescent="0.25">
      <c r="A6" s="358" t="s">
        <v>1138</v>
      </c>
      <c r="B6" s="358"/>
      <c r="C6" s="358" t="s">
        <v>1119</v>
      </c>
      <c r="D6" s="358"/>
      <c r="E6" s="358" t="s">
        <v>1176</v>
      </c>
      <c r="F6" s="358"/>
      <c r="G6" s="358" t="s">
        <v>1173</v>
      </c>
      <c r="H6" s="358"/>
      <c r="I6" s="358" t="s">
        <v>1219</v>
      </c>
      <c r="J6" s="358"/>
      <c r="K6" s="358" t="s">
        <v>1199</v>
      </c>
      <c r="L6" s="358"/>
      <c r="M6" s="358" t="s">
        <v>1186</v>
      </c>
      <c r="N6" s="358"/>
      <c r="O6" s="358" t="s">
        <v>1191</v>
      </c>
      <c r="P6" s="358"/>
    </row>
    <row r="7" spans="1:16" ht="15" customHeight="1" x14ac:dyDescent="0.25">
      <c r="A7" s="358" t="s">
        <v>1140</v>
      </c>
      <c r="B7" s="358"/>
      <c r="C7" s="358" t="s">
        <v>1120</v>
      </c>
      <c r="D7" s="358"/>
      <c r="E7" s="358" t="s">
        <v>1124</v>
      </c>
      <c r="F7" s="358"/>
      <c r="G7" s="358" t="s">
        <v>1174</v>
      </c>
      <c r="H7" s="358"/>
      <c r="I7" s="358" t="s">
        <v>1183</v>
      </c>
      <c r="J7" s="358"/>
      <c r="K7" s="358" t="s">
        <v>1198</v>
      </c>
      <c r="L7" s="358"/>
      <c r="M7" s="358" t="s">
        <v>1187</v>
      </c>
      <c r="N7" s="358"/>
      <c r="O7" s="358" t="s">
        <v>1193</v>
      </c>
      <c r="P7" s="358"/>
    </row>
    <row r="8" spans="1:16" ht="15" customHeight="1" x14ac:dyDescent="0.25">
      <c r="A8" s="358" t="s">
        <v>1116</v>
      </c>
      <c r="B8" s="358"/>
      <c r="C8" s="358" t="s">
        <v>1121</v>
      </c>
      <c r="D8" s="358"/>
      <c r="E8" s="358" t="s">
        <v>1177</v>
      </c>
      <c r="F8" s="358"/>
      <c r="G8" s="358" t="s">
        <v>1175</v>
      </c>
      <c r="H8" s="358"/>
      <c r="I8" s="358" t="s">
        <v>1184</v>
      </c>
      <c r="J8" s="358"/>
      <c r="K8" s="358" t="s">
        <v>1196</v>
      </c>
      <c r="L8" s="358"/>
      <c r="M8" s="358" t="s">
        <v>1133</v>
      </c>
      <c r="N8" s="358"/>
      <c r="O8" s="358" t="s">
        <v>1190</v>
      </c>
      <c r="P8" s="358"/>
    </row>
    <row r="9" spans="1:16" x14ac:dyDescent="0.25">
      <c r="A9" s="359" t="s">
        <v>1200</v>
      </c>
      <c r="B9" s="359"/>
      <c r="C9" s="359" t="s">
        <v>1201</v>
      </c>
      <c r="D9" s="359"/>
      <c r="E9" s="359" t="s">
        <v>1180</v>
      </c>
      <c r="F9" s="359"/>
      <c r="G9" s="359" t="s">
        <v>1126</v>
      </c>
      <c r="H9" s="359"/>
      <c r="I9" s="359" t="s">
        <v>1128</v>
      </c>
      <c r="J9" s="359"/>
      <c r="K9" s="359" t="s">
        <v>38</v>
      </c>
      <c r="L9" s="359"/>
      <c r="M9" s="359" t="s">
        <v>1134</v>
      </c>
      <c r="N9" s="359"/>
      <c r="O9" s="359" t="s">
        <v>1136</v>
      </c>
      <c r="P9" s="359"/>
    </row>
    <row r="10" spans="1:16" ht="15" customHeight="1" x14ac:dyDescent="0.25">
      <c r="A10" s="360" t="s">
        <v>1161</v>
      </c>
      <c r="B10" s="360"/>
      <c r="C10" s="360" t="s">
        <v>1117</v>
      </c>
      <c r="D10" s="360"/>
      <c r="E10" s="360" t="s">
        <v>1169</v>
      </c>
      <c r="F10" s="360"/>
      <c r="G10" s="360" t="s">
        <v>1245</v>
      </c>
      <c r="H10" s="360"/>
      <c r="I10" s="360" t="s">
        <v>1181</v>
      </c>
      <c r="J10" s="360"/>
      <c r="K10" s="360" t="s">
        <v>1195</v>
      </c>
      <c r="L10" s="360"/>
      <c r="M10" s="360" t="s">
        <v>1189</v>
      </c>
      <c r="N10" s="360"/>
      <c r="O10" s="360" t="s">
        <v>1131</v>
      </c>
      <c r="P10" s="360"/>
    </row>
    <row r="11" spans="1:16" ht="15" customHeight="1" x14ac:dyDescent="0.25">
      <c r="A11" t="s">
        <v>1137</v>
      </c>
      <c r="B11" t="s">
        <v>1139</v>
      </c>
      <c r="C11" s="275" t="s">
        <v>1214</v>
      </c>
      <c r="D11" s="275" t="s">
        <v>1139</v>
      </c>
      <c r="E11" s="275" t="s">
        <v>1212</v>
      </c>
      <c r="F11" s="275" t="s">
        <v>1137</v>
      </c>
      <c r="G11" s="275" t="s">
        <v>1212</v>
      </c>
      <c r="H11" s="275" t="s">
        <v>1250</v>
      </c>
      <c r="I11" s="292" t="s">
        <v>1135</v>
      </c>
      <c r="J11" s="292" t="s">
        <v>1139</v>
      </c>
      <c r="K11" s="292" t="s">
        <v>1135</v>
      </c>
      <c r="L11" s="292"/>
      <c r="M11" s="275" t="s">
        <v>7</v>
      </c>
      <c r="N11" s="275" t="s">
        <v>1137</v>
      </c>
      <c r="O11" s="275" t="s">
        <v>7</v>
      </c>
      <c r="P11" s="275"/>
    </row>
    <row r="12" spans="1:16" ht="15" customHeight="1" x14ac:dyDescent="0.25">
      <c r="C12" s="275"/>
      <c r="D12" s="275" t="s">
        <v>1135</v>
      </c>
      <c r="E12" s="275"/>
      <c r="F12" s="275" t="s">
        <v>1139</v>
      </c>
      <c r="G12" s="275"/>
      <c r="H12" s="296" t="s">
        <v>1139</v>
      </c>
      <c r="I12" s="292"/>
      <c r="J12" s="292" t="s">
        <v>1212</v>
      </c>
      <c r="K12" s="292" t="s">
        <v>1213</v>
      </c>
      <c r="L12" s="292"/>
      <c r="M12" s="275"/>
      <c r="N12" s="275" t="s">
        <v>1212</v>
      </c>
      <c r="O12" s="275"/>
      <c r="P12" s="275"/>
    </row>
    <row r="13" spans="1:16" ht="15" customHeight="1" x14ac:dyDescent="0.25">
      <c r="C13" s="275"/>
      <c r="D13" s="275"/>
      <c r="E13" s="275"/>
      <c r="F13" s="275"/>
      <c r="G13" s="275"/>
      <c r="H13" s="296" t="s">
        <v>1137</v>
      </c>
      <c r="I13" s="292"/>
      <c r="J13" s="292" t="s">
        <v>1137</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60" t="s">
        <v>1162</v>
      </c>
      <c r="B15" s="360"/>
      <c r="C15" s="360" t="s">
        <v>1179</v>
      </c>
      <c r="D15" s="360"/>
      <c r="E15" s="360" t="s">
        <v>1141</v>
      </c>
      <c r="F15" s="360"/>
      <c r="G15" s="360" t="s">
        <v>1206</v>
      </c>
      <c r="H15" s="360"/>
      <c r="I15" s="360" t="s">
        <v>1142</v>
      </c>
      <c r="J15" s="360"/>
      <c r="K15" s="360" t="s">
        <v>1194</v>
      </c>
      <c r="L15" s="360"/>
      <c r="M15" s="360" t="s">
        <v>1185</v>
      </c>
      <c r="N15" s="360"/>
      <c r="O15" s="360" t="s">
        <v>1197</v>
      </c>
      <c r="P15" s="360"/>
    </row>
    <row r="16" spans="1:16" ht="15" customHeight="1" x14ac:dyDescent="0.25">
      <c r="A16" s="275" t="s">
        <v>1113</v>
      </c>
      <c r="B16" s="2" t="s">
        <v>1169</v>
      </c>
      <c r="C16" s="275" t="s">
        <v>1117</v>
      </c>
      <c r="D16" s="275" t="s">
        <v>1194</v>
      </c>
      <c r="E16" s="275" t="s">
        <v>1169</v>
      </c>
      <c r="F16" s="275" t="s">
        <v>1113</v>
      </c>
      <c r="G16" s="275" t="s">
        <v>1212</v>
      </c>
      <c r="H16" s="275" t="s">
        <v>1115</v>
      </c>
      <c r="I16" s="292" t="s">
        <v>1194</v>
      </c>
      <c r="J16" s="292" t="s">
        <v>1197</v>
      </c>
      <c r="K16" s="292" t="s">
        <v>1195</v>
      </c>
      <c r="L16" s="292" t="s">
        <v>1115</v>
      </c>
      <c r="M16" s="275" t="s">
        <v>1115</v>
      </c>
      <c r="N16" s="275" t="s">
        <v>1212</v>
      </c>
      <c r="O16" s="275" t="s">
        <v>1131</v>
      </c>
      <c r="P16" s="275" t="s">
        <v>1185</v>
      </c>
    </row>
    <row r="17" spans="1:16" ht="15" customHeight="1" x14ac:dyDescent="0.25">
      <c r="A17" s="275" t="s">
        <v>1137</v>
      </c>
      <c r="B17" t="s">
        <v>1141</v>
      </c>
      <c r="C17" s="275" t="s">
        <v>1214</v>
      </c>
      <c r="D17" s="2" t="s">
        <v>1197</v>
      </c>
      <c r="E17" s="275"/>
      <c r="F17" s="275" t="s">
        <v>1131</v>
      </c>
      <c r="G17" s="275"/>
      <c r="H17" s="275" t="s">
        <v>1185</v>
      </c>
      <c r="I17" s="292" t="s">
        <v>1181</v>
      </c>
      <c r="J17" s="292" t="s">
        <v>1185</v>
      </c>
      <c r="K17" s="292" t="s">
        <v>1213</v>
      </c>
      <c r="L17" s="292"/>
      <c r="M17" s="275" t="s">
        <v>1137</v>
      </c>
      <c r="N17" s="275" t="s">
        <v>1131</v>
      </c>
      <c r="O17" s="275" t="s">
        <v>1139</v>
      </c>
      <c r="P17" s="275" t="s">
        <v>1142</v>
      </c>
    </row>
    <row r="18" spans="1:16" ht="15" customHeight="1" x14ac:dyDescent="0.25">
      <c r="A18" s="275"/>
      <c r="B18" t="s">
        <v>1212</v>
      </c>
      <c r="C18" s="275"/>
      <c r="D18" s="275" t="s">
        <v>1142</v>
      </c>
      <c r="E18" s="275"/>
      <c r="F18" s="275"/>
      <c r="G18" s="275"/>
      <c r="H18" s="275"/>
      <c r="I18" s="292"/>
      <c r="J18" s="292" t="s">
        <v>1179</v>
      </c>
      <c r="K18" s="292"/>
      <c r="L18" s="292"/>
      <c r="M18" s="275"/>
      <c r="N18" s="275" t="s">
        <v>1113</v>
      </c>
      <c r="O18" s="275"/>
      <c r="P18" s="275" t="s">
        <v>1179</v>
      </c>
    </row>
    <row r="19" spans="1:16" ht="15" customHeight="1" x14ac:dyDescent="0.25">
      <c r="A19" s="2"/>
      <c r="B19" s="275" t="s">
        <v>1131</v>
      </c>
      <c r="C19" s="275"/>
      <c r="D19" s="275" t="s">
        <v>1115</v>
      </c>
      <c r="E19" s="275"/>
      <c r="F19" s="275"/>
      <c r="G19" s="275"/>
      <c r="H19" s="275"/>
      <c r="I19" s="292"/>
      <c r="J19" s="292"/>
      <c r="K19" s="292"/>
      <c r="L19" s="292"/>
      <c r="M19" s="275"/>
      <c r="N19" s="275"/>
      <c r="O19" s="275"/>
      <c r="P19" s="275" t="s">
        <v>1115</v>
      </c>
    </row>
    <row r="20" spans="1:16" ht="15" customHeight="1" x14ac:dyDescent="0.25">
      <c r="A20" s="360" t="s">
        <v>1202</v>
      </c>
      <c r="B20" s="360"/>
      <c r="C20" s="360" t="s">
        <v>1118</v>
      </c>
      <c r="D20" s="360"/>
      <c r="E20" s="360" t="s">
        <v>1170</v>
      </c>
      <c r="F20" s="360"/>
      <c r="G20" s="360" t="s">
        <v>1207</v>
      </c>
      <c r="H20" s="360"/>
      <c r="I20" s="360" t="s">
        <v>1143</v>
      </c>
      <c r="J20" s="360"/>
      <c r="K20" s="360" t="s">
        <v>1188</v>
      </c>
      <c r="L20" s="360"/>
      <c r="M20" s="360" t="s">
        <v>1132</v>
      </c>
      <c r="N20" s="360"/>
      <c r="O20" s="360" t="s">
        <v>1192</v>
      </c>
      <c r="P20" s="360"/>
    </row>
    <row r="21" spans="1:16" ht="15" customHeight="1" x14ac:dyDescent="0.25">
      <c r="A21" s="275" t="s">
        <v>1115</v>
      </c>
      <c r="B21" s="275" t="s">
        <v>1170</v>
      </c>
      <c r="C21" s="275" t="s">
        <v>1179</v>
      </c>
      <c r="D21" s="275" t="s">
        <v>1170</v>
      </c>
      <c r="E21" s="292" t="s">
        <v>1169</v>
      </c>
      <c r="F21" s="292" t="s">
        <v>1216</v>
      </c>
      <c r="G21" s="275" t="s">
        <v>1212</v>
      </c>
      <c r="H21" s="275" t="s">
        <v>1217</v>
      </c>
      <c r="I21" s="292" t="s">
        <v>1142</v>
      </c>
      <c r="J21" s="292" t="s">
        <v>1188</v>
      </c>
      <c r="K21" s="292" t="s">
        <v>1194</v>
      </c>
      <c r="L21" s="292" t="s">
        <v>1118</v>
      </c>
      <c r="M21" s="275" t="s">
        <v>1185</v>
      </c>
      <c r="N21" s="275" t="s">
        <v>1212</v>
      </c>
      <c r="O21" s="275" t="s">
        <v>1197</v>
      </c>
      <c r="P21" s="275" t="s">
        <v>1188</v>
      </c>
    </row>
    <row r="22" spans="1:16" ht="15" customHeight="1" x14ac:dyDescent="0.25">
      <c r="A22" s="275" t="s">
        <v>1113</v>
      </c>
      <c r="B22" s="275" t="s">
        <v>1212</v>
      </c>
      <c r="C22" s="275" t="s">
        <v>1215</v>
      </c>
      <c r="D22" s="275" t="s">
        <v>1143</v>
      </c>
      <c r="E22" s="292"/>
      <c r="F22" s="292" t="s">
        <v>1212</v>
      </c>
      <c r="G22" s="275"/>
      <c r="H22" s="275" t="s">
        <v>1132</v>
      </c>
      <c r="I22" s="292"/>
      <c r="J22" s="292" t="s">
        <v>1179</v>
      </c>
      <c r="K22" s="292" t="s">
        <v>1195</v>
      </c>
      <c r="L22" s="292"/>
      <c r="M22" s="275" t="s">
        <v>1216</v>
      </c>
      <c r="N22" s="275" t="s">
        <v>1131</v>
      </c>
      <c r="O22" s="275" t="s">
        <v>1131</v>
      </c>
      <c r="P22" s="275" t="s">
        <v>1170</v>
      </c>
    </row>
    <row r="23" spans="1:16" ht="15" customHeight="1" x14ac:dyDescent="0.25">
      <c r="A23" s="275"/>
      <c r="B23" s="275" t="s">
        <v>1185</v>
      </c>
      <c r="C23" s="275"/>
      <c r="D23" s="275" t="s">
        <v>1188</v>
      </c>
      <c r="E23" s="292"/>
      <c r="F23" s="292" t="s">
        <v>1132</v>
      </c>
      <c r="G23" s="275"/>
      <c r="H23" s="275" t="s">
        <v>1141</v>
      </c>
      <c r="I23" s="292"/>
      <c r="J23" s="292" t="s">
        <v>1118</v>
      </c>
      <c r="K23" s="292" t="s">
        <v>1213</v>
      </c>
      <c r="L23" s="292"/>
      <c r="M23" s="275"/>
      <c r="N23" s="275" t="s">
        <v>1115</v>
      </c>
      <c r="O23" s="275"/>
      <c r="P23" s="275" t="s">
        <v>1118</v>
      </c>
    </row>
    <row r="24" spans="1:16" ht="15" customHeight="1" x14ac:dyDescent="0.25">
      <c r="A24" s="275"/>
      <c r="B24" s="275" t="s">
        <v>1131</v>
      </c>
      <c r="C24" s="275"/>
      <c r="D24" s="275" t="s">
        <v>1191</v>
      </c>
      <c r="E24" s="292"/>
      <c r="F24" s="292" t="s">
        <v>1185</v>
      </c>
      <c r="G24" s="275"/>
      <c r="H24" s="275" t="s">
        <v>1115</v>
      </c>
      <c r="I24" s="292"/>
      <c r="J24" s="292" t="s">
        <v>1191</v>
      </c>
      <c r="K24" s="292"/>
      <c r="L24" s="292"/>
      <c r="M24" s="275"/>
      <c r="N24" s="275" t="s">
        <v>1195</v>
      </c>
      <c r="O24" s="275"/>
      <c r="P24" s="275"/>
    </row>
    <row r="25" spans="1:16" ht="15" customHeight="1" x14ac:dyDescent="0.25">
      <c r="A25" s="360" t="s">
        <v>1203</v>
      </c>
      <c r="B25" s="360"/>
      <c r="C25" s="360" t="s">
        <v>1119</v>
      </c>
      <c r="D25" s="360"/>
      <c r="E25" s="360" t="s">
        <v>1176</v>
      </c>
      <c r="F25" s="360"/>
      <c r="G25" s="360" t="s">
        <v>1208</v>
      </c>
      <c r="H25" s="360"/>
      <c r="I25" s="360" t="s">
        <v>1219</v>
      </c>
      <c r="J25" s="360"/>
      <c r="K25" s="360" t="s">
        <v>1199</v>
      </c>
      <c r="L25" s="360"/>
      <c r="M25" s="360" t="s">
        <v>1186</v>
      </c>
      <c r="N25" s="360"/>
      <c r="O25" s="360" t="s">
        <v>1191</v>
      </c>
      <c r="P25" s="360"/>
    </row>
    <row r="26" spans="1:16" x14ac:dyDescent="0.25">
      <c r="A26" s="275" t="s">
        <v>1216</v>
      </c>
      <c r="B26" s="275" t="s">
        <v>1218</v>
      </c>
      <c r="C26" s="275" t="s">
        <v>1118</v>
      </c>
      <c r="D26" s="275" t="s">
        <v>1218</v>
      </c>
      <c r="E26" s="292" t="s">
        <v>1170</v>
      </c>
      <c r="F26" s="292" t="s">
        <v>1114</v>
      </c>
      <c r="G26" s="275" t="s">
        <v>1212</v>
      </c>
      <c r="H26" s="275" t="s">
        <v>1114</v>
      </c>
      <c r="I26" s="292" t="s">
        <v>1143</v>
      </c>
      <c r="J26" s="292" t="s">
        <v>1119</v>
      </c>
      <c r="K26" s="292" t="s">
        <v>1188</v>
      </c>
      <c r="L26" s="292" t="s">
        <v>1119</v>
      </c>
      <c r="M26" s="275" t="s">
        <v>1189</v>
      </c>
      <c r="N26" s="275" t="s">
        <v>1131</v>
      </c>
      <c r="O26" s="275" t="s">
        <v>1197</v>
      </c>
      <c r="P26" s="275" t="s">
        <v>1219</v>
      </c>
    </row>
    <row r="27" spans="1:16" x14ac:dyDescent="0.25">
      <c r="A27" s="275" t="s">
        <v>1115</v>
      </c>
      <c r="B27" s="275" t="s">
        <v>1212</v>
      </c>
      <c r="C27" s="275" t="s">
        <v>1179</v>
      </c>
      <c r="D27" s="275" t="s">
        <v>1182</v>
      </c>
      <c r="E27" s="292" t="s">
        <v>1169</v>
      </c>
      <c r="F27" s="292" t="s">
        <v>1186</v>
      </c>
      <c r="G27" s="275"/>
      <c r="H27" s="275" t="s">
        <v>1119</v>
      </c>
      <c r="I27" s="292" t="s">
        <v>1142</v>
      </c>
      <c r="J27" s="292" t="s">
        <v>1118</v>
      </c>
      <c r="K27" s="292" t="s">
        <v>1194</v>
      </c>
      <c r="L27" s="292" t="s">
        <v>1186</v>
      </c>
      <c r="M27" s="275" t="s">
        <v>1132</v>
      </c>
      <c r="N27" s="275" t="s">
        <v>1218</v>
      </c>
      <c r="O27" s="275" t="s">
        <v>1192</v>
      </c>
      <c r="P27" s="275" t="s">
        <v>1218</v>
      </c>
    </row>
    <row r="28" spans="1:16" x14ac:dyDescent="0.25">
      <c r="A28" s="275"/>
      <c r="B28" s="275" t="s">
        <v>1185</v>
      </c>
      <c r="C28" s="275" t="s">
        <v>1213</v>
      </c>
      <c r="D28" s="275" t="s">
        <v>1199</v>
      </c>
      <c r="E28" s="292"/>
      <c r="F28" s="292" t="s">
        <v>1132</v>
      </c>
      <c r="G28" s="275"/>
      <c r="H28" s="275" t="s">
        <v>1132</v>
      </c>
      <c r="I28" s="292"/>
      <c r="J28" s="292" t="s">
        <v>1199</v>
      </c>
      <c r="K28" s="292" t="s">
        <v>1213</v>
      </c>
      <c r="L28" s="292" t="s">
        <v>1192</v>
      </c>
      <c r="M28" s="275"/>
      <c r="N28" s="275" t="s">
        <v>1114</v>
      </c>
      <c r="O28" s="275"/>
      <c r="P28" s="275" t="s">
        <v>1119</v>
      </c>
    </row>
    <row r="29" spans="1:16" x14ac:dyDescent="0.25">
      <c r="C29" s="275"/>
      <c r="D29" s="275" t="s">
        <v>1192</v>
      </c>
      <c r="E29" s="292"/>
      <c r="F29" s="292" t="s">
        <v>1115</v>
      </c>
      <c r="G29" s="275"/>
      <c r="H29" s="275" t="s">
        <v>1192</v>
      </c>
      <c r="I29" s="292"/>
      <c r="J29" s="292" t="s">
        <v>1192</v>
      </c>
      <c r="K29" s="292"/>
      <c r="L29" s="292"/>
      <c r="M29" s="275"/>
      <c r="N29" s="275" t="s">
        <v>1142</v>
      </c>
      <c r="O29" s="275"/>
      <c r="P29" s="275" t="s">
        <v>1142</v>
      </c>
    </row>
    <row r="30" spans="1:16" x14ac:dyDescent="0.25">
      <c r="A30" s="360" t="s">
        <v>1204</v>
      </c>
      <c r="B30" s="360"/>
      <c r="C30" s="360" t="s">
        <v>1120</v>
      </c>
      <c r="D30" s="360"/>
      <c r="E30" s="360" t="s">
        <v>1124</v>
      </c>
      <c r="F30" s="360"/>
      <c r="G30" s="360" t="s">
        <v>1209</v>
      </c>
      <c r="H30" s="360"/>
      <c r="I30" s="360" t="s">
        <v>1183</v>
      </c>
      <c r="J30" s="360"/>
      <c r="K30" s="360" t="s">
        <v>1211</v>
      </c>
      <c r="L30" s="360"/>
      <c r="M30" s="360" t="s">
        <v>1187</v>
      </c>
      <c r="N30" s="360"/>
      <c r="O30" s="360" t="s">
        <v>1193</v>
      </c>
      <c r="P30" s="360"/>
    </row>
    <row r="31" spans="1:16" x14ac:dyDescent="0.25">
      <c r="A31" s="275" t="s">
        <v>1114</v>
      </c>
      <c r="B31" s="275" t="s">
        <v>1197</v>
      </c>
      <c r="C31" s="275" t="s">
        <v>1119</v>
      </c>
      <c r="D31" s="275" t="s">
        <v>1211</v>
      </c>
      <c r="E31" s="292" t="s">
        <v>1218</v>
      </c>
      <c r="F31" s="292" t="s">
        <v>1140</v>
      </c>
      <c r="G31" s="275" t="s">
        <v>1212</v>
      </c>
      <c r="H31" s="275" t="s">
        <v>1140</v>
      </c>
      <c r="I31" s="292" t="s">
        <v>1219</v>
      </c>
      <c r="J31" s="292" t="s">
        <v>1120</v>
      </c>
      <c r="K31" s="292" t="s">
        <v>1199</v>
      </c>
      <c r="L31" s="292" t="s">
        <v>1120</v>
      </c>
      <c r="M31" s="275" t="s">
        <v>1186</v>
      </c>
      <c r="N31" s="275" t="s">
        <v>1217</v>
      </c>
      <c r="O31" s="275" t="s">
        <v>1191</v>
      </c>
      <c r="P31" s="275" t="s">
        <v>1183</v>
      </c>
    </row>
    <row r="32" spans="1:16" x14ac:dyDescent="0.25">
      <c r="A32" s="275" t="s">
        <v>1216</v>
      </c>
      <c r="B32" s="275" t="s">
        <v>1186</v>
      </c>
      <c r="C32" s="275" t="s">
        <v>1118</v>
      </c>
      <c r="D32" s="275" t="s">
        <v>1183</v>
      </c>
      <c r="E32" s="292"/>
      <c r="F32" s="292" t="s">
        <v>1183</v>
      </c>
      <c r="G32" s="275"/>
      <c r="H32" s="275" t="s">
        <v>1219</v>
      </c>
      <c r="I32" s="292" t="s">
        <v>1143</v>
      </c>
      <c r="J32" s="292" t="s">
        <v>1124</v>
      </c>
      <c r="K32" s="292" t="s">
        <v>1188</v>
      </c>
      <c r="L32" s="292" t="s">
        <v>1212</v>
      </c>
      <c r="M32" s="275" t="s">
        <v>1132</v>
      </c>
      <c r="N32" s="275" t="s">
        <v>1131</v>
      </c>
      <c r="O32" s="275" t="s">
        <v>1192</v>
      </c>
      <c r="P32" s="275" t="s">
        <v>1219</v>
      </c>
    </row>
    <row r="33" spans="1:31" x14ac:dyDescent="0.25">
      <c r="A33" s="275"/>
      <c r="B33" s="275" t="s">
        <v>1132</v>
      </c>
      <c r="C33" s="275"/>
      <c r="D33" s="275" t="s">
        <v>1124</v>
      </c>
      <c r="E33" s="292"/>
      <c r="F33" s="292" t="s">
        <v>1132</v>
      </c>
      <c r="G33" s="275"/>
      <c r="H33" s="275" t="s">
        <v>1132</v>
      </c>
      <c r="I33" s="292" t="s">
        <v>1142</v>
      </c>
      <c r="J33" s="292" t="s">
        <v>1212</v>
      </c>
      <c r="K33" s="292" t="s">
        <v>1194</v>
      </c>
      <c r="L33" s="292" t="s">
        <v>1193</v>
      </c>
      <c r="M33" s="275"/>
      <c r="N33" s="275" t="s">
        <v>1124</v>
      </c>
      <c r="O33" s="275"/>
      <c r="P33" s="275" t="s">
        <v>1120</v>
      </c>
    </row>
    <row r="34" spans="1:31" x14ac:dyDescent="0.25">
      <c r="B34" s="275" t="s">
        <v>1211</v>
      </c>
      <c r="C34" s="275"/>
      <c r="D34" t="s">
        <v>1188</v>
      </c>
      <c r="E34" s="292"/>
      <c r="F34" s="292" t="s">
        <v>1219</v>
      </c>
      <c r="H34" t="s">
        <v>1143</v>
      </c>
      <c r="I34" s="292"/>
      <c r="J34" s="292" t="s">
        <v>1193</v>
      </c>
      <c r="K34" s="292"/>
      <c r="L34" s="292" t="s">
        <v>1118</v>
      </c>
      <c r="N34" t="s">
        <v>1183</v>
      </c>
      <c r="P34" t="s">
        <v>1211</v>
      </c>
    </row>
    <row r="35" spans="1:31" s="292" customFormat="1" x14ac:dyDescent="0.25">
      <c r="A35" s="360" t="s">
        <v>1205</v>
      </c>
      <c r="B35" s="360"/>
      <c r="C35" s="360" t="s">
        <v>1121</v>
      </c>
      <c r="D35" s="360"/>
      <c r="E35" s="360" t="s">
        <v>1177</v>
      </c>
      <c r="F35" s="360"/>
      <c r="G35" s="360" t="s">
        <v>1210</v>
      </c>
      <c r="H35" s="360"/>
      <c r="I35" s="360" t="s">
        <v>1184</v>
      </c>
      <c r="J35" s="360"/>
      <c r="K35" s="360" t="s">
        <v>1196</v>
      </c>
      <c r="L35" s="360"/>
      <c r="M35" s="360" t="s">
        <v>1133</v>
      </c>
      <c r="N35" s="360"/>
      <c r="O35" s="360" t="s">
        <v>1190</v>
      </c>
      <c r="P35" s="360"/>
    </row>
    <row r="36" spans="1:31" s="292" customFormat="1" x14ac:dyDescent="0.25">
      <c r="A36" s="292" t="s">
        <v>1140</v>
      </c>
      <c r="B36" s="292" t="s">
        <v>1229</v>
      </c>
      <c r="C36" s="292" t="s">
        <v>1120</v>
      </c>
      <c r="D36" s="292" t="s">
        <v>1196</v>
      </c>
      <c r="E36" s="292" t="s">
        <v>1124</v>
      </c>
      <c r="F36" s="292" t="s">
        <v>1116</v>
      </c>
      <c r="G36" s="292" t="s">
        <v>1212</v>
      </c>
      <c r="H36" s="292" t="s">
        <v>1116</v>
      </c>
      <c r="I36" s="292" t="s">
        <v>1219</v>
      </c>
      <c r="J36" s="292" t="s">
        <v>1230</v>
      </c>
    </row>
    <row r="37" spans="1:31" x14ac:dyDescent="0.25">
      <c r="A37" s="292" t="s">
        <v>1114</v>
      </c>
      <c r="B37" s="292" t="s">
        <v>1212</v>
      </c>
      <c r="C37" s="292" t="s">
        <v>1119</v>
      </c>
      <c r="D37" s="292" t="s">
        <v>1184</v>
      </c>
      <c r="E37" s="292" t="s">
        <v>1218</v>
      </c>
      <c r="F37" s="292" t="s">
        <v>1184</v>
      </c>
      <c r="G37" s="292"/>
      <c r="H37" s="292" t="s">
        <v>1196</v>
      </c>
      <c r="I37" s="292" t="s">
        <v>1183</v>
      </c>
      <c r="J37" s="292" t="s">
        <v>1196</v>
      </c>
      <c r="K37" s="292"/>
      <c r="L37" s="292"/>
      <c r="M37" s="292"/>
      <c r="N37" s="292"/>
      <c r="O37" s="292"/>
      <c r="P37" s="292"/>
    </row>
    <row r="38" spans="1:31" x14ac:dyDescent="0.25">
      <c r="A38" s="292"/>
      <c r="B38" s="292" t="s">
        <v>1133</v>
      </c>
      <c r="C38" s="292"/>
      <c r="D38" s="292" t="s">
        <v>1133</v>
      </c>
      <c r="E38" s="292"/>
      <c r="F38" s="292" t="s">
        <v>1190</v>
      </c>
      <c r="G38" s="292"/>
      <c r="H38" s="292" t="s">
        <v>1133</v>
      </c>
      <c r="I38" s="292"/>
      <c r="J38" s="292" t="s">
        <v>1190</v>
      </c>
      <c r="K38" s="292"/>
      <c r="L38" s="292"/>
      <c r="M38" s="292"/>
      <c r="N38" s="292"/>
      <c r="O38" s="292"/>
      <c r="P38" s="292"/>
    </row>
    <row r="39" spans="1:31" x14ac:dyDescent="0.25">
      <c r="A39" s="292"/>
      <c r="B39" s="292" t="s">
        <v>1190</v>
      </c>
      <c r="C39" s="292"/>
      <c r="D39" s="292" t="s">
        <v>1190</v>
      </c>
      <c r="E39" s="292"/>
      <c r="F39" s="292" t="s">
        <v>1196</v>
      </c>
      <c r="G39" s="292"/>
      <c r="H39" s="292" t="s">
        <v>1190</v>
      </c>
      <c r="I39" s="292"/>
      <c r="J39" s="292" t="s">
        <v>1120</v>
      </c>
      <c r="K39" s="292"/>
      <c r="L39" s="292"/>
      <c r="M39" s="292"/>
      <c r="N39" s="292"/>
      <c r="O39" s="292"/>
      <c r="P39" s="292"/>
    </row>
    <row r="40" spans="1:31" x14ac:dyDescent="0.25">
      <c r="A40" s="295"/>
      <c r="B40" s="295" t="s">
        <v>1113</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926</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1231</v>
      </c>
      <c r="Z42" s="279" t="s">
        <v>203</v>
      </c>
      <c r="AA42" s="283" t="s">
        <v>1149</v>
      </c>
      <c r="AB42" s="283" t="s">
        <v>149</v>
      </c>
      <c r="AC42" s="283" t="s">
        <v>1232</v>
      </c>
      <c r="AD42" s="279" t="s">
        <v>203</v>
      </c>
      <c r="AE42" s="283" t="s">
        <v>1149</v>
      </c>
    </row>
    <row r="43" spans="1:31" x14ac:dyDescent="0.25">
      <c r="A43" s="282" t="s">
        <v>1243</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7" customFormat="1" x14ac:dyDescent="0.25">
      <c r="A44" s="295"/>
      <c r="B44" s="295" t="s">
        <v>1115</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1231</v>
      </c>
      <c r="Z45" s="279" t="s">
        <v>203</v>
      </c>
      <c r="AA45" s="283" t="s">
        <v>1149</v>
      </c>
      <c r="AB45" s="283" t="s">
        <v>149</v>
      </c>
      <c r="AC45" s="283" t="s">
        <v>1232</v>
      </c>
      <c r="AD45" s="279" t="s">
        <v>203</v>
      </c>
      <c r="AE45" s="283" t="s">
        <v>1149</v>
      </c>
    </row>
    <row r="46" spans="1:31" s="297" customFormat="1" x14ac:dyDescent="0.25">
      <c r="A46" s="282" t="s">
        <v>1251</v>
      </c>
      <c r="B46" s="282"/>
      <c r="C46" s="277">
        <f t="shared" ref="C46" si="8">((D46*G46)+(K46*H46)+(O46*L46)+(S46*P46)+(W46*T46)+(X46*AA46)+(AB46*AE46))</f>
        <v>368</v>
      </c>
      <c r="D46" s="280">
        <v>1</v>
      </c>
      <c r="E46" s="281" t="s">
        <v>1243</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1117</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1231</v>
      </c>
      <c r="Z49" s="279" t="s">
        <v>203</v>
      </c>
      <c r="AA49" s="283" t="s">
        <v>1149</v>
      </c>
      <c r="AB49" s="283" t="s">
        <v>149</v>
      </c>
      <c r="AC49" s="283" t="s">
        <v>1232</v>
      </c>
      <c r="AD49" s="279" t="s">
        <v>203</v>
      </c>
      <c r="AE49" s="283" t="s">
        <v>1149</v>
      </c>
    </row>
    <row r="50" spans="1:31" s="293" customFormat="1" x14ac:dyDescent="0.25">
      <c r="A50" s="282" t="s">
        <v>1242</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1238</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3" customFormat="1" x14ac:dyDescent="0.25">
      <c r="A52" s="295"/>
      <c r="B52" s="295" t="s">
        <v>1189</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1231</v>
      </c>
      <c r="Z53" s="279" t="s">
        <v>203</v>
      </c>
      <c r="AA53" s="283" t="s">
        <v>1149</v>
      </c>
      <c r="AB53" s="283" t="s">
        <v>149</v>
      </c>
      <c r="AC53" s="283" t="s">
        <v>1232</v>
      </c>
      <c r="AD53" s="279" t="s">
        <v>203</v>
      </c>
      <c r="AE53" s="283" t="s">
        <v>1149</v>
      </c>
    </row>
    <row r="54" spans="1:31" s="293" customFormat="1" x14ac:dyDescent="0.25">
      <c r="A54" s="282" t="s">
        <v>1238</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1163</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1131</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1231</v>
      </c>
      <c r="Z57" s="279" t="s">
        <v>203</v>
      </c>
      <c r="AA57" s="283" t="s">
        <v>1149</v>
      </c>
      <c r="AB57" s="283" t="s">
        <v>149</v>
      </c>
      <c r="AC57" s="283" t="s">
        <v>1232</v>
      </c>
      <c r="AD57" s="279" t="s">
        <v>203</v>
      </c>
      <c r="AE57" s="283" t="s">
        <v>1149</v>
      </c>
    </row>
    <row r="58" spans="1:31" x14ac:dyDescent="0.25">
      <c r="A58" s="282" t="s">
        <v>1163</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1165</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2" customFormat="1" x14ac:dyDescent="0.25">
      <c r="A60" s="282" t="s">
        <v>1166</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2" customFormat="1" x14ac:dyDescent="0.25">
      <c r="A61" s="282" t="s">
        <v>1233</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2" customFormat="1" x14ac:dyDescent="0.25">
      <c r="A62" s="282" t="s">
        <v>1167</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2" customFormat="1" x14ac:dyDescent="0.25">
      <c r="A63" s="282" t="s">
        <v>1234</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2" customFormat="1" x14ac:dyDescent="0.25">
      <c r="A67" s="295"/>
      <c r="B67" s="295" t="s">
        <v>1235</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1231</v>
      </c>
      <c r="Z68" s="279" t="s">
        <v>203</v>
      </c>
      <c r="AA68" s="283" t="s">
        <v>1149</v>
      </c>
      <c r="AB68" s="283" t="s">
        <v>149</v>
      </c>
      <c r="AC68" s="283" t="s">
        <v>1232</v>
      </c>
      <c r="AD68" s="279" t="s">
        <v>203</v>
      </c>
      <c r="AE68" s="283" t="s">
        <v>1149</v>
      </c>
    </row>
    <row r="69" spans="1:31" s="293" customFormat="1" x14ac:dyDescent="0.25">
      <c r="A69" s="282" t="s">
        <v>1237</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2" customFormat="1" x14ac:dyDescent="0.25">
      <c r="A75" s="295"/>
      <c r="B75" s="295" t="s">
        <v>1181</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1231</v>
      </c>
      <c r="Z76" s="279" t="s">
        <v>203</v>
      </c>
      <c r="AA76" s="283" t="s">
        <v>1149</v>
      </c>
      <c r="AB76" s="283" t="s">
        <v>149</v>
      </c>
      <c r="AC76" s="283" t="s">
        <v>1232</v>
      </c>
      <c r="AD76" s="279" t="s">
        <v>203</v>
      </c>
      <c r="AE76" s="283" t="s">
        <v>1149</v>
      </c>
    </row>
    <row r="77" spans="1:31" s="293" customFormat="1" x14ac:dyDescent="0.25">
      <c r="A77" s="282" t="s">
        <v>1241</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1242</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2" customFormat="1" x14ac:dyDescent="0.25">
      <c r="A81" s="295"/>
      <c r="B81" s="295" t="s">
        <v>1169</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1231</v>
      </c>
      <c r="Z82" s="279" t="s">
        <v>203</v>
      </c>
      <c r="AA82" s="283" t="s">
        <v>1149</v>
      </c>
      <c r="AB82" s="283" t="s">
        <v>149</v>
      </c>
      <c r="AC82" s="283" t="s">
        <v>1232</v>
      </c>
      <c r="AD82" s="279" t="s">
        <v>203</v>
      </c>
      <c r="AE82" s="283" t="s">
        <v>1149</v>
      </c>
    </row>
    <row r="83" spans="1:31" s="292" customFormat="1" x14ac:dyDescent="0.25">
      <c r="A83" s="282" t="s">
        <v>1248</v>
      </c>
      <c r="B83" s="282"/>
      <c r="C83" s="277">
        <f>((D83*G83)+(K83*H83)+(O83*L83)+(S83*P83)+(W83*T83)+(X83*AA83)+(AB83*AE83))</f>
        <v>480.04</v>
      </c>
      <c r="D83" s="280">
        <v>2</v>
      </c>
      <c r="E83" s="281" t="s">
        <v>1236</v>
      </c>
      <c r="F83" s="59" t="str">
        <f>E83</f>
        <v>cadaber de pollo</v>
      </c>
      <c r="G83" s="278">
        <f t="shared" ref="G83" si="100">VLOOKUP(E83,craftedesp,3,FALSE)</f>
        <v>86</v>
      </c>
      <c r="H83" s="280">
        <v>1</v>
      </c>
      <c r="I83" s="281" t="s">
        <v>1247</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6" customFormat="1" x14ac:dyDescent="0.25">
      <c r="A85" s="295"/>
      <c r="B85" s="295" t="s">
        <v>1246</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1231</v>
      </c>
      <c r="Z86" s="279" t="s">
        <v>203</v>
      </c>
      <c r="AA86" s="283" t="s">
        <v>1149</v>
      </c>
      <c r="AB86" s="283" t="s">
        <v>149</v>
      </c>
      <c r="AC86" s="283" t="s">
        <v>1232</v>
      </c>
      <c r="AD86" s="279" t="s">
        <v>203</v>
      </c>
      <c r="AE86" s="283" t="s">
        <v>1149</v>
      </c>
    </row>
    <row r="87" spans="1:31" s="296" customFormat="1" x14ac:dyDescent="0.25">
      <c r="A87" s="282" t="s">
        <v>1247</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2" customFormat="1" x14ac:dyDescent="0.25">
      <c r="A91" s="295"/>
      <c r="B91" s="295" t="s">
        <v>1212</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1236</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65" t="s">
        <v>1220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5"/>
      <c r="B2" s="374" t="s">
        <v>1159</v>
      </c>
      <c r="C2" s="31" t="s">
        <v>6</v>
      </c>
      <c r="D2" s="34">
        <f>'ECONOMIA &amp; PROFESIONES'!$N$5</f>
        <v>900</v>
      </c>
      <c r="E2" s="53">
        <f>(H2*G2)+(K2*J2)+(M2*N2)+(P2*Q2)+(S2*T2)+(V2*W2)+(Y2*Z2)</f>
        <v>857.59999999999991</v>
      </c>
      <c r="F2" s="281" t="s">
        <v>1237</v>
      </c>
      <c r="G2" s="285">
        <v>2</v>
      </c>
      <c r="H2" s="278">
        <f t="shared" ref="H2:H26" si="0">VLOOKUP(F2,craftedesp,3,FALSE)</f>
        <v>172.79999999999998</v>
      </c>
      <c r="I2" s="281" t="s">
        <v>1163</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65"/>
      <c r="B3" s="375"/>
      <c r="C3" s="32" t="s">
        <v>113</v>
      </c>
      <c r="D3" s="34">
        <f>'ECONOMIA &amp; PROFESIONES'!$N$6</f>
        <v>1500</v>
      </c>
      <c r="E3" s="53">
        <f t="shared" ref="E3:E26" si="6">(H3*G3)+(K3*J3)+(M3*N3)+(P3*Q3)+(S3*T3)+(V3*W3)+(Y3*Z3)</f>
        <v>1700.6799999999998</v>
      </c>
      <c r="F3" s="281" t="s">
        <v>1241</v>
      </c>
      <c r="G3" s="285">
        <v>1</v>
      </c>
      <c r="H3" s="278">
        <f t="shared" si="0"/>
        <v>740.59999999999991</v>
      </c>
      <c r="I3" s="281" t="s">
        <v>1248</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65"/>
      <c r="B4" s="375"/>
      <c r="C4" s="31" t="s">
        <v>114</v>
      </c>
      <c r="D4" s="34">
        <f>'ECONOMIA &amp; PROFESIONES'!$N$7</f>
        <v>2100</v>
      </c>
      <c r="E4" s="53">
        <f t="shared" si="6"/>
        <v>2441.2799999999997</v>
      </c>
      <c r="F4" s="281" t="s">
        <v>1241</v>
      </c>
      <c r="G4" s="285">
        <v>2</v>
      </c>
      <c r="H4" s="278">
        <f t="shared" si="0"/>
        <v>740.59999999999991</v>
      </c>
      <c r="I4" s="281" t="s">
        <v>1248</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65"/>
      <c r="B5" s="375"/>
      <c r="C5" s="32" t="s">
        <v>115</v>
      </c>
      <c r="D5" s="34">
        <f>'ECONOMIA &amp; PROFESIONES'!$N$8</f>
        <v>1900</v>
      </c>
      <c r="E5" s="53">
        <f t="shared" si="6"/>
        <v>2180.7200000000003</v>
      </c>
      <c r="F5" s="281" t="s">
        <v>1241</v>
      </c>
      <c r="G5" s="285">
        <v>1</v>
      </c>
      <c r="H5" s="278">
        <f t="shared" si="0"/>
        <v>740.59999999999991</v>
      </c>
      <c r="I5" s="281" t="s">
        <v>1248</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65"/>
      <c r="B6" s="376"/>
      <c r="C6" s="31" t="s">
        <v>116</v>
      </c>
      <c r="D6" s="34">
        <f>'ECONOMIA &amp; PROFESIONES'!$N$9</f>
        <v>1300</v>
      </c>
      <c r="E6" s="53">
        <f t="shared" si="6"/>
        <v>1220.6399999999999</v>
      </c>
      <c r="F6" s="281" t="s">
        <v>1241</v>
      </c>
      <c r="G6" s="285">
        <v>1</v>
      </c>
      <c r="H6" s="278">
        <f t="shared" si="0"/>
        <v>740.59999999999991</v>
      </c>
      <c r="I6" s="281" t="s">
        <v>1248</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65"/>
      <c r="B7" s="366" t="s">
        <v>1160</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65"/>
      <c r="B8" s="367"/>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65"/>
      <c r="B9" s="367"/>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65"/>
      <c r="B10" s="367"/>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65"/>
      <c r="B11" s="368"/>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65"/>
      <c r="B12" s="369" t="s">
        <v>1226</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65"/>
      <c r="B13" s="370"/>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65"/>
      <c r="B14" s="370"/>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65"/>
      <c r="B15" s="369"/>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65"/>
      <c r="B16" s="369"/>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65"/>
      <c r="B17" s="371" t="s">
        <v>1227</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65"/>
      <c r="B18" s="372"/>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65"/>
      <c r="B19" s="372"/>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65"/>
      <c r="B20" s="367"/>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65"/>
      <c r="B21" s="373"/>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65"/>
      <c r="B22" s="369" t="s">
        <v>1225</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65"/>
      <c r="B23" s="369"/>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65"/>
      <c r="B24" s="369"/>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65"/>
      <c r="B25" s="369"/>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65"/>
      <c r="B26" s="369"/>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65" t="s">
        <v>1249</v>
      </c>
      <c r="B27" s="176"/>
      <c r="C27" s="176"/>
      <c r="D27" s="294"/>
      <c r="E27" s="284" t="s">
        <v>1150</v>
      </c>
      <c r="F27" s="284" t="s">
        <v>1151</v>
      </c>
      <c r="G27" s="284" t="s">
        <v>1228</v>
      </c>
      <c r="H27" s="284" t="s">
        <v>202</v>
      </c>
      <c r="I27" s="284" t="s">
        <v>1152</v>
      </c>
      <c r="J27" s="284" t="s">
        <v>1228</v>
      </c>
      <c r="K27" s="284" t="s">
        <v>202</v>
      </c>
      <c r="L27" s="284" t="s">
        <v>1168</v>
      </c>
      <c r="M27" s="284" t="s">
        <v>1228</v>
      </c>
      <c r="N27" s="284" t="s">
        <v>202</v>
      </c>
      <c r="O27" s="284" t="s">
        <v>1221</v>
      </c>
      <c r="P27" s="284" t="s">
        <v>1228</v>
      </c>
      <c r="Q27" s="284" t="s">
        <v>202</v>
      </c>
      <c r="R27" s="284" t="s">
        <v>1222</v>
      </c>
      <c r="S27" s="284" t="s">
        <v>1228</v>
      </c>
      <c r="T27" s="284" t="s">
        <v>202</v>
      </c>
      <c r="U27" s="284" t="s">
        <v>1223</v>
      </c>
      <c r="V27" s="284" t="s">
        <v>1228</v>
      </c>
      <c r="W27" s="284" t="s">
        <v>202</v>
      </c>
      <c r="X27" s="284" t="s">
        <v>1224</v>
      </c>
      <c r="Y27" s="284" t="s">
        <v>1228</v>
      </c>
      <c r="Z27" s="284" t="s">
        <v>202</v>
      </c>
    </row>
    <row r="28" spans="1:26" x14ac:dyDescent="0.25">
      <c r="A28" s="365"/>
      <c r="B28" s="374" t="s">
        <v>1159</v>
      </c>
      <c r="C28" s="31" t="s">
        <v>6</v>
      </c>
      <c r="D28" s="35">
        <f>'ECONOMIA &amp; PROFESIONES'!$O$5</f>
        <v>1300</v>
      </c>
      <c r="E28" s="53">
        <f>(H28*G28)+(K28*J28)+(M28*N28)+(P28*Q28)+(S28*T28)+(V28*W28)+(Y28*Z28)</f>
        <v>857.59999999999991</v>
      </c>
      <c r="F28" s="281" t="s">
        <v>1237</v>
      </c>
      <c r="G28" s="285">
        <v>2</v>
      </c>
      <c r="H28" s="278">
        <f t="shared" ref="H28:H52" si="8">VLOOKUP(F28,craftedesp,3,FALSE)</f>
        <v>172.79999999999998</v>
      </c>
      <c r="I28" s="281" t="s">
        <v>1163</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65"/>
      <c r="B29" s="375"/>
      <c r="C29" s="32" t="s">
        <v>113</v>
      </c>
      <c r="D29" s="35">
        <f>'ECONOMIA &amp; PROFESIONES'!$O$6</f>
        <v>2500</v>
      </c>
      <c r="E29" s="53">
        <f t="shared" ref="E29:E52" si="15">(H29*G29)+(K29*J29)+(M29*N29)+(P29*Q29)+(S29*T29)+(V29*W29)+(Y29*Z29)</f>
        <v>1700.6799999999998</v>
      </c>
      <c r="F29" s="281" t="s">
        <v>1241</v>
      </c>
      <c r="G29" s="285">
        <v>1</v>
      </c>
      <c r="H29" s="278">
        <f t="shared" si="8"/>
        <v>740.59999999999991</v>
      </c>
      <c r="I29" s="281" t="s">
        <v>1248</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65"/>
      <c r="B30" s="375"/>
      <c r="C30" s="31" t="s">
        <v>114</v>
      </c>
      <c r="D30" s="35">
        <f>'ECONOMIA &amp; PROFESIONES'!$O$7</f>
        <v>3700</v>
      </c>
      <c r="E30" s="53">
        <f t="shared" si="15"/>
        <v>2441.2799999999997</v>
      </c>
      <c r="F30" s="281" t="s">
        <v>1241</v>
      </c>
      <c r="G30" s="285">
        <v>2</v>
      </c>
      <c r="H30" s="278">
        <f t="shared" si="8"/>
        <v>740.59999999999991</v>
      </c>
      <c r="I30" s="281" t="s">
        <v>1248</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65"/>
      <c r="B31" s="375"/>
      <c r="C31" s="32" t="s">
        <v>115</v>
      </c>
      <c r="D31" s="35">
        <f>'ECONOMIA &amp; PROFESIONES'!$O$8</f>
        <v>3300</v>
      </c>
      <c r="E31" s="53">
        <f t="shared" si="15"/>
        <v>2180.7200000000003</v>
      </c>
      <c r="F31" s="281" t="s">
        <v>1241</v>
      </c>
      <c r="G31" s="285">
        <v>1</v>
      </c>
      <c r="H31" s="278">
        <f t="shared" si="8"/>
        <v>740.59999999999991</v>
      </c>
      <c r="I31" s="281" t="s">
        <v>1248</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65"/>
      <c r="B32" s="376"/>
      <c r="C32" s="31" t="s">
        <v>116</v>
      </c>
      <c r="D32" s="35">
        <f>'ECONOMIA &amp; PROFESIONES'!$O$9</f>
        <v>2100</v>
      </c>
      <c r="E32" s="53">
        <f t="shared" si="15"/>
        <v>1220.6399999999999</v>
      </c>
      <c r="F32" s="281" t="s">
        <v>1241</v>
      </c>
      <c r="G32" s="285">
        <v>1</v>
      </c>
      <c r="H32" s="278">
        <f t="shared" si="8"/>
        <v>740.59999999999991</v>
      </c>
      <c r="I32" s="281" t="s">
        <v>1248</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65"/>
      <c r="B33" s="366" t="s">
        <v>1160</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65"/>
      <c r="B34" s="367"/>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65"/>
      <c r="B35" s="367"/>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65"/>
      <c r="B36" s="367"/>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65"/>
      <c r="B37" s="368"/>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65"/>
      <c r="B38" s="369" t="s">
        <v>1226</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65"/>
      <c r="B39" s="370"/>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65"/>
      <c r="B40" s="370"/>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65"/>
      <c r="B41" s="369"/>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65"/>
      <c r="B42" s="369"/>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65"/>
      <c r="B43" s="371" t="s">
        <v>1227</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65"/>
      <c r="B44" s="372"/>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65"/>
      <c r="B45" s="372"/>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65"/>
      <c r="B46" s="367"/>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65"/>
      <c r="B47" s="373"/>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65"/>
      <c r="B48" s="369" t="s">
        <v>1225</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65"/>
      <c r="B49" s="369"/>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65"/>
      <c r="B50" s="369"/>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65"/>
      <c r="B51" s="369"/>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65"/>
      <c r="B52" s="369"/>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65" t="s">
        <v>2</v>
      </c>
      <c r="B53" s="176"/>
      <c r="C53" s="176"/>
      <c r="D53" s="294"/>
      <c r="E53" s="284" t="s">
        <v>1150</v>
      </c>
      <c r="F53" s="284" t="s">
        <v>1151</v>
      </c>
      <c r="G53" s="284" t="s">
        <v>1228</v>
      </c>
      <c r="H53" s="284" t="s">
        <v>202</v>
      </c>
      <c r="I53" s="284" t="s">
        <v>1152</v>
      </c>
      <c r="J53" s="284" t="s">
        <v>1228</v>
      </c>
      <c r="K53" s="284" t="s">
        <v>202</v>
      </c>
      <c r="L53" s="284" t="s">
        <v>1168</v>
      </c>
      <c r="M53" s="284" t="s">
        <v>1228</v>
      </c>
      <c r="N53" s="284" t="s">
        <v>202</v>
      </c>
      <c r="O53" s="284" t="s">
        <v>1221</v>
      </c>
      <c r="P53" s="284" t="s">
        <v>1228</v>
      </c>
      <c r="Q53" s="284" t="s">
        <v>202</v>
      </c>
      <c r="R53" s="284" t="s">
        <v>1222</v>
      </c>
      <c r="S53" s="284" t="s">
        <v>1228</v>
      </c>
      <c r="T53" s="284" t="s">
        <v>202</v>
      </c>
      <c r="U53" s="284" t="s">
        <v>1223</v>
      </c>
      <c r="V53" s="284" t="s">
        <v>1228</v>
      </c>
      <c r="W53" s="284" t="s">
        <v>202</v>
      </c>
      <c r="X53" s="284" t="s">
        <v>1224</v>
      </c>
      <c r="Y53" s="284" t="s">
        <v>1228</v>
      </c>
      <c r="Z53" s="284" t="s">
        <v>202</v>
      </c>
    </row>
    <row r="54" spans="1:26" x14ac:dyDescent="0.25">
      <c r="A54" s="365"/>
      <c r="B54" s="374" t="s">
        <v>1159</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65"/>
      <c r="B55" s="375"/>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65"/>
      <c r="B56" s="375"/>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65"/>
      <c r="B57" s="375"/>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65"/>
      <c r="B58" s="376"/>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65"/>
      <c r="B59" s="366" t="s">
        <v>1160</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65"/>
      <c r="B60" s="367"/>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65"/>
      <c r="B61" s="367"/>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65"/>
      <c r="B62" s="367"/>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65"/>
      <c r="B63" s="368"/>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65"/>
      <c r="B64" s="369" t="s">
        <v>1226</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65"/>
      <c r="B65" s="370"/>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65"/>
      <c r="B66" s="370"/>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65"/>
      <c r="B67" s="369"/>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65"/>
      <c r="B68" s="369"/>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65"/>
      <c r="B69" s="371" t="s">
        <v>1227</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65"/>
      <c r="B70" s="372"/>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65"/>
      <c r="B71" s="372"/>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65"/>
      <c r="B72" s="367"/>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65"/>
      <c r="B73" s="373"/>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65"/>
      <c r="B74" s="369" t="s">
        <v>1225</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65"/>
      <c r="B75" s="369"/>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65"/>
      <c r="B76" s="369"/>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65"/>
      <c r="B77" s="369"/>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65"/>
      <c r="B78" s="369"/>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65" t="s">
        <v>3</v>
      </c>
      <c r="B79" s="176"/>
      <c r="C79" s="176"/>
      <c r="D79" s="294"/>
      <c r="E79" s="284" t="s">
        <v>1150</v>
      </c>
      <c r="F79" s="284" t="s">
        <v>1151</v>
      </c>
      <c r="G79" s="284" t="s">
        <v>1228</v>
      </c>
      <c r="H79" s="284" t="s">
        <v>202</v>
      </c>
      <c r="I79" s="284" t="s">
        <v>1152</v>
      </c>
      <c r="J79" s="284" t="s">
        <v>1228</v>
      </c>
      <c r="K79" s="284" t="s">
        <v>202</v>
      </c>
      <c r="L79" s="284" t="s">
        <v>1168</v>
      </c>
      <c r="M79" s="284" t="s">
        <v>1228</v>
      </c>
      <c r="N79" s="284" t="s">
        <v>202</v>
      </c>
      <c r="O79" s="284" t="s">
        <v>1221</v>
      </c>
      <c r="P79" s="284" t="s">
        <v>1228</v>
      </c>
      <c r="Q79" s="284" t="s">
        <v>202</v>
      </c>
      <c r="R79" s="284" t="s">
        <v>1222</v>
      </c>
      <c r="S79" s="284" t="s">
        <v>1228</v>
      </c>
      <c r="T79" s="284" t="s">
        <v>202</v>
      </c>
      <c r="U79" s="284" t="s">
        <v>1223</v>
      </c>
      <c r="V79" s="284" t="s">
        <v>1228</v>
      </c>
      <c r="W79" s="284" t="s">
        <v>202</v>
      </c>
      <c r="X79" s="284" t="s">
        <v>1224</v>
      </c>
      <c r="Y79" s="284" t="s">
        <v>1228</v>
      </c>
      <c r="Z79" s="284" t="s">
        <v>202</v>
      </c>
    </row>
    <row r="80" spans="1:26" x14ac:dyDescent="0.25">
      <c r="A80" s="365"/>
      <c r="B80" s="374" t="s">
        <v>1159</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65"/>
      <c r="B81" s="375"/>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65"/>
      <c r="B82" s="375"/>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65"/>
      <c r="B83" s="375"/>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65"/>
      <c r="B84" s="376"/>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65"/>
      <c r="B85" s="366" t="s">
        <v>1160</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65"/>
      <c r="B86" s="367"/>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65"/>
      <c r="B87" s="367"/>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65"/>
      <c r="B88" s="367"/>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65"/>
      <c r="B89" s="368"/>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65"/>
      <c r="B90" s="369" t="s">
        <v>1226</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65"/>
      <c r="B91" s="370"/>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65"/>
      <c r="B92" s="370"/>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65"/>
      <c r="B93" s="369"/>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65"/>
      <c r="B94" s="369"/>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65"/>
      <c r="B95" s="371" t="s">
        <v>1227</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65"/>
      <c r="B96" s="372"/>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65"/>
      <c r="B97" s="372"/>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65"/>
      <c r="B98" s="367"/>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65"/>
      <c r="B99" s="373"/>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65"/>
      <c r="B100" s="369" t="s">
        <v>1225</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65"/>
      <c r="B101" s="369"/>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65"/>
      <c r="B102" s="369"/>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65"/>
      <c r="B103" s="369"/>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65"/>
      <c r="B104" s="369"/>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65" t="s">
        <v>4</v>
      </c>
      <c r="B105" s="176"/>
      <c r="C105" s="176"/>
      <c r="D105" s="294"/>
      <c r="E105" s="284" t="s">
        <v>1150</v>
      </c>
      <c r="F105" s="284" t="s">
        <v>1151</v>
      </c>
      <c r="G105" s="284" t="s">
        <v>1228</v>
      </c>
      <c r="H105" s="284" t="s">
        <v>202</v>
      </c>
      <c r="I105" s="284" t="s">
        <v>1152</v>
      </c>
      <c r="J105" s="284" t="s">
        <v>1228</v>
      </c>
      <c r="K105" s="284" t="s">
        <v>202</v>
      </c>
      <c r="L105" s="284" t="s">
        <v>1168</v>
      </c>
      <c r="M105" s="284" t="s">
        <v>1228</v>
      </c>
      <c r="N105" s="284" t="s">
        <v>202</v>
      </c>
      <c r="O105" s="284" t="s">
        <v>1221</v>
      </c>
      <c r="P105" s="284" t="s">
        <v>1228</v>
      </c>
      <c r="Q105" s="284" t="s">
        <v>202</v>
      </c>
      <c r="R105" s="284" t="s">
        <v>1222</v>
      </c>
      <c r="S105" s="284" t="s">
        <v>1228</v>
      </c>
      <c r="T105" s="284" t="s">
        <v>202</v>
      </c>
      <c r="U105" s="284" t="s">
        <v>1223</v>
      </c>
      <c r="V105" s="284" t="s">
        <v>1228</v>
      </c>
      <c r="W105" s="284" t="s">
        <v>202</v>
      </c>
      <c r="X105" s="284" t="s">
        <v>1224</v>
      </c>
      <c r="Y105" s="284" t="s">
        <v>1228</v>
      </c>
      <c r="Z105" s="284" t="s">
        <v>202</v>
      </c>
    </row>
    <row r="106" spans="1:26" x14ac:dyDescent="0.25">
      <c r="A106" s="365"/>
      <c r="B106" s="374" t="s">
        <v>1159</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65"/>
      <c r="B107" s="375"/>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65"/>
      <c r="B108" s="375"/>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65"/>
      <c r="B109" s="375"/>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65"/>
      <c r="B110" s="376"/>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65"/>
      <c r="B111" s="366" t="s">
        <v>1160</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65"/>
      <c r="B112" s="367"/>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65"/>
      <c r="B113" s="367"/>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65"/>
      <c r="B114" s="367"/>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65"/>
      <c r="B115" s="368"/>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65"/>
      <c r="B116" s="369" t="s">
        <v>1226</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65"/>
      <c r="B117" s="370"/>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65"/>
      <c r="B118" s="370"/>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65"/>
      <c r="B119" s="369"/>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65"/>
      <c r="B120" s="369"/>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65"/>
      <c r="B121" s="371" t="s">
        <v>1227</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65"/>
      <c r="B122" s="372"/>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65"/>
      <c r="B123" s="372"/>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65"/>
      <c r="B124" s="367"/>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65"/>
      <c r="B125" s="373"/>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65"/>
      <c r="B126" s="369" t="s">
        <v>1225</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65"/>
      <c r="B127" s="369"/>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65"/>
      <c r="B128" s="369"/>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65"/>
      <c r="B129" s="369"/>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65"/>
      <c r="B130" s="369"/>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65" t="s">
        <v>1240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5"/>
      <c r="B2" s="374" t="s">
        <v>1159</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65"/>
      <c r="B3" s="375"/>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65"/>
      <c r="B4" s="375"/>
      <c r="C4" s="31" t="s">
        <v>1239</v>
      </c>
      <c r="D4" s="34">
        <f>'ECONOMIA &amp; PROFESIONES'!$P$7</f>
        <v>6900</v>
      </c>
      <c r="E4" s="53">
        <f t="shared" si="7"/>
        <v>6720.56</v>
      </c>
      <c r="F4" s="281" t="s">
        <v>1248</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65"/>
      <c r="B5" s="375"/>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65"/>
      <c r="B6" s="376"/>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65"/>
      <c r="B7" s="366" t="s">
        <v>1160</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65"/>
      <c r="B8" s="367"/>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65"/>
      <c r="B9" s="367"/>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65"/>
      <c r="B10" s="367"/>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65"/>
      <c r="B11" s="368"/>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65"/>
      <c r="B12" s="369" t="s">
        <v>1226</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65"/>
      <c r="B13" s="370"/>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65"/>
      <c r="B14" s="370"/>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65"/>
      <c r="B15" s="369"/>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65"/>
      <c r="B16" s="369"/>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65"/>
      <c r="B17" s="371" t="s">
        <v>1227</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65"/>
      <c r="B18" s="372"/>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65"/>
      <c r="B19" s="372"/>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65"/>
      <c r="B20" s="367"/>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65"/>
      <c r="B21" s="373"/>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65"/>
      <c r="B22" s="369" t="s">
        <v>1225</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65"/>
      <c r="B23" s="369"/>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65"/>
      <c r="B24" s="369"/>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65"/>
      <c r="B25" s="369"/>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65"/>
      <c r="B26" s="369"/>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topLeftCell="F33"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1154</v>
      </c>
      <c r="D11" s="37">
        <v>1</v>
      </c>
      <c r="E11" s="28"/>
      <c r="G11" s="2"/>
    </row>
    <row r="12" spans="1:10" x14ac:dyDescent="0.25">
      <c r="C12" s="37" t="s">
        <v>1153</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77" t="s">
        <v>39</v>
      </c>
      <c r="B17" s="377"/>
      <c r="C17" s="3" t="s">
        <v>35</v>
      </c>
      <c r="D17" s="3" t="s">
        <v>51</v>
      </c>
      <c r="E17" s="3" t="s">
        <v>52</v>
      </c>
      <c r="F17" s="3" t="s">
        <v>53</v>
      </c>
      <c r="G17" s="3" t="s">
        <v>54</v>
      </c>
    </row>
    <row r="18" spans="1:9" x14ac:dyDescent="0.25">
      <c r="A18" s="358" t="s">
        <v>73</v>
      </c>
      <c r="B18" s="358"/>
      <c r="C18" s="37">
        <v>0</v>
      </c>
      <c r="D18" s="28">
        <f>$C$18+1</f>
        <v>1</v>
      </c>
      <c r="E18" s="28">
        <f>$D$18+1</f>
        <v>2</v>
      </c>
      <c r="F18" s="28">
        <f>$E$18+1</f>
        <v>3</v>
      </c>
      <c r="G18" s="28">
        <f>$F$18+1</f>
        <v>4</v>
      </c>
    </row>
    <row r="19" spans="1:9" x14ac:dyDescent="0.25">
      <c r="A19" s="358" t="s">
        <v>74</v>
      </c>
      <c r="B19" s="358"/>
      <c r="C19" s="37">
        <v>0</v>
      </c>
      <c r="D19" s="28">
        <f>$C$19+1</f>
        <v>1</v>
      </c>
      <c r="E19" s="28">
        <f>$D$19+2</f>
        <v>3</v>
      </c>
      <c r="F19" s="28">
        <f>$E$19+2</f>
        <v>5</v>
      </c>
      <c r="G19" s="28">
        <f>$F$19+2</f>
        <v>7</v>
      </c>
    </row>
    <row r="20" spans="1:9" x14ac:dyDescent="0.25">
      <c r="A20" s="358" t="s">
        <v>40</v>
      </c>
      <c r="B20" s="358"/>
      <c r="C20" s="37">
        <v>0</v>
      </c>
      <c r="D20" s="28">
        <f>$C$20+1</f>
        <v>1</v>
      </c>
      <c r="E20" s="28">
        <f>$D$20+1</f>
        <v>2</v>
      </c>
      <c r="F20" s="28">
        <f>$E$20+1</f>
        <v>3</v>
      </c>
      <c r="G20" s="28">
        <f>$F$20+1</f>
        <v>4</v>
      </c>
    </row>
    <row r="21" spans="1:9" x14ac:dyDescent="0.25">
      <c r="A21" s="358" t="s">
        <v>41</v>
      </c>
      <c r="B21" s="358"/>
      <c r="C21" s="37">
        <v>0</v>
      </c>
      <c r="D21" s="28">
        <f>$C$21+2</f>
        <v>2</v>
      </c>
      <c r="E21" s="28">
        <f>$D$21+1</f>
        <v>3</v>
      </c>
      <c r="F21" s="28">
        <f>$E$21+1</f>
        <v>4</v>
      </c>
      <c r="G21" s="28">
        <f>$F$21+1</f>
        <v>5</v>
      </c>
    </row>
    <row r="22" spans="1:9" x14ac:dyDescent="0.25">
      <c r="A22" s="358" t="s">
        <v>44</v>
      </c>
      <c r="B22" s="358"/>
      <c r="C22" s="37">
        <v>0</v>
      </c>
      <c r="D22" s="28">
        <f>$C$22+1</f>
        <v>1</v>
      </c>
      <c r="E22" s="28">
        <f>$D$22+1</f>
        <v>2</v>
      </c>
      <c r="F22" s="28">
        <f>$E$22+1</f>
        <v>3</v>
      </c>
      <c r="G22" s="28">
        <f>$F$22+1</f>
        <v>4</v>
      </c>
    </row>
    <row r="23" spans="1:9" x14ac:dyDescent="0.25">
      <c r="A23" s="358" t="s">
        <v>42</v>
      </c>
      <c r="B23" s="358"/>
      <c r="C23" s="37">
        <v>0</v>
      </c>
      <c r="D23" s="28">
        <f>C23</f>
        <v>0</v>
      </c>
      <c r="E23" s="28">
        <f>$D$23+1</f>
        <v>1</v>
      </c>
      <c r="F23" s="28">
        <f>$E$23+1</f>
        <v>2</v>
      </c>
      <c r="G23" s="28">
        <f>$F$23+1</f>
        <v>3</v>
      </c>
    </row>
    <row r="24" spans="1:9" x14ac:dyDescent="0.25">
      <c r="A24" s="358" t="s">
        <v>43</v>
      </c>
      <c r="B24" s="358"/>
      <c r="C24" s="37">
        <v>0</v>
      </c>
      <c r="D24" s="28">
        <f>$C$24+1</f>
        <v>1</v>
      </c>
      <c r="E24" s="28">
        <f>$D$24+1</f>
        <v>2</v>
      </c>
      <c r="F24" s="28">
        <f>$E$24+1</f>
        <v>3</v>
      </c>
      <c r="G24" s="28">
        <f>$F$24+1</f>
        <v>4</v>
      </c>
    </row>
    <row r="25" spans="1:9" x14ac:dyDescent="0.25">
      <c r="A25" s="358" t="s">
        <v>45</v>
      </c>
      <c r="B25" s="358"/>
      <c r="C25" s="37">
        <v>5</v>
      </c>
      <c r="D25" s="28">
        <f>$C$25+1</f>
        <v>6</v>
      </c>
      <c r="E25" s="28">
        <f>$D$25+1</f>
        <v>7</v>
      </c>
      <c r="F25" s="28">
        <f>$E$25+1</f>
        <v>8</v>
      </c>
      <c r="G25" s="28">
        <f>$F$25+1</f>
        <v>9</v>
      </c>
    </row>
    <row r="26" spans="1:9" x14ac:dyDescent="0.25">
      <c r="A26" s="358" t="s">
        <v>46</v>
      </c>
      <c r="B26" s="358"/>
      <c r="C26" s="37">
        <v>6</v>
      </c>
      <c r="D26" s="28">
        <f>$C$26+1</f>
        <v>7</v>
      </c>
      <c r="E26" s="28">
        <f>$D$26+1</f>
        <v>8</v>
      </c>
      <c r="F26" s="28">
        <f>$E$26+1</f>
        <v>9</v>
      </c>
      <c r="G26" s="28">
        <f>$F$26+1</f>
        <v>10</v>
      </c>
      <c r="I26" s="15" t="s">
        <v>99</v>
      </c>
    </row>
    <row r="27" spans="1:9" x14ac:dyDescent="0.25">
      <c r="A27" s="358" t="s">
        <v>47</v>
      </c>
      <c r="B27" s="358"/>
      <c r="C27" s="38">
        <v>0.7</v>
      </c>
      <c r="D27" s="28">
        <f>$C$27/2</f>
        <v>0.35</v>
      </c>
      <c r="E27" s="28">
        <f>$D$27/2</f>
        <v>0.17499999999999999</v>
      </c>
      <c r="F27" s="28">
        <f>$E$27/2</f>
        <v>8.7499999999999994E-2</v>
      </c>
      <c r="G27" s="28">
        <f>$F$27/2</f>
        <v>4.3749999999999997E-2</v>
      </c>
      <c r="I27" s="37">
        <v>5</v>
      </c>
    </row>
    <row r="28" spans="1:9" x14ac:dyDescent="0.25">
      <c r="A28" s="358" t="s">
        <v>48</v>
      </c>
      <c r="B28" s="358"/>
      <c r="C28" s="37">
        <f>C27/2</f>
        <v>0.35</v>
      </c>
      <c r="D28" s="28">
        <f>$D$27/2</f>
        <v>0.17499999999999999</v>
      </c>
      <c r="E28" s="28">
        <f>$E$27/2</f>
        <v>8.7499999999999994E-2</v>
      </c>
      <c r="F28" s="28">
        <f>$F$27/2</f>
        <v>4.3749999999999997E-2</v>
      </c>
      <c r="G28" s="28">
        <f>$G$27/2</f>
        <v>2.1874999999999999E-2</v>
      </c>
    </row>
    <row r="29" spans="1:9" x14ac:dyDescent="0.25">
      <c r="A29" s="358" t="s">
        <v>75</v>
      </c>
      <c r="B29" s="358"/>
      <c r="C29" s="37">
        <v>0</v>
      </c>
      <c r="D29" s="105">
        <v>1</v>
      </c>
      <c r="E29" s="105">
        <v>1</v>
      </c>
      <c r="F29" s="105">
        <v>2</v>
      </c>
      <c r="G29" s="105">
        <v>2</v>
      </c>
    </row>
    <row r="30" spans="1:9" x14ac:dyDescent="0.25">
      <c r="A30" s="358" t="s">
        <v>76</v>
      </c>
      <c r="B30" s="358"/>
      <c r="C30" s="37">
        <v>0</v>
      </c>
      <c r="D30" s="105">
        <v>1</v>
      </c>
      <c r="E30" s="105">
        <v>2</v>
      </c>
      <c r="F30" s="105">
        <v>3</v>
      </c>
      <c r="G30" s="105">
        <v>4</v>
      </c>
    </row>
    <row r="31" spans="1:9" x14ac:dyDescent="0.25">
      <c r="A31" s="382" t="s">
        <v>49</v>
      </c>
      <c r="B31" s="382"/>
      <c r="C31" s="382"/>
      <c r="D31" s="382"/>
      <c r="E31" s="382"/>
      <c r="F31" s="382"/>
      <c r="G31" s="382"/>
      <c r="H31" s="1" t="s">
        <v>65</v>
      </c>
      <c r="I31" s="15" t="s">
        <v>98</v>
      </c>
    </row>
    <row r="32" spans="1:9" x14ac:dyDescent="0.25">
      <c r="A32" s="358" t="s">
        <v>50</v>
      </c>
      <c r="B32" s="358"/>
      <c r="C32" s="37">
        <v>8.9</v>
      </c>
      <c r="D32" s="28">
        <f>C32*3</f>
        <v>26.700000000000003</v>
      </c>
      <c r="E32" s="28">
        <f>D32*3</f>
        <v>80.100000000000009</v>
      </c>
      <c r="F32" s="28">
        <f>E32*3</f>
        <v>240.3</v>
      </c>
      <c r="G32" s="28">
        <f>F32*2</f>
        <v>480.6</v>
      </c>
      <c r="H32" s="28">
        <f>ROUNDDOWN(G32/5*H64,0)</f>
        <v>768</v>
      </c>
      <c r="I32" s="28">
        <f>H32+(5*I27)</f>
        <v>793</v>
      </c>
    </row>
    <row r="33" spans="1:17" x14ac:dyDescent="0.25">
      <c r="A33" s="358" t="str">
        <f>C12</f>
        <v>Esencia</v>
      </c>
      <c r="B33" s="358"/>
      <c r="C33" s="37">
        <f>ROUNDDOWN(C32/2,0)</f>
        <v>4</v>
      </c>
      <c r="D33" s="28">
        <f>ROUNDDOWN(D32/2,0)</f>
        <v>13</v>
      </c>
      <c r="E33" s="28">
        <f t="shared" ref="D33:G35" si="0">ROUNDDOWN(E32/2,0)</f>
        <v>40</v>
      </c>
      <c r="F33" s="28">
        <f t="shared" si="0"/>
        <v>120</v>
      </c>
      <c r="G33" s="28">
        <f t="shared" si="0"/>
        <v>240</v>
      </c>
      <c r="H33" s="28"/>
      <c r="I33" s="28"/>
    </row>
    <row r="34" spans="1:17" x14ac:dyDescent="0.25">
      <c r="A34" s="358" t="str">
        <f>C12</f>
        <v>Esencia</v>
      </c>
      <c r="B34" s="358"/>
      <c r="C34" s="37">
        <f>ROUNDDOWN(C33/2,0)</f>
        <v>2</v>
      </c>
      <c r="D34" s="28">
        <f t="shared" si="0"/>
        <v>6</v>
      </c>
      <c r="E34" s="28">
        <f t="shared" si="0"/>
        <v>20</v>
      </c>
      <c r="F34" s="28">
        <f t="shared" si="0"/>
        <v>60</v>
      </c>
      <c r="G34" s="28">
        <f t="shared" si="0"/>
        <v>120</v>
      </c>
      <c r="H34" s="28"/>
      <c r="I34" s="28"/>
    </row>
    <row r="35" spans="1:17" x14ac:dyDescent="0.25">
      <c r="A35" s="362" t="str">
        <f>C11</f>
        <v>Inteligencia</v>
      </c>
      <c r="B35" s="362"/>
      <c r="C35" s="37">
        <f t="shared" ref="C35" si="1">ROUNDDOWN(C34/2,0)</f>
        <v>1</v>
      </c>
      <c r="D35" s="28">
        <f t="shared" si="0"/>
        <v>3</v>
      </c>
      <c r="E35" s="28">
        <f t="shared" si="0"/>
        <v>10</v>
      </c>
      <c r="F35" s="28">
        <f t="shared" si="0"/>
        <v>30</v>
      </c>
      <c r="G35" s="28">
        <f t="shared" si="0"/>
        <v>60</v>
      </c>
      <c r="H35" s="28"/>
      <c r="I35" s="28"/>
    </row>
    <row r="36" spans="1:17" x14ac:dyDescent="0.25">
      <c r="A36" s="382" t="s">
        <v>21</v>
      </c>
      <c r="B36" s="382"/>
      <c r="C36" s="382"/>
      <c r="D36" s="382"/>
      <c r="E36" s="382"/>
      <c r="F36" s="382"/>
      <c r="G36" s="382"/>
    </row>
    <row r="37" spans="1:17" x14ac:dyDescent="0.25">
      <c r="A37" s="380" t="s">
        <v>61</v>
      </c>
      <c r="B37" s="380"/>
      <c r="C37" s="380"/>
      <c r="D37" s="380"/>
      <c r="E37" s="380"/>
      <c r="F37" s="380"/>
      <c r="G37" s="380"/>
      <c r="H37" s="4" t="s">
        <v>82</v>
      </c>
    </row>
    <row r="38" spans="1:17" x14ac:dyDescent="0.25">
      <c r="A38" s="358" t="s">
        <v>69</v>
      </c>
      <c r="B38" s="358"/>
      <c r="C38" s="39"/>
      <c r="D38" s="28"/>
      <c r="E38" s="28"/>
      <c r="F38" s="28"/>
      <c r="G38" s="28"/>
      <c r="H38" s="28">
        <v>300</v>
      </c>
    </row>
    <row r="39" spans="1:17" x14ac:dyDescent="0.25">
      <c r="A39" s="358" t="s">
        <v>67</v>
      </c>
      <c r="B39" s="358"/>
      <c r="C39" s="105">
        <v>1800</v>
      </c>
      <c r="D39" s="28">
        <f>C39+$H$38</f>
        <v>2100</v>
      </c>
      <c r="E39" s="106">
        <f t="shared" ref="E39:G39" si="2">D39+$H$38</f>
        <v>2400</v>
      </c>
      <c r="F39" s="106">
        <f t="shared" si="2"/>
        <v>2700</v>
      </c>
      <c r="G39" s="106">
        <f t="shared" si="2"/>
        <v>3000</v>
      </c>
      <c r="H39" s="28"/>
    </row>
    <row r="40" spans="1:17" x14ac:dyDescent="0.25">
      <c r="A40" s="379" t="s">
        <v>68</v>
      </c>
      <c r="B40" s="379"/>
      <c r="C40" s="39">
        <v>1800</v>
      </c>
      <c r="D40" s="39">
        <v>1800</v>
      </c>
      <c r="E40" s="39">
        <v>1800</v>
      </c>
      <c r="F40" s="39">
        <v>1800</v>
      </c>
      <c r="G40" s="39">
        <v>1800</v>
      </c>
      <c r="H40" s="28"/>
    </row>
    <row r="41" spans="1:17" ht="27.75" customHeight="1" x14ac:dyDescent="0.25">
      <c r="A41" s="377" t="s">
        <v>38</v>
      </c>
      <c r="B41" s="377"/>
      <c r="C41" s="3" t="s">
        <v>7</v>
      </c>
      <c r="D41" s="3" t="s">
        <v>8</v>
      </c>
      <c r="E41" s="3" t="s">
        <v>83</v>
      </c>
      <c r="F41" s="3" t="s">
        <v>84</v>
      </c>
      <c r="G41" s="3" t="s">
        <v>85</v>
      </c>
      <c r="H41" s="3" t="s">
        <v>62</v>
      </c>
      <c r="I41" s="23" t="s">
        <v>119</v>
      </c>
      <c r="J41" s="377" t="s">
        <v>1156</v>
      </c>
      <c r="K41" s="377"/>
      <c r="L41" s="377" t="s">
        <v>1158</v>
      </c>
      <c r="M41" s="377"/>
      <c r="N41" s="377" t="s">
        <v>1253</v>
      </c>
      <c r="O41" s="377"/>
      <c r="P41" s="377"/>
      <c r="Q41" s="377"/>
    </row>
    <row r="42" spans="1:17" x14ac:dyDescent="0.25">
      <c r="A42" s="380" t="s">
        <v>20</v>
      </c>
      <c r="B42" s="380"/>
      <c r="C42" s="380"/>
      <c r="D42" s="380"/>
      <c r="E42" s="380"/>
      <c r="F42" s="380"/>
      <c r="G42" s="380"/>
      <c r="H42" s="6">
        <v>2</v>
      </c>
      <c r="I42" s="41">
        <v>1</v>
      </c>
      <c r="J42" s="314" t="s">
        <v>1252</v>
      </c>
      <c r="K42" s="314"/>
      <c r="L42" s="314">
        <v>2</v>
      </c>
      <c r="M42" s="314"/>
      <c r="N42" s="358" t="s">
        <v>1254</v>
      </c>
      <c r="O42" s="358"/>
      <c r="P42" s="299" t="s">
        <v>1259</v>
      </c>
      <c r="Q42" s="299"/>
    </row>
    <row r="43" spans="1:17" x14ac:dyDescent="0.25">
      <c r="A43" s="358" t="str">
        <f>C8</f>
        <v>Vitalidad</v>
      </c>
      <c r="B43" s="358"/>
      <c r="C43" s="28">
        <f>D8*H42</f>
        <v>2</v>
      </c>
      <c r="D43" s="28">
        <f>C43*3</f>
        <v>6</v>
      </c>
      <c r="E43" s="28">
        <f>D43*3</f>
        <v>18</v>
      </c>
      <c r="F43" s="28">
        <f>E43*3</f>
        <v>54</v>
      </c>
      <c r="G43" s="28">
        <f>F43*3</f>
        <v>162</v>
      </c>
      <c r="H43" s="26" t="s">
        <v>120</v>
      </c>
      <c r="N43" s="358" t="s">
        <v>1255</v>
      </c>
      <c r="O43" s="358"/>
      <c r="P43" s="299" t="s">
        <v>1260</v>
      </c>
      <c r="Q43" s="299"/>
    </row>
    <row r="44" spans="1:17" x14ac:dyDescent="0.25">
      <c r="A44" s="358" t="str">
        <f>C9</f>
        <v>Fuerza</v>
      </c>
      <c r="B44" s="358"/>
      <c r="C44" s="28">
        <f>D9*H42</f>
        <v>2</v>
      </c>
      <c r="D44" s="106">
        <f t="shared" ref="D44:G46" si="3">C44*3</f>
        <v>6</v>
      </c>
      <c r="E44" s="106">
        <f t="shared" si="3"/>
        <v>18</v>
      </c>
      <c r="F44" s="106">
        <f t="shared" si="3"/>
        <v>54</v>
      </c>
      <c r="G44" s="106">
        <f t="shared" si="3"/>
        <v>162</v>
      </c>
      <c r="H44" s="6">
        <v>2</v>
      </c>
      <c r="N44" s="358" t="s">
        <v>1256</v>
      </c>
      <c r="O44" s="358"/>
      <c r="P44" s="299" t="s">
        <v>1261</v>
      </c>
      <c r="Q44" s="299"/>
    </row>
    <row r="45" spans="1:17" x14ac:dyDescent="0.25">
      <c r="A45" s="358" t="str">
        <f>C10</f>
        <v>Agilidad</v>
      </c>
      <c r="B45" s="358"/>
      <c r="C45" s="28">
        <f>D10*H42</f>
        <v>2</v>
      </c>
      <c r="D45" s="106">
        <f t="shared" si="3"/>
        <v>6</v>
      </c>
      <c r="E45" s="106">
        <f t="shared" si="3"/>
        <v>18</v>
      </c>
      <c r="F45" s="106">
        <f t="shared" si="3"/>
        <v>54</v>
      </c>
      <c r="G45" s="106">
        <f t="shared" si="3"/>
        <v>162</v>
      </c>
      <c r="N45" s="358" t="s">
        <v>1257</v>
      </c>
      <c r="O45" s="358"/>
      <c r="P45" s="299" t="s">
        <v>1262</v>
      </c>
      <c r="Q45" s="299"/>
    </row>
    <row r="46" spans="1:17" x14ac:dyDescent="0.25">
      <c r="A46" s="358" t="str">
        <f>C11</f>
        <v>Inteligencia</v>
      </c>
      <c r="B46" s="358"/>
      <c r="C46" s="28">
        <f>D11*H42</f>
        <v>2</v>
      </c>
      <c r="D46" s="106">
        <f t="shared" si="3"/>
        <v>6</v>
      </c>
      <c r="E46" s="106">
        <f t="shared" si="3"/>
        <v>18</v>
      </c>
      <c r="F46" s="106">
        <f t="shared" si="3"/>
        <v>54</v>
      </c>
      <c r="G46" s="106">
        <f t="shared" si="3"/>
        <v>162</v>
      </c>
      <c r="N46" s="358" t="s">
        <v>1258</v>
      </c>
      <c r="O46" s="358"/>
      <c r="P46" s="299" t="s">
        <v>1263</v>
      </c>
      <c r="Q46" s="299"/>
    </row>
    <row r="47" spans="1:17" x14ac:dyDescent="0.25">
      <c r="A47" s="358" t="s">
        <v>77</v>
      </c>
      <c r="B47" s="358"/>
      <c r="C47" s="28">
        <f>(C$23+C$24)/2*$H$42</f>
        <v>0</v>
      </c>
      <c r="D47" s="28">
        <f>($D$23+$D$24)/2*$H$42</f>
        <v>1</v>
      </c>
      <c r="E47" s="28">
        <f>($E$23+$E$24)/2*$H$42</f>
        <v>3</v>
      </c>
      <c r="F47" s="28">
        <f>($F$23+$F$24)/2*$H$42</f>
        <v>5</v>
      </c>
      <c r="G47" s="28">
        <f>($G$23+$G$24)/2*$H$42</f>
        <v>7</v>
      </c>
      <c r="N47" s="299"/>
      <c r="O47" s="299"/>
      <c r="P47" s="378"/>
      <c r="Q47" s="378"/>
    </row>
    <row r="48" spans="1:17" x14ac:dyDescent="0.25">
      <c r="A48" s="380" t="s">
        <v>49</v>
      </c>
      <c r="B48" s="380"/>
      <c r="C48" s="380"/>
      <c r="D48" s="380"/>
      <c r="E48" s="380"/>
      <c r="F48" s="380"/>
      <c r="G48" s="380"/>
      <c r="N48" s="299"/>
      <c r="O48" s="299"/>
      <c r="P48" s="378"/>
      <c r="Q48" s="378"/>
    </row>
    <row r="49" spans="1:17" x14ac:dyDescent="0.25">
      <c r="A49" s="358" t="s">
        <v>50</v>
      </c>
      <c r="B49" s="358"/>
      <c r="C49" s="40">
        <f>ROUNDDOWN(C32/5*H42,0)</f>
        <v>3</v>
      </c>
      <c r="D49" s="40">
        <f>ROUNDDOWN(D32/5*H42,0)</f>
        <v>10</v>
      </c>
      <c r="E49" s="40">
        <f>ROUNDDOWN(E32/5*H42,0)</f>
        <v>32</v>
      </c>
      <c r="F49" s="40">
        <f>ROUNDDOWN(F32/5*H42,0)</f>
        <v>96</v>
      </c>
      <c r="G49" s="40">
        <f>ROUNDDOWN(G32/5*H42,0)</f>
        <v>192</v>
      </c>
      <c r="N49" s="299"/>
      <c r="O49" s="299"/>
      <c r="P49" s="378"/>
      <c r="Q49" s="378"/>
    </row>
    <row r="50" spans="1:17" x14ac:dyDescent="0.25">
      <c r="A50" s="358" t="str">
        <f>C12</f>
        <v>Esencia</v>
      </c>
      <c r="B50" s="358"/>
      <c r="C50" s="40">
        <f>ROUNDDOWN(C49/3,0)</f>
        <v>1</v>
      </c>
      <c r="D50" s="40">
        <f>ROUNDDOWN(D49/3,0)</f>
        <v>3</v>
      </c>
      <c r="E50" s="40">
        <f>ROUNDDOWN(E49/3,0)</f>
        <v>10</v>
      </c>
      <c r="F50" s="40">
        <f>ROUNDDOWN(F49/3,0)</f>
        <v>32</v>
      </c>
      <c r="G50" s="40">
        <f>ROUNDDOWN(G49/3,0)</f>
        <v>64</v>
      </c>
      <c r="N50" s="299"/>
      <c r="O50" s="299"/>
      <c r="P50" s="378"/>
      <c r="Q50" s="378"/>
    </row>
    <row r="51" spans="1:17" x14ac:dyDescent="0.25">
      <c r="A51" s="358"/>
      <c r="B51" s="358"/>
      <c r="N51" s="299"/>
      <c r="O51" s="299"/>
      <c r="P51" s="378"/>
      <c r="Q51" s="378"/>
    </row>
    <row r="52" spans="1:17" ht="27.75" customHeight="1" x14ac:dyDescent="0.25">
      <c r="A52" s="377" t="s">
        <v>63</v>
      </c>
      <c r="B52" s="377"/>
      <c r="C52" s="3" t="s">
        <v>0</v>
      </c>
      <c r="D52" s="3" t="s">
        <v>86</v>
      </c>
      <c r="E52" s="3" t="s">
        <v>83</v>
      </c>
      <c r="F52" s="3" t="s">
        <v>84</v>
      </c>
      <c r="G52" s="3" t="s">
        <v>85</v>
      </c>
      <c r="H52" s="3" t="s">
        <v>62</v>
      </c>
      <c r="J52" s="377" t="s">
        <v>1156</v>
      </c>
      <c r="K52" s="377"/>
      <c r="L52" s="377" t="s">
        <v>1158</v>
      </c>
      <c r="M52" s="377"/>
    </row>
    <row r="53" spans="1:17" x14ac:dyDescent="0.25">
      <c r="A53" s="380" t="s">
        <v>20</v>
      </c>
      <c r="B53" s="380"/>
      <c r="C53" s="380"/>
      <c r="D53" s="380"/>
      <c r="E53" s="380"/>
      <c r="F53" s="380"/>
      <c r="G53" s="380"/>
      <c r="H53" s="6">
        <f>$H$55*$I$42</f>
        <v>5</v>
      </c>
      <c r="J53" s="314" t="s">
        <v>1157</v>
      </c>
      <c r="K53" s="314"/>
      <c r="L53" s="314">
        <v>1</v>
      </c>
      <c r="M53" s="314"/>
    </row>
    <row r="54" spans="1:17" x14ac:dyDescent="0.25">
      <c r="A54" s="358" t="str">
        <f>C8</f>
        <v>Vitalidad</v>
      </c>
      <c r="B54" s="358"/>
      <c r="C54">
        <f>D8*H53</f>
        <v>5</v>
      </c>
      <c r="D54" s="287">
        <f>ROUNDDOWN(C54*1.7,0)</f>
        <v>8</v>
      </c>
      <c r="E54" s="287">
        <f>ROUNDDOWN(D54*1.7,0)</f>
        <v>13</v>
      </c>
      <c r="F54" s="287">
        <f>ROUNDDOWN(E54*1.7,0)</f>
        <v>22</v>
      </c>
      <c r="G54" s="287">
        <f>ROUNDDOWN(F54*1.7,0)</f>
        <v>37</v>
      </c>
      <c r="H54" s="26" t="s">
        <v>120</v>
      </c>
    </row>
    <row r="55" spans="1:17" x14ac:dyDescent="0.25">
      <c r="A55" s="358" t="str">
        <f>C9</f>
        <v>Fuerza</v>
      </c>
      <c r="B55" s="358"/>
      <c r="C55">
        <f>D9*H53</f>
        <v>5</v>
      </c>
      <c r="D55" s="287">
        <f t="shared" ref="D55:G55" si="4">ROUNDDOWN(C55*1.7,0)</f>
        <v>8</v>
      </c>
      <c r="E55" s="287">
        <f t="shared" si="4"/>
        <v>13</v>
      </c>
      <c r="F55" s="287">
        <f t="shared" si="4"/>
        <v>22</v>
      </c>
      <c r="G55" s="287">
        <f t="shared" si="4"/>
        <v>37</v>
      </c>
      <c r="H55" s="6">
        <v>5</v>
      </c>
    </row>
    <row r="56" spans="1:17" x14ac:dyDescent="0.25">
      <c r="A56" s="358" t="str">
        <f>C10</f>
        <v>Agilidad</v>
      </c>
      <c r="B56" s="358"/>
      <c r="C56">
        <f>D10*H53</f>
        <v>5</v>
      </c>
      <c r="D56" s="287">
        <f t="shared" ref="D56:G56" si="5">ROUNDDOWN(C56*1.7,0)</f>
        <v>8</v>
      </c>
      <c r="E56" s="287">
        <f t="shared" si="5"/>
        <v>13</v>
      </c>
      <c r="F56" s="287">
        <f t="shared" si="5"/>
        <v>22</v>
      </c>
      <c r="G56" s="287">
        <f t="shared" si="5"/>
        <v>37</v>
      </c>
    </row>
    <row r="57" spans="1:17" x14ac:dyDescent="0.25">
      <c r="A57" s="358" t="str">
        <f>C11</f>
        <v>Inteligencia</v>
      </c>
      <c r="B57" s="358"/>
      <c r="C57">
        <f>D11*H53</f>
        <v>5</v>
      </c>
      <c r="D57" s="287">
        <f t="shared" ref="D57:G57" si="6">ROUNDDOWN(C57*1.7,0)</f>
        <v>8</v>
      </c>
      <c r="E57" s="287">
        <f t="shared" si="6"/>
        <v>13</v>
      </c>
      <c r="F57" s="287">
        <f t="shared" si="6"/>
        <v>22</v>
      </c>
      <c r="G57" s="287">
        <f t="shared" si="6"/>
        <v>37</v>
      </c>
    </row>
    <row r="58" spans="1:17" x14ac:dyDescent="0.25">
      <c r="A58" s="358" t="s">
        <v>77</v>
      </c>
      <c r="B58" s="358"/>
      <c r="C58">
        <f>(C$23+C$24)/2*$H$53</f>
        <v>0</v>
      </c>
      <c r="D58">
        <f>(D$23+D$24)/2*$H$53</f>
        <v>2.5</v>
      </c>
      <c r="E58">
        <f>(E$23+E$24)/2*$H$53</f>
        <v>7.5</v>
      </c>
      <c r="F58">
        <f>(F$23+F$24)/2*$H$53</f>
        <v>12.5</v>
      </c>
      <c r="G58">
        <f>(G$23+G$24)/2*$H$53</f>
        <v>17.5</v>
      </c>
    </row>
    <row r="59" spans="1:17" x14ac:dyDescent="0.25">
      <c r="A59" s="380" t="s">
        <v>49</v>
      </c>
      <c r="B59" s="380"/>
      <c r="C59" s="380"/>
      <c r="D59" s="380"/>
      <c r="E59" s="380"/>
      <c r="F59" s="380"/>
      <c r="G59" s="380"/>
    </row>
    <row r="60" spans="1:17" x14ac:dyDescent="0.25">
      <c r="A60" s="358" t="s">
        <v>50</v>
      </c>
      <c r="B60" s="358"/>
      <c r="C60" s="5">
        <f>ROUNDDOWN(C32/5*H53,0)</f>
        <v>8</v>
      </c>
      <c r="D60" s="5">
        <f>ROUNDDOWN(D32/5*H53,0)</f>
        <v>26</v>
      </c>
      <c r="E60" s="5">
        <f>ROUNDDOWN(E32/5*H53,0)</f>
        <v>80</v>
      </c>
      <c r="F60" s="5">
        <f>ROUNDDOWN(F32/5*H53,0)</f>
        <v>240</v>
      </c>
      <c r="G60" s="5">
        <f>ROUNDDOWN(G32/5*H53,0)</f>
        <v>480</v>
      </c>
    </row>
    <row r="61" spans="1:17" x14ac:dyDescent="0.25">
      <c r="A61" s="358" t="str">
        <f>C12</f>
        <v>Esencia</v>
      </c>
      <c r="B61" s="358"/>
      <c r="C61" s="5">
        <f>ROUNDDOWN(C60/3,0)</f>
        <v>2</v>
      </c>
      <c r="D61" s="5">
        <f>ROUNDDOWN(D60/3,0)</f>
        <v>8</v>
      </c>
      <c r="E61" s="5">
        <f>ROUNDDOWN(E60/3,0)</f>
        <v>26</v>
      </c>
      <c r="F61" s="5">
        <f>ROUNDDOWN(F60/3,0)</f>
        <v>80</v>
      </c>
      <c r="G61" s="5">
        <f>ROUNDDOWN(G60/3,0)</f>
        <v>160</v>
      </c>
    </row>
    <row r="62" spans="1:17" x14ac:dyDescent="0.25">
      <c r="A62" s="381"/>
      <c r="B62" s="381"/>
    </row>
    <row r="63" spans="1:17" ht="27.75" customHeight="1" x14ac:dyDescent="0.25">
      <c r="A63" s="377" t="s">
        <v>64</v>
      </c>
      <c r="B63" s="377"/>
      <c r="C63" s="3" t="s">
        <v>0</v>
      </c>
      <c r="D63" s="3" t="s">
        <v>86</v>
      </c>
      <c r="E63" s="3" t="s">
        <v>83</v>
      </c>
      <c r="F63" s="3" t="s">
        <v>84</v>
      </c>
      <c r="G63" s="3" t="s">
        <v>85</v>
      </c>
      <c r="H63" s="3" t="s">
        <v>62</v>
      </c>
    </row>
    <row r="64" spans="1:17" x14ac:dyDescent="0.25">
      <c r="A64" s="380" t="s">
        <v>20</v>
      </c>
      <c r="B64" s="380"/>
      <c r="C64" s="380"/>
      <c r="D64" s="380"/>
      <c r="E64" s="380"/>
      <c r="F64" s="380"/>
      <c r="G64" s="380"/>
      <c r="H64" s="6">
        <f>$H$66*$I$42</f>
        <v>8</v>
      </c>
    </row>
    <row r="65" spans="1:8" x14ac:dyDescent="0.25">
      <c r="A65" s="358" t="str">
        <f>C8</f>
        <v>Vitalidad</v>
      </c>
      <c r="B65" s="358"/>
      <c r="C65">
        <f>D8*H64</f>
        <v>8</v>
      </c>
      <c r="D65">
        <f>ROUNDDOWN(C65*1.7,0)</f>
        <v>13</v>
      </c>
      <c r="E65">
        <f>ROUNDDOWN(D65*1.7,0)</f>
        <v>22</v>
      </c>
      <c r="F65">
        <f>ROUNDDOWN(E65*1.7,0)</f>
        <v>37</v>
      </c>
      <c r="G65">
        <f>ROUNDDOWN(F65*1.7,0)</f>
        <v>62</v>
      </c>
      <c r="H65" s="26" t="s">
        <v>120</v>
      </c>
    </row>
    <row r="66" spans="1:8" x14ac:dyDescent="0.25">
      <c r="A66" s="358" t="str">
        <f>C9</f>
        <v>Fuerza</v>
      </c>
      <c r="B66" s="358"/>
      <c r="C66">
        <f>D9*H64</f>
        <v>8</v>
      </c>
      <c r="D66" s="287">
        <f t="shared" ref="D66:G68" si="7">ROUNDDOWN(C66*1.7,0)</f>
        <v>13</v>
      </c>
      <c r="E66" s="287">
        <f t="shared" si="7"/>
        <v>22</v>
      </c>
      <c r="F66" s="287">
        <f t="shared" si="7"/>
        <v>37</v>
      </c>
      <c r="G66" s="287">
        <f t="shared" si="7"/>
        <v>62</v>
      </c>
      <c r="H66" s="6">
        <v>8</v>
      </c>
    </row>
    <row r="67" spans="1:8" x14ac:dyDescent="0.25">
      <c r="A67" s="358" t="str">
        <f>C10</f>
        <v>Agilidad</v>
      </c>
      <c r="B67" s="358"/>
      <c r="C67">
        <f>D9*H64</f>
        <v>8</v>
      </c>
      <c r="D67" s="287">
        <f t="shared" si="7"/>
        <v>13</v>
      </c>
      <c r="E67" s="287">
        <f t="shared" si="7"/>
        <v>22</v>
      </c>
      <c r="F67" s="287">
        <f t="shared" si="7"/>
        <v>37</v>
      </c>
      <c r="G67" s="287">
        <f t="shared" si="7"/>
        <v>62</v>
      </c>
    </row>
    <row r="68" spans="1:8" x14ac:dyDescent="0.25">
      <c r="A68" s="358" t="str">
        <f>C11</f>
        <v>Inteligencia</v>
      </c>
      <c r="B68" s="358"/>
      <c r="C68">
        <f>D9*H64</f>
        <v>8</v>
      </c>
      <c r="D68" s="287">
        <f t="shared" si="7"/>
        <v>13</v>
      </c>
      <c r="E68" s="287">
        <f t="shared" si="7"/>
        <v>22</v>
      </c>
      <c r="F68" s="287">
        <f t="shared" si="7"/>
        <v>37</v>
      </c>
      <c r="G68" s="287">
        <f t="shared" si="7"/>
        <v>62</v>
      </c>
    </row>
    <row r="69" spans="1:8" x14ac:dyDescent="0.25">
      <c r="A69" s="358" t="s">
        <v>77</v>
      </c>
      <c r="B69" s="358"/>
      <c r="C69">
        <f>(C$23+C$24)/2*$H$64</f>
        <v>0</v>
      </c>
      <c r="D69">
        <f>(D$23+D$24)/2*$H$64</f>
        <v>4</v>
      </c>
      <c r="E69">
        <f>(E$23+E$24)/2*$H$64</f>
        <v>12</v>
      </c>
      <c r="F69">
        <f>(F$23+F$24)/2*$H$64</f>
        <v>20</v>
      </c>
      <c r="G69">
        <f>(G$23+G$24)/2*$H$64</f>
        <v>28</v>
      </c>
    </row>
    <row r="70" spans="1:8" x14ac:dyDescent="0.25">
      <c r="A70" s="380" t="s">
        <v>49</v>
      </c>
      <c r="B70" s="380"/>
      <c r="C70" s="380"/>
      <c r="D70" s="380"/>
      <c r="E70" s="380"/>
      <c r="F70" s="380"/>
      <c r="G70" s="380"/>
    </row>
    <row r="71" spans="1:8" x14ac:dyDescent="0.25">
      <c r="A71" s="358" t="s">
        <v>50</v>
      </c>
      <c r="B71" s="358"/>
      <c r="C71" s="5">
        <f>ROUNDDOWN(C32/5*H64,0)</f>
        <v>14</v>
      </c>
      <c r="D71" s="5">
        <f>ROUNDDOWN(D32/5*H64,0)</f>
        <v>42</v>
      </c>
      <c r="E71" s="5">
        <f>ROUNDDOWN(E32/5*H64,0)</f>
        <v>128</v>
      </c>
      <c r="F71" s="5">
        <f>ROUNDDOWN(F32/5*H64,0)</f>
        <v>384</v>
      </c>
      <c r="G71" s="5">
        <f>ROUNDDOWN(G32/5*H64,0)</f>
        <v>768</v>
      </c>
    </row>
    <row r="72" spans="1:8" x14ac:dyDescent="0.25">
      <c r="A72" s="358" t="str">
        <f>C12</f>
        <v>Esencia</v>
      </c>
      <c r="B72" s="358"/>
      <c r="C72" s="5">
        <f>ROUNDDOWN(C71/3,0)</f>
        <v>4</v>
      </c>
      <c r="D72" s="5">
        <f>ROUNDDOWN(D71/3,0)</f>
        <v>14</v>
      </c>
      <c r="E72" s="5">
        <f>ROUNDDOWN(E71/3,0)</f>
        <v>42</v>
      </c>
      <c r="F72" s="5">
        <f>ROUNDDOWN(F71/3,0)</f>
        <v>128</v>
      </c>
      <c r="G72" s="5">
        <f>ROUNDDOWN(G71/3,0)</f>
        <v>256</v>
      </c>
    </row>
    <row r="73" spans="1:8" x14ac:dyDescent="0.25">
      <c r="A73" s="378"/>
      <c r="B73" s="378"/>
    </row>
    <row r="74" spans="1:8" ht="27.75" customHeight="1" x14ac:dyDescent="0.25">
      <c r="A74" s="377" t="s">
        <v>11</v>
      </c>
      <c r="B74" s="377"/>
      <c r="C74" s="3" t="s">
        <v>0</v>
      </c>
      <c r="D74" s="3" t="s">
        <v>86</v>
      </c>
      <c r="E74" s="3" t="s">
        <v>83</v>
      </c>
      <c r="F74" s="3" t="s">
        <v>84</v>
      </c>
      <c r="G74" s="3" t="s">
        <v>85</v>
      </c>
      <c r="H74" s="3" t="s">
        <v>62</v>
      </c>
    </row>
    <row r="75" spans="1:8" x14ac:dyDescent="0.25">
      <c r="A75" s="380" t="s">
        <v>20</v>
      </c>
      <c r="B75" s="380"/>
      <c r="C75" s="380"/>
      <c r="D75" s="380"/>
      <c r="E75" s="380"/>
      <c r="F75" s="380"/>
      <c r="G75" s="380"/>
      <c r="H75" s="6">
        <f>$H$77*$I$42</f>
        <v>7</v>
      </c>
    </row>
    <row r="76" spans="1:8" x14ac:dyDescent="0.25">
      <c r="A76" s="358" t="str">
        <f>C8</f>
        <v>Vitalidad</v>
      </c>
      <c r="B76" s="358"/>
      <c r="C76">
        <f>D8*H75</f>
        <v>7</v>
      </c>
      <c r="D76" s="287">
        <f>ROUNDDOWN(C76*1.7,0)</f>
        <v>11</v>
      </c>
      <c r="E76" s="287">
        <f>ROUNDDOWN(D76*1.7,0)</f>
        <v>18</v>
      </c>
      <c r="F76" s="287">
        <f>ROUNDDOWN(E76*1.7,0)</f>
        <v>30</v>
      </c>
      <c r="G76" s="287">
        <f>ROUNDDOWN(F76*1.7,0)</f>
        <v>51</v>
      </c>
      <c r="H76" s="26" t="s">
        <v>120</v>
      </c>
    </row>
    <row r="77" spans="1:8" x14ac:dyDescent="0.25">
      <c r="A77" s="358" t="str">
        <f>C9</f>
        <v>Fuerza</v>
      </c>
      <c r="B77" s="358"/>
      <c r="C77">
        <f>D9*H75</f>
        <v>7</v>
      </c>
      <c r="D77" s="287">
        <f t="shared" ref="D77:G77" si="8">ROUNDDOWN(C77*1.7,0)</f>
        <v>11</v>
      </c>
      <c r="E77" s="287">
        <f t="shared" si="8"/>
        <v>18</v>
      </c>
      <c r="F77" s="287">
        <f t="shared" si="8"/>
        <v>30</v>
      </c>
      <c r="G77" s="287">
        <f t="shared" si="8"/>
        <v>51</v>
      </c>
      <c r="H77" s="6">
        <v>7</v>
      </c>
    </row>
    <row r="78" spans="1:8" x14ac:dyDescent="0.25">
      <c r="A78" s="358" t="str">
        <f>C10</f>
        <v>Agilidad</v>
      </c>
      <c r="B78" s="358"/>
      <c r="C78">
        <f>D10*H75</f>
        <v>7</v>
      </c>
      <c r="D78" s="287">
        <f t="shared" ref="D78:G78" si="9">ROUNDDOWN(C78*1.7,0)</f>
        <v>11</v>
      </c>
      <c r="E78" s="287">
        <f t="shared" si="9"/>
        <v>18</v>
      </c>
      <c r="F78" s="287">
        <f t="shared" si="9"/>
        <v>30</v>
      </c>
      <c r="G78" s="287">
        <f t="shared" si="9"/>
        <v>51</v>
      </c>
    </row>
    <row r="79" spans="1:8" x14ac:dyDescent="0.25">
      <c r="A79" s="358" t="str">
        <f>C11</f>
        <v>Inteligencia</v>
      </c>
      <c r="B79" s="358"/>
      <c r="C79">
        <f>D11*H75</f>
        <v>7</v>
      </c>
      <c r="D79" s="287">
        <f t="shared" ref="D79:G79" si="10">ROUNDDOWN(C79*1.7,0)</f>
        <v>11</v>
      </c>
      <c r="E79" s="287">
        <f t="shared" si="10"/>
        <v>18</v>
      </c>
      <c r="F79" s="287">
        <f t="shared" si="10"/>
        <v>30</v>
      </c>
      <c r="G79" s="287">
        <f t="shared" si="10"/>
        <v>51</v>
      </c>
    </row>
    <row r="80" spans="1:8" x14ac:dyDescent="0.25">
      <c r="A80" s="358" t="s">
        <v>77</v>
      </c>
      <c r="B80" s="358"/>
      <c r="C80">
        <f>(C$23+C$24)/2*$H$75</f>
        <v>0</v>
      </c>
      <c r="D80">
        <f>(D$23+D$24)/2*$H$75</f>
        <v>3.5</v>
      </c>
      <c r="E80">
        <f>(E$23+E$24)/2*$H$75</f>
        <v>10.5</v>
      </c>
      <c r="F80">
        <f>(F$23+F$24)/2*$H$75</f>
        <v>17.5</v>
      </c>
      <c r="G80">
        <f>(G$23+G$24)/2*$H$75</f>
        <v>24.5</v>
      </c>
    </row>
    <row r="81" spans="1:8" x14ac:dyDescent="0.25">
      <c r="A81" s="380" t="s">
        <v>49</v>
      </c>
      <c r="B81" s="380"/>
      <c r="C81" s="380"/>
      <c r="D81" s="380"/>
      <c r="E81" s="380"/>
      <c r="F81" s="380"/>
      <c r="G81" s="380"/>
    </row>
    <row r="82" spans="1:8" x14ac:dyDescent="0.25">
      <c r="A82" s="358" t="s">
        <v>50</v>
      </c>
      <c r="B82" s="358"/>
      <c r="C82" s="5">
        <f>ROUNDDOWN(C32/5*H75,0)</f>
        <v>12</v>
      </c>
      <c r="D82" s="5">
        <f>ROUNDDOWN(D32/5*H75,0)</f>
        <v>37</v>
      </c>
      <c r="E82" s="5">
        <f>ROUNDDOWN(E32/5*H75,0)</f>
        <v>112</v>
      </c>
      <c r="F82" s="5">
        <f>ROUNDDOWN(F32/5*H75,0)</f>
        <v>336</v>
      </c>
      <c r="G82" s="5">
        <f>ROUNDDOWN(G32/5*H75,0)</f>
        <v>672</v>
      </c>
    </row>
    <row r="83" spans="1:8" x14ac:dyDescent="0.25">
      <c r="A83" s="358" t="str">
        <f>C12</f>
        <v>Esencia</v>
      </c>
      <c r="B83" s="358"/>
      <c r="C83" s="5">
        <f>ROUNDDOWN(C82/3,0)</f>
        <v>4</v>
      </c>
      <c r="D83" s="5">
        <f t="shared" ref="D83:G83" si="11">ROUNDDOWN(D82/3,0)</f>
        <v>12</v>
      </c>
      <c r="E83" s="5">
        <f t="shared" si="11"/>
        <v>37</v>
      </c>
      <c r="F83" s="5">
        <f t="shared" si="11"/>
        <v>112</v>
      </c>
      <c r="G83" s="5">
        <f t="shared" si="11"/>
        <v>224</v>
      </c>
    </row>
    <row r="84" spans="1:8" x14ac:dyDescent="0.25">
      <c r="A84" s="378"/>
      <c r="B84" s="378"/>
    </row>
    <row r="85" spans="1:8" ht="27.75" customHeight="1" x14ac:dyDescent="0.25">
      <c r="A85" s="377" t="s">
        <v>66</v>
      </c>
      <c r="B85" s="377"/>
      <c r="C85" s="3" t="s">
        <v>0</v>
      </c>
      <c r="D85" s="3" t="s">
        <v>86</v>
      </c>
      <c r="E85" s="3" t="s">
        <v>83</v>
      </c>
      <c r="F85" s="3" t="s">
        <v>84</v>
      </c>
      <c r="G85" s="3" t="s">
        <v>85</v>
      </c>
      <c r="H85" s="3" t="s">
        <v>62</v>
      </c>
    </row>
    <row r="86" spans="1:8" x14ac:dyDescent="0.25">
      <c r="A86" s="380" t="s">
        <v>20</v>
      </c>
      <c r="B86" s="380"/>
      <c r="C86" s="380"/>
      <c r="D86" s="380"/>
      <c r="E86" s="380"/>
      <c r="F86" s="380"/>
      <c r="G86" s="380"/>
      <c r="H86" s="6">
        <v>4</v>
      </c>
    </row>
    <row r="87" spans="1:8" x14ac:dyDescent="0.25">
      <c r="A87" s="358" t="str">
        <f>C8</f>
        <v>Vitalidad</v>
      </c>
      <c r="B87" s="358"/>
      <c r="C87">
        <f>D9*H86</f>
        <v>4</v>
      </c>
      <c r="D87" s="287">
        <f>ROUNDDOWN(C87*1.7,0)</f>
        <v>6</v>
      </c>
      <c r="E87" s="287">
        <f>ROUNDDOWN(D87*1.7,0)</f>
        <v>10</v>
      </c>
      <c r="F87" s="287">
        <f>ROUNDDOWN(E87*1.7,0)</f>
        <v>17</v>
      </c>
      <c r="G87" s="287">
        <f>ROUNDDOWN(F87*1.7,0)</f>
        <v>28</v>
      </c>
      <c r="H87" s="26" t="s">
        <v>120</v>
      </c>
    </row>
    <row r="88" spans="1:8" x14ac:dyDescent="0.25">
      <c r="A88" s="358" t="str">
        <f>C9</f>
        <v>Fuerza</v>
      </c>
      <c r="B88" s="358"/>
      <c r="C88">
        <f>D10*H86</f>
        <v>4</v>
      </c>
      <c r="D88" s="287">
        <f t="shared" ref="D88:G88" si="12">ROUNDDOWN(C88*1.7,0)</f>
        <v>6</v>
      </c>
      <c r="E88" s="287">
        <f t="shared" si="12"/>
        <v>10</v>
      </c>
      <c r="F88" s="287">
        <f t="shared" si="12"/>
        <v>17</v>
      </c>
      <c r="G88" s="287">
        <f t="shared" si="12"/>
        <v>28</v>
      </c>
      <c r="H88" s="6">
        <v>4</v>
      </c>
    </row>
    <row r="89" spans="1:8" x14ac:dyDescent="0.25">
      <c r="A89" s="358" t="str">
        <f>C10</f>
        <v>Agilidad</v>
      </c>
      <c r="B89" s="358"/>
      <c r="C89">
        <f>D11*H86</f>
        <v>4</v>
      </c>
      <c r="D89" s="287">
        <f t="shared" ref="D89:G89" si="13">ROUNDDOWN(C89*1.7,0)</f>
        <v>6</v>
      </c>
      <c r="E89" s="287">
        <f t="shared" si="13"/>
        <v>10</v>
      </c>
      <c r="F89" s="287">
        <f t="shared" si="13"/>
        <v>17</v>
      </c>
      <c r="G89" s="287">
        <f t="shared" si="13"/>
        <v>28</v>
      </c>
    </row>
    <row r="90" spans="1:8" x14ac:dyDescent="0.25">
      <c r="A90" s="358" t="str">
        <f>C11</f>
        <v>Inteligencia</v>
      </c>
      <c r="B90" s="358"/>
      <c r="C90">
        <f>D12*H86</f>
        <v>4</v>
      </c>
      <c r="D90" s="287">
        <f t="shared" ref="D90:G90" si="14">ROUNDDOWN(C90*1.7,0)</f>
        <v>6</v>
      </c>
      <c r="E90" s="287">
        <f t="shared" si="14"/>
        <v>10</v>
      </c>
      <c r="F90" s="287">
        <f t="shared" si="14"/>
        <v>17</v>
      </c>
      <c r="G90" s="287">
        <f t="shared" si="14"/>
        <v>28</v>
      </c>
    </row>
    <row r="91" spans="1:8" x14ac:dyDescent="0.25">
      <c r="A91" s="358" t="s">
        <v>77</v>
      </c>
      <c r="B91" s="358"/>
      <c r="C91">
        <f>(C$23+C$24)/2*$H$86</f>
        <v>0</v>
      </c>
      <c r="D91">
        <f>(D$23+D$24)/2*$H$86</f>
        <v>2</v>
      </c>
      <c r="E91">
        <f>(E$23+E$24)/2*$H$86</f>
        <v>6</v>
      </c>
      <c r="F91">
        <f>(F$23+F$24)/2*$H$86</f>
        <v>10</v>
      </c>
      <c r="G91">
        <f>(G$23+G$24)/2*$H$86</f>
        <v>14</v>
      </c>
    </row>
    <row r="92" spans="1:8" x14ac:dyDescent="0.25">
      <c r="A92" s="380" t="s">
        <v>49</v>
      </c>
      <c r="B92" s="380"/>
      <c r="C92" s="380"/>
      <c r="D92" s="380"/>
      <c r="E92" s="380"/>
      <c r="F92" s="380"/>
      <c r="G92" s="380"/>
    </row>
    <row r="93" spans="1:8" x14ac:dyDescent="0.25">
      <c r="A93" s="358" t="s">
        <v>50</v>
      </c>
      <c r="B93" s="358"/>
      <c r="C93" s="5">
        <f>ROUNDDOWN(C32/5*H86,0)</f>
        <v>7</v>
      </c>
      <c r="D93" s="5">
        <f>ROUNDDOWN(D32/5*H86,0)</f>
        <v>21</v>
      </c>
      <c r="E93" s="5">
        <f>ROUNDDOWN(E32/5*H86,0)</f>
        <v>64</v>
      </c>
      <c r="F93" s="5">
        <f>ROUNDDOWN(F32/5*H86,0)</f>
        <v>192</v>
      </c>
      <c r="G93" s="5">
        <f>ROUNDDOWN(G32/5*H86,0)</f>
        <v>384</v>
      </c>
    </row>
    <row r="94" spans="1:8" x14ac:dyDescent="0.25">
      <c r="A94" s="358" t="str">
        <f>C12</f>
        <v>Esencia</v>
      </c>
      <c r="B94" s="358"/>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36</v>
      </c>
      <c r="B2" s="314"/>
      <c r="C2" s="314">
        <f>'ECONOMIA &amp; PROFESIONES'!$N$3</f>
        <v>1</v>
      </c>
      <c r="D2" s="314"/>
      <c r="E2" s="314" t="s">
        <v>81</v>
      </c>
      <c r="F2" s="314"/>
      <c r="G2" s="314" t="s">
        <v>90</v>
      </c>
      <c r="H2" s="314"/>
      <c r="I2" s="314" t="str">
        <f>MAIN!$J$42</f>
        <v>&amp;4Poder de Arma:</v>
      </c>
      <c r="J2" s="314"/>
      <c r="K2" s="314">
        <f>MAIN!$L$42</f>
        <v>2</v>
      </c>
      <c r="L2" s="314"/>
    </row>
    <row r="3" spans="1:26" ht="29.25" customHeight="1" x14ac:dyDescent="0.25">
      <c r="A3" s="383" t="s">
        <v>7</v>
      </c>
      <c r="B3" s="383"/>
      <c r="C3" s="383"/>
      <c r="D3" s="383"/>
      <c r="E3" s="383" t="s">
        <v>8</v>
      </c>
      <c r="F3" s="383"/>
      <c r="G3" s="383"/>
      <c r="H3" s="383"/>
      <c r="I3" s="383" t="s">
        <v>83</v>
      </c>
      <c r="J3" s="383"/>
      <c r="K3" s="383"/>
      <c r="L3" s="383"/>
      <c r="M3" s="383" t="s">
        <v>84</v>
      </c>
      <c r="N3" s="383"/>
      <c r="O3" s="383"/>
      <c r="P3" s="383"/>
      <c r="Q3" s="383" t="s">
        <v>85</v>
      </c>
      <c r="R3" s="383"/>
      <c r="S3" s="383"/>
      <c r="T3" s="383"/>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36</v>
      </c>
      <c r="B2" s="314"/>
      <c r="C2" s="314">
        <f>'ECONOMIA &amp; PROFESIONES'!$N$3</f>
        <v>1</v>
      </c>
      <c r="D2" s="314"/>
      <c r="E2" s="314" t="s">
        <v>81</v>
      </c>
      <c r="F2" s="314"/>
      <c r="G2" s="314" t="s">
        <v>90</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36</v>
      </c>
      <c r="B2" s="314"/>
      <c r="C2" s="314">
        <f>'ECONOMIA &amp; PROFESIONES'!$N$3</f>
        <v>1</v>
      </c>
      <c r="D2" s="314"/>
      <c r="E2" s="314" t="s">
        <v>81</v>
      </c>
      <c r="F2" s="314"/>
      <c r="G2" s="314" t="s">
        <v>90</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36</v>
      </c>
      <c r="B2" s="314"/>
      <c r="C2" s="314">
        <f>'ECONOMIA &amp; PROFESIONES'!$N$3</f>
        <v>1</v>
      </c>
      <c r="D2" s="314"/>
      <c r="E2" s="314" t="s">
        <v>81</v>
      </c>
      <c r="F2" s="314"/>
      <c r="G2" s="314" t="s">
        <v>90</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36</v>
      </c>
      <c r="B2" s="314"/>
      <c r="C2" s="314">
        <f>'ECONOMIA &amp; PROFESIONES'!$N$3</f>
        <v>1</v>
      </c>
      <c r="D2" s="314"/>
      <c r="E2" s="314" t="s">
        <v>81</v>
      </c>
      <c r="F2" s="314"/>
      <c r="G2" s="314" t="s">
        <v>90</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100</v>
      </c>
      <c r="B2" s="314"/>
      <c r="C2" s="314">
        <f>'ECONOMIA &amp; PROFESIONES'!$O$3</f>
        <v>3</v>
      </c>
      <c r="D2" s="314"/>
      <c r="E2" s="314" t="s">
        <v>81</v>
      </c>
      <c r="F2" s="314"/>
      <c r="G2" s="314" t="s">
        <v>97</v>
      </c>
      <c r="H2" s="314"/>
      <c r="I2" s="314" t="str">
        <f>MAIN!$J$42</f>
        <v>&amp;4Poder de Arma:</v>
      </c>
      <c r="J2" s="314"/>
      <c r="K2" s="314">
        <f>MAIN!$L$42</f>
        <v>2</v>
      </c>
      <c r="L2" s="314"/>
    </row>
    <row r="3" spans="1:26" ht="29.25" customHeight="1" x14ac:dyDescent="0.25">
      <c r="A3" s="383" t="s">
        <v>7</v>
      </c>
      <c r="B3" s="383"/>
      <c r="C3" s="383"/>
      <c r="D3" s="383"/>
      <c r="E3" s="383" t="s">
        <v>8</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100</v>
      </c>
      <c r="B2" s="314"/>
      <c r="C2" s="314">
        <f>'ECONOMIA &amp; PROFESIONES'!$O$3</f>
        <v>3</v>
      </c>
      <c r="D2" s="314"/>
      <c r="E2" s="314" t="s">
        <v>81</v>
      </c>
      <c r="F2" s="314"/>
      <c r="G2" s="314" t="s">
        <v>97</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100</v>
      </c>
      <c r="B2" s="314"/>
      <c r="C2" s="314">
        <f>'ECONOMIA &amp; PROFESIONES'!$O$3</f>
        <v>3</v>
      </c>
      <c r="D2" s="314"/>
      <c r="E2" s="314" t="s">
        <v>81</v>
      </c>
      <c r="F2" s="314"/>
      <c r="G2" s="314" t="s">
        <v>97</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100</v>
      </c>
      <c r="B2" s="314"/>
      <c r="C2" s="314">
        <f>'ECONOMIA &amp; PROFESIONES'!$O$3</f>
        <v>3</v>
      </c>
      <c r="D2" s="314"/>
      <c r="E2" s="314" t="s">
        <v>81</v>
      </c>
      <c r="F2" s="314"/>
      <c r="G2" s="314" t="s">
        <v>97</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100</v>
      </c>
      <c r="B2" s="314"/>
      <c r="C2" s="314">
        <f>'ECONOMIA &amp; PROFESIONES'!$O$3</f>
        <v>3</v>
      </c>
      <c r="D2" s="314"/>
      <c r="E2" s="314" t="s">
        <v>81</v>
      </c>
      <c r="F2" s="314"/>
      <c r="G2" s="314" t="s">
        <v>97</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102</v>
      </c>
      <c r="B2" s="314"/>
      <c r="C2" s="314">
        <f>'ECONOMIA &amp; PROFESIONES'!$P$3</f>
        <v>5</v>
      </c>
      <c r="D2" s="314"/>
      <c r="E2" s="314" t="s">
        <v>81</v>
      </c>
      <c r="F2" s="314"/>
      <c r="G2" s="314" t="s">
        <v>103</v>
      </c>
      <c r="H2" s="314"/>
      <c r="I2" s="314" t="str">
        <f>MAIN!$J$42</f>
        <v>&amp;4Poder de Arma:</v>
      </c>
      <c r="J2" s="314"/>
      <c r="K2" s="314">
        <f>MAIN!$L$42</f>
        <v>2</v>
      </c>
      <c r="L2" s="314"/>
    </row>
    <row r="3" spans="1:26" ht="29.25" customHeight="1" x14ac:dyDescent="0.25">
      <c r="A3" s="383" t="s">
        <v>7</v>
      </c>
      <c r="B3" s="383"/>
      <c r="C3" s="383"/>
      <c r="D3" s="383"/>
      <c r="E3" s="383" t="s">
        <v>8</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102</v>
      </c>
      <c r="B2" s="314"/>
      <c r="C2" s="314">
        <f>'ECONOMIA &amp; PROFESIONES'!$P$3</f>
        <v>5</v>
      </c>
      <c r="D2" s="314"/>
      <c r="E2" s="314" t="s">
        <v>81</v>
      </c>
      <c r="F2" s="314"/>
      <c r="G2" s="314" t="s">
        <v>103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102</v>
      </c>
      <c r="B2" s="314"/>
      <c r="C2" s="314">
        <f>'ECONOMIA &amp; PROFESIONES'!$P$3</f>
        <v>5</v>
      </c>
      <c r="D2" s="314"/>
      <c r="E2" s="314" t="s">
        <v>81</v>
      </c>
      <c r="F2" s="314"/>
      <c r="G2" s="314" t="s">
        <v>103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102</v>
      </c>
      <c r="B2" s="314"/>
      <c r="C2" s="314">
        <f>'ECONOMIA &amp; PROFESIONES'!$P$3</f>
        <v>5</v>
      </c>
      <c r="D2" s="314"/>
      <c r="E2" s="314" t="s">
        <v>81</v>
      </c>
      <c r="F2" s="314"/>
      <c r="G2" s="314" t="s">
        <v>103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102</v>
      </c>
      <c r="B2" s="314"/>
      <c r="C2" s="314">
        <f>'ECONOMIA &amp; PROFESIONES'!$P$3</f>
        <v>5</v>
      </c>
      <c r="D2" s="314"/>
      <c r="E2" s="314" t="s">
        <v>81</v>
      </c>
      <c r="F2" s="314"/>
      <c r="G2" s="314" t="s">
        <v>103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104</v>
      </c>
      <c r="B2" s="314"/>
      <c r="C2" s="314">
        <f>'ECONOMIA &amp; PROFESIONES'!$Q$3</f>
        <v>7</v>
      </c>
      <c r="D2" s="314"/>
      <c r="E2" s="314" t="s">
        <v>81</v>
      </c>
      <c r="F2" s="314"/>
      <c r="G2" s="314" t="s">
        <v>3</v>
      </c>
      <c r="H2" s="314"/>
      <c r="I2" s="314" t="str">
        <f>MAIN!$J$42</f>
        <v>&amp;4Poder de Arma:</v>
      </c>
      <c r="J2" s="314"/>
      <c r="K2" s="314">
        <f>MAIN!$L$42</f>
        <v>2</v>
      </c>
      <c r="L2" s="314"/>
    </row>
    <row r="3" spans="1:26" ht="29.25" customHeight="1" x14ac:dyDescent="0.25">
      <c r="A3" s="383" t="s">
        <v>7</v>
      </c>
      <c r="B3" s="383"/>
      <c r="C3" s="383"/>
      <c r="D3" s="383"/>
      <c r="E3" s="383" t="s">
        <v>8</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104</v>
      </c>
      <c r="B2" s="314"/>
      <c r="C2" s="314">
        <f>'ECONOMIA &amp; PROFESIONES'!$Q$3</f>
        <v>7</v>
      </c>
      <c r="D2" s="314"/>
      <c r="E2" s="314" t="s">
        <v>81</v>
      </c>
      <c r="F2" s="314"/>
      <c r="G2" s="314" t="s">
        <v>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104</v>
      </c>
      <c r="B2" s="314"/>
      <c r="C2" s="314">
        <f>'ECONOMIA &amp; PROFESIONES'!$Q$3</f>
        <v>7</v>
      </c>
      <c r="D2" s="314"/>
      <c r="E2" s="314" t="s">
        <v>81</v>
      </c>
      <c r="F2" s="314"/>
      <c r="G2" s="314" t="s">
        <v>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104</v>
      </c>
      <c r="B2" s="314"/>
      <c r="C2" s="314">
        <f>'ECONOMIA &amp; PROFESIONES'!$Q$3</f>
        <v>7</v>
      </c>
      <c r="D2" s="314"/>
      <c r="E2" s="314" t="s">
        <v>81</v>
      </c>
      <c r="F2" s="314"/>
      <c r="G2" s="314" t="s">
        <v>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104</v>
      </c>
      <c r="B2" s="314"/>
      <c r="C2" s="314">
        <f>'ECONOMIA &amp; PROFESIONES'!$Q$3</f>
        <v>7</v>
      </c>
      <c r="D2" s="314"/>
      <c r="E2" s="314" t="s">
        <v>81</v>
      </c>
      <c r="F2" s="314"/>
      <c r="G2" s="314" t="s">
        <v>3</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105</v>
      </c>
      <c r="B2" s="314"/>
      <c r="C2" s="314">
        <f>'ECONOMIA &amp; PROFESIONES'!$R$3</f>
        <v>9</v>
      </c>
      <c r="D2" s="314"/>
      <c r="E2" s="314" t="s">
        <v>107</v>
      </c>
      <c r="F2" s="314"/>
      <c r="G2" s="314" t="s">
        <v>106</v>
      </c>
      <c r="H2" s="314"/>
      <c r="I2" s="314" t="str">
        <f>MAIN!$J$42</f>
        <v>&amp;4Poder de Arma:</v>
      </c>
      <c r="J2" s="314"/>
      <c r="K2" s="314">
        <f>MAIN!$L$42</f>
        <v>2</v>
      </c>
      <c r="L2" s="314"/>
    </row>
    <row r="3" spans="1:26" ht="29.25" customHeight="1" x14ac:dyDescent="0.25">
      <c r="A3" s="383" t="s">
        <v>7</v>
      </c>
      <c r="B3" s="383"/>
      <c r="C3" s="383"/>
      <c r="D3" s="383"/>
      <c r="E3" s="383" t="s">
        <v>8</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105</v>
      </c>
      <c r="B2" s="314"/>
      <c r="C2" s="314">
        <f>'ECONOMIA &amp; PROFESIONES'!$R$3</f>
        <v>9</v>
      </c>
      <c r="D2" s="314"/>
      <c r="E2" s="314" t="s">
        <v>107</v>
      </c>
      <c r="F2" s="314"/>
      <c r="G2" s="314" t="s">
        <v>106</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105</v>
      </c>
      <c r="B2" s="314"/>
      <c r="C2" s="314">
        <f>'ECONOMIA &amp; PROFESIONES'!$R$3</f>
        <v>9</v>
      </c>
      <c r="D2" s="314"/>
      <c r="E2" s="314" t="s">
        <v>107</v>
      </c>
      <c r="F2" s="314"/>
      <c r="G2" s="314" t="s">
        <v>106</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105</v>
      </c>
      <c r="B2" s="314"/>
      <c r="C2" s="314">
        <f>'ECONOMIA &amp; PROFESIONES'!$R$3</f>
        <v>9</v>
      </c>
      <c r="D2" s="314"/>
      <c r="E2" s="314" t="s">
        <v>107</v>
      </c>
      <c r="F2" s="314"/>
      <c r="G2" s="314" t="s">
        <v>106</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77" t="s">
        <v>19</v>
      </c>
      <c r="B1" s="377"/>
      <c r="C1" s="377" t="s">
        <v>70</v>
      </c>
      <c r="D1" s="377"/>
      <c r="E1" s="377" t="s">
        <v>80</v>
      </c>
      <c r="F1" s="377"/>
      <c r="G1" s="377" t="s">
        <v>89</v>
      </c>
      <c r="H1" s="377"/>
      <c r="I1" s="377" t="s">
        <v>1156</v>
      </c>
      <c r="J1" s="377"/>
      <c r="K1" s="377" t="s">
        <v>1158</v>
      </c>
      <c r="L1" s="377"/>
    </row>
    <row r="2" spans="1:26" x14ac:dyDescent="0.25">
      <c r="A2" s="314" t="s">
        <v>105</v>
      </c>
      <c r="B2" s="314"/>
      <c r="C2" s="314">
        <f>'ECONOMIA &amp; PROFESIONES'!$R$3</f>
        <v>9</v>
      </c>
      <c r="D2" s="314"/>
      <c r="E2" s="314" t="s">
        <v>107</v>
      </c>
      <c r="F2" s="314"/>
      <c r="G2" s="314" t="s">
        <v>106</v>
      </c>
      <c r="H2" s="314"/>
      <c r="I2" s="314" t="str">
        <f>MAIN!$J$53</f>
        <v>Armor</v>
      </c>
      <c r="J2" s="314"/>
      <c r="K2" s="314">
        <f>MAIN!$L$53</f>
        <v>1</v>
      </c>
      <c r="L2" s="314"/>
    </row>
    <row r="3" spans="1:26" ht="29.25" customHeight="1" x14ac:dyDescent="0.25">
      <c r="A3" s="383" t="s">
        <v>0</v>
      </c>
      <c r="B3" s="383"/>
      <c r="C3" s="383"/>
      <c r="D3" s="383"/>
      <c r="E3" s="383" t="s">
        <v>86</v>
      </c>
      <c r="F3" s="383"/>
      <c r="G3" s="383"/>
      <c r="H3" s="383"/>
      <c r="I3" s="383" t="s">
        <v>83</v>
      </c>
      <c r="J3" s="383"/>
      <c r="K3" s="383"/>
      <c r="L3" s="383"/>
      <c r="M3" s="383" t="s">
        <v>84</v>
      </c>
      <c r="N3" s="383"/>
      <c r="O3" s="383"/>
      <c r="P3" s="383"/>
      <c r="Q3" s="383" t="s">
        <v>85</v>
      </c>
      <c r="R3" s="383"/>
      <c r="S3" s="383"/>
      <c r="T3" s="383"/>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Skills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2018-05-02T00:37:16Z</dcterms:modified>
</cp:coreProperties>
</file>