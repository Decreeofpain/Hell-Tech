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7EED536D-172B-4554-A64F-B8D66C5E5024}" xr6:coauthVersionLast="44" xr6:coauthVersionMax="44" xr10:uidLastSave="{00000000-0000-0000-0000-000000000000}"/>
  <bookViews>
    <workbookView xWindow="1950" yWindow="2400" windowWidth="28800" windowHeight="15555" tabRatio="893" firstSheet="1" activeTab="5"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4" r:id="rId7"/>
    <sheet name="Crafteos Prof ESP" sheetId="36" r:id="rId8"/>
    <sheet name="Crafteos MD" sheetId="38" r:id="rId9"/>
    <sheet name="Crafteos Mechanics" sheetId="39" r:id="rId10"/>
    <sheet name="MAIN" sheetId="1" r:id="rId11"/>
    <sheet name="armas comun" sheetId="4" r:id="rId12"/>
    <sheet name="helmet comun" sheetId="5" r:id="rId13"/>
    <sheet name="chestplate comun" sheetId="6" r:id="rId14"/>
    <sheet name="leggins comun" sheetId="7" r:id="rId15"/>
    <sheet name="boots comun" sheetId="9" r:id="rId16"/>
    <sheet name="armas magico" sheetId="10" r:id="rId17"/>
    <sheet name="helmet magico" sheetId="12" r:id="rId18"/>
    <sheet name="chestplate magico" sheetId="13" r:id="rId19"/>
    <sheet name="leggins magico" sheetId="14" r:id="rId20"/>
    <sheet name="boots magico" sheetId="15" r:id="rId21"/>
    <sheet name="armas raro" sheetId="16" r:id="rId22"/>
    <sheet name="helmet raro" sheetId="17" r:id="rId23"/>
    <sheet name="chestplate raro" sheetId="18" r:id="rId24"/>
    <sheet name="leggins raro" sheetId="19" r:id="rId25"/>
    <sheet name="boots raro" sheetId="20" r:id="rId26"/>
    <sheet name="armas legendario" sheetId="21" r:id="rId27"/>
    <sheet name="helmet legendario" sheetId="22" r:id="rId28"/>
    <sheet name="chestplate legendario" sheetId="23" r:id="rId29"/>
    <sheet name="leggins legendario" sheetId="24" r:id="rId30"/>
    <sheet name="boots legendario" sheetId="25" r:id="rId31"/>
    <sheet name="armas ancestral" sheetId="26" r:id="rId32"/>
    <sheet name="helmet ancestral" sheetId="27" r:id="rId33"/>
    <sheet name="chestplate ancestral" sheetId="28" r:id="rId34"/>
    <sheet name="leggins ancestral" sheetId="29" r:id="rId35"/>
    <sheet name="boots ancestral" sheetId="31" r:id="rId36"/>
  </sheets>
  <definedNames>
    <definedName name="ACCIONES">'ECONOMIA &amp; PROFESIONES'!$C$18:$C$23</definedName>
    <definedName name="craftedesp">'Crafteos Prof ESP'!$A$40:$C$165</definedName>
    <definedName name="craftspar">'Crafteos Prof ESP'!$A$40:$A$150</definedName>
    <definedName name="IDPOINTS">ListItemsCraft!$A$1:$B$770</definedName>
    <definedName name="IDS">ListItemsCraft!$A:$A</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86" i="45" l="1"/>
  <c r="B475" i="45"/>
  <c r="B473" i="45"/>
  <c r="B472" i="45"/>
  <c r="B101" i="45"/>
  <c r="B459" i="45"/>
  <c r="B460" i="45" s="1"/>
  <c r="F408" i="45"/>
  <c r="B395" i="45"/>
  <c r="B386" i="45"/>
  <c r="F386" i="45"/>
  <c r="F380" i="45"/>
  <c r="B379" i="45"/>
  <c r="F379" i="45"/>
  <c r="B366" i="45"/>
  <c r="B365" i="45"/>
  <c r="B363" i="45"/>
  <c r="F362" i="45"/>
  <c r="F363" i="45"/>
  <c r="F364" i="45"/>
  <c r="B337" i="45"/>
  <c r="B311" i="45"/>
  <c r="B304" i="45"/>
  <c r="B291" i="45"/>
  <c r="B289" i="45"/>
  <c r="B290" i="45" s="1"/>
  <c r="B287" i="45"/>
  <c r="B280" i="45"/>
  <c r="B274" i="45"/>
  <c r="B264" i="45"/>
  <c r="B263" i="45"/>
  <c r="B260" i="45"/>
  <c r="B259" i="45"/>
  <c r="B253" i="45"/>
  <c r="B244" i="45"/>
  <c r="B246" i="45" s="1"/>
  <c r="B242" i="45" l="1"/>
  <c r="B238" i="45"/>
  <c r="B237" i="45"/>
  <c r="I236" i="45"/>
  <c r="B234" i="45"/>
  <c r="B230" i="45"/>
  <c r="B226" i="45"/>
  <c r="F189" i="45"/>
  <c r="B195" i="45"/>
  <c r="B188" i="45"/>
  <c r="F182" i="45"/>
  <c r="I173" i="45"/>
  <c r="I172" i="45"/>
  <c r="B164" i="45"/>
  <c r="U164" i="45"/>
  <c r="R164" i="45"/>
  <c r="O164" i="45"/>
  <c r="L164" i="45"/>
  <c r="I164" i="45"/>
  <c r="F164" i="45"/>
  <c r="B146" i="45"/>
  <c r="U146" i="45"/>
  <c r="R146" i="45"/>
  <c r="O146" i="45"/>
  <c r="L146" i="45"/>
  <c r="I146" i="45"/>
  <c r="F146" i="45"/>
  <c r="B147" i="45"/>
  <c r="B145" i="45"/>
  <c r="B141" i="45"/>
  <c r="B139" i="45"/>
  <c r="B137" i="45"/>
  <c r="B135" i="45"/>
  <c r="B133" i="45"/>
  <c r="B132" i="45"/>
  <c r="B131" i="45"/>
  <c r="B126" i="45"/>
  <c r="B114" i="45"/>
  <c r="B111" i="45" l="1"/>
  <c r="F101" i="45"/>
  <c r="I97" i="45"/>
  <c r="I96" i="45"/>
  <c r="B77" i="45"/>
  <c r="F70" i="45"/>
  <c r="F71" i="45"/>
  <c r="B62" i="45"/>
  <c r="F88" i="45" s="1"/>
  <c r="B40" i="45"/>
  <c r="B47" i="45" s="1"/>
  <c r="B32" i="45"/>
  <c r="F33" i="45" s="1"/>
  <c r="B503" i="45"/>
  <c r="L249" i="45" s="1"/>
  <c r="U503" i="45"/>
  <c r="R503" i="45"/>
  <c r="O503" i="45"/>
  <c r="L503" i="45"/>
  <c r="I503" i="45"/>
  <c r="F503" i="45"/>
  <c r="B28" i="45"/>
  <c r="B23" i="45"/>
  <c r="F248" i="45" s="1"/>
  <c r="B18" i="45"/>
  <c r="F19" i="45" s="1"/>
  <c r="B8" i="45"/>
  <c r="B15" i="45" s="1"/>
  <c r="U770" i="45"/>
  <c r="U769" i="45"/>
  <c r="U768" i="45"/>
  <c r="U767" i="45"/>
  <c r="U766" i="45"/>
  <c r="U765" i="45"/>
  <c r="U764" i="45"/>
  <c r="U763" i="45"/>
  <c r="U762" i="45"/>
  <c r="U761" i="45"/>
  <c r="U760" i="45"/>
  <c r="U759" i="45"/>
  <c r="U758" i="45"/>
  <c r="U757" i="45"/>
  <c r="U756" i="45"/>
  <c r="U755" i="45"/>
  <c r="U754" i="45"/>
  <c r="U753" i="45"/>
  <c r="U752" i="45"/>
  <c r="U751" i="45"/>
  <c r="U750" i="45"/>
  <c r="U749" i="45"/>
  <c r="U748" i="45"/>
  <c r="U747" i="45"/>
  <c r="U746" i="45"/>
  <c r="U745" i="45"/>
  <c r="U744" i="45"/>
  <c r="U743" i="45"/>
  <c r="U742" i="45"/>
  <c r="U741" i="45"/>
  <c r="U740" i="45"/>
  <c r="U739" i="45"/>
  <c r="U738" i="45"/>
  <c r="U737" i="45"/>
  <c r="U736" i="45"/>
  <c r="U735" i="45"/>
  <c r="U734" i="45"/>
  <c r="U733" i="45"/>
  <c r="U732" i="45"/>
  <c r="U731" i="45"/>
  <c r="U730" i="45"/>
  <c r="U729" i="45"/>
  <c r="U728" i="45"/>
  <c r="U727" i="45"/>
  <c r="U726" i="45"/>
  <c r="U725" i="45"/>
  <c r="U724" i="45"/>
  <c r="U723" i="45"/>
  <c r="U722" i="45"/>
  <c r="U721" i="45"/>
  <c r="U720" i="45"/>
  <c r="U719" i="45"/>
  <c r="U718" i="45"/>
  <c r="U717" i="45"/>
  <c r="U716" i="45"/>
  <c r="U715" i="45"/>
  <c r="U714" i="45"/>
  <c r="U713" i="45"/>
  <c r="U712" i="45"/>
  <c r="U711" i="45"/>
  <c r="U710" i="45"/>
  <c r="U709" i="45"/>
  <c r="U708" i="45"/>
  <c r="U707" i="45"/>
  <c r="U706" i="45"/>
  <c r="U705" i="45"/>
  <c r="U704" i="45"/>
  <c r="U703" i="45"/>
  <c r="U702" i="45"/>
  <c r="U701" i="45"/>
  <c r="U700" i="45"/>
  <c r="U699" i="45"/>
  <c r="U698" i="45"/>
  <c r="U697" i="45"/>
  <c r="U696" i="45"/>
  <c r="U695" i="45"/>
  <c r="U694" i="45"/>
  <c r="U693" i="45"/>
  <c r="U692" i="45"/>
  <c r="U691" i="45"/>
  <c r="U690" i="45"/>
  <c r="U689" i="45"/>
  <c r="U688" i="45"/>
  <c r="U687" i="45"/>
  <c r="U686" i="45"/>
  <c r="U685" i="45"/>
  <c r="U684" i="45"/>
  <c r="U683" i="45"/>
  <c r="U682" i="45"/>
  <c r="U681" i="45"/>
  <c r="U680" i="45"/>
  <c r="U679" i="45"/>
  <c r="U678" i="45"/>
  <c r="U677" i="45"/>
  <c r="U676" i="45"/>
  <c r="U675" i="45"/>
  <c r="U674" i="45"/>
  <c r="U673" i="45"/>
  <c r="U672" i="45"/>
  <c r="U671" i="45"/>
  <c r="U670" i="45"/>
  <c r="U669" i="45"/>
  <c r="U668" i="45"/>
  <c r="U667" i="45"/>
  <c r="U666" i="45"/>
  <c r="U665" i="45"/>
  <c r="U664" i="45"/>
  <c r="U663" i="45"/>
  <c r="U662" i="45"/>
  <c r="U661" i="45"/>
  <c r="U660" i="45"/>
  <c r="U659" i="45"/>
  <c r="U658" i="45"/>
  <c r="U657" i="45"/>
  <c r="U656" i="45"/>
  <c r="U655" i="45"/>
  <c r="U654" i="45"/>
  <c r="U653" i="45"/>
  <c r="U652" i="45"/>
  <c r="U651" i="45"/>
  <c r="U650" i="45"/>
  <c r="U649" i="45"/>
  <c r="U648" i="45"/>
  <c r="U647" i="45"/>
  <c r="U646" i="45"/>
  <c r="U645" i="45"/>
  <c r="U644" i="45"/>
  <c r="U643" i="45"/>
  <c r="U642" i="45"/>
  <c r="U641" i="45"/>
  <c r="U640" i="45"/>
  <c r="U639" i="45"/>
  <c r="U638" i="45"/>
  <c r="U637" i="45"/>
  <c r="U636" i="45"/>
  <c r="U635" i="45"/>
  <c r="U634" i="45"/>
  <c r="U633" i="45"/>
  <c r="U632" i="45"/>
  <c r="U631" i="45"/>
  <c r="U630" i="45"/>
  <c r="U629" i="45"/>
  <c r="U628" i="45"/>
  <c r="U627" i="45"/>
  <c r="U626" i="45"/>
  <c r="U625" i="45"/>
  <c r="U624" i="45"/>
  <c r="U623" i="45"/>
  <c r="U622" i="45"/>
  <c r="U621" i="45"/>
  <c r="U620" i="45"/>
  <c r="U619" i="45"/>
  <c r="U618" i="45"/>
  <c r="U617" i="45"/>
  <c r="U616" i="45"/>
  <c r="U615" i="45"/>
  <c r="U614" i="45"/>
  <c r="U613" i="45"/>
  <c r="U612" i="45"/>
  <c r="U611" i="45"/>
  <c r="U610" i="45"/>
  <c r="U609" i="45"/>
  <c r="U608" i="45"/>
  <c r="U607" i="45"/>
  <c r="U606" i="45"/>
  <c r="U605" i="45"/>
  <c r="U604" i="45"/>
  <c r="U603" i="45"/>
  <c r="U602" i="45"/>
  <c r="U601" i="45"/>
  <c r="U600" i="45"/>
  <c r="U599" i="45"/>
  <c r="U598" i="45"/>
  <c r="U597" i="45"/>
  <c r="U596" i="45"/>
  <c r="U595" i="45"/>
  <c r="U594" i="45"/>
  <c r="U593" i="45"/>
  <c r="U592" i="45"/>
  <c r="U591" i="45"/>
  <c r="U590" i="45"/>
  <c r="U589" i="45"/>
  <c r="U588" i="45"/>
  <c r="U587" i="45"/>
  <c r="U586" i="45"/>
  <c r="U585" i="45"/>
  <c r="U584" i="45"/>
  <c r="U583" i="45"/>
  <c r="U582" i="45"/>
  <c r="U581" i="45"/>
  <c r="U580" i="45"/>
  <c r="U579" i="45"/>
  <c r="U578" i="45"/>
  <c r="U577" i="45"/>
  <c r="U576" i="45"/>
  <c r="U575" i="45"/>
  <c r="U574" i="45"/>
  <c r="U573" i="45"/>
  <c r="U572" i="45"/>
  <c r="U571" i="45"/>
  <c r="U570" i="45"/>
  <c r="U569" i="45"/>
  <c r="U568" i="45"/>
  <c r="U567" i="45"/>
  <c r="U566" i="45"/>
  <c r="U565" i="45"/>
  <c r="U564" i="45"/>
  <c r="U563" i="45"/>
  <c r="U562" i="45"/>
  <c r="U561" i="45"/>
  <c r="U560" i="45"/>
  <c r="U559" i="45"/>
  <c r="U558" i="45"/>
  <c r="U557" i="45"/>
  <c r="U556" i="45"/>
  <c r="U555" i="45"/>
  <c r="U554" i="45"/>
  <c r="U553" i="45"/>
  <c r="U552" i="45"/>
  <c r="U551" i="45"/>
  <c r="U550" i="45"/>
  <c r="U549" i="45"/>
  <c r="U548" i="45"/>
  <c r="U547" i="45"/>
  <c r="U546" i="45"/>
  <c r="U545" i="45"/>
  <c r="U544" i="45"/>
  <c r="U543" i="45"/>
  <c r="U542" i="45"/>
  <c r="U541" i="45"/>
  <c r="U540" i="45"/>
  <c r="U539" i="45"/>
  <c r="U538" i="45"/>
  <c r="U537" i="45"/>
  <c r="U536" i="45"/>
  <c r="U535" i="45"/>
  <c r="U534" i="45"/>
  <c r="U533" i="45"/>
  <c r="U532" i="45"/>
  <c r="U531" i="45"/>
  <c r="U530" i="45"/>
  <c r="U529" i="45"/>
  <c r="U528" i="45"/>
  <c r="U527" i="45"/>
  <c r="U526" i="45"/>
  <c r="U525" i="45"/>
  <c r="U524" i="45"/>
  <c r="U523" i="45"/>
  <c r="U522" i="45"/>
  <c r="U521" i="45"/>
  <c r="U520" i="45"/>
  <c r="U519" i="45"/>
  <c r="U518" i="45"/>
  <c r="U517" i="45"/>
  <c r="U516" i="45"/>
  <c r="U515" i="45"/>
  <c r="U514" i="45"/>
  <c r="U513" i="45"/>
  <c r="U512" i="45"/>
  <c r="U511" i="45"/>
  <c r="U510" i="45"/>
  <c r="U509" i="45"/>
  <c r="U508" i="45"/>
  <c r="U507" i="45"/>
  <c r="U506" i="45"/>
  <c r="U505" i="45"/>
  <c r="U504" i="45"/>
  <c r="U502" i="45"/>
  <c r="U501" i="45"/>
  <c r="U500" i="45"/>
  <c r="U499" i="45"/>
  <c r="U498" i="45"/>
  <c r="U497" i="45"/>
  <c r="U496" i="45"/>
  <c r="U495" i="45"/>
  <c r="U494" i="45"/>
  <c r="U493" i="45"/>
  <c r="U492" i="45"/>
  <c r="U491" i="45"/>
  <c r="U490" i="45"/>
  <c r="U489" i="45"/>
  <c r="U488" i="45"/>
  <c r="U487" i="45"/>
  <c r="U486" i="45"/>
  <c r="U485" i="45"/>
  <c r="U484" i="45"/>
  <c r="U483" i="45"/>
  <c r="U482" i="45"/>
  <c r="U481" i="45"/>
  <c r="U480" i="45"/>
  <c r="U479" i="45"/>
  <c r="U478" i="45"/>
  <c r="U477" i="45"/>
  <c r="U476" i="45"/>
  <c r="U475" i="45"/>
  <c r="U474" i="45"/>
  <c r="U473" i="45"/>
  <c r="U472" i="45"/>
  <c r="U471" i="45"/>
  <c r="U470" i="45"/>
  <c r="U469" i="45"/>
  <c r="U468" i="45"/>
  <c r="U467" i="45"/>
  <c r="U466" i="45"/>
  <c r="U465" i="45"/>
  <c r="U464" i="45"/>
  <c r="U463" i="45"/>
  <c r="U462" i="45"/>
  <c r="U461" i="45"/>
  <c r="U460" i="45"/>
  <c r="U459" i="45"/>
  <c r="U458" i="45"/>
  <c r="U457" i="45"/>
  <c r="U456" i="45"/>
  <c r="U455" i="45"/>
  <c r="U454" i="45"/>
  <c r="U453" i="45"/>
  <c r="U452" i="45"/>
  <c r="U451" i="45"/>
  <c r="U450" i="45"/>
  <c r="U449" i="45"/>
  <c r="U448" i="45"/>
  <c r="U447" i="45"/>
  <c r="U446" i="45"/>
  <c r="U445" i="45"/>
  <c r="U444" i="45"/>
  <c r="U443" i="45"/>
  <c r="U442" i="45"/>
  <c r="U441" i="45"/>
  <c r="U440" i="45"/>
  <c r="U439" i="45"/>
  <c r="U438" i="45"/>
  <c r="U437" i="45"/>
  <c r="U436" i="45"/>
  <c r="U435" i="45"/>
  <c r="U434" i="45"/>
  <c r="U433" i="45"/>
  <c r="U432" i="45"/>
  <c r="U431" i="45"/>
  <c r="U430" i="45"/>
  <c r="U429" i="45"/>
  <c r="U428" i="45"/>
  <c r="U427" i="45"/>
  <c r="U426" i="45"/>
  <c r="U425" i="45"/>
  <c r="U424" i="45"/>
  <c r="U423" i="45"/>
  <c r="U422" i="45"/>
  <c r="U421" i="45"/>
  <c r="U420" i="45"/>
  <c r="U419" i="45"/>
  <c r="U418" i="45"/>
  <c r="U417" i="45"/>
  <c r="U416" i="45"/>
  <c r="U415" i="45"/>
  <c r="U414" i="45"/>
  <c r="U413" i="45"/>
  <c r="U412" i="45"/>
  <c r="U411" i="45"/>
  <c r="U410" i="45"/>
  <c r="U409" i="45"/>
  <c r="U408" i="45"/>
  <c r="U407" i="45"/>
  <c r="U406" i="45"/>
  <c r="U405" i="45"/>
  <c r="U404" i="45"/>
  <c r="U403" i="45"/>
  <c r="U402" i="45"/>
  <c r="U401" i="45"/>
  <c r="U400" i="45"/>
  <c r="U399" i="45"/>
  <c r="U398" i="45"/>
  <c r="U397" i="45"/>
  <c r="U396" i="45"/>
  <c r="U395" i="45"/>
  <c r="U394" i="45"/>
  <c r="U393" i="45"/>
  <c r="U392" i="45"/>
  <c r="U391" i="45"/>
  <c r="U390" i="45"/>
  <c r="U389" i="45"/>
  <c r="U388" i="45"/>
  <c r="U387" i="45"/>
  <c r="U386" i="45"/>
  <c r="U385" i="45"/>
  <c r="U384" i="45"/>
  <c r="U383" i="45"/>
  <c r="U382" i="45"/>
  <c r="U381" i="45"/>
  <c r="U380" i="45"/>
  <c r="U379" i="45"/>
  <c r="U378" i="45"/>
  <c r="U377" i="45"/>
  <c r="U376" i="45"/>
  <c r="U375" i="45"/>
  <c r="U374" i="45"/>
  <c r="U373" i="45"/>
  <c r="U372" i="45"/>
  <c r="U371" i="45"/>
  <c r="U370" i="45"/>
  <c r="U369" i="45"/>
  <c r="U368" i="45"/>
  <c r="U367" i="45"/>
  <c r="U366" i="45"/>
  <c r="U365" i="45"/>
  <c r="U364" i="45"/>
  <c r="U363" i="45"/>
  <c r="U362" i="45"/>
  <c r="U361" i="45"/>
  <c r="U360" i="45"/>
  <c r="U359" i="45"/>
  <c r="U358" i="45"/>
  <c r="U357" i="45"/>
  <c r="U356" i="45"/>
  <c r="U355" i="45"/>
  <c r="U354" i="45"/>
  <c r="U353" i="45"/>
  <c r="U352" i="45"/>
  <c r="U351" i="45"/>
  <c r="U350" i="45"/>
  <c r="U349" i="45"/>
  <c r="U348" i="45"/>
  <c r="U347" i="45"/>
  <c r="U346" i="45"/>
  <c r="U345" i="45"/>
  <c r="U344" i="45"/>
  <c r="U343" i="45"/>
  <c r="U342" i="45"/>
  <c r="U341" i="45"/>
  <c r="U340" i="45"/>
  <c r="U339" i="45"/>
  <c r="U338" i="45"/>
  <c r="U337" i="45"/>
  <c r="U336" i="45"/>
  <c r="U335" i="45"/>
  <c r="U334" i="45"/>
  <c r="U333" i="45"/>
  <c r="U332" i="45"/>
  <c r="U331" i="45"/>
  <c r="U330" i="45"/>
  <c r="U329" i="45"/>
  <c r="U328" i="45"/>
  <c r="U327" i="45"/>
  <c r="U326" i="45"/>
  <c r="U325" i="45"/>
  <c r="U324" i="45"/>
  <c r="U323" i="45"/>
  <c r="U322" i="45"/>
  <c r="U321" i="45"/>
  <c r="U320" i="45"/>
  <c r="U319" i="45"/>
  <c r="U318" i="45"/>
  <c r="U317" i="45"/>
  <c r="U316" i="45"/>
  <c r="U315" i="45"/>
  <c r="U314" i="45"/>
  <c r="U313" i="45"/>
  <c r="U312" i="45"/>
  <c r="U311" i="45"/>
  <c r="U310" i="45"/>
  <c r="U309" i="45"/>
  <c r="U308" i="45"/>
  <c r="U307" i="45"/>
  <c r="U306" i="45"/>
  <c r="U305" i="45"/>
  <c r="U304" i="45"/>
  <c r="U303" i="45"/>
  <c r="U302" i="45"/>
  <c r="U301" i="45"/>
  <c r="U300" i="45"/>
  <c r="U299" i="45"/>
  <c r="U298" i="45"/>
  <c r="U297" i="45"/>
  <c r="U296" i="45"/>
  <c r="U295" i="45"/>
  <c r="U294" i="45"/>
  <c r="U293" i="45"/>
  <c r="U292" i="45"/>
  <c r="U291" i="45"/>
  <c r="U290" i="45"/>
  <c r="U289" i="45"/>
  <c r="U288" i="45"/>
  <c r="U287" i="45"/>
  <c r="U286" i="45"/>
  <c r="U285" i="45"/>
  <c r="U284" i="45"/>
  <c r="U283" i="45"/>
  <c r="U282" i="45"/>
  <c r="U281" i="45"/>
  <c r="U280" i="45"/>
  <c r="U279" i="45"/>
  <c r="U278" i="45"/>
  <c r="U277" i="45"/>
  <c r="U276" i="45"/>
  <c r="U275" i="45"/>
  <c r="U274" i="45"/>
  <c r="U273" i="45"/>
  <c r="U272" i="45"/>
  <c r="U271" i="45"/>
  <c r="U270" i="45"/>
  <c r="U269" i="45"/>
  <c r="U268" i="45"/>
  <c r="U267" i="45"/>
  <c r="U266" i="45"/>
  <c r="U265" i="45"/>
  <c r="U264" i="45"/>
  <c r="U263" i="45"/>
  <c r="U262" i="45"/>
  <c r="U261" i="45"/>
  <c r="U260" i="45"/>
  <c r="U259" i="45"/>
  <c r="U258" i="45"/>
  <c r="U257" i="45"/>
  <c r="U256" i="45"/>
  <c r="U255" i="45"/>
  <c r="U254" i="45"/>
  <c r="U253" i="45"/>
  <c r="U252" i="45"/>
  <c r="U251" i="45"/>
  <c r="U250" i="45"/>
  <c r="U249" i="45"/>
  <c r="U248" i="45"/>
  <c r="U247" i="45"/>
  <c r="U246" i="45"/>
  <c r="U245" i="45"/>
  <c r="U244" i="45"/>
  <c r="U243" i="45"/>
  <c r="U242" i="45"/>
  <c r="U241" i="45"/>
  <c r="U240" i="45"/>
  <c r="U239" i="45"/>
  <c r="U238" i="45"/>
  <c r="U237" i="45"/>
  <c r="U236" i="45"/>
  <c r="U235" i="45"/>
  <c r="U234" i="45"/>
  <c r="U233" i="45"/>
  <c r="U232" i="45"/>
  <c r="U231" i="45"/>
  <c r="U230" i="45"/>
  <c r="U229" i="45"/>
  <c r="U228" i="45"/>
  <c r="U227" i="45"/>
  <c r="U226" i="45"/>
  <c r="U225" i="45"/>
  <c r="U224" i="45"/>
  <c r="U223" i="45"/>
  <c r="U222" i="45"/>
  <c r="U221" i="45"/>
  <c r="U220" i="45"/>
  <c r="U219" i="45"/>
  <c r="U218" i="45"/>
  <c r="U217" i="45"/>
  <c r="U216" i="45"/>
  <c r="U215" i="45"/>
  <c r="U214" i="45"/>
  <c r="U213" i="45"/>
  <c r="U212" i="45"/>
  <c r="U211" i="45"/>
  <c r="U210" i="45"/>
  <c r="U209" i="45"/>
  <c r="U208" i="45"/>
  <c r="U207" i="45"/>
  <c r="U206" i="45"/>
  <c r="U205" i="45"/>
  <c r="U204" i="45"/>
  <c r="U203" i="45"/>
  <c r="U202" i="45"/>
  <c r="U201" i="45"/>
  <c r="U200" i="45"/>
  <c r="U199" i="45"/>
  <c r="U198" i="45"/>
  <c r="U197" i="45"/>
  <c r="U196" i="45"/>
  <c r="U195" i="45"/>
  <c r="U194" i="45"/>
  <c r="U193" i="45"/>
  <c r="U192" i="45"/>
  <c r="U191" i="45"/>
  <c r="U190" i="45"/>
  <c r="U189" i="45"/>
  <c r="U188" i="45"/>
  <c r="U187" i="45"/>
  <c r="U186" i="45"/>
  <c r="U185" i="45"/>
  <c r="U184" i="45"/>
  <c r="U183" i="45"/>
  <c r="U182" i="45"/>
  <c r="U181" i="45"/>
  <c r="U180" i="45"/>
  <c r="U179" i="45"/>
  <c r="U178" i="45"/>
  <c r="U177" i="45"/>
  <c r="U176" i="45"/>
  <c r="U175" i="45"/>
  <c r="U174" i="45"/>
  <c r="U173" i="45"/>
  <c r="U172" i="45"/>
  <c r="U171" i="45"/>
  <c r="U170" i="45"/>
  <c r="U169" i="45"/>
  <c r="U168" i="45"/>
  <c r="U167" i="45"/>
  <c r="U166" i="45"/>
  <c r="U165" i="45"/>
  <c r="U163" i="45"/>
  <c r="U162" i="45"/>
  <c r="U161" i="45"/>
  <c r="U160" i="45"/>
  <c r="U159" i="45"/>
  <c r="U158" i="45"/>
  <c r="U157" i="45"/>
  <c r="U156" i="45"/>
  <c r="U155" i="45"/>
  <c r="U154" i="45"/>
  <c r="U153" i="45"/>
  <c r="U152" i="45"/>
  <c r="U151" i="45"/>
  <c r="U150" i="45"/>
  <c r="U149" i="45"/>
  <c r="U148" i="45"/>
  <c r="U147" i="45"/>
  <c r="U145" i="45"/>
  <c r="U144" i="45"/>
  <c r="U143" i="45"/>
  <c r="U142" i="45"/>
  <c r="U141" i="45"/>
  <c r="U140" i="45"/>
  <c r="U139" i="45"/>
  <c r="U138" i="45"/>
  <c r="U137" i="45"/>
  <c r="U136" i="45"/>
  <c r="U135" i="45"/>
  <c r="U134" i="45"/>
  <c r="U133" i="45"/>
  <c r="U132" i="45"/>
  <c r="U131" i="45"/>
  <c r="U130" i="45"/>
  <c r="U129" i="45"/>
  <c r="U128" i="45"/>
  <c r="U127" i="45"/>
  <c r="U126" i="45"/>
  <c r="U125" i="45"/>
  <c r="U124" i="45"/>
  <c r="U123" i="45"/>
  <c r="U122" i="45"/>
  <c r="U121" i="45"/>
  <c r="U120" i="45"/>
  <c r="U119" i="45"/>
  <c r="U118" i="45"/>
  <c r="U117" i="45"/>
  <c r="U116" i="45"/>
  <c r="U115" i="45"/>
  <c r="U114" i="45"/>
  <c r="U113" i="45"/>
  <c r="U112" i="45"/>
  <c r="U111" i="45"/>
  <c r="U110" i="45"/>
  <c r="U109" i="45"/>
  <c r="U108" i="45"/>
  <c r="U107" i="45"/>
  <c r="U106" i="45"/>
  <c r="U105" i="45"/>
  <c r="U104" i="45"/>
  <c r="U103" i="45"/>
  <c r="U102" i="45"/>
  <c r="U101" i="45"/>
  <c r="U100" i="45"/>
  <c r="U99" i="45"/>
  <c r="U98" i="45"/>
  <c r="U97" i="45"/>
  <c r="U96" i="45"/>
  <c r="U95" i="45"/>
  <c r="U94" i="45"/>
  <c r="U93" i="45"/>
  <c r="U92" i="45"/>
  <c r="U91" i="45"/>
  <c r="U90" i="45"/>
  <c r="U89" i="45"/>
  <c r="U88" i="45"/>
  <c r="U87" i="45"/>
  <c r="U86" i="45"/>
  <c r="U85" i="45"/>
  <c r="U84" i="45"/>
  <c r="U83" i="45"/>
  <c r="U82" i="45"/>
  <c r="U81" i="45"/>
  <c r="U80" i="45"/>
  <c r="U79" i="45"/>
  <c r="U78" i="45"/>
  <c r="U77" i="45"/>
  <c r="U76" i="45"/>
  <c r="U75" i="45"/>
  <c r="U74" i="45"/>
  <c r="U73" i="45"/>
  <c r="U72" i="45"/>
  <c r="U71" i="45"/>
  <c r="U70" i="45"/>
  <c r="U69" i="45"/>
  <c r="U68" i="45"/>
  <c r="U67" i="45"/>
  <c r="U66" i="45"/>
  <c r="U65" i="45"/>
  <c r="U64" i="45"/>
  <c r="U63" i="45"/>
  <c r="U62" i="45"/>
  <c r="U61" i="45"/>
  <c r="U60" i="45"/>
  <c r="U59" i="4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U3" i="45"/>
  <c r="R770" i="45"/>
  <c r="R769" i="45"/>
  <c r="R768" i="45"/>
  <c r="R767" i="45"/>
  <c r="R766" i="45"/>
  <c r="R765" i="45"/>
  <c r="R764" i="45"/>
  <c r="R763" i="45"/>
  <c r="R762" i="45"/>
  <c r="R761" i="45"/>
  <c r="R760" i="45"/>
  <c r="R759" i="45"/>
  <c r="R758" i="45"/>
  <c r="R757" i="45"/>
  <c r="R756" i="45"/>
  <c r="R755" i="45"/>
  <c r="R754" i="45"/>
  <c r="R753" i="45"/>
  <c r="R752" i="45"/>
  <c r="R751" i="45"/>
  <c r="R750" i="45"/>
  <c r="R749" i="45"/>
  <c r="R748" i="45"/>
  <c r="R747" i="45"/>
  <c r="R746" i="45"/>
  <c r="R745" i="45"/>
  <c r="R744" i="45"/>
  <c r="R743" i="45"/>
  <c r="R742" i="45"/>
  <c r="R741" i="45"/>
  <c r="R740" i="45"/>
  <c r="R739" i="45"/>
  <c r="R738" i="45"/>
  <c r="R737" i="45"/>
  <c r="R736" i="45"/>
  <c r="R735" i="45"/>
  <c r="R734" i="45"/>
  <c r="R733" i="45"/>
  <c r="R732" i="45"/>
  <c r="R731" i="45"/>
  <c r="R730" i="45"/>
  <c r="R729" i="45"/>
  <c r="R728" i="45"/>
  <c r="R727" i="45"/>
  <c r="R726" i="45"/>
  <c r="R725" i="45"/>
  <c r="R724" i="45"/>
  <c r="R723" i="45"/>
  <c r="R722" i="45"/>
  <c r="R721" i="45"/>
  <c r="R720" i="45"/>
  <c r="R719" i="45"/>
  <c r="R718" i="45"/>
  <c r="R717" i="45"/>
  <c r="R716" i="45"/>
  <c r="R715" i="45"/>
  <c r="R714" i="45"/>
  <c r="R713" i="45"/>
  <c r="R712" i="45"/>
  <c r="R711" i="45"/>
  <c r="R710" i="45"/>
  <c r="R709" i="45"/>
  <c r="R708" i="45"/>
  <c r="R707" i="45"/>
  <c r="R706" i="45"/>
  <c r="R705" i="45"/>
  <c r="R704" i="45"/>
  <c r="R703" i="45"/>
  <c r="R702" i="45"/>
  <c r="R701" i="45"/>
  <c r="R700" i="45"/>
  <c r="R699" i="45"/>
  <c r="R698" i="45"/>
  <c r="R697" i="45"/>
  <c r="R696" i="45"/>
  <c r="R695" i="45"/>
  <c r="R694" i="45"/>
  <c r="R693" i="45"/>
  <c r="R692" i="45"/>
  <c r="R691" i="45"/>
  <c r="R690" i="45"/>
  <c r="R689" i="45"/>
  <c r="R688" i="45"/>
  <c r="R687" i="45"/>
  <c r="R686" i="45"/>
  <c r="R685" i="45"/>
  <c r="R684" i="45"/>
  <c r="R683" i="45"/>
  <c r="R682" i="45"/>
  <c r="R681" i="45"/>
  <c r="R680" i="45"/>
  <c r="R679" i="45"/>
  <c r="R678" i="45"/>
  <c r="R677" i="45"/>
  <c r="R676" i="45"/>
  <c r="R675" i="45"/>
  <c r="R674" i="45"/>
  <c r="R673" i="45"/>
  <c r="R672" i="45"/>
  <c r="R671" i="45"/>
  <c r="R670" i="45"/>
  <c r="R669" i="45"/>
  <c r="R668" i="45"/>
  <c r="R667" i="45"/>
  <c r="R666" i="45"/>
  <c r="R665" i="45"/>
  <c r="R664" i="45"/>
  <c r="R663" i="45"/>
  <c r="R662" i="45"/>
  <c r="R661" i="45"/>
  <c r="R660" i="45"/>
  <c r="R659" i="45"/>
  <c r="R658" i="45"/>
  <c r="R657" i="45"/>
  <c r="R656" i="45"/>
  <c r="R655" i="45"/>
  <c r="R654" i="45"/>
  <c r="R653" i="45"/>
  <c r="R652" i="45"/>
  <c r="R651" i="45"/>
  <c r="R650" i="45"/>
  <c r="R649" i="45"/>
  <c r="R648" i="45"/>
  <c r="R647" i="45"/>
  <c r="R646" i="45"/>
  <c r="R645" i="45"/>
  <c r="R644" i="45"/>
  <c r="R643" i="45"/>
  <c r="R642" i="45"/>
  <c r="R641" i="45"/>
  <c r="R640" i="45"/>
  <c r="R639" i="45"/>
  <c r="R638" i="45"/>
  <c r="R637" i="45"/>
  <c r="R636" i="45"/>
  <c r="R635" i="45"/>
  <c r="R634" i="45"/>
  <c r="R633" i="45"/>
  <c r="R632" i="45"/>
  <c r="R631" i="45"/>
  <c r="R630" i="45"/>
  <c r="R629" i="45"/>
  <c r="R628" i="45"/>
  <c r="R627" i="45"/>
  <c r="R626" i="45"/>
  <c r="R625" i="45"/>
  <c r="R624" i="45"/>
  <c r="R623" i="45"/>
  <c r="R622" i="45"/>
  <c r="R621" i="45"/>
  <c r="R620" i="45"/>
  <c r="R619" i="45"/>
  <c r="R618" i="45"/>
  <c r="R617" i="45"/>
  <c r="R616" i="45"/>
  <c r="R615" i="45"/>
  <c r="R614" i="45"/>
  <c r="R613" i="45"/>
  <c r="R612" i="45"/>
  <c r="R611" i="45"/>
  <c r="R610" i="45"/>
  <c r="R609" i="45"/>
  <c r="R608" i="45"/>
  <c r="R607" i="45"/>
  <c r="R606" i="45"/>
  <c r="R605" i="45"/>
  <c r="R604" i="45"/>
  <c r="R603" i="45"/>
  <c r="R602" i="45"/>
  <c r="R601" i="45"/>
  <c r="R600" i="45"/>
  <c r="R599" i="45"/>
  <c r="R598" i="45"/>
  <c r="R597" i="45"/>
  <c r="R596" i="45"/>
  <c r="R595" i="45"/>
  <c r="R594" i="45"/>
  <c r="R593" i="45"/>
  <c r="R592" i="45"/>
  <c r="R591" i="45"/>
  <c r="R590" i="45"/>
  <c r="R589" i="45"/>
  <c r="R588" i="45"/>
  <c r="R587" i="45"/>
  <c r="R586" i="45"/>
  <c r="R585" i="45"/>
  <c r="R584" i="45"/>
  <c r="R583" i="45"/>
  <c r="R582" i="45"/>
  <c r="R581" i="45"/>
  <c r="R580" i="45"/>
  <c r="R579" i="45"/>
  <c r="R578" i="45"/>
  <c r="R577" i="45"/>
  <c r="R576" i="45"/>
  <c r="R575" i="45"/>
  <c r="R574" i="45"/>
  <c r="R573" i="45"/>
  <c r="R572" i="45"/>
  <c r="R571" i="45"/>
  <c r="R570" i="45"/>
  <c r="R569" i="45"/>
  <c r="R568" i="45"/>
  <c r="R567" i="45"/>
  <c r="R566" i="45"/>
  <c r="R565" i="45"/>
  <c r="R564" i="45"/>
  <c r="R563" i="45"/>
  <c r="R562" i="45"/>
  <c r="R561" i="45"/>
  <c r="R560" i="45"/>
  <c r="R559" i="45"/>
  <c r="R558" i="45"/>
  <c r="R557" i="45"/>
  <c r="R556" i="45"/>
  <c r="R555" i="45"/>
  <c r="R554" i="45"/>
  <c r="R553" i="45"/>
  <c r="R552" i="45"/>
  <c r="R551" i="45"/>
  <c r="R550" i="45"/>
  <c r="R549" i="45"/>
  <c r="R548" i="45"/>
  <c r="R547" i="45"/>
  <c r="R546" i="45"/>
  <c r="R545" i="45"/>
  <c r="R544" i="45"/>
  <c r="R543" i="45"/>
  <c r="R542" i="45"/>
  <c r="R541" i="45"/>
  <c r="R540" i="45"/>
  <c r="R539" i="45"/>
  <c r="R538" i="45"/>
  <c r="R537" i="45"/>
  <c r="R536" i="45"/>
  <c r="R535" i="45"/>
  <c r="R534" i="45"/>
  <c r="R533" i="45"/>
  <c r="R532" i="45"/>
  <c r="R531" i="45"/>
  <c r="R530" i="45"/>
  <c r="R529" i="45"/>
  <c r="R528" i="45"/>
  <c r="R527" i="45"/>
  <c r="R526" i="45"/>
  <c r="R525" i="45"/>
  <c r="R524" i="45"/>
  <c r="R523" i="45"/>
  <c r="R522" i="45"/>
  <c r="R521" i="45"/>
  <c r="R520" i="45"/>
  <c r="R519" i="45"/>
  <c r="R518" i="45"/>
  <c r="R517" i="45"/>
  <c r="R516" i="45"/>
  <c r="R515" i="45"/>
  <c r="R514" i="45"/>
  <c r="R513" i="45"/>
  <c r="R512" i="45"/>
  <c r="R511" i="45"/>
  <c r="R510" i="45"/>
  <c r="R509" i="45"/>
  <c r="R508" i="45"/>
  <c r="R507" i="45"/>
  <c r="R506" i="45"/>
  <c r="R505" i="45"/>
  <c r="R504" i="45"/>
  <c r="R502" i="45"/>
  <c r="R501" i="45"/>
  <c r="R500" i="45"/>
  <c r="R499" i="45"/>
  <c r="R498" i="45"/>
  <c r="R497" i="45"/>
  <c r="R496" i="45"/>
  <c r="R495" i="45"/>
  <c r="R494" i="45"/>
  <c r="R493" i="45"/>
  <c r="R492" i="45"/>
  <c r="R491" i="45"/>
  <c r="R490" i="45"/>
  <c r="R489" i="45"/>
  <c r="R488" i="45"/>
  <c r="R487" i="45"/>
  <c r="R486" i="45"/>
  <c r="R485" i="45"/>
  <c r="R484" i="45"/>
  <c r="R483" i="45"/>
  <c r="R482" i="45"/>
  <c r="R481" i="45"/>
  <c r="R480" i="45"/>
  <c r="R479" i="45"/>
  <c r="R478" i="45"/>
  <c r="R477" i="45"/>
  <c r="R476" i="45"/>
  <c r="R475" i="45"/>
  <c r="R474" i="45"/>
  <c r="R473" i="45"/>
  <c r="R472" i="45"/>
  <c r="R471" i="45"/>
  <c r="R470" i="45"/>
  <c r="R469" i="45"/>
  <c r="R468" i="45"/>
  <c r="R467" i="45"/>
  <c r="R466" i="45"/>
  <c r="R465" i="45"/>
  <c r="R464" i="45"/>
  <c r="R463" i="45"/>
  <c r="R462" i="45"/>
  <c r="R461" i="45"/>
  <c r="R460" i="45"/>
  <c r="R459" i="45"/>
  <c r="R458" i="45"/>
  <c r="R457" i="45"/>
  <c r="R456" i="45"/>
  <c r="R455" i="45"/>
  <c r="R454" i="45"/>
  <c r="R453" i="45"/>
  <c r="R452" i="45"/>
  <c r="R451" i="45"/>
  <c r="R450" i="45"/>
  <c r="R449" i="45"/>
  <c r="R448" i="45"/>
  <c r="R447" i="45"/>
  <c r="R446" i="45"/>
  <c r="R445" i="45"/>
  <c r="R444" i="45"/>
  <c r="R443" i="45"/>
  <c r="R442" i="45"/>
  <c r="R441" i="45"/>
  <c r="R440" i="45"/>
  <c r="R439" i="45"/>
  <c r="R438" i="45"/>
  <c r="R437" i="45"/>
  <c r="R436" i="45"/>
  <c r="R435" i="45"/>
  <c r="R434" i="45"/>
  <c r="R433" i="45"/>
  <c r="R432" i="45"/>
  <c r="R431" i="45"/>
  <c r="R430" i="45"/>
  <c r="R429" i="45"/>
  <c r="R428" i="45"/>
  <c r="R427" i="45"/>
  <c r="R426" i="45"/>
  <c r="R425" i="45"/>
  <c r="R424" i="45"/>
  <c r="R423" i="45"/>
  <c r="R422" i="45"/>
  <c r="R421" i="45"/>
  <c r="R420" i="45"/>
  <c r="R419" i="45"/>
  <c r="R418" i="45"/>
  <c r="R417" i="45"/>
  <c r="R416" i="45"/>
  <c r="R415" i="45"/>
  <c r="R414" i="45"/>
  <c r="R413" i="45"/>
  <c r="R412" i="45"/>
  <c r="R411" i="45"/>
  <c r="R410" i="45"/>
  <c r="R409" i="45"/>
  <c r="R408" i="45"/>
  <c r="R407" i="45"/>
  <c r="R406" i="45"/>
  <c r="R405" i="45"/>
  <c r="R404" i="45"/>
  <c r="R403" i="45"/>
  <c r="R402" i="45"/>
  <c r="R401" i="45"/>
  <c r="R400" i="45"/>
  <c r="R399" i="45"/>
  <c r="R398" i="45"/>
  <c r="R397" i="45"/>
  <c r="R396" i="45"/>
  <c r="R395" i="45"/>
  <c r="R394" i="45"/>
  <c r="R393" i="45"/>
  <c r="R392" i="45"/>
  <c r="R391" i="45"/>
  <c r="R390" i="45"/>
  <c r="R389" i="45"/>
  <c r="R388" i="45"/>
  <c r="R387" i="45"/>
  <c r="R386" i="45"/>
  <c r="R385" i="45"/>
  <c r="R384" i="45"/>
  <c r="R383" i="45"/>
  <c r="R382" i="45"/>
  <c r="R381" i="45"/>
  <c r="R380" i="45"/>
  <c r="R379" i="45"/>
  <c r="R378" i="45"/>
  <c r="R377" i="45"/>
  <c r="R376" i="45"/>
  <c r="R375" i="45"/>
  <c r="R374" i="45"/>
  <c r="R373" i="45"/>
  <c r="R372" i="45"/>
  <c r="R371" i="45"/>
  <c r="R370" i="45"/>
  <c r="R369" i="45"/>
  <c r="R368" i="45"/>
  <c r="R367" i="45"/>
  <c r="R366" i="45"/>
  <c r="R365" i="45"/>
  <c r="R364" i="45"/>
  <c r="R363" i="45"/>
  <c r="R362" i="45"/>
  <c r="R361" i="45"/>
  <c r="R360" i="45"/>
  <c r="R359" i="45"/>
  <c r="R358" i="45"/>
  <c r="R357" i="45"/>
  <c r="R356" i="45"/>
  <c r="R355" i="45"/>
  <c r="R354" i="45"/>
  <c r="R353" i="45"/>
  <c r="R352" i="45"/>
  <c r="R351" i="45"/>
  <c r="R350" i="45"/>
  <c r="R349" i="45"/>
  <c r="R348" i="45"/>
  <c r="R347" i="45"/>
  <c r="R346" i="45"/>
  <c r="R345" i="45"/>
  <c r="R344" i="45"/>
  <c r="R343" i="45"/>
  <c r="R342" i="45"/>
  <c r="R341" i="45"/>
  <c r="R340" i="45"/>
  <c r="R339" i="45"/>
  <c r="R338" i="45"/>
  <c r="R337" i="45"/>
  <c r="R336" i="45"/>
  <c r="R335" i="45"/>
  <c r="R334" i="45"/>
  <c r="R333" i="45"/>
  <c r="R332" i="45"/>
  <c r="R331" i="45"/>
  <c r="R330" i="45"/>
  <c r="R329" i="45"/>
  <c r="R328" i="45"/>
  <c r="R327" i="45"/>
  <c r="R326" i="45"/>
  <c r="R325" i="45"/>
  <c r="R324" i="45"/>
  <c r="R323" i="45"/>
  <c r="R322" i="45"/>
  <c r="R321" i="45"/>
  <c r="R320" i="45"/>
  <c r="R319" i="45"/>
  <c r="R318" i="45"/>
  <c r="R317" i="45"/>
  <c r="R316" i="45"/>
  <c r="R315" i="45"/>
  <c r="R314" i="45"/>
  <c r="R313" i="45"/>
  <c r="R312" i="45"/>
  <c r="R311" i="45"/>
  <c r="R310" i="45"/>
  <c r="R309" i="45"/>
  <c r="R308" i="45"/>
  <c r="R307" i="45"/>
  <c r="R306" i="45"/>
  <c r="R305" i="45"/>
  <c r="R304" i="45"/>
  <c r="R303" i="45"/>
  <c r="R302" i="45"/>
  <c r="R301" i="45"/>
  <c r="R300" i="45"/>
  <c r="R299" i="45"/>
  <c r="R298" i="45"/>
  <c r="R297" i="45"/>
  <c r="R296" i="45"/>
  <c r="R295" i="45"/>
  <c r="R294" i="45"/>
  <c r="R293" i="45"/>
  <c r="R292" i="45"/>
  <c r="R291" i="45"/>
  <c r="R290" i="45"/>
  <c r="R289" i="45"/>
  <c r="R288" i="45"/>
  <c r="R287" i="45"/>
  <c r="R286" i="45"/>
  <c r="R285" i="45"/>
  <c r="R284" i="45"/>
  <c r="R283" i="45"/>
  <c r="R282" i="45"/>
  <c r="R281" i="45"/>
  <c r="R280" i="45"/>
  <c r="R279" i="45"/>
  <c r="R278" i="45"/>
  <c r="R277" i="45"/>
  <c r="R276" i="45"/>
  <c r="R275" i="45"/>
  <c r="R274" i="45"/>
  <c r="R273" i="45"/>
  <c r="R272" i="45"/>
  <c r="R271" i="45"/>
  <c r="R270" i="45"/>
  <c r="R269" i="45"/>
  <c r="R268" i="45"/>
  <c r="R267" i="45"/>
  <c r="R266" i="45"/>
  <c r="R265" i="45"/>
  <c r="R264" i="45"/>
  <c r="R263" i="45"/>
  <c r="R262" i="45"/>
  <c r="R261" i="45"/>
  <c r="R260" i="45"/>
  <c r="R259" i="45"/>
  <c r="R258" i="45"/>
  <c r="R257" i="45"/>
  <c r="R256" i="45"/>
  <c r="R255" i="45"/>
  <c r="R254" i="45"/>
  <c r="R253" i="45"/>
  <c r="R252" i="45"/>
  <c r="R251" i="45"/>
  <c r="R250" i="45"/>
  <c r="R249" i="45"/>
  <c r="R248" i="45"/>
  <c r="R247" i="45"/>
  <c r="R246" i="45"/>
  <c r="R245" i="45"/>
  <c r="R244" i="45"/>
  <c r="R243" i="45"/>
  <c r="R242" i="45"/>
  <c r="R241" i="45"/>
  <c r="R240" i="45"/>
  <c r="R239" i="45"/>
  <c r="R238" i="45"/>
  <c r="R237" i="45"/>
  <c r="R236" i="45"/>
  <c r="R235" i="45"/>
  <c r="R234" i="45"/>
  <c r="R233" i="45"/>
  <c r="R232" i="45"/>
  <c r="R231" i="45"/>
  <c r="R230" i="45"/>
  <c r="R229" i="45"/>
  <c r="R228" i="45"/>
  <c r="R227" i="45"/>
  <c r="R226" i="45"/>
  <c r="R225" i="45"/>
  <c r="R224" i="45"/>
  <c r="R223" i="45"/>
  <c r="R222" i="45"/>
  <c r="R221" i="45"/>
  <c r="R220" i="45"/>
  <c r="R219" i="45"/>
  <c r="R218" i="45"/>
  <c r="R217" i="45"/>
  <c r="R216" i="45"/>
  <c r="R215" i="45"/>
  <c r="R214" i="45"/>
  <c r="R213" i="45"/>
  <c r="R212" i="45"/>
  <c r="R211" i="45"/>
  <c r="R210" i="45"/>
  <c r="R209" i="45"/>
  <c r="R208" i="45"/>
  <c r="R207" i="45"/>
  <c r="R206" i="45"/>
  <c r="R205" i="45"/>
  <c r="R204" i="45"/>
  <c r="R203" i="45"/>
  <c r="R202" i="45"/>
  <c r="R201" i="45"/>
  <c r="R200" i="45"/>
  <c r="R199" i="45"/>
  <c r="R198" i="45"/>
  <c r="R197" i="45"/>
  <c r="R196" i="45"/>
  <c r="R195" i="45"/>
  <c r="R194" i="45"/>
  <c r="R193" i="45"/>
  <c r="R192" i="45"/>
  <c r="R191" i="45"/>
  <c r="R190" i="45"/>
  <c r="R189" i="45"/>
  <c r="R188" i="45"/>
  <c r="R187" i="45"/>
  <c r="R186" i="45"/>
  <c r="R185" i="45"/>
  <c r="R184" i="45"/>
  <c r="R183" i="45"/>
  <c r="R182" i="45"/>
  <c r="R181" i="45"/>
  <c r="R180" i="45"/>
  <c r="R179" i="45"/>
  <c r="R178" i="45"/>
  <c r="R177" i="45"/>
  <c r="R176" i="45"/>
  <c r="R175" i="45"/>
  <c r="R174" i="45"/>
  <c r="R173" i="45"/>
  <c r="R172" i="45"/>
  <c r="R171" i="45"/>
  <c r="R170" i="45"/>
  <c r="R169" i="45"/>
  <c r="R168" i="45"/>
  <c r="R167" i="45"/>
  <c r="R166" i="45"/>
  <c r="R165" i="45"/>
  <c r="R163" i="45"/>
  <c r="R162" i="45"/>
  <c r="R161" i="45"/>
  <c r="R160" i="45"/>
  <c r="R159" i="45"/>
  <c r="R158" i="45"/>
  <c r="R157" i="45"/>
  <c r="R156" i="45"/>
  <c r="R155" i="45"/>
  <c r="R154" i="45"/>
  <c r="R153" i="45"/>
  <c r="R152" i="45"/>
  <c r="R151" i="45"/>
  <c r="R150" i="45"/>
  <c r="R149" i="45"/>
  <c r="R148" i="45"/>
  <c r="R147" i="45"/>
  <c r="R145" i="45"/>
  <c r="R144" i="45"/>
  <c r="R143" i="45"/>
  <c r="R142" i="45"/>
  <c r="R141" i="45"/>
  <c r="R140" i="45"/>
  <c r="R139" i="45"/>
  <c r="R138" i="45"/>
  <c r="R137" i="45"/>
  <c r="R136" i="45"/>
  <c r="R135" i="45"/>
  <c r="R134" i="45"/>
  <c r="R133" i="45"/>
  <c r="R132" i="45"/>
  <c r="R131" i="45"/>
  <c r="R130" i="45"/>
  <c r="R129" i="45"/>
  <c r="R128" i="45"/>
  <c r="R127" i="45"/>
  <c r="R126" i="45"/>
  <c r="R125" i="45"/>
  <c r="R124" i="45"/>
  <c r="R123" i="45"/>
  <c r="R122" i="45"/>
  <c r="R121" i="45"/>
  <c r="R120" i="45"/>
  <c r="R119" i="45"/>
  <c r="R118" i="45"/>
  <c r="R117" i="45"/>
  <c r="R116" i="45"/>
  <c r="R115" i="45"/>
  <c r="R114" i="45"/>
  <c r="R113" i="45"/>
  <c r="R112" i="45"/>
  <c r="R111" i="45"/>
  <c r="R110" i="45"/>
  <c r="R109" i="45"/>
  <c r="R108" i="45"/>
  <c r="R107" i="45"/>
  <c r="R106" i="45"/>
  <c r="R105" i="45"/>
  <c r="R104" i="45"/>
  <c r="R103" i="45"/>
  <c r="R102" i="45"/>
  <c r="R101" i="45"/>
  <c r="R100" i="45"/>
  <c r="R99" i="45"/>
  <c r="R98" i="45"/>
  <c r="R97" i="45"/>
  <c r="R96" i="45"/>
  <c r="R95" i="45"/>
  <c r="R94" i="45"/>
  <c r="R93" i="45"/>
  <c r="R92" i="45"/>
  <c r="R91" i="45"/>
  <c r="R90" i="45"/>
  <c r="R89" i="45"/>
  <c r="R88" i="45"/>
  <c r="R87" i="45"/>
  <c r="R86" i="45"/>
  <c r="R85" i="45"/>
  <c r="R84" i="45"/>
  <c r="R83" i="45"/>
  <c r="R82" i="45"/>
  <c r="R81" i="45"/>
  <c r="R80" i="45"/>
  <c r="R79" i="45"/>
  <c r="R78" i="45"/>
  <c r="R77" i="45"/>
  <c r="R76" i="45"/>
  <c r="R75" i="45"/>
  <c r="R74" i="45"/>
  <c r="R73" i="45"/>
  <c r="R72" i="45"/>
  <c r="R71" i="45"/>
  <c r="R70" i="45"/>
  <c r="R69" i="45"/>
  <c r="R68" i="45"/>
  <c r="R67" i="45"/>
  <c r="R66" i="45"/>
  <c r="R65" i="45"/>
  <c r="R64" i="45"/>
  <c r="R63" i="45"/>
  <c r="R62" i="45"/>
  <c r="R61" i="45"/>
  <c r="R60" i="45"/>
  <c r="R59" i="45"/>
  <c r="R58" i="45"/>
  <c r="R57" i="45"/>
  <c r="R56" i="45"/>
  <c r="R55" i="45"/>
  <c r="R54" i="45"/>
  <c r="R53" i="45"/>
  <c r="R52" i="45"/>
  <c r="R51" i="45"/>
  <c r="R50" i="45"/>
  <c r="R49" i="45"/>
  <c r="R48" i="45"/>
  <c r="R47" i="45"/>
  <c r="R46" i="45"/>
  <c r="R45" i="45"/>
  <c r="R44" i="45"/>
  <c r="R43" i="45"/>
  <c r="R42" i="45"/>
  <c r="R41" i="45"/>
  <c r="R40" i="45"/>
  <c r="R39" i="45"/>
  <c r="R38" i="45"/>
  <c r="R37" i="45"/>
  <c r="R36" i="45"/>
  <c r="R35" i="45"/>
  <c r="R34" i="45"/>
  <c r="R33" i="45"/>
  <c r="R32" i="45"/>
  <c r="R31" i="45"/>
  <c r="R30" i="45"/>
  <c r="R29" i="45"/>
  <c r="R28" i="45"/>
  <c r="R27" i="45"/>
  <c r="R26" i="45"/>
  <c r="R25" i="45"/>
  <c r="R24" i="45"/>
  <c r="R23" i="45"/>
  <c r="R22" i="45"/>
  <c r="R21" i="45"/>
  <c r="R20" i="45"/>
  <c r="R19" i="45"/>
  <c r="R18" i="45"/>
  <c r="R17" i="45"/>
  <c r="R16" i="45"/>
  <c r="R15" i="45"/>
  <c r="R14" i="45"/>
  <c r="R13" i="45"/>
  <c r="R12" i="45"/>
  <c r="R11" i="45"/>
  <c r="R10" i="45"/>
  <c r="R9" i="45"/>
  <c r="R8" i="45"/>
  <c r="R7" i="45"/>
  <c r="R6" i="45"/>
  <c r="R5" i="45"/>
  <c r="R4" i="45"/>
  <c r="R3" i="45"/>
  <c r="O770" i="45"/>
  <c r="O769" i="45"/>
  <c r="O768" i="45"/>
  <c r="O767" i="45"/>
  <c r="O766" i="45"/>
  <c r="O765" i="45"/>
  <c r="O764" i="45"/>
  <c r="O763" i="45"/>
  <c r="O762" i="45"/>
  <c r="O761" i="45"/>
  <c r="O760" i="45"/>
  <c r="O759" i="45"/>
  <c r="O758" i="45"/>
  <c r="O757" i="45"/>
  <c r="O756" i="45"/>
  <c r="O755" i="45"/>
  <c r="O754" i="45"/>
  <c r="O753" i="45"/>
  <c r="O752" i="45"/>
  <c r="O751" i="45"/>
  <c r="O750" i="45"/>
  <c r="O749" i="45"/>
  <c r="O748" i="45"/>
  <c r="O747" i="45"/>
  <c r="O746" i="45"/>
  <c r="O745" i="45"/>
  <c r="O744" i="45"/>
  <c r="O743" i="45"/>
  <c r="O742" i="45"/>
  <c r="O741" i="45"/>
  <c r="O740" i="45"/>
  <c r="O739" i="45"/>
  <c r="O738" i="45"/>
  <c r="O737" i="45"/>
  <c r="O736" i="45"/>
  <c r="O735" i="45"/>
  <c r="O734" i="45"/>
  <c r="O733" i="45"/>
  <c r="O732" i="45"/>
  <c r="O731" i="45"/>
  <c r="O730" i="45"/>
  <c r="O729" i="45"/>
  <c r="O728" i="45"/>
  <c r="O727" i="45"/>
  <c r="O726" i="45"/>
  <c r="O725" i="45"/>
  <c r="O724" i="45"/>
  <c r="O723" i="45"/>
  <c r="O722" i="45"/>
  <c r="O721" i="45"/>
  <c r="O720" i="45"/>
  <c r="O719" i="45"/>
  <c r="O718" i="45"/>
  <c r="O717" i="45"/>
  <c r="O716" i="45"/>
  <c r="O715" i="45"/>
  <c r="O714" i="45"/>
  <c r="O713" i="45"/>
  <c r="O712" i="45"/>
  <c r="O711" i="45"/>
  <c r="O710" i="45"/>
  <c r="O709" i="45"/>
  <c r="O708" i="45"/>
  <c r="O707" i="45"/>
  <c r="O706" i="45"/>
  <c r="O705" i="45"/>
  <c r="O704" i="45"/>
  <c r="O703" i="45"/>
  <c r="O702" i="45"/>
  <c r="O701" i="45"/>
  <c r="O700" i="45"/>
  <c r="O699" i="45"/>
  <c r="O698" i="45"/>
  <c r="O697" i="45"/>
  <c r="O696" i="45"/>
  <c r="O695" i="45"/>
  <c r="O694" i="45"/>
  <c r="O693" i="45"/>
  <c r="O692" i="45"/>
  <c r="O691" i="45"/>
  <c r="O690" i="45"/>
  <c r="O689" i="45"/>
  <c r="O688" i="45"/>
  <c r="O687" i="45"/>
  <c r="O686" i="45"/>
  <c r="O685" i="45"/>
  <c r="O684" i="45"/>
  <c r="O683" i="45"/>
  <c r="O682" i="45"/>
  <c r="O681" i="45"/>
  <c r="O680" i="45"/>
  <c r="O679" i="45"/>
  <c r="O678" i="45"/>
  <c r="O677" i="45"/>
  <c r="O676" i="45"/>
  <c r="O675" i="45"/>
  <c r="O674" i="45"/>
  <c r="O673" i="45"/>
  <c r="O672" i="45"/>
  <c r="O671" i="45"/>
  <c r="O670" i="45"/>
  <c r="O669" i="45"/>
  <c r="O668" i="45"/>
  <c r="O667" i="45"/>
  <c r="O666" i="45"/>
  <c r="O665" i="45"/>
  <c r="O664" i="45"/>
  <c r="O663" i="45"/>
  <c r="O662" i="45"/>
  <c r="O661" i="45"/>
  <c r="O660" i="45"/>
  <c r="O659" i="45"/>
  <c r="O658" i="45"/>
  <c r="O657" i="45"/>
  <c r="O656" i="45"/>
  <c r="O655" i="45"/>
  <c r="O654" i="45"/>
  <c r="O653" i="45"/>
  <c r="O652" i="45"/>
  <c r="O651" i="45"/>
  <c r="O650" i="45"/>
  <c r="O649" i="45"/>
  <c r="O648" i="45"/>
  <c r="O647" i="45"/>
  <c r="O646" i="45"/>
  <c r="O645" i="45"/>
  <c r="O644" i="45"/>
  <c r="O643" i="45"/>
  <c r="O642" i="45"/>
  <c r="O641" i="45"/>
  <c r="O640" i="45"/>
  <c r="O639" i="45"/>
  <c r="O638" i="45"/>
  <c r="O637" i="45"/>
  <c r="O636" i="45"/>
  <c r="O635" i="45"/>
  <c r="O634" i="45"/>
  <c r="O633" i="45"/>
  <c r="O632" i="45"/>
  <c r="O631" i="45"/>
  <c r="O630" i="45"/>
  <c r="O629" i="45"/>
  <c r="O628" i="45"/>
  <c r="O627" i="45"/>
  <c r="O626" i="45"/>
  <c r="O625" i="45"/>
  <c r="O624" i="45"/>
  <c r="O623" i="45"/>
  <c r="O622" i="45"/>
  <c r="O621" i="45"/>
  <c r="O620" i="45"/>
  <c r="O619" i="45"/>
  <c r="O618" i="45"/>
  <c r="O617" i="45"/>
  <c r="O616" i="45"/>
  <c r="O615" i="45"/>
  <c r="O614" i="45"/>
  <c r="O613" i="45"/>
  <c r="O612" i="45"/>
  <c r="O611" i="45"/>
  <c r="O610" i="45"/>
  <c r="O609" i="45"/>
  <c r="O608" i="45"/>
  <c r="O607" i="45"/>
  <c r="O606" i="45"/>
  <c r="O605" i="45"/>
  <c r="O604" i="45"/>
  <c r="O603" i="45"/>
  <c r="O602" i="45"/>
  <c r="O601" i="45"/>
  <c r="O600" i="45"/>
  <c r="O599" i="45"/>
  <c r="O598" i="45"/>
  <c r="O597" i="45"/>
  <c r="O596" i="45"/>
  <c r="O595" i="45"/>
  <c r="O594" i="45"/>
  <c r="O593" i="45"/>
  <c r="O592" i="45"/>
  <c r="O591" i="45"/>
  <c r="O590" i="45"/>
  <c r="O589" i="45"/>
  <c r="O588" i="45"/>
  <c r="O587" i="45"/>
  <c r="O586" i="45"/>
  <c r="O585" i="45"/>
  <c r="O584" i="45"/>
  <c r="O583" i="45"/>
  <c r="O582" i="45"/>
  <c r="O581" i="45"/>
  <c r="O580" i="45"/>
  <c r="O579" i="45"/>
  <c r="O578" i="45"/>
  <c r="O577" i="45"/>
  <c r="O576" i="45"/>
  <c r="O575" i="45"/>
  <c r="O574" i="45"/>
  <c r="O573" i="45"/>
  <c r="O572" i="45"/>
  <c r="O571" i="45"/>
  <c r="O570" i="45"/>
  <c r="O569" i="45"/>
  <c r="O568" i="45"/>
  <c r="O567" i="45"/>
  <c r="O566" i="45"/>
  <c r="O565" i="45"/>
  <c r="O564" i="45"/>
  <c r="O563" i="45"/>
  <c r="O562" i="45"/>
  <c r="O561" i="45"/>
  <c r="O560" i="45"/>
  <c r="O559" i="45"/>
  <c r="O558" i="45"/>
  <c r="O557" i="45"/>
  <c r="O556" i="45"/>
  <c r="O555" i="45"/>
  <c r="O554" i="45"/>
  <c r="O553" i="45"/>
  <c r="O552" i="45"/>
  <c r="O551" i="45"/>
  <c r="O550" i="45"/>
  <c r="O549" i="45"/>
  <c r="O548" i="45"/>
  <c r="O547" i="45"/>
  <c r="O546" i="45"/>
  <c r="O545" i="45"/>
  <c r="O544" i="45"/>
  <c r="O543" i="45"/>
  <c r="O542" i="45"/>
  <c r="O541" i="45"/>
  <c r="O540" i="45"/>
  <c r="O539" i="45"/>
  <c r="O538" i="45"/>
  <c r="O537" i="45"/>
  <c r="O536" i="45"/>
  <c r="O535" i="45"/>
  <c r="O534" i="45"/>
  <c r="O533" i="45"/>
  <c r="O532" i="45"/>
  <c r="O531" i="45"/>
  <c r="O530" i="45"/>
  <c r="O529" i="45"/>
  <c r="O528" i="45"/>
  <c r="O527" i="45"/>
  <c r="O526" i="45"/>
  <c r="O525" i="45"/>
  <c r="O524" i="45"/>
  <c r="O523" i="45"/>
  <c r="O522" i="45"/>
  <c r="O521" i="45"/>
  <c r="O520" i="45"/>
  <c r="O519" i="45"/>
  <c r="O518" i="45"/>
  <c r="O517" i="45"/>
  <c r="O516" i="45"/>
  <c r="O515" i="45"/>
  <c r="O514" i="45"/>
  <c r="O513" i="45"/>
  <c r="O512" i="45"/>
  <c r="O511" i="45"/>
  <c r="O510" i="45"/>
  <c r="O509" i="45"/>
  <c r="O508" i="45"/>
  <c r="O507" i="45"/>
  <c r="O506" i="45"/>
  <c r="O505" i="45"/>
  <c r="O504" i="45"/>
  <c r="O502" i="45"/>
  <c r="O501" i="45"/>
  <c r="O500" i="45"/>
  <c r="O499" i="45"/>
  <c r="O498" i="45"/>
  <c r="O497" i="45"/>
  <c r="O496" i="45"/>
  <c r="O495" i="45"/>
  <c r="O494" i="45"/>
  <c r="O493" i="45"/>
  <c r="O492" i="45"/>
  <c r="O491" i="45"/>
  <c r="O490" i="45"/>
  <c r="O489" i="45"/>
  <c r="O488" i="45"/>
  <c r="O487" i="45"/>
  <c r="O486" i="45"/>
  <c r="O485" i="45"/>
  <c r="O484" i="45"/>
  <c r="O483" i="45"/>
  <c r="O482" i="45"/>
  <c r="O481" i="45"/>
  <c r="O480" i="45"/>
  <c r="O479" i="45"/>
  <c r="O478" i="45"/>
  <c r="O477" i="45"/>
  <c r="O476" i="45"/>
  <c r="O475" i="45"/>
  <c r="O474" i="45"/>
  <c r="O473" i="45"/>
  <c r="O472" i="45"/>
  <c r="O471" i="45"/>
  <c r="O470" i="45"/>
  <c r="O469" i="45"/>
  <c r="O468" i="45"/>
  <c r="O467" i="45"/>
  <c r="O466" i="45"/>
  <c r="O465" i="45"/>
  <c r="O464" i="45"/>
  <c r="O463" i="45"/>
  <c r="O462" i="45"/>
  <c r="O461" i="45"/>
  <c r="O460" i="45"/>
  <c r="O459" i="45"/>
  <c r="O458" i="45"/>
  <c r="O457" i="45"/>
  <c r="O456" i="45"/>
  <c r="O455" i="45"/>
  <c r="O454" i="45"/>
  <c r="O453" i="45"/>
  <c r="O452" i="45"/>
  <c r="O451" i="45"/>
  <c r="O450" i="45"/>
  <c r="O449" i="45"/>
  <c r="O448" i="45"/>
  <c r="O447" i="45"/>
  <c r="O446" i="45"/>
  <c r="O445" i="45"/>
  <c r="O444" i="45"/>
  <c r="O443" i="45"/>
  <c r="O442" i="45"/>
  <c r="O441" i="45"/>
  <c r="O440" i="45"/>
  <c r="O439" i="45"/>
  <c r="O438" i="45"/>
  <c r="O437" i="45"/>
  <c r="O436" i="45"/>
  <c r="O435" i="45"/>
  <c r="O434" i="45"/>
  <c r="O433" i="45"/>
  <c r="O432" i="45"/>
  <c r="O431" i="45"/>
  <c r="O430" i="45"/>
  <c r="O429" i="45"/>
  <c r="O428" i="45"/>
  <c r="O427" i="45"/>
  <c r="O426" i="45"/>
  <c r="O425" i="45"/>
  <c r="O424" i="45"/>
  <c r="O423" i="45"/>
  <c r="O422" i="45"/>
  <c r="O421" i="45"/>
  <c r="O420" i="45"/>
  <c r="O419" i="45"/>
  <c r="O418" i="45"/>
  <c r="O417" i="45"/>
  <c r="O416" i="45"/>
  <c r="O415" i="45"/>
  <c r="O414" i="45"/>
  <c r="O413" i="45"/>
  <c r="O412" i="45"/>
  <c r="O411" i="45"/>
  <c r="O410" i="45"/>
  <c r="O409" i="45"/>
  <c r="O408" i="45"/>
  <c r="O407" i="45"/>
  <c r="O406" i="45"/>
  <c r="O405" i="45"/>
  <c r="O404" i="45"/>
  <c r="O403" i="45"/>
  <c r="O402" i="45"/>
  <c r="O401" i="45"/>
  <c r="O400" i="45"/>
  <c r="O399" i="45"/>
  <c r="O398" i="45"/>
  <c r="O397" i="45"/>
  <c r="O396" i="45"/>
  <c r="O395" i="45"/>
  <c r="O394" i="45"/>
  <c r="O393" i="45"/>
  <c r="O392" i="45"/>
  <c r="O391" i="45"/>
  <c r="O390" i="45"/>
  <c r="O389" i="45"/>
  <c r="O388" i="45"/>
  <c r="O387" i="45"/>
  <c r="O386" i="45"/>
  <c r="O385" i="45"/>
  <c r="O384" i="45"/>
  <c r="O383" i="45"/>
  <c r="O382" i="45"/>
  <c r="O381" i="45"/>
  <c r="O380" i="45"/>
  <c r="O379" i="45"/>
  <c r="O378" i="45"/>
  <c r="O377" i="45"/>
  <c r="O376" i="45"/>
  <c r="O375" i="45"/>
  <c r="O374" i="45"/>
  <c r="O373" i="45"/>
  <c r="O372" i="45"/>
  <c r="O371" i="45"/>
  <c r="O370" i="45"/>
  <c r="O369" i="45"/>
  <c r="O368" i="45"/>
  <c r="O367" i="45"/>
  <c r="O366" i="45"/>
  <c r="O365" i="45"/>
  <c r="O364" i="45"/>
  <c r="O363" i="45"/>
  <c r="O362" i="45"/>
  <c r="O361" i="45"/>
  <c r="O360" i="45"/>
  <c r="O359" i="45"/>
  <c r="O358" i="45"/>
  <c r="O357" i="45"/>
  <c r="O356" i="45"/>
  <c r="O355" i="45"/>
  <c r="O354" i="45"/>
  <c r="O353" i="45"/>
  <c r="O352" i="45"/>
  <c r="O351" i="45"/>
  <c r="O350" i="45"/>
  <c r="O349" i="45"/>
  <c r="O348" i="45"/>
  <c r="O347" i="45"/>
  <c r="O346" i="45"/>
  <c r="O345" i="45"/>
  <c r="O344" i="45"/>
  <c r="O343" i="45"/>
  <c r="O342" i="45"/>
  <c r="O341" i="45"/>
  <c r="O340" i="45"/>
  <c r="O339" i="45"/>
  <c r="O338" i="45"/>
  <c r="O337" i="45"/>
  <c r="O336" i="45"/>
  <c r="O335" i="45"/>
  <c r="O334" i="45"/>
  <c r="O333" i="45"/>
  <c r="O332" i="45"/>
  <c r="O331" i="45"/>
  <c r="O330" i="45"/>
  <c r="O329" i="45"/>
  <c r="O328" i="45"/>
  <c r="O327" i="45"/>
  <c r="O326" i="45"/>
  <c r="O325" i="45"/>
  <c r="O324" i="45"/>
  <c r="O323" i="45"/>
  <c r="O322" i="45"/>
  <c r="O321" i="45"/>
  <c r="O320" i="45"/>
  <c r="O319" i="45"/>
  <c r="O318" i="45"/>
  <c r="O317" i="45"/>
  <c r="O316" i="45"/>
  <c r="O315" i="45"/>
  <c r="O314" i="45"/>
  <c r="O313" i="45"/>
  <c r="O312" i="45"/>
  <c r="O311" i="45"/>
  <c r="O310" i="45"/>
  <c r="O309" i="45"/>
  <c r="O308" i="45"/>
  <c r="O307" i="45"/>
  <c r="O306" i="45"/>
  <c r="O305" i="45"/>
  <c r="O304" i="45"/>
  <c r="O303" i="45"/>
  <c r="O302" i="45"/>
  <c r="O301" i="45"/>
  <c r="O300" i="45"/>
  <c r="O299" i="45"/>
  <c r="O298" i="45"/>
  <c r="O297" i="45"/>
  <c r="O296" i="45"/>
  <c r="O295" i="45"/>
  <c r="O294" i="45"/>
  <c r="O293" i="45"/>
  <c r="O292" i="45"/>
  <c r="O291" i="45"/>
  <c r="O290" i="45"/>
  <c r="O289" i="45"/>
  <c r="O288" i="45"/>
  <c r="O287" i="45"/>
  <c r="O286" i="45"/>
  <c r="O285" i="45"/>
  <c r="O284" i="45"/>
  <c r="O283" i="45"/>
  <c r="O282" i="45"/>
  <c r="O281" i="45"/>
  <c r="O280" i="45"/>
  <c r="O279" i="45"/>
  <c r="O278" i="45"/>
  <c r="O277" i="45"/>
  <c r="O276" i="45"/>
  <c r="O275" i="45"/>
  <c r="O274" i="45"/>
  <c r="O273" i="45"/>
  <c r="O272" i="45"/>
  <c r="O271" i="45"/>
  <c r="O270" i="45"/>
  <c r="O269" i="45"/>
  <c r="O268" i="45"/>
  <c r="O267" i="45"/>
  <c r="O266" i="45"/>
  <c r="O265" i="45"/>
  <c r="O264" i="45"/>
  <c r="O263" i="45"/>
  <c r="O262" i="45"/>
  <c r="O261" i="45"/>
  <c r="O260" i="45"/>
  <c r="O259" i="45"/>
  <c r="O258" i="45"/>
  <c r="O257" i="45"/>
  <c r="O256" i="45"/>
  <c r="O255" i="45"/>
  <c r="O254" i="45"/>
  <c r="O253" i="45"/>
  <c r="O252" i="45"/>
  <c r="O251" i="45"/>
  <c r="O250" i="45"/>
  <c r="O249" i="45"/>
  <c r="O248" i="45"/>
  <c r="O247" i="45"/>
  <c r="O246" i="45"/>
  <c r="O245" i="45"/>
  <c r="O244" i="45"/>
  <c r="O243" i="45"/>
  <c r="O242" i="45"/>
  <c r="O241" i="45"/>
  <c r="O240" i="45"/>
  <c r="O239" i="45"/>
  <c r="O238" i="45"/>
  <c r="O237" i="45"/>
  <c r="O236" i="45"/>
  <c r="O235" i="45"/>
  <c r="O234" i="45"/>
  <c r="O233" i="45"/>
  <c r="O232" i="45"/>
  <c r="O231" i="45"/>
  <c r="O230" i="45"/>
  <c r="O229" i="45"/>
  <c r="O228" i="45"/>
  <c r="O227" i="45"/>
  <c r="O226" i="45"/>
  <c r="O225" i="45"/>
  <c r="O224" i="45"/>
  <c r="O223" i="45"/>
  <c r="O222" i="45"/>
  <c r="O221" i="45"/>
  <c r="O220" i="45"/>
  <c r="O219" i="45"/>
  <c r="O218" i="45"/>
  <c r="O217" i="45"/>
  <c r="O216" i="45"/>
  <c r="O215" i="45"/>
  <c r="O214" i="45"/>
  <c r="O213" i="45"/>
  <c r="O212" i="45"/>
  <c r="O211" i="45"/>
  <c r="O210" i="45"/>
  <c r="O209" i="45"/>
  <c r="O208" i="45"/>
  <c r="O207" i="45"/>
  <c r="O206" i="45"/>
  <c r="O205" i="45"/>
  <c r="O204" i="45"/>
  <c r="O203" i="45"/>
  <c r="O202" i="45"/>
  <c r="O201" i="45"/>
  <c r="O200" i="45"/>
  <c r="O199" i="45"/>
  <c r="O198" i="45"/>
  <c r="O197" i="45"/>
  <c r="O196" i="45"/>
  <c r="O195" i="45"/>
  <c r="O194" i="45"/>
  <c r="O193" i="45"/>
  <c r="O192" i="45"/>
  <c r="O191" i="45"/>
  <c r="O190" i="45"/>
  <c r="O189" i="45"/>
  <c r="O188" i="45"/>
  <c r="O187" i="45"/>
  <c r="O186" i="45"/>
  <c r="O185" i="45"/>
  <c r="O184" i="45"/>
  <c r="O183" i="45"/>
  <c r="O182" i="45"/>
  <c r="O181" i="45"/>
  <c r="O180" i="45"/>
  <c r="O179" i="45"/>
  <c r="O178" i="45"/>
  <c r="O177" i="45"/>
  <c r="O176" i="45"/>
  <c r="O175" i="45"/>
  <c r="O174" i="45"/>
  <c r="O173" i="45"/>
  <c r="O172" i="45"/>
  <c r="O171" i="45"/>
  <c r="O170" i="45"/>
  <c r="O169" i="45"/>
  <c r="O168" i="45"/>
  <c r="O167" i="45"/>
  <c r="O166" i="45"/>
  <c r="O163" i="45"/>
  <c r="O162" i="45"/>
  <c r="O161" i="45"/>
  <c r="O160" i="45"/>
  <c r="O159" i="45"/>
  <c r="O158" i="45"/>
  <c r="O157" i="45"/>
  <c r="O156" i="45"/>
  <c r="O155" i="45"/>
  <c r="O154" i="45"/>
  <c r="O153" i="45"/>
  <c r="O152" i="45"/>
  <c r="O151" i="45"/>
  <c r="O150" i="45"/>
  <c r="O149" i="45"/>
  <c r="O148" i="45"/>
  <c r="O147" i="45"/>
  <c r="O145" i="45"/>
  <c r="O144" i="45"/>
  <c r="O143" i="45"/>
  <c r="O142" i="45"/>
  <c r="O141" i="45"/>
  <c r="O140" i="45"/>
  <c r="O139" i="45"/>
  <c r="O138" i="45"/>
  <c r="O137" i="45"/>
  <c r="O136" i="45"/>
  <c r="O135" i="45"/>
  <c r="O134" i="45"/>
  <c r="O133" i="45"/>
  <c r="O132" i="45"/>
  <c r="O131" i="45"/>
  <c r="O130" i="45"/>
  <c r="O129" i="45"/>
  <c r="O128" i="45"/>
  <c r="O127" i="45"/>
  <c r="O126" i="45"/>
  <c r="O125" i="45"/>
  <c r="O124" i="45"/>
  <c r="O123" i="45"/>
  <c r="O122" i="45"/>
  <c r="O121" i="45"/>
  <c r="O120" i="45"/>
  <c r="O119" i="45"/>
  <c r="O118" i="45"/>
  <c r="O117" i="45"/>
  <c r="O116" i="45"/>
  <c r="O115" i="45"/>
  <c r="O114" i="45"/>
  <c r="O113" i="45"/>
  <c r="O111" i="45"/>
  <c r="O110" i="45"/>
  <c r="O109" i="45"/>
  <c r="O108" i="45"/>
  <c r="O107" i="45"/>
  <c r="O106" i="45"/>
  <c r="O105" i="45"/>
  <c r="O104" i="45"/>
  <c r="O103" i="45"/>
  <c r="O102" i="45"/>
  <c r="O101" i="45"/>
  <c r="O100" i="45"/>
  <c r="O99" i="45"/>
  <c r="O98" i="45"/>
  <c r="O97" i="45"/>
  <c r="O96" i="45"/>
  <c r="O95" i="45"/>
  <c r="O94" i="45"/>
  <c r="O93" i="45"/>
  <c r="O92" i="45"/>
  <c r="O91" i="45"/>
  <c r="O90" i="45"/>
  <c r="O89" i="45"/>
  <c r="O88" i="45"/>
  <c r="O87" i="45"/>
  <c r="O86" i="45"/>
  <c r="O85" i="45"/>
  <c r="O84" i="45"/>
  <c r="O83" i="45"/>
  <c r="O82" i="45"/>
  <c r="O81" i="45"/>
  <c r="O80" i="45"/>
  <c r="O79" i="45"/>
  <c r="O78" i="45"/>
  <c r="O77" i="45"/>
  <c r="O76" i="45"/>
  <c r="O75" i="45"/>
  <c r="O74" i="45"/>
  <c r="O73" i="45"/>
  <c r="O72" i="45"/>
  <c r="O71" i="45"/>
  <c r="O70" i="45"/>
  <c r="O69" i="45"/>
  <c r="O68" i="45"/>
  <c r="O67" i="45"/>
  <c r="O66" i="45"/>
  <c r="O65" i="45"/>
  <c r="O64" i="45"/>
  <c r="O63" i="45"/>
  <c r="O62" i="45"/>
  <c r="O61" i="45"/>
  <c r="O60" i="45"/>
  <c r="O59" i="45"/>
  <c r="O58" i="45"/>
  <c r="O57" i="45"/>
  <c r="O56" i="45"/>
  <c r="O55" i="45"/>
  <c r="O54" i="45"/>
  <c r="O53" i="45"/>
  <c r="O52" i="45"/>
  <c r="O51" i="45"/>
  <c r="O50" i="45"/>
  <c r="O49" i="45"/>
  <c r="O48" i="45"/>
  <c r="O47" i="45"/>
  <c r="O46" i="45"/>
  <c r="O45" i="45"/>
  <c r="O44" i="45"/>
  <c r="O43" i="45"/>
  <c r="O42" i="45"/>
  <c r="O41" i="45"/>
  <c r="O40" i="45"/>
  <c r="O39" i="45"/>
  <c r="O38" i="45"/>
  <c r="O37" i="45"/>
  <c r="O36" i="45"/>
  <c r="O35" i="45"/>
  <c r="O34" i="45"/>
  <c r="O33" i="45"/>
  <c r="O32" i="45"/>
  <c r="O31" i="45"/>
  <c r="O30" i="45"/>
  <c r="O29" i="45"/>
  <c r="O28" i="45"/>
  <c r="O27" i="45"/>
  <c r="O26" i="45"/>
  <c r="O25" i="45"/>
  <c r="O24" i="45"/>
  <c r="O23" i="45"/>
  <c r="O22" i="45"/>
  <c r="O21" i="45"/>
  <c r="O20" i="45"/>
  <c r="O19" i="45"/>
  <c r="O18" i="45"/>
  <c r="O17" i="45"/>
  <c r="O16" i="45"/>
  <c r="O15" i="45"/>
  <c r="O14" i="45"/>
  <c r="O13" i="45"/>
  <c r="O12" i="45"/>
  <c r="O11" i="45"/>
  <c r="O10" i="45"/>
  <c r="O9" i="45"/>
  <c r="O8" i="45"/>
  <c r="O7" i="45"/>
  <c r="O6" i="45"/>
  <c r="O5" i="45"/>
  <c r="O4" i="45"/>
  <c r="L770" i="45"/>
  <c r="L769" i="45"/>
  <c r="L768" i="45"/>
  <c r="L767" i="45"/>
  <c r="L766" i="45"/>
  <c r="L765" i="45"/>
  <c r="L764" i="45"/>
  <c r="L763" i="45"/>
  <c r="L762" i="45"/>
  <c r="L761" i="45"/>
  <c r="L760" i="45"/>
  <c r="L759" i="45"/>
  <c r="L758" i="45"/>
  <c r="L757" i="45"/>
  <c r="L756" i="45"/>
  <c r="L755" i="45"/>
  <c r="L754" i="45"/>
  <c r="L753" i="45"/>
  <c r="L752" i="45"/>
  <c r="L751" i="45"/>
  <c r="L750" i="45"/>
  <c r="L749" i="45"/>
  <c r="L748" i="45"/>
  <c r="L747" i="45"/>
  <c r="L746" i="45"/>
  <c r="L745" i="45"/>
  <c r="L744" i="45"/>
  <c r="L743" i="45"/>
  <c r="L742" i="45"/>
  <c r="L741" i="45"/>
  <c r="L740" i="45"/>
  <c r="L739" i="45"/>
  <c r="L738" i="45"/>
  <c r="L737" i="45"/>
  <c r="L736" i="45"/>
  <c r="L735" i="45"/>
  <c r="L734" i="45"/>
  <c r="L733" i="45"/>
  <c r="L732" i="45"/>
  <c r="L731" i="45"/>
  <c r="L730" i="45"/>
  <c r="L729" i="45"/>
  <c r="L728" i="45"/>
  <c r="L727" i="45"/>
  <c r="L726" i="45"/>
  <c r="L725" i="45"/>
  <c r="L724" i="45"/>
  <c r="L723" i="45"/>
  <c r="L722" i="45"/>
  <c r="L721" i="45"/>
  <c r="L720" i="45"/>
  <c r="L719" i="45"/>
  <c r="L718" i="45"/>
  <c r="L717" i="45"/>
  <c r="L716" i="45"/>
  <c r="L715" i="45"/>
  <c r="L714" i="45"/>
  <c r="L713" i="45"/>
  <c r="L712" i="45"/>
  <c r="L711" i="45"/>
  <c r="L710" i="45"/>
  <c r="L709" i="45"/>
  <c r="L708" i="45"/>
  <c r="L707" i="45"/>
  <c r="L706" i="45"/>
  <c r="L705" i="45"/>
  <c r="L704" i="45"/>
  <c r="L703" i="45"/>
  <c r="L702" i="45"/>
  <c r="L701" i="45"/>
  <c r="L700" i="45"/>
  <c r="L699" i="45"/>
  <c r="L698" i="45"/>
  <c r="L697" i="45"/>
  <c r="L696" i="45"/>
  <c r="L695" i="45"/>
  <c r="L694" i="45"/>
  <c r="L693" i="45"/>
  <c r="L692" i="45"/>
  <c r="L691" i="45"/>
  <c r="L690" i="45"/>
  <c r="L689" i="45"/>
  <c r="L688" i="45"/>
  <c r="L687" i="45"/>
  <c r="L686" i="45"/>
  <c r="L685" i="45"/>
  <c r="L684" i="45"/>
  <c r="L683" i="45"/>
  <c r="L682" i="45"/>
  <c r="L681" i="45"/>
  <c r="L680" i="45"/>
  <c r="L679" i="45"/>
  <c r="L678" i="45"/>
  <c r="L677" i="45"/>
  <c r="L676" i="45"/>
  <c r="L675" i="45"/>
  <c r="L674" i="45"/>
  <c r="L673" i="45"/>
  <c r="L672" i="45"/>
  <c r="L671" i="45"/>
  <c r="L670" i="45"/>
  <c r="L669" i="45"/>
  <c r="L668" i="45"/>
  <c r="L667" i="45"/>
  <c r="L666" i="45"/>
  <c r="L665" i="45"/>
  <c r="L664" i="45"/>
  <c r="L663" i="45"/>
  <c r="L662" i="45"/>
  <c r="L661" i="45"/>
  <c r="L660" i="45"/>
  <c r="L659" i="45"/>
  <c r="L658" i="45"/>
  <c r="L657" i="45"/>
  <c r="L656" i="45"/>
  <c r="L655" i="45"/>
  <c r="L654" i="45"/>
  <c r="L653" i="45"/>
  <c r="L652" i="45"/>
  <c r="L651" i="45"/>
  <c r="L650" i="45"/>
  <c r="L649" i="45"/>
  <c r="L648" i="45"/>
  <c r="L647" i="45"/>
  <c r="L646" i="45"/>
  <c r="L645" i="45"/>
  <c r="L644" i="45"/>
  <c r="L643" i="45"/>
  <c r="L642" i="45"/>
  <c r="L641" i="45"/>
  <c r="L640" i="45"/>
  <c r="L639" i="45"/>
  <c r="L638" i="45"/>
  <c r="L637" i="45"/>
  <c r="L636" i="45"/>
  <c r="L635" i="45"/>
  <c r="L634" i="45"/>
  <c r="L633" i="45"/>
  <c r="L632" i="45"/>
  <c r="L631" i="45"/>
  <c r="L630" i="45"/>
  <c r="L629" i="45"/>
  <c r="L628" i="45"/>
  <c r="L627" i="45"/>
  <c r="L626" i="45"/>
  <c r="L625" i="45"/>
  <c r="L624" i="45"/>
  <c r="L623" i="45"/>
  <c r="L622" i="45"/>
  <c r="L621" i="45"/>
  <c r="L620" i="45"/>
  <c r="L619" i="45"/>
  <c r="L618" i="45"/>
  <c r="L617" i="45"/>
  <c r="L616" i="45"/>
  <c r="L615" i="45"/>
  <c r="L614" i="45"/>
  <c r="L613" i="45"/>
  <c r="L612" i="45"/>
  <c r="L611" i="45"/>
  <c r="L610" i="45"/>
  <c r="L609" i="45"/>
  <c r="L608" i="45"/>
  <c r="L607" i="45"/>
  <c r="L606" i="45"/>
  <c r="L605" i="45"/>
  <c r="L604" i="45"/>
  <c r="L603" i="45"/>
  <c r="L602" i="45"/>
  <c r="L601" i="45"/>
  <c r="L600" i="45"/>
  <c r="L599" i="45"/>
  <c r="L598" i="45"/>
  <c r="L597" i="45"/>
  <c r="L596" i="45"/>
  <c r="L595" i="45"/>
  <c r="L594" i="45"/>
  <c r="L593" i="45"/>
  <c r="L592" i="45"/>
  <c r="L591" i="45"/>
  <c r="L590" i="45"/>
  <c r="L589" i="45"/>
  <c r="L588" i="45"/>
  <c r="L587" i="45"/>
  <c r="L586" i="45"/>
  <c r="L585" i="45"/>
  <c r="L584" i="45"/>
  <c r="L583" i="45"/>
  <c r="L582" i="45"/>
  <c r="L581" i="45"/>
  <c r="L580" i="45"/>
  <c r="L579" i="45"/>
  <c r="L578" i="45"/>
  <c r="L577" i="45"/>
  <c r="L576" i="45"/>
  <c r="L575" i="45"/>
  <c r="L574" i="45"/>
  <c r="L573" i="45"/>
  <c r="L572" i="45"/>
  <c r="L571" i="45"/>
  <c r="L570" i="45"/>
  <c r="L569" i="45"/>
  <c r="L568" i="45"/>
  <c r="L567" i="45"/>
  <c r="L566" i="45"/>
  <c r="L565" i="45"/>
  <c r="L564" i="45"/>
  <c r="L563" i="45"/>
  <c r="L562" i="45"/>
  <c r="L561" i="45"/>
  <c r="L560" i="45"/>
  <c r="L559" i="45"/>
  <c r="L558" i="45"/>
  <c r="L557" i="45"/>
  <c r="L556" i="45"/>
  <c r="L555" i="45"/>
  <c r="L554" i="45"/>
  <c r="L553" i="45"/>
  <c r="L552" i="45"/>
  <c r="L551" i="45"/>
  <c r="L550" i="45"/>
  <c r="L549" i="45"/>
  <c r="L548" i="45"/>
  <c r="L547" i="45"/>
  <c r="L546" i="45"/>
  <c r="L545" i="45"/>
  <c r="L544" i="45"/>
  <c r="L543" i="45"/>
  <c r="L542" i="45"/>
  <c r="L541" i="45"/>
  <c r="L540" i="45"/>
  <c r="L539" i="45"/>
  <c r="L538" i="45"/>
  <c r="L537" i="45"/>
  <c r="L536" i="45"/>
  <c r="L535" i="45"/>
  <c r="L534" i="45"/>
  <c r="L533" i="45"/>
  <c r="L532" i="45"/>
  <c r="L531" i="45"/>
  <c r="L530" i="45"/>
  <c r="L529" i="45"/>
  <c r="L528" i="45"/>
  <c r="L527" i="45"/>
  <c r="L526" i="45"/>
  <c r="L525" i="45"/>
  <c r="L524" i="45"/>
  <c r="L523" i="45"/>
  <c r="L522" i="45"/>
  <c r="L521" i="45"/>
  <c r="L520" i="45"/>
  <c r="L519" i="45"/>
  <c r="L518" i="45"/>
  <c r="L517" i="45"/>
  <c r="L516" i="45"/>
  <c r="L515" i="45"/>
  <c r="L514" i="45"/>
  <c r="L513" i="45"/>
  <c r="L512" i="45"/>
  <c r="L511" i="45"/>
  <c r="L510" i="45"/>
  <c r="L509" i="45"/>
  <c r="L508" i="45"/>
  <c r="L507" i="45"/>
  <c r="L506" i="45"/>
  <c r="L505" i="45"/>
  <c r="L504" i="45"/>
  <c r="L502" i="45"/>
  <c r="L501" i="45"/>
  <c r="L500" i="45"/>
  <c r="L499" i="45"/>
  <c r="L498" i="45"/>
  <c r="L497" i="45"/>
  <c r="L496" i="45"/>
  <c r="L495" i="45"/>
  <c r="L494" i="45"/>
  <c r="L493" i="45"/>
  <c r="L492" i="45"/>
  <c r="L491" i="45"/>
  <c r="L490" i="45"/>
  <c r="L489" i="45"/>
  <c r="L488" i="45"/>
  <c r="L487" i="45"/>
  <c r="L486" i="45"/>
  <c r="L485" i="45"/>
  <c r="L484" i="45"/>
  <c r="L483" i="45"/>
  <c r="L482" i="45"/>
  <c r="L481" i="45"/>
  <c r="L480" i="45"/>
  <c r="L479" i="45"/>
  <c r="L478" i="45"/>
  <c r="L477" i="45"/>
  <c r="L476" i="45"/>
  <c r="L475" i="45"/>
  <c r="L474" i="45"/>
  <c r="L473" i="45"/>
  <c r="L472" i="45"/>
  <c r="L470" i="45"/>
  <c r="L469" i="45"/>
  <c r="L468" i="45"/>
  <c r="L467" i="45"/>
  <c r="L466" i="45"/>
  <c r="L465" i="45"/>
  <c r="L464" i="45"/>
  <c r="L463" i="45"/>
  <c r="L462" i="45"/>
  <c r="L461" i="45"/>
  <c r="L460" i="45"/>
  <c r="L459" i="45"/>
  <c r="L458" i="45"/>
  <c r="L457" i="45"/>
  <c r="L456" i="45"/>
  <c r="L455" i="45"/>
  <c r="L454" i="45"/>
  <c r="L453" i="45"/>
  <c r="L452" i="45"/>
  <c r="L451" i="45"/>
  <c r="L450" i="45"/>
  <c r="L449" i="45"/>
  <c r="L447" i="45"/>
  <c r="L446" i="45"/>
  <c r="L445" i="45"/>
  <c r="L444" i="45"/>
  <c r="L443" i="45"/>
  <c r="L442" i="45"/>
  <c r="L441" i="45"/>
  <c r="L440" i="45"/>
  <c r="L439" i="45"/>
  <c r="L438" i="45"/>
  <c r="L437" i="45"/>
  <c r="L436" i="45"/>
  <c r="L434" i="45"/>
  <c r="L433" i="45"/>
  <c r="L432" i="45"/>
  <c r="L431" i="45"/>
  <c r="L430" i="45"/>
  <c r="L429" i="45"/>
  <c r="L428" i="45"/>
  <c r="L427" i="45"/>
  <c r="L426" i="45"/>
  <c r="L425" i="45"/>
  <c r="L424" i="45"/>
  <c r="L423" i="45"/>
  <c r="L422" i="45"/>
  <c r="L421" i="45"/>
  <c r="L420" i="45"/>
  <c r="L418" i="45"/>
  <c r="L417" i="45"/>
  <c r="L416" i="45"/>
  <c r="L415" i="45"/>
  <c r="L414" i="45"/>
  <c r="L413" i="45"/>
  <c r="L412" i="45"/>
  <c r="L411" i="45"/>
  <c r="L410" i="45"/>
  <c r="L409" i="45"/>
  <c r="L408" i="45"/>
  <c r="L407" i="45"/>
  <c r="L406" i="45"/>
  <c r="L405" i="45"/>
  <c r="L404" i="45"/>
  <c r="L403" i="45"/>
  <c r="L402" i="45"/>
  <c r="L401" i="45"/>
  <c r="L400" i="45"/>
  <c r="L399" i="45"/>
  <c r="L398" i="45"/>
  <c r="L397" i="45"/>
  <c r="L396" i="45"/>
  <c r="L395" i="45"/>
  <c r="L394" i="45"/>
  <c r="L393" i="45"/>
  <c r="L392" i="45"/>
  <c r="L391" i="45"/>
  <c r="L390" i="45"/>
  <c r="L389" i="45"/>
  <c r="L388" i="45"/>
  <c r="L387" i="45"/>
  <c r="L386" i="45"/>
  <c r="L385" i="45"/>
  <c r="L384" i="45"/>
  <c r="L383" i="45"/>
  <c r="L382" i="45"/>
  <c r="L381" i="45"/>
  <c r="L380" i="45"/>
  <c r="L379" i="45"/>
  <c r="L378" i="45"/>
  <c r="L377" i="45"/>
  <c r="L376" i="45"/>
  <c r="L375" i="45"/>
  <c r="L374" i="45"/>
  <c r="L373" i="45"/>
  <c r="L372" i="45"/>
  <c r="L371" i="45"/>
  <c r="L370" i="45"/>
  <c r="L369" i="45"/>
  <c r="L368" i="45"/>
  <c r="L367" i="45"/>
  <c r="L366" i="45"/>
  <c r="L365" i="45"/>
  <c r="L364" i="45"/>
  <c r="L363" i="45"/>
  <c r="L362" i="45"/>
  <c r="L361" i="45"/>
  <c r="L360" i="45"/>
  <c r="L359" i="45"/>
  <c r="L358" i="45"/>
  <c r="L357" i="45"/>
  <c r="L356" i="45"/>
  <c r="L355" i="45"/>
  <c r="L354" i="45"/>
  <c r="L353" i="45"/>
  <c r="L352" i="45"/>
  <c r="L351" i="45"/>
  <c r="L350" i="45"/>
  <c r="L349" i="45"/>
  <c r="L348" i="45"/>
  <c r="L347" i="45"/>
  <c r="L346" i="45"/>
  <c r="L345" i="45"/>
  <c r="L344" i="45"/>
  <c r="L343" i="45"/>
  <c r="L342" i="45"/>
  <c r="L341" i="45"/>
  <c r="L340" i="45"/>
  <c r="L339" i="45"/>
  <c r="L338" i="45"/>
  <c r="L337" i="45"/>
  <c r="L335" i="45"/>
  <c r="L334" i="45"/>
  <c r="L333" i="45"/>
  <c r="L332" i="45"/>
  <c r="L331" i="45"/>
  <c r="L330" i="45"/>
  <c r="L329" i="45"/>
  <c r="L328" i="45"/>
  <c r="L327" i="45"/>
  <c r="L326" i="45"/>
  <c r="L325" i="45"/>
  <c r="L324" i="45"/>
  <c r="L323" i="45"/>
  <c r="L322" i="45"/>
  <c r="L321" i="45"/>
  <c r="L320" i="45"/>
  <c r="L319" i="45"/>
  <c r="L318" i="45"/>
  <c r="L317" i="45"/>
  <c r="L315" i="45"/>
  <c r="L314" i="45"/>
  <c r="L313" i="45"/>
  <c r="L312" i="45"/>
  <c r="L311" i="45"/>
  <c r="L310" i="45"/>
  <c r="L309" i="45"/>
  <c r="L308" i="45"/>
  <c r="L307" i="45"/>
  <c r="L306" i="45"/>
  <c r="L305" i="45"/>
  <c r="L304" i="45"/>
  <c r="L303" i="45"/>
  <c r="L302" i="45"/>
  <c r="L301" i="45"/>
  <c r="L300" i="45"/>
  <c r="L299" i="45"/>
  <c r="L298" i="45"/>
  <c r="L297" i="45"/>
  <c r="L296" i="45"/>
  <c r="L295" i="45"/>
  <c r="L294" i="45"/>
  <c r="L293" i="45"/>
  <c r="L292" i="45"/>
  <c r="L291" i="45"/>
  <c r="L290" i="45"/>
  <c r="L289" i="45"/>
  <c r="L288" i="45"/>
  <c r="L287" i="45"/>
  <c r="L286" i="45"/>
  <c r="L285" i="45"/>
  <c r="L284" i="45"/>
  <c r="L283" i="45"/>
  <c r="L282" i="45"/>
  <c r="L281" i="45"/>
  <c r="L280" i="45"/>
  <c r="L279" i="45"/>
  <c r="L278" i="45"/>
  <c r="L277" i="45"/>
  <c r="L276" i="45"/>
  <c r="L275" i="45"/>
  <c r="L274" i="45"/>
  <c r="L273" i="45"/>
  <c r="L272" i="45"/>
  <c r="L271" i="45"/>
  <c r="L270" i="45"/>
  <c r="L269" i="45"/>
  <c r="L268" i="45"/>
  <c r="L267" i="45"/>
  <c r="L265" i="45"/>
  <c r="L264" i="45"/>
  <c r="L263" i="45"/>
  <c r="L262" i="45"/>
  <c r="L261" i="45"/>
  <c r="L260" i="45"/>
  <c r="L259" i="45"/>
  <c r="L258" i="45"/>
  <c r="L257" i="45"/>
  <c r="L256" i="45"/>
  <c r="L255" i="45"/>
  <c r="L254" i="45"/>
  <c r="L253" i="45"/>
  <c r="L252" i="45"/>
  <c r="L251" i="45"/>
  <c r="L248" i="45"/>
  <c r="L247" i="45"/>
  <c r="L246" i="45"/>
  <c r="L245" i="45"/>
  <c r="L244" i="45"/>
  <c r="L243" i="45"/>
  <c r="L242" i="45"/>
  <c r="L241" i="45"/>
  <c r="L240" i="45"/>
  <c r="L239" i="45"/>
  <c r="L238" i="45"/>
  <c r="L237" i="45"/>
  <c r="L236" i="45"/>
  <c r="L234" i="45"/>
  <c r="L233" i="45"/>
  <c r="L232" i="45"/>
  <c r="L231" i="45"/>
  <c r="L230" i="45"/>
  <c r="L229" i="45"/>
  <c r="L228" i="45"/>
  <c r="L227" i="45"/>
  <c r="L226" i="45"/>
  <c r="L225" i="45"/>
  <c r="L224" i="45"/>
  <c r="L223" i="45"/>
  <c r="L222" i="45"/>
  <c r="L221" i="45"/>
  <c r="L220" i="45"/>
  <c r="L219" i="45"/>
  <c r="L218" i="45"/>
  <c r="L217" i="45"/>
  <c r="L215" i="45"/>
  <c r="L214" i="45"/>
  <c r="L213" i="45"/>
  <c r="L212" i="45"/>
  <c r="L211" i="45"/>
  <c r="L210" i="45"/>
  <c r="L209" i="45"/>
  <c r="L208" i="45"/>
  <c r="L207" i="45"/>
  <c r="L206" i="45"/>
  <c r="L205" i="45"/>
  <c r="L204" i="45"/>
  <c r="L203" i="45"/>
  <c r="L202" i="45"/>
  <c r="L201" i="45"/>
  <c r="L200" i="45"/>
  <c r="L198" i="45"/>
  <c r="L197" i="45"/>
  <c r="L196" i="45"/>
  <c r="L195" i="45"/>
  <c r="L194" i="45"/>
  <c r="L193" i="45"/>
  <c r="L192" i="45"/>
  <c r="L191" i="45"/>
  <c r="L190" i="45"/>
  <c r="L189" i="45"/>
  <c r="L188" i="45"/>
  <c r="L187" i="45"/>
  <c r="L186" i="45"/>
  <c r="L185" i="45"/>
  <c r="L184" i="45"/>
  <c r="L183" i="45"/>
  <c r="L182" i="45"/>
  <c r="L181" i="45"/>
  <c r="L180" i="45"/>
  <c r="L179" i="45"/>
  <c r="L178" i="45"/>
  <c r="L177" i="45"/>
  <c r="L176" i="45"/>
  <c r="L175" i="45"/>
  <c r="L173" i="45"/>
  <c r="L172" i="45"/>
  <c r="L171" i="45"/>
  <c r="L170" i="45"/>
  <c r="L169" i="45"/>
  <c r="L168" i="45"/>
  <c r="L167" i="45"/>
  <c r="L166" i="45"/>
  <c r="L163" i="45"/>
  <c r="L162" i="45"/>
  <c r="L161" i="45"/>
  <c r="L160" i="45"/>
  <c r="L159" i="45"/>
  <c r="L158" i="45"/>
  <c r="L157" i="45"/>
  <c r="L156" i="45"/>
  <c r="L155" i="45"/>
  <c r="L154" i="45"/>
  <c r="L153" i="45"/>
  <c r="L152" i="45"/>
  <c r="L151" i="45"/>
  <c r="L150" i="45"/>
  <c r="L149" i="45"/>
  <c r="L147" i="45"/>
  <c r="L145" i="45"/>
  <c r="L144" i="45"/>
  <c r="L143" i="45"/>
  <c r="L142" i="45"/>
  <c r="L141" i="45"/>
  <c r="L140" i="45"/>
  <c r="L139" i="45"/>
  <c r="L138" i="45"/>
  <c r="L137" i="45"/>
  <c r="L136" i="45"/>
  <c r="L135" i="45"/>
  <c r="L134" i="45"/>
  <c r="L133" i="45"/>
  <c r="L132" i="45"/>
  <c r="L131" i="45"/>
  <c r="L130" i="45"/>
  <c r="L129" i="45"/>
  <c r="L128" i="45"/>
  <c r="L127" i="45"/>
  <c r="L126" i="45"/>
  <c r="L125" i="45"/>
  <c r="L124" i="45"/>
  <c r="L123" i="45"/>
  <c r="L122" i="45"/>
  <c r="L121" i="45"/>
  <c r="L120" i="45"/>
  <c r="L119" i="45"/>
  <c r="L118" i="45"/>
  <c r="L117" i="45"/>
  <c r="L116" i="45"/>
  <c r="L115" i="45"/>
  <c r="L114" i="45"/>
  <c r="L111" i="45"/>
  <c r="L110" i="45"/>
  <c r="L109" i="45"/>
  <c r="L108" i="45"/>
  <c r="L107" i="45"/>
  <c r="L106" i="45"/>
  <c r="L105" i="45"/>
  <c r="L104" i="45"/>
  <c r="L103" i="45"/>
  <c r="L102" i="45"/>
  <c r="L101" i="45"/>
  <c r="L100" i="45"/>
  <c r="L99" i="45"/>
  <c r="L97" i="45"/>
  <c r="L96" i="45"/>
  <c r="L95" i="45"/>
  <c r="L94" i="45"/>
  <c r="L93" i="45"/>
  <c r="L92" i="45"/>
  <c r="L91" i="45"/>
  <c r="L90" i="45"/>
  <c r="L89" i="45"/>
  <c r="L88" i="45"/>
  <c r="L87" i="45"/>
  <c r="L86" i="45"/>
  <c r="L85" i="45"/>
  <c r="L84" i="45"/>
  <c r="L83" i="45"/>
  <c r="L82" i="45"/>
  <c r="L81" i="45"/>
  <c r="L80" i="45"/>
  <c r="L79" i="45"/>
  <c r="L78" i="45"/>
  <c r="L77" i="45"/>
  <c r="L76" i="45"/>
  <c r="L75" i="45"/>
  <c r="L74" i="45"/>
  <c r="L73" i="45"/>
  <c r="L72" i="45"/>
  <c r="L71" i="45"/>
  <c r="L70" i="45"/>
  <c r="L69" i="45"/>
  <c r="L68" i="45"/>
  <c r="L66" i="45"/>
  <c r="L65" i="45"/>
  <c r="L64" i="45"/>
  <c r="L63" i="45"/>
  <c r="L62" i="45"/>
  <c r="L61" i="45"/>
  <c r="L59" i="45"/>
  <c r="L58" i="45"/>
  <c r="L57" i="45"/>
  <c r="L56" i="45"/>
  <c r="L55" i="45"/>
  <c r="L54" i="45"/>
  <c r="L53" i="45"/>
  <c r="L51" i="45"/>
  <c r="L50" i="45"/>
  <c r="L49" i="45"/>
  <c r="L48" i="45"/>
  <c r="L47" i="45"/>
  <c r="L46" i="45"/>
  <c r="L45" i="45"/>
  <c r="L44" i="45"/>
  <c r="L43" i="45"/>
  <c r="L42" i="45"/>
  <c r="L41" i="45"/>
  <c r="L40" i="45"/>
  <c r="L39" i="45"/>
  <c r="L38" i="45"/>
  <c r="L37" i="45"/>
  <c r="L36" i="45"/>
  <c r="L35" i="45"/>
  <c r="L34" i="45"/>
  <c r="L33" i="45"/>
  <c r="L32" i="45"/>
  <c r="L31" i="45"/>
  <c r="L29" i="45"/>
  <c r="L28" i="45"/>
  <c r="L27" i="45"/>
  <c r="L26" i="45"/>
  <c r="L24" i="45"/>
  <c r="L23" i="45"/>
  <c r="L22" i="45"/>
  <c r="L21" i="45"/>
  <c r="L20" i="45"/>
  <c r="L19" i="45"/>
  <c r="L18" i="45"/>
  <c r="L17" i="45"/>
  <c r="L15" i="45"/>
  <c r="L14" i="45"/>
  <c r="L13" i="45"/>
  <c r="L12" i="45"/>
  <c r="L11" i="45"/>
  <c r="L10" i="45"/>
  <c r="L9" i="45"/>
  <c r="L8" i="45"/>
  <c r="L7" i="45"/>
  <c r="L6" i="45"/>
  <c r="L5" i="45"/>
  <c r="L4" i="45"/>
  <c r="L3" i="45"/>
  <c r="I770" i="45"/>
  <c r="I769" i="45"/>
  <c r="I768" i="45"/>
  <c r="I767" i="45"/>
  <c r="I766" i="45"/>
  <c r="I765" i="45"/>
  <c r="I764" i="45"/>
  <c r="I763" i="45"/>
  <c r="I762" i="45"/>
  <c r="I761" i="45"/>
  <c r="I760" i="45"/>
  <c r="I759" i="45"/>
  <c r="I758" i="45"/>
  <c r="I757" i="45"/>
  <c r="I756" i="45"/>
  <c r="I755" i="45"/>
  <c r="I754" i="45"/>
  <c r="I753" i="45"/>
  <c r="I752" i="45"/>
  <c r="I751" i="45"/>
  <c r="I750" i="45"/>
  <c r="I749" i="45"/>
  <c r="I748" i="45"/>
  <c r="I747" i="45"/>
  <c r="I746" i="45"/>
  <c r="I745" i="45"/>
  <c r="I744" i="45"/>
  <c r="I743" i="45"/>
  <c r="I742" i="45"/>
  <c r="I741" i="45"/>
  <c r="I740" i="45"/>
  <c r="I739" i="45"/>
  <c r="I738" i="45"/>
  <c r="I737" i="45"/>
  <c r="I736" i="45"/>
  <c r="I735" i="45"/>
  <c r="I734" i="45"/>
  <c r="I733" i="45"/>
  <c r="I732" i="45"/>
  <c r="I731" i="45"/>
  <c r="I730" i="45"/>
  <c r="I729" i="45"/>
  <c r="I728" i="45"/>
  <c r="I727" i="45"/>
  <c r="I726" i="45"/>
  <c r="I725" i="45"/>
  <c r="I724" i="45"/>
  <c r="I723" i="45"/>
  <c r="I722" i="45"/>
  <c r="I721" i="45"/>
  <c r="I720" i="45"/>
  <c r="I719" i="45"/>
  <c r="I718" i="45"/>
  <c r="I717" i="45"/>
  <c r="I716" i="45"/>
  <c r="I715" i="45"/>
  <c r="I714" i="45"/>
  <c r="I713" i="45"/>
  <c r="I712" i="45"/>
  <c r="I711" i="45"/>
  <c r="I710" i="45"/>
  <c r="I709" i="45"/>
  <c r="I708" i="45"/>
  <c r="I707" i="45"/>
  <c r="I706" i="45"/>
  <c r="I705" i="45"/>
  <c r="I704" i="45"/>
  <c r="I703" i="45"/>
  <c r="I702" i="45"/>
  <c r="I701" i="45"/>
  <c r="I700" i="45"/>
  <c r="I699" i="45"/>
  <c r="I698" i="45"/>
  <c r="I697" i="45"/>
  <c r="I696" i="45"/>
  <c r="I695" i="45"/>
  <c r="I694" i="45"/>
  <c r="I693" i="45"/>
  <c r="I692" i="45"/>
  <c r="I691" i="45"/>
  <c r="I690" i="45"/>
  <c r="I689" i="45"/>
  <c r="I688" i="45"/>
  <c r="I687" i="45"/>
  <c r="I686" i="45"/>
  <c r="I685" i="45"/>
  <c r="I684" i="45"/>
  <c r="I683" i="45"/>
  <c r="I682" i="45"/>
  <c r="I681" i="45"/>
  <c r="I680" i="45"/>
  <c r="I679" i="45"/>
  <c r="I678" i="45"/>
  <c r="I677" i="45"/>
  <c r="I676" i="45"/>
  <c r="I675" i="45"/>
  <c r="I674" i="45"/>
  <c r="I673" i="45"/>
  <c r="I672" i="45"/>
  <c r="I671" i="45"/>
  <c r="I670" i="45"/>
  <c r="I669" i="45"/>
  <c r="I668" i="45"/>
  <c r="I667" i="45"/>
  <c r="I666" i="45"/>
  <c r="I665" i="45"/>
  <c r="I664" i="45"/>
  <c r="I663" i="45"/>
  <c r="I662" i="45"/>
  <c r="I661" i="45"/>
  <c r="I660" i="45"/>
  <c r="I659" i="45"/>
  <c r="I658" i="45"/>
  <c r="I657" i="45"/>
  <c r="I656" i="45"/>
  <c r="I655" i="45"/>
  <c r="I654" i="45"/>
  <c r="I653" i="45"/>
  <c r="I652" i="45"/>
  <c r="I651" i="45"/>
  <c r="I650" i="45"/>
  <c r="I649" i="45"/>
  <c r="I648" i="45"/>
  <c r="I647" i="45"/>
  <c r="I646" i="45"/>
  <c r="I645" i="45"/>
  <c r="I644" i="45"/>
  <c r="I643" i="45"/>
  <c r="I642" i="45"/>
  <c r="I641" i="45"/>
  <c r="I640" i="45"/>
  <c r="I639" i="45"/>
  <c r="I638" i="45"/>
  <c r="I637" i="45"/>
  <c r="I636" i="45"/>
  <c r="I635" i="45"/>
  <c r="I634" i="45"/>
  <c r="I633" i="45"/>
  <c r="I632" i="45"/>
  <c r="I631" i="45"/>
  <c r="I630" i="45"/>
  <c r="I629" i="45"/>
  <c r="I628" i="45"/>
  <c r="I627" i="45"/>
  <c r="I626" i="45"/>
  <c r="I625" i="45"/>
  <c r="I624" i="45"/>
  <c r="I623" i="45"/>
  <c r="I622" i="45"/>
  <c r="I621" i="45"/>
  <c r="I620" i="45"/>
  <c r="I619" i="45"/>
  <c r="I618" i="45"/>
  <c r="I617" i="45"/>
  <c r="I616" i="45"/>
  <c r="I615" i="45"/>
  <c r="I614" i="45"/>
  <c r="I613" i="45"/>
  <c r="I612" i="45"/>
  <c r="I611" i="45"/>
  <c r="I610" i="45"/>
  <c r="I609" i="45"/>
  <c r="I608" i="45"/>
  <c r="I607" i="45"/>
  <c r="I606" i="45"/>
  <c r="I605" i="45"/>
  <c r="I604" i="45"/>
  <c r="I603" i="45"/>
  <c r="I602" i="45"/>
  <c r="I601" i="45"/>
  <c r="I600" i="45"/>
  <c r="I599" i="45"/>
  <c r="I598" i="45"/>
  <c r="I597" i="45"/>
  <c r="I596" i="45"/>
  <c r="I595" i="45"/>
  <c r="I594" i="45"/>
  <c r="I593" i="45"/>
  <c r="I592" i="45"/>
  <c r="I591" i="45"/>
  <c r="I590" i="45"/>
  <c r="I589" i="45"/>
  <c r="I588" i="45"/>
  <c r="I587" i="45"/>
  <c r="I586" i="45"/>
  <c r="I585" i="45"/>
  <c r="I584" i="45"/>
  <c r="I583" i="45"/>
  <c r="I582" i="45"/>
  <c r="I581" i="45"/>
  <c r="I580" i="45"/>
  <c r="I579" i="45"/>
  <c r="I578" i="45"/>
  <c r="I577" i="45"/>
  <c r="I576" i="45"/>
  <c r="I575" i="45"/>
  <c r="I574" i="45"/>
  <c r="I573" i="45"/>
  <c r="I572" i="45"/>
  <c r="I571" i="45"/>
  <c r="I570" i="45"/>
  <c r="I569" i="45"/>
  <c r="I568" i="45"/>
  <c r="I567" i="45"/>
  <c r="I566" i="45"/>
  <c r="I565" i="45"/>
  <c r="I564" i="45"/>
  <c r="I563" i="45"/>
  <c r="I562" i="45"/>
  <c r="I561" i="45"/>
  <c r="I560" i="45"/>
  <c r="I559" i="45"/>
  <c r="I558" i="45"/>
  <c r="I557" i="45"/>
  <c r="I556" i="45"/>
  <c r="I555" i="45"/>
  <c r="I554" i="45"/>
  <c r="I553" i="45"/>
  <c r="I552" i="45"/>
  <c r="I551" i="45"/>
  <c r="I550" i="45"/>
  <c r="I549" i="45"/>
  <c r="I548" i="45"/>
  <c r="I547" i="45"/>
  <c r="I546" i="45"/>
  <c r="I545" i="45"/>
  <c r="I544" i="45"/>
  <c r="I543" i="45"/>
  <c r="I542" i="45"/>
  <c r="I541" i="45"/>
  <c r="I540" i="45"/>
  <c r="I539" i="45"/>
  <c r="I538" i="45"/>
  <c r="I537" i="45"/>
  <c r="I536" i="45"/>
  <c r="I535" i="45"/>
  <c r="I534" i="45"/>
  <c r="I533" i="45"/>
  <c r="I532" i="45"/>
  <c r="I531" i="45"/>
  <c r="I530" i="45"/>
  <c r="I529" i="45"/>
  <c r="I528" i="45"/>
  <c r="I527" i="45"/>
  <c r="I526" i="45"/>
  <c r="I525" i="45"/>
  <c r="I524" i="45"/>
  <c r="I523" i="45"/>
  <c r="I522" i="45"/>
  <c r="I521" i="45"/>
  <c r="I520" i="45"/>
  <c r="I519" i="45"/>
  <c r="I518" i="45"/>
  <c r="I517" i="45"/>
  <c r="I516" i="45"/>
  <c r="I515" i="45"/>
  <c r="I514" i="45"/>
  <c r="I513" i="45"/>
  <c r="I512" i="45"/>
  <c r="I511" i="45"/>
  <c r="I510" i="45"/>
  <c r="I509" i="45"/>
  <c r="I508" i="45"/>
  <c r="I507" i="45"/>
  <c r="I506" i="45"/>
  <c r="I505" i="45"/>
  <c r="I504" i="45"/>
  <c r="I502" i="45"/>
  <c r="I501" i="45"/>
  <c r="I500" i="45"/>
  <c r="I499" i="45"/>
  <c r="I498" i="45"/>
  <c r="I497" i="45"/>
  <c r="I496" i="45"/>
  <c r="I495" i="45"/>
  <c r="I494" i="45"/>
  <c r="I493" i="45"/>
  <c r="I492" i="45"/>
  <c r="I491" i="45"/>
  <c r="I490" i="45"/>
  <c r="I489" i="45"/>
  <c r="I488" i="45"/>
  <c r="I487" i="45"/>
  <c r="I486" i="45"/>
  <c r="I485" i="45"/>
  <c r="I484" i="45"/>
  <c r="I483" i="45"/>
  <c r="I482" i="45"/>
  <c r="I481" i="45"/>
  <c r="I480" i="45"/>
  <c r="I479" i="45"/>
  <c r="I478" i="45"/>
  <c r="I476" i="45"/>
  <c r="I475" i="45"/>
  <c r="I474" i="45"/>
  <c r="I473" i="45"/>
  <c r="I472" i="45"/>
  <c r="I469" i="45"/>
  <c r="I468" i="45"/>
  <c r="I467" i="45"/>
  <c r="I466" i="45"/>
  <c r="I465" i="45"/>
  <c r="I464" i="45"/>
  <c r="I461" i="45"/>
  <c r="I460" i="45"/>
  <c r="I459" i="45"/>
  <c r="I456" i="45"/>
  <c r="I453" i="45"/>
  <c r="I450" i="45"/>
  <c r="I449" i="45"/>
  <c r="I448" i="45"/>
  <c r="I447" i="45"/>
  <c r="I446" i="45"/>
  <c r="I440" i="45"/>
  <c r="I437" i="45"/>
  <c r="I436" i="45"/>
  <c r="I435" i="45"/>
  <c r="I434" i="45"/>
  <c r="I433" i="45"/>
  <c r="I430" i="45"/>
  <c r="I429" i="45"/>
  <c r="I424" i="45"/>
  <c r="I421" i="45"/>
  <c r="I420" i="45"/>
  <c r="I419" i="45"/>
  <c r="I418" i="45"/>
  <c r="I417" i="45"/>
  <c r="I412" i="45"/>
  <c r="I409" i="45"/>
  <c r="I408" i="45"/>
  <c r="I407" i="45"/>
  <c r="I406" i="45"/>
  <c r="I400" i="45"/>
  <c r="I399" i="45"/>
  <c r="I398" i="45"/>
  <c r="I397" i="45"/>
  <c r="I396" i="45"/>
  <c r="I395" i="45"/>
  <c r="I393" i="45"/>
  <c r="I392" i="45"/>
  <c r="I391" i="45"/>
  <c r="I390" i="45"/>
  <c r="I388" i="45"/>
  <c r="I387" i="45"/>
  <c r="I386" i="45"/>
  <c r="I384" i="45"/>
  <c r="I383" i="45"/>
  <c r="I380" i="45"/>
  <c r="I379" i="45"/>
  <c r="I376" i="45"/>
  <c r="I375" i="45"/>
  <c r="I370" i="45"/>
  <c r="I366" i="45"/>
  <c r="I365" i="45"/>
  <c r="I360" i="45"/>
  <c r="I358" i="45"/>
  <c r="I357" i="45"/>
  <c r="I356" i="45"/>
  <c r="I355" i="45"/>
  <c r="I353" i="45"/>
  <c r="I352" i="45"/>
  <c r="I351" i="45"/>
  <c r="I350" i="45"/>
  <c r="I349" i="45"/>
  <c r="I348" i="45"/>
  <c r="I347" i="45"/>
  <c r="I346" i="45"/>
  <c r="I345" i="45"/>
  <c r="I344" i="45"/>
  <c r="I343" i="45"/>
  <c r="I340" i="45"/>
  <c r="I339" i="45"/>
  <c r="I338" i="45"/>
  <c r="I337" i="45"/>
  <c r="I333" i="45"/>
  <c r="I330" i="45"/>
  <c r="I329" i="45"/>
  <c r="I328" i="45"/>
  <c r="I327" i="45"/>
  <c r="I326" i="45"/>
  <c r="I321" i="45"/>
  <c r="I318" i="45"/>
  <c r="I317" i="45"/>
  <c r="I316" i="45"/>
  <c r="I315" i="45"/>
  <c r="I314" i="45"/>
  <c r="I311" i="45"/>
  <c r="I310" i="45"/>
  <c r="I309" i="45"/>
  <c r="I308" i="45"/>
  <c r="I307" i="45"/>
  <c r="I306" i="45"/>
  <c r="I305" i="45"/>
  <c r="I304" i="45"/>
  <c r="I300" i="45"/>
  <c r="I299" i="45"/>
  <c r="I297" i="45"/>
  <c r="I296" i="45"/>
  <c r="I295" i="45"/>
  <c r="I294" i="45"/>
  <c r="I292" i="45"/>
  <c r="I291" i="45"/>
  <c r="I290" i="45"/>
  <c r="I289" i="45"/>
  <c r="I288" i="45"/>
  <c r="I287" i="45"/>
  <c r="I286" i="45"/>
  <c r="I285" i="45"/>
  <c r="I283" i="45"/>
  <c r="I282" i="45"/>
  <c r="I281" i="45"/>
  <c r="I280" i="45"/>
  <c r="I278" i="45"/>
  <c r="I277" i="45"/>
  <c r="I275" i="45"/>
  <c r="I274" i="45"/>
  <c r="I271" i="45"/>
  <c r="I269" i="45"/>
  <c r="I268" i="45"/>
  <c r="I267" i="45"/>
  <c r="I265" i="45"/>
  <c r="I264" i="45"/>
  <c r="I263" i="45"/>
  <c r="I262" i="45"/>
  <c r="I261" i="45"/>
  <c r="I260" i="45"/>
  <c r="I259" i="45"/>
  <c r="I257" i="45"/>
  <c r="I256" i="45"/>
  <c r="I255" i="45"/>
  <c r="I254" i="45"/>
  <c r="I253" i="45"/>
  <c r="I251" i="45"/>
  <c r="I246" i="45"/>
  <c r="I245" i="45"/>
  <c r="I244" i="45"/>
  <c r="I243" i="45"/>
  <c r="I242" i="45"/>
  <c r="I241" i="45"/>
  <c r="I240" i="45"/>
  <c r="I239" i="45"/>
  <c r="I238" i="45"/>
  <c r="I237" i="45"/>
  <c r="I235" i="45"/>
  <c r="I234" i="45"/>
  <c r="I233" i="45"/>
  <c r="I232" i="45"/>
  <c r="I231" i="45"/>
  <c r="I230" i="45"/>
  <c r="I226" i="45"/>
  <c r="I225" i="45"/>
  <c r="I224" i="45"/>
  <c r="I222" i="45"/>
  <c r="I221" i="45"/>
  <c r="I220" i="45"/>
  <c r="I219" i="45"/>
  <c r="I217" i="45"/>
  <c r="I215" i="45"/>
  <c r="I214" i="45"/>
  <c r="I213" i="45"/>
  <c r="I212" i="45"/>
  <c r="I211" i="45"/>
  <c r="I210" i="45"/>
  <c r="I209" i="45"/>
  <c r="I208" i="45"/>
  <c r="I207" i="45"/>
  <c r="I206" i="45"/>
  <c r="I205" i="45"/>
  <c r="I204" i="45"/>
  <c r="I203" i="45"/>
  <c r="I202" i="45"/>
  <c r="I201" i="45"/>
  <c r="I200" i="45"/>
  <c r="I198" i="45"/>
  <c r="I197" i="45"/>
  <c r="I195" i="45"/>
  <c r="I194" i="45"/>
  <c r="I193" i="45"/>
  <c r="I192" i="45"/>
  <c r="I190" i="45"/>
  <c r="I189" i="45"/>
  <c r="I188" i="45"/>
  <c r="I185" i="45"/>
  <c r="I184" i="45"/>
  <c r="I176" i="45"/>
  <c r="I175" i="45"/>
  <c r="I169" i="45"/>
  <c r="I168" i="45"/>
  <c r="I167" i="45"/>
  <c r="I166" i="45"/>
  <c r="I162" i="45"/>
  <c r="I161" i="45"/>
  <c r="I160" i="45"/>
  <c r="I159" i="45"/>
  <c r="I158" i="45"/>
  <c r="I157" i="45"/>
  <c r="I156" i="45"/>
  <c r="I155" i="45"/>
  <c r="I154" i="45"/>
  <c r="I153" i="45"/>
  <c r="I152" i="45"/>
  <c r="I147" i="45"/>
  <c r="I145" i="45"/>
  <c r="I144" i="45"/>
  <c r="I143" i="45"/>
  <c r="I142" i="45"/>
  <c r="I141" i="45"/>
  <c r="I139" i="45"/>
  <c r="I138" i="45"/>
  <c r="I137" i="45"/>
  <c r="I135" i="45"/>
  <c r="I134" i="45"/>
  <c r="I133" i="45"/>
  <c r="I132" i="45"/>
  <c r="I131" i="45"/>
  <c r="I130" i="45"/>
  <c r="I129" i="45"/>
  <c r="I128" i="45"/>
  <c r="I127" i="45"/>
  <c r="I126" i="45"/>
  <c r="I124" i="45"/>
  <c r="I123" i="45"/>
  <c r="I122" i="45"/>
  <c r="I121" i="45"/>
  <c r="I120" i="45"/>
  <c r="I119" i="45"/>
  <c r="I118" i="45"/>
  <c r="I117" i="45"/>
  <c r="I114" i="45"/>
  <c r="I111" i="45"/>
  <c r="I110" i="45"/>
  <c r="I109" i="45"/>
  <c r="I108" i="45"/>
  <c r="I107" i="45"/>
  <c r="I99" i="45"/>
  <c r="I93" i="45"/>
  <c r="I92" i="45"/>
  <c r="I91" i="45"/>
  <c r="I90" i="45"/>
  <c r="I87" i="45"/>
  <c r="I86" i="45"/>
  <c r="I85" i="45"/>
  <c r="I84" i="45"/>
  <c r="I83" i="45"/>
  <c r="I79" i="45"/>
  <c r="I78" i="45"/>
  <c r="I77" i="45"/>
  <c r="I68" i="45"/>
  <c r="I66" i="45"/>
  <c r="I65" i="45"/>
  <c r="I62" i="45"/>
  <c r="I61" i="45"/>
  <c r="I57" i="45"/>
  <c r="I53" i="45"/>
  <c r="I51" i="45"/>
  <c r="I50" i="45"/>
  <c r="I47" i="45"/>
  <c r="I46" i="45"/>
  <c r="I45" i="45"/>
  <c r="I44" i="45"/>
  <c r="I42" i="45"/>
  <c r="I41" i="45"/>
  <c r="I40" i="45"/>
  <c r="I37" i="45"/>
  <c r="I36" i="45"/>
  <c r="I35" i="45"/>
  <c r="I34" i="45"/>
  <c r="I32" i="45"/>
  <c r="I31" i="45"/>
  <c r="I28" i="45"/>
  <c r="I26" i="45"/>
  <c r="I23" i="45"/>
  <c r="I21" i="45"/>
  <c r="I20" i="45"/>
  <c r="I19" i="45"/>
  <c r="I18" i="45"/>
  <c r="I17" i="45"/>
  <c r="I15" i="45"/>
  <c r="I14" i="45"/>
  <c r="I13" i="45"/>
  <c r="I12" i="45"/>
  <c r="I10" i="45"/>
  <c r="I9" i="45"/>
  <c r="I8" i="45"/>
  <c r="I5" i="45"/>
  <c r="I4" i="45"/>
  <c r="I3" i="45"/>
  <c r="F8" i="45"/>
  <c r="F15" i="45"/>
  <c r="F17" i="45"/>
  <c r="F18" i="45"/>
  <c r="F26" i="45"/>
  <c r="F28" i="45"/>
  <c r="F31" i="45"/>
  <c r="F32" i="45"/>
  <c r="F34" i="45"/>
  <c r="F40" i="45"/>
  <c r="F47" i="45"/>
  <c r="F53" i="45"/>
  <c r="F62" i="45"/>
  <c r="F68" i="45"/>
  <c r="F77" i="45"/>
  <c r="F79" i="45"/>
  <c r="F84" i="45"/>
  <c r="F85" i="45"/>
  <c r="F86" i="45"/>
  <c r="F99" i="45"/>
  <c r="F107" i="45"/>
  <c r="F108" i="45"/>
  <c r="F109" i="45"/>
  <c r="F111" i="45"/>
  <c r="F114" i="45"/>
  <c r="F115" i="45"/>
  <c r="F119" i="45"/>
  <c r="F120" i="45"/>
  <c r="F121" i="45"/>
  <c r="F122" i="45"/>
  <c r="F126" i="45"/>
  <c r="F131" i="45"/>
  <c r="F132" i="45"/>
  <c r="F133" i="45"/>
  <c r="F134" i="45"/>
  <c r="F135" i="45"/>
  <c r="F137" i="45"/>
  <c r="F138" i="45"/>
  <c r="F139" i="45"/>
  <c r="F141" i="45"/>
  <c r="F142" i="45"/>
  <c r="F143" i="45"/>
  <c r="F144" i="45"/>
  <c r="F145" i="45"/>
  <c r="F147" i="45"/>
  <c r="F153" i="45"/>
  <c r="F154" i="45"/>
  <c r="F160" i="45"/>
  <c r="F163" i="45"/>
  <c r="F175" i="45"/>
  <c r="F188" i="45"/>
  <c r="F195" i="45"/>
  <c r="F200" i="45"/>
  <c r="F201" i="45"/>
  <c r="F202" i="45"/>
  <c r="F203" i="45"/>
  <c r="F204" i="45"/>
  <c r="F205" i="45"/>
  <c r="F206" i="45"/>
  <c r="F207" i="45"/>
  <c r="F208" i="45"/>
  <c r="F209" i="45"/>
  <c r="F210" i="45"/>
  <c r="F211" i="45"/>
  <c r="F212" i="45"/>
  <c r="F213" i="45"/>
  <c r="F214" i="45"/>
  <c r="F215" i="45"/>
  <c r="F217" i="45"/>
  <c r="F224" i="45"/>
  <c r="F226" i="45"/>
  <c r="F230" i="45"/>
  <c r="F231" i="45"/>
  <c r="F232" i="45"/>
  <c r="F233" i="45"/>
  <c r="F234" i="45"/>
  <c r="F237" i="45"/>
  <c r="F238" i="45"/>
  <c r="F242" i="45"/>
  <c r="F243" i="45"/>
  <c r="F244" i="45"/>
  <c r="F245" i="45"/>
  <c r="F246" i="45"/>
  <c r="F251" i="45"/>
  <c r="F253" i="45"/>
  <c r="F257" i="45"/>
  <c r="F259" i="45"/>
  <c r="F260" i="45"/>
  <c r="F261" i="45"/>
  <c r="F262" i="45"/>
  <c r="F263" i="45"/>
  <c r="F264" i="45"/>
  <c r="F265" i="45"/>
  <c r="F266" i="45"/>
  <c r="F267" i="45"/>
  <c r="F268" i="45"/>
  <c r="F269" i="45"/>
  <c r="F271" i="45"/>
  <c r="F274" i="45"/>
  <c r="F278" i="45"/>
  <c r="F280" i="45"/>
  <c r="F285" i="45"/>
  <c r="F286" i="45"/>
  <c r="F287" i="45"/>
  <c r="F288" i="45"/>
  <c r="F289" i="45"/>
  <c r="F290" i="45"/>
  <c r="F291" i="45"/>
  <c r="F292" i="45"/>
  <c r="F293" i="45"/>
  <c r="F294" i="45"/>
  <c r="F295" i="45"/>
  <c r="F296" i="45"/>
  <c r="F297" i="45"/>
  <c r="F298" i="45"/>
  <c r="F299" i="45"/>
  <c r="F300" i="45"/>
  <c r="F301" i="45"/>
  <c r="F302" i="45"/>
  <c r="F303" i="45"/>
  <c r="F304" i="45"/>
  <c r="F305" i="45"/>
  <c r="F306" i="45"/>
  <c r="F307" i="45"/>
  <c r="F308" i="45"/>
  <c r="F309" i="45"/>
  <c r="F310" i="45"/>
  <c r="F311" i="45"/>
  <c r="F317" i="45"/>
  <c r="F329" i="45"/>
  <c r="F337" i="45"/>
  <c r="F339" i="45"/>
  <c r="F343" i="45"/>
  <c r="F344" i="45"/>
  <c r="F345" i="45"/>
  <c r="F346" i="45"/>
  <c r="F347" i="45"/>
  <c r="F348" i="45"/>
  <c r="F349" i="45"/>
  <c r="F350" i="45"/>
  <c r="F351" i="45"/>
  <c r="F352" i="45"/>
  <c r="F353" i="45"/>
  <c r="F365" i="45"/>
  <c r="F366" i="45"/>
  <c r="F367" i="45"/>
  <c r="F368" i="45"/>
  <c r="F369" i="45"/>
  <c r="F370" i="45"/>
  <c r="F387" i="45"/>
  <c r="F389" i="45"/>
  <c r="F391" i="45"/>
  <c r="F392" i="45"/>
  <c r="F393" i="45"/>
  <c r="F395" i="45"/>
  <c r="F396" i="45"/>
  <c r="F397" i="45"/>
  <c r="F398" i="45"/>
  <c r="F399" i="45"/>
  <c r="F400" i="45"/>
  <c r="F402" i="45"/>
  <c r="F420" i="45"/>
  <c r="F436" i="45"/>
  <c r="F449" i="45"/>
  <c r="F459" i="45"/>
  <c r="F460" i="45"/>
  <c r="F461" i="45"/>
  <c r="F463" i="45"/>
  <c r="F472" i="45"/>
  <c r="F473" i="45"/>
  <c r="F474" i="45"/>
  <c r="F475" i="45"/>
  <c r="F476" i="45"/>
  <c r="F482" i="45"/>
  <c r="F483" i="45"/>
  <c r="F484" i="45"/>
  <c r="F485" i="45"/>
  <c r="F486" i="45"/>
  <c r="F487" i="45"/>
  <c r="F488" i="45"/>
  <c r="F489" i="45"/>
  <c r="F490" i="45"/>
  <c r="F491" i="45"/>
  <c r="F492" i="45"/>
  <c r="F493" i="45"/>
  <c r="F494" i="45"/>
  <c r="F495" i="45"/>
  <c r="F496" i="45"/>
  <c r="F497" i="45"/>
  <c r="F498" i="45"/>
  <c r="F499" i="45"/>
  <c r="F500" i="45"/>
  <c r="F501" i="45"/>
  <c r="F502" i="45"/>
  <c r="F504" i="45"/>
  <c r="F505" i="45"/>
  <c r="F506" i="45"/>
  <c r="F507" i="45"/>
  <c r="F508" i="45"/>
  <c r="F509" i="45"/>
  <c r="F510" i="45"/>
  <c r="F511" i="45"/>
  <c r="F512" i="45"/>
  <c r="F513" i="45"/>
  <c r="F514" i="45"/>
  <c r="F515" i="45"/>
  <c r="F516" i="45"/>
  <c r="F517" i="45"/>
  <c r="F518" i="45"/>
  <c r="F519" i="45"/>
  <c r="F520" i="45"/>
  <c r="F521" i="45"/>
  <c r="F522" i="45"/>
  <c r="F523" i="45"/>
  <c r="F524" i="45"/>
  <c r="F525" i="45"/>
  <c r="F526" i="45"/>
  <c r="F527" i="45"/>
  <c r="F528" i="45"/>
  <c r="F529" i="45"/>
  <c r="F530" i="45"/>
  <c r="F531" i="45"/>
  <c r="F532" i="45"/>
  <c r="F533" i="45"/>
  <c r="F534" i="45"/>
  <c r="F535" i="45"/>
  <c r="F536" i="45"/>
  <c r="F537" i="45"/>
  <c r="F538" i="45"/>
  <c r="F539" i="45"/>
  <c r="F540" i="45"/>
  <c r="F541" i="45"/>
  <c r="F542" i="45"/>
  <c r="F543" i="45"/>
  <c r="F544" i="45"/>
  <c r="F545" i="45"/>
  <c r="F546" i="45"/>
  <c r="F547" i="45"/>
  <c r="F548" i="45"/>
  <c r="F549" i="45"/>
  <c r="F550" i="45"/>
  <c r="F551" i="45"/>
  <c r="F552" i="45"/>
  <c r="F553" i="45"/>
  <c r="F554" i="45"/>
  <c r="F555" i="45"/>
  <c r="F556" i="45"/>
  <c r="F557" i="45"/>
  <c r="F558" i="45"/>
  <c r="F559" i="45"/>
  <c r="F560" i="45"/>
  <c r="F561" i="45"/>
  <c r="F562" i="45"/>
  <c r="F563" i="45"/>
  <c r="F564" i="45"/>
  <c r="F565" i="45"/>
  <c r="F566" i="45"/>
  <c r="F567" i="45"/>
  <c r="F568" i="45"/>
  <c r="F569" i="45"/>
  <c r="F570" i="45"/>
  <c r="F571" i="45"/>
  <c r="F572" i="45"/>
  <c r="F573" i="45"/>
  <c r="F574" i="45"/>
  <c r="F575" i="45"/>
  <c r="F576" i="45"/>
  <c r="F577" i="45"/>
  <c r="F578" i="45"/>
  <c r="F579" i="45"/>
  <c r="F580" i="45"/>
  <c r="F581" i="45"/>
  <c r="F582" i="45"/>
  <c r="F583" i="45"/>
  <c r="F584" i="45"/>
  <c r="F585" i="45"/>
  <c r="F586" i="45"/>
  <c r="F587" i="45"/>
  <c r="F588" i="45"/>
  <c r="F589" i="45"/>
  <c r="F590" i="45"/>
  <c r="F591" i="45"/>
  <c r="F592" i="45"/>
  <c r="F593" i="45"/>
  <c r="F594" i="45"/>
  <c r="F595" i="45"/>
  <c r="F596" i="45"/>
  <c r="F597" i="45"/>
  <c r="F598" i="45"/>
  <c r="F599" i="45"/>
  <c r="F600" i="45"/>
  <c r="F601" i="45"/>
  <c r="F602" i="45"/>
  <c r="F603" i="45"/>
  <c r="F604" i="45"/>
  <c r="F605" i="45"/>
  <c r="F606" i="45"/>
  <c r="F607" i="45"/>
  <c r="F608" i="45"/>
  <c r="F609" i="45"/>
  <c r="F610" i="45"/>
  <c r="F611" i="45"/>
  <c r="F612" i="45"/>
  <c r="F613" i="45"/>
  <c r="F614" i="45"/>
  <c r="F615" i="45"/>
  <c r="F616" i="45"/>
  <c r="F617" i="45"/>
  <c r="F618" i="45"/>
  <c r="F619" i="45"/>
  <c r="F620" i="45"/>
  <c r="F621" i="45"/>
  <c r="F622" i="45"/>
  <c r="F623" i="45"/>
  <c r="F624" i="45"/>
  <c r="F625" i="45"/>
  <c r="F626" i="45"/>
  <c r="F627" i="45"/>
  <c r="F628" i="45"/>
  <c r="F629" i="45"/>
  <c r="F630" i="45"/>
  <c r="F631" i="45"/>
  <c r="F632" i="45"/>
  <c r="F633" i="45"/>
  <c r="F634" i="45"/>
  <c r="F635" i="45"/>
  <c r="F636" i="45"/>
  <c r="F637" i="45"/>
  <c r="F638" i="45"/>
  <c r="F639" i="45"/>
  <c r="F640" i="45"/>
  <c r="F641" i="45"/>
  <c r="F642" i="45"/>
  <c r="F643" i="45"/>
  <c r="F644" i="45"/>
  <c r="F645" i="45"/>
  <c r="F646" i="45"/>
  <c r="F647" i="45"/>
  <c r="F648" i="45"/>
  <c r="F649" i="45"/>
  <c r="F650" i="45"/>
  <c r="F651" i="45"/>
  <c r="F652" i="45"/>
  <c r="F653" i="45"/>
  <c r="F654" i="45"/>
  <c r="F655" i="45"/>
  <c r="F656" i="45"/>
  <c r="F657" i="45"/>
  <c r="F658" i="45"/>
  <c r="F659" i="45"/>
  <c r="F660" i="45"/>
  <c r="F661" i="45"/>
  <c r="F662" i="45"/>
  <c r="F663" i="45"/>
  <c r="F664" i="45"/>
  <c r="F665" i="45"/>
  <c r="F666" i="45"/>
  <c r="F667" i="45"/>
  <c r="F668" i="45"/>
  <c r="F669" i="45"/>
  <c r="F670" i="45"/>
  <c r="F671" i="45"/>
  <c r="F672" i="45"/>
  <c r="F673" i="45"/>
  <c r="F674" i="45"/>
  <c r="F675" i="45"/>
  <c r="F676" i="45"/>
  <c r="F677" i="45"/>
  <c r="F678" i="45"/>
  <c r="F679" i="45"/>
  <c r="F680" i="45"/>
  <c r="F681" i="45"/>
  <c r="F682" i="45"/>
  <c r="F683" i="45"/>
  <c r="F684" i="45"/>
  <c r="F685" i="45"/>
  <c r="F686" i="45"/>
  <c r="F687" i="45"/>
  <c r="F688" i="45"/>
  <c r="F689" i="45"/>
  <c r="F690" i="45"/>
  <c r="F691" i="45"/>
  <c r="F692" i="45"/>
  <c r="F693" i="45"/>
  <c r="F694" i="45"/>
  <c r="F695" i="45"/>
  <c r="F696" i="45"/>
  <c r="F697" i="45"/>
  <c r="F698" i="45"/>
  <c r="F699" i="45"/>
  <c r="F700" i="45"/>
  <c r="F701" i="45"/>
  <c r="F702" i="45"/>
  <c r="F703" i="45"/>
  <c r="F704" i="45"/>
  <c r="F705" i="45"/>
  <c r="F706" i="45"/>
  <c r="F707" i="45"/>
  <c r="F708" i="45"/>
  <c r="F709" i="45"/>
  <c r="F710" i="45"/>
  <c r="F711" i="45"/>
  <c r="F712" i="45"/>
  <c r="F713" i="45"/>
  <c r="F714" i="45"/>
  <c r="F715" i="45"/>
  <c r="F716" i="45"/>
  <c r="F717" i="45"/>
  <c r="F718" i="45"/>
  <c r="F719" i="45"/>
  <c r="F720" i="45"/>
  <c r="F721" i="45"/>
  <c r="F722" i="45"/>
  <c r="F723" i="45"/>
  <c r="F724" i="45"/>
  <c r="F725" i="45"/>
  <c r="F726" i="45"/>
  <c r="F727" i="45"/>
  <c r="F728" i="45"/>
  <c r="F729" i="45"/>
  <c r="F730" i="45"/>
  <c r="F731" i="45"/>
  <c r="F732" i="45"/>
  <c r="F733" i="45"/>
  <c r="F734" i="45"/>
  <c r="F735" i="45"/>
  <c r="F736" i="45"/>
  <c r="F737" i="45"/>
  <c r="F738" i="45"/>
  <c r="F739" i="45"/>
  <c r="F740" i="45"/>
  <c r="F741" i="45"/>
  <c r="F742" i="45"/>
  <c r="F743" i="45"/>
  <c r="F744" i="45"/>
  <c r="F745" i="45"/>
  <c r="F746" i="45"/>
  <c r="F747" i="45"/>
  <c r="F748" i="45"/>
  <c r="F749" i="45"/>
  <c r="F750" i="45"/>
  <c r="F751" i="45"/>
  <c r="F752" i="45"/>
  <c r="F753" i="45"/>
  <c r="F754" i="45"/>
  <c r="F755" i="45"/>
  <c r="F756" i="45"/>
  <c r="F757" i="45"/>
  <c r="F758" i="45"/>
  <c r="F759" i="45"/>
  <c r="F760" i="45"/>
  <c r="F761" i="45"/>
  <c r="F762" i="45"/>
  <c r="F763" i="45"/>
  <c r="F764" i="45"/>
  <c r="F765" i="45"/>
  <c r="F766" i="45"/>
  <c r="F767" i="45"/>
  <c r="F768" i="45"/>
  <c r="F769" i="45"/>
  <c r="F770" i="45"/>
  <c r="H2" i="38"/>
  <c r="F252" i="45" l="1"/>
  <c r="B286" i="45"/>
  <c r="I258" i="45"/>
  <c r="B138" i="45"/>
  <c r="B134" i="45"/>
  <c r="F89" i="45" s="1"/>
  <c r="F9" i="45"/>
  <c r="B9" i="45" s="1"/>
  <c r="F41" i="45"/>
  <c r="B41" i="45" s="1"/>
  <c r="F20" i="45"/>
  <c r="B20" i="45" s="1"/>
  <c r="F21" i="45"/>
  <c r="B21" i="45" s="1"/>
  <c r="I30" i="45"/>
  <c r="B19" i="45"/>
  <c r="B769" i="45"/>
  <c r="B765" i="45"/>
  <c r="B761" i="45"/>
  <c r="B757" i="45"/>
  <c r="B753" i="45"/>
  <c r="B749" i="45"/>
  <c r="F455" i="45" s="1"/>
  <c r="B745" i="45"/>
  <c r="B741" i="45"/>
  <c r="B737" i="45"/>
  <c r="B733" i="45"/>
  <c r="B729" i="45"/>
  <c r="B725" i="45"/>
  <c r="B721" i="45"/>
  <c r="B717" i="45"/>
  <c r="B713" i="45"/>
  <c r="L112" i="45" s="1"/>
  <c r="B709" i="45"/>
  <c r="B705" i="45"/>
  <c r="B701" i="45"/>
  <c r="B697" i="45"/>
  <c r="B693" i="45"/>
  <c r="L216" i="45" s="1"/>
  <c r="B689" i="45"/>
  <c r="F470" i="45" s="1"/>
  <c r="B685" i="45"/>
  <c r="B681" i="45"/>
  <c r="B677" i="45"/>
  <c r="B673" i="45"/>
  <c r="B669" i="45"/>
  <c r="B665" i="45"/>
  <c r="B661" i="45"/>
  <c r="B657" i="45"/>
  <c r="B653" i="45"/>
  <c r="B649" i="45"/>
  <c r="B645" i="45"/>
  <c r="B641" i="45"/>
  <c r="B637" i="45"/>
  <c r="B633" i="45"/>
  <c r="B629" i="45"/>
  <c r="B625" i="45"/>
  <c r="B621" i="45"/>
  <c r="B617" i="45"/>
  <c r="B613" i="45"/>
  <c r="B609" i="45"/>
  <c r="F128" i="45" s="1"/>
  <c r="B128" i="45" s="1"/>
  <c r="B605" i="45"/>
  <c r="B601" i="45"/>
  <c r="B597" i="45"/>
  <c r="B593" i="45"/>
  <c r="B589" i="45"/>
  <c r="F157" i="45" s="1"/>
  <c r="B157" i="45" s="1"/>
  <c r="B585" i="45"/>
  <c r="B581" i="45"/>
  <c r="B577" i="45"/>
  <c r="B573" i="45"/>
  <c r="B569" i="45"/>
  <c r="B565" i="45"/>
  <c r="F117" i="45" s="1"/>
  <c r="B117" i="45" s="1"/>
  <c r="I372" i="45" s="1"/>
  <c r="B561" i="45"/>
  <c r="B557" i="45"/>
  <c r="B553" i="45"/>
  <c r="B549" i="45"/>
  <c r="I252" i="45" s="1"/>
  <c r="B252" i="45" s="1"/>
  <c r="B545" i="45"/>
  <c r="B541" i="45"/>
  <c r="B537" i="45"/>
  <c r="B533" i="45"/>
  <c r="B525" i="45"/>
  <c r="B517" i="45"/>
  <c r="I276" i="45" s="1"/>
  <c r="B509" i="45"/>
  <c r="B500" i="45"/>
  <c r="B492" i="45"/>
  <c r="B484" i="45"/>
  <c r="B476" i="45"/>
  <c r="I477" i="45" s="1"/>
  <c r="B461" i="45"/>
  <c r="F342" i="45" s="1"/>
  <c r="B398" i="45"/>
  <c r="B352" i="45"/>
  <c r="B344" i="45"/>
  <c r="B296" i="45"/>
  <c r="B292" i="45"/>
  <c r="B268" i="45"/>
  <c r="B261" i="45"/>
  <c r="B245" i="45"/>
  <c r="B233" i="45"/>
  <c r="B213" i="45"/>
  <c r="B205" i="45"/>
  <c r="B175" i="45"/>
  <c r="B154" i="45"/>
  <c r="B142" i="45"/>
  <c r="B529" i="45"/>
  <c r="B521" i="45"/>
  <c r="B513" i="45"/>
  <c r="B505" i="45"/>
  <c r="B496" i="45"/>
  <c r="B488" i="45"/>
  <c r="F155" i="45"/>
  <c r="B155" i="45" s="1"/>
  <c r="B348" i="45"/>
  <c r="B300" i="45"/>
  <c r="B288" i="45"/>
  <c r="I248" i="45" s="1"/>
  <c r="B248" i="45" s="1"/>
  <c r="I462" i="45" s="1"/>
  <c r="I250" i="45"/>
  <c r="B257" i="45"/>
  <c r="F256" i="45" s="1"/>
  <c r="B256" i="45" s="1"/>
  <c r="B209" i="45"/>
  <c r="B201" i="45"/>
  <c r="B122" i="45"/>
  <c r="B108" i="45"/>
  <c r="B53" i="45"/>
  <c r="B764" i="45"/>
  <c r="B756" i="45"/>
  <c r="B748" i="45"/>
  <c r="B740" i="45"/>
  <c r="B732" i="45"/>
  <c r="B724" i="45"/>
  <c r="B716" i="45"/>
  <c r="B708" i="45"/>
  <c r="B700" i="45"/>
  <c r="B692" i="45"/>
  <c r="B684" i="45"/>
  <c r="L148" i="45" s="1"/>
  <c r="B676" i="45"/>
  <c r="B664" i="45"/>
  <c r="B656" i="45"/>
  <c r="B648" i="45"/>
  <c r="B640" i="45"/>
  <c r="B632" i="45"/>
  <c r="B624" i="45"/>
  <c r="B616" i="45"/>
  <c r="B608" i="45"/>
  <c r="B600" i="45"/>
  <c r="B592" i="45"/>
  <c r="B584" i="45"/>
  <c r="B576" i="45"/>
  <c r="B568" i="45"/>
  <c r="B560" i="45"/>
  <c r="B552" i="45"/>
  <c r="F27" i="45" s="1"/>
  <c r="B544" i="45"/>
  <c r="B536" i="45"/>
  <c r="B532" i="45"/>
  <c r="B528" i="45"/>
  <c r="B524" i="45"/>
  <c r="B516" i="45"/>
  <c r="B512" i="45"/>
  <c r="B508" i="45"/>
  <c r="B504" i="45"/>
  <c r="B499" i="45"/>
  <c r="B495" i="45"/>
  <c r="B491" i="45"/>
  <c r="B487" i="45"/>
  <c r="B483" i="45"/>
  <c r="F30" i="45" s="1"/>
  <c r="F151" i="45"/>
  <c r="F284" i="45"/>
  <c r="B449" i="45"/>
  <c r="L448" i="45" s="1"/>
  <c r="B397" i="45"/>
  <c r="F61" i="45"/>
  <c r="B61" i="45" s="1"/>
  <c r="B86" i="45"/>
  <c r="B694" i="45"/>
  <c r="B85" i="45"/>
  <c r="B768" i="45"/>
  <c r="B760" i="45"/>
  <c r="B752" i="45"/>
  <c r="B744" i="45"/>
  <c r="B736" i="45"/>
  <c r="B728" i="45"/>
  <c r="B720" i="45"/>
  <c r="B712" i="45"/>
  <c r="B704" i="45"/>
  <c r="B696" i="45"/>
  <c r="B688" i="45"/>
  <c r="B680" i="45"/>
  <c r="B672" i="45"/>
  <c r="B668" i="45"/>
  <c r="B660" i="45"/>
  <c r="B652" i="45"/>
  <c r="B644" i="45"/>
  <c r="B636" i="45"/>
  <c r="B628" i="45"/>
  <c r="F158" i="45" s="1"/>
  <c r="B158" i="45" s="1"/>
  <c r="B620" i="45"/>
  <c r="B612" i="45"/>
  <c r="B604" i="45"/>
  <c r="B596" i="45"/>
  <c r="B588" i="45"/>
  <c r="B580" i="45"/>
  <c r="B572" i="45"/>
  <c r="B564" i="45"/>
  <c r="B556" i="45"/>
  <c r="B548" i="45"/>
  <c r="B540" i="45"/>
  <c r="B520" i="45"/>
  <c r="F462" i="45" s="1"/>
  <c r="B650" i="45"/>
  <c r="B566" i="45"/>
  <c r="B542" i="45"/>
  <c r="I112" i="45"/>
  <c r="B262" i="45"/>
  <c r="B305" i="45"/>
  <c r="B391" i="45"/>
  <c r="B399" i="45"/>
  <c r="B485" i="45"/>
  <c r="B489" i="45"/>
  <c r="B497" i="45"/>
  <c r="B506" i="45"/>
  <c r="B510" i="45"/>
  <c r="B514" i="45"/>
  <c r="B522" i="45"/>
  <c r="B530" i="45"/>
  <c r="B534" i="45"/>
  <c r="B538" i="45"/>
  <c r="B546" i="45"/>
  <c r="B550" i="45"/>
  <c r="B558" i="45"/>
  <c r="B570" i="45"/>
  <c r="B574" i="45"/>
  <c r="B578" i="45"/>
  <c r="B586" i="45"/>
  <c r="B602" i="45"/>
  <c r="B606" i="45"/>
  <c r="B610" i="45"/>
  <c r="B622" i="45"/>
  <c r="B630" i="45"/>
  <c r="F448" i="45" s="1"/>
  <c r="B634" i="45"/>
  <c r="B642" i="45"/>
  <c r="I451" i="45" s="1"/>
  <c r="B658" i="45"/>
  <c r="L60" i="45" s="1"/>
  <c r="B670" i="45"/>
  <c r="B686" i="45"/>
  <c r="B718" i="45"/>
  <c r="B726" i="45"/>
  <c r="O165" i="45" s="1"/>
  <c r="B758" i="45"/>
  <c r="B215" i="45"/>
  <c r="B210" i="45"/>
  <c r="B742" i="45"/>
  <c r="B767" i="45"/>
  <c r="B763" i="45"/>
  <c r="B759" i="45"/>
  <c r="B755" i="45"/>
  <c r="I374" i="45" s="1"/>
  <c r="B751" i="45"/>
  <c r="B747" i="45"/>
  <c r="B743" i="45"/>
  <c r="B739" i="45"/>
  <c r="B735" i="45"/>
  <c r="B731" i="45"/>
  <c r="B727" i="45"/>
  <c r="B723" i="45"/>
  <c r="B719" i="45"/>
  <c r="F454" i="45" s="1"/>
  <c r="B715" i="45"/>
  <c r="B711" i="45"/>
  <c r="B707" i="45"/>
  <c r="B703" i="45"/>
  <c r="B699" i="45"/>
  <c r="B695" i="45"/>
  <c r="B691" i="45"/>
  <c r="B687" i="45"/>
  <c r="B683" i="45"/>
  <c r="B679" i="45"/>
  <c r="B675" i="45"/>
  <c r="B671" i="45"/>
  <c r="B667" i="45"/>
  <c r="B663" i="45"/>
  <c r="B659" i="45"/>
  <c r="B655" i="45"/>
  <c r="B651" i="45"/>
  <c r="B647" i="45"/>
  <c r="B643" i="45"/>
  <c r="B639" i="45"/>
  <c r="B635" i="45"/>
  <c r="B631" i="45"/>
  <c r="F168" i="45" s="1"/>
  <c r="B168" i="45" s="1"/>
  <c r="F169" i="45" s="1"/>
  <c r="B169" i="45" s="1"/>
  <c r="B627" i="45"/>
  <c r="B623" i="45"/>
  <c r="B619" i="45"/>
  <c r="B615" i="45"/>
  <c r="B611" i="45"/>
  <c r="B607" i="45"/>
  <c r="B603" i="45"/>
  <c r="B599" i="45"/>
  <c r="B595" i="45"/>
  <c r="B591" i="45"/>
  <c r="B587" i="45"/>
  <c r="F127" i="45" s="1"/>
  <c r="B127" i="45" s="1"/>
  <c r="B583" i="45"/>
  <c r="B579" i="45"/>
  <c r="B575" i="45"/>
  <c r="B571" i="45"/>
  <c r="B567" i="45"/>
  <c r="B563" i="45"/>
  <c r="B559" i="45"/>
  <c r="F196" i="45" s="1"/>
  <c r="B555" i="45"/>
  <c r="B551" i="45"/>
  <c r="F156" i="45" s="1"/>
  <c r="B156" i="45" s="1"/>
  <c r="B547" i="45"/>
  <c r="B543" i="45"/>
  <c r="B539" i="45"/>
  <c r="B535" i="45"/>
  <c r="B531" i="45"/>
  <c r="B527" i="45"/>
  <c r="B523" i="45"/>
  <c r="B519" i="45"/>
  <c r="B515" i="45"/>
  <c r="B511" i="45"/>
  <c r="B507" i="45"/>
  <c r="B502" i="45"/>
  <c r="B498" i="45"/>
  <c r="I29" i="45" s="1"/>
  <c r="B494" i="45"/>
  <c r="B490" i="45"/>
  <c r="I150" i="45" s="1"/>
  <c r="B482" i="45"/>
  <c r="B474" i="45"/>
  <c r="B436" i="45"/>
  <c r="B420" i="45"/>
  <c r="L419" i="45" s="1"/>
  <c r="B400" i="45"/>
  <c r="B396" i="45"/>
  <c r="B392" i="45"/>
  <c r="B370" i="45"/>
  <c r="B770" i="45"/>
  <c r="B766" i="45"/>
  <c r="B762" i="45"/>
  <c r="B754" i="45"/>
  <c r="B750" i="45"/>
  <c r="B746" i="45"/>
  <c r="B738" i="45"/>
  <c r="B734" i="45"/>
  <c r="B730" i="45"/>
  <c r="B722" i="45"/>
  <c r="B714" i="45"/>
  <c r="B710" i="45"/>
  <c r="B706" i="45"/>
  <c r="B702" i="45"/>
  <c r="B698" i="45"/>
  <c r="I443" i="45" s="1"/>
  <c r="B690" i="45"/>
  <c r="B682" i="45"/>
  <c r="I444" i="45" s="1"/>
  <c r="B678" i="45"/>
  <c r="B674" i="45"/>
  <c r="B666" i="45"/>
  <c r="B662" i="45"/>
  <c r="B654" i="45"/>
  <c r="B638" i="45"/>
  <c r="B618" i="45"/>
  <c r="B598" i="45"/>
  <c r="B350" i="45"/>
  <c r="B346" i="45"/>
  <c r="B310" i="45"/>
  <c r="B306" i="45"/>
  <c r="B294" i="45"/>
  <c r="I284" i="45"/>
  <c r="B278" i="45"/>
  <c r="L25" i="45"/>
  <c r="B251" i="45"/>
  <c r="B243" i="45"/>
  <c r="B231" i="45"/>
  <c r="B211" i="45"/>
  <c r="B207" i="45"/>
  <c r="B203" i="45"/>
  <c r="B160" i="45"/>
  <c r="B144" i="45"/>
  <c r="B120" i="45"/>
  <c r="B99" i="45"/>
  <c r="B79" i="45"/>
  <c r="F78" i="45" s="1"/>
  <c r="B78" i="45" s="1"/>
  <c r="B17" i="45"/>
  <c r="B119" i="45"/>
  <c r="B202" i="45"/>
  <c r="F140" i="45"/>
  <c r="B329" i="45"/>
  <c r="B345" i="45"/>
  <c r="B353" i="45"/>
  <c r="I196" i="45" s="1"/>
  <c r="B387" i="45"/>
  <c r="F239" i="45" s="1"/>
  <c r="B239" i="45" s="1"/>
  <c r="F240" i="45" s="1"/>
  <c r="B240" i="45" s="1"/>
  <c r="B646" i="45"/>
  <c r="B626" i="45"/>
  <c r="B614" i="45"/>
  <c r="B594" i="45"/>
  <c r="B590" i="45"/>
  <c r="B582" i="45"/>
  <c r="B562" i="45"/>
  <c r="B554" i="45"/>
  <c r="B526" i="45"/>
  <c r="B518" i="45"/>
  <c r="B501" i="45"/>
  <c r="F123" i="45" s="1"/>
  <c r="B123" i="45" s="1"/>
  <c r="B493" i="45"/>
  <c r="B349" i="45"/>
  <c r="B317" i="45"/>
  <c r="L316" i="45" s="1"/>
  <c r="B297" i="45"/>
  <c r="F136" i="45"/>
  <c r="B285" i="45"/>
  <c r="B269" i="45"/>
  <c r="B214" i="45"/>
  <c r="B109" i="45"/>
  <c r="B351" i="45"/>
  <c r="B347" i="45"/>
  <c r="B343" i="45"/>
  <c r="B339" i="45"/>
  <c r="I151" i="45" s="1"/>
  <c r="I174" i="45"/>
  <c r="B307" i="45"/>
  <c r="B299" i="45"/>
  <c r="B295" i="45"/>
  <c r="B271" i="45"/>
  <c r="B267" i="45"/>
  <c r="B232" i="45"/>
  <c r="B224" i="45"/>
  <c r="B212" i="45"/>
  <c r="B208" i="45"/>
  <c r="B204" i="45"/>
  <c r="B200" i="45"/>
  <c r="B189" i="45"/>
  <c r="B153" i="45"/>
  <c r="I88" i="45"/>
  <c r="B88" i="45" s="1"/>
  <c r="B121" i="45"/>
  <c r="B107" i="45"/>
  <c r="B84" i="45"/>
  <c r="B68" i="45"/>
  <c r="B34" i="45"/>
  <c r="B26" i="45"/>
  <c r="B206" i="45"/>
  <c r="B143" i="45"/>
  <c r="I2" i="4"/>
  <c r="I471" i="45" l="1"/>
  <c r="I463" i="45"/>
  <c r="B463" i="45" s="1"/>
  <c r="F464" i="45" s="1"/>
  <c r="B464" i="45" s="1"/>
  <c r="I470" i="45"/>
  <c r="B470" i="45" s="1"/>
  <c r="F469" i="45" s="1"/>
  <c r="B469" i="45" s="1"/>
  <c r="B462" i="45"/>
  <c r="F276" i="45"/>
  <c r="F458" i="45"/>
  <c r="L266" i="45"/>
  <c r="I457" i="45"/>
  <c r="I394" i="45"/>
  <c r="F457" i="45"/>
  <c r="L435" i="45"/>
  <c r="F451" i="45"/>
  <c r="B451" i="45" s="1"/>
  <c r="I455" i="45"/>
  <c r="B455" i="45" s="1"/>
  <c r="I454" i="45"/>
  <c r="B454" i="45" s="1"/>
  <c r="I452" i="45"/>
  <c r="B448" i="45"/>
  <c r="F443" i="45"/>
  <c r="B443" i="45" s="1"/>
  <c r="I445" i="45"/>
  <c r="F438" i="45"/>
  <c r="I439" i="45"/>
  <c r="I442" i="45"/>
  <c r="I441" i="45"/>
  <c r="F425" i="45"/>
  <c r="F441" i="45"/>
  <c r="F426" i="45"/>
  <c r="F442" i="45"/>
  <c r="I422" i="45"/>
  <c r="I438" i="45"/>
  <c r="I428" i="45"/>
  <c r="I432" i="45"/>
  <c r="I427" i="45"/>
  <c r="I431" i="45"/>
  <c r="F435" i="45"/>
  <c r="I403" i="45"/>
  <c r="I415" i="45"/>
  <c r="I405" i="45"/>
  <c r="I416" i="45"/>
  <c r="F407" i="45"/>
  <c r="F419" i="45"/>
  <c r="B419" i="45" s="1"/>
  <c r="F334" i="45"/>
  <c r="F413" i="45"/>
  <c r="I331" i="45"/>
  <c r="I410" i="45"/>
  <c r="F335" i="45"/>
  <c r="F414" i="45"/>
  <c r="B408" i="45"/>
  <c r="I402" i="45"/>
  <c r="B402" i="45" s="1"/>
  <c r="I404" i="45"/>
  <c r="F328" i="45"/>
  <c r="B328" i="45" s="1"/>
  <c r="F373" i="45"/>
  <c r="I401" i="45"/>
  <c r="I272" i="45"/>
  <c r="F394" i="45"/>
  <c r="B394" i="45" s="1"/>
  <c r="I247" i="45"/>
  <c r="F390" i="45"/>
  <c r="B390" i="45" s="1"/>
  <c r="F372" i="45"/>
  <c r="B372" i="45" s="1"/>
  <c r="I389" i="45"/>
  <c r="B389" i="45" s="1"/>
  <c r="I382" i="45"/>
  <c r="F388" i="45"/>
  <c r="B388" i="45" s="1"/>
  <c r="F371" i="45"/>
  <c r="I377" i="45"/>
  <c r="I385" i="45"/>
  <c r="I381" i="45"/>
  <c r="I378" i="45"/>
  <c r="B380" i="45"/>
  <c r="F378" i="45" s="1"/>
  <c r="I80" i="45"/>
  <c r="I371" i="45"/>
  <c r="I368" i="45"/>
  <c r="B368" i="45" s="1"/>
  <c r="I369" i="45"/>
  <c r="B369" i="45" s="1"/>
  <c r="I361" i="45"/>
  <c r="I367" i="45"/>
  <c r="B367" i="45" s="1"/>
  <c r="I336" i="45"/>
  <c r="I364" i="45"/>
  <c r="B364" i="45" s="1"/>
  <c r="I363" i="45"/>
  <c r="F361" i="45" s="1"/>
  <c r="I359" i="45"/>
  <c r="I362" i="45"/>
  <c r="B362" i="45" s="1"/>
  <c r="I354" i="45"/>
  <c r="F275" i="45"/>
  <c r="B275" i="45" s="1"/>
  <c r="F340" i="45"/>
  <c r="B340" i="45" s="1"/>
  <c r="F159" i="45"/>
  <c r="B159" i="45" s="1"/>
  <c r="F338" i="45"/>
  <c r="B338" i="45" s="1"/>
  <c r="I325" i="45"/>
  <c r="L336" i="45"/>
  <c r="I24" i="45"/>
  <c r="F336" i="45"/>
  <c r="F331" i="45"/>
  <c r="B331" i="45" s="1"/>
  <c r="I332" i="45"/>
  <c r="I334" i="45"/>
  <c r="I335" i="45"/>
  <c r="I312" i="45"/>
  <c r="I324" i="45"/>
  <c r="F181" i="45"/>
  <c r="F323" i="45"/>
  <c r="F319" i="45"/>
  <c r="I320" i="45"/>
  <c r="I323" i="45"/>
  <c r="I322" i="45"/>
  <c r="I177" i="45"/>
  <c r="I319" i="45"/>
  <c r="F180" i="45"/>
  <c r="F322" i="45"/>
  <c r="F273" i="45"/>
  <c r="I313" i="45"/>
  <c r="F281" i="45"/>
  <c r="B281" i="45" s="1"/>
  <c r="F316" i="45"/>
  <c r="B316" i="45" s="1"/>
  <c r="I302" i="45"/>
  <c r="B302" i="45" s="1"/>
  <c r="I303" i="45"/>
  <c r="B303" i="45" s="1"/>
  <c r="I298" i="45"/>
  <c r="B298" i="45" s="1"/>
  <c r="I301" i="45"/>
  <c r="B301" i="45" s="1"/>
  <c r="F272" i="45"/>
  <c r="I293" i="45"/>
  <c r="B293" i="45" s="1"/>
  <c r="B284" i="45"/>
  <c r="I125" i="45"/>
  <c r="I279" i="45"/>
  <c r="F60" i="45"/>
  <c r="F279" i="45"/>
  <c r="B276" i="45"/>
  <c r="I25" i="45"/>
  <c r="I273" i="45"/>
  <c r="I266" i="45"/>
  <c r="I270" i="45"/>
  <c r="I163" i="45"/>
  <c r="B163" i="45" s="1"/>
  <c r="F270" i="45"/>
  <c r="F250" i="45"/>
  <c r="F258" i="45"/>
  <c r="B258" i="45" s="1"/>
  <c r="F254" i="45"/>
  <c r="B254" i="45" s="1"/>
  <c r="F255" i="45"/>
  <c r="B255" i="45" s="1"/>
  <c r="I216" i="45"/>
  <c r="F241" i="45"/>
  <c r="B241" i="45" s="1"/>
  <c r="F235" i="45"/>
  <c r="I228" i="45"/>
  <c r="I229" i="45"/>
  <c r="I223" i="45"/>
  <c r="I227" i="45"/>
  <c r="I191" i="45"/>
  <c r="I218" i="45"/>
  <c r="L199" i="45"/>
  <c r="F165" i="45"/>
  <c r="F216" i="45"/>
  <c r="I148" i="45"/>
  <c r="F199" i="45"/>
  <c r="B196" i="45"/>
  <c r="F194" i="45"/>
  <c r="B194" i="45" s="1"/>
  <c r="F190" i="45"/>
  <c r="B190" i="45" s="1"/>
  <c r="F192" i="45"/>
  <c r="B192" i="45" s="1"/>
  <c r="F191" i="45"/>
  <c r="F193" i="45"/>
  <c r="B193" i="45" s="1"/>
  <c r="F187" i="45"/>
  <c r="F183" i="45"/>
  <c r="F186" i="45"/>
  <c r="F185" i="45"/>
  <c r="B185" i="45" s="1"/>
  <c r="F184" i="45"/>
  <c r="B184" i="45" s="1"/>
  <c r="I187" i="45"/>
  <c r="I186" i="45"/>
  <c r="F177" i="45"/>
  <c r="I181" i="45"/>
  <c r="I178" i="45"/>
  <c r="L174" i="45"/>
  <c r="I183" i="45"/>
  <c r="I182" i="45"/>
  <c r="I180" i="45"/>
  <c r="I102" i="45"/>
  <c r="I179" i="45"/>
  <c r="F105" i="45"/>
  <c r="F106" i="45"/>
  <c r="F162" i="45"/>
  <c r="B162" i="45" s="1"/>
  <c r="I171" i="45"/>
  <c r="F98" i="45"/>
  <c r="F174" i="45"/>
  <c r="L165" i="45"/>
  <c r="I170" i="45"/>
  <c r="F161" i="45"/>
  <c r="B161" i="45" s="1"/>
  <c r="F166" i="45"/>
  <c r="B166" i="45" s="1"/>
  <c r="F167" i="45" s="1"/>
  <c r="B167" i="45" s="1"/>
  <c r="I82" i="45"/>
  <c r="I165" i="45"/>
  <c r="B151" i="45"/>
  <c r="F124" i="45"/>
  <c r="B124" i="45" s="1"/>
  <c r="F150" i="45"/>
  <c r="B150" i="45" s="1"/>
  <c r="I136" i="45"/>
  <c r="B136" i="45" s="1"/>
  <c r="I149" i="45"/>
  <c r="L16" i="45"/>
  <c r="F148" i="45"/>
  <c r="I98" i="45"/>
  <c r="I140" i="45"/>
  <c r="B140" i="45" s="1"/>
  <c r="F130" i="45"/>
  <c r="B130" i="45" s="1"/>
  <c r="F129" i="45"/>
  <c r="B129" i="45" s="1"/>
  <c r="L113" i="45"/>
  <c r="I116" i="45"/>
  <c r="F80" i="45"/>
  <c r="F116" i="45"/>
  <c r="I100" i="45"/>
  <c r="I113" i="45"/>
  <c r="I94" i="45"/>
  <c r="F113" i="45"/>
  <c r="F87" i="45"/>
  <c r="B87" i="45" s="1"/>
  <c r="F112" i="45"/>
  <c r="F23" i="45"/>
  <c r="F102" i="45"/>
  <c r="I106" i="45"/>
  <c r="I105" i="45"/>
  <c r="F75" i="45"/>
  <c r="I72" i="45"/>
  <c r="I101" i="45"/>
  <c r="L471" i="45" s="1"/>
  <c r="L98" i="45"/>
  <c r="I103" i="45"/>
  <c r="I104" i="45"/>
  <c r="F76" i="45"/>
  <c r="F83" i="45"/>
  <c r="B83" i="45" s="1"/>
  <c r="I95" i="45"/>
  <c r="I69" i="45"/>
  <c r="I89" i="45"/>
  <c r="B89" i="45" s="1"/>
  <c r="I63" i="45"/>
  <c r="F82" i="45"/>
  <c r="I64" i="45"/>
  <c r="I81" i="45"/>
  <c r="F72" i="45"/>
  <c r="I75" i="45"/>
  <c r="I76" i="45"/>
  <c r="F58" i="45"/>
  <c r="I55" i="45"/>
  <c r="I70" i="45"/>
  <c r="B70" i="45" s="1"/>
  <c r="F59" i="45"/>
  <c r="I71" i="45"/>
  <c r="B71" i="45" s="1"/>
  <c r="I74" i="45"/>
  <c r="I73" i="45"/>
  <c r="L67" i="45"/>
  <c r="I52" i="45"/>
  <c r="I67" i="45"/>
  <c r="F52" i="45"/>
  <c r="F67" i="45"/>
  <c r="I58" i="45"/>
  <c r="I59" i="45"/>
  <c r="F55" i="45"/>
  <c r="I56" i="45"/>
  <c r="L52" i="45"/>
  <c r="I27" i="45"/>
  <c r="B27" i="45" s="1"/>
  <c r="I54" i="45"/>
  <c r="F29" i="45"/>
  <c r="B29" i="45" s="1"/>
  <c r="I49" i="45"/>
  <c r="I43" i="45"/>
  <c r="I48" i="45"/>
  <c r="I39" i="45"/>
  <c r="I38" i="45"/>
  <c r="F36" i="45"/>
  <c r="B36" i="45" s="1"/>
  <c r="F37" i="45"/>
  <c r="B37" i="45" s="1"/>
  <c r="F38" i="45"/>
  <c r="F35" i="45"/>
  <c r="B35" i="45" s="1"/>
  <c r="F39" i="45"/>
  <c r="F42" i="45"/>
  <c r="B42" i="45" s="1"/>
  <c r="F46" i="45"/>
  <c r="B46" i="45" s="1"/>
  <c r="F45" i="45"/>
  <c r="B45" i="45" s="1"/>
  <c r="F43" i="45"/>
  <c r="F44" i="45"/>
  <c r="B44" i="45" s="1"/>
  <c r="F24" i="45"/>
  <c r="F25" i="45"/>
  <c r="F22" i="45"/>
  <c r="I11" i="45"/>
  <c r="I16" i="45"/>
  <c r="F13" i="45"/>
  <c r="B13" i="45" s="1"/>
  <c r="F14" i="45"/>
  <c r="B14" i="45" s="1"/>
  <c r="F11" i="45"/>
  <c r="F12" i="45"/>
  <c r="B12" i="45" s="1"/>
  <c r="F7" i="45"/>
  <c r="F10" i="45"/>
  <c r="B10" i="45" s="1"/>
  <c r="I6" i="45"/>
  <c r="I7" i="45"/>
  <c r="F5" i="45"/>
  <c r="B5" i="45" s="1"/>
  <c r="F6" i="45"/>
  <c r="F3" i="45"/>
  <c r="F4" i="45"/>
  <c r="B4" i="45" s="1"/>
  <c r="J46" i="36"/>
  <c r="F46" i="36"/>
  <c r="F50" i="36"/>
  <c r="AE46" i="36"/>
  <c r="AD46" i="36"/>
  <c r="AA46" i="36"/>
  <c r="Z46" i="36"/>
  <c r="W46" i="36"/>
  <c r="V46" i="36"/>
  <c r="S46" i="36"/>
  <c r="R46" i="36"/>
  <c r="O46" i="36"/>
  <c r="N46" i="36"/>
  <c r="I33" i="45" l="1"/>
  <c r="B33" i="45" s="1"/>
  <c r="F471" i="45"/>
  <c r="B471" i="45" s="1"/>
  <c r="F466" i="45"/>
  <c r="B466" i="45" s="1"/>
  <c r="F465" i="45"/>
  <c r="B465" i="45" s="1"/>
  <c r="F467" i="45"/>
  <c r="B467" i="45" s="1"/>
  <c r="F468" i="45"/>
  <c r="B468" i="45" s="1"/>
  <c r="B266" i="45"/>
  <c r="B457" i="45"/>
  <c r="F456" i="45" s="1"/>
  <c r="B456" i="45" s="1"/>
  <c r="B435" i="45"/>
  <c r="F447" i="45" s="1"/>
  <c r="B447" i="45" s="1"/>
  <c r="F439" i="45"/>
  <c r="B439" i="45" s="1"/>
  <c r="F452" i="45"/>
  <c r="B452" i="45" s="1"/>
  <c r="B442" i="45"/>
  <c r="B441" i="45"/>
  <c r="F450" i="45" s="1"/>
  <c r="B450" i="45" s="1"/>
  <c r="B438" i="45"/>
  <c r="B334" i="45"/>
  <c r="F410" i="45"/>
  <c r="B410" i="45" s="1"/>
  <c r="F422" i="45"/>
  <c r="B422" i="45" s="1"/>
  <c r="I423" i="45"/>
  <c r="I426" i="45"/>
  <c r="B426" i="45" s="1"/>
  <c r="I425" i="45"/>
  <c r="B425" i="45" s="1"/>
  <c r="F411" i="45"/>
  <c r="F423" i="45"/>
  <c r="I413" i="45"/>
  <c r="B413" i="45" s="1"/>
  <c r="I414" i="45"/>
  <c r="B414" i="45" s="1"/>
  <c r="I411" i="45"/>
  <c r="B335" i="45"/>
  <c r="B407" i="45"/>
  <c r="F430" i="45" s="1"/>
  <c r="B430" i="45" s="1"/>
  <c r="B272" i="45"/>
  <c r="I115" i="45" s="1"/>
  <c r="B115" i="45" s="1"/>
  <c r="F327" i="45"/>
  <c r="B327" i="45" s="1"/>
  <c r="F383" i="45"/>
  <c r="B383" i="45" s="1"/>
  <c r="F384" i="45"/>
  <c r="B384" i="45" s="1"/>
  <c r="F385" i="45"/>
  <c r="B385" i="45" s="1"/>
  <c r="F382" i="45"/>
  <c r="B382" i="45" s="1"/>
  <c r="F381" i="45"/>
  <c r="B381" i="45" s="1"/>
  <c r="B361" i="45"/>
  <c r="F375" i="45"/>
  <c r="B375" i="45" s="1"/>
  <c r="F376" i="45"/>
  <c r="B376" i="45" s="1"/>
  <c r="F377" i="45"/>
  <c r="B377" i="45" s="1"/>
  <c r="F374" i="45"/>
  <c r="B374" i="45" s="1"/>
  <c r="B378" i="45"/>
  <c r="B371" i="45"/>
  <c r="B80" i="45"/>
  <c r="F249" i="45" s="1"/>
  <c r="B24" i="45"/>
  <c r="I60" i="45"/>
  <c r="B60" i="45" s="1"/>
  <c r="F149" i="45"/>
  <c r="B149" i="45" s="1"/>
  <c r="I458" i="45" s="1"/>
  <c r="B458" i="45" s="1"/>
  <c r="F16" i="45"/>
  <c r="B16" i="45" s="1"/>
  <c r="F118" i="45"/>
  <c r="B118" i="45" s="1"/>
  <c r="F110" i="45"/>
  <c r="B110" i="45" s="1"/>
  <c r="F357" i="45"/>
  <c r="B357" i="45" s="1"/>
  <c r="F358" i="45"/>
  <c r="B358" i="45" s="1"/>
  <c r="F360" i="45"/>
  <c r="B360" i="45" s="1"/>
  <c r="F359" i="45"/>
  <c r="B359" i="45" s="1"/>
  <c r="F355" i="45"/>
  <c r="B355" i="45" s="1"/>
  <c r="F356" i="45"/>
  <c r="B356" i="45" s="1"/>
  <c r="I22" i="45" s="1"/>
  <c r="B22" i="45" s="1"/>
  <c r="I341" i="45"/>
  <c r="F354" i="45"/>
  <c r="B354" i="45" s="1"/>
  <c r="F125" i="45"/>
  <c r="B125" i="45" s="1"/>
  <c r="F341" i="45"/>
  <c r="B336" i="45"/>
  <c r="B322" i="45"/>
  <c r="F56" i="45"/>
  <c r="B56" i="45" s="1"/>
  <c r="F332" i="45"/>
  <c r="B332" i="45" s="1"/>
  <c r="F73" i="45"/>
  <c r="B73" i="45" s="1"/>
  <c r="L250" i="45"/>
  <c r="B250" i="45" s="1"/>
  <c r="B180" i="45"/>
  <c r="B323" i="45"/>
  <c r="B177" i="45"/>
  <c r="B273" i="45"/>
  <c r="B319" i="45"/>
  <c r="F283" i="45"/>
  <c r="B283" i="45" s="1"/>
  <c r="F320" i="45"/>
  <c r="B320" i="45" s="1"/>
  <c r="I199" i="45"/>
  <c r="B199" i="45" s="1"/>
  <c r="L30" i="45"/>
  <c r="B30" i="45" s="1"/>
  <c r="F103" i="45"/>
  <c r="B103" i="45" s="1"/>
  <c r="F178" i="45"/>
  <c r="B178" i="45" s="1"/>
  <c r="F321" i="45" s="1"/>
  <c r="B321" i="45" s="1"/>
  <c r="F282" i="45"/>
  <c r="B282" i="45" s="1"/>
  <c r="F236" i="45" s="1"/>
  <c r="B236" i="45" s="1"/>
  <c r="B279" i="45"/>
  <c r="B25" i="45"/>
  <c r="B270" i="45"/>
  <c r="B216" i="45"/>
  <c r="B191" i="45"/>
  <c r="B148" i="45"/>
  <c r="F197" i="45"/>
  <c r="B197" i="45" s="1"/>
  <c r="F198" i="45"/>
  <c r="B198" i="45" s="1"/>
  <c r="B174" i="45"/>
  <c r="F315" i="45" s="1"/>
  <c r="B315" i="45" s="1"/>
  <c r="B183" i="45"/>
  <c r="B186" i="45"/>
  <c r="B187" i="45"/>
  <c r="B106" i="45"/>
  <c r="B105" i="45"/>
  <c r="B182" i="45"/>
  <c r="B165" i="45"/>
  <c r="B82" i="45"/>
  <c r="L235" i="45" s="1"/>
  <c r="B235" i="45" s="1"/>
  <c r="B98" i="45"/>
  <c r="B116" i="45"/>
  <c r="B113" i="45"/>
  <c r="B76" i="45"/>
  <c r="F63" i="45" s="1"/>
  <c r="B63" i="45" s="1"/>
  <c r="B75" i="45"/>
  <c r="F93" i="45"/>
  <c r="B93" i="45" s="1"/>
  <c r="F92" i="45" s="1"/>
  <c r="B92" i="45" s="1"/>
  <c r="B59" i="45"/>
  <c r="B58" i="45"/>
  <c r="B55" i="45"/>
  <c r="B67" i="45"/>
  <c r="B52" i="45"/>
  <c r="B43" i="45"/>
  <c r="B38" i="45"/>
  <c r="B39" i="45"/>
  <c r="B11" i="45"/>
  <c r="B7" i="45"/>
  <c r="B6" i="45"/>
  <c r="J87" i="36"/>
  <c r="F87" i="36"/>
  <c r="AE87" i="36"/>
  <c r="AD87" i="36"/>
  <c r="AA87" i="36"/>
  <c r="Z87" i="36"/>
  <c r="W87" i="36"/>
  <c r="V87" i="36"/>
  <c r="S87" i="36"/>
  <c r="R87" i="36"/>
  <c r="O87" i="36"/>
  <c r="N87" i="36"/>
  <c r="J43" i="36"/>
  <c r="F437" i="45" l="1"/>
  <c r="B437" i="45" s="1"/>
  <c r="F434" i="45"/>
  <c r="B434" i="45" s="1"/>
  <c r="F453" i="45"/>
  <c r="B453" i="45" s="1"/>
  <c r="F446" i="45"/>
  <c r="B446" i="45" s="1"/>
  <c r="F444" i="45"/>
  <c r="B444" i="45" s="1"/>
  <c r="F445" i="45"/>
  <c r="B445" i="45" s="1"/>
  <c r="F433" i="45"/>
  <c r="B433" i="45" s="1"/>
  <c r="F431" i="45"/>
  <c r="B431" i="45" s="1"/>
  <c r="F432" i="45"/>
  <c r="B432" i="45" s="1"/>
  <c r="F421" i="45"/>
  <c r="B421" i="45" s="1"/>
  <c r="B411" i="45"/>
  <c r="F412" i="45" s="1"/>
  <c r="B412" i="45" s="1"/>
  <c r="B423" i="45"/>
  <c r="F440" i="45" s="1"/>
  <c r="B440" i="45" s="1"/>
  <c r="F427" i="45"/>
  <c r="B427" i="45" s="1"/>
  <c r="F429" i="45"/>
  <c r="B429" i="45" s="1"/>
  <c r="F428" i="45"/>
  <c r="B428" i="45" s="1"/>
  <c r="F406" i="45"/>
  <c r="B406" i="45" s="1"/>
  <c r="F418" i="45"/>
  <c r="B418" i="45" s="1"/>
  <c r="F417" i="45"/>
  <c r="B417" i="45" s="1"/>
  <c r="F416" i="45"/>
  <c r="B416" i="45" s="1"/>
  <c r="F415" i="45"/>
  <c r="B415" i="45" s="1"/>
  <c r="F330" i="45"/>
  <c r="B330" i="45" s="1"/>
  <c r="F409" i="45"/>
  <c r="B409" i="45" s="1"/>
  <c r="F247" i="45"/>
  <c r="B247" i="45" s="1"/>
  <c r="F405" i="45"/>
  <c r="B405" i="45" s="1"/>
  <c r="F403" i="45"/>
  <c r="B403" i="45" s="1"/>
  <c r="F404" i="45"/>
  <c r="B404" i="45" s="1"/>
  <c r="F81" i="45"/>
  <c r="B81" i="45" s="1"/>
  <c r="F401" i="45" s="1"/>
  <c r="B401" i="45" s="1"/>
  <c r="B341" i="45"/>
  <c r="I342" i="45" s="1"/>
  <c r="B342" i="45" s="1"/>
  <c r="F333" i="45"/>
  <c r="B333" i="45" s="1"/>
  <c r="F318" i="45"/>
  <c r="B318" i="45" s="1"/>
  <c r="F325" i="45"/>
  <c r="B325" i="45" s="1"/>
  <c r="F324" i="45"/>
  <c r="B324" i="45" s="1"/>
  <c r="F326" i="45"/>
  <c r="B326" i="45" s="1"/>
  <c r="F277" i="45"/>
  <c r="B277" i="45" s="1"/>
  <c r="F104" i="45"/>
  <c r="B104" i="45" s="1"/>
  <c r="F173" i="45"/>
  <c r="B173" i="45" s="1"/>
  <c r="F100" i="45"/>
  <c r="B100" i="45" s="1"/>
  <c r="F176" i="45"/>
  <c r="B176" i="45" s="1"/>
  <c r="B181" i="45"/>
  <c r="F179" i="45"/>
  <c r="B179" i="45" s="1"/>
  <c r="F97" i="45"/>
  <c r="B97" i="45" s="1"/>
  <c r="F65" i="45"/>
  <c r="B65" i="45" s="1"/>
  <c r="F64" i="45"/>
  <c r="B64" i="45" s="1"/>
  <c r="F74" i="45"/>
  <c r="B74" i="45" s="1"/>
  <c r="B102" i="45"/>
  <c r="F69" i="45"/>
  <c r="B69" i="45" s="1"/>
  <c r="F91" i="45"/>
  <c r="B91" i="45" s="1"/>
  <c r="F90" i="45"/>
  <c r="B90" i="45" s="1"/>
  <c r="F49" i="45"/>
  <c r="B49" i="45" s="1"/>
  <c r="F96" i="45"/>
  <c r="B96" i="45" s="1"/>
  <c r="F94" i="45"/>
  <c r="B94" i="45" s="1"/>
  <c r="F95" i="45"/>
  <c r="B95" i="45" s="1"/>
  <c r="F48" i="45"/>
  <c r="B48" i="45" s="1"/>
  <c r="F50" i="45"/>
  <c r="B50" i="45" s="1"/>
  <c r="F54" i="45"/>
  <c r="B54" i="45" s="1"/>
  <c r="F57" i="45"/>
  <c r="B57" i="45" s="1"/>
  <c r="B72" i="45"/>
  <c r="F51" i="45"/>
  <c r="B51" i="45" s="1"/>
  <c r="F66" i="45"/>
  <c r="B66"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F424" i="45" l="1"/>
  <c r="B424" i="45" s="1"/>
  <c r="F312" i="45"/>
  <c r="B312" i="45" s="1"/>
  <c r="F314" i="45"/>
  <c r="B314" i="45" s="1"/>
  <c r="F313" i="45"/>
  <c r="B313" i="45" s="1"/>
  <c r="F171" i="45"/>
  <c r="B171" i="45" s="1"/>
  <c r="F172" i="45"/>
  <c r="B172" i="45" s="1"/>
  <c r="F170" i="45"/>
  <c r="B170" i="45" s="1"/>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47" i="32" l="1"/>
  <c r="G47" i="32" l="1"/>
  <c r="I18" i="32" l="1"/>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8" i="32"/>
  <c r="G48" i="32" s="1"/>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B20" i="32"/>
  <c r="A67" i="26"/>
  <c r="A67" i="27"/>
  <c r="A67" i="21"/>
  <c r="A67" i="22"/>
  <c r="A67" i="17"/>
  <c r="A67" i="16"/>
  <c r="A48" i="10"/>
  <c r="A47" i="12"/>
  <c r="C6" i="32"/>
  <c r="E49" i="32"/>
  <c r="G49" i="32" s="1"/>
  <c r="G87" i="36" s="1"/>
  <c r="E50" i="32"/>
  <c r="G50" i="32" s="1"/>
  <c r="G4" i="1"/>
  <c r="G3" i="1"/>
  <c r="G2" i="1"/>
  <c r="D3" i="1"/>
  <c r="G5" i="1"/>
  <c r="A66" i="27"/>
  <c r="H4" i="1"/>
  <c r="H3" i="1"/>
  <c r="D4" i="1"/>
  <c r="H2" i="1"/>
  <c r="H5" i="1"/>
  <c r="B5" i="1"/>
  <c r="B6" i="1" l="1"/>
  <c r="J2" i="1" s="1"/>
  <c r="B217" i="45"/>
  <c r="I373" i="45" s="1"/>
  <c r="B373" i="45" s="1"/>
  <c r="E78" i="32"/>
  <c r="C7" i="32"/>
  <c r="E52" i="32"/>
  <c r="G52" i="32" s="1"/>
  <c r="E51" i="32"/>
  <c r="G51" i="32" s="1"/>
  <c r="E53" i="32"/>
  <c r="G53" i="32"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F220" i="45" l="1"/>
  <c r="B220" i="45" s="1"/>
  <c r="F228" i="45"/>
  <c r="B228" i="45" s="1"/>
  <c r="F223" i="45"/>
  <c r="B223" i="45" s="1"/>
  <c r="I249" i="45"/>
  <c r="B249" i="45" s="1"/>
  <c r="F221" i="45"/>
  <c r="B221" i="45" s="1"/>
  <c r="F225" i="45"/>
  <c r="B225" i="45" s="1"/>
  <c r="F229" i="45"/>
  <c r="B229" i="45" s="1"/>
  <c r="F227" i="45"/>
  <c r="B227" i="45" s="1"/>
  <c r="F218" i="45"/>
  <c r="B218" i="45" s="1"/>
  <c r="F222" i="45"/>
  <c r="B222" i="45" s="1"/>
  <c r="F219" i="45"/>
  <c r="B219" i="45" s="1"/>
  <c r="E56" i="32"/>
  <c r="E54" i="32"/>
  <c r="G54" i="32" s="1"/>
  <c r="J4" i="1"/>
  <c r="D6" i="1"/>
  <c r="J3" i="1"/>
  <c r="K43" i="36"/>
  <c r="E77" i="32"/>
  <c r="E62" i="32" s="1"/>
  <c r="E63" i="32"/>
  <c r="C8" i="32"/>
  <c r="E57" i="32" s="1"/>
  <c r="G57" i="32" s="1"/>
  <c r="G56" i="32"/>
  <c r="E55" i="32"/>
  <c r="G55"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E77" i="28" l="1"/>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G50" i="36" l="1"/>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M15" i="13" l="1"/>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A66" i="16" l="1"/>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I12" i="14" l="1"/>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I49" i="32"/>
  <c r="K49" i="32" s="1"/>
  <c r="B31" i="45" s="1"/>
  <c r="G59" i="36"/>
  <c r="C59" i="36" s="1"/>
  <c r="G61" i="36"/>
  <c r="C61" i="36" s="1"/>
  <c r="I51" i="32"/>
  <c r="K51" i="32" s="1"/>
  <c r="I48" i="32"/>
  <c r="K48" i="32" s="1"/>
  <c r="I52" i="32"/>
  <c r="K52" i="32" s="1"/>
  <c r="I47" i="32"/>
  <c r="K47" i="32" s="1"/>
  <c r="G63" i="36"/>
  <c r="C63" i="36" s="1"/>
  <c r="Q74" i="17"/>
  <c r="Q74" i="27"/>
  <c r="Q54" i="12"/>
  <c r="Q74" i="22"/>
  <c r="Q32" i="5"/>
  <c r="Q31" i="5"/>
  <c r="O112" i="45" l="1"/>
  <c r="B112" i="45" s="1"/>
  <c r="F152" i="45"/>
  <c r="B152" i="45" s="1"/>
  <c r="K46" i="36"/>
  <c r="G54" i="36"/>
  <c r="G58" i="36"/>
  <c r="C58" i="36" s="1"/>
  <c r="G43" i="36"/>
  <c r="I50" i="32"/>
  <c r="K50"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G77" i="36" l="1"/>
  <c r="G69" i="36"/>
  <c r="C69" i="36" s="1"/>
  <c r="H28" i="38" s="1"/>
  <c r="K28" i="38"/>
  <c r="E28" i="38" l="1"/>
  <c r="K87" i="36"/>
  <c r="K54" i="36" l="1"/>
  <c r="C54" i="36" s="1"/>
  <c r="K50" i="36" l="1"/>
  <c r="C50" i="36" s="1"/>
  <c r="K2" i="38"/>
  <c r="E2" i="38" s="1"/>
  <c r="K77" i="36" l="1"/>
  <c r="C77" i="36" s="1"/>
  <c r="H32" i="38" s="1"/>
  <c r="H5" i="38"/>
  <c r="H4" i="38"/>
  <c r="H6" i="38" l="1"/>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O3" i="45"/>
  <c r="B3" i="45" s="1"/>
  <c r="F481" i="45"/>
  <c r="B481" i="45" s="1"/>
  <c r="F477" i="45" l="1"/>
  <c r="B477" i="45" s="1"/>
  <c r="F479" i="45"/>
  <c r="B479" i="45" s="1"/>
  <c r="F478" i="45"/>
  <c r="B478" i="45" s="1"/>
  <c r="F480" i="45"/>
  <c r="B480" i="4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<sst xmlns="http://schemas.openxmlformats.org/spreadsheetml/2006/main" count="11065" uniqueCount="1388">
  <si>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</si>
  <si>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</si>
  <si>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</si>
  <si>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</si>
  <si>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</si>
  <si>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</si>
  <si>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</si>
  <si>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</si>
  <si>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</si>
  <si>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</si>
  <si>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</si>
  <si>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</si>
  <si>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</si>
  <si>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</si>
  <si>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</si>
  <si>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</si>
  <si>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</si>
  <si>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</si>
  <si>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</si>
  <si>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</si>
  <si>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</si>
  <si>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</si>
  <si>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</si>
  <si>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</si>
  <si>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</si>
  <si>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</si>
  <si>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</si>
  <si>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</si>
  <si>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</si>
  <si>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</si>
  <si>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</si>
  <si>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</si>
  <si>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</si>
  <si>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</si>
  <si>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</si>
  <si>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</si>
  <si>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</si>
  <si>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</si>
  <si>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</si>
  <si>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</si>
  <si>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</si>
  <si>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</si>
  <si>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</si>
  <si>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</si>
  <si>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</si>
  <si>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</si>
  <si>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</si>
  <si>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</si>
  <si>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</si>
  <si>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</si>
  <si>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</si>
  <si>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</si>
  <si>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</si>
  <si>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</si>
  <si>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</si>
  <si>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</si>
  <si>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</si>
  <si>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</si>
  <si>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</si>
  <si>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</si>
  <si>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</si>
  <si>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</si>
  <si>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</si>
  <si>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</si>
  <si>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</si>
  <si>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</si>
  <si>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</si>
  <si>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</si>
  <si>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</si>
  <si>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</si>
  <si>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</si>
  <si>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</si>
  <si>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</si>
  <si>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</si>
  <si>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</si>
  <si>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</si>
  <si>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</si>
  <si>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</si>
  <si>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</si>
  <si>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</si>
  <si>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</si>
  <si>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</si>
  <si>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</si>
  <si>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</si>
  <si>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</si>
  <si>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</si>
  <si>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</si>
  <si>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</si>
  <si>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</si>
  <si>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</si>
  <si>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</si>
  <si>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</si>
  <si>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</si>
  <si>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</si>
  <si>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</si>
  <si>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</si>
  <si>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</si>
  <si>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</si>
  <si>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</si>
  <si>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</si>
  <si>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</si>
  <si>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</si>
  <si>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</si>
  <si>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</si>
  <si>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</si>
  <si>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</si>
  <si>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</si>
  <si>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</si>
  <si>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</si>
  <si>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</si>
  <si>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</si>
  <si>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</si>
  <si>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</si>
  <si>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</si>
  <si>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</si>
  <si>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</si>
  <si>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</si>
  <si>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</si>
  <si>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</si>
  <si>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</si>
  <si>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</si>
  <si>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</si>
  <si>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</si>
  <si>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</si>
  <si>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</si>
  <si>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</si>
  <si>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</si>
  <si>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</si>
  <si>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</si>
  <si>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</si>
  <si>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</si>
  <si>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</si>
  <si>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</si>
  <si>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</si>
  <si>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</si>
  <si>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</si>
  <si>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</si>
  <si>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</si>
  <si>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</si>
  <si>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</si>
  <si>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</si>
  <si>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</si>
  <si>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</si>
  <si>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</si>
  <si>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</si>
  <si>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</si>
  <si>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</si>
  <si>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</si>
  <si>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</si>
  <si>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</si>
  <si>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</si>
  <si>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</si>
  <si>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</si>
  <si>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</si>
  <si>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</si>
  <si>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</si>
  <si>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</si>
  <si>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</si>
  <si>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</si>
  <si>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</si>
  <si>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</si>
  <si>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</si>
  <si>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</si>
  <si>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</si>
  <si>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</si>
  <si>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</si>
  <si>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</si>
  <si>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</si>
  <si>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</si>
  <si>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</si>
  <si>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</si>
  <si>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</si>
  <si>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</si>
  <si>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</si>
  <si>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</si>
  <si>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</si>
  <si>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</si>
  <si>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</si>
  <si>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</si>
  <si>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</si>
  <si>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</si>
  <si>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</si>
  <si>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</si>
  <si>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</si>
  <si>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</si>
  <si>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</si>
  <si>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</si>
  <si>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</si>
  <si>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</si>
  <si>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</si>
  <si>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</si>
  <si>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</si>
  <si>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</si>
  <si>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</si>
  <si>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</si>
  <si>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</si>
  <si>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</si>
  <si>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</si>
  <si>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</si>
  <si>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PRECIO</t>
  </si>
  <si>
    <t>NOMBRE</t>
  </si>
  <si>
    <t>Orange Wool</t>
  </si>
  <si>
    <t>Yellow Wool</t>
  </si>
  <si>
    <t>Pink Wool</t>
  </si>
  <si>
    <t>Gray Wool</t>
  </si>
  <si>
    <t>Light Gray Wool</t>
  </si>
  <si>
    <t>Cyan Wool</t>
  </si>
  <si>
    <t>17:1</t>
  </si>
  <si>
    <t>17:2</t>
  </si>
  <si>
    <t>17:3</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</si>
  <si>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</si>
  <si>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</si>
  <si>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</si>
  <si>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</si>
  <si>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</si>
  <si>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</si>
  <si>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</si>
  <si>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</si>
  <si>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</si>
  <si>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</si>
  <si>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</si>
  <si>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</si>
  <si>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</si>
  <si>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</si>
  <si>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</si>
  <si>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</si>
  <si>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</si>
  <si>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</si>
  <si>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</si>
  <si>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</si>
  <si>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</si>
  <si>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</si>
  <si>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</si>
  <si>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</si>
  <si>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</si>
  <si>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44:3</t>
  </si>
  <si>
    <t>162:1</t>
  </si>
  <si>
    <t>Ink Sack</t>
  </si>
  <si>
    <t>Rose Red Dye</t>
  </si>
  <si>
    <t>Cactus Green Dye</t>
  </si>
  <si>
    <t>Cocoa Bean</t>
  </si>
  <si>
    <t>Lapis Lazuli</t>
  </si>
  <si>
    <t>Purple Dye</t>
  </si>
  <si>
    <t>Cyan Dye</t>
  </si>
  <si>
    <t>Light Gray Dye</t>
  </si>
  <si>
    <t>Gray Dye</t>
  </si>
  <si>
    <t>Pink Dye</t>
  </si>
  <si>
    <t>Lime Dye</t>
  </si>
  <si>
    <t>Yellow Dye</t>
  </si>
  <si>
    <t>Light Blue Dye</t>
  </si>
  <si>
    <t>Magenta Dye</t>
  </si>
  <si>
    <t>Orange Dye</t>
  </si>
  <si>
    <t>Bone Meal</t>
  </si>
  <si>
    <t xml:space="preserve">Bone  </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</si>
  <si>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</si>
  <si>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</si>
  <si>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</si>
  <si>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</si>
  <si>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</si>
  <si>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</si>
  <si>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</si>
  <si>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</si>
  <si>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</si>
  <si>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</si>
  <si>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</si>
  <si>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</si>
  <si>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</si>
  <si>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</si>
  <si>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</si>
  <si>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</si>
  <si>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</si>
  <si>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</si>
  <si>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</si>
  <si>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</si>
  <si>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</si>
  <si>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</si>
  <si>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</si>
  <si>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</si>
  <si>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</si>
  <si>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</si>
  <si>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</si>
  <si>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</si>
  <si>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</si>
  <si>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</si>
  <si>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</si>
  <si>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</si>
  <si>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</si>
  <si>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</si>
  <si>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Tintes</t>
  </si>
  <si>
    <t>precio</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</si>
  <si>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</si>
  <si>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</si>
  <si>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</si>
  <si>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</si>
  <si>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</si>
  <si>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</si>
  <si>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</si>
  <si>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</si>
  <si>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</si>
  <si>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</si>
  <si>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</si>
  <si>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</si>
  <si>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</si>
  <si>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</si>
  <si>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</si>
  <si>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</si>
  <si>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</si>
  <si>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</si>
  <si>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</si>
  <si>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</si>
  <si>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</si>
  <si>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</si>
  <si>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</si>
  <si>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</si>
  <si>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</si>
  <si>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</si>
  <si>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</si>
  <si>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</si>
  <si>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</si>
  <si>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</si>
  <si>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</si>
  <si>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</si>
  <si>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</si>
  <si>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</si>
  <si>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</si>
  <si>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</si>
  <si>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</si>
  <si>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</si>
  <si>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</si>
  <si>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</si>
  <si>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</si>
  <si>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</si>
  <si>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</si>
  <si>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</si>
  <si>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</si>
  <si>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</si>
  <si>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</si>
  <si>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</si>
  <si>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</si>
  <si>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</si>
  <si>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</si>
  <si>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</si>
  <si>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</si>
  <si>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</si>
  <si>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</si>
  <si>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</si>
  <si>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</si>
  <si>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</si>
  <si>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</si>
  <si>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</si>
  <si>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</si>
  <si>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</si>
  <si>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</si>
  <si>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</si>
  <si>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</si>
  <si>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</si>
  <si>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</si>
  <si>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</si>
  <si>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</si>
  <si>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</si>
  <si>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</si>
  <si>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</si>
  <si>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</si>
  <si>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</si>
  <si>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</si>
  <si>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</si>
  <si>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</si>
  <si>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</si>
  <si>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</si>
  <si>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</si>
  <si>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</si>
  <si>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</si>
  <si>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</si>
  <si>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</si>
  <si>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</si>
  <si>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</si>
  <si>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</si>
  <si>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</si>
  <si>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</si>
  <si>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</si>
  <si>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</si>
  <si>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</si>
  <si>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</si>
  <si>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</si>
  <si>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</si>
  <si>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</si>
  <si>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</si>
  <si>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</si>
  <si>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</si>
  <si>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</si>
  <si>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</si>
  <si>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</si>
  <si>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</si>
  <si>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</si>
  <si>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</si>
  <si>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</si>
  <si>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</si>
  <si>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</si>
  <si>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</si>
  <si>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</si>
  <si>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</si>
  <si>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</si>
  <si>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</si>
  <si>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</si>
  <si>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</si>
  <si>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</si>
  <si>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</si>
  <si>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</si>
  <si>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</si>
  <si>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</si>
  <si>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</si>
  <si>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</si>
  <si>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</si>
  <si>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</si>
  <si>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</si>
  <si>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</si>
  <si>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</si>
  <si>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</si>
  <si>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</si>
  <si>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</si>
  <si>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</si>
  <si>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</si>
  <si>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</si>
  <si>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</si>
  <si>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</si>
  <si>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</si>
  <si>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</si>
  <si>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</si>
  <si>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</si>
  <si>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</si>
  <si>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</si>
  <si>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</si>
  <si>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</si>
  <si>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</si>
  <si>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</si>
  <si>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</si>
  <si>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</si>
  <si>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</si>
  <si>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</si>
  <si>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</si>
  <si>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</si>
  <si>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</si>
  <si>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</si>
  <si>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</si>
  <si>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</si>
  <si>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</si>
  <si>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</si>
  <si>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</si>
  <si>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</si>
  <si>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</si>
  <si>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</si>
  <si>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</si>
  <si>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</si>
  <si>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</si>
  <si>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</si>
  <si>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</si>
  <si>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</si>
  <si>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</si>
  <si>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</si>
  <si>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</si>
  <si>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</si>
  <si>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</si>
  <si>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</si>
  <si>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</si>
  <si>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</si>
  <si>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</si>
  <si>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</si>
  <si>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</si>
  <si>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</si>
  <si>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</si>
  <si>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</si>
  <si>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</si>
  <si>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</si>
  <si>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</si>
  <si>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</si>
  <si>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</si>
  <si>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</si>
  <si>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</si>
  <si>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</si>
  <si>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</si>
  <si>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</si>
  <si>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</si>
  <si>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</si>
  <si>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</si>
  <si>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</si>
  <si>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</si>
  <si>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</si>
  <si>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</si>
  <si>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</si>
  <si>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</si>
  <si>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</si>
  <si>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</si>
  <si>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</si>
  <si>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</si>
  <si>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</si>
  <si>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</si>
  <si>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</si>
  <si>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</si>
  <si>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</si>
  <si>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</si>
  <si>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</si>
  <si>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</si>
  <si>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</si>
  <si>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</si>
  <si>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</si>
  <si>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</si>
  <si>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</si>
  <si>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</si>
  <si>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</si>
  <si>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</si>
  <si>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</si>
  <si>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</si>
  <si>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</si>
  <si>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</si>
  <si>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</si>
  <si>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</si>
  <si>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</si>
  <si>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</si>
  <si>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</si>
  <si>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</si>
  <si>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</si>
  <si>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</si>
  <si>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</si>
  <si>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</si>
  <si>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</si>
  <si>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</si>
  <si>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</si>
  <si>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</si>
  <si>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</si>
  <si>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</si>
  <si>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</si>
  <si>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</si>
  <si>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</si>
  <si>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</si>
  <si>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</si>
  <si>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</si>
  <si>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</si>
  <si>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</si>
  <si>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</si>
  <si>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</si>
  <si>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</si>
  <si>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</si>
  <si>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</si>
  <si>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</si>
  <si>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</si>
  <si>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</si>
  <si>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</si>
  <si>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</si>
  <si>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</si>
  <si>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</si>
  <si>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</si>
  <si>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</si>
  <si>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</si>
  <si>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</si>
  <si>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</si>
  <si>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</si>
  <si>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</si>
  <si>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</si>
  <si>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</si>
  <si>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</si>
  <si>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</si>
  <si>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</si>
  <si>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</si>
  <si>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</si>
  <si>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</si>
  <si>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</si>
  <si>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</si>
  <si>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</si>
  <si>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</si>
  <si>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</si>
  <si>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</si>
  <si>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</si>
  <si>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</si>
  <si>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</si>
  <si>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</si>
  <si>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</si>
  <si>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</si>
  <si>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</si>
  <si>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</si>
  <si>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</si>
  <si>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</si>
  <si>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</si>
  <si>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</si>
  <si>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</si>
  <si>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</si>
  <si>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</si>
  <si>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</si>
  <si>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</si>
  <si>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</si>
  <si>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</si>
  <si>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</si>
  <si>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Alquimia</t>
  </si>
  <si>
    <t>acacia_boat</t>
  </si>
  <si>
    <t>acacia_button</t>
  </si>
  <si>
    <t>acacia_door</t>
  </si>
  <si>
    <t>acacia_fence</t>
  </si>
  <si>
    <t>acacia_fence_gate</t>
  </si>
  <si>
    <t>acacia_leaves</t>
  </si>
  <si>
    <t>acacia_log</t>
  </si>
  <si>
    <t>acacia_planks</t>
  </si>
  <si>
    <t>acacia_pressure_plate</t>
  </si>
  <si>
    <t>acacia_sapling</t>
  </si>
  <si>
    <t>acacia_sign</t>
  </si>
  <si>
    <t>acacia_slab</t>
  </si>
  <si>
    <t>acacia_stairs</t>
  </si>
  <si>
    <t>acacia_trapdoor</t>
  </si>
  <si>
    <t>acacia_wood</t>
  </si>
  <si>
    <t>activator_rail</t>
  </si>
  <si>
    <t>allium</t>
  </si>
  <si>
    <t>andesite</t>
  </si>
  <si>
    <t>andesite_slab</t>
  </si>
  <si>
    <t>andesite_stairs</t>
  </si>
  <si>
    <t>andesite_wall</t>
  </si>
  <si>
    <t>anvil</t>
  </si>
  <si>
    <t>CANTERIA</t>
  </si>
  <si>
    <t>Herreria</t>
  </si>
  <si>
    <t>apple</t>
  </si>
  <si>
    <t>armor_stand</t>
  </si>
  <si>
    <t>arrow</t>
  </si>
  <si>
    <t>azure_bluet</t>
  </si>
  <si>
    <t>Herboristeria</t>
  </si>
  <si>
    <t>baked_potato</t>
  </si>
  <si>
    <t>Agricultura</t>
  </si>
  <si>
    <t>bamboo</t>
  </si>
  <si>
    <t>barrel</t>
  </si>
  <si>
    <t>beacon</t>
  </si>
  <si>
    <t>Carniceria</t>
  </si>
  <si>
    <t>beef</t>
  </si>
  <si>
    <t>beetroot</t>
  </si>
  <si>
    <t>COCINAR</t>
  </si>
  <si>
    <t>beetroot_soup</t>
  </si>
  <si>
    <t>bell</t>
  </si>
  <si>
    <t>birch_boat</t>
  </si>
  <si>
    <t>birch_button</t>
  </si>
  <si>
    <t>birch_door</t>
  </si>
  <si>
    <t>birch_fence</t>
  </si>
  <si>
    <t>birch_fence_gate</t>
  </si>
  <si>
    <t>birch_leaves</t>
  </si>
  <si>
    <t>birch_log</t>
  </si>
  <si>
    <t>birch_planks</t>
  </si>
  <si>
    <t>birch_pressure_plate</t>
  </si>
  <si>
    <t>birch_sapling</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</si>
  <si>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</si>
  <si>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</si>
  <si>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</si>
  <si>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</si>
  <si>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</si>
  <si>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</si>
  <si>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</si>
  <si>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</si>
  <si>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</si>
  <si>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</si>
  <si>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</si>
  <si>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</si>
  <si>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</si>
  <si>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Vidireria</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</si>
  <si>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</si>
  <si>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</si>
  <si>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</si>
  <si>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</si>
  <si>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</si>
  <si>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</si>
  <si>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</si>
  <si>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</si>
  <si>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</si>
  <si>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</si>
  <si>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</si>
  <si>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</si>
  <si>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</si>
  <si>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</si>
  <si>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</si>
  <si>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</si>
  <si>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</si>
  <si>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</si>
  <si>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</si>
  <si>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</si>
  <si>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</si>
  <si>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</si>
  <si>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</si>
  <si>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</si>
  <si>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</si>
  <si>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</si>
  <si>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</si>
  <si>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</si>
  <si>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</si>
  <si>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</si>
  <si>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</si>
  <si>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</si>
  <si>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</si>
  <si>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</si>
  <si>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</si>
  <si>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</si>
  <si>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</si>
  <si>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</si>
  <si>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</si>
  <si>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</si>
  <si>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</si>
  <si>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</si>
  <si>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</si>
  <si>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</si>
  <si>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</si>
  <si>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</si>
  <si>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</si>
  <si>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</si>
  <si>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</si>
  <si>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</si>
  <si>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</si>
  <si>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</si>
  <si>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</si>
  <si>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</si>
  <si>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</si>
  <si>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</si>
  <si>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</si>
  <si>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</si>
  <si>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</si>
  <si>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</si>
  <si>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</si>
  <si>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</si>
  <si>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</si>
  <si>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</si>
  <si>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</si>
  <si>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</si>
  <si>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</si>
  <si>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</si>
  <si>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</si>
  <si>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</si>
  <si>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</si>
  <si>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</si>
  <si>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</si>
  <si>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</si>
  <si>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</si>
  <si>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</si>
  <si>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</si>
  <si>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</si>
  <si>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</si>
  <si>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</si>
  <si>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</si>
  <si>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</si>
  <si>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</si>
  <si>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</si>
  <si>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</si>
  <si>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</si>
  <si>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</si>
  <si>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</si>
  <si>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</si>
  <si>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</si>
  <si>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</si>
  <si>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</si>
  <si>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</si>
  <si>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</si>
  <si>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</si>
  <si>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</si>
  <si>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</si>
  <si>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</si>
  <si>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</si>
  <si>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</si>
  <si>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</si>
  <si>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</si>
  <si>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</si>
  <si>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</si>
  <si>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</si>
  <si>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</si>
  <si>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</si>
  <si>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</si>
  <si>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</si>
  <si>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</si>
  <si>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</si>
  <si>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</si>
  <si>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</si>
  <si>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</si>
  <si>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</si>
  <si>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</si>
  <si>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</si>
  <si>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</si>
  <si>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</si>
  <si>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</si>
  <si>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</si>
  <si>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</si>
  <si>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</si>
  <si>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</si>
  <si>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</si>
  <si>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</si>
  <si>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</si>
  <si>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</si>
  <si>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</si>
  <si>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</si>
  <si>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</si>
  <si>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</si>
  <si>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</si>
  <si>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</si>
  <si>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</si>
  <si>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</si>
  <si>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</si>
  <si>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</si>
  <si>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</si>
  <si>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</si>
  <si>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</si>
  <si>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</si>
  <si>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</si>
  <si>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</si>
  <si>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</si>
  <si>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</si>
  <si>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</si>
  <si>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</si>
  <si>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</si>
  <si>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</si>
  <si>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</si>
  <si>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</si>
  <si>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</si>
  <si>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</si>
  <si>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</si>
  <si>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</si>
  <si>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</si>
  <si>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</si>
  <si>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</si>
  <si>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</si>
  <si>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</si>
  <si>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</si>
  <si>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</si>
  <si>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</si>
  <si>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</si>
  <si>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</si>
  <si>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</si>
  <si>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</si>
  <si>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</si>
  <si>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</si>
  <si>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</si>
  <si>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</si>
  <si>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</si>
  <si>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</si>
  <si>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</si>
  <si>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</si>
  <si>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</si>
  <si>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</si>
  <si>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</si>
  <si>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</si>
  <si>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</si>
  <si>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</si>
  <si>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</si>
  <si>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</si>
  <si>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</si>
  <si>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</si>
  <si>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</si>
  <si>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</si>
  <si>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</si>
  <si>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</si>
  <si>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</si>
  <si>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</si>
  <si>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</si>
  <si>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</si>
  <si>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</si>
  <si>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</si>
  <si>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</si>
  <si>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</si>
  <si>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</si>
  <si>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</si>
  <si>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</si>
  <si>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</si>
  <si>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</si>
  <si>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</si>
  <si>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</si>
  <si>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</si>
  <si>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</si>
  <si>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</si>
  <si>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</si>
  <si>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</si>
  <si>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</si>
  <si>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</si>
  <si>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</si>
  <si>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</si>
  <si>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</si>
  <si>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</si>
  <si>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</si>
  <si>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</si>
  <si>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</si>
  <si>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</si>
  <si>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</si>
  <si>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</si>
  <si>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</si>
  <si>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</si>
  <si>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</si>
  <si>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</si>
  <si>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</si>
  <si>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</si>
  <si>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</si>
  <si>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</si>
  <si>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</si>
  <si>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</si>
  <si>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</si>
  <si>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</si>
  <si>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</si>
  <si>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</si>
  <si>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</si>
  <si>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</si>
  <si>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</si>
  <si>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</si>
  <si>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</si>
  <si>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</si>
  <si>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</si>
  <si>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</si>
  <si>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</si>
  <si>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</si>
  <si>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</si>
  <si>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</si>
  <si>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</si>
  <si>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</si>
  <si>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</si>
  <si>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</si>
  <si>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</si>
  <si>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</si>
  <si>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</si>
  <si>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</si>
  <si>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</si>
  <si>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</si>
  <si>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</si>
  <si>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</si>
  <si>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</si>
  <si>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</si>
  <si>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</si>
  <si>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</si>
  <si>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</si>
  <si>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</si>
  <si>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</si>
  <si>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</si>
  <si>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</si>
  <si>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</si>
  <si>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</si>
  <si>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</si>
  <si>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</si>
  <si>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</si>
  <si>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</si>
  <si>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</si>
  <si>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</si>
  <si>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</si>
  <si>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</si>
  <si>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</si>
  <si>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</si>
  <si>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</si>
  <si>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</si>
  <si>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</si>
  <si>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</si>
  <si>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</si>
  <si>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</si>
  <si>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</si>
  <si>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</si>
  <si>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</si>
  <si>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</si>
  <si>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</si>
  <si>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</si>
  <si>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</si>
  <si>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</si>
  <si>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</si>
  <si>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</si>
  <si>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</si>
  <si>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</si>
  <si>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</si>
  <si>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</si>
  <si>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</si>
  <si>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</si>
  <si>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</si>
  <si>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</si>
  <si>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</si>
  <si>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</si>
  <si>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</si>
  <si>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</si>
  <si>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</si>
  <si>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</si>
  <si>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</si>
  <si>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</si>
  <si>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</si>
  <si>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</si>
  <si>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</si>
  <si>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</si>
  <si>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</si>
  <si>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</si>
  <si>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</si>
  <si>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</si>
  <si>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</si>
  <si>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</si>
  <si>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</si>
  <si>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</si>
  <si>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</si>
  <si>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</si>
  <si>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</si>
  <si>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</si>
  <si>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</si>
  <si>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</si>
  <si>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</si>
  <si>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</si>
  <si>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</si>
  <si>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</si>
  <si>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</si>
  <si>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</si>
  <si>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</si>
  <si>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</si>
  <si>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</si>
  <si>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</si>
  <si>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</si>
  <si>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</si>
  <si>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</si>
  <si>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</si>
  <si>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</si>
  <si>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</si>
  <si>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</si>
  <si>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</si>
  <si>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</si>
  <si>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</si>
  <si>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</si>
  <si>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</si>
  <si>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</si>
  <si>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</si>
  <si>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</si>
  <si>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</si>
  <si>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</si>
  <si>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</si>
  <si>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</si>
  <si>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</si>
  <si>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</si>
  <si>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</si>
  <si>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</si>
  <si>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</si>
  <si>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</si>
  <si>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</si>
  <si>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</si>
  <si>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</si>
  <si>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</si>
  <si>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</si>
  <si>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</si>
  <si>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</si>
  <si>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</si>
  <si>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</si>
  <si>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</si>
  <si>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</si>
  <si>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</si>
  <si>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</si>
  <si>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</si>
  <si>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</si>
  <si>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</si>
  <si>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</si>
  <si>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</si>
  <si>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</si>
  <si>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</si>
  <si>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</si>
  <si>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</si>
  <si>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</si>
  <si>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</si>
  <si>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</si>
  <si>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</si>
  <si>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</si>
  <si>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</si>
  <si>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</si>
  <si>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</si>
  <si>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</si>
  <si>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</si>
  <si>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</si>
  <si>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</si>
  <si>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</si>
  <si>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</si>
  <si>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</si>
  <si>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</si>
  <si>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</si>
  <si>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</si>
  <si>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</si>
  <si>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</si>
  <si>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</si>
  <si>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</si>
  <si>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</si>
  <si>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</si>
  <si>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</si>
  <si>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</si>
  <si>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</si>
  <si>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</si>
  <si>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</si>
  <si>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</si>
  <si>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</si>
  <si>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</si>
  <si>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</si>
  <si>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</si>
  <si>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</si>
  <si>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</si>
  <si>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</si>
  <si>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</si>
  <si>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</si>
  <si>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</si>
  <si>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</si>
  <si>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</si>
  <si>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</si>
  <si>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</si>
  <si>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</si>
  <si>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</si>
  <si>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</si>
  <si>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oak_leaves</t>
  </si>
  <si>
    <t>oak_log</t>
  </si>
  <si>
    <t>oak_planks</t>
  </si>
  <si>
    <t>oak_pressure_plate</t>
  </si>
  <si>
    <t>oak_sapling</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</si>
  <si>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</si>
  <si>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</si>
  <si>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</si>
  <si>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</si>
  <si>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</si>
  <si>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</si>
  <si>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</si>
  <si>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</si>
  <si>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</si>
  <si>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</si>
  <si>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</si>
  <si>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</si>
  <si>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</si>
  <si>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</si>
  <si>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</si>
  <si>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</si>
  <si>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</si>
  <si>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</si>
  <si>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</si>
  <si>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</si>
  <si>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</si>
  <si>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</si>
  <si>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</si>
  <si>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</si>
  <si>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</si>
  <si>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</si>
  <si>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</si>
  <si>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</si>
  <si>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</si>
  <si>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</si>
  <si>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</si>
  <si>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</si>
  <si>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</si>
  <si>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</si>
  <si>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</si>
  <si>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</si>
  <si>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</si>
  <si>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</si>
  <si>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</si>
  <si>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</si>
  <si>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</si>
  <si>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</si>
  <si>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</si>
  <si>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</si>
  <si>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</si>
  <si>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</si>
  <si>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</si>
  <si>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</si>
  <si>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</si>
  <si>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</si>
  <si>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</si>
  <si>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</si>
  <si>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</si>
  <si>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</si>
  <si>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</si>
  <si>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</si>
  <si>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</si>
  <si>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</si>
  <si>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</si>
  <si>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</si>
  <si>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</si>
  <si>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</si>
  <si>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</si>
  <si>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</si>
  <si>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</si>
  <si>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</si>
  <si>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</si>
  <si>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pufferfish_bucket</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</si>
  <si>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</si>
  <si>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</si>
  <si>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</si>
  <si>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</si>
  <si>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</si>
  <si>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</si>
  <si>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</si>
  <si>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</si>
  <si>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</si>
  <si>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</si>
  <si>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</si>
  <si>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</si>
  <si>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</si>
  <si>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</si>
  <si>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</si>
  <si>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</si>
  <si>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</si>
  <si>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</si>
  <si>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</si>
  <si>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</si>
  <si>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</si>
  <si>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</si>
  <si>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</si>
  <si>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</si>
  <si>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</si>
  <si>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</si>
  <si>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</si>
  <si>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</si>
  <si>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</si>
  <si>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</si>
  <si>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</si>
  <si>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</si>
  <si>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</si>
  <si>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</si>
  <si>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</si>
  <si>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</si>
  <si>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</si>
  <si>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red_mushroom_block</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</si>
  <si>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</si>
  <si>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</si>
  <si>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</si>
  <si>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</si>
  <si>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</si>
  <si>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</si>
  <si>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</si>
  <si>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</si>
  <si>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</si>
  <si>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</si>
  <si>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</si>
  <si>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</si>
  <si>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</si>
  <si>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</si>
  <si>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</si>
  <si>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</si>
  <si>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</si>
  <si>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</si>
  <si>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</si>
  <si>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</si>
  <si>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</si>
  <si>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</si>
  <si>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</si>
  <si>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</si>
  <si>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</si>
  <si>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</si>
  <si>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salmon_bucket</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</si>
  <si>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</si>
  <si>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</si>
  <si>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</si>
  <si>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</si>
  <si>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</si>
  <si>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</si>
  <si>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</si>
  <si>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</si>
  <si>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</si>
  <si>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</si>
  <si>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</si>
  <si>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</si>
  <si>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</si>
  <si>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</si>
  <si>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</si>
  <si>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</si>
  <si>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</si>
  <si>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</si>
  <si>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</si>
  <si>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</si>
  <si>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</si>
  <si>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</si>
  <si>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</si>
  <si>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</si>
  <si>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</si>
  <si>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</si>
  <si>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</si>
  <si>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</si>
  <si>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</si>
  <si>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</si>
  <si>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</si>
  <si>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</si>
  <si>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</si>
  <si>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</si>
  <si>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</si>
  <si>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</si>
  <si>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</si>
  <si>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</si>
  <si>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</si>
  <si>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</si>
  <si>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</si>
  <si>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</si>
  <si>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spruce_leaves</t>
  </si>
  <si>
    <t>spruce_log</t>
  </si>
  <si>
    <t>spruce_planks</t>
  </si>
  <si>
    <t>spruce_pressure_plate</t>
  </si>
  <si>
    <t>spruce_sapling</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</si>
  <si>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</si>
  <si>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</si>
  <si>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</si>
  <si>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</si>
  <si>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</si>
  <si>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</si>
  <si>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</si>
  <si>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</si>
  <si>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</si>
  <si>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</si>
  <si>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</si>
  <si>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</si>
  <si>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</si>
  <si>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</si>
  <si>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</si>
  <si>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</si>
  <si>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</si>
  <si>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</si>
  <si>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</si>
  <si>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</si>
  <si>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</si>
  <si>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</si>
  <si>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</si>
  <si>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</si>
  <si>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</si>
  <si>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</si>
  <si>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</si>
  <si>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</si>
  <si>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</si>
  <si>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</si>
  <si>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</si>
  <si>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</si>
  <si>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</si>
  <si>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</si>
  <si>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</si>
  <si>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</si>
  <si>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</si>
  <si>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</si>
  <si>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</si>
  <si>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</si>
  <si>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</si>
  <si>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</si>
  <si>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</si>
  <si>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</si>
  <si>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</si>
  <si>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</si>
  <si>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</si>
  <si>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</si>
  <si>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</si>
  <si>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</si>
  <si>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</si>
  <si>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tropical_fish_bucket</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</si>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</sst>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6"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s>
  <fills count="32">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1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Fill="1" applyBorder="1" applyAlignment="1">
      <alignment horizontal="left" vertical="top"/>
    </xf>
    <xf numFmtId="0" fontId="7" fillId="23" borderId="1" xfId="0" applyFont="1" applyFill="1" applyBorder="1" applyAlignment="1">
      <alignment horizontal="left" vertical="top"/>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0" fillId="0" borderId="1" xfId="0" applyNumberFormat="1" applyFill="1" applyBorder="1" applyAlignment="1">
      <alignment horizontal="left" vertical="top"/>
    </xf>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5" borderId="0" xfId="0" applyFont="1" applyFill="1" applyAlignment="1">
      <alignment vertical="center"/>
    </xf>
    <xf numFmtId="0" fontId="0" fillId="26" borderId="0" xfId="0" applyFill="1"/>
    <xf numFmtId="0" fontId="0" fillId="0" borderId="0" xfId="0"/>
    <xf numFmtId="0" fontId="0" fillId="0" borderId="1" xfId="0" applyBorder="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4" borderId="0" xfId="0" applyFont="1" applyFill="1" applyAlignment="1">
      <alignment vertical="center"/>
    </xf>
    <xf numFmtId="0" fontId="7" fillId="20" borderId="0" xfId="0" applyFont="1" applyFill="1" applyAlignment="1">
      <alignment horizontal="center"/>
    </xf>
    <xf numFmtId="0" fontId="0" fillId="27" borderId="0" xfId="0" applyFill="1" applyAlignment="1">
      <alignment horizontal="center" vertical="center"/>
    </xf>
    <xf numFmtId="0" fontId="7" fillId="25" borderId="0" xfId="0" applyFont="1" applyFill="1" applyAlignment="1">
      <alignment horizontal="center" vertical="center"/>
    </xf>
    <xf numFmtId="0" fontId="1" fillId="28" borderId="0" xfId="0" applyFont="1" applyFill="1" applyAlignment="1">
      <alignment horizontal="center" vertical="center"/>
    </xf>
    <xf numFmtId="0" fontId="1" fillId="28" borderId="12" xfId="0" applyNumberFormat="1" applyFont="1" applyFill="1" applyBorder="1" applyAlignment="1">
      <alignment horizontal="center" vertical="center"/>
    </xf>
    <xf numFmtId="0" fontId="7" fillId="25" borderId="8" xfId="0" applyFont="1" applyFill="1" applyBorder="1" applyAlignment="1"/>
    <xf numFmtId="0" fontId="7" fillId="25" borderId="8" xfId="0" applyFont="1" applyFill="1" applyBorder="1" applyAlignment="1">
      <alignment horizontal="center" vertical="center"/>
    </xf>
    <xf numFmtId="0" fontId="7" fillId="28" borderId="0" xfId="0" applyFont="1" applyFill="1" applyAlignment="1">
      <alignment horizontal="center" vertical="center"/>
    </xf>
    <xf numFmtId="0" fontId="6" fillId="27"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6" borderId="1" xfId="0" applyFont="1" applyFill="1" applyBorder="1" applyAlignment="1">
      <alignment horizontal="center"/>
    </xf>
    <xf numFmtId="0" fontId="7" fillId="26"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0" fillId="0" borderId="0" xfId="0"/>
    <xf numFmtId="0" fontId="23" fillId="0" borderId="0" xfId="0" applyFont="1"/>
    <xf numFmtId="0" fontId="7" fillId="22" borderId="0" xfId="0" applyFont="1" applyFill="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30" borderId="0" xfId="0" applyFont="1" applyFill="1" applyAlignment="1">
      <alignment horizontal="center" vertical="center"/>
    </xf>
    <xf numFmtId="0" fontId="25" fillId="30" borderId="0" xfId="0" applyFont="1" applyFill="1" applyAlignment="1">
      <alignment horizontal="center" vertical="center"/>
    </xf>
    <xf numFmtId="0" fontId="0" fillId="30" borderId="0" xfId="0" applyFill="1"/>
    <xf numFmtId="0" fontId="12" fillId="30" borderId="0" xfId="0" applyFont="1" applyFill="1" applyAlignment="1">
      <alignment horizontal="center" vertical="center"/>
    </xf>
    <xf numFmtId="0" fontId="12" fillId="30" borderId="0" xfId="0" applyFont="1" applyFill="1"/>
    <xf numFmtId="0" fontId="23" fillId="27" borderId="0" xfId="0" applyFont="1" applyFill="1"/>
    <xf numFmtId="0" fontId="24" fillId="27" borderId="0" xfId="0" applyFont="1" applyFill="1" applyAlignment="1">
      <alignment horizontal="center"/>
    </xf>
    <xf numFmtId="0" fontId="0" fillId="27"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24" fillId="0" borderId="0" xfId="0" applyFont="1" applyFill="1" applyAlignment="1">
      <alignment horizontal="center"/>
    </xf>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2" borderId="0" xfId="0" applyFont="1" applyFill="1" applyAlignment="1">
      <alignment horizontal="center"/>
    </xf>
    <xf numFmtId="0" fontId="0" fillId="0" borderId="0" xfId="0" applyAlignment="1">
      <alignment horizontal="left"/>
    </xf>
    <xf numFmtId="0" fontId="13" fillId="29"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5" borderId="0" xfId="0" applyFont="1" applyFill="1" applyAlignment="1">
      <alignment horizontal="center"/>
    </xf>
    <xf numFmtId="0" fontId="7" fillId="3" borderId="0" xfId="0" applyFont="1" applyFill="1" applyAlignment="1">
      <alignment horizontal="center"/>
    </xf>
    <xf numFmtId="0" fontId="14" fillId="26"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99999-B97A-4FE4-84DB-F3BA9E18B7AB}">
  <dimension ref="A1"/>
  <sheetViews>
    <sheetView workbookViewId="0">
      <selection activeCell="B3" sqref="B3"/>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71622-4595-4BE4-BDE8-431D2E9FD218}">
  <dimension ref="A2:J93"/>
  <sheetViews>
    <sheetView topLeftCell="G1" zoomScaleNormal="100" workbookViewId="0">
      <selection activeCell="J4" sqref="J4"/>
    </sheetView>
  </sheetViews>
  <sheetFormatPr baseColWidth="10" defaultRowHeight="15" x14ac:dyDescent="0.25"/>
  <cols>
    <col min="1" max="1" width="24.42578125" style="127" customWidth="1"/>
    <col min="2" max="2" width="47.7109375" style="127" customWidth="1"/>
    <col min="3" max="3" width="24.42578125" style="127" customWidth="1"/>
    <col min="4" max="4" width="47.7109375" style="127" customWidth="1"/>
    <col min="5" max="5" width="24.42578125" style="127" customWidth="1"/>
    <col min="6" max="6" width="47" style="127" customWidth="1"/>
    <col min="7" max="7" width="24.42578125" style="127" customWidth="1"/>
    <col min="8" max="8" width="47" style="127" customWidth="1"/>
    <col min="9" max="9" width="24.42578125" style="127" customWidth="1"/>
    <col min="10" max="10" width="47" style="127" customWidth="1"/>
    <col min="11" max="16384" width="11.42578125" style="127"/>
  </cols>
  <sheetData>
    <row r="2" spans="1:10" x14ac:dyDescent="0.25">
      <c r="A2" s="154" t="s">
        <v>446</v>
      </c>
      <c r="B2" s="154"/>
      <c r="C2" s="154" t="s">
        <v>467</v>
      </c>
      <c r="D2" s="154"/>
      <c r="E2" s="154" t="s">
        <v>473</v>
      </c>
      <c r="F2" s="154"/>
      <c r="G2" s="154" t="s">
        <v>487</v>
      </c>
      <c r="H2" s="154"/>
      <c r="I2" s="154" t="s">
        <v>488</v>
      </c>
      <c r="J2" s="154"/>
    </row>
    <row r="3" spans="1:10" x14ac:dyDescent="0.25">
      <c r="A3" s="127" t="s">
        <v>200</v>
      </c>
      <c r="B3" s="127" t="s">
        <v>447</v>
      </c>
      <c r="C3" s="127" t="s">
        <v>200</v>
      </c>
      <c r="D3" s="127" t="s">
        <v>447</v>
      </c>
      <c r="E3" s="127" t="s">
        <v>200</v>
      </c>
      <c r="F3" s="127" t="s">
        <v>447</v>
      </c>
      <c r="G3" s="127" t="s">
        <v>200</v>
      </c>
      <c r="H3" s="127" t="s">
        <v>447</v>
      </c>
      <c r="I3" s="127" t="s">
        <v>200</v>
      </c>
      <c r="J3" s="127" t="s">
        <v>447</v>
      </c>
    </row>
    <row r="4" spans="1:10" ht="74.25" customHeight="1" x14ac:dyDescent="0.25">
      <c r="A4" s="13" t="s">
        <v>543</v>
      </c>
      <c r="B4" s="121" t="s">
        <v>544</v>
      </c>
      <c r="C4" s="13" t="s">
        <v>547</v>
      </c>
      <c r="D4" s="121" t="s">
        <v>548</v>
      </c>
      <c r="E4" s="13" t="s">
        <v>553</v>
      </c>
      <c r="F4" s="121" t="s">
        <v>554</v>
      </c>
      <c r="G4" s="120" t="s">
        <v>559</v>
      </c>
      <c r="H4" s="121" t="s">
        <v>560</v>
      </c>
      <c r="I4" s="120" t="s">
        <v>565</v>
      </c>
      <c r="J4" s="121" t="s">
        <v>566</v>
      </c>
    </row>
    <row r="5" spans="1:10" ht="69.75" customHeight="1" x14ac:dyDescent="0.25">
      <c r="A5" s="13" t="s">
        <v>571</v>
      </c>
      <c r="B5" s="121" t="s">
        <v>572</v>
      </c>
      <c r="C5" s="13" t="s">
        <v>550</v>
      </c>
      <c r="D5" s="121" t="s">
        <v>549</v>
      </c>
      <c r="E5" s="13" t="s">
        <v>555</v>
      </c>
      <c r="F5" s="121" t="s">
        <v>556</v>
      </c>
      <c r="G5" s="120" t="s">
        <v>561</v>
      </c>
      <c r="H5" s="121" t="s">
        <v>562</v>
      </c>
      <c r="I5" s="120" t="s">
        <v>567</v>
      </c>
      <c r="J5" s="121" t="s">
        <v>568</v>
      </c>
    </row>
    <row r="6" spans="1:10" ht="75.75" customHeight="1" x14ac:dyDescent="0.25">
      <c r="A6" s="13" t="s">
        <v>573</v>
      </c>
      <c r="B6" s="121" t="s">
        <v>574</v>
      </c>
      <c r="C6" s="13" t="s">
        <v>552</v>
      </c>
      <c r="D6" s="121" t="s">
        <v>551</v>
      </c>
      <c r="E6" s="13" t="s">
        <v>557</v>
      </c>
      <c r="F6" s="121" t="s">
        <v>558</v>
      </c>
      <c r="G6" s="120" t="s">
        <v>563</v>
      </c>
      <c r="H6" s="121" t="s">
        <v>564</v>
      </c>
      <c r="I6" s="120" t="s">
        <v>569</v>
      </c>
      <c r="J6" s="121" t="s">
        <v>570</v>
      </c>
    </row>
    <row r="7" spans="1:10" ht="75.75" customHeight="1" x14ac:dyDescent="0.25">
      <c r="A7" s="13" t="s">
        <v>575</v>
      </c>
      <c r="B7" s="121" t="s">
        <v>576</v>
      </c>
      <c r="C7" s="122"/>
      <c r="D7" s="121"/>
      <c r="E7" s="122"/>
      <c r="F7" s="121"/>
      <c r="G7" s="122"/>
      <c r="H7" s="121"/>
      <c r="I7" s="122"/>
    </row>
    <row r="8" spans="1:10" ht="54.75" customHeight="1" x14ac:dyDescent="0.25">
      <c r="A8" s="13" t="s">
        <v>577</v>
      </c>
      <c r="B8" s="121" t="s">
        <v>578</v>
      </c>
      <c r="C8" s="123"/>
      <c r="D8" s="121"/>
      <c r="E8" s="123"/>
      <c r="F8" s="121"/>
      <c r="G8" s="123"/>
      <c r="H8" s="121"/>
      <c r="I8" s="123"/>
      <c r="J8" s="121"/>
    </row>
    <row r="9" spans="1:10" ht="54.75" customHeight="1" x14ac:dyDescent="0.25">
      <c r="A9" s="13" t="s">
        <v>579</v>
      </c>
      <c r="B9" s="121" t="s">
        <v>580</v>
      </c>
      <c r="D9" s="121"/>
      <c r="F9" s="121"/>
      <c r="G9" s="121"/>
      <c r="H9" s="121"/>
      <c r="I9" s="121"/>
      <c r="J9" s="121"/>
    </row>
    <row r="10" spans="1:10" ht="54.75" customHeight="1" x14ac:dyDescent="0.25">
      <c r="A10" s="13" t="s">
        <v>581</v>
      </c>
      <c r="B10" s="121" t="s">
        <v>582</v>
      </c>
      <c r="C10" s="121"/>
      <c r="D10" s="121"/>
      <c r="E10" s="121"/>
      <c r="F10" s="121"/>
      <c r="G10" s="121"/>
      <c r="H10" s="121"/>
      <c r="I10" s="121"/>
      <c r="J10" s="121"/>
    </row>
    <row r="11" spans="1:10" ht="54.75" customHeight="1" x14ac:dyDescent="0.25">
      <c r="A11" s="13" t="s">
        <v>583</v>
      </c>
      <c r="B11" s="121" t="s">
        <v>584</v>
      </c>
      <c r="C11" s="120"/>
      <c r="D11" s="121"/>
      <c r="E11" s="120"/>
      <c r="F11" s="121"/>
      <c r="G11" s="120"/>
      <c r="H11" s="121"/>
      <c r="I11" s="120"/>
      <c r="J11" s="121"/>
    </row>
    <row r="12" spans="1:10" ht="54.75" customHeight="1" x14ac:dyDescent="0.25">
      <c r="A12" s="13" t="s">
        <v>585</v>
      </c>
      <c r="B12" s="121" t="s">
        <v>586</v>
      </c>
      <c r="C12" s="120"/>
      <c r="D12" s="121"/>
      <c r="E12" s="120"/>
      <c r="F12" s="121"/>
      <c r="G12" s="120"/>
      <c r="H12" s="121"/>
      <c r="I12" s="120"/>
      <c r="J12" s="121"/>
    </row>
    <row r="13" spans="1:10" ht="54.75" customHeight="1" x14ac:dyDescent="0.25">
      <c r="A13" s="13" t="s">
        <v>587</v>
      </c>
      <c r="B13" s="121" t="s">
        <v>588</v>
      </c>
      <c r="C13" s="120"/>
      <c r="D13" s="121"/>
      <c r="E13" s="120"/>
      <c r="F13" s="121"/>
      <c r="G13" s="120"/>
      <c r="H13" s="121"/>
      <c r="I13" s="120"/>
      <c r="J13" s="121"/>
    </row>
    <row r="14" spans="1:10" ht="54.75" customHeight="1" x14ac:dyDescent="0.25">
      <c r="A14" s="121"/>
      <c r="B14" s="121"/>
      <c r="C14" s="120"/>
      <c r="D14" s="121"/>
      <c r="E14" s="120"/>
      <c r="F14" s="121"/>
      <c r="G14" s="120"/>
      <c r="H14" s="121"/>
      <c r="I14" s="120"/>
      <c r="J14" s="121"/>
    </row>
    <row r="15" spans="1:10" ht="54.75" customHeight="1" x14ac:dyDescent="0.25">
      <c r="A15" s="121"/>
      <c r="B15" s="121"/>
      <c r="C15" s="120"/>
      <c r="D15" s="121"/>
      <c r="E15" s="120"/>
      <c r="F15" s="121"/>
      <c r="G15" s="120"/>
      <c r="H15" s="121"/>
      <c r="I15" s="120"/>
      <c r="J15" s="121"/>
    </row>
    <row r="16" spans="1:10" ht="54.75" customHeight="1" x14ac:dyDescent="0.25">
      <c r="A16" s="13"/>
      <c r="B16" s="121"/>
      <c r="C16" s="120"/>
      <c r="D16" s="121"/>
      <c r="E16" s="120"/>
      <c r="F16" s="121"/>
      <c r="G16" s="120"/>
      <c r="H16" s="121"/>
      <c r="I16" s="120"/>
      <c r="J16" s="121"/>
    </row>
    <row r="17" spans="1:10" ht="54.75" customHeight="1" x14ac:dyDescent="0.25">
      <c r="B17" s="119"/>
      <c r="D17" s="119"/>
      <c r="F17" s="119"/>
      <c r="H17" s="119"/>
      <c r="J17" s="119"/>
    </row>
    <row r="18" spans="1:10" ht="54.75" customHeight="1" x14ac:dyDescent="0.25">
      <c r="A18" s="126"/>
      <c r="B18" s="119"/>
      <c r="C18" s="126"/>
      <c r="D18" s="119"/>
      <c r="E18" s="126"/>
      <c r="F18" s="119"/>
      <c r="G18" s="126"/>
      <c r="H18" s="119"/>
      <c r="I18" s="126"/>
      <c r="J18" s="119"/>
    </row>
    <row r="19" spans="1:10" ht="54.75" customHeight="1" x14ac:dyDescent="0.25">
      <c r="A19" s="126"/>
      <c r="B19" s="119"/>
      <c r="C19" s="126"/>
      <c r="D19" s="119"/>
      <c r="E19" s="126"/>
      <c r="F19" s="119"/>
      <c r="G19" s="126"/>
      <c r="H19" s="119"/>
      <c r="I19" s="126"/>
      <c r="J19" s="119"/>
    </row>
    <row r="20" spans="1:10" ht="54.75" customHeight="1" x14ac:dyDescent="0.25">
      <c r="A20" s="126"/>
      <c r="B20" s="119"/>
      <c r="C20" s="126"/>
      <c r="D20" s="119"/>
      <c r="E20" s="126"/>
      <c r="F20" s="119"/>
      <c r="G20" s="126"/>
      <c r="H20" s="119"/>
      <c r="I20" s="126"/>
      <c r="J20" s="119"/>
    </row>
    <row r="21" spans="1:10" ht="54.75" customHeight="1" x14ac:dyDescent="0.25">
      <c r="A21" s="126"/>
      <c r="B21" s="119"/>
      <c r="C21" s="126"/>
      <c r="D21" s="119"/>
      <c r="E21" s="126"/>
      <c r="F21" s="119"/>
      <c r="G21" s="126"/>
      <c r="H21" s="119"/>
      <c r="I21" s="126"/>
      <c r="J21" s="119"/>
    </row>
    <row r="22" spans="1:10" ht="54.75" customHeight="1" x14ac:dyDescent="0.25">
      <c r="A22" s="126"/>
      <c r="B22" s="119"/>
      <c r="C22" s="126"/>
      <c r="D22" s="119"/>
      <c r="E22" s="126"/>
      <c r="F22" s="119"/>
      <c r="G22" s="126"/>
      <c r="H22" s="119"/>
      <c r="I22" s="126"/>
      <c r="J22" s="119"/>
    </row>
    <row r="23" spans="1:10" ht="54.75" customHeight="1" x14ac:dyDescent="0.25">
      <c r="A23" s="126"/>
      <c r="B23" s="119"/>
      <c r="C23" s="126"/>
      <c r="D23" s="119"/>
      <c r="E23" s="126"/>
      <c r="F23" s="119"/>
      <c r="G23" s="126"/>
      <c r="H23" s="119"/>
      <c r="I23" s="126"/>
      <c r="J23" s="119"/>
    </row>
    <row r="24" spans="1:10" ht="54.75" customHeight="1" x14ac:dyDescent="0.25">
      <c r="A24" s="126"/>
      <c r="B24" s="119"/>
      <c r="C24" s="126"/>
      <c r="D24" s="119"/>
      <c r="E24" s="126"/>
      <c r="F24" s="119"/>
      <c r="G24" s="126"/>
      <c r="H24" s="119"/>
      <c r="I24" s="126"/>
      <c r="J24" s="119"/>
    </row>
    <row r="25" spans="1:10" ht="54.75" customHeight="1" x14ac:dyDescent="0.25">
      <c r="A25" s="126"/>
      <c r="B25" s="119"/>
      <c r="C25" s="126"/>
      <c r="D25" s="119"/>
      <c r="E25" s="126"/>
      <c r="F25" s="119"/>
      <c r="G25" s="126"/>
      <c r="H25" s="119"/>
      <c r="I25" s="126"/>
      <c r="J25" s="119"/>
    </row>
    <row r="26" spans="1:10" ht="54.75" customHeight="1" x14ac:dyDescent="0.25">
      <c r="A26" s="126"/>
      <c r="B26" s="119"/>
      <c r="C26" s="126"/>
      <c r="D26" s="119"/>
      <c r="E26" s="126"/>
      <c r="F26" s="119"/>
      <c r="G26" s="126"/>
      <c r="H26" s="119"/>
      <c r="I26" s="126"/>
      <c r="J26" s="119"/>
    </row>
    <row r="27" spans="1:10" ht="54.75" customHeight="1" x14ac:dyDescent="0.25">
      <c r="A27" s="126"/>
      <c r="B27" s="119"/>
      <c r="C27" s="126"/>
      <c r="D27" s="119"/>
      <c r="E27" s="126"/>
      <c r="F27" s="119"/>
      <c r="G27" s="126"/>
      <c r="H27" s="119"/>
      <c r="I27" s="126"/>
      <c r="J27" s="119"/>
    </row>
    <row r="28" spans="1:10" ht="54.75" customHeight="1" x14ac:dyDescent="0.25">
      <c r="A28" s="126"/>
      <c r="B28" s="119"/>
      <c r="C28" s="126"/>
      <c r="D28" s="119"/>
      <c r="E28" s="126"/>
      <c r="F28" s="119"/>
      <c r="G28" s="126"/>
      <c r="H28" s="119"/>
      <c r="I28" s="126"/>
      <c r="J28" s="119"/>
    </row>
    <row r="29" spans="1:10" ht="54.75" customHeight="1" x14ac:dyDescent="0.25">
      <c r="A29" s="126"/>
      <c r="B29" s="119"/>
      <c r="C29" s="126"/>
      <c r="D29" s="119"/>
      <c r="E29" s="126"/>
      <c r="F29" s="119"/>
      <c r="G29" s="126"/>
      <c r="H29" s="119"/>
      <c r="I29" s="126"/>
      <c r="J29" s="119"/>
    </row>
    <row r="30" spans="1:10" ht="54.75" customHeight="1" x14ac:dyDescent="0.25">
      <c r="A30" s="126"/>
      <c r="B30" s="119"/>
      <c r="C30" s="126"/>
      <c r="D30" s="119"/>
      <c r="E30" s="126"/>
      <c r="F30" s="119"/>
      <c r="G30" s="126"/>
      <c r="H30" s="119"/>
      <c r="I30" s="126"/>
      <c r="J30" s="119"/>
    </row>
    <row r="31" spans="1:10" ht="54.75" customHeight="1" x14ac:dyDescent="0.25">
      <c r="A31" s="126"/>
      <c r="B31" s="119"/>
      <c r="C31" s="126"/>
      <c r="D31" s="119"/>
      <c r="E31" s="126"/>
      <c r="F31" s="119"/>
      <c r="G31" s="126"/>
      <c r="H31" s="119"/>
      <c r="I31" s="126"/>
      <c r="J31" s="119"/>
    </row>
    <row r="32" spans="1:10" ht="54.75" customHeight="1" x14ac:dyDescent="0.25">
      <c r="A32" s="126"/>
      <c r="B32" s="119"/>
      <c r="C32" s="126"/>
      <c r="D32" s="119"/>
      <c r="E32" s="126"/>
      <c r="F32" s="119"/>
      <c r="G32" s="126"/>
      <c r="H32" s="119"/>
      <c r="I32" s="126"/>
      <c r="J32" s="119"/>
    </row>
    <row r="33" spans="1:10" ht="54.75" customHeight="1" x14ac:dyDescent="0.25">
      <c r="A33" s="126"/>
      <c r="B33" s="119"/>
      <c r="C33" s="126"/>
      <c r="D33" s="119"/>
      <c r="E33" s="126"/>
      <c r="F33" s="119"/>
      <c r="G33" s="126"/>
      <c r="H33" s="119"/>
      <c r="I33" s="126"/>
      <c r="J33" s="119"/>
    </row>
    <row r="34" spans="1:10" ht="54.75" customHeight="1" x14ac:dyDescent="0.25">
      <c r="A34" s="126"/>
      <c r="B34" s="119"/>
      <c r="C34" s="126"/>
      <c r="D34" s="119"/>
      <c r="E34" s="126"/>
      <c r="F34" s="119"/>
      <c r="G34" s="126"/>
      <c r="H34" s="119"/>
      <c r="I34" s="126"/>
      <c r="J34" s="119"/>
    </row>
    <row r="35" spans="1:10" ht="54.75" customHeight="1" x14ac:dyDescent="0.25">
      <c r="A35" s="126"/>
      <c r="B35" s="119"/>
      <c r="C35" s="126"/>
      <c r="D35" s="119"/>
      <c r="E35" s="126"/>
      <c r="F35" s="119"/>
      <c r="G35" s="126"/>
      <c r="H35" s="119"/>
      <c r="I35" s="126"/>
      <c r="J35" s="119"/>
    </row>
    <row r="36" spans="1:10" ht="54.75" customHeight="1" x14ac:dyDescent="0.25">
      <c r="A36" s="126"/>
      <c r="B36" s="119"/>
      <c r="C36" s="126"/>
      <c r="D36" s="119"/>
      <c r="E36" s="126"/>
      <c r="F36" s="119"/>
      <c r="G36" s="126"/>
      <c r="H36" s="119"/>
      <c r="I36" s="126"/>
      <c r="J36" s="119"/>
    </row>
    <row r="37" spans="1:10" ht="54.75" customHeight="1" x14ac:dyDescent="0.25">
      <c r="A37" s="126"/>
      <c r="B37" s="119"/>
      <c r="C37" s="126"/>
      <c r="D37" s="119"/>
      <c r="E37" s="126"/>
      <c r="F37" s="119"/>
      <c r="G37" s="126"/>
      <c r="H37" s="119"/>
      <c r="I37" s="126"/>
      <c r="J37" s="119"/>
    </row>
    <row r="38" spans="1:10" ht="54.75" customHeight="1" x14ac:dyDescent="0.25">
      <c r="A38" s="126"/>
      <c r="B38" s="119"/>
      <c r="C38" s="126"/>
      <c r="D38" s="119"/>
      <c r="E38" s="126"/>
      <c r="F38" s="119"/>
      <c r="G38" s="126"/>
      <c r="H38" s="119"/>
      <c r="I38" s="126"/>
      <c r="J38" s="119"/>
    </row>
    <row r="39" spans="1:10" ht="54.75" customHeight="1" x14ac:dyDescent="0.25">
      <c r="A39" s="126"/>
      <c r="B39" s="119"/>
      <c r="C39" s="126"/>
      <c r="D39" s="119"/>
      <c r="E39" s="126"/>
      <c r="F39" s="119"/>
      <c r="G39" s="126"/>
      <c r="H39" s="119"/>
      <c r="I39" s="126"/>
      <c r="J39" s="119"/>
    </row>
    <row r="40" spans="1:10" ht="54.75" customHeight="1" x14ac:dyDescent="0.25">
      <c r="A40" s="126"/>
      <c r="B40" s="119"/>
      <c r="C40" s="126"/>
      <c r="D40" s="119"/>
      <c r="E40" s="126"/>
      <c r="F40" s="119"/>
      <c r="G40" s="126"/>
      <c r="H40" s="119"/>
      <c r="I40" s="126"/>
      <c r="J40" s="119"/>
    </row>
    <row r="41" spans="1:10" ht="54.75" customHeight="1" x14ac:dyDescent="0.25">
      <c r="A41" s="126"/>
      <c r="B41" s="119"/>
      <c r="C41" s="126"/>
      <c r="D41" s="119"/>
      <c r="E41" s="126"/>
      <c r="F41" s="119"/>
      <c r="G41" s="126"/>
      <c r="H41" s="119"/>
      <c r="I41" s="126"/>
      <c r="J41" s="119"/>
    </row>
    <row r="42" spans="1:10" ht="54.75" customHeight="1" x14ac:dyDescent="0.25">
      <c r="A42" s="126"/>
      <c r="B42" s="119"/>
      <c r="C42" s="126"/>
      <c r="D42" s="119"/>
      <c r="E42" s="126"/>
      <c r="F42" s="119"/>
      <c r="G42" s="126"/>
      <c r="H42" s="119"/>
      <c r="I42" s="126"/>
      <c r="J42" s="119"/>
    </row>
    <row r="43" spans="1:10" ht="54.75" customHeight="1" x14ac:dyDescent="0.25">
      <c r="A43" s="126"/>
      <c r="B43" s="119"/>
      <c r="C43" s="126"/>
      <c r="D43" s="119"/>
      <c r="E43" s="126"/>
      <c r="F43" s="119"/>
      <c r="G43" s="126"/>
      <c r="H43" s="119"/>
      <c r="I43" s="126"/>
      <c r="J43" s="119"/>
    </row>
    <row r="44" spans="1:10" ht="54.75" customHeight="1" x14ac:dyDescent="0.25">
      <c r="A44" s="126"/>
      <c r="B44" s="119"/>
      <c r="C44" s="126"/>
      <c r="D44" s="119"/>
      <c r="E44" s="126"/>
      <c r="F44" s="119"/>
      <c r="G44" s="126"/>
      <c r="H44" s="119"/>
      <c r="I44" s="126"/>
      <c r="J44" s="119"/>
    </row>
    <row r="45" spans="1:10" ht="54.75" customHeight="1" x14ac:dyDescent="0.25">
      <c r="A45" s="126"/>
      <c r="B45" s="119"/>
      <c r="C45" s="126"/>
      <c r="D45" s="119"/>
      <c r="E45" s="126"/>
      <c r="F45" s="119"/>
      <c r="G45" s="126"/>
      <c r="H45" s="119"/>
      <c r="I45" s="126"/>
      <c r="J45" s="119"/>
    </row>
    <row r="46" spans="1:10" ht="54.75" customHeight="1" x14ac:dyDescent="0.25">
      <c r="A46" s="126"/>
      <c r="B46" s="119"/>
      <c r="C46" s="126"/>
      <c r="D46" s="119"/>
      <c r="E46" s="126"/>
      <c r="F46" s="119"/>
      <c r="G46" s="126"/>
      <c r="H46" s="119"/>
      <c r="I46" s="126"/>
      <c r="J46" s="119"/>
    </row>
    <row r="47" spans="1:10" ht="54.75" customHeight="1" x14ac:dyDescent="0.25">
      <c r="A47" s="126"/>
      <c r="B47" s="119"/>
      <c r="C47" s="126"/>
      <c r="D47" s="119"/>
      <c r="E47" s="126"/>
      <c r="F47" s="119"/>
      <c r="G47" s="126"/>
      <c r="H47" s="119"/>
      <c r="I47" s="126"/>
      <c r="J47" s="119"/>
    </row>
    <row r="48" spans="1:10" ht="54.75" customHeight="1" x14ac:dyDescent="0.25">
      <c r="A48" s="126"/>
      <c r="B48" s="119"/>
      <c r="C48" s="126"/>
      <c r="D48" s="119"/>
      <c r="E48" s="126"/>
      <c r="F48" s="119"/>
      <c r="G48" s="126"/>
      <c r="H48" s="119"/>
      <c r="I48" s="126"/>
      <c r="J48" s="119"/>
    </row>
    <row r="49" spans="1:10" ht="54.75" customHeight="1" x14ac:dyDescent="0.25">
      <c r="A49" s="126"/>
      <c r="B49" s="119"/>
      <c r="C49" s="126"/>
      <c r="D49" s="119"/>
      <c r="E49" s="126"/>
      <c r="F49" s="119"/>
      <c r="G49" s="126"/>
      <c r="H49" s="119"/>
      <c r="I49" s="126"/>
      <c r="J49" s="119"/>
    </row>
    <row r="50" spans="1:10" ht="54.75" customHeight="1" x14ac:dyDescent="0.25">
      <c r="A50" s="126"/>
      <c r="B50" s="119"/>
      <c r="C50" s="126"/>
      <c r="D50" s="119"/>
      <c r="E50" s="126"/>
      <c r="F50" s="119"/>
      <c r="G50" s="126"/>
      <c r="H50" s="119"/>
      <c r="I50" s="126"/>
      <c r="J50" s="119"/>
    </row>
    <row r="51" spans="1:10" ht="54.75" customHeight="1" x14ac:dyDescent="0.25">
      <c r="A51" s="126"/>
      <c r="B51" s="119"/>
      <c r="C51" s="126"/>
      <c r="D51" s="119"/>
      <c r="E51" s="126"/>
      <c r="F51" s="119"/>
      <c r="G51" s="126"/>
      <c r="H51" s="119"/>
      <c r="I51" s="126"/>
      <c r="J51" s="119"/>
    </row>
    <row r="52" spans="1:10" ht="54.75" customHeight="1" x14ac:dyDescent="0.25">
      <c r="A52" s="126"/>
      <c r="B52" s="119"/>
      <c r="C52" s="126"/>
      <c r="D52" s="119"/>
      <c r="E52" s="126"/>
      <c r="F52" s="119"/>
      <c r="G52" s="126"/>
      <c r="H52" s="119"/>
      <c r="I52" s="126"/>
      <c r="J52" s="119"/>
    </row>
    <row r="53" spans="1:10" ht="54.75" customHeight="1" x14ac:dyDescent="0.25">
      <c r="A53" s="126"/>
      <c r="B53" s="119"/>
      <c r="C53" s="126"/>
      <c r="D53" s="119"/>
      <c r="E53" s="126"/>
      <c r="F53" s="119"/>
      <c r="G53" s="126"/>
      <c r="H53" s="119"/>
      <c r="I53" s="126"/>
      <c r="J53" s="119"/>
    </row>
    <row r="54" spans="1:10" ht="54.75" customHeight="1" x14ac:dyDescent="0.25">
      <c r="A54" s="126"/>
      <c r="B54" s="119"/>
      <c r="C54" s="126"/>
      <c r="D54" s="119"/>
      <c r="E54" s="126"/>
      <c r="F54" s="119"/>
      <c r="G54" s="126"/>
      <c r="H54" s="119"/>
      <c r="I54" s="126"/>
      <c r="J54" s="119"/>
    </row>
    <row r="55" spans="1:10" ht="54.75" customHeight="1" x14ac:dyDescent="0.25">
      <c r="A55" s="126"/>
      <c r="B55" s="119"/>
      <c r="C55" s="126"/>
      <c r="D55" s="119"/>
      <c r="E55" s="126"/>
      <c r="F55" s="119"/>
      <c r="G55" s="126"/>
      <c r="H55" s="119"/>
      <c r="I55" s="126"/>
      <c r="J55" s="119"/>
    </row>
    <row r="56" spans="1:10" ht="54.75" customHeight="1" x14ac:dyDescent="0.25">
      <c r="A56" s="126"/>
      <c r="B56" s="119"/>
      <c r="C56" s="126"/>
      <c r="D56" s="119"/>
      <c r="E56" s="126"/>
      <c r="F56" s="119"/>
      <c r="G56" s="126"/>
      <c r="H56" s="119"/>
      <c r="I56" s="126"/>
      <c r="J56" s="119"/>
    </row>
    <row r="57" spans="1:10" ht="54.75" customHeight="1" x14ac:dyDescent="0.25">
      <c r="A57" s="126"/>
      <c r="B57" s="119"/>
      <c r="C57" s="126"/>
      <c r="D57" s="119"/>
      <c r="E57" s="126"/>
      <c r="F57" s="119"/>
      <c r="G57" s="126"/>
      <c r="H57" s="119"/>
      <c r="I57" s="126"/>
      <c r="J57" s="119"/>
    </row>
    <row r="58" spans="1:10" ht="54.75" customHeight="1" x14ac:dyDescent="0.25">
      <c r="A58" s="126"/>
      <c r="B58" s="119"/>
      <c r="C58" s="126"/>
      <c r="D58" s="119"/>
      <c r="E58" s="126"/>
      <c r="F58" s="119"/>
      <c r="G58" s="126"/>
      <c r="H58" s="119"/>
      <c r="I58" s="126"/>
      <c r="J58" s="119"/>
    </row>
    <row r="59" spans="1:10" ht="54.75" customHeight="1" x14ac:dyDescent="0.25">
      <c r="A59" s="126"/>
      <c r="B59" s="119"/>
      <c r="C59" s="126"/>
      <c r="D59" s="119"/>
      <c r="E59" s="126"/>
      <c r="F59" s="119"/>
      <c r="G59" s="126"/>
      <c r="H59" s="119"/>
      <c r="I59" s="126"/>
      <c r="J59" s="119"/>
    </row>
    <row r="60" spans="1:10" ht="54.75" customHeight="1" x14ac:dyDescent="0.25">
      <c r="A60" s="126"/>
      <c r="B60" s="119"/>
      <c r="C60" s="126"/>
      <c r="D60" s="119"/>
      <c r="E60" s="126"/>
      <c r="F60" s="119"/>
      <c r="G60" s="126"/>
      <c r="H60" s="119"/>
      <c r="I60" s="126"/>
      <c r="J60" s="119"/>
    </row>
    <row r="61" spans="1:10" ht="54.75" customHeight="1" x14ac:dyDescent="0.25">
      <c r="A61" s="126"/>
      <c r="B61" s="119"/>
      <c r="C61" s="126"/>
      <c r="D61" s="119"/>
      <c r="E61" s="126"/>
      <c r="F61" s="119"/>
      <c r="G61" s="126"/>
      <c r="H61" s="119"/>
      <c r="I61" s="126"/>
      <c r="J61" s="119"/>
    </row>
    <row r="62" spans="1:10" ht="54.75" customHeight="1" x14ac:dyDescent="0.25">
      <c r="A62" s="126"/>
      <c r="B62" s="119"/>
      <c r="C62" s="126"/>
      <c r="D62" s="119"/>
      <c r="E62" s="126"/>
      <c r="F62" s="119"/>
      <c r="G62" s="126"/>
      <c r="H62" s="119"/>
      <c r="I62" s="126"/>
      <c r="J62" s="119"/>
    </row>
    <row r="63" spans="1:10" x14ac:dyDescent="0.25">
      <c r="A63" s="126"/>
      <c r="B63" s="119"/>
      <c r="C63" s="126"/>
      <c r="D63" s="119"/>
      <c r="E63" s="126"/>
      <c r="F63" s="119"/>
      <c r="G63" s="126"/>
      <c r="H63" s="119"/>
      <c r="I63" s="126"/>
      <c r="J63" s="119"/>
    </row>
    <row r="64" spans="1:10" x14ac:dyDescent="0.25">
      <c r="A64" s="126"/>
      <c r="B64" s="119"/>
      <c r="C64" s="126"/>
      <c r="D64" s="119"/>
      <c r="E64" s="126"/>
      <c r="F64" s="119"/>
      <c r="G64" s="126"/>
      <c r="H64" s="119"/>
      <c r="I64" s="126"/>
      <c r="J64" s="119"/>
    </row>
    <row r="65" spans="1:10" x14ac:dyDescent="0.25">
      <c r="A65" s="126"/>
      <c r="B65" s="119"/>
      <c r="C65" s="126"/>
      <c r="D65" s="119"/>
      <c r="E65" s="126"/>
      <c r="F65" s="119"/>
      <c r="G65" s="126"/>
      <c r="H65" s="119"/>
      <c r="I65" s="126"/>
      <c r="J65" s="119"/>
    </row>
    <row r="66" spans="1:10" x14ac:dyDescent="0.25">
      <c r="A66" s="126"/>
      <c r="B66" s="119"/>
      <c r="C66" s="126"/>
      <c r="D66" s="119"/>
      <c r="E66" s="126"/>
      <c r="F66" s="119"/>
      <c r="G66" s="126"/>
      <c r="H66" s="119"/>
      <c r="I66" s="126"/>
      <c r="J66" s="119"/>
    </row>
    <row r="67" spans="1:10" x14ac:dyDescent="0.25">
      <c r="A67" s="126"/>
      <c r="B67" s="119"/>
      <c r="C67" s="126"/>
      <c r="D67" s="119"/>
      <c r="E67" s="126"/>
      <c r="F67" s="119"/>
      <c r="G67" s="126"/>
      <c r="H67" s="119"/>
      <c r="I67" s="126"/>
      <c r="J67" s="119"/>
    </row>
    <row r="68" spans="1:10" x14ac:dyDescent="0.25">
      <c r="A68" s="126"/>
      <c r="B68" s="119"/>
      <c r="C68" s="126"/>
      <c r="D68" s="119"/>
      <c r="E68" s="126"/>
      <c r="F68" s="119"/>
      <c r="G68" s="126"/>
      <c r="H68" s="119"/>
      <c r="I68" s="126"/>
      <c r="J68" s="119"/>
    </row>
    <row r="69" spans="1:10" x14ac:dyDescent="0.25">
      <c r="A69" s="126"/>
      <c r="B69" s="119"/>
      <c r="C69" s="126"/>
      <c r="D69" s="119"/>
      <c r="E69" s="126"/>
      <c r="F69" s="119"/>
      <c r="G69" s="126"/>
      <c r="H69" s="119"/>
      <c r="I69" s="126"/>
      <c r="J69" s="119"/>
    </row>
    <row r="70" spans="1:10" x14ac:dyDescent="0.25">
      <c r="A70" s="126"/>
      <c r="B70" s="119"/>
      <c r="C70" s="126"/>
      <c r="D70" s="119"/>
      <c r="E70" s="126"/>
      <c r="F70" s="119"/>
      <c r="G70" s="126"/>
      <c r="H70" s="119"/>
      <c r="I70" s="126"/>
      <c r="J70" s="119"/>
    </row>
    <row r="71" spans="1:10" x14ac:dyDescent="0.25">
      <c r="A71" s="126"/>
      <c r="B71" s="119"/>
      <c r="C71" s="126"/>
      <c r="D71" s="119"/>
      <c r="E71" s="126"/>
      <c r="F71" s="119"/>
      <c r="G71" s="126"/>
      <c r="H71" s="119"/>
      <c r="I71" s="126"/>
      <c r="J71" s="119"/>
    </row>
    <row r="72" spans="1:10" x14ac:dyDescent="0.25">
      <c r="A72" s="126"/>
      <c r="B72" s="119"/>
      <c r="C72" s="126"/>
      <c r="D72" s="119"/>
      <c r="E72" s="126"/>
      <c r="F72" s="119"/>
      <c r="G72" s="126"/>
      <c r="H72" s="119"/>
      <c r="I72" s="126"/>
      <c r="J72" s="119"/>
    </row>
    <row r="73" spans="1:10" x14ac:dyDescent="0.25">
      <c r="A73" s="126"/>
      <c r="B73" s="119"/>
      <c r="C73" s="126"/>
      <c r="D73" s="119"/>
      <c r="E73" s="126"/>
      <c r="F73" s="119"/>
      <c r="G73" s="126"/>
      <c r="H73" s="119"/>
      <c r="I73" s="126"/>
      <c r="J73" s="119"/>
    </row>
    <row r="74" spans="1:10" x14ac:dyDescent="0.25">
      <c r="A74" s="126"/>
      <c r="B74" s="119"/>
      <c r="C74" s="126"/>
      <c r="D74" s="119"/>
      <c r="E74" s="126"/>
      <c r="F74" s="119"/>
      <c r="G74" s="126"/>
      <c r="H74" s="119"/>
      <c r="I74" s="126"/>
      <c r="J74" s="119"/>
    </row>
    <row r="75" spans="1:10" x14ac:dyDescent="0.25">
      <c r="A75" s="126"/>
      <c r="B75" s="119"/>
      <c r="C75" s="126"/>
      <c r="D75" s="119"/>
      <c r="E75" s="126"/>
      <c r="F75" s="119"/>
      <c r="G75" s="126"/>
      <c r="H75" s="119"/>
      <c r="I75" s="126"/>
      <c r="J75" s="119"/>
    </row>
    <row r="76" spans="1:10" x14ac:dyDescent="0.25">
      <c r="A76" s="126"/>
      <c r="B76" s="119"/>
      <c r="C76" s="126"/>
      <c r="D76" s="119"/>
      <c r="E76" s="126"/>
      <c r="F76" s="119"/>
      <c r="G76" s="126"/>
      <c r="H76" s="119"/>
      <c r="I76" s="126"/>
      <c r="J76" s="119"/>
    </row>
    <row r="77" spans="1:10" x14ac:dyDescent="0.25">
      <c r="A77" s="126"/>
      <c r="B77" s="119"/>
      <c r="C77" s="126"/>
      <c r="D77" s="119"/>
      <c r="E77" s="126"/>
      <c r="F77" s="119"/>
      <c r="G77" s="126"/>
      <c r="H77" s="119"/>
      <c r="I77" s="126"/>
      <c r="J77" s="119"/>
    </row>
    <row r="78" spans="1:10" x14ac:dyDescent="0.25">
      <c r="A78" s="126"/>
      <c r="B78" s="119"/>
      <c r="C78" s="126"/>
      <c r="D78" s="119"/>
      <c r="E78" s="126"/>
      <c r="F78" s="119"/>
      <c r="G78" s="126"/>
      <c r="H78" s="119"/>
      <c r="I78" s="126"/>
      <c r="J78" s="119"/>
    </row>
    <row r="79" spans="1:10" x14ac:dyDescent="0.25">
      <c r="A79" s="126"/>
      <c r="B79" s="119"/>
      <c r="C79" s="126"/>
      <c r="D79" s="119"/>
      <c r="E79" s="126"/>
      <c r="F79" s="119"/>
      <c r="G79" s="126"/>
      <c r="H79" s="119"/>
      <c r="I79" s="126"/>
      <c r="J79" s="119"/>
    </row>
    <row r="80" spans="1:10" x14ac:dyDescent="0.25">
      <c r="A80" s="126"/>
      <c r="B80" s="119"/>
      <c r="C80" s="126"/>
      <c r="D80" s="119"/>
      <c r="E80" s="126"/>
      <c r="F80" s="119"/>
      <c r="G80" s="126"/>
      <c r="H80" s="119"/>
      <c r="I80" s="126"/>
      <c r="J80" s="119"/>
    </row>
    <row r="81" spans="1:10" x14ac:dyDescent="0.25">
      <c r="A81" s="126"/>
      <c r="B81" s="119"/>
      <c r="C81" s="126"/>
      <c r="D81" s="119"/>
      <c r="E81" s="126"/>
      <c r="F81" s="119"/>
      <c r="G81" s="126"/>
      <c r="H81" s="119"/>
      <c r="I81" s="126"/>
      <c r="J81" s="119"/>
    </row>
    <row r="82" spans="1:10" x14ac:dyDescent="0.25">
      <c r="A82" s="126"/>
      <c r="B82" s="119"/>
      <c r="C82" s="126"/>
      <c r="D82" s="119"/>
      <c r="E82" s="126"/>
      <c r="F82" s="119"/>
      <c r="G82" s="126"/>
      <c r="H82" s="119"/>
      <c r="I82" s="126"/>
      <c r="J82" s="119"/>
    </row>
    <row r="83" spans="1:10" x14ac:dyDescent="0.25">
      <c r="A83" s="126"/>
      <c r="B83" s="119"/>
      <c r="C83" s="126"/>
      <c r="D83" s="119"/>
      <c r="E83" s="126"/>
      <c r="F83" s="119"/>
      <c r="G83" s="126"/>
      <c r="H83" s="119"/>
      <c r="I83" s="126"/>
      <c r="J83" s="119"/>
    </row>
    <row r="84" spans="1:10" x14ac:dyDescent="0.25">
      <c r="A84" s="126"/>
      <c r="B84" s="119"/>
      <c r="C84" s="126"/>
      <c r="D84" s="119"/>
      <c r="E84" s="126"/>
      <c r="F84" s="119"/>
      <c r="G84" s="126"/>
      <c r="H84" s="119"/>
      <c r="I84" s="126"/>
      <c r="J84" s="119"/>
    </row>
    <row r="85" spans="1:10" x14ac:dyDescent="0.25">
      <c r="A85" s="126"/>
      <c r="B85" s="119"/>
      <c r="C85" s="126"/>
      <c r="D85" s="119"/>
      <c r="E85" s="126"/>
      <c r="F85" s="119"/>
      <c r="G85" s="126"/>
      <c r="H85" s="119"/>
      <c r="I85" s="126"/>
      <c r="J85" s="119"/>
    </row>
    <row r="86" spans="1:10" x14ac:dyDescent="0.25">
      <c r="A86" s="126"/>
      <c r="B86" s="119"/>
      <c r="C86" s="126"/>
      <c r="D86" s="119"/>
      <c r="E86" s="126"/>
      <c r="F86" s="119"/>
      <c r="G86" s="126"/>
      <c r="H86" s="119"/>
      <c r="I86" s="126"/>
      <c r="J86" s="119"/>
    </row>
    <row r="87" spans="1:10" x14ac:dyDescent="0.25">
      <c r="A87" s="126"/>
      <c r="B87" s="119"/>
      <c r="C87" s="126"/>
      <c r="D87" s="119"/>
      <c r="E87" s="126"/>
      <c r="F87" s="119"/>
      <c r="G87" s="126"/>
      <c r="H87" s="119"/>
      <c r="I87" s="126"/>
      <c r="J87" s="119"/>
    </row>
    <row r="88" spans="1:10" x14ac:dyDescent="0.25">
      <c r="A88" s="126"/>
      <c r="B88" s="119"/>
      <c r="C88" s="126"/>
      <c r="D88" s="119"/>
      <c r="E88" s="126"/>
      <c r="F88" s="119"/>
      <c r="G88" s="126"/>
      <c r="H88" s="119"/>
      <c r="I88" s="126"/>
      <c r="J88" s="119"/>
    </row>
    <row r="89" spans="1:10" x14ac:dyDescent="0.25">
      <c r="A89" s="126"/>
      <c r="B89" s="119"/>
      <c r="C89" s="126"/>
      <c r="D89" s="119"/>
      <c r="E89" s="126"/>
      <c r="F89" s="119"/>
      <c r="G89" s="126"/>
      <c r="H89" s="119"/>
      <c r="I89" s="126"/>
      <c r="J89" s="119"/>
    </row>
    <row r="90" spans="1:10" x14ac:dyDescent="0.25">
      <c r="A90" s="126"/>
      <c r="B90" s="119"/>
      <c r="C90" s="126"/>
      <c r="D90" s="119"/>
      <c r="E90" s="126"/>
      <c r="F90" s="119"/>
      <c r="G90" s="126"/>
      <c r="H90" s="119"/>
      <c r="I90" s="126"/>
      <c r="J90" s="119"/>
    </row>
    <row r="91" spans="1:10" x14ac:dyDescent="0.25">
      <c r="A91" s="126"/>
      <c r="B91" s="119"/>
      <c r="C91" s="126"/>
      <c r="D91" s="119"/>
      <c r="E91" s="126"/>
      <c r="F91" s="119"/>
      <c r="G91" s="126"/>
      <c r="H91" s="119"/>
      <c r="I91" s="126"/>
      <c r="J91" s="119"/>
    </row>
    <row r="92" spans="1:10" x14ac:dyDescent="0.25">
      <c r="A92" s="126"/>
      <c r="B92" s="119"/>
      <c r="C92" s="126"/>
      <c r="D92" s="119"/>
      <c r="E92" s="126"/>
      <c r="F92" s="119"/>
      <c r="G92" s="126"/>
      <c r="H92" s="119"/>
      <c r="I92" s="126"/>
      <c r="J92" s="119"/>
    </row>
    <row r="93" spans="1:10" x14ac:dyDescent="0.25">
      <c r="A93" s="126"/>
      <c r="B93" s="119"/>
      <c r="C93" s="126"/>
      <c r="D93" s="119"/>
      <c r="E93" s="126"/>
      <c r="F93" s="119"/>
      <c r="G93" s="126"/>
      <c r="H93" s="119"/>
      <c r="I93" s="126"/>
      <c r="J93" s="119"/>
    </row>
  </sheetData>
  <mergeCells count="5">
    <mergeCell ref="A2:B2"/>
    <mergeCell ref="C2:D2"/>
    <mergeCell ref="E2:F2"/>
    <mergeCell ref="G2:H2"/>
    <mergeCell ref="I2:J2"/>
  </mergeCells>
  <hyperlinks>
    <hyperlink ref="G4" r:id="rId1" display="https://eu.diablo3.com/es/class/crusader/active/shield-glare" xr:uid="{9D24FDEA-6061-45BB-9335-37E219955C2B}"/>
    <hyperlink ref="G5" r:id="rId2" display="https://eu.diablo3.com/es/class/crusader/active/iron-skin" xr:uid="{10597EA2-0FF4-4970-AE3E-72B5BE5BABF5}"/>
    <hyperlink ref="G6" r:id="rId3" display="https://eu.diablo3.com/es/class/crusader/active/consecration" xr:uid="{8EAB43A6-4D0D-48E0-A409-64C9E2927EF6}"/>
    <hyperlink ref="I4" r:id="rId4" display="https://eu.diablo3.com/es/class/crusader/active/falling-sword" xr:uid="{54953F9B-EB25-489F-97D3-52640C0AC92B}"/>
    <hyperlink ref="I5" r:id="rId5" display="https://eu.diablo3.com/es/class/crusader/active/akarats-champion" xr:uid="{18887986-DA6E-480C-A1AA-B3D21F1A5134}"/>
    <hyperlink ref="I6" r:id="rId6" display="https://eu.diablo3.com/es/class/crusader/active/heavens-fury" xr:uid="{810FAE82-E39C-4C0B-B179-4CCE27FFE51D}"/>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DA886-7B2C-42EE-8C9D-6F3DA4422CB6}">
  <dimension ref="A2:J93"/>
  <sheetViews>
    <sheetView topLeftCell="A8" workbookViewId="0">
      <selection activeCell="B11" sqref="A11:B11"/>
    </sheetView>
  </sheetViews>
  <sheetFormatPr baseColWidth="10" defaultRowHeight="15" x14ac:dyDescent="0.25"/>
  <cols>
    <col min="1" max="1" width="24.42578125" style="127" customWidth="1"/>
    <col min="2" max="2" width="47.7109375" style="127" customWidth="1"/>
    <col min="3" max="3" width="24.42578125" style="127" customWidth="1"/>
    <col min="4" max="4" width="47.7109375" style="127" customWidth="1"/>
    <col min="5" max="5" width="24.42578125" style="127" customWidth="1"/>
    <col min="6" max="6" width="47" style="127" customWidth="1"/>
    <col min="7" max="7" width="24.42578125" style="127" customWidth="1"/>
    <col min="8" max="8" width="47" style="127" customWidth="1"/>
    <col min="9" max="9" width="24.42578125" style="127" customWidth="1"/>
    <col min="10" max="10" width="47" style="127" customWidth="1"/>
    <col min="11" max="16384" width="11.42578125" style="127"/>
  </cols>
  <sheetData>
    <row r="2" spans="1:10" x14ac:dyDescent="0.25">
      <c r="A2" s="154" t="s">
        <v>446</v>
      </c>
      <c r="B2" s="154"/>
      <c r="C2" s="154" t="s">
        <v>467</v>
      </c>
      <c r="D2" s="154"/>
      <c r="E2" s="154" t="s">
        <v>473</v>
      </c>
      <c r="F2" s="154"/>
      <c r="G2" s="154" t="s">
        <v>487</v>
      </c>
      <c r="H2" s="154"/>
      <c r="I2" s="154" t="s">
        <v>488</v>
      </c>
      <c r="J2" s="154"/>
    </row>
    <row r="3" spans="1:10" x14ac:dyDescent="0.25">
      <c r="A3" s="127" t="s">
        <v>200</v>
      </c>
      <c r="B3" s="127" t="s">
        <v>447</v>
      </c>
      <c r="C3" s="127" t="s">
        <v>200</v>
      </c>
      <c r="D3" s="127" t="s">
        <v>447</v>
      </c>
      <c r="E3" s="127" t="s">
        <v>200</v>
      </c>
      <c r="F3" s="127" t="s">
        <v>447</v>
      </c>
      <c r="G3" s="127" t="s">
        <v>200</v>
      </c>
      <c r="H3" s="127" t="s">
        <v>447</v>
      </c>
      <c r="I3" s="127" t="s">
        <v>200</v>
      </c>
      <c r="J3" s="127" t="s">
        <v>447</v>
      </c>
    </row>
    <row r="4" spans="1:10" ht="74.25" customHeight="1" x14ac:dyDescent="0.25">
      <c r="A4" s="120" t="s">
        <v>529</v>
      </c>
      <c r="B4" s="121" t="s">
        <v>530</v>
      </c>
      <c r="C4" s="13" t="s">
        <v>505</v>
      </c>
      <c r="D4" s="121" t="s">
        <v>506</v>
      </c>
      <c r="E4" s="13" t="s">
        <v>511</v>
      </c>
      <c r="F4" s="121" t="s">
        <v>512</v>
      </c>
      <c r="G4" s="13" t="s">
        <v>517</v>
      </c>
      <c r="H4" s="121" t="s">
        <v>518</v>
      </c>
      <c r="I4" s="13" t="s">
        <v>523</v>
      </c>
      <c r="J4" s="121" t="s">
        <v>524</v>
      </c>
    </row>
    <row r="5" spans="1:10" ht="69.75" customHeight="1" x14ac:dyDescent="0.25">
      <c r="A5" s="120" t="s">
        <v>531</v>
      </c>
      <c r="B5" s="121" t="s">
        <v>532</v>
      </c>
      <c r="C5" s="13" t="s">
        <v>507</v>
      </c>
      <c r="D5" s="121" t="s">
        <v>508</v>
      </c>
      <c r="E5" s="13" t="s">
        <v>513</v>
      </c>
      <c r="F5" s="121" t="s">
        <v>514</v>
      </c>
      <c r="G5" s="13" t="s">
        <v>519</v>
      </c>
      <c r="H5" s="121" t="s">
        <v>520</v>
      </c>
      <c r="I5" s="13" t="s">
        <v>525</v>
      </c>
      <c r="J5" s="121" t="s">
        <v>526</v>
      </c>
    </row>
    <row r="6" spans="1:10" ht="75.75" customHeight="1" x14ac:dyDescent="0.25">
      <c r="A6" s="120" t="s">
        <v>533</v>
      </c>
      <c r="B6" s="121" t="s">
        <v>534</v>
      </c>
      <c r="C6" s="13" t="s">
        <v>509</v>
      </c>
      <c r="D6" s="121" t="s">
        <v>510</v>
      </c>
      <c r="E6" s="13" t="s">
        <v>515</v>
      </c>
      <c r="F6" s="121" t="s">
        <v>516</v>
      </c>
      <c r="G6" s="13" t="s">
        <v>521</v>
      </c>
      <c r="H6" s="121" t="s">
        <v>522</v>
      </c>
      <c r="I6" s="13" t="s">
        <v>527</v>
      </c>
      <c r="J6" s="121" t="s">
        <v>528</v>
      </c>
    </row>
    <row r="7" spans="1:10" ht="75.75" customHeight="1" x14ac:dyDescent="0.25">
      <c r="A7" s="120" t="s">
        <v>535</v>
      </c>
      <c r="B7" s="121" t="s">
        <v>536</v>
      </c>
      <c r="C7" s="122"/>
      <c r="D7" s="121"/>
      <c r="E7" s="122"/>
      <c r="F7" s="121"/>
      <c r="G7" s="122"/>
      <c r="H7" s="121"/>
      <c r="I7" s="122"/>
    </row>
    <row r="8" spans="1:10" ht="54.75" customHeight="1" x14ac:dyDescent="0.25">
      <c r="A8" s="120" t="s">
        <v>537</v>
      </c>
      <c r="B8" s="121" t="s">
        <v>538</v>
      </c>
      <c r="C8" s="123"/>
      <c r="D8" s="121"/>
      <c r="E8" s="123"/>
      <c r="F8" s="121"/>
      <c r="G8" s="123"/>
      <c r="H8" s="121"/>
      <c r="I8" s="123"/>
      <c r="J8" s="121"/>
    </row>
    <row r="9" spans="1:10" ht="54.75" customHeight="1" x14ac:dyDescent="0.25">
      <c r="A9" s="120" t="s">
        <v>539</v>
      </c>
      <c r="B9" s="121" t="s">
        <v>540</v>
      </c>
      <c r="C9" s="121"/>
      <c r="D9" s="121"/>
      <c r="E9" s="121"/>
      <c r="F9" s="121"/>
      <c r="G9" s="121"/>
      <c r="H9" s="121"/>
      <c r="I9" s="121"/>
      <c r="J9" s="121"/>
    </row>
    <row r="10" spans="1:10" ht="54.75" customHeight="1" x14ac:dyDescent="0.25">
      <c r="A10" s="120" t="s">
        <v>541</v>
      </c>
      <c r="B10" s="121" t="s">
        <v>542</v>
      </c>
      <c r="C10" s="121"/>
      <c r="D10" s="121"/>
      <c r="E10" s="121"/>
      <c r="F10" s="121"/>
      <c r="G10" s="121"/>
      <c r="H10" s="121"/>
      <c r="I10" s="121"/>
      <c r="J10" s="121"/>
    </row>
    <row r="11" spans="1:10" ht="54.75" customHeight="1" x14ac:dyDescent="0.25">
      <c r="C11" s="120"/>
      <c r="D11" s="121"/>
      <c r="E11" s="120"/>
      <c r="F11" s="121"/>
      <c r="G11" s="120"/>
      <c r="H11" s="121"/>
      <c r="I11" s="121"/>
      <c r="J11" s="121"/>
    </row>
    <row r="12" spans="1:10" ht="54.75" customHeight="1" x14ac:dyDescent="0.25">
      <c r="A12" s="120" t="s">
        <v>545</v>
      </c>
      <c r="B12" s="121" t="s">
        <v>546</v>
      </c>
      <c r="C12" s="120"/>
      <c r="D12" s="121"/>
      <c r="E12" s="120"/>
      <c r="F12" s="121"/>
      <c r="G12" s="120"/>
      <c r="H12" s="121"/>
      <c r="I12" s="121"/>
      <c r="J12" s="121"/>
    </row>
    <row r="13" spans="1:10" ht="54.75" customHeight="1" x14ac:dyDescent="0.25">
      <c r="B13" s="121"/>
      <c r="C13" s="120"/>
      <c r="D13" s="121"/>
      <c r="E13" s="120"/>
      <c r="F13" s="121"/>
      <c r="G13" s="120"/>
      <c r="H13" s="121"/>
      <c r="I13" s="121"/>
      <c r="J13" s="121"/>
    </row>
    <row r="14" spans="1:10" ht="54.75" customHeight="1" x14ac:dyDescent="0.25">
      <c r="A14" s="13"/>
      <c r="B14" s="121"/>
      <c r="C14" s="120"/>
      <c r="D14" s="121"/>
      <c r="E14" s="120"/>
      <c r="F14" s="121"/>
      <c r="G14" s="120"/>
      <c r="H14" s="121"/>
      <c r="I14" s="120"/>
      <c r="J14" s="121"/>
    </row>
    <row r="15" spans="1:10" ht="54.75" customHeight="1" x14ac:dyDescent="0.25">
      <c r="A15" s="13"/>
      <c r="B15" s="121"/>
      <c r="C15" s="120"/>
      <c r="D15" s="121"/>
      <c r="E15" s="120"/>
      <c r="F15" s="121"/>
      <c r="G15" s="120"/>
      <c r="H15" s="121"/>
      <c r="I15" s="120"/>
      <c r="J15" s="121"/>
    </row>
    <row r="16" spans="1:10" ht="54.75" customHeight="1" x14ac:dyDescent="0.25">
      <c r="A16" s="13"/>
      <c r="B16" s="121"/>
      <c r="C16" s="120"/>
      <c r="D16" s="121"/>
      <c r="E16" s="120"/>
      <c r="F16" s="121"/>
      <c r="G16" s="120"/>
      <c r="H16" s="121"/>
      <c r="I16" s="120"/>
      <c r="J16" s="121"/>
    </row>
    <row r="17" spans="1:10" ht="54.75" customHeight="1" x14ac:dyDescent="0.25">
      <c r="B17" s="119"/>
      <c r="D17" s="119"/>
      <c r="F17" s="119"/>
      <c r="H17" s="119"/>
      <c r="J17" s="119"/>
    </row>
    <row r="18" spans="1:10" ht="54.75" customHeight="1" x14ac:dyDescent="0.25">
      <c r="A18" s="126"/>
      <c r="B18" s="119"/>
      <c r="C18" s="126"/>
      <c r="D18" s="119"/>
      <c r="E18" s="126"/>
      <c r="F18" s="119"/>
      <c r="G18" s="126"/>
      <c r="H18" s="119"/>
      <c r="I18" s="126"/>
      <c r="J18" s="119"/>
    </row>
    <row r="19" spans="1:10" ht="54.75" customHeight="1" x14ac:dyDescent="0.25">
      <c r="A19" s="126"/>
      <c r="B19" s="119"/>
      <c r="C19" s="126"/>
      <c r="D19" s="119"/>
      <c r="E19" s="126"/>
      <c r="F19" s="119"/>
      <c r="G19" s="126"/>
      <c r="H19" s="119"/>
      <c r="I19" s="126"/>
      <c r="J19" s="119"/>
    </row>
    <row r="20" spans="1:10" ht="54.75" customHeight="1" x14ac:dyDescent="0.25">
      <c r="A20" s="126"/>
      <c r="B20" s="119"/>
      <c r="C20" s="126"/>
      <c r="D20" s="119"/>
      <c r="E20" s="126"/>
      <c r="F20" s="119"/>
      <c r="G20" s="126"/>
      <c r="H20" s="119"/>
      <c r="I20" s="126"/>
      <c r="J20" s="119"/>
    </row>
    <row r="21" spans="1:10" ht="54.75" customHeight="1" x14ac:dyDescent="0.25">
      <c r="A21" s="126"/>
      <c r="B21" s="119"/>
      <c r="C21" s="126"/>
      <c r="D21" s="119"/>
      <c r="E21" s="126"/>
      <c r="F21" s="119"/>
      <c r="G21" s="126"/>
      <c r="H21" s="119"/>
      <c r="I21" s="126"/>
      <c r="J21" s="119"/>
    </row>
    <row r="22" spans="1:10" ht="54.75" customHeight="1" x14ac:dyDescent="0.25">
      <c r="A22" s="126"/>
      <c r="B22" s="119"/>
      <c r="C22" s="126"/>
      <c r="D22" s="119"/>
      <c r="E22" s="126"/>
      <c r="F22" s="119"/>
      <c r="G22" s="126"/>
      <c r="H22" s="119"/>
      <c r="I22" s="126"/>
      <c r="J22" s="119"/>
    </row>
    <row r="23" spans="1:10" ht="54.75" customHeight="1" x14ac:dyDescent="0.25">
      <c r="A23" s="126"/>
      <c r="B23" s="119"/>
      <c r="C23" s="126"/>
      <c r="D23" s="119"/>
      <c r="E23" s="126"/>
      <c r="F23" s="119"/>
      <c r="G23" s="126"/>
      <c r="H23" s="119"/>
      <c r="I23" s="126"/>
      <c r="J23" s="119"/>
    </row>
    <row r="24" spans="1:10" ht="54.75" customHeight="1" x14ac:dyDescent="0.25">
      <c r="A24" s="126"/>
      <c r="B24" s="119"/>
      <c r="C24" s="126"/>
      <c r="D24" s="119"/>
      <c r="E24" s="126"/>
      <c r="F24" s="119"/>
      <c r="G24" s="126"/>
      <c r="H24" s="119"/>
      <c r="I24" s="126"/>
      <c r="J24" s="119"/>
    </row>
    <row r="25" spans="1:10" ht="54.75" customHeight="1" x14ac:dyDescent="0.25">
      <c r="A25" s="126"/>
      <c r="B25" s="119"/>
      <c r="C25" s="126"/>
      <c r="D25" s="119"/>
      <c r="E25" s="126"/>
      <c r="F25" s="119"/>
      <c r="G25" s="126"/>
      <c r="H25" s="119"/>
      <c r="I25" s="126"/>
      <c r="J25" s="119"/>
    </row>
    <row r="26" spans="1:10" ht="54.75" customHeight="1" x14ac:dyDescent="0.25">
      <c r="A26" s="126"/>
      <c r="B26" s="119"/>
      <c r="C26" s="126"/>
      <c r="D26" s="119"/>
      <c r="E26" s="126"/>
      <c r="F26" s="119"/>
      <c r="G26" s="126"/>
      <c r="H26" s="119"/>
      <c r="I26" s="126"/>
      <c r="J26" s="119"/>
    </row>
    <row r="27" spans="1:10" ht="54.75" customHeight="1" x14ac:dyDescent="0.25">
      <c r="A27" s="126"/>
      <c r="B27" s="119"/>
      <c r="C27" s="126"/>
      <c r="D27" s="119"/>
      <c r="E27" s="126"/>
      <c r="F27" s="119"/>
      <c r="G27" s="126"/>
      <c r="H27" s="119"/>
      <c r="I27" s="126"/>
      <c r="J27" s="119"/>
    </row>
    <row r="28" spans="1:10" ht="54.75" customHeight="1" x14ac:dyDescent="0.25">
      <c r="A28" s="126"/>
      <c r="B28" s="119"/>
      <c r="C28" s="126"/>
      <c r="D28" s="119"/>
      <c r="E28" s="126"/>
      <c r="F28" s="119"/>
      <c r="G28" s="126"/>
      <c r="H28" s="119"/>
      <c r="I28" s="126"/>
      <c r="J28" s="119"/>
    </row>
    <row r="29" spans="1:10" ht="54.75" customHeight="1" x14ac:dyDescent="0.25">
      <c r="A29" s="126"/>
      <c r="B29" s="119"/>
      <c r="C29" s="126"/>
      <c r="D29" s="119"/>
      <c r="E29" s="126"/>
      <c r="F29" s="119"/>
      <c r="G29" s="126"/>
      <c r="H29" s="119"/>
      <c r="I29" s="126"/>
      <c r="J29" s="119"/>
    </row>
    <row r="30" spans="1:10" ht="54.75" customHeight="1" x14ac:dyDescent="0.25">
      <c r="A30" s="126"/>
      <c r="B30" s="119"/>
      <c r="C30" s="126"/>
      <c r="D30" s="119"/>
      <c r="E30" s="126"/>
      <c r="F30" s="119"/>
      <c r="G30" s="126"/>
      <c r="H30" s="119"/>
      <c r="I30" s="126"/>
      <c r="J30" s="119"/>
    </row>
    <row r="31" spans="1:10" ht="54.75" customHeight="1" x14ac:dyDescent="0.25">
      <c r="A31" s="126"/>
      <c r="B31" s="119"/>
      <c r="C31" s="126"/>
      <c r="D31" s="119"/>
      <c r="E31" s="126"/>
      <c r="F31" s="119"/>
      <c r="G31" s="126"/>
      <c r="H31" s="119"/>
      <c r="I31" s="126"/>
      <c r="J31" s="119"/>
    </row>
    <row r="32" spans="1:10" ht="54.75" customHeight="1" x14ac:dyDescent="0.25">
      <c r="A32" s="126"/>
      <c r="B32" s="119"/>
      <c r="C32" s="126"/>
      <c r="D32" s="119"/>
      <c r="E32" s="126"/>
      <c r="F32" s="119"/>
      <c r="G32" s="126"/>
      <c r="H32" s="119"/>
      <c r="I32" s="126"/>
      <c r="J32" s="119"/>
    </row>
    <row r="33" spans="1:10" ht="54.75" customHeight="1" x14ac:dyDescent="0.25">
      <c r="A33" s="126"/>
      <c r="B33" s="119"/>
      <c r="C33" s="126"/>
      <c r="D33" s="119"/>
      <c r="E33" s="126"/>
      <c r="F33" s="119"/>
      <c r="G33" s="126"/>
      <c r="H33" s="119"/>
      <c r="I33" s="126"/>
      <c r="J33" s="119"/>
    </row>
    <row r="34" spans="1:10" ht="54.75" customHeight="1" x14ac:dyDescent="0.25">
      <c r="A34" s="126"/>
      <c r="B34" s="119"/>
      <c r="C34" s="126"/>
      <c r="D34" s="119"/>
      <c r="E34" s="126"/>
      <c r="F34" s="119"/>
      <c r="G34" s="126"/>
      <c r="H34" s="119"/>
      <c r="I34" s="126"/>
      <c r="J34" s="119"/>
    </row>
    <row r="35" spans="1:10" ht="54.75" customHeight="1" x14ac:dyDescent="0.25">
      <c r="A35" s="126"/>
      <c r="B35" s="119"/>
      <c r="C35" s="126"/>
      <c r="D35" s="119"/>
      <c r="E35" s="126"/>
      <c r="F35" s="119"/>
      <c r="G35" s="126"/>
      <c r="H35" s="119"/>
      <c r="I35" s="126"/>
      <c r="J35" s="119"/>
    </row>
    <row r="36" spans="1:10" ht="54.75" customHeight="1" x14ac:dyDescent="0.25">
      <c r="A36" s="126"/>
      <c r="B36" s="119"/>
      <c r="C36" s="126"/>
      <c r="D36" s="119"/>
      <c r="E36" s="126"/>
      <c r="F36" s="119"/>
      <c r="G36" s="126"/>
      <c r="H36" s="119"/>
      <c r="I36" s="126"/>
      <c r="J36" s="119"/>
    </row>
    <row r="37" spans="1:10" ht="54.75" customHeight="1" x14ac:dyDescent="0.25">
      <c r="A37" s="126"/>
      <c r="B37" s="119"/>
      <c r="C37" s="126"/>
      <c r="D37" s="119"/>
      <c r="E37" s="126"/>
      <c r="F37" s="119"/>
      <c r="G37" s="126"/>
      <c r="H37" s="119"/>
      <c r="I37" s="126"/>
      <c r="J37" s="119"/>
    </row>
    <row r="38" spans="1:10" ht="54.75" customHeight="1" x14ac:dyDescent="0.25">
      <c r="A38" s="126"/>
      <c r="B38" s="119"/>
      <c r="C38" s="126"/>
      <c r="D38" s="119"/>
      <c r="E38" s="126"/>
      <c r="F38" s="119"/>
      <c r="G38" s="126"/>
      <c r="H38" s="119"/>
      <c r="I38" s="126"/>
      <c r="J38" s="119"/>
    </row>
    <row r="39" spans="1:10" ht="54.75" customHeight="1" x14ac:dyDescent="0.25">
      <c r="A39" s="126"/>
      <c r="B39" s="119"/>
      <c r="C39" s="126"/>
      <c r="D39" s="119"/>
      <c r="E39" s="126"/>
      <c r="F39" s="119"/>
      <c r="G39" s="126"/>
      <c r="H39" s="119"/>
      <c r="I39" s="126"/>
      <c r="J39" s="119"/>
    </row>
    <row r="40" spans="1:10" ht="54.75" customHeight="1" x14ac:dyDescent="0.25">
      <c r="A40" s="126"/>
      <c r="B40" s="119"/>
      <c r="C40" s="126"/>
      <c r="D40" s="119"/>
      <c r="E40" s="126"/>
      <c r="F40" s="119"/>
      <c r="G40" s="126"/>
      <c r="H40" s="119"/>
      <c r="I40" s="126"/>
      <c r="J40" s="119"/>
    </row>
    <row r="41" spans="1:10" ht="54.75" customHeight="1" x14ac:dyDescent="0.25">
      <c r="A41" s="126"/>
      <c r="B41" s="119"/>
      <c r="C41" s="126"/>
      <c r="D41" s="119"/>
      <c r="E41" s="126"/>
      <c r="F41" s="119"/>
      <c r="G41" s="126"/>
      <c r="H41" s="119"/>
      <c r="I41" s="126"/>
      <c r="J41" s="119"/>
    </row>
    <row r="42" spans="1:10" ht="54.75" customHeight="1" x14ac:dyDescent="0.25">
      <c r="A42" s="126"/>
      <c r="B42" s="119"/>
      <c r="C42" s="126"/>
      <c r="D42" s="119"/>
      <c r="E42" s="126"/>
      <c r="F42" s="119"/>
      <c r="G42" s="126"/>
      <c r="H42" s="119"/>
      <c r="I42" s="126"/>
      <c r="J42" s="119"/>
    </row>
    <row r="43" spans="1:10" ht="54.75" customHeight="1" x14ac:dyDescent="0.25">
      <c r="A43" s="126"/>
      <c r="B43" s="119"/>
      <c r="C43" s="126"/>
      <c r="D43" s="119"/>
      <c r="E43" s="126"/>
      <c r="F43" s="119"/>
      <c r="G43" s="126"/>
      <c r="H43" s="119"/>
      <c r="I43" s="126"/>
      <c r="J43" s="119"/>
    </row>
    <row r="44" spans="1:10" ht="54.75" customHeight="1" x14ac:dyDescent="0.25">
      <c r="A44" s="126"/>
      <c r="B44" s="119"/>
      <c r="C44" s="126"/>
      <c r="D44" s="119"/>
      <c r="E44" s="126"/>
      <c r="F44" s="119"/>
      <c r="G44" s="126"/>
      <c r="H44" s="119"/>
      <c r="I44" s="126"/>
      <c r="J44" s="119"/>
    </row>
    <row r="45" spans="1:10" ht="54.75" customHeight="1" x14ac:dyDescent="0.25">
      <c r="A45" s="126"/>
      <c r="B45" s="119"/>
      <c r="C45" s="126"/>
      <c r="D45" s="119"/>
      <c r="E45" s="126"/>
      <c r="F45" s="119"/>
      <c r="G45" s="126"/>
      <c r="H45" s="119"/>
      <c r="I45" s="126"/>
      <c r="J45" s="119"/>
    </row>
    <row r="46" spans="1:10" ht="54.75" customHeight="1" x14ac:dyDescent="0.25">
      <c r="A46" s="126"/>
      <c r="B46" s="119"/>
      <c r="C46" s="126"/>
      <c r="D46" s="119"/>
      <c r="E46" s="126"/>
      <c r="F46" s="119"/>
      <c r="G46" s="126"/>
      <c r="H46" s="119"/>
      <c r="I46" s="126"/>
      <c r="J46" s="119"/>
    </row>
    <row r="47" spans="1:10" ht="54.75" customHeight="1" x14ac:dyDescent="0.25">
      <c r="A47" s="126"/>
      <c r="B47" s="119"/>
      <c r="C47" s="126"/>
      <c r="D47" s="119"/>
      <c r="E47" s="126"/>
      <c r="F47" s="119"/>
      <c r="G47" s="126"/>
      <c r="H47" s="119"/>
      <c r="I47" s="126"/>
      <c r="J47" s="119"/>
    </row>
    <row r="48" spans="1:10" ht="54.75" customHeight="1" x14ac:dyDescent="0.25">
      <c r="A48" s="126"/>
      <c r="B48" s="119"/>
      <c r="C48" s="126"/>
      <c r="D48" s="119"/>
      <c r="E48" s="126"/>
      <c r="F48" s="119"/>
      <c r="G48" s="126"/>
      <c r="H48" s="119"/>
      <c r="I48" s="126"/>
      <c r="J48" s="119"/>
    </row>
    <row r="49" spans="1:10" ht="54.75" customHeight="1" x14ac:dyDescent="0.25">
      <c r="A49" s="126"/>
      <c r="B49" s="119"/>
      <c r="C49" s="126"/>
      <c r="D49" s="119"/>
      <c r="E49" s="126"/>
      <c r="F49" s="119"/>
      <c r="G49" s="126"/>
      <c r="H49" s="119"/>
      <c r="I49" s="126"/>
      <c r="J49" s="119"/>
    </row>
    <row r="50" spans="1:10" ht="54.75" customHeight="1" x14ac:dyDescent="0.25">
      <c r="A50" s="126"/>
      <c r="B50" s="119"/>
      <c r="C50" s="126"/>
      <c r="D50" s="119"/>
      <c r="E50" s="126"/>
      <c r="F50" s="119"/>
      <c r="G50" s="126"/>
      <c r="H50" s="119"/>
      <c r="I50" s="126"/>
      <c r="J50" s="119"/>
    </row>
    <row r="51" spans="1:10" ht="54.75" customHeight="1" x14ac:dyDescent="0.25">
      <c r="A51" s="126"/>
      <c r="B51" s="119"/>
      <c r="C51" s="126"/>
      <c r="D51" s="119"/>
      <c r="E51" s="126"/>
      <c r="F51" s="119"/>
      <c r="G51" s="126"/>
      <c r="H51" s="119"/>
      <c r="I51" s="126"/>
      <c r="J51" s="119"/>
    </row>
    <row r="52" spans="1:10" ht="54.75" customHeight="1" x14ac:dyDescent="0.25">
      <c r="A52" s="126"/>
      <c r="B52" s="119"/>
      <c r="C52" s="126"/>
      <c r="D52" s="119"/>
      <c r="E52" s="126"/>
      <c r="F52" s="119"/>
      <c r="G52" s="126"/>
      <c r="H52" s="119"/>
      <c r="I52" s="126"/>
      <c r="J52" s="119"/>
    </row>
    <row r="53" spans="1:10" ht="54.75" customHeight="1" x14ac:dyDescent="0.25">
      <c r="A53" s="126"/>
      <c r="B53" s="119"/>
      <c r="C53" s="126"/>
      <c r="D53" s="119"/>
      <c r="E53" s="126"/>
      <c r="F53" s="119"/>
      <c r="G53" s="126"/>
      <c r="H53" s="119"/>
      <c r="I53" s="126"/>
      <c r="J53" s="119"/>
    </row>
    <row r="54" spans="1:10" ht="54.75" customHeight="1" x14ac:dyDescent="0.25">
      <c r="A54" s="126"/>
      <c r="B54" s="119"/>
      <c r="C54" s="126"/>
      <c r="D54" s="119"/>
      <c r="E54" s="126"/>
      <c r="F54" s="119"/>
      <c r="G54" s="126"/>
      <c r="H54" s="119"/>
      <c r="I54" s="126"/>
      <c r="J54" s="119"/>
    </row>
    <row r="55" spans="1:10" ht="54.75" customHeight="1" x14ac:dyDescent="0.25">
      <c r="A55" s="126"/>
      <c r="B55" s="119"/>
      <c r="C55" s="126"/>
      <c r="D55" s="119"/>
      <c r="E55" s="126"/>
      <c r="F55" s="119"/>
      <c r="G55" s="126"/>
      <c r="H55" s="119"/>
      <c r="I55" s="126"/>
      <c r="J55" s="119"/>
    </row>
    <row r="56" spans="1:10" ht="54.75" customHeight="1" x14ac:dyDescent="0.25">
      <c r="A56" s="126"/>
      <c r="B56" s="119"/>
      <c r="C56" s="126"/>
      <c r="D56" s="119"/>
      <c r="E56" s="126"/>
      <c r="F56" s="119"/>
      <c r="G56" s="126"/>
      <c r="H56" s="119"/>
      <c r="I56" s="126"/>
      <c r="J56" s="119"/>
    </row>
    <row r="57" spans="1:10" ht="54.75" customHeight="1" x14ac:dyDescent="0.25">
      <c r="A57" s="126"/>
      <c r="B57" s="119"/>
      <c r="C57" s="126"/>
      <c r="D57" s="119"/>
      <c r="E57" s="126"/>
      <c r="F57" s="119"/>
      <c r="G57" s="126"/>
      <c r="H57" s="119"/>
      <c r="I57" s="126"/>
      <c r="J57" s="119"/>
    </row>
    <row r="58" spans="1:10" ht="54.75" customHeight="1" x14ac:dyDescent="0.25">
      <c r="A58" s="126"/>
      <c r="B58" s="119"/>
      <c r="C58" s="126"/>
      <c r="D58" s="119"/>
      <c r="E58" s="126"/>
      <c r="F58" s="119"/>
      <c r="G58" s="126"/>
      <c r="H58" s="119"/>
      <c r="I58" s="126"/>
      <c r="J58" s="119"/>
    </row>
    <row r="59" spans="1:10" ht="54.75" customHeight="1" x14ac:dyDescent="0.25">
      <c r="A59" s="126"/>
      <c r="B59" s="119"/>
      <c r="C59" s="126"/>
      <c r="D59" s="119"/>
      <c r="E59" s="126"/>
      <c r="F59" s="119"/>
      <c r="G59" s="126"/>
      <c r="H59" s="119"/>
      <c r="I59" s="126"/>
      <c r="J59" s="119"/>
    </row>
    <row r="60" spans="1:10" ht="54.75" customHeight="1" x14ac:dyDescent="0.25">
      <c r="A60" s="126"/>
      <c r="B60" s="119"/>
      <c r="C60" s="126"/>
      <c r="D60" s="119"/>
      <c r="E60" s="126"/>
      <c r="F60" s="119"/>
      <c r="G60" s="126"/>
      <c r="H60" s="119"/>
      <c r="I60" s="126"/>
      <c r="J60" s="119"/>
    </row>
    <row r="61" spans="1:10" ht="54.75" customHeight="1" x14ac:dyDescent="0.25">
      <c r="A61" s="126"/>
      <c r="B61" s="119"/>
      <c r="C61" s="126"/>
      <c r="D61" s="119"/>
      <c r="E61" s="126"/>
      <c r="F61" s="119"/>
      <c r="G61" s="126"/>
      <c r="H61" s="119"/>
      <c r="I61" s="126"/>
      <c r="J61" s="119"/>
    </row>
    <row r="62" spans="1:10" ht="54.75" customHeight="1" x14ac:dyDescent="0.25">
      <c r="A62" s="126"/>
      <c r="B62" s="119"/>
      <c r="C62" s="126"/>
      <c r="D62" s="119"/>
      <c r="E62" s="126"/>
      <c r="F62" s="119"/>
      <c r="G62" s="126"/>
      <c r="H62" s="119"/>
      <c r="I62" s="126"/>
      <c r="J62" s="119"/>
    </row>
    <row r="63" spans="1:10" x14ac:dyDescent="0.25">
      <c r="A63" s="126"/>
      <c r="B63" s="119"/>
      <c r="C63" s="126"/>
      <c r="D63" s="119"/>
      <c r="E63" s="126"/>
      <c r="F63" s="119"/>
      <c r="G63" s="126"/>
      <c r="H63" s="119"/>
      <c r="I63" s="126"/>
      <c r="J63" s="119"/>
    </row>
    <row r="64" spans="1:10" x14ac:dyDescent="0.25">
      <c r="A64" s="126"/>
      <c r="B64" s="119"/>
      <c r="C64" s="126"/>
      <c r="D64" s="119"/>
      <c r="E64" s="126"/>
      <c r="F64" s="119"/>
      <c r="G64" s="126"/>
      <c r="H64" s="119"/>
      <c r="I64" s="126"/>
      <c r="J64" s="119"/>
    </row>
    <row r="65" spans="1:10" x14ac:dyDescent="0.25">
      <c r="A65" s="126"/>
      <c r="B65" s="119"/>
      <c r="C65" s="126"/>
      <c r="D65" s="119"/>
      <c r="E65" s="126"/>
      <c r="F65" s="119"/>
      <c r="G65" s="126"/>
      <c r="H65" s="119"/>
      <c r="I65" s="126"/>
      <c r="J65" s="119"/>
    </row>
    <row r="66" spans="1:10" x14ac:dyDescent="0.25">
      <c r="A66" s="126"/>
      <c r="B66" s="119"/>
      <c r="C66" s="126"/>
      <c r="D66" s="119"/>
      <c r="E66" s="126"/>
      <c r="F66" s="119"/>
      <c r="G66" s="126"/>
      <c r="H66" s="119"/>
      <c r="I66" s="126"/>
      <c r="J66" s="119"/>
    </row>
    <row r="67" spans="1:10" x14ac:dyDescent="0.25">
      <c r="A67" s="126"/>
      <c r="B67" s="119"/>
      <c r="C67" s="126"/>
      <c r="D67" s="119"/>
      <c r="E67" s="126"/>
      <c r="F67" s="119"/>
      <c r="G67" s="126"/>
      <c r="H67" s="119"/>
      <c r="I67" s="126"/>
      <c r="J67" s="119"/>
    </row>
    <row r="68" spans="1:10" x14ac:dyDescent="0.25">
      <c r="A68" s="126"/>
      <c r="B68" s="119"/>
      <c r="C68" s="126"/>
      <c r="D68" s="119"/>
      <c r="E68" s="126"/>
      <c r="F68" s="119"/>
      <c r="G68" s="126"/>
      <c r="H68" s="119"/>
      <c r="I68" s="126"/>
      <c r="J68" s="119"/>
    </row>
    <row r="69" spans="1:10" x14ac:dyDescent="0.25">
      <c r="A69" s="126"/>
      <c r="B69" s="119"/>
      <c r="C69" s="126"/>
      <c r="D69" s="119"/>
      <c r="E69" s="126"/>
      <c r="F69" s="119"/>
      <c r="G69" s="126"/>
      <c r="H69" s="119"/>
      <c r="I69" s="126"/>
      <c r="J69" s="119"/>
    </row>
    <row r="70" spans="1:10" x14ac:dyDescent="0.25">
      <c r="A70" s="126"/>
      <c r="B70" s="119"/>
      <c r="C70" s="126"/>
      <c r="D70" s="119"/>
      <c r="E70" s="126"/>
      <c r="F70" s="119"/>
      <c r="G70" s="126"/>
      <c r="H70" s="119"/>
      <c r="I70" s="126"/>
      <c r="J70" s="119"/>
    </row>
    <row r="71" spans="1:10" x14ac:dyDescent="0.25">
      <c r="A71" s="126"/>
      <c r="B71" s="119"/>
      <c r="C71" s="126"/>
      <c r="D71" s="119"/>
      <c r="E71" s="126"/>
      <c r="F71" s="119"/>
      <c r="G71" s="126"/>
      <c r="H71" s="119"/>
      <c r="I71" s="126"/>
      <c r="J71" s="119"/>
    </row>
    <row r="72" spans="1:10" x14ac:dyDescent="0.25">
      <c r="A72" s="126"/>
      <c r="B72" s="119"/>
      <c r="C72" s="126"/>
      <c r="D72" s="119"/>
      <c r="E72" s="126"/>
      <c r="F72" s="119"/>
      <c r="G72" s="126"/>
      <c r="H72" s="119"/>
      <c r="I72" s="126"/>
      <c r="J72" s="119"/>
    </row>
    <row r="73" spans="1:10" x14ac:dyDescent="0.25">
      <c r="A73" s="126"/>
      <c r="B73" s="119"/>
      <c r="C73" s="126"/>
      <c r="D73" s="119"/>
      <c r="E73" s="126"/>
      <c r="F73" s="119"/>
      <c r="G73" s="126"/>
      <c r="H73" s="119"/>
      <c r="I73" s="126"/>
      <c r="J73" s="119"/>
    </row>
    <row r="74" spans="1:10" x14ac:dyDescent="0.25">
      <c r="A74" s="126"/>
      <c r="B74" s="119"/>
      <c r="C74" s="126"/>
      <c r="D74" s="119"/>
      <c r="E74" s="126"/>
      <c r="F74" s="119"/>
      <c r="G74" s="126"/>
      <c r="H74" s="119"/>
      <c r="I74" s="126"/>
      <c r="J74" s="119"/>
    </row>
    <row r="75" spans="1:10" x14ac:dyDescent="0.25">
      <c r="A75" s="126"/>
      <c r="B75" s="119"/>
      <c r="C75" s="126"/>
      <c r="D75" s="119"/>
      <c r="E75" s="126"/>
      <c r="F75" s="119"/>
      <c r="G75" s="126"/>
      <c r="H75" s="119"/>
      <c r="I75" s="126"/>
      <c r="J75" s="119"/>
    </row>
    <row r="76" spans="1:10" x14ac:dyDescent="0.25">
      <c r="A76" s="126"/>
      <c r="B76" s="119"/>
      <c r="C76" s="126"/>
      <c r="D76" s="119"/>
      <c r="E76" s="126"/>
      <c r="F76" s="119"/>
      <c r="G76" s="126"/>
      <c r="H76" s="119"/>
      <c r="I76" s="126"/>
      <c r="J76" s="119"/>
    </row>
    <row r="77" spans="1:10" x14ac:dyDescent="0.25">
      <c r="A77" s="126"/>
      <c r="B77" s="119"/>
      <c r="C77" s="126"/>
      <c r="D77" s="119"/>
      <c r="E77" s="126"/>
      <c r="F77" s="119"/>
      <c r="G77" s="126"/>
      <c r="H77" s="119"/>
      <c r="I77" s="126"/>
      <c r="J77" s="119"/>
    </row>
    <row r="78" spans="1:10" x14ac:dyDescent="0.25">
      <c r="A78" s="126"/>
      <c r="B78" s="119"/>
      <c r="C78" s="126"/>
      <c r="D78" s="119"/>
      <c r="E78" s="126"/>
      <c r="F78" s="119"/>
      <c r="G78" s="126"/>
      <c r="H78" s="119"/>
      <c r="I78" s="126"/>
      <c r="J78" s="119"/>
    </row>
    <row r="79" spans="1:10" x14ac:dyDescent="0.25">
      <c r="A79" s="126"/>
      <c r="B79" s="119"/>
      <c r="C79" s="126"/>
      <c r="D79" s="119"/>
      <c r="E79" s="126"/>
      <c r="F79" s="119"/>
      <c r="G79" s="126"/>
      <c r="H79" s="119"/>
      <c r="I79" s="126"/>
      <c r="J79" s="119"/>
    </row>
    <row r="80" spans="1:10" x14ac:dyDescent="0.25">
      <c r="A80" s="126"/>
      <c r="B80" s="119"/>
      <c r="C80" s="126"/>
      <c r="D80" s="119"/>
      <c r="E80" s="126"/>
      <c r="F80" s="119"/>
      <c r="G80" s="126"/>
      <c r="H80" s="119"/>
      <c r="I80" s="126"/>
      <c r="J80" s="119"/>
    </row>
    <row r="81" spans="1:10" x14ac:dyDescent="0.25">
      <c r="A81" s="126"/>
      <c r="B81" s="119"/>
      <c r="C81" s="126"/>
      <c r="D81" s="119"/>
      <c r="E81" s="126"/>
      <c r="F81" s="119"/>
      <c r="G81" s="126"/>
      <c r="H81" s="119"/>
      <c r="I81" s="126"/>
      <c r="J81" s="119"/>
    </row>
    <row r="82" spans="1:10" x14ac:dyDescent="0.25">
      <c r="A82" s="126"/>
      <c r="B82" s="119"/>
      <c r="C82" s="126"/>
      <c r="D82" s="119"/>
      <c r="E82" s="126"/>
      <c r="F82" s="119"/>
      <c r="G82" s="126"/>
      <c r="H82" s="119"/>
      <c r="I82" s="126"/>
      <c r="J82" s="119"/>
    </row>
    <row r="83" spans="1:10" x14ac:dyDescent="0.25">
      <c r="A83" s="126"/>
      <c r="B83" s="119"/>
      <c r="C83" s="126"/>
      <c r="D83" s="119"/>
      <c r="E83" s="126"/>
      <c r="F83" s="119"/>
      <c r="G83" s="126"/>
      <c r="H83" s="119"/>
      <c r="I83" s="126"/>
      <c r="J83" s="119"/>
    </row>
    <row r="84" spans="1:10" x14ac:dyDescent="0.25">
      <c r="A84" s="126"/>
      <c r="B84" s="119"/>
      <c r="C84" s="126"/>
      <c r="D84" s="119"/>
      <c r="E84" s="126"/>
      <c r="F84" s="119"/>
      <c r="G84" s="126"/>
      <c r="H84" s="119"/>
      <c r="I84" s="126"/>
      <c r="J84" s="119"/>
    </row>
    <row r="85" spans="1:10" x14ac:dyDescent="0.25">
      <c r="A85" s="126"/>
      <c r="B85" s="119"/>
      <c r="C85" s="126"/>
      <c r="D85" s="119"/>
      <c r="E85" s="126"/>
      <c r="F85" s="119"/>
      <c r="G85" s="126"/>
      <c r="H85" s="119"/>
      <c r="I85" s="126"/>
      <c r="J85" s="119"/>
    </row>
    <row r="86" spans="1:10" x14ac:dyDescent="0.25">
      <c r="A86" s="126"/>
      <c r="B86" s="119"/>
      <c r="C86" s="126"/>
      <c r="D86" s="119"/>
      <c r="E86" s="126"/>
      <c r="F86" s="119"/>
      <c r="G86" s="126"/>
      <c r="H86" s="119"/>
      <c r="I86" s="126"/>
      <c r="J86" s="119"/>
    </row>
    <row r="87" spans="1:10" x14ac:dyDescent="0.25">
      <c r="A87" s="126"/>
      <c r="B87" s="119"/>
      <c r="C87" s="126"/>
      <c r="D87" s="119"/>
      <c r="E87" s="126"/>
      <c r="F87" s="119"/>
      <c r="G87" s="126"/>
      <c r="H87" s="119"/>
      <c r="I87" s="126"/>
      <c r="J87" s="119"/>
    </row>
    <row r="88" spans="1:10" x14ac:dyDescent="0.25">
      <c r="A88" s="126"/>
      <c r="B88" s="119"/>
      <c r="C88" s="126"/>
      <c r="D88" s="119"/>
      <c r="E88" s="126"/>
      <c r="F88" s="119"/>
      <c r="G88" s="126"/>
      <c r="H88" s="119"/>
      <c r="I88" s="126"/>
      <c r="J88" s="119"/>
    </row>
    <row r="89" spans="1:10" x14ac:dyDescent="0.25">
      <c r="A89" s="126"/>
      <c r="B89" s="119"/>
      <c r="C89" s="126"/>
      <c r="D89" s="119"/>
      <c r="E89" s="126"/>
      <c r="F89" s="119"/>
      <c r="G89" s="126"/>
      <c r="H89" s="119"/>
      <c r="I89" s="126"/>
      <c r="J89" s="119"/>
    </row>
    <row r="90" spans="1:10" x14ac:dyDescent="0.25">
      <c r="A90" s="126"/>
      <c r="B90" s="119"/>
      <c r="C90" s="126"/>
      <c r="D90" s="119"/>
      <c r="E90" s="126"/>
      <c r="F90" s="119"/>
      <c r="G90" s="126"/>
      <c r="H90" s="119"/>
      <c r="I90" s="126"/>
      <c r="J90" s="119"/>
    </row>
    <row r="91" spans="1:10" x14ac:dyDescent="0.25">
      <c r="A91" s="126"/>
      <c r="B91" s="119"/>
      <c r="C91" s="126"/>
      <c r="D91" s="119"/>
      <c r="E91" s="126"/>
      <c r="F91" s="119"/>
      <c r="G91" s="126"/>
      <c r="H91" s="119"/>
      <c r="I91" s="126"/>
      <c r="J91" s="119"/>
    </row>
    <row r="92" spans="1:10" x14ac:dyDescent="0.25">
      <c r="A92" s="126"/>
      <c r="B92" s="119"/>
      <c r="C92" s="126"/>
      <c r="D92" s="119"/>
      <c r="E92" s="126"/>
      <c r="F92" s="119"/>
      <c r="G92" s="126"/>
      <c r="H92" s="119"/>
      <c r="I92" s="126"/>
      <c r="J92" s="119"/>
    </row>
    <row r="93" spans="1:10" x14ac:dyDescent="0.25">
      <c r="A93" s="126"/>
      <c r="B93" s="119"/>
      <c r="C93" s="126"/>
      <c r="D93" s="119"/>
      <c r="E93" s="126"/>
      <c r="F93" s="119"/>
      <c r="G93" s="126"/>
      <c r="H93" s="119"/>
      <c r="I93" s="126"/>
      <c r="J93" s="119"/>
    </row>
  </sheetData>
  <mergeCells count="5">
    <mergeCell ref="A2:B2"/>
    <mergeCell ref="C2:D2"/>
    <mergeCell ref="E2:F2"/>
    <mergeCell ref="G2:H2"/>
    <mergeCell ref="I2:J2"/>
  </mergeCells>
  <hyperlinks>
    <hyperlink ref="A4" r:id="rId1" display="https://eu.diablo3.com/es/class/barbarian/passive/pound-of-flesh" xr:uid="{EA5D9116-BB5C-4BC0-A98A-24173843370F}"/>
    <hyperlink ref="A5" r:id="rId2" display="https://eu.diablo3.com/es/class/barbarian/passive/ruthless" xr:uid="{DADF538D-7862-473E-B398-CED954D7D6DC}"/>
    <hyperlink ref="A6" r:id="rId3" display="https://eu.diablo3.com/es/class/barbarian/passive/weapons-master" xr:uid="{DCF77F75-F6BA-498E-BAEF-BB65063B67E3}"/>
    <hyperlink ref="A7" r:id="rId4" display="https://eu.diablo3.com/es/class/barbarian/passive/inspiring-presence" xr:uid="{2C079E64-7CCF-497A-AF8C-E08D766ACC01}"/>
    <hyperlink ref="A8" r:id="rId5" display="https://eu.diablo3.com/es/class/barbarian/passive/superstition" xr:uid="{2134A922-FF98-456E-83D5-D25E7FC98025}"/>
    <hyperlink ref="A9" r:id="rId6" display="https://eu.diablo3.com/es/class/barbarian/passive/tough-as-nails" xr:uid="{6D95E365-81C5-4BC4-B0C0-D593F966B88B}"/>
    <hyperlink ref="A10" r:id="rId7" display="https://eu.diablo3.com/es/class/barbarian/passive/relentless" xr:uid="{98B4850A-1479-4DF6-853F-6DBB4561E30B}"/>
    <hyperlink ref="A12" r:id="rId8" display="https://eu.diablo3.com/es/class/barbarian/passive/rampage" xr:uid="{6B963864-B032-496F-917F-541FF1648F42}"/>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J93"/>
  <sheetViews>
    <sheetView workbookViewId="0">
      <selection activeCell="D6" sqref="D6"/>
    </sheetView>
  </sheetViews>
  <sheetFormatPr baseColWidth="10" defaultRowHeight="15" x14ac:dyDescent="0.25"/>
  <cols>
    <col min="1" max="1" width="24.42578125" customWidth="1"/>
    <col min="2" max="2" width="47.7109375" customWidth="1"/>
    <col min="3" max="3" width="24.42578125" style="117" customWidth="1"/>
    <col min="4" max="4" width="47.7109375" style="117" customWidth="1"/>
    <col min="5" max="5" width="24.42578125" style="125" customWidth="1"/>
    <col min="6" max="6" width="47" style="125" customWidth="1"/>
    <col min="7" max="7" width="24.42578125" style="125" customWidth="1"/>
    <col min="8" max="8" width="47" style="125" customWidth="1"/>
    <col min="9" max="9" width="24.42578125" style="125" customWidth="1"/>
    <col min="10" max="10" width="47" style="125" customWidth="1"/>
  </cols>
  <sheetData>
    <row r="2" spans="1:10" x14ac:dyDescent="0.25">
      <c r="A2" s="154" t="s">
        <v>446</v>
      </c>
      <c r="B2" s="154"/>
      <c r="C2" s="154" t="s">
        <v>467</v>
      </c>
      <c r="D2" s="154"/>
      <c r="E2" s="154" t="s">
        <v>473</v>
      </c>
      <c r="F2" s="154"/>
      <c r="G2" s="154" t="s">
        <v>487</v>
      </c>
      <c r="H2" s="154"/>
      <c r="I2" s="154" t="s">
        <v>488</v>
      </c>
      <c r="J2" s="154"/>
    </row>
    <row r="3" spans="1:10" x14ac:dyDescent="0.25">
      <c r="A3" t="s">
        <v>200</v>
      </c>
      <c r="B3" t="s">
        <v>447</v>
      </c>
      <c r="C3" s="117" t="s">
        <v>200</v>
      </c>
      <c r="D3" s="117" t="s">
        <v>447</v>
      </c>
      <c r="E3" s="125" t="s">
        <v>200</v>
      </c>
      <c r="F3" s="125" t="s">
        <v>447</v>
      </c>
      <c r="G3" s="125" t="s">
        <v>200</v>
      </c>
      <c r="H3" s="125" t="s">
        <v>447</v>
      </c>
      <c r="I3" s="125" t="s">
        <v>200</v>
      </c>
      <c r="J3" s="125" t="s">
        <v>447</v>
      </c>
    </row>
    <row r="4" spans="1:10" ht="74.25" customHeight="1" x14ac:dyDescent="0.25">
      <c r="A4" s="13" t="s">
        <v>448</v>
      </c>
      <c r="B4" s="121" t="s">
        <v>449</v>
      </c>
      <c r="C4" s="13" t="s">
        <v>469</v>
      </c>
      <c r="D4" s="121" t="s">
        <v>468</v>
      </c>
      <c r="E4" s="13" t="s">
        <v>474</v>
      </c>
      <c r="F4" s="128" t="s">
        <v>496</v>
      </c>
      <c r="G4" s="13" t="s">
        <v>479</v>
      </c>
      <c r="H4" s="121" t="s">
        <v>480</v>
      </c>
      <c r="I4" s="13" t="s">
        <v>501</v>
      </c>
      <c r="J4" s="121" t="s">
        <v>491</v>
      </c>
    </row>
    <row r="5" spans="1:10" ht="69.75" customHeight="1" x14ac:dyDescent="0.25">
      <c r="A5" s="13" t="s">
        <v>450</v>
      </c>
      <c r="B5" s="121" t="s">
        <v>497</v>
      </c>
      <c r="C5" s="13" t="s">
        <v>470</v>
      </c>
      <c r="D5" s="121" t="s">
        <v>471</v>
      </c>
      <c r="E5" s="13" t="s">
        <v>475</v>
      </c>
      <c r="F5" s="123" t="s">
        <v>476</v>
      </c>
      <c r="G5" s="13" t="s">
        <v>481</v>
      </c>
      <c r="H5" s="121" t="s">
        <v>482</v>
      </c>
      <c r="I5" s="13" t="s">
        <v>492</v>
      </c>
      <c r="J5" s="121" t="s">
        <v>493</v>
      </c>
    </row>
    <row r="6" spans="1:10" ht="75.75" customHeight="1" x14ac:dyDescent="0.25">
      <c r="A6" s="13" t="s">
        <v>451</v>
      </c>
      <c r="B6" s="121" t="s">
        <v>498</v>
      </c>
      <c r="C6" s="13" t="s">
        <v>472</v>
      </c>
      <c r="D6" s="121" t="s">
        <v>589</v>
      </c>
      <c r="E6" s="13" t="s">
        <v>477</v>
      </c>
      <c r="F6" s="121" t="s">
        <v>478</v>
      </c>
      <c r="G6" s="13" t="s">
        <v>483</v>
      </c>
      <c r="H6" s="121" t="s">
        <v>484</v>
      </c>
      <c r="I6" s="13" t="s">
        <v>494</v>
      </c>
      <c r="J6" s="121" t="s">
        <v>495</v>
      </c>
    </row>
    <row r="7" spans="1:10" ht="75.75" customHeight="1" x14ac:dyDescent="0.25">
      <c r="A7" s="13" t="s">
        <v>452</v>
      </c>
      <c r="B7" s="121" t="s">
        <v>499</v>
      </c>
      <c r="C7" s="122"/>
      <c r="D7" s="121"/>
      <c r="E7" s="13" t="s">
        <v>489</v>
      </c>
      <c r="F7" s="121" t="s">
        <v>490</v>
      </c>
      <c r="G7" s="13" t="s">
        <v>485</v>
      </c>
      <c r="H7" s="121" t="s">
        <v>486</v>
      </c>
    </row>
    <row r="8" spans="1:10" ht="54.75" customHeight="1" x14ac:dyDescent="0.25">
      <c r="A8" s="13" t="s">
        <v>453</v>
      </c>
      <c r="B8" s="121" t="s">
        <v>454</v>
      </c>
      <c r="C8" s="123"/>
      <c r="D8" s="121"/>
      <c r="E8" s="123"/>
      <c r="F8" s="121"/>
      <c r="G8" s="122"/>
      <c r="H8" s="121"/>
      <c r="I8" s="122"/>
      <c r="J8" s="121"/>
    </row>
    <row r="9" spans="1:10" ht="54.75" customHeight="1" x14ac:dyDescent="0.25">
      <c r="A9" s="13" t="s">
        <v>455</v>
      </c>
      <c r="B9" s="121" t="s">
        <v>456</v>
      </c>
      <c r="C9" s="121"/>
      <c r="D9" s="121"/>
      <c r="E9" s="123"/>
      <c r="F9" s="121"/>
      <c r="G9" s="123"/>
      <c r="H9" s="121"/>
      <c r="I9" s="123"/>
      <c r="J9" s="121"/>
    </row>
    <row r="10" spans="1:10" ht="54.75" customHeight="1" x14ac:dyDescent="0.25">
      <c r="A10" s="13" t="s">
        <v>457</v>
      </c>
      <c r="B10" s="121" t="s">
        <v>500</v>
      </c>
      <c r="C10" s="121"/>
      <c r="D10" s="121"/>
      <c r="E10" s="121"/>
      <c r="F10" s="121"/>
      <c r="G10" s="121"/>
      <c r="H10" s="121"/>
      <c r="I10" s="121"/>
      <c r="J10" s="121"/>
    </row>
    <row r="11" spans="1:10" ht="54.75" customHeight="1" x14ac:dyDescent="0.25">
      <c r="A11" s="13" t="s">
        <v>458</v>
      </c>
      <c r="B11" s="121" t="s">
        <v>459</v>
      </c>
      <c r="C11" s="120"/>
      <c r="D11" s="121"/>
      <c r="E11" s="120"/>
      <c r="F11" s="121"/>
      <c r="G11" s="120"/>
      <c r="H11" s="121"/>
      <c r="I11" s="120"/>
      <c r="J11" s="121"/>
    </row>
    <row r="12" spans="1:10" ht="54.75" customHeight="1" x14ac:dyDescent="0.25">
      <c r="A12" s="13" t="s">
        <v>460</v>
      </c>
      <c r="B12" s="121" t="s">
        <v>502</v>
      </c>
      <c r="C12" s="120"/>
      <c r="D12" s="121"/>
      <c r="E12" s="120"/>
      <c r="F12" s="121"/>
      <c r="G12" s="120"/>
      <c r="H12" s="121"/>
      <c r="I12" s="120"/>
      <c r="J12" s="121"/>
    </row>
    <row r="13" spans="1:10" ht="54.75" customHeight="1" x14ac:dyDescent="0.25">
      <c r="A13" s="13" t="s">
        <v>461</v>
      </c>
      <c r="B13" s="121" t="s">
        <v>503</v>
      </c>
      <c r="C13" s="120"/>
      <c r="D13" s="121"/>
      <c r="E13" s="120"/>
      <c r="F13" s="121"/>
      <c r="G13" s="120"/>
      <c r="H13" s="121"/>
      <c r="I13" s="120"/>
      <c r="J13" s="121"/>
    </row>
    <row r="14" spans="1:10" ht="54.75" customHeight="1" x14ac:dyDescent="0.25">
      <c r="A14" s="13" t="s">
        <v>462</v>
      </c>
      <c r="B14" s="121" t="s">
        <v>463</v>
      </c>
      <c r="C14" s="120"/>
      <c r="D14" s="121"/>
      <c r="E14" s="120"/>
      <c r="F14" s="121"/>
      <c r="G14" s="120"/>
      <c r="H14" s="121"/>
      <c r="I14" s="120"/>
      <c r="J14" s="121"/>
    </row>
    <row r="15" spans="1:10" ht="54.75" customHeight="1" x14ac:dyDescent="0.25">
      <c r="A15" s="13" t="s">
        <v>464</v>
      </c>
      <c r="B15" s="121" t="s">
        <v>504</v>
      </c>
      <c r="C15" s="120"/>
      <c r="D15" s="121"/>
      <c r="E15" s="120"/>
      <c r="F15" s="121"/>
      <c r="G15" s="120"/>
      <c r="H15" s="121"/>
      <c r="I15" s="120"/>
      <c r="J15" s="121"/>
    </row>
    <row r="16" spans="1:10" ht="54.75" customHeight="1" x14ac:dyDescent="0.25">
      <c r="A16" s="13" t="s">
        <v>465</v>
      </c>
      <c r="B16" s="121" t="s">
        <v>466</v>
      </c>
      <c r="C16" s="120"/>
      <c r="D16" s="121"/>
      <c r="E16" s="120"/>
      <c r="F16" s="121"/>
      <c r="G16" s="120"/>
      <c r="H16" s="121"/>
      <c r="I16" s="120"/>
      <c r="J16" s="121"/>
    </row>
    <row r="17" spans="1:10" ht="54.75" customHeight="1" x14ac:dyDescent="0.25">
      <c r="B17" s="119"/>
      <c r="D17" s="119"/>
      <c r="F17" s="119"/>
      <c r="H17" s="119"/>
      <c r="J17" s="119"/>
    </row>
    <row r="18" spans="1:10" ht="54.75" customHeight="1" x14ac:dyDescent="0.25">
      <c r="A18" s="70"/>
      <c r="B18" s="119"/>
      <c r="C18" s="70"/>
      <c r="D18" s="119"/>
      <c r="E18" s="124"/>
      <c r="F18" s="119"/>
      <c r="G18" s="124"/>
      <c r="H18" s="119"/>
      <c r="I18" s="124"/>
      <c r="J18" s="119"/>
    </row>
    <row r="19" spans="1:10" ht="54.75" customHeight="1" x14ac:dyDescent="0.25">
      <c r="A19" s="70"/>
      <c r="B19" s="119"/>
      <c r="C19" s="70"/>
      <c r="D19" s="119"/>
      <c r="E19" s="124"/>
      <c r="F19" s="119"/>
      <c r="G19" s="124"/>
      <c r="H19" s="119"/>
      <c r="I19" s="124"/>
      <c r="J19" s="119"/>
    </row>
    <row r="20" spans="1:10" ht="54.75" customHeight="1" x14ac:dyDescent="0.25">
      <c r="A20" s="70"/>
      <c r="B20" s="119"/>
      <c r="C20" s="70"/>
      <c r="D20" s="119"/>
      <c r="E20" s="124"/>
      <c r="F20" s="119"/>
      <c r="G20" s="124"/>
      <c r="H20" s="119"/>
      <c r="I20" s="124"/>
      <c r="J20" s="119"/>
    </row>
    <row r="21" spans="1:10" ht="54.75" customHeight="1" x14ac:dyDescent="0.25">
      <c r="A21" s="70"/>
      <c r="B21" s="119"/>
      <c r="C21" s="70"/>
      <c r="D21" s="119"/>
      <c r="E21" s="124"/>
      <c r="F21" s="119"/>
      <c r="G21" s="124"/>
      <c r="H21" s="119"/>
      <c r="I21" s="124"/>
      <c r="J21" s="119"/>
    </row>
    <row r="22" spans="1:10" ht="54.75" customHeight="1" x14ac:dyDescent="0.25">
      <c r="A22" s="70"/>
      <c r="B22" s="119"/>
      <c r="C22" s="70"/>
      <c r="D22" s="119"/>
      <c r="E22" s="124"/>
      <c r="F22" s="119"/>
      <c r="G22" s="124"/>
      <c r="H22" s="119"/>
      <c r="I22" s="124"/>
      <c r="J22" s="119"/>
    </row>
    <row r="23" spans="1:10" ht="54.75" customHeight="1" x14ac:dyDescent="0.25">
      <c r="A23" s="70"/>
      <c r="B23" s="119"/>
      <c r="C23" s="70"/>
      <c r="D23" s="119"/>
      <c r="E23" s="124"/>
      <c r="F23" s="119"/>
      <c r="G23" s="124"/>
      <c r="H23" s="119"/>
      <c r="I23" s="124"/>
      <c r="J23" s="119"/>
    </row>
    <row r="24" spans="1:10" ht="54.75" customHeight="1" x14ac:dyDescent="0.25">
      <c r="A24" s="70"/>
      <c r="B24" s="119"/>
      <c r="C24" s="70"/>
      <c r="D24" s="119"/>
      <c r="E24" s="124"/>
      <c r="F24" s="119"/>
      <c r="G24" s="124"/>
      <c r="H24" s="119"/>
      <c r="I24" s="124"/>
      <c r="J24" s="119"/>
    </row>
    <row r="25" spans="1:10" ht="54.75" customHeight="1" x14ac:dyDescent="0.25">
      <c r="A25" s="70"/>
      <c r="B25" s="119"/>
      <c r="C25" s="70"/>
      <c r="D25" s="119"/>
      <c r="E25" s="124"/>
      <c r="F25" s="119"/>
      <c r="G25" s="124"/>
      <c r="H25" s="119"/>
      <c r="I25" s="124"/>
      <c r="J25" s="119"/>
    </row>
    <row r="26" spans="1:10" ht="54.75" customHeight="1" x14ac:dyDescent="0.25">
      <c r="A26" s="70"/>
      <c r="B26" s="119"/>
      <c r="C26" s="70"/>
      <c r="D26" s="119"/>
      <c r="E26" s="124"/>
      <c r="F26" s="119"/>
      <c r="G26" s="124"/>
      <c r="H26" s="119"/>
      <c r="I26" s="124"/>
      <c r="J26" s="119"/>
    </row>
    <row r="27" spans="1:10" ht="54.75" customHeight="1" x14ac:dyDescent="0.25">
      <c r="A27" s="70"/>
      <c r="B27" s="119"/>
      <c r="C27" s="70"/>
      <c r="D27" s="119"/>
      <c r="E27" s="124"/>
      <c r="F27" s="119"/>
      <c r="G27" s="124"/>
      <c r="H27" s="119"/>
      <c r="I27" s="124"/>
      <c r="J27" s="119"/>
    </row>
    <row r="28" spans="1:10" ht="54.75" customHeight="1" x14ac:dyDescent="0.25">
      <c r="A28" s="70"/>
      <c r="B28" s="119"/>
      <c r="C28" s="70"/>
      <c r="D28" s="119"/>
      <c r="E28" s="124"/>
      <c r="F28" s="119"/>
      <c r="G28" s="124"/>
      <c r="H28" s="119"/>
      <c r="I28" s="124"/>
      <c r="J28" s="119"/>
    </row>
    <row r="29" spans="1:10" ht="54.75" customHeight="1" x14ac:dyDescent="0.25">
      <c r="A29" s="70"/>
      <c r="B29" s="119"/>
      <c r="C29" s="70"/>
      <c r="D29" s="119"/>
      <c r="E29" s="124"/>
      <c r="F29" s="119"/>
      <c r="G29" s="124"/>
      <c r="H29" s="119"/>
      <c r="I29" s="124"/>
      <c r="J29" s="119"/>
    </row>
    <row r="30" spans="1:10" ht="54.75" customHeight="1" x14ac:dyDescent="0.25">
      <c r="A30" s="70"/>
      <c r="B30" s="119"/>
      <c r="C30" s="70"/>
      <c r="D30" s="119"/>
      <c r="E30" s="124"/>
      <c r="F30" s="119"/>
      <c r="G30" s="124"/>
      <c r="H30" s="119"/>
      <c r="I30" s="124"/>
      <c r="J30" s="119"/>
    </row>
    <row r="31" spans="1:10" ht="54.75" customHeight="1" x14ac:dyDescent="0.25">
      <c r="A31" s="70"/>
      <c r="B31" s="119"/>
      <c r="C31" s="70"/>
      <c r="D31" s="119"/>
      <c r="E31" s="124"/>
      <c r="F31" s="119"/>
      <c r="G31" s="124"/>
      <c r="H31" s="119"/>
      <c r="I31" s="124"/>
      <c r="J31" s="119"/>
    </row>
    <row r="32" spans="1:10" ht="54.75" customHeight="1" x14ac:dyDescent="0.25">
      <c r="A32" s="70"/>
      <c r="B32" s="119"/>
      <c r="C32" s="70"/>
      <c r="D32" s="119"/>
      <c r="E32" s="124"/>
      <c r="F32" s="119"/>
      <c r="G32" s="124"/>
      <c r="H32" s="119"/>
      <c r="I32" s="124"/>
      <c r="J32" s="119"/>
    </row>
    <row r="33" spans="1:10" ht="54.75" customHeight="1" x14ac:dyDescent="0.25">
      <c r="A33" s="70"/>
      <c r="B33" s="119"/>
      <c r="C33" s="70"/>
      <c r="D33" s="119"/>
      <c r="E33" s="124"/>
      <c r="F33" s="119"/>
      <c r="G33" s="124"/>
      <c r="H33" s="119"/>
      <c r="I33" s="124"/>
      <c r="J33" s="119"/>
    </row>
    <row r="34" spans="1:10" ht="54.75" customHeight="1" x14ac:dyDescent="0.25">
      <c r="A34" s="70"/>
      <c r="B34" s="119"/>
      <c r="C34" s="70"/>
      <c r="D34" s="119"/>
      <c r="E34" s="124"/>
      <c r="F34" s="119"/>
      <c r="G34" s="124"/>
      <c r="H34" s="119"/>
      <c r="I34" s="124"/>
      <c r="J34" s="119"/>
    </row>
    <row r="35" spans="1:10" ht="54.75" customHeight="1" x14ac:dyDescent="0.25">
      <c r="A35" s="70"/>
      <c r="B35" s="119"/>
      <c r="C35" s="70"/>
      <c r="D35" s="119"/>
      <c r="E35" s="124"/>
      <c r="F35" s="119"/>
      <c r="G35" s="124"/>
      <c r="H35" s="119"/>
      <c r="I35" s="124"/>
      <c r="J35" s="119"/>
    </row>
    <row r="36" spans="1:10" ht="54.75" customHeight="1" x14ac:dyDescent="0.25">
      <c r="A36" s="70"/>
      <c r="B36" s="119"/>
      <c r="C36" s="70"/>
      <c r="D36" s="119"/>
      <c r="E36" s="124"/>
      <c r="F36" s="119"/>
      <c r="G36" s="124"/>
      <c r="H36" s="119"/>
      <c r="I36" s="124"/>
      <c r="J36" s="119"/>
    </row>
    <row r="37" spans="1:10" ht="54.75" customHeight="1" x14ac:dyDescent="0.25">
      <c r="A37" s="70"/>
      <c r="B37" s="119"/>
      <c r="C37" s="70"/>
      <c r="D37" s="119"/>
      <c r="E37" s="124"/>
      <c r="F37" s="119"/>
      <c r="G37" s="124"/>
      <c r="H37" s="119"/>
      <c r="I37" s="124"/>
      <c r="J37" s="119"/>
    </row>
    <row r="38" spans="1:10" ht="54.75" customHeight="1" x14ac:dyDescent="0.25">
      <c r="A38" s="70"/>
      <c r="B38" s="119"/>
      <c r="C38" s="70"/>
      <c r="D38" s="119"/>
      <c r="E38" s="124"/>
      <c r="F38" s="119"/>
      <c r="G38" s="124"/>
      <c r="H38" s="119"/>
      <c r="I38" s="124"/>
      <c r="J38" s="119"/>
    </row>
    <row r="39" spans="1:10" ht="54.75" customHeight="1" x14ac:dyDescent="0.25">
      <c r="A39" s="70"/>
      <c r="B39" s="119"/>
      <c r="C39" s="70"/>
      <c r="D39" s="119"/>
      <c r="E39" s="124"/>
      <c r="F39" s="119"/>
      <c r="G39" s="124"/>
      <c r="H39" s="119"/>
      <c r="I39" s="124"/>
      <c r="J39" s="119"/>
    </row>
    <row r="40" spans="1:10" ht="54.75" customHeight="1" x14ac:dyDescent="0.25">
      <c r="A40" s="70"/>
      <c r="B40" s="119"/>
      <c r="C40" s="70"/>
      <c r="D40" s="119"/>
      <c r="E40" s="124"/>
      <c r="F40" s="119"/>
      <c r="G40" s="124"/>
      <c r="H40" s="119"/>
      <c r="I40" s="124"/>
      <c r="J40" s="119"/>
    </row>
    <row r="41" spans="1:10" ht="54.75" customHeight="1" x14ac:dyDescent="0.25">
      <c r="A41" s="70"/>
      <c r="B41" s="119"/>
      <c r="C41" s="70"/>
      <c r="D41" s="119"/>
      <c r="E41" s="124"/>
      <c r="F41" s="119"/>
      <c r="G41" s="124"/>
      <c r="H41" s="119"/>
      <c r="I41" s="124"/>
      <c r="J41" s="119"/>
    </row>
    <row r="42" spans="1:10" ht="54.75" customHeight="1" x14ac:dyDescent="0.25">
      <c r="A42" s="70"/>
      <c r="B42" s="119"/>
      <c r="C42" s="70"/>
      <c r="D42" s="119"/>
      <c r="E42" s="124"/>
      <c r="F42" s="119"/>
      <c r="G42" s="124"/>
      <c r="H42" s="119"/>
      <c r="I42" s="124"/>
      <c r="J42" s="119"/>
    </row>
    <row r="43" spans="1:10" ht="54.75" customHeight="1" x14ac:dyDescent="0.25">
      <c r="A43" s="70"/>
      <c r="B43" s="119"/>
      <c r="C43" s="70"/>
      <c r="D43" s="119"/>
      <c r="E43" s="124"/>
      <c r="F43" s="119"/>
      <c r="G43" s="124"/>
      <c r="H43" s="119"/>
      <c r="I43" s="124"/>
      <c r="J43" s="119"/>
    </row>
    <row r="44" spans="1:10" ht="54.75" customHeight="1" x14ac:dyDescent="0.25">
      <c r="A44" s="70"/>
      <c r="B44" s="119"/>
      <c r="C44" s="70"/>
      <c r="D44" s="119"/>
      <c r="E44" s="124"/>
      <c r="F44" s="119"/>
      <c r="G44" s="124"/>
      <c r="H44" s="119"/>
      <c r="I44" s="124"/>
      <c r="J44" s="119"/>
    </row>
    <row r="45" spans="1:10" ht="54.75" customHeight="1" x14ac:dyDescent="0.25">
      <c r="A45" s="70"/>
      <c r="B45" s="119"/>
      <c r="C45" s="70"/>
      <c r="D45" s="119"/>
      <c r="E45" s="124"/>
      <c r="F45" s="119"/>
      <c r="G45" s="124"/>
      <c r="H45" s="119"/>
      <c r="I45" s="124"/>
      <c r="J45" s="119"/>
    </row>
    <row r="46" spans="1:10" ht="54.75" customHeight="1" x14ac:dyDescent="0.25">
      <c r="A46" s="70"/>
      <c r="B46" s="119"/>
      <c r="C46" s="70"/>
      <c r="D46" s="119"/>
      <c r="E46" s="124"/>
      <c r="F46" s="119"/>
      <c r="G46" s="124"/>
      <c r="H46" s="119"/>
      <c r="I46" s="124"/>
      <c r="J46" s="119"/>
    </row>
    <row r="47" spans="1:10" ht="54.75" customHeight="1" x14ac:dyDescent="0.25">
      <c r="A47" s="70"/>
      <c r="B47" s="119"/>
      <c r="C47" s="70"/>
      <c r="D47" s="119"/>
      <c r="E47" s="124"/>
      <c r="F47" s="119"/>
      <c r="G47" s="124"/>
      <c r="H47" s="119"/>
      <c r="I47" s="124"/>
      <c r="J47" s="119"/>
    </row>
    <row r="48" spans="1:10" ht="54.75" customHeight="1" x14ac:dyDescent="0.25">
      <c r="A48" s="70"/>
      <c r="B48" s="119"/>
      <c r="C48" s="70"/>
      <c r="D48" s="119"/>
      <c r="E48" s="124"/>
      <c r="F48" s="119"/>
      <c r="G48" s="124"/>
      <c r="H48" s="119"/>
      <c r="I48" s="124"/>
      <c r="J48" s="119"/>
    </row>
    <row r="49" spans="1:10" ht="54.75" customHeight="1" x14ac:dyDescent="0.25">
      <c r="A49" s="70"/>
      <c r="B49" s="119"/>
      <c r="C49" s="70"/>
      <c r="D49" s="119"/>
      <c r="E49" s="124"/>
      <c r="F49" s="119"/>
      <c r="G49" s="124"/>
      <c r="H49" s="119"/>
      <c r="I49" s="124"/>
      <c r="J49" s="119"/>
    </row>
    <row r="50" spans="1:10" ht="54.75" customHeight="1" x14ac:dyDescent="0.25">
      <c r="A50" s="70"/>
      <c r="B50" s="119"/>
      <c r="C50" s="70"/>
      <c r="D50" s="119"/>
      <c r="E50" s="124"/>
      <c r="F50" s="119"/>
      <c r="G50" s="124"/>
      <c r="H50" s="119"/>
      <c r="I50" s="124"/>
      <c r="J50" s="119"/>
    </row>
    <row r="51" spans="1:10" ht="54.75" customHeight="1" x14ac:dyDescent="0.25">
      <c r="A51" s="70"/>
      <c r="B51" s="119"/>
      <c r="C51" s="70"/>
      <c r="D51" s="119"/>
      <c r="E51" s="124"/>
      <c r="F51" s="119"/>
      <c r="G51" s="124"/>
      <c r="H51" s="119"/>
      <c r="I51" s="124"/>
      <c r="J51" s="119"/>
    </row>
    <row r="52" spans="1:10" ht="54.75" customHeight="1" x14ac:dyDescent="0.25">
      <c r="A52" s="70"/>
      <c r="B52" s="119"/>
      <c r="C52" s="70"/>
      <c r="D52" s="119"/>
      <c r="E52" s="124"/>
      <c r="F52" s="119"/>
      <c r="G52" s="124"/>
      <c r="H52" s="119"/>
      <c r="I52" s="124"/>
      <c r="J52" s="119"/>
    </row>
    <row r="53" spans="1:10" ht="54.75" customHeight="1" x14ac:dyDescent="0.25">
      <c r="A53" s="70"/>
      <c r="B53" s="119"/>
      <c r="C53" s="70"/>
      <c r="D53" s="119"/>
      <c r="E53" s="124"/>
      <c r="F53" s="119"/>
      <c r="G53" s="124"/>
      <c r="H53" s="119"/>
      <c r="I53" s="124"/>
      <c r="J53" s="119"/>
    </row>
    <row r="54" spans="1:10" ht="54.75" customHeight="1" x14ac:dyDescent="0.25">
      <c r="A54" s="70"/>
      <c r="B54" s="119"/>
      <c r="C54" s="70"/>
      <c r="D54" s="119"/>
      <c r="E54" s="124"/>
      <c r="F54" s="119"/>
      <c r="G54" s="124"/>
      <c r="H54" s="119"/>
      <c r="I54" s="124"/>
      <c r="J54" s="119"/>
    </row>
    <row r="55" spans="1:10" ht="54.75" customHeight="1" x14ac:dyDescent="0.25">
      <c r="A55" s="70"/>
      <c r="B55" s="119"/>
      <c r="C55" s="70"/>
      <c r="D55" s="119"/>
      <c r="E55" s="124"/>
      <c r="F55" s="119"/>
      <c r="G55" s="124"/>
      <c r="H55" s="119"/>
      <c r="I55" s="124"/>
      <c r="J55" s="119"/>
    </row>
    <row r="56" spans="1:10" ht="54.75" customHeight="1" x14ac:dyDescent="0.25">
      <c r="A56" s="70"/>
      <c r="B56" s="119"/>
      <c r="C56" s="70"/>
      <c r="D56" s="119"/>
      <c r="E56" s="124"/>
      <c r="F56" s="119"/>
      <c r="G56" s="124"/>
      <c r="H56" s="119"/>
      <c r="I56" s="124"/>
      <c r="J56" s="119"/>
    </row>
    <row r="57" spans="1:10" ht="54.75" customHeight="1" x14ac:dyDescent="0.25">
      <c r="A57" s="70"/>
      <c r="B57" s="119"/>
      <c r="C57" s="70"/>
      <c r="D57" s="119"/>
      <c r="E57" s="124"/>
      <c r="F57" s="119"/>
      <c r="G57" s="124"/>
      <c r="H57" s="119"/>
      <c r="I57" s="124"/>
      <c r="J57" s="119"/>
    </row>
    <row r="58" spans="1:10" ht="54.75" customHeight="1" x14ac:dyDescent="0.25">
      <c r="A58" s="70"/>
      <c r="B58" s="119"/>
      <c r="C58" s="70"/>
      <c r="D58" s="119"/>
      <c r="E58" s="124"/>
      <c r="F58" s="119"/>
      <c r="G58" s="124"/>
      <c r="H58" s="119"/>
      <c r="I58" s="124"/>
      <c r="J58" s="119"/>
    </row>
    <row r="59" spans="1:10" ht="54.75" customHeight="1" x14ac:dyDescent="0.25">
      <c r="A59" s="70"/>
      <c r="B59" s="119"/>
      <c r="C59" s="70"/>
      <c r="D59" s="119"/>
      <c r="E59" s="124"/>
      <c r="F59" s="119"/>
      <c r="G59" s="124"/>
      <c r="H59" s="119"/>
      <c r="I59" s="124"/>
      <c r="J59" s="119"/>
    </row>
    <row r="60" spans="1:10" ht="54.75" customHeight="1" x14ac:dyDescent="0.25">
      <c r="A60" s="70"/>
      <c r="B60" s="119"/>
      <c r="C60" s="70"/>
      <c r="D60" s="119"/>
      <c r="E60" s="124"/>
      <c r="F60" s="119"/>
      <c r="G60" s="124"/>
      <c r="H60" s="119"/>
      <c r="I60" s="124"/>
      <c r="J60" s="119"/>
    </row>
    <row r="61" spans="1:10" ht="54.75" customHeight="1" x14ac:dyDescent="0.25">
      <c r="A61" s="70"/>
      <c r="B61" s="119"/>
      <c r="C61" s="70"/>
      <c r="D61" s="119"/>
      <c r="E61" s="124"/>
      <c r="F61" s="119"/>
      <c r="G61" s="124"/>
      <c r="H61" s="119"/>
      <c r="I61" s="124"/>
      <c r="J61" s="119"/>
    </row>
    <row r="62" spans="1:10" ht="54.75" customHeight="1" x14ac:dyDescent="0.25">
      <c r="A62" s="70"/>
      <c r="B62" s="119"/>
      <c r="C62" s="70"/>
      <c r="D62" s="119"/>
      <c r="E62" s="124"/>
      <c r="F62" s="119"/>
      <c r="G62" s="124"/>
      <c r="H62" s="119"/>
      <c r="I62" s="124"/>
      <c r="J62" s="119"/>
    </row>
    <row r="63" spans="1:10" x14ac:dyDescent="0.25">
      <c r="A63" s="70"/>
      <c r="B63" s="119"/>
      <c r="C63" s="70"/>
      <c r="D63" s="119"/>
      <c r="E63" s="124"/>
      <c r="F63" s="119"/>
      <c r="G63" s="124"/>
      <c r="H63" s="119"/>
      <c r="I63" s="124"/>
      <c r="J63" s="119"/>
    </row>
    <row r="64" spans="1:10" x14ac:dyDescent="0.25">
      <c r="A64" s="70"/>
      <c r="B64" s="119"/>
      <c r="C64" s="70"/>
      <c r="D64" s="119"/>
      <c r="E64" s="124"/>
      <c r="F64" s="119"/>
      <c r="G64" s="124"/>
      <c r="H64" s="119"/>
      <c r="I64" s="124"/>
      <c r="J64" s="119"/>
    </row>
    <row r="65" spans="1:10" x14ac:dyDescent="0.25">
      <c r="A65" s="70"/>
      <c r="B65" s="119"/>
      <c r="C65" s="70"/>
      <c r="D65" s="119"/>
      <c r="E65" s="124"/>
      <c r="F65" s="119"/>
      <c r="G65" s="124"/>
      <c r="H65" s="119"/>
      <c r="I65" s="124"/>
      <c r="J65" s="119"/>
    </row>
    <row r="66" spans="1:10" x14ac:dyDescent="0.25">
      <c r="A66" s="70"/>
      <c r="B66" s="119"/>
      <c r="C66" s="70"/>
      <c r="D66" s="119"/>
      <c r="E66" s="124"/>
      <c r="F66" s="119"/>
      <c r="G66" s="124"/>
      <c r="H66" s="119"/>
      <c r="I66" s="124"/>
      <c r="J66" s="119"/>
    </row>
    <row r="67" spans="1:10" x14ac:dyDescent="0.25">
      <c r="A67" s="70"/>
      <c r="B67" s="119"/>
      <c r="C67" s="70"/>
      <c r="D67" s="119"/>
      <c r="E67" s="124"/>
      <c r="F67" s="119"/>
      <c r="G67" s="124"/>
      <c r="H67" s="119"/>
      <c r="I67" s="124"/>
      <c r="J67" s="119"/>
    </row>
    <row r="68" spans="1:10" x14ac:dyDescent="0.25">
      <c r="A68" s="70"/>
      <c r="B68" s="119"/>
      <c r="C68" s="70"/>
      <c r="D68" s="119"/>
      <c r="E68" s="124"/>
      <c r="F68" s="119"/>
      <c r="G68" s="124"/>
      <c r="H68" s="119"/>
      <c r="I68" s="124"/>
      <c r="J68" s="119"/>
    </row>
    <row r="69" spans="1:10" x14ac:dyDescent="0.25">
      <c r="A69" s="70"/>
      <c r="B69" s="119"/>
      <c r="C69" s="70"/>
      <c r="D69" s="119"/>
      <c r="E69" s="124"/>
      <c r="F69" s="119"/>
      <c r="G69" s="124"/>
      <c r="H69" s="119"/>
      <c r="I69" s="124"/>
      <c r="J69" s="119"/>
    </row>
    <row r="70" spans="1:10" x14ac:dyDescent="0.25">
      <c r="A70" s="70"/>
      <c r="B70" s="119"/>
      <c r="C70" s="70"/>
      <c r="D70" s="119"/>
      <c r="E70" s="124"/>
      <c r="F70" s="119"/>
      <c r="G70" s="124"/>
      <c r="H70" s="119"/>
      <c r="I70" s="124"/>
      <c r="J70" s="119"/>
    </row>
    <row r="71" spans="1:10" x14ac:dyDescent="0.25">
      <c r="A71" s="70"/>
      <c r="B71" s="119"/>
      <c r="C71" s="70"/>
      <c r="D71" s="119"/>
      <c r="E71" s="124"/>
      <c r="F71" s="119"/>
      <c r="G71" s="124"/>
      <c r="H71" s="119"/>
      <c r="I71" s="124"/>
      <c r="J71" s="119"/>
    </row>
    <row r="72" spans="1:10" x14ac:dyDescent="0.25">
      <c r="A72" s="70"/>
      <c r="B72" s="119"/>
      <c r="C72" s="70"/>
      <c r="D72" s="119"/>
      <c r="E72" s="124"/>
      <c r="F72" s="119"/>
      <c r="G72" s="124"/>
      <c r="H72" s="119"/>
      <c r="I72" s="124"/>
      <c r="J72" s="119"/>
    </row>
    <row r="73" spans="1:10" x14ac:dyDescent="0.25">
      <c r="A73" s="70"/>
      <c r="B73" s="119"/>
      <c r="C73" s="70"/>
      <c r="D73" s="119"/>
      <c r="E73" s="124"/>
      <c r="F73" s="119"/>
      <c r="G73" s="124"/>
      <c r="H73" s="119"/>
      <c r="I73" s="124"/>
      <c r="J73" s="119"/>
    </row>
    <row r="74" spans="1:10" x14ac:dyDescent="0.25">
      <c r="A74" s="70"/>
      <c r="B74" s="119"/>
      <c r="C74" s="70"/>
      <c r="D74" s="119"/>
      <c r="E74" s="124"/>
      <c r="F74" s="119"/>
      <c r="G74" s="124"/>
      <c r="H74" s="119"/>
      <c r="I74" s="124"/>
      <c r="J74" s="119"/>
    </row>
    <row r="75" spans="1:10" x14ac:dyDescent="0.25">
      <c r="A75" s="70"/>
      <c r="B75" s="119"/>
      <c r="C75" s="70"/>
      <c r="D75" s="119"/>
      <c r="E75" s="124"/>
      <c r="F75" s="119"/>
      <c r="G75" s="124"/>
      <c r="H75" s="119"/>
      <c r="I75" s="124"/>
      <c r="J75" s="119"/>
    </row>
    <row r="76" spans="1:10" x14ac:dyDescent="0.25">
      <c r="A76" s="70"/>
      <c r="B76" s="119"/>
      <c r="C76" s="70"/>
      <c r="D76" s="119"/>
      <c r="E76" s="124"/>
      <c r="F76" s="119"/>
      <c r="G76" s="124"/>
      <c r="H76" s="119"/>
      <c r="I76" s="124"/>
      <c r="J76" s="119"/>
    </row>
    <row r="77" spans="1:10" x14ac:dyDescent="0.25">
      <c r="A77" s="70"/>
      <c r="B77" s="119"/>
      <c r="C77" s="70"/>
      <c r="D77" s="119"/>
      <c r="E77" s="124"/>
      <c r="F77" s="119"/>
      <c r="G77" s="124"/>
      <c r="H77" s="119"/>
      <c r="I77" s="124"/>
      <c r="J77" s="119"/>
    </row>
    <row r="78" spans="1:10" x14ac:dyDescent="0.25">
      <c r="A78" s="70"/>
      <c r="B78" s="119"/>
      <c r="C78" s="70"/>
      <c r="D78" s="119"/>
      <c r="E78" s="124"/>
      <c r="F78" s="119"/>
      <c r="G78" s="124"/>
      <c r="H78" s="119"/>
      <c r="I78" s="124"/>
      <c r="J78" s="119"/>
    </row>
    <row r="79" spans="1:10" x14ac:dyDescent="0.25">
      <c r="A79" s="70"/>
      <c r="B79" s="119"/>
      <c r="C79" s="70"/>
      <c r="D79" s="119"/>
      <c r="E79" s="124"/>
      <c r="F79" s="119"/>
      <c r="G79" s="124"/>
      <c r="H79" s="119"/>
      <c r="I79" s="124"/>
      <c r="J79" s="119"/>
    </row>
    <row r="80" spans="1:10" x14ac:dyDescent="0.25">
      <c r="A80" s="70"/>
      <c r="B80" s="119"/>
      <c r="C80" s="70"/>
      <c r="D80" s="119"/>
      <c r="E80" s="124"/>
      <c r="F80" s="119"/>
      <c r="G80" s="124"/>
      <c r="H80" s="119"/>
      <c r="I80" s="124"/>
      <c r="J80" s="119"/>
    </row>
    <row r="81" spans="1:10" x14ac:dyDescent="0.25">
      <c r="A81" s="70"/>
      <c r="B81" s="119"/>
      <c r="C81" s="70"/>
      <c r="D81" s="119"/>
      <c r="E81" s="124"/>
      <c r="F81" s="119"/>
      <c r="G81" s="124"/>
      <c r="H81" s="119"/>
      <c r="I81" s="124"/>
      <c r="J81" s="119"/>
    </row>
    <row r="82" spans="1:10" x14ac:dyDescent="0.25">
      <c r="A82" s="70"/>
      <c r="B82" s="119"/>
      <c r="C82" s="70"/>
      <c r="D82" s="119"/>
      <c r="E82" s="124"/>
      <c r="F82" s="119"/>
      <c r="G82" s="124"/>
      <c r="H82" s="119"/>
      <c r="I82" s="124"/>
      <c r="J82" s="119"/>
    </row>
    <row r="83" spans="1:10" x14ac:dyDescent="0.25">
      <c r="A83" s="70"/>
      <c r="B83" s="119"/>
      <c r="C83" s="70"/>
      <c r="D83" s="119"/>
      <c r="E83" s="124"/>
      <c r="F83" s="119"/>
      <c r="G83" s="124"/>
      <c r="H83" s="119"/>
      <c r="I83" s="124"/>
      <c r="J83" s="119"/>
    </row>
    <row r="84" spans="1:10" x14ac:dyDescent="0.25">
      <c r="A84" s="70"/>
      <c r="B84" s="119"/>
      <c r="C84" s="70"/>
      <c r="D84" s="119"/>
      <c r="E84" s="124"/>
      <c r="F84" s="119"/>
      <c r="G84" s="124"/>
      <c r="H84" s="119"/>
      <c r="I84" s="124"/>
      <c r="J84" s="119"/>
    </row>
    <row r="85" spans="1:10" x14ac:dyDescent="0.25">
      <c r="A85" s="70"/>
      <c r="B85" s="119"/>
      <c r="C85" s="70"/>
      <c r="D85" s="119"/>
      <c r="E85" s="124"/>
      <c r="F85" s="119"/>
      <c r="G85" s="124"/>
      <c r="H85" s="119"/>
      <c r="I85" s="124"/>
      <c r="J85" s="119"/>
    </row>
    <row r="86" spans="1:10" x14ac:dyDescent="0.25">
      <c r="A86" s="70"/>
      <c r="B86" s="119"/>
      <c r="C86" s="70"/>
      <c r="D86" s="119"/>
      <c r="E86" s="124"/>
      <c r="F86" s="119"/>
      <c r="G86" s="124"/>
      <c r="H86" s="119"/>
      <c r="I86" s="124"/>
      <c r="J86" s="119"/>
    </row>
    <row r="87" spans="1:10" x14ac:dyDescent="0.25">
      <c r="A87" s="70"/>
      <c r="B87" s="119"/>
      <c r="C87" s="70"/>
      <c r="D87" s="119"/>
      <c r="E87" s="124"/>
      <c r="F87" s="119"/>
      <c r="G87" s="124"/>
      <c r="H87" s="119"/>
      <c r="I87" s="124"/>
      <c r="J87" s="119"/>
    </row>
    <row r="88" spans="1:10" x14ac:dyDescent="0.25">
      <c r="A88" s="70"/>
      <c r="B88" s="119"/>
      <c r="C88" s="70"/>
      <c r="D88" s="119"/>
      <c r="E88" s="124"/>
      <c r="F88" s="119"/>
      <c r="G88" s="124"/>
      <c r="H88" s="119"/>
      <c r="I88" s="124"/>
      <c r="J88" s="119"/>
    </row>
    <row r="89" spans="1:10" x14ac:dyDescent="0.25">
      <c r="A89" s="70"/>
      <c r="B89" s="119"/>
      <c r="C89" s="70"/>
      <c r="D89" s="119"/>
      <c r="E89" s="124"/>
      <c r="F89" s="119"/>
      <c r="G89" s="124"/>
      <c r="H89" s="119"/>
      <c r="I89" s="124"/>
      <c r="J89" s="119"/>
    </row>
    <row r="90" spans="1:10" x14ac:dyDescent="0.25">
      <c r="A90" s="70"/>
      <c r="B90" s="119"/>
      <c r="C90" s="70"/>
      <c r="D90" s="119"/>
      <c r="E90" s="124"/>
      <c r="F90" s="119"/>
      <c r="G90" s="124"/>
      <c r="H90" s="119"/>
      <c r="I90" s="124"/>
      <c r="J90" s="119"/>
    </row>
    <row r="91" spans="1:10" x14ac:dyDescent="0.25">
      <c r="A91" s="70"/>
      <c r="B91" s="119"/>
      <c r="C91" s="70"/>
      <c r="D91" s="119"/>
      <c r="E91" s="124"/>
      <c r="F91" s="119"/>
      <c r="G91" s="124"/>
      <c r="H91" s="119"/>
      <c r="I91" s="124"/>
      <c r="J91" s="119"/>
    </row>
    <row r="92" spans="1:10" x14ac:dyDescent="0.25">
      <c r="A92" s="70"/>
      <c r="B92" s="119"/>
      <c r="C92" s="70"/>
      <c r="D92" s="119"/>
      <c r="E92" s="124"/>
      <c r="F92" s="119"/>
      <c r="G92" s="124"/>
      <c r="H92" s="119"/>
      <c r="I92" s="124"/>
      <c r="J92" s="119"/>
    </row>
    <row r="93" spans="1:10" x14ac:dyDescent="0.25">
      <c r="A93" s="70"/>
      <c r="B93" s="119"/>
      <c r="C93" s="70"/>
      <c r="D93" s="119"/>
      <c r="E93" s="124"/>
      <c r="F93" s="119"/>
      <c r="G93" s="124"/>
      <c r="H93" s="119"/>
      <c r="I93" s="124"/>
      <c r="J93" s="119"/>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8"/>
  <sheetViews>
    <sheetView workbookViewId="0">
      <selection activeCell="E41" sqref="E41"/>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168" t="s">
        <v>145</v>
      </c>
      <c r="E1" s="168"/>
      <c r="F1" s="168"/>
      <c r="G1" s="168"/>
      <c r="H1" s="168"/>
      <c r="I1" s="168"/>
      <c r="J1" s="168"/>
      <c r="K1" s="170"/>
      <c r="L1" s="177" t="s">
        <v>198</v>
      </c>
      <c r="M1" s="178"/>
      <c r="N1" s="176" t="s">
        <v>163</v>
      </c>
      <c r="O1" s="176"/>
      <c r="P1" s="176"/>
      <c r="Q1" s="176"/>
      <c r="R1" s="176"/>
      <c r="S1" s="25"/>
    </row>
    <row r="2" spans="1:24" x14ac:dyDescent="0.25">
      <c r="B2" s="50" t="s">
        <v>146</v>
      </c>
      <c r="C2" s="50" t="s">
        <v>62</v>
      </c>
      <c r="D2" s="163" t="s">
        <v>151</v>
      </c>
      <c r="E2" s="163"/>
      <c r="F2" s="163" t="s">
        <v>149</v>
      </c>
      <c r="G2" s="163"/>
      <c r="H2" s="163" t="s">
        <v>150</v>
      </c>
      <c r="I2" s="163"/>
      <c r="J2" s="163" t="s">
        <v>159</v>
      </c>
      <c r="K2" s="164"/>
      <c r="L2" s="179"/>
      <c r="M2" s="180"/>
      <c r="N2" s="29" t="s">
        <v>35</v>
      </c>
      <c r="O2" s="30" t="s">
        <v>51</v>
      </c>
      <c r="P2" s="29" t="s">
        <v>52</v>
      </c>
      <c r="Q2" s="30" t="s">
        <v>53</v>
      </c>
      <c r="R2" s="29" t="s">
        <v>54</v>
      </c>
    </row>
    <row r="3" spans="1:24" x14ac:dyDescent="0.25">
      <c r="B3" s="28">
        <v>1</v>
      </c>
      <c r="C3" s="53">
        <v>1</v>
      </c>
      <c r="D3" s="165" t="s">
        <v>122</v>
      </c>
      <c r="E3" s="165"/>
      <c r="F3" s="161" t="s">
        <v>127</v>
      </c>
      <c r="G3" s="161"/>
      <c r="H3" s="165" t="s">
        <v>133</v>
      </c>
      <c r="I3" s="165"/>
      <c r="J3" s="165" t="s">
        <v>134</v>
      </c>
      <c r="K3" s="166"/>
      <c r="L3" s="179"/>
      <c r="M3" s="180"/>
      <c r="N3" s="33">
        <v>1</v>
      </c>
      <c r="O3" s="33">
        <v>3</v>
      </c>
      <c r="P3" s="33">
        <v>5</v>
      </c>
      <c r="Q3" s="33">
        <v>7</v>
      </c>
      <c r="R3" s="33">
        <v>9</v>
      </c>
      <c r="S3" s="158" t="s">
        <v>164</v>
      </c>
      <c r="T3" s="159"/>
      <c r="U3" s="159"/>
      <c r="V3" s="159"/>
      <c r="W3" s="159"/>
      <c r="X3" s="159"/>
    </row>
    <row r="4" spans="1:24" s="24" customFormat="1" x14ac:dyDescent="0.25">
      <c r="B4" s="28">
        <v>2</v>
      </c>
      <c r="C4" s="54">
        <f>$C$3+2</f>
        <v>3</v>
      </c>
      <c r="D4" s="165" t="s">
        <v>123</v>
      </c>
      <c r="E4" s="165"/>
      <c r="F4" s="161" t="s">
        <v>128</v>
      </c>
      <c r="G4" s="161"/>
      <c r="H4" s="165" t="s">
        <v>135</v>
      </c>
      <c r="I4" s="165"/>
      <c r="J4" s="165" t="s">
        <v>136</v>
      </c>
      <c r="K4" s="166"/>
      <c r="L4" s="181"/>
      <c r="M4" s="18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165" t="s">
        <v>124</v>
      </c>
      <c r="E5" s="165"/>
      <c r="F5" s="161" t="s">
        <v>129</v>
      </c>
      <c r="G5" s="161"/>
      <c r="H5" s="165" t="s">
        <v>138</v>
      </c>
      <c r="I5" s="165"/>
      <c r="J5" s="165" t="s">
        <v>137</v>
      </c>
      <c r="K5" s="166"/>
      <c r="L5" s="183" t="s">
        <v>108</v>
      </c>
      <c r="M5" s="31" t="s">
        <v>6</v>
      </c>
      <c r="N5" s="34">
        <f>MAIN!$D$2+(MAIN!$C$18+MAIN!$C$19)/2*MAIN!$B$9+(MAIN!$C$20+MAIN!$C$21)/2*MAIN!$B$8+(MAIN!$C$47*MAIN!$B$11)+($N$3*MAIN!$B$10)</f>
        <v>502</v>
      </c>
      <c r="O5" s="35">
        <f>MAIN!$D$3+(MAIN!$C$18+MAIN!$C$19)/2*MAIN!$B$9+(MAIN!$C$20+MAIN!$C$21)/2*MAIN!$B$8+(MAIN!$C$47*MAIN!$B$11)+($N$3*MAIN!$B$10)</f>
        <v>504</v>
      </c>
      <c r="P5" s="34">
        <f>MAIN!$D$4+(MAIN!$C$18+MAIN!$C$19)/2*MAIN!$B$9+(MAIN!$C$20+MAIN!$C$21)/2*MAIN!$B$8+(MAIN!$C$47*MAIN!$B$11)+($N$3*MAIN!$B$10)</f>
        <v>508</v>
      </c>
      <c r="Q5" s="35">
        <f>MAIN!$D$5+(MAIN!$C$18+MAIN!$C$19)/2*MAIN!$B$9+(MAIN!$C$20+MAIN!$C$21)/2*MAIN!$B$8+(MAIN!$C$47*MAIN!$B$11)+($N$3*MAIN!$B$10)</f>
        <v>516</v>
      </c>
      <c r="R5" s="34">
        <f>MAIN!$D$6+(MAIN!$C$18+MAIN!$C$19)/2*MAIN!$B$9+(MAIN!$C$20+MAIN!$C$21)/2*MAIN!$B$8+(MAIN!$C$47*MAIN!$B$11)+($N$3*MAIN!$B$10)</f>
        <v>532</v>
      </c>
      <c r="S5" s="44" t="s">
        <v>35</v>
      </c>
      <c r="T5" s="46">
        <f>SUM($N$5:$N$9)</f>
        <v>2526</v>
      </c>
      <c r="U5" s="46">
        <f>SUM($O$5:$O$9)</f>
        <v>2552</v>
      </c>
      <c r="V5" s="46">
        <f>SUM($P$5:$P$9)</f>
        <v>2604</v>
      </c>
      <c r="W5" s="46">
        <f>SUM($Q$5:$Q$9)</f>
        <v>2708</v>
      </c>
      <c r="X5" s="46">
        <f>SUM($R$5:$R$9)</f>
        <v>2916</v>
      </c>
    </row>
    <row r="6" spans="1:24" s="13" customFormat="1" ht="15" customHeight="1" x14ac:dyDescent="0.25">
      <c r="B6" s="43">
        <v>4</v>
      </c>
      <c r="C6" s="56">
        <f>$C$5+2</f>
        <v>7</v>
      </c>
      <c r="D6" s="165" t="s">
        <v>126</v>
      </c>
      <c r="E6" s="165"/>
      <c r="F6" s="161" t="s">
        <v>130</v>
      </c>
      <c r="G6" s="161"/>
      <c r="H6" s="165" t="s">
        <v>139</v>
      </c>
      <c r="I6" s="165"/>
      <c r="J6" s="165" t="s">
        <v>140</v>
      </c>
      <c r="K6" s="166"/>
      <c r="L6" s="184"/>
      <c r="M6" s="32" t="s">
        <v>113</v>
      </c>
      <c r="N6" s="36">
        <f>MAIN!$F$2+(MAIN!$C$18+MAIN!$C$19)/2*MAIN!$B$9+(MAIN!$C$20+MAIN!$C$21)/2*MAIN!$B$8+(MAIN!$C$58*MAIN!$B$11)+($N$3*MAIN!$B$10)</f>
        <v>505</v>
      </c>
      <c r="O6" s="36">
        <f>MAIN!$G$2+(MAIN!$C$18+MAIN!$C$19)/2*MAIN!$B$9+(MAIN!$C$20+MAIN!$C$21)/2*MAIN!$B$8+(MAIN!$C$58*MAIN!$B$11)+($N$3*MAIN!$B$10)</f>
        <v>510</v>
      </c>
      <c r="P6" s="36">
        <f>MAIN!$H$2+(MAIN!$C$18+MAIN!$C$19)/2*MAIN!$B$9+(MAIN!$C$20+MAIN!$C$21)/2*MAIN!$B$8+(MAIN!$C$58*MAIN!$B$11)+($N$3*MAIN!$B$10)</f>
        <v>520</v>
      </c>
      <c r="Q6" s="36">
        <f>MAIN!$I$2+(MAIN!$C$18+MAIN!$C$19)/2*MAIN!$B$9+(MAIN!$C$20+MAIN!$C$21)/2*MAIN!$B$8+(MAIN!$C$58*MAIN!$B$11)+($N$3*MAIN!$B$10)</f>
        <v>540</v>
      </c>
      <c r="R6" s="36">
        <f>MAIN!$J$2+(MAIN!$C$18+MAIN!$C$19)/2*MAIN!$B$9+(MAIN!$C$20+MAIN!$C$21)/2*MAIN!$B$8+(MAIN!$C$58*MAIN!$B$11)+($N$3*MAIN!$B$10)</f>
        <v>580</v>
      </c>
      <c r="S6" s="44" t="s">
        <v>51</v>
      </c>
      <c r="T6" s="46">
        <f>SUM($N$10:$N$14)</f>
        <v>10676</v>
      </c>
      <c r="U6" s="46">
        <f>SUM($O$10:$O$14)</f>
        <v>10702</v>
      </c>
      <c r="V6" s="46">
        <f>SUM($P$10:$P$14)</f>
        <v>10754</v>
      </c>
      <c r="W6" s="46">
        <f>SUM($Q$10:$Q$14)</f>
        <v>10858</v>
      </c>
      <c r="X6" s="46">
        <f>SUM($R$10:$R$14)</f>
        <v>11066</v>
      </c>
    </row>
    <row r="7" spans="1:24" s="13" customFormat="1" ht="15" customHeight="1" x14ac:dyDescent="0.25">
      <c r="A7" s="48"/>
      <c r="B7" s="43">
        <v>5</v>
      </c>
      <c r="C7" s="57">
        <f>$C$6+2</f>
        <v>9</v>
      </c>
      <c r="D7" s="165" t="s">
        <v>125</v>
      </c>
      <c r="E7" s="165"/>
      <c r="F7" s="161" t="s">
        <v>131</v>
      </c>
      <c r="G7" s="161"/>
      <c r="H7" s="165" t="s">
        <v>141</v>
      </c>
      <c r="I7" s="165"/>
      <c r="J7" s="165" t="s">
        <v>142</v>
      </c>
      <c r="K7" s="166"/>
      <c r="L7" s="184"/>
      <c r="M7" s="31" t="s">
        <v>114</v>
      </c>
      <c r="N7" s="34">
        <f>MAIN!$F$3+(MAIN!$C$18+MAIN!$C$19)/2*MAIN!$B$9+(MAIN!$C$20+MAIN!$C$21)/2*MAIN!$B$8+(MAIN!$C$69*MAIN!$B$11)+($N$3*MAIN!$B$10)</f>
        <v>508</v>
      </c>
      <c r="O7" s="35">
        <f>MAIN!$G$3+(MAIN!$C$18+MAIN!$C$19)/2*MAIN!$B$9+(MAIN!$C$20+MAIN!$C$21)/2*MAIN!$B$8+(MAIN!$C$69*MAIN!$B$11)+($N$3*MAIN!$B$10)</f>
        <v>516</v>
      </c>
      <c r="P7" s="34">
        <f>MAIN!$H$3+(MAIN!$C$18+MAIN!$C$19)/2*MAIN!$B$9+(MAIN!$C$20+MAIN!$C$21)/2*MAIN!$B$8+(MAIN!$C$69*MAIN!$B$11)+($N$3*MAIN!$B$10)</f>
        <v>532</v>
      </c>
      <c r="Q7" s="35">
        <f>MAIN!$I$3+(MAIN!$C$18+MAIN!$C$19)/2*MAIN!$B$9+(MAIN!$C$20+MAIN!$C$21)/2*MAIN!$B$8+(MAIN!$C$69*MAIN!$B$11)+($N$3*MAIN!$B$10)</f>
        <v>564</v>
      </c>
      <c r="R7" s="34">
        <f>MAIN!$J$3+(MAIN!$C$18+MAIN!$C$19)/2*MAIN!$B$9+(MAIN!$C$20+MAIN!$C$21)/2*MAIN!$B$8+(MAIN!$C$69*MAIN!$B$11)+($N$3*MAIN!$B$10)</f>
        <v>628</v>
      </c>
      <c r="S7" s="45" t="s">
        <v>52</v>
      </c>
      <c r="T7" s="46">
        <f>SUM($N$15:$N$19)</f>
        <v>19476</v>
      </c>
      <c r="U7" s="46">
        <f>SUM($O$15:$O$19)</f>
        <v>19502</v>
      </c>
      <c r="V7" s="46">
        <f>SUM($P$15:$P$19)</f>
        <v>19554</v>
      </c>
      <c r="W7" s="46">
        <f>SUM($Q$15:$Q$19)</f>
        <v>19658</v>
      </c>
      <c r="X7" s="46">
        <f>SUM($R$15:$R$19)</f>
        <v>19866</v>
      </c>
    </row>
    <row r="8" spans="1:24" s="13" customFormat="1" ht="15" customHeight="1" x14ac:dyDescent="0.25">
      <c r="A8" s="48"/>
      <c r="B8" s="43">
        <v>6</v>
      </c>
      <c r="C8" s="58">
        <f>$C$7+2</f>
        <v>11</v>
      </c>
      <c r="D8" s="165" t="s">
        <v>590</v>
      </c>
      <c r="E8" s="165"/>
      <c r="F8" s="161" t="s">
        <v>132</v>
      </c>
      <c r="G8" s="161"/>
      <c r="H8" s="165" t="s">
        <v>143</v>
      </c>
      <c r="I8" s="165"/>
      <c r="J8" s="165" t="s">
        <v>144</v>
      </c>
      <c r="K8" s="166"/>
      <c r="L8" s="184"/>
      <c r="M8" s="32" t="s">
        <v>115</v>
      </c>
      <c r="N8" s="36">
        <f>MAIN!$F$4+(MAIN!$C$18+MAIN!$C$19)/2*MAIN!$B$9+(MAIN!$C$20+MAIN!$C$21)/2*MAIN!$B$8+(MAIN!$C$80*MAIN!$B$11)+($N$3*MAIN!$B$10)</f>
        <v>507</v>
      </c>
      <c r="O8" s="36">
        <f>MAIN!$G$4+(MAIN!$C$18+MAIN!$C$19)/2*MAIN!$B$9+(MAIN!$C$20+MAIN!$C$21)/2*MAIN!$B$8+(MAIN!$C$80*MAIN!$B$11)+($N$3*MAIN!$B$10)</f>
        <v>514</v>
      </c>
      <c r="P8" s="36">
        <f>MAIN!$H$4+(MAIN!$C$18+MAIN!$C$19)/2*MAIN!$B$9+(MAIN!$C$20+MAIN!$C$21)/2*MAIN!$B$8+(MAIN!$C$80*MAIN!$B$11)+($N$3*MAIN!$B$10)</f>
        <v>528</v>
      </c>
      <c r="Q8" s="36">
        <f>MAIN!$I$4+(MAIN!$C$18+MAIN!$C$19)/2*MAIN!$B$9+(MAIN!$C$20+MAIN!$C$21)/2*MAIN!$B$8+(MAIN!$C$80*MAIN!$B$11)+($N$3*MAIN!$B$10)</f>
        <v>556</v>
      </c>
      <c r="R8" s="36">
        <f>MAIN!$J$4+(MAIN!$C$18+MAIN!$C$19)/2*MAIN!$B$9+(MAIN!$C$20+MAIN!$C$21)/2*MAIN!$B$8+(MAIN!$C$80*MAIN!$B$11)+($N$3*MAIN!$B$10)</f>
        <v>612</v>
      </c>
      <c r="S8" s="45" t="s">
        <v>53</v>
      </c>
      <c r="T8" s="46">
        <f>SUM($N$20:$N$24)</f>
        <v>28276</v>
      </c>
      <c r="U8" s="46">
        <f>SUM($O$20:$O$24)</f>
        <v>28302</v>
      </c>
      <c r="V8" s="46">
        <f>SUM($P$20:$P$24)</f>
        <v>28354</v>
      </c>
      <c r="W8" s="46">
        <f>SUM($Q$20:$Q$24)</f>
        <v>28458</v>
      </c>
      <c r="X8" s="46">
        <f>SUM($R$20:$R$24)</f>
        <v>28666</v>
      </c>
    </row>
    <row r="9" spans="1:24" s="13" customFormat="1" ht="15" customHeight="1" x14ac:dyDescent="0.25">
      <c r="D9" s="168" t="s">
        <v>162</v>
      </c>
      <c r="E9" s="168"/>
      <c r="F9" s="168"/>
      <c r="G9" s="168"/>
      <c r="H9" s="168"/>
      <c r="I9" s="168"/>
      <c r="J9" s="168"/>
      <c r="K9" s="170"/>
      <c r="L9" s="185"/>
      <c r="M9" s="31" t="s">
        <v>116</v>
      </c>
      <c r="N9" s="34">
        <f>MAIN!$F$5+(MAIN!$C$18+MAIN!$C$19)/2*MAIN!$B$9+(MAIN!$C$20+MAIN!$C$21)/2*MAIN!$B$8+(MAIN!$C$91*MAIN!$B$11)+($N$3*MAIN!$B$10)</f>
        <v>504</v>
      </c>
      <c r="O9" s="35">
        <f>MAIN!$G$5+(MAIN!$C$18+MAIN!$C$19)/2*MAIN!$B$9+(MAIN!$C$20+MAIN!$C$21)/2*MAIN!$B$8+(MAIN!$C$91*MAIN!$B$11)+($N$3*MAIN!$B$10)</f>
        <v>508</v>
      </c>
      <c r="P9" s="34">
        <f>MAIN!$H$5+(MAIN!$C$18+MAIN!$C$19)/2*MAIN!$B$9+(MAIN!$C$20+MAIN!$C$21)/2*MAIN!$B$8+(MAIN!$C$91*MAIN!$B$11)+($N$3*MAIN!$B$10)</f>
        <v>516</v>
      </c>
      <c r="Q9" s="35">
        <f>MAIN!$I$5+(MAIN!$C$18+MAIN!$C$19)/2*MAIN!$B$9+(MAIN!$C$20+MAIN!$C$21)/2*MAIN!$B$8+(MAIN!$C$91*MAIN!$B$11)+($N$3*MAIN!$B$10)</f>
        <v>532</v>
      </c>
      <c r="R9" s="34">
        <f>MAIN!$J$5+(MAIN!$C$18+MAIN!$C$19)/2*MAIN!$B$9+(MAIN!$C$20+MAIN!$C$21)/2*MAIN!$B$8+(MAIN!$C$91*MAIN!$B$11)+($N$3*MAIN!$B$10)</f>
        <v>564</v>
      </c>
      <c r="S9" s="45" t="s">
        <v>54</v>
      </c>
      <c r="T9" s="46">
        <f>SUM($N$25:$N$29)</f>
        <v>37076</v>
      </c>
      <c r="U9" s="46">
        <f>SUM($O$25:$O$29)</f>
        <v>37102</v>
      </c>
      <c r="V9" s="46">
        <f>SUM($P$25:$P$29)</f>
        <v>37154</v>
      </c>
      <c r="W9" s="46">
        <f>SUM($Q$25:$Q$29)</f>
        <v>37258</v>
      </c>
      <c r="X9" s="46">
        <f>SUM($R$25:$R$29)</f>
        <v>37466</v>
      </c>
    </row>
    <row r="10" spans="1:24" s="24" customFormat="1" ht="15" customHeight="1" x14ac:dyDescent="0.25">
      <c r="A10" s="27"/>
      <c r="B10" s="27"/>
      <c r="C10" s="51" t="s">
        <v>147</v>
      </c>
      <c r="D10" s="161">
        <v>1.5</v>
      </c>
      <c r="E10" s="161"/>
      <c r="F10" s="161">
        <v>2.5</v>
      </c>
      <c r="G10" s="161"/>
      <c r="H10" s="161">
        <v>64</v>
      </c>
      <c r="I10" s="161"/>
      <c r="J10" s="161">
        <v>64</v>
      </c>
      <c r="K10" s="162"/>
      <c r="L10" s="186" t="s">
        <v>109</v>
      </c>
      <c r="M10" s="32" t="s">
        <v>6</v>
      </c>
      <c r="N10" s="36">
        <f>MAIN!$D$2+(MAIN!$D$18+MAIN!$D$19)/2*MAIN!$B$9+(MAIN!$D$20+MAIN!$D$21)/2*MAIN!$B$8+(MAIN!$D$47*MAIN!$B$11)+($O$3*MAIN!$B$10)</f>
        <v>2052</v>
      </c>
      <c r="O10" s="36">
        <f>MAIN!$D$3+(MAIN!$D$18+MAIN!$D$19)/2*MAIN!$B$9+(MAIN!$D$20+MAIN!$D$21)/2*MAIN!$B$8+(MAIN!$D$47*MAIN!$B$11)+($O$3*MAIN!$B$10)</f>
        <v>2054</v>
      </c>
      <c r="P10" s="36">
        <f>MAIN!$D$4+(MAIN!$D$18+MAIN!$D$19)/2*MAIN!$B$9+(MAIN!$D$20+MAIN!$D$21)/2*MAIN!$B$8+(MAIN!$D$47*MAIN!$B$11)+($O$3*MAIN!$B$10)</f>
        <v>2058</v>
      </c>
      <c r="Q10" s="36">
        <f>MAIN!$D$5+(MAIN!$D$18+MAIN!$D$19)/2*MAIN!$B$9+(MAIN!$D$20+MAIN!$D$21)/2*MAIN!$B$8+(MAIN!$D$47*MAIN!$B$11)+($O$3*MAIN!$B$10)</f>
        <v>2066</v>
      </c>
      <c r="R10" s="36">
        <f>MAIN!$D$6+(MAIN!$D$18+MAIN!$D$19)/2*MAIN!$B$9+(MAIN!$D$20+MAIN!$D$21)/2*MAIN!$B$8+(MAIN!$D$47*MAIN!$B$11)+($O$3*MAIN!$B$10)</f>
        <v>2082</v>
      </c>
    </row>
    <row r="11" spans="1:24" s="24" customFormat="1" ht="15" customHeight="1" x14ac:dyDescent="0.25">
      <c r="A11" s="27"/>
      <c r="B11" s="27"/>
      <c r="C11" s="51" t="s">
        <v>148</v>
      </c>
      <c r="D11" s="161">
        <v>64</v>
      </c>
      <c r="E11" s="161"/>
      <c r="F11" s="161">
        <v>64</v>
      </c>
      <c r="G11" s="161"/>
      <c r="H11" s="161">
        <v>64</v>
      </c>
      <c r="I11" s="161"/>
      <c r="J11" s="161">
        <v>64</v>
      </c>
      <c r="K11" s="162"/>
      <c r="L11" s="173"/>
      <c r="M11" s="31" t="s">
        <v>113</v>
      </c>
      <c r="N11" s="34">
        <f>MAIN!$F$2+(MAIN!$D$18+MAIN!$D$19)/2*MAIN!$B$9+(MAIN!$D$20+MAIN!$D$21)/2*MAIN!$B$8+(MAIN!$D$58*MAIN!$B$11)+($O$3*MAIN!$B$10)</f>
        <v>2130</v>
      </c>
      <c r="O11" s="35">
        <f>MAIN!$G$2+(MAIN!$D$18+MAIN!$D$19)/2*MAIN!$B$9+(MAIN!$D$20+MAIN!$D$21)/2*MAIN!$B$8+(MAIN!$D$58*MAIN!$B$11)+($O$3*MAIN!$B$10)</f>
        <v>2135</v>
      </c>
      <c r="P11" s="34">
        <f>MAIN!$H$2+(MAIN!$D$18+MAIN!$D$19)/2*MAIN!$B$9+(MAIN!$D$20+MAIN!$D$21)/2*MAIN!$B$8+(MAIN!$D$58*MAIN!$B$11)+($O$3*MAIN!$B$10)</f>
        <v>2145</v>
      </c>
      <c r="Q11" s="35">
        <f>MAIN!$I$2+(MAIN!$D$18+MAIN!$D$19)/2*MAIN!$B$9+(MAIN!$D$20+MAIN!$D$21)/2*MAIN!$B$8+(MAIN!$D$58*MAIN!$B$11)+($O$3*MAIN!$B$10)</f>
        <v>2165</v>
      </c>
      <c r="R11" s="34">
        <f>MAIN!$J$2+(MAIN!$D$18+MAIN!$D$19)/2*MAIN!$B$9+(MAIN!$D$20+MAIN!$D$21)/2*MAIN!$B$8+(MAIN!$D$58*MAIN!$B$11)+($O$3*MAIN!$B$10)</f>
        <v>2205</v>
      </c>
    </row>
    <row r="12" spans="1:24" s="24" customFormat="1" ht="15" customHeight="1" x14ac:dyDescent="0.25">
      <c r="A12" s="168" t="s">
        <v>168</v>
      </c>
      <c r="B12" s="168"/>
      <c r="C12" s="27"/>
      <c r="D12" s="168" t="s">
        <v>166</v>
      </c>
      <c r="E12" s="168"/>
      <c r="F12" s="168"/>
      <c r="G12" s="168"/>
      <c r="H12" s="168"/>
      <c r="I12" s="168"/>
      <c r="J12" s="168"/>
      <c r="K12" s="170"/>
      <c r="L12" s="173"/>
      <c r="M12" s="32" t="s">
        <v>114</v>
      </c>
      <c r="N12" s="36">
        <f>MAIN!$F$3+(MAIN!$D$18+MAIN!$D$19)/2*MAIN!$B$9+(MAIN!$D$20+MAIN!$D$21)/2*MAIN!$B$8+(MAIN!$D$69*MAIN!$B$11)+($O$3*MAIN!$B$10)</f>
        <v>2208</v>
      </c>
      <c r="O12" s="36">
        <f>MAIN!$G$3+(MAIN!$D$18+MAIN!$D$19)/2*MAIN!$B$9+(MAIN!$D$20+MAIN!$D$21)/2*MAIN!$B$8+(MAIN!$D$69*MAIN!$B$11)+($O$3*MAIN!$B$10)</f>
        <v>2216</v>
      </c>
      <c r="P12" s="36">
        <f>MAIN!$H$3+(MAIN!$D$18+MAIN!$D$19)/2*MAIN!$B$9+(MAIN!$D$20+MAIN!$D$21)/2*MAIN!$B$8+(MAIN!$D$69*MAIN!$B$11)+($O$3*MAIN!$B$10)</f>
        <v>2232</v>
      </c>
      <c r="Q12" s="36">
        <f>MAIN!$I$3+(MAIN!$D$18+MAIN!$D$19)/2*MAIN!$B$9+(MAIN!$D$20+MAIN!$D$21)/2*MAIN!$B$8+(MAIN!$D$69*MAIN!$B$11)+($O$3*MAIN!$B$10)</f>
        <v>2264</v>
      </c>
      <c r="R12" s="36">
        <f>MAIN!$J$3+(MAIN!$D$18+MAIN!$D$19)/2*MAIN!$B$9+(MAIN!$D$20+MAIN!$D$21)/2*MAIN!$B$8+(MAIN!$D$69*MAIN!$B$11)+($O$3*MAIN!$B$10)</f>
        <v>2328</v>
      </c>
      <c r="S12" s="13"/>
      <c r="T12" s="13"/>
      <c r="U12" s="13"/>
    </row>
    <row r="13" spans="1:24" s="27" customFormat="1" ht="15" customHeight="1" x14ac:dyDescent="0.25">
      <c r="A13" s="27" t="s">
        <v>158</v>
      </c>
      <c r="B13" s="27">
        <f>$T$5</f>
        <v>2526</v>
      </c>
      <c r="D13" s="163" t="s">
        <v>151</v>
      </c>
      <c r="E13" s="163"/>
      <c r="F13" s="163" t="s">
        <v>149</v>
      </c>
      <c r="G13" s="163"/>
      <c r="H13" s="163" t="s">
        <v>150</v>
      </c>
      <c r="I13" s="163"/>
      <c r="J13" s="163" t="s">
        <v>159</v>
      </c>
      <c r="K13" s="164"/>
      <c r="L13" s="173"/>
      <c r="M13" s="31" t="s">
        <v>115</v>
      </c>
      <c r="N13" s="34">
        <f>MAIN!$F$4+(MAIN!$D$18+MAIN!$D$19)/2*MAIN!$B$9+(MAIN!$D$20+MAIN!$D$21)/2*MAIN!$B$8+(MAIN!$D$80*MAIN!$B$11)+($O$3*MAIN!$B$10)</f>
        <v>2182</v>
      </c>
      <c r="O13" s="35">
        <f>MAIN!$G$4+(MAIN!$D$18+MAIN!$D$19)/2*MAIN!$B$9+(MAIN!$D$20+MAIN!$D$21)/2*MAIN!$B$8+(MAIN!$D$80*MAIN!$B$11)+($O$3*MAIN!$B$10)</f>
        <v>2189</v>
      </c>
      <c r="P13" s="34">
        <f>MAIN!$H$4+(MAIN!$D$18+MAIN!$D$19)/2*MAIN!$B$9+(MAIN!$D$20+MAIN!$D$21)/2*MAIN!$B$8+(MAIN!$D$80*MAIN!$B$11)+($O$3*MAIN!$B$10)</f>
        <v>2203</v>
      </c>
      <c r="Q13" s="35">
        <f>MAIN!$I$4+(MAIN!$D$18+MAIN!$D$19)/2*MAIN!$B$9+(MAIN!$D$20+MAIN!$D$21)/2*MAIN!$B$8+(MAIN!$D$80*MAIN!$B$11)+($O$3*MAIN!$B$10)</f>
        <v>2231</v>
      </c>
      <c r="R13" s="34">
        <f>MAIN!$J$4+(MAIN!$D$18+MAIN!$D$19)/2*MAIN!$B$9+(MAIN!$D$20+MAIN!$D$21)/2*MAIN!$B$8+(MAIN!$D$80*MAIN!$B$11)+($O$3*MAIN!$B$10)</f>
        <v>2287</v>
      </c>
      <c r="S13" s="13"/>
      <c r="T13" s="47"/>
      <c r="U13" s="13"/>
      <c r="V13" s="24"/>
      <c r="W13" s="24"/>
    </row>
    <row r="14" spans="1:24" s="27" customFormat="1" ht="15" customHeight="1" x14ac:dyDescent="0.25">
      <c r="A14" s="27" t="s">
        <v>147</v>
      </c>
      <c r="B14" s="7">
        <v>90</v>
      </c>
      <c r="C14" s="51" t="s">
        <v>160</v>
      </c>
      <c r="D14" s="160">
        <f>ROUND((D10*$B$13)/$B$14,2)</f>
        <v>42.1</v>
      </c>
      <c r="E14" s="160"/>
      <c r="F14" s="160">
        <f>ROUND((F10*$B$13)/$B$14,2)</f>
        <v>70.17</v>
      </c>
      <c r="G14" s="160"/>
      <c r="H14" s="160">
        <f>ROUND((H10*$B$13)/$B$14,2)</f>
        <v>1796.27</v>
      </c>
      <c r="I14" s="160"/>
      <c r="J14" s="160">
        <f>ROUND((J10*$B$13)/$B$14,2)</f>
        <v>1796.27</v>
      </c>
      <c r="K14" s="160"/>
      <c r="L14" s="187"/>
      <c r="M14" s="32" t="s">
        <v>116</v>
      </c>
      <c r="N14" s="36">
        <f>MAIN!$F$5+(MAIN!$D$18+MAIN!$D$19)/2*MAIN!$B$9+(MAIN!$D$20+MAIN!$D$21)/2*MAIN!$B$8+(MAIN!$D$91*MAIN!$B$11)+($O$3*MAIN!$B$10)</f>
        <v>2104</v>
      </c>
      <c r="O14" s="36">
        <f>MAIN!$G$5+(MAIN!$D$18+MAIN!$D$19)/2*MAIN!$B$9+(MAIN!$D$20+MAIN!$D$21)/2*MAIN!$B$8+(MAIN!$D$91*MAIN!$B$11)+($O$3*MAIN!$B$10)</f>
        <v>2108</v>
      </c>
      <c r="P14" s="36">
        <f>MAIN!$H$5+(MAIN!$D$18+MAIN!$D$19)/2*MAIN!$B$9+(MAIN!$D$20+MAIN!$D$21)/2*MAIN!$B$8+(MAIN!$D$91*MAIN!$B$11)+($O$3*MAIN!$B$10)</f>
        <v>2116</v>
      </c>
      <c r="Q14" s="36">
        <f>MAIN!$I$5+(MAIN!$D$18+MAIN!$D$19)/2*MAIN!$B$9+(MAIN!$D$20+MAIN!$D$21)/2*MAIN!$B$8+(MAIN!$D$91*MAIN!$B$11)+($O$3*MAIN!$B$10)</f>
        <v>2132</v>
      </c>
      <c r="R14" s="36">
        <f>MAIN!$J$5+(MAIN!$D$18+MAIN!$D$19)/2*MAIN!$B$9+(MAIN!$D$20+MAIN!$D$21)/2*MAIN!$B$8+(MAIN!$D$91*MAIN!$B$11)+($O$3*MAIN!$B$10)</f>
        <v>2164</v>
      </c>
      <c r="S14" s="13"/>
      <c r="T14" s="13"/>
      <c r="U14" s="13"/>
      <c r="V14" s="24"/>
    </row>
    <row r="15" spans="1:24" s="27" customFormat="1" ht="15" customHeight="1" x14ac:dyDescent="0.25">
      <c r="A15" s="168" t="s">
        <v>170</v>
      </c>
      <c r="B15" s="168"/>
      <c r="C15" s="51" t="s">
        <v>161</v>
      </c>
      <c r="D15" s="160">
        <f>ROUND($D$14/$D$11,2)</f>
        <v>0.66</v>
      </c>
      <c r="E15" s="160"/>
      <c r="F15" s="160">
        <f>ROUND($F$14/$F$11,2)</f>
        <v>1.1000000000000001</v>
      </c>
      <c r="G15" s="160"/>
      <c r="H15" s="160">
        <f>ROUND($H$14/$H$11,2)</f>
        <v>28.07</v>
      </c>
      <c r="I15" s="160"/>
      <c r="J15" s="160">
        <f>ROUND($J$14/$J$11,2)</f>
        <v>28.07</v>
      </c>
      <c r="K15" s="160"/>
      <c r="L15" s="167" t="s">
        <v>110</v>
      </c>
      <c r="M15" s="31" t="s">
        <v>6</v>
      </c>
      <c r="N15" s="34">
        <f>MAIN!$D$2+(MAIN!$E$18+MAIN!$E$19)/2*MAIN!$B$9+(MAIN!$E$20+MAIN!$E$21)/2*MAIN!$B$8+(MAIN!$E$47*MAIN!$B$11)+($P$3*MAIN!$B$10)</f>
        <v>3652</v>
      </c>
      <c r="O15" s="35">
        <f>MAIN!$D$3+(MAIN!$E$18+MAIN!$E$19)/2*MAIN!$B$9+(MAIN!$E$20+MAIN!$E$21)/2*MAIN!$B$8+(MAIN!$E$47*MAIN!$B$11)+($P$3*MAIN!$B$10)</f>
        <v>3654</v>
      </c>
      <c r="P15" s="34">
        <f>MAIN!$D$4+(MAIN!$E$18+MAIN!$E$19)/2*MAIN!$B$9+(MAIN!$E$20+MAIN!$E$21)/2*MAIN!$B$8+(MAIN!$E$47*MAIN!$B$11)+($P$3*MAIN!$B$10)</f>
        <v>3658</v>
      </c>
      <c r="Q15" s="35">
        <f>MAIN!$D$5+(MAIN!$E$18+MAIN!$E$19)/2*MAIN!$B$9+(MAIN!$E$20+MAIN!$E$21)/2*MAIN!$B$8+(MAIN!$E$47*MAIN!$B$11)+($P$3*MAIN!$B$10)</f>
        <v>3666</v>
      </c>
      <c r="R15" s="34">
        <f>MAIN!$D$6+(MAIN!$E$18+MAIN!$E$19)/2*MAIN!$B$9+(MAIN!$E$20+MAIN!$E$21)/2*MAIN!$B$8+(MAIN!$E$47*MAIN!$B$11)+($P$3*MAIN!$B$10)</f>
        <v>3682</v>
      </c>
      <c r="S15" s="24"/>
      <c r="T15" s="24"/>
      <c r="U15" s="24"/>
      <c r="V15" s="24"/>
    </row>
    <row r="16" spans="1:24" s="27" customFormat="1" ht="15" customHeight="1" x14ac:dyDescent="0.25">
      <c r="A16" s="27" t="s">
        <v>169</v>
      </c>
      <c r="B16" s="7">
        <v>1</v>
      </c>
      <c r="D16" s="80" t="s">
        <v>258</v>
      </c>
      <c r="E16" s="80" t="s">
        <v>259</v>
      </c>
      <c r="F16" s="80" t="s">
        <v>260</v>
      </c>
      <c r="G16" s="80" t="s">
        <v>261</v>
      </c>
      <c r="H16" s="80" t="s">
        <v>263</v>
      </c>
      <c r="I16" s="80" t="s">
        <v>262</v>
      </c>
      <c r="J16" s="80"/>
      <c r="K16" s="80"/>
      <c r="L16" s="175"/>
      <c r="M16" s="32" t="s">
        <v>113</v>
      </c>
      <c r="N16" s="36">
        <f>MAIN!$F$2+(MAIN!$E$18+MAIN!$E$19)/2*MAIN!$B$9+(MAIN!$E$20+MAIN!$E$21)/2*MAIN!$B$8+(MAIN!$E$58*MAIN!$B$11)+($P$3*MAIN!$B$10)</f>
        <v>3880</v>
      </c>
      <c r="O16" s="36">
        <f>MAIN!$G$2+(MAIN!$E$18+MAIN!$E$19)/2*MAIN!$B$9+(MAIN!$E$20+MAIN!$E$21)/2*MAIN!$B$8+(MAIN!$E$58*MAIN!$B$11)+($P$3*MAIN!$B$10)</f>
        <v>3885</v>
      </c>
      <c r="P16" s="36">
        <f>MAIN!$H$2+(MAIN!$E$18+MAIN!$E$19)/2*MAIN!$B$9+(MAIN!$E$20+MAIN!$E$21)/2*MAIN!$B$8+(MAIN!$E$58*MAIN!$B$11)+($P$3*MAIN!$B$10)</f>
        <v>3895</v>
      </c>
      <c r="Q16" s="36">
        <f>MAIN!$I$2+(MAIN!$E$18+MAIN!$E$19)/2*MAIN!$B$9+(MAIN!$E$20+MAIN!$E$21)/2*MAIN!$B$8+(MAIN!$E$58*MAIN!$B$11)+($P$3*MAIN!$B$10)</f>
        <v>3915</v>
      </c>
      <c r="R16" s="36">
        <f>MAIN!$J$2+(MAIN!$E$18+MAIN!$E$19)/2*MAIN!$B$9+(MAIN!$E$20+MAIN!$E$21)/2*MAIN!$B$8+(MAIN!$E$58*MAIN!$B$11)+($P$3*MAIN!$B$10)</f>
        <v>3955</v>
      </c>
      <c r="S16" s="24"/>
      <c r="T16" s="24"/>
      <c r="U16" s="24"/>
      <c r="V16" s="24"/>
      <c r="W16" s="24"/>
    </row>
    <row r="17" spans="1:23" s="24" customFormat="1" ht="15" customHeight="1" x14ac:dyDescent="0.25">
      <c r="A17" s="27" t="s">
        <v>1</v>
      </c>
      <c r="B17" s="2">
        <f>$B$16*2</f>
        <v>2</v>
      </c>
      <c r="C17" s="52" t="s">
        <v>165</v>
      </c>
      <c r="D17" s="83" t="s">
        <v>151</v>
      </c>
      <c r="E17" s="74" t="s">
        <v>152</v>
      </c>
      <c r="F17" s="81" t="s">
        <v>156</v>
      </c>
      <c r="G17" s="77" t="s">
        <v>155</v>
      </c>
      <c r="H17" s="82"/>
      <c r="I17" s="74">
        <f>COUNTIF(E17:H17,"*")</f>
        <v>3</v>
      </c>
      <c r="J17" s="81"/>
      <c r="K17" s="76"/>
      <c r="L17" s="175"/>
      <c r="M17" s="31" t="s">
        <v>114</v>
      </c>
      <c r="N17" s="34">
        <f>MAIN!$F$3+(MAIN!$E$18+MAIN!$E$19)/2*MAIN!$B$9+(MAIN!$E$20+MAIN!$E$21)/2*MAIN!$B$8+(MAIN!$E$69*MAIN!$B$11)+($P$3*MAIN!$B$10)</f>
        <v>4108</v>
      </c>
      <c r="O17" s="35">
        <f>MAIN!$G$3+(MAIN!$E$18+MAIN!$E$19)/2*MAIN!$B$9+(MAIN!$E$20+MAIN!$E$21)/2*MAIN!$B$8+(MAIN!$E$69*MAIN!$B$11)+($P$3*MAIN!$B$10)</f>
        <v>4116</v>
      </c>
      <c r="P17" s="34">
        <f>MAIN!$H$3+(MAIN!$E$18+MAIN!$E$19)/2*MAIN!$B$9+(MAIN!$E$20+MAIN!$E$21)/2*MAIN!$B$8+(MAIN!$E$69*MAIN!$B$11)+($P$3*MAIN!$B$10)</f>
        <v>4132</v>
      </c>
      <c r="Q17" s="35">
        <f>MAIN!$I$3+(MAIN!$E$18+MAIN!$E$19)/2*MAIN!$B$9+(MAIN!$E$20+MAIN!$E$21)/2*MAIN!$B$8+(MAIN!$E$69*MAIN!$B$11)+($P$3*MAIN!$B$10)</f>
        <v>4164</v>
      </c>
      <c r="R17" s="34">
        <f>MAIN!$J$3+(MAIN!$E$18+MAIN!$E$19)/2*MAIN!$B$9+(MAIN!$E$20+MAIN!$E$21)/2*MAIN!$B$8+(MAIN!$E$69*MAIN!$B$11)+($P$3*MAIN!$B$10)</f>
        <v>4228</v>
      </c>
    </row>
    <row r="18" spans="1:23" s="27" customFormat="1" ht="15" customHeight="1" x14ac:dyDescent="0.25">
      <c r="A18" s="27" t="s">
        <v>2</v>
      </c>
      <c r="B18" s="2">
        <f>$B$17*2</f>
        <v>4</v>
      </c>
      <c r="C18" s="27" t="s">
        <v>152</v>
      </c>
      <c r="D18" s="83" t="s">
        <v>149</v>
      </c>
      <c r="E18" s="77" t="s">
        <v>155</v>
      </c>
      <c r="F18" s="75" t="s">
        <v>153</v>
      </c>
      <c r="G18" s="77" t="s">
        <v>152</v>
      </c>
      <c r="H18" s="48"/>
      <c r="I18" s="74">
        <f t="shared" ref="I18:I20" si="0">COUNTIF(E18:H18,"*")</f>
        <v>3</v>
      </c>
      <c r="J18" s="75"/>
      <c r="K18" s="77"/>
      <c r="L18" s="167"/>
      <c r="M18" s="32" t="s">
        <v>115</v>
      </c>
      <c r="N18" s="36">
        <f>MAIN!$F$4+(MAIN!$E$18+MAIN!$E$19)/2*MAIN!$B$9+(MAIN!$E$20+MAIN!$E$21)/2*MAIN!$B$8+(MAIN!$E$80*MAIN!$B$11)+($P$3*MAIN!$B$10)</f>
        <v>4032</v>
      </c>
      <c r="O18" s="36">
        <f>MAIN!$G$4+(MAIN!$E$18+MAIN!$E$19)/2*MAIN!$B$9+(MAIN!$E$20+MAIN!$E$21)/2*MAIN!$B$8+(MAIN!$E$80*MAIN!$B$11)+($P$3*MAIN!$B$10)</f>
        <v>4039</v>
      </c>
      <c r="P18" s="36">
        <f>MAIN!$H$4+(MAIN!$E$18+MAIN!$E$19)/2*MAIN!$B$9+(MAIN!$E$20+MAIN!$E$21)/2*MAIN!$B$8+(MAIN!$E$80*MAIN!$B$11)+($P$3*MAIN!$B$10)</f>
        <v>4053</v>
      </c>
      <c r="Q18" s="36">
        <f>MAIN!$I$4+(MAIN!$E$18+MAIN!$E$19)/2*MAIN!$B$9+(MAIN!$E$20+MAIN!$E$21)/2*MAIN!$B$8+(MAIN!$E$80*MAIN!$B$11)+($P$3*MAIN!$B$10)</f>
        <v>4081</v>
      </c>
      <c r="R18" s="36">
        <f>MAIN!$J$4+(MAIN!$E$18+MAIN!$E$19)/2*MAIN!$B$9+(MAIN!$E$20+MAIN!$E$21)/2*MAIN!$B$8+(MAIN!$E$80*MAIN!$B$11)+($P$3*MAIN!$B$10)</f>
        <v>4137</v>
      </c>
      <c r="S18" s="24"/>
      <c r="T18" s="24"/>
      <c r="U18" s="24"/>
      <c r="V18" s="24"/>
      <c r="W18" s="24"/>
    </row>
    <row r="19" spans="1:23" s="27" customFormat="1" ht="15" customHeight="1" x14ac:dyDescent="0.25">
      <c r="A19" s="27" t="s">
        <v>3</v>
      </c>
      <c r="B19" s="2">
        <f>$B$18*2</f>
        <v>8</v>
      </c>
      <c r="C19" s="27" t="s">
        <v>153</v>
      </c>
      <c r="D19" s="83" t="s">
        <v>150</v>
      </c>
      <c r="E19" s="77" t="s">
        <v>155</v>
      </c>
      <c r="F19" s="75" t="s">
        <v>152</v>
      </c>
      <c r="G19" s="77" t="s">
        <v>153</v>
      </c>
      <c r="H19" s="48"/>
      <c r="I19" s="74">
        <f t="shared" si="0"/>
        <v>3</v>
      </c>
      <c r="J19" s="75"/>
      <c r="K19" s="77"/>
      <c r="L19" s="167"/>
      <c r="M19" s="31" t="s">
        <v>116</v>
      </c>
      <c r="N19" s="34">
        <f>MAIN!$F$5+(MAIN!$E$18+MAIN!$E$19)/2*MAIN!$B$9+(MAIN!$E$20+MAIN!$E$21)/2*MAIN!$B$8+(MAIN!$E$91*MAIN!$B$11)+($P$3*MAIN!$B$10)</f>
        <v>3804</v>
      </c>
      <c r="O19" s="35">
        <f>MAIN!$G$5+(MAIN!$E$18+MAIN!$E$19)/2*MAIN!$B$9+(MAIN!$E$20+MAIN!$E$21)/2*MAIN!$B$8+(MAIN!$E$91*MAIN!$B$11)+($P$3*MAIN!$B$10)</f>
        <v>3808</v>
      </c>
      <c r="P19" s="34">
        <f>MAIN!$H$5+(MAIN!$E$18+MAIN!$E$19)/2*MAIN!$B$9+(MAIN!$E$20+MAIN!$E$21)/2*MAIN!$B$8+(MAIN!$E$91*MAIN!$B$11)+($P$3*MAIN!$B$10)</f>
        <v>3816</v>
      </c>
      <c r="Q19" s="35">
        <f>MAIN!$I$5+(MAIN!$E$18+MAIN!$E$19)/2*MAIN!$B$9+(MAIN!$E$20+MAIN!$E$21)/2*MAIN!$B$8+(MAIN!$E$91*MAIN!$B$11)+($P$3*MAIN!$B$10)</f>
        <v>3832</v>
      </c>
      <c r="R19" s="34">
        <f>MAIN!$J$5+(MAIN!$E$18+MAIN!$E$19)/2*MAIN!$B$9+(MAIN!$E$20+MAIN!$E$21)/2*MAIN!$B$8+(MAIN!$E$91*MAIN!$B$11)+($P$3*MAIN!$B$10)</f>
        <v>3864</v>
      </c>
      <c r="S19" s="24"/>
      <c r="T19" s="24"/>
      <c r="U19" s="24"/>
      <c r="V19" s="24"/>
      <c r="W19" s="24"/>
    </row>
    <row r="20" spans="1:23" s="24" customFormat="1" ht="15" customHeight="1" x14ac:dyDescent="0.25">
      <c r="A20" s="27" t="s">
        <v>4</v>
      </c>
      <c r="B20" s="2">
        <f>$B$19*2</f>
        <v>16</v>
      </c>
      <c r="C20" s="27" t="s">
        <v>155</v>
      </c>
      <c r="D20" s="83" t="s">
        <v>159</v>
      </c>
      <c r="E20" s="77" t="s">
        <v>154</v>
      </c>
      <c r="F20" s="75" t="s">
        <v>155</v>
      </c>
      <c r="G20" s="77"/>
      <c r="H20" s="48"/>
      <c r="I20" s="74">
        <f t="shared" si="0"/>
        <v>2</v>
      </c>
      <c r="J20" s="75"/>
      <c r="K20" s="77"/>
      <c r="L20" s="171" t="s">
        <v>111</v>
      </c>
      <c r="M20" s="32" t="s">
        <v>6</v>
      </c>
      <c r="N20" s="36">
        <f>MAIN!$D$2+(MAIN!$F$18+MAIN!$F$19)/2*MAIN!$B$9+(MAIN!$F$20+MAIN!$F$21)/2*MAIN!$B$8+(MAIN!$F$47*MAIN!$B$11)+($Q$3*MAIN!$B$10)</f>
        <v>5252</v>
      </c>
      <c r="O20" s="36">
        <f>MAIN!$D$3+(MAIN!$F$18+MAIN!$F$19)/2*MAIN!$B$9+(MAIN!$F$20+MAIN!$F$21)/2*MAIN!$B$8+(MAIN!$F$47*MAIN!$B$11)+($Q$3*MAIN!$B$10)</f>
        <v>5254</v>
      </c>
      <c r="P20" s="36">
        <f>MAIN!$D$4+(MAIN!$F$18+MAIN!$F$19)/2*MAIN!$B$9+(MAIN!$F$20+MAIN!$F$21)/2*MAIN!$B$8+(MAIN!$F$47*MAIN!$B$11)+($Q$3*MAIN!$B$10)</f>
        <v>5258</v>
      </c>
      <c r="Q20" s="36">
        <f>MAIN!$D$5+(MAIN!$F$18+MAIN!$F$19)/2*MAIN!$B$9+(MAIN!$F$20+MAIN!$F$21)/2*MAIN!$B$8+(MAIN!$F$47*MAIN!$B$11)+($Q$3*MAIN!$B$10)</f>
        <v>5266</v>
      </c>
      <c r="R20" s="36">
        <f>MAIN!$D$6+(MAIN!$F$18+MAIN!$F$19)/2*MAIN!$B$9+(MAIN!$F$20+MAIN!$F$21)/2*MAIN!$B$8+(MAIN!$F$47*MAIN!$B$11)+($Q$3*MAIN!$B$10)</f>
        <v>5282</v>
      </c>
    </row>
    <row r="21" spans="1:23" s="24" customFormat="1" ht="15" customHeight="1" x14ac:dyDescent="0.25">
      <c r="A21" s="27"/>
      <c r="B21" s="27"/>
      <c r="C21" s="27" t="s">
        <v>156</v>
      </c>
      <c r="D21" s="73"/>
      <c r="E21" s="73"/>
      <c r="F21" s="73"/>
      <c r="G21" s="73"/>
      <c r="H21" s="13"/>
      <c r="I21" s="77"/>
      <c r="J21" s="75"/>
      <c r="K21" s="77"/>
      <c r="L21" s="172"/>
      <c r="M21" s="31" t="s">
        <v>113</v>
      </c>
      <c r="N21" s="34">
        <f>MAIN!$F$2+(MAIN!$F$18+MAIN!$F$19)/2*MAIN!$B$9+(MAIN!$F$20+MAIN!$F$21)/2*MAIN!$B$8+(MAIN!$F$58*MAIN!$B$11)+($Q$3*MAIN!$B$10)</f>
        <v>5630</v>
      </c>
      <c r="O21" s="35">
        <f>MAIN!$G$2+(MAIN!$F$18+MAIN!$F$19)/2*MAIN!$B$9+(MAIN!$F$20+MAIN!$F$21)/2*MAIN!$B$8+(MAIN!$F$58*MAIN!$B$11)+($Q$3*MAIN!$B$10)</f>
        <v>5635</v>
      </c>
      <c r="P21" s="34">
        <f>MAIN!$H$2+(MAIN!$F$18+MAIN!$F$19)/2*MAIN!$B$9+(MAIN!$F$20+MAIN!$F$21)/2*MAIN!$B$8+(MAIN!$F$58*MAIN!$B$11)+($Q$3*MAIN!$B$10)</f>
        <v>5645</v>
      </c>
      <c r="Q21" s="35">
        <f>MAIN!$I$2+(MAIN!$F$18+MAIN!$F$19)/2*MAIN!$B$9+(MAIN!$F$20+MAIN!$F$21)/2*MAIN!$B$8+(MAIN!$F$58*MAIN!$B$11)+($Q$3*MAIN!$B$10)</f>
        <v>5665</v>
      </c>
      <c r="R21" s="34">
        <f>MAIN!$J$2+(MAIN!$F$18+MAIN!$F$19)/2*MAIN!$B$9+(MAIN!$F$20+MAIN!$F$21)/2*MAIN!$B$8+(MAIN!$F$58*MAIN!$B$11)+($Q$3*MAIN!$B$10)</f>
        <v>5705</v>
      </c>
    </row>
    <row r="22" spans="1:23" s="24" customFormat="1" ht="15" customHeight="1" x14ac:dyDescent="0.25">
      <c r="A22" s="27"/>
      <c r="B22" s="27"/>
      <c r="C22" s="27" t="s">
        <v>154</v>
      </c>
      <c r="D22" s="73"/>
      <c r="E22" s="73"/>
      <c r="F22" s="73"/>
      <c r="G22" s="73"/>
      <c r="H22" s="13"/>
      <c r="I22" s="77"/>
      <c r="J22" s="75"/>
      <c r="K22" s="77"/>
      <c r="L22" s="172"/>
      <c r="M22" s="32" t="s">
        <v>114</v>
      </c>
      <c r="N22" s="36">
        <f>MAIN!$F$3+(MAIN!$F$18+MAIN!$F$19)/2*MAIN!$B$9+(MAIN!$F$20+MAIN!$F$21)/2*MAIN!$B$8+(MAIN!$F$69*MAIN!$B$11)+($Q$3*MAIN!$B$10)</f>
        <v>6008</v>
      </c>
      <c r="O22" s="36">
        <f>MAIN!$G$3+(MAIN!$F$18+MAIN!$F$19)/2*MAIN!$B$9+(MAIN!$F$20+MAIN!$F$21)/2*MAIN!$B$8+(MAIN!$F$69*MAIN!$B$11)+($Q$3*MAIN!$B$10)</f>
        <v>6016</v>
      </c>
      <c r="P22" s="36">
        <f>MAIN!$H$3+(MAIN!$F$18+MAIN!$F$19)/2*MAIN!$B$9+(MAIN!$F$20+MAIN!$F$21)/2*MAIN!$B$8+(MAIN!$F$69*MAIN!$B$11)+($Q$3*MAIN!$B$10)</f>
        <v>6032</v>
      </c>
      <c r="Q22" s="36">
        <f>MAIN!$I$3+(MAIN!$F$18+MAIN!$F$19)/2*MAIN!$B$9+(MAIN!$F$20+MAIN!$F$21)/2*MAIN!$B$8+(MAIN!$F$69*MAIN!$B$11)+($Q$3*MAIN!$B$10)</f>
        <v>6064</v>
      </c>
      <c r="R22" s="36">
        <f>MAIN!$J$3+(MAIN!$F$18+MAIN!$F$19)/2*MAIN!$B$9+(MAIN!$F$20+MAIN!$F$21)/2*MAIN!$B$8+(MAIN!$F$69*MAIN!$B$11)+($Q$3*MAIN!$B$10)</f>
        <v>6128</v>
      </c>
    </row>
    <row r="23" spans="1:23" s="24" customFormat="1" ht="15" customHeight="1" x14ac:dyDescent="0.25">
      <c r="A23" s="27"/>
      <c r="B23" s="27"/>
      <c r="C23" s="87" t="s">
        <v>157</v>
      </c>
      <c r="D23" s="88"/>
      <c r="E23" s="88"/>
      <c r="F23" s="88"/>
      <c r="G23" s="88"/>
      <c r="H23" s="13"/>
      <c r="I23" s="74"/>
      <c r="J23" s="75"/>
      <c r="K23" s="76"/>
      <c r="L23" s="173"/>
      <c r="M23" s="31" t="s">
        <v>115</v>
      </c>
      <c r="N23" s="34">
        <f>MAIN!$F$4+(MAIN!$F$18+MAIN!$F$19)/2*MAIN!$B$9+(MAIN!$F$20+MAIN!$F$21)/2*MAIN!$B$8+(MAIN!$F$80*MAIN!$B$11)+($Q$3*MAIN!$B$10)</f>
        <v>5882</v>
      </c>
      <c r="O23" s="35">
        <f>MAIN!$G$4+(MAIN!$F$18+MAIN!$F$19)/2*MAIN!$B$9+(MAIN!$F$20+MAIN!$F$21)/2*MAIN!$B$8+(MAIN!$F$80*MAIN!$B$11)+($Q$3*MAIN!$B$10)</f>
        <v>5889</v>
      </c>
      <c r="P23" s="34">
        <f>MAIN!$H$4+(MAIN!$F$18+MAIN!$F$19)/2*MAIN!$B$9+(MAIN!$F$20+MAIN!$F$21)/2*MAIN!$B$8+(MAIN!$F$80*MAIN!$B$11)+($Q$3*MAIN!$B$10)</f>
        <v>5903</v>
      </c>
      <c r="Q23" s="35">
        <f>MAIN!$I$4+(MAIN!$F$18+MAIN!$F$19)/2*MAIN!$B$9+(MAIN!$F$20+MAIN!$F$21)/2*MAIN!$B$8+(MAIN!$F$80*MAIN!$B$11)+($Q$3*MAIN!$B$10)</f>
        <v>5931</v>
      </c>
      <c r="R23" s="34">
        <f>MAIN!$J$4+(MAIN!$F$18+MAIN!$F$19)/2*MAIN!$B$9+(MAIN!$F$20+MAIN!$F$21)/2*MAIN!$B$8+(MAIN!$F$80*MAIN!$B$11)+($Q$3*MAIN!$B$10)</f>
        <v>5987</v>
      </c>
    </row>
    <row r="24" spans="1:23" s="24" customFormat="1" ht="15" customHeight="1" x14ac:dyDescent="0.25">
      <c r="A24" s="27"/>
      <c r="B24" s="27"/>
      <c r="C24" s="50"/>
      <c r="D24" s="168" t="s">
        <v>197</v>
      </c>
      <c r="E24" s="168"/>
      <c r="F24" s="168"/>
      <c r="G24" s="168"/>
      <c r="H24" s="168"/>
      <c r="I24" s="168"/>
      <c r="J24" s="168"/>
      <c r="K24" s="170"/>
      <c r="L24" s="174"/>
      <c r="M24" s="32" t="s">
        <v>116</v>
      </c>
      <c r="N24" s="36">
        <f>MAIN!$F$5+(MAIN!$F$18+MAIN!$F$19)/2*MAIN!$B$9+(MAIN!$F$20+MAIN!$F$21)/2*MAIN!$B$8+(MAIN!$F$91*MAIN!$B$11)+($Q$3*MAIN!$B$10)</f>
        <v>5504</v>
      </c>
      <c r="O24" s="36">
        <f>MAIN!$G$5+(MAIN!$F$18+MAIN!$F$19)/2*MAIN!$B$9+(MAIN!$F$20+MAIN!$F$21)/2*MAIN!$B$8+(MAIN!$F$91*MAIN!$B$11)+($Q$3*MAIN!$B$10)</f>
        <v>5508</v>
      </c>
      <c r="P24" s="36">
        <f>MAIN!$H$5+(MAIN!$F$18+MAIN!$F$19)/2*MAIN!$B$9+(MAIN!$F$20+MAIN!$F$21)/2*MAIN!$B$8+(MAIN!$F$91*MAIN!$B$11)+($Q$3*MAIN!$B$10)</f>
        <v>5516</v>
      </c>
      <c r="Q24" s="36">
        <f>MAIN!$I$5+(MAIN!$F$18+MAIN!$F$19)/2*MAIN!$B$9+(MAIN!$F$20+MAIN!$F$21)/2*MAIN!$B$8+(MAIN!$F$91*MAIN!$B$11)+($Q$3*MAIN!$B$10)</f>
        <v>5532</v>
      </c>
      <c r="R24" s="36">
        <f>MAIN!$J$5+(MAIN!$F$18+MAIN!$F$19)/2*MAIN!$B$9+(MAIN!$F$20+MAIN!$F$21)/2*MAIN!$B$8+(MAIN!$F$91*MAIN!$B$11)+($Q$3*MAIN!$B$10)</f>
        <v>5564</v>
      </c>
    </row>
    <row r="25" spans="1:23" s="24" customFormat="1" ht="15" customHeight="1" x14ac:dyDescent="0.25">
      <c r="A25" s="27"/>
      <c r="B25" s="27"/>
      <c r="C25" s="50"/>
      <c r="D25" s="169" t="s">
        <v>151</v>
      </c>
      <c r="E25" s="169"/>
      <c r="F25" s="169" t="s">
        <v>149</v>
      </c>
      <c r="G25" s="169"/>
      <c r="H25" s="169" t="s">
        <v>150</v>
      </c>
      <c r="I25" s="169"/>
      <c r="J25" s="169" t="s">
        <v>159</v>
      </c>
      <c r="K25" s="169"/>
      <c r="L25" s="167" t="s">
        <v>112</v>
      </c>
      <c r="M25" s="31" t="s">
        <v>6</v>
      </c>
      <c r="N25" s="34">
        <f>MAIN!$D$2+(MAIN!$G$18+MAIN!$G$19)/2*MAIN!$B$9+(MAIN!$G$20+MAIN!$G$21)/2*MAIN!$B$8+(MAIN!$G$47*MAIN!$B$11)+($R$3*MAIN!$B$10)</f>
        <v>6852</v>
      </c>
      <c r="O25" s="35">
        <f>MAIN!$D$3+(MAIN!$G$18+MAIN!$G$19)/2*MAIN!$B$9+(MAIN!$G$20+MAIN!$G$21)/2*MAIN!$B$8+(MAIN!$G$47*MAIN!$B$11)+($R$3*MAIN!$B$10)</f>
        <v>6854</v>
      </c>
      <c r="P25" s="34">
        <f>MAIN!$D$4+(MAIN!$G$18+MAIN!$G$19)/2*MAIN!$B$9+(MAIN!$G$20+MAIN!$G$21)/2*MAIN!$B$8+(MAIN!$G$47*MAIN!$B$11)+($R$3*MAIN!$B$10)</f>
        <v>6858</v>
      </c>
      <c r="Q25" s="35">
        <f>MAIN!$D$5+(MAIN!$G$18+MAIN!$G$19)/2*MAIN!$B$9+(MAIN!$G$20+MAIN!$G$21)/2*MAIN!$B$8+(MAIN!$G$47*MAIN!$B$11)+($R$3*MAIN!$B$10)</f>
        <v>6866</v>
      </c>
      <c r="R25" s="34">
        <f>MAIN!$D$6+(MAIN!$G$18+MAIN!$G$19)/2*MAIN!$B$9+(MAIN!$G$20+MAIN!$G$21)/2*MAIN!$B$8+(MAIN!$G$47*MAIN!$B$11)+($R$3*MAIN!$B$10)</f>
        <v>6882</v>
      </c>
    </row>
    <row r="26" spans="1:23" s="24" customFormat="1" ht="15" customHeight="1" x14ac:dyDescent="0.25">
      <c r="A26" s="27"/>
      <c r="B26" s="59" t="s">
        <v>256</v>
      </c>
      <c r="C26" s="59" t="s">
        <v>19</v>
      </c>
      <c r="D26" s="59" t="s">
        <v>145</v>
      </c>
      <c r="E26" s="59" t="s">
        <v>158</v>
      </c>
      <c r="F26" s="59" t="s">
        <v>145</v>
      </c>
      <c r="G26" s="59" t="s">
        <v>158</v>
      </c>
      <c r="H26" s="59" t="s">
        <v>145</v>
      </c>
      <c r="I26" s="59" t="s">
        <v>158</v>
      </c>
      <c r="J26" s="59" t="s">
        <v>145</v>
      </c>
      <c r="K26" s="59" t="s">
        <v>158</v>
      </c>
      <c r="L26" s="167"/>
      <c r="M26" s="32" t="s">
        <v>113</v>
      </c>
      <c r="N26" s="36">
        <f>MAIN!$F$2+(MAIN!$G$18+MAIN!$G$19)/2*MAIN!$B$9+(MAIN!$G$20+MAIN!$G$21)/2*MAIN!$B$8+(MAIN!$G$58*MAIN!$B$11)+($R$3*MAIN!$B$10)</f>
        <v>7380</v>
      </c>
      <c r="O26" s="36">
        <f>MAIN!$G$2+(MAIN!$G$18+MAIN!$G$19)/2*MAIN!$B$9+(MAIN!$G$20+MAIN!$G$21)/2*MAIN!$B$8+(MAIN!$G$58*MAIN!$B$11)+($R$3*MAIN!$B$10)</f>
        <v>7385</v>
      </c>
      <c r="P26" s="36">
        <f>MAIN!$H$2+(MAIN!$G$18+MAIN!$G$19)/2*MAIN!$B$9+(MAIN!$G$20+MAIN!$G$21)/2*MAIN!$B$8+(MAIN!$G$58*MAIN!$B$11)+($R$3*MAIN!$B$10)</f>
        <v>7395</v>
      </c>
      <c r="Q26" s="36">
        <f>MAIN!$I$2+(MAIN!$G$18+MAIN!$G$19)/2*MAIN!$B$9+(MAIN!$G$20+MAIN!$G$21)/2*MAIN!$B$8+(MAIN!$G$58*MAIN!$B$11)+($R$3*MAIN!$B$10)</f>
        <v>7415</v>
      </c>
      <c r="R26" s="36">
        <f>MAIN!$J$2+(MAIN!$G$18+MAIN!$G$19)/2*MAIN!$B$9+(MAIN!$G$20+MAIN!$G$21)/2*MAIN!$B$8+(MAIN!$G$58*MAIN!$B$11)+($R$3*MAIN!$B$10)</f>
        <v>7455</v>
      </c>
    </row>
    <row r="27" spans="1:23" s="24" customFormat="1" ht="15" customHeight="1" x14ac:dyDescent="0.25">
      <c r="A27" s="27"/>
      <c r="B27" s="28">
        <v>20</v>
      </c>
      <c r="C27" s="60">
        <v>1</v>
      </c>
      <c r="D27" s="60" t="s">
        <v>167</v>
      </c>
      <c r="E27" s="60">
        <v>1</v>
      </c>
      <c r="F27" s="60" t="s">
        <v>173</v>
      </c>
      <c r="G27" s="60">
        <v>1</v>
      </c>
      <c r="H27" s="60" t="s">
        <v>185</v>
      </c>
      <c r="I27" s="60">
        <v>1</v>
      </c>
      <c r="J27" s="60" t="s">
        <v>193</v>
      </c>
      <c r="K27" s="60">
        <v>1</v>
      </c>
      <c r="L27" s="167"/>
      <c r="M27" s="31" t="s">
        <v>114</v>
      </c>
      <c r="N27" s="34">
        <f>MAIN!$F$3+(MAIN!$G$18+MAIN!$G$19)/2*MAIN!$B$9+(MAIN!$G$20+MAIN!$G$21)/2*MAIN!$B$8+(MAIN!$G$69*MAIN!$B$11)+($R$3*MAIN!$B$10)</f>
        <v>7908</v>
      </c>
      <c r="O27" s="35">
        <f>MAIN!$G$3+(MAIN!$G$18+MAIN!$G$19)/2*MAIN!$B$9+(MAIN!$G$20+MAIN!$G$21)/2*MAIN!$B$8+(MAIN!$G$69*MAIN!$B$11)+($R$3*MAIN!$B$10)</f>
        <v>7916</v>
      </c>
      <c r="P27" s="34">
        <f>MAIN!$H$3+(MAIN!$G$18+MAIN!$G$19)/2*MAIN!$B$9+(MAIN!$G$20+MAIN!$G$21)/2*MAIN!$B$8+(MAIN!$G$69*MAIN!$B$11)+($R$3*MAIN!$B$10)</f>
        <v>7932</v>
      </c>
      <c r="Q27" s="35">
        <f>MAIN!$I$3+(MAIN!$G$18+MAIN!$G$19)/2*MAIN!$B$9+(MAIN!$G$20+MAIN!$G$21)/2*MAIN!$B$8+(MAIN!$G$69*MAIN!$B$11)+($R$3*MAIN!$B$10)</f>
        <v>7964</v>
      </c>
      <c r="R27" s="34">
        <f>MAIN!$J$3+(MAIN!$G$18+MAIN!$G$19)/2*MAIN!$B$9+(MAIN!$G$20+MAIN!$G$21)/2*MAIN!$B$8+(MAIN!$G$69*MAIN!$B$11)+($R$3*MAIN!$B$10)</f>
        <v>8028</v>
      </c>
    </row>
    <row r="28" spans="1:23" s="24" customFormat="1" ht="15" customHeight="1" x14ac:dyDescent="0.25">
      <c r="A28" s="27"/>
      <c r="B28" s="27"/>
      <c r="C28" s="61">
        <v>2</v>
      </c>
      <c r="D28" s="61" t="s">
        <v>171</v>
      </c>
      <c r="E28" s="61">
        <v>3</v>
      </c>
      <c r="F28" s="61" t="s">
        <v>174</v>
      </c>
      <c r="G28" s="61">
        <v>3</v>
      </c>
      <c r="H28" s="61" t="s">
        <v>186</v>
      </c>
      <c r="I28" s="61">
        <v>3</v>
      </c>
      <c r="J28" s="61" t="s">
        <v>157</v>
      </c>
      <c r="K28" s="61">
        <v>3</v>
      </c>
      <c r="L28" s="167"/>
      <c r="M28" s="32" t="s">
        <v>115</v>
      </c>
      <c r="N28" s="36">
        <f>MAIN!$F$4+(MAIN!$G$18+MAIN!$G$19)/2*MAIN!$B$9+(MAIN!$G$20+MAIN!$G$21)/2*MAIN!$B$8+(MAIN!$G$80*MAIN!$B$11)+($R$3*MAIN!$B$10)</f>
        <v>7732</v>
      </c>
      <c r="O28" s="36">
        <f>MAIN!$G$4+(MAIN!$G$18+MAIN!$G$19)/2*MAIN!$B$9+(MAIN!$G$20+MAIN!$G$21)/2*MAIN!$B$8+(MAIN!$G$80*MAIN!$B$11)+($R$3*MAIN!$B$10)</f>
        <v>7739</v>
      </c>
      <c r="P28" s="36">
        <f>MAIN!$H$4+(MAIN!$G$18+MAIN!$G$19)/2*MAIN!$B$9+(MAIN!$G$20+MAIN!$G$21)/2*MAIN!$B$8+(MAIN!$G$80*MAIN!$B$11)+($R$3*MAIN!$B$10)</f>
        <v>7753</v>
      </c>
      <c r="Q28" s="36">
        <f>MAIN!$I$4+(MAIN!$G$18+MAIN!$G$19)/2*MAIN!$B$9+(MAIN!$G$20+MAIN!$G$21)/2*MAIN!$B$8+(MAIN!$G$80*MAIN!$B$11)+($R$3*MAIN!$B$10)</f>
        <v>7781</v>
      </c>
      <c r="R28" s="36">
        <f>MAIN!$J$4+(MAIN!$G$18+MAIN!$G$19)/2*MAIN!$B$9+(MAIN!$G$20+MAIN!$G$21)/2*MAIN!$B$8+(MAIN!$G$80*MAIN!$B$11)+($R$3*MAIN!$B$10)</f>
        <v>7837</v>
      </c>
    </row>
    <row r="29" spans="1:23" s="24" customFormat="1" ht="15" customHeight="1" x14ac:dyDescent="0.25">
      <c r="A29" s="27"/>
      <c r="B29" s="27"/>
      <c r="C29" s="62">
        <v>3</v>
      </c>
      <c r="D29" s="62" t="s">
        <v>172</v>
      </c>
      <c r="E29" s="62">
        <v>5</v>
      </c>
      <c r="F29" s="62" t="s">
        <v>175</v>
      </c>
      <c r="G29" s="62">
        <v>5</v>
      </c>
      <c r="H29" s="62" t="s">
        <v>187</v>
      </c>
      <c r="I29" s="62">
        <v>5</v>
      </c>
      <c r="J29" s="62" t="s">
        <v>196</v>
      </c>
      <c r="K29" s="62">
        <v>5</v>
      </c>
      <c r="L29" s="167"/>
      <c r="M29" s="31" t="s">
        <v>116</v>
      </c>
      <c r="N29" s="34">
        <f>MAIN!$F$5+(MAIN!$G$18+MAIN!$G$19)/2*MAIN!$B$9+(MAIN!$G$20+MAIN!$G$21)/2*MAIN!$B$8+(MAIN!$G$91*MAIN!$B$11)+($R$3*MAIN!$B$10)</f>
        <v>7204</v>
      </c>
      <c r="O29" s="35">
        <f>MAIN!$G$5+(MAIN!$G$18+MAIN!$G$19)/2*MAIN!$B$9+(MAIN!$G$20+MAIN!$G$21)/2*MAIN!$B$8+(MAIN!$G$91*MAIN!$B$11)+($R$3*MAIN!$B$10)</f>
        <v>7208</v>
      </c>
      <c r="P29" s="34">
        <f>MAIN!$H$5+(MAIN!$G$18+MAIN!$G$19)/2*MAIN!$B$9+(MAIN!$G$20+MAIN!$G$21)/2*MAIN!$B$8+(MAIN!$G$91*MAIN!$B$11)+($R$3*MAIN!$B$10)</f>
        <v>7216</v>
      </c>
      <c r="Q29" s="35">
        <f>MAIN!$I$5+(MAIN!$G$18+MAIN!$G$19)/2*MAIN!$B$9+(MAIN!$G$20+MAIN!$G$21)/2*MAIN!$B$8+(MAIN!$G$91*MAIN!$B$11)+($R$3*MAIN!$B$10)</f>
        <v>7232</v>
      </c>
      <c r="R29" s="34">
        <f>MAIN!$J$5+(MAIN!$G$18+MAIN!$G$19)/2*MAIN!$B$9+(MAIN!$G$20+MAIN!$G$21)/2*MAIN!$B$8+(MAIN!$G$91*MAIN!$B$11)+($R$3*MAIN!$B$10)</f>
        <v>7264</v>
      </c>
    </row>
    <row r="30" spans="1:23" s="24" customFormat="1" ht="15" customHeight="1" x14ac:dyDescent="0.25">
      <c r="A30" s="27"/>
      <c r="B30" s="27"/>
      <c r="C30" s="63">
        <v>4</v>
      </c>
      <c r="D30" s="63" t="s">
        <v>180</v>
      </c>
      <c r="E30" s="63">
        <v>7</v>
      </c>
      <c r="F30" s="63" t="s">
        <v>176</v>
      </c>
      <c r="G30" s="63">
        <v>7</v>
      </c>
      <c r="H30" s="62" t="s">
        <v>188</v>
      </c>
      <c r="I30" s="62">
        <v>5</v>
      </c>
      <c r="J30" s="63" t="s">
        <v>194</v>
      </c>
      <c r="K30" s="63">
        <v>7</v>
      </c>
      <c r="M30"/>
      <c r="N30"/>
      <c r="O30"/>
      <c r="P30"/>
      <c r="Q30"/>
    </row>
    <row r="31" spans="1:23" s="27" customFormat="1" ht="15" customHeight="1" x14ac:dyDescent="0.25">
      <c r="C31" s="64">
        <v>5</v>
      </c>
      <c r="D31" s="63" t="s">
        <v>179</v>
      </c>
      <c r="E31" s="63">
        <v>7</v>
      </c>
      <c r="F31" s="64" t="s">
        <v>177</v>
      </c>
      <c r="G31" s="64">
        <v>9</v>
      </c>
      <c r="H31" s="63" t="s">
        <v>189</v>
      </c>
      <c r="I31" s="63">
        <v>7</v>
      </c>
      <c r="J31" s="64" t="s">
        <v>195</v>
      </c>
      <c r="K31" s="64">
        <v>9</v>
      </c>
    </row>
    <row r="32" spans="1:23" s="24" customFormat="1" ht="15" customHeight="1" x14ac:dyDescent="0.25">
      <c r="A32" s="27"/>
      <c r="B32" s="27"/>
      <c r="C32" s="65">
        <v>6</v>
      </c>
      <c r="D32" s="63" t="s">
        <v>182</v>
      </c>
      <c r="E32" s="63">
        <v>7</v>
      </c>
      <c r="F32" s="65" t="s">
        <v>178</v>
      </c>
      <c r="G32" s="65">
        <v>11</v>
      </c>
      <c r="H32" s="64" t="s">
        <v>190</v>
      </c>
      <c r="I32" s="64">
        <v>9</v>
      </c>
      <c r="J32" s="65" t="s">
        <v>285</v>
      </c>
      <c r="K32" s="66">
        <v>11</v>
      </c>
      <c r="M32"/>
      <c r="N32"/>
      <c r="O32"/>
      <c r="P32"/>
      <c r="Q32"/>
    </row>
    <row r="33" spans="1:23" s="24" customFormat="1" ht="15" customHeight="1" x14ac:dyDescent="0.25">
      <c r="A33" s="27"/>
      <c r="B33" s="27"/>
      <c r="C33" s="28"/>
      <c r="D33" s="64" t="s">
        <v>290</v>
      </c>
      <c r="E33" s="64">
        <v>9</v>
      </c>
      <c r="F33" s="2"/>
      <c r="G33" s="2"/>
      <c r="H33" s="65" t="s">
        <v>191</v>
      </c>
      <c r="I33" s="66">
        <v>11</v>
      </c>
      <c r="J33" s="39"/>
      <c r="K33" s="2"/>
      <c r="M33"/>
      <c r="N33"/>
      <c r="O33"/>
      <c r="P33"/>
      <c r="Q33"/>
    </row>
    <row r="34" spans="1:23" s="24" customFormat="1" ht="15" customHeight="1" x14ac:dyDescent="0.25">
      <c r="A34" s="27"/>
      <c r="B34" s="27"/>
      <c r="C34" s="28"/>
      <c r="D34" s="64" t="s">
        <v>181</v>
      </c>
      <c r="E34" s="64">
        <v>9</v>
      </c>
      <c r="F34" s="2"/>
      <c r="G34" s="2"/>
      <c r="H34" s="65" t="s">
        <v>192</v>
      </c>
      <c r="I34" s="66">
        <v>11</v>
      </c>
      <c r="J34" s="2"/>
      <c r="K34" s="2"/>
      <c r="M34"/>
      <c r="N34"/>
      <c r="O34"/>
      <c r="P34"/>
      <c r="Q34"/>
      <c r="R34"/>
      <c r="S34"/>
      <c r="T34"/>
      <c r="U34"/>
    </row>
    <row r="35" spans="1:23" s="24" customFormat="1" x14ac:dyDescent="0.25">
      <c r="A35" s="27"/>
      <c r="B35" s="27"/>
      <c r="C35" s="28"/>
      <c r="D35" s="64" t="s">
        <v>254</v>
      </c>
      <c r="E35" s="64">
        <v>9</v>
      </c>
      <c r="F35" s="129"/>
      <c r="G35" s="2"/>
      <c r="H35" s="65" t="s">
        <v>264</v>
      </c>
      <c r="I35" s="66">
        <v>11</v>
      </c>
      <c r="J35" s="2"/>
      <c r="K35" s="2"/>
      <c r="N35"/>
      <c r="O35"/>
      <c r="P35"/>
      <c r="Q35"/>
      <c r="R35"/>
      <c r="S35"/>
      <c r="T35"/>
      <c r="U35"/>
      <c r="V35"/>
      <c r="W35"/>
    </row>
    <row r="36" spans="1:23" s="24" customFormat="1" x14ac:dyDescent="0.25">
      <c r="A36" s="27"/>
      <c r="B36" s="27"/>
      <c r="C36" s="28"/>
      <c r="D36" s="64" t="s">
        <v>183</v>
      </c>
      <c r="E36" s="64">
        <v>9</v>
      </c>
      <c r="F36" s="2"/>
      <c r="G36" s="2"/>
      <c r="H36" s="65" t="s">
        <v>291</v>
      </c>
      <c r="I36" s="66">
        <v>11</v>
      </c>
      <c r="J36" s="2"/>
      <c r="K36" s="2"/>
      <c r="N36"/>
      <c r="O36"/>
      <c r="P36"/>
      <c r="Q36"/>
      <c r="R36"/>
      <c r="S36"/>
      <c r="T36"/>
      <c r="U36"/>
      <c r="V36"/>
      <c r="W36"/>
    </row>
    <row r="37" spans="1:23" s="24" customFormat="1" x14ac:dyDescent="0.25">
      <c r="A37" s="27"/>
      <c r="B37" s="27"/>
      <c r="C37" s="27"/>
      <c r="D37" s="65" t="s">
        <v>257</v>
      </c>
      <c r="E37" s="66">
        <v>11</v>
      </c>
      <c r="F37" s="2"/>
      <c r="G37" s="2"/>
      <c r="H37" s="2"/>
      <c r="I37" s="2"/>
      <c r="J37" s="2"/>
      <c r="K37" s="2"/>
      <c r="N37"/>
      <c r="O37"/>
      <c r="P37"/>
      <c r="Q37"/>
      <c r="R37"/>
      <c r="S37"/>
      <c r="T37"/>
      <c r="U37"/>
      <c r="V37"/>
      <c r="W37"/>
    </row>
    <row r="38" spans="1:23" s="24" customFormat="1" x14ac:dyDescent="0.25">
      <c r="A38" s="27"/>
      <c r="B38" s="27"/>
      <c r="C38" s="27"/>
      <c r="D38" s="65" t="s">
        <v>184</v>
      </c>
      <c r="E38" s="66">
        <v>11</v>
      </c>
      <c r="F38" s="2"/>
      <c r="G38" s="2"/>
      <c r="H38" s="2"/>
      <c r="I38" s="2"/>
      <c r="J38" s="2"/>
      <c r="K38" s="2"/>
      <c r="N38"/>
      <c r="O38"/>
      <c r="P38"/>
      <c r="Q38"/>
      <c r="R38"/>
      <c r="S38"/>
      <c r="T38"/>
      <c r="U38"/>
      <c r="V38"/>
      <c r="W38"/>
    </row>
    <row r="39" spans="1:23" x14ac:dyDescent="0.25">
      <c r="B39"/>
      <c r="C39"/>
      <c r="D39" s="65" t="s">
        <v>265</v>
      </c>
      <c r="E39" s="66">
        <v>11</v>
      </c>
      <c r="F39"/>
      <c r="G39"/>
      <c r="H39"/>
      <c r="I39"/>
      <c r="J39"/>
      <c r="K39"/>
    </row>
    <row r="40" spans="1:23" x14ac:dyDescent="0.25">
      <c r="B40"/>
      <c r="C40"/>
      <c r="D40" s="65" t="s">
        <v>1072</v>
      </c>
      <c r="E40" s="66">
        <v>11</v>
      </c>
      <c r="F40"/>
      <c r="G40"/>
      <c r="H40" s="13"/>
      <c r="I40" s="13"/>
      <c r="J40" s="13"/>
      <c r="K40" s="13"/>
    </row>
    <row r="41" spans="1:23" s="134" customFormat="1" x14ac:dyDescent="0.25">
      <c r="H41" s="13"/>
      <c r="I41" s="13"/>
      <c r="J41" s="13"/>
      <c r="K41" s="13"/>
    </row>
    <row r="42" spans="1:23" s="134" customFormat="1" x14ac:dyDescent="0.25">
      <c r="H42" s="13"/>
      <c r="I42" s="13"/>
      <c r="J42" s="13"/>
      <c r="K42" s="13"/>
    </row>
    <row r="43" spans="1:23" s="134" customFormat="1" x14ac:dyDescent="0.25">
      <c r="H43" s="13"/>
      <c r="I43" s="13"/>
      <c r="J43" s="13"/>
      <c r="K43" s="13"/>
    </row>
    <row r="44" spans="1:23" x14ac:dyDescent="0.25">
      <c r="B44" s="79"/>
      <c r="C44" s="78"/>
      <c r="D44" s="157" t="s">
        <v>266</v>
      </c>
      <c r="E44" s="157"/>
      <c r="F44" s="157"/>
      <c r="G44" s="157"/>
      <c r="H44" s="157" t="s">
        <v>286</v>
      </c>
      <c r="I44" s="157"/>
      <c r="J44" s="157"/>
      <c r="K44" s="157"/>
    </row>
    <row r="45" spans="1:23" x14ac:dyDescent="0.25">
      <c r="B45" s="79"/>
      <c r="C45" s="78"/>
      <c r="D45" s="155" t="s">
        <v>267</v>
      </c>
      <c r="E45" s="156"/>
      <c r="F45" s="156"/>
      <c r="G45" s="156"/>
      <c r="H45" s="155" t="s">
        <v>269</v>
      </c>
      <c r="I45" s="156"/>
      <c r="J45" s="156"/>
      <c r="K45" s="156"/>
    </row>
    <row r="46" spans="1:23" x14ac:dyDescent="0.25">
      <c r="A46" s="59" t="s">
        <v>1380</v>
      </c>
      <c r="B46" s="59" t="s">
        <v>1371</v>
      </c>
      <c r="C46" s="59" t="s">
        <v>19</v>
      </c>
      <c r="D46" s="59" t="s">
        <v>280</v>
      </c>
      <c r="E46" s="59" t="s">
        <v>158</v>
      </c>
      <c r="F46" s="59" t="s">
        <v>268</v>
      </c>
      <c r="G46" s="59" t="s">
        <v>281</v>
      </c>
      <c r="H46" s="59" t="s">
        <v>282</v>
      </c>
      <c r="I46" s="59" t="s">
        <v>158</v>
      </c>
      <c r="J46" s="59" t="s">
        <v>268</v>
      </c>
      <c r="K46" s="59" t="s">
        <v>281</v>
      </c>
    </row>
    <row r="47" spans="1:23" x14ac:dyDescent="0.25">
      <c r="A47" s="134" t="s">
        <v>1381</v>
      </c>
      <c r="B47" s="133">
        <v>1</v>
      </c>
      <c r="C47" s="60">
        <v>1</v>
      </c>
      <c r="D47" s="60" t="s">
        <v>270</v>
      </c>
      <c r="E47" s="60">
        <f>3*C3</f>
        <v>3</v>
      </c>
      <c r="F47" s="60">
        <v>1</v>
      </c>
      <c r="G47" s="60">
        <f>E47/F47</f>
        <v>3</v>
      </c>
      <c r="H47" s="60" t="s">
        <v>193</v>
      </c>
      <c r="I47" s="60">
        <f t="shared" ref="I47:I52" si="1">K27</f>
        <v>1</v>
      </c>
      <c r="J47" s="60">
        <v>3</v>
      </c>
      <c r="K47" s="60">
        <f>ROUNDUP(I47/J47,1)</f>
        <v>0.4</v>
      </c>
    </row>
    <row r="48" spans="1:23" x14ac:dyDescent="0.25">
      <c r="A48" s="27" t="s">
        <v>1382</v>
      </c>
      <c r="B48" s="133">
        <v>1.6</v>
      </c>
      <c r="C48" s="61">
        <v>2</v>
      </c>
      <c r="D48" s="61" t="s">
        <v>271</v>
      </c>
      <c r="E48" s="61">
        <f>E47*C4</f>
        <v>9</v>
      </c>
      <c r="F48" s="61">
        <v>2</v>
      </c>
      <c r="G48" s="61">
        <f t="shared" ref="G48:G57" si="2">E48/F48</f>
        <v>4.5</v>
      </c>
      <c r="H48" s="61" t="s">
        <v>157</v>
      </c>
      <c r="I48" s="61">
        <f t="shared" si="1"/>
        <v>3</v>
      </c>
      <c r="J48" s="61">
        <v>2</v>
      </c>
      <c r="K48" s="61">
        <f t="shared" ref="K48:K52" si="3">I48/J48</f>
        <v>1.5</v>
      </c>
    </row>
    <row r="49" spans="1:16" x14ac:dyDescent="0.25">
      <c r="A49" s="149" t="s">
        <v>1383</v>
      </c>
      <c r="B49" s="133">
        <v>1.8</v>
      </c>
      <c r="C49" s="62">
        <v>3</v>
      </c>
      <c r="D49" s="62" t="s">
        <v>272</v>
      </c>
      <c r="E49" s="62">
        <f>E47*C5</f>
        <v>15</v>
      </c>
      <c r="F49" s="62">
        <v>2</v>
      </c>
      <c r="G49" s="62">
        <f t="shared" si="2"/>
        <v>7.5</v>
      </c>
      <c r="H49" s="62" t="s">
        <v>283</v>
      </c>
      <c r="I49" s="62">
        <f t="shared" si="1"/>
        <v>5</v>
      </c>
      <c r="J49" s="62">
        <v>2</v>
      </c>
      <c r="K49" s="62">
        <f t="shared" si="3"/>
        <v>2.5</v>
      </c>
    </row>
    <row r="50" spans="1:16" x14ac:dyDescent="0.25">
      <c r="A50" s="149" t="s">
        <v>1384</v>
      </c>
      <c r="B50" s="150">
        <v>2</v>
      </c>
      <c r="C50" s="63">
        <v>4</v>
      </c>
      <c r="D50" s="62" t="s">
        <v>273</v>
      </c>
      <c r="E50" s="62">
        <f>E47*C5</f>
        <v>15</v>
      </c>
      <c r="F50" s="62">
        <v>1</v>
      </c>
      <c r="G50" s="62">
        <f t="shared" si="2"/>
        <v>15</v>
      </c>
      <c r="H50" s="63" t="s">
        <v>194</v>
      </c>
      <c r="I50" s="63">
        <f t="shared" si="1"/>
        <v>7</v>
      </c>
      <c r="J50" s="63">
        <v>1</v>
      </c>
      <c r="K50" s="63">
        <f t="shared" si="3"/>
        <v>7</v>
      </c>
    </row>
    <row r="51" spans="1:16" x14ac:dyDescent="0.25">
      <c r="A51" s="149" t="s">
        <v>1387</v>
      </c>
      <c r="B51" s="150">
        <v>0.5</v>
      </c>
      <c r="C51" s="64">
        <v>5</v>
      </c>
      <c r="D51" s="63" t="s">
        <v>279</v>
      </c>
      <c r="E51" s="63">
        <f>E47*C6</f>
        <v>21</v>
      </c>
      <c r="F51" s="63">
        <v>2</v>
      </c>
      <c r="G51" s="63">
        <f t="shared" si="2"/>
        <v>10.5</v>
      </c>
      <c r="H51" s="64" t="s">
        <v>284</v>
      </c>
      <c r="I51" s="64">
        <f t="shared" si="1"/>
        <v>9</v>
      </c>
      <c r="J51" s="64">
        <v>2</v>
      </c>
      <c r="K51" s="64">
        <f t="shared" si="3"/>
        <v>4.5</v>
      </c>
      <c r="P51" s="28"/>
    </row>
    <row r="52" spans="1:16" x14ac:dyDescent="0.25">
      <c r="B52" s="79"/>
      <c r="C52" s="65">
        <v>6</v>
      </c>
      <c r="D52" s="63" t="s">
        <v>274</v>
      </c>
      <c r="E52" s="63">
        <f>E47*C6</f>
        <v>21</v>
      </c>
      <c r="F52" s="63">
        <v>7</v>
      </c>
      <c r="G52" s="63">
        <f t="shared" si="2"/>
        <v>3</v>
      </c>
      <c r="H52" s="65" t="s">
        <v>285</v>
      </c>
      <c r="I52" s="65">
        <f t="shared" si="1"/>
        <v>11</v>
      </c>
      <c r="J52" s="65">
        <v>2</v>
      </c>
      <c r="K52" s="65">
        <f t="shared" si="3"/>
        <v>5.5</v>
      </c>
      <c r="P52" s="28"/>
    </row>
    <row r="53" spans="1:16" x14ac:dyDescent="0.25">
      <c r="B53" s="79"/>
      <c r="C53" s="70"/>
      <c r="D53" s="63" t="s">
        <v>275</v>
      </c>
      <c r="E53" s="63">
        <f>E47*C6</f>
        <v>21</v>
      </c>
      <c r="F53" s="63">
        <v>1</v>
      </c>
      <c r="G53" s="63">
        <f t="shared" si="2"/>
        <v>21</v>
      </c>
      <c r="H53"/>
      <c r="I53"/>
      <c r="J53"/>
      <c r="K53"/>
      <c r="P53" s="28"/>
    </row>
    <row r="54" spans="1:16" x14ac:dyDescent="0.25">
      <c r="B54"/>
      <c r="C54" s="70"/>
      <c r="D54" s="64" t="s">
        <v>287</v>
      </c>
      <c r="E54" s="64">
        <f>E47*C7</f>
        <v>27</v>
      </c>
      <c r="F54" s="64">
        <v>2</v>
      </c>
      <c r="G54" s="64">
        <f>E54/F54</f>
        <v>13.5</v>
      </c>
      <c r="H54"/>
      <c r="I54"/>
      <c r="J54"/>
      <c r="K54"/>
      <c r="P54" s="28"/>
    </row>
    <row r="55" spans="1:16" x14ac:dyDescent="0.25">
      <c r="B55"/>
      <c r="C55" s="70"/>
      <c r="D55" s="64" t="s">
        <v>276</v>
      </c>
      <c r="E55" s="64">
        <f>E47*C7</f>
        <v>27</v>
      </c>
      <c r="F55" s="64">
        <v>2</v>
      </c>
      <c r="G55" s="64">
        <f t="shared" si="2"/>
        <v>13.5</v>
      </c>
      <c r="H55"/>
      <c r="I55"/>
      <c r="J55"/>
      <c r="K55"/>
      <c r="P55" s="28"/>
    </row>
    <row r="56" spans="1:16" x14ac:dyDescent="0.25">
      <c r="A56"/>
      <c r="B56"/>
      <c r="C56" s="70"/>
      <c r="D56" s="64" t="s">
        <v>277</v>
      </c>
      <c r="E56" s="64">
        <f>E47*C7</f>
        <v>27</v>
      </c>
      <c r="F56" s="64">
        <v>1</v>
      </c>
      <c r="G56" s="64">
        <f t="shared" si="2"/>
        <v>27</v>
      </c>
      <c r="H56"/>
      <c r="I56"/>
      <c r="J56"/>
      <c r="K56"/>
      <c r="L56"/>
      <c r="M56"/>
    </row>
    <row r="57" spans="1:16" x14ac:dyDescent="0.25">
      <c r="A57"/>
      <c r="B57"/>
      <c r="C57" s="79"/>
      <c r="D57" s="65" t="s">
        <v>278</v>
      </c>
      <c r="E57" s="65">
        <f>E47*C8</f>
        <v>33</v>
      </c>
      <c r="F57" s="65">
        <v>2</v>
      </c>
      <c r="G57" s="65">
        <f t="shared" si="2"/>
        <v>16.5</v>
      </c>
      <c r="H57"/>
      <c r="I57"/>
      <c r="J57"/>
      <c r="K57"/>
      <c r="L57"/>
      <c r="M57"/>
    </row>
    <row r="58" spans="1:16" x14ac:dyDescent="0.25">
      <c r="A58"/>
      <c r="B58"/>
      <c r="C58" s="79"/>
      <c r="D58"/>
      <c r="E58"/>
      <c r="F58"/>
      <c r="G58"/>
      <c r="H58"/>
      <c r="I58"/>
      <c r="J58"/>
      <c r="K58"/>
      <c r="L58"/>
      <c r="M58"/>
    </row>
    <row r="59" spans="1:16" x14ac:dyDescent="0.25">
      <c r="A59"/>
      <c r="B59"/>
      <c r="C59"/>
      <c r="D59"/>
      <c r="E59"/>
      <c r="F59"/>
      <c r="G59"/>
      <c r="H59"/>
      <c r="I59"/>
      <c r="J59"/>
      <c r="K59"/>
      <c r="L59"/>
      <c r="M59"/>
    </row>
    <row r="60" spans="1:16" x14ac:dyDescent="0.25">
      <c r="A60"/>
      <c r="B60"/>
      <c r="C60"/>
      <c r="D60"/>
      <c r="E60"/>
      <c r="F60"/>
      <c r="G60"/>
      <c r="H60"/>
      <c r="I60"/>
      <c r="J60"/>
      <c r="K60"/>
      <c r="L60"/>
      <c r="M60"/>
    </row>
    <row r="61" spans="1:16" x14ac:dyDescent="0.25">
      <c r="A61"/>
      <c r="B61"/>
      <c r="C61"/>
      <c r="D61" t="s">
        <v>288</v>
      </c>
      <c r="E61" t="s">
        <v>289</v>
      </c>
      <c r="F61"/>
      <c r="G61"/>
      <c r="H61"/>
      <c r="I61"/>
      <c r="J61"/>
      <c r="K61"/>
      <c r="L61"/>
      <c r="M61"/>
    </row>
    <row r="62" spans="1:16" s="42" customFormat="1" x14ac:dyDescent="0.25">
      <c r="B62"/>
      <c r="C62"/>
      <c r="D62" s="68" t="s">
        <v>237</v>
      </c>
      <c r="E62" t="e">
        <f>E77</f>
        <v>#REF!</v>
      </c>
      <c r="G62" s="72">
        <v>35</v>
      </c>
      <c r="H62" s="67" t="s">
        <v>210</v>
      </c>
      <c r="I62" s="86">
        <v>1</v>
      </c>
    </row>
    <row r="63" spans="1:16" x14ac:dyDescent="0.25">
      <c r="A63"/>
      <c r="B63"/>
      <c r="C63"/>
      <c r="D63" s="68" t="s">
        <v>238</v>
      </c>
      <c r="E63" s="85" t="e">
        <f>E78</f>
        <v>#REF!</v>
      </c>
      <c r="G63" s="72" t="s">
        <v>216</v>
      </c>
      <c r="H63" s="67" t="s">
        <v>202</v>
      </c>
      <c r="I63" s="86">
        <v>2</v>
      </c>
      <c r="M63"/>
    </row>
    <row r="64" spans="1:16" x14ac:dyDescent="0.25">
      <c r="A64"/>
      <c r="B64"/>
      <c r="C64"/>
      <c r="D64" s="68" t="s">
        <v>239</v>
      </c>
      <c r="E64"/>
      <c r="G64" s="72" t="s">
        <v>226</v>
      </c>
      <c r="H64" s="67" t="s">
        <v>225</v>
      </c>
      <c r="I64" s="86">
        <v>2</v>
      </c>
      <c r="M64"/>
    </row>
    <row r="65" spans="1:13" x14ac:dyDescent="0.25">
      <c r="A65"/>
      <c r="B65"/>
      <c r="C65"/>
      <c r="D65" s="68" t="s">
        <v>240</v>
      </c>
      <c r="E65"/>
      <c r="G65" s="72" t="s">
        <v>228</v>
      </c>
      <c r="H65" s="67" t="s">
        <v>227</v>
      </c>
      <c r="I65" s="86">
        <v>2</v>
      </c>
      <c r="M65"/>
    </row>
    <row r="66" spans="1:13" x14ac:dyDescent="0.25">
      <c r="A66"/>
      <c r="B66"/>
      <c r="C66"/>
      <c r="D66" s="68" t="s">
        <v>241</v>
      </c>
      <c r="E66"/>
      <c r="G66" s="72" t="s">
        <v>230</v>
      </c>
      <c r="H66" s="67" t="s">
        <v>229</v>
      </c>
      <c r="I66" s="86">
        <v>2</v>
      </c>
      <c r="M66"/>
    </row>
    <row r="67" spans="1:13" x14ac:dyDescent="0.25">
      <c r="A67"/>
      <c r="B67"/>
      <c r="C67"/>
      <c r="D67" s="68" t="s">
        <v>242</v>
      </c>
      <c r="E67"/>
      <c r="G67" s="72" t="s">
        <v>232</v>
      </c>
      <c r="H67" s="67" t="s">
        <v>231</v>
      </c>
      <c r="I67" s="86">
        <v>2</v>
      </c>
      <c r="M67"/>
    </row>
    <row r="68" spans="1:13" x14ac:dyDescent="0.25">
      <c r="A68"/>
      <c r="B68"/>
      <c r="C68"/>
      <c r="D68" s="68" t="s">
        <v>243</v>
      </c>
      <c r="E68"/>
      <c r="G68" s="72" t="s">
        <v>234</v>
      </c>
      <c r="H68" s="67" t="s">
        <v>233</v>
      </c>
      <c r="I68" s="86">
        <v>2</v>
      </c>
      <c r="M68"/>
    </row>
    <row r="69" spans="1:13" x14ac:dyDescent="0.25">
      <c r="A69"/>
      <c r="B69"/>
      <c r="C69"/>
      <c r="D69" s="68" t="s">
        <v>244</v>
      </c>
      <c r="E69"/>
      <c r="G69" s="72" t="s">
        <v>211</v>
      </c>
      <c r="H69" s="67" t="s">
        <v>201</v>
      </c>
      <c r="I69" s="86">
        <v>3</v>
      </c>
      <c r="M69"/>
    </row>
    <row r="70" spans="1:13" x14ac:dyDescent="0.25">
      <c r="A70"/>
      <c r="B70"/>
      <c r="C70"/>
      <c r="D70" s="68" t="s">
        <v>245</v>
      </c>
      <c r="E70"/>
      <c r="G70" s="72" t="s">
        <v>215</v>
      </c>
      <c r="H70" s="67" t="s">
        <v>214</v>
      </c>
      <c r="I70" s="86">
        <v>3</v>
      </c>
      <c r="M70"/>
    </row>
    <row r="71" spans="1:13" x14ac:dyDescent="0.25">
      <c r="B71"/>
      <c r="C71"/>
      <c r="D71" s="68" t="s">
        <v>246</v>
      </c>
      <c r="E71"/>
      <c r="G71" s="72" t="s">
        <v>219</v>
      </c>
      <c r="H71" s="67" t="s">
        <v>203</v>
      </c>
      <c r="I71" s="86">
        <v>3</v>
      </c>
      <c r="M71"/>
    </row>
    <row r="72" spans="1:13" x14ac:dyDescent="0.25">
      <c r="B72"/>
      <c r="C72"/>
      <c r="D72" s="68" t="s">
        <v>247</v>
      </c>
      <c r="E72"/>
      <c r="G72" s="72" t="s">
        <v>220</v>
      </c>
      <c r="H72" s="67" t="s">
        <v>204</v>
      </c>
      <c r="I72" s="86">
        <v>3</v>
      </c>
      <c r="M72"/>
    </row>
    <row r="73" spans="1:13" x14ac:dyDescent="0.25">
      <c r="B73"/>
      <c r="C73"/>
      <c r="D73" s="68" t="s">
        <v>248</v>
      </c>
      <c r="E73"/>
      <c r="G73" s="72" t="s">
        <v>222</v>
      </c>
      <c r="H73" s="67" t="s">
        <v>206</v>
      </c>
      <c r="I73" s="86">
        <v>3</v>
      </c>
      <c r="M73"/>
    </row>
    <row r="74" spans="1:13" x14ac:dyDescent="0.25">
      <c r="B74"/>
      <c r="C74"/>
      <c r="D74" s="68" t="s">
        <v>249</v>
      </c>
      <c r="E74"/>
      <c r="G74" s="72" t="s">
        <v>224</v>
      </c>
      <c r="H74" s="67" t="s">
        <v>223</v>
      </c>
      <c r="I74" s="86">
        <v>3</v>
      </c>
      <c r="M74"/>
    </row>
    <row r="75" spans="1:13" x14ac:dyDescent="0.25">
      <c r="B75"/>
      <c r="C75"/>
      <c r="D75" s="68" t="s">
        <v>250</v>
      </c>
      <c r="E75"/>
      <c r="G75" s="72" t="s">
        <v>218</v>
      </c>
      <c r="H75" s="67" t="s">
        <v>217</v>
      </c>
      <c r="I75" s="86">
        <v>4</v>
      </c>
      <c r="M75"/>
    </row>
    <row r="76" spans="1:13" x14ac:dyDescent="0.25">
      <c r="B76"/>
      <c r="C76"/>
      <c r="D76" s="68" t="s">
        <v>251</v>
      </c>
      <c r="E76"/>
      <c r="G76" s="72" t="s">
        <v>221</v>
      </c>
      <c r="H76" s="67" t="s">
        <v>205</v>
      </c>
      <c r="I76" s="86">
        <v>5</v>
      </c>
      <c r="M76"/>
    </row>
    <row r="77" spans="1:13" x14ac:dyDescent="0.25">
      <c r="B77"/>
      <c r="C77"/>
      <c r="D77" s="68" t="s">
        <v>252</v>
      </c>
      <c r="E77" t="e">
        <f>E78*1.2</f>
        <v>#REF!</v>
      </c>
      <c r="G77" s="72" t="s">
        <v>213</v>
      </c>
      <c r="H77" s="67" t="s">
        <v>212</v>
      </c>
      <c r="I77" s="86">
        <v>6</v>
      </c>
      <c r="M77"/>
    </row>
    <row r="78" spans="1:13" x14ac:dyDescent="0.25">
      <c r="B78"/>
      <c r="C78"/>
      <c r="D78" s="68" t="s">
        <v>253</v>
      </c>
      <c r="E78" t="e">
        <f>#REF!</f>
        <v>#REF!</v>
      </c>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c r="I93"/>
      <c r="J93"/>
      <c r="K93"/>
      <c r="L93"/>
      <c r="M93"/>
    </row>
    <row r="94" spans="2:13" x14ac:dyDescent="0.25">
      <c r="B94"/>
      <c r="C94"/>
      <c r="D94"/>
      <c r="E94"/>
      <c r="F94"/>
      <c r="G94"/>
      <c r="H94"/>
      <c r="I94"/>
      <c r="J94"/>
      <c r="K94"/>
      <c r="L94"/>
      <c r="M94"/>
    </row>
    <row r="95" spans="2:13" x14ac:dyDescent="0.25">
      <c r="B95"/>
      <c r="C95"/>
      <c r="D95"/>
      <c r="E95"/>
      <c r="F95"/>
      <c r="G95"/>
      <c r="H95"/>
      <c r="I95"/>
      <c r="J95"/>
      <c r="K95"/>
      <c r="L95"/>
      <c r="M95"/>
    </row>
    <row r="96" spans="2:13" x14ac:dyDescent="0.25">
      <c r="B96"/>
      <c r="C96"/>
      <c r="D96"/>
      <c r="E96"/>
      <c r="F96"/>
      <c r="G96"/>
      <c r="H96" s="42"/>
      <c r="I96" s="42"/>
      <c r="J96"/>
      <c r="K96"/>
      <c r="L96"/>
      <c r="M96"/>
    </row>
    <row r="97" spans="2:13" x14ac:dyDescent="0.25">
      <c r="B97"/>
      <c r="C97"/>
      <c r="D97"/>
      <c r="E97"/>
      <c r="F97"/>
      <c r="G97"/>
      <c r="H97" s="42"/>
      <c r="I97" s="42"/>
      <c r="J97"/>
      <c r="K97"/>
      <c r="L97"/>
      <c r="M97"/>
    </row>
    <row r="98" spans="2:13" x14ac:dyDescent="0.25">
      <c r="B98"/>
      <c r="C98"/>
      <c r="D98"/>
      <c r="E98"/>
      <c r="F98"/>
      <c r="G98"/>
      <c r="H98" s="42"/>
      <c r="I98" s="42"/>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c r="K103"/>
      <c r="L103"/>
      <c r="M103"/>
    </row>
    <row r="104" spans="2:13" x14ac:dyDescent="0.25">
      <c r="B104"/>
      <c r="C104"/>
      <c r="D104"/>
      <c r="E104"/>
      <c r="F104"/>
      <c r="G104"/>
      <c r="H104"/>
      <c r="I104"/>
      <c r="J104"/>
      <c r="K104"/>
      <c r="L104"/>
      <c r="M104"/>
    </row>
    <row r="105" spans="2:13" x14ac:dyDescent="0.25">
      <c r="B105"/>
      <c r="C105"/>
      <c r="D105"/>
      <c r="E105"/>
      <c r="F105"/>
      <c r="G105"/>
      <c r="H105"/>
      <c r="I105"/>
      <c r="J105"/>
      <c r="K105"/>
      <c r="L105"/>
      <c r="M105"/>
    </row>
    <row r="106" spans="2:13" x14ac:dyDescent="0.25">
      <c r="B106"/>
      <c r="C106"/>
      <c r="D106"/>
      <c r="E106"/>
      <c r="F106"/>
      <c r="G106"/>
      <c r="H106"/>
      <c r="I106"/>
      <c r="J106" s="42"/>
      <c r="K106" s="42"/>
      <c r="L106"/>
      <c r="M106"/>
    </row>
    <row r="107" spans="2:13" x14ac:dyDescent="0.25">
      <c r="B107"/>
      <c r="C107"/>
      <c r="D107"/>
      <c r="E107"/>
      <c r="F107"/>
      <c r="G107"/>
      <c r="H107"/>
      <c r="I107"/>
      <c r="J107" s="42"/>
      <c r="K107" s="42"/>
      <c r="L107"/>
      <c r="M107"/>
    </row>
    <row r="108" spans="2:13" x14ac:dyDescent="0.25">
      <c r="B108"/>
      <c r="C108"/>
      <c r="D108"/>
      <c r="E108"/>
      <c r="F108"/>
      <c r="G108"/>
      <c r="H108"/>
      <c r="I108"/>
      <c r="J108" s="42"/>
      <c r="K108" s="42"/>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c r="G112"/>
      <c r="H112"/>
      <c r="I112"/>
      <c r="J112"/>
      <c r="K112"/>
      <c r="L112"/>
      <c r="M112"/>
    </row>
    <row r="113" spans="2:13" x14ac:dyDescent="0.25">
      <c r="B113"/>
      <c r="C113"/>
      <c r="D113"/>
      <c r="E113"/>
      <c r="F113"/>
      <c r="G113"/>
      <c r="H113"/>
      <c r="I113"/>
      <c r="J113"/>
      <c r="K113"/>
      <c r="L113"/>
      <c r="M113"/>
    </row>
    <row r="114" spans="2:13" x14ac:dyDescent="0.25">
      <c r="B114"/>
      <c r="C114"/>
      <c r="D114"/>
      <c r="E114"/>
      <c r="F114"/>
      <c r="G114"/>
      <c r="H114"/>
      <c r="I114"/>
      <c r="J114"/>
      <c r="K114"/>
      <c r="L114"/>
      <c r="M114"/>
    </row>
    <row r="115" spans="2:13" x14ac:dyDescent="0.25">
      <c r="B115"/>
      <c r="C115"/>
      <c r="D115"/>
      <c r="E115"/>
      <c r="F115" s="42"/>
      <c r="G115" s="42"/>
      <c r="H115"/>
      <c r="I115"/>
      <c r="J115"/>
      <c r="K115"/>
      <c r="L115"/>
      <c r="M115"/>
    </row>
    <row r="116" spans="2:13" x14ac:dyDescent="0.25">
      <c r="B116"/>
      <c r="C116"/>
      <c r="D116"/>
      <c r="E116"/>
      <c r="F116" s="42"/>
      <c r="G116" s="42"/>
      <c r="H116"/>
      <c r="I116"/>
      <c r="J116"/>
      <c r="K116"/>
      <c r="L116"/>
      <c r="M116"/>
    </row>
    <row r="117" spans="2:13" x14ac:dyDescent="0.25">
      <c r="B117"/>
      <c r="C117"/>
      <c r="D117"/>
      <c r="E117"/>
      <c r="F117" s="42"/>
      <c r="G117" s="42"/>
      <c r="H117"/>
      <c r="I117"/>
      <c r="J117"/>
      <c r="K117"/>
      <c r="L117"/>
      <c r="M117"/>
    </row>
    <row r="118" spans="2:13" x14ac:dyDescent="0.25">
      <c r="B118"/>
      <c r="C118"/>
      <c r="D118"/>
      <c r="E118"/>
      <c r="F118"/>
      <c r="G118"/>
      <c r="H118"/>
      <c r="I118"/>
      <c r="J118"/>
      <c r="K118"/>
      <c r="L118"/>
      <c r="M118"/>
    </row>
    <row r="119" spans="2:13" x14ac:dyDescent="0.25">
      <c r="B119" s="42"/>
      <c r="C119"/>
      <c r="D119"/>
      <c r="E119"/>
      <c r="F119"/>
      <c r="G119"/>
      <c r="H119"/>
      <c r="I119"/>
      <c r="J119"/>
      <c r="K119"/>
      <c r="L119"/>
      <c r="M119"/>
    </row>
    <row r="120" spans="2:13" x14ac:dyDescent="0.25">
      <c r="B120" s="42"/>
      <c r="C120"/>
      <c r="D120"/>
      <c r="E120"/>
      <c r="F120"/>
      <c r="G120"/>
      <c r="H120"/>
      <c r="I120"/>
      <c r="J120"/>
      <c r="K120"/>
      <c r="L120"/>
      <c r="M120"/>
    </row>
    <row r="121" spans="2:13" x14ac:dyDescent="0.25">
      <c r="B121" s="42"/>
      <c r="C121"/>
      <c r="D121"/>
      <c r="E121"/>
      <c r="F121"/>
      <c r="G121"/>
      <c r="H121"/>
      <c r="I121"/>
      <c r="J121"/>
      <c r="K121"/>
      <c r="L121"/>
      <c r="M121"/>
    </row>
    <row r="122" spans="2:13" x14ac:dyDescent="0.25">
      <c r="B122"/>
      <c r="C122"/>
      <c r="D122"/>
      <c r="E122" s="42"/>
      <c r="F122"/>
      <c r="G122"/>
      <c r="H122"/>
      <c r="I122"/>
      <c r="J122"/>
      <c r="K122"/>
      <c r="L122"/>
      <c r="M122"/>
    </row>
    <row r="123" spans="2:13" x14ac:dyDescent="0.25">
      <c r="B123"/>
      <c r="C123"/>
      <c r="D123" s="42"/>
      <c r="E123" s="42"/>
      <c r="F123"/>
      <c r="G123"/>
      <c r="H123"/>
      <c r="I123"/>
      <c r="J123"/>
      <c r="K123"/>
      <c r="L123"/>
      <c r="M123"/>
    </row>
    <row r="124" spans="2:13" x14ac:dyDescent="0.25">
      <c r="B124"/>
      <c r="C124" s="42"/>
      <c r="D124" s="42"/>
      <c r="E124" s="42"/>
      <c r="F124"/>
      <c r="G124"/>
      <c r="H124"/>
      <c r="I124"/>
      <c r="J124"/>
      <c r="K124"/>
      <c r="L124"/>
      <c r="M124"/>
    </row>
    <row r="125" spans="2:13" x14ac:dyDescent="0.25">
      <c r="B125"/>
      <c r="C125" s="42"/>
      <c r="D125" s="42"/>
      <c r="E125"/>
      <c r="F125"/>
      <c r="G125"/>
      <c r="H125"/>
      <c r="I125"/>
      <c r="J125"/>
      <c r="K125"/>
      <c r="L125"/>
      <c r="M125"/>
    </row>
    <row r="126" spans="2:13" x14ac:dyDescent="0.25">
      <c r="B126"/>
      <c r="C126" s="42"/>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x14ac:dyDescent="0.25">
      <c r="B137"/>
      <c r="C137"/>
      <c r="D137"/>
      <c r="E137"/>
      <c r="F137"/>
      <c r="G137"/>
      <c r="H137"/>
      <c r="I137"/>
      <c r="J137"/>
      <c r="K137"/>
      <c r="L137"/>
      <c r="M137"/>
    </row>
    <row r="138" spans="2:13" x14ac:dyDescent="0.25">
      <c r="B138"/>
      <c r="C138"/>
      <c r="D138"/>
      <c r="E138"/>
      <c r="F138"/>
      <c r="G138"/>
      <c r="H138"/>
      <c r="I138"/>
      <c r="J138"/>
      <c r="K138"/>
      <c r="L138"/>
      <c r="M138"/>
    </row>
    <row r="139" spans="2:13" x14ac:dyDescent="0.25">
      <c r="B139"/>
      <c r="C139"/>
      <c r="D139"/>
      <c r="E139"/>
      <c r="F139"/>
      <c r="G139"/>
      <c r="H139"/>
      <c r="I139"/>
      <c r="J139"/>
      <c r="K139"/>
      <c r="L139"/>
      <c r="M139"/>
    </row>
    <row r="140" spans="2:13" s="42" customFormat="1" x14ac:dyDescent="0.25">
      <c r="B140"/>
      <c r="C140"/>
      <c r="D140"/>
      <c r="E140"/>
      <c r="F140"/>
      <c r="G140"/>
      <c r="H140"/>
      <c r="I140"/>
      <c r="J140"/>
      <c r="K140"/>
    </row>
    <row r="141" spans="2:13" s="42" customFormat="1" x14ac:dyDescent="0.25">
      <c r="B141"/>
      <c r="C141"/>
      <c r="D141"/>
      <c r="E141"/>
      <c r="F141"/>
      <c r="G141"/>
      <c r="H141"/>
      <c r="I141"/>
      <c r="J141"/>
      <c r="K141"/>
    </row>
    <row r="142" spans="2:13" s="42" customFormat="1" x14ac:dyDescent="0.25">
      <c r="B142"/>
      <c r="C142"/>
      <c r="D142"/>
      <c r="E142"/>
      <c r="F142"/>
      <c r="G142"/>
      <c r="H142"/>
      <c r="I142"/>
      <c r="J142"/>
      <c r="K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H462"/>
      <c r="I462"/>
      <c r="J462"/>
      <c r="K462"/>
      <c r="L462"/>
      <c r="M462"/>
    </row>
    <row r="463" spans="2:13" x14ac:dyDescent="0.25">
      <c r="B463"/>
      <c r="C463"/>
      <c r="D463"/>
      <c r="E463"/>
      <c r="F463"/>
      <c r="G463"/>
      <c r="H463"/>
      <c r="I463"/>
      <c r="J463"/>
      <c r="K463"/>
      <c r="L463"/>
      <c r="M463"/>
    </row>
    <row r="464" spans="2:13" x14ac:dyDescent="0.25">
      <c r="B464"/>
      <c r="C464"/>
      <c r="D464"/>
      <c r="E464"/>
      <c r="F464"/>
      <c r="G464"/>
      <c r="H464"/>
      <c r="I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J472"/>
      <c r="K472"/>
      <c r="L472"/>
      <c r="M472"/>
    </row>
    <row r="473" spans="2:13" x14ac:dyDescent="0.25">
      <c r="B473"/>
      <c r="C473"/>
      <c r="D473"/>
      <c r="E473"/>
      <c r="F473"/>
      <c r="G473"/>
      <c r="J473"/>
      <c r="K473"/>
      <c r="L473"/>
      <c r="M473"/>
    </row>
    <row r="474" spans="2:13" x14ac:dyDescent="0.25">
      <c r="B474"/>
      <c r="C474"/>
      <c r="D474"/>
      <c r="E474"/>
      <c r="F474"/>
      <c r="G474"/>
      <c r="J474"/>
      <c r="K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F481"/>
      <c r="G481"/>
      <c r="L481"/>
      <c r="M481"/>
    </row>
    <row r="482" spans="2:13" x14ac:dyDescent="0.25">
      <c r="B482"/>
      <c r="C482"/>
      <c r="D482"/>
      <c r="E482"/>
      <c r="F482"/>
      <c r="G482"/>
      <c r="L482"/>
      <c r="M482"/>
    </row>
    <row r="483" spans="2:13" x14ac:dyDescent="0.25">
      <c r="B483"/>
      <c r="C483"/>
      <c r="D483"/>
      <c r="E483"/>
      <c r="F483"/>
      <c r="G483"/>
      <c r="L483"/>
      <c r="M483"/>
    </row>
    <row r="484" spans="2:13" x14ac:dyDescent="0.25">
      <c r="B484"/>
      <c r="C484"/>
      <c r="D484"/>
      <c r="E484"/>
      <c r="L484"/>
      <c r="M484"/>
    </row>
    <row r="485" spans="2:13" x14ac:dyDescent="0.25">
      <c r="B485"/>
      <c r="C485"/>
      <c r="D485"/>
      <c r="E485"/>
      <c r="L485"/>
      <c r="M485"/>
    </row>
    <row r="486" spans="2:13" x14ac:dyDescent="0.25">
      <c r="B486"/>
      <c r="C486"/>
      <c r="D486"/>
      <c r="E486"/>
      <c r="L486"/>
      <c r="M486"/>
    </row>
    <row r="487" spans="2:13" x14ac:dyDescent="0.25">
      <c r="B487"/>
      <c r="C487"/>
      <c r="D487"/>
      <c r="E487"/>
      <c r="L487"/>
      <c r="M487"/>
    </row>
    <row r="488" spans="2:13" x14ac:dyDescent="0.25">
      <c r="C488"/>
      <c r="D488"/>
      <c r="E488"/>
      <c r="L488"/>
      <c r="M488"/>
    </row>
    <row r="489" spans="2:13" x14ac:dyDescent="0.25">
      <c r="C489"/>
      <c r="D489"/>
      <c r="E489"/>
      <c r="L489"/>
      <c r="M489"/>
    </row>
    <row r="490" spans="2:13" x14ac:dyDescent="0.25">
      <c r="C490"/>
      <c r="D490"/>
      <c r="E490"/>
      <c r="L490"/>
      <c r="M490"/>
    </row>
    <row r="491" spans="2:13" x14ac:dyDescent="0.25">
      <c r="C491"/>
      <c r="D491"/>
      <c r="L491"/>
      <c r="M491"/>
    </row>
    <row r="492" spans="2:13" x14ac:dyDescent="0.25">
      <c r="C492"/>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row r="506" spans="12:13" x14ac:dyDescent="0.25">
      <c r="L506"/>
      <c r="M506"/>
    </row>
    <row r="507" spans="12:13" x14ac:dyDescent="0.25">
      <c r="L507"/>
      <c r="M507"/>
    </row>
    <row r="508" spans="12:13" x14ac:dyDescent="0.25">
      <c r="L508"/>
      <c r="M508"/>
    </row>
  </sheetData>
  <mergeCells count="70">
    <mergeCell ref="D11:E11"/>
    <mergeCell ref="F10:G10"/>
    <mergeCell ref="D44:G44"/>
    <mergeCell ref="F11:G11"/>
    <mergeCell ref="D45:G45"/>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5:K45"/>
    <mergeCell ref="H44:K44"/>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FD97F-7377-4A20-9753-AF7097D2B472}">
  <dimension ref="A1:U770"/>
  <sheetViews>
    <sheetView tabSelected="1" topLeftCell="A461" workbookViewId="0">
      <selection activeCell="E482" sqref="E482"/>
    </sheetView>
  </sheetViews>
  <sheetFormatPr baseColWidth="10" defaultRowHeight="15" x14ac:dyDescent="0.25"/>
  <cols>
    <col min="1" max="1" width="34.7109375" customWidth="1"/>
    <col min="2" max="2" width="11.42578125" style="137"/>
    <col min="3" max="3" width="3.28515625" style="140" customWidth="1"/>
    <col min="4" max="4" width="22" customWidth="1"/>
    <col min="5" max="5" width="8.7109375" customWidth="1"/>
    <col min="6" max="6" width="8.7109375" style="134" customWidth="1"/>
    <col min="7" max="7" width="22" style="134" customWidth="1"/>
    <col min="8" max="9" width="8.7109375" style="134" customWidth="1"/>
    <col min="10" max="10" width="22" style="134" customWidth="1"/>
    <col min="11" max="12" width="8.7109375" style="134" customWidth="1"/>
    <col min="13" max="13" width="22" style="134" customWidth="1"/>
    <col min="14" max="15" width="8.7109375" style="134" customWidth="1"/>
    <col min="16" max="16" width="22" style="134" customWidth="1"/>
    <col min="17" max="18" width="8.7109375" style="134" customWidth="1"/>
    <col min="19" max="19" width="22" style="134" customWidth="1"/>
    <col min="20" max="21" width="8.7109375" style="134" customWidth="1"/>
  </cols>
  <sheetData>
    <row r="1" spans="1:21" s="134" customFormat="1" x14ac:dyDescent="0.25">
      <c r="A1" s="136" t="s">
        <v>1370</v>
      </c>
      <c r="B1" s="136" t="s">
        <v>1371</v>
      </c>
      <c r="C1" s="138"/>
      <c r="D1" s="55" t="s">
        <v>1372</v>
      </c>
      <c r="E1" s="55" t="s">
        <v>1373</v>
      </c>
      <c r="F1" s="55" t="s">
        <v>1371</v>
      </c>
      <c r="G1" s="55" t="s">
        <v>1374</v>
      </c>
      <c r="H1" s="55" t="s">
        <v>1373</v>
      </c>
      <c r="I1" s="55" t="s">
        <v>1371</v>
      </c>
      <c r="J1" s="55" t="s">
        <v>1375</v>
      </c>
      <c r="K1" s="55" t="s">
        <v>1373</v>
      </c>
      <c r="L1" s="55" t="s">
        <v>1371</v>
      </c>
      <c r="M1" s="55" t="s">
        <v>1376</v>
      </c>
      <c r="N1" s="55" t="s">
        <v>1373</v>
      </c>
      <c r="O1" s="55" t="s">
        <v>1371</v>
      </c>
      <c r="P1" s="55" t="s">
        <v>1377</v>
      </c>
      <c r="Q1" s="55" t="s">
        <v>1373</v>
      </c>
      <c r="R1" s="55" t="s">
        <v>1371</v>
      </c>
      <c r="S1" s="55" t="s">
        <v>1378</v>
      </c>
      <c r="T1" s="55" t="s">
        <v>1373</v>
      </c>
      <c r="U1" s="55" t="s">
        <v>1371</v>
      </c>
    </row>
    <row r="2" spans="1:21" s="142" customFormat="1" x14ac:dyDescent="0.25">
      <c r="A2" s="139" t="s">
        <v>1379</v>
      </c>
      <c r="B2" s="139">
        <v>0</v>
      </c>
      <c r="C2" s="139"/>
      <c r="D2" s="141"/>
      <c r="E2" s="141"/>
      <c r="F2" s="141"/>
      <c r="G2" s="141"/>
      <c r="H2" s="141"/>
      <c r="I2" s="141"/>
      <c r="J2" s="141"/>
      <c r="K2" s="141"/>
      <c r="L2" s="141"/>
      <c r="M2" s="141"/>
      <c r="N2" s="141"/>
      <c r="O2" s="141"/>
      <c r="P2" s="141"/>
      <c r="Q2" s="141"/>
      <c r="R2" s="141"/>
      <c r="S2" s="141"/>
      <c r="T2" s="141"/>
      <c r="U2" s="141"/>
    </row>
    <row r="3" spans="1:21" ht="15.75" x14ac:dyDescent="0.25">
      <c r="A3" s="131" t="s">
        <v>592</v>
      </c>
      <c r="B3" s="137">
        <f>(F3*E3)+(H3*I3)+(K3*L3)+(N3*O3)+(Q3*R3)+(T3*U3)</f>
        <v>36</v>
      </c>
      <c r="D3" t="s">
        <v>599</v>
      </c>
      <c r="E3">
        <v>4</v>
      </c>
      <c r="F3" s="134">
        <f t="shared" ref="F3:F66" si="0">VLOOKUP(D3,IDPOINTS,2,FALSE)</f>
        <v>9</v>
      </c>
      <c r="G3" s="134" t="s">
        <v>1379</v>
      </c>
      <c r="I3" s="134">
        <f t="shared" ref="I3:I66" si="1">VLOOKUP(G3,IDPOINTS,2,FALSE)</f>
        <v>0</v>
      </c>
      <c r="J3" s="134" t="s">
        <v>1379</v>
      </c>
      <c r="L3" s="134">
        <f t="shared" ref="L3:L66" si="2">VLOOKUP(J3,IDPOINTS,2,FALSE)</f>
        <v>0</v>
      </c>
      <c r="M3" s="134" t="s">
        <v>1379</v>
      </c>
      <c r="O3" s="134">
        <f t="shared" ref="O3:O66" si="3">VLOOKUP(M3,IDPOINTS,2,FALSE)</f>
        <v>0</v>
      </c>
      <c r="P3" s="134" t="s">
        <v>1379</v>
      </c>
      <c r="R3" s="134">
        <f t="shared" ref="R3:R66" si="4">VLOOKUP(P3,IDPOINTS,2,FALSE)</f>
        <v>0</v>
      </c>
      <c r="S3" s="134" t="s">
        <v>1379</v>
      </c>
      <c r="U3" s="134">
        <f t="shared" ref="U3:U66" si="5">VLOOKUP(S3,IDPOINTS,2,FALSE)</f>
        <v>0</v>
      </c>
    </row>
    <row r="4" spans="1:21" ht="15.75" x14ac:dyDescent="0.25">
      <c r="A4" s="131" t="s">
        <v>593</v>
      </c>
      <c r="B4" s="137">
        <f t="shared" ref="B4:B63" si="6">(F4*E4)+(H4*I4)+(K4*L4)+(N4*O4)+(Q4*R4)+(T4*U4)</f>
        <v>9</v>
      </c>
      <c r="D4" s="134" t="s">
        <v>599</v>
      </c>
      <c r="E4">
        <v>1</v>
      </c>
      <c r="F4" s="134">
        <f t="shared" si="0"/>
        <v>9</v>
      </c>
      <c r="G4" s="134" t="s">
        <v>1379</v>
      </c>
      <c r="I4" s="134">
        <f t="shared" si="1"/>
        <v>0</v>
      </c>
      <c r="J4" s="134" t="s">
        <v>1379</v>
      </c>
      <c r="L4" s="134">
        <f t="shared" si="2"/>
        <v>0</v>
      </c>
      <c r="M4" s="134" t="s">
        <v>1379</v>
      </c>
      <c r="O4" s="134">
        <f t="shared" si="3"/>
        <v>0</v>
      </c>
      <c r="P4" s="134" t="s">
        <v>1379</v>
      </c>
      <c r="R4" s="134">
        <f t="shared" si="4"/>
        <v>0</v>
      </c>
      <c r="S4" s="134" t="s">
        <v>1379</v>
      </c>
      <c r="U4" s="134">
        <f t="shared" si="5"/>
        <v>0</v>
      </c>
    </row>
    <row r="5" spans="1:21" ht="15.75" x14ac:dyDescent="0.25">
      <c r="A5" s="131" t="s">
        <v>594</v>
      </c>
      <c r="B5" s="137">
        <f t="shared" si="6"/>
        <v>54</v>
      </c>
      <c r="D5" s="134" t="s">
        <v>599</v>
      </c>
      <c r="E5">
        <v>6</v>
      </c>
      <c r="F5" s="134">
        <f t="shared" si="0"/>
        <v>9</v>
      </c>
      <c r="G5" s="134" t="s">
        <v>1379</v>
      </c>
      <c r="I5" s="134">
        <f t="shared" si="1"/>
        <v>0</v>
      </c>
      <c r="J5" s="134" t="s">
        <v>1379</v>
      </c>
      <c r="L5" s="134">
        <f t="shared" si="2"/>
        <v>0</v>
      </c>
      <c r="M5" s="134" t="s">
        <v>1379</v>
      </c>
      <c r="O5" s="134">
        <f t="shared" si="3"/>
        <v>0</v>
      </c>
      <c r="P5" s="134" t="s">
        <v>1379</v>
      </c>
      <c r="R5" s="134">
        <f t="shared" si="4"/>
        <v>0</v>
      </c>
      <c r="S5" s="134" t="s">
        <v>1379</v>
      </c>
      <c r="U5" s="134">
        <f t="shared" si="5"/>
        <v>0</v>
      </c>
    </row>
    <row r="6" spans="1:21" ht="15.75" x14ac:dyDescent="0.25">
      <c r="A6" s="131" t="s">
        <v>595</v>
      </c>
      <c r="B6" s="137">
        <f t="shared" si="6"/>
        <v>36</v>
      </c>
      <c r="D6" s="134" t="s">
        <v>599</v>
      </c>
      <c r="E6">
        <v>4</v>
      </c>
      <c r="F6" s="134">
        <f t="shared" si="0"/>
        <v>9</v>
      </c>
      <c r="G6" s="134" t="s">
        <v>1281</v>
      </c>
      <c r="H6" s="134">
        <v>2</v>
      </c>
      <c r="I6" s="134">
        <f t="shared" si="1"/>
        <v>0</v>
      </c>
      <c r="J6" s="134" t="s">
        <v>1379</v>
      </c>
      <c r="L6" s="134">
        <f t="shared" si="2"/>
        <v>0</v>
      </c>
      <c r="M6" s="134" t="s">
        <v>1379</v>
      </c>
      <c r="O6" s="134">
        <f t="shared" si="3"/>
        <v>0</v>
      </c>
      <c r="P6" s="134" t="s">
        <v>1379</v>
      </c>
      <c r="R6" s="134">
        <f t="shared" si="4"/>
        <v>0</v>
      </c>
      <c r="S6" s="134" t="s">
        <v>1379</v>
      </c>
      <c r="U6" s="134">
        <f t="shared" si="5"/>
        <v>0</v>
      </c>
    </row>
    <row r="7" spans="1:21" ht="15.75" x14ac:dyDescent="0.25">
      <c r="A7" s="131" t="s">
        <v>596</v>
      </c>
      <c r="B7" s="137">
        <f t="shared" si="6"/>
        <v>18</v>
      </c>
      <c r="D7" s="134" t="s">
        <v>599</v>
      </c>
      <c r="E7" s="134">
        <v>2</v>
      </c>
      <c r="F7" s="134">
        <f t="shared" si="0"/>
        <v>9</v>
      </c>
      <c r="G7" s="134" t="s">
        <v>1281</v>
      </c>
      <c r="H7" s="134">
        <v>4</v>
      </c>
      <c r="I7" s="134">
        <f t="shared" si="1"/>
        <v>0</v>
      </c>
      <c r="J7" s="134" t="s">
        <v>1379</v>
      </c>
      <c r="L7" s="134">
        <f t="shared" si="2"/>
        <v>0</v>
      </c>
      <c r="M7" s="134" t="s">
        <v>1379</v>
      </c>
      <c r="O7" s="134">
        <f t="shared" si="3"/>
        <v>0</v>
      </c>
      <c r="P7" s="134" t="s">
        <v>1379</v>
      </c>
      <c r="R7" s="134">
        <f t="shared" si="4"/>
        <v>0</v>
      </c>
      <c r="S7" s="134" t="s">
        <v>1379</v>
      </c>
      <c r="U7" s="134">
        <f t="shared" si="5"/>
        <v>0</v>
      </c>
    </row>
    <row r="8" spans="1:21" s="145" customFormat="1" ht="15.75" x14ac:dyDescent="0.25">
      <c r="A8" s="143" t="s">
        <v>598</v>
      </c>
      <c r="B8" s="144">
        <f>'ECONOMIA &amp; PROFESIONES'!G31</f>
        <v>9</v>
      </c>
      <c r="D8" s="145" t="s">
        <v>1379</v>
      </c>
      <c r="F8" s="145">
        <f t="shared" si="0"/>
        <v>0</v>
      </c>
      <c r="G8" s="145" t="s">
        <v>1379</v>
      </c>
      <c r="I8" s="145">
        <f t="shared" si="1"/>
        <v>0</v>
      </c>
      <c r="J8" s="145" t="s">
        <v>1379</v>
      </c>
      <c r="L8" s="145">
        <f t="shared" si="2"/>
        <v>0</v>
      </c>
      <c r="M8" s="145" t="s">
        <v>1379</v>
      </c>
      <c r="O8" s="145">
        <f t="shared" si="3"/>
        <v>0</v>
      </c>
      <c r="P8" s="145" t="s">
        <v>1379</v>
      </c>
      <c r="R8" s="145">
        <f t="shared" si="4"/>
        <v>0</v>
      </c>
      <c r="S8" s="145" t="s">
        <v>1379</v>
      </c>
      <c r="U8" s="145">
        <f t="shared" si="5"/>
        <v>0</v>
      </c>
    </row>
    <row r="9" spans="1:21" ht="15.75" x14ac:dyDescent="0.25">
      <c r="A9" s="131" t="s">
        <v>599</v>
      </c>
      <c r="B9" s="137">
        <f t="shared" si="6"/>
        <v>9</v>
      </c>
      <c r="D9" s="134" t="s">
        <v>598</v>
      </c>
      <c r="E9">
        <v>1</v>
      </c>
      <c r="F9" s="134">
        <f t="shared" si="0"/>
        <v>9</v>
      </c>
      <c r="G9" s="134" t="s">
        <v>1379</v>
      </c>
      <c r="I9" s="134">
        <f t="shared" si="1"/>
        <v>0</v>
      </c>
      <c r="J9" s="134" t="s">
        <v>1379</v>
      </c>
      <c r="L9" s="134">
        <f t="shared" si="2"/>
        <v>0</v>
      </c>
      <c r="M9" s="134" t="s">
        <v>1379</v>
      </c>
      <c r="O9" s="134">
        <f t="shared" si="3"/>
        <v>0</v>
      </c>
      <c r="P9" s="134" t="s">
        <v>1379</v>
      </c>
      <c r="R9" s="134">
        <f t="shared" si="4"/>
        <v>0</v>
      </c>
      <c r="S9" s="134" t="s">
        <v>1379</v>
      </c>
      <c r="U9" s="134">
        <f t="shared" si="5"/>
        <v>0</v>
      </c>
    </row>
    <row r="10" spans="1:21" ht="15.75" x14ac:dyDescent="0.25">
      <c r="A10" s="131" t="s">
        <v>600</v>
      </c>
      <c r="B10" s="137">
        <f t="shared" si="6"/>
        <v>18</v>
      </c>
      <c r="D10" s="134" t="s">
        <v>599</v>
      </c>
      <c r="E10">
        <v>2</v>
      </c>
      <c r="F10" s="134">
        <f t="shared" si="0"/>
        <v>9</v>
      </c>
      <c r="G10" s="134" t="s">
        <v>1379</v>
      </c>
      <c r="I10" s="134">
        <f t="shared" si="1"/>
        <v>0</v>
      </c>
      <c r="J10" s="134" t="s">
        <v>1379</v>
      </c>
      <c r="L10" s="134">
        <f t="shared" si="2"/>
        <v>0</v>
      </c>
      <c r="M10" s="134" t="s">
        <v>1379</v>
      </c>
      <c r="O10" s="134">
        <f t="shared" si="3"/>
        <v>0</v>
      </c>
      <c r="P10" s="134" t="s">
        <v>1379</v>
      </c>
      <c r="R10" s="134">
        <f t="shared" si="4"/>
        <v>0</v>
      </c>
      <c r="S10" s="134" t="s">
        <v>1379</v>
      </c>
      <c r="U10" s="134">
        <f t="shared" si="5"/>
        <v>0</v>
      </c>
    </row>
    <row r="11" spans="1:21" ht="15.75" x14ac:dyDescent="0.25">
      <c r="A11" s="131" t="s">
        <v>602</v>
      </c>
      <c r="B11" s="137">
        <f t="shared" si="6"/>
        <v>54</v>
      </c>
      <c r="D11" s="134" t="s">
        <v>599</v>
      </c>
      <c r="E11" s="134">
        <v>6</v>
      </c>
      <c r="F11" s="134">
        <f t="shared" si="0"/>
        <v>9</v>
      </c>
      <c r="G11" s="134" t="s">
        <v>1281</v>
      </c>
      <c r="H11" s="134">
        <v>1</v>
      </c>
      <c r="I11" s="134">
        <f t="shared" si="1"/>
        <v>0</v>
      </c>
      <c r="J11" s="134" t="s">
        <v>1379</v>
      </c>
      <c r="L11" s="134">
        <f t="shared" si="2"/>
        <v>0</v>
      </c>
      <c r="M11" s="134" t="s">
        <v>1379</v>
      </c>
      <c r="O11" s="134">
        <f t="shared" si="3"/>
        <v>0</v>
      </c>
      <c r="P11" s="134" t="s">
        <v>1379</v>
      </c>
      <c r="R11" s="134">
        <f t="shared" si="4"/>
        <v>0</v>
      </c>
      <c r="S11" s="134" t="s">
        <v>1379</v>
      </c>
      <c r="U11" s="134">
        <f t="shared" si="5"/>
        <v>0</v>
      </c>
    </row>
    <row r="12" spans="1:21" ht="15.75" x14ac:dyDescent="0.25">
      <c r="A12" s="131" t="s">
        <v>603</v>
      </c>
      <c r="B12" s="137">
        <f t="shared" si="6"/>
        <v>27</v>
      </c>
      <c r="D12" s="134" t="s">
        <v>599</v>
      </c>
      <c r="E12" s="134">
        <v>3</v>
      </c>
      <c r="F12" s="134">
        <f t="shared" si="0"/>
        <v>9</v>
      </c>
      <c r="G12" s="134" t="s">
        <v>1379</v>
      </c>
      <c r="I12" s="134">
        <f t="shared" si="1"/>
        <v>0</v>
      </c>
      <c r="J12" s="134" t="s">
        <v>1379</v>
      </c>
      <c r="L12" s="134">
        <f t="shared" si="2"/>
        <v>0</v>
      </c>
      <c r="M12" s="134" t="s">
        <v>1379</v>
      </c>
      <c r="O12" s="134">
        <f t="shared" si="3"/>
        <v>0</v>
      </c>
      <c r="P12" s="134" t="s">
        <v>1379</v>
      </c>
      <c r="R12" s="134">
        <f t="shared" si="4"/>
        <v>0</v>
      </c>
      <c r="S12" s="134" t="s">
        <v>1379</v>
      </c>
      <c r="U12" s="134">
        <f t="shared" si="5"/>
        <v>0</v>
      </c>
    </row>
    <row r="13" spans="1:21" ht="15.75" x14ac:dyDescent="0.25">
      <c r="A13" s="131" t="s">
        <v>604</v>
      </c>
      <c r="B13" s="137">
        <f t="shared" si="6"/>
        <v>54</v>
      </c>
      <c r="D13" s="134" t="s">
        <v>599</v>
      </c>
      <c r="E13">
        <v>6</v>
      </c>
      <c r="F13" s="134">
        <f t="shared" si="0"/>
        <v>9</v>
      </c>
      <c r="G13" s="134" t="s">
        <v>1379</v>
      </c>
      <c r="I13" s="134">
        <f t="shared" si="1"/>
        <v>0</v>
      </c>
      <c r="J13" s="134" t="s">
        <v>1379</v>
      </c>
      <c r="L13" s="134">
        <f t="shared" si="2"/>
        <v>0</v>
      </c>
      <c r="M13" s="134" t="s">
        <v>1379</v>
      </c>
      <c r="O13" s="134">
        <f t="shared" si="3"/>
        <v>0</v>
      </c>
      <c r="P13" s="134" t="s">
        <v>1379</v>
      </c>
      <c r="R13" s="134">
        <f t="shared" si="4"/>
        <v>0</v>
      </c>
      <c r="S13" s="134" t="s">
        <v>1379</v>
      </c>
      <c r="U13" s="134">
        <f t="shared" si="5"/>
        <v>0</v>
      </c>
    </row>
    <row r="14" spans="1:21" ht="15.75" x14ac:dyDescent="0.25">
      <c r="A14" s="131" t="s">
        <v>605</v>
      </c>
      <c r="B14" s="137">
        <f t="shared" si="6"/>
        <v>54</v>
      </c>
      <c r="D14" s="134" t="s">
        <v>599</v>
      </c>
      <c r="E14" s="134">
        <v>6</v>
      </c>
      <c r="F14" s="134">
        <f t="shared" si="0"/>
        <v>9</v>
      </c>
      <c r="G14" s="134" t="s">
        <v>1379</v>
      </c>
      <c r="I14" s="134">
        <f t="shared" si="1"/>
        <v>0</v>
      </c>
      <c r="J14" s="134" t="s">
        <v>1379</v>
      </c>
      <c r="L14" s="134">
        <f t="shared" si="2"/>
        <v>0</v>
      </c>
      <c r="M14" s="134" t="s">
        <v>1379</v>
      </c>
      <c r="O14" s="134">
        <f t="shared" si="3"/>
        <v>0</v>
      </c>
      <c r="P14" s="134" t="s">
        <v>1379</v>
      </c>
      <c r="R14" s="134">
        <f t="shared" si="4"/>
        <v>0</v>
      </c>
      <c r="S14" s="134" t="s">
        <v>1379</v>
      </c>
      <c r="U14" s="134">
        <f t="shared" si="5"/>
        <v>0</v>
      </c>
    </row>
    <row r="15" spans="1:21" s="145" customFormat="1" ht="15.75" x14ac:dyDescent="0.25">
      <c r="A15" s="143" t="s">
        <v>606</v>
      </c>
      <c r="B15" s="144">
        <f>B8</f>
        <v>9</v>
      </c>
      <c r="D15" s="145" t="s">
        <v>1379</v>
      </c>
      <c r="F15" s="145">
        <f t="shared" si="0"/>
        <v>0</v>
      </c>
      <c r="G15" s="145" t="s">
        <v>1379</v>
      </c>
      <c r="I15" s="145">
        <f t="shared" si="1"/>
        <v>0</v>
      </c>
      <c r="J15" s="145" t="s">
        <v>1379</v>
      </c>
      <c r="L15" s="145">
        <f t="shared" si="2"/>
        <v>0</v>
      </c>
      <c r="M15" s="145" t="s">
        <v>1379</v>
      </c>
      <c r="O15" s="145">
        <f t="shared" si="3"/>
        <v>0</v>
      </c>
      <c r="P15" s="145" t="s">
        <v>1379</v>
      </c>
      <c r="R15" s="145">
        <f t="shared" si="4"/>
        <v>0</v>
      </c>
      <c r="S15" s="145" t="s">
        <v>1379</v>
      </c>
      <c r="U15" s="145">
        <f t="shared" si="5"/>
        <v>0</v>
      </c>
    </row>
    <row r="16" spans="1:21" ht="15.75" x14ac:dyDescent="0.25">
      <c r="A16" s="131" t="s">
        <v>607</v>
      </c>
      <c r="B16" s="137">
        <f t="shared" si="6"/>
        <v>24</v>
      </c>
      <c r="D16" s="134" t="s">
        <v>962</v>
      </c>
      <c r="E16">
        <v>6</v>
      </c>
      <c r="F16" s="134">
        <f t="shared" si="0"/>
        <v>4</v>
      </c>
      <c r="G16" s="134" t="s">
        <v>1281</v>
      </c>
      <c r="H16" s="134">
        <v>2</v>
      </c>
      <c r="I16" s="134">
        <f t="shared" si="1"/>
        <v>0</v>
      </c>
      <c r="J16" s="134" t="s">
        <v>1221</v>
      </c>
      <c r="K16" s="134">
        <v>1</v>
      </c>
      <c r="L16" s="134">
        <f t="shared" si="2"/>
        <v>0</v>
      </c>
      <c r="M16" s="134" t="s">
        <v>1379</v>
      </c>
      <c r="O16" s="134">
        <f t="shared" si="3"/>
        <v>0</v>
      </c>
      <c r="P16" s="134" t="s">
        <v>1379</v>
      </c>
      <c r="R16" s="134">
        <f t="shared" si="4"/>
        <v>0</v>
      </c>
      <c r="S16" s="134" t="s">
        <v>1379</v>
      </c>
      <c r="U16" s="134">
        <f t="shared" si="5"/>
        <v>0</v>
      </c>
    </row>
    <row r="17" spans="1:21" s="148" customFormat="1" ht="15.75" x14ac:dyDescent="0.25">
      <c r="A17" s="146" t="s">
        <v>608</v>
      </c>
      <c r="B17" s="147">
        <f t="shared" si="6"/>
        <v>0</v>
      </c>
      <c r="D17" s="148" t="s">
        <v>1379</v>
      </c>
      <c r="F17" s="148">
        <f t="shared" si="0"/>
        <v>0</v>
      </c>
      <c r="G17" s="148" t="s">
        <v>1379</v>
      </c>
      <c r="I17" s="148">
        <f t="shared" si="1"/>
        <v>0</v>
      </c>
      <c r="J17" s="148" t="s">
        <v>1379</v>
      </c>
      <c r="L17" s="148">
        <f t="shared" si="2"/>
        <v>0</v>
      </c>
      <c r="M17" s="148" t="s">
        <v>1379</v>
      </c>
      <c r="O17" s="148">
        <f t="shared" si="3"/>
        <v>0</v>
      </c>
      <c r="P17" s="148" t="s">
        <v>1379</v>
      </c>
      <c r="R17" s="148">
        <f t="shared" si="4"/>
        <v>0</v>
      </c>
      <c r="S17" s="148" t="s">
        <v>1379</v>
      </c>
      <c r="U17" s="148">
        <f t="shared" si="5"/>
        <v>0</v>
      </c>
    </row>
    <row r="18" spans="1:21" ht="15.75" x14ac:dyDescent="0.25">
      <c r="A18" s="131" t="s">
        <v>609</v>
      </c>
      <c r="B18" s="137">
        <f>'ECONOMIA &amp; PROFESIONES'!B50</f>
        <v>2</v>
      </c>
      <c r="D18" s="134" t="s">
        <v>1379</v>
      </c>
      <c r="F18" s="134">
        <f t="shared" si="0"/>
        <v>0</v>
      </c>
      <c r="G18" s="134" t="s">
        <v>1379</v>
      </c>
      <c r="I18" s="134">
        <f t="shared" si="1"/>
        <v>0</v>
      </c>
      <c r="J18" s="134" t="s">
        <v>1379</v>
      </c>
      <c r="L18" s="134">
        <f t="shared" si="2"/>
        <v>0</v>
      </c>
      <c r="M18" s="134" t="s">
        <v>1379</v>
      </c>
      <c r="O18" s="134">
        <f t="shared" si="3"/>
        <v>0</v>
      </c>
      <c r="P18" s="134" t="s">
        <v>1379</v>
      </c>
      <c r="R18" s="134">
        <f t="shared" si="4"/>
        <v>0</v>
      </c>
      <c r="S18" s="134" t="s">
        <v>1379</v>
      </c>
      <c r="U18" s="134">
        <f t="shared" si="5"/>
        <v>0</v>
      </c>
    </row>
    <row r="19" spans="1:21" ht="15.75" x14ac:dyDescent="0.25">
      <c r="A19" s="131" t="s">
        <v>610</v>
      </c>
      <c r="B19" s="137">
        <f t="shared" si="6"/>
        <v>6</v>
      </c>
      <c r="D19" s="134" t="s">
        <v>609</v>
      </c>
      <c r="E19">
        <v>3</v>
      </c>
      <c r="F19" s="134">
        <f t="shared" si="0"/>
        <v>2</v>
      </c>
      <c r="G19" s="134" t="s">
        <v>1379</v>
      </c>
      <c r="I19" s="134">
        <f t="shared" si="1"/>
        <v>0</v>
      </c>
      <c r="J19" s="134" t="s">
        <v>1379</v>
      </c>
      <c r="L19" s="134">
        <f t="shared" si="2"/>
        <v>0</v>
      </c>
      <c r="M19" s="134" t="s">
        <v>1379</v>
      </c>
      <c r="O19" s="134">
        <f t="shared" si="3"/>
        <v>0</v>
      </c>
      <c r="P19" s="134" t="s">
        <v>1379</v>
      </c>
      <c r="R19" s="134">
        <f t="shared" si="4"/>
        <v>0</v>
      </c>
      <c r="S19" s="134" t="s">
        <v>1379</v>
      </c>
      <c r="U19" s="134">
        <f t="shared" si="5"/>
        <v>0</v>
      </c>
    </row>
    <row r="20" spans="1:21" ht="15.75" x14ac:dyDescent="0.25">
      <c r="A20" s="131" t="s">
        <v>611</v>
      </c>
      <c r="B20" s="137">
        <f t="shared" si="6"/>
        <v>12</v>
      </c>
      <c r="D20" s="134" t="s">
        <v>609</v>
      </c>
      <c r="E20">
        <v>6</v>
      </c>
      <c r="F20" s="134">
        <f t="shared" si="0"/>
        <v>2</v>
      </c>
      <c r="G20" s="134" t="s">
        <v>1379</v>
      </c>
      <c r="I20" s="134">
        <f t="shared" si="1"/>
        <v>0</v>
      </c>
      <c r="J20" s="134" t="s">
        <v>1379</v>
      </c>
      <c r="L20" s="134">
        <f t="shared" si="2"/>
        <v>0</v>
      </c>
      <c r="M20" s="134" t="s">
        <v>1379</v>
      </c>
      <c r="O20" s="134">
        <f t="shared" si="3"/>
        <v>0</v>
      </c>
      <c r="P20" s="134" t="s">
        <v>1379</v>
      </c>
      <c r="R20" s="134">
        <f t="shared" si="4"/>
        <v>0</v>
      </c>
      <c r="S20" s="134" t="s">
        <v>1379</v>
      </c>
      <c r="U20" s="134">
        <f t="shared" si="5"/>
        <v>0</v>
      </c>
    </row>
    <row r="21" spans="1:21" ht="15.75" x14ac:dyDescent="0.25">
      <c r="A21" s="131" t="s">
        <v>612</v>
      </c>
      <c r="B21" s="137">
        <f t="shared" si="6"/>
        <v>12</v>
      </c>
      <c r="D21" s="134" t="s">
        <v>609</v>
      </c>
      <c r="E21">
        <v>6</v>
      </c>
      <c r="F21" s="134">
        <f t="shared" si="0"/>
        <v>2</v>
      </c>
      <c r="G21" s="134" t="s">
        <v>1379</v>
      </c>
      <c r="I21" s="134">
        <f t="shared" si="1"/>
        <v>0</v>
      </c>
      <c r="J21" s="134" t="s">
        <v>1379</v>
      </c>
      <c r="L21" s="134">
        <f t="shared" si="2"/>
        <v>0</v>
      </c>
      <c r="M21" s="134" t="s">
        <v>1379</v>
      </c>
      <c r="O21" s="134">
        <f t="shared" si="3"/>
        <v>0</v>
      </c>
      <c r="P21" s="134" t="s">
        <v>1379</v>
      </c>
      <c r="R21" s="134">
        <f t="shared" si="4"/>
        <v>0</v>
      </c>
      <c r="S21" s="134" t="s">
        <v>1379</v>
      </c>
      <c r="U21" s="134">
        <f t="shared" si="5"/>
        <v>0</v>
      </c>
    </row>
    <row r="22" spans="1:21" ht="15.75" x14ac:dyDescent="0.25">
      <c r="A22" s="131" t="s">
        <v>613</v>
      </c>
      <c r="B22" s="137">
        <f t="shared" si="6"/>
        <v>124</v>
      </c>
      <c r="D22" s="134" t="s">
        <v>962</v>
      </c>
      <c r="E22">
        <v>4</v>
      </c>
      <c r="F22" s="134">
        <f t="shared" si="0"/>
        <v>4</v>
      </c>
      <c r="G22" s="134" t="s">
        <v>955</v>
      </c>
      <c r="H22" s="134">
        <v>3</v>
      </c>
      <c r="I22" s="134">
        <f t="shared" si="1"/>
        <v>36</v>
      </c>
      <c r="J22" s="134" t="s">
        <v>1379</v>
      </c>
      <c r="L22" s="134">
        <f t="shared" si="2"/>
        <v>0</v>
      </c>
      <c r="M22" s="134" t="s">
        <v>1379</v>
      </c>
      <c r="O22" s="134">
        <f t="shared" si="3"/>
        <v>0</v>
      </c>
      <c r="P22" s="134" t="s">
        <v>1379</v>
      </c>
      <c r="R22" s="134">
        <f t="shared" si="4"/>
        <v>0</v>
      </c>
      <c r="S22" s="134" t="s">
        <v>1379</v>
      </c>
      <c r="U22" s="134">
        <f t="shared" si="5"/>
        <v>0</v>
      </c>
    </row>
    <row r="23" spans="1:21" s="145" customFormat="1" ht="15.75" x14ac:dyDescent="0.25">
      <c r="A23" s="143" t="s">
        <v>616</v>
      </c>
      <c r="B23" s="144">
        <f>'ECONOMIA &amp; PROFESIONES'!I27</f>
        <v>1</v>
      </c>
      <c r="D23" s="145" t="s">
        <v>1379</v>
      </c>
      <c r="E23" s="145">
        <v>0</v>
      </c>
      <c r="F23" s="145">
        <f t="shared" si="0"/>
        <v>0</v>
      </c>
      <c r="G23" s="145" t="s">
        <v>1379</v>
      </c>
      <c r="I23" s="145">
        <f t="shared" si="1"/>
        <v>0</v>
      </c>
      <c r="J23" s="145" t="s">
        <v>1379</v>
      </c>
      <c r="L23" s="145">
        <f t="shared" si="2"/>
        <v>0</v>
      </c>
      <c r="M23" s="145" t="s">
        <v>1379</v>
      </c>
      <c r="O23" s="145">
        <f t="shared" si="3"/>
        <v>0</v>
      </c>
      <c r="P23" s="145" t="s">
        <v>1379</v>
      </c>
      <c r="R23" s="145">
        <f t="shared" si="4"/>
        <v>0</v>
      </c>
      <c r="S23" s="145" t="s">
        <v>1379</v>
      </c>
      <c r="U23" s="145">
        <f t="shared" si="5"/>
        <v>0</v>
      </c>
    </row>
    <row r="24" spans="1:21" ht="15.75" x14ac:dyDescent="0.25">
      <c r="A24" s="131" t="s">
        <v>617</v>
      </c>
      <c r="B24" s="137">
        <f t="shared" si="6"/>
        <v>0</v>
      </c>
      <c r="D24" s="134" t="s">
        <v>1281</v>
      </c>
      <c r="E24">
        <v>6</v>
      </c>
      <c r="F24" s="134">
        <f t="shared" si="0"/>
        <v>0</v>
      </c>
      <c r="G24" s="134" t="s">
        <v>1294</v>
      </c>
      <c r="H24" s="134">
        <v>1</v>
      </c>
      <c r="I24" s="134">
        <f t="shared" si="1"/>
        <v>0</v>
      </c>
      <c r="J24" s="134" t="s">
        <v>1379</v>
      </c>
      <c r="L24" s="134">
        <f t="shared" si="2"/>
        <v>0</v>
      </c>
      <c r="M24" s="134" t="s">
        <v>1379</v>
      </c>
      <c r="O24" s="134">
        <f t="shared" si="3"/>
        <v>0</v>
      </c>
      <c r="P24" s="134" t="s">
        <v>1379</v>
      </c>
      <c r="R24" s="134">
        <f t="shared" si="4"/>
        <v>0</v>
      </c>
      <c r="S24" s="134" t="s">
        <v>1379</v>
      </c>
      <c r="U24" s="134">
        <f t="shared" si="5"/>
        <v>0</v>
      </c>
    </row>
    <row r="25" spans="1:21" ht="15.75" x14ac:dyDescent="0.25">
      <c r="A25" s="131" t="s">
        <v>618</v>
      </c>
      <c r="B25" s="137">
        <f t="shared" si="6"/>
        <v>1.4</v>
      </c>
      <c r="D25" s="134" t="s">
        <v>1281</v>
      </c>
      <c r="E25">
        <v>1</v>
      </c>
      <c r="F25" s="134">
        <f t="shared" si="0"/>
        <v>0</v>
      </c>
      <c r="G25" s="134" t="s">
        <v>873</v>
      </c>
      <c r="H25" s="134">
        <v>1</v>
      </c>
      <c r="I25" s="134">
        <f t="shared" si="1"/>
        <v>1</v>
      </c>
      <c r="J25" s="134" t="s">
        <v>862</v>
      </c>
      <c r="K25" s="134">
        <v>1</v>
      </c>
      <c r="L25" s="134">
        <f t="shared" si="2"/>
        <v>0.4</v>
      </c>
      <c r="M25" s="134" t="s">
        <v>1379</v>
      </c>
      <c r="O25" s="134">
        <f t="shared" si="3"/>
        <v>0</v>
      </c>
      <c r="P25" s="134" t="s">
        <v>1379</v>
      </c>
      <c r="R25" s="134">
        <f t="shared" si="4"/>
        <v>0</v>
      </c>
      <c r="S25" s="134" t="s">
        <v>1379</v>
      </c>
      <c r="U25" s="134">
        <f t="shared" si="5"/>
        <v>0</v>
      </c>
    </row>
    <row r="26" spans="1:21" s="148" customFormat="1" ht="15.75" x14ac:dyDescent="0.25">
      <c r="A26" s="146" t="s">
        <v>619</v>
      </c>
      <c r="B26" s="147">
        <f t="shared" si="6"/>
        <v>0</v>
      </c>
      <c r="D26" s="148" t="s">
        <v>1379</v>
      </c>
      <c r="F26" s="148">
        <f t="shared" si="0"/>
        <v>0</v>
      </c>
      <c r="G26" s="148" t="s">
        <v>1379</v>
      </c>
      <c r="I26" s="148">
        <f t="shared" si="1"/>
        <v>0</v>
      </c>
      <c r="J26" s="148" t="s">
        <v>1379</v>
      </c>
      <c r="L26" s="148">
        <f t="shared" si="2"/>
        <v>0</v>
      </c>
      <c r="M26" s="148" t="s">
        <v>1379</v>
      </c>
      <c r="O26" s="148">
        <f t="shared" si="3"/>
        <v>0</v>
      </c>
      <c r="P26" s="148" t="s">
        <v>1379</v>
      </c>
      <c r="R26" s="148">
        <f t="shared" si="4"/>
        <v>0</v>
      </c>
      <c r="S26" s="148" t="s">
        <v>1379</v>
      </c>
      <c r="U26" s="148">
        <f t="shared" si="5"/>
        <v>0</v>
      </c>
    </row>
    <row r="27" spans="1:21" ht="15.75" x14ac:dyDescent="0.25">
      <c r="A27" s="131" t="s">
        <v>621</v>
      </c>
      <c r="B27" s="137">
        <f t="shared" si="6"/>
        <v>3</v>
      </c>
      <c r="D27" s="134" t="s">
        <v>1151</v>
      </c>
      <c r="E27">
        <v>1</v>
      </c>
      <c r="F27" s="134">
        <f t="shared" si="0"/>
        <v>0</v>
      </c>
      <c r="G27" s="134" t="s">
        <v>738</v>
      </c>
      <c r="H27" s="134">
        <v>1</v>
      </c>
      <c r="I27" s="134">
        <f t="shared" si="1"/>
        <v>3</v>
      </c>
      <c r="J27" s="134" t="s">
        <v>1379</v>
      </c>
      <c r="L27" s="134">
        <f t="shared" si="2"/>
        <v>0</v>
      </c>
      <c r="M27" s="134" t="s">
        <v>1379</v>
      </c>
      <c r="O27" s="134">
        <f t="shared" si="3"/>
        <v>0</v>
      </c>
      <c r="P27" s="134" t="s">
        <v>1379</v>
      </c>
      <c r="R27" s="134">
        <f t="shared" si="4"/>
        <v>0</v>
      </c>
      <c r="S27" s="134" t="s">
        <v>1379</v>
      </c>
      <c r="U27" s="134">
        <f t="shared" si="5"/>
        <v>0</v>
      </c>
    </row>
    <row r="28" spans="1:21" s="145" customFormat="1" ht="15.75" x14ac:dyDescent="0.25">
      <c r="A28" s="143" t="s">
        <v>623</v>
      </c>
      <c r="B28" s="144">
        <f>'ECONOMIA &amp; PROFESIONES'!I30</f>
        <v>5</v>
      </c>
      <c r="D28" s="145" t="s">
        <v>1379</v>
      </c>
      <c r="F28" s="145">
        <f t="shared" si="0"/>
        <v>0</v>
      </c>
      <c r="G28" s="145" t="s">
        <v>1379</v>
      </c>
      <c r="I28" s="145">
        <f t="shared" si="1"/>
        <v>0</v>
      </c>
      <c r="J28" s="145" t="s">
        <v>1379</v>
      </c>
      <c r="L28" s="145">
        <f t="shared" si="2"/>
        <v>0</v>
      </c>
      <c r="M28" s="145" t="s">
        <v>1379</v>
      </c>
      <c r="O28" s="145">
        <f t="shared" si="3"/>
        <v>0</v>
      </c>
      <c r="P28" s="145" t="s">
        <v>1379</v>
      </c>
      <c r="R28" s="145">
        <f t="shared" si="4"/>
        <v>0</v>
      </c>
      <c r="S28" s="145" t="s">
        <v>1379</v>
      </c>
      <c r="U28" s="145">
        <f t="shared" si="5"/>
        <v>0</v>
      </c>
    </row>
    <row r="29" spans="1:21" ht="15.75" x14ac:dyDescent="0.25">
      <c r="A29" s="131" t="s">
        <v>624</v>
      </c>
      <c r="B29" s="137">
        <f t="shared" si="6"/>
        <v>0</v>
      </c>
      <c r="D29" s="134" t="s">
        <v>1093</v>
      </c>
      <c r="E29">
        <v>6</v>
      </c>
      <c r="F29" s="134">
        <f t="shared" si="0"/>
        <v>0</v>
      </c>
      <c r="G29" s="134" t="s">
        <v>1097</v>
      </c>
      <c r="H29" s="134">
        <v>2</v>
      </c>
      <c r="I29" s="134">
        <f t="shared" si="1"/>
        <v>0</v>
      </c>
      <c r="J29" s="134" t="s">
        <v>1379</v>
      </c>
      <c r="L29" s="134">
        <f t="shared" si="2"/>
        <v>0</v>
      </c>
      <c r="M29" s="134" t="s">
        <v>1379</v>
      </c>
      <c r="O29" s="134">
        <f t="shared" si="3"/>
        <v>0</v>
      </c>
      <c r="P29" s="134" t="s">
        <v>1379</v>
      </c>
      <c r="R29" s="134">
        <f t="shared" si="4"/>
        <v>0</v>
      </c>
      <c r="S29" s="134" t="s">
        <v>1379</v>
      </c>
      <c r="U29" s="134">
        <f t="shared" si="5"/>
        <v>0</v>
      </c>
    </row>
    <row r="30" spans="1:21" ht="15.75" x14ac:dyDescent="0.25">
      <c r="A30" s="131" t="s">
        <v>625</v>
      </c>
      <c r="B30" s="137">
        <f t="shared" si="6"/>
        <v>42</v>
      </c>
      <c r="D30" s="134" t="s">
        <v>1082</v>
      </c>
      <c r="E30">
        <v>1</v>
      </c>
      <c r="F30" s="134">
        <f t="shared" si="0"/>
        <v>0</v>
      </c>
      <c r="G30" s="134" t="s">
        <v>1102</v>
      </c>
      <c r="H30" s="134">
        <v>3</v>
      </c>
      <c r="I30" s="134">
        <f t="shared" si="1"/>
        <v>11</v>
      </c>
      <c r="J30" s="134" t="s">
        <v>880</v>
      </c>
      <c r="K30" s="134">
        <v>3</v>
      </c>
      <c r="L30" s="134">
        <f t="shared" si="2"/>
        <v>3</v>
      </c>
      <c r="M30" s="134" t="s">
        <v>1379</v>
      </c>
      <c r="O30" s="134">
        <f t="shared" si="3"/>
        <v>0</v>
      </c>
      <c r="P30" s="134" t="s">
        <v>1379</v>
      </c>
      <c r="R30" s="134">
        <f t="shared" si="4"/>
        <v>0</v>
      </c>
      <c r="S30" s="134" t="s">
        <v>1379</v>
      </c>
      <c r="U30" s="134">
        <f t="shared" si="5"/>
        <v>0</v>
      </c>
    </row>
    <row r="31" spans="1:21" s="145" customFormat="1" ht="15.75" x14ac:dyDescent="0.25">
      <c r="A31" s="143" t="s">
        <v>627</v>
      </c>
      <c r="B31" s="144">
        <f>'ECONOMIA &amp; PROFESIONES'!K49</f>
        <v>2.5</v>
      </c>
      <c r="D31" s="145" t="s">
        <v>1379</v>
      </c>
      <c r="F31" s="145">
        <f t="shared" si="0"/>
        <v>0</v>
      </c>
      <c r="G31" s="145" t="s">
        <v>1379</v>
      </c>
      <c r="I31" s="145">
        <f t="shared" si="1"/>
        <v>0</v>
      </c>
      <c r="J31" s="145" t="s">
        <v>1379</v>
      </c>
      <c r="L31" s="145">
        <f t="shared" si="2"/>
        <v>0</v>
      </c>
      <c r="M31" s="145" t="s">
        <v>1379</v>
      </c>
      <c r="O31" s="145">
        <f t="shared" si="3"/>
        <v>0</v>
      </c>
      <c r="P31" s="145" t="s">
        <v>1379</v>
      </c>
      <c r="R31" s="145">
        <f t="shared" si="4"/>
        <v>0</v>
      </c>
      <c r="S31" s="145" t="s">
        <v>1379</v>
      </c>
      <c r="U31" s="145">
        <f t="shared" si="5"/>
        <v>0</v>
      </c>
    </row>
    <row r="32" spans="1:21" s="145" customFormat="1" ht="15.75" x14ac:dyDescent="0.25">
      <c r="A32" s="143" t="s">
        <v>628</v>
      </c>
      <c r="B32" s="144">
        <f>'ECONOMIA &amp; PROFESIONES'!I32</f>
        <v>9</v>
      </c>
      <c r="D32" s="145" t="s">
        <v>1379</v>
      </c>
      <c r="F32" s="145">
        <f t="shared" si="0"/>
        <v>0</v>
      </c>
      <c r="G32" s="145" t="s">
        <v>1379</v>
      </c>
      <c r="I32" s="145">
        <f t="shared" si="1"/>
        <v>0</v>
      </c>
      <c r="J32" s="145" t="s">
        <v>1379</v>
      </c>
      <c r="L32" s="145">
        <f t="shared" si="2"/>
        <v>0</v>
      </c>
      <c r="M32" s="145" t="s">
        <v>1379</v>
      </c>
      <c r="O32" s="145">
        <f t="shared" si="3"/>
        <v>0</v>
      </c>
      <c r="P32" s="145" t="s">
        <v>1379</v>
      </c>
      <c r="R32" s="145">
        <f t="shared" si="4"/>
        <v>0</v>
      </c>
      <c r="S32" s="145" t="s">
        <v>1379</v>
      </c>
      <c r="U32" s="145">
        <f t="shared" si="5"/>
        <v>0</v>
      </c>
    </row>
    <row r="33" spans="1:21" ht="15.75" x14ac:dyDescent="0.25">
      <c r="A33" s="131" t="s">
        <v>630</v>
      </c>
      <c r="B33" s="137">
        <f t="shared" si="6"/>
        <v>54</v>
      </c>
      <c r="D33" s="134" t="s">
        <v>628</v>
      </c>
      <c r="E33">
        <v>6</v>
      </c>
      <c r="F33" s="134">
        <f t="shared" si="0"/>
        <v>9</v>
      </c>
      <c r="G33" s="134" t="s">
        <v>684</v>
      </c>
      <c r="H33" s="134">
        <v>1</v>
      </c>
      <c r="I33" s="134">
        <f t="shared" si="1"/>
        <v>0</v>
      </c>
      <c r="J33" s="134" t="s">
        <v>1379</v>
      </c>
      <c r="L33" s="134">
        <f t="shared" si="2"/>
        <v>0</v>
      </c>
      <c r="M33" s="134" t="s">
        <v>1379</v>
      </c>
      <c r="O33" s="134">
        <f t="shared" si="3"/>
        <v>0</v>
      </c>
      <c r="P33" s="134" t="s">
        <v>1379</v>
      </c>
      <c r="R33" s="134">
        <f t="shared" si="4"/>
        <v>0</v>
      </c>
      <c r="S33" s="134" t="s">
        <v>1379</v>
      </c>
      <c r="U33" s="134">
        <f t="shared" si="5"/>
        <v>0</v>
      </c>
    </row>
    <row r="34" spans="1:21" s="148" customFormat="1" ht="15.75" x14ac:dyDescent="0.25">
      <c r="A34" s="146" t="s">
        <v>631</v>
      </c>
      <c r="B34" s="147">
        <f t="shared" si="6"/>
        <v>0</v>
      </c>
      <c r="D34" s="148" t="s">
        <v>1379</v>
      </c>
      <c r="F34" s="148">
        <f t="shared" si="0"/>
        <v>0</v>
      </c>
      <c r="G34" s="148" t="s">
        <v>1379</v>
      </c>
      <c r="I34" s="148">
        <f t="shared" si="1"/>
        <v>0</v>
      </c>
      <c r="J34" s="148" t="s">
        <v>1379</v>
      </c>
      <c r="L34" s="148">
        <f t="shared" si="2"/>
        <v>0</v>
      </c>
      <c r="M34" s="148" t="s">
        <v>1379</v>
      </c>
      <c r="O34" s="148">
        <f t="shared" si="3"/>
        <v>0</v>
      </c>
      <c r="P34" s="148" t="s">
        <v>1379</v>
      </c>
      <c r="R34" s="148">
        <f t="shared" si="4"/>
        <v>0</v>
      </c>
      <c r="S34" s="148" t="s">
        <v>1379</v>
      </c>
      <c r="U34" s="148">
        <f t="shared" si="5"/>
        <v>0</v>
      </c>
    </row>
    <row r="35" spans="1:21" ht="15.75" x14ac:dyDescent="0.25">
      <c r="A35" s="131" t="s">
        <v>632</v>
      </c>
      <c r="B35" s="137">
        <f t="shared" si="6"/>
        <v>20</v>
      </c>
      <c r="D35" s="134" t="s">
        <v>639</v>
      </c>
      <c r="E35" s="134">
        <v>4</v>
      </c>
      <c r="F35" s="134">
        <f t="shared" si="0"/>
        <v>5</v>
      </c>
      <c r="G35" s="134" t="s">
        <v>1379</v>
      </c>
      <c r="I35" s="134">
        <f t="shared" si="1"/>
        <v>0</v>
      </c>
      <c r="J35" s="134" t="s">
        <v>1379</v>
      </c>
      <c r="L35" s="134">
        <f t="shared" si="2"/>
        <v>0</v>
      </c>
      <c r="M35" s="134" t="s">
        <v>1379</v>
      </c>
      <c r="O35" s="134">
        <f t="shared" si="3"/>
        <v>0</v>
      </c>
      <c r="P35" s="134" t="s">
        <v>1379</v>
      </c>
      <c r="R35" s="134">
        <f t="shared" si="4"/>
        <v>0</v>
      </c>
      <c r="S35" s="134" t="s">
        <v>1379</v>
      </c>
      <c r="U35" s="134">
        <f t="shared" si="5"/>
        <v>0</v>
      </c>
    </row>
    <row r="36" spans="1:21" ht="15.75" x14ac:dyDescent="0.25">
      <c r="A36" s="131" t="s">
        <v>633</v>
      </c>
      <c r="B36" s="137">
        <f t="shared" si="6"/>
        <v>5</v>
      </c>
      <c r="D36" s="134" t="s">
        <v>639</v>
      </c>
      <c r="E36" s="134">
        <v>1</v>
      </c>
      <c r="F36" s="134">
        <f t="shared" si="0"/>
        <v>5</v>
      </c>
      <c r="G36" s="134" t="s">
        <v>1379</v>
      </c>
      <c r="I36" s="134">
        <f t="shared" si="1"/>
        <v>0</v>
      </c>
      <c r="J36" s="134" t="s">
        <v>1379</v>
      </c>
      <c r="L36" s="134">
        <f t="shared" si="2"/>
        <v>0</v>
      </c>
      <c r="M36" s="134" t="s">
        <v>1379</v>
      </c>
      <c r="O36" s="134">
        <f t="shared" si="3"/>
        <v>0</v>
      </c>
      <c r="P36" s="134" t="s">
        <v>1379</v>
      </c>
      <c r="R36" s="134">
        <f t="shared" si="4"/>
        <v>0</v>
      </c>
      <c r="S36" s="134" t="s">
        <v>1379</v>
      </c>
      <c r="U36" s="134">
        <f t="shared" si="5"/>
        <v>0</v>
      </c>
    </row>
    <row r="37" spans="1:21" ht="15.75" x14ac:dyDescent="0.25">
      <c r="A37" s="131" t="s">
        <v>634</v>
      </c>
      <c r="B37" s="137">
        <f t="shared" si="6"/>
        <v>30</v>
      </c>
      <c r="D37" s="134" t="s">
        <v>639</v>
      </c>
      <c r="E37" s="134">
        <v>6</v>
      </c>
      <c r="F37" s="134">
        <f t="shared" si="0"/>
        <v>5</v>
      </c>
      <c r="G37" s="134" t="s">
        <v>1379</v>
      </c>
      <c r="I37" s="134">
        <f t="shared" si="1"/>
        <v>0</v>
      </c>
      <c r="J37" s="134" t="s">
        <v>1379</v>
      </c>
      <c r="L37" s="134">
        <f t="shared" si="2"/>
        <v>0</v>
      </c>
      <c r="M37" s="134" t="s">
        <v>1379</v>
      </c>
      <c r="O37" s="134">
        <f t="shared" si="3"/>
        <v>0</v>
      </c>
      <c r="P37" s="134" t="s">
        <v>1379</v>
      </c>
      <c r="R37" s="134">
        <f t="shared" si="4"/>
        <v>0</v>
      </c>
      <c r="S37" s="134" t="s">
        <v>1379</v>
      </c>
      <c r="U37" s="134">
        <f t="shared" si="5"/>
        <v>0</v>
      </c>
    </row>
    <row r="38" spans="1:21" ht="15.75" x14ac:dyDescent="0.25">
      <c r="A38" s="131" t="s">
        <v>635</v>
      </c>
      <c r="B38" s="137">
        <f t="shared" si="6"/>
        <v>20</v>
      </c>
      <c r="D38" s="134" t="s">
        <v>639</v>
      </c>
      <c r="E38" s="134">
        <v>4</v>
      </c>
      <c r="F38" s="134">
        <f t="shared" si="0"/>
        <v>5</v>
      </c>
      <c r="G38" s="134" t="s">
        <v>1281</v>
      </c>
      <c r="H38" s="134">
        <v>2</v>
      </c>
      <c r="I38" s="134">
        <f t="shared" si="1"/>
        <v>0</v>
      </c>
      <c r="J38" s="134" t="s">
        <v>1379</v>
      </c>
      <c r="L38" s="134">
        <f t="shared" si="2"/>
        <v>0</v>
      </c>
      <c r="M38" s="134" t="s">
        <v>1379</v>
      </c>
      <c r="O38" s="134">
        <f t="shared" si="3"/>
        <v>0</v>
      </c>
      <c r="P38" s="134" t="s">
        <v>1379</v>
      </c>
      <c r="R38" s="134">
        <f t="shared" si="4"/>
        <v>0</v>
      </c>
      <c r="S38" s="134" t="s">
        <v>1379</v>
      </c>
      <c r="U38" s="134">
        <f t="shared" si="5"/>
        <v>0</v>
      </c>
    </row>
    <row r="39" spans="1:21" ht="15.75" x14ac:dyDescent="0.25">
      <c r="A39" s="131" t="s">
        <v>636</v>
      </c>
      <c r="B39" s="137">
        <f t="shared" si="6"/>
        <v>10</v>
      </c>
      <c r="D39" s="134" t="s">
        <v>639</v>
      </c>
      <c r="E39" s="134">
        <v>2</v>
      </c>
      <c r="F39" s="134">
        <f t="shared" si="0"/>
        <v>5</v>
      </c>
      <c r="G39" s="134" t="s">
        <v>1281</v>
      </c>
      <c r="H39" s="134">
        <v>4</v>
      </c>
      <c r="I39" s="134">
        <f t="shared" si="1"/>
        <v>0</v>
      </c>
      <c r="J39" s="134" t="s">
        <v>1379</v>
      </c>
      <c r="L39" s="134">
        <f t="shared" si="2"/>
        <v>0</v>
      </c>
      <c r="M39" s="134" t="s">
        <v>1379</v>
      </c>
      <c r="O39" s="134">
        <f t="shared" si="3"/>
        <v>0</v>
      </c>
      <c r="P39" s="134" t="s">
        <v>1379</v>
      </c>
      <c r="R39" s="134">
        <f t="shared" si="4"/>
        <v>0</v>
      </c>
      <c r="S39" s="134" t="s">
        <v>1379</v>
      </c>
      <c r="U39" s="134">
        <f t="shared" si="5"/>
        <v>0</v>
      </c>
    </row>
    <row r="40" spans="1:21" s="145" customFormat="1" ht="15.75" x14ac:dyDescent="0.25">
      <c r="A40" s="143" t="s">
        <v>638</v>
      </c>
      <c r="B40" s="144">
        <f>'ECONOMIA &amp; PROFESIONES'!G29</f>
        <v>5</v>
      </c>
      <c r="D40" s="145" t="s">
        <v>1379</v>
      </c>
      <c r="F40" s="145">
        <f t="shared" si="0"/>
        <v>0</v>
      </c>
      <c r="G40" s="145" t="s">
        <v>1379</v>
      </c>
      <c r="I40" s="145">
        <f t="shared" si="1"/>
        <v>0</v>
      </c>
      <c r="J40" s="145" t="s">
        <v>1379</v>
      </c>
      <c r="L40" s="145">
        <f t="shared" si="2"/>
        <v>0</v>
      </c>
      <c r="M40" s="145" t="s">
        <v>1379</v>
      </c>
      <c r="O40" s="145">
        <f t="shared" si="3"/>
        <v>0</v>
      </c>
      <c r="P40" s="145" t="s">
        <v>1379</v>
      </c>
      <c r="R40" s="145">
        <f t="shared" si="4"/>
        <v>0</v>
      </c>
      <c r="S40" s="145" t="s">
        <v>1379</v>
      </c>
      <c r="U40" s="145">
        <f t="shared" si="5"/>
        <v>0</v>
      </c>
    </row>
    <row r="41" spans="1:21" ht="15.75" x14ac:dyDescent="0.25">
      <c r="A41" s="131" t="s">
        <v>639</v>
      </c>
      <c r="B41" s="137">
        <f t="shared" si="6"/>
        <v>5</v>
      </c>
      <c r="D41" s="134" t="s">
        <v>638</v>
      </c>
      <c r="E41">
        <v>1</v>
      </c>
      <c r="F41" s="134">
        <f t="shared" si="0"/>
        <v>5</v>
      </c>
      <c r="G41" s="134" t="s">
        <v>1379</v>
      </c>
      <c r="I41" s="134">
        <f t="shared" si="1"/>
        <v>0</v>
      </c>
      <c r="J41" s="134" t="s">
        <v>1379</v>
      </c>
      <c r="L41" s="134">
        <f t="shared" si="2"/>
        <v>0</v>
      </c>
      <c r="M41" s="134" t="s">
        <v>1379</v>
      </c>
      <c r="O41" s="134">
        <f t="shared" si="3"/>
        <v>0</v>
      </c>
      <c r="P41" s="134" t="s">
        <v>1379</v>
      </c>
      <c r="R41" s="134">
        <f t="shared" si="4"/>
        <v>0</v>
      </c>
      <c r="S41" s="134" t="s">
        <v>1379</v>
      </c>
      <c r="U41" s="134">
        <f t="shared" si="5"/>
        <v>0</v>
      </c>
    </row>
    <row r="42" spans="1:21" ht="15.75" x14ac:dyDescent="0.25">
      <c r="A42" s="131" t="s">
        <v>640</v>
      </c>
      <c r="B42" s="137">
        <f t="shared" si="6"/>
        <v>10</v>
      </c>
      <c r="D42" s="134" t="s">
        <v>639</v>
      </c>
      <c r="E42" s="134">
        <v>2</v>
      </c>
      <c r="F42" s="134">
        <f t="shared" si="0"/>
        <v>5</v>
      </c>
      <c r="G42" s="134" t="s">
        <v>1379</v>
      </c>
      <c r="I42" s="134">
        <f t="shared" si="1"/>
        <v>0</v>
      </c>
      <c r="J42" s="134" t="s">
        <v>1379</v>
      </c>
      <c r="L42" s="134">
        <f t="shared" si="2"/>
        <v>0</v>
      </c>
      <c r="M42" s="134" t="s">
        <v>1379</v>
      </c>
      <c r="O42" s="134">
        <f t="shared" si="3"/>
        <v>0</v>
      </c>
      <c r="P42" s="134" t="s">
        <v>1379</v>
      </c>
      <c r="R42" s="134">
        <f t="shared" si="4"/>
        <v>0</v>
      </c>
      <c r="S42" s="134" t="s">
        <v>1379</v>
      </c>
      <c r="U42" s="134">
        <f t="shared" si="5"/>
        <v>0</v>
      </c>
    </row>
    <row r="43" spans="1:21" ht="15.75" x14ac:dyDescent="0.25">
      <c r="A43" s="131" t="s">
        <v>642</v>
      </c>
      <c r="B43" s="137">
        <f t="shared" si="6"/>
        <v>30</v>
      </c>
      <c r="D43" s="134" t="s">
        <v>639</v>
      </c>
      <c r="E43" s="134">
        <v>6</v>
      </c>
      <c r="F43" s="134">
        <f t="shared" si="0"/>
        <v>5</v>
      </c>
      <c r="G43" s="134" t="s">
        <v>1281</v>
      </c>
      <c r="H43" s="134">
        <v>1</v>
      </c>
      <c r="I43" s="134">
        <f t="shared" si="1"/>
        <v>0</v>
      </c>
      <c r="J43" s="134" t="s">
        <v>1379</v>
      </c>
      <c r="L43" s="134">
        <f t="shared" si="2"/>
        <v>0</v>
      </c>
      <c r="M43" s="134" t="s">
        <v>1379</v>
      </c>
      <c r="O43" s="134">
        <f t="shared" si="3"/>
        <v>0</v>
      </c>
      <c r="P43" s="134" t="s">
        <v>1379</v>
      </c>
      <c r="R43" s="134">
        <f t="shared" si="4"/>
        <v>0</v>
      </c>
      <c r="S43" s="134" t="s">
        <v>1379</v>
      </c>
      <c r="U43" s="134">
        <f t="shared" si="5"/>
        <v>0</v>
      </c>
    </row>
    <row r="44" spans="1:21" ht="15.75" x14ac:dyDescent="0.25">
      <c r="A44" s="131" t="s">
        <v>643</v>
      </c>
      <c r="B44" s="137">
        <f t="shared" si="6"/>
        <v>15</v>
      </c>
      <c r="D44" s="134" t="s">
        <v>639</v>
      </c>
      <c r="E44" s="134">
        <v>3</v>
      </c>
      <c r="F44" s="134">
        <f t="shared" si="0"/>
        <v>5</v>
      </c>
      <c r="G44" s="134" t="s">
        <v>1379</v>
      </c>
      <c r="I44" s="134">
        <f t="shared" si="1"/>
        <v>0</v>
      </c>
      <c r="J44" s="134" t="s">
        <v>1379</v>
      </c>
      <c r="L44" s="134">
        <f t="shared" si="2"/>
        <v>0</v>
      </c>
      <c r="M44" s="134" t="s">
        <v>1379</v>
      </c>
      <c r="O44" s="134">
        <f t="shared" si="3"/>
        <v>0</v>
      </c>
      <c r="P44" s="134" t="s">
        <v>1379</v>
      </c>
      <c r="R44" s="134">
        <f t="shared" si="4"/>
        <v>0</v>
      </c>
      <c r="S44" s="134" t="s">
        <v>1379</v>
      </c>
      <c r="U44" s="134">
        <f t="shared" si="5"/>
        <v>0</v>
      </c>
    </row>
    <row r="45" spans="1:21" ht="15.75" x14ac:dyDescent="0.25">
      <c r="A45" s="131" t="s">
        <v>644</v>
      </c>
      <c r="B45" s="137">
        <f t="shared" si="6"/>
        <v>30</v>
      </c>
      <c r="D45" s="134" t="s">
        <v>639</v>
      </c>
      <c r="E45" s="134">
        <v>6</v>
      </c>
      <c r="F45" s="134">
        <f t="shared" si="0"/>
        <v>5</v>
      </c>
      <c r="G45" s="134" t="s">
        <v>1379</v>
      </c>
      <c r="I45" s="134">
        <f t="shared" si="1"/>
        <v>0</v>
      </c>
      <c r="J45" s="134" t="s">
        <v>1379</v>
      </c>
      <c r="L45" s="134">
        <f t="shared" si="2"/>
        <v>0</v>
      </c>
      <c r="M45" s="134" t="s">
        <v>1379</v>
      </c>
      <c r="O45" s="134">
        <f t="shared" si="3"/>
        <v>0</v>
      </c>
      <c r="P45" s="134" t="s">
        <v>1379</v>
      </c>
      <c r="R45" s="134">
        <f t="shared" si="4"/>
        <v>0</v>
      </c>
      <c r="S45" s="134" t="s">
        <v>1379</v>
      </c>
      <c r="U45" s="134">
        <f t="shared" si="5"/>
        <v>0</v>
      </c>
    </row>
    <row r="46" spans="1:21" ht="15.75" x14ac:dyDescent="0.25">
      <c r="A46" s="131" t="s">
        <v>645</v>
      </c>
      <c r="B46" s="137">
        <f t="shared" si="6"/>
        <v>30</v>
      </c>
      <c r="D46" s="134" t="s">
        <v>639</v>
      </c>
      <c r="E46" s="134">
        <v>6</v>
      </c>
      <c r="F46" s="134">
        <f t="shared" si="0"/>
        <v>5</v>
      </c>
      <c r="G46" s="134" t="s">
        <v>1379</v>
      </c>
      <c r="I46" s="134">
        <f t="shared" si="1"/>
        <v>0</v>
      </c>
      <c r="J46" s="134" t="s">
        <v>1379</v>
      </c>
      <c r="L46" s="134">
        <f t="shared" si="2"/>
        <v>0</v>
      </c>
      <c r="M46" s="134" t="s">
        <v>1379</v>
      </c>
      <c r="O46" s="134">
        <f t="shared" si="3"/>
        <v>0</v>
      </c>
      <c r="P46" s="134" t="s">
        <v>1379</v>
      </c>
      <c r="R46" s="134">
        <f t="shared" si="4"/>
        <v>0</v>
      </c>
      <c r="S46" s="134" t="s">
        <v>1379</v>
      </c>
      <c r="U46" s="134">
        <f t="shared" si="5"/>
        <v>0</v>
      </c>
    </row>
    <row r="47" spans="1:21" s="145" customFormat="1" ht="15.75" x14ac:dyDescent="0.25">
      <c r="A47" s="143" t="s">
        <v>646</v>
      </c>
      <c r="B47" s="144">
        <f>B40</f>
        <v>5</v>
      </c>
      <c r="D47" s="145" t="s">
        <v>1379</v>
      </c>
      <c r="F47" s="145">
        <f t="shared" si="0"/>
        <v>0</v>
      </c>
      <c r="G47" s="145" t="s">
        <v>1379</v>
      </c>
      <c r="I47" s="145">
        <f t="shared" si="1"/>
        <v>0</v>
      </c>
      <c r="J47" s="145" t="s">
        <v>1379</v>
      </c>
      <c r="L47" s="145">
        <f t="shared" si="2"/>
        <v>0</v>
      </c>
      <c r="M47" s="145" t="s">
        <v>1379</v>
      </c>
      <c r="O47" s="145">
        <f t="shared" si="3"/>
        <v>0</v>
      </c>
      <c r="P47" s="145" t="s">
        <v>1379</v>
      </c>
      <c r="R47" s="145">
        <f t="shared" si="4"/>
        <v>0</v>
      </c>
      <c r="S47" s="145" t="s">
        <v>1379</v>
      </c>
      <c r="U47" s="145">
        <f t="shared" si="5"/>
        <v>0</v>
      </c>
    </row>
    <row r="48" spans="1:21" ht="15.75" x14ac:dyDescent="0.25">
      <c r="A48" s="131" t="s">
        <v>647</v>
      </c>
      <c r="B48" s="137">
        <f t="shared" si="6"/>
        <v>0</v>
      </c>
      <c r="D48" s="134" t="s">
        <v>659</v>
      </c>
      <c r="E48">
        <v>6</v>
      </c>
      <c r="F48" s="134">
        <f t="shared" si="0"/>
        <v>0</v>
      </c>
      <c r="G48" s="134" t="s">
        <v>1281</v>
      </c>
      <c r="H48" s="134">
        <v>1</v>
      </c>
      <c r="I48" s="134">
        <f t="shared" si="1"/>
        <v>0</v>
      </c>
      <c r="J48" s="134" t="s">
        <v>1379</v>
      </c>
      <c r="L48" s="134">
        <f t="shared" si="2"/>
        <v>0</v>
      </c>
      <c r="M48" s="134" t="s">
        <v>1379</v>
      </c>
      <c r="O48" s="134">
        <f t="shared" si="3"/>
        <v>0</v>
      </c>
      <c r="P48" s="134" t="s">
        <v>1379</v>
      </c>
      <c r="R48" s="134">
        <f t="shared" si="4"/>
        <v>0</v>
      </c>
      <c r="S48" s="134" t="s">
        <v>1379</v>
      </c>
      <c r="U48" s="134">
        <f t="shared" si="5"/>
        <v>0</v>
      </c>
    </row>
    <row r="49" spans="1:21" ht="15.75" x14ac:dyDescent="0.25">
      <c r="A49" s="131" t="s">
        <v>648</v>
      </c>
      <c r="B49" s="137">
        <f t="shared" si="6"/>
        <v>0</v>
      </c>
      <c r="D49" s="134" t="s">
        <v>659</v>
      </c>
      <c r="E49">
        <v>3</v>
      </c>
      <c r="F49" s="134">
        <f t="shared" si="0"/>
        <v>0</v>
      </c>
      <c r="G49" s="134" t="s">
        <v>1093</v>
      </c>
      <c r="H49" s="134">
        <v>3</v>
      </c>
      <c r="I49" s="134">
        <f t="shared" si="1"/>
        <v>0</v>
      </c>
      <c r="J49" s="134" t="s">
        <v>1379</v>
      </c>
      <c r="L49" s="134">
        <f t="shared" si="2"/>
        <v>0</v>
      </c>
      <c r="M49" s="134" t="s">
        <v>1379</v>
      </c>
      <c r="O49" s="134">
        <f t="shared" si="3"/>
        <v>0</v>
      </c>
      <c r="P49" s="134" t="s">
        <v>1379</v>
      </c>
      <c r="R49" s="134">
        <f t="shared" si="4"/>
        <v>0</v>
      </c>
      <c r="S49" s="134" t="s">
        <v>1379</v>
      </c>
      <c r="U49" s="134">
        <f t="shared" si="5"/>
        <v>0</v>
      </c>
    </row>
    <row r="50" spans="1:21" ht="15.75" x14ac:dyDescent="0.25">
      <c r="A50" s="131" t="s">
        <v>649</v>
      </c>
      <c r="B50" s="137">
        <f t="shared" si="6"/>
        <v>0</v>
      </c>
      <c r="D50" s="134" t="s">
        <v>659</v>
      </c>
      <c r="E50">
        <v>2</v>
      </c>
      <c r="F50" s="134">
        <f t="shared" si="0"/>
        <v>0</v>
      </c>
      <c r="G50" s="134" t="s">
        <v>1379</v>
      </c>
      <c r="I50" s="134">
        <f t="shared" si="1"/>
        <v>0</v>
      </c>
      <c r="J50" s="134" t="s">
        <v>1379</v>
      </c>
      <c r="L50" s="134">
        <f t="shared" si="2"/>
        <v>0</v>
      </c>
      <c r="M50" s="134" t="s">
        <v>1379</v>
      </c>
      <c r="O50" s="134">
        <f t="shared" si="3"/>
        <v>0</v>
      </c>
      <c r="P50" s="134" t="s">
        <v>1379</v>
      </c>
      <c r="R50" s="134">
        <f t="shared" si="4"/>
        <v>0</v>
      </c>
      <c r="S50" s="134" t="s">
        <v>1379</v>
      </c>
      <c r="U50" s="134">
        <f t="shared" si="5"/>
        <v>0</v>
      </c>
    </row>
    <row r="51" spans="1:21" ht="15.75" x14ac:dyDescent="0.25">
      <c r="A51" s="131" t="s">
        <v>650</v>
      </c>
      <c r="B51" s="137">
        <f t="shared" si="6"/>
        <v>4</v>
      </c>
      <c r="D51" s="134" t="s">
        <v>651</v>
      </c>
      <c r="E51">
        <v>1</v>
      </c>
      <c r="F51" s="134">
        <f t="shared" si="0"/>
        <v>4</v>
      </c>
      <c r="G51" s="134" t="s">
        <v>1379</v>
      </c>
      <c r="I51" s="134">
        <f t="shared" si="1"/>
        <v>0</v>
      </c>
      <c r="J51" s="134" t="s">
        <v>1379</v>
      </c>
      <c r="L51" s="134">
        <f t="shared" si="2"/>
        <v>0</v>
      </c>
      <c r="M51" s="134" t="s">
        <v>1379</v>
      </c>
      <c r="O51" s="134">
        <f t="shared" si="3"/>
        <v>0</v>
      </c>
      <c r="P51" s="134" t="s">
        <v>1379</v>
      </c>
      <c r="R51" s="134">
        <f t="shared" si="4"/>
        <v>0</v>
      </c>
      <c r="S51" s="134" t="s">
        <v>1379</v>
      </c>
      <c r="U51" s="134">
        <f t="shared" si="5"/>
        <v>0</v>
      </c>
    </row>
    <row r="52" spans="1:21" ht="15.75" x14ac:dyDescent="0.25">
      <c r="A52" s="131" t="s">
        <v>651</v>
      </c>
      <c r="B52" s="137">
        <f t="shared" si="6"/>
        <v>4</v>
      </c>
      <c r="D52" s="134" t="s">
        <v>1229</v>
      </c>
      <c r="E52">
        <v>4</v>
      </c>
      <c r="F52" s="134">
        <f t="shared" si="0"/>
        <v>0</v>
      </c>
      <c r="G52" s="134" t="s">
        <v>910</v>
      </c>
      <c r="H52" s="134">
        <v>4</v>
      </c>
      <c r="I52" s="134">
        <f t="shared" si="1"/>
        <v>1</v>
      </c>
      <c r="J52" s="134" t="s">
        <v>652</v>
      </c>
      <c r="K52" s="134">
        <v>1</v>
      </c>
      <c r="L52" s="134">
        <f t="shared" si="2"/>
        <v>0</v>
      </c>
      <c r="M52" s="134" t="s">
        <v>1379</v>
      </c>
      <c r="O52" s="134">
        <f t="shared" si="3"/>
        <v>0</v>
      </c>
      <c r="P52" s="134" t="s">
        <v>1379</v>
      </c>
      <c r="R52" s="134">
        <f t="shared" si="4"/>
        <v>0</v>
      </c>
      <c r="S52" s="134" t="s">
        <v>1379</v>
      </c>
      <c r="U52" s="134">
        <f t="shared" si="5"/>
        <v>0</v>
      </c>
    </row>
    <row r="53" spans="1:21" s="148" customFormat="1" ht="15.75" x14ac:dyDescent="0.25">
      <c r="A53" s="146" t="s">
        <v>652</v>
      </c>
      <c r="B53" s="147">
        <f t="shared" si="6"/>
        <v>0</v>
      </c>
      <c r="D53" s="148" t="s">
        <v>1379</v>
      </c>
      <c r="F53" s="148">
        <f t="shared" si="0"/>
        <v>0</v>
      </c>
      <c r="G53" s="148" t="s">
        <v>1379</v>
      </c>
      <c r="I53" s="148">
        <f t="shared" si="1"/>
        <v>0</v>
      </c>
      <c r="J53" s="148" t="s">
        <v>1379</v>
      </c>
      <c r="L53" s="148">
        <f t="shared" si="2"/>
        <v>0</v>
      </c>
      <c r="M53" s="148" t="s">
        <v>1379</v>
      </c>
      <c r="O53" s="148">
        <f t="shared" si="3"/>
        <v>0</v>
      </c>
      <c r="P53" s="148" t="s">
        <v>1379</v>
      </c>
      <c r="R53" s="148">
        <f t="shared" si="4"/>
        <v>0</v>
      </c>
      <c r="S53" s="148" t="s">
        <v>1379</v>
      </c>
      <c r="U53" s="148">
        <f t="shared" si="5"/>
        <v>0</v>
      </c>
    </row>
    <row r="54" spans="1:21" ht="15.75" x14ac:dyDescent="0.25">
      <c r="A54" s="131" t="s">
        <v>653</v>
      </c>
      <c r="B54" s="137">
        <f t="shared" si="6"/>
        <v>3</v>
      </c>
      <c r="D54" s="134" t="s">
        <v>658</v>
      </c>
      <c r="E54">
        <v>1</v>
      </c>
      <c r="F54" s="134">
        <f t="shared" si="0"/>
        <v>0</v>
      </c>
      <c r="G54" s="134" t="s">
        <v>738</v>
      </c>
      <c r="H54" s="134">
        <v>1</v>
      </c>
      <c r="I54" s="134">
        <f t="shared" si="1"/>
        <v>3</v>
      </c>
      <c r="J54" s="134" t="s">
        <v>1379</v>
      </c>
      <c r="L54" s="134">
        <f t="shared" si="2"/>
        <v>0</v>
      </c>
      <c r="M54" s="134" t="s">
        <v>1379</v>
      </c>
      <c r="O54" s="134">
        <f t="shared" si="3"/>
        <v>0</v>
      </c>
      <c r="P54" s="134" t="s">
        <v>1379</v>
      </c>
      <c r="R54" s="134">
        <f t="shared" si="4"/>
        <v>0</v>
      </c>
      <c r="S54" s="134" t="s">
        <v>1379</v>
      </c>
      <c r="U54" s="134">
        <f t="shared" si="5"/>
        <v>0</v>
      </c>
    </row>
    <row r="55" spans="1:21" ht="15.75" x14ac:dyDescent="0.25">
      <c r="A55" s="131" t="s">
        <v>654</v>
      </c>
      <c r="B55" s="137">
        <f t="shared" si="6"/>
        <v>0</v>
      </c>
      <c r="D55" s="134" t="s">
        <v>652</v>
      </c>
      <c r="E55">
        <v>1</v>
      </c>
      <c r="F55" s="134">
        <f t="shared" si="0"/>
        <v>0</v>
      </c>
      <c r="G55" s="134" t="s">
        <v>1241</v>
      </c>
      <c r="H55" s="134">
        <v>1</v>
      </c>
      <c r="I55" s="134">
        <f t="shared" si="1"/>
        <v>0</v>
      </c>
      <c r="J55" s="134" t="s">
        <v>1379</v>
      </c>
      <c r="L55" s="134">
        <f t="shared" si="2"/>
        <v>0</v>
      </c>
      <c r="M55" s="134" t="s">
        <v>1379</v>
      </c>
      <c r="O55" s="134">
        <f t="shared" si="3"/>
        <v>0</v>
      </c>
      <c r="P55" s="134" t="s">
        <v>1379</v>
      </c>
      <c r="R55" s="134">
        <f t="shared" si="4"/>
        <v>0</v>
      </c>
      <c r="S55" s="134" t="s">
        <v>1379</v>
      </c>
      <c r="U55" s="134">
        <f t="shared" si="5"/>
        <v>0</v>
      </c>
    </row>
    <row r="56" spans="1:21" ht="15.75" x14ac:dyDescent="0.25">
      <c r="A56" s="131" t="s">
        <v>656</v>
      </c>
      <c r="B56" s="137">
        <f t="shared" si="6"/>
        <v>24</v>
      </c>
      <c r="D56" s="134" t="s">
        <v>880</v>
      </c>
      <c r="E56">
        <v>8</v>
      </c>
      <c r="F56" s="134">
        <f t="shared" si="0"/>
        <v>3</v>
      </c>
      <c r="G56" s="134" t="s">
        <v>652</v>
      </c>
      <c r="H56" s="134">
        <v>1</v>
      </c>
      <c r="I56" s="134">
        <f t="shared" si="1"/>
        <v>0</v>
      </c>
      <c r="J56" s="134" t="s">
        <v>1379</v>
      </c>
      <c r="L56" s="134">
        <f t="shared" si="2"/>
        <v>0</v>
      </c>
      <c r="M56" s="134" t="s">
        <v>1379</v>
      </c>
      <c r="O56" s="134">
        <f t="shared" si="3"/>
        <v>0</v>
      </c>
      <c r="P56" s="134" t="s">
        <v>1379</v>
      </c>
      <c r="R56" s="134">
        <f t="shared" si="4"/>
        <v>0</v>
      </c>
      <c r="S56" s="134" t="s">
        <v>1379</v>
      </c>
      <c r="U56" s="134">
        <f t="shared" si="5"/>
        <v>0</v>
      </c>
    </row>
    <row r="57" spans="1:21" ht="15.75" x14ac:dyDescent="0.25">
      <c r="A57" s="131" t="s">
        <v>657</v>
      </c>
      <c r="B57" s="137">
        <f t="shared" si="6"/>
        <v>144</v>
      </c>
      <c r="D57" s="134" t="s">
        <v>656</v>
      </c>
      <c r="E57">
        <v>6</v>
      </c>
      <c r="F57" s="134">
        <f t="shared" si="0"/>
        <v>24</v>
      </c>
      <c r="G57" s="134" t="s">
        <v>1379</v>
      </c>
      <c r="I57" s="134">
        <f t="shared" si="1"/>
        <v>0</v>
      </c>
      <c r="J57" s="134" t="s">
        <v>1379</v>
      </c>
      <c r="L57" s="134">
        <f t="shared" si="2"/>
        <v>0</v>
      </c>
      <c r="M57" s="134" t="s">
        <v>1379</v>
      </c>
      <c r="O57" s="134">
        <f t="shared" si="3"/>
        <v>0</v>
      </c>
      <c r="P57" s="134" t="s">
        <v>1379</v>
      </c>
      <c r="R57" s="134">
        <f t="shared" si="4"/>
        <v>0</v>
      </c>
      <c r="S57" s="134" t="s">
        <v>1379</v>
      </c>
      <c r="U57" s="134">
        <f t="shared" si="5"/>
        <v>0</v>
      </c>
    </row>
    <row r="58" spans="1:21" ht="15.75" x14ac:dyDescent="0.25">
      <c r="A58" s="131" t="s">
        <v>658</v>
      </c>
      <c r="B58" s="137">
        <f t="shared" si="6"/>
        <v>0</v>
      </c>
      <c r="D58" s="134" t="s">
        <v>1318</v>
      </c>
      <c r="E58">
        <v>8</v>
      </c>
      <c r="F58" s="134">
        <f t="shared" si="0"/>
        <v>0</v>
      </c>
      <c r="G58" s="134" t="s">
        <v>652</v>
      </c>
      <c r="H58" s="134">
        <v>1</v>
      </c>
      <c r="I58" s="134">
        <f t="shared" si="1"/>
        <v>0</v>
      </c>
      <c r="J58" s="134" t="s">
        <v>1379</v>
      </c>
      <c r="L58" s="134">
        <f t="shared" si="2"/>
        <v>0</v>
      </c>
      <c r="M58" s="134" t="s">
        <v>1379</v>
      </c>
      <c r="O58" s="134">
        <f t="shared" si="3"/>
        <v>0</v>
      </c>
      <c r="P58" s="134" t="s">
        <v>1379</v>
      </c>
      <c r="R58" s="134">
        <f t="shared" si="4"/>
        <v>0</v>
      </c>
      <c r="S58" s="134" t="s">
        <v>1379</v>
      </c>
      <c r="U58" s="134">
        <f t="shared" si="5"/>
        <v>0</v>
      </c>
    </row>
    <row r="59" spans="1:21" ht="15.75" x14ac:dyDescent="0.25">
      <c r="A59" s="131" t="s">
        <v>659</v>
      </c>
      <c r="B59" s="137">
        <f t="shared" si="6"/>
        <v>0</v>
      </c>
      <c r="D59" s="134" t="s">
        <v>1348</v>
      </c>
      <c r="E59">
        <v>1</v>
      </c>
      <c r="F59" s="134">
        <f t="shared" si="0"/>
        <v>0</v>
      </c>
      <c r="G59" s="134" t="s">
        <v>652</v>
      </c>
      <c r="H59" s="134">
        <v>1</v>
      </c>
      <c r="I59" s="134">
        <f t="shared" si="1"/>
        <v>0</v>
      </c>
      <c r="J59" s="134" t="s">
        <v>1379</v>
      </c>
      <c r="L59" s="134">
        <f t="shared" si="2"/>
        <v>0</v>
      </c>
      <c r="M59" s="134" t="s">
        <v>1379</v>
      </c>
      <c r="O59" s="134">
        <f t="shared" si="3"/>
        <v>0</v>
      </c>
      <c r="P59" s="134" t="s">
        <v>1379</v>
      </c>
      <c r="R59" s="134">
        <f t="shared" si="4"/>
        <v>0</v>
      </c>
      <c r="S59" s="134" t="s">
        <v>1379</v>
      </c>
      <c r="U59" s="134">
        <f t="shared" si="5"/>
        <v>0</v>
      </c>
    </row>
    <row r="60" spans="1:21" ht="15.75" x14ac:dyDescent="0.25">
      <c r="A60" s="131" t="s">
        <v>660</v>
      </c>
      <c r="B60" s="137">
        <f t="shared" si="6"/>
        <v>28</v>
      </c>
      <c r="D60" s="134" t="s">
        <v>877</v>
      </c>
      <c r="E60">
        <v>1</v>
      </c>
      <c r="F60" s="134">
        <f t="shared" si="0"/>
        <v>8</v>
      </c>
      <c r="G60" s="134" t="s">
        <v>962</v>
      </c>
      <c r="H60" s="134">
        <v>5</v>
      </c>
      <c r="I60" s="134">
        <f t="shared" si="1"/>
        <v>4</v>
      </c>
      <c r="J60" s="134" t="s">
        <v>1257</v>
      </c>
      <c r="K60" s="134">
        <v>3</v>
      </c>
      <c r="L60" s="134">
        <f t="shared" si="2"/>
        <v>0</v>
      </c>
      <c r="M60" s="134" t="s">
        <v>1379</v>
      </c>
      <c r="O60" s="134">
        <f t="shared" si="3"/>
        <v>0</v>
      </c>
      <c r="P60" s="134" t="s">
        <v>1379</v>
      </c>
      <c r="R60" s="134">
        <f t="shared" si="4"/>
        <v>0</v>
      </c>
      <c r="S60" s="134" t="s">
        <v>1379</v>
      </c>
      <c r="U60" s="134">
        <f t="shared" si="5"/>
        <v>0</v>
      </c>
    </row>
    <row r="61" spans="1:21" ht="15.75" x14ac:dyDescent="0.25">
      <c r="A61" s="131" t="s">
        <v>662</v>
      </c>
      <c r="B61" s="137">
        <f t="shared" si="6"/>
        <v>13.5</v>
      </c>
      <c r="D61" s="134" t="s">
        <v>663</v>
      </c>
      <c r="E61">
        <v>1</v>
      </c>
      <c r="F61" s="134">
        <f t="shared" si="0"/>
        <v>13.5</v>
      </c>
      <c r="G61" s="134" t="s">
        <v>1379</v>
      </c>
      <c r="I61" s="134">
        <f t="shared" si="1"/>
        <v>0</v>
      </c>
      <c r="J61" s="134" t="s">
        <v>1379</v>
      </c>
      <c r="L61" s="134">
        <f t="shared" si="2"/>
        <v>0</v>
      </c>
      <c r="M61" s="134" t="s">
        <v>1379</v>
      </c>
      <c r="O61" s="134">
        <f t="shared" si="3"/>
        <v>0</v>
      </c>
      <c r="P61" s="134" t="s">
        <v>1379</v>
      </c>
      <c r="R61" s="134">
        <f t="shared" si="4"/>
        <v>0</v>
      </c>
      <c r="S61" s="134" t="s">
        <v>1379</v>
      </c>
      <c r="U61" s="134">
        <f t="shared" si="5"/>
        <v>0</v>
      </c>
    </row>
    <row r="62" spans="1:21" s="145" customFormat="1" ht="15.75" x14ac:dyDescent="0.25">
      <c r="A62" s="143" t="s">
        <v>663</v>
      </c>
      <c r="B62" s="144">
        <f>'ECONOMIA &amp; PROFESIONES'!G55</f>
        <v>13.5</v>
      </c>
      <c r="D62" s="145" t="s">
        <v>1379</v>
      </c>
      <c r="F62" s="145">
        <f t="shared" si="0"/>
        <v>0</v>
      </c>
      <c r="G62" s="145" t="s">
        <v>1379</v>
      </c>
      <c r="I62" s="145">
        <f t="shared" si="1"/>
        <v>0</v>
      </c>
      <c r="J62" s="145" t="s">
        <v>1379</v>
      </c>
      <c r="L62" s="145">
        <f t="shared" si="2"/>
        <v>0</v>
      </c>
      <c r="M62" s="145" t="s">
        <v>1379</v>
      </c>
      <c r="O62" s="145">
        <f t="shared" si="3"/>
        <v>0</v>
      </c>
      <c r="P62" s="145" t="s">
        <v>1379</v>
      </c>
      <c r="R62" s="145">
        <f t="shared" si="4"/>
        <v>0</v>
      </c>
      <c r="S62" s="145" t="s">
        <v>1379</v>
      </c>
      <c r="U62" s="145">
        <f t="shared" si="5"/>
        <v>0</v>
      </c>
    </row>
    <row r="63" spans="1:21" ht="15.75" x14ac:dyDescent="0.25">
      <c r="A63" s="131" t="s">
        <v>664</v>
      </c>
      <c r="B63" s="137">
        <f t="shared" si="6"/>
        <v>0</v>
      </c>
      <c r="D63" s="134" t="s">
        <v>677</v>
      </c>
      <c r="E63" s="134">
        <v>6</v>
      </c>
      <c r="F63" s="134">
        <f t="shared" si="0"/>
        <v>0</v>
      </c>
      <c r="G63" s="134" t="s">
        <v>1281</v>
      </c>
      <c r="H63" s="134">
        <v>1</v>
      </c>
      <c r="I63" s="134">
        <f t="shared" si="1"/>
        <v>0</v>
      </c>
      <c r="J63" s="134" t="s">
        <v>1379</v>
      </c>
      <c r="L63" s="134">
        <f t="shared" si="2"/>
        <v>0</v>
      </c>
      <c r="M63" s="134" t="s">
        <v>1379</v>
      </c>
      <c r="O63" s="134">
        <f t="shared" si="3"/>
        <v>0</v>
      </c>
      <c r="P63" s="134" t="s">
        <v>1379</v>
      </c>
      <c r="R63" s="134">
        <f t="shared" si="4"/>
        <v>0</v>
      </c>
      <c r="S63" s="134" t="s">
        <v>1379</v>
      </c>
      <c r="U63" s="134">
        <f t="shared" si="5"/>
        <v>0</v>
      </c>
    </row>
    <row r="64" spans="1:21" ht="15.75" x14ac:dyDescent="0.25">
      <c r="A64" s="131" t="s">
        <v>665</v>
      </c>
      <c r="B64" s="137">
        <f t="shared" ref="B64:B124" si="7">(F64*E64)+(H64*I64)+(K64*L64)+(N64*O64)+(Q64*R64)+(T64*U64)</f>
        <v>0</v>
      </c>
      <c r="D64" s="134" t="s">
        <v>677</v>
      </c>
      <c r="E64" s="134">
        <v>3</v>
      </c>
      <c r="F64" s="134">
        <f t="shared" si="0"/>
        <v>0</v>
      </c>
      <c r="G64" s="134" t="s">
        <v>1093</v>
      </c>
      <c r="H64" s="134">
        <v>3</v>
      </c>
      <c r="I64" s="134">
        <f t="shared" si="1"/>
        <v>0</v>
      </c>
      <c r="J64" s="134" t="s">
        <v>1379</v>
      </c>
      <c r="L64" s="134">
        <f t="shared" si="2"/>
        <v>0</v>
      </c>
      <c r="M64" s="134" t="s">
        <v>1379</v>
      </c>
      <c r="O64" s="134">
        <f t="shared" si="3"/>
        <v>0</v>
      </c>
      <c r="P64" s="134" t="s">
        <v>1379</v>
      </c>
      <c r="R64" s="134">
        <f t="shared" si="4"/>
        <v>0</v>
      </c>
      <c r="S64" s="134" t="s">
        <v>1379</v>
      </c>
      <c r="U64" s="134">
        <f t="shared" si="5"/>
        <v>0</v>
      </c>
    </row>
    <row r="65" spans="1:21" ht="15.75" x14ac:dyDescent="0.25">
      <c r="A65" s="131" t="s">
        <v>666</v>
      </c>
      <c r="B65" s="137">
        <f t="shared" si="7"/>
        <v>0</v>
      </c>
      <c r="D65" s="134" t="s">
        <v>677</v>
      </c>
      <c r="E65" s="134">
        <v>2</v>
      </c>
      <c r="F65" s="134">
        <f t="shared" si="0"/>
        <v>0</v>
      </c>
      <c r="G65" s="134" t="s">
        <v>1379</v>
      </c>
      <c r="I65" s="134">
        <f t="shared" si="1"/>
        <v>0</v>
      </c>
      <c r="J65" s="134" t="s">
        <v>1379</v>
      </c>
      <c r="L65" s="134">
        <f t="shared" si="2"/>
        <v>0</v>
      </c>
      <c r="M65" s="134" t="s">
        <v>1379</v>
      </c>
      <c r="O65" s="134">
        <f t="shared" si="3"/>
        <v>0</v>
      </c>
      <c r="P65" s="134" t="s">
        <v>1379</v>
      </c>
      <c r="R65" s="134">
        <f t="shared" si="4"/>
        <v>0</v>
      </c>
      <c r="S65" s="134" t="s">
        <v>1379</v>
      </c>
      <c r="U65" s="134">
        <f t="shared" si="5"/>
        <v>0</v>
      </c>
    </row>
    <row r="66" spans="1:21" ht="15.75" x14ac:dyDescent="0.25">
      <c r="A66" s="131" t="s">
        <v>667</v>
      </c>
      <c r="B66" s="137">
        <f t="shared" si="7"/>
        <v>4</v>
      </c>
      <c r="D66" s="134" t="s">
        <v>668</v>
      </c>
      <c r="E66" s="134">
        <v>1</v>
      </c>
      <c r="F66" s="134">
        <f t="shared" si="0"/>
        <v>4</v>
      </c>
      <c r="G66" s="134" t="s">
        <v>1379</v>
      </c>
      <c r="I66" s="134">
        <f t="shared" si="1"/>
        <v>0</v>
      </c>
      <c r="J66" s="134" t="s">
        <v>1379</v>
      </c>
      <c r="L66" s="134">
        <f t="shared" si="2"/>
        <v>0</v>
      </c>
      <c r="M66" s="134" t="s">
        <v>1379</v>
      </c>
      <c r="O66" s="134">
        <f t="shared" si="3"/>
        <v>0</v>
      </c>
      <c r="P66" s="134" t="s">
        <v>1379</v>
      </c>
      <c r="R66" s="134">
        <f t="shared" si="4"/>
        <v>0</v>
      </c>
      <c r="S66" s="134" t="s">
        <v>1379</v>
      </c>
      <c r="U66" s="134">
        <f t="shared" si="5"/>
        <v>0</v>
      </c>
    </row>
    <row r="67" spans="1:21" ht="15.75" x14ac:dyDescent="0.25">
      <c r="A67" s="131" t="s">
        <v>668</v>
      </c>
      <c r="B67" s="137">
        <f t="shared" si="7"/>
        <v>4</v>
      </c>
      <c r="D67" s="134" t="s">
        <v>1229</v>
      </c>
      <c r="E67" s="134">
        <v>4</v>
      </c>
      <c r="F67" s="134">
        <f t="shared" ref="F67:F127" si="8">VLOOKUP(D67,IDPOINTS,2,FALSE)</f>
        <v>0</v>
      </c>
      <c r="G67" s="134" t="s">
        <v>910</v>
      </c>
      <c r="H67" s="134">
        <v>4</v>
      </c>
      <c r="I67" s="134">
        <f t="shared" ref="I67:I127" si="9">VLOOKUP(G67,IDPOINTS,2,FALSE)</f>
        <v>1</v>
      </c>
      <c r="J67" s="134" t="s">
        <v>669</v>
      </c>
      <c r="K67" s="134">
        <v>1</v>
      </c>
      <c r="L67" s="134">
        <f t="shared" ref="L67:L127" si="10">VLOOKUP(J67,IDPOINTS,2,FALSE)</f>
        <v>0</v>
      </c>
      <c r="M67" s="134" t="s">
        <v>1379</v>
      </c>
      <c r="O67" s="134">
        <f t="shared" ref="O67:O127" si="11">VLOOKUP(M67,IDPOINTS,2,FALSE)</f>
        <v>0</v>
      </c>
      <c r="P67" s="134" t="s">
        <v>1379</v>
      </c>
      <c r="R67" s="134">
        <f t="shared" ref="R67:R127" si="12">VLOOKUP(P67,IDPOINTS,2,FALSE)</f>
        <v>0</v>
      </c>
      <c r="S67" s="134" t="s">
        <v>1379</v>
      </c>
      <c r="U67" s="134">
        <f t="shared" ref="U67:U127" si="13">VLOOKUP(S67,IDPOINTS,2,FALSE)</f>
        <v>0</v>
      </c>
    </row>
    <row r="68" spans="1:21" s="148" customFormat="1" ht="15.75" x14ac:dyDescent="0.25">
      <c r="A68" s="146" t="s">
        <v>669</v>
      </c>
      <c r="B68" s="147">
        <f t="shared" si="7"/>
        <v>0</v>
      </c>
      <c r="D68" s="148" t="s">
        <v>1379</v>
      </c>
      <c r="F68" s="148">
        <f t="shared" si="8"/>
        <v>0</v>
      </c>
      <c r="G68" s="148" t="s">
        <v>1379</v>
      </c>
      <c r="I68" s="148">
        <f t="shared" si="9"/>
        <v>0</v>
      </c>
      <c r="J68" s="148" t="s">
        <v>1379</v>
      </c>
      <c r="L68" s="148">
        <f t="shared" si="10"/>
        <v>0</v>
      </c>
      <c r="M68" s="148" t="s">
        <v>1379</v>
      </c>
      <c r="O68" s="148">
        <f t="shared" si="11"/>
        <v>0</v>
      </c>
      <c r="P68" s="148" t="s">
        <v>1379</v>
      </c>
      <c r="R68" s="148">
        <f t="shared" si="12"/>
        <v>0</v>
      </c>
      <c r="S68" s="148" t="s">
        <v>1379</v>
      </c>
      <c r="U68" s="148">
        <f t="shared" si="13"/>
        <v>0</v>
      </c>
    </row>
    <row r="69" spans="1:21" ht="15.75" x14ac:dyDescent="0.25">
      <c r="A69" s="131" t="s">
        <v>670</v>
      </c>
      <c r="B69" s="137">
        <f t="shared" si="7"/>
        <v>3</v>
      </c>
      <c r="D69" s="134" t="s">
        <v>658</v>
      </c>
      <c r="E69" s="134">
        <v>1</v>
      </c>
      <c r="F69" s="134">
        <f t="shared" si="8"/>
        <v>0</v>
      </c>
      <c r="G69" s="134" t="s">
        <v>738</v>
      </c>
      <c r="H69" s="134">
        <v>1</v>
      </c>
      <c r="I69" s="134">
        <f t="shared" si="9"/>
        <v>3</v>
      </c>
      <c r="J69" s="134" t="s">
        <v>1379</v>
      </c>
      <c r="L69" s="134">
        <f t="shared" si="10"/>
        <v>0</v>
      </c>
      <c r="M69" s="134" t="s">
        <v>1379</v>
      </c>
      <c r="O69" s="134">
        <f t="shared" si="11"/>
        <v>0</v>
      </c>
      <c r="P69" s="134" t="s">
        <v>1379</v>
      </c>
      <c r="R69" s="134">
        <f t="shared" si="12"/>
        <v>0</v>
      </c>
      <c r="S69" s="134" t="s">
        <v>1379</v>
      </c>
      <c r="U69" s="134">
        <f t="shared" si="13"/>
        <v>0</v>
      </c>
    </row>
    <row r="70" spans="1:21" s="148" customFormat="1" ht="15.75" x14ac:dyDescent="0.25">
      <c r="A70" s="146" t="s">
        <v>671</v>
      </c>
      <c r="B70" s="147">
        <f t="shared" si="7"/>
        <v>0</v>
      </c>
      <c r="D70" s="148" t="s">
        <v>1379</v>
      </c>
      <c r="F70" s="148">
        <f t="shared" si="8"/>
        <v>0</v>
      </c>
      <c r="G70" s="148" t="s">
        <v>1379</v>
      </c>
      <c r="I70" s="148">
        <f t="shared" si="9"/>
        <v>0</v>
      </c>
      <c r="J70" s="148" t="s">
        <v>1379</v>
      </c>
      <c r="L70" s="148">
        <f t="shared" si="10"/>
        <v>0</v>
      </c>
      <c r="M70" s="148" t="s">
        <v>1379</v>
      </c>
      <c r="O70" s="148">
        <f t="shared" si="11"/>
        <v>0</v>
      </c>
      <c r="P70" s="148" t="s">
        <v>1379</v>
      </c>
      <c r="R70" s="148">
        <f t="shared" si="12"/>
        <v>0</v>
      </c>
      <c r="S70" s="148" t="s">
        <v>1379</v>
      </c>
      <c r="U70" s="148">
        <f t="shared" si="13"/>
        <v>0</v>
      </c>
    </row>
    <row r="71" spans="1:21" s="148" customFormat="1" ht="15.75" x14ac:dyDescent="0.25">
      <c r="A71" s="146" t="s">
        <v>672</v>
      </c>
      <c r="B71" s="147">
        <f t="shared" si="7"/>
        <v>0</v>
      </c>
      <c r="D71" s="148" t="s">
        <v>1379</v>
      </c>
      <c r="F71" s="148">
        <f t="shared" si="8"/>
        <v>0</v>
      </c>
      <c r="G71" s="148" t="s">
        <v>1379</v>
      </c>
      <c r="I71" s="148">
        <f t="shared" si="9"/>
        <v>0</v>
      </c>
      <c r="J71" s="148" t="s">
        <v>1379</v>
      </c>
      <c r="L71" s="148">
        <f t="shared" si="10"/>
        <v>0</v>
      </c>
      <c r="M71" s="148" t="s">
        <v>1379</v>
      </c>
      <c r="O71" s="148">
        <f t="shared" si="11"/>
        <v>0</v>
      </c>
      <c r="P71" s="148" t="s">
        <v>1379</v>
      </c>
      <c r="R71" s="148">
        <f t="shared" si="12"/>
        <v>0</v>
      </c>
      <c r="S71" s="148" t="s">
        <v>1379</v>
      </c>
      <c r="U71" s="148">
        <f t="shared" si="13"/>
        <v>0</v>
      </c>
    </row>
    <row r="72" spans="1:21" ht="15.75" x14ac:dyDescent="0.25">
      <c r="A72" s="131" t="s">
        <v>673</v>
      </c>
      <c r="B72" s="137">
        <f t="shared" si="7"/>
        <v>0</v>
      </c>
      <c r="D72" s="134" t="s">
        <v>669</v>
      </c>
      <c r="E72" s="134">
        <v>1</v>
      </c>
      <c r="F72" s="134">
        <f t="shared" si="8"/>
        <v>0</v>
      </c>
      <c r="G72" s="134" t="s">
        <v>1241</v>
      </c>
      <c r="H72" s="134">
        <v>1</v>
      </c>
      <c r="I72" s="134">
        <f t="shared" si="9"/>
        <v>0</v>
      </c>
      <c r="J72" s="134" t="s">
        <v>1379</v>
      </c>
      <c r="L72" s="134">
        <f t="shared" si="10"/>
        <v>0</v>
      </c>
      <c r="M72" s="134" t="s">
        <v>1379</v>
      </c>
      <c r="O72" s="134">
        <f t="shared" si="11"/>
        <v>0</v>
      </c>
      <c r="P72" s="134" t="s">
        <v>1379</v>
      </c>
      <c r="R72" s="134">
        <f t="shared" si="12"/>
        <v>0</v>
      </c>
      <c r="S72" s="134" t="s">
        <v>1379</v>
      </c>
      <c r="U72" s="134">
        <f t="shared" si="13"/>
        <v>0</v>
      </c>
    </row>
    <row r="73" spans="1:21" ht="15.75" x14ac:dyDescent="0.25">
      <c r="A73" s="131" t="s">
        <v>674</v>
      </c>
      <c r="B73" s="137">
        <f t="shared" si="7"/>
        <v>24</v>
      </c>
      <c r="D73" s="134" t="s">
        <v>880</v>
      </c>
      <c r="E73" s="134">
        <v>8</v>
      </c>
      <c r="F73" s="134">
        <f t="shared" si="8"/>
        <v>3</v>
      </c>
      <c r="G73" s="134" t="s">
        <v>669</v>
      </c>
      <c r="H73" s="134">
        <v>1</v>
      </c>
      <c r="I73" s="134">
        <f t="shared" si="9"/>
        <v>0</v>
      </c>
      <c r="J73" s="134" t="s">
        <v>1379</v>
      </c>
      <c r="L73" s="134">
        <f t="shared" si="10"/>
        <v>0</v>
      </c>
      <c r="M73" s="134" t="s">
        <v>1379</v>
      </c>
      <c r="O73" s="134">
        <f t="shared" si="11"/>
        <v>0</v>
      </c>
      <c r="P73" s="134" t="s">
        <v>1379</v>
      </c>
      <c r="R73" s="134">
        <f t="shared" si="12"/>
        <v>0</v>
      </c>
      <c r="S73" s="134" t="s">
        <v>1379</v>
      </c>
      <c r="U73" s="134">
        <f t="shared" si="13"/>
        <v>0</v>
      </c>
    </row>
    <row r="74" spans="1:21" ht="15.75" x14ac:dyDescent="0.25">
      <c r="A74" s="131" t="s">
        <v>675</v>
      </c>
      <c r="B74" s="137">
        <f t="shared" si="7"/>
        <v>144</v>
      </c>
      <c r="D74" s="134" t="s">
        <v>656</v>
      </c>
      <c r="E74" s="134">
        <v>6</v>
      </c>
      <c r="F74" s="134">
        <f t="shared" si="8"/>
        <v>24</v>
      </c>
      <c r="G74" s="134" t="s">
        <v>1379</v>
      </c>
      <c r="I74" s="134">
        <f t="shared" si="9"/>
        <v>0</v>
      </c>
      <c r="J74" s="134" t="s">
        <v>1379</v>
      </c>
      <c r="L74" s="134">
        <f t="shared" si="10"/>
        <v>0</v>
      </c>
      <c r="M74" s="134" t="s">
        <v>1379</v>
      </c>
      <c r="O74" s="134">
        <f t="shared" si="11"/>
        <v>0</v>
      </c>
      <c r="P74" s="134" t="s">
        <v>1379</v>
      </c>
      <c r="R74" s="134">
        <f t="shared" si="12"/>
        <v>0</v>
      </c>
      <c r="S74" s="134" t="s">
        <v>1379</v>
      </c>
      <c r="U74" s="134">
        <f t="shared" si="13"/>
        <v>0</v>
      </c>
    </row>
    <row r="75" spans="1:21" ht="15.75" x14ac:dyDescent="0.25">
      <c r="A75" s="131" t="s">
        <v>676</v>
      </c>
      <c r="B75" s="137">
        <f t="shared" si="7"/>
        <v>0</v>
      </c>
      <c r="D75" s="134" t="s">
        <v>1318</v>
      </c>
      <c r="E75" s="134">
        <v>8</v>
      </c>
      <c r="F75" s="134">
        <f t="shared" si="8"/>
        <v>0</v>
      </c>
      <c r="G75" s="134" t="s">
        <v>669</v>
      </c>
      <c r="H75" s="134">
        <v>1</v>
      </c>
      <c r="I75" s="134">
        <f t="shared" si="9"/>
        <v>0</v>
      </c>
      <c r="J75" s="134" t="s">
        <v>1379</v>
      </c>
      <c r="L75" s="134">
        <f t="shared" si="10"/>
        <v>0</v>
      </c>
      <c r="M75" s="134" t="s">
        <v>1379</v>
      </c>
      <c r="O75" s="134">
        <f t="shared" si="11"/>
        <v>0</v>
      </c>
      <c r="P75" s="134" t="s">
        <v>1379</v>
      </c>
      <c r="R75" s="134">
        <f t="shared" si="12"/>
        <v>0</v>
      </c>
      <c r="S75" s="134" t="s">
        <v>1379</v>
      </c>
      <c r="U75" s="134">
        <f t="shared" si="13"/>
        <v>0</v>
      </c>
    </row>
    <row r="76" spans="1:21" ht="15.75" x14ac:dyDescent="0.25">
      <c r="A76" s="131" t="s">
        <v>677</v>
      </c>
      <c r="B76" s="137">
        <f t="shared" si="7"/>
        <v>0</v>
      </c>
      <c r="D76" s="134" t="s">
        <v>1348</v>
      </c>
      <c r="E76" s="134">
        <v>1</v>
      </c>
      <c r="F76" s="134">
        <f t="shared" si="8"/>
        <v>0</v>
      </c>
      <c r="G76" s="134" t="s">
        <v>669</v>
      </c>
      <c r="H76" s="134">
        <v>1</v>
      </c>
      <c r="I76" s="134">
        <f t="shared" si="9"/>
        <v>0</v>
      </c>
      <c r="J76" s="134" t="s">
        <v>1379</v>
      </c>
      <c r="L76" s="134">
        <f t="shared" si="10"/>
        <v>0</v>
      </c>
      <c r="M76" s="134" t="s">
        <v>1379</v>
      </c>
      <c r="O76" s="134">
        <f t="shared" si="11"/>
        <v>0</v>
      </c>
      <c r="P76" s="134" t="s">
        <v>1379</v>
      </c>
      <c r="R76" s="134">
        <f t="shared" si="12"/>
        <v>0</v>
      </c>
      <c r="S76" s="134" t="s">
        <v>1379</v>
      </c>
      <c r="U76" s="134">
        <f t="shared" si="13"/>
        <v>0</v>
      </c>
    </row>
    <row r="77" spans="1:21" ht="15.75" x14ac:dyDescent="0.25">
      <c r="A77" s="131" t="s">
        <v>678</v>
      </c>
      <c r="B77" s="137">
        <f>'ECONOMIA &amp; PROFESIONES'!G49</f>
        <v>7.5</v>
      </c>
      <c r="D77" s="134" t="s">
        <v>1379</v>
      </c>
      <c r="F77" s="134">
        <f t="shared" si="8"/>
        <v>0</v>
      </c>
      <c r="G77" s="134" t="s">
        <v>1379</v>
      </c>
      <c r="I77" s="134">
        <f t="shared" si="9"/>
        <v>0</v>
      </c>
      <c r="J77" s="134" t="s">
        <v>1379</v>
      </c>
      <c r="L77" s="134">
        <f t="shared" si="10"/>
        <v>0</v>
      </c>
      <c r="M77" s="134" t="s">
        <v>1379</v>
      </c>
      <c r="O77" s="134">
        <f t="shared" si="11"/>
        <v>0</v>
      </c>
      <c r="P77" s="134" t="s">
        <v>1379</v>
      </c>
      <c r="R77" s="134">
        <f t="shared" si="12"/>
        <v>0</v>
      </c>
      <c r="S77" s="134" t="s">
        <v>1379</v>
      </c>
      <c r="U77" s="134">
        <f t="shared" si="13"/>
        <v>0</v>
      </c>
    </row>
    <row r="78" spans="1:21" ht="15.75" x14ac:dyDescent="0.25">
      <c r="A78" s="131" t="s">
        <v>679</v>
      </c>
      <c r="B78" s="137">
        <f t="shared" si="7"/>
        <v>67.5</v>
      </c>
      <c r="D78" s="134" t="s">
        <v>680</v>
      </c>
      <c r="E78">
        <v>9</v>
      </c>
      <c r="F78" s="134">
        <f t="shared" si="8"/>
        <v>7.5</v>
      </c>
      <c r="G78" s="134" t="s">
        <v>1379</v>
      </c>
      <c r="I78" s="134">
        <f t="shared" si="9"/>
        <v>0</v>
      </c>
      <c r="J78" s="134" t="s">
        <v>1379</v>
      </c>
      <c r="L78" s="134">
        <f t="shared" si="10"/>
        <v>0</v>
      </c>
      <c r="M78" s="134" t="s">
        <v>1379</v>
      </c>
      <c r="O78" s="134">
        <f t="shared" si="11"/>
        <v>0</v>
      </c>
      <c r="P78" s="134" t="s">
        <v>1379</v>
      </c>
      <c r="R78" s="134">
        <f t="shared" si="12"/>
        <v>0</v>
      </c>
      <c r="S78" s="134" t="s">
        <v>1379</v>
      </c>
      <c r="U78" s="134">
        <f t="shared" si="13"/>
        <v>0</v>
      </c>
    </row>
    <row r="79" spans="1:21" ht="15.75" x14ac:dyDescent="0.25">
      <c r="A79" s="131" t="s">
        <v>680</v>
      </c>
      <c r="B79" s="137">
        <f t="shared" si="7"/>
        <v>7.5</v>
      </c>
      <c r="D79" s="134" t="s">
        <v>678</v>
      </c>
      <c r="E79">
        <v>1</v>
      </c>
      <c r="F79" s="134">
        <f t="shared" si="8"/>
        <v>7.5</v>
      </c>
      <c r="G79" s="134" t="s">
        <v>1379</v>
      </c>
      <c r="I79" s="134">
        <f t="shared" si="9"/>
        <v>0</v>
      </c>
      <c r="J79" s="134" t="s">
        <v>1379</v>
      </c>
      <c r="L79" s="134">
        <f t="shared" si="10"/>
        <v>0</v>
      </c>
      <c r="M79" s="134" t="s">
        <v>1379</v>
      </c>
      <c r="O79" s="134">
        <f t="shared" si="11"/>
        <v>0</v>
      </c>
      <c r="P79" s="134" t="s">
        <v>1379</v>
      </c>
      <c r="R79" s="134">
        <f t="shared" si="12"/>
        <v>0</v>
      </c>
      <c r="S79" s="134" t="s">
        <v>1379</v>
      </c>
      <c r="U79" s="134">
        <f t="shared" si="13"/>
        <v>0</v>
      </c>
    </row>
    <row r="80" spans="1:21" ht="15.75" x14ac:dyDescent="0.25">
      <c r="A80" s="131" t="s">
        <v>681</v>
      </c>
      <c r="B80" s="137">
        <f t="shared" si="7"/>
        <v>1</v>
      </c>
      <c r="D80" s="134" t="s">
        <v>1119</v>
      </c>
      <c r="E80">
        <v>3</v>
      </c>
      <c r="F80" s="134">
        <f t="shared" si="8"/>
        <v>0</v>
      </c>
      <c r="G80" s="134" t="s">
        <v>994</v>
      </c>
      <c r="H80" s="134">
        <v>1</v>
      </c>
      <c r="I80" s="134">
        <f t="shared" si="9"/>
        <v>1</v>
      </c>
      <c r="J80" s="134" t="s">
        <v>1379</v>
      </c>
      <c r="L80" s="134">
        <f t="shared" si="10"/>
        <v>0</v>
      </c>
      <c r="M80" s="134" t="s">
        <v>1379</v>
      </c>
      <c r="O80" s="134">
        <f t="shared" si="11"/>
        <v>0</v>
      </c>
      <c r="P80" s="134" t="s">
        <v>1379</v>
      </c>
      <c r="R80" s="134">
        <f t="shared" si="12"/>
        <v>0</v>
      </c>
      <c r="S80" s="134" t="s">
        <v>1379</v>
      </c>
      <c r="U80" s="134">
        <f t="shared" si="13"/>
        <v>0</v>
      </c>
    </row>
    <row r="81" spans="1:21" ht="15.75" x14ac:dyDescent="0.25">
      <c r="A81" s="131" t="s">
        <v>682</v>
      </c>
      <c r="B81" s="137">
        <f t="shared" si="7"/>
        <v>3</v>
      </c>
      <c r="D81" s="134" t="s">
        <v>681</v>
      </c>
      <c r="E81">
        <v>3</v>
      </c>
      <c r="F81" s="134">
        <f t="shared" si="8"/>
        <v>1</v>
      </c>
      <c r="G81" s="134" t="s">
        <v>1093</v>
      </c>
      <c r="H81" s="134">
        <v>6</v>
      </c>
      <c r="I81" s="134">
        <f t="shared" si="9"/>
        <v>0</v>
      </c>
      <c r="J81" s="134" t="s">
        <v>1379</v>
      </c>
      <c r="L81" s="134">
        <f t="shared" si="10"/>
        <v>0</v>
      </c>
      <c r="M81" s="134" t="s">
        <v>1379</v>
      </c>
      <c r="O81" s="134">
        <f t="shared" si="11"/>
        <v>0</v>
      </c>
      <c r="P81" s="134" t="s">
        <v>1379</v>
      </c>
      <c r="R81" s="134">
        <f t="shared" si="12"/>
        <v>0</v>
      </c>
      <c r="S81" s="134" t="s">
        <v>1379</v>
      </c>
      <c r="U81" s="134">
        <f t="shared" si="13"/>
        <v>0</v>
      </c>
    </row>
    <row r="82" spans="1:21" ht="15.75" x14ac:dyDescent="0.25">
      <c r="A82" s="131" t="s">
        <v>683</v>
      </c>
      <c r="B82" s="137">
        <f t="shared" si="7"/>
        <v>0</v>
      </c>
      <c r="D82" s="134" t="s">
        <v>1281</v>
      </c>
      <c r="E82">
        <v>3</v>
      </c>
      <c r="F82" s="134">
        <f t="shared" si="8"/>
        <v>0</v>
      </c>
      <c r="G82" s="134" t="s">
        <v>1297</v>
      </c>
      <c r="H82" s="134">
        <v>3</v>
      </c>
      <c r="I82" s="134">
        <f t="shared" si="9"/>
        <v>0</v>
      </c>
      <c r="J82" s="134" t="s">
        <v>1379</v>
      </c>
      <c r="L82" s="134">
        <f t="shared" si="10"/>
        <v>0</v>
      </c>
      <c r="M82" s="134" t="s">
        <v>1379</v>
      </c>
      <c r="O82" s="134">
        <f t="shared" si="11"/>
        <v>0</v>
      </c>
      <c r="P82" s="134" t="s">
        <v>1379</v>
      </c>
      <c r="R82" s="134">
        <f t="shared" si="12"/>
        <v>0</v>
      </c>
      <c r="S82" s="134" t="s">
        <v>1379</v>
      </c>
      <c r="U82" s="134">
        <f t="shared" si="13"/>
        <v>0</v>
      </c>
    </row>
    <row r="83" spans="1:21" ht="15.75" x14ac:dyDescent="0.25">
      <c r="A83" s="131" t="s">
        <v>684</v>
      </c>
      <c r="B83" s="137">
        <f t="shared" si="7"/>
        <v>0</v>
      </c>
      <c r="D83" s="134" t="s">
        <v>1093</v>
      </c>
      <c r="E83">
        <v>3</v>
      </c>
      <c r="F83" s="134">
        <f t="shared" si="8"/>
        <v>0</v>
      </c>
      <c r="G83" s="134" t="s">
        <v>1379</v>
      </c>
      <c r="I83" s="134">
        <f t="shared" si="9"/>
        <v>0</v>
      </c>
      <c r="J83" s="134" t="s">
        <v>1379</v>
      </c>
      <c r="L83" s="134">
        <f t="shared" si="10"/>
        <v>0</v>
      </c>
      <c r="M83" s="134" t="s">
        <v>1379</v>
      </c>
      <c r="O83" s="134">
        <f t="shared" si="11"/>
        <v>0</v>
      </c>
      <c r="P83" s="134" t="s">
        <v>1379</v>
      </c>
      <c r="R83" s="134">
        <f t="shared" si="12"/>
        <v>0</v>
      </c>
      <c r="S83" s="134" t="s">
        <v>1379</v>
      </c>
      <c r="U83" s="134">
        <f t="shared" si="13"/>
        <v>0</v>
      </c>
    </row>
    <row r="84" spans="1:21" s="148" customFormat="1" ht="15.75" x14ac:dyDescent="0.25">
      <c r="A84" s="146" t="s">
        <v>685</v>
      </c>
      <c r="B84" s="147">
        <f t="shared" si="7"/>
        <v>0</v>
      </c>
      <c r="D84" s="148" t="s">
        <v>1379</v>
      </c>
      <c r="F84" s="148">
        <f t="shared" si="8"/>
        <v>0</v>
      </c>
      <c r="G84" s="148" t="s">
        <v>1379</v>
      </c>
      <c r="I84" s="148">
        <f t="shared" si="9"/>
        <v>0</v>
      </c>
      <c r="J84" s="148" t="s">
        <v>1379</v>
      </c>
      <c r="L84" s="148">
        <f t="shared" si="10"/>
        <v>0</v>
      </c>
      <c r="M84" s="148" t="s">
        <v>1379</v>
      </c>
      <c r="O84" s="148">
        <f t="shared" si="11"/>
        <v>0</v>
      </c>
      <c r="P84" s="148" t="s">
        <v>1379</v>
      </c>
      <c r="R84" s="148">
        <f t="shared" si="12"/>
        <v>0</v>
      </c>
      <c r="S84" s="148" t="s">
        <v>1379</v>
      </c>
      <c r="U84" s="148">
        <f t="shared" si="13"/>
        <v>0</v>
      </c>
    </row>
    <row r="85" spans="1:21" s="148" customFormat="1" ht="15.75" x14ac:dyDescent="0.25">
      <c r="A85" s="146" t="s">
        <v>686</v>
      </c>
      <c r="B85" s="147">
        <f t="shared" si="7"/>
        <v>0</v>
      </c>
      <c r="D85" s="148" t="s">
        <v>1379</v>
      </c>
      <c r="F85" s="148">
        <f t="shared" si="8"/>
        <v>0</v>
      </c>
      <c r="G85" s="148" t="s">
        <v>1379</v>
      </c>
      <c r="I85" s="148">
        <f t="shared" si="9"/>
        <v>0</v>
      </c>
      <c r="J85" s="148" t="s">
        <v>1379</v>
      </c>
      <c r="L85" s="148">
        <f t="shared" si="10"/>
        <v>0</v>
      </c>
      <c r="M85" s="148" t="s">
        <v>1379</v>
      </c>
      <c r="O85" s="148">
        <f t="shared" si="11"/>
        <v>0</v>
      </c>
      <c r="P85" s="148" t="s">
        <v>1379</v>
      </c>
      <c r="R85" s="148">
        <f t="shared" si="12"/>
        <v>0</v>
      </c>
      <c r="S85" s="148" t="s">
        <v>1379</v>
      </c>
      <c r="U85" s="148">
        <f t="shared" si="13"/>
        <v>0</v>
      </c>
    </row>
    <row r="86" spans="1:21" s="148" customFormat="1" ht="15.75" x14ac:dyDescent="0.25">
      <c r="A86" s="146" t="s">
        <v>687</v>
      </c>
      <c r="B86" s="147">
        <f t="shared" si="7"/>
        <v>0</v>
      </c>
      <c r="D86" s="148" t="s">
        <v>1379</v>
      </c>
      <c r="F86" s="148">
        <f t="shared" si="8"/>
        <v>0</v>
      </c>
      <c r="G86" s="148" t="s">
        <v>1379</v>
      </c>
      <c r="I86" s="148">
        <f t="shared" si="9"/>
        <v>0</v>
      </c>
      <c r="J86" s="148" t="s">
        <v>1379</v>
      </c>
      <c r="L86" s="148">
        <f t="shared" si="10"/>
        <v>0</v>
      </c>
      <c r="M86" s="148" t="s">
        <v>1379</v>
      </c>
      <c r="O86" s="148">
        <f t="shared" si="11"/>
        <v>0</v>
      </c>
      <c r="P86" s="148" t="s">
        <v>1379</v>
      </c>
      <c r="R86" s="148">
        <f t="shared" si="12"/>
        <v>0</v>
      </c>
      <c r="S86" s="148" t="s">
        <v>1379</v>
      </c>
      <c r="U86" s="148">
        <f t="shared" si="13"/>
        <v>0</v>
      </c>
    </row>
    <row r="87" spans="1:21" ht="15.75" x14ac:dyDescent="0.25">
      <c r="A87" s="131" t="s">
        <v>688</v>
      </c>
      <c r="B87" s="137">
        <f t="shared" si="7"/>
        <v>0</v>
      </c>
      <c r="D87" s="134" t="s">
        <v>1334</v>
      </c>
      <c r="E87">
        <v>3</v>
      </c>
      <c r="F87" s="134">
        <f t="shared" si="8"/>
        <v>0</v>
      </c>
      <c r="G87" s="134" t="s">
        <v>1379</v>
      </c>
      <c r="I87" s="134">
        <f t="shared" si="9"/>
        <v>0</v>
      </c>
      <c r="J87" s="134" t="s">
        <v>1379</v>
      </c>
      <c r="L87" s="134">
        <f t="shared" si="10"/>
        <v>0</v>
      </c>
      <c r="M87" s="134" t="s">
        <v>1379</v>
      </c>
      <c r="O87" s="134">
        <f t="shared" si="11"/>
        <v>0</v>
      </c>
      <c r="P87" s="134" t="s">
        <v>1379</v>
      </c>
      <c r="R87" s="134">
        <f t="shared" si="12"/>
        <v>0</v>
      </c>
      <c r="S87" s="134" t="s">
        <v>1379</v>
      </c>
      <c r="U87" s="134">
        <f t="shared" si="13"/>
        <v>0</v>
      </c>
    </row>
    <row r="88" spans="1:21" ht="15.75" x14ac:dyDescent="0.25">
      <c r="A88" s="131" t="s">
        <v>689</v>
      </c>
      <c r="B88" s="137">
        <f t="shared" si="7"/>
        <v>16.5</v>
      </c>
      <c r="D88" s="134" t="s">
        <v>663</v>
      </c>
      <c r="E88">
        <v>1</v>
      </c>
      <c r="F88" s="134">
        <f t="shared" si="8"/>
        <v>13.5</v>
      </c>
      <c r="G88" s="134" t="s">
        <v>742</v>
      </c>
      <c r="H88" s="134">
        <v>3</v>
      </c>
      <c r="I88" s="134">
        <f t="shared" si="9"/>
        <v>1</v>
      </c>
      <c r="J88" s="134" t="s">
        <v>1379</v>
      </c>
      <c r="L88" s="134">
        <f t="shared" si="10"/>
        <v>0</v>
      </c>
      <c r="M88" s="134" t="s">
        <v>1379</v>
      </c>
      <c r="O88" s="134">
        <f t="shared" si="11"/>
        <v>0</v>
      </c>
      <c r="P88" s="134" t="s">
        <v>1379</v>
      </c>
      <c r="R88" s="134">
        <f t="shared" si="12"/>
        <v>0</v>
      </c>
      <c r="S88" s="134" t="s">
        <v>1379</v>
      </c>
      <c r="U88" s="134">
        <f t="shared" si="13"/>
        <v>0</v>
      </c>
    </row>
    <row r="89" spans="1:21" ht="15.75" x14ac:dyDescent="0.25">
      <c r="A89" s="131" t="s">
        <v>690</v>
      </c>
      <c r="B89" s="137">
        <f t="shared" si="7"/>
        <v>31</v>
      </c>
      <c r="D89" s="134" t="s">
        <v>735</v>
      </c>
      <c r="E89">
        <v>1</v>
      </c>
      <c r="F89" s="134">
        <f t="shared" si="8"/>
        <v>28</v>
      </c>
      <c r="G89" s="134" t="s">
        <v>738</v>
      </c>
      <c r="H89" s="134">
        <v>1</v>
      </c>
      <c r="I89" s="134">
        <f t="shared" si="9"/>
        <v>3</v>
      </c>
      <c r="J89" s="134" t="s">
        <v>1379</v>
      </c>
      <c r="L89" s="134">
        <f t="shared" si="10"/>
        <v>0</v>
      </c>
      <c r="M89" s="134" t="s">
        <v>1379</v>
      </c>
      <c r="O89" s="134">
        <f t="shared" si="11"/>
        <v>0</v>
      </c>
      <c r="P89" s="134" t="s">
        <v>1379</v>
      </c>
      <c r="R89" s="134">
        <f t="shared" si="12"/>
        <v>0</v>
      </c>
      <c r="S89" s="134" t="s">
        <v>1379</v>
      </c>
      <c r="U89" s="134">
        <f t="shared" si="13"/>
        <v>0</v>
      </c>
    </row>
    <row r="90" spans="1:21" ht="15.75" x14ac:dyDescent="0.25">
      <c r="A90" s="131" t="s">
        <v>691</v>
      </c>
      <c r="B90" s="137">
        <f t="shared" si="7"/>
        <v>372</v>
      </c>
      <c r="D90" s="134" t="s">
        <v>694</v>
      </c>
      <c r="E90">
        <v>3</v>
      </c>
      <c r="F90" s="134">
        <f t="shared" si="8"/>
        <v>124</v>
      </c>
      <c r="G90" s="134" t="s">
        <v>1379</v>
      </c>
      <c r="I90" s="134">
        <f t="shared" si="9"/>
        <v>0</v>
      </c>
      <c r="J90" s="134" t="s">
        <v>1379</v>
      </c>
      <c r="L90" s="134">
        <f t="shared" si="10"/>
        <v>0</v>
      </c>
      <c r="M90" s="134" t="s">
        <v>1379</v>
      </c>
      <c r="O90" s="134">
        <f t="shared" si="11"/>
        <v>0</v>
      </c>
      <c r="P90" s="134" t="s">
        <v>1379</v>
      </c>
      <c r="R90" s="134">
        <f t="shared" si="12"/>
        <v>0</v>
      </c>
      <c r="S90" s="134" t="s">
        <v>1379</v>
      </c>
      <c r="U90" s="134">
        <f t="shared" si="13"/>
        <v>0</v>
      </c>
    </row>
    <row r="91" spans="1:21" ht="15.75" x14ac:dyDescent="0.25">
      <c r="A91" s="131" t="s">
        <v>692</v>
      </c>
      <c r="B91" s="137">
        <f t="shared" si="7"/>
        <v>744</v>
      </c>
      <c r="D91" s="134" t="s">
        <v>694</v>
      </c>
      <c r="E91">
        <v>6</v>
      </c>
      <c r="F91" s="134">
        <f t="shared" si="8"/>
        <v>124</v>
      </c>
      <c r="G91" s="134" t="s">
        <v>1379</v>
      </c>
      <c r="I91" s="134">
        <f t="shared" si="9"/>
        <v>0</v>
      </c>
      <c r="J91" s="134" t="s">
        <v>1379</v>
      </c>
      <c r="L91" s="134">
        <f t="shared" si="10"/>
        <v>0</v>
      </c>
      <c r="M91" s="134" t="s">
        <v>1379</v>
      </c>
      <c r="O91" s="134">
        <f t="shared" si="11"/>
        <v>0</v>
      </c>
      <c r="P91" s="134" t="s">
        <v>1379</v>
      </c>
      <c r="R91" s="134">
        <f t="shared" si="12"/>
        <v>0</v>
      </c>
      <c r="S91" s="134" t="s">
        <v>1379</v>
      </c>
      <c r="U91" s="134">
        <f t="shared" si="13"/>
        <v>0</v>
      </c>
    </row>
    <row r="92" spans="1:21" ht="15.75" x14ac:dyDescent="0.25">
      <c r="A92" s="131" t="s">
        <v>693</v>
      </c>
      <c r="B92" s="137">
        <f t="shared" si="7"/>
        <v>744</v>
      </c>
      <c r="D92" s="134" t="s">
        <v>694</v>
      </c>
      <c r="E92">
        <v>6</v>
      </c>
      <c r="F92" s="134">
        <f t="shared" si="8"/>
        <v>124</v>
      </c>
      <c r="G92" s="134" t="s">
        <v>1379</v>
      </c>
      <c r="I92" s="134">
        <f t="shared" si="9"/>
        <v>0</v>
      </c>
      <c r="J92" s="134" t="s">
        <v>1379</v>
      </c>
      <c r="L92" s="134">
        <f t="shared" si="10"/>
        <v>0</v>
      </c>
      <c r="M92" s="134" t="s">
        <v>1379</v>
      </c>
      <c r="O92" s="134">
        <f t="shared" si="11"/>
        <v>0</v>
      </c>
      <c r="P92" s="134" t="s">
        <v>1379</v>
      </c>
      <c r="R92" s="134">
        <f t="shared" si="12"/>
        <v>0</v>
      </c>
      <c r="S92" s="134" t="s">
        <v>1379</v>
      </c>
      <c r="U92" s="134">
        <f t="shared" si="13"/>
        <v>0</v>
      </c>
    </row>
    <row r="93" spans="1:21" ht="15.75" x14ac:dyDescent="0.25">
      <c r="A93" s="131" t="s">
        <v>694</v>
      </c>
      <c r="B93" s="137">
        <f t="shared" si="7"/>
        <v>124</v>
      </c>
      <c r="D93" s="134" t="s">
        <v>690</v>
      </c>
      <c r="E93">
        <v>4</v>
      </c>
      <c r="F93" s="134">
        <f t="shared" si="8"/>
        <v>31</v>
      </c>
      <c r="G93" s="134" t="s">
        <v>1379</v>
      </c>
      <c r="I93" s="134">
        <f t="shared" si="9"/>
        <v>0</v>
      </c>
      <c r="J93" s="134" t="s">
        <v>1379</v>
      </c>
      <c r="L93" s="134">
        <f t="shared" si="10"/>
        <v>0</v>
      </c>
      <c r="M93" s="134" t="s">
        <v>1379</v>
      </c>
      <c r="O93" s="134">
        <f t="shared" si="11"/>
        <v>0</v>
      </c>
      <c r="P93" s="134" t="s">
        <v>1379</v>
      </c>
      <c r="R93" s="134">
        <f t="shared" si="12"/>
        <v>0</v>
      </c>
      <c r="S93" s="134" t="s">
        <v>1379</v>
      </c>
      <c r="U93" s="134">
        <f t="shared" si="13"/>
        <v>0</v>
      </c>
    </row>
    <row r="94" spans="1:21" ht="15.75" x14ac:dyDescent="0.25">
      <c r="A94" s="131" t="s">
        <v>695</v>
      </c>
      <c r="B94" s="137">
        <f t="shared" si="7"/>
        <v>0</v>
      </c>
      <c r="D94" s="134" t="s">
        <v>707</v>
      </c>
      <c r="E94" s="134">
        <v>6</v>
      </c>
      <c r="F94" s="134">
        <f t="shared" si="8"/>
        <v>0</v>
      </c>
      <c r="G94" s="134" t="s">
        <v>1281</v>
      </c>
      <c r="H94" s="134">
        <v>1</v>
      </c>
      <c r="I94" s="134">
        <f t="shared" si="9"/>
        <v>0</v>
      </c>
      <c r="J94" s="134" t="s">
        <v>1379</v>
      </c>
      <c r="L94" s="134">
        <f t="shared" si="10"/>
        <v>0</v>
      </c>
      <c r="M94" s="134" t="s">
        <v>1379</v>
      </c>
      <c r="O94" s="134">
        <f t="shared" si="11"/>
        <v>0</v>
      </c>
      <c r="P94" s="134" t="s">
        <v>1379</v>
      </c>
      <c r="R94" s="134">
        <f t="shared" si="12"/>
        <v>0</v>
      </c>
      <c r="S94" s="134" t="s">
        <v>1379</v>
      </c>
      <c r="U94" s="134">
        <f t="shared" si="13"/>
        <v>0</v>
      </c>
    </row>
    <row r="95" spans="1:21" ht="15.75" x14ac:dyDescent="0.25">
      <c r="A95" s="131" t="s">
        <v>696</v>
      </c>
      <c r="B95" s="137">
        <f t="shared" si="7"/>
        <v>0</v>
      </c>
      <c r="D95" s="134" t="s">
        <v>707</v>
      </c>
      <c r="E95" s="134">
        <v>3</v>
      </c>
      <c r="F95" s="134">
        <f t="shared" si="8"/>
        <v>0</v>
      </c>
      <c r="G95" s="134" t="s">
        <v>1093</v>
      </c>
      <c r="H95" s="134">
        <v>3</v>
      </c>
      <c r="I95" s="134">
        <f t="shared" si="9"/>
        <v>0</v>
      </c>
      <c r="J95" s="134" t="s">
        <v>1379</v>
      </c>
      <c r="L95" s="134">
        <f t="shared" si="10"/>
        <v>0</v>
      </c>
      <c r="M95" s="134" t="s">
        <v>1379</v>
      </c>
      <c r="O95" s="134">
        <f t="shared" si="11"/>
        <v>0</v>
      </c>
      <c r="P95" s="134" t="s">
        <v>1379</v>
      </c>
      <c r="R95" s="134">
        <f t="shared" si="12"/>
        <v>0</v>
      </c>
      <c r="S95" s="134" t="s">
        <v>1379</v>
      </c>
      <c r="U95" s="134">
        <f t="shared" si="13"/>
        <v>0</v>
      </c>
    </row>
    <row r="96" spans="1:21" ht="15.75" x14ac:dyDescent="0.25">
      <c r="A96" s="131" t="s">
        <v>697</v>
      </c>
      <c r="B96" s="137">
        <f t="shared" si="7"/>
        <v>0</v>
      </c>
      <c r="D96" s="134" t="s">
        <v>707</v>
      </c>
      <c r="E96" s="134">
        <v>2</v>
      </c>
      <c r="F96" s="134">
        <f t="shared" si="8"/>
        <v>0</v>
      </c>
      <c r="G96" s="134" t="s">
        <v>1379</v>
      </c>
      <c r="I96" s="134">
        <f t="shared" si="9"/>
        <v>0</v>
      </c>
      <c r="J96" s="134" t="s">
        <v>1379</v>
      </c>
      <c r="L96" s="134">
        <f t="shared" si="10"/>
        <v>0</v>
      </c>
      <c r="M96" s="134" t="s">
        <v>1379</v>
      </c>
      <c r="O96" s="134">
        <f t="shared" si="11"/>
        <v>0</v>
      </c>
      <c r="P96" s="134" t="s">
        <v>1379</v>
      </c>
      <c r="R96" s="134">
        <f t="shared" si="12"/>
        <v>0</v>
      </c>
      <c r="S96" s="134" t="s">
        <v>1379</v>
      </c>
      <c r="U96" s="134">
        <f t="shared" si="13"/>
        <v>0</v>
      </c>
    </row>
    <row r="97" spans="1:21" ht="15.75" x14ac:dyDescent="0.25">
      <c r="A97" s="131" t="s">
        <v>698</v>
      </c>
      <c r="B97" s="137">
        <f t="shared" si="7"/>
        <v>4</v>
      </c>
      <c r="D97" s="134" t="s">
        <v>699</v>
      </c>
      <c r="E97" s="134">
        <v>1</v>
      </c>
      <c r="F97" s="134">
        <f t="shared" si="8"/>
        <v>4</v>
      </c>
      <c r="G97" s="134" t="s">
        <v>1379</v>
      </c>
      <c r="I97" s="134">
        <f t="shared" si="9"/>
        <v>0</v>
      </c>
      <c r="J97" s="134" t="s">
        <v>1379</v>
      </c>
      <c r="L97" s="134">
        <f t="shared" si="10"/>
        <v>0</v>
      </c>
      <c r="M97" s="134" t="s">
        <v>1379</v>
      </c>
      <c r="O97" s="134">
        <f t="shared" si="11"/>
        <v>0</v>
      </c>
      <c r="P97" s="134" t="s">
        <v>1379</v>
      </c>
      <c r="R97" s="134">
        <f t="shared" si="12"/>
        <v>0</v>
      </c>
      <c r="S97" s="134" t="s">
        <v>1379</v>
      </c>
      <c r="U97" s="134">
        <f t="shared" si="13"/>
        <v>0</v>
      </c>
    </row>
    <row r="98" spans="1:21" ht="15.75" x14ac:dyDescent="0.25">
      <c r="A98" s="131" t="s">
        <v>699</v>
      </c>
      <c r="B98" s="137">
        <f t="shared" si="7"/>
        <v>4</v>
      </c>
      <c r="D98" s="134" t="s">
        <v>1229</v>
      </c>
      <c r="E98" s="134">
        <v>4</v>
      </c>
      <c r="F98" s="134">
        <f t="shared" si="8"/>
        <v>0</v>
      </c>
      <c r="G98" s="134" t="s">
        <v>910</v>
      </c>
      <c r="H98" s="134">
        <v>4</v>
      </c>
      <c r="I98" s="134">
        <f t="shared" si="9"/>
        <v>1</v>
      </c>
      <c r="J98" s="134" t="s">
        <v>700</v>
      </c>
      <c r="K98" s="134">
        <v>1</v>
      </c>
      <c r="L98" s="134">
        <f t="shared" si="10"/>
        <v>0</v>
      </c>
      <c r="M98" s="134" t="s">
        <v>1379</v>
      </c>
      <c r="O98" s="134">
        <f t="shared" si="11"/>
        <v>0</v>
      </c>
      <c r="P98" s="134" t="s">
        <v>1379</v>
      </c>
      <c r="R98" s="134">
        <f t="shared" si="12"/>
        <v>0</v>
      </c>
      <c r="S98" s="134" t="s">
        <v>1379</v>
      </c>
      <c r="U98" s="134">
        <f t="shared" si="13"/>
        <v>0</v>
      </c>
    </row>
    <row r="99" spans="1:21" s="148" customFormat="1" ht="15.75" x14ac:dyDescent="0.25">
      <c r="A99" s="146" t="s">
        <v>700</v>
      </c>
      <c r="B99" s="147">
        <f t="shared" si="7"/>
        <v>0</v>
      </c>
      <c r="D99" s="148" t="s">
        <v>1379</v>
      </c>
      <c r="F99" s="148">
        <f t="shared" si="8"/>
        <v>0</v>
      </c>
      <c r="G99" s="148" t="s">
        <v>1379</v>
      </c>
      <c r="I99" s="148">
        <f t="shared" si="9"/>
        <v>0</v>
      </c>
      <c r="J99" s="148" t="s">
        <v>1379</v>
      </c>
      <c r="L99" s="148">
        <f t="shared" si="10"/>
        <v>0</v>
      </c>
      <c r="M99" s="148" t="s">
        <v>1379</v>
      </c>
      <c r="O99" s="148">
        <f t="shared" si="11"/>
        <v>0</v>
      </c>
      <c r="P99" s="148" t="s">
        <v>1379</v>
      </c>
      <c r="R99" s="148">
        <f t="shared" si="12"/>
        <v>0</v>
      </c>
      <c r="S99" s="148" t="s">
        <v>1379</v>
      </c>
      <c r="U99" s="148">
        <f t="shared" si="13"/>
        <v>0</v>
      </c>
    </row>
    <row r="100" spans="1:21" ht="15.75" x14ac:dyDescent="0.25">
      <c r="A100" s="131" t="s">
        <v>701</v>
      </c>
      <c r="B100" s="137">
        <f t="shared" si="7"/>
        <v>3</v>
      </c>
      <c r="D100" s="134" t="s">
        <v>706</v>
      </c>
      <c r="E100" s="134">
        <v>1</v>
      </c>
      <c r="F100" s="134">
        <f t="shared" si="8"/>
        <v>0</v>
      </c>
      <c r="G100" s="134" t="s">
        <v>738</v>
      </c>
      <c r="H100" s="134">
        <v>1</v>
      </c>
      <c r="I100" s="134">
        <f t="shared" si="9"/>
        <v>3</v>
      </c>
      <c r="J100" s="134" t="s">
        <v>1379</v>
      </c>
      <c r="L100" s="134">
        <f t="shared" si="10"/>
        <v>0</v>
      </c>
      <c r="M100" s="134" t="s">
        <v>1379</v>
      </c>
      <c r="O100" s="134">
        <f t="shared" si="11"/>
        <v>0</v>
      </c>
      <c r="P100" s="134" t="s">
        <v>1379</v>
      </c>
      <c r="R100" s="134">
        <f t="shared" si="12"/>
        <v>0</v>
      </c>
      <c r="S100" s="134" t="s">
        <v>1379</v>
      </c>
      <c r="U100" s="134">
        <f t="shared" si="13"/>
        <v>0</v>
      </c>
    </row>
    <row r="101" spans="1:21" s="145" customFormat="1" ht="15.75" x14ac:dyDescent="0.25">
      <c r="A101" s="143" t="s">
        <v>702</v>
      </c>
      <c r="B101" s="144">
        <f>'ECONOMIA &amp; PROFESIONES'!I34</f>
        <v>11</v>
      </c>
      <c r="D101" s="145" t="s">
        <v>1379</v>
      </c>
      <c r="F101" s="145">
        <f t="shared" si="8"/>
        <v>0</v>
      </c>
      <c r="G101" s="145" t="s">
        <v>1379</v>
      </c>
      <c r="I101" s="145">
        <f t="shared" si="9"/>
        <v>0</v>
      </c>
      <c r="J101" s="145" t="s">
        <v>1379</v>
      </c>
      <c r="L101" s="145">
        <f t="shared" si="10"/>
        <v>0</v>
      </c>
      <c r="M101" s="145" t="s">
        <v>1379</v>
      </c>
      <c r="O101" s="145">
        <f t="shared" si="11"/>
        <v>0</v>
      </c>
      <c r="P101" s="145" t="s">
        <v>1379</v>
      </c>
      <c r="R101" s="145">
        <f t="shared" si="12"/>
        <v>0</v>
      </c>
      <c r="S101" s="145" t="s">
        <v>1379</v>
      </c>
      <c r="U101" s="145">
        <f t="shared" si="13"/>
        <v>0</v>
      </c>
    </row>
    <row r="102" spans="1:21" ht="15.75" x14ac:dyDescent="0.25">
      <c r="A102" s="131" t="s">
        <v>703</v>
      </c>
      <c r="B102" s="137">
        <f t="shared" si="7"/>
        <v>0</v>
      </c>
      <c r="D102" s="134" t="s">
        <v>700</v>
      </c>
      <c r="E102" s="134">
        <v>1</v>
      </c>
      <c r="F102" s="134">
        <f t="shared" si="8"/>
        <v>0</v>
      </c>
      <c r="G102" s="134" t="s">
        <v>1241</v>
      </c>
      <c r="H102" s="134">
        <v>1</v>
      </c>
      <c r="I102" s="134">
        <f t="shared" si="9"/>
        <v>0</v>
      </c>
      <c r="J102" s="134" t="s">
        <v>1379</v>
      </c>
      <c r="L102" s="134">
        <f t="shared" si="10"/>
        <v>0</v>
      </c>
      <c r="M102" s="134" t="s">
        <v>1379</v>
      </c>
      <c r="O102" s="134">
        <f t="shared" si="11"/>
        <v>0</v>
      </c>
      <c r="P102" s="134" t="s">
        <v>1379</v>
      </c>
      <c r="R102" s="134">
        <f t="shared" si="12"/>
        <v>0</v>
      </c>
      <c r="S102" s="134" t="s">
        <v>1379</v>
      </c>
      <c r="U102" s="134">
        <f t="shared" si="13"/>
        <v>0</v>
      </c>
    </row>
    <row r="103" spans="1:21" ht="15.75" x14ac:dyDescent="0.25">
      <c r="A103" s="131" t="s">
        <v>704</v>
      </c>
      <c r="B103" s="137">
        <f t="shared" si="7"/>
        <v>24</v>
      </c>
      <c r="D103" s="134" t="s">
        <v>880</v>
      </c>
      <c r="E103" s="134">
        <v>8</v>
      </c>
      <c r="F103" s="134">
        <f t="shared" si="8"/>
        <v>3</v>
      </c>
      <c r="G103" s="134" t="s">
        <v>700</v>
      </c>
      <c r="H103" s="134">
        <v>1</v>
      </c>
      <c r="I103" s="134">
        <f t="shared" si="9"/>
        <v>0</v>
      </c>
      <c r="J103" s="134" t="s">
        <v>1379</v>
      </c>
      <c r="L103" s="134">
        <f t="shared" si="10"/>
        <v>0</v>
      </c>
      <c r="M103" s="134" t="s">
        <v>1379</v>
      </c>
      <c r="O103" s="134">
        <f t="shared" si="11"/>
        <v>0</v>
      </c>
      <c r="P103" s="134" t="s">
        <v>1379</v>
      </c>
      <c r="R103" s="134">
        <f t="shared" si="12"/>
        <v>0</v>
      </c>
      <c r="S103" s="134" t="s">
        <v>1379</v>
      </c>
      <c r="U103" s="134">
        <f t="shared" si="13"/>
        <v>0</v>
      </c>
    </row>
    <row r="104" spans="1:21" ht="15.75" x14ac:dyDescent="0.25">
      <c r="A104" s="131" t="s">
        <v>705</v>
      </c>
      <c r="B104" s="137">
        <f t="shared" si="7"/>
        <v>144</v>
      </c>
      <c r="D104" s="134" t="s">
        <v>704</v>
      </c>
      <c r="E104" s="134">
        <v>6</v>
      </c>
      <c r="F104" s="134">
        <f t="shared" si="8"/>
        <v>24</v>
      </c>
      <c r="G104" s="134" t="s">
        <v>1379</v>
      </c>
      <c r="I104" s="134">
        <f t="shared" si="9"/>
        <v>0</v>
      </c>
      <c r="J104" s="134" t="s">
        <v>1379</v>
      </c>
      <c r="L104" s="134">
        <f t="shared" si="10"/>
        <v>0</v>
      </c>
      <c r="M104" s="134" t="s">
        <v>1379</v>
      </c>
      <c r="O104" s="134">
        <f t="shared" si="11"/>
        <v>0</v>
      </c>
      <c r="P104" s="134" t="s">
        <v>1379</v>
      </c>
      <c r="R104" s="134">
        <f t="shared" si="12"/>
        <v>0</v>
      </c>
      <c r="S104" s="134" t="s">
        <v>1379</v>
      </c>
      <c r="U104" s="134">
        <f t="shared" si="13"/>
        <v>0</v>
      </c>
    </row>
    <row r="105" spans="1:21" ht="15.75" x14ac:dyDescent="0.25">
      <c r="A105" s="131" t="s">
        <v>706</v>
      </c>
      <c r="B105" s="137">
        <f t="shared" si="7"/>
        <v>0</v>
      </c>
      <c r="D105" s="134" t="s">
        <v>1318</v>
      </c>
      <c r="E105" s="134">
        <v>8</v>
      </c>
      <c r="F105" s="134">
        <f t="shared" si="8"/>
        <v>0</v>
      </c>
      <c r="G105" s="134" t="s">
        <v>700</v>
      </c>
      <c r="H105" s="134">
        <v>1</v>
      </c>
      <c r="I105" s="134">
        <f t="shared" si="9"/>
        <v>0</v>
      </c>
      <c r="J105" s="134" t="s">
        <v>1379</v>
      </c>
      <c r="L105" s="134">
        <f t="shared" si="10"/>
        <v>0</v>
      </c>
      <c r="M105" s="134" t="s">
        <v>1379</v>
      </c>
      <c r="O105" s="134">
        <f t="shared" si="11"/>
        <v>0</v>
      </c>
      <c r="P105" s="134" t="s">
        <v>1379</v>
      </c>
      <c r="R105" s="134">
        <f t="shared" si="12"/>
        <v>0</v>
      </c>
      <c r="S105" s="134" t="s">
        <v>1379</v>
      </c>
      <c r="U105" s="134">
        <f t="shared" si="13"/>
        <v>0</v>
      </c>
    </row>
    <row r="106" spans="1:21" ht="15.75" x14ac:dyDescent="0.25">
      <c r="A106" s="131" t="s">
        <v>707</v>
      </c>
      <c r="B106" s="137">
        <f t="shared" si="7"/>
        <v>0</v>
      </c>
      <c r="D106" s="134" t="s">
        <v>1348</v>
      </c>
      <c r="E106" s="134">
        <v>1</v>
      </c>
      <c r="F106" s="134">
        <f t="shared" si="8"/>
        <v>0</v>
      </c>
      <c r="G106" s="134" t="s">
        <v>700</v>
      </c>
      <c r="H106" s="134">
        <v>1</v>
      </c>
      <c r="I106" s="134">
        <f t="shared" si="9"/>
        <v>0</v>
      </c>
      <c r="J106" s="134" t="s">
        <v>1379</v>
      </c>
      <c r="L106" s="134">
        <f t="shared" si="10"/>
        <v>0</v>
      </c>
      <c r="M106" s="134" t="s">
        <v>1379</v>
      </c>
      <c r="O106" s="134">
        <f t="shared" si="11"/>
        <v>0</v>
      </c>
      <c r="P106" s="134" t="s">
        <v>1379</v>
      </c>
      <c r="R106" s="134">
        <f t="shared" si="12"/>
        <v>0</v>
      </c>
      <c r="S106" s="134" t="s">
        <v>1379</v>
      </c>
      <c r="U106" s="134">
        <f t="shared" si="13"/>
        <v>0</v>
      </c>
    </row>
    <row r="107" spans="1:21" s="148" customFormat="1" ht="15.75" x14ac:dyDescent="0.25">
      <c r="A107" s="146" t="s">
        <v>708</v>
      </c>
      <c r="B107" s="147">
        <f t="shared" si="7"/>
        <v>0</v>
      </c>
      <c r="D107" s="148" t="s">
        <v>1379</v>
      </c>
      <c r="F107" s="148">
        <f t="shared" si="8"/>
        <v>0</v>
      </c>
      <c r="G107" s="148" t="s">
        <v>1379</v>
      </c>
      <c r="I107" s="148">
        <f t="shared" si="9"/>
        <v>0</v>
      </c>
      <c r="J107" s="148" t="s">
        <v>1379</v>
      </c>
      <c r="L107" s="148">
        <f t="shared" si="10"/>
        <v>0</v>
      </c>
      <c r="M107" s="148" t="s">
        <v>1379</v>
      </c>
      <c r="O107" s="148">
        <f t="shared" si="11"/>
        <v>0</v>
      </c>
      <c r="P107" s="148" t="s">
        <v>1379</v>
      </c>
      <c r="R107" s="148">
        <f t="shared" si="12"/>
        <v>0</v>
      </c>
      <c r="S107" s="148" t="s">
        <v>1379</v>
      </c>
      <c r="U107" s="148">
        <f t="shared" si="13"/>
        <v>0</v>
      </c>
    </row>
    <row r="108" spans="1:21" s="148" customFormat="1" ht="15.75" x14ac:dyDescent="0.25">
      <c r="A108" s="146" t="s">
        <v>709</v>
      </c>
      <c r="B108" s="147">
        <f t="shared" si="7"/>
        <v>0</v>
      </c>
      <c r="D108" s="148" t="s">
        <v>1379</v>
      </c>
      <c r="F108" s="148">
        <f t="shared" si="8"/>
        <v>0</v>
      </c>
      <c r="G108" s="148" t="s">
        <v>1379</v>
      </c>
      <c r="I108" s="148">
        <f t="shared" si="9"/>
        <v>0</v>
      </c>
      <c r="J108" s="148" t="s">
        <v>1379</v>
      </c>
      <c r="L108" s="148">
        <f t="shared" si="10"/>
        <v>0</v>
      </c>
      <c r="M108" s="148" t="s">
        <v>1379</v>
      </c>
      <c r="O108" s="148">
        <f t="shared" si="11"/>
        <v>0</v>
      </c>
      <c r="P108" s="148" t="s">
        <v>1379</v>
      </c>
      <c r="R108" s="148">
        <f t="shared" si="12"/>
        <v>0</v>
      </c>
      <c r="S108" s="148" t="s">
        <v>1379</v>
      </c>
      <c r="U108" s="148">
        <f t="shared" si="13"/>
        <v>0</v>
      </c>
    </row>
    <row r="109" spans="1:21" s="148" customFormat="1" ht="15.75" x14ac:dyDescent="0.25">
      <c r="A109" s="146" t="s">
        <v>710</v>
      </c>
      <c r="B109" s="147">
        <f t="shared" si="7"/>
        <v>0</v>
      </c>
      <c r="D109" s="148" t="s">
        <v>1379</v>
      </c>
      <c r="F109" s="148">
        <f t="shared" si="8"/>
        <v>0</v>
      </c>
      <c r="G109" s="148" t="s">
        <v>1379</v>
      </c>
      <c r="I109" s="148">
        <f t="shared" si="9"/>
        <v>0</v>
      </c>
      <c r="J109" s="148" t="s">
        <v>1379</v>
      </c>
      <c r="L109" s="148">
        <f t="shared" si="10"/>
        <v>0</v>
      </c>
      <c r="M109" s="148" t="s">
        <v>1379</v>
      </c>
      <c r="O109" s="148">
        <f t="shared" si="11"/>
        <v>0</v>
      </c>
      <c r="P109" s="148" t="s">
        <v>1379</v>
      </c>
      <c r="R109" s="148">
        <f t="shared" si="12"/>
        <v>0</v>
      </c>
      <c r="S109" s="148" t="s">
        <v>1379</v>
      </c>
      <c r="U109" s="148">
        <f t="shared" si="13"/>
        <v>0</v>
      </c>
    </row>
    <row r="110" spans="1:21" ht="15.75" x14ac:dyDescent="0.25">
      <c r="A110" s="131" t="s">
        <v>711</v>
      </c>
      <c r="B110" s="137">
        <f t="shared" si="7"/>
        <v>12</v>
      </c>
      <c r="D110" s="134" t="s">
        <v>962</v>
      </c>
      <c r="E110">
        <v>3</v>
      </c>
      <c r="F110" s="134">
        <f t="shared" si="8"/>
        <v>4</v>
      </c>
      <c r="G110" s="134" t="s">
        <v>1379</v>
      </c>
      <c r="I110" s="134">
        <f t="shared" si="9"/>
        <v>0</v>
      </c>
      <c r="J110" s="134" t="s">
        <v>1379</v>
      </c>
      <c r="L110" s="134">
        <f t="shared" si="10"/>
        <v>0</v>
      </c>
      <c r="M110" s="134" t="s">
        <v>1379</v>
      </c>
      <c r="O110" s="134">
        <f t="shared" si="11"/>
        <v>0</v>
      </c>
      <c r="P110" s="134" t="s">
        <v>1379</v>
      </c>
      <c r="R110" s="134">
        <f t="shared" si="12"/>
        <v>0</v>
      </c>
      <c r="S110" s="134" t="s">
        <v>1379</v>
      </c>
      <c r="U110" s="134">
        <f t="shared" si="13"/>
        <v>0</v>
      </c>
    </row>
    <row r="111" spans="1:21" s="145" customFormat="1" ht="15.75" x14ac:dyDescent="0.25">
      <c r="A111" s="143" t="s">
        <v>712</v>
      </c>
      <c r="B111" s="144">
        <f>'ECONOMIA &amp; PROFESIONES'!I30</f>
        <v>5</v>
      </c>
      <c r="D111" s="145" t="s">
        <v>1379</v>
      </c>
      <c r="F111" s="145">
        <f t="shared" si="8"/>
        <v>0</v>
      </c>
      <c r="G111" s="145" t="s">
        <v>1379</v>
      </c>
      <c r="I111" s="145">
        <f t="shared" si="9"/>
        <v>0</v>
      </c>
      <c r="J111" s="145" t="s">
        <v>1379</v>
      </c>
      <c r="L111" s="145">
        <f t="shared" si="10"/>
        <v>0</v>
      </c>
      <c r="M111" s="145" t="s">
        <v>1379</v>
      </c>
      <c r="O111" s="145">
        <f t="shared" si="11"/>
        <v>0</v>
      </c>
      <c r="P111" s="145" t="s">
        <v>1379</v>
      </c>
      <c r="R111" s="145">
        <f t="shared" si="12"/>
        <v>0</v>
      </c>
      <c r="S111" s="145" t="s">
        <v>1379</v>
      </c>
      <c r="U111" s="145">
        <f t="shared" si="13"/>
        <v>0</v>
      </c>
    </row>
    <row r="112" spans="1:21" ht="15.75" x14ac:dyDescent="0.25">
      <c r="A112" s="131" t="s">
        <v>713</v>
      </c>
      <c r="B112" s="137">
        <f t="shared" si="7"/>
        <v>7.9</v>
      </c>
      <c r="D112" s="134" t="s">
        <v>1334</v>
      </c>
      <c r="E112">
        <v>3</v>
      </c>
      <c r="F112" s="134">
        <f t="shared" si="8"/>
        <v>0</v>
      </c>
      <c r="G112" s="134" t="s">
        <v>841</v>
      </c>
      <c r="H112" s="134">
        <v>1</v>
      </c>
      <c r="I112" s="134">
        <f t="shared" si="9"/>
        <v>0.4</v>
      </c>
      <c r="J112" s="134" t="s">
        <v>1312</v>
      </c>
      <c r="K112" s="134">
        <v>2</v>
      </c>
      <c r="L112" s="134">
        <f t="shared" si="10"/>
        <v>0</v>
      </c>
      <c r="M112" s="134" t="s">
        <v>627</v>
      </c>
      <c r="N112" s="134">
        <v>3</v>
      </c>
      <c r="O112" s="134">
        <f t="shared" si="11"/>
        <v>2.5</v>
      </c>
      <c r="P112" s="134" t="s">
        <v>1379</v>
      </c>
      <c r="R112" s="134">
        <f t="shared" si="12"/>
        <v>0</v>
      </c>
      <c r="S112" s="134" t="s">
        <v>1379</v>
      </c>
      <c r="U112" s="134">
        <f t="shared" si="13"/>
        <v>0</v>
      </c>
    </row>
    <row r="113" spans="1:21" ht="15.75" x14ac:dyDescent="0.25">
      <c r="A113" s="131" t="s">
        <v>714</v>
      </c>
      <c r="B113" s="137">
        <f t="shared" si="7"/>
        <v>3</v>
      </c>
      <c r="D113" s="134" t="s">
        <v>1281</v>
      </c>
      <c r="E113">
        <v>3</v>
      </c>
      <c r="F113" s="134">
        <f t="shared" si="8"/>
        <v>0</v>
      </c>
      <c r="G113" s="134" t="s">
        <v>738</v>
      </c>
      <c r="H113" s="134">
        <v>1</v>
      </c>
      <c r="I113" s="134">
        <f t="shared" si="9"/>
        <v>3</v>
      </c>
      <c r="J113" s="134" t="s">
        <v>1093</v>
      </c>
      <c r="K113" s="134">
        <v>3</v>
      </c>
      <c r="L113" s="134">
        <f t="shared" si="10"/>
        <v>0</v>
      </c>
      <c r="M113" s="134" t="s">
        <v>1379</v>
      </c>
      <c r="O113" s="134">
        <f t="shared" si="11"/>
        <v>0</v>
      </c>
      <c r="P113" s="134" t="s">
        <v>1379</v>
      </c>
      <c r="R113" s="134">
        <f t="shared" si="12"/>
        <v>0</v>
      </c>
      <c r="S113" s="134" t="s">
        <v>1379</v>
      </c>
      <c r="U113" s="134">
        <f t="shared" si="13"/>
        <v>0</v>
      </c>
    </row>
    <row r="114" spans="1:21" s="145" customFormat="1" ht="15.75" x14ac:dyDescent="0.25">
      <c r="A114" s="143" t="s">
        <v>715</v>
      </c>
      <c r="B114" s="144">
        <f>'ECONOMIA &amp; PROFESIONES'!I29</f>
        <v>5</v>
      </c>
      <c r="D114" s="145" t="s">
        <v>1379</v>
      </c>
      <c r="F114" s="145">
        <f t="shared" si="8"/>
        <v>0</v>
      </c>
      <c r="G114" s="145" t="s">
        <v>1379</v>
      </c>
      <c r="I114" s="145">
        <f t="shared" si="9"/>
        <v>0</v>
      </c>
      <c r="J114" s="145" t="s">
        <v>1379</v>
      </c>
      <c r="L114" s="145">
        <f t="shared" si="10"/>
        <v>0</v>
      </c>
      <c r="M114" s="145" t="s">
        <v>1379</v>
      </c>
      <c r="O114" s="145">
        <f t="shared" si="11"/>
        <v>0</v>
      </c>
      <c r="P114" s="145" t="s">
        <v>1379</v>
      </c>
      <c r="R114" s="145">
        <f t="shared" si="12"/>
        <v>0</v>
      </c>
      <c r="S114" s="145" t="s">
        <v>1379</v>
      </c>
      <c r="U114" s="145">
        <f t="shared" si="13"/>
        <v>0</v>
      </c>
    </row>
    <row r="115" spans="1:21" ht="15.75" x14ac:dyDescent="0.25">
      <c r="A115" s="131" t="s">
        <v>716</v>
      </c>
      <c r="B115" s="137">
        <f t="shared" si="7"/>
        <v>5</v>
      </c>
      <c r="D115" s="134" t="s">
        <v>715</v>
      </c>
      <c r="E115">
        <v>1</v>
      </c>
      <c r="F115" s="134">
        <f t="shared" si="8"/>
        <v>5</v>
      </c>
      <c r="G115" s="134" t="s">
        <v>871</v>
      </c>
      <c r="H115" s="134">
        <v>1</v>
      </c>
      <c r="I115" s="134">
        <f t="shared" si="9"/>
        <v>0</v>
      </c>
      <c r="J115" s="134" t="s">
        <v>1379</v>
      </c>
      <c r="L115" s="134">
        <f t="shared" si="10"/>
        <v>0</v>
      </c>
      <c r="M115" s="134" t="s">
        <v>1379</v>
      </c>
      <c r="O115" s="134">
        <f t="shared" si="11"/>
        <v>0</v>
      </c>
      <c r="P115" s="134" t="s">
        <v>1379</v>
      </c>
      <c r="R115" s="134">
        <f t="shared" si="12"/>
        <v>0</v>
      </c>
      <c r="S115" s="134" t="s">
        <v>1379</v>
      </c>
      <c r="U115" s="134">
        <f t="shared" si="13"/>
        <v>0</v>
      </c>
    </row>
    <row r="116" spans="1:21" ht="15.75" x14ac:dyDescent="0.25">
      <c r="A116" s="131" t="s">
        <v>717</v>
      </c>
      <c r="B116" s="137">
        <f t="shared" si="7"/>
        <v>0</v>
      </c>
      <c r="D116" s="134" t="s">
        <v>1119</v>
      </c>
      <c r="E116">
        <v>2</v>
      </c>
      <c r="F116" s="134">
        <f t="shared" si="8"/>
        <v>0</v>
      </c>
      <c r="G116" s="134" t="s">
        <v>1093</v>
      </c>
      <c r="H116" s="134">
        <v>4</v>
      </c>
      <c r="I116" s="134">
        <f t="shared" si="9"/>
        <v>0</v>
      </c>
      <c r="J116" s="134" t="s">
        <v>1379</v>
      </c>
      <c r="L116" s="134">
        <f t="shared" si="10"/>
        <v>0</v>
      </c>
      <c r="M116" s="134" t="s">
        <v>1379</v>
      </c>
      <c r="O116" s="134">
        <f t="shared" si="11"/>
        <v>0</v>
      </c>
      <c r="P116" s="134" t="s">
        <v>1379</v>
      </c>
      <c r="R116" s="134">
        <f t="shared" si="12"/>
        <v>0</v>
      </c>
      <c r="S116" s="134" t="s">
        <v>1379</v>
      </c>
      <c r="U116" s="134">
        <f t="shared" si="13"/>
        <v>0</v>
      </c>
    </row>
    <row r="117" spans="1:21" ht="15.75" x14ac:dyDescent="0.25">
      <c r="A117" s="131" t="s">
        <v>718</v>
      </c>
      <c r="B117" s="137">
        <f t="shared" si="7"/>
        <v>0</v>
      </c>
      <c r="D117" s="134" t="s">
        <v>1164</v>
      </c>
      <c r="E117">
        <v>1</v>
      </c>
      <c r="F117" s="134">
        <f t="shared" si="8"/>
        <v>0</v>
      </c>
      <c r="G117" s="134" t="s">
        <v>1379</v>
      </c>
      <c r="I117" s="134">
        <f t="shared" si="9"/>
        <v>0</v>
      </c>
      <c r="J117" s="134" t="s">
        <v>1379</v>
      </c>
      <c r="L117" s="134">
        <f t="shared" si="10"/>
        <v>0</v>
      </c>
      <c r="M117" s="134" t="s">
        <v>1379</v>
      </c>
      <c r="O117" s="134">
        <f t="shared" si="11"/>
        <v>0</v>
      </c>
      <c r="P117" s="134" t="s">
        <v>1379</v>
      </c>
      <c r="R117" s="134">
        <f t="shared" si="12"/>
        <v>0</v>
      </c>
      <c r="S117" s="134" t="s">
        <v>1379</v>
      </c>
      <c r="U117" s="134">
        <f t="shared" si="13"/>
        <v>0</v>
      </c>
    </row>
    <row r="118" spans="1:21" ht="15.75" x14ac:dyDescent="0.25">
      <c r="A118" s="131" t="s">
        <v>719</v>
      </c>
      <c r="B118" s="137">
        <f t="shared" si="7"/>
        <v>28</v>
      </c>
      <c r="D118" s="134" t="s">
        <v>962</v>
      </c>
      <c r="E118">
        <v>7</v>
      </c>
      <c r="F118" s="134">
        <f t="shared" si="8"/>
        <v>4</v>
      </c>
      <c r="G118" s="134" t="s">
        <v>1379</v>
      </c>
      <c r="I118" s="134">
        <f t="shared" si="9"/>
        <v>0</v>
      </c>
      <c r="J118" s="134" t="s">
        <v>1379</v>
      </c>
      <c r="L118" s="134">
        <f t="shared" si="10"/>
        <v>0</v>
      </c>
      <c r="M118" s="134" t="s">
        <v>1379</v>
      </c>
      <c r="O118" s="134">
        <f t="shared" si="11"/>
        <v>0</v>
      </c>
      <c r="P118" s="134" t="s">
        <v>1379</v>
      </c>
      <c r="R118" s="134">
        <f t="shared" si="12"/>
        <v>0</v>
      </c>
      <c r="S118" s="134" t="s">
        <v>1379</v>
      </c>
      <c r="U118" s="134">
        <f t="shared" si="13"/>
        <v>0</v>
      </c>
    </row>
    <row r="119" spans="1:21" s="148" customFormat="1" ht="15.75" x14ac:dyDescent="0.25">
      <c r="A119" s="146" t="s">
        <v>720</v>
      </c>
      <c r="B119" s="147">
        <f t="shared" si="7"/>
        <v>0</v>
      </c>
      <c r="D119" s="148" t="s">
        <v>1379</v>
      </c>
      <c r="F119" s="148">
        <f t="shared" si="8"/>
        <v>0</v>
      </c>
      <c r="G119" s="148" t="s">
        <v>1379</v>
      </c>
      <c r="I119" s="148">
        <f t="shared" si="9"/>
        <v>0</v>
      </c>
      <c r="J119" s="148" t="s">
        <v>1379</v>
      </c>
      <c r="L119" s="148">
        <f t="shared" si="10"/>
        <v>0</v>
      </c>
      <c r="M119" s="148" t="s">
        <v>1379</v>
      </c>
      <c r="O119" s="148">
        <f t="shared" si="11"/>
        <v>0</v>
      </c>
      <c r="P119" s="148" t="s">
        <v>1379</v>
      </c>
      <c r="R119" s="148">
        <f t="shared" si="12"/>
        <v>0</v>
      </c>
      <c r="S119" s="148" t="s">
        <v>1379</v>
      </c>
      <c r="U119" s="148">
        <f t="shared" si="13"/>
        <v>0</v>
      </c>
    </row>
    <row r="120" spans="1:21" s="148" customFormat="1" ht="15.75" x14ac:dyDescent="0.25">
      <c r="A120" s="146" t="s">
        <v>721</v>
      </c>
      <c r="B120" s="147">
        <f t="shared" si="7"/>
        <v>0</v>
      </c>
      <c r="D120" s="148" t="s">
        <v>1379</v>
      </c>
      <c r="F120" s="148">
        <f t="shared" si="8"/>
        <v>0</v>
      </c>
      <c r="G120" s="148" t="s">
        <v>1379</v>
      </c>
      <c r="I120" s="148">
        <f t="shared" si="9"/>
        <v>0</v>
      </c>
      <c r="J120" s="148" t="s">
        <v>1379</v>
      </c>
      <c r="L120" s="148">
        <f t="shared" si="10"/>
        <v>0</v>
      </c>
      <c r="M120" s="148" t="s">
        <v>1379</v>
      </c>
      <c r="O120" s="148">
        <f t="shared" si="11"/>
        <v>0</v>
      </c>
      <c r="P120" s="148" t="s">
        <v>1379</v>
      </c>
      <c r="R120" s="148">
        <f t="shared" si="12"/>
        <v>0</v>
      </c>
      <c r="S120" s="148" t="s">
        <v>1379</v>
      </c>
      <c r="U120" s="148">
        <f t="shared" si="13"/>
        <v>0</v>
      </c>
    </row>
    <row r="121" spans="1:21" s="148" customFormat="1" ht="15.75" x14ac:dyDescent="0.25">
      <c r="A121" s="146" t="s">
        <v>722</v>
      </c>
      <c r="B121" s="147">
        <f t="shared" si="7"/>
        <v>0</v>
      </c>
      <c r="D121" s="148" t="s">
        <v>1379</v>
      </c>
      <c r="F121" s="148">
        <f t="shared" si="8"/>
        <v>0</v>
      </c>
      <c r="G121" s="148" t="s">
        <v>1379</v>
      </c>
      <c r="I121" s="148">
        <f t="shared" si="9"/>
        <v>0</v>
      </c>
      <c r="J121" s="148" t="s">
        <v>1379</v>
      </c>
      <c r="L121" s="148">
        <f t="shared" si="10"/>
        <v>0</v>
      </c>
      <c r="M121" s="148" t="s">
        <v>1379</v>
      </c>
      <c r="O121" s="148">
        <f t="shared" si="11"/>
        <v>0</v>
      </c>
      <c r="P121" s="148" t="s">
        <v>1379</v>
      </c>
      <c r="R121" s="148">
        <f t="shared" si="12"/>
        <v>0</v>
      </c>
      <c r="S121" s="148" t="s">
        <v>1379</v>
      </c>
      <c r="U121" s="148">
        <f t="shared" si="13"/>
        <v>0</v>
      </c>
    </row>
    <row r="122" spans="1:21" s="148" customFormat="1" ht="15.75" x14ac:dyDescent="0.25">
      <c r="A122" s="146" t="s">
        <v>723</v>
      </c>
      <c r="B122" s="147">
        <f t="shared" si="7"/>
        <v>0</v>
      </c>
      <c r="D122" s="148" t="s">
        <v>1379</v>
      </c>
      <c r="F122" s="148">
        <f t="shared" si="8"/>
        <v>0</v>
      </c>
      <c r="G122" s="148" t="s">
        <v>1379</v>
      </c>
      <c r="I122" s="148">
        <f t="shared" si="9"/>
        <v>0</v>
      </c>
      <c r="J122" s="148" t="s">
        <v>1379</v>
      </c>
      <c r="L122" s="148">
        <f t="shared" si="10"/>
        <v>0</v>
      </c>
      <c r="M122" s="148" t="s">
        <v>1379</v>
      </c>
      <c r="O122" s="148">
        <f t="shared" si="11"/>
        <v>0</v>
      </c>
      <c r="P122" s="148" t="s">
        <v>1379</v>
      </c>
      <c r="R122" s="148">
        <f t="shared" si="12"/>
        <v>0</v>
      </c>
      <c r="S122" s="148" t="s">
        <v>1379</v>
      </c>
      <c r="U122" s="148">
        <f t="shared" si="13"/>
        <v>0</v>
      </c>
    </row>
    <row r="123" spans="1:21" ht="15.75" x14ac:dyDescent="0.25">
      <c r="A123" s="131" t="s">
        <v>724</v>
      </c>
      <c r="B123" s="137">
        <f t="shared" si="7"/>
        <v>0</v>
      </c>
      <c r="D123" s="134" t="s">
        <v>1100</v>
      </c>
      <c r="E123">
        <v>2</v>
      </c>
      <c r="F123" s="134">
        <f t="shared" si="8"/>
        <v>0</v>
      </c>
      <c r="G123" s="134" t="s">
        <v>1379</v>
      </c>
      <c r="I123" s="134">
        <f t="shared" si="9"/>
        <v>0</v>
      </c>
      <c r="J123" s="134" t="s">
        <v>1379</v>
      </c>
      <c r="L123" s="134">
        <f t="shared" si="10"/>
        <v>0</v>
      </c>
      <c r="M123" s="134" t="s">
        <v>1379</v>
      </c>
      <c r="O123" s="134">
        <f t="shared" si="11"/>
        <v>0</v>
      </c>
      <c r="P123" s="134" t="s">
        <v>1379</v>
      </c>
      <c r="R123" s="134">
        <f t="shared" si="12"/>
        <v>0</v>
      </c>
      <c r="S123" s="134" t="s">
        <v>1379</v>
      </c>
      <c r="U123" s="134">
        <f t="shared" si="13"/>
        <v>0</v>
      </c>
    </row>
    <row r="124" spans="1:21" ht="15.75" x14ac:dyDescent="0.25">
      <c r="A124" s="131" t="s">
        <v>725</v>
      </c>
      <c r="B124" s="137">
        <f t="shared" si="7"/>
        <v>0</v>
      </c>
      <c r="D124" s="134" t="s">
        <v>1093</v>
      </c>
      <c r="E124">
        <v>8</v>
      </c>
      <c r="F124" s="134">
        <f t="shared" si="8"/>
        <v>0</v>
      </c>
      <c r="G124" s="134" t="s">
        <v>1379</v>
      </c>
      <c r="I124" s="134">
        <f t="shared" si="9"/>
        <v>0</v>
      </c>
      <c r="J124" s="134" t="s">
        <v>1379</v>
      </c>
      <c r="L124" s="134">
        <f t="shared" si="10"/>
        <v>0</v>
      </c>
      <c r="M124" s="134" t="s">
        <v>1379</v>
      </c>
      <c r="O124" s="134">
        <f t="shared" si="11"/>
        <v>0</v>
      </c>
      <c r="P124" s="134" t="s">
        <v>1379</v>
      </c>
      <c r="R124" s="134">
        <f t="shared" si="12"/>
        <v>0</v>
      </c>
      <c r="S124" s="134" t="s">
        <v>1379</v>
      </c>
      <c r="U124" s="134">
        <f t="shared" si="13"/>
        <v>0</v>
      </c>
    </row>
    <row r="125" spans="1:21" ht="15.75" x14ac:dyDescent="0.25">
      <c r="A125" s="131" t="s">
        <v>726</v>
      </c>
      <c r="B125" s="137">
        <f t="shared" ref="B125:B187" si="14">(F125*E125)+(H125*I125)+(K125*L125)+(N125*O125)+(Q125*R125)+(T125*U125)</f>
        <v>20</v>
      </c>
      <c r="D125" s="134" t="s">
        <v>725</v>
      </c>
      <c r="E125">
        <v>1</v>
      </c>
      <c r="F125" s="134">
        <f t="shared" si="8"/>
        <v>0</v>
      </c>
      <c r="G125" s="134" t="s">
        <v>1060</v>
      </c>
      <c r="H125" s="134">
        <v>1</v>
      </c>
      <c r="I125" s="134">
        <f t="shared" si="9"/>
        <v>20</v>
      </c>
      <c r="J125" s="134" t="s">
        <v>1379</v>
      </c>
      <c r="L125" s="134">
        <f t="shared" si="10"/>
        <v>0</v>
      </c>
      <c r="M125" s="134" t="s">
        <v>1379</v>
      </c>
      <c r="O125" s="134">
        <f t="shared" si="11"/>
        <v>0</v>
      </c>
      <c r="P125" s="134" t="s">
        <v>1379</v>
      </c>
      <c r="R125" s="134">
        <f t="shared" si="12"/>
        <v>0</v>
      </c>
      <c r="S125" s="134" t="s">
        <v>1379</v>
      </c>
      <c r="U125" s="134">
        <f t="shared" si="13"/>
        <v>0</v>
      </c>
    </row>
    <row r="126" spans="1:21" s="145" customFormat="1" ht="15.75" x14ac:dyDescent="0.25">
      <c r="A126" s="143" t="s">
        <v>727</v>
      </c>
      <c r="B126" s="144">
        <f>'ECONOMIA &amp; PROFESIONES'!I47</f>
        <v>1</v>
      </c>
      <c r="D126" s="145" t="s">
        <v>1379</v>
      </c>
      <c r="F126" s="145">
        <f t="shared" si="8"/>
        <v>0</v>
      </c>
      <c r="G126" s="145" t="s">
        <v>1379</v>
      </c>
      <c r="I126" s="145">
        <f t="shared" si="9"/>
        <v>0</v>
      </c>
      <c r="J126" s="145" t="s">
        <v>1379</v>
      </c>
      <c r="L126" s="145">
        <f t="shared" si="10"/>
        <v>0</v>
      </c>
      <c r="M126" s="145" t="s">
        <v>1379</v>
      </c>
      <c r="O126" s="145">
        <f t="shared" si="11"/>
        <v>0</v>
      </c>
      <c r="P126" s="145" t="s">
        <v>1379</v>
      </c>
      <c r="R126" s="145">
        <f t="shared" si="12"/>
        <v>0</v>
      </c>
      <c r="S126" s="145" t="s">
        <v>1379</v>
      </c>
      <c r="U126" s="145">
        <f t="shared" si="13"/>
        <v>0</v>
      </c>
    </row>
    <row r="127" spans="1:21" ht="15.75" x14ac:dyDescent="0.25">
      <c r="A127" s="131" t="s">
        <v>728</v>
      </c>
      <c r="B127" s="137">
        <f t="shared" si="14"/>
        <v>0</v>
      </c>
      <c r="D127" s="134" t="s">
        <v>1186</v>
      </c>
      <c r="E127">
        <v>2</v>
      </c>
      <c r="F127" s="134">
        <f t="shared" si="8"/>
        <v>0</v>
      </c>
      <c r="G127" s="134" t="s">
        <v>1379</v>
      </c>
      <c r="I127" s="134">
        <f t="shared" si="9"/>
        <v>0</v>
      </c>
      <c r="J127" s="134" t="s">
        <v>1379</v>
      </c>
      <c r="L127" s="134">
        <f t="shared" si="10"/>
        <v>0</v>
      </c>
      <c r="M127" s="134" t="s">
        <v>1379</v>
      </c>
      <c r="O127" s="134">
        <f t="shared" si="11"/>
        <v>0</v>
      </c>
      <c r="P127" s="134" t="s">
        <v>1379</v>
      </c>
      <c r="R127" s="134">
        <f t="shared" si="12"/>
        <v>0</v>
      </c>
      <c r="S127" s="134" t="s">
        <v>1379</v>
      </c>
      <c r="U127" s="134">
        <f t="shared" si="13"/>
        <v>0</v>
      </c>
    </row>
    <row r="128" spans="1:21" ht="15.75" x14ac:dyDescent="0.25">
      <c r="A128" s="131" t="s">
        <v>729</v>
      </c>
      <c r="B128" s="137">
        <f t="shared" si="14"/>
        <v>0</v>
      </c>
      <c r="D128" s="134" t="s">
        <v>1208</v>
      </c>
      <c r="E128">
        <v>2</v>
      </c>
      <c r="F128" s="134">
        <f t="shared" ref="F128:F191" si="15">VLOOKUP(D128,IDPOINTS,2,FALSE)</f>
        <v>0</v>
      </c>
      <c r="G128" s="134" t="s">
        <v>1379</v>
      </c>
      <c r="I128" s="134">
        <f t="shared" ref="I128:I190" si="16">VLOOKUP(G128,IDPOINTS,2,FALSE)</f>
        <v>0</v>
      </c>
      <c r="J128" s="134" t="s">
        <v>1379</v>
      </c>
      <c r="L128" s="134">
        <f t="shared" ref="L128:L190" si="17">VLOOKUP(J128,IDPOINTS,2,FALSE)</f>
        <v>0</v>
      </c>
      <c r="M128" s="134" t="s">
        <v>1379</v>
      </c>
      <c r="O128" s="134">
        <f t="shared" ref="O128:O190" si="18">VLOOKUP(M128,IDPOINTS,2,FALSE)</f>
        <v>0</v>
      </c>
      <c r="P128" s="134" t="s">
        <v>1379</v>
      </c>
      <c r="R128" s="134">
        <f t="shared" ref="R128:R190" si="19">VLOOKUP(P128,IDPOINTS,2,FALSE)</f>
        <v>0</v>
      </c>
      <c r="S128" s="134" t="s">
        <v>1379</v>
      </c>
      <c r="U128" s="134">
        <f t="shared" ref="U128:U190" si="20">VLOOKUP(S128,IDPOINTS,2,FALSE)</f>
        <v>0</v>
      </c>
    </row>
    <row r="129" spans="1:21" ht="15.75" x14ac:dyDescent="0.25">
      <c r="A129" s="131" t="s">
        <v>730</v>
      </c>
      <c r="B129" s="137">
        <f t="shared" si="14"/>
        <v>0</v>
      </c>
      <c r="D129" s="134" t="s">
        <v>1231</v>
      </c>
      <c r="E129">
        <v>2</v>
      </c>
      <c r="F129" s="134">
        <f t="shared" si="15"/>
        <v>0</v>
      </c>
      <c r="G129" s="134" t="s">
        <v>1379</v>
      </c>
      <c r="I129" s="134">
        <f t="shared" si="16"/>
        <v>0</v>
      </c>
      <c r="J129" s="134" t="s">
        <v>1379</v>
      </c>
      <c r="L129" s="134">
        <f t="shared" si="17"/>
        <v>0</v>
      </c>
      <c r="M129" s="134" t="s">
        <v>1379</v>
      </c>
      <c r="O129" s="134">
        <f t="shared" si="18"/>
        <v>0</v>
      </c>
      <c r="P129" s="134" t="s">
        <v>1379</v>
      </c>
      <c r="R129" s="134">
        <f t="shared" si="19"/>
        <v>0</v>
      </c>
      <c r="S129" s="134" t="s">
        <v>1379</v>
      </c>
      <c r="U129" s="134">
        <f t="shared" si="20"/>
        <v>0</v>
      </c>
    </row>
    <row r="130" spans="1:21" ht="15.75" x14ac:dyDescent="0.25">
      <c r="A130" s="131" t="s">
        <v>731</v>
      </c>
      <c r="B130" s="137">
        <f t="shared" si="14"/>
        <v>0</v>
      </c>
      <c r="D130" s="134" t="s">
        <v>1285</v>
      </c>
      <c r="E130">
        <v>2</v>
      </c>
      <c r="F130" s="134">
        <f t="shared" si="15"/>
        <v>0</v>
      </c>
      <c r="G130" s="134" t="s">
        <v>1379</v>
      </c>
      <c r="I130" s="134">
        <f t="shared" si="16"/>
        <v>0</v>
      </c>
      <c r="J130" s="134" t="s">
        <v>1379</v>
      </c>
      <c r="L130" s="134">
        <f t="shared" si="17"/>
        <v>0</v>
      </c>
      <c r="M130" s="134" t="s">
        <v>1379</v>
      </c>
      <c r="O130" s="134">
        <f t="shared" si="18"/>
        <v>0</v>
      </c>
      <c r="P130" s="134" t="s">
        <v>1379</v>
      </c>
      <c r="R130" s="134">
        <f t="shared" si="19"/>
        <v>0</v>
      </c>
      <c r="S130" s="134" t="s">
        <v>1379</v>
      </c>
      <c r="U130" s="134">
        <f t="shared" si="20"/>
        <v>0</v>
      </c>
    </row>
    <row r="131" spans="1:21" s="145" customFormat="1" ht="15.75" x14ac:dyDescent="0.25">
      <c r="A131" s="143" t="s">
        <v>732</v>
      </c>
      <c r="B131" s="144">
        <f>'ECONOMIA &amp; PROFESIONES'!I35</f>
        <v>11</v>
      </c>
      <c r="D131" s="145" t="s">
        <v>1379</v>
      </c>
      <c r="F131" s="145">
        <f t="shared" si="15"/>
        <v>0</v>
      </c>
      <c r="G131" s="145" t="s">
        <v>1379</v>
      </c>
      <c r="I131" s="145">
        <f t="shared" si="16"/>
        <v>0</v>
      </c>
      <c r="J131" s="145" t="s">
        <v>1379</v>
      </c>
      <c r="L131" s="145">
        <f t="shared" si="17"/>
        <v>0</v>
      </c>
      <c r="M131" s="145" t="s">
        <v>1379</v>
      </c>
      <c r="O131" s="145">
        <f t="shared" si="18"/>
        <v>0</v>
      </c>
      <c r="P131" s="145" t="s">
        <v>1379</v>
      </c>
      <c r="R131" s="145">
        <f t="shared" si="19"/>
        <v>0</v>
      </c>
      <c r="S131" s="145" t="s">
        <v>1379</v>
      </c>
      <c r="U131" s="145">
        <f t="shared" si="20"/>
        <v>0</v>
      </c>
    </row>
    <row r="132" spans="1:21" s="145" customFormat="1" ht="15.75" x14ac:dyDescent="0.25">
      <c r="A132" s="143" t="s">
        <v>733</v>
      </c>
      <c r="B132" s="144">
        <f>'ECONOMIA &amp; PROFESIONES'!I35</f>
        <v>11</v>
      </c>
      <c r="D132" s="145" t="s">
        <v>1379</v>
      </c>
      <c r="F132" s="145">
        <f t="shared" si="15"/>
        <v>0</v>
      </c>
      <c r="G132" s="145" t="s">
        <v>1379</v>
      </c>
      <c r="I132" s="145">
        <f t="shared" si="16"/>
        <v>0</v>
      </c>
      <c r="J132" s="145" t="s">
        <v>1379</v>
      </c>
      <c r="L132" s="145">
        <f t="shared" si="17"/>
        <v>0</v>
      </c>
      <c r="M132" s="145" t="s">
        <v>1379</v>
      </c>
      <c r="O132" s="145">
        <f t="shared" si="18"/>
        <v>0</v>
      </c>
      <c r="P132" s="145" t="s">
        <v>1379</v>
      </c>
      <c r="R132" s="145">
        <f t="shared" si="19"/>
        <v>0</v>
      </c>
      <c r="S132" s="145" t="s">
        <v>1379</v>
      </c>
      <c r="U132" s="145">
        <f t="shared" si="20"/>
        <v>0</v>
      </c>
    </row>
    <row r="133" spans="1:21" s="145" customFormat="1" ht="15.75" x14ac:dyDescent="0.25">
      <c r="A133" s="143" t="s">
        <v>734</v>
      </c>
      <c r="B133" s="144">
        <f>'ECONOMIA &amp; PROFESIONES'!I35</f>
        <v>11</v>
      </c>
      <c r="D133" s="145" t="s">
        <v>1379</v>
      </c>
      <c r="F133" s="145">
        <f t="shared" si="15"/>
        <v>0</v>
      </c>
      <c r="G133" s="145" t="s">
        <v>1379</v>
      </c>
      <c r="I133" s="145">
        <f t="shared" si="16"/>
        <v>0</v>
      </c>
      <c r="J133" s="145" t="s">
        <v>1379</v>
      </c>
      <c r="L133" s="145">
        <f t="shared" si="17"/>
        <v>0</v>
      </c>
      <c r="M133" s="145" t="s">
        <v>1379</v>
      </c>
      <c r="O133" s="145">
        <f t="shared" si="18"/>
        <v>0</v>
      </c>
      <c r="P133" s="145" t="s">
        <v>1379</v>
      </c>
      <c r="R133" s="145">
        <f t="shared" si="19"/>
        <v>0</v>
      </c>
      <c r="S133" s="145" t="s">
        <v>1379</v>
      </c>
      <c r="U133" s="145">
        <f t="shared" si="20"/>
        <v>0</v>
      </c>
    </row>
    <row r="134" spans="1:21" s="13" customFormat="1" ht="15.75" x14ac:dyDescent="0.25">
      <c r="A134" s="152" t="s">
        <v>735</v>
      </c>
      <c r="B134" s="153">
        <f t="shared" si="14"/>
        <v>28</v>
      </c>
      <c r="D134" s="13" t="s">
        <v>736</v>
      </c>
      <c r="E134" s="13">
        <v>4</v>
      </c>
      <c r="F134" s="13">
        <f t="shared" si="15"/>
        <v>7</v>
      </c>
      <c r="G134" s="13" t="s">
        <v>1379</v>
      </c>
      <c r="I134" s="13">
        <f t="shared" si="16"/>
        <v>0</v>
      </c>
      <c r="J134" s="13" t="s">
        <v>1379</v>
      </c>
      <c r="L134" s="13">
        <f t="shared" si="17"/>
        <v>0</v>
      </c>
      <c r="M134" s="13" t="s">
        <v>1379</v>
      </c>
      <c r="O134" s="13">
        <f t="shared" si="18"/>
        <v>0</v>
      </c>
      <c r="P134" s="13" t="s">
        <v>1379</v>
      </c>
      <c r="R134" s="13">
        <f t="shared" si="19"/>
        <v>0</v>
      </c>
      <c r="S134" s="13" t="s">
        <v>1379</v>
      </c>
      <c r="U134" s="13">
        <f t="shared" si="20"/>
        <v>0</v>
      </c>
    </row>
    <row r="135" spans="1:21" s="145" customFormat="1" ht="15.75" x14ac:dyDescent="0.25">
      <c r="A135" s="143" t="s">
        <v>736</v>
      </c>
      <c r="B135" s="144">
        <f>'ECONOMIA &amp; PROFESIONES'!E30</f>
        <v>7</v>
      </c>
      <c r="D135" s="145" t="s">
        <v>1379</v>
      </c>
      <c r="F135" s="145">
        <f t="shared" si="15"/>
        <v>0</v>
      </c>
      <c r="G135" s="145" t="s">
        <v>1379</v>
      </c>
      <c r="I135" s="145">
        <f t="shared" si="16"/>
        <v>0</v>
      </c>
      <c r="J135" s="145" t="s">
        <v>1379</v>
      </c>
      <c r="L135" s="145">
        <f t="shared" si="17"/>
        <v>0</v>
      </c>
      <c r="M135" s="145" t="s">
        <v>1379</v>
      </c>
      <c r="O135" s="145">
        <f t="shared" si="18"/>
        <v>0</v>
      </c>
      <c r="P135" s="145" t="s">
        <v>1379</v>
      </c>
      <c r="R135" s="145">
        <f t="shared" si="19"/>
        <v>0</v>
      </c>
      <c r="S135" s="145" t="s">
        <v>1379</v>
      </c>
      <c r="U135" s="145">
        <f t="shared" si="20"/>
        <v>0</v>
      </c>
    </row>
    <row r="136" spans="1:21" ht="15.75" x14ac:dyDescent="0.25">
      <c r="A136" s="131" t="s">
        <v>737</v>
      </c>
      <c r="B136" s="137">
        <f t="shared" si="14"/>
        <v>32</v>
      </c>
      <c r="D136" s="134" t="s">
        <v>888</v>
      </c>
      <c r="E136">
        <v>4</v>
      </c>
      <c r="F136" s="134">
        <f t="shared" si="15"/>
        <v>8</v>
      </c>
      <c r="G136" s="134" t="s">
        <v>1217</v>
      </c>
      <c r="H136" s="134">
        <v>1</v>
      </c>
      <c r="I136" s="134">
        <f t="shared" si="16"/>
        <v>0</v>
      </c>
      <c r="J136" s="134" t="s">
        <v>1379</v>
      </c>
      <c r="L136" s="134">
        <f t="shared" si="17"/>
        <v>0</v>
      </c>
      <c r="M136" s="134" t="s">
        <v>1379</v>
      </c>
      <c r="O136" s="134">
        <f t="shared" si="18"/>
        <v>0</v>
      </c>
      <c r="P136" s="134" t="s">
        <v>1379</v>
      </c>
      <c r="R136" s="134">
        <f t="shared" si="19"/>
        <v>0</v>
      </c>
      <c r="S136" s="134" t="s">
        <v>1379</v>
      </c>
      <c r="U136" s="134">
        <f t="shared" si="20"/>
        <v>0</v>
      </c>
    </row>
    <row r="137" spans="1:21" s="145" customFormat="1" ht="15.75" x14ac:dyDescent="0.25">
      <c r="A137" s="143" t="s">
        <v>738</v>
      </c>
      <c r="B137" s="144">
        <f>'ECONOMIA &amp; PROFESIONES'!E28</f>
        <v>3</v>
      </c>
      <c r="D137" s="145" t="s">
        <v>1379</v>
      </c>
      <c r="F137" s="145">
        <f t="shared" si="15"/>
        <v>0</v>
      </c>
      <c r="G137" s="145" t="s">
        <v>1379</v>
      </c>
      <c r="I137" s="145">
        <f t="shared" si="16"/>
        <v>0</v>
      </c>
      <c r="J137" s="145" t="s">
        <v>1379</v>
      </c>
      <c r="L137" s="145">
        <f t="shared" si="17"/>
        <v>0</v>
      </c>
      <c r="M137" s="145" t="s">
        <v>1379</v>
      </c>
      <c r="O137" s="145">
        <f t="shared" si="18"/>
        <v>0</v>
      </c>
      <c r="P137" s="145" t="s">
        <v>1379</v>
      </c>
      <c r="R137" s="145">
        <f t="shared" si="19"/>
        <v>0</v>
      </c>
      <c r="S137" s="145" t="s">
        <v>1379</v>
      </c>
      <c r="U137" s="145">
        <f t="shared" si="20"/>
        <v>0</v>
      </c>
    </row>
    <row r="138" spans="1:21" ht="15.75" x14ac:dyDescent="0.25">
      <c r="A138" s="131" t="s">
        <v>739</v>
      </c>
      <c r="B138" s="137">
        <f t="shared" si="14"/>
        <v>27</v>
      </c>
      <c r="D138" s="134" t="s">
        <v>738</v>
      </c>
      <c r="E138">
        <v>9</v>
      </c>
      <c r="F138" s="134">
        <f t="shared" si="15"/>
        <v>3</v>
      </c>
      <c r="G138" s="134" t="s">
        <v>1379</v>
      </c>
      <c r="I138" s="134">
        <f t="shared" si="16"/>
        <v>0</v>
      </c>
      <c r="J138" s="134" t="s">
        <v>1379</v>
      </c>
      <c r="L138" s="134">
        <f t="shared" si="17"/>
        <v>0</v>
      </c>
      <c r="M138" s="134" t="s">
        <v>1379</v>
      </c>
      <c r="O138" s="134">
        <f t="shared" si="18"/>
        <v>0</v>
      </c>
      <c r="P138" s="134" t="s">
        <v>1379</v>
      </c>
      <c r="R138" s="134">
        <f t="shared" si="19"/>
        <v>0</v>
      </c>
      <c r="S138" s="134" t="s">
        <v>1379</v>
      </c>
      <c r="U138" s="134">
        <f t="shared" si="20"/>
        <v>0</v>
      </c>
    </row>
    <row r="139" spans="1:21" s="145" customFormat="1" ht="15.75" x14ac:dyDescent="0.25">
      <c r="A139" s="143" t="s">
        <v>740</v>
      </c>
      <c r="B139" s="144">
        <f>'ECONOMIA &amp; PROFESIONES'!E28</f>
        <v>3</v>
      </c>
      <c r="D139" s="145" t="s">
        <v>1379</v>
      </c>
      <c r="F139" s="145">
        <f t="shared" si="15"/>
        <v>0</v>
      </c>
      <c r="G139" s="145" t="s">
        <v>1379</v>
      </c>
      <c r="I139" s="145">
        <f t="shared" si="16"/>
        <v>0</v>
      </c>
      <c r="J139" s="145" t="s">
        <v>1379</v>
      </c>
      <c r="L139" s="145">
        <f t="shared" si="17"/>
        <v>0</v>
      </c>
      <c r="M139" s="145" t="s">
        <v>1379</v>
      </c>
      <c r="O139" s="145">
        <f t="shared" si="18"/>
        <v>0</v>
      </c>
      <c r="P139" s="145" t="s">
        <v>1379</v>
      </c>
      <c r="R139" s="145">
        <f t="shared" si="19"/>
        <v>0</v>
      </c>
      <c r="S139" s="145" t="s">
        <v>1379</v>
      </c>
      <c r="U139" s="145">
        <f t="shared" si="20"/>
        <v>0</v>
      </c>
    </row>
    <row r="140" spans="1:21" ht="15.75" x14ac:dyDescent="0.25">
      <c r="A140" s="131" t="s">
        <v>741</v>
      </c>
      <c r="B140" s="137">
        <f t="shared" si="14"/>
        <v>3</v>
      </c>
      <c r="D140" s="134" t="s">
        <v>833</v>
      </c>
      <c r="E140">
        <v>2</v>
      </c>
      <c r="F140" s="134">
        <f t="shared" si="15"/>
        <v>0.5</v>
      </c>
      <c r="G140" s="134" t="s">
        <v>910</v>
      </c>
      <c r="H140" s="134">
        <v>2</v>
      </c>
      <c r="I140" s="134">
        <f t="shared" si="16"/>
        <v>1</v>
      </c>
      <c r="J140" s="134" t="s">
        <v>1379</v>
      </c>
      <c r="L140" s="134">
        <f t="shared" si="17"/>
        <v>0</v>
      </c>
      <c r="M140" s="134" t="s">
        <v>1379</v>
      </c>
      <c r="O140" s="134">
        <f t="shared" si="18"/>
        <v>0</v>
      </c>
      <c r="P140" s="134" t="s">
        <v>1379</v>
      </c>
      <c r="R140" s="134">
        <f t="shared" si="19"/>
        <v>0</v>
      </c>
      <c r="S140" s="134" t="s">
        <v>1379</v>
      </c>
      <c r="U140" s="134">
        <f t="shared" si="20"/>
        <v>0</v>
      </c>
    </row>
    <row r="141" spans="1:21" s="145" customFormat="1" ht="15.75" x14ac:dyDescent="0.25">
      <c r="A141" s="143" t="s">
        <v>742</v>
      </c>
      <c r="B141" s="144">
        <f>'ECONOMIA &amp; PROFESIONES'!E27</f>
        <v>1</v>
      </c>
      <c r="D141" s="145" t="s">
        <v>1379</v>
      </c>
      <c r="F141" s="145">
        <f t="shared" si="15"/>
        <v>0</v>
      </c>
      <c r="G141" s="145" t="s">
        <v>1379</v>
      </c>
      <c r="I141" s="145">
        <f t="shared" si="16"/>
        <v>0</v>
      </c>
      <c r="J141" s="145" t="s">
        <v>1379</v>
      </c>
      <c r="L141" s="145">
        <f t="shared" si="17"/>
        <v>0</v>
      </c>
      <c r="M141" s="145" t="s">
        <v>1379</v>
      </c>
      <c r="O141" s="145">
        <f t="shared" si="18"/>
        <v>0</v>
      </c>
      <c r="P141" s="145" t="s">
        <v>1379</v>
      </c>
      <c r="R141" s="145">
        <f t="shared" si="19"/>
        <v>0</v>
      </c>
      <c r="S141" s="145" t="s">
        <v>1379</v>
      </c>
      <c r="U141" s="145">
        <f t="shared" si="20"/>
        <v>0</v>
      </c>
    </row>
    <row r="142" spans="1:21" ht="15.75" x14ac:dyDescent="0.25">
      <c r="A142" s="131" t="s">
        <v>743</v>
      </c>
      <c r="B142" s="137">
        <f t="shared" si="14"/>
        <v>3</v>
      </c>
      <c r="D142" s="134" t="s">
        <v>742</v>
      </c>
      <c r="E142">
        <v>3</v>
      </c>
      <c r="F142" s="134">
        <f t="shared" si="15"/>
        <v>1</v>
      </c>
      <c r="G142" s="134" t="s">
        <v>1379</v>
      </c>
      <c r="I142" s="134">
        <f t="shared" si="16"/>
        <v>0</v>
      </c>
      <c r="J142" s="134" t="s">
        <v>1379</v>
      </c>
      <c r="L142" s="134">
        <f t="shared" si="17"/>
        <v>0</v>
      </c>
      <c r="M142" s="134" t="s">
        <v>1379</v>
      </c>
      <c r="O142" s="134">
        <f t="shared" si="18"/>
        <v>0</v>
      </c>
      <c r="P142" s="134" t="s">
        <v>1379</v>
      </c>
      <c r="R142" s="134">
        <f t="shared" si="19"/>
        <v>0</v>
      </c>
      <c r="S142" s="134" t="s">
        <v>1379</v>
      </c>
      <c r="U142" s="134">
        <f t="shared" si="20"/>
        <v>0</v>
      </c>
    </row>
    <row r="143" spans="1:21" ht="15.75" x14ac:dyDescent="0.25">
      <c r="A143" s="131" t="s">
        <v>744</v>
      </c>
      <c r="B143" s="137">
        <f t="shared" si="14"/>
        <v>3</v>
      </c>
      <c r="D143" s="135" t="s">
        <v>742</v>
      </c>
      <c r="E143" s="135">
        <v>3</v>
      </c>
      <c r="F143" s="134">
        <f t="shared" si="15"/>
        <v>1</v>
      </c>
      <c r="G143" s="134" t="s">
        <v>1379</v>
      </c>
      <c r="I143" s="134">
        <f t="shared" si="16"/>
        <v>0</v>
      </c>
      <c r="J143" s="134" t="s">
        <v>1379</v>
      </c>
      <c r="L143" s="134">
        <f t="shared" si="17"/>
        <v>0</v>
      </c>
      <c r="M143" s="134" t="s">
        <v>1379</v>
      </c>
      <c r="O143" s="134">
        <f t="shared" si="18"/>
        <v>0</v>
      </c>
      <c r="P143" s="134" t="s">
        <v>1379</v>
      </c>
      <c r="R143" s="134">
        <f t="shared" si="19"/>
        <v>0</v>
      </c>
      <c r="S143" s="134" t="s">
        <v>1379</v>
      </c>
      <c r="U143" s="134">
        <f t="shared" si="20"/>
        <v>0</v>
      </c>
    </row>
    <row r="144" spans="1:21" ht="15.75" x14ac:dyDescent="0.25">
      <c r="A144" s="131" t="s">
        <v>745</v>
      </c>
      <c r="B144" s="137">
        <f t="shared" si="14"/>
        <v>3</v>
      </c>
      <c r="D144" s="135" t="s">
        <v>742</v>
      </c>
      <c r="E144" s="135">
        <v>3</v>
      </c>
      <c r="F144" s="134">
        <f t="shared" si="15"/>
        <v>1</v>
      </c>
      <c r="G144" s="134" t="s">
        <v>1379</v>
      </c>
      <c r="I144" s="134">
        <f t="shared" si="16"/>
        <v>0</v>
      </c>
      <c r="J144" s="134" t="s">
        <v>1379</v>
      </c>
      <c r="L144" s="134">
        <f t="shared" si="17"/>
        <v>0</v>
      </c>
      <c r="M144" s="134" t="s">
        <v>1379</v>
      </c>
      <c r="O144" s="134">
        <f t="shared" si="18"/>
        <v>0</v>
      </c>
      <c r="P144" s="134" t="s">
        <v>1379</v>
      </c>
      <c r="R144" s="134">
        <f t="shared" si="19"/>
        <v>0</v>
      </c>
      <c r="S144" s="134" t="s">
        <v>1379</v>
      </c>
      <c r="U144" s="134">
        <f t="shared" si="20"/>
        <v>0</v>
      </c>
    </row>
    <row r="145" spans="1:21" s="145" customFormat="1" ht="15.75" x14ac:dyDescent="0.25">
      <c r="A145" s="143" t="s">
        <v>746</v>
      </c>
      <c r="B145" s="144">
        <f>'ECONOMIA &amp; PROFESIONES'!G48</f>
        <v>4.5</v>
      </c>
      <c r="D145" s="145" t="s">
        <v>1379</v>
      </c>
      <c r="F145" s="145">
        <f t="shared" si="15"/>
        <v>0</v>
      </c>
      <c r="G145" s="145" t="s">
        <v>1379</v>
      </c>
      <c r="I145" s="145">
        <f t="shared" si="16"/>
        <v>0</v>
      </c>
      <c r="J145" s="145" t="s">
        <v>1379</v>
      </c>
      <c r="L145" s="145">
        <f t="shared" si="17"/>
        <v>0</v>
      </c>
      <c r="M145" s="145" t="s">
        <v>1379</v>
      </c>
      <c r="O145" s="145">
        <f t="shared" si="18"/>
        <v>0</v>
      </c>
      <c r="P145" s="145" t="s">
        <v>1379</v>
      </c>
      <c r="R145" s="145">
        <f t="shared" si="19"/>
        <v>0</v>
      </c>
      <c r="S145" s="145" t="s">
        <v>1379</v>
      </c>
      <c r="U145" s="145">
        <f t="shared" si="20"/>
        <v>0</v>
      </c>
    </row>
    <row r="146" spans="1:21" s="145" customFormat="1" ht="15.75" x14ac:dyDescent="0.25">
      <c r="A146" s="143" t="s">
        <v>1385</v>
      </c>
      <c r="B146" s="144">
        <f>'ECONOMIA &amp; PROFESIONES'!I31</f>
        <v>7</v>
      </c>
      <c r="D146" s="145" t="s">
        <v>1379</v>
      </c>
      <c r="F146" s="145">
        <f t="shared" ref="F146" si="21">VLOOKUP(D146,IDPOINTS,2,FALSE)</f>
        <v>0</v>
      </c>
      <c r="G146" s="145" t="s">
        <v>1379</v>
      </c>
      <c r="I146" s="145">
        <f t="shared" ref="I146" si="22">VLOOKUP(G146,IDPOINTS,2,FALSE)</f>
        <v>0</v>
      </c>
      <c r="J146" s="145" t="s">
        <v>1379</v>
      </c>
      <c r="L146" s="145">
        <f t="shared" ref="L146" si="23">VLOOKUP(J146,IDPOINTS,2,FALSE)</f>
        <v>0</v>
      </c>
      <c r="M146" s="145" t="s">
        <v>1379</v>
      </c>
      <c r="O146" s="145">
        <f t="shared" ref="O146" si="24">VLOOKUP(M146,IDPOINTS,2,FALSE)</f>
        <v>0</v>
      </c>
      <c r="P146" s="145" t="s">
        <v>1379</v>
      </c>
      <c r="R146" s="145">
        <f t="shared" ref="R146" si="25">VLOOKUP(P146,IDPOINTS,2,FALSE)</f>
        <v>0</v>
      </c>
      <c r="S146" s="145" t="s">
        <v>1379</v>
      </c>
      <c r="U146" s="145">
        <f t="shared" ref="U146" si="26">VLOOKUP(S146,IDPOINTS,2,FALSE)</f>
        <v>0</v>
      </c>
    </row>
    <row r="147" spans="1:21" s="145" customFormat="1" ht="15.75" x14ac:dyDescent="0.25">
      <c r="A147" s="143" t="s">
        <v>747</v>
      </c>
      <c r="B147" s="144">
        <f>'ECONOMIA &amp; PROFESIONES'!K28</f>
        <v>3</v>
      </c>
      <c r="D147" s="145" t="s">
        <v>1379</v>
      </c>
      <c r="F147" s="145">
        <f t="shared" si="15"/>
        <v>0</v>
      </c>
      <c r="G147" s="145" t="s">
        <v>1379</v>
      </c>
      <c r="I147" s="145">
        <f t="shared" si="16"/>
        <v>0</v>
      </c>
      <c r="J147" s="145" t="s">
        <v>1379</v>
      </c>
      <c r="L147" s="145">
        <f t="shared" si="17"/>
        <v>0</v>
      </c>
      <c r="M147" s="145" t="s">
        <v>1379</v>
      </c>
      <c r="O147" s="145">
        <f t="shared" si="18"/>
        <v>0</v>
      </c>
      <c r="P147" s="145" t="s">
        <v>1379</v>
      </c>
      <c r="R147" s="145">
        <f t="shared" si="19"/>
        <v>0</v>
      </c>
      <c r="S147" s="145" t="s">
        <v>1379</v>
      </c>
      <c r="U147" s="145">
        <f t="shared" si="20"/>
        <v>0</v>
      </c>
    </row>
    <row r="148" spans="1:21" ht="15.75" x14ac:dyDescent="0.25">
      <c r="A148" s="131" t="s">
        <v>748</v>
      </c>
      <c r="B148" s="137">
        <f t="shared" si="14"/>
        <v>0</v>
      </c>
      <c r="D148" s="134" t="s">
        <v>1221</v>
      </c>
      <c r="E148">
        <v>3</v>
      </c>
      <c r="F148" s="134">
        <f t="shared" si="15"/>
        <v>0</v>
      </c>
      <c r="G148" s="134" t="s">
        <v>1183</v>
      </c>
      <c r="H148" s="134">
        <v>1</v>
      </c>
      <c r="I148" s="134">
        <f t="shared" si="16"/>
        <v>0</v>
      </c>
      <c r="J148" s="134" t="s">
        <v>1283</v>
      </c>
      <c r="K148" s="134">
        <v>3</v>
      </c>
      <c r="L148" s="134">
        <f t="shared" si="17"/>
        <v>0</v>
      </c>
      <c r="M148" s="134" t="s">
        <v>1379</v>
      </c>
      <c r="O148" s="134">
        <f t="shared" si="18"/>
        <v>0</v>
      </c>
      <c r="P148" s="134" t="s">
        <v>1379</v>
      </c>
      <c r="R148" s="134">
        <f t="shared" si="19"/>
        <v>0</v>
      </c>
      <c r="S148" s="134" t="s">
        <v>1379</v>
      </c>
      <c r="U148" s="134">
        <f t="shared" si="20"/>
        <v>0</v>
      </c>
    </row>
    <row r="149" spans="1:21" ht="15.75" x14ac:dyDescent="0.25">
      <c r="A149" s="131" t="s">
        <v>749</v>
      </c>
      <c r="B149" s="137">
        <f t="shared" si="14"/>
        <v>16</v>
      </c>
      <c r="D149" s="134" t="s">
        <v>962</v>
      </c>
      <c r="E149">
        <v>4</v>
      </c>
      <c r="F149" s="134">
        <f t="shared" si="15"/>
        <v>4</v>
      </c>
      <c r="G149" s="134" t="s">
        <v>1217</v>
      </c>
      <c r="H149" s="134">
        <v>1</v>
      </c>
      <c r="I149" s="134">
        <f t="shared" si="16"/>
        <v>0</v>
      </c>
      <c r="J149" s="134" t="s">
        <v>1379</v>
      </c>
      <c r="L149" s="134">
        <f t="shared" si="17"/>
        <v>0</v>
      </c>
      <c r="M149" s="134" t="s">
        <v>1379</v>
      </c>
      <c r="O149" s="134">
        <f t="shared" si="18"/>
        <v>0</v>
      </c>
      <c r="P149" s="134" t="s">
        <v>1379</v>
      </c>
      <c r="R149" s="134">
        <f t="shared" si="19"/>
        <v>0</v>
      </c>
      <c r="S149" s="134" t="s">
        <v>1379</v>
      </c>
      <c r="U149" s="134">
        <f t="shared" si="20"/>
        <v>0</v>
      </c>
    </row>
    <row r="150" spans="1:21" ht="15.75" x14ac:dyDescent="0.25">
      <c r="A150" s="131" t="s">
        <v>750</v>
      </c>
      <c r="B150" s="137">
        <f t="shared" si="14"/>
        <v>0</v>
      </c>
      <c r="D150" s="134" t="s">
        <v>1093</v>
      </c>
      <c r="E150">
        <v>3</v>
      </c>
      <c r="F150" s="134">
        <f t="shared" si="15"/>
        <v>0</v>
      </c>
      <c r="G150" s="134" t="s">
        <v>1089</v>
      </c>
      <c r="H150" s="134">
        <v>4</v>
      </c>
      <c r="I150" s="134">
        <f t="shared" si="16"/>
        <v>0</v>
      </c>
      <c r="J150" s="134" t="s">
        <v>1379</v>
      </c>
      <c r="L150" s="134">
        <f t="shared" si="17"/>
        <v>0</v>
      </c>
      <c r="M150" s="134" t="s">
        <v>1379</v>
      </c>
      <c r="O150" s="134">
        <f t="shared" si="18"/>
        <v>0</v>
      </c>
      <c r="P150" s="134" t="s">
        <v>1379</v>
      </c>
      <c r="R150" s="134">
        <f t="shared" si="19"/>
        <v>0</v>
      </c>
      <c r="S150" s="134" t="s">
        <v>1379</v>
      </c>
      <c r="U150" s="134">
        <f t="shared" si="20"/>
        <v>0</v>
      </c>
    </row>
    <row r="151" spans="1:21" ht="15.75" x14ac:dyDescent="0.25">
      <c r="A151" s="131" t="s">
        <v>751</v>
      </c>
      <c r="B151" s="137">
        <f t="shared" si="14"/>
        <v>3.2</v>
      </c>
      <c r="D151" s="134" t="s">
        <v>1074</v>
      </c>
      <c r="E151">
        <v>8</v>
      </c>
      <c r="F151" s="134">
        <f t="shared" si="15"/>
        <v>0.4</v>
      </c>
      <c r="G151" s="134" t="s">
        <v>938</v>
      </c>
      <c r="H151" s="134">
        <v>1</v>
      </c>
      <c r="I151" s="134">
        <f t="shared" si="16"/>
        <v>0</v>
      </c>
      <c r="J151" s="134" t="s">
        <v>1379</v>
      </c>
      <c r="L151" s="134">
        <f t="shared" si="17"/>
        <v>0</v>
      </c>
      <c r="M151" s="134" t="s">
        <v>1379</v>
      </c>
      <c r="O151" s="134">
        <f t="shared" si="18"/>
        <v>0</v>
      </c>
      <c r="P151" s="134" t="s">
        <v>1379</v>
      </c>
      <c r="R151" s="134">
        <f t="shared" si="19"/>
        <v>0</v>
      </c>
      <c r="S151" s="134" t="s">
        <v>1379</v>
      </c>
      <c r="U151" s="134">
        <f t="shared" si="20"/>
        <v>0</v>
      </c>
    </row>
    <row r="152" spans="1:21" ht="15.75" x14ac:dyDescent="0.25">
      <c r="A152" s="131" t="s">
        <v>752</v>
      </c>
      <c r="B152" s="137">
        <f t="shared" si="14"/>
        <v>5.5</v>
      </c>
      <c r="D152" s="134" t="s">
        <v>627</v>
      </c>
      <c r="E152">
        <v>1</v>
      </c>
      <c r="F152" s="134">
        <f t="shared" si="15"/>
        <v>2.5</v>
      </c>
      <c r="G152" s="134" t="s">
        <v>738</v>
      </c>
      <c r="H152" s="134">
        <v>1</v>
      </c>
      <c r="I152" s="134">
        <f t="shared" si="16"/>
        <v>3</v>
      </c>
      <c r="J152" s="134" t="s">
        <v>1379</v>
      </c>
      <c r="L152" s="134">
        <f t="shared" si="17"/>
        <v>0</v>
      </c>
      <c r="M152" s="134" t="s">
        <v>1379</v>
      </c>
      <c r="O152" s="134">
        <f t="shared" si="18"/>
        <v>0</v>
      </c>
      <c r="P152" s="134" t="s">
        <v>1379</v>
      </c>
      <c r="R152" s="134">
        <f t="shared" si="19"/>
        <v>0</v>
      </c>
      <c r="S152" s="134" t="s">
        <v>1379</v>
      </c>
      <c r="U152" s="134">
        <f t="shared" si="20"/>
        <v>0</v>
      </c>
    </row>
    <row r="153" spans="1:21" ht="15.75" x14ac:dyDescent="0.25">
      <c r="A153" s="131" t="s">
        <v>753</v>
      </c>
      <c r="B153" s="137">
        <f t="shared" si="14"/>
        <v>4</v>
      </c>
      <c r="D153" s="134" t="s">
        <v>727</v>
      </c>
      <c r="E153">
        <v>1</v>
      </c>
      <c r="F153" s="134">
        <f t="shared" si="15"/>
        <v>1</v>
      </c>
      <c r="G153" s="134" t="s">
        <v>738</v>
      </c>
      <c r="H153" s="134">
        <v>1</v>
      </c>
      <c r="I153" s="134">
        <f t="shared" si="16"/>
        <v>3</v>
      </c>
      <c r="J153" s="134" t="s">
        <v>1379</v>
      </c>
      <c r="L153" s="134">
        <f t="shared" si="17"/>
        <v>0</v>
      </c>
      <c r="M153" s="134" t="s">
        <v>1379</v>
      </c>
      <c r="O153" s="134">
        <f t="shared" si="18"/>
        <v>0</v>
      </c>
      <c r="P153" s="134" t="s">
        <v>1379</v>
      </c>
      <c r="R153" s="134">
        <f t="shared" si="19"/>
        <v>0</v>
      </c>
      <c r="S153" s="134" t="s">
        <v>1379</v>
      </c>
      <c r="U153" s="134">
        <f t="shared" si="20"/>
        <v>0</v>
      </c>
    </row>
    <row r="154" spans="1:21" ht="15.75" x14ac:dyDescent="0.25">
      <c r="A154" s="131" t="s">
        <v>754</v>
      </c>
      <c r="B154" s="137">
        <f t="shared" si="14"/>
        <v>6</v>
      </c>
      <c r="D154" s="134" t="s">
        <v>747</v>
      </c>
      <c r="E154">
        <v>1</v>
      </c>
      <c r="F154" s="134">
        <f t="shared" si="15"/>
        <v>3</v>
      </c>
      <c r="G154" s="134" t="s">
        <v>738</v>
      </c>
      <c r="H154" s="134">
        <v>1</v>
      </c>
      <c r="I154" s="134">
        <f t="shared" si="16"/>
        <v>3</v>
      </c>
      <c r="J154" s="134" t="s">
        <v>1379</v>
      </c>
      <c r="L154" s="134">
        <f t="shared" si="17"/>
        <v>0</v>
      </c>
      <c r="M154" s="134" t="s">
        <v>1379</v>
      </c>
      <c r="O154" s="134">
        <f t="shared" si="18"/>
        <v>0</v>
      </c>
      <c r="P154" s="134" t="s">
        <v>1379</v>
      </c>
      <c r="R154" s="134">
        <f t="shared" si="19"/>
        <v>0</v>
      </c>
      <c r="S154" s="134" t="s">
        <v>1379</v>
      </c>
      <c r="U154" s="134">
        <f t="shared" si="20"/>
        <v>0</v>
      </c>
    </row>
    <row r="155" spans="1:21" ht="15.75" x14ac:dyDescent="0.25">
      <c r="A155" s="131" t="s">
        <v>755</v>
      </c>
      <c r="B155" s="137">
        <f t="shared" si="14"/>
        <v>14</v>
      </c>
      <c r="D155" s="134" t="s">
        <v>1071</v>
      </c>
      <c r="E155">
        <v>1</v>
      </c>
      <c r="F155" s="134">
        <f t="shared" si="15"/>
        <v>11</v>
      </c>
      <c r="G155" s="134" t="s">
        <v>738</v>
      </c>
      <c r="H155" s="134">
        <v>1</v>
      </c>
      <c r="I155" s="134">
        <f t="shared" si="16"/>
        <v>3</v>
      </c>
      <c r="J155" s="134" t="s">
        <v>1379</v>
      </c>
      <c r="L155" s="134">
        <f t="shared" si="17"/>
        <v>0</v>
      </c>
      <c r="M155" s="134" t="s">
        <v>1379</v>
      </c>
      <c r="O155" s="134">
        <f t="shared" si="18"/>
        <v>0</v>
      </c>
      <c r="P155" s="134" t="s">
        <v>1379</v>
      </c>
      <c r="R155" s="134">
        <f t="shared" si="19"/>
        <v>0</v>
      </c>
      <c r="S155" s="134" t="s">
        <v>1379</v>
      </c>
      <c r="U155" s="134">
        <f t="shared" si="20"/>
        <v>0</v>
      </c>
    </row>
    <row r="156" spans="1:21" ht="15.75" x14ac:dyDescent="0.25">
      <c r="A156" s="131" t="s">
        <v>756</v>
      </c>
      <c r="B156" s="137">
        <f t="shared" si="14"/>
        <v>3</v>
      </c>
      <c r="D156" s="134" t="s">
        <v>1150</v>
      </c>
      <c r="E156">
        <v>1</v>
      </c>
      <c r="F156" s="134">
        <f t="shared" si="15"/>
        <v>0</v>
      </c>
      <c r="G156" s="134" t="s">
        <v>738</v>
      </c>
      <c r="H156" s="134">
        <v>1</v>
      </c>
      <c r="I156" s="134">
        <f t="shared" si="16"/>
        <v>3</v>
      </c>
      <c r="J156" s="134" t="s">
        <v>1379</v>
      </c>
      <c r="L156" s="134">
        <f t="shared" si="17"/>
        <v>0</v>
      </c>
      <c r="M156" s="134" t="s">
        <v>1379</v>
      </c>
      <c r="O156" s="134">
        <f t="shared" si="18"/>
        <v>0</v>
      </c>
      <c r="P156" s="134" t="s">
        <v>1379</v>
      </c>
      <c r="R156" s="134">
        <f t="shared" si="19"/>
        <v>0</v>
      </c>
      <c r="S156" s="134" t="s">
        <v>1379</v>
      </c>
      <c r="U156" s="134">
        <f t="shared" si="20"/>
        <v>0</v>
      </c>
    </row>
    <row r="157" spans="1:21" ht="15.75" x14ac:dyDescent="0.25">
      <c r="A157" s="131" t="s">
        <v>757</v>
      </c>
      <c r="B157" s="137">
        <f t="shared" si="14"/>
        <v>3</v>
      </c>
      <c r="D157" s="134" t="s">
        <v>1188</v>
      </c>
      <c r="E157">
        <v>1</v>
      </c>
      <c r="F157" s="134">
        <f t="shared" si="15"/>
        <v>0</v>
      </c>
      <c r="G157" s="134" t="s">
        <v>738</v>
      </c>
      <c r="H157" s="134">
        <v>1</v>
      </c>
      <c r="I157" s="134">
        <f t="shared" si="16"/>
        <v>3</v>
      </c>
      <c r="J157" s="134" t="s">
        <v>1379</v>
      </c>
      <c r="L157" s="134">
        <f t="shared" si="17"/>
        <v>0</v>
      </c>
      <c r="M157" s="134" t="s">
        <v>1379</v>
      </c>
      <c r="O157" s="134">
        <f t="shared" si="18"/>
        <v>0</v>
      </c>
      <c r="P157" s="134" t="s">
        <v>1379</v>
      </c>
      <c r="R157" s="134">
        <f t="shared" si="19"/>
        <v>0</v>
      </c>
      <c r="S157" s="134" t="s">
        <v>1379</v>
      </c>
      <c r="U157" s="134">
        <f t="shared" si="20"/>
        <v>0</v>
      </c>
    </row>
    <row r="158" spans="1:21" ht="15.75" x14ac:dyDescent="0.25">
      <c r="A158" s="131" t="s">
        <v>758</v>
      </c>
      <c r="B158" s="137">
        <f t="shared" si="14"/>
        <v>3</v>
      </c>
      <c r="D158" s="134" t="s">
        <v>1227</v>
      </c>
      <c r="E158">
        <v>1</v>
      </c>
      <c r="F158" s="134">
        <f t="shared" si="15"/>
        <v>0</v>
      </c>
      <c r="G158" s="134" t="s">
        <v>738</v>
      </c>
      <c r="H158" s="134">
        <v>1</v>
      </c>
      <c r="I158" s="134">
        <f t="shared" si="16"/>
        <v>3</v>
      </c>
      <c r="J158" s="134" t="s">
        <v>1379</v>
      </c>
      <c r="L158" s="134">
        <f t="shared" si="17"/>
        <v>0</v>
      </c>
      <c r="M158" s="134" t="s">
        <v>1379</v>
      </c>
      <c r="O158" s="134">
        <f t="shared" si="18"/>
        <v>0</v>
      </c>
      <c r="P158" s="134" t="s">
        <v>1379</v>
      </c>
      <c r="R158" s="134">
        <f t="shared" si="19"/>
        <v>0</v>
      </c>
      <c r="S158" s="134" t="s">
        <v>1379</v>
      </c>
      <c r="U158" s="134">
        <f t="shared" si="20"/>
        <v>0</v>
      </c>
    </row>
    <row r="159" spans="1:21" ht="15.75" x14ac:dyDescent="0.25">
      <c r="A159" s="131" t="s">
        <v>759</v>
      </c>
      <c r="B159" s="137">
        <f t="shared" si="14"/>
        <v>7</v>
      </c>
      <c r="D159" s="134" t="s">
        <v>1334</v>
      </c>
      <c r="E159">
        <v>2</v>
      </c>
      <c r="F159" s="134">
        <f t="shared" si="15"/>
        <v>0</v>
      </c>
      <c r="G159" s="134" t="s">
        <v>1385</v>
      </c>
      <c r="H159" s="134">
        <v>1</v>
      </c>
      <c r="I159" s="134">
        <f t="shared" si="16"/>
        <v>7</v>
      </c>
      <c r="J159" s="134" t="s">
        <v>1379</v>
      </c>
      <c r="L159" s="134">
        <f t="shared" si="17"/>
        <v>0</v>
      </c>
      <c r="M159" s="134" t="s">
        <v>1379</v>
      </c>
      <c r="O159" s="134">
        <f t="shared" si="18"/>
        <v>0</v>
      </c>
      <c r="P159" s="134" t="s">
        <v>1379</v>
      </c>
      <c r="R159" s="134">
        <f t="shared" si="19"/>
        <v>0</v>
      </c>
      <c r="S159" s="134" t="s">
        <v>1379</v>
      </c>
      <c r="U159" s="134">
        <f t="shared" si="20"/>
        <v>0</v>
      </c>
    </row>
    <row r="160" spans="1:21" s="148" customFormat="1" ht="15.75" x14ac:dyDescent="0.25">
      <c r="A160" s="146" t="s">
        <v>760</v>
      </c>
      <c r="B160" s="147">
        <f t="shared" si="14"/>
        <v>0</v>
      </c>
      <c r="D160" s="148" t="s">
        <v>1379</v>
      </c>
      <c r="F160" s="148">
        <f t="shared" si="15"/>
        <v>0</v>
      </c>
      <c r="G160" s="148" t="s">
        <v>1379</v>
      </c>
      <c r="I160" s="148">
        <f t="shared" si="16"/>
        <v>0</v>
      </c>
      <c r="J160" s="148" t="s">
        <v>1379</v>
      </c>
      <c r="L160" s="148">
        <f t="shared" si="17"/>
        <v>0</v>
      </c>
      <c r="M160" s="148" t="s">
        <v>1379</v>
      </c>
      <c r="O160" s="148">
        <f t="shared" si="18"/>
        <v>0</v>
      </c>
      <c r="P160" s="148" t="s">
        <v>1379</v>
      </c>
      <c r="R160" s="148">
        <f t="shared" si="19"/>
        <v>0</v>
      </c>
      <c r="S160" s="148" t="s">
        <v>1379</v>
      </c>
      <c r="U160" s="148">
        <f t="shared" si="20"/>
        <v>0</v>
      </c>
    </row>
    <row r="161" spans="1:21" ht="15.75" x14ac:dyDescent="0.25">
      <c r="A161" s="131" t="s">
        <v>761</v>
      </c>
      <c r="B161" s="137">
        <f t="shared" si="14"/>
        <v>3</v>
      </c>
      <c r="D161" s="134" t="s">
        <v>1288</v>
      </c>
      <c r="E161">
        <v>1</v>
      </c>
      <c r="F161" s="134">
        <f t="shared" si="15"/>
        <v>0</v>
      </c>
      <c r="G161" s="134" t="s">
        <v>738</v>
      </c>
      <c r="H161" s="134">
        <v>1</v>
      </c>
      <c r="I161" s="134">
        <f t="shared" si="16"/>
        <v>3</v>
      </c>
      <c r="J161" s="134" t="s">
        <v>1379</v>
      </c>
      <c r="L161" s="134">
        <f t="shared" si="17"/>
        <v>0</v>
      </c>
      <c r="M161" s="134" t="s">
        <v>1379</v>
      </c>
      <c r="O161" s="134">
        <f t="shared" si="18"/>
        <v>0</v>
      </c>
      <c r="P161" s="134" t="s">
        <v>1379</v>
      </c>
      <c r="R161" s="134">
        <f t="shared" si="19"/>
        <v>0</v>
      </c>
      <c r="S161" s="134" t="s">
        <v>1379</v>
      </c>
      <c r="U161" s="134">
        <f t="shared" si="20"/>
        <v>0</v>
      </c>
    </row>
    <row r="162" spans="1:21" ht="15.75" x14ac:dyDescent="0.25">
      <c r="A162" s="131" t="s">
        <v>762</v>
      </c>
      <c r="B162" s="137">
        <f t="shared" si="14"/>
        <v>0</v>
      </c>
      <c r="D162" s="134" t="s">
        <v>1093</v>
      </c>
      <c r="E162">
        <v>4</v>
      </c>
      <c r="F162" s="134">
        <f t="shared" si="15"/>
        <v>0</v>
      </c>
      <c r="G162" s="134" t="s">
        <v>1379</v>
      </c>
      <c r="I162" s="134">
        <f t="shared" si="16"/>
        <v>0</v>
      </c>
      <c r="J162" s="134" t="s">
        <v>1379</v>
      </c>
      <c r="L162" s="134">
        <f t="shared" si="17"/>
        <v>0</v>
      </c>
      <c r="M162" s="134" t="s">
        <v>1379</v>
      </c>
      <c r="O162" s="134">
        <f t="shared" si="18"/>
        <v>0</v>
      </c>
      <c r="P162" s="134" t="s">
        <v>1379</v>
      </c>
      <c r="R162" s="134">
        <f t="shared" si="19"/>
        <v>0</v>
      </c>
      <c r="S162" s="134" t="s">
        <v>1379</v>
      </c>
      <c r="U162" s="134">
        <f t="shared" si="20"/>
        <v>0</v>
      </c>
    </row>
    <row r="163" spans="1:21" ht="15.75" x14ac:dyDescent="0.25">
      <c r="A163" s="131" t="s">
        <v>763</v>
      </c>
      <c r="B163" s="137">
        <f t="shared" si="14"/>
        <v>15</v>
      </c>
      <c r="D163" s="134" t="s">
        <v>1386</v>
      </c>
      <c r="E163">
        <v>1</v>
      </c>
      <c r="F163" s="134">
        <f t="shared" si="15"/>
        <v>15</v>
      </c>
      <c r="G163" s="134" t="s">
        <v>1119</v>
      </c>
      <c r="H163" s="134">
        <v>1</v>
      </c>
      <c r="I163" s="134">
        <f t="shared" si="16"/>
        <v>0</v>
      </c>
      <c r="J163" s="134" t="s">
        <v>1379</v>
      </c>
      <c r="L163" s="134">
        <f t="shared" si="17"/>
        <v>0</v>
      </c>
      <c r="M163" s="134" t="s">
        <v>1379</v>
      </c>
      <c r="O163" s="134">
        <f t="shared" si="18"/>
        <v>0</v>
      </c>
      <c r="P163" s="134" t="s">
        <v>1379</v>
      </c>
      <c r="R163" s="134">
        <f t="shared" si="19"/>
        <v>0</v>
      </c>
      <c r="S163" s="134" t="s">
        <v>1379</v>
      </c>
      <c r="U163" s="134">
        <f t="shared" si="20"/>
        <v>0</v>
      </c>
    </row>
    <row r="164" spans="1:21" s="145" customFormat="1" ht="15.75" x14ac:dyDescent="0.25">
      <c r="A164" s="143" t="s">
        <v>1386</v>
      </c>
      <c r="B164" s="144">
        <f>'ECONOMIA &amp; PROFESIONES'!G50</f>
        <v>15</v>
      </c>
      <c r="D164" s="145" t="s">
        <v>1379</v>
      </c>
      <c r="F164" s="145">
        <f t="shared" ref="F164" si="27">VLOOKUP(D164,IDPOINTS,2,FALSE)</f>
        <v>0</v>
      </c>
      <c r="G164" s="145" t="s">
        <v>1379</v>
      </c>
      <c r="I164" s="145">
        <f t="shared" ref="I164" si="28">VLOOKUP(G164,IDPOINTS,2,FALSE)</f>
        <v>0</v>
      </c>
      <c r="J164" s="145" t="s">
        <v>1379</v>
      </c>
      <c r="L164" s="145">
        <f t="shared" ref="L164" si="29">VLOOKUP(J164,IDPOINTS,2,FALSE)</f>
        <v>0</v>
      </c>
      <c r="M164" s="145" t="s">
        <v>1379</v>
      </c>
      <c r="O164" s="145">
        <f t="shared" ref="O164" si="30">VLOOKUP(M164,IDPOINTS,2,FALSE)</f>
        <v>0</v>
      </c>
      <c r="P164" s="145" t="s">
        <v>1379</v>
      </c>
      <c r="R164" s="145">
        <f t="shared" ref="R164" si="31">VLOOKUP(P164,IDPOINTS,2,FALSE)</f>
        <v>0</v>
      </c>
      <c r="S164" s="145" t="s">
        <v>1379</v>
      </c>
      <c r="U164" s="145">
        <f t="shared" ref="U164" si="32">VLOOKUP(S164,IDPOINTS,2,FALSE)</f>
        <v>0</v>
      </c>
    </row>
    <row r="165" spans="1:21" ht="15.75" x14ac:dyDescent="0.25">
      <c r="A165" s="131" t="s">
        <v>764</v>
      </c>
      <c r="B165" s="137">
        <f t="shared" si="14"/>
        <v>4</v>
      </c>
      <c r="D165" s="134" t="s">
        <v>962</v>
      </c>
      <c r="E165">
        <v>1</v>
      </c>
      <c r="F165" s="134">
        <f t="shared" si="15"/>
        <v>4</v>
      </c>
      <c r="G165" s="134" t="s">
        <v>1297</v>
      </c>
      <c r="H165" s="134">
        <v>1</v>
      </c>
      <c r="I165" s="134">
        <f t="shared" si="16"/>
        <v>0</v>
      </c>
      <c r="J165" s="134" t="s">
        <v>1281</v>
      </c>
      <c r="K165" s="134">
        <v>3</v>
      </c>
      <c r="L165" s="134">
        <f t="shared" si="17"/>
        <v>0</v>
      </c>
      <c r="M165" s="134" t="s">
        <v>1325</v>
      </c>
      <c r="N165" s="134">
        <v>1</v>
      </c>
      <c r="O165" s="134">
        <f t="shared" si="18"/>
        <v>0</v>
      </c>
      <c r="P165" s="134" t="s">
        <v>1379</v>
      </c>
      <c r="R165" s="134">
        <f t="shared" si="19"/>
        <v>0</v>
      </c>
      <c r="S165" s="134" t="s">
        <v>1379</v>
      </c>
      <c r="U165" s="134">
        <f t="shared" si="20"/>
        <v>0</v>
      </c>
    </row>
    <row r="166" spans="1:21" ht="15.75" x14ac:dyDescent="0.25">
      <c r="A166" s="131" t="s">
        <v>765</v>
      </c>
      <c r="B166" s="137">
        <f t="shared" si="14"/>
        <v>0</v>
      </c>
      <c r="D166" s="134" t="s">
        <v>1207</v>
      </c>
      <c r="E166">
        <v>4</v>
      </c>
      <c r="F166" s="134">
        <f t="shared" si="15"/>
        <v>0</v>
      </c>
      <c r="G166" s="134" t="s">
        <v>1379</v>
      </c>
      <c r="I166" s="134">
        <f t="shared" si="16"/>
        <v>0</v>
      </c>
      <c r="J166" s="134" t="s">
        <v>1379</v>
      </c>
      <c r="L166" s="134">
        <f t="shared" si="17"/>
        <v>0</v>
      </c>
      <c r="M166" s="134" t="s">
        <v>1379</v>
      </c>
      <c r="O166" s="134">
        <f t="shared" si="18"/>
        <v>0</v>
      </c>
      <c r="P166" s="134" t="s">
        <v>1379</v>
      </c>
      <c r="R166" s="134">
        <f t="shared" si="19"/>
        <v>0</v>
      </c>
      <c r="S166" s="134" t="s">
        <v>1379</v>
      </c>
      <c r="U166" s="134">
        <f t="shared" si="20"/>
        <v>0</v>
      </c>
    </row>
    <row r="167" spans="1:21" ht="15.75" x14ac:dyDescent="0.25">
      <c r="A167" s="131" t="s">
        <v>766</v>
      </c>
      <c r="B167" s="137">
        <f t="shared" si="14"/>
        <v>0</v>
      </c>
      <c r="D167" s="135" t="s">
        <v>765</v>
      </c>
      <c r="E167">
        <v>3</v>
      </c>
      <c r="F167" s="134">
        <f t="shared" si="15"/>
        <v>0</v>
      </c>
      <c r="G167" s="134" t="s">
        <v>1379</v>
      </c>
      <c r="I167" s="134">
        <f t="shared" si="16"/>
        <v>0</v>
      </c>
      <c r="J167" s="134" t="s">
        <v>1379</v>
      </c>
      <c r="L167" s="134">
        <f t="shared" si="17"/>
        <v>0</v>
      </c>
      <c r="M167" s="134" t="s">
        <v>1379</v>
      </c>
      <c r="O167" s="134">
        <f t="shared" si="18"/>
        <v>0</v>
      </c>
      <c r="P167" s="134" t="s">
        <v>1379</v>
      </c>
      <c r="R167" s="134">
        <f t="shared" si="19"/>
        <v>0</v>
      </c>
      <c r="S167" s="134" t="s">
        <v>1379</v>
      </c>
      <c r="U167" s="134">
        <f t="shared" si="20"/>
        <v>0</v>
      </c>
    </row>
    <row r="168" spans="1:21" ht="15.75" x14ac:dyDescent="0.25">
      <c r="A168" s="131" t="s">
        <v>767</v>
      </c>
      <c r="B168" s="137">
        <f t="shared" si="14"/>
        <v>0</v>
      </c>
      <c r="D168" s="134" t="s">
        <v>1230</v>
      </c>
      <c r="E168">
        <v>4</v>
      </c>
      <c r="F168" s="134">
        <f t="shared" si="15"/>
        <v>0</v>
      </c>
      <c r="G168" s="134" t="s">
        <v>1379</v>
      </c>
      <c r="I168" s="134">
        <f t="shared" si="16"/>
        <v>0</v>
      </c>
      <c r="J168" s="134" t="s">
        <v>1379</v>
      </c>
      <c r="L168" s="134">
        <f t="shared" si="17"/>
        <v>0</v>
      </c>
      <c r="M168" s="134" t="s">
        <v>1379</v>
      </c>
      <c r="O168" s="134">
        <f t="shared" si="18"/>
        <v>0</v>
      </c>
      <c r="P168" s="134" t="s">
        <v>1379</v>
      </c>
      <c r="R168" s="134">
        <f t="shared" si="19"/>
        <v>0</v>
      </c>
      <c r="S168" s="134" t="s">
        <v>1379</v>
      </c>
      <c r="U168" s="134">
        <f t="shared" si="20"/>
        <v>0</v>
      </c>
    </row>
    <row r="169" spans="1:21" ht="15.75" x14ac:dyDescent="0.25">
      <c r="A169" s="131" t="s">
        <v>768</v>
      </c>
      <c r="B169" s="137">
        <f t="shared" si="14"/>
        <v>0</v>
      </c>
      <c r="D169" s="134" t="s">
        <v>767</v>
      </c>
      <c r="E169">
        <v>3</v>
      </c>
      <c r="F169" s="134">
        <f t="shared" si="15"/>
        <v>0</v>
      </c>
      <c r="G169" s="134" t="s">
        <v>1379</v>
      </c>
      <c r="I169" s="134">
        <f t="shared" si="16"/>
        <v>0</v>
      </c>
      <c r="J169" s="134" t="s">
        <v>1379</v>
      </c>
      <c r="L169" s="134">
        <f t="shared" si="17"/>
        <v>0</v>
      </c>
      <c r="M169" s="134" t="s">
        <v>1379</v>
      </c>
      <c r="O169" s="134">
        <f t="shared" si="18"/>
        <v>0</v>
      </c>
      <c r="P169" s="134" t="s">
        <v>1379</v>
      </c>
      <c r="R169" s="134">
        <f t="shared" si="19"/>
        <v>0</v>
      </c>
      <c r="S169" s="134" t="s">
        <v>1379</v>
      </c>
      <c r="U169" s="134">
        <f t="shared" si="20"/>
        <v>0</v>
      </c>
    </row>
    <row r="170" spans="1:21" ht="15.75" x14ac:dyDescent="0.25">
      <c r="A170" s="131" t="s">
        <v>769</v>
      </c>
      <c r="B170" s="137">
        <f t="shared" si="14"/>
        <v>0</v>
      </c>
      <c r="D170" s="135" t="s">
        <v>780</v>
      </c>
      <c r="E170" s="135">
        <v>6</v>
      </c>
      <c r="F170" s="135">
        <f t="shared" si="15"/>
        <v>0</v>
      </c>
      <c r="G170" s="135" t="s">
        <v>1281</v>
      </c>
      <c r="H170" s="135">
        <v>1</v>
      </c>
      <c r="I170" s="135">
        <f t="shared" si="16"/>
        <v>0</v>
      </c>
      <c r="J170" s="135" t="s">
        <v>1379</v>
      </c>
      <c r="K170" s="135"/>
      <c r="L170" s="134">
        <f t="shared" si="17"/>
        <v>0</v>
      </c>
      <c r="M170" s="134" t="s">
        <v>1379</v>
      </c>
      <c r="O170" s="134">
        <f t="shared" si="18"/>
        <v>0</v>
      </c>
      <c r="P170" s="134" t="s">
        <v>1379</v>
      </c>
      <c r="R170" s="134">
        <f t="shared" si="19"/>
        <v>0</v>
      </c>
      <c r="S170" s="134" t="s">
        <v>1379</v>
      </c>
      <c r="U170" s="134">
        <f t="shared" si="20"/>
        <v>0</v>
      </c>
    </row>
    <row r="171" spans="1:21" ht="15.75" x14ac:dyDescent="0.25">
      <c r="A171" s="131" t="s">
        <v>770</v>
      </c>
      <c r="B171" s="137">
        <f t="shared" si="14"/>
        <v>0</v>
      </c>
      <c r="D171" s="135" t="s">
        <v>780</v>
      </c>
      <c r="E171" s="135">
        <v>3</v>
      </c>
      <c r="F171" s="135">
        <f t="shared" si="15"/>
        <v>0</v>
      </c>
      <c r="G171" s="135" t="s">
        <v>1093</v>
      </c>
      <c r="H171" s="135">
        <v>3</v>
      </c>
      <c r="I171" s="135">
        <f t="shared" si="16"/>
        <v>0</v>
      </c>
      <c r="J171" s="135" t="s">
        <v>1379</v>
      </c>
      <c r="K171" s="135"/>
      <c r="L171" s="134">
        <f t="shared" si="17"/>
        <v>0</v>
      </c>
      <c r="M171" s="134" t="s">
        <v>1379</v>
      </c>
      <c r="O171" s="134">
        <f t="shared" si="18"/>
        <v>0</v>
      </c>
      <c r="P171" s="134" t="s">
        <v>1379</v>
      </c>
      <c r="R171" s="134">
        <f t="shared" si="19"/>
        <v>0</v>
      </c>
      <c r="S171" s="134" t="s">
        <v>1379</v>
      </c>
      <c r="U171" s="134">
        <f t="shared" si="20"/>
        <v>0</v>
      </c>
    </row>
    <row r="172" spans="1:21" ht="15.75" x14ac:dyDescent="0.25">
      <c r="A172" s="131" t="s">
        <v>771</v>
      </c>
      <c r="B172" s="137">
        <f t="shared" si="14"/>
        <v>0</v>
      </c>
      <c r="D172" s="135" t="s">
        <v>780</v>
      </c>
      <c r="E172" s="135">
        <v>2</v>
      </c>
      <c r="F172" s="135">
        <f t="shared" si="15"/>
        <v>0</v>
      </c>
      <c r="G172" s="135" t="s">
        <v>1379</v>
      </c>
      <c r="H172" s="135"/>
      <c r="I172" s="135">
        <f t="shared" si="16"/>
        <v>0</v>
      </c>
      <c r="J172" s="135" t="s">
        <v>1379</v>
      </c>
      <c r="K172" s="135"/>
      <c r="L172" s="134">
        <f t="shared" si="17"/>
        <v>0</v>
      </c>
      <c r="M172" s="134" t="s">
        <v>1379</v>
      </c>
      <c r="O172" s="134">
        <f t="shared" si="18"/>
        <v>0</v>
      </c>
      <c r="P172" s="134" t="s">
        <v>1379</v>
      </c>
      <c r="R172" s="134">
        <f t="shared" si="19"/>
        <v>0</v>
      </c>
      <c r="S172" s="134" t="s">
        <v>1379</v>
      </c>
      <c r="U172" s="134">
        <f t="shared" si="20"/>
        <v>0</v>
      </c>
    </row>
    <row r="173" spans="1:21" ht="15.75" x14ac:dyDescent="0.25">
      <c r="A173" s="131" t="s">
        <v>772</v>
      </c>
      <c r="B173" s="137">
        <f t="shared" si="14"/>
        <v>4</v>
      </c>
      <c r="D173" s="135" t="s">
        <v>773</v>
      </c>
      <c r="E173" s="135">
        <v>1</v>
      </c>
      <c r="F173" s="135">
        <f t="shared" si="15"/>
        <v>4</v>
      </c>
      <c r="G173" s="135" t="s">
        <v>1379</v>
      </c>
      <c r="H173" s="135"/>
      <c r="I173" s="135">
        <f t="shared" si="16"/>
        <v>0</v>
      </c>
      <c r="J173" s="135" t="s">
        <v>1379</v>
      </c>
      <c r="K173" s="135"/>
      <c r="L173" s="134">
        <f t="shared" si="17"/>
        <v>0</v>
      </c>
      <c r="M173" s="134" t="s">
        <v>1379</v>
      </c>
      <c r="O173" s="134">
        <f t="shared" si="18"/>
        <v>0</v>
      </c>
      <c r="P173" s="134" t="s">
        <v>1379</v>
      </c>
      <c r="R173" s="134">
        <f t="shared" si="19"/>
        <v>0</v>
      </c>
      <c r="S173" s="134" t="s">
        <v>1379</v>
      </c>
      <c r="U173" s="134">
        <f t="shared" si="20"/>
        <v>0</v>
      </c>
    </row>
    <row r="174" spans="1:21" ht="15.75" x14ac:dyDescent="0.25">
      <c r="A174" s="131" t="s">
        <v>773</v>
      </c>
      <c r="B174" s="137">
        <f t="shared" si="14"/>
        <v>4</v>
      </c>
      <c r="D174" s="135" t="s">
        <v>1229</v>
      </c>
      <c r="E174" s="135">
        <v>4</v>
      </c>
      <c r="F174" s="135">
        <f t="shared" si="15"/>
        <v>0</v>
      </c>
      <c r="G174" s="135" t="s">
        <v>910</v>
      </c>
      <c r="H174" s="135">
        <v>4</v>
      </c>
      <c r="I174" s="135">
        <f t="shared" si="16"/>
        <v>1</v>
      </c>
      <c r="J174" s="135" t="s">
        <v>774</v>
      </c>
      <c r="K174" s="135">
        <v>1</v>
      </c>
      <c r="L174" s="134">
        <f t="shared" si="17"/>
        <v>0</v>
      </c>
      <c r="M174" s="134" t="s">
        <v>1379</v>
      </c>
      <c r="O174" s="134">
        <f t="shared" si="18"/>
        <v>0</v>
      </c>
      <c r="P174" s="134" t="s">
        <v>1379</v>
      </c>
      <c r="R174" s="134">
        <f t="shared" si="19"/>
        <v>0</v>
      </c>
      <c r="S174" s="134" t="s">
        <v>1379</v>
      </c>
      <c r="U174" s="134">
        <f t="shared" si="20"/>
        <v>0</v>
      </c>
    </row>
    <row r="175" spans="1:21" s="148" customFormat="1" ht="15.75" x14ac:dyDescent="0.25">
      <c r="A175" s="146" t="s">
        <v>774</v>
      </c>
      <c r="B175" s="147">
        <f t="shared" si="14"/>
        <v>0</v>
      </c>
      <c r="D175" s="148" t="s">
        <v>1379</v>
      </c>
      <c r="F175" s="148">
        <f t="shared" si="15"/>
        <v>0</v>
      </c>
      <c r="G175" s="148" t="s">
        <v>1379</v>
      </c>
      <c r="I175" s="148">
        <f t="shared" si="16"/>
        <v>0</v>
      </c>
      <c r="J175" s="148" t="s">
        <v>1379</v>
      </c>
      <c r="L175" s="148">
        <f t="shared" si="17"/>
        <v>0</v>
      </c>
      <c r="M175" s="148" t="s">
        <v>1379</v>
      </c>
      <c r="O175" s="148">
        <f t="shared" si="18"/>
        <v>0</v>
      </c>
      <c r="P175" s="148" t="s">
        <v>1379</v>
      </c>
      <c r="R175" s="148">
        <f t="shared" si="19"/>
        <v>0</v>
      </c>
      <c r="S175" s="148" t="s">
        <v>1379</v>
      </c>
      <c r="U175" s="148">
        <f t="shared" si="20"/>
        <v>0</v>
      </c>
    </row>
    <row r="176" spans="1:21" ht="15.75" x14ac:dyDescent="0.25">
      <c r="A176" s="131" t="s">
        <v>775</v>
      </c>
      <c r="B176" s="137">
        <f t="shared" si="14"/>
        <v>3</v>
      </c>
      <c r="D176" s="135" t="s">
        <v>779</v>
      </c>
      <c r="E176" s="135">
        <v>1</v>
      </c>
      <c r="F176" s="135">
        <f t="shared" si="15"/>
        <v>0</v>
      </c>
      <c r="G176" s="135" t="s">
        <v>738</v>
      </c>
      <c r="H176" s="135">
        <v>1</v>
      </c>
      <c r="I176" s="134">
        <f t="shared" si="16"/>
        <v>3</v>
      </c>
      <c r="J176" s="134" t="s">
        <v>1379</v>
      </c>
      <c r="L176" s="134">
        <f t="shared" si="17"/>
        <v>0</v>
      </c>
      <c r="M176" s="134" t="s">
        <v>1379</v>
      </c>
      <c r="O176" s="134">
        <f t="shared" si="18"/>
        <v>0</v>
      </c>
      <c r="P176" s="134" t="s">
        <v>1379</v>
      </c>
      <c r="R176" s="134">
        <f t="shared" si="19"/>
        <v>0</v>
      </c>
      <c r="S176" s="134" t="s">
        <v>1379</v>
      </c>
      <c r="U176" s="134">
        <f t="shared" si="20"/>
        <v>0</v>
      </c>
    </row>
    <row r="177" spans="1:21" ht="15.75" x14ac:dyDescent="0.25">
      <c r="A177" s="131" t="s">
        <v>776</v>
      </c>
      <c r="B177" s="137">
        <f t="shared" si="14"/>
        <v>0</v>
      </c>
      <c r="D177" s="135" t="s">
        <v>774</v>
      </c>
      <c r="E177" s="135">
        <v>1</v>
      </c>
      <c r="F177" s="135">
        <f t="shared" si="15"/>
        <v>0</v>
      </c>
      <c r="G177" s="135" t="s">
        <v>1241</v>
      </c>
      <c r="H177" s="135">
        <v>1</v>
      </c>
      <c r="I177" s="134">
        <f t="shared" si="16"/>
        <v>0</v>
      </c>
      <c r="J177" s="134" t="s">
        <v>1379</v>
      </c>
      <c r="L177" s="134">
        <f t="shared" si="17"/>
        <v>0</v>
      </c>
      <c r="M177" s="134" t="s">
        <v>1379</v>
      </c>
      <c r="O177" s="134">
        <f t="shared" si="18"/>
        <v>0</v>
      </c>
      <c r="P177" s="134" t="s">
        <v>1379</v>
      </c>
      <c r="R177" s="134">
        <f t="shared" si="19"/>
        <v>0</v>
      </c>
      <c r="S177" s="134" t="s">
        <v>1379</v>
      </c>
      <c r="U177" s="134">
        <f t="shared" si="20"/>
        <v>0</v>
      </c>
    </row>
    <row r="178" spans="1:21" ht="15.75" x14ac:dyDescent="0.25">
      <c r="A178" s="131" t="s">
        <v>777</v>
      </c>
      <c r="B178" s="137">
        <f t="shared" si="14"/>
        <v>24</v>
      </c>
      <c r="D178" s="135" t="s">
        <v>880</v>
      </c>
      <c r="E178" s="135">
        <v>8</v>
      </c>
      <c r="F178" s="135">
        <f t="shared" si="15"/>
        <v>3</v>
      </c>
      <c r="G178" s="135" t="s">
        <v>774</v>
      </c>
      <c r="H178" s="135">
        <v>1</v>
      </c>
      <c r="I178" s="134">
        <f t="shared" si="16"/>
        <v>0</v>
      </c>
      <c r="J178" s="134" t="s">
        <v>1379</v>
      </c>
      <c r="L178" s="134">
        <f t="shared" si="17"/>
        <v>0</v>
      </c>
      <c r="M178" s="134" t="s">
        <v>1379</v>
      </c>
      <c r="O178" s="134">
        <f t="shared" si="18"/>
        <v>0</v>
      </c>
      <c r="P178" s="134" t="s">
        <v>1379</v>
      </c>
      <c r="R178" s="134">
        <f t="shared" si="19"/>
        <v>0</v>
      </c>
      <c r="S178" s="134" t="s">
        <v>1379</v>
      </c>
      <c r="U178" s="134">
        <f t="shared" si="20"/>
        <v>0</v>
      </c>
    </row>
    <row r="179" spans="1:21" ht="15.75" x14ac:dyDescent="0.25">
      <c r="A179" s="131" t="s">
        <v>778</v>
      </c>
      <c r="B179" s="137">
        <f t="shared" si="14"/>
        <v>144</v>
      </c>
      <c r="D179" s="135" t="s">
        <v>777</v>
      </c>
      <c r="E179" s="135">
        <v>6</v>
      </c>
      <c r="F179" s="135">
        <f t="shared" si="15"/>
        <v>24</v>
      </c>
      <c r="G179" s="135" t="s">
        <v>1379</v>
      </c>
      <c r="H179" s="135"/>
      <c r="I179" s="134">
        <f t="shared" si="16"/>
        <v>0</v>
      </c>
      <c r="J179" s="134" t="s">
        <v>1379</v>
      </c>
      <c r="L179" s="134">
        <f t="shared" si="17"/>
        <v>0</v>
      </c>
      <c r="M179" s="134" t="s">
        <v>1379</v>
      </c>
      <c r="O179" s="134">
        <f t="shared" si="18"/>
        <v>0</v>
      </c>
      <c r="P179" s="134" t="s">
        <v>1379</v>
      </c>
      <c r="R179" s="134">
        <f t="shared" si="19"/>
        <v>0</v>
      </c>
      <c r="S179" s="134" t="s">
        <v>1379</v>
      </c>
      <c r="U179" s="134">
        <f t="shared" si="20"/>
        <v>0</v>
      </c>
    </row>
    <row r="180" spans="1:21" ht="15.75" x14ac:dyDescent="0.25">
      <c r="A180" s="131" t="s">
        <v>779</v>
      </c>
      <c r="B180" s="137">
        <f t="shared" si="14"/>
        <v>0</v>
      </c>
      <c r="D180" s="135" t="s">
        <v>1318</v>
      </c>
      <c r="E180" s="135">
        <v>8</v>
      </c>
      <c r="F180" s="135">
        <f t="shared" si="15"/>
        <v>0</v>
      </c>
      <c r="G180" s="135" t="s">
        <v>774</v>
      </c>
      <c r="H180" s="135">
        <v>1</v>
      </c>
      <c r="I180" s="134">
        <f t="shared" si="16"/>
        <v>0</v>
      </c>
      <c r="J180" s="134" t="s">
        <v>1379</v>
      </c>
      <c r="L180" s="134">
        <f t="shared" si="17"/>
        <v>0</v>
      </c>
      <c r="M180" s="134" t="s">
        <v>1379</v>
      </c>
      <c r="O180" s="134">
        <f t="shared" si="18"/>
        <v>0</v>
      </c>
      <c r="P180" s="134" t="s">
        <v>1379</v>
      </c>
      <c r="R180" s="134">
        <f t="shared" si="19"/>
        <v>0</v>
      </c>
      <c r="S180" s="134" t="s">
        <v>1379</v>
      </c>
      <c r="U180" s="134">
        <f t="shared" si="20"/>
        <v>0</v>
      </c>
    </row>
    <row r="181" spans="1:21" ht="15.75" x14ac:dyDescent="0.25">
      <c r="A181" s="131" t="s">
        <v>780</v>
      </c>
      <c r="B181" s="137">
        <f t="shared" si="14"/>
        <v>0</v>
      </c>
      <c r="D181" s="135" t="s">
        <v>1348</v>
      </c>
      <c r="E181" s="135">
        <v>1</v>
      </c>
      <c r="F181" s="135">
        <f t="shared" si="15"/>
        <v>0</v>
      </c>
      <c r="G181" s="135" t="s">
        <v>774</v>
      </c>
      <c r="H181" s="135">
        <v>1</v>
      </c>
      <c r="I181" s="134">
        <f t="shared" si="16"/>
        <v>0</v>
      </c>
      <c r="J181" s="134" t="s">
        <v>1379</v>
      </c>
      <c r="L181" s="134">
        <f t="shared" si="17"/>
        <v>0</v>
      </c>
      <c r="M181" s="134" t="s">
        <v>1379</v>
      </c>
      <c r="O181" s="134">
        <f t="shared" si="18"/>
        <v>0</v>
      </c>
      <c r="P181" s="134" t="s">
        <v>1379</v>
      </c>
      <c r="R181" s="134">
        <f t="shared" si="19"/>
        <v>0</v>
      </c>
      <c r="S181" s="134" t="s">
        <v>1379</v>
      </c>
      <c r="U181" s="134">
        <f t="shared" si="20"/>
        <v>0</v>
      </c>
    </row>
    <row r="182" spans="1:21" s="148" customFormat="1" ht="15.75" x14ac:dyDescent="0.25">
      <c r="A182" s="146" t="s">
        <v>781</v>
      </c>
      <c r="B182" s="147">
        <f t="shared" si="14"/>
        <v>0</v>
      </c>
      <c r="D182" s="148" t="s">
        <v>1379</v>
      </c>
      <c r="F182" s="148">
        <f t="shared" si="15"/>
        <v>0</v>
      </c>
      <c r="G182" s="148" t="s">
        <v>1379</v>
      </c>
      <c r="I182" s="148">
        <f t="shared" si="16"/>
        <v>0</v>
      </c>
      <c r="J182" s="148" t="s">
        <v>1379</v>
      </c>
      <c r="L182" s="148">
        <f t="shared" si="17"/>
        <v>0</v>
      </c>
      <c r="M182" s="148" t="s">
        <v>1379</v>
      </c>
      <c r="O182" s="148">
        <f t="shared" si="18"/>
        <v>0</v>
      </c>
      <c r="P182" s="148" t="s">
        <v>1379</v>
      </c>
      <c r="R182" s="148">
        <f t="shared" si="19"/>
        <v>0</v>
      </c>
      <c r="S182" s="148" t="s">
        <v>1379</v>
      </c>
      <c r="U182" s="148">
        <f t="shared" si="20"/>
        <v>0</v>
      </c>
    </row>
    <row r="183" spans="1:21" ht="15.75" x14ac:dyDescent="0.25">
      <c r="A183" s="131" t="s">
        <v>782</v>
      </c>
      <c r="B183" s="137">
        <f t="shared" si="14"/>
        <v>44</v>
      </c>
      <c r="D183" s="135" t="s">
        <v>788</v>
      </c>
      <c r="E183" s="135">
        <v>4</v>
      </c>
      <c r="F183" s="135">
        <f t="shared" si="15"/>
        <v>11</v>
      </c>
      <c r="G183" s="135" t="s">
        <v>1379</v>
      </c>
      <c r="H183" s="135"/>
      <c r="I183" s="134">
        <f t="shared" si="16"/>
        <v>0</v>
      </c>
      <c r="J183" s="134" t="s">
        <v>1379</v>
      </c>
      <c r="L183" s="134">
        <f t="shared" si="17"/>
        <v>0</v>
      </c>
      <c r="M183" s="134" t="s">
        <v>1379</v>
      </c>
      <c r="O183" s="134">
        <f t="shared" si="18"/>
        <v>0</v>
      </c>
      <c r="P183" s="134" t="s">
        <v>1379</v>
      </c>
      <c r="R183" s="134">
        <f t="shared" si="19"/>
        <v>0</v>
      </c>
      <c r="S183" s="134" t="s">
        <v>1379</v>
      </c>
      <c r="U183" s="134">
        <f t="shared" si="20"/>
        <v>0</v>
      </c>
    </row>
    <row r="184" spans="1:21" ht="15.75" x14ac:dyDescent="0.25">
      <c r="A184" s="131" t="s">
        <v>783</v>
      </c>
      <c r="B184" s="137">
        <f t="shared" si="14"/>
        <v>11</v>
      </c>
      <c r="D184" s="135" t="s">
        <v>788</v>
      </c>
      <c r="E184" s="135">
        <v>1</v>
      </c>
      <c r="F184" s="135">
        <f t="shared" si="15"/>
        <v>11</v>
      </c>
      <c r="G184" s="135" t="s">
        <v>1379</v>
      </c>
      <c r="H184" s="135"/>
      <c r="I184" s="134">
        <f t="shared" si="16"/>
        <v>0</v>
      </c>
      <c r="J184" s="134" t="s">
        <v>1379</v>
      </c>
      <c r="L184" s="134">
        <f t="shared" si="17"/>
        <v>0</v>
      </c>
      <c r="M184" s="134" t="s">
        <v>1379</v>
      </c>
      <c r="O184" s="134">
        <f t="shared" si="18"/>
        <v>0</v>
      </c>
      <c r="P184" s="134" t="s">
        <v>1379</v>
      </c>
      <c r="R184" s="134">
        <f t="shared" si="19"/>
        <v>0</v>
      </c>
      <c r="S184" s="134" t="s">
        <v>1379</v>
      </c>
      <c r="U184" s="134">
        <f t="shared" si="20"/>
        <v>0</v>
      </c>
    </row>
    <row r="185" spans="1:21" ht="15.75" x14ac:dyDescent="0.25">
      <c r="A185" s="131" t="s">
        <v>784</v>
      </c>
      <c r="B185" s="137">
        <f t="shared" si="14"/>
        <v>66</v>
      </c>
      <c r="D185" s="135" t="s">
        <v>788</v>
      </c>
      <c r="E185" s="135">
        <v>6</v>
      </c>
      <c r="F185" s="135">
        <f t="shared" si="15"/>
        <v>11</v>
      </c>
      <c r="G185" s="135" t="s">
        <v>1379</v>
      </c>
      <c r="H185" s="135"/>
      <c r="I185" s="134">
        <f t="shared" si="16"/>
        <v>0</v>
      </c>
      <c r="J185" s="134" t="s">
        <v>1379</v>
      </c>
      <c r="L185" s="134">
        <f t="shared" si="17"/>
        <v>0</v>
      </c>
      <c r="M185" s="134" t="s">
        <v>1379</v>
      </c>
      <c r="O185" s="134">
        <f t="shared" si="18"/>
        <v>0</v>
      </c>
      <c r="P185" s="134" t="s">
        <v>1379</v>
      </c>
      <c r="R185" s="134">
        <f t="shared" si="19"/>
        <v>0</v>
      </c>
      <c r="S185" s="134" t="s">
        <v>1379</v>
      </c>
      <c r="U185" s="134">
        <f t="shared" si="20"/>
        <v>0</v>
      </c>
    </row>
    <row r="186" spans="1:21" ht="15.75" x14ac:dyDescent="0.25">
      <c r="A186" s="131" t="s">
        <v>785</v>
      </c>
      <c r="B186" s="137">
        <f t="shared" si="14"/>
        <v>44</v>
      </c>
      <c r="D186" s="135" t="s">
        <v>788</v>
      </c>
      <c r="E186" s="135">
        <v>4</v>
      </c>
      <c r="F186" s="135">
        <f t="shared" si="15"/>
        <v>11</v>
      </c>
      <c r="G186" s="135" t="s">
        <v>1281</v>
      </c>
      <c r="H186" s="135">
        <v>2</v>
      </c>
      <c r="I186" s="134">
        <f t="shared" si="16"/>
        <v>0</v>
      </c>
      <c r="J186" s="134" t="s">
        <v>1379</v>
      </c>
      <c r="L186" s="134">
        <f t="shared" si="17"/>
        <v>0</v>
      </c>
      <c r="M186" s="134" t="s">
        <v>1379</v>
      </c>
      <c r="O186" s="134">
        <f t="shared" si="18"/>
        <v>0</v>
      </c>
      <c r="P186" s="134" t="s">
        <v>1379</v>
      </c>
      <c r="R186" s="134">
        <f t="shared" si="19"/>
        <v>0</v>
      </c>
      <c r="S186" s="134" t="s">
        <v>1379</v>
      </c>
      <c r="U186" s="134">
        <f t="shared" si="20"/>
        <v>0</v>
      </c>
    </row>
    <row r="187" spans="1:21" ht="15.75" x14ac:dyDescent="0.25">
      <c r="A187" s="131" t="s">
        <v>786</v>
      </c>
      <c r="B187" s="137">
        <f t="shared" si="14"/>
        <v>22</v>
      </c>
      <c r="D187" s="135" t="s">
        <v>788</v>
      </c>
      <c r="E187" s="135">
        <v>2</v>
      </c>
      <c r="F187" s="135">
        <f t="shared" si="15"/>
        <v>11</v>
      </c>
      <c r="G187" s="135" t="s">
        <v>1281</v>
      </c>
      <c r="H187" s="135">
        <v>4</v>
      </c>
      <c r="I187" s="134">
        <f t="shared" si="16"/>
        <v>0</v>
      </c>
      <c r="J187" s="134" t="s">
        <v>1379</v>
      </c>
      <c r="L187" s="134">
        <f t="shared" si="17"/>
        <v>0</v>
      </c>
      <c r="M187" s="134" t="s">
        <v>1379</v>
      </c>
      <c r="O187" s="134">
        <f t="shared" si="18"/>
        <v>0</v>
      </c>
      <c r="P187" s="134" t="s">
        <v>1379</v>
      </c>
      <c r="R187" s="134">
        <f t="shared" si="19"/>
        <v>0</v>
      </c>
      <c r="S187" s="134" t="s">
        <v>1379</v>
      </c>
      <c r="U187" s="134">
        <f t="shared" si="20"/>
        <v>0</v>
      </c>
    </row>
    <row r="188" spans="1:21" s="145" customFormat="1" ht="15.75" x14ac:dyDescent="0.25">
      <c r="A188" s="143" t="s">
        <v>787</v>
      </c>
      <c r="B188" s="144">
        <f>'ECONOMIA &amp; PROFESIONES'!G32</f>
        <v>11</v>
      </c>
      <c r="D188" s="145" t="s">
        <v>1379</v>
      </c>
      <c r="F188" s="145">
        <f t="shared" si="15"/>
        <v>0</v>
      </c>
      <c r="G188" s="145" t="s">
        <v>1379</v>
      </c>
      <c r="I188" s="145">
        <f t="shared" si="16"/>
        <v>0</v>
      </c>
      <c r="J188" s="145" t="s">
        <v>1379</v>
      </c>
      <c r="L188" s="145">
        <f t="shared" si="17"/>
        <v>0</v>
      </c>
      <c r="M188" s="145" t="s">
        <v>1379</v>
      </c>
      <c r="O188" s="145">
        <f t="shared" si="18"/>
        <v>0</v>
      </c>
      <c r="P188" s="145" t="s">
        <v>1379</v>
      </c>
      <c r="R188" s="145">
        <f t="shared" si="19"/>
        <v>0</v>
      </c>
      <c r="S188" s="145" t="s">
        <v>1379</v>
      </c>
      <c r="U188" s="145">
        <f t="shared" si="20"/>
        <v>0</v>
      </c>
    </row>
    <row r="189" spans="1:21" ht="15.75" x14ac:dyDescent="0.25">
      <c r="A189" s="131" t="s">
        <v>788</v>
      </c>
      <c r="B189" s="137">
        <f t="shared" ref="B189:B251" si="33">(F189*E189)+(H189*I189)+(K189*L189)+(N189*O189)+(Q189*R189)+(T189*U189)</f>
        <v>11</v>
      </c>
      <c r="D189" s="135" t="s">
        <v>787</v>
      </c>
      <c r="E189" s="135">
        <v>1</v>
      </c>
      <c r="F189" s="135">
        <f t="shared" si="15"/>
        <v>11</v>
      </c>
      <c r="G189" s="135" t="s">
        <v>1379</v>
      </c>
      <c r="H189" s="135"/>
      <c r="I189" s="134">
        <f t="shared" si="16"/>
        <v>0</v>
      </c>
      <c r="J189" s="134" t="s">
        <v>1379</v>
      </c>
      <c r="L189" s="134">
        <f t="shared" si="17"/>
        <v>0</v>
      </c>
      <c r="M189" s="134" t="s">
        <v>1379</v>
      </c>
      <c r="O189" s="134">
        <f t="shared" si="18"/>
        <v>0</v>
      </c>
      <c r="P189" s="134" t="s">
        <v>1379</v>
      </c>
      <c r="R189" s="134">
        <f t="shared" si="19"/>
        <v>0</v>
      </c>
      <c r="S189" s="134" t="s">
        <v>1379</v>
      </c>
      <c r="U189" s="134">
        <f t="shared" si="20"/>
        <v>0</v>
      </c>
    </row>
    <row r="190" spans="1:21" ht="15.75" x14ac:dyDescent="0.25">
      <c r="A190" s="131" t="s">
        <v>789</v>
      </c>
      <c r="B190" s="137">
        <f t="shared" si="33"/>
        <v>22</v>
      </c>
      <c r="D190" s="135" t="s">
        <v>788</v>
      </c>
      <c r="E190" s="135">
        <v>2</v>
      </c>
      <c r="F190" s="135">
        <f t="shared" si="15"/>
        <v>11</v>
      </c>
      <c r="G190" s="135" t="s">
        <v>1379</v>
      </c>
      <c r="H190" s="135"/>
      <c r="I190" s="134">
        <f t="shared" si="16"/>
        <v>0</v>
      </c>
      <c r="J190" s="134" t="s">
        <v>1379</v>
      </c>
      <c r="L190" s="134">
        <f t="shared" si="17"/>
        <v>0</v>
      </c>
      <c r="M190" s="134" t="s">
        <v>1379</v>
      </c>
      <c r="O190" s="134">
        <f t="shared" si="18"/>
        <v>0</v>
      </c>
      <c r="P190" s="134" t="s">
        <v>1379</v>
      </c>
      <c r="R190" s="134">
        <f t="shared" si="19"/>
        <v>0</v>
      </c>
      <c r="S190" s="134" t="s">
        <v>1379</v>
      </c>
      <c r="U190" s="134">
        <f t="shared" si="20"/>
        <v>0</v>
      </c>
    </row>
    <row r="191" spans="1:21" ht="15.75" x14ac:dyDescent="0.25">
      <c r="A191" s="131" t="s">
        <v>790</v>
      </c>
      <c r="B191" s="137">
        <f t="shared" si="33"/>
        <v>66</v>
      </c>
      <c r="D191" s="135" t="s">
        <v>788</v>
      </c>
      <c r="E191" s="135">
        <v>6</v>
      </c>
      <c r="F191" s="135">
        <f t="shared" si="15"/>
        <v>11</v>
      </c>
      <c r="G191" s="135" t="s">
        <v>1281</v>
      </c>
      <c r="H191" s="135">
        <v>1</v>
      </c>
      <c r="I191" s="134">
        <f t="shared" ref="I191:I254" si="34">VLOOKUP(G191,IDPOINTS,2,FALSE)</f>
        <v>0</v>
      </c>
      <c r="J191" s="134" t="s">
        <v>1379</v>
      </c>
      <c r="L191" s="134">
        <f t="shared" ref="L191:L254" si="35">VLOOKUP(J191,IDPOINTS,2,FALSE)</f>
        <v>0</v>
      </c>
      <c r="M191" s="134" t="s">
        <v>1379</v>
      </c>
      <c r="O191" s="134">
        <f t="shared" ref="O191:O254" si="36">VLOOKUP(M191,IDPOINTS,2,FALSE)</f>
        <v>0</v>
      </c>
      <c r="P191" s="134" t="s">
        <v>1379</v>
      </c>
      <c r="R191" s="134">
        <f t="shared" ref="R191:R254" si="37">VLOOKUP(P191,IDPOINTS,2,FALSE)</f>
        <v>0</v>
      </c>
      <c r="S191" s="134" t="s">
        <v>1379</v>
      </c>
      <c r="U191" s="134">
        <f t="shared" ref="U191:U254" si="38">VLOOKUP(S191,IDPOINTS,2,FALSE)</f>
        <v>0</v>
      </c>
    </row>
    <row r="192" spans="1:21" ht="15.75" x14ac:dyDescent="0.25">
      <c r="A192" s="131" t="s">
        <v>791</v>
      </c>
      <c r="B192" s="137">
        <f t="shared" si="33"/>
        <v>33</v>
      </c>
      <c r="D192" s="135" t="s">
        <v>788</v>
      </c>
      <c r="E192" s="135">
        <v>3</v>
      </c>
      <c r="F192" s="135">
        <f t="shared" ref="F192:F194" si="39">VLOOKUP(D192,IDPOINTS,2,FALSE)</f>
        <v>11</v>
      </c>
      <c r="G192" s="135" t="s">
        <v>1379</v>
      </c>
      <c r="H192" s="135"/>
      <c r="I192" s="134">
        <f t="shared" si="34"/>
        <v>0</v>
      </c>
      <c r="J192" s="134" t="s">
        <v>1379</v>
      </c>
      <c r="L192" s="134">
        <f t="shared" si="35"/>
        <v>0</v>
      </c>
      <c r="M192" s="134" t="s">
        <v>1379</v>
      </c>
      <c r="O192" s="134">
        <f t="shared" si="36"/>
        <v>0</v>
      </c>
      <c r="P192" s="134" t="s">
        <v>1379</v>
      </c>
      <c r="R192" s="134">
        <f t="shared" si="37"/>
        <v>0</v>
      </c>
      <c r="S192" s="134" t="s">
        <v>1379</v>
      </c>
      <c r="U192" s="134">
        <f t="shared" si="38"/>
        <v>0</v>
      </c>
    </row>
    <row r="193" spans="1:21" ht="15.75" x14ac:dyDescent="0.25">
      <c r="A193" s="131" t="s">
        <v>792</v>
      </c>
      <c r="B193" s="137">
        <f t="shared" si="33"/>
        <v>66</v>
      </c>
      <c r="D193" s="135" t="s">
        <v>788</v>
      </c>
      <c r="E193" s="135">
        <v>6</v>
      </c>
      <c r="F193" s="135">
        <f t="shared" si="39"/>
        <v>11</v>
      </c>
      <c r="G193" s="135" t="s">
        <v>1379</v>
      </c>
      <c r="H193" s="135"/>
      <c r="I193" s="134">
        <f t="shared" si="34"/>
        <v>0</v>
      </c>
      <c r="J193" s="134" t="s">
        <v>1379</v>
      </c>
      <c r="L193" s="134">
        <f t="shared" si="35"/>
        <v>0</v>
      </c>
      <c r="M193" s="134" t="s">
        <v>1379</v>
      </c>
      <c r="O193" s="134">
        <f t="shared" si="36"/>
        <v>0</v>
      </c>
      <c r="P193" s="134" t="s">
        <v>1379</v>
      </c>
      <c r="R193" s="134">
        <f t="shared" si="37"/>
        <v>0</v>
      </c>
      <c r="S193" s="134" t="s">
        <v>1379</v>
      </c>
      <c r="U193" s="134">
        <f t="shared" si="38"/>
        <v>0</v>
      </c>
    </row>
    <row r="194" spans="1:21" ht="15.75" x14ac:dyDescent="0.25">
      <c r="A194" s="131" t="s">
        <v>793</v>
      </c>
      <c r="B194" s="137">
        <f t="shared" si="33"/>
        <v>66</v>
      </c>
      <c r="D194" s="135" t="s">
        <v>788</v>
      </c>
      <c r="E194" s="135">
        <v>6</v>
      </c>
      <c r="F194" s="135">
        <f t="shared" si="39"/>
        <v>11</v>
      </c>
      <c r="G194" s="135" t="s">
        <v>1379</v>
      </c>
      <c r="H194" s="135"/>
      <c r="I194" s="134">
        <f t="shared" si="34"/>
        <v>0</v>
      </c>
      <c r="J194" s="134" t="s">
        <v>1379</v>
      </c>
      <c r="L194" s="134">
        <f t="shared" si="35"/>
        <v>0</v>
      </c>
      <c r="M194" s="134" t="s">
        <v>1379</v>
      </c>
      <c r="O194" s="134">
        <f t="shared" si="36"/>
        <v>0</v>
      </c>
      <c r="P194" s="134" t="s">
        <v>1379</v>
      </c>
      <c r="R194" s="134">
        <f t="shared" si="37"/>
        <v>0</v>
      </c>
      <c r="S194" s="134" t="s">
        <v>1379</v>
      </c>
      <c r="U194" s="134">
        <f t="shared" si="38"/>
        <v>0</v>
      </c>
    </row>
    <row r="195" spans="1:21" s="145" customFormat="1" ht="15.75" x14ac:dyDescent="0.25">
      <c r="A195" s="143" t="s">
        <v>794</v>
      </c>
      <c r="B195" s="144">
        <f>'ECONOMIA &amp; PROFESIONES'!G32</f>
        <v>11</v>
      </c>
      <c r="D195" s="145" t="s">
        <v>1379</v>
      </c>
      <c r="F195" s="145">
        <f t="shared" ref="F195:F254" si="40">VLOOKUP(D195,IDPOINTS,2,FALSE)</f>
        <v>0</v>
      </c>
      <c r="G195" s="145" t="s">
        <v>1379</v>
      </c>
      <c r="I195" s="145">
        <f t="shared" si="34"/>
        <v>0</v>
      </c>
      <c r="J195" s="145" t="s">
        <v>1379</v>
      </c>
      <c r="L195" s="145">
        <f t="shared" si="35"/>
        <v>0</v>
      </c>
      <c r="M195" s="145" t="s">
        <v>1379</v>
      </c>
      <c r="O195" s="145">
        <f t="shared" si="36"/>
        <v>0</v>
      </c>
      <c r="P195" s="145" t="s">
        <v>1379</v>
      </c>
      <c r="R195" s="145">
        <f t="shared" si="37"/>
        <v>0</v>
      </c>
      <c r="S195" s="145" t="s">
        <v>1379</v>
      </c>
      <c r="U195" s="145">
        <f t="shared" si="38"/>
        <v>0</v>
      </c>
    </row>
    <row r="196" spans="1:21" ht="15.75" x14ac:dyDescent="0.25">
      <c r="A196" s="131" t="s">
        <v>795</v>
      </c>
      <c r="B196" s="137">
        <f t="shared" si="33"/>
        <v>0</v>
      </c>
      <c r="D196" s="134" t="s">
        <v>1158</v>
      </c>
      <c r="E196">
        <v>8</v>
      </c>
      <c r="F196" s="134">
        <f t="shared" si="40"/>
        <v>0</v>
      </c>
      <c r="G196" s="134" t="s">
        <v>952</v>
      </c>
      <c r="H196" s="134">
        <v>1</v>
      </c>
      <c r="I196" s="134">
        <f t="shared" si="34"/>
        <v>0</v>
      </c>
      <c r="J196" s="134" t="s">
        <v>1379</v>
      </c>
      <c r="L196" s="134">
        <f t="shared" si="35"/>
        <v>0</v>
      </c>
      <c r="M196" s="134" t="s">
        <v>1379</v>
      </c>
      <c r="O196" s="134">
        <f t="shared" si="36"/>
        <v>0</v>
      </c>
      <c r="P196" s="134" t="s">
        <v>1379</v>
      </c>
      <c r="R196" s="134">
        <f t="shared" si="37"/>
        <v>0</v>
      </c>
      <c r="S196" s="134" t="s">
        <v>1379</v>
      </c>
      <c r="U196" s="134">
        <f t="shared" si="38"/>
        <v>0</v>
      </c>
    </row>
    <row r="197" spans="1:21" ht="15.75" x14ac:dyDescent="0.25">
      <c r="A197" s="131" t="s">
        <v>796</v>
      </c>
      <c r="B197" s="137">
        <f t="shared" si="33"/>
        <v>0</v>
      </c>
      <c r="D197" s="134" t="s">
        <v>795</v>
      </c>
      <c r="E197">
        <v>3</v>
      </c>
      <c r="F197" s="134">
        <f t="shared" si="40"/>
        <v>0</v>
      </c>
      <c r="G197" s="134" t="s">
        <v>1379</v>
      </c>
      <c r="I197" s="134">
        <f t="shared" si="34"/>
        <v>0</v>
      </c>
      <c r="J197" s="134" t="s">
        <v>1379</v>
      </c>
      <c r="L197" s="134">
        <f t="shared" si="35"/>
        <v>0</v>
      </c>
      <c r="M197" s="134" t="s">
        <v>1379</v>
      </c>
      <c r="O197" s="134">
        <f t="shared" si="36"/>
        <v>0</v>
      </c>
      <c r="P197" s="134" t="s">
        <v>1379</v>
      </c>
      <c r="R197" s="134">
        <f t="shared" si="37"/>
        <v>0</v>
      </c>
      <c r="S197" s="134" t="s">
        <v>1379</v>
      </c>
      <c r="U197" s="134">
        <f t="shared" si="38"/>
        <v>0</v>
      </c>
    </row>
    <row r="198" spans="1:21" ht="15.75" x14ac:dyDescent="0.25">
      <c r="A198" s="131" t="s">
        <v>797</v>
      </c>
      <c r="B198" s="137">
        <f t="shared" si="33"/>
        <v>0</v>
      </c>
      <c r="D198" s="135" t="s">
        <v>795</v>
      </c>
      <c r="E198">
        <v>6</v>
      </c>
      <c r="F198" s="134">
        <f t="shared" si="40"/>
        <v>0</v>
      </c>
      <c r="G198" s="134" t="s">
        <v>1379</v>
      </c>
      <c r="I198" s="134">
        <f t="shared" si="34"/>
        <v>0</v>
      </c>
      <c r="J198" s="134" t="s">
        <v>1379</v>
      </c>
      <c r="L198" s="134">
        <f t="shared" si="35"/>
        <v>0</v>
      </c>
      <c r="M198" s="134" t="s">
        <v>1379</v>
      </c>
      <c r="O198" s="134">
        <f t="shared" si="36"/>
        <v>0</v>
      </c>
      <c r="P198" s="134" t="s">
        <v>1379</v>
      </c>
      <c r="R198" s="134">
        <f t="shared" si="37"/>
        <v>0</v>
      </c>
      <c r="S198" s="134" t="s">
        <v>1379</v>
      </c>
      <c r="U198" s="134">
        <f t="shared" si="38"/>
        <v>0</v>
      </c>
    </row>
    <row r="199" spans="1:21" ht="15.75" x14ac:dyDescent="0.25">
      <c r="A199" s="131" t="s">
        <v>798</v>
      </c>
      <c r="B199" s="137">
        <f t="shared" si="33"/>
        <v>9</v>
      </c>
      <c r="D199" s="134" t="s">
        <v>1183</v>
      </c>
      <c r="E199">
        <v>3</v>
      </c>
      <c r="F199" s="134">
        <f t="shared" si="40"/>
        <v>0</v>
      </c>
      <c r="G199" s="134" t="s">
        <v>880</v>
      </c>
      <c r="H199" s="134">
        <v>3</v>
      </c>
      <c r="I199" s="134">
        <f t="shared" si="34"/>
        <v>3</v>
      </c>
      <c r="J199" s="134" t="s">
        <v>1097</v>
      </c>
      <c r="K199" s="134">
        <v>3</v>
      </c>
      <c r="L199" s="134">
        <f t="shared" si="35"/>
        <v>0</v>
      </c>
      <c r="M199" s="134" t="s">
        <v>1379</v>
      </c>
      <c r="O199" s="134">
        <f t="shared" si="36"/>
        <v>0</v>
      </c>
      <c r="P199" s="134" t="s">
        <v>1379</v>
      </c>
      <c r="R199" s="134">
        <f t="shared" si="37"/>
        <v>0</v>
      </c>
      <c r="S199" s="134" t="s">
        <v>1379</v>
      </c>
      <c r="U199" s="134">
        <f t="shared" si="38"/>
        <v>0</v>
      </c>
    </row>
    <row r="200" spans="1:21" s="148" customFormat="1" ht="15.75" x14ac:dyDescent="0.25">
      <c r="A200" s="146" t="s">
        <v>799</v>
      </c>
      <c r="B200" s="147">
        <f t="shared" si="33"/>
        <v>0</v>
      </c>
      <c r="D200" s="148" t="s">
        <v>1379</v>
      </c>
      <c r="F200" s="148">
        <f t="shared" si="40"/>
        <v>0</v>
      </c>
      <c r="G200" s="148" t="s">
        <v>1379</v>
      </c>
      <c r="I200" s="148">
        <f t="shared" si="34"/>
        <v>0</v>
      </c>
      <c r="J200" s="148" t="s">
        <v>1379</v>
      </c>
      <c r="L200" s="148">
        <f t="shared" si="35"/>
        <v>0</v>
      </c>
      <c r="M200" s="148" t="s">
        <v>1379</v>
      </c>
      <c r="O200" s="148">
        <f t="shared" si="36"/>
        <v>0</v>
      </c>
      <c r="P200" s="148" t="s">
        <v>1379</v>
      </c>
      <c r="R200" s="148">
        <f t="shared" si="37"/>
        <v>0</v>
      </c>
      <c r="S200" s="148" t="s">
        <v>1379</v>
      </c>
      <c r="U200" s="148">
        <f t="shared" si="38"/>
        <v>0</v>
      </c>
    </row>
    <row r="201" spans="1:21" s="148" customFormat="1" ht="15.75" x14ac:dyDescent="0.25">
      <c r="A201" s="146" t="s">
        <v>800</v>
      </c>
      <c r="B201" s="147">
        <f t="shared" si="33"/>
        <v>0</v>
      </c>
      <c r="D201" s="148" t="s">
        <v>1379</v>
      </c>
      <c r="F201" s="148">
        <f t="shared" si="40"/>
        <v>0</v>
      </c>
      <c r="G201" s="148" t="s">
        <v>1379</v>
      </c>
      <c r="I201" s="148">
        <f t="shared" si="34"/>
        <v>0</v>
      </c>
      <c r="J201" s="148" t="s">
        <v>1379</v>
      </c>
      <c r="L201" s="148">
        <f t="shared" si="35"/>
        <v>0</v>
      </c>
      <c r="M201" s="148" t="s">
        <v>1379</v>
      </c>
      <c r="O201" s="148">
        <f t="shared" si="36"/>
        <v>0</v>
      </c>
      <c r="P201" s="148" t="s">
        <v>1379</v>
      </c>
      <c r="R201" s="148">
        <f t="shared" si="37"/>
        <v>0</v>
      </c>
      <c r="S201" s="148" t="s">
        <v>1379</v>
      </c>
      <c r="U201" s="148">
        <f t="shared" si="38"/>
        <v>0</v>
      </c>
    </row>
    <row r="202" spans="1:21" s="148" customFormat="1" ht="15.75" x14ac:dyDescent="0.25">
      <c r="A202" s="146" t="s">
        <v>801</v>
      </c>
      <c r="B202" s="147">
        <f t="shared" si="33"/>
        <v>0</v>
      </c>
      <c r="D202" s="148" t="s">
        <v>1379</v>
      </c>
      <c r="F202" s="148">
        <f t="shared" si="40"/>
        <v>0</v>
      </c>
      <c r="G202" s="148" t="s">
        <v>1379</v>
      </c>
      <c r="I202" s="148">
        <f t="shared" si="34"/>
        <v>0</v>
      </c>
      <c r="J202" s="148" t="s">
        <v>1379</v>
      </c>
      <c r="L202" s="148">
        <f t="shared" si="35"/>
        <v>0</v>
      </c>
      <c r="M202" s="148" t="s">
        <v>1379</v>
      </c>
      <c r="O202" s="148">
        <f t="shared" si="36"/>
        <v>0</v>
      </c>
      <c r="P202" s="148" t="s">
        <v>1379</v>
      </c>
      <c r="R202" s="148">
        <f t="shared" si="37"/>
        <v>0</v>
      </c>
      <c r="S202" s="148" t="s">
        <v>1379</v>
      </c>
      <c r="U202" s="148">
        <f t="shared" si="38"/>
        <v>0</v>
      </c>
    </row>
    <row r="203" spans="1:21" s="148" customFormat="1" ht="15.75" x14ac:dyDescent="0.25">
      <c r="A203" s="146" t="s">
        <v>802</v>
      </c>
      <c r="B203" s="147">
        <f t="shared" si="33"/>
        <v>0</v>
      </c>
      <c r="D203" s="148" t="s">
        <v>1379</v>
      </c>
      <c r="F203" s="148">
        <f t="shared" si="40"/>
        <v>0</v>
      </c>
      <c r="G203" s="148" t="s">
        <v>1379</v>
      </c>
      <c r="I203" s="148">
        <f t="shared" si="34"/>
        <v>0</v>
      </c>
      <c r="J203" s="148" t="s">
        <v>1379</v>
      </c>
      <c r="L203" s="148">
        <f t="shared" si="35"/>
        <v>0</v>
      </c>
      <c r="M203" s="148" t="s">
        <v>1379</v>
      </c>
      <c r="O203" s="148">
        <f t="shared" si="36"/>
        <v>0</v>
      </c>
      <c r="P203" s="148" t="s">
        <v>1379</v>
      </c>
      <c r="R203" s="148">
        <f t="shared" si="37"/>
        <v>0</v>
      </c>
      <c r="S203" s="148" t="s">
        <v>1379</v>
      </c>
      <c r="U203" s="148">
        <f t="shared" si="38"/>
        <v>0</v>
      </c>
    </row>
    <row r="204" spans="1:21" s="148" customFormat="1" ht="15.75" x14ac:dyDescent="0.25">
      <c r="A204" s="146" t="s">
        <v>803</v>
      </c>
      <c r="B204" s="147">
        <f t="shared" si="33"/>
        <v>0</v>
      </c>
      <c r="D204" s="148" t="s">
        <v>1379</v>
      </c>
      <c r="F204" s="148">
        <f t="shared" si="40"/>
        <v>0</v>
      </c>
      <c r="G204" s="148" t="s">
        <v>1379</v>
      </c>
      <c r="I204" s="148">
        <f t="shared" si="34"/>
        <v>0</v>
      </c>
      <c r="J204" s="148" t="s">
        <v>1379</v>
      </c>
      <c r="L204" s="148">
        <f t="shared" si="35"/>
        <v>0</v>
      </c>
      <c r="M204" s="148" t="s">
        <v>1379</v>
      </c>
      <c r="O204" s="148">
        <f t="shared" si="36"/>
        <v>0</v>
      </c>
      <c r="P204" s="148" t="s">
        <v>1379</v>
      </c>
      <c r="R204" s="148">
        <f t="shared" si="37"/>
        <v>0</v>
      </c>
      <c r="S204" s="148" t="s">
        <v>1379</v>
      </c>
      <c r="U204" s="148">
        <f t="shared" si="38"/>
        <v>0</v>
      </c>
    </row>
    <row r="205" spans="1:21" s="148" customFormat="1" ht="15.75" x14ac:dyDescent="0.25">
      <c r="A205" s="146" t="s">
        <v>804</v>
      </c>
      <c r="B205" s="147">
        <f t="shared" si="33"/>
        <v>0</v>
      </c>
      <c r="D205" s="148" t="s">
        <v>1379</v>
      </c>
      <c r="F205" s="148">
        <f t="shared" si="40"/>
        <v>0</v>
      </c>
      <c r="G205" s="148" t="s">
        <v>1379</v>
      </c>
      <c r="I205" s="148">
        <f t="shared" si="34"/>
        <v>0</v>
      </c>
      <c r="J205" s="148" t="s">
        <v>1379</v>
      </c>
      <c r="L205" s="148">
        <f t="shared" si="35"/>
        <v>0</v>
      </c>
      <c r="M205" s="148" t="s">
        <v>1379</v>
      </c>
      <c r="O205" s="148">
        <f t="shared" si="36"/>
        <v>0</v>
      </c>
      <c r="P205" s="148" t="s">
        <v>1379</v>
      </c>
      <c r="R205" s="148">
        <f t="shared" si="37"/>
        <v>0</v>
      </c>
      <c r="S205" s="148" t="s">
        <v>1379</v>
      </c>
      <c r="U205" s="148">
        <f t="shared" si="38"/>
        <v>0</v>
      </c>
    </row>
    <row r="206" spans="1:21" s="148" customFormat="1" ht="15.75" x14ac:dyDescent="0.25">
      <c r="A206" s="146" t="s">
        <v>805</v>
      </c>
      <c r="B206" s="147">
        <f t="shared" si="33"/>
        <v>0</v>
      </c>
      <c r="D206" s="148" t="s">
        <v>1379</v>
      </c>
      <c r="F206" s="148">
        <f t="shared" si="40"/>
        <v>0</v>
      </c>
      <c r="G206" s="148" t="s">
        <v>1379</v>
      </c>
      <c r="I206" s="148">
        <f t="shared" si="34"/>
        <v>0</v>
      </c>
      <c r="J206" s="148" t="s">
        <v>1379</v>
      </c>
      <c r="L206" s="148">
        <f t="shared" si="35"/>
        <v>0</v>
      </c>
      <c r="M206" s="148" t="s">
        <v>1379</v>
      </c>
      <c r="O206" s="148">
        <f t="shared" si="36"/>
        <v>0</v>
      </c>
      <c r="P206" s="148" t="s">
        <v>1379</v>
      </c>
      <c r="R206" s="148">
        <f t="shared" si="37"/>
        <v>0</v>
      </c>
      <c r="S206" s="148" t="s">
        <v>1379</v>
      </c>
      <c r="U206" s="148">
        <f t="shared" si="38"/>
        <v>0</v>
      </c>
    </row>
    <row r="207" spans="1:21" s="148" customFormat="1" ht="15.75" x14ac:dyDescent="0.25">
      <c r="A207" s="146" t="s">
        <v>806</v>
      </c>
      <c r="B207" s="147">
        <f t="shared" si="33"/>
        <v>0</v>
      </c>
      <c r="D207" s="148" t="s">
        <v>1379</v>
      </c>
      <c r="F207" s="148">
        <f t="shared" si="40"/>
        <v>0</v>
      </c>
      <c r="G207" s="148" t="s">
        <v>1379</v>
      </c>
      <c r="I207" s="148">
        <f t="shared" si="34"/>
        <v>0</v>
      </c>
      <c r="J207" s="148" t="s">
        <v>1379</v>
      </c>
      <c r="L207" s="148">
        <f t="shared" si="35"/>
        <v>0</v>
      </c>
      <c r="M207" s="148" t="s">
        <v>1379</v>
      </c>
      <c r="O207" s="148">
        <f t="shared" si="36"/>
        <v>0</v>
      </c>
      <c r="P207" s="148" t="s">
        <v>1379</v>
      </c>
      <c r="R207" s="148">
        <f t="shared" si="37"/>
        <v>0</v>
      </c>
      <c r="S207" s="148" t="s">
        <v>1379</v>
      </c>
      <c r="U207" s="148">
        <f t="shared" si="38"/>
        <v>0</v>
      </c>
    </row>
    <row r="208" spans="1:21" s="148" customFormat="1" ht="15.75" x14ac:dyDescent="0.25">
      <c r="A208" s="146" t="s">
        <v>807</v>
      </c>
      <c r="B208" s="147">
        <f t="shared" si="33"/>
        <v>0</v>
      </c>
      <c r="D208" s="148" t="s">
        <v>1379</v>
      </c>
      <c r="F208" s="148">
        <f t="shared" si="40"/>
        <v>0</v>
      </c>
      <c r="G208" s="148" t="s">
        <v>1379</v>
      </c>
      <c r="I208" s="148">
        <f t="shared" si="34"/>
        <v>0</v>
      </c>
      <c r="J208" s="148" t="s">
        <v>1379</v>
      </c>
      <c r="L208" s="148">
        <f t="shared" si="35"/>
        <v>0</v>
      </c>
      <c r="M208" s="148" t="s">
        <v>1379</v>
      </c>
      <c r="O208" s="148">
        <f t="shared" si="36"/>
        <v>0</v>
      </c>
      <c r="P208" s="148" t="s">
        <v>1379</v>
      </c>
      <c r="R208" s="148">
        <f t="shared" si="37"/>
        <v>0</v>
      </c>
      <c r="S208" s="148" t="s">
        <v>1379</v>
      </c>
      <c r="U208" s="148">
        <f t="shared" si="38"/>
        <v>0</v>
      </c>
    </row>
    <row r="209" spans="1:21" s="148" customFormat="1" ht="15.75" x14ac:dyDescent="0.25">
      <c r="A209" s="146" t="s">
        <v>808</v>
      </c>
      <c r="B209" s="147">
        <f t="shared" si="33"/>
        <v>0</v>
      </c>
      <c r="D209" s="148" t="s">
        <v>1379</v>
      </c>
      <c r="F209" s="148">
        <f t="shared" si="40"/>
        <v>0</v>
      </c>
      <c r="G209" s="148" t="s">
        <v>1379</v>
      </c>
      <c r="I209" s="148">
        <f t="shared" si="34"/>
        <v>0</v>
      </c>
      <c r="J209" s="148" t="s">
        <v>1379</v>
      </c>
      <c r="L209" s="148">
        <f t="shared" si="35"/>
        <v>0</v>
      </c>
      <c r="M209" s="148" t="s">
        <v>1379</v>
      </c>
      <c r="O209" s="148">
        <f t="shared" si="36"/>
        <v>0</v>
      </c>
      <c r="P209" s="148" t="s">
        <v>1379</v>
      </c>
      <c r="R209" s="148">
        <f t="shared" si="37"/>
        <v>0</v>
      </c>
      <c r="S209" s="148" t="s">
        <v>1379</v>
      </c>
      <c r="U209" s="148">
        <f t="shared" si="38"/>
        <v>0</v>
      </c>
    </row>
    <row r="210" spans="1:21" s="148" customFormat="1" ht="15.75" x14ac:dyDescent="0.25">
      <c r="A210" s="146" t="s">
        <v>809</v>
      </c>
      <c r="B210" s="147">
        <f t="shared" si="33"/>
        <v>0</v>
      </c>
      <c r="D210" s="148" t="s">
        <v>1379</v>
      </c>
      <c r="F210" s="148">
        <f t="shared" si="40"/>
        <v>0</v>
      </c>
      <c r="G210" s="148" t="s">
        <v>1379</v>
      </c>
      <c r="I210" s="148">
        <f t="shared" si="34"/>
        <v>0</v>
      </c>
      <c r="J210" s="148" t="s">
        <v>1379</v>
      </c>
      <c r="L210" s="148">
        <f t="shared" si="35"/>
        <v>0</v>
      </c>
      <c r="M210" s="148" t="s">
        <v>1379</v>
      </c>
      <c r="O210" s="148">
        <f t="shared" si="36"/>
        <v>0</v>
      </c>
      <c r="P210" s="148" t="s">
        <v>1379</v>
      </c>
      <c r="R210" s="148">
        <f t="shared" si="37"/>
        <v>0</v>
      </c>
      <c r="S210" s="148" t="s">
        <v>1379</v>
      </c>
      <c r="U210" s="148">
        <f t="shared" si="38"/>
        <v>0</v>
      </c>
    </row>
    <row r="211" spans="1:21" s="148" customFormat="1" ht="15.75" x14ac:dyDescent="0.25">
      <c r="A211" s="146" t="s">
        <v>810</v>
      </c>
      <c r="B211" s="147">
        <f t="shared" si="33"/>
        <v>0</v>
      </c>
      <c r="D211" s="148" t="s">
        <v>1379</v>
      </c>
      <c r="F211" s="148">
        <f t="shared" si="40"/>
        <v>0</v>
      </c>
      <c r="G211" s="148" t="s">
        <v>1379</v>
      </c>
      <c r="I211" s="148">
        <f t="shared" si="34"/>
        <v>0</v>
      </c>
      <c r="J211" s="148" t="s">
        <v>1379</v>
      </c>
      <c r="L211" s="148">
        <f t="shared" si="35"/>
        <v>0</v>
      </c>
      <c r="M211" s="148" t="s">
        <v>1379</v>
      </c>
      <c r="O211" s="148">
        <f t="shared" si="36"/>
        <v>0</v>
      </c>
      <c r="P211" s="148" t="s">
        <v>1379</v>
      </c>
      <c r="R211" s="148">
        <f t="shared" si="37"/>
        <v>0</v>
      </c>
      <c r="S211" s="148" t="s">
        <v>1379</v>
      </c>
      <c r="U211" s="148">
        <f t="shared" si="38"/>
        <v>0</v>
      </c>
    </row>
    <row r="212" spans="1:21" s="148" customFormat="1" ht="15.75" x14ac:dyDescent="0.25">
      <c r="A212" s="146" t="s">
        <v>811</v>
      </c>
      <c r="B212" s="147">
        <f t="shared" si="33"/>
        <v>0</v>
      </c>
      <c r="D212" s="148" t="s">
        <v>1379</v>
      </c>
      <c r="F212" s="148">
        <f t="shared" si="40"/>
        <v>0</v>
      </c>
      <c r="G212" s="148" t="s">
        <v>1379</v>
      </c>
      <c r="I212" s="148">
        <f t="shared" si="34"/>
        <v>0</v>
      </c>
      <c r="J212" s="148" t="s">
        <v>1379</v>
      </c>
      <c r="L212" s="148">
        <f t="shared" si="35"/>
        <v>0</v>
      </c>
      <c r="M212" s="148" t="s">
        <v>1379</v>
      </c>
      <c r="O212" s="148">
        <f t="shared" si="36"/>
        <v>0</v>
      </c>
      <c r="P212" s="148" t="s">
        <v>1379</v>
      </c>
      <c r="R212" s="148">
        <f t="shared" si="37"/>
        <v>0</v>
      </c>
      <c r="S212" s="148" t="s">
        <v>1379</v>
      </c>
      <c r="U212" s="148">
        <f t="shared" si="38"/>
        <v>0</v>
      </c>
    </row>
    <row r="213" spans="1:21" s="148" customFormat="1" ht="15.75" x14ac:dyDescent="0.25">
      <c r="A213" s="146" t="s">
        <v>812</v>
      </c>
      <c r="B213" s="147">
        <f t="shared" si="33"/>
        <v>0</v>
      </c>
      <c r="D213" s="148" t="s">
        <v>1379</v>
      </c>
      <c r="F213" s="148">
        <f t="shared" si="40"/>
        <v>0</v>
      </c>
      <c r="G213" s="148" t="s">
        <v>1379</v>
      </c>
      <c r="I213" s="148">
        <f t="shared" si="34"/>
        <v>0</v>
      </c>
      <c r="J213" s="148" t="s">
        <v>1379</v>
      </c>
      <c r="L213" s="148">
        <f t="shared" si="35"/>
        <v>0</v>
      </c>
      <c r="M213" s="148" t="s">
        <v>1379</v>
      </c>
      <c r="O213" s="148">
        <f t="shared" si="36"/>
        <v>0</v>
      </c>
      <c r="P213" s="148" t="s">
        <v>1379</v>
      </c>
      <c r="R213" s="148">
        <f t="shared" si="37"/>
        <v>0</v>
      </c>
      <c r="S213" s="148" t="s">
        <v>1379</v>
      </c>
      <c r="U213" s="148">
        <f t="shared" si="38"/>
        <v>0</v>
      </c>
    </row>
    <row r="214" spans="1:21" s="148" customFormat="1" ht="15.75" x14ac:dyDescent="0.25">
      <c r="A214" s="146" t="s">
        <v>813</v>
      </c>
      <c r="B214" s="147">
        <f t="shared" si="33"/>
        <v>0</v>
      </c>
      <c r="D214" s="148" t="s">
        <v>1379</v>
      </c>
      <c r="F214" s="148">
        <f t="shared" si="40"/>
        <v>0</v>
      </c>
      <c r="G214" s="148" t="s">
        <v>1379</v>
      </c>
      <c r="I214" s="148">
        <f t="shared" si="34"/>
        <v>0</v>
      </c>
      <c r="J214" s="148" t="s">
        <v>1379</v>
      </c>
      <c r="L214" s="148">
        <f t="shared" si="35"/>
        <v>0</v>
      </c>
      <c r="M214" s="148" t="s">
        <v>1379</v>
      </c>
      <c r="O214" s="148">
        <f t="shared" si="36"/>
        <v>0</v>
      </c>
      <c r="P214" s="148" t="s">
        <v>1379</v>
      </c>
      <c r="R214" s="148">
        <f t="shared" si="37"/>
        <v>0</v>
      </c>
      <c r="S214" s="148" t="s">
        <v>1379</v>
      </c>
      <c r="U214" s="148">
        <f t="shared" si="38"/>
        <v>0</v>
      </c>
    </row>
    <row r="215" spans="1:21" s="148" customFormat="1" ht="15.75" x14ac:dyDescent="0.25">
      <c r="A215" s="146" t="s">
        <v>814</v>
      </c>
      <c r="B215" s="147">
        <f t="shared" si="33"/>
        <v>0</v>
      </c>
      <c r="D215" s="148" t="s">
        <v>1379</v>
      </c>
      <c r="F215" s="148">
        <f t="shared" si="40"/>
        <v>0</v>
      </c>
      <c r="G215" s="148" t="s">
        <v>1379</v>
      </c>
      <c r="I215" s="148">
        <f t="shared" si="34"/>
        <v>0</v>
      </c>
      <c r="J215" s="148" t="s">
        <v>1379</v>
      </c>
      <c r="L215" s="148">
        <f t="shared" si="35"/>
        <v>0</v>
      </c>
      <c r="M215" s="148" t="s">
        <v>1379</v>
      </c>
      <c r="O215" s="148">
        <f t="shared" si="36"/>
        <v>0</v>
      </c>
      <c r="P215" s="148" t="s">
        <v>1379</v>
      </c>
      <c r="R215" s="148">
        <f t="shared" si="37"/>
        <v>0</v>
      </c>
      <c r="S215" s="148" t="s">
        <v>1379</v>
      </c>
      <c r="U215" s="148">
        <f t="shared" si="38"/>
        <v>0</v>
      </c>
    </row>
    <row r="216" spans="1:21" ht="15.75" x14ac:dyDescent="0.25">
      <c r="A216" s="131" t="s">
        <v>815</v>
      </c>
      <c r="B216" s="137">
        <f t="shared" si="33"/>
        <v>24</v>
      </c>
      <c r="D216" s="134" t="s">
        <v>962</v>
      </c>
      <c r="E216">
        <v>6</v>
      </c>
      <c r="F216" s="134">
        <f t="shared" si="40"/>
        <v>4</v>
      </c>
      <c r="G216" s="134" t="s">
        <v>1217</v>
      </c>
      <c r="H216" s="134">
        <v>1</v>
      </c>
      <c r="I216" s="134">
        <f t="shared" si="34"/>
        <v>0</v>
      </c>
      <c r="J216" s="134" t="s">
        <v>1292</v>
      </c>
      <c r="K216" s="134">
        <v>1</v>
      </c>
      <c r="L216" s="134">
        <f t="shared" si="35"/>
        <v>0</v>
      </c>
      <c r="M216" s="134" t="s">
        <v>1379</v>
      </c>
      <c r="O216" s="134">
        <f t="shared" si="36"/>
        <v>0</v>
      </c>
      <c r="P216" s="134" t="s">
        <v>1379</v>
      </c>
      <c r="R216" s="134">
        <f t="shared" si="37"/>
        <v>0</v>
      </c>
      <c r="S216" s="134" t="s">
        <v>1379</v>
      </c>
      <c r="U216" s="134">
        <f t="shared" si="38"/>
        <v>0</v>
      </c>
    </row>
    <row r="217" spans="1:21" s="145" customFormat="1" ht="15.75" x14ac:dyDescent="0.25">
      <c r="A217" s="143" t="s">
        <v>816</v>
      </c>
      <c r="B217" s="144">
        <f>'ECONOMIA &amp; PROFESIONES'!B20</f>
        <v>16</v>
      </c>
      <c r="D217" s="145" t="s">
        <v>1379</v>
      </c>
      <c r="F217" s="145">
        <f t="shared" si="40"/>
        <v>0</v>
      </c>
      <c r="G217" s="145" t="s">
        <v>1379</v>
      </c>
      <c r="I217" s="145">
        <f t="shared" si="34"/>
        <v>0</v>
      </c>
      <c r="J217" s="145" t="s">
        <v>1379</v>
      </c>
      <c r="L217" s="145">
        <f t="shared" si="35"/>
        <v>0</v>
      </c>
      <c r="M217" s="145" t="s">
        <v>1379</v>
      </c>
      <c r="O217" s="145">
        <f t="shared" si="36"/>
        <v>0</v>
      </c>
      <c r="P217" s="145" t="s">
        <v>1379</v>
      </c>
      <c r="R217" s="145">
        <f t="shared" si="37"/>
        <v>0</v>
      </c>
      <c r="S217" s="145" t="s">
        <v>1379</v>
      </c>
      <c r="U217" s="145">
        <f t="shared" si="38"/>
        <v>0</v>
      </c>
    </row>
    <row r="218" spans="1:21" ht="15.75" x14ac:dyDescent="0.25">
      <c r="A218" s="131" t="s">
        <v>817</v>
      </c>
      <c r="B218" s="137">
        <f t="shared" si="33"/>
        <v>96</v>
      </c>
      <c r="D218" s="134" t="s">
        <v>816</v>
      </c>
      <c r="E218">
        <v>6</v>
      </c>
      <c r="F218" s="134">
        <f t="shared" si="40"/>
        <v>16</v>
      </c>
      <c r="G218" s="134" t="s">
        <v>1281</v>
      </c>
      <c r="H218" s="134">
        <v>2</v>
      </c>
      <c r="I218" s="134">
        <f t="shared" si="34"/>
        <v>0</v>
      </c>
      <c r="J218" s="134" t="s">
        <v>1379</v>
      </c>
      <c r="L218" s="134">
        <f t="shared" si="35"/>
        <v>0</v>
      </c>
      <c r="M218" s="134" t="s">
        <v>1379</v>
      </c>
      <c r="O218" s="134">
        <f t="shared" si="36"/>
        <v>0</v>
      </c>
      <c r="P218" s="134" t="s">
        <v>1379</v>
      </c>
      <c r="R218" s="134">
        <f t="shared" si="37"/>
        <v>0</v>
      </c>
      <c r="S218" s="134" t="s">
        <v>1379</v>
      </c>
      <c r="U218" s="134">
        <f t="shared" si="38"/>
        <v>0</v>
      </c>
    </row>
    <row r="219" spans="1:21" ht="15.75" x14ac:dyDescent="0.25">
      <c r="A219" s="131" t="s">
        <v>818</v>
      </c>
      <c r="B219" s="137">
        <f t="shared" si="33"/>
        <v>144</v>
      </c>
      <c r="D219" s="134" t="s">
        <v>816</v>
      </c>
      <c r="E219">
        <v>9</v>
      </c>
      <c r="F219" s="134">
        <f t="shared" si="40"/>
        <v>16</v>
      </c>
      <c r="G219" s="134" t="s">
        <v>1379</v>
      </c>
      <c r="I219" s="134">
        <f t="shared" si="34"/>
        <v>0</v>
      </c>
      <c r="J219" s="134" t="s">
        <v>1379</v>
      </c>
      <c r="L219" s="134">
        <f t="shared" si="35"/>
        <v>0</v>
      </c>
      <c r="M219" s="134" t="s">
        <v>1379</v>
      </c>
      <c r="O219" s="134">
        <f t="shared" si="36"/>
        <v>0</v>
      </c>
      <c r="P219" s="134" t="s">
        <v>1379</v>
      </c>
      <c r="R219" s="134">
        <f t="shared" si="37"/>
        <v>0</v>
      </c>
      <c r="S219" s="134" t="s">
        <v>1379</v>
      </c>
      <c r="U219" s="134">
        <f t="shared" si="38"/>
        <v>0</v>
      </c>
    </row>
    <row r="220" spans="1:21" ht="15.75" x14ac:dyDescent="0.25">
      <c r="A220" s="131" t="s">
        <v>819</v>
      </c>
      <c r="B220" s="137">
        <f t="shared" si="33"/>
        <v>64</v>
      </c>
      <c r="D220" s="134" t="s">
        <v>816</v>
      </c>
      <c r="E220">
        <v>4</v>
      </c>
      <c r="F220" s="134">
        <f t="shared" si="40"/>
        <v>16</v>
      </c>
      <c r="G220" s="134" t="s">
        <v>1379</v>
      </c>
      <c r="I220" s="134">
        <f t="shared" si="34"/>
        <v>0</v>
      </c>
      <c r="J220" s="134" t="s">
        <v>1379</v>
      </c>
      <c r="L220" s="134">
        <f t="shared" si="35"/>
        <v>0</v>
      </c>
      <c r="M220" s="134" t="s">
        <v>1379</v>
      </c>
      <c r="O220" s="134">
        <f t="shared" si="36"/>
        <v>0</v>
      </c>
      <c r="P220" s="134" t="s">
        <v>1379</v>
      </c>
      <c r="R220" s="134">
        <f t="shared" si="37"/>
        <v>0</v>
      </c>
      <c r="S220" s="134" t="s">
        <v>1379</v>
      </c>
      <c r="U220" s="134">
        <f t="shared" si="38"/>
        <v>0</v>
      </c>
    </row>
    <row r="221" spans="1:21" ht="15.75" x14ac:dyDescent="0.25">
      <c r="A221" s="131" t="s">
        <v>820</v>
      </c>
      <c r="B221" s="137">
        <f t="shared" si="33"/>
        <v>128</v>
      </c>
      <c r="D221" s="134" t="s">
        <v>816</v>
      </c>
      <c r="E221">
        <v>8</v>
      </c>
      <c r="F221" s="134">
        <f t="shared" si="40"/>
        <v>16</v>
      </c>
      <c r="G221" s="134" t="s">
        <v>1379</v>
      </c>
      <c r="I221" s="134">
        <f t="shared" si="34"/>
        <v>0</v>
      </c>
      <c r="J221" s="134" t="s">
        <v>1379</v>
      </c>
      <c r="L221" s="134">
        <f t="shared" si="35"/>
        <v>0</v>
      </c>
      <c r="M221" s="134" t="s">
        <v>1379</v>
      </c>
      <c r="O221" s="134">
        <f t="shared" si="36"/>
        <v>0</v>
      </c>
      <c r="P221" s="134" t="s">
        <v>1379</v>
      </c>
      <c r="R221" s="134">
        <f t="shared" si="37"/>
        <v>0</v>
      </c>
      <c r="S221" s="134" t="s">
        <v>1379</v>
      </c>
      <c r="U221" s="134">
        <f t="shared" si="38"/>
        <v>0</v>
      </c>
    </row>
    <row r="222" spans="1:21" ht="15.75" x14ac:dyDescent="0.25">
      <c r="A222" s="131" t="s">
        <v>821</v>
      </c>
      <c r="B222" s="137">
        <f t="shared" si="33"/>
        <v>80</v>
      </c>
      <c r="D222" s="134" t="s">
        <v>816</v>
      </c>
      <c r="E222">
        <v>5</v>
      </c>
      <c r="F222" s="134">
        <f t="shared" si="40"/>
        <v>16</v>
      </c>
      <c r="G222" s="134" t="s">
        <v>1379</v>
      </c>
      <c r="I222" s="134">
        <f t="shared" si="34"/>
        <v>0</v>
      </c>
      <c r="J222" s="134" t="s">
        <v>1379</v>
      </c>
      <c r="L222" s="134">
        <f t="shared" si="35"/>
        <v>0</v>
      </c>
      <c r="M222" s="134" t="s">
        <v>1379</v>
      </c>
      <c r="O222" s="134">
        <f t="shared" si="36"/>
        <v>0</v>
      </c>
      <c r="P222" s="134" t="s">
        <v>1379</v>
      </c>
      <c r="R222" s="134">
        <f t="shared" si="37"/>
        <v>0</v>
      </c>
      <c r="S222" s="134" t="s">
        <v>1379</v>
      </c>
      <c r="U222" s="134">
        <f t="shared" si="38"/>
        <v>0</v>
      </c>
    </row>
    <row r="223" spans="1:21" ht="15.75" x14ac:dyDescent="0.25">
      <c r="A223" s="131" t="s">
        <v>822</v>
      </c>
      <c r="B223" s="137">
        <f t="shared" si="33"/>
        <v>32</v>
      </c>
      <c r="D223" s="134" t="s">
        <v>816</v>
      </c>
      <c r="E223">
        <v>2</v>
      </c>
      <c r="F223" s="134">
        <f t="shared" si="40"/>
        <v>16</v>
      </c>
      <c r="G223" s="134" t="s">
        <v>1281</v>
      </c>
      <c r="H223" s="134">
        <v>2</v>
      </c>
      <c r="I223" s="134">
        <f t="shared" si="34"/>
        <v>0</v>
      </c>
      <c r="J223" s="134" t="s">
        <v>1379</v>
      </c>
      <c r="L223" s="134">
        <f t="shared" si="35"/>
        <v>0</v>
      </c>
      <c r="M223" s="134" t="s">
        <v>1379</v>
      </c>
      <c r="O223" s="134">
        <f t="shared" si="36"/>
        <v>0</v>
      </c>
      <c r="P223" s="134" t="s">
        <v>1379</v>
      </c>
      <c r="R223" s="134">
        <f t="shared" si="37"/>
        <v>0</v>
      </c>
      <c r="S223" s="134" t="s">
        <v>1379</v>
      </c>
      <c r="U223" s="134">
        <f t="shared" si="38"/>
        <v>0</v>
      </c>
    </row>
    <row r="224" spans="1:21" s="148" customFormat="1" ht="15.75" x14ac:dyDescent="0.25">
      <c r="A224" s="146" t="s">
        <v>823</v>
      </c>
      <c r="B224" s="147">
        <f t="shared" si="33"/>
        <v>0</v>
      </c>
      <c r="D224" s="148" t="s">
        <v>1379</v>
      </c>
      <c r="F224" s="148">
        <f t="shared" si="40"/>
        <v>0</v>
      </c>
      <c r="G224" s="148" t="s">
        <v>1379</v>
      </c>
      <c r="I224" s="148">
        <f t="shared" si="34"/>
        <v>0</v>
      </c>
      <c r="J224" s="148" t="s">
        <v>1379</v>
      </c>
      <c r="L224" s="148">
        <f t="shared" si="35"/>
        <v>0</v>
      </c>
      <c r="M224" s="148" t="s">
        <v>1379</v>
      </c>
      <c r="O224" s="148">
        <f t="shared" si="36"/>
        <v>0</v>
      </c>
      <c r="P224" s="148" t="s">
        <v>1379</v>
      </c>
      <c r="R224" s="148">
        <f t="shared" si="37"/>
        <v>0</v>
      </c>
      <c r="S224" s="148" t="s">
        <v>1379</v>
      </c>
      <c r="U224" s="148">
        <f t="shared" si="38"/>
        <v>0</v>
      </c>
    </row>
    <row r="225" spans="1:21" ht="15.75" x14ac:dyDescent="0.25">
      <c r="A225" s="131" t="s">
        <v>824</v>
      </c>
      <c r="B225" s="137">
        <f t="shared" si="33"/>
        <v>112</v>
      </c>
      <c r="D225" s="134" t="s">
        <v>816</v>
      </c>
      <c r="E225">
        <v>7</v>
      </c>
      <c r="F225" s="134">
        <f t="shared" si="40"/>
        <v>16</v>
      </c>
      <c r="G225" s="134" t="s">
        <v>1379</v>
      </c>
      <c r="I225" s="134">
        <f t="shared" si="34"/>
        <v>0</v>
      </c>
      <c r="J225" s="134" t="s">
        <v>1379</v>
      </c>
      <c r="L225" s="134">
        <f t="shared" si="35"/>
        <v>0</v>
      </c>
      <c r="M225" s="134" t="s">
        <v>1379</v>
      </c>
      <c r="O225" s="134">
        <f t="shared" si="36"/>
        <v>0</v>
      </c>
      <c r="P225" s="134" t="s">
        <v>1379</v>
      </c>
      <c r="R225" s="134">
        <f t="shared" si="37"/>
        <v>0</v>
      </c>
      <c r="S225" s="134" t="s">
        <v>1379</v>
      </c>
      <c r="U225" s="134">
        <f t="shared" si="38"/>
        <v>0</v>
      </c>
    </row>
    <row r="226" spans="1:21" s="145" customFormat="1" ht="15.75" x14ac:dyDescent="0.25">
      <c r="A226" s="143" t="s">
        <v>825</v>
      </c>
      <c r="B226" s="144">
        <f>'ECONOMIA &amp; PROFESIONES'!B20</f>
        <v>16</v>
      </c>
      <c r="D226" s="145" t="s">
        <v>1379</v>
      </c>
      <c r="F226" s="145">
        <f t="shared" si="40"/>
        <v>0</v>
      </c>
      <c r="G226" s="145" t="s">
        <v>1379</v>
      </c>
      <c r="I226" s="145">
        <f t="shared" si="34"/>
        <v>0</v>
      </c>
      <c r="J226" s="145" t="s">
        <v>1379</v>
      </c>
      <c r="L226" s="145">
        <f t="shared" si="35"/>
        <v>0</v>
      </c>
      <c r="M226" s="145" t="s">
        <v>1379</v>
      </c>
      <c r="O226" s="145">
        <f t="shared" si="36"/>
        <v>0</v>
      </c>
      <c r="P226" s="145" t="s">
        <v>1379</v>
      </c>
      <c r="R226" s="145">
        <f t="shared" si="37"/>
        <v>0</v>
      </c>
      <c r="S226" s="145" t="s">
        <v>1379</v>
      </c>
      <c r="U226" s="145">
        <f t="shared" si="38"/>
        <v>0</v>
      </c>
    </row>
    <row r="227" spans="1:21" ht="15.75" x14ac:dyDescent="0.25">
      <c r="A227" s="131" t="s">
        <v>826</v>
      </c>
      <c r="B227" s="137">
        <f t="shared" si="33"/>
        <v>48</v>
      </c>
      <c r="D227" s="134" t="s">
        <v>816</v>
      </c>
      <c r="E227">
        <v>3</v>
      </c>
      <c r="F227" s="134">
        <f t="shared" si="40"/>
        <v>16</v>
      </c>
      <c r="G227" s="134" t="s">
        <v>1281</v>
      </c>
      <c r="H227" s="134">
        <v>2</v>
      </c>
      <c r="I227" s="134">
        <f t="shared" si="34"/>
        <v>0</v>
      </c>
      <c r="J227" s="134" t="s">
        <v>1379</v>
      </c>
      <c r="L227" s="134">
        <f t="shared" si="35"/>
        <v>0</v>
      </c>
      <c r="M227" s="134" t="s">
        <v>1379</v>
      </c>
      <c r="O227" s="134">
        <f t="shared" si="36"/>
        <v>0</v>
      </c>
      <c r="P227" s="134" t="s">
        <v>1379</v>
      </c>
      <c r="R227" s="134">
        <f t="shared" si="37"/>
        <v>0</v>
      </c>
      <c r="S227" s="134" t="s">
        <v>1379</v>
      </c>
      <c r="U227" s="134">
        <f t="shared" si="38"/>
        <v>0</v>
      </c>
    </row>
    <row r="228" spans="1:21" ht="15.75" x14ac:dyDescent="0.25">
      <c r="A228" s="131" t="s">
        <v>827</v>
      </c>
      <c r="B228" s="137">
        <f t="shared" si="33"/>
        <v>16</v>
      </c>
      <c r="D228" s="134" t="s">
        <v>816</v>
      </c>
      <c r="E228">
        <v>1</v>
      </c>
      <c r="F228" s="134">
        <f t="shared" si="40"/>
        <v>16</v>
      </c>
      <c r="G228" s="134" t="s">
        <v>1281</v>
      </c>
      <c r="H228" s="134">
        <v>2</v>
      </c>
      <c r="I228" s="134">
        <f t="shared" si="34"/>
        <v>0</v>
      </c>
      <c r="J228" s="134" t="s">
        <v>1379</v>
      </c>
      <c r="L228" s="134">
        <f t="shared" si="35"/>
        <v>0</v>
      </c>
      <c r="M228" s="134" t="s">
        <v>1379</v>
      </c>
      <c r="O228" s="134">
        <f t="shared" si="36"/>
        <v>0</v>
      </c>
      <c r="P228" s="134" t="s">
        <v>1379</v>
      </c>
      <c r="R228" s="134">
        <f t="shared" si="37"/>
        <v>0</v>
      </c>
      <c r="S228" s="134" t="s">
        <v>1379</v>
      </c>
      <c r="U228" s="134">
        <f t="shared" si="38"/>
        <v>0</v>
      </c>
    </row>
    <row r="229" spans="1:21" ht="15.75" x14ac:dyDescent="0.25">
      <c r="A229" s="131" t="s">
        <v>828</v>
      </c>
      <c r="B229" s="137">
        <f t="shared" si="33"/>
        <v>32</v>
      </c>
      <c r="D229" s="134" t="s">
        <v>816</v>
      </c>
      <c r="E229">
        <v>2</v>
      </c>
      <c r="F229" s="134">
        <f t="shared" si="40"/>
        <v>16</v>
      </c>
      <c r="G229" s="134" t="s">
        <v>1281</v>
      </c>
      <c r="H229" s="134">
        <v>1</v>
      </c>
      <c r="I229" s="134">
        <f t="shared" si="34"/>
        <v>0</v>
      </c>
      <c r="J229" s="134" t="s">
        <v>1379</v>
      </c>
      <c r="L229" s="134">
        <f t="shared" si="35"/>
        <v>0</v>
      </c>
      <c r="M229" s="134" t="s">
        <v>1379</v>
      </c>
      <c r="O229" s="134">
        <f t="shared" si="36"/>
        <v>0</v>
      </c>
      <c r="P229" s="134" t="s">
        <v>1379</v>
      </c>
      <c r="R229" s="134">
        <f t="shared" si="37"/>
        <v>0</v>
      </c>
      <c r="S229" s="134" t="s">
        <v>1379</v>
      </c>
      <c r="U229" s="134">
        <f t="shared" si="38"/>
        <v>0</v>
      </c>
    </row>
    <row r="230" spans="1:21" s="145" customFormat="1" ht="15.75" x14ac:dyDescent="0.25">
      <c r="A230" s="143" t="s">
        <v>829</v>
      </c>
      <c r="B230" s="144">
        <f>'ECONOMIA &amp; PROFESIONES'!B49</f>
        <v>1.8</v>
      </c>
      <c r="D230" s="145" t="s">
        <v>1379</v>
      </c>
      <c r="F230" s="145">
        <f t="shared" si="40"/>
        <v>0</v>
      </c>
      <c r="G230" s="145" t="s">
        <v>1379</v>
      </c>
      <c r="I230" s="145">
        <f t="shared" si="34"/>
        <v>0</v>
      </c>
      <c r="J230" s="145" t="s">
        <v>1379</v>
      </c>
      <c r="L230" s="145">
        <f t="shared" si="35"/>
        <v>0</v>
      </c>
      <c r="M230" s="145" t="s">
        <v>1379</v>
      </c>
      <c r="O230" s="145">
        <f t="shared" si="36"/>
        <v>0</v>
      </c>
      <c r="P230" s="145" t="s">
        <v>1379</v>
      </c>
      <c r="R230" s="145">
        <f t="shared" si="37"/>
        <v>0</v>
      </c>
      <c r="S230" s="145" t="s">
        <v>1379</v>
      </c>
      <c r="U230" s="145">
        <f t="shared" si="38"/>
        <v>0</v>
      </c>
    </row>
    <row r="231" spans="1:21" ht="15.75" x14ac:dyDescent="0.25">
      <c r="A231" s="131" t="s">
        <v>830</v>
      </c>
      <c r="B231" s="137">
        <f t="shared" si="33"/>
        <v>5.4</v>
      </c>
      <c r="D231" s="134" t="s">
        <v>829</v>
      </c>
      <c r="E231">
        <v>3</v>
      </c>
      <c r="F231" s="134">
        <f t="shared" si="40"/>
        <v>1.8</v>
      </c>
      <c r="G231" s="134" t="s">
        <v>1379</v>
      </c>
      <c r="I231" s="134">
        <f t="shared" si="34"/>
        <v>0</v>
      </c>
      <c r="J231" s="134" t="s">
        <v>1379</v>
      </c>
      <c r="L231" s="134">
        <f t="shared" si="35"/>
        <v>0</v>
      </c>
      <c r="M231" s="134" t="s">
        <v>1379</v>
      </c>
      <c r="O231" s="134">
        <f t="shared" si="36"/>
        <v>0</v>
      </c>
      <c r="P231" s="134" t="s">
        <v>1379</v>
      </c>
      <c r="R231" s="134">
        <f t="shared" si="37"/>
        <v>0</v>
      </c>
      <c r="S231" s="134" t="s">
        <v>1379</v>
      </c>
      <c r="U231" s="134">
        <f t="shared" si="38"/>
        <v>0</v>
      </c>
    </row>
    <row r="232" spans="1:21" ht="15.75" x14ac:dyDescent="0.25">
      <c r="A232" s="131" t="s">
        <v>831</v>
      </c>
      <c r="B232" s="137">
        <f t="shared" si="33"/>
        <v>10.8</v>
      </c>
      <c r="D232" s="135" t="s">
        <v>829</v>
      </c>
      <c r="E232">
        <v>6</v>
      </c>
      <c r="F232" s="134">
        <f t="shared" si="40"/>
        <v>1.8</v>
      </c>
      <c r="G232" s="134" t="s">
        <v>1379</v>
      </c>
      <c r="I232" s="134">
        <f t="shared" si="34"/>
        <v>0</v>
      </c>
      <c r="J232" s="134" t="s">
        <v>1379</v>
      </c>
      <c r="L232" s="134">
        <f t="shared" si="35"/>
        <v>0</v>
      </c>
      <c r="M232" s="134" t="s">
        <v>1379</v>
      </c>
      <c r="O232" s="134">
        <f t="shared" si="36"/>
        <v>0</v>
      </c>
      <c r="P232" s="134" t="s">
        <v>1379</v>
      </c>
      <c r="R232" s="134">
        <f t="shared" si="37"/>
        <v>0</v>
      </c>
      <c r="S232" s="134" t="s">
        <v>1379</v>
      </c>
      <c r="U232" s="134">
        <f t="shared" si="38"/>
        <v>0</v>
      </c>
    </row>
    <row r="233" spans="1:21" ht="15.75" x14ac:dyDescent="0.25">
      <c r="A233" s="131" t="s">
        <v>832</v>
      </c>
      <c r="B233" s="137">
        <f t="shared" si="33"/>
        <v>10.8</v>
      </c>
      <c r="D233" s="135" t="s">
        <v>829</v>
      </c>
      <c r="E233">
        <v>6</v>
      </c>
      <c r="F233" s="134">
        <f t="shared" si="40"/>
        <v>1.8</v>
      </c>
      <c r="G233" s="134" t="s">
        <v>1379</v>
      </c>
      <c r="I233" s="134">
        <f t="shared" si="34"/>
        <v>0</v>
      </c>
      <c r="J233" s="134" t="s">
        <v>1379</v>
      </c>
      <c r="L233" s="134">
        <f t="shared" si="35"/>
        <v>0</v>
      </c>
      <c r="M233" s="134" t="s">
        <v>1379</v>
      </c>
      <c r="O233" s="134">
        <f t="shared" si="36"/>
        <v>0</v>
      </c>
      <c r="P233" s="134" t="s">
        <v>1379</v>
      </c>
      <c r="R233" s="134">
        <f t="shared" si="37"/>
        <v>0</v>
      </c>
      <c r="S233" s="134" t="s">
        <v>1379</v>
      </c>
      <c r="U233" s="134">
        <f t="shared" si="38"/>
        <v>0</v>
      </c>
    </row>
    <row r="234" spans="1:21" s="145" customFormat="1" ht="15.75" x14ac:dyDescent="0.25">
      <c r="A234" s="143" t="s">
        <v>833</v>
      </c>
      <c r="B234" s="144">
        <f>'ECONOMIA &amp; PROFESIONES'!B51</f>
        <v>0.5</v>
      </c>
      <c r="D234" s="145" t="s">
        <v>1379</v>
      </c>
      <c r="F234" s="145">
        <f t="shared" si="40"/>
        <v>0</v>
      </c>
      <c r="G234" s="145" t="s">
        <v>1379</v>
      </c>
      <c r="I234" s="145">
        <f t="shared" si="34"/>
        <v>0</v>
      </c>
      <c r="J234" s="145" t="s">
        <v>1379</v>
      </c>
      <c r="L234" s="145">
        <f t="shared" si="35"/>
        <v>0</v>
      </c>
      <c r="M234" s="145" t="s">
        <v>1379</v>
      </c>
      <c r="O234" s="145">
        <f t="shared" si="36"/>
        <v>0</v>
      </c>
      <c r="P234" s="145" t="s">
        <v>1379</v>
      </c>
      <c r="R234" s="145">
        <f t="shared" si="37"/>
        <v>0</v>
      </c>
      <c r="S234" s="145" t="s">
        <v>1379</v>
      </c>
      <c r="U234" s="145">
        <f t="shared" si="38"/>
        <v>0</v>
      </c>
    </row>
    <row r="235" spans="1:21" ht="15.75" x14ac:dyDescent="0.25">
      <c r="A235" s="131" t="s">
        <v>834</v>
      </c>
      <c r="B235" s="137">
        <f t="shared" si="33"/>
        <v>7</v>
      </c>
      <c r="D235" s="134" t="s">
        <v>1217</v>
      </c>
      <c r="E235">
        <v>1</v>
      </c>
      <c r="F235" s="134">
        <f t="shared" si="40"/>
        <v>0</v>
      </c>
      <c r="G235" s="134" t="s">
        <v>742</v>
      </c>
      <c r="H235" s="134">
        <v>7</v>
      </c>
      <c r="I235" s="134">
        <f t="shared" si="34"/>
        <v>1</v>
      </c>
      <c r="J235" s="134" t="s">
        <v>683</v>
      </c>
      <c r="K235" s="134">
        <v>1</v>
      </c>
      <c r="L235" s="134">
        <f t="shared" si="35"/>
        <v>0</v>
      </c>
      <c r="M235" s="134" t="s">
        <v>1379</v>
      </c>
      <c r="O235" s="134">
        <f t="shared" si="36"/>
        <v>0</v>
      </c>
      <c r="P235" s="134" t="s">
        <v>1379</v>
      </c>
      <c r="R235" s="134">
        <f t="shared" si="37"/>
        <v>0</v>
      </c>
      <c r="S235" s="134" t="s">
        <v>1379</v>
      </c>
      <c r="U235" s="134">
        <f t="shared" si="38"/>
        <v>0</v>
      </c>
    </row>
    <row r="236" spans="1:21" ht="15.75" x14ac:dyDescent="0.25">
      <c r="A236" s="131" t="s">
        <v>835</v>
      </c>
      <c r="B236" s="137">
        <f t="shared" si="33"/>
        <v>25.5</v>
      </c>
      <c r="D236" s="134" t="s">
        <v>881</v>
      </c>
      <c r="E236">
        <v>1</v>
      </c>
      <c r="F236" s="134">
        <f t="shared" si="40"/>
        <v>9</v>
      </c>
      <c r="G236" s="134" t="s">
        <v>1379</v>
      </c>
      <c r="H236" s="134">
        <v>1</v>
      </c>
      <c r="I236" s="134">
        <f>'ECONOMIA &amp; PROFESIONES'!G57</f>
        <v>16.5</v>
      </c>
      <c r="J236" s="134" t="s">
        <v>1379</v>
      </c>
      <c r="L236" s="134">
        <f t="shared" si="35"/>
        <v>0</v>
      </c>
      <c r="M236" s="134" t="s">
        <v>1379</v>
      </c>
      <c r="O236" s="134">
        <f t="shared" si="36"/>
        <v>0</v>
      </c>
      <c r="P236" s="134" t="s">
        <v>1379</v>
      </c>
      <c r="R236" s="134">
        <f t="shared" si="37"/>
        <v>0</v>
      </c>
      <c r="S236" s="134" t="s">
        <v>1379</v>
      </c>
      <c r="U236" s="134">
        <f t="shared" si="38"/>
        <v>0</v>
      </c>
    </row>
    <row r="237" spans="1:21" s="145" customFormat="1" ht="15.75" x14ac:dyDescent="0.25">
      <c r="A237" s="143" t="s">
        <v>836</v>
      </c>
      <c r="B237" s="144">
        <f>'ECONOMIA &amp; PROFESIONES'!G57</f>
        <v>16.5</v>
      </c>
      <c r="D237" s="145" t="s">
        <v>1379</v>
      </c>
      <c r="F237" s="145">
        <f t="shared" si="40"/>
        <v>0</v>
      </c>
      <c r="G237" s="145" t="s">
        <v>1379</v>
      </c>
      <c r="I237" s="145">
        <f t="shared" si="34"/>
        <v>0</v>
      </c>
      <c r="J237" s="145" t="s">
        <v>1379</v>
      </c>
      <c r="L237" s="145">
        <f t="shared" si="35"/>
        <v>0</v>
      </c>
      <c r="M237" s="145" t="s">
        <v>1379</v>
      </c>
      <c r="O237" s="145">
        <f t="shared" si="36"/>
        <v>0</v>
      </c>
      <c r="P237" s="145" t="s">
        <v>1379</v>
      </c>
      <c r="R237" s="145">
        <f t="shared" si="37"/>
        <v>0</v>
      </c>
      <c r="S237" s="145" t="s">
        <v>1379</v>
      </c>
      <c r="U237" s="145">
        <f t="shared" si="38"/>
        <v>0</v>
      </c>
    </row>
    <row r="238" spans="1:21" s="145" customFormat="1" ht="15.75" x14ac:dyDescent="0.25">
      <c r="A238" s="143" t="s">
        <v>837</v>
      </c>
      <c r="B238" s="144">
        <f>'ECONOMIA &amp; PROFESIONES'!G57</f>
        <v>16.5</v>
      </c>
      <c r="D238" s="145" t="s">
        <v>1379</v>
      </c>
      <c r="F238" s="145">
        <f t="shared" si="40"/>
        <v>0</v>
      </c>
      <c r="G238" s="145" t="s">
        <v>1379</v>
      </c>
      <c r="I238" s="145">
        <f t="shared" si="34"/>
        <v>0</v>
      </c>
      <c r="J238" s="145" t="s">
        <v>1379</v>
      </c>
      <c r="L238" s="145">
        <f t="shared" si="35"/>
        <v>0</v>
      </c>
      <c r="M238" s="145" t="s">
        <v>1379</v>
      </c>
      <c r="O238" s="145">
        <f t="shared" si="36"/>
        <v>0</v>
      </c>
      <c r="P238" s="145" t="s">
        <v>1379</v>
      </c>
      <c r="R238" s="145">
        <f t="shared" si="37"/>
        <v>0</v>
      </c>
      <c r="S238" s="145" t="s">
        <v>1379</v>
      </c>
      <c r="U238" s="145">
        <f t="shared" si="38"/>
        <v>0</v>
      </c>
    </row>
    <row r="239" spans="1:21" ht="15.75" x14ac:dyDescent="0.25">
      <c r="A239" s="131" t="s">
        <v>838</v>
      </c>
      <c r="B239" s="137">
        <f t="shared" si="33"/>
        <v>3</v>
      </c>
      <c r="D239" s="134" t="s">
        <v>986</v>
      </c>
      <c r="E239">
        <v>1</v>
      </c>
      <c r="F239" s="134">
        <f t="shared" si="40"/>
        <v>0</v>
      </c>
      <c r="G239" s="134" t="s">
        <v>738</v>
      </c>
      <c r="H239" s="134">
        <v>1</v>
      </c>
      <c r="I239" s="134">
        <f t="shared" si="34"/>
        <v>3</v>
      </c>
      <c r="J239" s="134" t="s">
        <v>1379</v>
      </c>
      <c r="L239" s="134">
        <f t="shared" si="35"/>
        <v>0</v>
      </c>
      <c r="M239" s="134" t="s">
        <v>1379</v>
      </c>
      <c r="O239" s="134">
        <f t="shared" si="36"/>
        <v>0</v>
      </c>
      <c r="P239" s="134" t="s">
        <v>1379</v>
      </c>
      <c r="R239" s="134">
        <f t="shared" si="37"/>
        <v>0</v>
      </c>
      <c r="S239" s="134" t="s">
        <v>1379</v>
      </c>
      <c r="U239" s="134">
        <f t="shared" si="38"/>
        <v>0</v>
      </c>
    </row>
    <row r="240" spans="1:21" ht="15.75" x14ac:dyDescent="0.25">
      <c r="A240" s="131" t="s">
        <v>839</v>
      </c>
      <c r="B240" s="137">
        <f t="shared" si="33"/>
        <v>27</v>
      </c>
      <c r="D240" s="134" t="s">
        <v>838</v>
      </c>
      <c r="E240">
        <v>9</v>
      </c>
      <c r="F240" s="134">
        <f t="shared" si="40"/>
        <v>3</v>
      </c>
      <c r="G240" s="134" t="s">
        <v>1379</v>
      </c>
      <c r="I240" s="134">
        <f t="shared" si="34"/>
        <v>0</v>
      </c>
      <c r="J240" s="134" t="s">
        <v>1379</v>
      </c>
      <c r="L240" s="134">
        <f t="shared" si="35"/>
        <v>0</v>
      </c>
      <c r="M240" s="134" t="s">
        <v>1379</v>
      </c>
      <c r="O240" s="134">
        <f t="shared" si="36"/>
        <v>0</v>
      </c>
      <c r="P240" s="134" t="s">
        <v>1379</v>
      </c>
      <c r="R240" s="134">
        <f t="shared" si="37"/>
        <v>0</v>
      </c>
      <c r="S240" s="134" t="s">
        <v>1379</v>
      </c>
      <c r="U240" s="134">
        <f t="shared" si="38"/>
        <v>0</v>
      </c>
    </row>
    <row r="241" spans="1:21" ht="15.75" x14ac:dyDescent="0.25">
      <c r="A241" s="131" t="s">
        <v>840</v>
      </c>
      <c r="B241" s="137">
        <f t="shared" si="33"/>
        <v>7</v>
      </c>
      <c r="D241" s="134" t="s">
        <v>1217</v>
      </c>
      <c r="E241">
        <v>1</v>
      </c>
      <c r="F241" s="134">
        <f t="shared" si="40"/>
        <v>0</v>
      </c>
      <c r="G241" s="134" t="s">
        <v>742</v>
      </c>
      <c r="H241" s="134">
        <v>7</v>
      </c>
      <c r="I241" s="134">
        <f t="shared" si="34"/>
        <v>1</v>
      </c>
      <c r="J241" s="134" t="s">
        <v>1379</v>
      </c>
      <c r="L241" s="134">
        <f t="shared" si="35"/>
        <v>0</v>
      </c>
      <c r="M241" s="134" t="s">
        <v>1379</v>
      </c>
      <c r="O241" s="134">
        <f t="shared" si="36"/>
        <v>0</v>
      </c>
      <c r="P241" s="134" t="s">
        <v>1379</v>
      </c>
      <c r="R241" s="134">
        <f t="shared" si="37"/>
        <v>0</v>
      </c>
      <c r="S241" s="134" t="s">
        <v>1379</v>
      </c>
      <c r="U241" s="134">
        <f t="shared" si="38"/>
        <v>0</v>
      </c>
    </row>
    <row r="242" spans="1:21" s="145" customFormat="1" ht="15.75" x14ac:dyDescent="0.25">
      <c r="A242" s="143" t="s">
        <v>841</v>
      </c>
      <c r="B242" s="144">
        <f>'ECONOMIA &amp; PROFESIONES'!K47</f>
        <v>0.4</v>
      </c>
      <c r="D242" s="145" t="s">
        <v>1379</v>
      </c>
      <c r="F242" s="145">
        <f t="shared" si="40"/>
        <v>0</v>
      </c>
      <c r="G242" s="145" t="s">
        <v>1379</v>
      </c>
      <c r="I242" s="145">
        <f t="shared" si="34"/>
        <v>0</v>
      </c>
      <c r="J242" s="145" t="s">
        <v>1379</v>
      </c>
      <c r="L242" s="145">
        <f t="shared" si="35"/>
        <v>0</v>
      </c>
      <c r="M242" s="145" t="s">
        <v>1379</v>
      </c>
      <c r="O242" s="145">
        <f t="shared" si="36"/>
        <v>0</v>
      </c>
      <c r="P242" s="145" t="s">
        <v>1379</v>
      </c>
      <c r="R242" s="145">
        <f t="shared" si="37"/>
        <v>0</v>
      </c>
      <c r="S242" s="145" t="s">
        <v>1379</v>
      </c>
      <c r="U242" s="145">
        <f t="shared" si="38"/>
        <v>0</v>
      </c>
    </row>
    <row r="243" spans="1:21" s="148" customFormat="1" ht="15.75" x14ac:dyDescent="0.25">
      <c r="A243" s="146" t="s">
        <v>842</v>
      </c>
      <c r="B243" s="147">
        <f t="shared" si="33"/>
        <v>0</v>
      </c>
      <c r="D243" s="148" t="s">
        <v>1379</v>
      </c>
      <c r="F243" s="148">
        <f t="shared" si="40"/>
        <v>0</v>
      </c>
      <c r="G243" s="148" t="s">
        <v>1379</v>
      </c>
      <c r="I243" s="148">
        <f t="shared" si="34"/>
        <v>0</v>
      </c>
      <c r="J243" s="148" t="s">
        <v>1379</v>
      </c>
      <c r="L243" s="148">
        <f t="shared" si="35"/>
        <v>0</v>
      </c>
      <c r="M243" s="148" t="s">
        <v>1379</v>
      </c>
      <c r="O243" s="148">
        <f t="shared" si="36"/>
        <v>0</v>
      </c>
      <c r="P243" s="148" t="s">
        <v>1379</v>
      </c>
      <c r="R243" s="148">
        <f t="shared" si="37"/>
        <v>0</v>
      </c>
      <c r="S243" s="148" t="s">
        <v>1379</v>
      </c>
      <c r="U243" s="148">
        <f t="shared" si="38"/>
        <v>0</v>
      </c>
    </row>
    <row r="244" spans="1:21" s="145" customFormat="1" ht="15.75" x14ac:dyDescent="0.25">
      <c r="A244" s="143" t="s">
        <v>843</v>
      </c>
      <c r="B244" s="144">
        <f>'ECONOMIA &amp; PROFESIONES'!E36</f>
        <v>9</v>
      </c>
      <c r="D244" s="145" t="s">
        <v>1379</v>
      </c>
      <c r="F244" s="145">
        <f t="shared" si="40"/>
        <v>0</v>
      </c>
      <c r="G244" s="145" t="s">
        <v>1379</v>
      </c>
      <c r="I244" s="145">
        <f t="shared" si="34"/>
        <v>0</v>
      </c>
      <c r="J244" s="145" t="s">
        <v>1379</v>
      </c>
      <c r="L244" s="145">
        <f t="shared" si="35"/>
        <v>0</v>
      </c>
      <c r="M244" s="145" t="s">
        <v>1379</v>
      </c>
      <c r="O244" s="145">
        <f t="shared" si="36"/>
        <v>0</v>
      </c>
      <c r="P244" s="145" t="s">
        <v>1379</v>
      </c>
      <c r="R244" s="145">
        <f t="shared" si="37"/>
        <v>0</v>
      </c>
      <c r="S244" s="145" t="s">
        <v>1379</v>
      </c>
      <c r="U244" s="145">
        <f t="shared" si="38"/>
        <v>0</v>
      </c>
    </row>
    <row r="245" spans="1:21" ht="15.75" x14ac:dyDescent="0.25">
      <c r="A245" s="131" t="s">
        <v>844</v>
      </c>
      <c r="B245" s="137">
        <f t="shared" si="33"/>
        <v>81</v>
      </c>
      <c r="D245" s="134" t="s">
        <v>843</v>
      </c>
      <c r="E245">
        <v>9</v>
      </c>
      <c r="F245" s="134">
        <f t="shared" si="40"/>
        <v>9</v>
      </c>
      <c r="G245" s="134" t="s">
        <v>1379</v>
      </c>
      <c r="I245" s="134">
        <f t="shared" si="34"/>
        <v>0</v>
      </c>
      <c r="J245" s="134" t="s">
        <v>1379</v>
      </c>
      <c r="L245" s="134">
        <f t="shared" si="35"/>
        <v>0</v>
      </c>
      <c r="M245" s="134" t="s">
        <v>1379</v>
      </c>
      <c r="O245" s="134">
        <f t="shared" si="36"/>
        <v>0</v>
      </c>
      <c r="P245" s="134" t="s">
        <v>1379</v>
      </c>
      <c r="R245" s="134">
        <f t="shared" si="37"/>
        <v>0</v>
      </c>
      <c r="S245" s="134" t="s">
        <v>1379</v>
      </c>
      <c r="U245" s="134">
        <f t="shared" si="38"/>
        <v>0</v>
      </c>
    </row>
    <row r="246" spans="1:21" s="145" customFormat="1" ht="15.75" x14ac:dyDescent="0.25">
      <c r="A246" s="143" t="s">
        <v>845</v>
      </c>
      <c r="B246" s="144">
        <f>B244</f>
        <v>9</v>
      </c>
      <c r="D246" s="145" t="s">
        <v>1379</v>
      </c>
      <c r="F246" s="145">
        <f t="shared" si="40"/>
        <v>0</v>
      </c>
      <c r="G246" s="145" t="s">
        <v>1379</v>
      </c>
      <c r="I246" s="145">
        <f t="shared" si="34"/>
        <v>0</v>
      </c>
      <c r="J246" s="145" t="s">
        <v>1379</v>
      </c>
      <c r="L246" s="145">
        <f t="shared" si="35"/>
        <v>0</v>
      </c>
      <c r="M246" s="145" t="s">
        <v>1379</v>
      </c>
      <c r="O246" s="145">
        <f t="shared" si="36"/>
        <v>0</v>
      </c>
      <c r="P246" s="145" t="s">
        <v>1379</v>
      </c>
      <c r="R246" s="145">
        <f t="shared" si="37"/>
        <v>0</v>
      </c>
      <c r="S246" s="145" t="s">
        <v>1379</v>
      </c>
      <c r="U246" s="145">
        <f t="shared" si="38"/>
        <v>0</v>
      </c>
    </row>
    <row r="247" spans="1:21" ht="15.75" x14ac:dyDescent="0.25">
      <c r="A247" s="131" t="s">
        <v>846</v>
      </c>
      <c r="B247" s="137">
        <f t="shared" si="33"/>
        <v>1</v>
      </c>
      <c r="D247" s="134" t="s">
        <v>681</v>
      </c>
      <c r="E247">
        <v>1</v>
      </c>
      <c r="F247" s="134">
        <f t="shared" si="40"/>
        <v>1</v>
      </c>
      <c r="G247" s="134" t="s">
        <v>990</v>
      </c>
      <c r="H247" s="134">
        <v>1</v>
      </c>
      <c r="I247" s="134">
        <f t="shared" si="34"/>
        <v>0</v>
      </c>
      <c r="J247" s="134" t="s">
        <v>1379</v>
      </c>
      <c r="L247" s="134">
        <f t="shared" si="35"/>
        <v>0</v>
      </c>
      <c r="M247" s="134" t="s">
        <v>1379</v>
      </c>
      <c r="O247" s="134">
        <f t="shared" si="36"/>
        <v>0</v>
      </c>
      <c r="P247" s="134" t="s">
        <v>1379</v>
      </c>
      <c r="R247" s="134">
        <f t="shared" si="37"/>
        <v>0</v>
      </c>
      <c r="S247" s="134" t="s">
        <v>1379</v>
      </c>
      <c r="U247" s="134">
        <f t="shared" si="38"/>
        <v>0</v>
      </c>
    </row>
    <row r="248" spans="1:21" ht="15.75" x14ac:dyDescent="0.25">
      <c r="A248" s="131" t="s">
        <v>847</v>
      </c>
      <c r="B248" s="137">
        <f t="shared" si="33"/>
        <v>577</v>
      </c>
      <c r="D248" s="134" t="s">
        <v>616</v>
      </c>
      <c r="E248">
        <v>1</v>
      </c>
      <c r="F248" s="134">
        <f t="shared" si="40"/>
        <v>1</v>
      </c>
      <c r="G248" s="134" t="s">
        <v>887</v>
      </c>
      <c r="H248" s="134">
        <v>8</v>
      </c>
      <c r="I248" s="134">
        <f t="shared" si="34"/>
        <v>72</v>
      </c>
      <c r="J248" s="134" t="s">
        <v>1379</v>
      </c>
      <c r="L248" s="134">
        <f t="shared" si="35"/>
        <v>0</v>
      </c>
      <c r="M248" s="134" t="s">
        <v>1379</v>
      </c>
      <c r="O248" s="134">
        <f t="shared" si="36"/>
        <v>0</v>
      </c>
      <c r="P248" s="134" t="s">
        <v>1379</v>
      </c>
      <c r="R248" s="134">
        <f t="shared" si="37"/>
        <v>0</v>
      </c>
      <c r="S248" s="134" t="s">
        <v>1379</v>
      </c>
      <c r="U248" s="134">
        <f t="shared" si="38"/>
        <v>0</v>
      </c>
    </row>
    <row r="249" spans="1:21" ht="15.75" x14ac:dyDescent="0.25">
      <c r="A249" s="131" t="s">
        <v>848</v>
      </c>
      <c r="B249" s="137">
        <f t="shared" si="33"/>
        <v>77</v>
      </c>
      <c r="D249" s="134" t="s">
        <v>681</v>
      </c>
      <c r="E249">
        <v>1</v>
      </c>
      <c r="F249" s="134">
        <f t="shared" si="40"/>
        <v>1</v>
      </c>
      <c r="G249" s="134" t="s">
        <v>816</v>
      </c>
      <c r="H249" s="134">
        <v>2</v>
      </c>
      <c r="I249" s="134">
        <f t="shared" si="34"/>
        <v>16</v>
      </c>
      <c r="J249" s="134" t="s">
        <v>1102</v>
      </c>
      <c r="K249" s="134">
        <v>4</v>
      </c>
      <c r="L249" s="134">
        <f t="shared" si="35"/>
        <v>11</v>
      </c>
      <c r="M249" s="134" t="s">
        <v>1379</v>
      </c>
      <c r="O249" s="134">
        <f t="shared" si="36"/>
        <v>0</v>
      </c>
      <c r="P249" s="134" t="s">
        <v>1379</v>
      </c>
      <c r="R249" s="134">
        <f t="shared" si="37"/>
        <v>0</v>
      </c>
      <c r="S249" s="134" t="s">
        <v>1379</v>
      </c>
      <c r="U249" s="134">
        <f t="shared" si="38"/>
        <v>0</v>
      </c>
    </row>
    <row r="250" spans="1:21" ht="15.75" x14ac:dyDescent="0.25">
      <c r="A250" s="131" t="s">
        <v>849</v>
      </c>
      <c r="B250" s="137">
        <f t="shared" si="33"/>
        <v>61.5</v>
      </c>
      <c r="D250" s="134" t="s">
        <v>858</v>
      </c>
      <c r="E250">
        <v>1</v>
      </c>
      <c r="F250" s="134">
        <f t="shared" si="40"/>
        <v>27</v>
      </c>
      <c r="G250" s="134" t="s">
        <v>879</v>
      </c>
      <c r="H250" s="134">
        <v>1</v>
      </c>
      <c r="I250" s="134">
        <f t="shared" si="34"/>
        <v>13.5</v>
      </c>
      <c r="J250" s="134" t="s">
        <v>880</v>
      </c>
      <c r="K250" s="134">
        <v>7</v>
      </c>
      <c r="L250" s="134">
        <f t="shared" si="35"/>
        <v>3</v>
      </c>
      <c r="M250" s="134" t="s">
        <v>1379</v>
      </c>
      <c r="O250" s="134">
        <f t="shared" si="36"/>
        <v>0</v>
      </c>
      <c r="P250" s="134" t="s">
        <v>1379</v>
      </c>
      <c r="R250" s="134">
        <f t="shared" si="37"/>
        <v>0</v>
      </c>
      <c r="S250" s="134" t="s">
        <v>1379</v>
      </c>
      <c r="U250" s="134">
        <f t="shared" si="38"/>
        <v>0</v>
      </c>
    </row>
    <row r="251" spans="1:21" s="148" customFormat="1" ht="15.75" x14ac:dyDescent="0.25">
      <c r="A251" s="146" t="s">
        <v>850</v>
      </c>
      <c r="B251" s="147">
        <f t="shared" si="33"/>
        <v>0</v>
      </c>
      <c r="D251" s="148" t="s">
        <v>1379</v>
      </c>
      <c r="F251" s="148">
        <f t="shared" si="40"/>
        <v>0</v>
      </c>
      <c r="G251" s="148" t="s">
        <v>1379</v>
      </c>
      <c r="I251" s="148">
        <f t="shared" si="34"/>
        <v>0</v>
      </c>
      <c r="J251" s="148" t="s">
        <v>1379</v>
      </c>
      <c r="L251" s="148">
        <f t="shared" si="35"/>
        <v>0</v>
      </c>
      <c r="M251" s="148" t="s">
        <v>1379</v>
      </c>
      <c r="O251" s="148">
        <f t="shared" si="36"/>
        <v>0</v>
      </c>
      <c r="P251" s="148" t="s">
        <v>1379</v>
      </c>
      <c r="R251" s="148">
        <f t="shared" si="37"/>
        <v>0</v>
      </c>
      <c r="S251" s="148" t="s">
        <v>1379</v>
      </c>
      <c r="U251" s="148">
        <f t="shared" si="38"/>
        <v>0</v>
      </c>
    </row>
    <row r="252" spans="1:21" ht="15.75" x14ac:dyDescent="0.25">
      <c r="A252" s="131" t="s">
        <v>851</v>
      </c>
      <c r="B252" s="137">
        <f t="shared" ref="B252:B314" si="41">(F252*E252)+(H252*I252)+(K252*L252)+(N252*O252)+(Q252*R252)+(T252*U252)</f>
        <v>13.5</v>
      </c>
      <c r="D252" s="134" t="s">
        <v>663</v>
      </c>
      <c r="E252">
        <v>1</v>
      </c>
      <c r="F252" s="134">
        <f t="shared" si="40"/>
        <v>13.5</v>
      </c>
      <c r="G252" s="151" t="s">
        <v>1148</v>
      </c>
      <c r="H252" s="134">
        <v>1</v>
      </c>
      <c r="I252" s="134">
        <f t="shared" si="34"/>
        <v>0</v>
      </c>
      <c r="J252" s="134" t="s">
        <v>1379</v>
      </c>
      <c r="L252" s="134">
        <f t="shared" si="35"/>
        <v>0</v>
      </c>
      <c r="M252" s="134" t="s">
        <v>1379</v>
      </c>
      <c r="O252" s="134">
        <f t="shared" si="36"/>
        <v>0</v>
      </c>
      <c r="P252" s="134" t="s">
        <v>1379</v>
      </c>
      <c r="R252" s="134">
        <f t="shared" si="37"/>
        <v>0</v>
      </c>
      <c r="S252" s="134" t="s">
        <v>1379</v>
      </c>
      <c r="U252" s="134">
        <f t="shared" si="38"/>
        <v>0</v>
      </c>
    </row>
    <row r="253" spans="1:21" s="145" customFormat="1" ht="15.75" x14ac:dyDescent="0.25">
      <c r="A253" s="143" t="s">
        <v>852</v>
      </c>
      <c r="B253" s="144">
        <f>'ECONOMIA &amp; PROFESIONES'!E39</f>
        <v>11</v>
      </c>
      <c r="D253" s="145" t="s">
        <v>1379</v>
      </c>
      <c r="F253" s="145">
        <f t="shared" si="40"/>
        <v>0</v>
      </c>
      <c r="G253" s="145" t="s">
        <v>1379</v>
      </c>
      <c r="I253" s="145">
        <f t="shared" si="34"/>
        <v>0</v>
      </c>
      <c r="J253" s="145" t="s">
        <v>1379</v>
      </c>
      <c r="L253" s="145">
        <f t="shared" si="35"/>
        <v>0</v>
      </c>
      <c r="M253" s="145" t="s">
        <v>1379</v>
      </c>
      <c r="O253" s="145">
        <f t="shared" si="36"/>
        <v>0</v>
      </c>
      <c r="P253" s="145" t="s">
        <v>1379</v>
      </c>
      <c r="R253" s="145">
        <f t="shared" si="37"/>
        <v>0</v>
      </c>
      <c r="S253" s="145" t="s">
        <v>1379</v>
      </c>
      <c r="U253" s="145">
        <f t="shared" si="38"/>
        <v>0</v>
      </c>
    </row>
    <row r="254" spans="1:21" ht="15.75" x14ac:dyDescent="0.25">
      <c r="A254" s="131" t="s">
        <v>853</v>
      </c>
      <c r="B254" s="137">
        <f t="shared" si="41"/>
        <v>132</v>
      </c>
      <c r="D254" s="134" t="s">
        <v>856</v>
      </c>
      <c r="E254">
        <v>3</v>
      </c>
      <c r="F254" s="134">
        <f t="shared" si="40"/>
        <v>44</v>
      </c>
      <c r="G254" s="134" t="s">
        <v>1379</v>
      </c>
      <c r="I254" s="134">
        <f t="shared" si="34"/>
        <v>0</v>
      </c>
      <c r="J254" s="134" t="s">
        <v>1379</v>
      </c>
      <c r="L254" s="134">
        <f t="shared" si="35"/>
        <v>0</v>
      </c>
      <c r="M254" s="134" t="s">
        <v>1379</v>
      </c>
      <c r="O254" s="134">
        <f t="shared" si="36"/>
        <v>0</v>
      </c>
      <c r="P254" s="134" t="s">
        <v>1379</v>
      </c>
      <c r="R254" s="134">
        <f t="shared" si="37"/>
        <v>0</v>
      </c>
      <c r="S254" s="134" t="s">
        <v>1379</v>
      </c>
      <c r="U254" s="134">
        <f t="shared" si="38"/>
        <v>0</v>
      </c>
    </row>
    <row r="255" spans="1:21" ht="15.75" x14ac:dyDescent="0.25">
      <c r="A255" s="131" t="s">
        <v>854</v>
      </c>
      <c r="B255" s="137">
        <f t="shared" si="41"/>
        <v>264</v>
      </c>
      <c r="D255" s="134" t="s">
        <v>856</v>
      </c>
      <c r="E255">
        <v>6</v>
      </c>
      <c r="F255" s="134">
        <f t="shared" ref="F255:F318" si="42">VLOOKUP(D255,IDPOINTS,2,FALSE)</f>
        <v>44</v>
      </c>
      <c r="G255" s="134" t="s">
        <v>1379</v>
      </c>
      <c r="I255" s="134">
        <f t="shared" ref="I255:I317" si="43">VLOOKUP(G255,IDPOINTS,2,FALSE)</f>
        <v>0</v>
      </c>
      <c r="J255" s="134" t="s">
        <v>1379</v>
      </c>
      <c r="L255" s="134">
        <f t="shared" ref="L255:L317" si="44">VLOOKUP(J255,IDPOINTS,2,FALSE)</f>
        <v>0</v>
      </c>
      <c r="M255" s="134" t="s">
        <v>1379</v>
      </c>
      <c r="O255" s="134">
        <f t="shared" ref="O255:O317" si="45">VLOOKUP(M255,IDPOINTS,2,FALSE)</f>
        <v>0</v>
      </c>
      <c r="P255" s="134" t="s">
        <v>1379</v>
      </c>
      <c r="R255" s="134">
        <f t="shared" ref="R255:R317" si="46">VLOOKUP(P255,IDPOINTS,2,FALSE)</f>
        <v>0</v>
      </c>
      <c r="S255" s="134" t="s">
        <v>1379</v>
      </c>
      <c r="U255" s="134">
        <f t="shared" ref="U255:U317" si="47">VLOOKUP(S255,IDPOINTS,2,FALSE)</f>
        <v>0</v>
      </c>
    </row>
    <row r="256" spans="1:21" ht="15.75" x14ac:dyDescent="0.25">
      <c r="A256" s="131" t="s">
        <v>855</v>
      </c>
      <c r="B256" s="137">
        <f t="shared" si="41"/>
        <v>264</v>
      </c>
      <c r="D256" s="134" t="s">
        <v>856</v>
      </c>
      <c r="E256">
        <v>6</v>
      </c>
      <c r="F256" s="134">
        <f t="shared" si="42"/>
        <v>44</v>
      </c>
      <c r="G256" s="134" t="s">
        <v>1379</v>
      </c>
      <c r="I256" s="134">
        <f t="shared" si="43"/>
        <v>0</v>
      </c>
      <c r="J256" s="134" t="s">
        <v>1379</v>
      </c>
      <c r="L256" s="134">
        <f t="shared" si="44"/>
        <v>0</v>
      </c>
      <c r="M256" s="134" t="s">
        <v>1379</v>
      </c>
      <c r="O256" s="134">
        <f t="shared" si="45"/>
        <v>0</v>
      </c>
      <c r="P256" s="134" t="s">
        <v>1379</v>
      </c>
      <c r="R256" s="134">
        <f t="shared" si="46"/>
        <v>0</v>
      </c>
      <c r="S256" s="134" t="s">
        <v>1379</v>
      </c>
      <c r="U256" s="134">
        <f t="shared" si="47"/>
        <v>0</v>
      </c>
    </row>
    <row r="257" spans="1:21" ht="15.75" x14ac:dyDescent="0.25">
      <c r="A257" s="131" t="s">
        <v>856</v>
      </c>
      <c r="B257" s="137">
        <f t="shared" si="41"/>
        <v>44</v>
      </c>
      <c r="D257" s="134" t="s">
        <v>852</v>
      </c>
      <c r="E257">
        <v>4</v>
      </c>
      <c r="F257" s="134">
        <f t="shared" si="42"/>
        <v>11</v>
      </c>
      <c r="G257" s="134" t="s">
        <v>1379</v>
      </c>
      <c r="I257" s="134">
        <f t="shared" si="43"/>
        <v>0</v>
      </c>
      <c r="J257" s="134" t="s">
        <v>1379</v>
      </c>
      <c r="L257" s="134">
        <f t="shared" si="44"/>
        <v>0</v>
      </c>
      <c r="M257" s="134" t="s">
        <v>1379</v>
      </c>
      <c r="O257" s="134">
        <f t="shared" si="45"/>
        <v>0</v>
      </c>
      <c r="P257" s="134" t="s">
        <v>1379</v>
      </c>
      <c r="R257" s="134">
        <f t="shared" si="46"/>
        <v>0</v>
      </c>
      <c r="S257" s="134" t="s">
        <v>1379</v>
      </c>
      <c r="U257" s="134">
        <f t="shared" si="47"/>
        <v>0</v>
      </c>
    </row>
    <row r="258" spans="1:21" ht="15.75" x14ac:dyDescent="0.25">
      <c r="A258" s="131" t="s">
        <v>857</v>
      </c>
      <c r="B258" s="137">
        <f t="shared" si="41"/>
        <v>115</v>
      </c>
      <c r="D258" s="134" t="s">
        <v>858</v>
      </c>
      <c r="E258">
        <v>1</v>
      </c>
      <c r="F258" s="134">
        <f t="shared" si="42"/>
        <v>27</v>
      </c>
      <c r="G258" s="134" t="s">
        <v>1102</v>
      </c>
      <c r="H258" s="134">
        <v>8</v>
      </c>
      <c r="I258" s="134">
        <f t="shared" si="43"/>
        <v>11</v>
      </c>
      <c r="J258" s="134" t="s">
        <v>1379</v>
      </c>
      <c r="L258" s="134">
        <f t="shared" si="44"/>
        <v>0</v>
      </c>
      <c r="M258" s="134" t="s">
        <v>1379</v>
      </c>
      <c r="O258" s="134">
        <f t="shared" si="45"/>
        <v>0</v>
      </c>
      <c r="P258" s="134" t="s">
        <v>1379</v>
      </c>
      <c r="R258" s="134">
        <f t="shared" si="46"/>
        <v>0</v>
      </c>
      <c r="S258" s="134" t="s">
        <v>1379</v>
      </c>
      <c r="U258" s="134">
        <f t="shared" si="47"/>
        <v>0</v>
      </c>
    </row>
    <row r="259" spans="1:21" s="145" customFormat="1" ht="15.75" x14ac:dyDescent="0.25">
      <c r="A259" s="143" t="s">
        <v>858</v>
      </c>
      <c r="B259" s="144">
        <f>'ECONOMIA &amp; PROFESIONES'!G56</f>
        <v>27</v>
      </c>
      <c r="D259" s="145" t="s">
        <v>1379</v>
      </c>
      <c r="F259" s="145">
        <f t="shared" si="42"/>
        <v>0</v>
      </c>
      <c r="G259" s="145" t="s">
        <v>1379</v>
      </c>
      <c r="I259" s="145">
        <f t="shared" si="43"/>
        <v>0</v>
      </c>
      <c r="J259" s="145" t="s">
        <v>1379</v>
      </c>
      <c r="L259" s="145">
        <f t="shared" si="44"/>
        <v>0</v>
      </c>
      <c r="M259" s="145" t="s">
        <v>1379</v>
      </c>
      <c r="O259" s="145">
        <f t="shared" si="45"/>
        <v>0</v>
      </c>
      <c r="P259" s="145" t="s">
        <v>1379</v>
      </c>
      <c r="R259" s="145">
        <f t="shared" si="46"/>
        <v>0</v>
      </c>
      <c r="S259" s="145" t="s">
        <v>1379</v>
      </c>
      <c r="U259" s="145">
        <f t="shared" si="47"/>
        <v>0</v>
      </c>
    </row>
    <row r="260" spans="1:21" s="145" customFormat="1" ht="15.75" x14ac:dyDescent="0.25">
      <c r="A260" s="143" t="s">
        <v>859</v>
      </c>
      <c r="B260" s="144">
        <f>'ECONOMIA &amp; PROFESIONES'!G56</f>
        <v>27</v>
      </c>
      <c r="D260" s="145" t="s">
        <v>1379</v>
      </c>
      <c r="F260" s="145">
        <f t="shared" si="42"/>
        <v>0</v>
      </c>
      <c r="G260" s="145" t="s">
        <v>1379</v>
      </c>
      <c r="I260" s="145">
        <f t="shared" si="43"/>
        <v>0</v>
      </c>
      <c r="J260" s="145" t="s">
        <v>1379</v>
      </c>
      <c r="L260" s="145">
        <f t="shared" si="44"/>
        <v>0</v>
      </c>
      <c r="M260" s="145" t="s">
        <v>1379</v>
      </c>
      <c r="O260" s="145">
        <f t="shared" si="45"/>
        <v>0</v>
      </c>
      <c r="P260" s="145" t="s">
        <v>1379</v>
      </c>
      <c r="R260" s="145">
        <f t="shared" si="46"/>
        <v>0</v>
      </c>
      <c r="S260" s="145" t="s">
        <v>1379</v>
      </c>
      <c r="U260" s="145">
        <f t="shared" si="47"/>
        <v>0</v>
      </c>
    </row>
    <row r="261" spans="1:21" s="148" customFormat="1" ht="15.75" x14ac:dyDescent="0.25">
      <c r="A261" s="146" t="s">
        <v>860</v>
      </c>
      <c r="B261" s="147">
        <f t="shared" si="41"/>
        <v>0</v>
      </c>
      <c r="D261" s="148" t="s">
        <v>1379</v>
      </c>
      <c r="F261" s="148">
        <f t="shared" si="42"/>
        <v>0</v>
      </c>
      <c r="G261" s="148" t="s">
        <v>1379</v>
      </c>
      <c r="I261" s="148">
        <f t="shared" si="43"/>
        <v>0</v>
      </c>
      <c r="J261" s="148" t="s">
        <v>1379</v>
      </c>
      <c r="L261" s="148">
        <f t="shared" si="44"/>
        <v>0</v>
      </c>
      <c r="M261" s="148" t="s">
        <v>1379</v>
      </c>
      <c r="O261" s="148">
        <f t="shared" si="45"/>
        <v>0</v>
      </c>
      <c r="P261" s="148" t="s">
        <v>1379</v>
      </c>
      <c r="R261" s="148">
        <f t="shared" si="46"/>
        <v>0</v>
      </c>
      <c r="S261" s="148" t="s">
        <v>1379</v>
      </c>
      <c r="U261" s="148">
        <f t="shared" si="47"/>
        <v>0</v>
      </c>
    </row>
    <row r="262" spans="1:21" s="148" customFormat="1" ht="15.75" x14ac:dyDescent="0.25">
      <c r="A262" s="146" t="s">
        <v>861</v>
      </c>
      <c r="B262" s="147">
        <f t="shared" si="41"/>
        <v>0</v>
      </c>
      <c r="D262" s="148" t="s">
        <v>1379</v>
      </c>
      <c r="F262" s="148">
        <f t="shared" si="42"/>
        <v>0</v>
      </c>
      <c r="G262" s="148" t="s">
        <v>1379</v>
      </c>
      <c r="I262" s="148">
        <f t="shared" si="43"/>
        <v>0</v>
      </c>
      <c r="J262" s="148" t="s">
        <v>1379</v>
      </c>
      <c r="L262" s="148">
        <f t="shared" si="44"/>
        <v>0</v>
      </c>
      <c r="M262" s="148" t="s">
        <v>1379</v>
      </c>
      <c r="O262" s="148">
        <f t="shared" si="45"/>
        <v>0</v>
      </c>
      <c r="P262" s="148" t="s">
        <v>1379</v>
      </c>
      <c r="R262" s="148">
        <f t="shared" si="46"/>
        <v>0</v>
      </c>
      <c r="S262" s="148" t="s">
        <v>1379</v>
      </c>
      <c r="U262" s="148">
        <f t="shared" si="47"/>
        <v>0</v>
      </c>
    </row>
    <row r="263" spans="1:21" s="217" customFormat="1" ht="15.75" x14ac:dyDescent="0.25">
      <c r="A263" s="215" t="s">
        <v>862</v>
      </c>
      <c r="B263" s="216">
        <f>'ECONOMIA &amp; PROFESIONES'!K47</f>
        <v>0.4</v>
      </c>
      <c r="D263" s="217" t="s">
        <v>1379</v>
      </c>
      <c r="F263" s="217">
        <f t="shared" si="42"/>
        <v>0</v>
      </c>
      <c r="G263" s="217" t="s">
        <v>1379</v>
      </c>
      <c r="I263" s="217">
        <f t="shared" si="43"/>
        <v>0</v>
      </c>
      <c r="J263" s="217" t="s">
        <v>1379</v>
      </c>
      <c r="L263" s="217">
        <f t="shared" si="44"/>
        <v>0</v>
      </c>
      <c r="M263" s="217" t="s">
        <v>1379</v>
      </c>
      <c r="O263" s="217">
        <f t="shared" si="45"/>
        <v>0</v>
      </c>
      <c r="P263" s="217" t="s">
        <v>1379</v>
      </c>
      <c r="R263" s="217">
        <f t="shared" si="46"/>
        <v>0</v>
      </c>
      <c r="S263" s="217" t="s">
        <v>1379</v>
      </c>
      <c r="U263" s="217">
        <f t="shared" si="47"/>
        <v>0</v>
      </c>
    </row>
    <row r="264" spans="1:21" s="217" customFormat="1" ht="15.75" x14ac:dyDescent="0.25">
      <c r="A264" s="215" t="s">
        <v>863</v>
      </c>
      <c r="B264" s="216">
        <f>'ECONOMIA &amp; PROFESIONES'!G48</f>
        <v>4.5</v>
      </c>
      <c r="D264" s="217" t="s">
        <v>1379</v>
      </c>
      <c r="F264" s="217">
        <f t="shared" si="42"/>
        <v>0</v>
      </c>
      <c r="G264" s="217" t="s">
        <v>1379</v>
      </c>
      <c r="I264" s="217">
        <f t="shared" si="43"/>
        <v>0</v>
      </c>
      <c r="J264" s="217" t="s">
        <v>1379</v>
      </c>
      <c r="L264" s="217">
        <f t="shared" si="44"/>
        <v>0</v>
      </c>
      <c r="M264" s="217" t="s">
        <v>1379</v>
      </c>
      <c r="O264" s="217">
        <f t="shared" si="45"/>
        <v>0</v>
      </c>
      <c r="P264" s="217" t="s">
        <v>1379</v>
      </c>
      <c r="R264" s="217">
        <f t="shared" si="46"/>
        <v>0</v>
      </c>
      <c r="S264" s="217" t="s">
        <v>1379</v>
      </c>
      <c r="U264" s="217">
        <f t="shared" si="47"/>
        <v>0</v>
      </c>
    </row>
    <row r="265" spans="1:21" s="145" customFormat="1" ht="15.75" x14ac:dyDescent="0.25">
      <c r="A265" s="143" t="s">
        <v>864</v>
      </c>
      <c r="B265" s="144">
        <v>0.1</v>
      </c>
      <c r="D265" s="145" t="s">
        <v>1379</v>
      </c>
      <c r="F265" s="145">
        <f t="shared" si="42"/>
        <v>0</v>
      </c>
      <c r="G265" s="145" t="s">
        <v>1379</v>
      </c>
      <c r="I265" s="145">
        <f t="shared" si="43"/>
        <v>0</v>
      </c>
      <c r="J265" s="145" t="s">
        <v>1379</v>
      </c>
      <c r="L265" s="145">
        <f t="shared" si="44"/>
        <v>0</v>
      </c>
      <c r="M265" s="145" t="s">
        <v>1379</v>
      </c>
      <c r="O265" s="145">
        <f t="shared" si="45"/>
        <v>0</v>
      </c>
      <c r="P265" s="145" t="s">
        <v>1379</v>
      </c>
      <c r="R265" s="145">
        <f t="shared" si="46"/>
        <v>0</v>
      </c>
      <c r="S265" s="145" t="s">
        <v>1379</v>
      </c>
      <c r="U265" s="145">
        <f t="shared" si="47"/>
        <v>0</v>
      </c>
    </row>
    <row r="266" spans="1:21" ht="15.75" x14ac:dyDescent="0.25">
      <c r="A266" s="131" t="s">
        <v>865</v>
      </c>
      <c r="B266" s="137">
        <f t="shared" si="41"/>
        <v>31.5</v>
      </c>
      <c r="D266" s="134" t="s">
        <v>738</v>
      </c>
      <c r="E266">
        <v>1</v>
      </c>
      <c r="F266" s="134">
        <f t="shared" si="42"/>
        <v>3</v>
      </c>
      <c r="G266" s="134" t="s">
        <v>936</v>
      </c>
      <c r="H266" s="134">
        <v>1</v>
      </c>
      <c r="I266" s="134">
        <f t="shared" si="43"/>
        <v>15</v>
      </c>
      <c r="J266" s="134" t="s">
        <v>662</v>
      </c>
      <c r="K266" s="134">
        <v>1</v>
      </c>
      <c r="L266" s="134">
        <f t="shared" si="44"/>
        <v>13.5</v>
      </c>
      <c r="M266" s="134" t="s">
        <v>1379</v>
      </c>
      <c r="O266" s="134">
        <f t="shared" si="45"/>
        <v>0</v>
      </c>
      <c r="P266" s="134" t="s">
        <v>1379</v>
      </c>
      <c r="R266" s="134">
        <f t="shared" si="46"/>
        <v>0</v>
      </c>
      <c r="S266" s="134" t="s">
        <v>1379</v>
      </c>
      <c r="U266" s="134">
        <f t="shared" si="47"/>
        <v>0</v>
      </c>
    </row>
    <row r="267" spans="1:21" s="148" customFormat="1" ht="15.75" x14ac:dyDescent="0.25">
      <c r="A267" s="146" t="s">
        <v>866</v>
      </c>
      <c r="B267" s="147">
        <f t="shared" si="41"/>
        <v>0</v>
      </c>
      <c r="D267" s="148" t="s">
        <v>1379</v>
      </c>
      <c r="F267" s="148">
        <f t="shared" si="42"/>
        <v>0</v>
      </c>
      <c r="G267" s="148" t="s">
        <v>1379</v>
      </c>
      <c r="I267" s="148">
        <f t="shared" si="43"/>
        <v>0</v>
      </c>
      <c r="J267" s="148" t="s">
        <v>1379</v>
      </c>
      <c r="L267" s="148">
        <f t="shared" si="44"/>
        <v>0</v>
      </c>
      <c r="M267" s="148" t="s">
        <v>1379</v>
      </c>
      <c r="O267" s="148">
        <f t="shared" si="45"/>
        <v>0</v>
      </c>
      <c r="P267" s="148" t="s">
        <v>1379</v>
      </c>
      <c r="R267" s="148">
        <f t="shared" si="46"/>
        <v>0</v>
      </c>
      <c r="S267" s="148" t="s">
        <v>1379</v>
      </c>
      <c r="U267" s="148">
        <f t="shared" si="47"/>
        <v>0</v>
      </c>
    </row>
    <row r="268" spans="1:21" s="148" customFormat="1" ht="15.75" x14ac:dyDescent="0.25">
      <c r="A268" s="146" t="s">
        <v>867</v>
      </c>
      <c r="B268" s="147">
        <f t="shared" si="41"/>
        <v>0</v>
      </c>
      <c r="D268" s="148" t="s">
        <v>1379</v>
      </c>
      <c r="F268" s="148">
        <f t="shared" si="42"/>
        <v>0</v>
      </c>
      <c r="G268" s="148" t="s">
        <v>1379</v>
      </c>
      <c r="I268" s="148">
        <f t="shared" si="43"/>
        <v>0</v>
      </c>
      <c r="J268" s="148" t="s">
        <v>1379</v>
      </c>
      <c r="L268" s="148">
        <f t="shared" si="44"/>
        <v>0</v>
      </c>
      <c r="M268" s="148" t="s">
        <v>1379</v>
      </c>
      <c r="O268" s="148">
        <f t="shared" si="45"/>
        <v>0</v>
      </c>
      <c r="P268" s="148" t="s">
        <v>1379</v>
      </c>
      <c r="R268" s="148">
        <f t="shared" si="46"/>
        <v>0</v>
      </c>
      <c r="S268" s="148" t="s">
        <v>1379</v>
      </c>
      <c r="U268" s="148">
        <f t="shared" si="47"/>
        <v>0</v>
      </c>
    </row>
    <row r="269" spans="1:21" s="148" customFormat="1" ht="15.75" x14ac:dyDescent="0.25">
      <c r="A269" s="146" t="s">
        <v>868</v>
      </c>
      <c r="B269" s="147">
        <f t="shared" si="41"/>
        <v>0</v>
      </c>
      <c r="D269" s="148" t="s">
        <v>1379</v>
      </c>
      <c r="F269" s="148">
        <f t="shared" si="42"/>
        <v>0</v>
      </c>
      <c r="G269" s="148" t="s">
        <v>1379</v>
      </c>
      <c r="I269" s="148">
        <f t="shared" si="43"/>
        <v>0</v>
      </c>
      <c r="J269" s="148" t="s">
        <v>1379</v>
      </c>
      <c r="L269" s="148">
        <f t="shared" si="44"/>
        <v>0</v>
      </c>
      <c r="M269" s="148" t="s">
        <v>1379</v>
      </c>
      <c r="O269" s="148">
        <f t="shared" si="45"/>
        <v>0</v>
      </c>
      <c r="P269" s="148" t="s">
        <v>1379</v>
      </c>
      <c r="R269" s="148">
        <f t="shared" si="46"/>
        <v>0</v>
      </c>
      <c r="S269" s="148" t="s">
        <v>1379</v>
      </c>
      <c r="U269" s="148">
        <f t="shared" si="47"/>
        <v>0</v>
      </c>
    </row>
    <row r="270" spans="1:21" ht="15.75" x14ac:dyDescent="0.25">
      <c r="A270" s="131" t="s">
        <v>869</v>
      </c>
      <c r="B270" s="137">
        <f t="shared" si="41"/>
        <v>15</v>
      </c>
      <c r="D270" s="134" t="s">
        <v>1119</v>
      </c>
      <c r="E270">
        <v>1</v>
      </c>
      <c r="F270" s="134">
        <f t="shared" si="42"/>
        <v>0</v>
      </c>
      <c r="G270" s="134" t="s">
        <v>936</v>
      </c>
      <c r="H270" s="134">
        <v>1</v>
      </c>
      <c r="I270" s="134">
        <f t="shared" si="43"/>
        <v>15</v>
      </c>
      <c r="J270" s="134" t="s">
        <v>1379</v>
      </c>
      <c r="L270" s="134">
        <f t="shared" si="44"/>
        <v>0</v>
      </c>
      <c r="M270" s="134" t="s">
        <v>1379</v>
      </c>
      <c r="O270" s="134">
        <f t="shared" si="45"/>
        <v>0</v>
      </c>
      <c r="P270" s="134" t="s">
        <v>1379</v>
      </c>
      <c r="R270" s="134">
        <f t="shared" si="46"/>
        <v>0</v>
      </c>
      <c r="S270" s="134" t="s">
        <v>1379</v>
      </c>
      <c r="U270" s="134">
        <f t="shared" si="47"/>
        <v>0</v>
      </c>
    </row>
    <row r="271" spans="1:21" s="148" customFormat="1" ht="15.75" x14ac:dyDescent="0.25">
      <c r="A271" s="146" t="s">
        <v>870</v>
      </c>
      <c r="B271" s="147">
        <f t="shared" si="41"/>
        <v>0</v>
      </c>
      <c r="D271" s="148" t="s">
        <v>1379</v>
      </c>
      <c r="F271" s="148">
        <f t="shared" si="42"/>
        <v>0</v>
      </c>
      <c r="G271" s="148" t="s">
        <v>1379</v>
      </c>
      <c r="I271" s="148">
        <f t="shared" si="43"/>
        <v>0</v>
      </c>
      <c r="J271" s="148" t="s">
        <v>1379</v>
      </c>
      <c r="L271" s="148">
        <f t="shared" si="44"/>
        <v>0</v>
      </c>
      <c r="M271" s="148" t="s">
        <v>1379</v>
      </c>
      <c r="O271" s="148">
        <f t="shared" si="45"/>
        <v>0</v>
      </c>
      <c r="P271" s="148" t="s">
        <v>1379</v>
      </c>
      <c r="R271" s="148">
        <f t="shared" si="46"/>
        <v>0</v>
      </c>
      <c r="S271" s="148" t="s">
        <v>1379</v>
      </c>
      <c r="U271" s="148">
        <f t="shared" si="47"/>
        <v>0</v>
      </c>
    </row>
    <row r="272" spans="1:21" ht="15.75" x14ac:dyDescent="0.25">
      <c r="A272" s="131" t="s">
        <v>871</v>
      </c>
      <c r="B272" s="137">
        <f t="shared" si="41"/>
        <v>0</v>
      </c>
      <c r="D272" s="134" t="s">
        <v>1281</v>
      </c>
      <c r="E272">
        <v>3</v>
      </c>
      <c r="F272" s="134">
        <f t="shared" si="42"/>
        <v>0</v>
      </c>
      <c r="G272" s="134" t="s">
        <v>1297</v>
      </c>
      <c r="H272" s="134">
        <v>2</v>
      </c>
      <c r="I272" s="134">
        <f t="shared" si="43"/>
        <v>0</v>
      </c>
      <c r="J272" s="134" t="s">
        <v>1379</v>
      </c>
      <c r="L272" s="134">
        <f t="shared" si="44"/>
        <v>0</v>
      </c>
      <c r="M272" s="134" t="s">
        <v>1379</v>
      </c>
      <c r="O272" s="134">
        <f t="shared" si="45"/>
        <v>0</v>
      </c>
      <c r="P272" s="134" t="s">
        <v>1379</v>
      </c>
      <c r="R272" s="134">
        <f t="shared" si="46"/>
        <v>0</v>
      </c>
      <c r="S272" s="134" t="s">
        <v>1379</v>
      </c>
      <c r="U272" s="134">
        <f t="shared" si="47"/>
        <v>0</v>
      </c>
    </row>
    <row r="273" spans="1:21" ht="15.75" x14ac:dyDescent="0.25">
      <c r="A273" s="131" t="s">
        <v>872</v>
      </c>
      <c r="B273" s="137">
        <f t="shared" si="41"/>
        <v>2</v>
      </c>
      <c r="D273" s="134" t="s">
        <v>1093</v>
      </c>
      <c r="E273">
        <v>4</v>
      </c>
      <c r="F273" s="134">
        <f t="shared" si="42"/>
        <v>0</v>
      </c>
      <c r="G273" s="134" t="s">
        <v>873</v>
      </c>
      <c r="H273" s="134">
        <v>2</v>
      </c>
      <c r="I273" s="134">
        <f t="shared" si="43"/>
        <v>1</v>
      </c>
      <c r="J273" s="134" t="s">
        <v>1379</v>
      </c>
      <c r="L273" s="134">
        <f t="shared" si="44"/>
        <v>0</v>
      </c>
      <c r="M273" s="134" t="s">
        <v>1379</v>
      </c>
      <c r="O273" s="134">
        <f t="shared" si="45"/>
        <v>0</v>
      </c>
      <c r="P273" s="134" t="s">
        <v>1379</v>
      </c>
      <c r="R273" s="134">
        <f t="shared" si="46"/>
        <v>0</v>
      </c>
      <c r="S273" s="134" t="s">
        <v>1379</v>
      </c>
      <c r="U273" s="134">
        <f t="shared" si="47"/>
        <v>0</v>
      </c>
    </row>
    <row r="274" spans="1:21" ht="15.75" x14ac:dyDescent="0.25">
      <c r="A274" s="131" t="s">
        <v>873</v>
      </c>
      <c r="B274" s="137">
        <f>'ECONOMIA &amp; PROFESIONES'!E27</f>
        <v>1</v>
      </c>
      <c r="D274" s="134" t="s">
        <v>1379</v>
      </c>
      <c r="F274" s="134">
        <f t="shared" si="42"/>
        <v>0</v>
      </c>
      <c r="G274" s="134" t="s">
        <v>1379</v>
      </c>
      <c r="I274" s="134">
        <f t="shared" si="43"/>
        <v>0</v>
      </c>
      <c r="J274" s="134" t="s">
        <v>1379</v>
      </c>
      <c r="L274" s="134">
        <f t="shared" si="44"/>
        <v>0</v>
      </c>
      <c r="M274" s="134" t="s">
        <v>1379</v>
      </c>
      <c r="O274" s="134">
        <f t="shared" si="45"/>
        <v>0</v>
      </c>
      <c r="P274" s="134" t="s">
        <v>1379</v>
      </c>
      <c r="R274" s="134">
        <f t="shared" si="46"/>
        <v>0</v>
      </c>
      <c r="S274" s="134" t="s">
        <v>1379</v>
      </c>
      <c r="U274" s="134">
        <f t="shared" si="47"/>
        <v>0</v>
      </c>
    </row>
    <row r="275" spans="1:21" ht="15.75" x14ac:dyDescent="0.25">
      <c r="A275" s="131" t="s">
        <v>874</v>
      </c>
      <c r="B275" s="137">
        <f t="shared" si="41"/>
        <v>5</v>
      </c>
      <c r="D275" s="134" t="s">
        <v>962</v>
      </c>
      <c r="E275">
        <v>1</v>
      </c>
      <c r="F275" s="134">
        <f t="shared" si="42"/>
        <v>4</v>
      </c>
      <c r="G275" s="134" t="s">
        <v>873</v>
      </c>
      <c r="H275" s="134">
        <v>1</v>
      </c>
      <c r="I275" s="134">
        <f t="shared" si="43"/>
        <v>1</v>
      </c>
      <c r="J275" s="134" t="s">
        <v>1379</v>
      </c>
      <c r="L275" s="134">
        <f t="shared" si="44"/>
        <v>0</v>
      </c>
      <c r="M275" s="134" t="s">
        <v>1379</v>
      </c>
      <c r="O275" s="134">
        <f t="shared" si="45"/>
        <v>0</v>
      </c>
      <c r="P275" s="134" t="s">
        <v>1379</v>
      </c>
      <c r="R275" s="134">
        <f t="shared" si="46"/>
        <v>0</v>
      </c>
      <c r="S275" s="134" t="s">
        <v>1379</v>
      </c>
      <c r="U275" s="134">
        <f t="shared" si="47"/>
        <v>0</v>
      </c>
    </row>
    <row r="276" spans="1:21" ht="15.75" x14ac:dyDescent="0.25">
      <c r="A276" s="131" t="s">
        <v>875</v>
      </c>
      <c r="B276" s="137">
        <f t="shared" si="41"/>
        <v>0</v>
      </c>
      <c r="D276" s="134" t="s">
        <v>1119</v>
      </c>
      <c r="E276">
        <v>1</v>
      </c>
      <c r="F276" s="134">
        <f t="shared" si="42"/>
        <v>0</v>
      </c>
      <c r="G276" s="134" t="s">
        <v>1116</v>
      </c>
      <c r="H276" s="134">
        <v>1</v>
      </c>
      <c r="I276" s="134">
        <f t="shared" si="43"/>
        <v>0</v>
      </c>
      <c r="J276" s="134" t="s">
        <v>1379</v>
      </c>
      <c r="L276" s="134">
        <f t="shared" si="44"/>
        <v>0</v>
      </c>
      <c r="M276" s="134" t="s">
        <v>1379</v>
      </c>
      <c r="O276" s="134">
        <f t="shared" si="45"/>
        <v>0</v>
      </c>
      <c r="P276" s="134" t="s">
        <v>1379</v>
      </c>
      <c r="R276" s="134">
        <f t="shared" si="46"/>
        <v>0</v>
      </c>
      <c r="S276" s="134" t="s">
        <v>1379</v>
      </c>
      <c r="U276" s="134">
        <f t="shared" si="47"/>
        <v>0</v>
      </c>
    </row>
    <row r="277" spans="1:21" ht="15.75" x14ac:dyDescent="0.25">
      <c r="A277" s="131" t="s">
        <v>876</v>
      </c>
      <c r="B277" s="137">
        <f t="shared" si="41"/>
        <v>93</v>
      </c>
      <c r="D277" s="134" t="s">
        <v>690</v>
      </c>
      <c r="E277">
        <v>3</v>
      </c>
      <c r="F277" s="134">
        <f t="shared" si="42"/>
        <v>31</v>
      </c>
      <c r="G277" s="134" t="s">
        <v>1379</v>
      </c>
      <c r="I277" s="134">
        <f t="shared" si="43"/>
        <v>0</v>
      </c>
      <c r="J277" s="134" t="s">
        <v>1379</v>
      </c>
      <c r="L277" s="134">
        <f t="shared" si="44"/>
        <v>0</v>
      </c>
      <c r="M277" s="134" t="s">
        <v>1379</v>
      </c>
      <c r="O277" s="134">
        <f t="shared" si="45"/>
        <v>0</v>
      </c>
      <c r="P277" s="134" t="s">
        <v>1379</v>
      </c>
      <c r="R277" s="134">
        <f t="shared" si="46"/>
        <v>0</v>
      </c>
      <c r="S277" s="134" t="s">
        <v>1379</v>
      </c>
      <c r="U277" s="134">
        <f t="shared" si="47"/>
        <v>0</v>
      </c>
    </row>
    <row r="278" spans="1:21" ht="15.75" x14ac:dyDescent="0.25">
      <c r="A278" s="131" t="s">
        <v>877</v>
      </c>
      <c r="B278" s="137">
        <f t="shared" si="41"/>
        <v>8</v>
      </c>
      <c r="D278" s="134" t="s">
        <v>742</v>
      </c>
      <c r="E278">
        <v>8</v>
      </c>
      <c r="F278" s="134">
        <f t="shared" si="42"/>
        <v>1</v>
      </c>
      <c r="G278" s="134" t="s">
        <v>1379</v>
      </c>
      <c r="I278" s="134">
        <f t="shared" si="43"/>
        <v>0</v>
      </c>
      <c r="J278" s="134" t="s">
        <v>1379</v>
      </c>
      <c r="L278" s="134">
        <f t="shared" si="44"/>
        <v>0</v>
      </c>
      <c r="M278" s="134" t="s">
        <v>1379</v>
      </c>
      <c r="O278" s="134">
        <f t="shared" si="45"/>
        <v>0</v>
      </c>
      <c r="P278" s="134" t="s">
        <v>1379</v>
      </c>
      <c r="R278" s="134">
        <f t="shared" si="46"/>
        <v>0</v>
      </c>
      <c r="S278" s="134" t="s">
        <v>1379</v>
      </c>
      <c r="U278" s="134">
        <f t="shared" si="47"/>
        <v>0</v>
      </c>
    </row>
    <row r="279" spans="1:21" ht="15.75" x14ac:dyDescent="0.25">
      <c r="A279" s="131" t="s">
        <v>878</v>
      </c>
      <c r="B279" s="137">
        <f t="shared" si="41"/>
        <v>28</v>
      </c>
      <c r="D279" s="134" t="s">
        <v>877</v>
      </c>
      <c r="E279">
        <v>1</v>
      </c>
      <c r="F279" s="134">
        <f t="shared" si="42"/>
        <v>8</v>
      </c>
      <c r="G279" s="134" t="s">
        <v>1060</v>
      </c>
      <c r="H279" s="134">
        <v>1</v>
      </c>
      <c r="I279" s="134">
        <f t="shared" si="43"/>
        <v>20</v>
      </c>
      <c r="J279" s="134" t="s">
        <v>1379</v>
      </c>
      <c r="L279" s="134">
        <f t="shared" si="44"/>
        <v>0</v>
      </c>
      <c r="M279" s="134" t="s">
        <v>1379</v>
      </c>
      <c r="O279" s="134">
        <f t="shared" si="45"/>
        <v>0</v>
      </c>
      <c r="P279" s="134" t="s">
        <v>1379</v>
      </c>
      <c r="R279" s="134">
        <f t="shared" si="46"/>
        <v>0</v>
      </c>
      <c r="S279" s="134" t="s">
        <v>1379</v>
      </c>
      <c r="U279" s="134">
        <f t="shared" si="47"/>
        <v>0</v>
      </c>
    </row>
    <row r="280" spans="1:21" ht="15.75" x14ac:dyDescent="0.25">
      <c r="A280" s="131" t="s">
        <v>879</v>
      </c>
      <c r="B280" s="137">
        <f>'ECONOMIA &amp; PROFESIONES'!G54</f>
        <v>13.5</v>
      </c>
      <c r="D280" s="134" t="s">
        <v>1379</v>
      </c>
      <c r="F280" s="134">
        <f t="shared" si="42"/>
        <v>0</v>
      </c>
      <c r="G280" s="134" t="s">
        <v>1379</v>
      </c>
      <c r="I280" s="134">
        <f t="shared" si="43"/>
        <v>0</v>
      </c>
      <c r="J280" s="134" t="s">
        <v>1379</v>
      </c>
      <c r="L280" s="134">
        <f t="shared" si="44"/>
        <v>0</v>
      </c>
      <c r="M280" s="134" t="s">
        <v>1379</v>
      </c>
      <c r="O280" s="134">
        <f t="shared" si="45"/>
        <v>0</v>
      </c>
      <c r="P280" s="134" t="s">
        <v>1379</v>
      </c>
      <c r="R280" s="134">
        <f t="shared" si="46"/>
        <v>0</v>
      </c>
      <c r="S280" s="134" t="s">
        <v>1379</v>
      </c>
      <c r="U280" s="134">
        <f t="shared" si="47"/>
        <v>0</v>
      </c>
    </row>
    <row r="281" spans="1:21" ht="15.75" x14ac:dyDescent="0.25">
      <c r="A281" s="131" t="s">
        <v>880</v>
      </c>
      <c r="B281" s="137">
        <f t="shared" si="41"/>
        <v>3</v>
      </c>
      <c r="D281" s="134" t="s">
        <v>1229</v>
      </c>
      <c r="E281">
        <v>1</v>
      </c>
      <c r="F281" s="134">
        <f t="shared" si="42"/>
        <v>0</v>
      </c>
      <c r="G281" s="134" t="s">
        <v>738</v>
      </c>
      <c r="H281" s="134">
        <v>1</v>
      </c>
      <c r="I281" s="134">
        <f t="shared" si="43"/>
        <v>3</v>
      </c>
      <c r="J281" s="134" t="s">
        <v>1379</v>
      </c>
      <c r="L281" s="134">
        <f t="shared" si="44"/>
        <v>0</v>
      </c>
      <c r="M281" s="134" t="s">
        <v>1379</v>
      </c>
      <c r="O281" s="134">
        <f t="shared" si="45"/>
        <v>0</v>
      </c>
      <c r="P281" s="134" t="s">
        <v>1379</v>
      </c>
      <c r="R281" s="134">
        <f t="shared" si="46"/>
        <v>0</v>
      </c>
      <c r="S281" s="134" t="s">
        <v>1379</v>
      </c>
      <c r="U281" s="134">
        <f t="shared" si="47"/>
        <v>0</v>
      </c>
    </row>
    <row r="282" spans="1:21" ht="15.75" x14ac:dyDescent="0.25">
      <c r="A282" s="131" t="s">
        <v>881</v>
      </c>
      <c r="B282" s="137">
        <f t="shared" si="41"/>
        <v>9</v>
      </c>
      <c r="D282" s="134" t="s">
        <v>880</v>
      </c>
      <c r="E282">
        <v>3</v>
      </c>
      <c r="F282" s="134">
        <f t="shared" si="42"/>
        <v>3</v>
      </c>
      <c r="G282" s="134" t="s">
        <v>1379</v>
      </c>
      <c r="I282" s="134">
        <f t="shared" si="43"/>
        <v>0</v>
      </c>
      <c r="J282" s="134" t="s">
        <v>1379</v>
      </c>
      <c r="L282" s="134">
        <f t="shared" si="44"/>
        <v>0</v>
      </c>
      <c r="M282" s="134" t="s">
        <v>1379</v>
      </c>
      <c r="O282" s="134">
        <f t="shared" si="45"/>
        <v>0</v>
      </c>
      <c r="P282" s="134" t="s">
        <v>1379</v>
      </c>
      <c r="R282" s="134">
        <f t="shared" si="46"/>
        <v>0</v>
      </c>
      <c r="S282" s="134" t="s">
        <v>1379</v>
      </c>
      <c r="U282" s="134">
        <f t="shared" si="47"/>
        <v>0</v>
      </c>
    </row>
    <row r="283" spans="1:21" ht="15.75" x14ac:dyDescent="0.25">
      <c r="A283" s="131" t="s">
        <v>882</v>
      </c>
      <c r="B283" s="137">
        <f t="shared" si="41"/>
        <v>18</v>
      </c>
      <c r="D283" s="134" t="s">
        <v>880</v>
      </c>
      <c r="E283">
        <v>6</v>
      </c>
      <c r="F283" s="134">
        <f t="shared" si="42"/>
        <v>3</v>
      </c>
      <c r="G283" s="134" t="s">
        <v>1379</v>
      </c>
      <c r="I283" s="134">
        <f t="shared" si="43"/>
        <v>0</v>
      </c>
      <c r="J283" s="134" t="s">
        <v>1379</v>
      </c>
      <c r="L283" s="134">
        <f t="shared" si="44"/>
        <v>0</v>
      </c>
      <c r="M283" s="134" t="s">
        <v>1379</v>
      </c>
      <c r="O283" s="134">
        <f t="shared" si="45"/>
        <v>0</v>
      </c>
      <c r="P283" s="134" t="s">
        <v>1379</v>
      </c>
      <c r="R283" s="134">
        <f t="shared" si="46"/>
        <v>0</v>
      </c>
      <c r="S283" s="134" t="s">
        <v>1379</v>
      </c>
      <c r="U283" s="134">
        <f t="shared" si="47"/>
        <v>0</v>
      </c>
    </row>
    <row r="284" spans="1:21" ht="15.75" x14ac:dyDescent="0.25">
      <c r="A284" s="131" t="s">
        <v>883</v>
      </c>
      <c r="B284" s="137">
        <f t="shared" si="41"/>
        <v>1.2222222222222221</v>
      </c>
      <c r="D284" s="134" t="s">
        <v>1059</v>
      </c>
      <c r="E284">
        <v>1</v>
      </c>
      <c r="F284" s="134">
        <f t="shared" si="42"/>
        <v>0.33333333333333331</v>
      </c>
      <c r="G284" s="134" t="s">
        <v>889</v>
      </c>
      <c r="H284" s="134">
        <v>1</v>
      </c>
      <c r="I284" s="134">
        <f t="shared" si="43"/>
        <v>0.88888888888888884</v>
      </c>
      <c r="J284" s="134" t="s">
        <v>1379</v>
      </c>
      <c r="L284" s="134">
        <f t="shared" si="44"/>
        <v>0</v>
      </c>
      <c r="M284" s="134" t="s">
        <v>1379</v>
      </c>
      <c r="O284" s="134">
        <f t="shared" si="45"/>
        <v>0</v>
      </c>
      <c r="P284" s="134" t="s">
        <v>1379</v>
      </c>
      <c r="R284" s="134">
        <f t="shared" si="46"/>
        <v>0</v>
      </c>
      <c r="S284" s="134" t="s">
        <v>1379</v>
      </c>
      <c r="U284" s="134">
        <f t="shared" si="47"/>
        <v>0</v>
      </c>
    </row>
    <row r="285" spans="1:21" s="148" customFormat="1" ht="15.75" x14ac:dyDescent="0.25">
      <c r="A285" s="146" t="s">
        <v>884</v>
      </c>
      <c r="B285" s="147">
        <f t="shared" si="41"/>
        <v>0</v>
      </c>
      <c r="D285" s="148" t="s">
        <v>1379</v>
      </c>
      <c r="F285" s="148">
        <f t="shared" si="42"/>
        <v>0</v>
      </c>
      <c r="G285" s="148" t="s">
        <v>1379</v>
      </c>
      <c r="I285" s="148">
        <f t="shared" si="43"/>
        <v>0</v>
      </c>
      <c r="J285" s="148" t="s">
        <v>1379</v>
      </c>
      <c r="L285" s="148">
        <f t="shared" si="44"/>
        <v>0</v>
      </c>
      <c r="M285" s="148" t="s">
        <v>1379</v>
      </c>
      <c r="O285" s="148">
        <f t="shared" si="45"/>
        <v>0</v>
      </c>
      <c r="P285" s="148" t="s">
        <v>1379</v>
      </c>
      <c r="R285" s="148">
        <f t="shared" si="46"/>
        <v>0</v>
      </c>
      <c r="S285" s="148" t="s">
        <v>1379</v>
      </c>
      <c r="U285" s="148">
        <f t="shared" si="47"/>
        <v>0</v>
      </c>
    </row>
    <row r="286" spans="1:21" ht="15.75" x14ac:dyDescent="0.25">
      <c r="A286" s="131" t="s">
        <v>885</v>
      </c>
      <c r="B286" s="137">
        <f t="shared" si="41"/>
        <v>36</v>
      </c>
      <c r="D286" s="134" t="s">
        <v>886</v>
      </c>
      <c r="E286">
        <v>4</v>
      </c>
      <c r="F286" s="134">
        <f t="shared" si="42"/>
        <v>9</v>
      </c>
      <c r="G286" s="134" t="s">
        <v>1379</v>
      </c>
      <c r="I286" s="134">
        <f t="shared" si="43"/>
        <v>0</v>
      </c>
      <c r="J286" s="134" t="s">
        <v>1379</v>
      </c>
      <c r="L286" s="134">
        <f t="shared" si="44"/>
        <v>0</v>
      </c>
      <c r="M286" s="134" t="s">
        <v>1379</v>
      </c>
      <c r="O286" s="134">
        <f t="shared" si="45"/>
        <v>0</v>
      </c>
      <c r="P286" s="134" t="s">
        <v>1379</v>
      </c>
      <c r="R286" s="134">
        <f t="shared" si="46"/>
        <v>0</v>
      </c>
      <c r="S286" s="134" t="s">
        <v>1379</v>
      </c>
      <c r="U286" s="134">
        <f t="shared" si="47"/>
        <v>0</v>
      </c>
    </row>
    <row r="287" spans="1:21" s="145" customFormat="1" ht="15.75" x14ac:dyDescent="0.25">
      <c r="A287" s="143" t="s">
        <v>886</v>
      </c>
      <c r="B287" s="144">
        <f>'ECONOMIA &amp; PROFESIONES'!E35</f>
        <v>9</v>
      </c>
      <c r="D287" s="145" t="s">
        <v>1379</v>
      </c>
      <c r="F287" s="145">
        <f t="shared" si="42"/>
        <v>0</v>
      </c>
      <c r="G287" s="145" t="s">
        <v>1379</v>
      </c>
      <c r="I287" s="145">
        <f t="shared" si="43"/>
        <v>0</v>
      </c>
      <c r="J287" s="145" t="s">
        <v>1379</v>
      </c>
      <c r="L287" s="145">
        <f t="shared" si="44"/>
        <v>0</v>
      </c>
      <c r="M287" s="145" t="s">
        <v>1379</v>
      </c>
      <c r="O287" s="145">
        <f t="shared" si="45"/>
        <v>0</v>
      </c>
      <c r="P287" s="145" t="s">
        <v>1379</v>
      </c>
      <c r="R287" s="145">
        <f t="shared" si="46"/>
        <v>0</v>
      </c>
      <c r="S287" s="145" t="s">
        <v>1379</v>
      </c>
      <c r="U287" s="145">
        <f t="shared" si="47"/>
        <v>0</v>
      </c>
    </row>
    <row r="288" spans="1:21" ht="15.75" x14ac:dyDescent="0.25">
      <c r="A288" s="131" t="s">
        <v>887</v>
      </c>
      <c r="B288" s="137">
        <f t="shared" si="41"/>
        <v>72</v>
      </c>
      <c r="D288" s="134" t="s">
        <v>888</v>
      </c>
      <c r="E288">
        <v>9</v>
      </c>
      <c r="F288" s="134">
        <f t="shared" si="42"/>
        <v>8</v>
      </c>
      <c r="G288" s="134" t="s">
        <v>1379</v>
      </c>
      <c r="I288" s="134">
        <f t="shared" si="43"/>
        <v>0</v>
      </c>
      <c r="J288" s="134" t="s">
        <v>1379</v>
      </c>
      <c r="L288" s="134">
        <f t="shared" si="44"/>
        <v>0</v>
      </c>
      <c r="M288" s="134" t="s">
        <v>1379</v>
      </c>
      <c r="O288" s="134">
        <f t="shared" si="45"/>
        <v>0</v>
      </c>
      <c r="P288" s="134" t="s">
        <v>1379</v>
      </c>
      <c r="R288" s="134">
        <f t="shared" si="46"/>
        <v>0</v>
      </c>
      <c r="S288" s="134" t="s">
        <v>1379</v>
      </c>
      <c r="U288" s="134">
        <f t="shared" si="47"/>
        <v>0</v>
      </c>
    </row>
    <row r="289" spans="1:21" ht="15.75" x14ac:dyDescent="0.25">
      <c r="A289" s="131" t="s">
        <v>888</v>
      </c>
      <c r="B289" s="137">
        <f>'ECONOMIA &amp; PROFESIONES'!B19</f>
        <v>8</v>
      </c>
      <c r="D289" s="134" t="s">
        <v>1379</v>
      </c>
      <c r="F289" s="134">
        <f t="shared" si="42"/>
        <v>0</v>
      </c>
      <c r="G289" s="134" t="s">
        <v>1379</v>
      </c>
      <c r="I289" s="134">
        <f t="shared" si="43"/>
        <v>0</v>
      </c>
      <c r="J289" s="134" t="s">
        <v>1379</v>
      </c>
      <c r="L289" s="134">
        <f t="shared" si="44"/>
        <v>0</v>
      </c>
      <c r="M289" s="134" t="s">
        <v>1379</v>
      </c>
      <c r="O289" s="134">
        <f t="shared" si="45"/>
        <v>0</v>
      </c>
      <c r="P289" s="134" t="s">
        <v>1379</v>
      </c>
      <c r="R289" s="134">
        <f t="shared" si="46"/>
        <v>0</v>
      </c>
      <c r="S289" s="134" t="s">
        <v>1379</v>
      </c>
      <c r="U289" s="134">
        <f t="shared" si="47"/>
        <v>0</v>
      </c>
    </row>
    <row r="290" spans="1:21" ht="15.75" x14ac:dyDescent="0.25">
      <c r="A290" s="131" t="s">
        <v>889</v>
      </c>
      <c r="B290" s="137">
        <f>B289/9</f>
        <v>0.88888888888888884</v>
      </c>
      <c r="D290" s="134" t="s">
        <v>1379</v>
      </c>
      <c r="F290" s="134">
        <f t="shared" si="42"/>
        <v>0</v>
      </c>
      <c r="G290" s="134" t="s">
        <v>1379</v>
      </c>
      <c r="I290" s="134">
        <f t="shared" si="43"/>
        <v>0</v>
      </c>
      <c r="J290" s="134" t="s">
        <v>1379</v>
      </c>
      <c r="L290" s="134">
        <f t="shared" si="44"/>
        <v>0</v>
      </c>
      <c r="M290" s="134" t="s">
        <v>1379</v>
      </c>
      <c r="O290" s="134">
        <f t="shared" si="45"/>
        <v>0</v>
      </c>
      <c r="P290" s="134" t="s">
        <v>1379</v>
      </c>
      <c r="R290" s="134">
        <f t="shared" si="46"/>
        <v>0</v>
      </c>
      <c r="S290" s="134" t="s">
        <v>1379</v>
      </c>
      <c r="U290" s="134">
        <f t="shared" si="47"/>
        <v>0</v>
      </c>
    </row>
    <row r="291" spans="1:21" ht="15.75" x14ac:dyDescent="0.25">
      <c r="A291" s="131" t="s">
        <v>890</v>
      </c>
      <c r="B291" s="137">
        <f>'ECONOMIA &amp; PROFESIONES'!B19</f>
        <v>8</v>
      </c>
      <c r="D291" s="134" t="s">
        <v>1379</v>
      </c>
      <c r="F291" s="134">
        <f t="shared" si="42"/>
        <v>0</v>
      </c>
      <c r="G291" s="134" t="s">
        <v>1379</v>
      </c>
      <c r="I291" s="134">
        <f t="shared" si="43"/>
        <v>0</v>
      </c>
      <c r="J291" s="134" t="s">
        <v>1379</v>
      </c>
      <c r="L291" s="134">
        <f t="shared" si="44"/>
        <v>0</v>
      </c>
      <c r="M291" s="134" t="s">
        <v>1379</v>
      </c>
      <c r="O291" s="134">
        <f t="shared" si="45"/>
        <v>0</v>
      </c>
      <c r="P291" s="134" t="s">
        <v>1379</v>
      </c>
      <c r="R291" s="134">
        <f t="shared" si="46"/>
        <v>0</v>
      </c>
      <c r="S291" s="134" t="s">
        <v>1379</v>
      </c>
      <c r="U291" s="134">
        <f t="shared" si="47"/>
        <v>0</v>
      </c>
    </row>
    <row r="292" spans="1:21" ht="15.75" x14ac:dyDescent="0.25">
      <c r="A292" s="131" t="s">
        <v>891</v>
      </c>
      <c r="B292" s="137">
        <f t="shared" si="41"/>
        <v>65</v>
      </c>
      <c r="D292" s="134" t="s">
        <v>888</v>
      </c>
      <c r="E292">
        <v>8</v>
      </c>
      <c r="F292" s="134">
        <f t="shared" si="42"/>
        <v>8</v>
      </c>
      <c r="G292" s="134" t="s">
        <v>616</v>
      </c>
      <c r="H292" s="134">
        <v>1</v>
      </c>
      <c r="I292" s="134">
        <f t="shared" si="43"/>
        <v>1</v>
      </c>
      <c r="J292" s="134" t="s">
        <v>1379</v>
      </c>
      <c r="L292" s="134">
        <f t="shared" si="44"/>
        <v>0</v>
      </c>
      <c r="M292" s="134" t="s">
        <v>1379</v>
      </c>
      <c r="O292" s="134">
        <f t="shared" si="45"/>
        <v>0</v>
      </c>
      <c r="P292" s="134" t="s">
        <v>1379</v>
      </c>
      <c r="R292" s="134">
        <f t="shared" si="46"/>
        <v>0</v>
      </c>
      <c r="S292" s="134" t="s">
        <v>1379</v>
      </c>
      <c r="U292" s="134">
        <f t="shared" si="47"/>
        <v>0</v>
      </c>
    </row>
    <row r="293" spans="1:21" ht="15.75" x14ac:dyDescent="0.25">
      <c r="A293" s="131" t="s">
        <v>892</v>
      </c>
      <c r="B293" s="137">
        <f t="shared" si="41"/>
        <v>24</v>
      </c>
      <c r="D293" s="134" t="s">
        <v>888</v>
      </c>
      <c r="E293">
        <v>3</v>
      </c>
      <c r="F293" s="134">
        <f t="shared" si="42"/>
        <v>8</v>
      </c>
      <c r="G293" s="134" t="s">
        <v>1281</v>
      </c>
      <c r="H293" s="134">
        <v>2</v>
      </c>
      <c r="I293" s="134">
        <f t="shared" si="43"/>
        <v>0</v>
      </c>
      <c r="J293" s="134" t="s">
        <v>1379</v>
      </c>
      <c r="L293" s="134">
        <f t="shared" si="44"/>
        <v>0</v>
      </c>
      <c r="M293" s="134" t="s">
        <v>1379</v>
      </c>
      <c r="O293" s="134">
        <f t="shared" si="45"/>
        <v>0</v>
      </c>
      <c r="P293" s="134" t="s">
        <v>1379</v>
      </c>
      <c r="R293" s="134">
        <f t="shared" si="46"/>
        <v>0</v>
      </c>
      <c r="S293" s="134" t="s">
        <v>1379</v>
      </c>
      <c r="U293" s="134">
        <f t="shared" si="47"/>
        <v>0</v>
      </c>
    </row>
    <row r="294" spans="1:21" ht="15.75" x14ac:dyDescent="0.25">
      <c r="A294" s="131" t="s">
        <v>893</v>
      </c>
      <c r="B294" s="137">
        <f t="shared" si="41"/>
        <v>32</v>
      </c>
      <c r="D294" s="134" t="s">
        <v>888</v>
      </c>
      <c r="E294">
        <v>4</v>
      </c>
      <c r="F294" s="134">
        <f t="shared" si="42"/>
        <v>8</v>
      </c>
      <c r="G294" s="134" t="s">
        <v>1379</v>
      </c>
      <c r="I294" s="134">
        <f t="shared" si="43"/>
        <v>0</v>
      </c>
      <c r="J294" s="134" t="s">
        <v>1379</v>
      </c>
      <c r="L294" s="134">
        <f t="shared" si="44"/>
        <v>0</v>
      </c>
      <c r="M294" s="134" t="s">
        <v>1379</v>
      </c>
      <c r="O294" s="134">
        <f t="shared" si="45"/>
        <v>0</v>
      </c>
      <c r="P294" s="134" t="s">
        <v>1379</v>
      </c>
      <c r="R294" s="134">
        <f t="shared" si="46"/>
        <v>0</v>
      </c>
      <c r="S294" s="134" t="s">
        <v>1379</v>
      </c>
      <c r="U294" s="134">
        <f t="shared" si="47"/>
        <v>0</v>
      </c>
    </row>
    <row r="295" spans="1:21" ht="15.75" x14ac:dyDescent="0.25">
      <c r="A295" s="131" t="s">
        <v>894</v>
      </c>
      <c r="B295" s="137">
        <f t="shared" si="41"/>
        <v>12.111111111111111</v>
      </c>
      <c r="D295" s="134" t="s">
        <v>889</v>
      </c>
      <c r="E295">
        <v>8</v>
      </c>
      <c r="F295" s="134">
        <f t="shared" si="42"/>
        <v>0.88888888888888884</v>
      </c>
      <c r="G295" s="134" t="s">
        <v>715</v>
      </c>
      <c r="H295" s="134">
        <v>1</v>
      </c>
      <c r="I295" s="134">
        <f t="shared" si="43"/>
        <v>5</v>
      </c>
      <c r="J295" s="134" t="s">
        <v>1379</v>
      </c>
      <c r="L295" s="134">
        <f t="shared" si="44"/>
        <v>0</v>
      </c>
      <c r="M295" s="134" t="s">
        <v>1379</v>
      </c>
      <c r="O295" s="134">
        <f t="shared" si="45"/>
        <v>0</v>
      </c>
      <c r="P295" s="134" t="s">
        <v>1379</v>
      </c>
      <c r="R295" s="134">
        <f t="shared" si="46"/>
        <v>0</v>
      </c>
      <c r="S295" s="134" t="s">
        <v>1379</v>
      </c>
      <c r="U295" s="134">
        <f t="shared" si="47"/>
        <v>0</v>
      </c>
    </row>
    <row r="296" spans="1:21" ht="15.75" x14ac:dyDescent="0.25">
      <c r="A296" s="131" t="s">
        <v>895</v>
      </c>
      <c r="B296" s="137">
        <f t="shared" si="41"/>
        <v>64</v>
      </c>
      <c r="D296" s="134" t="s">
        <v>888</v>
      </c>
      <c r="E296">
        <v>8</v>
      </c>
      <c r="F296" s="134">
        <f t="shared" si="42"/>
        <v>8</v>
      </c>
      <c r="G296" s="134" t="s">
        <v>1379</v>
      </c>
      <c r="I296" s="134">
        <f t="shared" si="43"/>
        <v>0</v>
      </c>
      <c r="J296" s="134" t="s">
        <v>1379</v>
      </c>
      <c r="L296" s="134">
        <f t="shared" si="44"/>
        <v>0</v>
      </c>
      <c r="M296" s="134" t="s">
        <v>1379</v>
      </c>
      <c r="O296" s="134">
        <f t="shared" si="45"/>
        <v>0</v>
      </c>
      <c r="P296" s="134" t="s">
        <v>1379</v>
      </c>
      <c r="R296" s="134">
        <f t="shared" si="46"/>
        <v>0</v>
      </c>
      <c r="S296" s="134" t="s">
        <v>1379</v>
      </c>
      <c r="U296" s="134">
        <f t="shared" si="47"/>
        <v>0</v>
      </c>
    </row>
    <row r="297" spans="1:21" ht="15.75" x14ac:dyDescent="0.25">
      <c r="A297" s="131" t="s">
        <v>896</v>
      </c>
      <c r="B297" s="137">
        <f t="shared" si="41"/>
        <v>64</v>
      </c>
      <c r="D297" s="134" t="s">
        <v>888</v>
      </c>
      <c r="E297">
        <v>8</v>
      </c>
      <c r="F297" s="134">
        <f t="shared" si="42"/>
        <v>8</v>
      </c>
      <c r="G297" s="134" t="s">
        <v>1379</v>
      </c>
      <c r="I297" s="134">
        <f t="shared" si="43"/>
        <v>0</v>
      </c>
      <c r="J297" s="134" t="s">
        <v>1379</v>
      </c>
      <c r="L297" s="134">
        <f t="shared" si="44"/>
        <v>0</v>
      </c>
      <c r="M297" s="134" t="s">
        <v>1379</v>
      </c>
      <c r="O297" s="134">
        <f t="shared" si="45"/>
        <v>0</v>
      </c>
      <c r="P297" s="134" t="s">
        <v>1379</v>
      </c>
      <c r="R297" s="134">
        <f t="shared" si="46"/>
        <v>0</v>
      </c>
      <c r="S297" s="134" t="s">
        <v>1379</v>
      </c>
      <c r="U297" s="134">
        <f t="shared" si="47"/>
        <v>0</v>
      </c>
    </row>
    <row r="298" spans="1:21" ht="15.75" x14ac:dyDescent="0.25">
      <c r="A298" s="131" t="s">
        <v>897</v>
      </c>
      <c r="B298" s="137">
        <f t="shared" si="41"/>
        <v>8</v>
      </c>
      <c r="D298" s="134" t="s">
        <v>888</v>
      </c>
      <c r="E298">
        <v>1</v>
      </c>
      <c r="F298" s="134">
        <f t="shared" si="42"/>
        <v>8</v>
      </c>
      <c r="G298" s="134" t="s">
        <v>1281</v>
      </c>
      <c r="H298" s="134">
        <v>2</v>
      </c>
      <c r="I298" s="134">
        <f t="shared" si="43"/>
        <v>0</v>
      </c>
      <c r="J298" s="134" t="s">
        <v>1379</v>
      </c>
      <c r="L298" s="134">
        <f t="shared" si="44"/>
        <v>0</v>
      </c>
      <c r="M298" s="134" t="s">
        <v>1379</v>
      </c>
      <c r="O298" s="134">
        <f t="shared" si="45"/>
        <v>0</v>
      </c>
      <c r="P298" s="134" t="s">
        <v>1379</v>
      </c>
      <c r="R298" s="134">
        <f t="shared" si="46"/>
        <v>0</v>
      </c>
      <c r="S298" s="134" t="s">
        <v>1379</v>
      </c>
      <c r="U298" s="134">
        <f t="shared" si="47"/>
        <v>0</v>
      </c>
    </row>
    <row r="299" spans="1:21" s="148" customFormat="1" ht="15.75" x14ac:dyDescent="0.25">
      <c r="A299" s="146" t="s">
        <v>898</v>
      </c>
      <c r="B299" s="147">
        <f t="shared" si="41"/>
        <v>0</v>
      </c>
      <c r="D299" s="148" t="s">
        <v>1379</v>
      </c>
      <c r="F299" s="148">
        <f t="shared" si="42"/>
        <v>0</v>
      </c>
      <c r="G299" s="148" t="s">
        <v>1379</v>
      </c>
      <c r="I299" s="148">
        <f t="shared" si="43"/>
        <v>0</v>
      </c>
      <c r="J299" s="148" t="s">
        <v>1379</v>
      </c>
      <c r="L299" s="148">
        <f t="shared" si="44"/>
        <v>0</v>
      </c>
      <c r="M299" s="148" t="s">
        <v>1379</v>
      </c>
      <c r="O299" s="148">
        <f t="shared" si="45"/>
        <v>0</v>
      </c>
      <c r="P299" s="148" t="s">
        <v>1379</v>
      </c>
      <c r="R299" s="148">
        <f t="shared" si="46"/>
        <v>0</v>
      </c>
      <c r="S299" s="148" t="s">
        <v>1379</v>
      </c>
      <c r="U299" s="148">
        <f t="shared" si="47"/>
        <v>0</v>
      </c>
    </row>
    <row r="300" spans="1:21" ht="15.75" x14ac:dyDescent="0.25">
      <c r="A300" s="131" t="s">
        <v>899</v>
      </c>
      <c r="B300" s="137">
        <f t="shared" si="41"/>
        <v>56</v>
      </c>
      <c r="D300" s="134" t="s">
        <v>888</v>
      </c>
      <c r="E300">
        <v>7</v>
      </c>
      <c r="F300" s="134">
        <f t="shared" si="42"/>
        <v>8</v>
      </c>
      <c r="G300" s="134" t="s">
        <v>1379</v>
      </c>
      <c r="I300" s="134">
        <f t="shared" si="43"/>
        <v>0</v>
      </c>
      <c r="J300" s="134" t="s">
        <v>1379</v>
      </c>
      <c r="L300" s="134">
        <f t="shared" si="44"/>
        <v>0</v>
      </c>
      <c r="M300" s="134" t="s">
        <v>1379</v>
      </c>
      <c r="O300" s="134">
        <f t="shared" si="45"/>
        <v>0</v>
      </c>
      <c r="P300" s="134" t="s">
        <v>1379</v>
      </c>
      <c r="R300" s="134">
        <f t="shared" si="46"/>
        <v>0</v>
      </c>
      <c r="S300" s="134" t="s">
        <v>1379</v>
      </c>
      <c r="U300" s="134">
        <f t="shared" si="47"/>
        <v>0</v>
      </c>
    </row>
    <row r="301" spans="1:21" ht="15.75" x14ac:dyDescent="0.25">
      <c r="A301" s="131" t="s">
        <v>900</v>
      </c>
      <c r="B301" s="137">
        <f t="shared" si="41"/>
        <v>24</v>
      </c>
      <c r="D301" s="134" t="s">
        <v>888</v>
      </c>
      <c r="E301">
        <v>3</v>
      </c>
      <c r="F301" s="134">
        <f t="shared" si="42"/>
        <v>8</v>
      </c>
      <c r="G301" s="134" t="s">
        <v>1281</v>
      </c>
      <c r="H301" s="134">
        <v>2</v>
      </c>
      <c r="I301" s="134">
        <f t="shared" si="43"/>
        <v>0</v>
      </c>
      <c r="J301" s="134" t="s">
        <v>1379</v>
      </c>
      <c r="L301" s="134">
        <f t="shared" si="44"/>
        <v>0</v>
      </c>
      <c r="M301" s="134" t="s">
        <v>1379</v>
      </c>
      <c r="O301" s="134">
        <f t="shared" si="45"/>
        <v>0</v>
      </c>
      <c r="P301" s="134" t="s">
        <v>1379</v>
      </c>
      <c r="R301" s="134">
        <f t="shared" si="46"/>
        <v>0</v>
      </c>
      <c r="S301" s="134" t="s">
        <v>1379</v>
      </c>
      <c r="U301" s="134">
        <f t="shared" si="47"/>
        <v>0</v>
      </c>
    </row>
    <row r="302" spans="1:21" ht="15.75" x14ac:dyDescent="0.25">
      <c r="A302" s="131" t="s">
        <v>901</v>
      </c>
      <c r="B302" s="137">
        <f t="shared" si="41"/>
        <v>8</v>
      </c>
      <c r="D302" s="134" t="s">
        <v>888</v>
      </c>
      <c r="E302">
        <v>1</v>
      </c>
      <c r="F302" s="134">
        <f t="shared" si="42"/>
        <v>8</v>
      </c>
      <c r="G302" s="134" t="s">
        <v>1281</v>
      </c>
      <c r="H302" s="134">
        <v>2</v>
      </c>
      <c r="I302" s="134">
        <f t="shared" si="43"/>
        <v>0</v>
      </c>
      <c r="J302" s="134" t="s">
        <v>1379</v>
      </c>
      <c r="L302" s="134">
        <f t="shared" si="44"/>
        <v>0</v>
      </c>
      <c r="M302" s="134" t="s">
        <v>1379</v>
      </c>
      <c r="O302" s="134">
        <f t="shared" si="45"/>
        <v>0</v>
      </c>
      <c r="P302" s="134" t="s">
        <v>1379</v>
      </c>
      <c r="R302" s="134">
        <f t="shared" si="46"/>
        <v>0</v>
      </c>
      <c r="S302" s="134" t="s">
        <v>1379</v>
      </c>
      <c r="U302" s="134">
        <f t="shared" si="47"/>
        <v>0</v>
      </c>
    </row>
    <row r="303" spans="1:21" ht="15.75" x14ac:dyDescent="0.25">
      <c r="A303" s="131" t="s">
        <v>902</v>
      </c>
      <c r="B303" s="137">
        <f t="shared" si="41"/>
        <v>16</v>
      </c>
      <c r="D303" s="134" t="s">
        <v>888</v>
      </c>
      <c r="E303">
        <v>2</v>
      </c>
      <c r="F303" s="134">
        <f t="shared" si="42"/>
        <v>8</v>
      </c>
      <c r="G303" s="134" t="s">
        <v>1281</v>
      </c>
      <c r="H303" s="134">
        <v>1</v>
      </c>
      <c r="I303" s="134">
        <f t="shared" si="43"/>
        <v>0</v>
      </c>
      <c r="J303" s="134" t="s">
        <v>1379</v>
      </c>
      <c r="L303" s="134">
        <f t="shared" si="44"/>
        <v>0</v>
      </c>
      <c r="M303" s="134" t="s">
        <v>1379</v>
      </c>
      <c r="O303" s="134">
        <f t="shared" si="45"/>
        <v>0</v>
      </c>
      <c r="P303" s="134" t="s">
        <v>1379</v>
      </c>
      <c r="R303" s="134">
        <f t="shared" si="46"/>
        <v>0</v>
      </c>
      <c r="S303" s="134" t="s">
        <v>1379</v>
      </c>
      <c r="U303" s="134">
        <f t="shared" si="47"/>
        <v>0</v>
      </c>
    </row>
    <row r="304" spans="1:21" ht="15.75" x14ac:dyDescent="0.25">
      <c r="A304" s="131" t="s">
        <v>903</v>
      </c>
      <c r="B304" s="137">
        <f>'ECONOMIA &amp; PROFESIONES'!B48</f>
        <v>1.6</v>
      </c>
      <c r="D304" s="134" t="s">
        <v>1379</v>
      </c>
      <c r="F304" s="134">
        <f t="shared" si="42"/>
        <v>0</v>
      </c>
      <c r="G304" s="134" t="s">
        <v>1379</v>
      </c>
      <c r="I304" s="134">
        <f t="shared" si="43"/>
        <v>0</v>
      </c>
      <c r="J304" s="134" t="s">
        <v>1379</v>
      </c>
      <c r="L304" s="134">
        <f t="shared" si="44"/>
        <v>0</v>
      </c>
      <c r="M304" s="134" t="s">
        <v>1379</v>
      </c>
      <c r="O304" s="134">
        <f t="shared" si="45"/>
        <v>0</v>
      </c>
      <c r="P304" s="134" t="s">
        <v>1379</v>
      </c>
      <c r="R304" s="134">
        <f t="shared" si="46"/>
        <v>0</v>
      </c>
      <c r="S304" s="134" t="s">
        <v>1379</v>
      </c>
      <c r="U304" s="134">
        <f t="shared" si="47"/>
        <v>0</v>
      </c>
    </row>
    <row r="305" spans="1:21" ht="15.75" x14ac:dyDescent="0.25">
      <c r="A305" s="131" t="s">
        <v>904</v>
      </c>
      <c r="B305" s="137">
        <f t="shared" si="41"/>
        <v>4.8000000000000007</v>
      </c>
      <c r="D305" s="134" t="s">
        <v>903</v>
      </c>
      <c r="E305">
        <v>3</v>
      </c>
      <c r="F305" s="134">
        <f t="shared" si="42"/>
        <v>1.6</v>
      </c>
      <c r="G305" s="134" t="s">
        <v>1379</v>
      </c>
      <c r="I305" s="134">
        <f t="shared" si="43"/>
        <v>0</v>
      </c>
      <c r="J305" s="134" t="s">
        <v>1379</v>
      </c>
      <c r="L305" s="134">
        <f t="shared" si="44"/>
        <v>0</v>
      </c>
      <c r="M305" s="134" t="s">
        <v>1379</v>
      </c>
      <c r="O305" s="134">
        <f t="shared" si="45"/>
        <v>0</v>
      </c>
      <c r="P305" s="134" t="s">
        <v>1379</v>
      </c>
      <c r="R305" s="134">
        <f t="shared" si="46"/>
        <v>0</v>
      </c>
      <c r="S305" s="134" t="s">
        <v>1379</v>
      </c>
      <c r="U305" s="134">
        <f t="shared" si="47"/>
        <v>0</v>
      </c>
    </row>
    <row r="306" spans="1:21" ht="15.75" x14ac:dyDescent="0.25">
      <c r="A306" s="131" t="s">
        <v>905</v>
      </c>
      <c r="B306" s="137">
        <f t="shared" si="41"/>
        <v>9.6000000000000014</v>
      </c>
      <c r="D306" s="134" t="s">
        <v>903</v>
      </c>
      <c r="E306">
        <v>6</v>
      </c>
      <c r="F306" s="134">
        <f t="shared" si="42"/>
        <v>1.6</v>
      </c>
      <c r="G306" s="134" t="s">
        <v>1379</v>
      </c>
      <c r="I306" s="134">
        <f t="shared" si="43"/>
        <v>0</v>
      </c>
      <c r="J306" s="134" t="s">
        <v>1379</v>
      </c>
      <c r="L306" s="134">
        <f t="shared" si="44"/>
        <v>0</v>
      </c>
      <c r="M306" s="134" t="s">
        <v>1379</v>
      </c>
      <c r="O306" s="134">
        <f t="shared" si="45"/>
        <v>0</v>
      </c>
      <c r="P306" s="134" t="s">
        <v>1379</v>
      </c>
      <c r="R306" s="134">
        <f t="shared" si="46"/>
        <v>0</v>
      </c>
      <c r="S306" s="134" t="s">
        <v>1379</v>
      </c>
      <c r="U306" s="134">
        <f t="shared" si="47"/>
        <v>0</v>
      </c>
    </row>
    <row r="307" spans="1:21" ht="15.75" x14ac:dyDescent="0.25">
      <c r="A307" s="131" t="s">
        <v>906</v>
      </c>
      <c r="B307" s="137">
        <f t="shared" si="41"/>
        <v>9.6000000000000014</v>
      </c>
      <c r="D307" s="134" t="s">
        <v>903</v>
      </c>
      <c r="E307">
        <v>6</v>
      </c>
      <c r="F307" s="134">
        <f t="shared" si="42"/>
        <v>1.6</v>
      </c>
      <c r="G307" s="134" t="s">
        <v>1379</v>
      </c>
      <c r="I307" s="134">
        <f t="shared" si="43"/>
        <v>0</v>
      </c>
      <c r="J307" s="134" t="s">
        <v>1379</v>
      </c>
      <c r="L307" s="134">
        <f t="shared" si="44"/>
        <v>0</v>
      </c>
      <c r="M307" s="134" t="s">
        <v>1379</v>
      </c>
      <c r="O307" s="134">
        <f t="shared" si="45"/>
        <v>0</v>
      </c>
      <c r="P307" s="134" t="s">
        <v>1379</v>
      </c>
      <c r="R307" s="134">
        <f t="shared" si="46"/>
        <v>0</v>
      </c>
      <c r="S307" s="134" t="s">
        <v>1379</v>
      </c>
      <c r="U307" s="134">
        <f t="shared" si="47"/>
        <v>0</v>
      </c>
    </row>
    <row r="308" spans="1:21" s="145" customFormat="1" ht="15.75" x14ac:dyDescent="0.25">
      <c r="A308" s="143" t="s">
        <v>907</v>
      </c>
      <c r="B308" s="144">
        <v>0.1</v>
      </c>
      <c r="D308" s="145" t="s">
        <v>1379</v>
      </c>
      <c r="F308" s="145">
        <f t="shared" si="42"/>
        <v>0</v>
      </c>
      <c r="G308" s="145" t="s">
        <v>1379</v>
      </c>
      <c r="I308" s="145">
        <f t="shared" si="43"/>
        <v>0</v>
      </c>
      <c r="J308" s="145" t="s">
        <v>1379</v>
      </c>
      <c r="L308" s="145">
        <f t="shared" si="44"/>
        <v>0</v>
      </c>
      <c r="M308" s="145" t="s">
        <v>1379</v>
      </c>
      <c r="O308" s="145">
        <f t="shared" si="45"/>
        <v>0</v>
      </c>
      <c r="P308" s="145" t="s">
        <v>1379</v>
      </c>
      <c r="R308" s="145">
        <f t="shared" si="46"/>
        <v>0</v>
      </c>
      <c r="S308" s="145" t="s">
        <v>1379</v>
      </c>
      <c r="U308" s="145">
        <f t="shared" si="47"/>
        <v>0</v>
      </c>
    </row>
    <row r="309" spans="1:21" s="145" customFormat="1" ht="15.75" x14ac:dyDescent="0.25">
      <c r="A309" s="143" t="s">
        <v>908</v>
      </c>
      <c r="B309" s="144">
        <v>0.1</v>
      </c>
      <c r="D309" s="145" t="s">
        <v>1379</v>
      </c>
      <c r="F309" s="145">
        <f t="shared" si="42"/>
        <v>0</v>
      </c>
      <c r="G309" s="145" t="s">
        <v>1379</v>
      </c>
      <c r="I309" s="145">
        <f t="shared" si="43"/>
        <v>0</v>
      </c>
      <c r="J309" s="145" t="s">
        <v>1379</v>
      </c>
      <c r="L309" s="145">
        <f t="shared" si="44"/>
        <v>0</v>
      </c>
      <c r="M309" s="145" t="s">
        <v>1379</v>
      </c>
      <c r="O309" s="145">
        <f t="shared" si="45"/>
        <v>0</v>
      </c>
      <c r="P309" s="145" t="s">
        <v>1379</v>
      </c>
      <c r="R309" s="145">
        <f t="shared" si="46"/>
        <v>0</v>
      </c>
      <c r="S309" s="145" t="s">
        <v>1379</v>
      </c>
      <c r="U309" s="145">
        <f t="shared" si="47"/>
        <v>0</v>
      </c>
    </row>
    <row r="310" spans="1:21" s="148" customFormat="1" ht="15.75" x14ac:dyDescent="0.25">
      <c r="A310" s="146" t="s">
        <v>909</v>
      </c>
      <c r="B310" s="147">
        <f t="shared" si="41"/>
        <v>0</v>
      </c>
      <c r="D310" s="148" t="s">
        <v>1379</v>
      </c>
      <c r="F310" s="148">
        <f t="shared" si="42"/>
        <v>0</v>
      </c>
      <c r="G310" s="148" t="s">
        <v>1379</v>
      </c>
      <c r="I310" s="148">
        <f t="shared" si="43"/>
        <v>0</v>
      </c>
      <c r="J310" s="148" t="s">
        <v>1379</v>
      </c>
      <c r="L310" s="148">
        <f t="shared" si="44"/>
        <v>0</v>
      </c>
      <c r="M310" s="148" t="s">
        <v>1379</v>
      </c>
      <c r="O310" s="148">
        <f t="shared" si="45"/>
        <v>0</v>
      </c>
      <c r="P310" s="148" t="s">
        <v>1379</v>
      </c>
      <c r="R310" s="148">
        <f t="shared" si="46"/>
        <v>0</v>
      </c>
      <c r="S310" s="148" t="s">
        <v>1379</v>
      </c>
      <c r="U310" s="148">
        <f t="shared" si="47"/>
        <v>0</v>
      </c>
    </row>
    <row r="311" spans="1:21" ht="15.75" x14ac:dyDescent="0.25">
      <c r="A311" s="131" t="s">
        <v>910</v>
      </c>
      <c r="B311" s="137">
        <f>'ECONOMIA &amp; PROFESIONES'!E27</f>
        <v>1</v>
      </c>
      <c r="D311" s="134" t="s">
        <v>1379</v>
      </c>
      <c r="F311" s="134">
        <f t="shared" si="42"/>
        <v>0</v>
      </c>
      <c r="G311" s="134" t="s">
        <v>1379</v>
      </c>
      <c r="I311" s="134">
        <f t="shared" si="43"/>
        <v>0</v>
      </c>
      <c r="J311" s="134" t="s">
        <v>1379</v>
      </c>
      <c r="L311" s="134">
        <f t="shared" si="44"/>
        <v>0</v>
      </c>
      <c r="M311" s="134" t="s">
        <v>1379</v>
      </c>
      <c r="O311" s="134">
        <f t="shared" si="45"/>
        <v>0</v>
      </c>
      <c r="P311" s="134" t="s">
        <v>1379</v>
      </c>
      <c r="R311" s="134">
        <f t="shared" si="46"/>
        <v>0</v>
      </c>
      <c r="S311" s="134" t="s">
        <v>1379</v>
      </c>
      <c r="U311" s="134">
        <f t="shared" si="47"/>
        <v>0</v>
      </c>
    </row>
    <row r="312" spans="1:21" ht="15.75" x14ac:dyDescent="0.25">
      <c r="A312" s="131" t="s">
        <v>911</v>
      </c>
      <c r="B312" s="137">
        <f t="shared" si="41"/>
        <v>0</v>
      </c>
      <c r="D312" s="151" t="s">
        <v>922</v>
      </c>
      <c r="E312" s="151">
        <v>6</v>
      </c>
      <c r="F312" s="151">
        <f t="shared" si="42"/>
        <v>0</v>
      </c>
      <c r="G312" s="151" t="s">
        <v>1281</v>
      </c>
      <c r="H312" s="151">
        <v>1</v>
      </c>
      <c r="I312" s="134">
        <f t="shared" si="43"/>
        <v>0</v>
      </c>
      <c r="J312" s="134" t="s">
        <v>1379</v>
      </c>
      <c r="L312" s="134">
        <f t="shared" si="44"/>
        <v>0</v>
      </c>
      <c r="M312" s="134" t="s">
        <v>1379</v>
      </c>
      <c r="O312" s="134">
        <f t="shared" si="45"/>
        <v>0</v>
      </c>
      <c r="P312" s="134" t="s">
        <v>1379</v>
      </c>
      <c r="R312" s="134">
        <f t="shared" si="46"/>
        <v>0</v>
      </c>
      <c r="S312" s="134" t="s">
        <v>1379</v>
      </c>
      <c r="U312" s="134">
        <f t="shared" si="47"/>
        <v>0</v>
      </c>
    </row>
    <row r="313" spans="1:21" ht="15.75" x14ac:dyDescent="0.25">
      <c r="A313" s="131" t="s">
        <v>912</v>
      </c>
      <c r="B313" s="137">
        <f t="shared" si="41"/>
        <v>0</v>
      </c>
      <c r="D313" s="151" t="s">
        <v>922</v>
      </c>
      <c r="E313" s="151">
        <v>3</v>
      </c>
      <c r="F313" s="151">
        <f t="shared" si="42"/>
        <v>0</v>
      </c>
      <c r="G313" s="151" t="s">
        <v>1093</v>
      </c>
      <c r="H313" s="151">
        <v>3</v>
      </c>
      <c r="I313" s="134">
        <f t="shared" si="43"/>
        <v>0</v>
      </c>
      <c r="J313" s="134" t="s">
        <v>1379</v>
      </c>
      <c r="L313" s="134">
        <f t="shared" si="44"/>
        <v>0</v>
      </c>
      <c r="M313" s="134" t="s">
        <v>1379</v>
      </c>
      <c r="O313" s="134">
        <f t="shared" si="45"/>
        <v>0</v>
      </c>
      <c r="P313" s="134" t="s">
        <v>1379</v>
      </c>
      <c r="R313" s="134">
        <f t="shared" si="46"/>
        <v>0</v>
      </c>
      <c r="S313" s="134" t="s">
        <v>1379</v>
      </c>
      <c r="U313" s="134">
        <f t="shared" si="47"/>
        <v>0</v>
      </c>
    </row>
    <row r="314" spans="1:21" ht="15.75" x14ac:dyDescent="0.25">
      <c r="A314" s="131" t="s">
        <v>913</v>
      </c>
      <c r="B314" s="137">
        <f t="shared" si="41"/>
        <v>0</v>
      </c>
      <c r="D314" s="151" t="s">
        <v>922</v>
      </c>
      <c r="E314" s="151">
        <v>2</v>
      </c>
      <c r="F314" s="151">
        <f t="shared" si="42"/>
        <v>0</v>
      </c>
      <c r="G314" s="151" t="s">
        <v>1379</v>
      </c>
      <c r="H314" s="151"/>
      <c r="I314" s="134">
        <f t="shared" si="43"/>
        <v>0</v>
      </c>
      <c r="J314" s="134" t="s">
        <v>1379</v>
      </c>
      <c r="L314" s="134">
        <f t="shared" si="44"/>
        <v>0</v>
      </c>
      <c r="M314" s="134" t="s">
        <v>1379</v>
      </c>
      <c r="O314" s="134">
        <f t="shared" si="45"/>
        <v>0</v>
      </c>
      <c r="P314" s="134" t="s">
        <v>1379</v>
      </c>
      <c r="R314" s="134">
        <f t="shared" si="46"/>
        <v>0</v>
      </c>
      <c r="S314" s="134" t="s">
        <v>1379</v>
      </c>
      <c r="U314" s="134">
        <f t="shared" si="47"/>
        <v>0</v>
      </c>
    </row>
    <row r="315" spans="1:21" ht="15.75" x14ac:dyDescent="0.25">
      <c r="A315" s="131" t="s">
        <v>914</v>
      </c>
      <c r="B315" s="137">
        <f t="shared" ref="B315:B378" si="48">(F315*E315)+(H315*I315)+(K315*L315)+(N315*O315)+(Q315*R315)+(T315*U315)</f>
        <v>4</v>
      </c>
      <c r="D315" s="151" t="s">
        <v>915</v>
      </c>
      <c r="E315" s="151">
        <v>1</v>
      </c>
      <c r="F315" s="151">
        <f t="shared" si="42"/>
        <v>4</v>
      </c>
      <c r="G315" s="151" t="s">
        <v>1379</v>
      </c>
      <c r="H315" s="151"/>
      <c r="I315" s="134">
        <f t="shared" si="43"/>
        <v>0</v>
      </c>
      <c r="J315" s="134" t="s">
        <v>1379</v>
      </c>
      <c r="L315" s="134">
        <f t="shared" si="44"/>
        <v>0</v>
      </c>
      <c r="M315" s="134" t="s">
        <v>1379</v>
      </c>
      <c r="O315" s="134">
        <f t="shared" si="45"/>
        <v>0</v>
      </c>
      <c r="P315" s="134" t="s">
        <v>1379</v>
      </c>
      <c r="R315" s="134">
        <f t="shared" si="46"/>
        <v>0</v>
      </c>
      <c r="S315" s="134" t="s">
        <v>1379</v>
      </c>
      <c r="U315" s="134">
        <f t="shared" si="47"/>
        <v>0</v>
      </c>
    </row>
    <row r="316" spans="1:21" ht="15.75" x14ac:dyDescent="0.25">
      <c r="A316" s="131" t="s">
        <v>915</v>
      </c>
      <c r="B316" s="137">
        <f t="shared" si="48"/>
        <v>4</v>
      </c>
      <c r="D316" s="151" t="s">
        <v>1229</v>
      </c>
      <c r="E316" s="151">
        <v>4</v>
      </c>
      <c r="F316" s="151">
        <f t="shared" si="42"/>
        <v>0</v>
      </c>
      <c r="G316" s="151" t="s">
        <v>910</v>
      </c>
      <c r="H316" s="151">
        <v>4</v>
      </c>
      <c r="I316" s="134">
        <f t="shared" si="43"/>
        <v>1</v>
      </c>
      <c r="J316" s="151" t="s">
        <v>916</v>
      </c>
      <c r="K316" s="134">
        <v>1</v>
      </c>
      <c r="L316" s="134">
        <f t="shared" si="44"/>
        <v>0</v>
      </c>
      <c r="M316" s="134" t="s">
        <v>1379</v>
      </c>
      <c r="O316" s="134">
        <f t="shared" si="45"/>
        <v>0</v>
      </c>
      <c r="P316" s="134" t="s">
        <v>1379</v>
      </c>
      <c r="R316" s="134">
        <f t="shared" si="46"/>
        <v>0</v>
      </c>
      <c r="S316" s="134" t="s">
        <v>1379</v>
      </c>
      <c r="U316" s="134">
        <f t="shared" si="47"/>
        <v>0</v>
      </c>
    </row>
    <row r="317" spans="1:21" s="148" customFormat="1" ht="15.75" x14ac:dyDescent="0.25">
      <c r="A317" s="146" t="s">
        <v>916</v>
      </c>
      <c r="B317" s="147">
        <f t="shared" si="48"/>
        <v>0</v>
      </c>
      <c r="D317" s="148" t="s">
        <v>1379</v>
      </c>
      <c r="F317" s="148">
        <f t="shared" si="42"/>
        <v>0</v>
      </c>
      <c r="G317" s="148" t="s">
        <v>1379</v>
      </c>
      <c r="I317" s="148">
        <f t="shared" si="43"/>
        <v>0</v>
      </c>
      <c r="J317" s="148" t="s">
        <v>1379</v>
      </c>
      <c r="L317" s="148">
        <f t="shared" si="44"/>
        <v>0</v>
      </c>
      <c r="M317" s="148" t="s">
        <v>1379</v>
      </c>
      <c r="O317" s="148">
        <f t="shared" si="45"/>
        <v>0</v>
      </c>
      <c r="P317" s="148" t="s">
        <v>1379</v>
      </c>
      <c r="R317" s="148">
        <f t="shared" si="46"/>
        <v>0</v>
      </c>
      <c r="S317" s="148" t="s">
        <v>1379</v>
      </c>
      <c r="U317" s="148">
        <f t="shared" si="47"/>
        <v>0</v>
      </c>
    </row>
    <row r="318" spans="1:21" ht="15.75" x14ac:dyDescent="0.25">
      <c r="A318" s="131" t="s">
        <v>917</v>
      </c>
      <c r="B318" s="137">
        <f t="shared" si="48"/>
        <v>3</v>
      </c>
      <c r="D318" s="151" t="s">
        <v>921</v>
      </c>
      <c r="E318" s="151">
        <v>1</v>
      </c>
      <c r="F318" s="151">
        <f t="shared" si="42"/>
        <v>0</v>
      </c>
      <c r="G318" s="151" t="s">
        <v>738</v>
      </c>
      <c r="H318" s="151">
        <v>1</v>
      </c>
      <c r="I318" s="134">
        <f t="shared" ref="I318:I380" si="49">VLOOKUP(G318,IDPOINTS,2,FALSE)</f>
        <v>3</v>
      </c>
      <c r="J318" s="134" t="s">
        <v>1379</v>
      </c>
      <c r="L318" s="134">
        <f t="shared" ref="L318:L380" si="50">VLOOKUP(J318,IDPOINTS,2,FALSE)</f>
        <v>0</v>
      </c>
      <c r="M318" s="134" t="s">
        <v>1379</v>
      </c>
      <c r="O318" s="134">
        <f t="shared" ref="O318:O380" si="51">VLOOKUP(M318,IDPOINTS,2,FALSE)</f>
        <v>0</v>
      </c>
      <c r="P318" s="134" t="s">
        <v>1379</v>
      </c>
      <c r="R318" s="134">
        <f t="shared" ref="R318:R380" si="52">VLOOKUP(P318,IDPOINTS,2,FALSE)</f>
        <v>0</v>
      </c>
      <c r="S318" s="134" t="s">
        <v>1379</v>
      </c>
      <c r="U318" s="134">
        <f t="shared" ref="U318:U380" si="53">VLOOKUP(S318,IDPOINTS,2,FALSE)</f>
        <v>0</v>
      </c>
    </row>
    <row r="319" spans="1:21" ht="15.75" x14ac:dyDescent="0.25">
      <c r="A319" s="131" t="s">
        <v>918</v>
      </c>
      <c r="B319" s="137">
        <f t="shared" si="48"/>
        <v>0</v>
      </c>
      <c r="D319" s="151" t="s">
        <v>916</v>
      </c>
      <c r="E319" s="151">
        <v>1</v>
      </c>
      <c r="F319" s="151">
        <f t="shared" ref="F319:F328" si="54">VLOOKUP(D319,IDPOINTS,2,FALSE)</f>
        <v>0</v>
      </c>
      <c r="G319" s="151" t="s">
        <v>1241</v>
      </c>
      <c r="H319" s="151">
        <v>1</v>
      </c>
      <c r="I319" s="134">
        <f t="shared" si="49"/>
        <v>0</v>
      </c>
      <c r="J319" s="134" t="s">
        <v>1379</v>
      </c>
      <c r="L319" s="134">
        <f t="shared" si="50"/>
        <v>0</v>
      </c>
      <c r="M319" s="134" t="s">
        <v>1379</v>
      </c>
      <c r="O319" s="134">
        <f t="shared" si="51"/>
        <v>0</v>
      </c>
      <c r="P319" s="134" t="s">
        <v>1379</v>
      </c>
      <c r="R319" s="134">
        <f t="shared" si="52"/>
        <v>0</v>
      </c>
      <c r="S319" s="134" t="s">
        <v>1379</v>
      </c>
      <c r="U319" s="134">
        <f t="shared" si="53"/>
        <v>0</v>
      </c>
    </row>
    <row r="320" spans="1:21" ht="15.75" x14ac:dyDescent="0.25">
      <c r="A320" s="131" t="s">
        <v>919</v>
      </c>
      <c r="B320" s="137">
        <f t="shared" si="48"/>
        <v>24</v>
      </c>
      <c r="D320" s="151" t="s">
        <v>880</v>
      </c>
      <c r="E320" s="151">
        <v>8</v>
      </c>
      <c r="F320" s="151">
        <f t="shared" si="54"/>
        <v>3</v>
      </c>
      <c r="G320" s="151" t="s">
        <v>916</v>
      </c>
      <c r="H320" s="151">
        <v>1</v>
      </c>
      <c r="I320" s="134">
        <f t="shared" si="49"/>
        <v>0</v>
      </c>
      <c r="J320" s="134" t="s">
        <v>1379</v>
      </c>
      <c r="L320" s="134">
        <f t="shared" si="50"/>
        <v>0</v>
      </c>
      <c r="M320" s="134" t="s">
        <v>1379</v>
      </c>
      <c r="O320" s="134">
        <f t="shared" si="51"/>
        <v>0</v>
      </c>
      <c r="P320" s="134" t="s">
        <v>1379</v>
      </c>
      <c r="R320" s="134">
        <f t="shared" si="52"/>
        <v>0</v>
      </c>
      <c r="S320" s="134" t="s">
        <v>1379</v>
      </c>
      <c r="U320" s="134">
        <f t="shared" si="53"/>
        <v>0</v>
      </c>
    </row>
    <row r="321" spans="1:21" ht="15.75" x14ac:dyDescent="0.25">
      <c r="A321" s="131" t="s">
        <v>920</v>
      </c>
      <c r="B321" s="137">
        <f t="shared" si="48"/>
        <v>144</v>
      </c>
      <c r="D321" s="151" t="s">
        <v>919</v>
      </c>
      <c r="E321" s="151">
        <v>6</v>
      </c>
      <c r="F321" s="151">
        <f t="shared" si="54"/>
        <v>24</v>
      </c>
      <c r="G321" s="151" t="s">
        <v>1379</v>
      </c>
      <c r="H321" s="151"/>
      <c r="I321" s="134">
        <f t="shared" si="49"/>
        <v>0</v>
      </c>
      <c r="J321" s="134" t="s">
        <v>1379</v>
      </c>
      <c r="L321" s="134">
        <f t="shared" si="50"/>
        <v>0</v>
      </c>
      <c r="M321" s="134" t="s">
        <v>1379</v>
      </c>
      <c r="O321" s="134">
        <f t="shared" si="51"/>
        <v>0</v>
      </c>
      <c r="P321" s="134" t="s">
        <v>1379</v>
      </c>
      <c r="R321" s="134">
        <f t="shared" si="52"/>
        <v>0</v>
      </c>
      <c r="S321" s="134" t="s">
        <v>1379</v>
      </c>
      <c r="U321" s="134">
        <f t="shared" si="53"/>
        <v>0</v>
      </c>
    </row>
    <row r="322" spans="1:21" ht="15.75" x14ac:dyDescent="0.25">
      <c r="A322" s="131" t="s">
        <v>921</v>
      </c>
      <c r="B322" s="137">
        <f t="shared" si="48"/>
        <v>0</v>
      </c>
      <c r="D322" s="151" t="s">
        <v>1318</v>
      </c>
      <c r="E322" s="151">
        <v>8</v>
      </c>
      <c r="F322" s="151">
        <f t="shared" si="54"/>
        <v>0</v>
      </c>
      <c r="G322" s="151" t="s">
        <v>928</v>
      </c>
      <c r="H322" s="151">
        <v>1</v>
      </c>
      <c r="I322" s="134">
        <f t="shared" si="49"/>
        <v>0</v>
      </c>
      <c r="J322" s="134" t="s">
        <v>1379</v>
      </c>
      <c r="L322" s="134">
        <f t="shared" si="50"/>
        <v>0</v>
      </c>
      <c r="M322" s="134" t="s">
        <v>1379</v>
      </c>
      <c r="O322" s="134">
        <f t="shared" si="51"/>
        <v>0</v>
      </c>
      <c r="P322" s="134" t="s">
        <v>1379</v>
      </c>
      <c r="R322" s="134">
        <f t="shared" si="52"/>
        <v>0</v>
      </c>
      <c r="S322" s="134" t="s">
        <v>1379</v>
      </c>
      <c r="U322" s="134">
        <f t="shared" si="53"/>
        <v>0</v>
      </c>
    </row>
    <row r="323" spans="1:21" ht="15.75" x14ac:dyDescent="0.25">
      <c r="A323" s="131" t="s">
        <v>922</v>
      </c>
      <c r="B323" s="137">
        <f t="shared" si="48"/>
        <v>0</v>
      </c>
      <c r="D323" s="151" t="s">
        <v>1348</v>
      </c>
      <c r="E323" s="151">
        <v>1</v>
      </c>
      <c r="F323" s="151">
        <f t="shared" si="54"/>
        <v>0</v>
      </c>
      <c r="G323" s="151" t="s">
        <v>928</v>
      </c>
      <c r="H323" s="151">
        <v>1</v>
      </c>
      <c r="I323" s="134">
        <f t="shared" si="49"/>
        <v>0</v>
      </c>
      <c r="J323" s="134" t="s">
        <v>1379</v>
      </c>
      <c r="L323" s="134">
        <f t="shared" si="50"/>
        <v>0</v>
      </c>
      <c r="M323" s="134" t="s">
        <v>1379</v>
      </c>
      <c r="O323" s="134">
        <f t="shared" si="51"/>
        <v>0</v>
      </c>
      <c r="P323" s="134" t="s">
        <v>1379</v>
      </c>
      <c r="R323" s="134">
        <f t="shared" si="52"/>
        <v>0</v>
      </c>
      <c r="S323" s="134" t="s">
        <v>1379</v>
      </c>
      <c r="U323" s="134">
        <f t="shared" si="53"/>
        <v>0</v>
      </c>
    </row>
    <row r="324" spans="1:21" ht="15.75" x14ac:dyDescent="0.25">
      <c r="A324" s="131" t="s">
        <v>923</v>
      </c>
      <c r="B324" s="137">
        <f t="shared" si="48"/>
        <v>0</v>
      </c>
      <c r="D324" s="151" t="s">
        <v>934</v>
      </c>
      <c r="E324" s="151">
        <v>6</v>
      </c>
      <c r="F324" s="151">
        <f t="shared" si="54"/>
        <v>0</v>
      </c>
      <c r="G324" s="151" t="s">
        <v>1281</v>
      </c>
      <c r="H324" s="151">
        <v>1</v>
      </c>
      <c r="I324" s="134">
        <f t="shared" si="49"/>
        <v>0</v>
      </c>
      <c r="J324" s="134" t="s">
        <v>1379</v>
      </c>
      <c r="L324" s="134">
        <f t="shared" si="50"/>
        <v>0</v>
      </c>
      <c r="M324" s="134" t="s">
        <v>1379</v>
      </c>
      <c r="O324" s="134">
        <f t="shared" si="51"/>
        <v>0</v>
      </c>
      <c r="P324" s="134" t="s">
        <v>1379</v>
      </c>
      <c r="R324" s="134">
        <f t="shared" si="52"/>
        <v>0</v>
      </c>
      <c r="S324" s="134" t="s">
        <v>1379</v>
      </c>
      <c r="U324" s="134">
        <f t="shared" si="53"/>
        <v>0</v>
      </c>
    </row>
    <row r="325" spans="1:21" ht="15.75" x14ac:dyDescent="0.25">
      <c r="A325" s="131" t="s">
        <v>924</v>
      </c>
      <c r="B325" s="137">
        <f t="shared" si="48"/>
        <v>0</v>
      </c>
      <c r="D325" s="151" t="s">
        <v>934</v>
      </c>
      <c r="E325" s="151">
        <v>3</v>
      </c>
      <c r="F325" s="151">
        <f t="shared" si="54"/>
        <v>0</v>
      </c>
      <c r="G325" s="151" t="s">
        <v>1093</v>
      </c>
      <c r="H325" s="151">
        <v>3</v>
      </c>
      <c r="I325" s="134">
        <f t="shared" si="49"/>
        <v>0</v>
      </c>
      <c r="J325" s="134" t="s">
        <v>1379</v>
      </c>
      <c r="L325" s="134">
        <f t="shared" si="50"/>
        <v>0</v>
      </c>
      <c r="M325" s="134" t="s">
        <v>1379</v>
      </c>
      <c r="O325" s="134">
        <f t="shared" si="51"/>
        <v>0</v>
      </c>
      <c r="P325" s="134" t="s">
        <v>1379</v>
      </c>
      <c r="R325" s="134">
        <f t="shared" si="52"/>
        <v>0</v>
      </c>
      <c r="S325" s="134" t="s">
        <v>1379</v>
      </c>
      <c r="U325" s="134">
        <f t="shared" si="53"/>
        <v>0</v>
      </c>
    </row>
    <row r="326" spans="1:21" ht="15.75" x14ac:dyDescent="0.25">
      <c r="A326" s="131" t="s">
        <v>925</v>
      </c>
      <c r="B326" s="137">
        <f t="shared" si="48"/>
        <v>0</v>
      </c>
      <c r="D326" s="151" t="s">
        <v>934</v>
      </c>
      <c r="E326" s="151">
        <v>2</v>
      </c>
      <c r="F326" s="151">
        <f t="shared" si="54"/>
        <v>0</v>
      </c>
      <c r="G326" s="151" t="s">
        <v>1379</v>
      </c>
      <c r="H326" s="151"/>
      <c r="I326" s="134">
        <f t="shared" si="49"/>
        <v>0</v>
      </c>
      <c r="J326" s="134" t="s">
        <v>1379</v>
      </c>
      <c r="L326" s="134">
        <f t="shared" si="50"/>
        <v>0</v>
      </c>
      <c r="M326" s="134" t="s">
        <v>1379</v>
      </c>
      <c r="O326" s="134">
        <f t="shared" si="51"/>
        <v>0</v>
      </c>
      <c r="P326" s="134" t="s">
        <v>1379</v>
      </c>
      <c r="R326" s="134">
        <f t="shared" si="52"/>
        <v>0</v>
      </c>
      <c r="S326" s="134" t="s">
        <v>1379</v>
      </c>
      <c r="U326" s="134">
        <f t="shared" si="53"/>
        <v>0</v>
      </c>
    </row>
    <row r="327" spans="1:21" ht="15.75" x14ac:dyDescent="0.25">
      <c r="A327" s="131" t="s">
        <v>926</v>
      </c>
      <c r="B327" s="137">
        <f t="shared" si="48"/>
        <v>4</v>
      </c>
      <c r="D327" s="151" t="s">
        <v>927</v>
      </c>
      <c r="E327" s="151">
        <v>1</v>
      </c>
      <c r="F327" s="151">
        <f t="shared" si="54"/>
        <v>4</v>
      </c>
      <c r="G327" s="151" t="s">
        <v>1379</v>
      </c>
      <c r="H327" s="151"/>
      <c r="I327" s="134">
        <f t="shared" si="49"/>
        <v>0</v>
      </c>
      <c r="J327" s="134" t="s">
        <v>1379</v>
      </c>
      <c r="L327" s="134">
        <f t="shared" si="50"/>
        <v>0</v>
      </c>
      <c r="M327" s="134" t="s">
        <v>1379</v>
      </c>
      <c r="O327" s="134">
        <f t="shared" si="51"/>
        <v>0</v>
      </c>
      <c r="P327" s="134" t="s">
        <v>1379</v>
      </c>
      <c r="R327" s="134">
        <f t="shared" si="52"/>
        <v>0</v>
      </c>
      <c r="S327" s="134" t="s">
        <v>1379</v>
      </c>
      <c r="U327" s="134">
        <f t="shared" si="53"/>
        <v>0</v>
      </c>
    </row>
    <row r="328" spans="1:21" ht="15.75" x14ac:dyDescent="0.25">
      <c r="A328" s="131" t="s">
        <v>927</v>
      </c>
      <c r="B328" s="137">
        <f t="shared" si="48"/>
        <v>4</v>
      </c>
      <c r="D328" s="151" t="s">
        <v>1229</v>
      </c>
      <c r="E328" s="151">
        <v>4</v>
      </c>
      <c r="F328" s="151">
        <f t="shared" si="54"/>
        <v>0</v>
      </c>
      <c r="G328" s="151" t="s">
        <v>910</v>
      </c>
      <c r="H328" s="151">
        <v>4</v>
      </c>
      <c r="I328" s="134">
        <f t="shared" si="49"/>
        <v>1</v>
      </c>
      <c r="J328" s="134" t="s">
        <v>1379</v>
      </c>
      <c r="L328" s="134">
        <f t="shared" si="50"/>
        <v>0</v>
      </c>
      <c r="M328" s="134" t="s">
        <v>1379</v>
      </c>
      <c r="O328" s="134">
        <f t="shared" si="51"/>
        <v>0</v>
      </c>
      <c r="P328" s="134" t="s">
        <v>1379</v>
      </c>
      <c r="R328" s="134">
        <f t="shared" si="52"/>
        <v>0</v>
      </c>
      <c r="S328" s="134" t="s">
        <v>1379</v>
      </c>
      <c r="U328" s="134">
        <f t="shared" si="53"/>
        <v>0</v>
      </c>
    </row>
    <row r="329" spans="1:21" s="148" customFormat="1" ht="15.75" x14ac:dyDescent="0.25">
      <c r="A329" s="146" t="s">
        <v>928</v>
      </c>
      <c r="B329" s="147">
        <f t="shared" si="48"/>
        <v>0</v>
      </c>
      <c r="D329" s="148" t="s">
        <v>1379</v>
      </c>
      <c r="F329" s="148">
        <f t="shared" ref="F329:F386" si="55">VLOOKUP(D329,IDPOINTS,2,FALSE)</f>
        <v>0</v>
      </c>
      <c r="G329" s="148" t="s">
        <v>1379</v>
      </c>
      <c r="I329" s="148">
        <f t="shared" si="49"/>
        <v>0</v>
      </c>
      <c r="J329" s="148" t="s">
        <v>1379</v>
      </c>
      <c r="L329" s="148">
        <f t="shared" si="50"/>
        <v>0</v>
      </c>
      <c r="M329" s="148" t="s">
        <v>1379</v>
      </c>
      <c r="O329" s="148">
        <f t="shared" si="51"/>
        <v>0</v>
      </c>
      <c r="P329" s="148" t="s">
        <v>1379</v>
      </c>
      <c r="R329" s="148">
        <f t="shared" si="52"/>
        <v>0</v>
      </c>
      <c r="S329" s="148" t="s">
        <v>1379</v>
      </c>
      <c r="U329" s="148">
        <f t="shared" si="53"/>
        <v>0</v>
      </c>
    </row>
    <row r="330" spans="1:21" ht="15.75" x14ac:dyDescent="0.25">
      <c r="A330" s="131" t="s">
        <v>929</v>
      </c>
      <c r="B330" s="137">
        <f t="shared" si="48"/>
        <v>3</v>
      </c>
      <c r="D330" s="151" t="s">
        <v>933</v>
      </c>
      <c r="E330" s="151">
        <v>1</v>
      </c>
      <c r="F330" s="151">
        <f t="shared" si="55"/>
        <v>0</v>
      </c>
      <c r="G330" s="151" t="s">
        <v>738</v>
      </c>
      <c r="H330" s="151">
        <v>1</v>
      </c>
      <c r="I330" s="134">
        <f t="shared" si="49"/>
        <v>3</v>
      </c>
      <c r="J330" s="134" t="s">
        <v>1379</v>
      </c>
      <c r="L330" s="134">
        <f t="shared" si="50"/>
        <v>0</v>
      </c>
      <c r="M330" s="134" t="s">
        <v>1379</v>
      </c>
      <c r="O330" s="134">
        <f t="shared" si="51"/>
        <v>0</v>
      </c>
      <c r="P330" s="134" t="s">
        <v>1379</v>
      </c>
      <c r="R330" s="134">
        <f t="shared" si="52"/>
        <v>0</v>
      </c>
      <c r="S330" s="134" t="s">
        <v>1379</v>
      </c>
      <c r="U330" s="134">
        <f t="shared" si="53"/>
        <v>0</v>
      </c>
    </row>
    <row r="331" spans="1:21" ht="15.75" x14ac:dyDescent="0.25">
      <c r="A331" s="131" t="s">
        <v>930</v>
      </c>
      <c r="B331" s="137">
        <f t="shared" si="48"/>
        <v>0</v>
      </c>
      <c r="D331" s="151" t="s">
        <v>928</v>
      </c>
      <c r="E331" s="151">
        <v>1</v>
      </c>
      <c r="F331" s="151">
        <f t="shared" si="55"/>
        <v>0</v>
      </c>
      <c r="G331" s="151" t="s">
        <v>1241</v>
      </c>
      <c r="H331" s="151">
        <v>1</v>
      </c>
      <c r="I331" s="134">
        <f t="shared" si="49"/>
        <v>0</v>
      </c>
      <c r="J331" s="134" t="s">
        <v>1379</v>
      </c>
      <c r="L331" s="134">
        <f t="shared" si="50"/>
        <v>0</v>
      </c>
      <c r="M331" s="134" t="s">
        <v>1379</v>
      </c>
      <c r="O331" s="134">
        <f t="shared" si="51"/>
        <v>0</v>
      </c>
      <c r="P331" s="134" t="s">
        <v>1379</v>
      </c>
      <c r="R331" s="134">
        <f t="shared" si="52"/>
        <v>0</v>
      </c>
      <c r="S331" s="134" t="s">
        <v>1379</v>
      </c>
      <c r="U331" s="134">
        <f t="shared" si="53"/>
        <v>0</v>
      </c>
    </row>
    <row r="332" spans="1:21" ht="15.75" x14ac:dyDescent="0.25">
      <c r="A332" s="131" t="s">
        <v>931</v>
      </c>
      <c r="B332" s="137">
        <f t="shared" si="48"/>
        <v>24</v>
      </c>
      <c r="D332" s="151" t="s">
        <v>880</v>
      </c>
      <c r="E332" s="151">
        <v>8</v>
      </c>
      <c r="F332" s="151">
        <f t="shared" si="55"/>
        <v>3</v>
      </c>
      <c r="G332" s="151" t="s">
        <v>928</v>
      </c>
      <c r="H332" s="151">
        <v>1</v>
      </c>
      <c r="I332" s="134">
        <f t="shared" si="49"/>
        <v>0</v>
      </c>
      <c r="J332" s="134" t="s">
        <v>1379</v>
      </c>
      <c r="L332" s="134">
        <f t="shared" si="50"/>
        <v>0</v>
      </c>
      <c r="M332" s="134" t="s">
        <v>1379</v>
      </c>
      <c r="O332" s="134">
        <f t="shared" si="51"/>
        <v>0</v>
      </c>
      <c r="P332" s="134" t="s">
        <v>1379</v>
      </c>
      <c r="R332" s="134">
        <f t="shared" si="52"/>
        <v>0</v>
      </c>
      <c r="S332" s="134" t="s">
        <v>1379</v>
      </c>
      <c r="U332" s="134">
        <f t="shared" si="53"/>
        <v>0</v>
      </c>
    </row>
    <row r="333" spans="1:21" ht="15.75" x14ac:dyDescent="0.25">
      <c r="A333" s="131" t="s">
        <v>932</v>
      </c>
      <c r="B333" s="137">
        <f t="shared" si="48"/>
        <v>144</v>
      </c>
      <c r="D333" s="151" t="s">
        <v>931</v>
      </c>
      <c r="E333" s="151">
        <v>6</v>
      </c>
      <c r="F333" s="151">
        <f t="shared" si="55"/>
        <v>24</v>
      </c>
      <c r="G333" s="151" t="s">
        <v>1379</v>
      </c>
      <c r="H333" s="151"/>
      <c r="I333" s="134">
        <f t="shared" si="49"/>
        <v>0</v>
      </c>
      <c r="J333" s="134" t="s">
        <v>1379</v>
      </c>
      <c r="L333" s="134">
        <f t="shared" si="50"/>
        <v>0</v>
      </c>
      <c r="M333" s="134" t="s">
        <v>1379</v>
      </c>
      <c r="O333" s="134">
        <f t="shared" si="51"/>
        <v>0</v>
      </c>
      <c r="P333" s="134" t="s">
        <v>1379</v>
      </c>
      <c r="R333" s="134">
        <f t="shared" si="52"/>
        <v>0</v>
      </c>
      <c r="S333" s="134" t="s">
        <v>1379</v>
      </c>
      <c r="U333" s="134">
        <f t="shared" si="53"/>
        <v>0</v>
      </c>
    </row>
    <row r="334" spans="1:21" ht="15.75" x14ac:dyDescent="0.25">
      <c r="A334" s="131" t="s">
        <v>933</v>
      </c>
      <c r="B334" s="137">
        <f t="shared" si="48"/>
        <v>0</v>
      </c>
      <c r="D334" s="151" t="s">
        <v>1318</v>
      </c>
      <c r="E334" s="151">
        <v>8</v>
      </c>
      <c r="F334" s="151">
        <f t="shared" si="55"/>
        <v>0</v>
      </c>
      <c r="G334" s="151" t="s">
        <v>928</v>
      </c>
      <c r="H334" s="151">
        <v>1</v>
      </c>
      <c r="I334" s="134">
        <f t="shared" si="49"/>
        <v>0</v>
      </c>
      <c r="J334" s="134" t="s">
        <v>1379</v>
      </c>
      <c r="L334" s="134">
        <f t="shared" si="50"/>
        <v>0</v>
      </c>
      <c r="M334" s="134" t="s">
        <v>1379</v>
      </c>
      <c r="O334" s="134">
        <f t="shared" si="51"/>
        <v>0</v>
      </c>
      <c r="P334" s="134" t="s">
        <v>1379</v>
      </c>
      <c r="R334" s="134">
        <f t="shared" si="52"/>
        <v>0</v>
      </c>
      <c r="S334" s="134" t="s">
        <v>1379</v>
      </c>
      <c r="U334" s="134">
        <f t="shared" si="53"/>
        <v>0</v>
      </c>
    </row>
    <row r="335" spans="1:21" ht="15.75" x14ac:dyDescent="0.25">
      <c r="A335" s="131" t="s">
        <v>934</v>
      </c>
      <c r="B335" s="137">
        <f t="shared" si="48"/>
        <v>0</v>
      </c>
      <c r="D335" s="151" t="s">
        <v>1348</v>
      </c>
      <c r="E335" s="151">
        <v>1</v>
      </c>
      <c r="F335" s="151">
        <f t="shared" si="55"/>
        <v>0</v>
      </c>
      <c r="G335" s="151" t="s">
        <v>928</v>
      </c>
      <c r="H335" s="151">
        <v>1</v>
      </c>
      <c r="I335" s="134">
        <f t="shared" si="49"/>
        <v>0</v>
      </c>
      <c r="J335" s="134" t="s">
        <v>1379</v>
      </c>
      <c r="L335" s="134">
        <f t="shared" si="50"/>
        <v>0</v>
      </c>
      <c r="M335" s="134" t="s">
        <v>1379</v>
      </c>
      <c r="O335" s="134">
        <f t="shared" si="51"/>
        <v>0</v>
      </c>
      <c r="P335" s="134" t="s">
        <v>1379</v>
      </c>
      <c r="R335" s="134">
        <f t="shared" si="52"/>
        <v>0</v>
      </c>
      <c r="S335" s="134" t="s">
        <v>1379</v>
      </c>
      <c r="U335" s="134">
        <f t="shared" si="53"/>
        <v>0</v>
      </c>
    </row>
    <row r="336" spans="1:21" ht="15.75" x14ac:dyDescent="0.25">
      <c r="A336" s="131" t="s">
        <v>935</v>
      </c>
      <c r="B336" s="137">
        <f t="shared" si="48"/>
        <v>0</v>
      </c>
      <c r="D336" s="134" t="s">
        <v>1294</v>
      </c>
      <c r="E336">
        <v>1</v>
      </c>
      <c r="F336" s="134">
        <f t="shared" si="55"/>
        <v>0</v>
      </c>
      <c r="G336" s="134" t="s">
        <v>1281</v>
      </c>
      <c r="H336" s="134">
        <v>2</v>
      </c>
      <c r="I336" s="134">
        <f t="shared" si="49"/>
        <v>0</v>
      </c>
      <c r="J336" s="134" t="s">
        <v>1093</v>
      </c>
      <c r="K336" s="134">
        <v>2</v>
      </c>
      <c r="L336" s="134">
        <f t="shared" si="50"/>
        <v>0</v>
      </c>
      <c r="M336" s="134" t="s">
        <v>1379</v>
      </c>
      <c r="O336" s="134">
        <f t="shared" si="51"/>
        <v>0</v>
      </c>
      <c r="P336" s="134" t="s">
        <v>1379</v>
      </c>
      <c r="R336" s="134">
        <f t="shared" si="52"/>
        <v>0</v>
      </c>
      <c r="S336" s="134" t="s">
        <v>1379</v>
      </c>
      <c r="U336" s="134">
        <f t="shared" si="53"/>
        <v>0</v>
      </c>
    </row>
    <row r="337" spans="1:21" s="217" customFormat="1" ht="15.75" x14ac:dyDescent="0.25">
      <c r="A337" s="215" t="s">
        <v>936</v>
      </c>
      <c r="B337" s="216">
        <f>'ECONOMIA &amp; PROFESIONES'!G50</f>
        <v>15</v>
      </c>
      <c r="D337" s="217" t="s">
        <v>1379</v>
      </c>
      <c r="F337" s="217">
        <f t="shared" si="55"/>
        <v>0</v>
      </c>
      <c r="G337" s="217" t="s">
        <v>1379</v>
      </c>
      <c r="I337" s="217">
        <f t="shared" si="49"/>
        <v>0</v>
      </c>
      <c r="J337" s="217" t="s">
        <v>1379</v>
      </c>
      <c r="L337" s="217">
        <f t="shared" si="50"/>
        <v>0</v>
      </c>
      <c r="M337" s="217" t="s">
        <v>1379</v>
      </c>
      <c r="O337" s="217">
        <f t="shared" si="51"/>
        <v>0</v>
      </c>
      <c r="P337" s="217" t="s">
        <v>1379</v>
      </c>
      <c r="R337" s="217">
        <f t="shared" si="52"/>
        <v>0</v>
      </c>
      <c r="S337" s="217" t="s">
        <v>1379</v>
      </c>
      <c r="U337" s="217">
        <f t="shared" si="53"/>
        <v>0</v>
      </c>
    </row>
    <row r="338" spans="1:21" ht="15.75" x14ac:dyDescent="0.25">
      <c r="A338" s="131" t="s">
        <v>937</v>
      </c>
      <c r="B338" s="137">
        <f t="shared" si="48"/>
        <v>0</v>
      </c>
      <c r="D338" s="134" t="s">
        <v>1334</v>
      </c>
      <c r="E338">
        <v>9</v>
      </c>
      <c r="F338" s="134">
        <f t="shared" si="55"/>
        <v>0</v>
      </c>
      <c r="G338" s="134" t="s">
        <v>1379</v>
      </c>
      <c r="I338" s="134">
        <f t="shared" si="49"/>
        <v>0</v>
      </c>
      <c r="J338" s="134" t="s">
        <v>1379</v>
      </c>
      <c r="L338" s="134">
        <f t="shared" si="50"/>
        <v>0</v>
      </c>
      <c r="M338" s="134" t="s">
        <v>1379</v>
      </c>
      <c r="O338" s="134">
        <f t="shared" si="51"/>
        <v>0</v>
      </c>
      <c r="P338" s="134" t="s">
        <v>1379</v>
      </c>
      <c r="R338" s="134">
        <f t="shared" si="52"/>
        <v>0</v>
      </c>
      <c r="S338" s="134" t="s">
        <v>1379</v>
      </c>
      <c r="U338" s="134">
        <f t="shared" si="53"/>
        <v>0</v>
      </c>
    </row>
    <row r="339" spans="1:21" s="148" customFormat="1" ht="15.75" x14ac:dyDescent="0.25">
      <c r="A339" s="146" t="s">
        <v>938</v>
      </c>
      <c r="B339" s="147">
        <f t="shared" si="48"/>
        <v>0</v>
      </c>
      <c r="D339" s="148" t="s">
        <v>1379</v>
      </c>
      <c r="F339" s="148">
        <f t="shared" si="55"/>
        <v>0</v>
      </c>
      <c r="G339" s="148" t="s">
        <v>1379</v>
      </c>
      <c r="I339" s="148">
        <f t="shared" si="49"/>
        <v>0</v>
      </c>
      <c r="J339" s="148" t="s">
        <v>1379</v>
      </c>
      <c r="L339" s="148">
        <f t="shared" si="50"/>
        <v>0</v>
      </c>
      <c r="M339" s="148" t="s">
        <v>1379</v>
      </c>
      <c r="O339" s="148">
        <f t="shared" si="51"/>
        <v>0</v>
      </c>
      <c r="P339" s="148" t="s">
        <v>1379</v>
      </c>
      <c r="R339" s="148">
        <f t="shared" si="52"/>
        <v>0</v>
      </c>
      <c r="S339" s="148" t="s">
        <v>1379</v>
      </c>
      <c r="U339" s="148">
        <f t="shared" si="53"/>
        <v>0</v>
      </c>
    </row>
    <row r="340" spans="1:21" ht="15.75" x14ac:dyDescent="0.25">
      <c r="A340" s="131" t="s">
        <v>939</v>
      </c>
      <c r="B340" s="137">
        <f t="shared" si="48"/>
        <v>8</v>
      </c>
      <c r="D340" s="134" t="s">
        <v>962</v>
      </c>
      <c r="E340">
        <v>2</v>
      </c>
      <c r="F340" s="134">
        <f t="shared" si="55"/>
        <v>4</v>
      </c>
      <c r="G340" s="134" t="s">
        <v>1379</v>
      </c>
      <c r="I340" s="134">
        <f t="shared" si="49"/>
        <v>0</v>
      </c>
      <c r="J340" s="134" t="s">
        <v>1379</v>
      </c>
      <c r="L340" s="134">
        <f t="shared" si="50"/>
        <v>0</v>
      </c>
      <c r="M340" s="134" t="s">
        <v>1379</v>
      </c>
      <c r="O340" s="134">
        <f t="shared" si="51"/>
        <v>0</v>
      </c>
      <c r="P340" s="134" t="s">
        <v>1379</v>
      </c>
      <c r="R340" s="134">
        <f t="shared" si="52"/>
        <v>0</v>
      </c>
      <c r="S340" s="134" t="s">
        <v>1379</v>
      </c>
      <c r="U340" s="134">
        <f t="shared" si="53"/>
        <v>0</v>
      </c>
    </row>
    <row r="341" spans="1:21" ht="15.75" x14ac:dyDescent="0.25">
      <c r="A341" s="131" t="s">
        <v>940</v>
      </c>
      <c r="B341" s="137">
        <f t="shared" si="48"/>
        <v>20</v>
      </c>
      <c r="D341" s="134" t="s">
        <v>725</v>
      </c>
      <c r="E341">
        <v>1</v>
      </c>
      <c r="F341" s="134">
        <f t="shared" si="55"/>
        <v>0</v>
      </c>
      <c r="G341" s="134" t="s">
        <v>962</v>
      </c>
      <c r="H341" s="134">
        <v>5</v>
      </c>
      <c r="I341" s="134">
        <f t="shared" si="49"/>
        <v>4</v>
      </c>
      <c r="J341" s="134" t="s">
        <v>1379</v>
      </c>
      <c r="L341" s="134">
        <f t="shared" si="50"/>
        <v>0</v>
      </c>
      <c r="M341" s="134" t="s">
        <v>1379</v>
      </c>
      <c r="O341" s="134">
        <f t="shared" si="51"/>
        <v>0</v>
      </c>
      <c r="P341" s="134" t="s">
        <v>1379</v>
      </c>
      <c r="R341" s="134">
        <f t="shared" si="52"/>
        <v>0</v>
      </c>
      <c r="S341" s="134" t="s">
        <v>1379</v>
      </c>
      <c r="U341" s="134">
        <f t="shared" si="53"/>
        <v>0</v>
      </c>
    </row>
    <row r="342" spans="1:21" ht="15.75" x14ac:dyDescent="0.25">
      <c r="A342" s="131" t="s">
        <v>941</v>
      </c>
      <c r="B342" s="137">
        <f t="shared" si="48"/>
        <v>40</v>
      </c>
      <c r="D342" s="134" t="s">
        <v>1060</v>
      </c>
      <c r="E342">
        <v>1</v>
      </c>
      <c r="F342" s="134">
        <f t="shared" si="55"/>
        <v>20</v>
      </c>
      <c r="G342" s="134" t="s">
        <v>940</v>
      </c>
      <c r="H342" s="134">
        <v>1</v>
      </c>
      <c r="I342" s="134">
        <f t="shared" si="49"/>
        <v>20</v>
      </c>
      <c r="J342" s="134" t="s">
        <v>1379</v>
      </c>
      <c r="L342" s="134">
        <f t="shared" si="50"/>
        <v>0</v>
      </c>
      <c r="M342" s="134" t="s">
        <v>1379</v>
      </c>
      <c r="O342" s="134">
        <f t="shared" si="51"/>
        <v>0</v>
      </c>
      <c r="P342" s="134" t="s">
        <v>1379</v>
      </c>
      <c r="R342" s="134">
        <f t="shared" si="52"/>
        <v>0</v>
      </c>
      <c r="S342" s="134" t="s">
        <v>1379</v>
      </c>
      <c r="U342" s="134">
        <f t="shared" si="53"/>
        <v>0</v>
      </c>
    </row>
    <row r="343" spans="1:21" s="148" customFormat="1" ht="15.75" x14ac:dyDescent="0.25">
      <c r="A343" s="146" t="s">
        <v>942</v>
      </c>
      <c r="B343" s="147">
        <f t="shared" si="48"/>
        <v>0</v>
      </c>
      <c r="D343" s="148" t="s">
        <v>1379</v>
      </c>
      <c r="F343" s="148">
        <f t="shared" si="55"/>
        <v>0</v>
      </c>
      <c r="G343" s="148" t="s">
        <v>1379</v>
      </c>
      <c r="I343" s="148">
        <f t="shared" si="49"/>
        <v>0</v>
      </c>
      <c r="J343" s="148" t="s">
        <v>1379</v>
      </c>
      <c r="L343" s="148">
        <f t="shared" si="50"/>
        <v>0</v>
      </c>
      <c r="M343" s="148" t="s">
        <v>1379</v>
      </c>
      <c r="O343" s="148">
        <f t="shared" si="51"/>
        <v>0</v>
      </c>
      <c r="P343" s="148" t="s">
        <v>1379</v>
      </c>
      <c r="R343" s="148">
        <f t="shared" si="52"/>
        <v>0</v>
      </c>
      <c r="S343" s="148" t="s">
        <v>1379</v>
      </c>
      <c r="U343" s="148">
        <f t="shared" si="53"/>
        <v>0</v>
      </c>
    </row>
    <row r="344" spans="1:21" s="148" customFormat="1" ht="15.75" x14ac:dyDescent="0.25">
      <c r="A344" s="146" t="s">
        <v>943</v>
      </c>
      <c r="B344" s="147">
        <f t="shared" si="48"/>
        <v>0</v>
      </c>
      <c r="D344" s="148" t="s">
        <v>1379</v>
      </c>
      <c r="F344" s="148">
        <f t="shared" si="55"/>
        <v>0</v>
      </c>
      <c r="G344" s="148" t="s">
        <v>1379</v>
      </c>
      <c r="I344" s="148">
        <f t="shared" si="49"/>
        <v>0</v>
      </c>
      <c r="J344" s="148" t="s">
        <v>1379</v>
      </c>
      <c r="L344" s="148">
        <f t="shared" si="50"/>
        <v>0</v>
      </c>
      <c r="M344" s="148" t="s">
        <v>1379</v>
      </c>
      <c r="O344" s="148">
        <f t="shared" si="51"/>
        <v>0</v>
      </c>
      <c r="P344" s="148" t="s">
        <v>1379</v>
      </c>
      <c r="R344" s="148">
        <f t="shared" si="52"/>
        <v>0</v>
      </c>
      <c r="S344" s="148" t="s">
        <v>1379</v>
      </c>
      <c r="U344" s="148">
        <f t="shared" si="53"/>
        <v>0</v>
      </c>
    </row>
    <row r="345" spans="1:21" s="148" customFormat="1" ht="15.75" x14ac:dyDescent="0.25">
      <c r="A345" s="146" t="s">
        <v>944</v>
      </c>
      <c r="B345" s="147">
        <f t="shared" si="48"/>
        <v>0</v>
      </c>
      <c r="D345" s="148" t="s">
        <v>1379</v>
      </c>
      <c r="F345" s="148">
        <f t="shared" si="55"/>
        <v>0</v>
      </c>
      <c r="G345" s="148" t="s">
        <v>1379</v>
      </c>
      <c r="I345" s="148">
        <f t="shared" si="49"/>
        <v>0</v>
      </c>
      <c r="J345" s="148" t="s">
        <v>1379</v>
      </c>
      <c r="L345" s="148">
        <f t="shared" si="50"/>
        <v>0</v>
      </c>
      <c r="M345" s="148" t="s">
        <v>1379</v>
      </c>
      <c r="O345" s="148">
        <f t="shared" si="51"/>
        <v>0</v>
      </c>
      <c r="P345" s="148" t="s">
        <v>1379</v>
      </c>
      <c r="R345" s="148">
        <f t="shared" si="52"/>
        <v>0</v>
      </c>
      <c r="S345" s="148" t="s">
        <v>1379</v>
      </c>
      <c r="U345" s="148">
        <f t="shared" si="53"/>
        <v>0</v>
      </c>
    </row>
    <row r="346" spans="1:21" s="148" customFormat="1" ht="15.75" x14ac:dyDescent="0.25">
      <c r="A346" s="146" t="s">
        <v>945</v>
      </c>
      <c r="B346" s="147">
        <f t="shared" si="48"/>
        <v>0</v>
      </c>
      <c r="D346" s="148" t="s">
        <v>1379</v>
      </c>
      <c r="F346" s="148">
        <f t="shared" si="55"/>
        <v>0</v>
      </c>
      <c r="G346" s="148" t="s">
        <v>1379</v>
      </c>
      <c r="I346" s="148">
        <f t="shared" si="49"/>
        <v>0</v>
      </c>
      <c r="J346" s="148" t="s">
        <v>1379</v>
      </c>
      <c r="L346" s="148">
        <f t="shared" si="50"/>
        <v>0</v>
      </c>
      <c r="M346" s="148" t="s">
        <v>1379</v>
      </c>
      <c r="O346" s="148">
        <f t="shared" si="51"/>
        <v>0</v>
      </c>
      <c r="P346" s="148" t="s">
        <v>1379</v>
      </c>
      <c r="R346" s="148">
        <f t="shared" si="52"/>
        <v>0</v>
      </c>
      <c r="S346" s="148" t="s">
        <v>1379</v>
      </c>
      <c r="U346" s="148">
        <f t="shared" si="53"/>
        <v>0</v>
      </c>
    </row>
    <row r="347" spans="1:21" s="148" customFormat="1" ht="15.75" x14ac:dyDescent="0.25">
      <c r="A347" s="146" t="s">
        <v>946</v>
      </c>
      <c r="B347" s="147">
        <f t="shared" si="48"/>
        <v>0</v>
      </c>
      <c r="D347" s="148" t="s">
        <v>1379</v>
      </c>
      <c r="F347" s="148">
        <f t="shared" si="55"/>
        <v>0</v>
      </c>
      <c r="G347" s="148" t="s">
        <v>1379</v>
      </c>
      <c r="I347" s="148">
        <f t="shared" si="49"/>
        <v>0</v>
      </c>
      <c r="J347" s="148" t="s">
        <v>1379</v>
      </c>
      <c r="L347" s="148">
        <f t="shared" si="50"/>
        <v>0</v>
      </c>
      <c r="M347" s="148" t="s">
        <v>1379</v>
      </c>
      <c r="O347" s="148">
        <f t="shared" si="51"/>
        <v>0</v>
      </c>
      <c r="P347" s="148" t="s">
        <v>1379</v>
      </c>
      <c r="R347" s="148">
        <f t="shared" si="52"/>
        <v>0</v>
      </c>
      <c r="S347" s="148" t="s">
        <v>1379</v>
      </c>
      <c r="U347" s="148">
        <f t="shared" si="53"/>
        <v>0</v>
      </c>
    </row>
    <row r="348" spans="1:21" s="148" customFormat="1" ht="15.75" x14ac:dyDescent="0.25">
      <c r="A348" s="146" t="s">
        <v>947</v>
      </c>
      <c r="B348" s="147">
        <f t="shared" si="48"/>
        <v>0</v>
      </c>
      <c r="D348" s="148" t="s">
        <v>1379</v>
      </c>
      <c r="F348" s="148">
        <f t="shared" si="55"/>
        <v>0</v>
      </c>
      <c r="G348" s="148" t="s">
        <v>1379</v>
      </c>
      <c r="I348" s="148">
        <f t="shared" si="49"/>
        <v>0</v>
      </c>
      <c r="J348" s="148" t="s">
        <v>1379</v>
      </c>
      <c r="L348" s="148">
        <f t="shared" si="50"/>
        <v>0</v>
      </c>
      <c r="M348" s="148" t="s">
        <v>1379</v>
      </c>
      <c r="O348" s="148">
        <f t="shared" si="51"/>
        <v>0</v>
      </c>
      <c r="P348" s="148" t="s">
        <v>1379</v>
      </c>
      <c r="R348" s="148">
        <f t="shared" si="52"/>
        <v>0</v>
      </c>
      <c r="S348" s="148" t="s">
        <v>1379</v>
      </c>
      <c r="U348" s="148">
        <f t="shared" si="53"/>
        <v>0</v>
      </c>
    </row>
    <row r="349" spans="1:21" s="148" customFormat="1" ht="15.75" x14ac:dyDescent="0.25">
      <c r="A349" s="146" t="s">
        <v>948</v>
      </c>
      <c r="B349" s="147">
        <f t="shared" si="48"/>
        <v>0</v>
      </c>
      <c r="D349" s="148" t="s">
        <v>1379</v>
      </c>
      <c r="F349" s="148">
        <f t="shared" si="55"/>
        <v>0</v>
      </c>
      <c r="G349" s="148" t="s">
        <v>1379</v>
      </c>
      <c r="I349" s="148">
        <f t="shared" si="49"/>
        <v>0</v>
      </c>
      <c r="J349" s="148" t="s">
        <v>1379</v>
      </c>
      <c r="L349" s="148">
        <f t="shared" si="50"/>
        <v>0</v>
      </c>
      <c r="M349" s="148" t="s">
        <v>1379</v>
      </c>
      <c r="O349" s="148">
        <f t="shared" si="51"/>
        <v>0</v>
      </c>
      <c r="P349" s="148" t="s">
        <v>1379</v>
      </c>
      <c r="R349" s="148">
        <f t="shared" si="52"/>
        <v>0</v>
      </c>
      <c r="S349" s="148" t="s">
        <v>1379</v>
      </c>
      <c r="U349" s="148">
        <f t="shared" si="53"/>
        <v>0</v>
      </c>
    </row>
    <row r="350" spans="1:21" s="148" customFormat="1" ht="15.75" x14ac:dyDescent="0.25">
      <c r="A350" s="146" t="s">
        <v>949</v>
      </c>
      <c r="B350" s="147">
        <f t="shared" si="48"/>
        <v>0</v>
      </c>
      <c r="D350" s="148" t="s">
        <v>1379</v>
      </c>
      <c r="F350" s="148">
        <f t="shared" si="55"/>
        <v>0</v>
      </c>
      <c r="G350" s="148" t="s">
        <v>1379</v>
      </c>
      <c r="I350" s="148">
        <f t="shared" si="49"/>
        <v>0</v>
      </c>
      <c r="J350" s="148" t="s">
        <v>1379</v>
      </c>
      <c r="L350" s="148">
        <f t="shared" si="50"/>
        <v>0</v>
      </c>
      <c r="M350" s="148" t="s">
        <v>1379</v>
      </c>
      <c r="O350" s="148">
        <f t="shared" si="51"/>
        <v>0</v>
      </c>
      <c r="P350" s="148" t="s">
        <v>1379</v>
      </c>
      <c r="R350" s="148">
        <f t="shared" si="52"/>
        <v>0</v>
      </c>
      <c r="S350" s="148" t="s">
        <v>1379</v>
      </c>
      <c r="U350" s="148">
        <f t="shared" si="53"/>
        <v>0</v>
      </c>
    </row>
    <row r="351" spans="1:21" s="148" customFormat="1" ht="15.75" x14ac:dyDescent="0.25">
      <c r="A351" s="146" t="s">
        <v>950</v>
      </c>
      <c r="B351" s="147">
        <f t="shared" si="48"/>
        <v>0</v>
      </c>
      <c r="D351" s="148" t="s">
        <v>1379</v>
      </c>
      <c r="F351" s="148">
        <f t="shared" si="55"/>
        <v>0</v>
      </c>
      <c r="G351" s="148" t="s">
        <v>1379</v>
      </c>
      <c r="I351" s="148">
        <f t="shared" si="49"/>
        <v>0</v>
      </c>
      <c r="J351" s="148" t="s">
        <v>1379</v>
      </c>
      <c r="L351" s="148">
        <f t="shared" si="50"/>
        <v>0</v>
      </c>
      <c r="M351" s="148" t="s">
        <v>1379</v>
      </c>
      <c r="O351" s="148">
        <f t="shared" si="51"/>
        <v>0</v>
      </c>
      <c r="P351" s="148" t="s">
        <v>1379</v>
      </c>
      <c r="R351" s="148">
        <f t="shared" si="52"/>
        <v>0</v>
      </c>
      <c r="S351" s="148" t="s">
        <v>1379</v>
      </c>
      <c r="U351" s="148">
        <f t="shared" si="53"/>
        <v>0</v>
      </c>
    </row>
    <row r="352" spans="1:21" s="148" customFormat="1" ht="15.75" x14ac:dyDescent="0.25">
      <c r="A352" s="146" t="s">
        <v>951</v>
      </c>
      <c r="B352" s="147">
        <f t="shared" si="48"/>
        <v>0</v>
      </c>
      <c r="D352" s="148" t="s">
        <v>1379</v>
      </c>
      <c r="F352" s="148">
        <f t="shared" si="55"/>
        <v>0</v>
      </c>
      <c r="G352" s="148" t="s">
        <v>1379</v>
      </c>
      <c r="I352" s="148">
        <f t="shared" si="49"/>
        <v>0</v>
      </c>
      <c r="J352" s="148" t="s">
        <v>1379</v>
      </c>
      <c r="L352" s="148">
        <f t="shared" si="50"/>
        <v>0</v>
      </c>
      <c r="M352" s="148" t="s">
        <v>1379</v>
      </c>
      <c r="O352" s="148">
        <f t="shared" si="51"/>
        <v>0</v>
      </c>
      <c r="P352" s="148" t="s">
        <v>1379</v>
      </c>
      <c r="R352" s="148">
        <f t="shared" si="52"/>
        <v>0</v>
      </c>
      <c r="S352" s="148" t="s">
        <v>1379</v>
      </c>
      <c r="U352" s="148">
        <f t="shared" si="53"/>
        <v>0</v>
      </c>
    </row>
    <row r="353" spans="1:21" s="148" customFormat="1" ht="15.75" x14ac:dyDescent="0.25">
      <c r="A353" s="146" t="s">
        <v>952</v>
      </c>
      <c r="B353" s="147">
        <f t="shared" si="48"/>
        <v>0</v>
      </c>
      <c r="D353" s="148" t="s">
        <v>1379</v>
      </c>
      <c r="F353" s="148">
        <f t="shared" si="55"/>
        <v>0</v>
      </c>
      <c r="G353" s="148" t="s">
        <v>1379</v>
      </c>
      <c r="I353" s="148">
        <f t="shared" si="49"/>
        <v>0</v>
      </c>
      <c r="J353" s="148" t="s">
        <v>1379</v>
      </c>
      <c r="L353" s="148">
        <f t="shared" si="50"/>
        <v>0</v>
      </c>
      <c r="M353" s="148" t="s">
        <v>1379</v>
      </c>
      <c r="O353" s="148">
        <f t="shared" si="51"/>
        <v>0</v>
      </c>
      <c r="P353" s="148" t="s">
        <v>1379</v>
      </c>
      <c r="R353" s="148">
        <f t="shared" si="52"/>
        <v>0</v>
      </c>
      <c r="S353" s="148" t="s">
        <v>1379</v>
      </c>
      <c r="U353" s="148">
        <f t="shared" si="53"/>
        <v>0</v>
      </c>
    </row>
    <row r="354" spans="1:21" ht="15.75" x14ac:dyDescent="0.25">
      <c r="A354" s="131" t="s">
        <v>953</v>
      </c>
      <c r="B354" s="137">
        <f t="shared" si="48"/>
        <v>12</v>
      </c>
      <c r="D354" s="151" t="s">
        <v>962</v>
      </c>
      <c r="E354" s="151">
        <v>3</v>
      </c>
      <c r="F354" s="151">
        <f t="shared" si="55"/>
        <v>4</v>
      </c>
      <c r="G354" s="151" t="s">
        <v>1281</v>
      </c>
      <c r="H354" s="151">
        <v>2</v>
      </c>
      <c r="I354" s="134">
        <f t="shared" si="49"/>
        <v>0</v>
      </c>
      <c r="J354" s="134" t="s">
        <v>1379</v>
      </c>
      <c r="L354" s="134">
        <f t="shared" si="50"/>
        <v>0</v>
      </c>
      <c r="M354" s="134" t="s">
        <v>1379</v>
      </c>
      <c r="O354" s="134">
        <f t="shared" si="51"/>
        <v>0</v>
      </c>
      <c r="P354" s="134" t="s">
        <v>1379</v>
      </c>
      <c r="R354" s="134">
        <f t="shared" si="52"/>
        <v>0</v>
      </c>
      <c r="S354" s="134" t="s">
        <v>1379</v>
      </c>
      <c r="U354" s="134">
        <f t="shared" si="53"/>
        <v>0</v>
      </c>
    </row>
    <row r="355" spans="1:21" ht="15.75" x14ac:dyDescent="0.25">
      <c r="A355" s="131" t="s">
        <v>954</v>
      </c>
      <c r="B355" s="137">
        <f t="shared" si="48"/>
        <v>24</v>
      </c>
      <c r="D355" s="151" t="s">
        <v>962</v>
      </c>
      <c r="E355">
        <v>6</v>
      </c>
      <c r="F355" s="134">
        <f t="shared" si="55"/>
        <v>4</v>
      </c>
      <c r="G355" s="134" t="s">
        <v>1379</v>
      </c>
      <c r="I355" s="134">
        <f t="shared" si="49"/>
        <v>0</v>
      </c>
      <c r="J355" s="134" t="s">
        <v>1379</v>
      </c>
      <c r="L355" s="134">
        <f t="shared" si="50"/>
        <v>0</v>
      </c>
      <c r="M355" s="134" t="s">
        <v>1379</v>
      </c>
      <c r="O355" s="134">
        <f t="shared" si="51"/>
        <v>0</v>
      </c>
      <c r="P355" s="134" t="s">
        <v>1379</v>
      </c>
      <c r="R355" s="134">
        <f t="shared" si="52"/>
        <v>0</v>
      </c>
      <c r="S355" s="134" t="s">
        <v>1379</v>
      </c>
      <c r="U355" s="134">
        <f t="shared" si="53"/>
        <v>0</v>
      </c>
    </row>
    <row r="356" spans="1:21" ht="15.75" x14ac:dyDescent="0.25">
      <c r="A356" s="131" t="s">
        <v>955</v>
      </c>
      <c r="B356" s="137">
        <f t="shared" si="48"/>
        <v>36</v>
      </c>
      <c r="D356" s="134" t="s">
        <v>962</v>
      </c>
      <c r="E356">
        <v>9</v>
      </c>
      <c r="F356" s="134">
        <f t="shared" si="55"/>
        <v>4</v>
      </c>
      <c r="G356" s="134" t="s">
        <v>1379</v>
      </c>
      <c r="I356" s="134">
        <f t="shared" si="49"/>
        <v>0</v>
      </c>
      <c r="J356" s="134" t="s">
        <v>1379</v>
      </c>
      <c r="L356" s="134">
        <f t="shared" si="50"/>
        <v>0</v>
      </c>
      <c r="M356" s="134" t="s">
        <v>1379</v>
      </c>
      <c r="O356" s="134">
        <f t="shared" si="51"/>
        <v>0</v>
      </c>
      <c r="P356" s="134" t="s">
        <v>1379</v>
      </c>
      <c r="R356" s="134">
        <f t="shared" si="52"/>
        <v>0</v>
      </c>
      <c r="S356" s="134" t="s">
        <v>1379</v>
      </c>
      <c r="U356" s="134">
        <f t="shared" si="53"/>
        <v>0</v>
      </c>
    </row>
    <row r="357" spans="1:21" ht="15.75" x14ac:dyDescent="0.25">
      <c r="A357" s="131" t="s">
        <v>956</v>
      </c>
      <c r="B357" s="137">
        <f t="shared" si="48"/>
        <v>16</v>
      </c>
      <c r="D357" s="151" t="s">
        <v>962</v>
      </c>
      <c r="E357">
        <v>4</v>
      </c>
      <c r="F357" s="134">
        <f t="shared" si="55"/>
        <v>4</v>
      </c>
      <c r="G357" s="134" t="s">
        <v>1379</v>
      </c>
      <c r="I357" s="134">
        <f t="shared" si="49"/>
        <v>0</v>
      </c>
      <c r="J357" s="134" t="s">
        <v>1379</v>
      </c>
      <c r="L357" s="134">
        <f t="shared" si="50"/>
        <v>0</v>
      </c>
      <c r="M357" s="134" t="s">
        <v>1379</v>
      </c>
      <c r="O357" s="134">
        <f t="shared" si="51"/>
        <v>0</v>
      </c>
      <c r="P357" s="134" t="s">
        <v>1379</v>
      </c>
      <c r="R357" s="134">
        <f t="shared" si="52"/>
        <v>0</v>
      </c>
      <c r="S357" s="134" t="s">
        <v>1379</v>
      </c>
      <c r="U357" s="134">
        <f t="shared" si="53"/>
        <v>0</v>
      </c>
    </row>
    <row r="358" spans="1:21" ht="15.75" x14ac:dyDescent="0.25">
      <c r="A358" s="131" t="s">
        <v>957</v>
      </c>
      <c r="B358" s="137">
        <f t="shared" si="48"/>
        <v>32</v>
      </c>
      <c r="D358" s="151" t="s">
        <v>962</v>
      </c>
      <c r="E358">
        <v>8</v>
      </c>
      <c r="F358" s="134">
        <f t="shared" si="55"/>
        <v>4</v>
      </c>
      <c r="G358" s="134" t="s">
        <v>1379</v>
      </c>
      <c r="I358" s="134">
        <f t="shared" si="49"/>
        <v>0</v>
      </c>
      <c r="J358" s="134" t="s">
        <v>1379</v>
      </c>
      <c r="L358" s="134">
        <f t="shared" si="50"/>
        <v>0</v>
      </c>
      <c r="M358" s="134" t="s">
        <v>1379</v>
      </c>
      <c r="O358" s="134">
        <f t="shared" si="51"/>
        <v>0</v>
      </c>
      <c r="P358" s="134" t="s">
        <v>1379</v>
      </c>
      <c r="R358" s="134">
        <f t="shared" si="52"/>
        <v>0</v>
      </c>
      <c r="S358" s="134" t="s">
        <v>1379</v>
      </c>
      <c r="U358" s="134">
        <f t="shared" si="53"/>
        <v>0</v>
      </c>
    </row>
    <row r="359" spans="1:21" ht="15.75" x14ac:dyDescent="0.25">
      <c r="A359" s="131" t="s">
        <v>958</v>
      </c>
      <c r="B359" s="137">
        <f t="shared" si="48"/>
        <v>24</v>
      </c>
      <c r="D359" s="151" t="s">
        <v>962</v>
      </c>
      <c r="E359">
        <v>6</v>
      </c>
      <c r="F359" s="134">
        <f t="shared" si="55"/>
        <v>4</v>
      </c>
      <c r="G359" s="134" t="s">
        <v>1379</v>
      </c>
      <c r="I359" s="134">
        <f t="shared" si="49"/>
        <v>0</v>
      </c>
      <c r="J359" s="134" t="s">
        <v>1379</v>
      </c>
      <c r="L359" s="134">
        <f t="shared" si="50"/>
        <v>0</v>
      </c>
      <c r="M359" s="134" t="s">
        <v>1379</v>
      </c>
      <c r="O359" s="134">
        <f t="shared" si="51"/>
        <v>0</v>
      </c>
      <c r="P359" s="134" t="s">
        <v>1379</v>
      </c>
      <c r="R359" s="134">
        <f t="shared" si="52"/>
        <v>0</v>
      </c>
      <c r="S359" s="134" t="s">
        <v>1379</v>
      </c>
      <c r="U359" s="134">
        <f t="shared" si="53"/>
        <v>0</v>
      </c>
    </row>
    <row r="360" spans="1:21" ht="15.75" x14ac:dyDescent="0.25">
      <c r="A360" s="131" t="s">
        <v>959</v>
      </c>
      <c r="B360" s="137">
        <f t="shared" si="48"/>
        <v>32</v>
      </c>
      <c r="D360" s="151" t="s">
        <v>962</v>
      </c>
      <c r="E360">
        <v>8</v>
      </c>
      <c r="F360" s="134">
        <f t="shared" si="55"/>
        <v>4</v>
      </c>
      <c r="G360" s="134" t="s">
        <v>1379</v>
      </c>
      <c r="I360" s="134">
        <f t="shared" si="49"/>
        <v>0</v>
      </c>
      <c r="J360" s="134" t="s">
        <v>1379</v>
      </c>
      <c r="L360" s="134">
        <f t="shared" si="50"/>
        <v>0</v>
      </c>
      <c r="M360" s="134" t="s">
        <v>1379</v>
      </c>
      <c r="O360" s="134">
        <f t="shared" si="51"/>
        <v>0</v>
      </c>
      <c r="P360" s="134" t="s">
        <v>1379</v>
      </c>
      <c r="R360" s="134">
        <f t="shared" si="52"/>
        <v>0</v>
      </c>
      <c r="S360" s="134" t="s">
        <v>1379</v>
      </c>
      <c r="U360" s="134">
        <f t="shared" si="53"/>
        <v>0</v>
      </c>
    </row>
    <row r="361" spans="1:21" ht="15.75" x14ac:dyDescent="0.25">
      <c r="A361" s="131" t="s">
        <v>960</v>
      </c>
      <c r="B361" s="137">
        <f t="shared" si="48"/>
        <v>8</v>
      </c>
      <c r="D361" s="151" t="s">
        <v>962</v>
      </c>
      <c r="E361">
        <v>2</v>
      </c>
      <c r="F361" s="134">
        <f t="shared" si="55"/>
        <v>4</v>
      </c>
      <c r="G361" s="134" t="s">
        <v>1281</v>
      </c>
      <c r="H361" s="134">
        <v>2</v>
      </c>
      <c r="I361" s="134">
        <f t="shared" si="49"/>
        <v>0</v>
      </c>
      <c r="J361" s="134" t="s">
        <v>1379</v>
      </c>
      <c r="L361" s="134">
        <f t="shared" si="50"/>
        <v>0</v>
      </c>
      <c r="M361" s="134" t="s">
        <v>1379</v>
      </c>
      <c r="O361" s="134">
        <f t="shared" si="51"/>
        <v>0</v>
      </c>
      <c r="P361" s="134" t="s">
        <v>1379</v>
      </c>
      <c r="R361" s="134">
        <f t="shared" si="52"/>
        <v>0</v>
      </c>
      <c r="S361" s="134" t="s">
        <v>1379</v>
      </c>
      <c r="U361" s="134">
        <f t="shared" si="53"/>
        <v>0</v>
      </c>
    </row>
    <row r="362" spans="1:21" s="148" customFormat="1" ht="15.75" x14ac:dyDescent="0.25">
      <c r="A362" s="146" t="s">
        <v>961</v>
      </c>
      <c r="B362" s="147">
        <f t="shared" si="48"/>
        <v>0</v>
      </c>
      <c r="D362" s="148" t="s">
        <v>1379</v>
      </c>
      <c r="F362" s="148">
        <f t="shared" si="55"/>
        <v>0</v>
      </c>
      <c r="G362" s="148" t="s">
        <v>1379</v>
      </c>
      <c r="I362" s="148">
        <f t="shared" si="49"/>
        <v>0</v>
      </c>
      <c r="J362" s="148" t="s">
        <v>1379</v>
      </c>
      <c r="L362" s="148">
        <f t="shared" si="50"/>
        <v>0</v>
      </c>
      <c r="M362" s="148" t="s">
        <v>1379</v>
      </c>
      <c r="O362" s="148">
        <f t="shared" si="51"/>
        <v>0</v>
      </c>
      <c r="P362" s="148" t="s">
        <v>1379</v>
      </c>
      <c r="R362" s="148">
        <f t="shared" si="52"/>
        <v>0</v>
      </c>
      <c r="S362" s="148" t="s">
        <v>1379</v>
      </c>
      <c r="U362" s="148">
        <f t="shared" si="53"/>
        <v>0</v>
      </c>
    </row>
    <row r="363" spans="1:21" s="145" customFormat="1" ht="15.75" x14ac:dyDescent="0.25">
      <c r="A363" s="143" t="s">
        <v>962</v>
      </c>
      <c r="B363" s="144">
        <f>'ECONOMIA &amp; PROFESIONES'!B18</f>
        <v>4</v>
      </c>
      <c r="D363" s="145" t="s">
        <v>1379</v>
      </c>
      <c r="F363" s="145">
        <f t="shared" si="55"/>
        <v>0</v>
      </c>
      <c r="G363" s="145" t="s">
        <v>1379</v>
      </c>
      <c r="I363" s="145">
        <f t="shared" si="49"/>
        <v>0</v>
      </c>
      <c r="J363" s="145" t="s">
        <v>1379</v>
      </c>
      <c r="L363" s="145">
        <f t="shared" si="50"/>
        <v>0</v>
      </c>
      <c r="M363" s="145" t="s">
        <v>1379</v>
      </c>
      <c r="O363" s="145">
        <f t="shared" si="51"/>
        <v>0</v>
      </c>
      <c r="P363" s="145" t="s">
        <v>1379</v>
      </c>
      <c r="R363" s="145">
        <f t="shared" si="52"/>
        <v>0</v>
      </c>
      <c r="S363" s="145" t="s">
        <v>1379</v>
      </c>
      <c r="U363" s="145">
        <f t="shared" si="53"/>
        <v>0</v>
      </c>
    </row>
    <row r="364" spans="1:21" ht="15.75" x14ac:dyDescent="0.25">
      <c r="A364" s="131" t="s">
        <v>963</v>
      </c>
      <c r="B364" s="137">
        <f t="shared" si="48"/>
        <v>20</v>
      </c>
      <c r="D364" s="134" t="s">
        <v>962</v>
      </c>
      <c r="E364">
        <v>5</v>
      </c>
      <c r="F364" s="134">
        <f t="shared" si="55"/>
        <v>4</v>
      </c>
      <c r="G364" s="134" t="s">
        <v>1379</v>
      </c>
      <c r="I364" s="134">
        <f t="shared" si="49"/>
        <v>0</v>
      </c>
      <c r="J364" s="134" t="s">
        <v>1379</v>
      </c>
      <c r="L364" s="134">
        <f t="shared" si="50"/>
        <v>0</v>
      </c>
      <c r="M364" s="134" t="s">
        <v>1379</v>
      </c>
      <c r="O364" s="134">
        <f t="shared" si="51"/>
        <v>0</v>
      </c>
      <c r="P364" s="134" t="s">
        <v>1379</v>
      </c>
      <c r="R364" s="134">
        <f t="shared" si="52"/>
        <v>0</v>
      </c>
      <c r="S364" s="134" t="s">
        <v>1379</v>
      </c>
      <c r="U364" s="134">
        <f t="shared" si="53"/>
        <v>0</v>
      </c>
    </row>
    <row r="365" spans="1:21" ht="15.75" x14ac:dyDescent="0.25">
      <c r="A365" s="131" t="s">
        <v>964</v>
      </c>
      <c r="B365" s="137">
        <f>'ECONOMIA &amp; PROFESIONES'!B18/9</f>
        <v>0.44444444444444442</v>
      </c>
      <c r="D365" s="134" t="s">
        <v>1379</v>
      </c>
      <c r="F365" s="134">
        <f t="shared" si="55"/>
        <v>0</v>
      </c>
      <c r="G365" s="134" t="s">
        <v>1379</v>
      </c>
      <c r="I365" s="134">
        <f t="shared" si="49"/>
        <v>0</v>
      </c>
      <c r="J365" s="134" t="s">
        <v>1379</v>
      </c>
      <c r="L365" s="134">
        <f t="shared" si="50"/>
        <v>0</v>
      </c>
      <c r="M365" s="134" t="s">
        <v>1379</v>
      </c>
      <c r="O365" s="134">
        <f t="shared" si="51"/>
        <v>0</v>
      </c>
      <c r="P365" s="134" t="s">
        <v>1379</v>
      </c>
      <c r="R365" s="134">
        <f t="shared" si="52"/>
        <v>0</v>
      </c>
      <c r="S365" s="134" t="s">
        <v>1379</v>
      </c>
      <c r="U365" s="134">
        <f t="shared" si="53"/>
        <v>0</v>
      </c>
    </row>
    <row r="366" spans="1:21" s="145" customFormat="1" ht="15.75" x14ac:dyDescent="0.25">
      <c r="A366" s="143" t="s">
        <v>965</v>
      </c>
      <c r="B366" s="144">
        <f>'ECONOMIA &amp; PROFESIONES'!B18</f>
        <v>4</v>
      </c>
      <c r="D366" s="145" t="s">
        <v>1379</v>
      </c>
      <c r="F366" s="145">
        <f t="shared" si="55"/>
        <v>0</v>
      </c>
      <c r="G366" s="145" t="s">
        <v>1379</v>
      </c>
      <c r="I366" s="145">
        <f t="shared" si="49"/>
        <v>0</v>
      </c>
      <c r="J366" s="145" t="s">
        <v>1379</v>
      </c>
      <c r="L366" s="145">
        <f t="shared" si="50"/>
        <v>0</v>
      </c>
      <c r="M366" s="145" t="s">
        <v>1379</v>
      </c>
      <c r="O366" s="145">
        <f t="shared" si="51"/>
        <v>0</v>
      </c>
      <c r="P366" s="145" t="s">
        <v>1379</v>
      </c>
      <c r="R366" s="145">
        <f t="shared" si="52"/>
        <v>0</v>
      </c>
      <c r="S366" s="145" t="s">
        <v>1379</v>
      </c>
      <c r="U366" s="145">
        <f t="shared" si="53"/>
        <v>0</v>
      </c>
    </row>
    <row r="367" spans="1:21" ht="15.75" x14ac:dyDescent="0.25">
      <c r="A367" s="131" t="s">
        <v>966</v>
      </c>
      <c r="B367" s="137">
        <f t="shared" si="48"/>
        <v>12</v>
      </c>
      <c r="D367" s="134" t="s">
        <v>962</v>
      </c>
      <c r="E367">
        <v>3</v>
      </c>
      <c r="F367" s="134">
        <f t="shared" si="55"/>
        <v>4</v>
      </c>
      <c r="G367" s="134" t="s">
        <v>1281</v>
      </c>
      <c r="H367" s="134">
        <v>2</v>
      </c>
      <c r="I367" s="134">
        <f t="shared" si="49"/>
        <v>0</v>
      </c>
      <c r="J367" s="134" t="s">
        <v>1379</v>
      </c>
      <c r="L367" s="134">
        <f t="shared" si="50"/>
        <v>0</v>
      </c>
      <c r="M367" s="134" t="s">
        <v>1379</v>
      </c>
      <c r="O367" s="134">
        <f t="shared" si="51"/>
        <v>0</v>
      </c>
      <c r="P367" s="134" t="s">
        <v>1379</v>
      </c>
      <c r="R367" s="134">
        <f t="shared" si="52"/>
        <v>0</v>
      </c>
      <c r="S367" s="134" t="s">
        <v>1379</v>
      </c>
      <c r="U367" s="134">
        <f t="shared" si="53"/>
        <v>0</v>
      </c>
    </row>
    <row r="368" spans="1:21" ht="15.75" x14ac:dyDescent="0.25">
      <c r="A368" s="131" t="s">
        <v>967</v>
      </c>
      <c r="B368" s="137">
        <f t="shared" si="48"/>
        <v>4</v>
      </c>
      <c r="D368" s="151" t="s">
        <v>962</v>
      </c>
      <c r="E368">
        <v>1</v>
      </c>
      <c r="F368" s="134">
        <f t="shared" si="55"/>
        <v>4</v>
      </c>
      <c r="G368" s="134" t="s">
        <v>1281</v>
      </c>
      <c r="H368" s="134">
        <v>2</v>
      </c>
      <c r="I368" s="134">
        <f t="shared" si="49"/>
        <v>0</v>
      </c>
      <c r="J368" s="134" t="s">
        <v>1379</v>
      </c>
      <c r="L368" s="134">
        <f t="shared" si="50"/>
        <v>0</v>
      </c>
      <c r="M368" s="134" t="s">
        <v>1379</v>
      </c>
      <c r="O368" s="134">
        <f t="shared" si="51"/>
        <v>0</v>
      </c>
      <c r="P368" s="134" t="s">
        <v>1379</v>
      </c>
      <c r="R368" s="134">
        <f t="shared" si="52"/>
        <v>0</v>
      </c>
      <c r="S368" s="134" t="s">
        <v>1379</v>
      </c>
      <c r="U368" s="134">
        <f t="shared" si="53"/>
        <v>0</v>
      </c>
    </row>
    <row r="369" spans="1:21" ht="15.75" x14ac:dyDescent="0.25">
      <c r="A369" s="131" t="s">
        <v>968</v>
      </c>
      <c r="B369" s="137">
        <f t="shared" si="48"/>
        <v>8</v>
      </c>
      <c r="D369" s="151" t="s">
        <v>962</v>
      </c>
      <c r="E369">
        <v>2</v>
      </c>
      <c r="F369" s="134">
        <f t="shared" si="55"/>
        <v>4</v>
      </c>
      <c r="G369" s="134" t="s">
        <v>1281</v>
      </c>
      <c r="H369" s="134">
        <v>1</v>
      </c>
      <c r="I369" s="134">
        <f t="shared" si="49"/>
        <v>0</v>
      </c>
      <c r="J369" s="134" t="s">
        <v>1379</v>
      </c>
      <c r="L369" s="134">
        <f t="shared" si="50"/>
        <v>0</v>
      </c>
      <c r="M369" s="134" t="s">
        <v>1379</v>
      </c>
      <c r="O369" s="134">
        <f t="shared" si="51"/>
        <v>0</v>
      </c>
      <c r="P369" s="134" t="s">
        <v>1379</v>
      </c>
      <c r="R369" s="134">
        <f t="shared" si="52"/>
        <v>0</v>
      </c>
      <c r="S369" s="134" t="s">
        <v>1379</v>
      </c>
      <c r="U369" s="134">
        <f t="shared" si="53"/>
        <v>0</v>
      </c>
    </row>
    <row r="370" spans="1:21" ht="15.75" x14ac:dyDescent="0.25">
      <c r="A370" s="131" t="s">
        <v>969</v>
      </c>
      <c r="B370" s="137">
        <f t="shared" si="48"/>
        <v>16</v>
      </c>
      <c r="D370" s="151" t="s">
        <v>962</v>
      </c>
      <c r="E370">
        <v>4</v>
      </c>
      <c r="F370" s="134">
        <f t="shared" si="55"/>
        <v>4</v>
      </c>
      <c r="G370" s="134" t="s">
        <v>1379</v>
      </c>
      <c r="I370" s="134">
        <f t="shared" si="49"/>
        <v>0</v>
      </c>
      <c r="J370" s="134" t="s">
        <v>1379</v>
      </c>
      <c r="L370" s="134">
        <f t="shared" si="50"/>
        <v>0</v>
      </c>
      <c r="M370" s="134" t="s">
        <v>1379</v>
      </c>
      <c r="O370" s="134">
        <f t="shared" si="51"/>
        <v>0</v>
      </c>
      <c r="P370" s="134" t="s">
        <v>1379</v>
      </c>
      <c r="R370" s="134">
        <f t="shared" si="52"/>
        <v>0</v>
      </c>
      <c r="S370" s="134" t="s">
        <v>1379</v>
      </c>
      <c r="U370" s="134">
        <f t="shared" si="53"/>
        <v>0</v>
      </c>
    </row>
    <row r="371" spans="1:21" ht="15.75" x14ac:dyDescent="0.25">
      <c r="A371" s="131" t="s">
        <v>970</v>
      </c>
      <c r="B371" s="137">
        <f t="shared" si="48"/>
        <v>1</v>
      </c>
      <c r="D371" s="134" t="s">
        <v>1281</v>
      </c>
      <c r="E371">
        <v>8</v>
      </c>
      <c r="F371" s="134">
        <f t="shared" si="55"/>
        <v>0</v>
      </c>
      <c r="G371" s="134" t="s">
        <v>994</v>
      </c>
      <c r="H371" s="134">
        <v>1</v>
      </c>
      <c r="I371" s="134">
        <f t="shared" si="49"/>
        <v>1</v>
      </c>
      <c r="J371" s="134" t="s">
        <v>1379</v>
      </c>
      <c r="L371" s="134">
        <f t="shared" si="50"/>
        <v>0</v>
      </c>
      <c r="M371" s="134" t="s">
        <v>1379</v>
      </c>
      <c r="O371" s="134">
        <f t="shared" si="51"/>
        <v>0</v>
      </c>
      <c r="P371" s="134" t="s">
        <v>1379</v>
      </c>
      <c r="R371" s="134">
        <f t="shared" si="52"/>
        <v>0</v>
      </c>
      <c r="S371" s="134" t="s">
        <v>1379</v>
      </c>
      <c r="U371" s="134">
        <f t="shared" si="53"/>
        <v>0</v>
      </c>
    </row>
    <row r="372" spans="1:21" ht="15.75" x14ac:dyDescent="0.25">
      <c r="A372" s="131" t="s">
        <v>971</v>
      </c>
      <c r="B372" s="137">
        <f t="shared" si="48"/>
        <v>0</v>
      </c>
      <c r="D372" s="134" t="s">
        <v>1321</v>
      </c>
      <c r="E372">
        <v>1</v>
      </c>
      <c r="F372" s="134">
        <f t="shared" si="55"/>
        <v>0</v>
      </c>
      <c r="G372" s="151" t="s">
        <v>718</v>
      </c>
      <c r="H372" s="134">
        <v>1</v>
      </c>
      <c r="I372" s="134">
        <f t="shared" si="49"/>
        <v>0</v>
      </c>
      <c r="J372" s="134" t="s">
        <v>1379</v>
      </c>
      <c r="L372" s="134">
        <f t="shared" si="50"/>
        <v>0</v>
      </c>
      <c r="M372" s="134" t="s">
        <v>1379</v>
      </c>
      <c r="O372" s="134">
        <f t="shared" si="51"/>
        <v>0</v>
      </c>
      <c r="P372" s="134" t="s">
        <v>1379</v>
      </c>
      <c r="R372" s="134">
        <f t="shared" si="52"/>
        <v>0</v>
      </c>
      <c r="S372" s="134" t="s">
        <v>1379</v>
      </c>
      <c r="U372" s="134">
        <f t="shared" si="53"/>
        <v>0</v>
      </c>
    </row>
    <row r="373" spans="1:21" ht="15.75" x14ac:dyDescent="0.25">
      <c r="A373" s="131" t="s">
        <v>972</v>
      </c>
      <c r="B373" s="137">
        <f t="shared" si="48"/>
        <v>16</v>
      </c>
      <c r="D373" s="134" t="s">
        <v>1093</v>
      </c>
      <c r="E373">
        <v>8</v>
      </c>
      <c r="F373" s="134">
        <f t="shared" si="55"/>
        <v>0</v>
      </c>
      <c r="G373" s="134" t="s">
        <v>816</v>
      </c>
      <c r="H373" s="134">
        <v>1</v>
      </c>
      <c r="I373" s="134">
        <f t="shared" si="49"/>
        <v>16</v>
      </c>
      <c r="J373" s="134" t="s">
        <v>1379</v>
      </c>
      <c r="L373" s="134">
        <f t="shared" si="50"/>
        <v>0</v>
      </c>
      <c r="M373" s="134" t="s">
        <v>1379</v>
      </c>
      <c r="O373" s="134">
        <f t="shared" si="51"/>
        <v>0</v>
      </c>
      <c r="P373" s="134" t="s">
        <v>1379</v>
      </c>
      <c r="R373" s="134">
        <f t="shared" si="52"/>
        <v>0</v>
      </c>
      <c r="S373" s="134" t="s">
        <v>1379</v>
      </c>
      <c r="U373" s="134">
        <f t="shared" si="53"/>
        <v>0</v>
      </c>
    </row>
    <row r="374" spans="1:21" ht="15.75" x14ac:dyDescent="0.25">
      <c r="A374" s="131" t="s">
        <v>973</v>
      </c>
      <c r="B374" s="137">
        <f t="shared" si="48"/>
        <v>35</v>
      </c>
      <c r="D374" s="134" t="s">
        <v>979</v>
      </c>
      <c r="E374">
        <v>5</v>
      </c>
      <c r="F374" s="134">
        <f t="shared" si="55"/>
        <v>7</v>
      </c>
      <c r="G374" s="134" t="s">
        <v>1354</v>
      </c>
      <c r="H374" s="134">
        <v>1</v>
      </c>
      <c r="I374" s="134">
        <f t="shared" si="49"/>
        <v>0</v>
      </c>
      <c r="J374" s="134" t="s">
        <v>1379</v>
      </c>
      <c r="L374" s="134">
        <f t="shared" si="50"/>
        <v>0</v>
      </c>
      <c r="M374" s="134" t="s">
        <v>1379</v>
      </c>
      <c r="O374" s="134">
        <f t="shared" si="51"/>
        <v>0</v>
      </c>
      <c r="P374" s="134" t="s">
        <v>1379</v>
      </c>
      <c r="R374" s="134">
        <f t="shared" si="52"/>
        <v>0</v>
      </c>
      <c r="S374" s="134" t="s">
        <v>1379</v>
      </c>
      <c r="U374" s="134">
        <f t="shared" si="53"/>
        <v>0</v>
      </c>
    </row>
    <row r="375" spans="1:21" ht="15.75" x14ac:dyDescent="0.25">
      <c r="A375" s="131" t="s">
        <v>974</v>
      </c>
      <c r="B375" s="137">
        <f t="shared" si="48"/>
        <v>7</v>
      </c>
      <c r="D375" s="151" t="s">
        <v>979</v>
      </c>
      <c r="E375" s="151">
        <v>1</v>
      </c>
      <c r="F375" s="151">
        <f t="shared" si="55"/>
        <v>7</v>
      </c>
      <c r="G375" s="151" t="s">
        <v>1379</v>
      </c>
      <c r="H375" s="151"/>
      <c r="I375" s="134">
        <f t="shared" si="49"/>
        <v>0</v>
      </c>
      <c r="J375" s="134" t="s">
        <v>1379</v>
      </c>
      <c r="L375" s="134">
        <f t="shared" si="50"/>
        <v>0</v>
      </c>
      <c r="M375" s="134" t="s">
        <v>1379</v>
      </c>
      <c r="O375" s="134">
        <f t="shared" si="51"/>
        <v>0</v>
      </c>
      <c r="P375" s="134" t="s">
        <v>1379</v>
      </c>
      <c r="R375" s="134">
        <f t="shared" si="52"/>
        <v>0</v>
      </c>
      <c r="S375" s="134" t="s">
        <v>1379</v>
      </c>
      <c r="U375" s="134">
        <f t="shared" si="53"/>
        <v>0</v>
      </c>
    </row>
    <row r="376" spans="1:21" ht="15.75" x14ac:dyDescent="0.25">
      <c r="A376" s="131" t="s">
        <v>975</v>
      </c>
      <c r="B376" s="137">
        <f t="shared" si="48"/>
        <v>42</v>
      </c>
      <c r="D376" s="151" t="s">
        <v>979</v>
      </c>
      <c r="E376" s="151">
        <v>6</v>
      </c>
      <c r="F376" s="151">
        <f t="shared" si="55"/>
        <v>7</v>
      </c>
      <c r="G376" s="151" t="s">
        <v>1379</v>
      </c>
      <c r="H376" s="151"/>
      <c r="I376" s="134">
        <f t="shared" si="49"/>
        <v>0</v>
      </c>
      <c r="J376" s="134" t="s">
        <v>1379</v>
      </c>
      <c r="L376" s="134">
        <f t="shared" si="50"/>
        <v>0</v>
      </c>
      <c r="M376" s="134" t="s">
        <v>1379</v>
      </c>
      <c r="O376" s="134">
        <f t="shared" si="51"/>
        <v>0</v>
      </c>
      <c r="P376" s="134" t="s">
        <v>1379</v>
      </c>
      <c r="R376" s="134">
        <f t="shared" si="52"/>
        <v>0</v>
      </c>
      <c r="S376" s="134" t="s">
        <v>1379</v>
      </c>
      <c r="U376" s="134">
        <f t="shared" si="53"/>
        <v>0</v>
      </c>
    </row>
    <row r="377" spans="1:21" ht="15.75" x14ac:dyDescent="0.25">
      <c r="A377" s="131" t="s">
        <v>976</v>
      </c>
      <c r="B377" s="137">
        <f t="shared" si="48"/>
        <v>28</v>
      </c>
      <c r="D377" s="151" t="s">
        <v>979</v>
      </c>
      <c r="E377" s="151">
        <v>4</v>
      </c>
      <c r="F377" s="151">
        <f t="shared" si="55"/>
        <v>7</v>
      </c>
      <c r="G377" s="151" t="s">
        <v>1281</v>
      </c>
      <c r="H377" s="151">
        <v>2</v>
      </c>
      <c r="I377" s="134">
        <f t="shared" si="49"/>
        <v>0</v>
      </c>
      <c r="J377" s="134" t="s">
        <v>1379</v>
      </c>
      <c r="L377" s="134">
        <f t="shared" si="50"/>
        <v>0</v>
      </c>
      <c r="M377" s="134" t="s">
        <v>1379</v>
      </c>
      <c r="O377" s="134">
        <f t="shared" si="51"/>
        <v>0</v>
      </c>
      <c r="P377" s="134" t="s">
        <v>1379</v>
      </c>
      <c r="R377" s="134">
        <f t="shared" si="52"/>
        <v>0</v>
      </c>
      <c r="S377" s="134" t="s">
        <v>1379</v>
      </c>
      <c r="U377" s="134">
        <f t="shared" si="53"/>
        <v>0</v>
      </c>
    </row>
    <row r="378" spans="1:21" ht="15.75" x14ac:dyDescent="0.25">
      <c r="A378" s="131" t="s">
        <v>977</v>
      </c>
      <c r="B378" s="137">
        <f t="shared" si="48"/>
        <v>14</v>
      </c>
      <c r="D378" s="151" t="s">
        <v>979</v>
      </c>
      <c r="E378" s="151">
        <v>2</v>
      </c>
      <c r="F378" s="151">
        <f t="shared" si="55"/>
        <v>7</v>
      </c>
      <c r="G378" s="151" t="s">
        <v>1281</v>
      </c>
      <c r="H378" s="151">
        <v>4</v>
      </c>
      <c r="I378" s="134">
        <f t="shared" si="49"/>
        <v>0</v>
      </c>
      <c r="J378" s="134" t="s">
        <v>1379</v>
      </c>
      <c r="L378" s="134">
        <f t="shared" si="50"/>
        <v>0</v>
      </c>
      <c r="M378" s="134" t="s">
        <v>1379</v>
      </c>
      <c r="O378" s="134">
        <f t="shared" si="51"/>
        <v>0</v>
      </c>
      <c r="P378" s="134" t="s">
        <v>1379</v>
      </c>
      <c r="R378" s="134">
        <f t="shared" si="52"/>
        <v>0</v>
      </c>
      <c r="S378" s="134" t="s">
        <v>1379</v>
      </c>
      <c r="U378" s="134">
        <f t="shared" si="53"/>
        <v>0</v>
      </c>
    </row>
    <row r="379" spans="1:21" s="145" customFormat="1" ht="15.75" x14ac:dyDescent="0.25">
      <c r="A379" s="143" t="s">
        <v>978</v>
      </c>
      <c r="B379" s="144">
        <f>'ECONOMIA &amp; PROFESIONES'!G30</f>
        <v>7</v>
      </c>
      <c r="D379" s="145" t="s">
        <v>1379</v>
      </c>
      <c r="F379" s="145">
        <f t="shared" si="55"/>
        <v>0</v>
      </c>
      <c r="G379" s="145" t="s">
        <v>1379</v>
      </c>
      <c r="I379" s="145">
        <f t="shared" si="49"/>
        <v>0</v>
      </c>
      <c r="J379" s="145" t="s">
        <v>1379</v>
      </c>
      <c r="L379" s="145">
        <f t="shared" si="50"/>
        <v>0</v>
      </c>
      <c r="M379" s="145" t="s">
        <v>1379</v>
      </c>
      <c r="O379" s="145">
        <f t="shared" si="51"/>
        <v>0</v>
      </c>
      <c r="P379" s="145" t="s">
        <v>1379</v>
      </c>
      <c r="R379" s="145">
        <f t="shared" si="52"/>
        <v>0</v>
      </c>
      <c r="S379" s="145" t="s">
        <v>1379</v>
      </c>
      <c r="U379" s="145">
        <f t="shared" si="53"/>
        <v>0</v>
      </c>
    </row>
    <row r="380" spans="1:21" ht="15.75" x14ac:dyDescent="0.25">
      <c r="A380" s="131" t="s">
        <v>979</v>
      </c>
      <c r="B380" s="137">
        <f t="shared" ref="B380:B440" si="56">(F380*E380)+(H380*I380)+(K380*L380)+(N380*O380)+(Q380*R380)+(T380*U380)</f>
        <v>7</v>
      </c>
      <c r="D380" s="151" t="s">
        <v>978</v>
      </c>
      <c r="E380" s="151">
        <v>1</v>
      </c>
      <c r="F380" s="151">
        <f t="shared" si="55"/>
        <v>7</v>
      </c>
      <c r="G380" s="151" t="s">
        <v>1379</v>
      </c>
      <c r="H380" s="151"/>
      <c r="I380" s="134">
        <f t="shared" si="49"/>
        <v>0</v>
      </c>
      <c r="J380" s="134" t="s">
        <v>1379</v>
      </c>
      <c r="L380" s="134">
        <f t="shared" si="50"/>
        <v>0</v>
      </c>
      <c r="M380" s="134" t="s">
        <v>1379</v>
      </c>
      <c r="O380" s="134">
        <f t="shared" si="51"/>
        <v>0</v>
      </c>
      <c r="P380" s="134" t="s">
        <v>1379</v>
      </c>
      <c r="R380" s="134">
        <f t="shared" si="52"/>
        <v>0</v>
      </c>
      <c r="S380" s="134" t="s">
        <v>1379</v>
      </c>
      <c r="U380" s="134">
        <f t="shared" si="53"/>
        <v>0</v>
      </c>
    </row>
    <row r="381" spans="1:21" ht="15.75" x14ac:dyDescent="0.25">
      <c r="A381" s="131" t="s">
        <v>980</v>
      </c>
      <c r="B381" s="137">
        <f t="shared" si="56"/>
        <v>14</v>
      </c>
      <c r="D381" s="151" t="s">
        <v>979</v>
      </c>
      <c r="E381" s="151">
        <v>2</v>
      </c>
      <c r="F381" s="151">
        <f t="shared" si="55"/>
        <v>7</v>
      </c>
      <c r="G381" s="151" t="s">
        <v>1379</v>
      </c>
      <c r="H381" s="151"/>
      <c r="I381" s="134">
        <f t="shared" ref="I381:I443" si="57">VLOOKUP(G381,IDPOINTS,2,FALSE)</f>
        <v>0</v>
      </c>
      <c r="J381" s="134" t="s">
        <v>1379</v>
      </c>
      <c r="L381" s="134">
        <f t="shared" ref="L381:L443" si="58">VLOOKUP(J381,IDPOINTS,2,FALSE)</f>
        <v>0</v>
      </c>
      <c r="M381" s="134" t="s">
        <v>1379</v>
      </c>
      <c r="O381" s="134">
        <f t="shared" ref="O381:O443" si="59">VLOOKUP(M381,IDPOINTS,2,FALSE)</f>
        <v>0</v>
      </c>
      <c r="P381" s="134" t="s">
        <v>1379</v>
      </c>
      <c r="R381" s="134">
        <f t="shared" ref="R381:R443" si="60">VLOOKUP(P381,IDPOINTS,2,FALSE)</f>
        <v>0</v>
      </c>
      <c r="S381" s="134" t="s">
        <v>1379</v>
      </c>
      <c r="U381" s="134">
        <f t="shared" ref="U381:U443" si="61">VLOOKUP(S381,IDPOINTS,2,FALSE)</f>
        <v>0</v>
      </c>
    </row>
    <row r="382" spans="1:21" ht="15.75" x14ac:dyDescent="0.25">
      <c r="A382" s="131" t="s">
        <v>981</v>
      </c>
      <c r="B382" s="137">
        <f t="shared" si="56"/>
        <v>42</v>
      </c>
      <c r="D382" s="151" t="s">
        <v>979</v>
      </c>
      <c r="E382" s="151">
        <v>6</v>
      </c>
      <c r="F382" s="151">
        <f t="shared" si="55"/>
        <v>7</v>
      </c>
      <c r="G382" s="151" t="s">
        <v>1281</v>
      </c>
      <c r="H382" s="151">
        <v>1</v>
      </c>
      <c r="I382" s="134">
        <f t="shared" si="57"/>
        <v>0</v>
      </c>
      <c r="J382" s="134" t="s">
        <v>1379</v>
      </c>
      <c r="L382" s="134">
        <f t="shared" si="58"/>
        <v>0</v>
      </c>
      <c r="M382" s="134" t="s">
        <v>1379</v>
      </c>
      <c r="O382" s="134">
        <f t="shared" si="59"/>
        <v>0</v>
      </c>
      <c r="P382" s="134" t="s">
        <v>1379</v>
      </c>
      <c r="R382" s="134">
        <f t="shared" si="60"/>
        <v>0</v>
      </c>
      <c r="S382" s="134" t="s">
        <v>1379</v>
      </c>
      <c r="U382" s="134">
        <f t="shared" si="61"/>
        <v>0</v>
      </c>
    </row>
    <row r="383" spans="1:21" ht="15.75" x14ac:dyDescent="0.25">
      <c r="A383" s="131" t="s">
        <v>982</v>
      </c>
      <c r="B383" s="137">
        <f t="shared" si="56"/>
        <v>21</v>
      </c>
      <c r="D383" s="151" t="s">
        <v>979</v>
      </c>
      <c r="E383" s="151">
        <v>3</v>
      </c>
      <c r="F383" s="151">
        <f t="shared" si="55"/>
        <v>7</v>
      </c>
      <c r="G383" s="151" t="s">
        <v>1379</v>
      </c>
      <c r="H383" s="151"/>
      <c r="I383" s="134">
        <f t="shared" si="57"/>
        <v>0</v>
      </c>
      <c r="J383" s="134" t="s">
        <v>1379</v>
      </c>
      <c r="L383" s="134">
        <f t="shared" si="58"/>
        <v>0</v>
      </c>
      <c r="M383" s="134" t="s">
        <v>1379</v>
      </c>
      <c r="O383" s="134">
        <f t="shared" si="59"/>
        <v>0</v>
      </c>
      <c r="P383" s="134" t="s">
        <v>1379</v>
      </c>
      <c r="R383" s="134">
        <f t="shared" si="60"/>
        <v>0</v>
      </c>
      <c r="S383" s="134" t="s">
        <v>1379</v>
      </c>
      <c r="U383" s="134">
        <f t="shared" si="61"/>
        <v>0</v>
      </c>
    </row>
    <row r="384" spans="1:21" ht="15.75" x14ac:dyDescent="0.25">
      <c r="A384" s="131" t="s">
        <v>983</v>
      </c>
      <c r="B384" s="137">
        <f t="shared" si="56"/>
        <v>42</v>
      </c>
      <c r="D384" s="151" t="s">
        <v>979</v>
      </c>
      <c r="E384" s="151">
        <v>6</v>
      </c>
      <c r="F384" s="151">
        <f t="shared" si="55"/>
        <v>7</v>
      </c>
      <c r="G384" s="151" t="s">
        <v>1379</v>
      </c>
      <c r="H384" s="151"/>
      <c r="I384" s="134">
        <f t="shared" si="57"/>
        <v>0</v>
      </c>
      <c r="J384" s="134" t="s">
        <v>1379</v>
      </c>
      <c r="L384" s="134">
        <f t="shared" si="58"/>
        <v>0</v>
      </c>
      <c r="M384" s="134" t="s">
        <v>1379</v>
      </c>
      <c r="O384" s="134">
        <f t="shared" si="59"/>
        <v>0</v>
      </c>
      <c r="P384" s="134" t="s">
        <v>1379</v>
      </c>
      <c r="R384" s="134">
        <f t="shared" si="60"/>
        <v>0</v>
      </c>
      <c r="S384" s="134" t="s">
        <v>1379</v>
      </c>
      <c r="U384" s="134">
        <f t="shared" si="61"/>
        <v>0</v>
      </c>
    </row>
    <row r="385" spans="1:21" ht="15.75" x14ac:dyDescent="0.25">
      <c r="A385" s="131" t="s">
        <v>984</v>
      </c>
      <c r="B385" s="137">
        <f t="shared" si="56"/>
        <v>42</v>
      </c>
      <c r="D385" s="151" t="s">
        <v>979</v>
      </c>
      <c r="E385" s="151">
        <v>6</v>
      </c>
      <c r="F385" s="151">
        <f t="shared" si="55"/>
        <v>7</v>
      </c>
      <c r="G385" s="151" t="s">
        <v>1379</v>
      </c>
      <c r="H385" s="151"/>
      <c r="I385" s="134">
        <f t="shared" si="57"/>
        <v>0</v>
      </c>
      <c r="J385" s="134" t="s">
        <v>1379</v>
      </c>
      <c r="L385" s="134">
        <f t="shared" si="58"/>
        <v>0</v>
      </c>
      <c r="M385" s="134" t="s">
        <v>1379</v>
      </c>
      <c r="O385" s="134">
        <f t="shared" si="59"/>
        <v>0</v>
      </c>
      <c r="P385" s="134" t="s">
        <v>1379</v>
      </c>
      <c r="R385" s="134">
        <f t="shared" si="60"/>
        <v>0</v>
      </c>
      <c r="S385" s="134" t="s">
        <v>1379</v>
      </c>
      <c r="U385" s="134">
        <f t="shared" si="61"/>
        <v>0</v>
      </c>
    </row>
    <row r="386" spans="1:21" s="145" customFormat="1" ht="15.75" x14ac:dyDescent="0.25">
      <c r="A386" s="143" t="s">
        <v>985</v>
      </c>
      <c r="B386" s="144">
        <f>'ECONOMIA &amp; PROFESIONES'!G30</f>
        <v>7</v>
      </c>
      <c r="D386" s="145" t="s">
        <v>1379</v>
      </c>
      <c r="F386" s="145">
        <f t="shared" si="55"/>
        <v>0</v>
      </c>
      <c r="G386" s="145" t="s">
        <v>1379</v>
      </c>
      <c r="I386" s="145">
        <f t="shared" si="57"/>
        <v>0</v>
      </c>
      <c r="J386" s="145" t="s">
        <v>1379</v>
      </c>
      <c r="L386" s="145">
        <f t="shared" si="58"/>
        <v>0</v>
      </c>
      <c r="M386" s="145" t="s">
        <v>1379</v>
      </c>
      <c r="O386" s="145">
        <f t="shared" si="59"/>
        <v>0</v>
      </c>
      <c r="P386" s="145" t="s">
        <v>1379</v>
      </c>
      <c r="R386" s="145">
        <f t="shared" si="60"/>
        <v>0</v>
      </c>
      <c r="S386" s="145" t="s">
        <v>1379</v>
      </c>
      <c r="U386" s="145">
        <f t="shared" si="61"/>
        <v>0</v>
      </c>
    </row>
    <row r="387" spans="1:21" s="148" customFormat="1" ht="15.75" x14ac:dyDescent="0.25">
      <c r="A387" s="146" t="s">
        <v>986</v>
      </c>
      <c r="B387" s="147">
        <f t="shared" si="56"/>
        <v>0</v>
      </c>
      <c r="D387" s="148" t="s">
        <v>1379</v>
      </c>
      <c r="F387" s="148">
        <f t="shared" ref="F387:F444" si="62">VLOOKUP(D387,IDPOINTS,2,FALSE)</f>
        <v>0</v>
      </c>
      <c r="G387" s="148" t="s">
        <v>1379</v>
      </c>
      <c r="I387" s="148">
        <f t="shared" si="57"/>
        <v>0</v>
      </c>
      <c r="J387" s="148" t="s">
        <v>1379</v>
      </c>
      <c r="L387" s="148">
        <f t="shared" si="58"/>
        <v>0</v>
      </c>
      <c r="M387" s="148" t="s">
        <v>1379</v>
      </c>
      <c r="O387" s="148">
        <f t="shared" si="59"/>
        <v>0</v>
      </c>
      <c r="P387" s="148" t="s">
        <v>1379</v>
      </c>
      <c r="R387" s="148">
        <f t="shared" si="60"/>
        <v>0</v>
      </c>
      <c r="S387" s="148" t="s">
        <v>1379</v>
      </c>
      <c r="U387" s="148">
        <f t="shared" si="61"/>
        <v>0</v>
      </c>
    </row>
    <row r="388" spans="1:21" ht="15.75" x14ac:dyDescent="0.25">
      <c r="A388" s="131" t="s">
        <v>987</v>
      </c>
      <c r="B388" s="137">
        <f t="shared" si="56"/>
        <v>0</v>
      </c>
      <c r="D388" s="134" t="s">
        <v>1281</v>
      </c>
      <c r="E388">
        <v>7</v>
      </c>
      <c r="F388" s="134">
        <f t="shared" si="62"/>
        <v>0</v>
      </c>
      <c r="G388" s="134" t="s">
        <v>1379</v>
      </c>
      <c r="I388" s="134">
        <f t="shared" si="57"/>
        <v>0</v>
      </c>
      <c r="J388" s="134" t="s">
        <v>1379</v>
      </c>
      <c r="L388" s="134">
        <f t="shared" si="58"/>
        <v>0</v>
      </c>
      <c r="M388" s="134" t="s">
        <v>1379</v>
      </c>
      <c r="O388" s="134">
        <f t="shared" si="59"/>
        <v>0</v>
      </c>
      <c r="P388" s="134" t="s">
        <v>1379</v>
      </c>
      <c r="R388" s="134">
        <f t="shared" si="60"/>
        <v>0</v>
      </c>
      <c r="S388" s="134" t="s">
        <v>1379</v>
      </c>
      <c r="U388" s="134">
        <f t="shared" si="61"/>
        <v>0</v>
      </c>
    </row>
    <row r="389" spans="1:21" ht="15.75" x14ac:dyDescent="0.25">
      <c r="A389" s="131" t="s">
        <v>988</v>
      </c>
      <c r="B389" s="137">
        <f t="shared" si="56"/>
        <v>3.5555555555555554</v>
      </c>
      <c r="D389" s="134" t="s">
        <v>964</v>
      </c>
      <c r="E389">
        <v>8</v>
      </c>
      <c r="F389" s="134">
        <f t="shared" si="62"/>
        <v>0.44444444444444442</v>
      </c>
      <c r="G389" s="134" t="s">
        <v>1321</v>
      </c>
      <c r="H389" s="134">
        <v>1</v>
      </c>
      <c r="I389" s="134">
        <f t="shared" si="57"/>
        <v>0</v>
      </c>
      <c r="J389" s="134" t="s">
        <v>1379</v>
      </c>
      <c r="L389" s="134">
        <f t="shared" si="58"/>
        <v>0</v>
      </c>
      <c r="M389" s="134" t="s">
        <v>1379</v>
      </c>
      <c r="O389" s="134">
        <f t="shared" si="59"/>
        <v>0</v>
      </c>
      <c r="P389" s="134" t="s">
        <v>1379</v>
      </c>
      <c r="R389" s="134">
        <f t="shared" si="60"/>
        <v>0</v>
      </c>
      <c r="S389" s="134" t="s">
        <v>1379</v>
      </c>
      <c r="U389" s="134">
        <f t="shared" si="61"/>
        <v>0</v>
      </c>
    </row>
    <row r="390" spans="1:21" ht="15.75" x14ac:dyDescent="0.25">
      <c r="A390" s="131" t="s">
        <v>989</v>
      </c>
      <c r="B390" s="137">
        <f t="shared" si="56"/>
        <v>0</v>
      </c>
      <c r="D390" s="134" t="s">
        <v>990</v>
      </c>
      <c r="E390">
        <v>9</v>
      </c>
      <c r="F390" s="134">
        <f t="shared" si="62"/>
        <v>0</v>
      </c>
      <c r="G390" s="134" t="s">
        <v>1379</v>
      </c>
      <c r="I390" s="134">
        <f t="shared" si="57"/>
        <v>0</v>
      </c>
      <c r="J390" s="134" t="s">
        <v>1379</v>
      </c>
      <c r="L390" s="134">
        <f t="shared" si="58"/>
        <v>0</v>
      </c>
      <c r="M390" s="134" t="s">
        <v>1379</v>
      </c>
      <c r="O390" s="134">
        <f t="shared" si="59"/>
        <v>0</v>
      </c>
      <c r="P390" s="134" t="s">
        <v>1379</v>
      </c>
      <c r="R390" s="134">
        <f t="shared" si="60"/>
        <v>0</v>
      </c>
      <c r="S390" s="134" t="s">
        <v>1379</v>
      </c>
      <c r="U390" s="134">
        <f t="shared" si="61"/>
        <v>0</v>
      </c>
    </row>
    <row r="391" spans="1:21" s="148" customFormat="1" ht="15.75" x14ac:dyDescent="0.25">
      <c r="A391" s="146" t="s">
        <v>990</v>
      </c>
      <c r="B391" s="147">
        <f t="shared" si="56"/>
        <v>0</v>
      </c>
      <c r="D391" s="148" t="s">
        <v>1379</v>
      </c>
      <c r="F391" s="148">
        <f t="shared" si="62"/>
        <v>0</v>
      </c>
      <c r="G391" s="148" t="s">
        <v>1379</v>
      </c>
      <c r="I391" s="148">
        <f t="shared" si="57"/>
        <v>0</v>
      </c>
      <c r="J391" s="148" t="s">
        <v>1379</v>
      </c>
      <c r="L391" s="148">
        <f t="shared" si="58"/>
        <v>0</v>
      </c>
      <c r="M391" s="148" t="s">
        <v>1379</v>
      </c>
      <c r="O391" s="148">
        <f t="shared" si="59"/>
        <v>0</v>
      </c>
      <c r="P391" s="148" t="s">
        <v>1379</v>
      </c>
      <c r="R391" s="148">
        <f t="shared" si="60"/>
        <v>0</v>
      </c>
      <c r="S391" s="148" t="s">
        <v>1379</v>
      </c>
      <c r="U391" s="148">
        <f t="shared" si="61"/>
        <v>0</v>
      </c>
    </row>
    <row r="392" spans="1:21" s="148" customFormat="1" ht="15.75" x14ac:dyDescent="0.25">
      <c r="A392" s="146" t="s">
        <v>991</v>
      </c>
      <c r="B392" s="147">
        <f t="shared" si="56"/>
        <v>0</v>
      </c>
      <c r="D392" s="148" t="s">
        <v>1379</v>
      </c>
      <c r="F392" s="148">
        <f t="shared" si="62"/>
        <v>0</v>
      </c>
      <c r="G392" s="148" t="s">
        <v>1379</v>
      </c>
      <c r="I392" s="148">
        <f t="shared" si="57"/>
        <v>0</v>
      </c>
      <c r="J392" s="148" t="s">
        <v>1379</v>
      </c>
      <c r="L392" s="148">
        <f t="shared" si="58"/>
        <v>0</v>
      </c>
      <c r="M392" s="148" t="s">
        <v>1379</v>
      </c>
      <c r="O392" s="148">
        <f t="shared" si="59"/>
        <v>0</v>
      </c>
      <c r="P392" s="148" t="s">
        <v>1379</v>
      </c>
      <c r="R392" s="148">
        <f t="shared" si="60"/>
        <v>0</v>
      </c>
      <c r="S392" s="148" t="s">
        <v>1379</v>
      </c>
      <c r="U392" s="148">
        <f t="shared" si="61"/>
        <v>0</v>
      </c>
    </row>
    <row r="393" spans="1:21" ht="15.75" x14ac:dyDescent="0.25">
      <c r="A393" s="131" t="s">
        <v>992</v>
      </c>
      <c r="B393" s="137">
        <v>0.2</v>
      </c>
      <c r="D393" s="134" t="s">
        <v>1379</v>
      </c>
      <c r="F393" s="134">
        <f t="shared" si="62"/>
        <v>0</v>
      </c>
      <c r="G393" s="134" t="s">
        <v>1379</v>
      </c>
      <c r="I393" s="134">
        <f t="shared" si="57"/>
        <v>0</v>
      </c>
      <c r="J393" s="134" t="s">
        <v>1379</v>
      </c>
      <c r="L393" s="134">
        <f t="shared" si="58"/>
        <v>0</v>
      </c>
      <c r="M393" s="134" t="s">
        <v>1379</v>
      </c>
      <c r="O393" s="134">
        <f t="shared" si="59"/>
        <v>0</v>
      </c>
      <c r="P393" s="134" t="s">
        <v>1379</v>
      </c>
      <c r="R393" s="134">
        <f t="shared" si="60"/>
        <v>0</v>
      </c>
      <c r="S393" s="134" t="s">
        <v>1379</v>
      </c>
      <c r="U393" s="134">
        <f t="shared" si="61"/>
        <v>0</v>
      </c>
    </row>
    <row r="394" spans="1:21" ht="15.75" x14ac:dyDescent="0.25">
      <c r="A394" s="131" t="s">
        <v>993</v>
      </c>
      <c r="B394" s="137">
        <f t="shared" si="56"/>
        <v>0</v>
      </c>
      <c r="D394" s="134" t="s">
        <v>1297</v>
      </c>
      <c r="E394">
        <v>4</v>
      </c>
      <c r="F394" s="134">
        <f t="shared" si="62"/>
        <v>0</v>
      </c>
      <c r="G394" s="134" t="s">
        <v>1244</v>
      </c>
      <c r="H394" s="134">
        <v>1</v>
      </c>
      <c r="I394" s="134">
        <f t="shared" si="57"/>
        <v>0</v>
      </c>
      <c r="J394" s="134" t="s">
        <v>1379</v>
      </c>
      <c r="L394" s="134">
        <f t="shared" si="58"/>
        <v>0</v>
      </c>
      <c r="M394" s="134" t="s">
        <v>1379</v>
      </c>
      <c r="O394" s="134">
        <f t="shared" si="59"/>
        <v>0</v>
      </c>
      <c r="P394" s="134" t="s">
        <v>1379</v>
      </c>
      <c r="R394" s="134">
        <f t="shared" si="60"/>
        <v>0</v>
      </c>
      <c r="S394" s="134" t="s">
        <v>1379</v>
      </c>
      <c r="U394" s="134">
        <f t="shared" si="61"/>
        <v>0</v>
      </c>
    </row>
    <row r="395" spans="1:21" ht="15.75" x14ac:dyDescent="0.25">
      <c r="A395" s="131" t="s">
        <v>994</v>
      </c>
      <c r="B395" s="137">
        <f>'ECONOMIA &amp; PROFESIONES'!B16</f>
        <v>1</v>
      </c>
      <c r="D395" s="134" t="s">
        <v>1379</v>
      </c>
      <c r="F395" s="134">
        <f t="shared" si="62"/>
        <v>0</v>
      </c>
      <c r="G395" s="134" t="s">
        <v>1379</v>
      </c>
      <c r="I395" s="134">
        <f t="shared" si="57"/>
        <v>0</v>
      </c>
      <c r="J395" s="134" t="s">
        <v>1379</v>
      </c>
      <c r="L395" s="134">
        <f t="shared" si="58"/>
        <v>0</v>
      </c>
      <c r="M395" s="134" t="s">
        <v>1379</v>
      </c>
      <c r="O395" s="134">
        <f t="shared" si="59"/>
        <v>0</v>
      </c>
      <c r="P395" s="134" t="s">
        <v>1379</v>
      </c>
      <c r="R395" s="134">
        <f t="shared" si="60"/>
        <v>0</v>
      </c>
      <c r="S395" s="134" t="s">
        <v>1379</v>
      </c>
      <c r="U395" s="134">
        <f t="shared" si="61"/>
        <v>0</v>
      </c>
    </row>
    <row r="396" spans="1:21" ht="15.75" x14ac:dyDescent="0.25">
      <c r="A396" s="131" t="s">
        <v>995</v>
      </c>
      <c r="B396" s="137">
        <f t="shared" si="56"/>
        <v>4</v>
      </c>
      <c r="D396" s="134" t="s">
        <v>994</v>
      </c>
      <c r="E396">
        <v>4</v>
      </c>
      <c r="F396" s="134">
        <f t="shared" si="62"/>
        <v>1</v>
      </c>
      <c r="G396" s="134" t="s">
        <v>1379</v>
      </c>
      <c r="I396" s="134">
        <f t="shared" si="57"/>
        <v>0</v>
      </c>
      <c r="J396" s="134" t="s">
        <v>1379</v>
      </c>
      <c r="L396" s="134">
        <f t="shared" si="58"/>
        <v>0</v>
      </c>
      <c r="M396" s="134" t="s">
        <v>1379</v>
      </c>
      <c r="O396" s="134">
        <f t="shared" si="59"/>
        <v>0</v>
      </c>
      <c r="P396" s="134" t="s">
        <v>1379</v>
      </c>
      <c r="R396" s="134">
        <f t="shared" si="60"/>
        <v>0</v>
      </c>
      <c r="S396" s="134" t="s">
        <v>1379</v>
      </c>
      <c r="U396" s="134">
        <f t="shared" si="61"/>
        <v>0</v>
      </c>
    </row>
    <row r="397" spans="1:21" ht="15.75" x14ac:dyDescent="0.25">
      <c r="A397" s="131" t="s">
        <v>996</v>
      </c>
      <c r="B397" s="137">
        <f t="shared" si="56"/>
        <v>8</v>
      </c>
      <c r="D397" s="151" t="s">
        <v>994</v>
      </c>
      <c r="E397">
        <v>8</v>
      </c>
      <c r="F397" s="134">
        <f t="shared" si="62"/>
        <v>1</v>
      </c>
      <c r="G397" s="134" t="s">
        <v>1379</v>
      </c>
      <c r="I397" s="134">
        <f t="shared" si="57"/>
        <v>0</v>
      </c>
      <c r="J397" s="134" t="s">
        <v>1379</v>
      </c>
      <c r="L397" s="134">
        <f t="shared" si="58"/>
        <v>0</v>
      </c>
      <c r="M397" s="134" t="s">
        <v>1379</v>
      </c>
      <c r="O397" s="134">
        <f t="shared" si="59"/>
        <v>0</v>
      </c>
      <c r="P397" s="134" t="s">
        <v>1379</v>
      </c>
      <c r="R397" s="134">
        <f t="shared" si="60"/>
        <v>0</v>
      </c>
      <c r="S397" s="134" t="s">
        <v>1379</v>
      </c>
      <c r="U397" s="134">
        <f t="shared" si="61"/>
        <v>0</v>
      </c>
    </row>
    <row r="398" spans="1:21" ht="15.75" x14ac:dyDescent="0.25">
      <c r="A398" s="131" t="s">
        <v>997</v>
      </c>
      <c r="B398" s="137">
        <f t="shared" si="56"/>
        <v>5</v>
      </c>
      <c r="D398" s="151" t="s">
        <v>994</v>
      </c>
      <c r="E398">
        <v>5</v>
      </c>
      <c r="F398" s="134">
        <f t="shared" si="62"/>
        <v>1</v>
      </c>
      <c r="G398" s="134" t="s">
        <v>1379</v>
      </c>
      <c r="I398" s="134">
        <f t="shared" si="57"/>
        <v>0</v>
      </c>
      <c r="J398" s="134" t="s">
        <v>1379</v>
      </c>
      <c r="L398" s="134">
        <f t="shared" si="58"/>
        <v>0</v>
      </c>
      <c r="M398" s="134" t="s">
        <v>1379</v>
      </c>
      <c r="O398" s="134">
        <f t="shared" si="59"/>
        <v>0</v>
      </c>
      <c r="P398" s="134" t="s">
        <v>1379</v>
      </c>
      <c r="R398" s="134">
        <f t="shared" si="60"/>
        <v>0</v>
      </c>
      <c r="S398" s="134" t="s">
        <v>1379</v>
      </c>
      <c r="U398" s="134">
        <f t="shared" si="61"/>
        <v>0</v>
      </c>
    </row>
    <row r="399" spans="1:21" s="148" customFormat="1" ht="15.75" x14ac:dyDescent="0.25">
      <c r="A399" s="146" t="s">
        <v>998</v>
      </c>
      <c r="B399" s="147">
        <f t="shared" si="56"/>
        <v>0</v>
      </c>
      <c r="D399" s="148" t="s">
        <v>994</v>
      </c>
      <c r="F399" s="148">
        <f t="shared" si="62"/>
        <v>1</v>
      </c>
      <c r="G399" s="148" t="s">
        <v>1379</v>
      </c>
      <c r="I399" s="148">
        <f t="shared" si="57"/>
        <v>0</v>
      </c>
      <c r="J399" s="148" t="s">
        <v>1379</v>
      </c>
      <c r="L399" s="148">
        <f t="shared" si="58"/>
        <v>0</v>
      </c>
      <c r="M399" s="148" t="s">
        <v>1379</v>
      </c>
      <c r="O399" s="148">
        <f t="shared" si="59"/>
        <v>0</v>
      </c>
      <c r="P399" s="148" t="s">
        <v>1379</v>
      </c>
      <c r="R399" s="148">
        <f t="shared" si="60"/>
        <v>0</v>
      </c>
      <c r="S399" s="148" t="s">
        <v>1379</v>
      </c>
      <c r="U399" s="148">
        <f t="shared" si="61"/>
        <v>0</v>
      </c>
    </row>
    <row r="400" spans="1:21" ht="15.75" x14ac:dyDescent="0.25">
      <c r="A400" s="131" t="s">
        <v>999</v>
      </c>
      <c r="B400" s="137">
        <f t="shared" si="56"/>
        <v>7</v>
      </c>
      <c r="D400" s="151" t="s">
        <v>994</v>
      </c>
      <c r="E400">
        <v>7</v>
      </c>
      <c r="F400" s="134">
        <f t="shared" si="62"/>
        <v>1</v>
      </c>
      <c r="G400" s="134" t="s">
        <v>1379</v>
      </c>
      <c r="I400" s="134">
        <f t="shared" si="57"/>
        <v>0</v>
      </c>
      <c r="J400" s="134" t="s">
        <v>1379</v>
      </c>
      <c r="L400" s="134">
        <f t="shared" si="58"/>
        <v>0</v>
      </c>
      <c r="M400" s="134" t="s">
        <v>1379</v>
      </c>
      <c r="O400" s="134">
        <f t="shared" si="59"/>
        <v>0</v>
      </c>
      <c r="P400" s="134" t="s">
        <v>1379</v>
      </c>
      <c r="R400" s="134">
        <f t="shared" si="60"/>
        <v>0</v>
      </c>
      <c r="S400" s="134" t="s">
        <v>1379</v>
      </c>
      <c r="U400" s="134">
        <f t="shared" si="61"/>
        <v>0</v>
      </c>
    </row>
    <row r="401" spans="1:21" ht="15.75" x14ac:dyDescent="0.25">
      <c r="A401" s="131" t="s">
        <v>1000</v>
      </c>
      <c r="B401" s="137">
        <f t="shared" si="56"/>
        <v>3</v>
      </c>
      <c r="D401" s="134" t="s">
        <v>682</v>
      </c>
      <c r="E401">
        <v>1</v>
      </c>
      <c r="F401" s="134">
        <f t="shared" si="62"/>
        <v>3</v>
      </c>
      <c r="G401" s="134" t="s">
        <v>1093</v>
      </c>
      <c r="H401" s="134">
        <v>1</v>
      </c>
      <c r="I401" s="134">
        <f t="shared" si="57"/>
        <v>0</v>
      </c>
      <c r="J401" s="134" t="s">
        <v>1379</v>
      </c>
      <c r="L401" s="134">
        <f t="shared" si="58"/>
        <v>0</v>
      </c>
      <c r="M401" s="134" t="s">
        <v>1379</v>
      </c>
      <c r="O401" s="134">
        <f t="shared" si="59"/>
        <v>0</v>
      </c>
      <c r="P401" s="134" t="s">
        <v>1379</v>
      </c>
      <c r="R401" s="134">
        <f t="shared" si="60"/>
        <v>0</v>
      </c>
      <c r="S401" s="134" t="s">
        <v>1379</v>
      </c>
      <c r="U401" s="134">
        <f t="shared" si="61"/>
        <v>0</v>
      </c>
    </row>
    <row r="402" spans="1:21" ht="15.75" x14ac:dyDescent="0.25">
      <c r="A402" s="131" t="s">
        <v>1001</v>
      </c>
      <c r="B402" s="137">
        <f t="shared" si="56"/>
        <v>1</v>
      </c>
      <c r="D402" s="134" t="s">
        <v>742</v>
      </c>
      <c r="E402">
        <v>1</v>
      </c>
      <c r="F402" s="134">
        <f t="shared" si="62"/>
        <v>1</v>
      </c>
      <c r="G402" s="134" t="s">
        <v>1281</v>
      </c>
      <c r="H402" s="134">
        <v>1</v>
      </c>
      <c r="I402" s="134">
        <f t="shared" si="57"/>
        <v>0</v>
      </c>
      <c r="J402" s="134" t="s">
        <v>1379</v>
      </c>
      <c r="L402" s="134">
        <f t="shared" si="58"/>
        <v>0</v>
      </c>
      <c r="M402" s="134" t="s">
        <v>1379</v>
      </c>
      <c r="O402" s="134">
        <f t="shared" si="59"/>
        <v>0</v>
      </c>
      <c r="P402" s="134" t="s">
        <v>1379</v>
      </c>
      <c r="R402" s="134">
        <f t="shared" si="60"/>
        <v>0</v>
      </c>
      <c r="S402" s="134" t="s">
        <v>1379</v>
      </c>
      <c r="U402" s="134">
        <f t="shared" si="61"/>
        <v>0</v>
      </c>
    </row>
    <row r="403" spans="1:21" ht="15.75" x14ac:dyDescent="0.25">
      <c r="A403" s="131" t="s">
        <v>1002</v>
      </c>
      <c r="B403" s="137">
        <f t="shared" si="56"/>
        <v>0</v>
      </c>
      <c r="D403" s="151" t="s">
        <v>1013</v>
      </c>
      <c r="E403" s="151">
        <v>6</v>
      </c>
      <c r="F403" s="151">
        <f t="shared" si="62"/>
        <v>0</v>
      </c>
      <c r="G403" s="151" t="s">
        <v>1281</v>
      </c>
      <c r="H403" s="151">
        <v>1</v>
      </c>
      <c r="I403" s="134">
        <f t="shared" si="57"/>
        <v>0</v>
      </c>
      <c r="J403" s="134" t="s">
        <v>1379</v>
      </c>
      <c r="L403" s="134">
        <f t="shared" si="58"/>
        <v>0</v>
      </c>
      <c r="M403" s="134" t="s">
        <v>1379</v>
      </c>
      <c r="O403" s="134">
        <f t="shared" si="59"/>
        <v>0</v>
      </c>
      <c r="P403" s="134" t="s">
        <v>1379</v>
      </c>
      <c r="R403" s="134">
        <f t="shared" si="60"/>
        <v>0</v>
      </c>
      <c r="S403" s="134" t="s">
        <v>1379</v>
      </c>
      <c r="U403" s="134">
        <f t="shared" si="61"/>
        <v>0</v>
      </c>
    </row>
    <row r="404" spans="1:21" ht="15.75" x14ac:dyDescent="0.25">
      <c r="A404" s="131" t="s">
        <v>1003</v>
      </c>
      <c r="B404" s="137">
        <f t="shared" si="56"/>
        <v>0</v>
      </c>
      <c r="D404" s="151" t="s">
        <v>1013</v>
      </c>
      <c r="E404" s="151">
        <v>3</v>
      </c>
      <c r="F404" s="151">
        <f t="shared" si="62"/>
        <v>0</v>
      </c>
      <c r="G404" s="151" t="s">
        <v>1093</v>
      </c>
      <c r="H404" s="151">
        <v>3</v>
      </c>
      <c r="I404" s="134">
        <f t="shared" si="57"/>
        <v>0</v>
      </c>
      <c r="J404" s="134" t="s">
        <v>1379</v>
      </c>
      <c r="L404" s="134">
        <f t="shared" si="58"/>
        <v>0</v>
      </c>
      <c r="M404" s="134" t="s">
        <v>1379</v>
      </c>
      <c r="O404" s="134">
        <f t="shared" si="59"/>
        <v>0</v>
      </c>
      <c r="P404" s="134" t="s">
        <v>1379</v>
      </c>
      <c r="R404" s="134">
        <f t="shared" si="60"/>
        <v>0</v>
      </c>
      <c r="S404" s="134" t="s">
        <v>1379</v>
      </c>
      <c r="U404" s="134">
        <f t="shared" si="61"/>
        <v>0</v>
      </c>
    </row>
    <row r="405" spans="1:21" ht="15.75" x14ac:dyDescent="0.25">
      <c r="A405" s="131" t="s">
        <v>1004</v>
      </c>
      <c r="B405" s="137">
        <f t="shared" si="56"/>
        <v>0</v>
      </c>
      <c r="D405" s="151" t="s">
        <v>1013</v>
      </c>
      <c r="E405" s="151">
        <v>2</v>
      </c>
      <c r="F405" s="151">
        <f t="shared" si="62"/>
        <v>0</v>
      </c>
      <c r="G405" s="151" t="s">
        <v>1379</v>
      </c>
      <c r="H405" s="151"/>
      <c r="I405" s="134">
        <f t="shared" si="57"/>
        <v>0</v>
      </c>
      <c r="J405" s="134" t="s">
        <v>1379</v>
      </c>
      <c r="L405" s="134">
        <f t="shared" si="58"/>
        <v>0</v>
      </c>
      <c r="M405" s="134" t="s">
        <v>1379</v>
      </c>
      <c r="O405" s="134">
        <f t="shared" si="59"/>
        <v>0</v>
      </c>
      <c r="P405" s="134" t="s">
        <v>1379</v>
      </c>
      <c r="R405" s="134">
        <f t="shared" si="60"/>
        <v>0</v>
      </c>
      <c r="S405" s="134" t="s">
        <v>1379</v>
      </c>
      <c r="U405" s="134">
        <f t="shared" si="61"/>
        <v>0</v>
      </c>
    </row>
    <row r="406" spans="1:21" ht="15.75" x14ac:dyDescent="0.25">
      <c r="A406" s="131" t="s">
        <v>1005</v>
      </c>
      <c r="B406" s="137">
        <f t="shared" si="56"/>
        <v>4</v>
      </c>
      <c r="D406" s="151" t="s">
        <v>1006</v>
      </c>
      <c r="E406" s="151">
        <v>1</v>
      </c>
      <c r="F406" s="151">
        <f t="shared" si="62"/>
        <v>4</v>
      </c>
      <c r="G406" s="151" t="s">
        <v>1379</v>
      </c>
      <c r="H406" s="151"/>
      <c r="I406" s="134">
        <f t="shared" si="57"/>
        <v>0</v>
      </c>
      <c r="J406" s="134" t="s">
        <v>1379</v>
      </c>
      <c r="L406" s="134">
        <f t="shared" si="58"/>
        <v>0</v>
      </c>
      <c r="M406" s="134" t="s">
        <v>1379</v>
      </c>
      <c r="O406" s="134">
        <f t="shared" si="59"/>
        <v>0</v>
      </c>
      <c r="P406" s="134" t="s">
        <v>1379</v>
      </c>
      <c r="R406" s="134">
        <f t="shared" si="60"/>
        <v>0</v>
      </c>
      <c r="S406" s="134" t="s">
        <v>1379</v>
      </c>
      <c r="U406" s="134">
        <f t="shared" si="61"/>
        <v>0</v>
      </c>
    </row>
    <row r="407" spans="1:21" ht="15.75" x14ac:dyDescent="0.25">
      <c r="A407" s="131" t="s">
        <v>1006</v>
      </c>
      <c r="B407" s="137">
        <f t="shared" si="56"/>
        <v>4</v>
      </c>
      <c r="D407" s="151" t="s">
        <v>1229</v>
      </c>
      <c r="E407" s="151">
        <v>4</v>
      </c>
      <c r="F407" s="151">
        <f t="shared" si="62"/>
        <v>0</v>
      </c>
      <c r="G407" s="151" t="s">
        <v>910</v>
      </c>
      <c r="H407" s="151">
        <v>4</v>
      </c>
      <c r="I407" s="134">
        <f t="shared" si="57"/>
        <v>1</v>
      </c>
      <c r="J407" s="134" t="s">
        <v>1379</v>
      </c>
      <c r="L407" s="134">
        <f t="shared" si="58"/>
        <v>0</v>
      </c>
      <c r="M407" s="134" t="s">
        <v>1379</v>
      </c>
      <c r="O407" s="134">
        <f t="shared" si="59"/>
        <v>0</v>
      </c>
      <c r="P407" s="134" t="s">
        <v>1379</v>
      </c>
      <c r="R407" s="134">
        <f t="shared" si="60"/>
        <v>0</v>
      </c>
      <c r="S407" s="134" t="s">
        <v>1379</v>
      </c>
      <c r="U407" s="134">
        <f t="shared" si="61"/>
        <v>0</v>
      </c>
    </row>
    <row r="408" spans="1:21" s="148" customFormat="1" ht="15.75" x14ac:dyDescent="0.25">
      <c r="A408" s="146" t="s">
        <v>1007</v>
      </c>
      <c r="B408" s="147">
        <f t="shared" si="56"/>
        <v>0</v>
      </c>
      <c r="D408" s="148" t="s">
        <v>1379</v>
      </c>
      <c r="F408" s="148">
        <f t="shared" si="62"/>
        <v>0</v>
      </c>
      <c r="G408" s="148" t="s">
        <v>1379</v>
      </c>
      <c r="I408" s="148">
        <f t="shared" si="57"/>
        <v>0</v>
      </c>
      <c r="J408" s="148" t="s">
        <v>1379</v>
      </c>
      <c r="L408" s="148">
        <f t="shared" si="58"/>
        <v>0</v>
      </c>
      <c r="M408" s="148" t="s">
        <v>1379</v>
      </c>
      <c r="O408" s="148">
        <f t="shared" si="59"/>
        <v>0</v>
      </c>
      <c r="P408" s="148" t="s">
        <v>1379</v>
      </c>
      <c r="R408" s="148">
        <f t="shared" si="60"/>
        <v>0</v>
      </c>
      <c r="S408" s="148" t="s">
        <v>1379</v>
      </c>
      <c r="U408" s="148">
        <f t="shared" si="61"/>
        <v>0</v>
      </c>
    </row>
    <row r="409" spans="1:21" ht="15.75" x14ac:dyDescent="0.25">
      <c r="A409" s="131" t="s">
        <v>1008</v>
      </c>
      <c r="B409" s="137">
        <f t="shared" si="56"/>
        <v>3</v>
      </c>
      <c r="D409" s="151" t="s">
        <v>1012</v>
      </c>
      <c r="E409" s="151">
        <v>1</v>
      </c>
      <c r="F409" s="151">
        <f t="shared" si="62"/>
        <v>0</v>
      </c>
      <c r="G409" s="151" t="s">
        <v>738</v>
      </c>
      <c r="H409" s="151">
        <v>1</v>
      </c>
      <c r="I409" s="134">
        <f t="shared" si="57"/>
        <v>3</v>
      </c>
      <c r="J409" s="134" t="s">
        <v>1379</v>
      </c>
      <c r="L409" s="134">
        <f t="shared" si="58"/>
        <v>0</v>
      </c>
      <c r="M409" s="134" t="s">
        <v>1379</v>
      </c>
      <c r="O409" s="134">
        <f t="shared" si="59"/>
        <v>0</v>
      </c>
      <c r="P409" s="134" t="s">
        <v>1379</v>
      </c>
      <c r="R409" s="134">
        <f t="shared" si="60"/>
        <v>0</v>
      </c>
      <c r="S409" s="134" t="s">
        <v>1379</v>
      </c>
      <c r="U409" s="134">
        <f t="shared" si="61"/>
        <v>0</v>
      </c>
    </row>
    <row r="410" spans="1:21" ht="15.75" x14ac:dyDescent="0.25">
      <c r="A410" s="131" t="s">
        <v>1009</v>
      </c>
      <c r="B410" s="137">
        <f t="shared" si="56"/>
        <v>0</v>
      </c>
      <c r="D410" s="151" t="s">
        <v>1007</v>
      </c>
      <c r="E410" s="151">
        <v>1</v>
      </c>
      <c r="F410" s="151">
        <f t="shared" si="62"/>
        <v>0</v>
      </c>
      <c r="G410" s="151" t="s">
        <v>1241</v>
      </c>
      <c r="H410" s="151">
        <v>1</v>
      </c>
      <c r="I410" s="134">
        <f t="shared" si="57"/>
        <v>0</v>
      </c>
      <c r="J410" s="134" t="s">
        <v>1379</v>
      </c>
      <c r="L410" s="134">
        <f t="shared" si="58"/>
        <v>0</v>
      </c>
      <c r="M410" s="134" t="s">
        <v>1379</v>
      </c>
      <c r="O410" s="134">
        <f t="shared" si="59"/>
        <v>0</v>
      </c>
      <c r="P410" s="134" t="s">
        <v>1379</v>
      </c>
      <c r="R410" s="134">
        <f t="shared" si="60"/>
        <v>0</v>
      </c>
      <c r="S410" s="134" t="s">
        <v>1379</v>
      </c>
      <c r="U410" s="134">
        <f t="shared" si="61"/>
        <v>0</v>
      </c>
    </row>
    <row r="411" spans="1:21" ht="15.75" x14ac:dyDescent="0.25">
      <c r="A411" s="131" t="s">
        <v>1010</v>
      </c>
      <c r="B411" s="137">
        <f t="shared" si="56"/>
        <v>24</v>
      </c>
      <c r="D411" s="151" t="s">
        <v>880</v>
      </c>
      <c r="E411" s="151">
        <v>8</v>
      </c>
      <c r="F411" s="151">
        <f t="shared" si="62"/>
        <v>3</v>
      </c>
      <c r="G411" s="151" t="s">
        <v>1019</v>
      </c>
      <c r="H411" s="151">
        <v>1</v>
      </c>
      <c r="I411" s="134">
        <f t="shared" si="57"/>
        <v>0</v>
      </c>
      <c r="J411" s="134" t="s">
        <v>1379</v>
      </c>
      <c r="L411" s="134">
        <f t="shared" si="58"/>
        <v>0</v>
      </c>
      <c r="M411" s="134" t="s">
        <v>1379</v>
      </c>
      <c r="O411" s="134">
        <f t="shared" si="59"/>
        <v>0</v>
      </c>
      <c r="P411" s="134" t="s">
        <v>1379</v>
      </c>
      <c r="R411" s="134">
        <f t="shared" si="60"/>
        <v>0</v>
      </c>
      <c r="S411" s="134" t="s">
        <v>1379</v>
      </c>
      <c r="U411" s="134">
        <f t="shared" si="61"/>
        <v>0</v>
      </c>
    </row>
    <row r="412" spans="1:21" ht="15.75" x14ac:dyDescent="0.25">
      <c r="A412" s="131" t="s">
        <v>1011</v>
      </c>
      <c r="B412" s="137">
        <f t="shared" si="56"/>
        <v>144</v>
      </c>
      <c r="D412" s="151" t="s">
        <v>1010</v>
      </c>
      <c r="E412" s="151">
        <v>6</v>
      </c>
      <c r="F412" s="151">
        <f t="shared" si="62"/>
        <v>24</v>
      </c>
      <c r="G412" s="151" t="s">
        <v>1379</v>
      </c>
      <c r="H412" s="151"/>
      <c r="I412" s="134">
        <f t="shared" si="57"/>
        <v>0</v>
      </c>
      <c r="J412" s="134" t="s">
        <v>1379</v>
      </c>
      <c r="L412" s="134">
        <f t="shared" si="58"/>
        <v>0</v>
      </c>
      <c r="M412" s="134" t="s">
        <v>1379</v>
      </c>
      <c r="O412" s="134">
        <f t="shared" si="59"/>
        <v>0</v>
      </c>
      <c r="P412" s="134" t="s">
        <v>1379</v>
      </c>
      <c r="R412" s="134">
        <f t="shared" si="60"/>
        <v>0</v>
      </c>
      <c r="S412" s="134" t="s">
        <v>1379</v>
      </c>
      <c r="U412" s="134">
        <f t="shared" si="61"/>
        <v>0</v>
      </c>
    </row>
    <row r="413" spans="1:21" ht="15.75" x14ac:dyDescent="0.25">
      <c r="A413" s="131" t="s">
        <v>1012</v>
      </c>
      <c r="B413" s="137">
        <f t="shared" si="56"/>
        <v>0</v>
      </c>
      <c r="D413" s="151" t="s">
        <v>1318</v>
      </c>
      <c r="E413" s="151">
        <v>8</v>
      </c>
      <c r="F413" s="151">
        <f t="shared" si="62"/>
        <v>0</v>
      </c>
      <c r="G413" s="151" t="s">
        <v>1019</v>
      </c>
      <c r="H413" s="151">
        <v>1</v>
      </c>
      <c r="I413" s="134">
        <f t="shared" si="57"/>
        <v>0</v>
      </c>
      <c r="J413" s="134" t="s">
        <v>1379</v>
      </c>
      <c r="L413" s="134">
        <f t="shared" si="58"/>
        <v>0</v>
      </c>
      <c r="M413" s="134" t="s">
        <v>1379</v>
      </c>
      <c r="O413" s="134">
        <f t="shared" si="59"/>
        <v>0</v>
      </c>
      <c r="P413" s="134" t="s">
        <v>1379</v>
      </c>
      <c r="R413" s="134">
        <f t="shared" si="60"/>
        <v>0</v>
      </c>
      <c r="S413" s="134" t="s">
        <v>1379</v>
      </c>
      <c r="U413" s="134">
        <f t="shared" si="61"/>
        <v>0</v>
      </c>
    </row>
    <row r="414" spans="1:21" ht="15.75" x14ac:dyDescent="0.25">
      <c r="A414" s="131" t="s">
        <v>1013</v>
      </c>
      <c r="B414" s="137">
        <f t="shared" si="56"/>
        <v>0</v>
      </c>
      <c r="D414" s="151" t="s">
        <v>1348</v>
      </c>
      <c r="E414" s="151">
        <v>1</v>
      </c>
      <c r="F414" s="151">
        <f t="shared" si="62"/>
        <v>0</v>
      </c>
      <c r="G414" s="151" t="s">
        <v>1019</v>
      </c>
      <c r="H414" s="151">
        <v>1</v>
      </c>
      <c r="I414" s="134">
        <f t="shared" si="57"/>
        <v>0</v>
      </c>
      <c r="J414" s="134" t="s">
        <v>1379</v>
      </c>
      <c r="L414" s="134">
        <f t="shared" si="58"/>
        <v>0</v>
      </c>
      <c r="M414" s="134" t="s">
        <v>1379</v>
      </c>
      <c r="O414" s="134">
        <f t="shared" si="59"/>
        <v>0</v>
      </c>
      <c r="P414" s="134" t="s">
        <v>1379</v>
      </c>
      <c r="R414" s="134">
        <f t="shared" si="60"/>
        <v>0</v>
      </c>
      <c r="S414" s="134" t="s">
        <v>1379</v>
      </c>
      <c r="U414" s="134">
        <f t="shared" si="61"/>
        <v>0</v>
      </c>
    </row>
    <row r="415" spans="1:21" ht="15.75" x14ac:dyDescent="0.25">
      <c r="A415" s="131" t="s">
        <v>1014</v>
      </c>
      <c r="B415" s="137">
        <f t="shared" si="56"/>
        <v>0</v>
      </c>
      <c r="D415" s="151" t="s">
        <v>1025</v>
      </c>
      <c r="E415" s="151">
        <v>6</v>
      </c>
      <c r="F415" s="151">
        <f t="shared" ref="F415:F419" si="63">VLOOKUP(D415,IDPOINTS,2,FALSE)</f>
        <v>0</v>
      </c>
      <c r="G415" s="151" t="s">
        <v>1281</v>
      </c>
      <c r="H415" s="151">
        <v>1</v>
      </c>
      <c r="I415" s="134">
        <f t="shared" si="57"/>
        <v>0</v>
      </c>
      <c r="J415" s="134" t="s">
        <v>1379</v>
      </c>
      <c r="L415" s="134">
        <f t="shared" si="58"/>
        <v>0</v>
      </c>
      <c r="M415" s="134" t="s">
        <v>1379</v>
      </c>
      <c r="O415" s="134">
        <f t="shared" si="59"/>
        <v>0</v>
      </c>
      <c r="P415" s="134" t="s">
        <v>1379</v>
      </c>
      <c r="R415" s="134">
        <f t="shared" si="60"/>
        <v>0</v>
      </c>
      <c r="S415" s="134" t="s">
        <v>1379</v>
      </c>
      <c r="U415" s="134">
        <f t="shared" si="61"/>
        <v>0</v>
      </c>
    </row>
    <row r="416" spans="1:21" ht="15.75" x14ac:dyDescent="0.25">
      <c r="A416" s="131" t="s">
        <v>1015</v>
      </c>
      <c r="B416" s="137">
        <f t="shared" si="56"/>
        <v>0</v>
      </c>
      <c r="D416" s="151" t="s">
        <v>1025</v>
      </c>
      <c r="E416" s="151">
        <v>3</v>
      </c>
      <c r="F416" s="151">
        <f t="shared" si="63"/>
        <v>0</v>
      </c>
      <c r="G416" s="151" t="s">
        <v>1093</v>
      </c>
      <c r="H416" s="151">
        <v>3</v>
      </c>
      <c r="I416" s="134">
        <f t="shared" si="57"/>
        <v>0</v>
      </c>
      <c r="J416" s="134" t="s">
        <v>1379</v>
      </c>
      <c r="L416" s="134">
        <f t="shared" si="58"/>
        <v>0</v>
      </c>
      <c r="M416" s="134" t="s">
        <v>1379</v>
      </c>
      <c r="O416" s="134">
        <f t="shared" si="59"/>
        <v>0</v>
      </c>
      <c r="P416" s="134" t="s">
        <v>1379</v>
      </c>
      <c r="R416" s="134">
        <f t="shared" si="60"/>
        <v>0</v>
      </c>
      <c r="S416" s="134" t="s">
        <v>1379</v>
      </c>
      <c r="U416" s="134">
        <f t="shared" si="61"/>
        <v>0</v>
      </c>
    </row>
    <row r="417" spans="1:21" ht="15.75" x14ac:dyDescent="0.25">
      <c r="A417" s="131" t="s">
        <v>1016</v>
      </c>
      <c r="B417" s="137">
        <f t="shared" si="56"/>
        <v>0</v>
      </c>
      <c r="D417" s="151" t="s">
        <v>1025</v>
      </c>
      <c r="E417" s="151">
        <v>2</v>
      </c>
      <c r="F417" s="151">
        <f t="shared" si="63"/>
        <v>0</v>
      </c>
      <c r="G417" s="151" t="s">
        <v>1379</v>
      </c>
      <c r="H417" s="151"/>
      <c r="I417" s="134">
        <f t="shared" si="57"/>
        <v>0</v>
      </c>
      <c r="J417" s="134" t="s">
        <v>1379</v>
      </c>
      <c r="L417" s="134">
        <f t="shared" si="58"/>
        <v>0</v>
      </c>
      <c r="M417" s="134" t="s">
        <v>1379</v>
      </c>
      <c r="O417" s="134">
        <f t="shared" si="59"/>
        <v>0</v>
      </c>
      <c r="P417" s="134" t="s">
        <v>1379</v>
      </c>
      <c r="R417" s="134">
        <f t="shared" si="60"/>
        <v>0</v>
      </c>
      <c r="S417" s="134" t="s">
        <v>1379</v>
      </c>
      <c r="U417" s="134">
        <f t="shared" si="61"/>
        <v>0</v>
      </c>
    </row>
    <row r="418" spans="1:21" ht="15.75" x14ac:dyDescent="0.25">
      <c r="A418" s="131" t="s">
        <v>1017</v>
      </c>
      <c r="B418" s="137">
        <f t="shared" si="56"/>
        <v>4</v>
      </c>
      <c r="D418" s="151" t="s">
        <v>1018</v>
      </c>
      <c r="E418" s="151">
        <v>1</v>
      </c>
      <c r="F418" s="151">
        <f t="shared" si="63"/>
        <v>4</v>
      </c>
      <c r="G418" s="151" t="s">
        <v>1379</v>
      </c>
      <c r="H418" s="151"/>
      <c r="I418" s="134">
        <f t="shared" si="57"/>
        <v>0</v>
      </c>
      <c r="J418" s="134" t="s">
        <v>1379</v>
      </c>
      <c r="L418" s="134">
        <f t="shared" si="58"/>
        <v>0</v>
      </c>
      <c r="M418" s="134" t="s">
        <v>1379</v>
      </c>
      <c r="O418" s="134">
        <f t="shared" si="59"/>
        <v>0</v>
      </c>
      <c r="P418" s="134" t="s">
        <v>1379</v>
      </c>
      <c r="R418" s="134">
        <f t="shared" si="60"/>
        <v>0</v>
      </c>
      <c r="S418" s="134" t="s">
        <v>1379</v>
      </c>
      <c r="U418" s="134">
        <f t="shared" si="61"/>
        <v>0</v>
      </c>
    </row>
    <row r="419" spans="1:21" ht="15.75" x14ac:dyDescent="0.25">
      <c r="A419" s="131" t="s">
        <v>1018</v>
      </c>
      <c r="B419" s="137">
        <f t="shared" si="56"/>
        <v>4</v>
      </c>
      <c r="D419" s="151" t="s">
        <v>1229</v>
      </c>
      <c r="E419" s="151">
        <v>4</v>
      </c>
      <c r="F419" s="151">
        <f t="shared" si="63"/>
        <v>0</v>
      </c>
      <c r="G419" s="151" t="s">
        <v>910</v>
      </c>
      <c r="H419" s="151">
        <v>4</v>
      </c>
      <c r="I419" s="134">
        <f t="shared" si="57"/>
        <v>1</v>
      </c>
      <c r="J419" s="151" t="s">
        <v>1019</v>
      </c>
      <c r="K419" s="134">
        <v>1</v>
      </c>
      <c r="L419" s="134">
        <f t="shared" si="58"/>
        <v>0</v>
      </c>
      <c r="M419" s="134" t="s">
        <v>1379</v>
      </c>
      <c r="O419" s="134">
        <f t="shared" si="59"/>
        <v>0</v>
      </c>
      <c r="P419" s="134" t="s">
        <v>1379</v>
      </c>
      <c r="R419" s="134">
        <f t="shared" si="60"/>
        <v>0</v>
      </c>
      <c r="S419" s="134" t="s">
        <v>1379</v>
      </c>
      <c r="U419" s="134">
        <f t="shared" si="61"/>
        <v>0</v>
      </c>
    </row>
    <row r="420" spans="1:21" s="148" customFormat="1" ht="15.75" x14ac:dyDescent="0.25">
      <c r="A420" s="146" t="s">
        <v>1019</v>
      </c>
      <c r="B420" s="147">
        <f t="shared" si="56"/>
        <v>0</v>
      </c>
      <c r="D420" s="148" t="s">
        <v>1379</v>
      </c>
      <c r="F420" s="148">
        <f t="shared" si="62"/>
        <v>0</v>
      </c>
      <c r="G420" s="148" t="s">
        <v>1379</v>
      </c>
      <c r="I420" s="148">
        <f t="shared" si="57"/>
        <v>0</v>
      </c>
      <c r="J420" s="148" t="s">
        <v>1379</v>
      </c>
      <c r="L420" s="148">
        <f t="shared" si="58"/>
        <v>0</v>
      </c>
      <c r="M420" s="148" t="s">
        <v>1379</v>
      </c>
      <c r="O420" s="148">
        <f t="shared" si="59"/>
        <v>0</v>
      </c>
      <c r="P420" s="148" t="s">
        <v>1379</v>
      </c>
      <c r="R420" s="148">
        <f t="shared" si="60"/>
        <v>0</v>
      </c>
      <c r="S420" s="148" t="s">
        <v>1379</v>
      </c>
      <c r="U420" s="148">
        <f t="shared" si="61"/>
        <v>0</v>
      </c>
    </row>
    <row r="421" spans="1:21" ht="15.75" x14ac:dyDescent="0.25">
      <c r="A421" s="131" t="s">
        <v>1020</v>
      </c>
      <c r="B421" s="137">
        <f t="shared" si="56"/>
        <v>3</v>
      </c>
      <c r="D421" s="151" t="s">
        <v>1024</v>
      </c>
      <c r="E421" s="151">
        <v>1</v>
      </c>
      <c r="F421" s="151">
        <f t="shared" ref="F421:F435" si="64">VLOOKUP(D421,IDPOINTS,2,FALSE)</f>
        <v>0</v>
      </c>
      <c r="G421" s="151" t="s">
        <v>738</v>
      </c>
      <c r="H421" s="151">
        <v>1</v>
      </c>
      <c r="I421" s="134">
        <f t="shared" si="57"/>
        <v>3</v>
      </c>
      <c r="J421" s="134" t="s">
        <v>1379</v>
      </c>
      <c r="L421" s="134">
        <f t="shared" si="58"/>
        <v>0</v>
      </c>
      <c r="M421" s="134" t="s">
        <v>1379</v>
      </c>
      <c r="O421" s="134">
        <f t="shared" si="59"/>
        <v>0</v>
      </c>
      <c r="P421" s="134" t="s">
        <v>1379</v>
      </c>
      <c r="R421" s="134">
        <f t="shared" si="60"/>
        <v>0</v>
      </c>
      <c r="S421" s="134" t="s">
        <v>1379</v>
      </c>
      <c r="U421" s="134">
        <f t="shared" si="61"/>
        <v>0</v>
      </c>
    </row>
    <row r="422" spans="1:21" ht="15.75" x14ac:dyDescent="0.25">
      <c r="A422" s="131" t="s">
        <v>1021</v>
      </c>
      <c r="B422" s="137">
        <f t="shared" si="56"/>
        <v>0</v>
      </c>
      <c r="D422" s="151" t="s">
        <v>1019</v>
      </c>
      <c r="E422" s="151">
        <v>1</v>
      </c>
      <c r="F422" s="151">
        <f t="shared" si="64"/>
        <v>0</v>
      </c>
      <c r="G422" s="151" t="s">
        <v>1241</v>
      </c>
      <c r="H422" s="151">
        <v>1</v>
      </c>
      <c r="I422" s="134">
        <f t="shared" si="57"/>
        <v>0</v>
      </c>
      <c r="J422" s="134" t="s">
        <v>1379</v>
      </c>
      <c r="L422" s="134">
        <f t="shared" si="58"/>
        <v>0</v>
      </c>
      <c r="M422" s="134" t="s">
        <v>1379</v>
      </c>
      <c r="O422" s="134">
        <f t="shared" si="59"/>
        <v>0</v>
      </c>
      <c r="P422" s="134" t="s">
        <v>1379</v>
      </c>
      <c r="R422" s="134">
        <f t="shared" si="60"/>
        <v>0</v>
      </c>
      <c r="S422" s="134" t="s">
        <v>1379</v>
      </c>
      <c r="U422" s="134">
        <f t="shared" si="61"/>
        <v>0</v>
      </c>
    </row>
    <row r="423" spans="1:21" ht="15.75" x14ac:dyDescent="0.25">
      <c r="A423" s="131" t="s">
        <v>1022</v>
      </c>
      <c r="B423" s="137">
        <f t="shared" si="56"/>
        <v>24</v>
      </c>
      <c r="D423" s="151" t="s">
        <v>880</v>
      </c>
      <c r="E423" s="151">
        <v>8</v>
      </c>
      <c r="F423" s="151">
        <f t="shared" si="64"/>
        <v>3</v>
      </c>
      <c r="G423" s="151" t="s">
        <v>1019</v>
      </c>
      <c r="H423" s="151">
        <v>1</v>
      </c>
      <c r="I423" s="134">
        <f t="shared" si="57"/>
        <v>0</v>
      </c>
      <c r="J423" s="134" t="s">
        <v>1379</v>
      </c>
      <c r="L423" s="134">
        <f t="shared" si="58"/>
        <v>0</v>
      </c>
      <c r="M423" s="134" t="s">
        <v>1379</v>
      </c>
      <c r="O423" s="134">
        <f t="shared" si="59"/>
        <v>0</v>
      </c>
      <c r="P423" s="134" t="s">
        <v>1379</v>
      </c>
      <c r="R423" s="134">
        <f t="shared" si="60"/>
        <v>0</v>
      </c>
      <c r="S423" s="134" t="s">
        <v>1379</v>
      </c>
      <c r="U423" s="134">
        <f t="shared" si="61"/>
        <v>0</v>
      </c>
    </row>
    <row r="424" spans="1:21" ht="15.75" x14ac:dyDescent="0.25">
      <c r="A424" s="131" t="s">
        <v>1023</v>
      </c>
      <c r="B424" s="137">
        <f t="shared" si="56"/>
        <v>144</v>
      </c>
      <c r="D424" s="151" t="s">
        <v>1022</v>
      </c>
      <c r="E424" s="151">
        <v>6</v>
      </c>
      <c r="F424" s="151">
        <f t="shared" si="64"/>
        <v>24</v>
      </c>
      <c r="G424" s="151" t="s">
        <v>1379</v>
      </c>
      <c r="H424" s="151"/>
      <c r="I424" s="134">
        <f t="shared" si="57"/>
        <v>0</v>
      </c>
      <c r="J424" s="134" t="s">
        <v>1379</v>
      </c>
      <c r="L424" s="134">
        <f t="shared" si="58"/>
        <v>0</v>
      </c>
      <c r="M424" s="134" t="s">
        <v>1379</v>
      </c>
      <c r="O424" s="134">
        <f t="shared" si="59"/>
        <v>0</v>
      </c>
      <c r="P424" s="134" t="s">
        <v>1379</v>
      </c>
      <c r="R424" s="134">
        <f t="shared" si="60"/>
        <v>0</v>
      </c>
      <c r="S424" s="134" t="s">
        <v>1379</v>
      </c>
      <c r="U424" s="134">
        <f t="shared" si="61"/>
        <v>0</v>
      </c>
    </row>
    <row r="425" spans="1:21" ht="15.75" x14ac:dyDescent="0.25">
      <c r="A425" s="131" t="s">
        <v>1024</v>
      </c>
      <c r="B425" s="137">
        <f t="shared" si="56"/>
        <v>0</v>
      </c>
      <c r="D425" s="151" t="s">
        <v>1318</v>
      </c>
      <c r="E425" s="151">
        <v>8</v>
      </c>
      <c r="F425" s="151">
        <f t="shared" si="64"/>
        <v>0</v>
      </c>
      <c r="G425" s="151" t="s">
        <v>1019</v>
      </c>
      <c r="H425" s="151">
        <v>1</v>
      </c>
      <c r="I425" s="134">
        <f t="shared" si="57"/>
        <v>0</v>
      </c>
      <c r="J425" s="134" t="s">
        <v>1379</v>
      </c>
      <c r="L425" s="134">
        <f t="shared" si="58"/>
        <v>0</v>
      </c>
      <c r="M425" s="134" t="s">
        <v>1379</v>
      </c>
      <c r="O425" s="134">
        <f t="shared" si="59"/>
        <v>0</v>
      </c>
      <c r="P425" s="134" t="s">
        <v>1379</v>
      </c>
      <c r="R425" s="134">
        <f t="shared" si="60"/>
        <v>0</v>
      </c>
      <c r="S425" s="134" t="s">
        <v>1379</v>
      </c>
      <c r="U425" s="134">
        <f t="shared" si="61"/>
        <v>0</v>
      </c>
    </row>
    <row r="426" spans="1:21" ht="15.75" x14ac:dyDescent="0.25">
      <c r="A426" s="131" t="s">
        <v>1025</v>
      </c>
      <c r="B426" s="137">
        <f t="shared" si="56"/>
        <v>0</v>
      </c>
      <c r="D426" s="151" t="s">
        <v>1348</v>
      </c>
      <c r="E426" s="151">
        <v>1</v>
      </c>
      <c r="F426" s="151">
        <f t="shared" si="64"/>
        <v>0</v>
      </c>
      <c r="G426" s="151" t="s">
        <v>1019</v>
      </c>
      <c r="H426" s="151">
        <v>1</v>
      </c>
      <c r="I426" s="134">
        <f t="shared" si="57"/>
        <v>0</v>
      </c>
      <c r="J426" s="134" t="s">
        <v>1379</v>
      </c>
      <c r="L426" s="134">
        <f t="shared" si="58"/>
        <v>0</v>
      </c>
      <c r="M426" s="134" t="s">
        <v>1379</v>
      </c>
      <c r="O426" s="134">
        <f t="shared" si="59"/>
        <v>0</v>
      </c>
      <c r="P426" s="134" t="s">
        <v>1379</v>
      </c>
      <c r="R426" s="134">
        <f t="shared" si="60"/>
        <v>0</v>
      </c>
      <c r="S426" s="134" t="s">
        <v>1379</v>
      </c>
      <c r="U426" s="134">
        <f t="shared" si="61"/>
        <v>0</v>
      </c>
    </row>
    <row r="427" spans="1:21" ht="15.75" x14ac:dyDescent="0.25">
      <c r="A427" s="131" t="s">
        <v>1026</v>
      </c>
      <c r="B427" s="137">
        <f t="shared" si="56"/>
        <v>0</v>
      </c>
      <c r="D427" s="151" t="s">
        <v>1379</v>
      </c>
      <c r="E427" s="151"/>
      <c r="F427" s="151">
        <f t="shared" si="64"/>
        <v>0</v>
      </c>
      <c r="G427" s="151" t="s">
        <v>1281</v>
      </c>
      <c r="H427" s="151">
        <v>1</v>
      </c>
      <c r="I427" s="134">
        <f t="shared" si="57"/>
        <v>0</v>
      </c>
      <c r="J427" s="134" t="s">
        <v>1379</v>
      </c>
      <c r="L427" s="134">
        <f t="shared" si="58"/>
        <v>0</v>
      </c>
      <c r="M427" s="134" t="s">
        <v>1379</v>
      </c>
      <c r="O427" s="134">
        <f t="shared" si="59"/>
        <v>0</v>
      </c>
      <c r="P427" s="134" t="s">
        <v>1379</v>
      </c>
      <c r="R427" s="134">
        <f t="shared" si="60"/>
        <v>0</v>
      </c>
      <c r="S427" s="134" t="s">
        <v>1379</v>
      </c>
      <c r="U427" s="134">
        <f t="shared" si="61"/>
        <v>0</v>
      </c>
    </row>
    <row r="428" spans="1:21" s="148" customFormat="1" ht="15.75" x14ac:dyDescent="0.25">
      <c r="A428" s="146" t="s">
        <v>1027</v>
      </c>
      <c r="B428" s="147">
        <f t="shared" si="56"/>
        <v>0</v>
      </c>
      <c r="D428" s="148" t="s">
        <v>1379</v>
      </c>
      <c r="F428" s="148">
        <f t="shared" si="64"/>
        <v>0</v>
      </c>
      <c r="G428" s="148" t="s">
        <v>1379</v>
      </c>
      <c r="I428" s="148">
        <f t="shared" si="57"/>
        <v>0</v>
      </c>
      <c r="J428" s="148" t="s">
        <v>1379</v>
      </c>
      <c r="L428" s="148">
        <f t="shared" si="58"/>
        <v>0</v>
      </c>
      <c r="M428" s="148" t="s">
        <v>1379</v>
      </c>
      <c r="O428" s="148">
        <f t="shared" si="59"/>
        <v>0</v>
      </c>
      <c r="P428" s="148" t="s">
        <v>1379</v>
      </c>
      <c r="R428" s="148">
        <f t="shared" si="60"/>
        <v>0</v>
      </c>
      <c r="S428" s="148" t="s">
        <v>1379</v>
      </c>
      <c r="U428" s="148">
        <f t="shared" si="61"/>
        <v>0</v>
      </c>
    </row>
    <row r="429" spans="1:21" s="148" customFormat="1" ht="15.75" x14ac:dyDescent="0.25">
      <c r="A429" s="146" t="s">
        <v>1028</v>
      </c>
      <c r="B429" s="147">
        <f t="shared" si="56"/>
        <v>0</v>
      </c>
      <c r="D429" s="148" t="s">
        <v>1379</v>
      </c>
      <c r="F429" s="148">
        <f t="shared" si="64"/>
        <v>0</v>
      </c>
      <c r="G429" s="148" t="s">
        <v>1379</v>
      </c>
      <c r="I429" s="148">
        <f t="shared" si="57"/>
        <v>0</v>
      </c>
      <c r="J429" s="148" t="s">
        <v>1379</v>
      </c>
      <c r="L429" s="148">
        <f t="shared" si="58"/>
        <v>0</v>
      </c>
      <c r="M429" s="148" t="s">
        <v>1379</v>
      </c>
      <c r="O429" s="148">
        <f t="shared" si="59"/>
        <v>0</v>
      </c>
      <c r="P429" s="148" t="s">
        <v>1379</v>
      </c>
      <c r="R429" s="148">
        <f t="shared" si="60"/>
        <v>0</v>
      </c>
      <c r="S429" s="148" t="s">
        <v>1379</v>
      </c>
      <c r="U429" s="148">
        <f t="shared" si="61"/>
        <v>0</v>
      </c>
    </row>
    <row r="430" spans="1:21" s="148" customFormat="1" ht="15.75" x14ac:dyDescent="0.25">
      <c r="A430" s="146" t="s">
        <v>1029</v>
      </c>
      <c r="B430" s="147">
        <f t="shared" si="56"/>
        <v>0</v>
      </c>
      <c r="D430" s="148" t="s">
        <v>1379</v>
      </c>
      <c r="F430" s="148">
        <f t="shared" si="64"/>
        <v>0</v>
      </c>
      <c r="G430" s="148" t="s">
        <v>1379</v>
      </c>
      <c r="I430" s="148">
        <f t="shared" si="57"/>
        <v>0</v>
      </c>
      <c r="J430" s="148" t="s">
        <v>1379</v>
      </c>
      <c r="L430" s="148">
        <f t="shared" si="58"/>
        <v>0</v>
      </c>
      <c r="M430" s="148" t="s">
        <v>1379</v>
      </c>
      <c r="O430" s="148">
        <f t="shared" si="59"/>
        <v>0</v>
      </c>
      <c r="P430" s="148" t="s">
        <v>1379</v>
      </c>
      <c r="R430" s="148">
        <f t="shared" si="60"/>
        <v>0</v>
      </c>
      <c r="S430" s="148" t="s">
        <v>1379</v>
      </c>
      <c r="U430" s="148">
        <f t="shared" si="61"/>
        <v>0</v>
      </c>
    </row>
    <row r="431" spans="1:21" ht="15.75" x14ac:dyDescent="0.25">
      <c r="A431" s="131" t="s">
        <v>1030</v>
      </c>
      <c r="B431" s="137">
        <f t="shared" si="56"/>
        <v>0</v>
      </c>
      <c r="D431" s="151" t="s">
        <v>1041</v>
      </c>
      <c r="E431" s="151">
        <v>6</v>
      </c>
      <c r="F431" s="151">
        <f t="shared" si="64"/>
        <v>0</v>
      </c>
      <c r="G431" s="151" t="s">
        <v>1281</v>
      </c>
      <c r="H431" s="151">
        <v>1</v>
      </c>
      <c r="I431" s="134">
        <f t="shared" si="57"/>
        <v>0</v>
      </c>
      <c r="J431" s="134" t="s">
        <v>1379</v>
      </c>
      <c r="L431" s="134">
        <f t="shared" si="58"/>
        <v>0</v>
      </c>
      <c r="M431" s="134" t="s">
        <v>1379</v>
      </c>
      <c r="O431" s="134">
        <f t="shared" si="59"/>
        <v>0</v>
      </c>
      <c r="P431" s="134" t="s">
        <v>1379</v>
      </c>
      <c r="R431" s="134">
        <f t="shared" si="60"/>
        <v>0</v>
      </c>
      <c r="S431" s="134" t="s">
        <v>1379</v>
      </c>
      <c r="U431" s="134">
        <f t="shared" si="61"/>
        <v>0</v>
      </c>
    </row>
    <row r="432" spans="1:21" ht="15.75" x14ac:dyDescent="0.25">
      <c r="A432" s="131" t="s">
        <v>1031</v>
      </c>
      <c r="B432" s="137">
        <f t="shared" si="56"/>
        <v>0</v>
      </c>
      <c r="D432" s="151" t="s">
        <v>1041</v>
      </c>
      <c r="E432" s="151">
        <v>3</v>
      </c>
      <c r="F432" s="151">
        <f t="shared" si="64"/>
        <v>0</v>
      </c>
      <c r="G432" s="151" t="s">
        <v>1093</v>
      </c>
      <c r="H432" s="151">
        <v>3</v>
      </c>
      <c r="I432" s="134">
        <f t="shared" si="57"/>
        <v>0</v>
      </c>
      <c r="J432" s="134" t="s">
        <v>1379</v>
      </c>
      <c r="L432" s="134">
        <f t="shared" si="58"/>
        <v>0</v>
      </c>
      <c r="M432" s="134" t="s">
        <v>1379</v>
      </c>
      <c r="O432" s="134">
        <f t="shared" si="59"/>
        <v>0</v>
      </c>
      <c r="P432" s="134" t="s">
        <v>1379</v>
      </c>
      <c r="R432" s="134">
        <f t="shared" si="60"/>
        <v>0</v>
      </c>
      <c r="S432" s="134" t="s">
        <v>1379</v>
      </c>
      <c r="U432" s="134">
        <f t="shared" si="61"/>
        <v>0</v>
      </c>
    </row>
    <row r="433" spans="1:21" ht="15.75" x14ac:dyDescent="0.25">
      <c r="A433" s="131" t="s">
        <v>1032</v>
      </c>
      <c r="B433" s="137">
        <f t="shared" si="56"/>
        <v>0</v>
      </c>
      <c r="D433" s="151" t="s">
        <v>1041</v>
      </c>
      <c r="E433" s="151">
        <v>2</v>
      </c>
      <c r="F433" s="151">
        <f t="shared" si="64"/>
        <v>0</v>
      </c>
      <c r="G433" s="151" t="s">
        <v>1379</v>
      </c>
      <c r="H433" s="151"/>
      <c r="I433" s="134">
        <f t="shared" si="57"/>
        <v>0</v>
      </c>
      <c r="J433" s="134" t="s">
        <v>1379</v>
      </c>
      <c r="L433" s="134">
        <f t="shared" si="58"/>
        <v>0</v>
      </c>
      <c r="M433" s="134" t="s">
        <v>1379</v>
      </c>
      <c r="O433" s="134">
        <f t="shared" si="59"/>
        <v>0</v>
      </c>
      <c r="P433" s="134" t="s">
        <v>1379</v>
      </c>
      <c r="R433" s="134">
        <f t="shared" si="60"/>
        <v>0</v>
      </c>
      <c r="S433" s="134" t="s">
        <v>1379</v>
      </c>
      <c r="U433" s="134">
        <f t="shared" si="61"/>
        <v>0</v>
      </c>
    </row>
    <row r="434" spans="1:21" ht="15.75" x14ac:dyDescent="0.25">
      <c r="A434" s="131" t="s">
        <v>1033</v>
      </c>
      <c r="B434" s="137">
        <f t="shared" si="56"/>
        <v>4</v>
      </c>
      <c r="D434" s="151" t="s">
        <v>1034</v>
      </c>
      <c r="E434" s="151">
        <v>1</v>
      </c>
      <c r="F434" s="151">
        <f t="shared" si="64"/>
        <v>4</v>
      </c>
      <c r="G434" s="151" t="s">
        <v>1379</v>
      </c>
      <c r="H434" s="151"/>
      <c r="I434" s="134">
        <f t="shared" si="57"/>
        <v>0</v>
      </c>
      <c r="J434" s="134" t="s">
        <v>1379</v>
      </c>
      <c r="L434" s="134">
        <f t="shared" si="58"/>
        <v>0</v>
      </c>
      <c r="M434" s="134" t="s">
        <v>1379</v>
      </c>
      <c r="O434" s="134">
        <f t="shared" si="59"/>
        <v>0</v>
      </c>
      <c r="P434" s="134" t="s">
        <v>1379</v>
      </c>
      <c r="R434" s="134">
        <f t="shared" si="60"/>
        <v>0</v>
      </c>
      <c r="S434" s="134" t="s">
        <v>1379</v>
      </c>
      <c r="U434" s="134">
        <f t="shared" si="61"/>
        <v>0</v>
      </c>
    </row>
    <row r="435" spans="1:21" ht="15.75" x14ac:dyDescent="0.25">
      <c r="A435" s="131" t="s">
        <v>1034</v>
      </c>
      <c r="B435" s="137">
        <f t="shared" si="56"/>
        <v>4</v>
      </c>
      <c r="D435" s="151" t="s">
        <v>1229</v>
      </c>
      <c r="E435" s="151">
        <v>4</v>
      </c>
      <c r="F435" s="151">
        <f t="shared" si="64"/>
        <v>0</v>
      </c>
      <c r="G435" s="151" t="s">
        <v>910</v>
      </c>
      <c r="H435" s="151">
        <v>4</v>
      </c>
      <c r="I435" s="134">
        <f t="shared" si="57"/>
        <v>1</v>
      </c>
      <c r="J435" s="134" t="s">
        <v>1035</v>
      </c>
      <c r="K435" s="134">
        <v>1</v>
      </c>
      <c r="L435" s="134">
        <f t="shared" si="58"/>
        <v>0</v>
      </c>
      <c r="M435" s="134" t="s">
        <v>1379</v>
      </c>
      <c r="O435" s="134">
        <f t="shared" si="59"/>
        <v>0</v>
      </c>
      <c r="P435" s="134" t="s">
        <v>1379</v>
      </c>
      <c r="R435" s="134">
        <f t="shared" si="60"/>
        <v>0</v>
      </c>
      <c r="S435" s="134" t="s">
        <v>1379</v>
      </c>
      <c r="U435" s="134">
        <f t="shared" si="61"/>
        <v>0</v>
      </c>
    </row>
    <row r="436" spans="1:21" s="148" customFormat="1" ht="15.75" x14ac:dyDescent="0.25">
      <c r="A436" s="146" t="s">
        <v>1035</v>
      </c>
      <c r="B436" s="147">
        <f t="shared" si="56"/>
        <v>0</v>
      </c>
      <c r="D436" s="148" t="s">
        <v>1379</v>
      </c>
      <c r="F436" s="148">
        <f t="shared" si="62"/>
        <v>0</v>
      </c>
      <c r="G436" s="148" t="s">
        <v>1379</v>
      </c>
      <c r="I436" s="148">
        <f t="shared" si="57"/>
        <v>0</v>
      </c>
      <c r="J436" s="148" t="s">
        <v>1379</v>
      </c>
      <c r="L436" s="148">
        <f t="shared" si="58"/>
        <v>0</v>
      </c>
      <c r="M436" s="148" t="s">
        <v>1379</v>
      </c>
      <c r="O436" s="148">
        <f t="shared" si="59"/>
        <v>0</v>
      </c>
      <c r="P436" s="148" t="s">
        <v>1379</v>
      </c>
      <c r="R436" s="148">
        <f t="shared" si="60"/>
        <v>0</v>
      </c>
      <c r="S436" s="148" t="s">
        <v>1379</v>
      </c>
      <c r="U436" s="148">
        <f t="shared" si="61"/>
        <v>0</v>
      </c>
    </row>
    <row r="437" spans="1:21" ht="15.75" x14ac:dyDescent="0.25">
      <c r="A437" s="131" t="s">
        <v>1036</v>
      </c>
      <c r="B437" s="137">
        <f t="shared" si="56"/>
        <v>3</v>
      </c>
      <c r="D437" s="151" t="s">
        <v>1040</v>
      </c>
      <c r="E437" s="151">
        <v>1</v>
      </c>
      <c r="F437" s="151">
        <f t="shared" si="62"/>
        <v>0</v>
      </c>
      <c r="G437" s="151" t="s">
        <v>738</v>
      </c>
      <c r="H437" s="151">
        <v>1</v>
      </c>
      <c r="I437" s="134">
        <f t="shared" si="57"/>
        <v>3</v>
      </c>
      <c r="J437" s="134" t="s">
        <v>1379</v>
      </c>
      <c r="L437" s="134">
        <f t="shared" si="58"/>
        <v>0</v>
      </c>
      <c r="M437" s="134" t="s">
        <v>1379</v>
      </c>
      <c r="O437" s="134">
        <f t="shared" si="59"/>
        <v>0</v>
      </c>
      <c r="P437" s="134" t="s">
        <v>1379</v>
      </c>
      <c r="R437" s="134">
        <f t="shared" si="60"/>
        <v>0</v>
      </c>
      <c r="S437" s="134" t="s">
        <v>1379</v>
      </c>
      <c r="U437" s="134">
        <f t="shared" si="61"/>
        <v>0</v>
      </c>
    </row>
    <row r="438" spans="1:21" ht="15.75" x14ac:dyDescent="0.25">
      <c r="A438" s="131" t="s">
        <v>1037</v>
      </c>
      <c r="B438" s="137">
        <f t="shared" si="56"/>
        <v>0</v>
      </c>
      <c r="D438" s="151" t="s">
        <v>1035</v>
      </c>
      <c r="E438" s="151">
        <v>1</v>
      </c>
      <c r="F438" s="151">
        <f t="shared" si="62"/>
        <v>0</v>
      </c>
      <c r="G438" s="151" t="s">
        <v>1241</v>
      </c>
      <c r="H438" s="151">
        <v>1</v>
      </c>
      <c r="I438" s="134">
        <f t="shared" si="57"/>
        <v>0</v>
      </c>
      <c r="J438" s="134" t="s">
        <v>1379</v>
      </c>
      <c r="L438" s="134">
        <f t="shared" si="58"/>
        <v>0</v>
      </c>
      <c r="M438" s="134" t="s">
        <v>1379</v>
      </c>
      <c r="O438" s="134">
        <f t="shared" si="59"/>
        <v>0</v>
      </c>
      <c r="P438" s="134" t="s">
        <v>1379</v>
      </c>
      <c r="R438" s="134">
        <f t="shared" si="60"/>
        <v>0</v>
      </c>
      <c r="S438" s="134" t="s">
        <v>1379</v>
      </c>
      <c r="U438" s="134">
        <f t="shared" si="61"/>
        <v>0</v>
      </c>
    </row>
    <row r="439" spans="1:21" ht="15.75" x14ac:dyDescent="0.25">
      <c r="A439" s="131" t="s">
        <v>1038</v>
      </c>
      <c r="B439" s="137">
        <f t="shared" si="56"/>
        <v>24</v>
      </c>
      <c r="D439" s="151" t="s">
        <v>880</v>
      </c>
      <c r="E439" s="151">
        <v>8</v>
      </c>
      <c r="F439" s="151">
        <f t="shared" si="62"/>
        <v>3</v>
      </c>
      <c r="G439" s="151" t="s">
        <v>1035</v>
      </c>
      <c r="H439" s="151">
        <v>1</v>
      </c>
      <c r="I439" s="134">
        <f t="shared" si="57"/>
        <v>0</v>
      </c>
      <c r="J439" s="134" t="s">
        <v>1379</v>
      </c>
      <c r="L439" s="134">
        <f t="shared" si="58"/>
        <v>0</v>
      </c>
      <c r="M439" s="134" t="s">
        <v>1379</v>
      </c>
      <c r="O439" s="134">
        <f t="shared" si="59"/>
        <v>0</v>
      </c>
      <c r="P439" s="134" t="s">
        <v>1379</v>
      </c>
      <c r="R439" s="134">
        <f t="shared" si="60"/>
        <v>0</v>
      </c>
      <c r="S439" s="134" t="s">
        <v>1379</v>
      </c>
      <c r="U439" s="134">
        <f t="shared" si="61"/>
        <v>0</v>
      </c>
    </row>
    <row r="440" spans="1:21" ht="15.75" x14ac:dyDescent="0.25">
      <c r="A440" s="131" t="s">
        <v>1039</v>
      </c>
      <c r="B440" s="137">
        <f t="shared" si="56"/>
        <v>144</v>
      </c>
      <c r="D440" s="151" t="s">
        <v>1038</v>
      </c>
      <c r="E440" s="151">
        <v>6</v>
      </c>
      <c r="F440" s="151">
        <f t="shared" si="62"/>
        <v>24</v>
      </c>
      <c r="G440" s="151" t="s">
        <v>1379</v>
      </c>
      <c r="H440" s="151"/>
      <c r="I440" s="134">
        <f t="shared" si="57"/>
        <v>0</v>
      </c>
      <c r="J440" s="134" t="s">
        <v>1379</v>
      </c>
      <c r="L440" s="134">
        <f t="shared" si="58"/>
        <v>0</v>
      </c>
      <c r="M440" s="134" t="s">
        <v>1379</v>
      </c>
      <c r="O440" s="134">
        <f t="shared" si="59"/>
        <v>0</v>
      </c>
      <c r="P440" s="134" t="s">
        <v>1379</v>
      </c>
      <c r="R440" s="134">
        <f t="shared" si="60"/>
        <v>0</v>
      </c>
      <c r="S440" s="134" t="s">
        <v>1379</v>
      </c>
      <c r="U440" s="134">
        <f t="shared" si="61"/>
        <v>0</v>
      </c>
    </row>
    <row r="441" spans="1:21" ht="15.75" x14ac:dyDescent="0.25">
      <c r="A441" s="131" t="s">
        <v>1040</v>
      </c>
      <c r="B441" s="137">
        <f t="shared" ref="B441:B502" si="65">(F441*E441)+(H441*I441)+(K441*L441)+(N441*O441)+(Q441*R441)+(T441*U441)</f>
        <v>0</v>
      </c>
      <c r="D441" s="151" t="s">
        <v>1318</v>
      </c>
      <c r="E441" s="151">
        <v>8</v>
      </c>
      <c r="F441" s="151">
        <f t="shared" si="62"/>
        <v>0</v>
      </c>
      <c r="G441" s="151" t="s">
        <v>1035</v>
      </c>
      <c r="H441" s="151">
        <v>1</v>
      </c>
      <c r="I441" s="134">
        <f t="shared" si="57"/>
        <v>0</v>
      </c>
      <c r="J441" s="134" t="s">
        <v>1379</v>
      </c>
      <c r="L441" s="134">
        <f t="shared" si="58"/>
        <v>0</v>
      </c>
      <c r="M441" s="134" t="s">
        <v>1379</v>
      </c>
      <c r="O441" s="134">
        <f t="shared" si="59"/>
        <v>0</v>
      </c>
      <c r="P441" s="134" t="s">
        <v>1379</v>
      </c>
      <c r="R441" s="134">
        <f t="shared" si="60"/>
        <v>0</v>
      </c>
      <c r="S441" s="134" t="s">
        <v>1379</v>
      </c>
      <c r="U441" s="134">
        <f t="shared" si="61"/>
        <v>0</v>
      </c>
    </row>
    <row r="442" spans="1:21" ht="15.75" x14ac:dyDescent="0.25">
      <c r="A442" s="131" t="s">
        <v>1041</v>
      </c>
      <c r="B442" s="137">
        <f t="shared" si="65"/>
        <v>0</v>
      </c>
      <c r="D442" s="151" t="s">
        <v>1348</v>
      </c>
      <c r="E442" s="151">
        <v>1</v>
      </c>
      <c r="F442" s="151">
        <f t="shared" si="62"/>
        <v>0</v>
      </c>
      <c r="G442" s="151" t="s">
        <v>1035</v>
      </c>
      <c r="H442" s="151">
        <v>1</v>
      </c>
      <c r="I442" s="134">
        <f t="shared" si="57"/>
        <v>0</v>
      </c>
      <c r="J442" s="134" t="s">
        <v>1379</v>
      </c>
      <c r="L442" s="134">
        <f t="shared" si="58"/>
        <v>0</v>
      </c>
      <c r="M442" s="134" t="s">
        <v>1379</v>
      </c>
      <c r="O442" s="134">
        <f t="shared" si="59"/>
        <v>0</v>
      </c>
      <c r="P442" s="134" t="s">
        <v>1379</v>
      </c>
      <c r="R442" s="134">
        <f t="shared" si="60"/>
        <v>0</v>
      </c>
      <c r="S442" s="134" t="s">
        <v>1379</v>
      </c>
      <c r="U442" s="134">
        <f t="shared" si="61"/>
        <v>0</v>
      </c>
    </row>
    <row r="443" spans="1:21" ht="15.75" x14ac:dyDescent="0.25">
      <c r="A443" s="131" t="s">
        <v>1042</v>
      </c>
      <c r="B443" s="137">
        <f t="shared" si="65"/>
        <v>0</v>
      </c>
      <c r="D443" s="134" t="s">
        <v>1093</v>
      </c>
      <c r="E443">
        <v>2</v>
      </c>
      <c r="F443" s="134">
        <f t="shared" si="62"/>
        <v>0</v>
      </c>
      <c r="G443" s="134" t="s">
        <v>1297</v>
      </c>
      <c r="H443" s="134">
        <v>2</v>
      </c>
      <c r="I443" s="134">
        <f t="shared" si="57"/>
        <v>0</v>
      </c>
      <c r="J443" s="134" t="s">
        <v>1379</v>
      </c>
      <c r="L443" s="134">
        <f t="shared" si="58"/>
        <v>0</v>
      </c>
      <c r="M443" s="134" t="s">
        <v>1379</v>
      </c>
      <c r="O443" s="134">
        <f t="shared" si="59"/>
        <v>0</v>
      </c>
      <c r="P443" s="134" t="s">
        <v>1379</v>
      </c>
      <c r="R443" s="134">
        <f t="shared" si="60"/>
        <v>0</v>
      </c>
      <c r="S443" s="134" t="s">
        <v>1379</v>
      </c>
      <c r="U443" s="134">
        <f t="shared" si="61"/>
        <v>0</v>
      </c>
    </row>
    <row r="444" spans="1:21" ht="15.75" x14ac:dyDescent="0.25">
      <c r="A444" s="131" t="s">
        <v>1043</v>
      </c>
      <c r="B444" s="137">
        <f t="shared" si="65"/>
        <v>0</v>
      </c>
      <c r="D444" s="151" t="s">
        <v>1054</v>
      </c>
      <c r="E444" s="151">
        <v>6</v>
      </c>
      <c r="F444" s="151">
        <f t="shared" si="62"/>
        <v>0</v>
      </c>
      <c r="G444" s="151" t="s">
        <v>1281</v>
      </c>
      <c r="H444" s="151">
        <v>1</v>
      </c>
      <c r="I444" s="134">
        <f t="shared" ref="I444:I505" si="66">VLOOKUP(G444,IDPOINTS,2,FALSE)</f>
        <v>0</v>
      </c>
      <c r="J444" s="134" t="s">
        <v>1379</v>
      </c>
      <c r="L444" s="134">
        <f t="shared" ref="L444:L505" si="67">VLOOKUP(J444,IDPOINTS,2,FALSE)</f>
        <v>0</v>
      </c>
      <c r="M444" s="134" t="s">
        <v>1379</v>
      </c>
      <c r="O444" s="134">
        <f t="shared" ref="O444:O505" si="68">VLOOKUP(M444,IDPOINTS,2,FALSE)</f>
        <v>0</v>
      </c>
      <c r="P444" s="134" t="s">
        <v>1379</v>
      </c>
      <c r="R444" s="134">
        <f t="shared" ref="R444:R505" si="69">VLOOKUP(P444,IDPOINTS,2,FALSE)</f>
        <v>0</v>
      </c>
      <c r="S444" s="134" t="s">
        <v>1379</v>
      </c>
      <c r="U444" s="134">
        <f t="shared" ref="U444:U505" si="70">VLOOKUP(S444,IDPOINTS,2,FALSE)</f>
        <v>0</v>
      </c>
    </row>
    <row r="445" spans="1:21" ht="15.75" x14ac:dyDescent="0.25">
      <c r="A445" s="131" t="s">
        <v>1044</v>
      </c>
      <c r="B445" s="137">
        <f t="shared" si="65"/>
        <v>0</v>
      </c>
      <c r="D445" s="151" t="s">
        <v>1054</v>
      </c>
      <c r="E445" s="151">
        <v>3</v>
      </c>
      <c r="F445" s="151">
        <f t="shared" ref="F445:F448" si="71">VLOOKUP(D445,IDPOINTS,2,FALSE)</f>
        <v>0</v>
      </c>
      <c r="G445" s="151" t="s">
        <v>1093</v>
      </c>
      <c r="H445" s="151">
        <v>3</v>
      </c>
      <c r="I445" s="134">
        <f t="shared" si="66"/>
        <v>0</v>
      </c>
      <c r="J445" s="134" t="s">
        <v>1379</v>
      </c>
      <c r="L445" s="134">
        <f t="shared" si="67"/>
        <v>0</v>
      </c>
      <c r="M445" s="134" t="s">
        <v>1379</v>
      </c>
      <c r="O445" s="134">
        <f t="shared" si="68"/>
        <v>0</v>
      </c>
      <c r="P445" s="134" t="s">
        <v>1379</v>
      </c>
      <c r="R445" s="134">
        <f t="shared" si="69"/>
        <v>0</v>
      </c>
      <c r="S445" s="134" t="s">
        <v>1379</v>
      </c>
      <c r="U445" s="134">
        <f t="shared" si="70"/>
        <v>0</v>
      </c>
    </row>
    <row r="446" spans="1:21" ht="15.75" x14ac:dyDescent="0.25">
      <c r="A446" s="131" t="s">
        <v>1045</v>
      </c>
      <c r="B446" s="137">
        <f t="shared" si="65"/>
        <v>0</v>
      </c>
      <c r="D446" s="151" t="s">
        <v>1054</v>
      </c>
      <c r="E446" s="151">
        <v>2</v>
      </c>
      <c r="F446" s="151">
        <f t="shared" si="71"/>
        <v>0</v>
      </c>
      <c r="G446" s="151" t="s">
        <v>1379</v>
      </c>
      <c r="H446" s="151"/>
      <c r="I446" s="134">
        <f t="shared" si="66"/>
        <v>0</v>
      </c>
      <c r="J446" s="134" t="s">
        <v>1379</v>
      </c>
      <c r="L446" s="134">
        <f t="shared" si="67"/>
        <v>0</v>
      </c>
      <c r="M446" s="134" t="s">
        <v>1379</v>
      </c>
      <c r="O446" s="134">
        <f t="shared" si="68"/>
        <v>0</v>
      </c>
      <c r="P446" s="134" t="s">
        <v>1379</v>
      </c>
      <c r="R446" s="134">
        <f t="shared" si="69"/>
        <v>0</v>
      </c>
      <c r="S446" s="134" t="s">
        <v>1379</v>
      </c>
      <c r="U446" s="134">
        <f t="shared" si="70"/>
        <v>0</v>
      </c>
    </row>
    <row r="447" spans="1:21" ht="15.75" x14ac:dyDescent="0.25">
      <c r="A447" s="131" t="s">
        <v>1046</v>
      </c>
      <c r="B447" s="137">
        <f t="shared" si="65"/>
        <v>4</v>
      </c>
      <c r="D447" s="151" t="s">
        <v>1047</v>
      </c>
      <c r="E447" s="151">
        <v>1</v>
      </c>
      <c r="F447" s="151">
        <f t="shared" si="71"/>
        <v>4</v>
      </c>
      <c r="G447" s="151" t="s">
        <v>1379</v>
      </c>
      <c r="H447" s="151"/>
      <c r="I447" s="134">
        <f t="shared" si="66"/>
        <v>0</v>
      </c>
      <c r="J447" s="134" t="s">
        <v>1379</v>
      </c>
      <c r="L447" s="134">
        <f t="shared" si="67"/>
        <v>0</v>
      </c>
      <c r="M447" s="134" t="s">
        <v>1379</v>
      </c>
      <c r="O447" s="134">
        <f t="shared" si="68"/>
        <v>0</v>
      </c>
      <c r="P447" s="134" t="s">
        <v>1379</v>
      </c>
      <c r="R447" s="134">
        <f t="shared" si="69"/>
        <v>0</v>
      </c>
      <c r="S447" s="134" t="s">
        <v>1379</v>
      </c>
      <c r="U447" s="134">
        <f t="shared" si="70"/>
        <v>0</v>
      </c>
    </row>
    <row r="448" spans="1:21" ht="15.75" x14ac:dyDescent="0.25">
      <c r="A448" s="131" t="s">
        <v>1047</v>
      </c>
      <c r="B448" s="137">
        <f t="shared" si="65"/>
        <v>4</v>
      </c>
      <c r="D448" s="151" t="s">
        <v>1229</v>
      </c>
      <c r="E448" s="151">
        <v>4</v>
      </c>
      <c r="F448" s="151">
        <f t="shared" si="71"/>
        <v>0</v>
      </c>
      <c r="G448" s="151" t="s">
        <v>910</v>
      </c>
      <c r="H448" s="151">
        <v>4</v>
      </c>
      <c r="I448" s="134">
        <f t="shared" si="66"/>
        <v>1</v>
      </c>
      <c r="J448" s="134" t="s">
        <v>1048</v>
      </c>
      <c r="K448" s="134">
        <v>1</v>
      </c>
      <c r="L448" s="134">
        <f t="shared" si="67"/>
        <v>0</v>
      </c>
      <c r="M448" s="134" t="s">
        <v>1379</v>
      </c>
      <c r="O448" s="134">
        <f t="shared" si="68"/>
        <v>0</v>
      </c>
      <c r="P448" s="134" t="s">
        <v>1379</v>
      </c>
      <c r="R448" s="134">
        <f t="shared" si="69"/>
        <v>0</v>
      </c>
      <c r="S448" s="134" t="s">
        <v>1379</v>
      </c>
      <c r="U448" s="134">
        <f t="shared" si="70"/>
        <v>0</v>
      </c>
    </row>
    <row r="449" spans="1:21" s="148" customFormat="1" ht="15.75" x14ac:dyDescent="0.25">
      <c r="A449" s="146" t="s">
        <v>1048</v>
      </c>
      <c r="B449" s="147">
        <f t="shared" si="65"/>
        <v>0</v>
      </c>
      <c r="D449" s="148" t="s">
        <v>1379</v>
      </c>
      <c r="F449" s="148">
        <f t="shared" ref="F449:F505" si="72">VLOOKUP(D449,IDPOINTS,2,FALSE)</f>
        <v>0</v>
      </c>
      <c r="G449" s="148" t="s">
        <v>1379</v>
      </c>
      <c r="I449" s="148">
        <f t="shared" si="66"/>
        <v>0</v>
      </c>
      <c r="J449" s="148" t="s">
        <v>1379</v>
      </c>
      <c r="L449" s="148">
        <f t="shared" si="67"/>
        <v>0</v>
      </c>
      <c r="M449" s="148" t="s">
        <v>1379</v>
      </c>
      <c r="O449" s="148">
        <f t="shared" si="68"/>
        <v>0</v>
      </c>
      <c r="P449" s="148" t="s">
        <v>1379</v>
      </c>
      <c r="R449" s="148">
        <f t="shared" si="69"/>
        <v>0</v>
      </c>
      <c r="S449" s="148" t="s">
        <v>1379</v>
      </c>
      <c r="U449" s="148">
        <f t="shared" si="70"/>
        <v>0</v>
      </c>
    </row>
    <row r="450" spans="1:21" ht="15.75" x14ac:dyDescent="0.25">
      <c r="A450" s="131" t="s">
        <v>1049</v>
      </c>
      <c r="B450" s="137">
        <f t="shared" si="65"/>
        <v>3</v>
      </c>
      <c r="D450" s="151" t="s">
        <v>1053</v>
      </c>
      <c r="E450" s="151">
        <v>1</v>
      </c>
      <c r="F450" s="151">
        <f t="shared" si="72"/>
        <v>0</v>
      </c>
      <c r="G450" s="151" t="s">
        <v>738</v>
      </c>
      <c r="H450" s="151">
        <v>1</v>
      </c>
      <c r="I450" s="134">
        <f t="shared" si="66"/>
        <v>3</v>
      </c>
      <c r="J450" s="134" t="s">
        <v>1379</v>
      </c>
      <c r="L450" s="134">
        <f t="shared" si="67"/>
        <v>0</v>
      </c>
      <c r="M450" s="134" t="s">
        <v>1379</v>
      </c>
      <c r="O450" s="134">
        <f t="shared" si="68"/>
        <v>0</v>
      </c>
      <c r="P450" s="134" t="s">
        <v>1379</v>
      </c>
      <c r="R450" s="134">
        <f t="shared" si="69"/>
        <v>0</v>
      </c>
      <c r="S450" s="134" t="s">
        <v>1379</v>
      </c>
      <c r="U450" s="134">
        <f t="shared" si="70"/>
        <v>0</v>
      </c>
    </row>
    <row r="451" spans="1:21" ht="15.75" x14ac:dyDescent="0.25">
      <c r="A451" s="131" t="s">
        <v>1050</v>
      </c>
      <c r="B451" s="137">
        <f t="shared" si="65"/>
        <v>0</v>
      </c>
      <c r="D451" s="151" t="s">
        <v>1048</v>
      </c>
      <c r="E451" s="151">
        <v>1</v>
      </c>
      <c r="F451" s="151">
        <f t="shared" si="72"/>
        <v>0</v>
      </c>
      <c r="G451" s="151" t="s">
        <v>1241</v>
      </c>
      <c r="H451" s="151">
        <v>1</v>
      </c>
      <c r="I451" s="134">
        <f t="shared" si="66"/>
        <v>0</v>
      </c>
      <c r="J451" s="134" t="s">
        <v>1379</v>
      </c>
      <c r="L451" s="134">
        <f t="shared" si="67"/>
        <v>0</v>
      </c>
      <c r="M451" s="134" t="s">
        <v>1379</v>
      </c>
      <c r="O451" s="134">
        <f t="shared" si="68"/>
        <v>0</v>
      </c>
      <c r="P451" s="134" t="s">
        <v>1379</v>
      </c>
      <c r="R451" s="134">
        <f t="shared" si="69"/>
        <v>0</v>
      </c>
      <c r="S451" s="134" t="s">
        <v>1379</v>
      </c>
      <c r="U451" s="134">
        <f t="shared" si="70"/>
        <v>0</v>
      </c>
    </row>
    <row r="452" spans="1:21" ht="15.75" x14ac:dyDescent="0.25">
      <c r="A452" s="131" t="s">
        <v>1051</v>
      </c>
      <c r="B452" s="137">
        <f t="shared" si="65"/>
        <v>24</v>
      </c>
      <c r="D452" s="151" t="s">
        <v>880</v>
      </c>
      <c r="E452" s="151">
        <v>8</v>
      </c>
      <c r="F452" s="151">
        <f t="shared" si="72"/>
        <v>3</v>
      </c>
      <c r="G452" s="151" t="s">
        <v>1048</v>
      </c>
      <c r="H452" s="151">
        <v>1</v>
      </c>
      <c r="I452" s="134">
        <f t="shared" si="66"/>
        <v>0</v>
      </c>
      <c r="J452" s="134" t="s">
        <v>1379</v>
      </c>
      <c r="L452" s="134">
        <f t="shared" si="67"/>
        <v>0</v>
      </c>
      <c r="M452" s="134" t="s">
        <v>1379</v>
      </c>
      <c r="O452" s="134">
        <f t="shared" si="68"/>
        <v>0</v>
      </c>
      <c r="P452" s="134" t="s">
        <v>1379</v>
      </c>
      <c r="R452" s="134">
        <f t="shared" si="69"/>
        <v>0</v>
      </c>
      <c r="S452" s="134" t="s">
        <v>1379</v>
      </c>
      <c r="U452" s="134">
        <f t="shared" si="70"/>
        <v>0</v>
      </c>
    </row>
    <row r="453" spans="1:21" ht="15.75" x14ac:dyDescent="0.25">
      <c r="A453" s="131" t="s">
        <v>1052</v>
      </c>
      <c r="B453" s="137">
        <f t="shared" si="65"/>
        <v>144</v>
      </c>
      <c r="D453" s="151" t="s">
        <v>1051</v>
      </c>
      <c r="E453" s="151">
        <v>6</v>
      </c>
      <c r="F453" s="151">
        <f t="shared" si="72"/>
        <v>24</v>
      </c>
      <c r="G453" s="151" t="s">
        <v>1379</v>
      </c>
      <c r="H453" s="151"/>
      <c r="I453" s="134">
        <f t="shared" si="66"/>
        <v>0</v>
      </c>
      <c r="J453" s="134" t="s">
        <v>1379</v>
      </c>
      <c r="L453" s="134">
        <f t="shared" si="67"/>
        <v>0</v>
      </c>
      <c r="M453" s="134" t="s">
        <v>1379</v>
      </c>
      <c r="O453" s="134">
        <f t="shared" si="68"/>
        <v>0</v>
      </c>
      <c r="P453" s="134" t="s">
        <v>1379</v>
      </c>
      <c r="R453" s="134">
        <f t="shared" si="69"/>
        <v>0</v>
      </c>
      <c r="S453" s="134" t="s">
        <v>1379</v>
      </c>
      <c r="U453" s="134">
        <f t="shared" si="70"/>
        <v>0</v>
      </c>
    </row>
    <row r="454" spans="1:21" ht="15.75" x14ac:dyDescent="0.25">
      <c r="A454" s="131" t="s">
        <v>1053</v>
      </c>
      <c r="B454" s="137">
        <f t="shared" si="65"/>
        <v>0</v>
      </c>
      <c r="D454" s="151" t="s">
        <v>1318</v>
      </c>
      <c r="E454" s="151">
        <v>8</v>
      </c>
      <c r="F454" s="151">
        <f t="shared" si="72"/>
        <v>0</v>
      </c>
      <c r="G454" s="151" t="s">
        <v>1048</v>
      </c>
      <c r="H454" s="151">
        <v>1</v>
      </c>
      <c r="I454" s="134">
        <f t="shared" si="66"/>
        <v>0</v>
      </c>
      <c r="J454" s="134" t="s">
        <v>1379</v>
      </c>
      <c r="L454" s="134">
        <f t="shared" si="67"/>
        <v>0</v>
      </c>
      <c r="M454" s="134" t="s">
        <v>1379</v>
      </c>
      <c r="O454" s="134">
        <f t="shared" si="68"/>
        <v>0</v>
      </c>
      <c r="P454" s="134" t="s">
        <v>1379</v>
      </c>
      <c r="R454" s="134">
        <f t="shared" si="69"/>
        <v>0</v>
      </c>
      <c r="S454" s="134" t="s">
        <v>1379</v>
      </c>
      <c r="U454" s="134">
        <f t="shared" si="70"/>
        <v>0</v>
      </c>
    </row>
    <row r="455" spans="1:21" ht="15.75" x14ac:dyDescent="0.25">
      <c r="A455" s="131" t="s">
        <v>1054</v>
      </c>
      <c r="B455" s="137">
        <f t="shared" si="65"/>
        <v>0</v>
      </c>
      <c r="D455" s="151" t="s">
        <v>1348</v>
      </c>
      <c r="E455" s="151">
        <v>1</v>
      </c>
      <c r="F455" s="151">
        <f t="shared" si="72"/>
        <v>0</v>
      </c>
      <c r="G455" s="151" t="s">
        <v>1048</v>
      </c>
      <c r="H455" s="151">
        <v>1</v>
      </c>
      <c r="I455" s="134">
        <f t="shared" si="66"/>
        <v>0</v>
      </c>
      <c r="J455" s="134" t="s">
        <v>1379</v>
      </c>
      <c r="L455" s="134">
        <f t="shared" si="67"/>
        <v>0</v>
      </c>
      <c r="M455" s="134" t="s">
        <v>1379</v>
      </c>
      <c r="O455" s="134">
        <f t="shared" si="68"/>
        <v>0</v>
      </c>
      <c r="P455" s="134" t="s">
        <v>1379</v>
      </c>
      <c r="R455" s="134">
        <f t="shared" si="69"/>
        <v>0</v>
      </c>
      <c r="S455" s="134" t="s">
        <v>1379</v>
      </c>
      <c r="U455" s="134">
        <f t="shared" si="70"/>
        <v>0</v>
      </c>
    </row>
    <row r="456" spans="1:21" ht="15.75" x14ac:dyDescent="0.25">
      <c r="A456" s="131" t="s">
        <v>1055</v>
      </c>
      <c r="B456" s="137">
        <f t="shared" si="65"/>
        <v>54</v>
      </c>
      <c r="D456" s="134" t="s">
        <v>1056</v>
      </c>
      <c r="E456">
        <v>4</v>
      </c>
      <c r="F456" s="134">
        <f t="shared" si="72"/>
        <v>13.5</v>
      </c>
      <c r="G456" s="134" t="s">
        <v>1379</v>
      </c>
      <c r="I456" s="134">
        <f t="shared" si="66"/>
        <v>0</v>
      </c>
      <c r="J456" s="134" t="s">
        <v>1379</v>
      </c>
      <c r="L456" s="134">
        <f t="shared" si="67"/>
        <v>0</v>
      </c>
      <c r="M456" s="134" t="s">
        <v>1379</v>
      </c>
      <c r="O456" s="134">
        <f t="shared" si="68"/>
        <v>0</v>
      </c>
      <c r="P456" s="134" t="s">
        <v>1379</v>
      </c>
      <c r="R456" s="134">
        <f t="shared" si="69"/>
        <v>0</v>
      </c>
      <c r="S456" s="134" t="s">
        <v>1379</v>
      </c>
      <c r="U456" s="134">
        <f t="shared" si="70"/>
        <v>0</v>
      </c>
    </row>
    <row r="457" spans="1:21" ht="15.75" x14ac:dyDescent="0.25">
      <c r="A457" s="131" t="s">
        <v>1056</v>
      </c>
      <c r="B457" s="137">
        <f t="shared" si="65"/>
        <v>13.5</v>
      </c>
      <c r="D457" s="134" t="s">
        <v>1244</v>
      </c>
      <c r="E457">
        <v>1</v>
      </c>
      <c r="F457" s="134">
        <f t="shared" si="72"/>
        <v>0</v>
      </c>
      <c r="G457" s="134" t="s">
        <v>662</v>
      </c>
      <c r="H457" s="134">
        <v>1</v>
      </c>
      <c r="I457" s="134">
        <f t="shared" si="66"/>
        <v>13.5</v>
      </c>
      <c r="J457" s="134" t="s">
        <v>1379</v>
      </c>
      <c r="L457" s="134">
        <f t="shared" si="67"/>
        <v>0</v>
      </c>
      <c r="M457" s="134" t="s">
        <v>1379</v>
      </c>
      <c r="O457" s="134">
        <f t="shared" si="68"/>
        <v>0</v>
      </c>
      <c r="P457" s="134" t="s">
        <v>1379</v>
      </c>
      <c r="R457" s="134">
        <f t="shared" si="69"/>
        <v>0</v>
      </c>
      <c r="S457" s="134" t="s">
        <v>1379</v>
      </c>
      <c r="U457" s="134">
        <f t="shared" si="70"/>
        <v>0</v>
      </c>
    </row>
    <row r="458" spans="1:21" ht="15.75" x14ac:dyDescent="0.25">
      <c r="A458" s="131" t="s">
        <v>1057</v>
      </c>
      <c r="B458" s="137">
        <f t="shared" si="65"/>
        <v>16</v>
      </c>
      <c r="D458" s="134" t="s">
        <v>1119</v>
      </c>
      <c r="E458">
        <v>8</v>
      </c>
      <c r="F458" s="134">
        <f t="shared" si="72"/>
        <v>0</v>
      </c>
      <c r="G458" s="134" t="s">
        <v>749</v>
      </c>
      <c r="H458" s="134">
        <v>1</v>
      </c>
      <c r="I458" s="134">
        <f t="shared" si="66"/>
        <v>16</v>
      </c>
      <c r="J458" s="134" t="s">
        <v>1379</v>
      </c>
      <c r="L458" s="134">
        <f t="shared" si="67"/>
        <v>0</v>
      </c>
      <c r="M458" s="134" t="s">
        <v>1379</v>
      </c>
      <c r="O458" s="134">
        <f t="shared" si="68"/>
        <v>0</v>
      </c>
      <c r="P458" s="134" t="s">
        <v>1379</v>
      </c>
      <c r="R458" s="134">
        <f t="shared" si="69"/>
        <v>0</v>
      </c>
      <c r="S458" s="134" t="s">
        <v>1379</v>
      </c>
      <c r="U458" s="134">
        <f t="shared" si="70"/>
        <v>0</v>
      </c>
    </row>
    <row r="459" spans="1:21" s="145" customFormat="1" ht="15.75" x14ac:dyDescent="0.25">
      <c r="A459" s="143" t="s">
        <v>1058</v>
      </c>
      <c r="B459" s="144">
        <f>'ECONOMIA &amp; PROFESIONES'!I28</f>
        <v>3</v>
      </c>
      <c r="D459" s="145" t="s">
        <v>1379</v>
      </c>
      <c r="F459" s="145">
        <f t="shared" si="72"/>
        <v>0</v>
      </c>
      <c r="G459" s="145" t="s">
        <v>1379</v>
      </c>
      <c r="I459" s="145">
        <f t="shared" si="66"/>
        <v>0</v>
      </c>
      <c r="J459" s="145" t="s">
        <v>1379</v>
      </c>
      <c r="L459" s="145">
        <f t="shared" si="67"/>
        <v>0</v>
      </c>
      <c r="M459" s="145" t="s">
        <v>1379</v>
      </c>
      <c r="O459" s="145">
        <f t="shared" si="68"/>
        <v>0</v>
      </c>
      <c r="P459" s="145" t="s">
        <v>1379</v>
      </c>
      <c r="R459" s="145">
        <f t="shared" si="69"/>
        <v>0</v>
      </c>
      <c r="S459" s="145" t="s">
        <v>1379</v>
      </c>
      <c r="U459" s="145">
        <f t="shared" si="70"/>
        <v>0</v>
      </c>
    </row>
    <row r="460" spans="1:21" ht="15.75" x14ac:dyDescent="0.25">
      <c r="A460" s="131" t="s">
        <v>1059</v>
      </c>
      <c r="B460" s="137">
        <f>B459/9</f>
        <v>0.33333333333333331</v>
      </c>
      <c r="D460" s="134" t="s">
        <v>1379</v>
      </c>
      <c r="F460" s="134">
        <f t="shared" si="72"/>
        <v>0</v>
      </c>
      <c r="G460" s="134" t="s">
        <v>1379</v>
      </c>
      <c r="I460" s="134">
        <f t="shared" si="66"/>
        <v>0</v>
      </c>
      <c r="J460" s="134" t="s">
        <v>1379</v>
      </c>
      <c r="L460" s="134">
        <f t="shared" si="67"/>
        <v>0</v>
      </c>
      <c r="M460" s="134" t="s">
        <v>1379</v>
      </c>
      <c r="O460" s="134">
        <f t="shared" si="68"/>
        <v>0</v>
      </c>
      <c r="P460" s="134" t="s">
        <v>1379</v>
      </c>
      <c r="R460" s="134">
        <f t="shared" si="69"/>
        <v>0</v>
      </c>
      <c r="S460" s="134" t="s">
        <v>1379</v>
      </c>
      <c r="U460" s="134">
        <f t="shared" si="70"/>
        <v>0</v>
      </c>
    </row>
    <row r="461" spans="1:21" ht="15.75" x14ac:dyDescent="0.25">
      <c r="A461" s="131" t="s">
        <v>1060</v>
      </c>
      <c r="B461" s="137">
        <f t="shared" si="65"/>
        <v>20</v>
      </c>
      <c r="D461" s="134" t="s">
        <v>962</v>
      </c>
      <c r="E461">
        <v>5</v>
      </c>
      <c r="F461" s="134">
        <f t="shared" si="72"/>
        <v>4</v>
      </c>
      <c r="G461" s="134" t="s">
        <v>1379</v>
      </c>
      <c r="I461" s="134">
        <f t="shared" si="66"/>
        <v>0</v>
      </c>
      <c r="J461" s="134" t="s">
        <v>1379</v>
      </c>
      <c r="L461" s="134">
        <f t="shared" si="67"/>
        <v>0</v>
      </c>
      <c r="M461" s="134" t="s">
        <v>1379</v>
      </c>
      <c r="O461" s="134">
        <f t="shared" si="68"/>
        <v>0</v>
      </c>
      <c r="P461" s="134" t="s">
        <v>1379</v>
      </c>
      <c r="R461" s="134">
        <f t="shared" si="69"/>
        <v>0</v>
      </c>
      <c r="S461" s="134" t="s">
        <v>1379</v>
      </c>
      <c r="U461" s="134">
        <f t="shared" si="70"/>
        <v>0</v>
      </c>
    </row>
    <row r="462" spans="1:21" ht="15.75" x14ac:dyDescent="0.25">
      <c r="A462" s="131" t="s">
        <v>1061</v>
      </c>
      <c r="B462" s="137">
        <f t="shared" si="65"/>
        <v>577</v>
      </c>
      <c r="D462" s="134" t="s">
        <v>1119</v>
      </c>
      <c r="E462">
        <v>1</v>
      </c>
      <c r="F462" s="134">
        <f t="shared" si="72"/>
        <v>0</v>
      </c>
      <c r="G462" s="134" t="s">
        <v>847</v>
      </c>
      <c r="H462" s="134">
        <v>1</v>
      </c>
      <c r="I462" s="134">
        <f t="shared" si="66"/>
        <v>577</v>
      </c>
      <c r="J462" s="134" t="s">
        <v>1379</v>
      </c>
      <c r="L462" s="134">
        <f t="shared" si="67"/>
        <v>0</v>
      </c>
      <c r="M462" s="134" t="s">
        <v>1379</v>
      </c>
      <c r="O462" s="134">
        <f t="shared" si="68"/>
        <v>0</v>
      </c>
      <c r="P462" s="134" t="s">
        <v>1379</v>
      </c>
      <c r="R462" s="134">
        <f t="shared" si="69"/>
        <v>0</v>
      </c>
      <c r="S462" s="134" t="s">
        <v>1379</v>
      </c>
      <c r="U462" s="134">
        <f t="shared" si="70"/>
        <v>0</v>
      </c>
    </row>
    <row r="463" spans="1:21" ht="15.75" x14ac:dyDescent="0.25">
      <c r="A463" s="131" t="s">
        <v>1062</v>
      </c>
      <c r="B463" s="137">
        <f t="shared" si="65"/>
        <v>1</v>
      </c>
      <c r="D463" s="134" t="s">
        <v>742</v>
      </c>
      <c r="E463">
        <v>1</v>
      </c>
      <c r="F463" s="134">
        <f t="shared" si="72"/>
        <v>1</v>
      </c>
      <c r="G463" s="134" t="s">
        <v>1332</v>
      </c>
      <c r="H463" s="134">
        <v>1</v>
      </c>
      <c r="I463" s="134">
        <f t="shared" si="66"/>
        <v>0</v>
      </c>
      <c r="J463" s="134" t="s">
        <v>1379</v>
      </c>
      <c r="L463" s="134">
        <f t="shared" si="67"/>
        <v>0</v>
      </c>
      <c r="M463" s="134" t="s">
        <v>1379</v>
      </c>
      <c r="O463" s="134">
        <f t="shared" si="68"/>
        <v>0</v>
      </c>
      <c r="P463" s="134" t="s">
        <v>1379</v>
      </c>
      <c r="R463" s="134">
        <f t="shared" si="69"/>
        <v>0</v>
      </c>
      <c r="S463" s="134" t="s">
        <v>1379</v>
      </c>
      <c r="U463" s="134">
        <f t="shared" si="70"/>
        <v>0</v>
      </c>
    </row>
    <row r="464" spans="1:21" ht="15.75" x14ac:dyDescent="0.25">
      <c r="A464" s="131" t="s">
        <v>1063</v>
      </c>
      <c r="B464" s="137">
        <f t="shared" si="65"/>
        <v>3</v>
      </c>
      <c r="D464" s="134" t="s">
        <v>1062</v>
      </c>
      <c r="E464">
        <v>3</v>
      </c>
      <c r="F464" s="134">
        <f t="shared" si="72"/>
        <v>1</v>
      </c>
      <c r="G464" s="134" t="s">
        <v>1379</v>
      </c>
      <c r="I464" s="134">
        <f t="shared" si="66"/>
        <v>0</v>
      </c>
      <c r="J464" s="134" t="s">
        <v>1379</v>
      </c>
      <c r="L464" s="134">
        <f t="shared" si="67"/>
        <v>0</v>
      </c>
      <c r="M464" s="134" t="s">
        <v>1379</v>
      </c>
      <c r="O464" s="134">
        <f t="shared" si="68"/>
        <v>0</v>
      </c>
      <c r="P464" s="134" t="s">
        <v>1379</v>
      </c>
      <c r="R464" s="134">
        <f t="shared" si="69"/>
        <v>0</v>
      </c>
      <c r="S464" s="134" t="s">
        <v>1379</v>
      </c>
      <c r="U464" s="134">
        <f t="shared" si="70"/>
        <v>0</v>
      </c>
    </row>
    <row r="465" spans="1:21" ht="15.75" x14ac:dyDescent="0.25">
      <c r="A465" s="131" t="s">
        <v>1064</v>
      </c>
      <c r="B465" s="137">
        <f t="shared" si="65"/>
        <v>6</v>
      </c>
      <c r="D465" s="151" t="s">
        <v>1062</v>
      </c>
      <c r="E465">
        <v>6</v>
      </c>
      <c r="F465" s="134">
        <f t="shared" si="72"/>
        <v>1</v>
      </c>
      <c r="G465" s="134" t="s">
        <v>1379</v>
      </c>
      <c r="I465" s="134">
        <f t="shared" si="66"/>
        <v>0</v>
      </c>
      <c r="J465" s="134" t="s">
        <v>1379</v>
      </c>
      <c r="L465" s="134">
        <f t="shared" si="67"/>
        <v>0</v>
      </c>
      <c r="M465" s="134" t="s">
        <v>1379</v>
      </c>
      <c r="O465" s="134">
        <f t="shared" si="68"/>
        <v>0</v>
      </c>
      <c r="P465" s="134" t="s">
        <v>1379</v>
      </c>
      <c r="R465" s="134">
        <f t="shared" si="69"/>
        <v>0</v>
      </c>
      <c r="S465" s="134" t="s">
        <v>1379</v>
      </c>
      <c r="U465" s="134">
        <f t="shared" si="70"/>
        <v>0</v>
      </c>
    </row>
    <row r="466" spans="1:21" ht="15.75" x14ac:dyDescent="0.25">
      <c r="A466" s="131" t="s">
        <v>1065</v>
      </c>
      <c r="B466" s="137">
        <f t="shared" si="65"/>
        <v>6</v>
      </c>
      <c r="D466" s="151" t="s">
        <v>1062</v>
      </c>
      <c r="E466">
        <v>6</v>
      </c>
      <c r="F466" s="134">
        <f t="shared" si="72"/>
        <v>1</v>
      </c>
      <c r="G466" s="134" t="s">
        <v>1379</v>
      </c>
      <c r="I466" s="134">
        <f t="shared" si="66"/>
        <v>0</v>
      </c>
      <c r="J466" s="134" t="s">
        <v>1379</v>
      </c>
      <c r="L466" s="134">
        <f t="shared" si="67"/>
        <v>0</v>
      </c>
      <c r="M466" s="134" t="s">
        <v>1379</v>
      </c>
      <c r="O466" s="134">
        <f t="shared" si="68"/>
        <v>0</v>
      </c>
      <c r="P466" s="134" t="s">
        <v>1379</v>
      </c>
      <c r="R466" s="134">
        <f t="shared" si="69"/>
        <v>0</v>
      </c>
      <c r="S466" s="134" t="s">
        <v>1379</v>
      </c>
      <c r="U466" s="134">
        <f t="shared" si="70"/>
        <v>0</v>
      </c>
    </row>
    <row r="467" spans="1:21" ht="15.75" x14ac:dyDescent="0.25">
      <c r="A467" s="131" t="s">
        <v>1066</v>
      </c>
      <c r="B467" s="137">
        <f t="shared" si="65"/>
        <v>0</v>
      </c>
      <c r="D467" s="134" t="s">
        <v>1069</v>
      </c>
      <c r="E467">
        <v>3</v>
      </c>
      <c r="F467" s="134">
        <f t="shared" si="72"/>
        <v>0</v>
      </c>
      <c r="G467" s="134" t="s">
        <v>1379</v>
      </c>
      <c r="I467" s="134">
        <f t="shared" si="66"/>
        <v>0</v>
      </c>
      <c r="J467" s="134" t="s">
        <v>1379</v>
      </c>
      <c r="L467" s="134">
        <f t="shared" si="67"/>
        <v>0</v>
      </c>
      <c r="M467" s="134" t="s">
        <v>1379</v>
      </c>
      <c r="O467" s="134">
        <f t="shared" si="68"/>
        <v>0</v>
      </c>
      <c r="P467" s="134" t="s">
        <v>1379</v>
      </c>
      <c r="R467" s="134">
        <f t="shared" si="69"/>
        <v>0</v>
      </c>
      <c r="S467" s="134" t="s">
        <v>1379</v>
      </c>
      <c r="U467" s="134">
        <f t="shared" si="70"/>
        <v>0</v>
      </c>
    </row>
    <row r="468" spans="1:21" ht="15.75" x14ac:dyDescent="0.25">
      <c r="A468" s="131" t="s">
        <v>1067</v>
      </c>
      <c r="B468" s="137">
        <f t="shared" si="65"/>
        <v>0</v>
      </c>
      <c r="D468" s="134" t="s">
        <v>1069</v>
      </c>
      <c r="E468">
        <v>6</v>
      </c>
      <c r="F468" s="134">
        <f t="shared" si="72"/>
        <v>0</v>
      </c>
      <c r="G468" s="134" t="s">
        <v>1379</v>
      </c>
      <c r="I468" s="134">
        <f t="shared" si="66"/>
        <v>0</v>
      </c>
      <c r="J468" s="134" t="s">
        <v>1379</v>
      </c>
      <c r="L468" s="134">
        <f t="shared" si="67"/>
        <v>0</v>
      </c>
      <c r="M468" s="134" t="s">
        <v>1379</v>
      </c>
      <c r="O468" s="134">
        <f t="shared" si="68"/>
        <v>0</v>
      </c>
      <c r="P468" s="134" t="s">
        <v>1379</v>
      </c>
      <c r="R468" s="134">
        <f t="shared" si="69"/>
        <v>0</v>
      </c>
      <c r="S468" s="134" t="s">
        <v>1379</v>
      </c>
      <c r="U468" s="134">
        <f t="shared" si="70"/>
        <v>0</v>
      </c>
    </row>
    <row r="469" spans="1:21" ht="15.75" x14ac:dyDescent="0.25">
      <c r="A469" s="131" t="s">
        <v>1068</v>
      </c>
      <c r="B469" s="137">
        <f t="shared" si="65"/>
        <v>0</v>
      </c>
      <c r="D469" s="134" t="s">
        <v>1069</v>
      </c>
      <c r="E469">
        <v>6</v>
      </c>
      <c r="F469" s="134">
        <f t="shared" si="72"/>
        <v>0</v>
      </c>
      <c r="G469" s="134" t="s">
        <v>1379</v>
      </c>
      <c r="I469" s="134">
        <f t="shared" si="66"/>
        <v>0</v>
      </c>
      <c r="J469" s="134" t="s">
        <v>1379</v>
      </c>
      <c r="L469" s="134">
        <f t="shared" si="67"/>
        <v>0</v>
      </c>
      <c r="M469" s="134" t="s">
        <v>1379</v>
      </c>
      <c r="O469" s="134">
        <f t="shared" si="68"/>
        <v>0</v>
      </c>
      <c r="P469" s="134" t="s">
        <v>1379</v>
      </c>
      <c r="R469" s="134">
        <f t="shared" si="69"/>
        <v>0</v>
      </c>
      <c r="S469" s="134" t="s">
        <v>1379</v>
      </c>
      <c r="U469" s="134">
        <f t="shared" si="70"/>
        <v>0</v>
      </c>
    </row>
    <row r="470" spans="1:21" ht="15.75" x14ac:dyDescent="0.25">
      <c r="A470" s="131" t="s">
        <v>1069</v>
      </c>
      <c r="B470" s="137">
        <f t="shared" si="65"/>
        <v>0</v>
      </c>
      <c r="D470" s="134" t="s">
        <v>1288</v>
      </c>
      <c r="E470">
        <v>1</v>
      </c>
      <c r="F470" s="134">
        <f t="shared" si="72"/>
        <v>0</v>
      </c>
      <c r="G470" s="134" t="s">
        <v>1332</v>
      </c>
      <c r="H470" s="134">
        <v>1</v>
      </c>
      <c r="I470" s="134">
        <f t="shared" si="66"/>
        <v>0</v>
      </c>
      <c r="J470" s="134" t="s">
        <v>1379</v>
      </c>
      <c r="L470" s="134">
        <f t="shared" si="67"/>
        <v>0</v>
      </c>
      <c r="M470" s="134" t="s">
        <v>1379</v>
      </c>
      <c r="O470" s="134">
        <f t="shared" si="68"/>
        <v>0</v>
      </c>
      <c r="P470" s="134" t="s">
        <v>1379</v>
      </c>
      <c r="R470" s="134">
        <f t="shared" si="69"/>
        <v>0</v>
      </c>
      <c r="S470" s="134" t="s">
        <v>1379</v>
      </c>
      <c r="U470" s="134">
        <f t="shared" si="70"/>
        <v>0</v>
      </c>
    </row>
    <row r="471" spans="1:21" ht="15.75" x14ac:dyDescent="0.25">
      <c r="A471" s="131" t="s">
        <v>1070</v>
      </c>
      <c r="B471" s="137">
        <f t="shared" si="65"/>
        <v>11</v>
      </c>
      <c r="D471" s="134" t="s">
        <v>684</v>
      </c>
      <c r="E471">
        <v>1</v>
      </c>
      <c r="F471" s="134">
        <f t="shared" si="72"/>
        <v>0</v>
      </c>
      <c r="G471" s="134" t="s">
        <v>1200</v>
      </c>
      <c r="H471" s="134">
        <v>1</v>
      </c>
      <c r="I471" s="134">
        <f t="shared" si="66"/>
        <v>0</v>
      </c>
      <c r="J471" s="134" t="s">
        <v>702</v>
      </c>
      <c r="K471" s="134">
        <v>1</v>
      </c>
      <c r="L471" s="134">
        <f t="shared" si="67"/>
        <v>11</v>
      </c>
      <c r="M471" s="134" t="s">
        <v>1379</v>
      </c>
      <c r="O471" s="134">
        <f t="shared" si="68"/>
        <v>0</v>
      </c>
      <c r="P471" s="134" t="s">
        <v>1379</v>
      </c>
      <c r="R471" s="134">
        <f t="shared" si="69"/>
        <v>0</v>
      </c>
      <c r="S471" s="134" t="s">
        <v>1379</v>
      </c>
      <c r="U471" s="134">
        <f t="shared" si="70"/>
        <v>0</v>
      </c>
    </row>
    <row r="472" spans="1:21" s="145" customFormat="1" ht="15.75" x14ac:dyDescent="0.25">
      <c r="A472" s="143" t="s">
        <v>1071</v>
      </c>
      <c r="B472" s="144">
        <f>'ECONOMIA &amp; PROFESIONES'!K32</f>
        <v>11</v>
      </c>
      <c r="D472" s="145" t="s">
        <v>1379</v>
      </c>
      <c r="F472" s="145">
        <f t="shared" si="72"/>
        <v>0</v>
      </c>
      <c r="G472" s="145" t="s">
        <v>1379</v>
      </c>
      <c r="I472" s="145">
        <f t="shared" si="66"/>
        <v>0</v>
      </c>
      <c r="J472" s="145" t="s">
        <v>1379</v>
      </c>
      <c r="L472" s="145">
        <f t="shared" si="67"/>
        <v>0</v>
      </c>
      <c r="M472" s="145" t="s">
        <v>1379</v>
      </c>
      <c r="O472" s="145">
        <f t="shared" si="68"/>
        <v>0</v>
      </c>
      <c r="P472" s="145" t="s">
        <v>1379</v>
      </c>
      <c r="R472" s="145">
        <f t="shared" si="69"/>
        <v>0</v>
      </c>
      <c r="S472" s="145" t="s">
        <v>1379</v>
      </c>
      <c r="U472" s="145">
        <f t="shared" si="70"/>
        <v>0</v>
      </c>
    </row>
    <row r="473" spans="1:21" s="145" customFormat="1" ht="15.75" x14ac:dyDescent="0.25">
      <c r="A473" s="143" t="s">
        <v>1072</v>
      </c>
      <c r="B473" s="144">
        <f>'ECONOMIA &amp; PROFESIONES'!E40</f>
        <v>11</v>
      </c>
      <c r="D473" s="145" t="s">
        <v>1379</v>
      </c>
      <c r="F473" s="145">
        <f t="shared" si="72"/>
        <v>0</v>
      </c>
      <c r="G473" s="145" t="s">
        <v>1379</v>
      </c>
      <c r="I473" s="145">
        <f t="shared" si="66"/>
        <v>0</v>
      </c>
      <c r="J473" s="145" t="s">
        <v>1379</v>
      </c>
      <c r="L473" s="145">
        <f t="shared" si="67"/>
        <v>0</v>
      </c>
      <c r="M473" s="145" t="s">
        <v>1379</v>
      </c>
      <c r="O473" s="145">
        <f t="shared" si="68"/>
        <v>0</v>
      </c>
      <c r="P473" s="145" t="s">
        <v>1379</v>
      </c>
      <c r="R473" s="145">
        <f t="shared" si="69"/>
        <v>0</v>
      </c>
      <c r="S473" s="145" t="s">
        <v>1379</v>
      </c>
      <c r="U473" s="145">
        <f t="shared" si="70"/>
        <v>0</v>
      </c>
    </row>
    <row r="474" spans="1:21" s="148" customFormat="1" ht="15.75" x14ac:dyDescent="0.25">
      <c r="A474" s="146" t="s">
        <v>1073</v>
      </c>
      <c r="B474" s="147">
        <f t="shared" si="65"/>
        <v>0</v>
      </c>
      <c r="D474" s="148" t="s">
        <v>1379</v>
      </c>
      <c r="F474" s="148">
        <f t="shared" si="72"/>
        <v>0</v>
      </c>
      <c r="G474" s="148" t="s">
        <v>1379</v>
      </c>
      <c r="I474" s="148">
        <f t="shared" si="66"/>
        <v>0</v>
      </c>
      <c r="J474" s="148" t="s">
        <v>1379</v>
      </c>
      <c r="L474" s="148">
        <f t="shared" si="67"/>
        <v>0</v>
      </c>
      <c r="M474" s="148" t="s">
        <v>1379</v>
      </c>
      <c r="O474" s="148">
        <f t="shared" si="68"/>
        <v>0</v>
      </c>
      <c r="P474" s="148" t="s">
        <v>1379</v>
      </c>
      <c r="R474" s="148">
        <f t="shared" si="69"/>
        <v>0</v>
      </c>
      <c r="S474" s="148" t="s">
        <v>1379</v>
      </c>
      <c r="U474" s="148">
        <f t="shared" si="70"/>
        <v>0</v>
      </c>
    </row>
    <row r="475" spans="1:21" s="217" customFormat="1" ht="15.75" x14ac:dyDescent="0.25">
      <c r="A475" s="215" t="s">
        <v>1074</v>
      </c>
      <c r="B475" s="216">
        <f>'ECONOMIA &amp; PROFESIONES'!K47</f>
        <v>0.4</v>
      </c>
      <c r="D475" s="217" t="s">
        <v>1379</v>
      </c>
      <c r="F475" s="217">
        <f t="shared" si="72"/>
        <v>0</v>
      </c>
      <c r="G475" s="217" t="s">
        <v>1379</v>
      </c>
      <c r="I475" s="217">
        <f t="shared" si="66"/>
        <v>0</v>
      </c>
      <c r="J475" s="217" t="s">
        <v>1379</v>
      </c>
      <c r="L475" s="217">
        <f t="shared" si="67"/>
        <v>0</v>
      </c>
      <c r="M475" s="217" t="s">
        <v>1379</v>
      </c>
      <c r="O475" s="217">
        <f t="shared" si="68"/>
        <v>0</v>
      </c>
      <c r="P475" s="217" t="s">
        <v>1379</v>
      </c>
      <c r="R475" s="217">
        <f t="shared" si="69"/>
        <v>0</v>
      </c>
      <c r="S475" s="217" t="s">
        <v>1379</v>
      </c>
      <c r="U475" s="217">
        <f t="shared" si="70"/>
        <v>0</v>
      </c>
    </row>
    <row r="476" spans="1:21" ht="15.75" x14ac:dyDescent="0.25">
      <c r="A476" s="131" t="s">
        <v>1075</v>
      </c>
      <c r="B476" s="137">
        <f t="shared" si="65"/>
        <v>14</v>
      </c>
      <c r="D476" s="134" t="s">
        <v>1085</v>
      </c>
      <c r="E476">
        <v>1</v>
      </c>
      <c r="F476" s="134">
        <f t="shared" si="72"/>
        <v>11</v>
      </c>
      <c r="G476" s="134" t="s">
        <v>738</v>
      </c>
      <c r="H476" s="134">
        <v>1</v>
      </c>
      <c r="I476" s="134">
        <f t="shared" si="66"/>
        <v>3</v>
      </c>
      <c r="J476" s="134" t="s">
        <v>1379</v>
      </c>
      <c r="L476" s="134">
        <f t="shared" si="67"/>
        <v>0</v>
      </c>
      <c r="M476" s="134" t="s">
        <v>1379</v>
      </c>
      <c r="O476" s="134">
        <f t="shared" si="68"/>
        <v>0</v>
      </c>
      <c r="P476" s="134" t="s">
        <v>1379</v>
      </c>
      <c r="R476" s="134">
        <f t="shared" si="69"/>
        <v>0</v>
      </c>
      <c r="S476" s="134" t="s">
        <v>1379</v>
      </c>
      <c r="U476" s="134">
        <f t="shared" si="70"/>
        <v>0</v>
      </c>
    </row>
    <row r="477" spans="1:21" ht="15.75" x14ac:dyDescent="0.25">
      <c r="A477" s="131" t="s">
        <v>1076</v>
      </c>
      <c r="B477" s="137">
        <f t="shared" si="65"/>
        <v>252</v>
      </c>
      <c r="D477" s="134" t="s">
        <v>1080</v>
      </c>
      <c r="E477">
        <v>4</v>
      </c>
      <c r="F477" s="134">
        <f t="shared" si="72"/>
        <v>56</v>
      </c>
      <c r="G477" s="134" t="s">
        <v>1075</v>
      </c>
      <c r="H477" s="134">
        <v>2</v>
      </c>
      <c r="I477" s="134">
        <f t="shared" si="66"/>
        <v>14</v>
      </c>
      <c r="J477" s="134" t="s">
        <v>1379</v>
      </c>
      <c r="L477" s="134">
        <f t="shared" si="67"/>
        <v>0</v>
      </c>
      <c r="M477" s="134" t="s">
        <v>1379</v>
      </c>
      <c r="O477" s="134">
        <f t="shared" si="68"/>
        <v>0</v>
      </c>
      <c r="P477" s="134" t="s">
        <v>1379</v>
      </c>
      <c r="R477" s="134">
        <f t="shared" si="69"/>
        <v>0</v>
      </c>
      <c r="S477" s="134" t="s">
        <v>1379</v>
      </c>
      <c r="U477" s="134">
        <f t="shared" si="70"/>
        <v>0</v>
      </c>
    </row>
    <row r="478" spans="1:21" ht="15.75" x14ac:dyDescent="0.25">
      <c r="A478" s="131" t="s">
        <v>1077</v>
      </c>
      <c r="B478" s="137">
        <f t="shared" si="65"/>
        <v>168</v>
      </c>
      <c r="D478" s="151" t="s">
        <v>1080</v>
      </c>
      <c r="E478">
        <v>3</v>
      </c>
      <c r="F478" s="134">
        <f t="shared" si="72"/>
        <v>56</v>
      </c>
      <c r="G478" s="134" t="s">
        <v>1379</v>
      </c>
      <c r="I478" s="134">
        <f t="shared" si="66"/>
        <v>0</v>
      </c>
      <c r="J478" s="134" t="s">
        <v>1379</v>
      </c>
      <c r="L478" s="134">
        <f t="shared" si="67"/>
        <v>0</v>
      </c>
      <c r="M478" s="134" t="s">
        <v>1379</v>
      </c>
      <c r="O478" s="134">
        <f t="shared" si="68"/>
        <v>0</v>
      </c>
      <c r="P478" s="134" t="s">
        <v>1379</v>
      </c>
      <c r="R478" s="134">
        <f t="shared" si="69"/>
        <v>0</v>
      </c>
      <c r="S478" s="134" t="s">
        <v>1379</v>
      </c>
      <c r="U478" s="134">
        <f t="shared" si="70"/>
        <v>0</v>
      </c>
    </row>
    <row r="479" spans="1:21" ht="15.75" x14ac:dyDescent="0.25">
      <c r="A479" s="131" t="s">
        <v>1078</v>
      </c>
      <c r="B479" s="137">
        <f t="shared" si="65"/>
        <v>336</v>
      </c>
      <c r="D479" s="151" t="s">
        <v>1080</v>
      </c>
      <c r="E479">
        <v>6</v>
      </c>
      <c r="F479" s="134">
        <f t="shared" si="72"/>
        <v>56</v>
      </c>
      <c r="G479" s="134" t="s">
        <v>1379</v>
      </c>
      <c r="I479" s="134">
        <f t="shared" si="66"/>
        <v>0</v>
      </c>
      <c r="J479" s="134" t="s">
        <v>1379</v>
      </c>
      <c r="L479" s="134">
        <f t="shared" si="67"/>
        <v>0</v>
      </c>
      <c r="M479" s="134" t="s">
        <v>1379</v>
      </c>
      <c r="O479" s="134">
        <f t="shared" si="68"/>
        <v>0</v>
      </c>
      <c r="P479" s="134" t="s">
        <v>1379</v>
      </c>
      <c r="R479" s="134">
        <f t="shared" si="69"/>
        <v>0</v>
      </c>
      <c r="S479" s="134" t="s">
        <v>1379</v>
      </c>
      <c r="U479" s="134">
        <f t="shared" si="70"/>
        <v>0</v>
      </c>
    </row>
    <row r="480" spans="1:21" ht="15.75" x14ac:dyDescent="0.25">
      <c r="A480" s="131" t="s">
        <v>1079</v>
      </c>
      <c r="B480" s="137">
        <f t="shared" si="65"/>
        <v>336</v>
      </c>
      <c r="D480" s="151" t="s">
        <v>1080</v>
      </c>
      <c r="E480">
        <v>6</v>
      </c>
      <c r="F480" s="134">
        <f t="shared" si="72"/>
        <v>56</v>
      </c>
      <c r="G480" s="134" t="s">
        <v>1379</v>
      </c>
      <c r="I480" s="134">
        <f t="shared" si="66"/>
        <v>0</v>
      </c>
      <c r="J480" s="134" t="s">
        <v>1379</v>
      </c>
      <c r="L480" s="134">
        <f t="shared" si="67"/>
        <v>0</v>
      </c>
      <c r="M480" s="134" t="s">
        <v>1379</v>
      </c>
      <c r="O480" s="134">
        <f t="shared" si="68"/>
        <v>0</v>
      </c>
      <c r="P480" s="134" t="s">
        <v>1379</v>
      </c>
      <c r="R480" s="134">
        <f t="shared" si="69"/>
        <v>0</v>
      </c>
      <c r="S480" s="134" t="s">
        <v>1379</v>
      </c>
      <c r="U480" s="134">
        <f t="shared" si="70"/>
        <v>0</v>
      </c>
    </row>
    <row r="481" spans="1:21" ht="15.75" x14ac:dyDescent="0.25">
      <c r="A481" s="131" t="s">
        <v>1080</v>
      </c>
      <c r="B481" s="137">
        <f t="shared" si="65"/>
        <v>56</v>
      </c>
      <c r="D481" s="134" t="s">
        <v>1075</v>
      </c>
      <c r="E481">
        <v>4</v>
      </c>
      <c r="F481" s="134">
        <f t="shared" si="72"/>
        <v>14</v>
      </c>
      <c r="G481" s="134" t="s">
        <v>1379</v>
      </c>
      <c r="I481" s="134">
        <f t="shared" si="66"/>
        <v>0</v>
      </c>
      <c r="J481" s="134" t="s">
        <v>1379</v>
      </c>
      <c r="L481" s="134">
        <f t="shared" si="67"/>
        <v>0</v>
      </c>
      <c r="M481" s="134" t="s">
        <v>1379</v>
      </c>
      <c r="O481" s="134">
        <f t="shared" si="68"/>
        <v>0</v>
      </c>
      <c r="P481" s="134" t="s">
        <v>1379</v>
      </c>
      <c r="R481" s="134">
        <f t="shared" si="69"/>
        <v>0</v>
      </c>
      <c r="S481" s="134" t="s">
        <v>1379</v>
      </c>
      <c r="U481" s="134">
        <f t="shared" si="70"/>
        <v>0</v>
      </c>
    </row>
    <row r="482" spans="1:21" ht="15.75" x14ac:dyDescent="0.25">
      <c r="A482" s="131" t="s">
        <v>1081</v>
      </c>
      <c r="B482" s="137">
        <f t="shared" si="65"/>
        <v>0</v>
      </c>
      <c r="D482" s="134" t="s">
        <v>1379</v>
      </c>
      <c r="F482" s="134">
        <f t="shared" si="72"/>
        <v>0</v>
      </c>
      <c r="G482" s="134" t="s">
        <v>1379</v>
      </c>
      <c r="I482" s="134">
        <f t="shared" si="66"/>
        <v>0</v>
      </c>
      <c r="J482" s="134" t="s">
        <v>1379</v>
      </c>
      <c r="L482" s="134">
        <f t="shared" si="67"/>
        <v>0</v>
      </c>
      <c r="M482" s="134" t="s">
        <v>1379</v>
      </c>
      <c r="O482" s="134">
        <f t="shared" si="68"/>
        <v>0</v>
      </c>
      <c r="P482" s="134" t="s">
        <v>1379</v>
      </c>
      <c r="R482" s="134">
        <f t="shared" si="69"/>
        <v>0</v>
      </c>
      <c r="S482" s="134" t="s">
        <v>1379</v>
      </c>
      <c r="U482" s="134">
        <f t="shared" si="70"/>
        <v>0</v>
      </c>
    </row>
    <row r="483" spans="1:21" ht="15.75" x14ac:dyDescent="0.25">
      <c r="A483" s="131" t="s">
        <v>1082</v>
      </c>
      <c r="B483" s="137">
        <f t="shared" si="65"/>
        <v>0</v>
      </c>
      <c r="D483" s="134" t="s">
        <v>1379</v>
      </c>
      <c r="F483" s="134">
        <f t="shared" si="72"/>
        <v>0</v>
      </c>
      <c r="G483" s="134" t="s">
        <v>1379</v>
      </c>
      <c r="I483" s="134">
        <f t="shared" si="66"/>
        <v>0</v>
      </c>
      <c r="J483" s="134" t="s">
        <v>1379</v>
      </c>
      <c r="L483" s="134">
        <f t="shared" si="67"/>
        <v>0</v>
      </c>
      <c r="M483" s="134" t="s">
        <v>1379</v>
      </c>
      <c r="O483" s="134">
        <f t="shared" si="68"/>
        <v>0</v>
      </c>
      <c r="P483" s="134" t="s">
        <v>1379</v>
      </c>
      <c r="R483" s="134">
        <f t="shared" si="69"/>
        <v>0</v>
      </c>
      <c r="S483" s="134" t="s">
        <v>1379</v>
      </c>
      <c r="U483" s="134">
        <f t="shared" si="70"/>
        <v>0</v>
      </c>
    </row>
    <row r="484" spans="1:21" ht="15.75" x14ac:dyDescent="0.25">
      <c r="A484" s="131" t="s">
        <v>1083</v>
      </c>
      <c r="B484" s="137">
        <f t="shared" si="65"/>
        <v>0</v>
      </c>
      <c r="D484" s="134" t="s">
        <v>1379</v>
      </c>
      <c r="F484" s="134">
        <f t="shared" si="72"/>
        <v>0</v>
      </c>
      <c r="G484" s="134" t="s">
        <v>1379</v>
      </c>
      <c r="I484" s="134">
        <f t="shared" si="66"/>
        <v>0</v>
      </c>
      <c r="J484" s="134" t="s">
        <v>1379</v>
      </c>
      <c r="L484" s="134">
        <f t="shared" si="67"/>
        <v>0</v>
      </c>
      <c r="M484" s="134" t="s">
        <v>1379</v>
      </c>
      <c r="O484" s="134">
        <f t="shared" si="68"/>
        <v>0</v>
      </c>
      <c r="P484" s="134" t="s">
        <v>1379</v>
      </c>
      <c r="R484" s="134">
        <f t="shared" si="69"/>
        <v>0</v>
      </c>
      <c r="S484" s="134" t="s">
        <v>1379</v>
      </c>
      <c r="U484" s="134">
        <f t="shared" si="70"/>
        <v>0</v>
      </c>
    </row>
    <row r="485" spans="1:21" ht="15.75" x14ac:dyDescent="0.25">
      <c r="A485" s="131" t="s">
        <v>1084</v>
      </c>
      <c r="B485" s="137">
        <f t="shared" si="65"/>
        <v>0</v>
      </c>
      <c r="D485" s="134" t="s">
        <v>1379</v>
      </c>
      <c r="F485" s="134">
        <f t="shared" si="72"/>
        <v>0</v>
      </c>
      <c r="G485" s="134" t="s">
        <v>1379</v>
      </c>
      <c r="I485" s="134">
        <f t="shared" si="66"/>
        <v>0</v>
      </c>
      <c r="J485" s="134" t="s">
        <v>1379</v>
      </c>
      <c r="L485" s="134">
        <f t="shared" si="67"/>
        <v>0</v>
      </c>
      <c r="M485" s="134" t="s">
        <v>1379</v>
      </c>
      <c r="O485" s="134">
        <f t="shared" si="68"/>
        <v>0</v>
      </c>
      <c r="P485" s="134" t="s">
        <v>1379</v>
      </c>
      <c r="R485" s="134">
        <f t="shared" si="69"/>
        <v>0</v>
      </c>
      <c r="S485" s="134" t="s">
        <v>1379</v>
      </c>
      <c r="U485" s="134">
        <f t="shared" si="70"/>
        <v>0</v>
      </c>
    </row>
    <row r="486" spans="1:21" s="145" customFormat="1" ht="15.75" x14ac:dyDescent="0.25">
      <c r="A486" s="143" t="s">
        <v>1085</v>
      </c>
      <c r="B486" s="144">
        <f>'ECONOMIA &amp; PROFESIONES'!E37</f>
        <v>11</v>
      </c>
      <c r="D486" s="145" t="s">
        <v>1379</v>
      </c>
      <c r="F486" s="145">
        <f t="shared" si="72"/>
        <v>0</v>
      </c>
      <c r="G486" s="145" t="s">
        <v>1379</v>
      </c>
      <c r="I486" s="145">
        <f t="shared" si="66"/>
        <v>0</v>
      </c>
      <c r="J486" s="145" t="s">
        <v>1379</v>
      </c>
      <c r="L486" s="145">
        <f t="shared" si="67"/>
        <v>0</v>
      </c>
      <c r="M486" s="145" t="s">
        <v>1379</v>
      </c>
      <c r="O486" s="145">
        <f t="shared" si="68"/>
        <v>0</v>
      </c>
      <c r="P486" s="145" t="s">
        <v>1379</v>
      </c>
      <c r="R486" s="145">
        <f t="shared" si="69"/>
        <v>0</v>
      </c>
      <c r="S486" s="145" t="s">
        <v>1379</v>
      </c>
      <c r="U486" s="145">
        <f t="shared" si="70"/>
        <v>0</v>
      </c>
    </row>
    <row r="487" spans="1:21" ht="15.75" x14ac:dyDescent="0.25">
      <c r="A487" s="131" t="s">
        <v>1086</v>
      </c>
      <c r="B487" s="137">
        <f t="shared" si="65"/>
        <v>0</v>
      </c>
      <c r="D487" s="134" t="s">
        <v>1379</v>
      </c>
      <c r="F487" s="134">
        <f t="shared" si="72"/>
        <v>0</v>
      </c>
      <c r="G487" s="134" t="s">
        <v>1379</v>
      </c>
      <c r="I487" s="134">
        <f t="shared" si="66"/>
        <v>0</v>
      </c>
      <c r="J487" s="134" t="s">
        <v>1379</v>
      </c>
      <c r="L487" s="134">
        <f t="shared" si="67"/>
        <v>0</v>
      </c>
      <c r="M487" s="134" t="s">
        <v>1379</v>
      </c>
      <c r="O487" s="134">
        <f t="shared" si="68"/>
        <v>0</v>
      </c>
      <c r="P487" s="134" t="s">
        <v>1379</v>
      </c>
      <c r="R487" s="134">
        <f t="shared" si="69"/>
        <v>0</v>
      </c>
      <c r="S487" s="134" t="s">
        <v>1379</v>
      </c>
      <c r="U487" s="134">
        <f t="shared" si="70"/>
        <v>0</v>
      </c>
    </row>
    <row r="488" spans="1:21" ht="15.75" x14ac:dyDescent="0.25">
      <c r="A488" s="131" t="s">
        <v>1087</v>
      </c>
      <c r="B488" s="137">
        <f t="shared" si="65"/>
        <v>0</v>
      </c>
      <c r="D488" s="134" t="s">
        <v>1379</v>
      </c>
      <c r="F488" s="134">
        <f t="shared" si="72"/>
        <v>0</v>
      </c>
      <c r="G488" s="134" t="s">
        <v>1379</v>
      </c>
      <c r="I488" s="134">
        <f t="shared" si="66"/>
        <v>0</v>
      </c>
      <c r="J488" s="134" t="s">
        <v>1379</v>
      </c>
      <c r="L488" s="134">
        <f t="shared" si="67"/>
        <v>0</v>
      </c>
      <c r="M488" s="134" t="s">
        <v>1379</v>
      </c>
      <c r="O488" s="134">
        <f t="shared" si="68"/>
        <v>0</v>
      </c>
      <c r="P488" s="134" t="s">
        <v>1379</v>
      </c>
      <c r="R488" s="134">
        <f t="shared" si="69"/>
        <v>0</v>
      </c>
      <c r="S488" s="134" t="s">
        <v>1379</v>
      </c>
      <c r="U488" s="134">
        <f t="shared" si="70"/>
        <v>0</v>
      </c>
    </row>
    <row r="489" spans="1:21" ht="15.75" x14ac:dyDescent="0.25">
      <c r="A489" s="131" t="s">
        <v>1088</v>
      </c>
      <c r="B489" s="137">
        <f t="shared" si="65"/>
        <v>0</v>
      </c>
      <c r="D489" s="134" t="s">
        <v>1379</v>
      </c>
      <c r="F489" s="134">
        <f t="shared" si="72"/>
        <v>0</v>
      </c>
      <c r="G489" s="134" t="s">
        <v>1379</v>
      </c>
      <c r="I489" s="134">
        <f t="shared" si="66"/>
        <v>0</v>
      </c>
      <c r="J489" s="134" t="s">
        <v>1379</v>
      </c>
      <c r="L489" s="134">
        <f t="shared" si="67"/>
        <v>0</v>
      </c>
      <c r="M489" s="134" t="s">
        <v>1379</v>
      </c>
      <c r="O489" s="134">
        <f t="shared" si="68"/>
        <v>0</v>
      </c>
      <c r="P489" s="134" t="s">
        <v>1379</v>
      </c>
      <c r="R489" s="134">
        <f t="shared" si="69"/>
        <v>0</v>
      </c>
      <c r="S489" s="134" t="s">
        <v>1379</v>
      </c>
      <c r="U489" s="134">
        <f t="shared" si="70"/>
        <v>0</v>
      </c>
    </row>
    <row r="490" spans="1:21" ht="15.75" x14ac:dyDescent="0.25">
      <c r="A490" s="131" t="s">
        <v>1089</v>
      </c>
      <c r="B490" s="137">
        <f t="shared" si="65"/>
        <v>0</v>
      </c>
      <c r="D490" s="134" t="s">
        <v>1379</v>
      </c>
      <c r="F490" s="134">
        <f t="shared" si="72"/>
        <v>0</v>
      </c>
      <c r="G490" s="134" t="s">
        <v>1379</v>
      </c>
      <c r="I490" s="134">
        <f t="shared" si="66"/>
        <v>0</v>
      </c>
      <c r="J490" s="134" t="s">
        <v>1379</v>
      </c>
      <c r="L490" s="134">
        <f t="shared" si="67"/>
        <v>0</v>
      </c>
      <c r="M490" s="134" t="s">
        <v>1379</v>
      </c>
      <c r="O490" s="134">
        <f t="shared" si="68"/>
        <v>0</v>
      </c>
      <c r="P490" s="134" t="s">
        <v>1379</v>
      </c>
      <c r="R490" s="134">
        <f t="shared" si="69"/>
        <v>0</v>
      </c>
      <c r="S490" s="134" t="s">
        <v>1379</v>
      </c>
      <c r="U490" s="134">
        <f t="shared" si="70"/>
        <v>0</v>
      </c>
    </row>
    <row r="491" spans="1:21" ht="15.75" x14ac:dyDescent="0.25">
      <c r="A491" s="131" t="s">
        <v>1090</v>
      </c>
      <c r="B491" s="137">
        <f t="shared" si="65"/>
        <v>0</v>
      </c>
      <c r="D491" s="134" t="s">
        <v>1379</v>
      </c>
      <c r="F491" s="134">
        <f t="shared" si="72"/>
        <v>0</v>
      </c>
      <c r="G491" s="134" t="s">
        <v>1379</v>
      </c>
      <c r="I491" s="134">
        <f t="shared" si="66"/>
        <v>0</v>
      </c>
      <c r="J491" s="134" t="s">
        <v>1379</v>
      </c>
      <c r="L491" s="134">
        <f t="shared" si="67"/>
        <v>0</v>
      </c>
      <c r="M491" s="134" t="s">
        <v>1379</v>
      </c>
      <c r="O491" s="134">
        <f t="shared" si="68"/>
        <v>0</v>
      </c>
      <c r="P491" s="134" t="s">
        <v>1379</v>
      </c>
      <c r="R491" s="134">
        <f t="shared" si="69"/>
        <v>0</v>
      </c>
      <c r="S491" s="134" t="s">
        <v>1379</v>
      </c>
      <c r="U491" s="134">
        <f t="shared" si="70"/>
        <v>0</v>
      </c>
    </row>
    <row r="492" spans="1:21" ht="15.75" x14ac:dyDescent="0.25">
      <c r="A492" s="131" t="s">
        <v>1091</v>
      </c>
      <c r="B492" s="137">
        <f t="shared" si="65"/>
        <v>0</v>
      </c>
      <c r="D492" s="134" t="s">
        <v>1379</v>
      </c>
      <c r="F492" s="134">
        <f t="shared" si="72"/>
        <v>0</v>
      </c>
      <c r="G492" s="134" t="s">
        <v>1379</v>
      </c>
      <c r="I492" s="134">
        <f t="shared" si="66"/>
        <v>0</v>
      </c>
      <c r="J492" s="134" t="s">
        <v>1379</v>
      </c>
      <c r="L492" s="134">
        <f t="shared" si="67"/>
        <v>0</v>
      </c>
      <c r="M492" s="134" t="s">
        <v>1379</v>
      </c>
      <c r="O492" s="134">
        <f t="shared" si="68"/>
        <v>0</v>
      </c>
      <c r="P492" s="134" t="s">
        <v>1379</v>
      </c>
      <c r="R492" s="134">
        <f t="shared" si="69"/>
        <v>0</v>
      </c>
      <c r="S492" s="134" t="s">
        <v>1379</v>
      </c>
      <c r="U492" s="134">
        <f t="shared" si="70"/>
        <v>0</v>
      </c>
    </row>
    <row r="493" spans="1:21" ht="15.75" x14ac:dyDescent="0.25">
      <c r="A493" s="131" t="s">
        <v>1092</v>
      </c>
      <c r="B493" s="137">
        <f t="shared" si="65"/>
        <v>0</v>
      </c>
      <c r="D493" s="134" t="s">
        <v>1379</v>
      </c>
      <c r="F493" s="134">
        <f t="shared" si="72"/>
        <v>0</v>
      </c>
      <c r="G493" s="134" t="s">
        <v>1379</v>
      </c>
      <c r="I493" s="134">
        <f t="shared" si="66"/>
        <v>0</v>
      </c>
      <c r="J493" s="134" t="s">
        <v>1379</v>
      </c>
      <c r="L493" s="134">
        <f t="shared" si="67"/>
        <v>0</v>
      </c>
      <c r="M493" s="134" t="s">
        <v>1379</v>
      </c>
      <c r="O493" s="134">
        <f t="shared" si="68"/>
        <v>0</v>
      </c>
      <c r="P493" s="134" t="s">
        <v>1379</v>
      </c>
      <c r="R493" s="134">
        <f t="shared" si="69"/>
        <v>0</v>
      </c>
      <c r="S493" s="134" t="s">
        <v>1379</v>
      </c>
      <c r="U493" s="134">
        <f t="shared" si="70"/>
        <v>0</v>
      </c>
    </row>
    <row r="494" spans="1:21" ht="15.75" x14ac:dyDescent="0.25">
      <c r="A494" s="131" t="s">
        <v>1093</v>
      </c>
      <c r="B494" s="137">
        <f t="shared" si="65"/>
        <v>0</v>
      </c>
      <c r="D494" s="134" t="s">
        <v>1379</v>
      </c>
      <c r="F494" s="134">
        <f t="shared" si="72"/>
        <v>0</v>
      </c>
      <c r="G494" s="134" t="s">
        <v>1379</v>
      </c>
      <c r="I494" s="134">
        <f t="shared" si="66"/>
        <v>0</v>
      </c>
      <c r="J494" s="134" t="s">
        <v>1379</v>
      </c>
      <c r="L494" s="134">
        <f t="shared" si="67"/>
        <v>0</v>
      </c>
      <c r="M494" s="134" t="s">
        <v>1379</v>
      </c>
      <c r="O494" s="134">
        <f t="shared" si="68"/>
        <v>0</v>
      </c>
      <c r="P494" s="134" t="s">
        <v>1379</v>
      </c>
      <c r="R494" s="134">
        <f t="shared" si="69"/>
        <v>0</v>
      </c>
      <c r="S494" s="134" t="s">
        <v>1379</v>
      </c>
      <c r="U494" s="134">
        <f t="shared" si="70"/>
        <v>0</v>
      </c>
    </row>
    <row r="495" spans="1:21" ht="15.75" x14ac:dyDescent="0.25">
      <c r="A495" s="131" t="s">
        <v>1094</v>
      </c>
      <c r="B495" s="137">
        <f t="shared" si="65"/>
        <v>0</v>
      </c>
      <c r="D495" s="134" t="s">
        <v>1379</v>
      </c>
      <c r="F495" s="134">
        <f t="shared" si="72"/>
        <v>0</v>
      </c>
      <c r="G495" s="134" t="s">
        <v>1379</v>
      </c>
      <c r="I495" s="134">
        <f t="shared" si="66"/>
        <v>0</v>
      </c>
      <c r="J495" s="134" t="s">
        <v>1379</v>
      </c>
      <c r="L495" s="134">
        <f t="shared" si="67"/>
        <v>0</v>
      </c>
      <c r="M495" s="134" t="s">
        <v>1379</v>
      </c>
      <c r="O495" s="134">
        <f t="shared" si="68"/>
        <v>0</v>
      </c>
      <c r="P495" s="134" t="s">
        <v>1379</v>
      </c>
      <c r="R495" s="134">
        <f t="shared" si="69"/>
        <v>0</v>
      </c>
      <c r="S495" s="134" t="s">
        <v>1379</v>
      </c>
      <c r="U495" s="134">
        <f t="shared" si="70"/>
        <v>0</v>
      </c>
    </row>
    <row r="496" spans="1:21" ht="15.75" x14ac:dyDescent="0.25">
      <c r="A496" s="131" t="s">
        <v>1095</v>
      </c>
      <c r="B496" s="137">
        <f t="shared" si="65"/>
        <v>0</v>
      </c>
      <c r="D496" s="134" t="s">
        <v>1379</v>
      </c>
      <c r="F496" s="134">
        <f t="shared" si="72"/>
        <v>0</v>
      </c>
      <c r="G496" s="134" t="s">
        <v>1379</v>
      </c>
      <c r="I496" s="134">
        <f t="shared" si="66"/>
        <v>0</v>
      </c>
      <c r="J496" s="134" t="s">
        <v>1379</v>
      </c>
      <c r="L496" s="134">
        <f t="shared" si="67"/>
        <v>0</v>
      </c>
      <c r="M496" s="134" t="s">
        <v>1379</v>
      </c>
      <c r="O496" s="134">
        <f t="shared" si="68"/>
        <v>0</v>
      </c>
      <c r="P496" s="134" t="s">
        <v>1379</v>
      </c>
      <c r="R496" s="134">
        <f t="shared" si="69"/>
        <v>0</v>
      </c>
      <c r="S496" s="134" t="s">
        <v>1379</v>
      </c>
      <c r="U496" s="134">
        <f t="shared" si="70"/>
        <v>0</v>
      </c>
    </row>
    <row r="497" spans="1:21" ht="15.75" x14ac:dyDescent="0.25">
      <c r="A497" s="131" t="s">
        <v>1096</v>
      </c>
      <c r="B497" s="137">
        <f t="shared" si="65"/>
        <v>0</v>
      </c>
      <c r="D497" s="134" t="s">
        <v>1379</v>
      </c>
      <c r="F497" s="134">
        <f t="shared" si="72"/>
        <v>0</v>
      </c>
      <c r="G497" s="134" t="s">
        <v>1379</v>
      </c>
      <c r="I497" s="134">
        <f t="shared" si="66"/>
        <v>0</v>
      </c>
      <c r="J497" s="134" t="s">
        <v>1379</v>
      </c>
      <c r="L497" s="134">
        <f t="shared" si="67"/>
        <v>0</v>
      </c>
      <c r="M497" s="134" t="s">
        <v>1379</v>
      </c>
      <c r="O497" s="134">
        <f t="shared" si="68"/>
        <v>0</v>
      </c>
      <c r="P497" s="134" t="s">
        <v>1379</v>
      </c>
      <c r="R497" s="134">
        <f t="shared" si="69"/>
        <v>0</v>
      </c>
      <c r="S497" s="134" t="s">
        <v>1379</v>
      </c>
      <c r="U497" s="134">
        <f t="shared" si="70"/>
        <v>0</v>
      </c>
    </row>
    <row r="498" spans="1:21" ht="15.75" x14ac:dyDescent="0.25">
      <c r="A498" s="131" t="s">
        <v>1097</v>
      </c>
      <c r="B498" s="137">
        <f t="shared" si="65"/>
        <v>0</v>
      </c>
      <c r="D498" s="134" t="s">
        <v>1379</v>
      </c>
      <c r="F498" s="134">
        <f t="shared" si="72"/>
        <v>0</v>
      </c>
      <c r="G498" s="134" t="s">
        <v>1379</v>
      </c>
      <c r="I498" s="134">
        <f t="shared" si="66"/>
        <v>0</v>
      </c>
      <c r="J498" s="134" t="s">
        <v>1379</v>
      </c>
      <c r="L498" s="134">
        <f t="shared" si="67"/>
        <v>0</v>
      </c>
      <c r="M498" s="134" t="s">
        <v>1379</v>
      </c>
      <c r="O498" s="134">
        <f t="shared" si="68"/>
        <v>0</v>
      </c>
      <c r="P498" s="134" t="s">
        <v>1379</v>
      </c>
      <c r="R498" s="134">
        <f t="shared" si="69"/>
        <v>0</v>
      </c>
      <c r="S498" s="134" t="s">
        <v>1379</v>
      </c>
      <c r="U498" s="134">
        <f t="shared" si="70"/>
        <v>0</v>
      </c>
    </row>
    <row r="499" spans="1:21" ht="15.75" x14ac:dyDescent="0.25">
      <c r="A499" s="131" t="s">
        <v>1098</v>
      </c>
      <c r="B499" s="137">
        <f t="shared" si="65"/>
        <v>0</v>
      </c>
      <c r="D499" s="134" t="s">
        <v>1379</v>
      </c>
      <c r="F499" s="134">
        <f t="shared" si="72"/>
        <v>0</v>
      </c>
      <c r="G499" s="134" t="s">
        <v>1379</v>
      </c>
      <c r="I499" s="134">
        <f t="shared" si="66"/>
        <v>0</v>
      </c>
      <c r="J499" s="134" t="s">
        <v>1379</v>
      </c>
      <c r="L499" s="134">
        <f t="shared" si="67"/>
        <v>0</v>
      </c>
      <c r="M499" s="134" t="s">
        <v>1379</v>
      </c>
      <c r="O499" s="134">
        <f t="shared" si="68"/>
        <v>0</v>
      </c>
      <c r="P499" s="134" t="s">
        <v>1379</v>
      </c>
      <c r="R499" s="134">
        <f t="shared" si="69"/>
        <v>0</v>
      </c>
      <c r="S499" s="134" t="s">
        <v>1379</v>
      </c>
      <c r="U499" s="134">
        <f t="shared" si="70"/>
        <v>0</v>
      </c>
    </row>
    <row r="500" spans="1:21" ht="15.75" x14ac:dyDescent="0.25">
      <c r="A500" s="131" t="s">
        <v>1099</v>
      </c>
      <c r="B500" s="137">
        <f t="shared" si="65"/>
        <v>0</v>
      </c>
      <c r="D500" s="134" t="s">
        <v>1379</v>
      </c>
      <c r="F500" s="134">
        <f t="shared" si="72"/>
        <v>0</v>
      </c>
      <c r="G500" s="134" t="s">
        <v>1379</v>
      </c>
      <c r="I500" s="134">
        <f t="shared" si="66"/>
        <v>0</v>
      </c>
      <c r="J500" s="134" t="s">
        <v>1379</v>
      </c>
      <c r="L500" s="134">
        <f t="shared" si="67"/>
        <v>0</v>
      </c>
      <c r="M500" s="134" t="s">
        <v>1379</v>
      </c>
      <c r="O500" s="134">
        <f t="shared" si="68"/>
        <v>0</v>
      </c>
      <c r="P500" s="134" t="s">
        <v>1379</v>
      </c>
      <c r="R500" s="134">
        <f t="shared" si="69"/>
        <v>0</v>
      </c>
      <c r="S500" s="134" t="s">
        <v>1379</v>
      </c>
      <c r="U500" s="134">
        <f t="shared" si="70"/>
        <v>0</v>
      </c>
    </row>
    <row r="501" spans="1:21" ht="15.75" x14ac:dyDescent="0.25">
      <c r="A501" s="131" t="s">
        <v>1100</v>
      </c>
      <c r="B501" s="137">
        <f t="shared" si="65"/>
        <v>0</v>
      </c>
      <c r="D501" s="134" t="s">
        <v>1379</v>
      </c>
      <c r="F501" s="134">
        <f t="shared" si="72"/>
        <v>0</v>
      </c>
      <c r="G501" s="134" t="s">
        <v>1379</v>
      </c>
      <c r="I501" s="134">
        <f t="shared" si="66"/>
        <v>0</v>
      </c>
      <c r="J501" s="134" t="s">
        <v>1379</v>
      </c>
      <c r="L501" s="134">
        <f t="shared" si="67"/>
        <v>0</v>
      </c>
      <c r="M501" s="134" t="s">
        <v>1379</v>
      </c>
      <c r="O501" s="134">
        <f t="shared" si="68"/>
        <v>0</v>
      </c>
      <c r="P501" s="134" t="s">
        <v>1379</v>
      </c>
      <c r="R501" s="134">
        <f t="shared" si="69"/>
        <v>0</v>
      </c>
      <c r="S501" s="134" t="s">
        <v>1379</v>
      </c>
      <c r="U501" s="134">
        <f t="shared" si="70"/>
        <v>0</v>
      </c>
    </row>
    <row r="502" spans="1:21" ht="15.75" x14ac:dyDescent="0.25">
      <c r="A502" s="131" t="s">
        <v>1101</v>
      </c>
      <c r="B502" s="137">
        <f t="shared" si="65"/>
        <v>0</v>
      </c>
      <c r="D502" s="134" t="s">
        <v>1379</v>
      </c>
      <c r="F502" s="134">
        <f t="shared" si="72"/>
        <v>0</v>
      </c>
      <c r="G502" s="134" t="s">
        <v>1379</v>
      </c>
      <c r="I502" s="134">
        <f t="shared" si="66"/>
        <v>0</v>
      </c>
      <c r="J502" s="134" t="s">
        <v>1379</v>
      </c>
      <c r="L502" s="134">
        <f t="shared" si="67"/>
        <v>0</v>
      </c>
      <c r="M502" s="134" t="s">
        <v>1379</v>
      </c>
      <c r="O502" s="134">
        <f t="shared" si="68"/>
        <v>0</v>
      </c>
      <c r="P502" s="134" t="s">
        <v>1379</v>
      </c>
      <c r="R502" s="134">
        <f t="shared" si="69"/>
        <v>0</v>
      </c>
      <c r="S502" s="134" t="s">
        <v>1379</v>
      </c>
      <c r="U502" s="134">
        <f t="shared" si="70"/>
        <v>0</v>
      </c>
    </row>
    <row r="503" spans="1:21" s="134" customFormat="1" ht="15.75" x14ac:dyDescent="0.25">
      <c r="A503" s="131" t="s">
        <v>1102</v>
      </c>
      <c r="B503" s="137">
        <f>'ECONOMIA &amp; PROFESIONES'!E38</f>
        <v>11</v>
      </c>
      <c r="C503" s="140"/>
      <c r="D503" s="134" t="s">
        <v>1379</v>
      </c>
      <c r="F503" s="134">
        <f t="shared" si="72"/>
        <v>0</v>
      </c>
      <c r="G503" s="134" t="s">
        <v>1379</v>
      </c>
      <c r="I503" s="134">
        <f t="shared" si="66"/>
        <v>0</v>
      </c>
      <c r="J503" s="134" t="s">
        <v>1379</v>
      </c>
      <c r="L503" s="134">
        <f t="shared" si="67"/>
        <v>0</v>
      </c>
      <c r="M503" s="134" t="s">
        <v>1379</v>
      </c>
      <c r="O503" s="134">
        <f t="shared" si="68"/>
        <v>0</v>
      </c>
      <c r="P503" s="134" t="s">
        <v>1379</v>
      </c>
      <c r="R503" s="134">
        <f t="shared" si="69"/>
        <v>0</v>
      </c>
      <c r="S503" s="134" t="s">
        <v>1379</v>
      </c>
      <c r="U503" s="134">
        <f t="shared" si="70"/>
        <v>0</v>
      </c>
    </row>
    <row r="504" spans="1:21" ht="15.75" x14ac:dyDescent="0.25">
      <c r="A504" s="131" t="s">
        <v>1103</v>
      </c>
      <c r="B504" s="137">
        <f t="shared" ref="B504:B567" si="73">(F504*E504)+(H504*I504)+(K504*L504)+(N504*O504)+(Q504*R504)+(T504*U504)</f>
        <v>0</v>
      </c>
      <c r="D504" s="134" t="s">
        <v>1379</v>
      </c>
      <c r="F504" s="134">
        <f t="shared" si="72"/>
        <v>0</v>
      </c>
      <c r="G504" s="134" t="s">
        <v>1379</v>
      </c>
      <c r="I504" s="134">
        <f t="shared" si="66"/>
        <v>0</v>
      </c>
      <c r="J504" s="134" t="s">
        <v>1379</v>
      </c>
      <c r="L504" s="134">
        <f t="shared" si="67"/>
        <v>0</v>
      </c>
      <c r="M504" s="134" t="s">
        <v>1379</v>
      </c>
      <c r="O504" s="134">
        <f t="shared" si="68"/>
        <v>0</v>
      </c>
      <c r="P504" s="134" t="s">
        <v>1379</v>
      </c>
      <c r="R504" s="134">
        <f t="shared" si="69"/>
        <v>0</v>
      </c>
      <c r="S504" s="134" t="s">
        <v>1379</v>
      </c>
      <c r="U504" s="134">
        <f t="shared" si="70"/>
        <v>0</v>
      </c>
    </row>
    <row r="505" spans="1:21" ht="15.75" x14ac:dyDescent="0.25">
      <c r="A505" s="131" t="s">
        <v>1104</v>
      </c>
      <c r="B505" s="137">
        <f t="shared" si="73"/>
        <v>0</v>
      </c>
      <c r="D505" s="134" t="s">
        <v>1379</v>
      </c>
      <c r="F505" s="134">
        <f t="shared" si="72"/>
        <v>0</v>
      </c>
      <c r="G505" s="134" t="s">
        <v>1379</v>
      </c>
      <c r="I505" s="134">
        <f t="shared" si="66"/>
        <v>0</v>
      </c>
      <c r="J505" s="134" t="s">
        <v>1379</v>
      </c>
      <c r="L505" s="134">
        <f t="shared" si="67"/>
        <v>0</v>
      </c>
      <c r="M505" s="134" t="s">
        <v>1379</v>
      </c>
      <c r="O505" s="134">
        <f t="shared" si="68"/>
        <v>0</v>
      </c>
      <c r="P505" s="134" t="s">
        <v>1379</v>
      </c>
      <c r="R505" s="134">
        <f t="shared" si="69"/>
        <v>0</v>
      </c>
      <c r="S505" s="134" t="s">
        <v>1379</v>
      </c>
      <c r="U505" s="134">
        <f t="shared" si="70"/>
        <v>0</v>
      </c>
    </row>
    <row r="506" spans="1:21" ht="15.75" x14ac:dyDescent="0.25">
      <c r="A506" s="131" t="s">
        <v>1105</v>
      </c>
      <c r="B506" s="137">
        <f t="shared" si="73"/>
        <v>0</v>
      </c>
      <c r="D506" s="134" t="s">
        <v>1379</v>
      </c>
      <c r="F506" s="134">
        <f t="shared" ref="F506:F569" si="74">VLOOKUP(D506,IDPOINTS,2,FALSE)</f>
        <v>0</v>
      </c>
      <c r="G506" s="134" t="s">
        <v>1379</v>
      </c>
      <c r="I506" s="134">
        <f t="shared" ref="I506:I569" si="75">VLOOKUP(G506,IDPOINTS,2,FALSE)</f>
        <v>0</v>
      </c>
      <c r="J506" s="134" t="s">
        <v>1379</v>
      </c>
      <c r="L506" s="134">
        <f t="shared" ref="L506:L569" si="76">VLOOKUP(J506,IDPOINTS,2,FALSE)</f>
        <v>0</v>
      </c>
      <c r="M506" s="134" t="s">
        <v>1379</v>
      </c>
      <c r="O506" s="134">
        <f t="shared" ref="O506:O569" si="77">VLOOKUP(M506,IDPOINTS,2,FALSE)</f>
        <v>0</v>
      </c>
      <c r="P506" s="134" t="s">
        <v>1379</v>
      </c>
      <c r="R506" s="134">
        <f t="shared" ref="R506:R569" si="78">VLOOKUP(P506,IDPOINTS,2,FALSE)</f>
        <v>0</v>
      </c>
      <c r="S506" s="134" t="s">
        <v>1379</v>
      </c>
      <c r="U506" s="134">
        <f t="shared" ref="U506:U569" si="79">VLOOKUP(S506,IDPOINTS,2,FALSE)</f>
        <v>0</v>
      </c>
    </row>
    <row r="507" spans="1:21" ht="15.75" x14ac:dyDescent="0.25">
      <c r="A507" s="131" t="s">
        <v>1106</v>
      </c>
      <c r="B507" s="137">
        <f t="shared" si="73"/>
        <v>0</v>
      </c>
      <c r="D507" s="134" t="s">
        <v>1379</v>
      </c>
      <c r="F507" s="134">
        <f t="shared" si="74"/>
        <v>0</v>
      </c>
      <c r="G507" s="134" t="s">
        <v>1379</v>
      </c>
      <c r="I507" s="134">
        <f t="shared" si="75"/>
        <v>0</v>
      </c>
      <c r="J507" s="134" t="s">
        <v>1379</v>
      </c>
      <c r="L507" s="134">
        <f t="shared" si="76"/>
        <v>0</v>
      </c>
      <c r="M507" s="134" t="s">
        <v>1379</v>
      </c>
      <c r="O507" s="134">
        <f t="shared" si="77"/>
        <v>0</v>
      </c>
      <c r="P507" s="134" t="s">
        <v>1379</v>
      </c>
      <c r="R507" s="134">
        <f t="shared" si="78"/>
        <v>0</v>
      </c>
      <c r="S507" s="134" t="s">
        <v>1379</v>
      </c>
      <c r="U507" s="134">
        <f t="shared" si="79"/>
        <v>0</v>
      </c>
    </row>
    <row r="508" spans="1:21" ht="15.75" x14ac:dyDescent="0.25">
      <c r="A508" s="131" t="s">
        <v>1107</v>
      </c>
      <c r="B508" s="137">
        <f t="shared" si="73"/>
        <v>0</v>
      </c>
      <c r="D508" s="134" t="s">
        <v>1379</v>
      </c>
      <c r="F508" s="134">
        <f t="shared" si="74"/>
        <v>0</v>
      </c>
      <c r="G508" s="134" t="s">
        <v>1379</v>
      </c>
      <c r="I508" s="134">
        <f t="shared" si="75"/>
        <v>0</v>
      </c>
      <c r="J508" s="134" t="s">
        <v>1379</v>
      </c>
      <c r="L508" s="134">
        <f t="shared" si="76"/>
        <v>0</v>
      </c>
      <c r="M508" s="134" t="s">
        <v>1379</v>
      </c>
      <c r="O508" s="134">
        <f t="shared" si="77"/>
        <v>0</v>
      </c>
      <c r="P508" s="134" t="s">
        <v>1379</v>
      </c>
      <c r="R508" s="134">
        <f t="shared" si="78"/>
        <v>0</v>
      </c>
      <c r="S508" s="134" t="s">
        <v>1379</v>
      </c>
      <c r="U508" s="134">
        <f t="shared" si="79"/>
        <v>0</v>
      </c>
    </row>
    <row r="509" spans="1:21" ht="15.75" x14ac:dyDescent="0.25">
      <c r="A509" s="131" t="s">
        <v>1108</v>
      </c>
      <c r="B509" s="137">
        <f t="shared" si="73"/>
        <v>0</v>
      </c>
      <c r="D509" s="134" t="s">
        <v>1379</v>
      </c>
      <c r="F509" s="134">
        <f t="shared" si="74"/>
        <v>0</v>
      </c>
      <c r="G509" s="134" t="s">
        <v>1379</v>
      </c>
      <c r="I509" s="134">
        <f t="shared" si="75"/>
        <v>0</v>
      </c>
      <c r="J509" s="134" t="s">
        <v>1379</v>
      </c>
      <c r="L509" s="134">
        <f t="shared" si="76"/>
        <v>0</v>
      </c>
      <c r="M509" s="134" t="s">
        <v>1379</v>
      </c>
      <c r="O509" s="134">
        <f t="shared" si="77"/>
        <v>0</v>
      </c>
      <c r="P509" s="134" t="s">
        <v>1379</v>
      </c>
      <c r="R509" s="134">
        <f t="shared" si="78"/>
        <v>0</v>
      </c>
      <c r="S509" s="134" t="s">
        <v>1379</v>
      </c>
      <c r="U509" s="134">
        <f t="shared" si="79"/>
        <v>0</v>
      </c>
    </row>
    <row r="510" spans="1:21" ht="15.75" x14ac:dyDescent="0.25">
      <c r="A510" s="131" t="s">
        <v>1109</v>
      </c>
      <c r="B510" s="137">
        <f t="shared" si="73"/>
        <v>0</v>
      </c>
      <c r="D510" s="134" t="s">
        <v>1379</v>
      </c>
      <c r="F510" s="134">
        <f t="shared" si="74"/>
        <v>0</v>
      </c>
      <c r="G510" s="134" t="s">
        <v>1379</v>
      </c>
      <c r="I510" s="134">
        <f t="shared" si="75"/>
        <v>0</v>
      </c>
      <c r="J510" s="134" t="s">
        <v>1379</v>
      </c>
      <c r="L510" s="134">
        <f t="shared" si="76"/>
        <v>0</v>
      </c>
      <c r="M510" s="134" t="s">
        <v>1379</v>
      </c>
      <c r="O510" s="134">
        <f t="shared" si="77"/>
        <v>0</v>
      </c>
      <c r="P510" s="134" t="s">
        <v>1379</v>
      </c>
      <c r="R510" s="134">
        <f t="shared" si="78"/>
        <v>0</v>
      </c>
      <c r="S510" s="134" t="s">
        <v>1379</v>
      </c>
      <c r="U510" s="134">
        <f t="shared" si="79"/>
        <v>0</v>
      </c>
    </row>
    <row r="511" spans="1:21" ht="15.75" x14ac:dyDescent="0.25">
      <c r="A511" s="131" t="s">
        <v>1110</v>
      </c>
      <c r="B511" s="137">
        <f t="shared" si="73"/>
        <v>0</v>
      </c>
      <c r="D511" s="134" t="s">
        <v>1379</v>
      </c>
      <c r="F511" s="134">
        <f t="shared" si="74"/>
        <v>0</v>
      </c>
      <c r="G511" s="134" t="s">
        <v>1379</v>
      </c>
      <c r="I511" s="134">
        <f t="shared" si="75"/>
        <v>0</v>
      </c>
      <c r="J511" s="134" t="s">
        <v>1379</v>
      </c>
      <c r="L511" s="134">
        <f t="shared" si="76"/>
        <v>0</v>
      </c>
      <c r="M511" s="134" t="s">
        <v>1379</v>
      </c>
      <c r="O511" s="134">
        <f t="shared" si="77"/>
        <v>0</v>
      </c>
      <c r="P511" s="134" t="s">
        <v>1379</v>
      </c>
      <c r="R511" s="134">
        <f t="shared" si="78"/>
        <v>0</v>
      </c>
      <c r="S511" s="134" t="s">
        <v>1379</v>
      </c>
      <c r="U511" s="134">
        <f t="shared" si="79"/>
        <v>0</v>
      </c>
    </row>
    <row r="512" spans="1:21" ht="15.75" x14ac:dyDescent="0.25">
      <c r="A512" s="131" t="s">
        <v>1111</v>
      </c>
      <c r="B512" s="137">
        <f t="shared" si="73"/>
        <v>0</v>
      </c>
      <c r="D512" s="134" t="s">
        <v>1379</v>
      </c>
      <c r="F512" s="134">
        <f t="shared" si="74"/>
        <v>0</v>
      </c>
      <c r="G512" s="134" t="s">
        <v>1379</v>
      </c>
      <c r="I512" s="134">
        <f t="shared" si="75"/>
        <v>0</v>
      </c>
      <c r="J512" s="134" t="s">
        <v>1379</v>
      </c>
      <c r="L512" s="134">
        <f t="shared" si="76"/>
        <v>0</v>
      </c>
      <c r="M512" s="134" t="s">
        <v>1379</v>
      </c>
      <c r="O512" s="134">
        <f t="shared" si="77"/>
        <v>0</v>
      </c>
      <c r="P512" s="134" t="s">
        <v>1379</v>
      </c>
      <c r="R512" s="134">
        <f t="shared" si="78"/>
        <v>0</v>
      </c>
      <c r="S512" s="134" t="s">
        <v>1379</v>
      </c>
      <c r="U512" s="134">
        <f t="shared" si="79"/>
        <v>0</v>
      </c>
    </row>
    <row r="513" spans="1:21" ht="15.75" x14ac:dyDescent="0.25">
      <c r="A513" s="131" t="s">
        <v>1112</v>
      </c>
      <c r="B513" s="137">
        <f t="shared" si="73"/>
        <v>0</v>
      </c>
      <c r="D513" s="134" t="s">
        <v>1379</v>
      </c>
      <c r="F513" s="134">
        <f t="shared" si="74"/>
        <v>0</v>
      </c>
      <c r="G513" s="134" t="s">
        <v>1379</v>
      </c>
      <c r="I513" s="134">
        <f t="shared" si="75"/>
        <v>0</v>
      </c>
      <c r="J513" s="134" t="s">
        <v>1379</v>
      </c>
      <c r="L513" s="134">
        <f t="shared" si="76"/>
        <v>0</v>
      </c>
      <c r="M513" s="134" t="s">
        <v>1379</v>
      </c>
      <c r="O513" s="134">
        <f t="shared" si="77"/>
        <v>0</v>
      </c>
      <c r="P513" s="134" t="s">
        <v>1379</v>
      </c>
      <c r="R513" s="134">
        <f t="shared" si="78"/>
        <v>0</v>
      </c>
      <c r="S513" s="134" t="s">
        <v>1379</v>
      </c>
      <c r="U513" s="134">
        <f t="shared" si="79"/>
        <v>0</v>
      </c>
    </row>
    <row r="514" spans="1:21" ht="15.75" x14ac:dyDescent="0.25">
      <c r="A514" s="131" t="s">
        <v>1113</v>
      </c>
      <c r="B514" s="137">
        <f t="shared" si="73"/>
        <v>0</v>
      </c>
      <c r="D514" s="134" t="s">
        <v>1379</v>
      </c>
      <c r="F514" s="134">
        <f t="shared" si="74"/>
        <v>0</v>
      </c>
      <c r="G514" s="134" t="s">
        <v>1379</v>
      </c>
      <c r="I514" s="134">
        <f t="shared" si="75"/>
        <v>0</v>
      </c>
      <c r="J514" s="134" t="s">
        <v>1379</v>
      </c>
      <c r="L514" s="134">
        <f t="shared" si="76"/>
        <v>0</v>
      </c>
      <c r="M514" s="134" t="s">
        <v>1379</v>
      </c>
      <c r="O514" s="134">
        <f t="shared" si="77"/>
        <v>0</v>
      </c>
      <c r="P514" s="134" t="s">
        <v>1379</v>
      </c>
      <c r="R514" s="134">
        <f t="shared" si="78"/>
        <v>0</v>
      </c>
      <c r="S514" s="134" t="s">
        <v>1379</v>
      </c>
      <c r="U514" s="134">
        <f t="shared" si="79"/>
        <v>0</v>
      </c>
    </row>
    <row r="515" spans="1:21" ht="15.75" x14ac:dyDescent="0.25">
      <c r="A515" s="131" t="s">
        <v>1114</v>
      </c>
      <c r="B515" s="137">
        <f t="shared" si="73"/>
        <v>0</v>
      </c>
      <c r="D515" s="134" t="s">
        <v>1379</v>
      </c>
      <c r="F515" s="134">
        <f t="shared" si="74"/>
        <v>0</v>
      </c>
      <c r="G515" s="134" t="s">
        <v>1379</v>
      </c>
      <c r="I515" s="134">
        <f t="shared" si="75"/>
        <v>0</v>
      </c>
      <c r="J515" s="134" t="s">
        <v>1379</v>
      </c>
      <c r="L515" s="134">
        <f t="shared" si="76"/>
        <v>0</v>
      </c>
      <c r="M515" s="134" t="s">
        <v>1379</v>
      </c>
      <c r="O515" s="134">
        <f t="shared" si="77"/>
        <v>0</v>
      </c>
      <c r="P515" s="134" t="s">
        <v>1379</v>
      </c>
      <c r="R515" s="134">
        <f t="shared" si="78"/>
        <v>0</v>
      </c>
      <c r="S515" s="134" t="s">
        <v>1379</v>
      </c>
      <c r="U515" s="134">
        <f t="shared" si="79"/>
        <v>0</v>
      </c>
    </row>
    <row r="516" spans="1:21" ht="15.75" x14ac:dyDescent="0.25">
      <c r="A516" s="131" t="s">
        <v>1115</v>
      </c>
      <c r="B516" s="137">
        <f t="shared" si="73"/>
        <v>0</v>
      </c>
      <c r="D516" s="134" t="s">
        <v>1379</v>
      </c>
      <c r="F516" s="134">
        <f t="shared" si="74"/>
        <v>0</v>
      </c>
      <c r="G516" s="134" t="s">
        <v>1379</v>
      </c>
      <c r="I516" s="134">
        <f t="shared" si="75"/>
        <v>0</v>
      </c>
      <c r="J516" s="134" t="s">
        <v>1379</v>
      </c>
      <c r="L516" s="134">
        <f t="shared" si="76"/>
        <v>0</v>
      </c>
      <c r="M516" s="134" t="s">
        <v>1379</v>
      </c>
      <c r="O516" s="134">
        <f t="shared" si="77"/>
        <v>0</v>
      </c>
      <c r="P516" s="134" t="s">
        <v>1379</v>
      </c>
      <c r="R516" s="134">
        <f t="shared" si="78"/>
        <v>0</v>
      </c>
      <c r="S516" s="134" t="s">
        <v>1379</v>
      </c>
      <c r="U516" s="134">
        <f t="shared" si="79"/>
        <v>0</v>
      </c>
    </row>
    <row r="517" spans="1:21" ht="15.75" x14ac:dyDescent="0.25">
      <c r="A517" s="131" t="s">
        <v>1116</v>
      </c>
      <c r="B517" s="137">
        <f t="shared" si="73"/>
        <v>0</v>
      </c>
      <c r="D517" s="134" t="s">
        <v>1379</v>
      </c>
      <c r="F517" s="134">
        <f t="shared" si="74"/>
        <v>0</v>
      </c>
      <c r="G517" s="134" t="s">
        <v>1379</v>
      </c>
      <c r="I517" s="134">
        <f t="shared" si="75"/>
        <v>0</v>
      </c>
      <c r="J517" s="134" t="s">
        <v>1379</v>
      </c>
      <c r="L517" s="134">
        <f t="shared" si="76"/>
        <v>0</v>
      </c>
      <c r="M517" s="134" t="s">
        <v>1379</v>
      </c>
      <c r="O517" s="134">
        <f t="shared" si="77"/>
        <v>0</v>
      </c>
      <c r="P517" s="134" t="s">
        <v>1379</v>
      </c>
      <c r="R517" s="134">
        <f t="shared" si="78"/>
        <v>0</v>
      </c>
      <c r="S517" s="134" t="s">
        <v>1379</v>
      </c>
      <c r="U517" s="134">
        <f t="shared" si="79"/>
        <v>0</v>
      </c>
    </row>
    <row r="518" spans="1:21" ht="15.75" x14ac:dyDescent="0.25">
      <c r="A518" s="131" t="s">
        <v>1117</v>
      </c>
      <c r="B518" s="137">
        <f t="shared" si="73"/>
        <v>0</v>
      </c>
      <c r="D518" s="134" t="s">
        <v>1379</v>
      </c>
      <c r="F518" s="134">
        <f t="shared" si="74"/>
        <v>0</v>
      </c>
      <c r="G518" s="134" t="s">
        <v>1379</v>
      </c>
      <c r="I518" s="134">
        <f t="shared" si="75"/>
        <v>0</v>
      </c>
      <c r="J518" s="134" t="s">
        <v>1379</v>
      </c>
      <c r="L518" s="134">
        <f t="shared" si="76"/>
        <v>0</v>
      </c>
      <c r="M518" s="134" t="s">
        <v>1379</v>
      </c>
      <c r="O518" s="134">
        <f t="shared" si="77"/>
        <v>0</v>
      </c>
      <c r="P518" s="134" t="s">
        <v>1379</v>
      </c>
      <c r="R518" s="134">
        <f t="shared" si="78"/>
        <v>0</v>
      </c>
      <c r="S518" s="134" t="s">
        <v>1379</v>
      </c>
      <c r="U518" s="134">
        <f t="shared" si="79"/>
        <v>0</v>
      </c>
    </row>
    <row r="519" spans="1:21" ht="15.75" x14ac:dyDescent="0.25">
      <c r="A519" s="131" t="s">
        <v>1118</v>
      </c>
      <c r="B519" s="137">
        <f t="shared" si="73"/>
        <v>0</v>
      </c>
      <c r="D519" s="134" t="s">
        <v>1379</v>
      </c>
      <c r="F519" s="134">
        <f t="shared" si="74"/>
        <v>0</v>
      </c>
      <c r="G519" s="134" t="s">
        <v>1379</v>
      </c>
      <c r="I519" s="134">
        <f t="shared" si="75"/>
        <v>0</v>
      </c>
      <c r="J519" s="134" t="s">
        <v>1379</v>
      </c>
      <c r="L519" s="134">
        <f t="shared" si="76"/>
        <v>0</v>
      </c>
      <c r="M519" s="134" t="s">
        <v>1379</v>
      </c>
      <c r="O519" s="134">
        <f t="shared" si="77"/>
        <v>0</v>
      </c>
      <c r="P519" s="134" t="s">
        <v>1379</v>
      </c>
      <c r="R519" s="134">
        <f t="shared" si="78"/>
        <v>0</v>
      </c>
      <c r="S519" s="134" t="s">
        <v>1379</v>
      </c>
      <c r="U519" s="134">
        <f t="shared" si="79"/>
        <v>0</v>
      </c>
    </row>
    <row r="520" spans="1:21" ht="15.75" x14ac:dyDescent="0.25">
      <c r="A520" s="131" t="s">
        <v>1119</v>
      </c>
      <c r="B520" s="137">
        <f t="shared" si="73"/>
        <v>0</v>
      </c>
      <c r="D520" s="134" t="s">
        <v>1379</v>
      </c>
      <c r="F520" s="134">
        <f t="shared" si="74"/>
        <v>0</v>
      </c>
      <c r="G520" s="134" t="s">
        <v>1379</v>
      </c>
      <c r="I520" s="134">
        <f t="shared" si="75"/>
        <v>0</v>
      </c>
      <c r="J520" s="134" t="s">
        <v>1379</v>
      </c>
      <c r="L520" s="134">
        <f t="shared" si="76"/>
        <v>0</v>
      </c>
      <c r="M520" s="134" t="s">
        <v>1379</v>
      </c>
      <c r="O520" s="134">
        <f t="shared" si="77"/>
        <v>0</v>
      </c>
      <c r="P520" s="134" t="s">
        <v>1379</v>
      </c>
      <c r="R520" s="134">
        <f t="shared" si="78"/>
        <v>0</v>
      </c>
      <c r="S520" s="134" t="s">
        <v>1379</v>
      </c>
      <c r="U520" s="134">
        <f t="shared" si="79"/>
        <v>0</v>
      </c>
    </row>
    <row r="521" spans="1:21" ht="15.75" x14ac:dyDescent="0.25">
      <c r="A521" s="131" t="s">
        <v>1120</v>
      </c>
      <c r="B521" s="137">
        <f t="shared" si="73"/>
        <v>0</v>
      </c>
      <c r="D521" s="134" t="s">
        <v>1379</v>
      </c>
      <c r="F521" s="134">
        <f t="shared" si="74"/>
        <v>0</v>
      </c>
      <c r="G521" s="134" t="s">
        <v>1379</v>
      </c>
      <c r="I521" s="134">
        <f t="shared" si="75"/>
        <v>0</v>
      </c>
      <c r="J521" s="134" t="s">
        <v>1379</v>
      </c>
      <c r="L521" s="134">
        <f t="shared" si="76"/>
        <v>0</v>
      </c>
      <c r="M521" s="134" t="s">
        <v>1379</v>
      </c>
      <c r="O521" s="134">
        <f t="shared" si="77"/>
        <v>0</v>
      </c>
      <c r="P521" s="134" t="s">
        <v>1379</v>
      </c>
      <c r="R521" s="134">
        <f t="shared" si="78"/>
        <v>0</v>
      </c>
      <c r="S521" s="134" t="s">
        <v>1379</v>
      </c>
      <c r="U521" s="134">
        <f t="shared" si="79"/>
        <v>0</v>
      </c>
    </row>
    <row r="522" spans="1:21" ht="15.75" x14ac:dyDescent="0.25">
      <c r="A522" s="131" t="s">
        <v>1121</v>
      </c>
      <c r="B522" s="137">
        <f t="shared" si="73"/>
        <v>0</v>
      </c>
      <c r="D522" s="134" t="s">
        <v>1379</v>
      </c>
      <c r="F522" s="134">
        <f t="shared" si="74"/>
        <v>0</v>
      </c>
      <c r="G522" s="134" t="s">
        <v>1379</v>
      </c>
      <c r="I522" s="134">
        <f t="shared" si="75"/>
        <v>0</v>
      </c>
      <c r="J522" s="134" t="s">
        <v>1379</v>
      </c>
      <c r="L522" s="134">
        <f t="shared" si="76"/>
        <v>0</v>
      </c>
      <c r="M522" s="134" t="s">
        <v>1379</v>
      </c>
      <c r="O522" s="134">
        <f t="shared" si="77"/>
        <v>0</v>
      </c>
      <c r="P522" s="134" t="s">
        <v>1379</v>
      </c>
      <c r="R522" s="134">
        <f t="shared" si="78"/>
        <v>0</v>
      </c>
      <c r="S522" s="134" t="s">
        <v>1379</v>
      </c>
      <c r="U522" s="134">
        <f t="shared" si="79"/>
        <v>0</v>
      </c>
    </row>
    <row r="523" spans="1:21" ht="15.75" x14ac:dyDescent="0.25">
      <c r="A523" s="131" t="s">
        <v>1122</v>
      </c>
      <c r="B523" s="137">
        <f t="shared" si="73"/>
        <v>0</v>
      </c>
      <c r="D523" s="134" t="s">
        <v>1379</v>
      </c>
      <c r="F523" s="134">
        <f t="shared" si="74"/>
        <v>0</v>
      </c>
      <c r="G523" s="134" t="s">
        <v>1379</v>
      </c>
      <c r="I523" s="134">
        <f t="shared" si="75"/>
        <v>0</v>
      </c>
      <c r="J523" s="134" t="s">
        <v>1379</v>
      </c>
      <c r="L523" s="134">
        <f t="shared" si="76"/>
        <v>0</v>
      </c>
      <c r="M523" s="134" t="s">
        <v>1379</v>
      </c>
      <c r="O523" s="134">
        <f t="shared" si="77"/>
        <v>0</v>
      </c>
      <c r="P523" s="134" t="s">
        <v>1379</v>
      </c>
      <c r="R523" s="134">
        <f t="shared" si="78"/>
        <v>0</v>
      </c>
      <c r="S523" s="134" t="s">
        <v>1379</v>
      </c>
      <c r="U523" s="134">
        <f t="shared" si="79"/>
        <v>0</v>
      </c>
    </row>
    <row r="524" spans="1:21" ht="15.75" x14ac:dyDescent="0.25">
      <c r="A524" s="131" t="s">
        <v>1123</v>
      </c>
      <c r="B524" s="137">
        <f t="shared" si="73"/>
        <v>0</v>
      </c>
      <c r="D524" s="134" t="s">
        <v>1379</v>
      </c>
      <c r="F524" s="134">
        <f t="shared" si="74"/>
        <v>0</v>
      </c>
      <c r="G524" s="134" t="s">
        <v>1379</v>
      </c>
      <c r="I524" s="134">
        <f t="shared" si="75"/>
        <v>0</v>
      </c>
      <c r="J524" s="134" t="s">
        <v>1379</v>
      </c>
      <c r="L524" s="134">
        <f t="shared" si="76"/>
        <v>0</v>
      </c>
      <c r="M524" s="134" t="s">
        <v>1379</v>
      </c>
      <c r="O524" s="134">
        <f t="shared" si="77"/>
        <v>0</v>
      </c>
      <c r="P524" s="134" t="s">
        <v>1379</v>
      </c>
      <c r="R524" s="134">
        <f t="shared" si="78"/>
        <v>0</v>
      </c>
      <c r="S524" s="134" t="s">
        <v>1379</v>
      </c>
      <c r="U524" s="134">
        <f t="shared" si="79"/>
        <v>0</v>
      </c>
    </row>
    <row r="525" spans="1:21" ht="15.75" x14ac:dyDescent="0.25">
      <c r="A525" s="131" t="s">
        <v>1124</v>
      </c>
      <c r="B525" s="137">
        <f t="shared" si="73"/>
        <v>0</v>
      </c>
      <c r="D525" s="134" t="s">
        <v>1379</v>
      </c>
      <c r="F525" s="134">
        <f t="shared" si="74"/>
        <v>0</v>
      </c>
      <c r="G525" s="134" t="s">
        <v>1379</v>
      </c>
      <c r="I525" s="134">
        <f t="shared" si="75"/>
        <v>0</v>
      </c>
      <c r="J525" s="134" t="s">
        <v>1379</v>
      </c>
      <c r="L525" s="134">
        <f t="shared" si="76"/>
        <v>0</v>
      </c>
      <c r="M525" s="134" t="s">
        <v>1379</v>
      </c>
      <c r="O525" s="134">
        <f t="shared" si="77"/>
        <v>0</v>
      </c>
      <c r="P525" s="134" t="s">
        <v>1379</v>
      </c>
      <c r="R525" s="134">
        <f t="shared" si="78"/>
        <v>0</v>
      </c>
      <c r="S525" s="134" t="s">
        <v>1379</v>
      </c>
      <c r="U525" s="134">
        <f t="shared" si="79"/>
        <v>0</v>
      </c>
    </row>
    <row r="526" spans="1:21" ht="15.75" x14ac:dyDescent="0.25">
      <c r="A526" s="131" t="s">
        <v>1125</v>
      </c>
      <c r="B526" s="137">
        <f t="shared" si="73"/>
        <v>0</v>
      </c>
      <c r="D526" s="134" t="s">
        <v>1379</v>
      </c>
      <c r="F526" s="134">
        <f t="shared" si="74"/>
        <v>0</v>
      </c>
      <c r="G526" s="134" t="s">
        <v>1379</v>
      </c>
      <c r="I526" s="134">
        <f t="shared" si="75"/>
        <v>0</v>
      </c>
      <c r="J526" s="134" t="s">
        <v>1379</v>
      </c>
      <c r="L526" s="134">
        <f t="shared" si="76"/>
        <v>0</v>
      </c>
      <c r="M526" s="134" t="s">
        <v>1379</v>
      </c>
      <c r="O526" s="134">
        <f t="shared" si="77"/>
        <v>0</v>
      </c>
      <c r="P526" s="134" t="s">
        <v>1379</v>
      </c>
      <c r="R526" s="134">
        <f t="shared" si="78"/>
        <v>0</v>
      </c>
      <c r="S526" s="134" t="s">
        <v>1379</v>
      </c>
      <c r="U526" s="134">
        <f t="shared" si="79"/>
        <v>0</v>
      </c>
    </row>
    <row r="527" spans="1:21" ht="15.75" x14ac:dyDescent="0.25">
      <c r="A527" s="131" t="s">
        <v>1126</v>
      </c>
      <c r="B527" s="137">
        <f t="shared" si="73"/>
        <v>0</v>
      </c>
      <c r="D527" s="134" t="s">
        <v>1379</v>
      </c>
      <c r="F527" s="134">
        <f t="shared" si="74"/>
        <v>0</v>
      </c>
      <c r="G527" s="134" t="s">
        <v>1379</v>
      </c>
      <c r="I527" s="134">
        <f t="shared" si="75"/>
        <v>0</v>
      </c>
      <c r="J527" s="134" t="s">
        <v>1379</v>
      </c>
      <c r="L527" s="134">
        <f t="shared" si="76"/>
        <v>0</v>
      </c>
      <c r="M527" s="134" t="s">
        <v>1379</v>
      </c>
      <c r="O527" s="134">
        <f t="shared" si="77"/>
        <v>0</v>
      </c>
      <c r="P527" s="134" t="s">
        <v>1379</v>
      </c>
      <c r="R527" s="134">
        <f t="shared" si="78"/>
        <v>0</v>
      </c>
      <c r="S527" s="134" t="s">
        <v>1379</v>
      </c>
      <c r="U527" s="134">
        <f t="shared" si="79"/>
        <v>0</v>
      </c>
    </row>
    <row r="528" spans="1:21" ht="15.75" x14ac:dyDescent="0.25">
      <c r="A528" s="131" t="s">
        <v>1127</v>
      </c>
      <c r="B528" s="137">
        <f t="shared" si="73"/>
        <v>0</v>
      </c>
      <c r="D528" s="134" t="s">
        <v>1379</v>
      </c>
      <c r="F528" s="134">
        <f t="shared" si="74"/>
        <v>0</v>
      </c>
      <c r="G528" s="134" t="s">
        <v>1379</v>
      </c>
      <c r="I528" s="134">
        <f t="shared" si="75"/>
        <v>0</v>
      </c>
      <c r="J528" s="134" t="s">
        <v>1379</v>
      </c>
      <c r="L528" s="134">
        <f t="shared" si="76"/>
        <v>0</v>
      </c>
      <c r="M528" s="134" t="s">
        <v>1379</v>
      </c>
      <c r="O528" s="134">
        <f t="shared" si="77"/>
        <v>0</v>
      </c>
      <c r="P528" s="134" t="s">
        <v>1379</v>
      </c>
      <c r="R528" s="134">
        <f t="shared" si="78"/>
        <v>0</v>
      </c>
      <c r="S528" s="134" t="s">
        <v>1379</v>
      </c>
      <c r="U528" s="134">
        <f t="shared" si="79"/>
        <v>0</v>
      </c>
    </row>
    <row r="529" spans="1:21" ht="15.75" x14ac:dyDescent="0.25">
      <c r="A529" s="131" t="s">
        <v>1128</v>
      </c>
      <c r="B529" s="137">
        <f t="shared" si="73"/>
        <v>0</v>
      </c>
      <c r="D529" s="134" t="s">
        <v>1379</v>
      </c>
      <c r="F529" s="134">
        <f t="shared" si="74"/>
        <v>0</v>
      </c>
      <c r="G529" s="134" t="s">
        <v>1379</v>
      </c>
      <c r="I529" s="134">
        <f t="shared" si="75"/>
        <v>0</v>
      </c>
      <c r="J529" s="134" t="s">
        <v>1379</v>
      </c>
      <c r="L529" s="134">
        <f t="shared" si="76"/>
        <v>0</v>
      </c>
      <c r="M529" s="134" t="s">
        <v>1379</v>
      </c>
      <c r="O529" s="134">
        <f t="shared" si="77"/>
        <v>0</v>
      </c>
      <c r="P529" s="134" t="s">
        <v>1379</v>
      </c>
      <c r="R529" s="134">
        <f t="shared" si="78"/>
        <v>0</v>
      </c>
      <c r="S529" s="134" t="s">
        <v>1379</v>
      </c>
      <c r="U529" s="134">
        <f t="shared" si="79"/>
        <v>0</v>
      </c>
    </row>
    <row r="530" spans="1:21" ht="15.75" x14ac:dyDescent="0.25">
      <c r="A530" s="131" t="s">
        <v>1129</v>
      </c>
      <c r="B530" s="137">
        <f t="shared" si="73"/>
        <v>0</v>
      </c>
      <c r="D530" s="134" t="s">
        <v>1379</v>
      </c>
      <c r="F530" s="134">
        <f t="shared" si="74"/>
        <v>0</v>
      </c>
      <c r="G530" s="134" t="s">
        <v>1379</v>
      </c>
      <c r="I530" s="134">
        <f t="shared" si="75"/>
        <v>0</v>
      </c>
      <c r="J530" s="134" t="s">
        <v>1379</v>
      </c>
      <c r="L530" s="134">
        <f t="shared" si="76"/>
        <v>0</v>
      </c>
      <c r="M530" s="134" t="s">
        <v>1379</v>
      </c>
      <c r="O530" s="134">
        <f t="shared" si="77"/>
        <v>0</v>
      </c>
      <c r="P530" s="134" t="s">
        <v>1379</v>
      </c>
      <c r="R530" s="134">
        <f t="shared" si="78"/>
        <v>0</v>
      </c>
      <c r="S530" s="134" t="s">
        <v>1379</v>
      </c>
      <c r="U530" s="134">
        <f t="shared" si="79"/>
        <v>0</v>
      </c>
    </row>
    <row r="531" spans="1:21" ht="15.75" x14ac:dyDescent="0.25">
      <c r="A531" s="131" t="s">
        <v>1130</v>
      </c>
      <c r="B531" s="137">
        <f t="shared" si="73"/>
        <v>0</v>
      </c>
      <c r="D531" s="134" t="s">
        <v>1379</v>
      </c>
      <c r="F531" s="134">
        <f t="shared" si="74"/>
        <v>0</v>
      </c>
      <c r="G531" s="134" t="s">
        <v>1379</v>
      </c>
      <c r="I531" s="134">
        <f t="shared" si="75"/>
        <v>0</v>
      </c>
      <c r="J531" s="134" t="s">
        <v>1379</v>
      </c>
      <c r="L531" s="134">
        <f t="shared" si="76"/>
        <v>0</v>
      </c>
      <c r="M531" s="134" t="s">
        <v>1379</v>
      </c>
      <c r="O531" s="134">
        <f t="shared" si="77"/>
        <v>0</v>
      </c>
      <c r="P531" s="134" t="s">
        <v>1379</v>
      </c>
      <c r="R531" s="134">
        <f t="shared" si="78"/>
        <v>0</v>
      </c>
      <c r="S531" s="134" t="s">
        <v>1379</v>
      </c>
      <c r="U531" s="134">
        <f t="shared" si="79"/>
        <v>0</v>
      </c>
    </row>
    <row r="532" spans="1:21" ht="15.75" x14ac:dyDescent="0.25">
      <c r="A532" s="131" t="s">
        <v>1131</v>
      </c>
      <c r="B532" s="137">
        <f t="shared" si="73"/>
        <v>0</v>
      </c>
      <c r="D532" s="134" t="s">
        <v>1379</v>
      </c>
      <c r="F532" s="134">
        <f t="shared" si="74"/>
        <v>0</v>
      </c>
      <c r="G532" s="134" t="s">
        <v>1379</v>
      </c>
      <c r="I532" s="134">
        <f t="shared" si="75"/>
        <v>0</v>
      </c>
      <c r="J532" s="134" t="s">
        <v>1379</v>
      </c>
      <c r="L532" s="134">
        <f t="shared" si="76"/>
        <v>0</v>
      </c>
      <c r="M532" s="134" t="s">
        <v>1379</v>
      </c>
      <c r="O532" s="134">
        <f t="shared" si="77"/>
        <v>0</v>
      </c>
      <c r="P532" s="134" t="s">
        <v>1379</v>
      </c>
      <c r="R532" s="134">
        <f t="shared" si="78"/>
        <v>0</v>
      </c>
      <c r="S532" s="134" t="s">
        <v>1379</v>
      </c>
      <c r="U532" s="134">
        <f t="shared" si="79"/>
        <v>0</v>
      </c>
    </row>
    <row r="533" spans="1:21" ht="15.75" x14ac:dyDescent="0.25">
      <c r="A533" s="131" t="s">
        <v>1132</v>
      </c>
      <c r="B533" s="137">
        <f t="shared" si="73"/>
        <v>0</v>
      </c>
      <c r="D533" s="134" t="s">
        <v>1379</v>
      </c>
      <c r="F533" s="134">
        <f t="shared" si="74"/>
        <v>0</v>
      </c>
      <c r="G533" s="134" t="s">
        <v>1379</v>
      </c>
      <c r="I533" s="134">
        <f t="shared" si="75"/>
        <v>0</v>
      </c>
      <c r="J533" s="134" t="s">
        <v>1379</v>
      </c>
      <c r="L533" s="134">
        <f t="shared" si="76"/>
        <v>0</v>
      </c>
      <c r="M533" s="134" t="s">
        <v>1379</v>
      </c>
      <c r="O533" s="134">
        <f t="shared" si="77"/>
        <v>0</v>
      </c>
      <c r="P533" s="134" t="s">
        <v>1379</v>
      </c>
      <c r="R533" s="134">
        <f t="shared" si="78"/>
        <v>0</v>
      </c>
      <c r="S533" s="134" t="s">
        <v>1379</v>
      </c>
      <c r="U533" s="134">
        <f t="shared" si="79"/>
        <v>0</v>
      </c>
    </row>
    <row r="534" spans="1:21" ht="15.75" x14ac:dyDescent="0.25">
      <c r="A534" s="131" t="s">
        <v>1133</v>
      </c>
      <c r="B534" s="137">
        <f t="shared" si="73"/>
        <v>0</v>
      </c>
      <c r="D534" s="134" t="s">
        <v>1379</v>
      </c>
      <c r="F534" s="134">
        <f t="shared" si="74"/>
        <v>0</v>
      </c>
      <c r="G534" s="134" t="s">
        <v>1379</v>
      </c>
      <c r="I534" s="134">
        <f t="shared" si="75"/>
        <v>0</v>
      </c>
      <c r="J534" s="134" t="s">
        <v>1379</v>
      </c>
      <c r="L534" s="134">
        <f t="shared" si="76"/>
        <v>0</v>
      </c>
      <c r="M534" s="134" t="s">
        <v>1379</v>
      </c>
      <c r="O534" s="134">
        <f t="shared" si="77"/>
        <v>0</v>
      </c>
      <c r="P534" s="134" t="s">
        <v>1379</v>
      </c>
      <c r="R534" s="134">
        <f t="shared" si="78"/>
        <v>0</v>
      </c>
      <c r="S534" s="134" t="s">
        <v>1379</v>
      </c>
      <c r="U534" s="134">
        <f t="shared" si="79"/>
        <v>0</v>
      </c>
    </row>
    <row r="535" spans="1:21" ht="15.75" x14ac:dyDescent="0.25">
      <c r="A535" s="131" t="s">
        <v>1134</v>
      </c>
      <c r="B535" s="137">
        <f t="shared" si="73"/>
        <v>0</v>
      </c>
      <c r="D535" s="134" t="s">
        <v>1379</v>
      </c>
      <c r="F535" s="134">
        <f t="shared" si="74"/>
        <v>0</v>
      </c>
      <c r="G535" s="134" t="s">
        <v>1379</v>
      </c>
      <c r="I535" s="134">
        <f t="shared" si="75"/>
        <v>0</v>
      </c>
      <c r="J535" s="134" t="s">
        <v>1379</v>
      </c>
      <c r="L535" s="134">
        <f t="shared" si="76"/>
        <v>0</v>
      </c>
      <c r="M535" s="134" t="s">
        <v>1379</v>
      </c>
      <c r="O535" s="134">
        <f t="shared" si="77"/>
        <v>0</v>
      </c>
      <c r="P535" s="134" t="s">
        <v>1379</v>
      </c>
      <c r="R535" s="134">
        <f t="shared" si="78"/>
        <v>0</v>
      </c>
      <c r="S535" s="134" t="s">
        <v>1379</v>
      </c>
      <c r="U535" s="134">
        <f t="shared" si="79"/>
        <v>0</v>
      </c>
    </row>
    <row r="536" spans="1:21" ht="15.75" x14ac:dyDescent="0.25">
      <c r="A536" s="131" t="s">
        <v>1135</v>
      </c>
      <c r="B536" s="137">
        <f t="shared" si="73"/>
        <v>0</v>
      </c>
      <c r="D536" s="134" t="s">
        <v>1379</v>
      </c>
      <c r="F536" s="134">
        <f t="shared" si="74"/>
        <v>0</v>
      </c>
      <c r="G536" s="134" t="s">
        <v>1379</v>
      </c>
      <c r="I536" s="134">
        <f t="shared" si="75"/>
        <v>0</v>
      </c>
      <c r="J536" s="134" t="s">
        <v>1379</v>
      </c>
      <c r="L536" s="134">
        <f t="shared" si="76"/>
        <v>0</v>
      </c>
      <c r="M536" s="134" t="s">
        <v>1379</v>
      </c>
      <c r="O536" s="134">
        <f t="shared" si="77"/>
        <v>0</v>
      </c>
      <c r="P536" s="134" t="s">
        <v>1379</v>
      </c>
      <c r="R536" s="134">
        <f t="shared" si="78"/>
        <v>0</v>
      </c>
      <c r="S536" s="134" t="s">
        <v>1379</v>
      </c>
      <c r="U536" s="134">
        <f t="shared" si="79"/>
        <v>0</v>
      </c>
    </row>
    <row r="537" spans="1:21" ht="15.75" x14ac:dyDescent="0.25">
      <c r="A537" s="131" t="s">
        <v>1136</v>
      </c>
      <c r="B537" s="137">
        <f t="shared" si="73"/>
        <v>0</v>
      </c>
      <c r="D537" s="134" t="s">
        <v>1379</v>
      </c>
      <c r="F537" s="134">
        <f t="shared" si="74"/>
        <v>0</v>
      </c>
      <c r="G537" s="134" t="s">
        <v>1379</v>
      </c>
      <c r="I537" s="134">
        <f t="shared" si="75"/>
        <v>0</v>
      </c>
      <c r="J537" s="134" t="s">
        <v>1379</v>
      </c>
      <c r="L537" s="134">
        <f t="shared" si="76"/>
        <v>0</v>
      </c>
      <c r="M537" s="134" t="s">
        <v>1379</v>
      </c>
      <c r="O537" s="134">
        <f t="shared" si="77"/>
        <v>0</v>
      </c>
      <c r="P537" s="134" t="s">
        <v>1379</v>
      </c>
      <c r="R537" s="134">
        <f t="shared" si="78"/>
        <v>0</v>
      </c>
      <c r="S537" s="134" t="s">
        <v>1379</v>
      </c>
      <c r="U537" s="134">
        <f t="shared" si="79"/>
        <v>0</v>
      </c>
    </row>
    <row r="538" spans="1:21" ht="15.75" x14ac:dyDescent="0.25">
      <c r="A538" s="131" t="s">
        <v>1137</v>
      </c>
      <c r="B538" s="137">
        <f t="shared" si="73"/>
        <v>0</v>
      </c>
      <c r="D538" s="134" t="s">
        <v>1379</v>
      </c>
      <c r="F538" s="134">
        <f t="shared" si="74"/>
        <v>0</v>
      </c>
      <c r="G538" s="134" t="s">
        <v>1379</v>
      </c>
      <c r="I538" s="134">
        <f t="shared" si="75"/>
        <v>0</v>
      </c>
      <c r="J538" s="134" t="s">
        <v>1379</v>
      </c>
      <c r="L538" s="134">
        <f t="shared" si="76"/>
        <v>0</v>
      </c>
      <c r="M538" s="134" t="s">
        <v>1379</v>
      </c>
      <c r="O538" s="134">
        <f t="shared" si="77"/>
        <v>0</v>
      </c>
      <c r="P538" s="134" t="s">
        <v>1379</v>
      </c>
      <c r="R538" s="134">
        <f t="shared" si="78"/>
        <v>0</v>
      </c>
      <c r="S538" s="134" t="s">
        <v>1379</v>
      </c>
      <c r="U538" s="134">
        <f t="shared" si="79"/>
        <v>0</v>
      </c>
    </row>
    <row r="539" spans="1:21" ht="15.75" x14ac:dyDescent="0.25">
      <c r="A539" s="131" t="s">
        <v>1138</v>
      </c>
      <c r="B539" s="137">
        <f t="shared" si="73"/>
        <v>0</v>
      </c>
      <c r="D539" s="134" t="s">
        <v>1379</v>
      </c>
      <c r="F539" s="134">
        <f t="shared" si="74"/>
        <v>0</v>
      </c>
      <c r="G539" s="134" t="s">
        <v>1379</v>
      </c>
      <c r="I539" s="134">
        <f t="shared" si="75"/>
        <v>0</v>
      </c>
      <c r="J539" s="134" t="s">
        <v>1379</v>
      </c>
      <c r="L539" s="134">
        <f t="shared" si="76"/>
        <v>0</v>
      </c>
      <c r="M539" s="134" t="s">
        <v>1379</v>
      </c>
      <c r="O539" s="134">
        <f t="shared" si="77"/>
        <v>0</v>
      </c>
      <c r="P539" s="134" t="s">
        <v>1379</v>
      </c>
      <c r="R539" s="134">
        <f t="shared" si="78"/>
        <v>0</v>
      </c>
      <c r="S539" s="134" t="s">
        <v>1379</v>
      </c>
      <c r="U539" s="134">
        <f t="shared" si="79"/>
        <v>0</v>
      </c>
    </row>
    <row r="540" spans="1:21" ht="15.75" x14ac:dyDescent="0.25">
      <c r="A540" s="131" t="s">
        <v>1139</v>
      </c>
      <c r="B540" s="137">
        <f t="shared" si="73"/>
        <v>0</v>
      </c>
      <c r="D540" s="134" t="s">
        <v>1379</v>
      </c>
      <c r="F540" s="134">
        <f t="shared" si="74"/>
        <v>0</v>
      </c>
      <c r="G540" s="134" t="s">
        <v>1379</v>
      </c>
      <c r="I540" s="134">
        <f t="shared" si="75"/>
        <v>0</v>
      </c>
      <c r="J540" s="134" t="s">
        <v>1379</v>
      </c>
      <c r="L540" s="134">
        <f t="shared" si="76"/>
        <v>0</v>
      </c>
      <c r="M540" s="134" t="s">
        <v>1379</v>
      </c>
      <c r="O540" s="134">
        <f t="shared" si="77"/>
        <v>0</v>
      </c>
      <c r="P540" s="134" t="s">
        <v>1379</v>
      </c>
      <c r="R540" s="134">
        <f t="shared" si="78"/>
        <v>0</v>
      </c>
      <c r="S540" s="134" t="s">
        <v>1379</v>
      </c>
      <c r="U540" s="134">
        <f t="shared" si="79"/>
        <v>0</v>
      </c>
    </row>
    <row r="541" spans="1:21" ht="15.75" x14ac:dyDescent="0.25">
      <c r="A541" s="131" t="s">
        <v>1140</v>
      </c>
      <c r="B541" s="137">
        <f t="shared" si="73"/>
        <v>0</v>
      </c>
      <c r="D541" s="134" t="s">
        <v>1379</v>
      </c>
      <c r="F541" s="134">
        <f t="shared" si="74"/>
        <v>0</v>
      </c>
      <c r="G541" s="134" t="s">
        <v>1379</v>
      </c>
      <c r="I541" s="134">
        <f t="shared" si="75"/>
        <v>0</v>
      </c>
      <c r="J541" s="134" t="s">
        <v>1379</v>
      </c>
      <c r="L541" s="134">
        <f t="shared" si="76"/>
        <v>0</v>
      </c>
      <c r="M541" s="134" t="s">
        <v>1379</v>
      </c>
      <c r="O541" s="134">
        <f t="shared" si="77"/>
        <v>0</v>
      </c>
      <c r="P541" s="134" t="s">
        <v>1379</v>
      </c>
      <c r="R541" s="134">
        <f t="shared" si="78"/>
        <v>0</v>
      </c>
      <c r="S541" s="134" t="s">
        <v>1379</v>
      </c>
      <c r="U541" s="134">
        <f t="shared" si="79"/>
        <v>0</v>
      </c>
    </row>
    <row r="542" spans="1:21" ht="15.75" x14ac:dyDescent="0.25">
      <c r="A542" s="131" t="s">
        <v>1141</v>
      </c>
      <c r="B542" s="137">
        <f t="shared" si="73"/>
        <v>0</v>
      </c>
      <c r="D542" s="134" t="s">
        <v>1379</v>
      </c>
      <c r="F542" s="134">
        <f t="shared" si="74"/>
        <v>0</v>
      </c>
      <c r="G542" s="134" t="s">
        <v>1379</v>
      </c>
      <c r="I542" s="134">
        <f t="shared" si="75"/>
        <v>0</v>
      </c>
      <c r="J542" s="134" t="s">
        <v>1379</v>
      </c>
      <c r="L542" s="134">
        <f t="shared" si="76"/>
        <v>0</v>
      </c>
      <c r="M542" s="134" t="s">
        <v>1379</v>
      </c>
      <c r="O542" s="134">
        <f t="shared" si="77"/>
        <v>0</v>
      </c>
      <c r="P542" s="134" t="s">
        <v>1379</v>
      </c>
      <c r="R542" s="134">
        <f t="shared" si="78"/>
        <v>0</v>
      </c>
      <c r="S542" s="134" t="s">
        <v>1379</v>
      </c>
      <c r="U542" s="134">
        <f t="shared" si="79"/>
        <v>0</v>
      </c>
    </row>
    <row r="543" spans="1:21" ht="15.75" x14ac:dyDescent="0.25">
      <c r="A543" s="131" t="s">
        <v>1142</v>
      </c>
      <c r="B543" s="137">
        <f t="shared" si="73"/>
        <v>0</v>
      </c>
      <c r="D543" s="134" t="s">
        <v>1379</v>
      </c>
      <c r="F543" s="134">
        <f t="shared" si="74"/>
        <v>0</v>
      </c>
      <c r="G543" s="134" t="s">
        <v>1379</v>
      </c>
      <c r="I543" s="134">
        <f t="shared" si="75"/>
        <v>0</v>
      </c>
      <c r="J543" s="134" t="s">
        <v>1379</v>
      </c>
      <c r="L543" s="134">
        <f t="shared" si="76"/>
        <v>0</v>
      </c>
      <c r="M543" s="134" t="s">
        <v>1379</v>
      </c>
      <c r="O543" s="134">
        <f t="shared" si="77"/>
        <v>0</v>
      </c>
      <c r="P543" s="134" t="s">
        <v>1379</v>
      </c>
      <c r="R543" s="134">
        <f t="shared" si="78"/>
        <v>0</v>
      </c>
      <c r="S543" s="134" t="s">
        <v>1379</v>
      </c>
      <c r="U543" s="134">
        <f t="shared" si="79"/>
        <v>0</v>
      </c>
    </row>
    <row r="544" spans="1:21" ht="15.75" x14ac:dyDescent="0.25">
      <c r="A544" s="131" t="s">
        <v>1143</v>
      </c>
      <c r="B544" s="137">
        <f t="shared" si="73"/>
        <v>0</v>
      </c>
      <c r="D544" s="134" t="s">
        <v>1379</v>
      </c>
      <c r="F544" s="134">
        <f t="shared" si="74"/>
        <v>0</v>
      </c>
      <c r="G544" s="134" t="s">
        <v>1379</v>
      </c>
      <c r="I544" s="134">
        <f t="shared" si="75"/>
        <v>0</v>
      </c>
      <c r="J544" s="134" t="s">
        <v>1379</v>
      </c>
      <c r="L544" s="134">
        <f t="shared" si="76"/>
        <v>0</v>
      </c>
      <c r="M544" s="134" t="s">
        <v>1379</v>
      </c>
      <c r="O544" s="134">
        <f t="shared" si="77"/>
        <v>0</v>
      </c>
      <c r="P544" s="134" t="s">
        <v>1379</v>
      </c>
      <c r="R544" s="134">
        <f t="shared" si="78"/>
        <v>0</v>
      </c>
      <c r="S544" s="134" t="s">
        <v>1379</v>
      </c>
      <c r="U544" s="134">
        <f t="shared" si="79"/>
        <v>0</v>
      </c>
    </row>
    <row r="545" spans="1:21" ht="15.75" x14ac:dyDescent="0.25">
      <c r="A545" s="131" t="s">
        <v>1144</v>
      </c>
      <c r="B545" s="137">
        <f t="shared" si="73"/>
        <v>0</v>
      </c>
      <c r="D545" s="134" t="s">
        <v>1379</v>
      </c>
      <c r="F545" s="134">
        <f t="shared" si="74"/>
        <v>0</v>
      </c>
      <c r="G545" s="134" t="s">
        <v>1379</v>
      </c>
      <c r="I545" s="134">
        <f t="shared" si="75"/>
        <v>0</v>
      </c>
      <c r="J545" s="134" t="s">
        <v>1379</v>
      </c>
      <c r="L545" s="134">
        <f t="shared" si="76"/>
        <v>0</v>
      </c>
      <c r="M545" s="134" t="s">
        <v>1379</v>
      </c>
      <c r="O545" s="134">
        <f t="shared" si="77"/>
        <v>0</v>
      </c>
      <c r="P545" s="134" t="s">
        <v>1379</v>
      </c>
      <c r="R545" s="134">
        <f t="shared" si="78"/>
        <v>0</v>
      </c>
      <c r="S545" s="134" t="s">
        <v>1379</v>
      </c>
      <c r="U545" s="134">
        <f t="shared" si="79"/>
        <v>0</v>
      </c>
    </row>
    <row r="546" spans="1:21" ht="15.75" x14ac:dyDescent="0.25">
      <c r="A546" s="131" t="s">
        <v>1145</v>
      </c>
      <c r="B546" s="137">
        <f t="shared" si="73"/>
        <v>0</v>
      </c>
      <c r="D546" s="134" t="s">
        <v>1379</v>
      </c>
      <c r="F546" s="134">
        <f t="shared" si="74"/>
        <v>0</v>
      </c>
      <c r="G546" s="134" t="s">
        <v>1379</v>
      </c>
      <c r="I546" s="134">
        <f t="shared" si="75"/>
        <v>0</v>
      </c>
      <c r="J546" s="134" t="s">
        <v>1379</v>
      </c>
      <c r="L546" s="134">
        <f t="shared" si="76"/>
        <v>0</v>
      </c>
      <c r="M546" s="134" t="s">
        <v>1379</v>
      </c>
      <c r="O546" s="134">
        <f t="shared" si="77"/>
        <v>0</v>
      </c>
      <c r="P546" s="134" t="s">
        <v>1379</v>
      </c>
      <c r="R546" s="134">
        <f t="shared" si="78"/>
        <v>0</v>
      </c>
      <c r="S546" s="134" t="s">
        <v>1379</v>
      </c>
      <c r="U546" s="134">
        <f t="shared" si="79"/>
        <v>0</v>
      </c>
    </row>
    <row r="547" spans="1:21" ht="15.75" x14ac:dyDescent="0.25">
      <c r="A547" s="131" t="s">
        <v>1146</v>
      </c>
      <c r="B547" s="137">
        <f t="shared" si="73"/>
        <v>0</v>
      </c>
      <c r="D547" s="134" t="s">
        <v>1379</v>
      </c>
      <c r="F547" s="134">
        <f t="shared" si="74"/>
        <v>0</v>
      </c>
      <c r="G547" s="134" t="s">
        <v>1379</v>
      </c>
      <c r="I547" s="134">
        <f t="shared" si="75"/>
        <v>0</v>
      </c>
      <c r="J547" s="134" t="s">
        <v>1379</v>
      </c>
      <c r="L547" s="134">
        <f t="shared" si="76"/>
        <v>0</v>
      </c>
      <c r="M547" s="134" t="s">
        <v>1379</v>
      </c>
      <c r="O547" s="134">
        <f t="shared" si="77"/>
        <v>0</v>
      </c>
      <c r="P547" s="134" t="s">
        <v>1379</v>
      </c>
      <c r="R547" s="134">
        <f t="shared" si="78"/>
        <v>0</v>
      </c>
      <c r="S547" s="134" t="s">
        <v>1379</v>
      </c>
      <c r="U547" s="134">
        <f t="shared" si="79"/>
        <v>0</v>
      </c>
    </row>
    <row r="548" spans="1:21" ht="15.75" x14ac:dyDescent="0.25">
      <c r="A548" s="131" t="s">
        <v>1147</v>
      </c>
      <c r="B548" s="137">
        <f t="shared" si="73"/>
        <v>0</v>
      </c>
      <c r="D548" s="134" t="s">
        <v>1379</v>
      </c>
      <c r="F548" s="134">
        <f t="shared" si="74"/>
        <v>0</v>
      </c>
      <c r="G548" s="134" t="s">
        <v>1379</v>
      </c>
      <c r="I548" s="134">
        <f t="shared" si="75"/>
        <v>0</v>
      </c>
      <c r="J548" s="134" t="s">
        <v>1379</v>
      </c>
      <c r="L548" s="134">
        <f t="shared" si="76"/>
        <v>0</v>
      </c>
      <c r="M548" s="134" t="s">
        <v>1379</v>
      </c>
      <c r="O548" s="134">
        <f t="shared" si="77"/>
        <v>0</v>
      </c>
      <c r="P548" s="134" t="s">
        <v>1379</v>
      </c>
      <c r="R548" s="134">
        <f t="shared" si="78"/>
        <v>0</v>
      </c>
      <c r="S548" s="134" t="s">
        <v>1379</v>
      </c>
      <c r="U548" s="134">
        <f t="shared" si="79"/>
        <v>0</v>
      </c>
    </row>
    <row r="549" spans="1:21" ht="15.75" x14ac:dyDescent="0.25">
      <c r="A549" s="131" t="s">
        <v>1148</v>
      </c>
      <c r="B549" s="137">
        <f t="shared" si="73"/>
        <v>0</v>
      </c>
      <c r="D549" s="134" t="s">
        <v>1379</v>
      </c>
      <c r="F549" s="134">
        <f t="shared" si="74"/>
        <v>0</v>
      </c>
      <c r="G549" s="134" t="s">
        <v>1379</v>
      </c>
      <c r="I549" s="134">
        <f t="shared" si="75"/>
        <v>0</v>
      </c>
      <c r="J549" s="134" t="s">
        <v>1379</v>
      </c>
      <c r="L549" s="134">
        <f t="shared" si="76"/>
        <v>0</v>
      </c>
      <c r="M549" s="134" t="s">
        <v>1379</v>
      </c>
      <c r="O549" s="134">
        <f t="shared" si="77"/>
        <v>0</v>
      </c>
      <c r="P549" s="134" t="s">
        <v>1379</v>
      </c>
      <c r="R549" s="134">
        <f t="shared" si="78"/>
        <v>0</v>
      </c>
      <c r="S549" s="134" t="s">
        <v>1379</v>
      </c>
      <c r="U549" s="134">
        <f t="shared" si="79"/>
        <v>0</v>
      </c>
    </row>
    <row r="550" spans="1:21" ht="15.75" x14ac:dyDescent="0.25">
      <c r="A550" s="131" t="s">
        <v>1149</v>
      </c>
      <c r="B550" s="137">
        <f t="shared" si="73"/>
        <v>0</v>
      </c>
      <c r="D550" s="134" t="s">
        <v>1379</v>
      </c>
      <c r="F550" s="134">
        <f t="shared" si="74"/>
        <v>0</v>
      </c>
      <c r="G550" s="134" t="s">
        <v>1379</v>
      </c>
      <c r="I550" s="134">
        <f t="shared" si="75"/>
        <v>0</v>
      </c>
      <c r="J550" s="134" t="s">
        <v>1379</v>
      </c>
      <c r="L550" s="134">
        <f t="shared" si="76"/>
        <v>0</v>
      </c>
      <c r="M550" s="134" t="s">
        <v>1379</v>
      </c>
      <c r="O550" s="134">
        <f t="shared" si="77"/>
        <v>0</v>
      </c>
      <c r="P550" s="134" t="s">
        <v>1379</v>
      </c>
      <c r="R550" s="134">
        <f t="shared" si="78"/>
        <v>0</v>
      </c>
      <c r="S550" s="134" t="s">
        <v>1379</v>
      </c>
      <c r="U550" s="134">
        <f t="shared" si="79"/>
        <v>0</v>
      </c>
    </row>
    <row r="551" spans="1:21" ht="15.75" x14ac:dyDescent="0.25">
      <c r="A551" s="131" t="s">
        <v>1150</v>
      </c>
      <c r="B551" s="137">
        <f t="shared" si="73"/>
        <v>0</v>
      </c>
      <c r="D551" s="134" t="s">
        <v>1379</v>
      </c>
      <c r="F551" s="134">
        <f t="shared" si="74"/>
        <v>0</v>
      </c>
      <c r="G551" s="134" t="s">
        <v>1379</v>
      </c>
      <c r="I551" s="134">
        <f t="shared" si="75"/>
        <v>0</v>
      </c>
      <c r="J551" s="134" t="s">
        <v>1379</v>
      </c>
      <c r="L551" s="134">
        <f t="shared" si="76"/>
        <v>0</v>
      </c>
      <c r="M551" s="134" t="s">
        <v>1379</v>
      </c>
      <c r="O551" s="134">
        <f t="shared" si="77"/>
        <v>0</v>
      </c>
      <c r="P551" s="134" t="s">
        <v>1379</v>
      </c>
      <c r="R551" s="134">
        <f t="shared" si="78"/>
        <v>0</v>
      </c>
      <c r="S551" s="134" t="s">
        <v>1379</v>
      </c>
      <c r="U551" s="134">
        <f t="shared" si="79"/>
        <v>0</v>
      </c>
    </row>
    <row r="552" spans="1:21" ht="15.75" x14ac:dyDescent="0.25">
      <c r="A552" s="131" t="s">
        <v>1151</v>
      </c>
      <c r="B552" s="137">
        <f t="shared" si="73"/>
        <v>0</v>
      </c>
      <c r="D552" s="134" t="s">
        <v>1379</v>
      </c>
      <c r="F552" s="134">
        <f t="shared" si="74"/>
        <v>0</v>
      </c>
      <c r="G552" s="134" t="s">
        <v>1379</v>
      </c>
      <c r="I552" s="134">
        <f t="shared" si="75"/>
        <v>0</v>
      </c>
      <c r="J552" s="134" t="s">
        <v>1379</v>
      </c>
      <c r="L552" s="134">
        <f t="shared" si="76"/>
        <v>0</v>
      </c>
      <c r="M552" s="134" t="s">
        <v>1379</v>
      </c>
      <c r="O552" s="134">
        <f t="shared" si="77"/>
        <v>0</v>
      </c>
      <c r="P552" s="134" t="s">
        <v>1379</v>
      </c>
      <c r="R552" s="134">
        <f t="shared" si="78"/>
        <v>0</v>
      </c>
      <c r="S552" s="134" t="s">
        <v>1379</v>
      </c>
      <c r="U552" s="134">
        <f t="shared" si="79"/>
        <v>0</v>
      </c>
    </row>
    <row r="553" spans="1:21" ht="15.75" x14ac:dyDescent="0.25">
      <c r="A553" s="131" t="s">
        <v>1152</v>
      </c>
      <c r="B553" s="137">
        <f t="shared" si="73"/>
        <v>0</v>
      </c>
      <c r="D553" s="134" t="s">
        <v>1379</v>
      </c>
      <c r="F553" s="134">
        <f t="shared" si="74"/>
        <v>0</v>
      </c>
      <c r="G553" s="134" t="s">
        <v>1379</v>
      </c>
      <c r="I553" s="134">
        <f t="shared" si="75"/>
        <v>0</v>
      </c>
      <c r="J553" s="134" t="s">
        <v>1379</v>
      </c>
      <c r="L553" s="134">
        <f t="shared" si="76"/>
        <v>0</v>
      </c>
      <c r="M553" s="134" t="s">
        <v>1379</v>
      </c>
      <c r="O553" s="134">
        <f t="shared" si="77"/>
        <v>0</v>
      </c>
      <c r="P553" s="134" t="s">
        <v>1379</v>
      </c>
      <c r="R553" s="134">
        <f t="shared" si="78"/>
        <v>0</v>
      </c>
      <c r="S553" s="134" t="s">
        <v>1379</v>
      </c>
      <c r="U553" s="134">
        <f t="shared" si="79"/>
        <v>0</v>
      </c>
    </row>
    <row r="554" spans="1:21" ht="15.75" x14ac:dyDescent="0.25">
      <c r="A554" s="131" t="s">
        <v>1153</v>
      </c>
      <c r="B554" s="137">
        <f t="shared" si="73"/>
        <v>0</v>
      </c>
      <c r="D554" s="134" t="s">
        <v>1379</v>
      </c>
      <c r="F554" s="134">
        <f t="shared" si="74"/>
        <v>0</v>
      </c>
      <c r="G554" s="134" t="s">
        <v>1379</v>
      </c>
      <c r="I554" s="134">
        <f t="shared" si="75"/>
        <v>0</v>
      </c>
      <c r="J554" s="134" t="s">
        <v>1379</v>
      </c>
      <c r="L554" s="134">
        <f t="shared" si="76"/>
        <v>0</v>
      </c>
      <c r="M554" s="134" t="s">
        <v>1379</v>
      </c>
      <c r="O554" s="134">
        <f t="shared" si="77"/>
        <v>0</v>
      </c>
      <c r="P554" s="134" t="s">
        <v>1379</v>
      </c>
      <c r="R554" s="134">
        <f t="shared" si="78"/>
        <v>0</v>
      </c>
      <c r="S554" s="134" t="s">
        <v>1379</v>
      </c>
      <c r="U554" s="134">
        <f t="shared" si="79"/>
        <v>0</v>
      </c>
    </row>
    <row r="555" spans="1:21" ht="15.75" x14ac:dyDescent="0.25">
      <c r="A555" s="131" t="s">
        <v>1154</v>
      </c>
      <c r="B555" s="137">
        <f t="shared" si="73"/>
        <v>0</v>
      </c>
      <c r="D555" s="134" t="s">
        <v>1379</v>
      </c>
      <c r="F555" s="134">
        <f t="shared" si="74"/>
        <v>0</v>
      </c>
      <c r="G555" s="134" t="s">
        <v>1379</v>
      </c>
      <c r="I555" s="134">
        <f t="shared" si="75"/>
        <v>0</v>
      </c>
      <c r="J555" s="134" t="s">
        <v>1379</v>
      </c>
      <c r="L555" s="134">
        <f t="shared" si="76"/>
        <v>0</v>
      </c>
      <c r="M555" s="134" t="s">
        <v>1379</v>
      </c>
      <c r="O555" s="134">
        <f t="shared" si="77"/>
        <v>0</v>
      </c>
      <c r="P555" s="134" t="s">
        <v>1379</v>
      </c>
      <c r="R555" s="134">
        <f t="shared" si="78"/>
        <v>0</v>
      </c>
      <c r="S555" s="134" t="s">
        <v>1379</v>
      </c>
      <c r="U555" s="134">
        <f t="shared" si="79"/>
        <v>0</v>
      </c>
    </row>
    <row r="556" spans="1:21" ht="15.75" x14ac:dyDescent="0.25">
      <c r="A556" s="131" t="s">
        <v>1155</v>
      </c>
      <c r="B556" s="137">
        <f t="shared" si="73"/>
        <v>0</v>
      </c>
      <c r="D556" s="134" t="s">
        <v>1379</v>
      </c>
      <c r="F556" s="134">
        <f t="shared" si="74"/>
        <v>0</v>
      </c>
      <c r="G556" s="134" t="s">
        <v>1379</v>
      </c>
      <c r="I556" s="134">
        <f t="shared" si="75"/>
        <v>0</v>
      </c>
      <c r="J556" s="134" t="s">
        <v>1379</v>
      </c>
      <c r="L556" s="134">
        <f t="shared" si="76"/>
        <v>0</v>
      </c>
      <c r="M556" s="134" t="s">
        <v>1379</v>
      </c>
      <c r="O556" s="134">
        <f t="shared" si="77"/>
        <v>0</v>
      </c>
      <c r="P556" s="134" t="s">
        <v>1379</v>
      </c>
      <c r="R556" s="134">
        <f t="shared" si="78"/>
        <v>0</v>
      </c>
      <c r="S556" s="134" t="s">
        <v>1379</v>
      </c>
      <c r="U556" s="134">
        <f t="shared" si="79"/>
        <v>0</v>
      </c>
    </row>
    <row r="557" spans="1:21" ht="15.75" x14ac:dyDescent="0.25">
      <c r="A557" s="131" t="s">
        <v>1156</v>
      </c>
      <c r="B557" s="137">
        <f t="shared" si="73"/>
        <v>0</v>
      </c>
      <c r="D557" s="134" t="s">
        <v>1379</v>
      </c>
      <c r="F557" s="134">
        <f t="shared" si="74"/>
        <v>0</v>
      </c>
      <c r="G557" s="134" t="s">
        <v>1379</v>
      </c>
      <c r="I557" s="134">
        <f t="shared" si="75"/>
        <v>0</v>
      </c>
      <c r="J557" s="134" t="s">
        <v>1379</v>
      </c>
      <c r="L557" s="134">
        <f t="shared" si="76"/>
        <v>0</v>
      </c>
      <c r="M557" s="134" t="s">
        <v>1379</v>
      </c>
      <c r="O557" s="134">
        <f t="shared" si="77"/>
        <v>0</v>
      </c>
      <c r="P557" s="134" t="s">
        <v>1379</v>
      </c>
      <c r="R557" s="134">
        <f t="shared" si="78"/>
        <v>0</v>
      </c>
      <c r="S557" s="134" t="s">
        <v>1379</v>
      </c>
      <c r="U557" s="134">
        <f t="shared" si="79"/>
        <v>0</v>
      </c>
    </row>
    <row r="558" spans="1:21" ht="15.75" x14ac:dyDescent="0.25">
      <c r="A558" s="131" t="s">
        <v>1157</v>
      </c>
      <c r="B558" s="137">
        <f t="shared" si="73"/>
        <v>0</v>
      </c>
      <c r="D558" s="134" t="s">
        <v>1379</v>
      </c>
      <c r="F558" s="134">
        <f t="shared" si="74"/>
        <v>0</v>
      </c>
      <c r="G558" s="134" t="s">
        <v>1379</v>
      </c>
      <c r="I558" s="134">
        <f t="shared" si="75"/>
        <v>0</v>
      </c>
      <c r="J558" s="134" t="s">
        <v>1379</v>
      </c>
      <c r="L558" s="134">
        <f t="shared" si="76"/>
        <v>0</v>
      </c>
      <c r="M558" s="134" t="s">
        <v>1379</v>
      </c>
      <c r="O558" s="134">
        <f t="shared" si="77"/>
        <v>0</v>
      </c>
      <c r="P558" s="134" t="s">
        <v>1379</v>
      </c>
      <c r="R558" s="134">
        <f t="shared" si="78"/>
        <v>0</v>
      </c>
      <c r="S558" s="134" t="s">
        <v>1379</v>
      </c>
      <c r="U558" s="134">
        <f t="shared" si="79"/>
        <v>0</v>
      </c>
    </row>
    <row r="559" spans="1:21" ht="15.75" x14ac:dyDescent="0.25">
      <c r="A559" s="131" t="s">
        <v>1158</v>
      </c>
      <c r="B559" s="137">
        <f t="shared" si="73"/>
        <v>0</v>
      </c>
      <c r="D559" s="134" t="s">
        <v>1379</v>
      </c>
      <c r="F559" s="134">
        <f t="shared" si="74"/>
        <v>0</v>
      </c>
      <c r="G559" s="134" t="s">
        <v>1379</v>
      </c>
      <c r="I559" s="134">
        <f t="shared" si="75"/>
        <v>0</v>
      </c>
      <c r="J559" s="134" t="s">
        <v>1379</v>
      </c>
      <c r="L559" s="134">
        <f t="shared" si="76"/>
        <v>0</v>
      </c>
      <c r="M559" s="134" t="s">
        <v>1379</v>
      </c>
      <c r="O559" s="134">
        <f t="shared" si="77"/>
        <v>0</v>
      </c>
      <c r="P559" s="134" t="s">
        <v>1379</v>
      </c>
      <c r="R559" s="134">
        <f t="shared" si="78"/>
        <v>0</v>
      </c>
      <c r="S559" s="134" t="s">
        <v>1379</v>
      </c>
      <c r="U559" s="134">
        <f t="shared" si="79"/>
        <v>0</v>
      </c>
    </row>
    <row r="560" spans="1:21" ht="15.75" x14ac:dyDescent="0.25">
      <c r="A560" s="131" t="s">
        <v>1159</v>
      </c>
      <c r="B560" s="137">
        <f t="shared" si="73"/>
        <v>0</v>
      </c>
      <c r="D560" s="134" t="s">
        <v>1379</v>
      </c>
      <c r="F560" s="134">
        <f t="shared" si="74"/>
        <v>0</v>
      </c>
      <c r="G560" s="134" t="s">
        <v>1379</v>
      </c>
      <c r="I560" s="134">
        <f t="shared" si="75"/>
        <v>0</v>
      </c>
      <c r="J560" s="134" t="s">
        <v>1379</v>
      </c>
      <c r="L560" s="134">
        <f t="shared" si="76"/>
        <v>0</v>
      </c>
      <c r="M560" s="134" t="s">
        <v>1379</v>
      </c>
      <c r="O560" s="134">
        <f t="shared" si="77"/>
        <v>0</v>
      </c>
      <c r="P560" s="134" t="s">
        <v>1379</v>
      </c>
      <c r="R560" s="134">
        <f t="shared" si="78"/>
        <v>0</v>
      </c>
      <c r="S560" s="134" t="s">
        <v>1379</v>
      </c>
      <c r="U560" s="134">
        <f t="shared" si="79"/>
        <v>0</v>
      </c>
    </row>
    <row r="561" spans="1:21" ht="15.75" x14ac:dyDescent="0.25">
      <c r="A561" s="131" t="s">
        <v>1160</v>
      </c>
      <c r="B561" s="137">
        <f t="shared" si="73"/>
        <v>0</v>
      </c>
      <c r="D561" s="134" t="s">
        <v>1379</v>
      </c>
      <c r="F561" s="134">
        <f t="shared" si="74"/>
        <v>0</v>
      </c>
      <c r="G561" s="134" t="s">
        <v>1379</v>
      </c>
      <c r="I561" s="134">
        <f t="shared" si="75"/>
        <v>0</v>
      </c>
      <c r="J561" s="134" t="s">
        <v>1379</v>
      </c>
      <c r="L561" s="134">
        <f t="shared" si="76"/>
        <v>0</v>
      </c>
      <c r="M561" s="134" t="s">
        <v>1379</v>
      </c>
      <c r="O561" s="134">
        <f t="shared" si="77"/>
        <v>0</v>
      </c>
      <c r="P561" s="134" t="s">
        <v>1379</v>
      </c>
      <c r="R561" s="134">
        <f t="shared" si="78"/>
        <v>0</v>
      </c>
      <c r="S561" s="134" t="s">
        <v>1379</v>
      </c>
      <c r="U561" s="134">
        <f t="shared" si="79"/>
        <v>0</v>
      </c>
    </row>
    <row r="562" spans="1:21" ht="15.75" x14ac:dyDescent="0.25">
      <c r="A562" s="131" t="s">
        <v>1161</v>
      </c>
      <c r="B562" s="137">
        <f t="shared" si="73"/>
        <v>0</v>
      </c>
      <c r="D562" s="134" t="s">
        <v>1379</v>
      </c>
      <c r="F562" s="134">
        <f t="shared" si="74"/>
        <v>0</v>
      </c>
      <c r="G562" s="134" t="s">
        <v>1379</v>
      </c>
      <c r="I562" s="134">
        <f t="shared" si="75"/>
        <v>0</v>
      </c>
      <c r="J562" s="134" t="s">
        <v>1379</v>
      </c>
      <c r="L562" s="134">
        <f t="shared" si="76"/>
        <v>0</v>
      </c>
      <c r="M562" s="134" t="s">
        <v>1379</v>
      </c>
      <c r="O562" s="134">
        <f t="shared" si="77"/>
        <v>0</v>
      </c>
      <c r="P562" s="134" t="s">
        <v>1379</v>
      </c>
      <c r="R562" s="134">
        <f t="shared" si="78"/>
        <v>0</v>
      </c>
      <c r="S562" s="134" t="s">
        <v>1379</v>
      </c>
      <c r="U562" s="134">
        <f t="shared" si="79"/>
        <v>0</v>
      </c>
    </row>
    <row r="563" spans="1:21" ht="15.75" x14ac:dyDescent="0.25">
      <c r="A563" s="131" t="s">
        <v>1162</v>
      </c>
      <c r="B563" s="137">
        <f t="shared" si="73"/>
        <v>0</v>
      </c>
      <c r="D563" s="134" t="s">
        <v>1379</v>
      </c>
      <c r="F563" s="134">
        <f t="shared" si="74"/>
        <v>0</v>
      </c>
      <c r="G563" s="134" t="s">
        <v>1379</v>
      </c>
      <c r="I563" s="134">
        <f t="shared" si="75"/>
        <v>0</v>
      </c>
      <c r="J563" s="134" t="s">
        <v>1379</v>
      </c>
      <c r="L563" s="134">
        <f t="shared" si="76"/>
        <v>0</v>
      </c>
      <c r="M563" s="134" t="s">
        <v>1379</v>
      </c>
      <c r="O563" s="134">
        <f t="shared" si="77"/>
        <v>0</v>
      </c>
      <c r="P563" s="134" t="s">
        <v>1379</v>
      </c>
      <c r="R563" s="134">
        <f t="shared" si="78"/>
        <v>0</v>
      </c>
      <c r="S563" s="134" t="s">
        <v>1379</v>
      </c>
      <c r="U563" s="134">
        <f t="shared" si="79"/>
        <v>0</v>
      </c>
    </row>
    <row r="564" spans="1:21" ht="15.75" x14ac:dyDescent="0.25">
      <c r="A564" s="131" t="s">
        <v>1163</v>
      </c>
      <c r="B564" s="137">
        <f t="shared" si="73"/>
        <v>0</v>
      </c>
      <c r="D564" s="134" t="s">
        <v>1379</v>
      </c>
      <c r="F564" s="134">
        <f t="shared" si="74"/>
        <v>0</v>
      </c>
      <c r="G564" s="134" t="s">
        <v>1379</v>
      </c>
      <c r="I564" s="134">
        <f t="shared" si="75"/>
        <v>0</v>
      </c>
      <c r="J564" s="134" t="s">
        <v>1379</v>
      </c>
      <c r="L564" s="134">
        <f t="shared" si="76"/>
        <v>0</v>
      </c>
      <c r="M564" s="134" t="s">
        <v>1379</v>
      </c>
      <c r="O564" s="134">
        <f t="shared" si="77"/>
        <v>0</v>
      </c>
      <c r="P564" s="134" t="s">
        <v>1379</v>
      </c>
      <c r="R564" s="134">
        <f t="shared" si="78"/>
        <v>0</v>
      </c>
      <c r="S564" s="134" t="s">
        <v>1379</v>
      </c>
      <c r="U564" s="134">
        <f t="shared" si="79"/>
        <v>0</v>
      </c>
    </row>
    <row r="565" spans="1:21" ht="15.75" x14ac:dyDescent="0.25">
      <c r="A565" s="131" t="s">
        <v>1164</v>
      </c>
      <c r="B565" s="137">
        <f t="shared" si="73"/>
        <v>0</v>
      </c>
      <c r="D565" s="134" t="s">
        <v>1379</v>
      </c>
      <c r="F565" s="134">
        <f t="shared" si="74"/>
        <v>0</v>
      </c>
      <c r="G565" s="134" t="s">
        <v>1379</v>
      </c>
      <c r="I565" s="134">
        <f t="shared" si="75"/>
        <v>0</v>
      </c>
      <c r="J565" s="134" t="s">
        <v>1379</v>
      </c>
      <c r="L565" s="134">
        <f t="shared" si="76"/>
        <v>0</v>
      </c>
      <c r="M565" s="134" t="s">
        <v>1379</v>
      </c>
      <c r="O565" s="134">
        <f t="shared" si="77"/>
        <v>0</v>
      </c>
      <c r="P565" s="134" t="s">
        <v>1379</v>
      </c>
      <c r="R565" s="134">
        <f t="shared" si="78"/>
        <v>0</v>
      </c>
      <c r="S565" s="134" t="s">
        <v>1379</v>
      </c>
      <c r="U565" s="134">
        <f t="shared" si="79"/>
        <v>0</v>
      </c>
    </row>
    <row r="566" spans="1:21" ht="15.75" x14ac:dyDescent="0.25">
      <c r="A566" s="131" t="s">
        <v>1165</v>
      </c>
      <c r="B566" s="137">
        <f t="shared" si="73"/>
        <v>0</v>
      </c>
      <c r="D566" s="134" t="s">
        <v>1379</v>
      </c>
      <c r="F566" s="134">
        <f t="shared" si="74"/>
        <v>0</v>
      </c>
      <c r="G566" s="134" t="s">
        <v>1379</v>
      </c>
      <c r="I566" s="134">
        <f t="shared" si="75"/>
        <v>0</v>
      </c>
      <c r="J566" s="134" t="s">
        <v>1379</v>
      </c>
      <c r="L566" s="134">
        <f t="shared" si="76"/>
        <v>0</v>
      </c>
      <c r="M566" s="134" t="s">
        <v>1379</v>
      </c>
      <c r="O566" s="134">
        <f t="shared" si="77"/>
        <v>0</v>
      </c>
      <c r="P566" s="134" t="s">
        <v>1379</v>
      </c>
      <c r="R566" s="134">
        <f t="shared" si="78"/>
        <v>0</v>
      </c>
      <c r="S566" s="134" t="s">
        <v>1379</v>
      </c>
      <c r="U566" s="134">
        <f t="shared" si="79"/>
        <v>0</v>
      </c>
    </row>
    <row r="567" spans="1:21" ht="15.75" x14ac:dyDescent="0.25">
      <c r="A567" s="131" t="s">
        <v>1166</v>
      </c>
      <c r="B567" s="137">
        <f t="shared" si="73"/>
        <v>0</v>
      </c>
      <c r="D567" s="134" t="s">
        <v>1379</v>
      </c>
      <c r="F567" s="134">
        <f t="shared" si="74"/>
        <v>0</v>
      </c>
      <c r="G567" s="134" t="s">
        <v>1379</v>
      </c>
      <c r="I567" s="134">
        <f t="shared" si="75"/>
        <v>0</v>
      </c>
      <c r="J567" s="134" t="s">
        <v>1379</v>
      </c>
      <c r="L567" s="134">
        <f t="shared" si="76"/>
        <v>0</v>
      </c>
      <c r="M567" s="134" t="s">
        <v>1379</v>
      </c>
      <c r="O567" s="134">
        <f t="shared" si="77"/>
        <v>0</v>
      </c>
      <c r="P567" s="134" t="s">
        <v>1379</v>
      </c>
      <c r="R567" s="134">
        <f t="shared" si="78"/>
        <v>0</v>
      </c>
      <c r="S567" s="134" t="s">
        <v>1379</v>
      </c>
      <c r="U567" s="134">
        <f t="shared" si="79"/>
        <v>0</v>
      </c>
    </row>
    <row r="568" spans="1:21" ht="15.75" x14ac:dyDescent="0.25">
      <c r="A568" s="131" t="s">
        <v>1167</v>
      </c>
      <c r="B568" s="137">
        <f t="shared" ref="B568:B631" si="80">(F568*E568)+(H568*I568)+(K568*L568)+(N568*O568)+(Q568*R568)+(T568*U568)</f>
        <v>0</v>
      </c>
      <c r="D568" s="134" t="s">
        <v>1379</v>
      </c>
      <c r="F568" s="134">
        <f t="shared" si="74"/>
        <v>0</v>
      </c>
      <c r="G568" s="134" t="s">
        <v>1379</v>
      </c>
      <c r="I568" s="134">
        <f t="shared" si="75"/>
        <v>0</v>
      </c>
      <c r="J568" s="134" t="s">
        <v>1379</v>
      </c>
      <c r="L568" s="134">
        <f t="shared" si="76"/>
        <v>0</v>
      </c>
      <c r="M568" s="134" t="s">
        <v>1379</v>
      </c>
      <c r="O568" s="134">
        <f t="shared" si="77"/>
        <v>0</v>
      </c>
      <c r="P568" s="134" t="s">
        <v>1379</v>
      </c>
      <c r="R568" s="134">
        <f t="shared" si="78"/>
        <v>0</v>
      </c>
      <c r="S568" s="134" t="s">
        <v>1379</v>
      </c>
      <c r="U568" s="134">
        <f t="shared" si="79"/>
        <v>0</v>
      </c>
    </row>
    <row r="569" spans="1:21" ht="15.75" x14ac:dyDescent="0.25">
      <c r="A569" s="131" t="s">
        <v>1168</v>
      </c>
      <c r="B569" s="137">
        <f t="shared" si="80"/>
        <v>0</v>
      </c>
      <c r="D569" s="134" t="s">
        <v>1379</v>
      </c>
      <c r="F569" s="134">
        <f t="shared" si="74"/>
        <v>0</v>
      </c>
      <c r="G569" s="134" t="s">
        <v>1379</v>
      </c>
      <c r="I569" s="134">
        <f t="shared" si="75"/>
        <v>0</v>
      </c>
      <c r="J569" s="134" t="s">
        <v>1379</v>
      </c>
      <c r="L569" s="134">
        <f t="shared" si="76"/>
        <v>0</v>
      </c>
      <c r="M569" s="134" t="s">
        <v>1379</v>
      </c>
      <c r="O569" s="134">
        <f t="shared" si="77"/>
        <v>0</v>
      </c>
      <c r="P569" s="134" t="s">
        <v>1379</v>
      </c>
      <c r="R569" s="134">
        <f t="shared" si="78"/>
        <v>0</v>
      </c>
      <c r="S569" s="134" t="s">
        <v>1379</v>
      </c>
      <c r="U569" s="134">
        <f t="shared" si="79"/>
        <v>0</v>
      </c>
    </row>
    <row r="570" spans="1:21" ht="15.75" x14ac:dyDescent="0.25">
      <c r="A570" s="131" t="s">
        <v>1169</v>
      </c>
      <c r="B570" s="137">
        <f t="shared" si="80"/>
        <v>0</v>
      </c>
      <c r="D570" s="134" t="s">
        <v>1379</v>
      </c>
      <c r="F570" s="134">
        <f t="shared" ref="F570:F633" si="81">VLOOKUP(D570,IDPOINTS,2,FALSE)</f>
        <v>0</v>
      </c>
      <c r="G570" s="134" t="s">
        <v>1379</v>
      </c>
      <c r="I570" s="134">
        <f t="shared" ref="I570:I633" si="82">VLOOKUP(G570,IDPOINTS,2,FALSE)</f>
        <v>0</v>
      </c>
      <c r="J570" s="134" t="s">
        <v>1379</v>
      </c>
      <c r="L570" s="134">
        <f t="shared" ref="L570:L633" si="83">VLOOKUP(J570,IDPOINTS,2,FALSE)</f>
        <v>0</v>
      </c>
      <c r="M570" s="134" t="s">
        <v>1379</v>
      </c>
      <c r="O570" s="134">
        <f t="shared" ref="O570:O633" si="84">VLOOKUP(M570,IDPOINTS,2,FALSE)</f>
        <v>0</v>
      </c>
      <c r="P570" s="134" t="s">
        <v>1379</v>
      </c>
      <c r="R570" s="134">
        <f t="shared" ref="R570:R633" si="85">VLOOKUP(P570,IDPOINTS,2,FALSE)</f>
        <v>0</v>
      </c>
      <c r="S570" s="134" t="s">
        <v>1379</v>
      </c>
      <c r="U570" s="134">
        <f t="shared" ref="U570:U633" si="86">VLOOKUP(S570,IDPOINTS,2,FALSE)</f>
        <v>0</v>
      </c>
    </row>
    <row r="571" spans="1:21" ht="15.75" x14ac:dyDescent="0.25">
      <c r="A571" s="131" t="s">
        <v>1170</v>
      </c>
      <c r="B571" s="137">
        <f t="shared" si="80"/>
        <v>0</v>
      </c>
      <c r="D571" s="134" t="s">
        <v>1379</v>
      </c>
      <c r="F571" s="134">
        <f t="shared" si="81"/>
        <v>0</v>
      </c>
      <c r="G571" s="134" t="s">
        <v>1379</v>
      </c>
      <c r="I571" s="134">
        <f t="shared" si="82"/>
        <v>0</v>
      </c>
      <c r="J571" s="134" t="s">
        <v>1379</v>
      </c>
      <c r="L571" s="134">
        <f t="shared" si="83"/>
        <v>0</v>
      </c>
      <c r="M571" s="134" t="s">
        <v>1379</v>
      </c>
      <c r="O571" s="134">
        <f t="shared" si="84"/>
        <v>0</v>
      </c>
      <c r="P571" s="134" t="s">
        <v>1379</v>
      </c>
      <c r="R571" s="134">
        <f t="shared" si="85"/>
        <v>0</v>
      </c>
      <c r="S571" s="134" t="s">
        <v>1379</v>
      </c>
      <c r="U571" s="134">
        <f t="shared" si="86"/>
        <v>0</v>
      </c>
    </row>
    <row r="572" spans="1:21" ht="15.75" x14ac:dyDescent="0.25">
      <c r="A572" s="131" t="s">
        <v>1171</v>
      </c>
      <c r="B572" s="137">
        <f t="shared" si="80"/>
        <v>0</v>
      </c>
      <c r="D572" s="134" t="s">
        <v>1379</v>
      </c>
      <c r="F572" s="134">
        <f t="shared" si="81"/>
        <v>0</v>
      </c>
      <c r="G572" s="134" t="s">
        <v>1379</v>
      </c>
      <c r="I572" s="134">
        <f t="shared" si="82"/>
        <v>0</v>
      </c>
      <c r="J572" s="134" t="s">
        <v>1379</v>
      </c>
      <c r="L572" s="134">
        <f t="shared" si="83"/>
        <v>0</v>
      </c>
      <c r="M572" s="134" t="s">
        <v>1379</v>
      </c>
      <c r="O572" s="134">
        <f t="shared" si="84"/>
        <v>0</v>
      </c>
      <c r="P572" s="134" t="s">
        <v>1379</v>
      </c>
      <c r="R572" s="134">
        <f t="shared" si="85"/>
        <v>0</v>
      </c>
      <c r="S572" s="134" t="s">
        <v>1379</v>
      </c>
      <c r="U572" s="134">
        <f t="shared" si="86"/>
        <v>0</v>
      </c>
    </row>
    <row r="573" spans="1:21" ht="15.75" x14ac:dyDescent="0.25">
      <c r="A573" s="131" t="s">
        <v>1172</v>
      </c>
      <c r="B573" s="137">
        <f t="shared" si="80"/>
        <v>0</v>
      </c>
      <c r="D573" s="134" t="s">
        <v>1379</v>
      </c>
      <c r="F573" s="134">
        <f t="shared" si="81"/>
        <v>0</v>
      </c>
      <c r="G573" s="134" t="s">
        <v>1379</v>
      </c>
      <c r="I573" s="134">
        <f t="shared" si="82"/>
        <v>0</v>
      </c>
      <c r="J573" s="134" t="s">
        <v>1379</v>
      </c>
      <c r="L573" s="134">
        <f t="shared" si="83"/>
        <v>0</v>
      </c>
      <c r="M573" s="134" t="s">
        <v>1379</v>
      </c>
      <c r="O573" s="134">
        <f t="shared" si="84"/>
        <v>0</v>
      </c>
      <c r="P573" s="134" t="s">
        <v>1379</v>
      </c>
      <c r="R573" s="134">
        <f t="shared" si="85"/>
        <v>0</v>
      </c>
      <c r="S573" s="134" t="s">
        <v>1379</v>
      </c>
      <c r="U573" s="134">
        <f t="shared" si="86"/>
        <v>0</v>
      </c>
    </row>
    <row r="574" spans="1:21" ht="15.75" x14ac:dyDescent="0.25">
      <c r="A574" s="131" t="s">
        <v>1173</v>
      </c>
      <c r="B574" s="137">
        <f t="shared" si="80"/>
        <v>0</v>
      </c>
      <c r="D574" s="134" t="s">
        <v>1379</v>
      </c>
      <c r="F574" s="134">
        <f t="shared" si="81"/>
        <v>0</v>
      </c>
      <c r="G574" s="134" t="s">
        <v>1379</v>
      </c>
      <c r="I574" s="134">
        <f t="shared" si="82"/>
        <v>0</v>
      </c>
      <c r="J574" s="134" t="s">
        <v>1379</v>
      </c>
      <c r="L574" s="134">
        <f t="shared" si="83"/>
        <v>0</v>
      </c>
      <c r="M574" s="134" t="s">
        <v>1379</v>
      </c>
      <c r="O574" s="134">
        <f t="shared" si="84"/>
        <v>0</v>
      </c>
      <c r="P574" s="134" t="s">
        <v>1379</v>
      </c>
      <c r="R574" s="134">
        <f t="shared" si="85"/>
        <v>0</v>
      </c>
      <c r="S574" s="134" t="s">
        <v>1379</v>
      </c>
      <c r="U574" s="134">
        <f t="shared" si="86"/>
        <v>0</v>
      </c>
    </row>
    <row r="575" spans="1:21" ht="15.75" x14ac:dyDescent="0.25">
      <c r="A575" s="131" t="s">
        <v>1174</v>
      </c>
      <c r="B575" s="137">
        <f t="shared" si="80"/>
        <v>0</v>
      </c>
      <c r="D575" s="134" t="s">
        <v>1379</v>
      </c>
      <c r="F575" s="134">
        <f t="shared" si="81"/>
        <v>0</v>
      </c>
      <c r="G575" s="134" t="s">
        <v>1379</v>
      </c>
      <c r="I575" s="134">
        <f t="shared" si="82"/>
        <v>0</v>
      </c>
      <c r="J575" s="134" t="s">
        <v>1379</v>
      </c>
      <c r="L575" s="134">
        <f t="shared" si="83"/>
        <v>0</v>
      </c>
      <c r="M575" s="134" t="s">
        <v>1379</v>
      </c>
      <c r="O575" s="134">
        <f t="shared" si="84"/>
        <v>0</v>
      </c>
      <c r="P575" s="134" t="s">
        <v>1379</v>
      </c>
      <c r="R575" s="134">
        <f t="shared" si="85"/>
        <v>0</v>
      </c>
      <c r="S575" s="134" t="s">
        <v>1379</v>
      </c>
      <c r="U575" s="134">
        <f t="shared" si="86"/>
        <v>0</v>
      </c>
    </row>
    <row r="576" spans="1:21" ht="15.75" x14ac:dyDescent="0.25">
      <c r="A576" s="131" t="s">
        <v>1175</v>
      </c>
      <c r="B576" s="137">
        <f t="shared" si="80"/>
        <v>0</v>
      </c>
      <c r="D576" s="134" t="s">
        <v>1379</v>
      </c>
      <c r="F576" s="134">
        <f t="shared" si="81"/>
        <v>0</v>
      </c>
      <c r="G576" s="134" t="s">
        <v>1379</v>
      </c>
      <c r="I576" s="134">
        <f t="shared" si="82"/>
        <v>0</v>
      </c>
      <c r="J576" s="134" t="s">
        <v>1379</v>
      </c>
      <c r="L576" s="134">
        <f t="shared" si="83"/>
        <v>0</v>
      </c>
      <c r="M576" s="134" t="s">
        <v>1379</v>
      </c>
      <c r="O576" s="134">
        <f t="shared" si="84"/>
        <v>0</v>
      </c>
      <c r="P576" s="134" t="s">
        <v>1379</v>
      </c>
      <c r="R576" s="134">
        <f t="shared" si="85"/>
        <v>0</v>
      </c>
      <c r="S576" s="134" t="s">
        <v>1379</v>
      </c>
      <c r="U576" s="134">
        <f t="shared" si="86"/>
        <v>0</v>
      </c>
    </row>
    <row r="577" spans="1:21" ht="15.75" x14ac:dyDescent="0.25">
      <c r="A577" s="131" t="s">
        <v>1176</v>
      </c>
      <c r="B577" s="137">
        <f t="shared" si="80"/>
        <v>0</v>
      </c>
      <c r="D577" s="134" t="s">
        <v>1379</v>
      </c>
      <c r="F577" s="134">
        <f t="shared" si="81"/>
        <v>0</v>
      </c>
      <c r="G577" s="134" t="s">
        <v>1379</v>
      </c>
      <c r="I577" s="134">
        <f t="shared" si="82"/>
        <v>0</v>
      </c>
      <c r="J577" s="134" t="s">
        <v>1379</v>
      </c>
      <c r="L577" s="134">
        <f t="shared" si="83"/>
        <v>0</v>
      </c>
      <c r="M577" s="134" t="s">
        <v>1379</v>
      </c>
      <c r="O577" s="134">
        <f t="shared" si="84"/>
        <v>0</v>
      </c>
      <c r="P577" s="134" t="s">
        <v>1379</v>
      </c>
      <c r="R577" s="134">
        <f t="shared" si="85"/>
        <v>0</v>
      </c>
      <c r="S577" s="134" t="s">
        <v>1379</v>
      </c>
      <c r="U577" s="134">
        <f t="shared" si="86"/>
        <v>0</v>
      </c>
    </row>
    <row r="578" spans="1:21" ht="15.75" x14ac:dyDescent="0.25">
      <c r="A578" s="131" t="s">
        <v>1177</v>
      </c>
      <c r="B578" s="137">
        <f t="shared" si="80"/>
        <v>0</v>
      </c>
      <c r="D578" s="134" t="s">
        <v>1379</v>
      </c>
      <c r="F578" s="134">
        <f t="shared" si="81"/>
        <v>0</v>
      </c>
      <c r="G578" s="134" t="s">
        <v>1379</v>
      </c>
      <c r="I578" s="134">
        <f t="shared" si="82"/>
        <v>0</v>
      </c>
      <c r="J578" s="134" t="s">
        <v>1379</v>
      </c>
      <c r="L578" s="134">
        <f t="shared" si="83"/>
        <v>0</v>
      </c>
      <c r="M578" s="134" t="s">
        <v>1379</v>
      </c>
      <c r="O578" s="134">
        <f t="shared" si="84"/>
        <v>0</v>
      </c>
      <c r="P578" s="134" t="s">
        <v>1379</v>
      </c>
      <c r="R578" s="134">
        <f t="shared" si="85"/>
        <v>0</v>
      </c>
      <c r="S578" s="134" t="s">
        <v>1379</v>
      </c>
      <c r="U578" s="134">
        <f t="shared" si="86"/>
        <v>0</v>
      </c>
    </row>
    <row r="579" spans="1:21" ht="15.75" x14ac:dyDescent="0.25">
      <c r="A579" s="131" t="s">
        <v>1178</v>
      </c>
      <c r="B579" s="137">
        <f t="shared" si="80"/>
        <v>0</v>
      </c>
      <c r="D579" s="134" t="s">
        <v>1379</v>
      </c>
      <c r="F579" s="134">
        <f t="shared" si="81"/>
        <v>0</v>
      </c>
      <c r="G579" s="134" t="s">
        <v>1379</v>
      </c>
      <c r="I579" s="134">
        <f t="shared" si="82"/>
        <v>0</v>
      </c>
      <c r="J579" s="134" t="s">
        <v>1379</v>
      </c>
      <c r="L579" s="134">
        <f t="shared" si="83"/>
        <v>0</v>
      </c>
      <c r="M579" s="134" t="s">
        <v>1379</v>
      </c>
      <c r="O579" s="134">
        <f t="shared" si="84"/>
        <v>0</v>
      </c>
      <c r="P579" s="134" t="s">
        <v>1379</v>
      </c>
      <c r="R579" s="134">
        <f t="shared" si="85"/>
        <v>0</v>
      </c>
      <c r="S579" s="134" t="s">
        <v>1379</v>
      </c>
      <c r="U579" s="134">
        <f t="shared" si="86"/>
        <v>0</v>
      </c>
    </row>
    <row r="580" spans="1:21" ht="15.75" x14ac:dyDescent="0.25">
      <c r="A580" s="131" t="s">
        <v>1179</v>
      </c>
      <c r="B580" s="137">
        <f t="shared" si="80"/>
        <v>0</v>
      </c>
      <c r="D580" s="134" t="s">
        <v>1379</v>
      </c>
      <c r="F580" s="134">
        <f t="shared" si="81"/>
        <v>0</v>
      </c>
      <c r="G580" s="134" t="s">
        <v>1379</v>
      </c>
      <c r="I580" s="134">
        <f t="shared" si="82"/>
        <v>0</v>
      </c>
      <c r="J580" s="134" t="s">
        <v>1379</v>
      </c>
      <c r="L580" s="134">
        <f t="shared" si="83"/>
        <v>0</v>
      </c>
      <c r="M580" s="134" t="s">
        <v>1379</v>
      </c>
      <c r="O580" s="134">
        <f t="shared" si="84"/>
        <v>0</v>
      </c>
      <c r="P580" s="134" t="s">
        <v>1379</v>
      </c>
      <c r="R580" s="134">
        <f t="shared" si="85"/>
        <v>0</v>
      </c>
      <c r="S580" s="134" t="s">
        <v>1379</v>
      </c>
      <c r="U580" s="134">
        <f t="shared" si="86"/>
        <v>0</v>
      </c>
    </row>
    <row r="581" spans="1:21" ht="15.75" x14ac:dyDescent="0.25">
      <c r="A581" s="131" t="s">
        <v>1180</v>
      </c>
      <c r="B581" s="137">
        <f t="shared" si="80"/>
        <v>0</v>
      </c>
      <c r="D581" s="134" t="s">
        <v>1379</v>
      </c>
      <c r="F581" s="134">
        <f t="shared" si="81"/>
        <v>0</v>
      </c>
      <c r="G581" s="134" t="s">
        <v>1379</v>
      </c>
      <c r="I581" s="134">
        <f t="shared" si="82"/>
        <v>0</v>
      </c>
      <c r="J581" s="134" t="s">
        <v>1379</v>
      </c>
      <c r="L581" s="134">
        <f t="shared" si="83"/>
        <v>0</v>
      </c>
      <c r="M581" s="134" t="s">
        <v>1379</v>
      </c>
      <c r="O581" s="134">
        <f t="shared" si="84"/>
        <v>0</v>
      </c>
      <c r="P581" s="134" t="s">
        <v>1379</v>
      </c>
      <c r="R581" s="134">
        <f t="shared" si="85"/>
        <v>0</v>
      </c>
      <c r="S581" s="134" t="s">
        <v>1379</v>
      </c>
      <c r="U581" s="134">
        <f t="shared" si="86"/>
        <v>0</v>
      </c>
    </row>
    <row r="582" spans="1:21" ht="15.75" x14ac:dyDescent="0.25">
      <c r="A582" s="131" t="s">
        <v>1181</v>
      </c>
      <c r="B582" s="137">
        <f t="shared" si="80"/>
        <v>0</v>
      </c>
      <c r="D582" s="134" t="s">
        <v>1379</v>
      </c>
      <c r="F582" s="134">
        <f t="shared" si="81"/>
        <v>0</v>
      </c>
      <c r="G582" s="134" t="s">
        <v>1379</v>
      </c>
      <c r="I582" s="134">
        <f t="shared" si="82"/>
        <v>0</v>
      </c>
      <c r="J582" s="134" t="s">
        <v>1379</v>
      </c>
      <c r="L582" s="134">
        <f t="shared" si="83"/>
        <v>0</v>
      </c>
      <c r="M582" s="134" t="s">
        <v>1379</v>
      </c>
      <c r="O582" s="134">
        <f t="shared" si="84"/>
        <v>0</v>
      </c>
      <c r="P582" s="134" t="s">
        <v>1379</v>
      </c>
      <c r="R582" s="134">
        <f t="shared" si="85"/>
        <v>0</v>
      </c>
      <c r="S582" s="134" t="s">
        <v>1379</v>
      </c>
      <c r="U582" s="134">
        <f t="shared" si="86"/>
        <v>0</v>
      </c>
    </row>
    <row r="583" spans="1:21" ht="15.75" x14ac:dyDescent="0.25">
      <c r="A583" s="131" t="s">
        <v>1182</v>
      </c>
      <c r="B583" s="137">
        <f t="shared" si="80"/>
        <v>0</v>
      </c>
      <c r="D583" s="134" t="s">
        <v>1379</v>
      </c>
      <c r="F583" s="134">
        <f t="shared" si="81"/>
        <v>0</v>
      </c>
      <c r="G583" s="134" t="s">
        <v>1379</v>
      </c>
      <c r="I583" s="134">
        <f t="shared" si="82"/>
        <v>0</v>
      </c>
      <c r="J583" s="134" t="s">
        <v>1379</v>
      </c>
      <c r="L583" s="134">
        <f t="shared" si="83"/>
        <v>0</v>
      </c>
      <c r="M583" s="134" t="s">
        <v>1379</v>
      </c>
      <c r="O583" s="134">
        <f t="shared" si="84"/>
        <v>0</v>
      </c>
      <c r="P583" s="134" t="s">
        <v>1379</v>
      </c>
      <c r="R583" s="134">
        <f t="shared" si="85"/>
        <v>0</v>
      </c>
      <c r="S583" s="134" t="s">
        <v>1379</v>
      </c>
      <c r="U583" s="134">
        <f t="shared" si="86"/>
        <v>0</v>
      </c>
    </row>
    <row r="584" spans="1:21" ht="15.75" x14ac:dyDescent="0.25">
      <c r="A584" s="131" t="s">
        <v>1183</v>
      </c>
      <c r="B584" s="137">
        <f t="shared" si="80"/>
        <v>0</v>
      </c>
      <c r="D584" s="134" t="s">
        <v>1379</v>
      </c>
      <c r="F584" s="134">
        <f t="shared" si="81"/>
        <v>0</v>
      </c>
      <c r="G584" s="134" t="s">
        <v>1379</v>
      </c>
      <c r="I584" s="134">
        <f t="shared" si="82"/>
        <v>0</v>
      </c>
      <c r="J584" s="134" t="s">
        <v>1379</v>
      </c>
      <c r="L584" s="134">
        <f t="shared" si="83"/>
        <v>0</v>
      </c>
      <c r="M584" s="134" t="s">
        <v>1379</v>
      </c>
      <c r="O584" s="134">
        <f t="shared" si="84"/>
        <v>0</v>
      </c>
      <c r="P584" s="134" t="s">
        <v>1379</v>
      </c>
      <c r="R584" s="134">
        <f t="shared" si="85"/>
        <v>0</v>
      </c>
      <c r="S584" s="134" t="s">
        <v>1379</v>
      </c>
      <c r="U584" s="134">
        <f t="shared" si="86"/>
        <v>0</v>
      </c>
    </row>
    <row r="585" spans="1:21" ht="15.75" x14ac:dyDescent="0.25">
      <c r="A585" s="131" t="s">
        <v>1184</v>
      </c>
      <c r="B585" s="137">
        <f t="shared" si="80"/>
        <v>0</v>
      </c>
      <c r="D585" s="134" t="s">
        <v>1379</v>
      </c>
      <c r="F585" s="134">
        <f t="shared" si="81"/>
        <v>0</v>
      </c>
      <c r="G585" s="134" t="s">
        <v>1379</v>
      </c>
      <c r="I585" s="134">
        <f t="shared" si="82"/>
        <v>0</v>
      </c>
      <c r="J585" s="134" t="s">
        <v>1379</v>
      </c>
      <c r="L585" s="134">
        <f t="shared" si="83"/>
        <v>0</v>
      </c>
      <c r="M585" s="134" t="s">
        <v>1379</v>
      </c>
      <c r="O585" s="134">
        <f t="shared" si="84"/>
        <v>0</v>
      </c>
      <c r="P585" s="134" t="s">
        <v>1379</v>
      </c>
      <c r="R585" s="134">
        <f t="shared" si="85"/>
        <v>0</v>
      </c>
      <c r="S585" s="134" t="s">
        <v>1379</v>
      </c>
      <c r="U585" s="134">
        <f t="shared" si="86"/>
        <v>0</v>
      </c>
    </row>
    <row r="586" spans="1:21" ht="15.75" x14ac:dyDescent="0.25">
      <c r="A586" s="131" t="s">
        <v>1185</v>
      </c>
      <c r="B586" s="137">
        <f t="shared" si="80"/>
        <v>0</v>
      </c>
      <c r="D586" s="134" t="s">
        <v>1379</v>
      </c>
      <c r="F586" s="134">
        <f t="shared" si="81"/>
        <v>0</v>
      </c>
      <c r="G586" s="134" t="s">
        <v>1379</v>
      </c>
      <c r="I586" s="134">
        <f t="shared" si="82"/>
        <v>0</v>
      </c>
      <c r="J586" s="134" t="s">
        <v>1379</v>
      </c>
      <c r="L586" s="134">
        <f t="shared" si="83"/>
        <v>0</v>
      </c>
      <c r="M586" s="134" t="s">
        <v>1379</v>
      </c>
      <c r="O586" s="134">
        <f t="shared" si="84"/>
        <v>0</v>
      </c>
      <c r="P586" s="134" t="s">
        <v>1379</v>
      </c>
      <c r="R586" s="134">
        <f t="shared" si="85"/>
        <v>0</v>
      </c>
      <c r="S586" s="134" t="s">
        <v>1379</v>
      </c>
      <c r="U586" s="134">
        <f t="shared" si="86"/>
        <v>0</v>
      </c>
    </row>
    <row r="587" spans="1:21" ht="15.75" x14ac:dyDescent="0.25">
      <c r="A587" s="131" t="s">
        <v>1186</v>
      </c>
      <c r="B587" s="137">
        <f t="shared" si="80"/>
        <v>0</v>
      </c>
      <c r="D587" s="134" t="s">
        <v>1379</v>
      </c>
      <c r="F587" s="134">
        <f t="shared" si="81"/>
        <v>0</v>
      </c>
      <c r="G587" s="134" t="s">
        <v>1379</v>
      </c>
      <c r="I587" s="134">
        <f t="shared" si="82"/>
        <v>0</v>
      </c>
      <c r="J587" s="134" t="s">
        <v>1379</v>
      </c>
      <c r="L587" s="134">
        <f t="shared" si="83"/>
        <v>0</v>
      </c>
      <c r="M587" s="134" t="s">
        <v>1379</v>
      </c>
      <c r="O587" s="134">
        <f t="shared" si="84"/>
        <v>0</v>
      </c>
      <c r="P587" s="134" t="s">
        <v>1379</v>
      </c>
      <c r="R587" s="134">
        <f t="shared" si="85"/>
        <v>0</v>
      </c>
      <c r="S587" s="134" t="s">
        <v>1379</v>
      </c>
      <c r="U587" s="134">
        <f t="shared" si="86"/>
        <v>0</v>
      </c>
    </row>
    <row r="588" spans="1:21" ht="15.75" x14ac:dyDescent="0.25">
      <c r="A588" s="131" t="s">
        <v>1187</v>
      </c>
      <c r="B588" s="137">
        <f t="shared" si="80"/>
        <v>0</v>
      </c>
      <c r="D588" s="134" t="s">
        <v>1379</v>
      </c>
      <c r="F588" s="134">
        <f t="shared" si="81"/>
        <v>0</v>
      </c>
      <c r="G588" s="134" t="s">
        <v>1379</v>
      </c>
      <c r="I588" s="134">
        <f t="shared" si="82"/>
        <v>0</v>
      </c>
      <c r="J588" s="134" t="s">
        <v>1379</v>
      </c>
      <c r="L588" s="134">
        <f t="shared" si="83"/>
        <v>0</v>
      </c>
      <c r="M588" s="134" t="s">
        <v>1379</v>
      </c>
      <c r="O588" s="134">
        <f t="shared" si="84"/>
        <v>0</v>
      </c>
      <c r="P588" s="134" t="s">
        <v>1379</v>
      </c>
      <c r="R588" s="134">
        <f t="shared" si="85"/>
        <v>0</v>
      </c>
      <c r="S588" s="134" t="s">
        <v>1379</v>
      </c>
      <c r="U588" s="134">
        <f t="shared" si="86"/>
        <v>0</v>
      </c>
    </row>
    <row r="589" spans="1:21" ht="15.75" x14ac:dyDescent="0.25">
      <c r="A589" s="131" t="s">
        <v>1188</v>
      </c>
      <c r="B589" s="137">
        <f t="shared" si="80"/>
        <v>0</v>
      </c>
      <c r="D589" s="134" t="s">
        <v>1379</v>
      </c>
      <c r="F589" s="134">
        <f t="shared" si="81"/>
        <v>0</v>
      </c>
      <c r="G589" s="134" t="s">
        <v>1379</v>
      </c>
      <c r="I589" s="134">
        <f t="shared" si="82"/>
        <v>0</v>
      </c>
      <c r="J589" s="134" t="s">
        <v>1379</v>
      </c>
      <c r="L589" s="134">
        <f t="shared" si="83"/>
        <v>0</v>
      </c>
      <c r="M589" s="134" t="s">
        <v>1379</v>
      </c>
      <c r="O589" s="134">
        <f t="shared" si="84"/>
        <v>0</v>
      </c>
      <c r="P589" s="134" t="s">
        <v>1379</v>
      </c>
      <c r="R589" s="134">
        <f t="shared" si="85"/>
        <v>0</v>
      </c>
      <c r="S589" s="134" t="s">
        <v>1379</v>
      </c>
      <c r="U589" s="134">
        <f t="shared" si="86"/>
        <v>0</v>
      </c>
    </row>
    <row r="590" spans="1:21" ht="15.75" x14ac:dyDescent="0.25">
      <c r="A590" s="131" t="s">
        <v>1189</v>
      </c>
      <c r="B590" s="137">
        <f t="shared" si="80"/>
        <v>0</v>
      </c>
      <c r="D590" s="134" t="s">
        <v>1379</v>
      </c>
      <c r="F590" s="134">
        <f t="shared" si="81"/>
        <v>0</v>
      </c>
      <c r="G590" s="134" t="s">
        <v>1379</v>
      </c>
      <c r="I590" s="134">
        <f t="shared" si="82"/>
        <v>0</v>
      </c>
      <c r="J590" s="134" t="s">
        <v>1379</v>
      </c>
      <c r="L590" s="134">
        <f t="shared" si="83"/>
        <v>0</v>
      </c>
      <c r="M590" s="134" t="s">
        <v>1379</v>
      </c>
      <c r="O590" s="134">
        <f t="shared" si="84"/>
        <v>0</v>
      </c>
      <c r="P590" s="134" t="s">
        <v>1379</v>
      </c>
      <c r="R590" s="134">
        <f t="shared" si="85"/>
        <v>0</v>
      </c>
      <c r="S590" s="134" t="s">
        <v>1379</v>
      </c>
      <c r="U590" s="134">
        <f t="shared" si="86"/>
        <v>0</v>
      </c>
    </row>
    <row r="591" spans="1:21" ht="15.75" x14ac:dyDescent="0.25">
      <c r="A591" s="131" t="s">
        <v>1190</v>
      </c>
      <c r="B591" s="137">
        <f t="shared" si="80"/>
        <v>0</v>
      </c>
      <c r="D591" s="134" t="s">
        <v>1379</v>
      </c>
      <c r="F591" s="134">
        <f t="shared" si="81"/>
        <v>0</v>
      </c>
      <c r="G591" s="134" t="s">
        <v>1379</v>
      </c>
      <c r="I591" s="134">
        <f t="shared" si="82"/>
        <v>0</v>
      </c>
      <c r="J591" s="134" t="s">
        <v>1379</v>
      </c>
      <c r="L591" s="134">
        <f t="shared" si="83"/>
        <v>0</v>
      </c>
      <c r="M591" s="134" t="s">
        <v>1379</v>
      </c>
      <c r="O591" s="134">
        <f t="shared" si="84"/>
        <v>0</v>
      </c>
      <c r="P591" s="134" t="s">
        <v>1379</v>
      </c>
      <c r="R591" s="134">
        <f t="shared" si="85"/>
        <v>0</v>
      </c>
      <c r="S591" s="134" t="s">
        <v>1379</v>
      </c>
      <c r="U591" s="134">
        <f t="shared" si="86"/>
        <v>0</v>
      </c>
    </row>
    <row r="592" spans="1:21" ht="15.75" x14ac:dyDescent="0.25">
      <c r="A592" s="131" t="s">
        <v>1191</v>
      </c>
      <c r="B592" s="137">
        <f t="shared" si="80"/>
        <v>0</v>
      </c>
      <c r="D592" s="134" t="s">
        <v>1379</v>
      </c>
      <c r="F592" s="134">
        <f t="shared" si="81"/>
        <v>0</v>
      </c>
      <c r="G592" s="134" t="s">
        <v>1379</v>
      </c>
      <c r="I592" s="134">
        <f t="shared" si="82"/>
        <v>0</v>
      </c>
      <c r="J592" s="134" t="s">
        <v>1379</v>
      </c>
      <c r="L592" s="134">
        <f t="shared" si="83"/>
        <v>0</v>
      </c>
      <c r="M592" s="134" t="s">
        <v>1379</v>
      </c>
      <c r="O592" s="134">
        <f t="shared" si="84"/>
        <v>0</v>
      </c>
      <c r="P592" s="134" t="s">
        <v>1379</v>
      </c>
      <c r="R592" s="134">
        <f t="shared" si="85"/>
        <v>0</v>
      </c>
      <c r="S592" s="134" t="s">
        <v>1379</v>
      </c>
      <c r="U592" s="134">
        <f t="shared" si="86"/>
        <v>0</v>
      </c>
    </row>
    <row r="593" spans="1:21" ht="15.75" x14ac:dyDescent="0.25">
      <c r="A593" s="131" t="s">
        <v>1192</v>
      </c>
      <c r="B593" s="137">
        <f t="shared" si="80"/>
        <v>0</v>
      </c>
      <c r="D593" s="134" t="s">
        <v>1379</v>
      </c>
      <c r="F593" s="134">
        <f t="shared" si="81"/>
        <v>0</v>
      </c>
      <c r="G593" s="134" t="s">
        <v>1379</v>
      </c>
      <c r="I593" s="134">
        <f t="shared" si="82"/>
        <v>0</v>
      </c>
      <c r="J593" s="134" t="s">
        <v>1379</v>
      </c>
      <c r="L593" s="134">
        <f t="shared" si="83"/>
        <v>0</v>
      </c>
      <c r="M593" s="134" t="s">
        <v>1379</v>
      </c>
      <c r="O593" s="134">
        <f t="shared" si="84"/>
        <v>0</v>
      </c>
      <c r="P593" s="134" t="s">
        <v>1379</v>
      </c>
      <c r="R593" s="134">
        <f t="shared" si="85"/>
        <v>0</v>
      </c>
      <c r="S593" s="134" t="s">
        <v>1379</v>
      </c>
      <c r="U593" s="134">
        <f t="shared" si="86"/>
        <v>0</v>
      </c>
    </row>
    <row r="594" spans="1:21" ht="15.75" x14ac:dyDescent="0.25">
      <c r="A594" s="131" t="s">
        <v>1193</v>
      </c>
      <c r="B594" s="137">
        <f t="shared" si="80"/>
        <v>0</v>
      </c>
      <c r="D594" s="134" t="s">
        <v>1379</v>
      </c>
      <c r="F594" s="134">
        <f t="shared" si="81"/>
        <v>0</v>
      </c>
      <c r="G594" s="134" t="s">
        <v>1379</v>
      </c>
      <c r="I594" s="134">
        <f t="shared" si="82"/>
        <v>0</v>
      </c>
      <c r="J594" s="134" t="s">
        <v>1379</v>
      </c>
      <c r="L594" s="134">
        <f t="shared" si="83"/>
        <v>0</v>
      </c>
      <c r="M594" s="134" t="s">
        <v>1379</v>
      </c>
      <c r="O594" s="134">
        <f t="shared" si="84"/>
        <v>0</v>
      </c>
      <c r="P594" s="134" t="s">
        <v>1379</v>
      </c>
      <c r="R594" s="134">
        <f t="shared" si="85"/>
        <v>0</v>
      </c>
      <c r="S594" s="134" t="s">
        <v>1379</v>
      </c>
      <c r="U594" s="134">
        <f t="shared" si="86"/>
        <v>0</v>
      </c>
    </row>
    <row r="595" spans="1:21" ht="15.75" x14ac:dyDescent="0.25">
      <c r="A595" s="131" t="s">
        <v>1194</v>
      </c>
      <c r="B595" s="137">
        <f t="shared" si="80"/>
        <v>0</v>
      </c>
      <c r="D595" s="134" t="s">
        <v>1379</v>
      </c>
      <c r="F595" s="134">
        <f t="shared" si="81"/>
        <v>0</v>
      </c>
      <c r="G595" s="134" t="s">
        <v>1379</v>
      </c>
      <c r="I595" s="134">
        <f t="shared" si="82"/>
        <v>0</v>
      </c>
      <c r="J595" s="134" t="s">
        <v>1379</v>
      </c>
      <c r="L595" s="134">
        <f t="shared" si="83"/>
        <v>0</v>
      </c>
      <c r="M595" s="134" t="s">
        <v>1379</v>
      </c>
      <c r="O595" s="134">
        <f t="shared" si="84"/>
        <v>0</v>
      </c>
      <c r="P595" s="134" t="s">
        <v>1379</v>
      </c>
      <c r="R595" s="134">
        <f t="shared" si="85"/>
        <v>0</v>
      </c>
      <c r="S595" s="134" t="s">
        <v>1379</v>
      </c>
      <c r="U595" s="134">
        <f t="shared" si="86"/>
        <v>0</v>
      </c>
    </row>
    <row r="596" spans="1:21" ht="15.75" x14ac:dyDescent="0.25">
      <c r="A596" s="131" t="s">
        <v>1195</v>
      </c>
      <c r="B596" s="137">
        <f t="shared" si="80"/>
        <v>0</v>
      </c>
      <c r="D596" s="134" t="s">
        <v>1379</v>
      </c>
      <c r="F596" s="134">
        <f t="shared" si="81"/>
        <v>0</v>
      </c>
      <c r="G596" s="134" t="s">
        <v>1379</v>
      </c>
      <c r="I596" s="134">
        <f t="shared" si="82"/>
        <v>0</v>
      </c>
      <c r="J596" s="134" t="s">
        <v>1379</v>
      </c>
      <c r="L596" s="134">
        <f t="shared" si="83"/>
        <v>0</v>
      </c>
      <c r="M596" s="134" t="s">
        <v>1379</v>
      </c>
      <c r="O596" s="134">
        <f t="shared" si="84"/>
        <v>0</v>
      </c>
      <c r="P596" s="134" t="s">
        <v>1379</v>
      </c>
      <c r="R596" s="134">
        <f t="shared" si="85"/>
        <v>0</v>
      </c>
      <c r="S596" s="134" t="s">
        <v>1379</v>
      </c>
      <c r="U596" s="134">
        <f t="shared" si="86"/>
        <v>0</v>
      </c>
    </row>
    <row r="597" spans="1:21" ht="15.75" x14ac:dyDescent="0.25">
      <c r="A597" s="131" t="s">
        <v>1196</v>
      </c>
      <c r="B597" s="137">
        <f t="shared" si="80"/>
        <v>0</v>
      </c>
      <c r="D597" s="134" t="s">
        <v>1379</v>
      </c>
      <c r="F597" s="134">
        <f t="shared" si="81"/>
        <v>0</v>
      </c>
      <c r="G597" s="134" t="s">
        <v>1379</v>
      </c>
      <c r="I597" s="134">
        <f t="shared" si="82"/>
        <v>0</v>
      </c>
      <c r="J597" s="134" t="s">
        <v>1379</v>
      </c>
      <c r="L597" s="134">
        <f t="shared" si="83"/>
        <v>0</v>
      </c>
      <c r="M597" s="134" t="s">
        <v>1379</v>
      </c>
      <c r="O597" s="134">
        <f t="shared" si="84"/>
        <v>0</v>
      </c>
      <c r="P597" s="134" t="s">
        <v>1379</v>
      </c>
      <c r="R597" s="134">
        <f t="shared" si="85"/>
        <v>0</v>
      </c>
      <c r="S597" s="134" t="s">
        <v>1379</v>
      </c>
      <c r="U597" s="134">
        <f t="shared" si="86"/>
        <v>0</v>
      </c>
    </row>
    <row r="598" spans="1:21" ht="15.75" x14ac:dyDescent="0.25">
      <c r="A598" s="131" t="s">
        <v>1197</v>
      </c>
      <c r="B598" s="137">
        <f t="shared" si="80"/>
        <v>0</v>
      </c>
      <c r="D598" s="134" t="s">
        <v>1379</v>
      </c>
      <c r="F598" s="134">
        <f t="shared" si="81"/>
        <v>0</v>
      </c>
      <c r="G598" s="134" t="s">
        <v>1379</v>
      </c>
      <c r="I598" s="134">
        <f t="shared" si="82"/>
        <v>0</v>
      </c>
      <c r="J598" s="134" t="s">
        <v>1379</v>
      </c>
      <c r="L598" s="134">
        <f t="shared" si="83"/>
        <v>0</v>
      </c>
      <c r="M598" s="134" t="s">
        <v>1379</v>
      </c>
      <c r="O598" s="134">
        <f t="shared" si="84"/>
        <v>0</v>
      </c>
      <c r="P598" s="134" t="s">
        <v>1379</v>
      </c>
      <c r="R598" s="134">
        <f t="shared" si="85"/>
        <v>0</v>
      </c>
      <c r="S598" s="134" t="s">
        <v>1379</v>
      </c>
      <c r="U598" s="134">
        <f t="shared" si="86"/>
        <v>0</v>
      </c>
    </row>
    <row r="599" spans="1:21" ht="15.75" x14ac:dyDescent="0.25">
      <c r="A599" s="131" t="s">
        <v>1198</v>
      </c>
      <c r="B599" s="137">
        <f t="shared" si="80"/>
        <v>0</v>
      </c>
      <c r="D599" s="134" t="s">
        <v>1379</v>
      </c>
      <c r="F599" s="134">
        <f t="shared" si="81"/>
        <v>0</v>
      </c>
      <c r="G599" s="134" t="s">
        <v>1379</v>
      </c>
      <c r="I599" s="134">
        <f t="shared" si="82"/>
        <v>0</v>
      </c>
      <c r="J599" s="134" t="s">
        <v>1379</v>
      </c>
      <c r="L599" s="134">
        <f t="shared" si="83"/>
        <v>0</v>
      </c>
      <c r="M599" s="134" t="s">
        <v>1379</v>
      </c>
      <c r="O599" s="134">
        <f t="shared" si="84"/>
        <v>0</v>
      </c>
      <c r="P599" s="134" t="s">
        <v>1379</v>
      </c>
      <c r="R599" s="134">
        <f t="shared" si="85"/>
        <v>0</v>
      </c>
      <c r="S599" s="134" t="s">
        <v>1379</v>
      </c>
      <c r="U599" s="134">
        <f t="shared" si="86"/>
        <v>0</v>
      </c>
    </row>
    <row r="600" spans="1:21" ht="15.75" x14ac:dyDescent="0.25">
      <c r="A600" s="131" t="s">
        <v>1199</v>
      </c>
      <c r="B600" s="137">
        <f t="shared" si="80"/>
        <v>0</v>
      </c>
      <c r="D600" s="134" t="s">
        <v>1379</v>
      </c>
      <c r="F600" s="134">
        <f t="shared" si="81"/>
        <v>0</v>
      </c>
      <c r="G600" s="134" t="s">
        <v>1379</v>
      </c>
      <c r="I600" s="134">
        <f t="shared" si="82"/>
        <v>0</v>
      </c>
      <c r="J600" s="134" t="s">
        <v>1379</v>
      </c>
      <c r="L600" s="134">
        <f t="shared" si="83"/>
        <v>0</v>
      </c>
      <c r="M600" s="134" t="s">
        <v>1379</v>
      </c>
      <c r="O600" s="134">
        <f t="shared" si="84"/>
        <v>0</v>
      </c>
      <c r="P600" s="134" t="s">
        <v>1379</v>
      </c>
      <c r="R600" s="134">
        <f t="shared" si="85"/>
        <v>0</v>
      </c>
      <c r="S600" s="134" t="s">
        <v>1379</v>
      </c>
      <c r="U600" s="134">
        <f t="shared" si="86"/>
        <v>0</v>
      </c>
    </row>
    <row r="601" spans="1:21" ht="15.75" x14ac:dyDescent="0.25">
      <c r="A601" s="131" t="s">
        <v>1200</v>
      </c>
      <c r="B601" s="137">
        <f t="shared" si="80"/>
        <v>0</v>
      </c>
      <c r="D601" s="134" t="s">
        <v>1379</v>
      </c>
      <c r="F601" s="134">
        <f t="shared" si="81"/>
        <v>0</v>
      </c>
      <c r="G601" s="134" t="s">
        <v>1379</v>
      </c>
      <c r="I601" s="134">
        <f t="shared" si="82"/>
        <v>0</v>
      </c>
      <c r="J601" s="134" t="s">
        <v>1379</v>
      </c>
      <c r="L601" s="134">
        <f t="shared" si="83"/>
        <v>0</v>
      </c>
      <c r="M601" s="134" t="s">
        <v>1379</v>
      </c>
      <c r="O601" s="134">
        <f t="shared" si="84"/>
        <v>0</v>
      </c>
      <c r="P601" s="134" t="s">
        <v>1379</v>
      </c>
      <c r="R601" s="134">
        <f t="shared" si="85"/>
        <v>0</v>
      </c>
      <c r="S601" s="134" t="s">
        <v>1379</v>
      </c>
      <c r="U601" s="134">
        <f t="shared" si="86"/>
        <v>0</v>
      </c>
    </row>
    <row r="602" spans="1:21" ht="15.75" x14ac:dyDescent="0.25">
      <c r="A602" s="131" t="s">
        <v>1201</v>
      </c>
      <c r="B602" s="137">
        <f t="shared" si="80"/>
        <v>0</v>
      </c>
      <c r="D602" s="134" t="s">
        <v>1379</v>
      </c>
      <c r="F602" s="134">
        <f t="shared" si="81"/>
        <v>0</v>
      </c>
      <c r="G602" s="134" t="s">
        <v>1379</v>
      </c>
      <c r="I602" s="134">
        <f t="shared" si="82"/>
        <v>0</v>
      </c>
      <c r="J602" s="134" t="s">
        <v>1379</v>
      </c>
      <c r="L602" s="134">
        <f t="shared" si="83"/>
        <v>0</v>
      </c>
      <c r="M602" s="134" t="s">
        <v>1379</v>
      </c>
      <c r="O602" s="134">
        <f t="shared" si="84"/>
        <v>0</v>
      </c>
      <c r="P602" s="134" t="s">
        <v>1379</v>
      </c>
      <c r="R602" s="134">
        <f t="shared" si="85"/>
        <v>0</v>
      </c>
      <c r="S602" s="134" t="s">
        <v>1379</v>
      </c>
      <c r="U602" s="134">
        <f t="shared" si="86"/>
        <v>0</v>
      </c>
    </row>
    <row r="603" spans="1:21" ht="15.75" x14ac:dyDescent="0.25">
      <c r="A603" s="131" t="s">
        <v>1202</v>
      </c>
      <c r="B603" s="137">
        <f t="shared" si="80"/>
        <v>0</v>
      </c>
      <c r="D603" s="134" t="s">
        <v>1379</v>
      </c>
      <c r="F603" s="134">
        <f t="shared" si="81"/>
        <v>0</v>
      </c>
      <c r="G603" s="134" t="s">
        <v>1379</v>
      </c>
      <c r="I603" s="134">
        <f t="shared" si="82"/>
        <v>0</v>
      </c>
      <c r="J603" s="134" t="s">
        <v>1379</v>
      </c>
      <c r="L603" s="134">
        <f t="shared" si="83"/>
        <v>0</v>
      </c>
      <c r="M603" s="134" t="s">
        <v>1379</v>
      </c>
      <c r="O603" s="134">
        <f t="shared" si="84"/>
        <v>0</v>
      </c>
      <c r="P603" s="134" t="s">
        <v>1379</v>
      </c>
      <c r="R603" s="134">
        <f t="shared" si="85"/>
        <v>0</v>
      </c>
      <c r="S603" s="134" t="s">
        <v>1379</v>
      </c>
      <c r="U603" s="134">
        <f t="shared" si="86"/>
        <v>0</v>
      </c>
    </row>
    <row r="604" spans="1:21" ht="15.75" x14ac:dyDescent="0.25">
      <c r="A604" s="131" t="s">
        <v>1203</v>
      </c>
      <c r="B604" s="137">
        <f t="shared" si="80"/>
        <v>0</v>
      </c>
      <c r="D604" s="134" t="s">
        <v>1379</v>
      </c>
      <c r="F604" s="134">
        <f t="shared" si="81"/>
        <v>0</v>
      </c>
      <c r="G604" s="134" t="s">
        <v>1379</v>
      </c>
      <c r="I604" s="134">
        <f t="shared" si="82"/>
        <v>0</v>
      </c>
      <c r="J604" s="134" t="s">
        <v>1379</v>
      </c>
      <c r="L604" s="134">
        <f t="shared" si="83"/>
        <v>0</v>
      </c>
      <c r="M604" s="134" t="s">
        <v>1379</v>
      </c>
      <c r="O604" s="134">
        <f t="shared" si="84"/>
        <v>0</v>
      </c>
      <c r="P604" s="134" t="s">
        <v>1379</v>
      </c>
      <c r="R604" s="134">
        <f t="shared" si="85"/>
        <v>0</v>
      </c>
      <c r="S604" s="134" t="s">
        <v>1379</v>
      </c>
      <c r="U604" s="134">
        <f t="shared" si="86"/>
        <v>0</v>
      </c>
    </row>
    <row r="605" spans="1:21" ht="15.75" x14ac:dyDescent="0.25">
      <c r="A605" s="131" t="s">
        <v>1204</v>
      </c>
      <c r="B605" s="137">
        <f t="shared" si="80"/>
        <v>0</v>
      </c>
      <c r="D605" s="134" t="s">
        <v>1379</v>
      </c>
      <c r="F605" s="134">
        <f t="shared" si="81"/>
        <v>0</v>
      </c>
      <c r="G605" s="134" t="s">
        <v>1379</v>
      </c>
      <c r="I605" s="134">
        <f t="shared" si="82"/>
        <v>0</v>
      </c>
      <c r="J605" s="134" t="s">
        <v>1379</v>
      </c>
      <c r="L605" s="134">
        <f t="shared" si="83"/>
        <v>0</v>
      </c>
      <c r="M605" s="134" t="s">
        <v>1379</v>
      </c>
      <c r="O605" s="134">
        <f t="shared" si="84"/>
        <v>0</v>
      </c>
      <c r="P605" s="134" t="s">
        <v>1379</v>
      </c>
      <c r="R605" s="134">
        <f t="shared" si="85"/>
        <v>0</v>
      </c>
      <c r="S605" s="134" t="s">
        <v>1379</v>
      </c>
      <c r="U605" s="134">
        <f t="shared" si="86"/>
        <v>0</v>
      </c>
    </row>
    <row r="606" spans="1:21" ht="15.75" x14ac:dyDescent="0.25">
      <c r="A606" s="131" t="s">
        <v>1205</v>
      </c>
      <c r="B606" s="137">
        <f t="shared" si="80"/>
        <v>0</v>
      </c>
      <c r="D606" s="134" t="s">
        <v>1379</v>
      </c>
      <c r="F606" s="134">
        <f t="shared" si="81"/>
        <v>0</v>
      </c>
      <c r="G606" s="134" t="s">
        <v>1379</v>
      </c>
      <c r="I606" s="134">
        <f t="shared" si="82"/>
        <v>0</v>
      </c>
      <c r="J606" s="134" t="s">
        <v>1379</v>
      </c>
      <c r="L606" s="134">
        <f t="shared" si="83"/>
        <v>0</v>
      </c>
      <c r="M606" s="134" t="s">
        <v>1379</v>
      </c>
      <c r="O606" s="134">
        <f t="shared" si="84"/>
        <v>0</v>
      </c>
      <c r="P606" s="134" t="s">
        <v>1379</v>
      </c>
      <c r="R606" s="134">
        <f t="shared" si="85"/>
        <v>0</v>
      </c>
      <c r="S606" s="134" t="s">
        <v>1379</v>
      </c>
      <c r="U606" s="134">
        <f t="shared" si="86"/>
        <v>0</v>
      </c>
    </row>
    <row r="607" spans="1:21" ht="15.75" x14ac:dyDescent="0.25">
      <c r="A607" s="131" t="s">
        <v>1206</v>
      </c>
      <c r="B607" s="137">
        <f t="shared" si="80"/>
        <v>0</v>
      </c>
      <c r="D607" s="134" t="s">
        <v>1379</v>
      </c>
      <c r="F607" s="134">
        <f t="shared" si="81"/>
        <v>0</v>
      </c>
      <c r="G607" s="134" t="s">
        <v>1379</v>
      </c>
      <c r="I607" s="134">
        <f t="shared" si="82"/>
        <v>0</v>
      </c>
      <c r="J607" s="134" t="s">
        <v>1379</v>
      </c>
      <c r="L607" s="134">
        <f t="shared" si="83"/>
        <v>0</v>
      </c>
      <c r="M607" s="134" t="s">
        <v>1379</v>
      </c>
      <c r="O607" s="134">
        <f t="shared" si="84"/>
        <v>0</v>
      </c>
      <c r="P607" s="134" t="s">
        <v>1379</v>
      </c>
      <c r="R607" s="134">
        <f t="shared" si="85"/>
        <v>0</v>
      </c>
      <c r="S607" s="134" t="s">
        <v>1379</v>
      </c>
      <c r="U607" s="134">
        <f t="shared" si="86"/>
        <v>0</v>
      </c>
    </row>
    <row r="608" spans="1:21" ht="15.75" x14ac:dyDescent="0.25">
      <c r="A608" s="131" t="s">
        <v>1207</v>
      </c>
      <c r="B608" s="137">
        <f t="shared" si="80"/>
        <v>0</v>
      </c>
      <c r="D608" s="134" t="s">
        <v>1379</v>
      </c>
      <c r="F608" s="134">
        <f t="shared" si="81"/>
        <v>0</v>
      </c>
      <c r="G608" s="134" t="s">
        <v>1379</v>
      </c>
      <c r="I608" s="134">
        <f t="shared" si="82"/>
        <v>0</v>
      </c>
      <c r="J608" s="134" t="s">
        <v>1379</v>
      </c>
      <c r="L608" s="134">
        <f t="shared" si="83"/>
        <v>0</v>
      </c>
      <c r="M608" s="134" t="s">
        <v>1379</v>
      </c>
      <c r="O608" s="134">
        <f t="shared" si="84"/>
        <v>0</v>
      </c>
      <c r="P608" s="134" t="s">
        <v>1379</v>
      </c>
      <c r="R608" s="134">
        <f t="shared" si="85"/>
        <v>0</v>
      </c>
      <c r="S608" s="134" t="s">
        <v>1379</v>
      </c>
      <c r="U608" s="134">
        <f t="shared" si="86"/>
        <v>0</v>
      </c>
    </row>
    <row r="609" spans="1:21" ht="15.75" x14ac:dyDescent="0.25">
      <c r="A609" s="131" t="s">
        <v>1208</v>
      </c>
      <c r="B609" s="137">
        <f t="shared" si="80"/>
        <v>0</v>
      </c>
      <c r="D609" s="134" t="s">
        <v>1379</v>
      </c>
      <c r="F609" s="134">
        <f t="shared" si="81"/>
        <v>0</v>
      </c>
      <c r="G609" s="134" t="s">
        <v>1379</v>
      </c>
      <c r="I609" s="134">
        <f t="shared" si="82"/>
        <v>0</v>
      </c>
      <c r="J609" s="134" t="s">
        <v>1379</v>
      </c>
      <c r="L609" s="134">
        <f t="shared" si="83"/>
        <v>0</v>
      </c>
      <c r="M609" s="134" t="s">
        <v>1379</v>
      </c>
      <c r="O609" s="134">
        <f t="shared" si="84"/>
        <v>0</v>
      </c>
      <c r="P609" s="134" t="s">
        <v>1379</v>
      </c>
      <c r="R609" s="134">
        <f t="shared" si="85"/>
        <v>0</v>
      </c>
      <c r="S609" s="134" t="s">
        <v>1379</v>
      </c>
      <c r="U609" s="134">
        <f t="shared" si="86"/>
        <v>0</v>
      </c>
    </row>
    <row r="610" spans="1:21" ht="15.75" x14ac:dyDescent="0.25">
      <c r="A610" s="131" t="s">
        <v>1209</v>
      </c>
      <c r="B610" s="137">
        <f t="shared" si="80"/>
        <v>0</v>
      </c>
      <c r="D610" s="134" t="s">
        <v>1379</v>
      </c>
      <c r="F610" s="134">
        <f t="shared" si="81"/>
        <v>0</v>
      </c>
      <c r="G610" s="134" t="s">
        <v>1379</v>
      </c>
      <c r="I610" s="134">
        <f t="shared" si="82"/>
        <v>0</v>
      </c>
      <c r="J610" s="134" t="s">
        <v>1379</v>
      </c>
      <c r="L610" s="134">
        <f t="shared" si="83"/>
        <v>0</v>
      </c>
      <c r="M610" s="134" t="s">
        <v>1379</v>
      </c>
      <c r="O610" s="134">
        <f t="shared" si="84"/>
        <v>0</v>
      </c>
      <c r="P610" s="134" t="s">
        <v>1379</v>
      </c>
      <c r="R610" s="134">
        <f t="shared" si="85"/>
        <v>0</v>
      </c>
      <c r="S610" s="134" t="s">
        <v>1379</v>
      </c>
      <c r="U610" s="134">
        <f t="shared" si="86"/>
        <v>0</v>
      </c>
    </row>
    <row r="611" spans="1:21" ht="15.75" x14ac:dyDescent="0.25">
      <c r="A611" s="131" t="s">
        <v>1210</v>
      </c>
      <c r="B611" s="137">
        <f t="shared" si="80"/>
        <v>0</v>
      </c>
      <c r="D611" s="134" t="s">
        <v>1379</v>
      </c>
      <c r="F611" s="134">
        <f t="shared" si="81"/>
        <v>0</v>
      </c>
      <c r="G611" s="134" t="s">
        <v>1379</v>
      </c>
      <c r="I611" s="134">
        <f t="shared" si="82"/>
        <v>0</v>
      </c>
      <c r="J611" s="134" t="s">
        <v>1379</v>
      </c>
      <c r="L611" s="134">
        <f t="shared" si="83"/>
        <v>0</v>
      </c>
      <c r="M611" s="134" t="s">
        <v>1379</v>
      </c>
      <c r="O611" s="134">
        <f t="shared" si="84"/>
        <v>0</v>
      </c>
      <c r="P611" s="134" t="s">
        <v>1379</v>
      </c>
      <c r="R611" s="134">
        <f t="shared" si="85"/>
        <v>0</v>
      </c>
      <c r="S611" s="134" t="s">
        <v>1379</v>
      </c>
      <c r="U611" s="134">
        <f t="shared" si="86"/>
        <v>0</v>
      </c>
    </row>
    <row r="612" spans="1:21" ht="15.75" x14ac:dyDescent="0.25">
      <c r="A612" s="131" t="s">
        <v>1211</v>
      </c>
      <c r="B612" s="137">
        <f t="shared" si="80"/>
        <v>0</v>
      </c>
      <c r="D612" s="134" t="s">
        <v>1379</v>
      </c>
      <c r="F612" s="134">
        <f t="shared" si="81"/>
        <v>0</v>
      </c>
      <c r="G612" s="134" t="s">
        <v>1379</v>
      </c>
      <c r="I612" s="134">
        <f t="shared" si="82"/>
        <v>0</v>
      </c>
      <c r="J612" s="134" t="s">
        <v>1379</v>
      </c>
      <c r="L612" s="134">
        <f t="shared" si="83"/>
        <v>0</v>
      </c>
      <c r="M612" s="134" t="s">
        <v>1379</v>
      </c>
      <c r="O612" s="134">
        <f t="shared" si="84"/>
        <v>0</v>
      </c>
      <c r="P612" s="134" t="s">
        <v>1379</v>
      </c>
      <c r="R612" s="134">
        <f t="shared" si="85"/>
        <v>0</v>
      </c>
      <c r="S612" s="134" t="s">
        <v>1379</v>
      </c>
      <c r="U612" s="134">
        <f t="shared" si="86"/>
        <v>0</v>
      </c>
    </row>
    <row r="613" spans="1:21" ht="15.75" x14ac:dyDescent="0.25">
      <c r="A613" s="131" t="s">
        <v>1212</v>
      </c>
      <c r="B613" s="137">
        <f t="shared" si="80"/>
        <v>0</v>
      </c>
      <c r="D613" s="134" t="s">
        <v>1379</v>
      </c>
      <c r="F613" s="134">
        <f t="shared" si="81"/>
        <v>0</v>
      </c>
      <c r="G613" s="134" t="s">
        <v>1379</v>
      </c>
      <c r="I613" s="134">
        <f t="shared" si="82"/>
        <v>0</v>
      </c>
      <c r="J613" s="134" t="s">
        <v>1379</v>
      </c>
      <c r="L613" s="134">
        <f t="shared" si="83"/>
        <v>0</v>
      </c>
      <c r="M613" s="134" t="s">
        <v>1379</v>
      </c>
      <c r="O613" s="134">
        <f t="shared" si="84"/>
        <v>0</v>
      </c>
      <c r="P613" s="134" t="s">
        <v>1379</v>
      </c>
      <c r="R613" s="134">
        <f t="shared" si="85"/>
        <v>0</v>
      </c>
      <c r="S613" s="134" t="s">
        <v>1379</v>
      </c>
      <c r="U613" s="134">
        <f t="shared" si="86"/>
        <v>0</v>
      </c>
    </row>
    <row r="614" spans="1:21" ht="15.75" x14ac:dyDescent="0.25">
      <c r="A614" s="131" t="s">
        <v>1213</v>
      </c>
      <c r="B614" s="137">
        <f t="shared" si="80"/>
        <v>0</v>
      </c>
      <c r="D614" s="134" t="s">
        <v>1379</v>
      </c>
      <c r="F614" s="134">
        <f t="shared" si="81"/>
        <v>0</v>
      </c>
      <c r="G614" s="134" t="s">
        <v>1379</v>
      </c>
      <c r="I614" s="134">
        <f t="shared" si="82"/>
        <v>0</v>
      </c>
      <c r="J614" s="134" t="s">
        <v>1379</v>
      </c>
      <c r="L614" s="134">
        <f t="shared" si="83"/>
        <v>0</v>
      </c>
      <c r="M614" s="134" t="s">
        <v>1379</v>
      </c>
      <c r="O614" s="134">
        <f t="shared" si="84"/>
        <v>0</v>
      </c>
      <c r="P614" s="134" t="s">
        <v>1379</v>
      </c>
      <c r="R614" s="134">
        <f t="shared" si="85"/>
        <v>0</v>
      </c>
      <c r="S614" s="134" t="s">
        <v>1379</v>
      </c>
      <c r="U614" s="134">
        <f t="shared" si="86"/>
        <v>0</v>
      </c>
    </row>
    <row r="615" spans="1:21" ht="15.75" x14ac:dyDescent="0.25">
      <c r="A615" s="131" t="s">
        <v>1214</v>
      </c>
      <c r="B615" s="137">
        <f t="shared" si="80"/>
        <v>0</v>
      </c>
      <c r="D615" s="134" t="s">
        <v>1379</v>
      </c>
      <c r="F615" s="134">
        <f t="shared" si="81"/>
        <v>0</v>
      </c>
      <c r="G615" s="134" t="s">
        <v>1379</v>
      </c>
      <c r="I615" s="134">
        <f t="shared" si="82"/>
        <v>0</v>
      </c>
      <c r="J615" s="134" t="s">
        <v>1379</v>
      </c>
      <c r="L615" s="134">
        <f t="shared" si="83"/>
        <v>0</v>
      </c>
      <c r="M615" s="134" t="s">
        <v>1379</v>
      </c>
      <c r="O615" s="134">
        <f t="shared" si="84"/>
        <v>0</v>
      </c>
      <c r="P615" s="134" t="s">
        <v>1379</v>
      </c>
      <c r="R615" s="134">
        <f t="shared" si="85"/>
        <v>0</v>
      </c>
      <c r="S615" s="134" t="s">
        <v>1379</v>
      </c>
      <c r="U615" s="134">
        <f t="shared" si="86"/>
        <v>0</v>
      </c>
    </row>
    <row r="616" spans="1:21" ht="15.75" x14ac:dyDescent="0.25">
      <c r="A616" s="131" t="s">
        <v>1215</v>
      </c>
      <c r="B616" s="137">
        <f t="shared" si="80"/>
        <v>0</v>
      </c>
      <c r="D616" s="134" t="s">
        <v>1379</v>
      </c>
      <c r="F616" s="134">
        <f t="shared" si="81"/>
        <v>0</v>
      </c>
      <c r="G616" s="134" t="s">
        <v>1379</v>
      </c>
      <c r="I616" s="134">
        <f t="shared" si="82"/>
        <v>0</v>
      </c>
      <c r="J616" s="134" t="s">
        <v>1379</v>
      </c>
      <c r="L616" s="134">
        <f t="shared" si="83"/>
        <v>0</v>
      </c>
      <c r="M616" s="134" t="s">
        <v>1379</v>
      </c>
      <c r="O616" s="134">
        <f t="shared" si="84"/>
        <v>0</v>
      </c>
      <c r="P616" s="134" t="s">
        <v>1379</v>
      </c>
      <c r="R616" s="134">
        <f t="shared" si="85"/>
        <v>0</v>
      </c>
      <c r="S616" s="134" t="s">
        <v>1379</v>
      </c>
      <c r="U616" s="134">
        <f t="shared" si="86"/>
        <v>0</v>
      </c>
    </row>
    <row r="617" spans="1:21" ht="15.75" x14ac:dyDescent="0.25">
      <c r="A617" s="131" t="s">
        <v>1216</v>
      </c>
      <c r="B617" s="137">
        <f t="shared" si="80"/>
        <v>0</v>
      </c>
      <c r="D617" s="134" t="s">
        <v>1379</v>
      </c>
      <c r="F617" s="134">
        <f t="shared" si="81"/>
        <v>0</v>
      </c>
      <c r="G617" s="134" t="s">
        <v>1379</v>
      </c>
      <c r="I617" s="134">
        <f t="shared" si="82"/>
        <v>0</v>
      </c>
      <c r="J617" s="134" t="s">
        <v>1379</v>
      </c>
      <c r="L617" s="134">
        <f t="shared" si="83"/>
        <v>0</v>
      </c>
      <c r="M617" s="134" t="s">
        <v>1379</v>
      </c>
      <c r="O617" s="134">
        <f t="shared" si="84"/>
        <v>0</v>
      </c>
      <c r="P617" s="134" t="s">
        <v>1379</v>
      </c>
      <c r="R617" s="134">
        <f t="shared" si="85"/>
        <v>0</v>
      </c>
      <c r="S617" s="134" t="s">
        <v>1379</v>
      </c>
      <c r="U617" s="134">
        <f t="shared" si="86"/>
        <v>0</v>
      </c>
    </row>
    <row r="618" spans="1:21" ht="15.75" x14ac:dyDescent="0.25">
      <c r="A618" s="131" t="s">
        <v>1217</v>
      </c>
      <c r="B618" s="137">
        <f t="shared" si="80"/>
        <v>0</v>
      </c>
      <c r="D618" s="134" t="s">
        <v>1379</v>
      </c>
      <c r="F618" s="134">
        <f t="shared" si="81"/>
        <v>0</v>
      </c>
      <c r="G618" s="134" t="s">
        <v>1379</v>
      </c>
      <c r="I618" s="134">
        <f t="shared" si="82"/>
        <v>0</v>
      </c>
      <c r="J618" s="134" t="s">
        <v>1379</v>
      </c>
      <c r="L618" s="134">
        <f t="shared" si="83"/>
        <v>0</v>
      </c>
      <c r="M618" s="134" t="s">
        <v>1379</v>
      </c>
      <c r="O618" s="134">
        <f t="shared" si="84"/>
        <v>0</v>
      </c>
      <c r="P618" s="134" t="s">
        <v>1379</v>
      </c>
      <c r="R618" s="134">
        <f t="shared" si="85"/>
        <v>0</v>
      </c>
      <c r="S618" s="134" t="s">
        <v>1379</v>
      </c>
      <c r="U618" s="134">
        <f t="shared" si="86"/>
        <v>0</v>
      </c>
    </row>
    <row r="619" spans="1:21" ht="15.75" x14ac:dyDescent="0.25">
      <c r="A619" s="131" t="s">
        <v>1218</v>
      </c>
      <c r="B619" s="137">
        <f t="shared" si="80"/>
        <v>0</v>
      </c>
      <c r="D619" s="134" t="s">
        <v>1379</v>
      </c>
      <c r="F619" s="134">
        <f t="shared" si="81"/>
        <v>0</v>
      </c>
      <c r="G619" s="134" t="s">
        <v>1379</v>
      </c>
      <c r="I619" s="134">
        <f t="shared" si="82"/>
        <v>0</v>
      </c>
      <c r="J619" s="134" t="s">
        <v>1379</v>
      </c>
      <c r="L619" s="134">
        <f t="shared" si="83"/>
        <v>0</v>
      </c>
      <c r="M619" s="134" t="s">
        <v>1379</v>
      </c>
      <c r="O619" s="134">
        <f t="shared" si="84"/>
        <v>0</v>
      </c>
      <c r="P619" s="134" t="s">
        <v>1379</v>
      </c>
      <c r="R619" s="134">
        <f t="shared" si="85"/>
        <v>0</v>
      </c>
      <c r="S619" s="134" t="s">
        <v>1379</v>
      </c>
      <c r="U619" s="134">
        <f t="shared" si="86"/>
        <v>0</v>
      </c>
    </row>
    <row r="620" spans="1:21" ht="15.75" x14ac:dyDescent="0.25">
      <c r="A620" s="131" t="s">
        <v>1219</v>
      </c>
      <c r="B620" s="137">
        <f t="shared" si="80"/>
        <v>0</v>
      </c>
      <c r="D620" s="134" t="s">
        <v>1379</v>
      </c>
      <c r="F620" s="134">
        <f t="shared" si="81"/>
        <v>0</v>
      </c>
      <c r="G620" s="134" t="s">
        <v>1379</v>
      </c>
      <c r="I620" s="134">
        <f t="shared" si="82"/>
        <v>0</v>
      </c>
      <c r="J620" s="134" t="s">
        <v>1379</v>
      </c>
      <c r="L620" s="134">
        <f t="shared" si="83"/>
        <v>0</v>
      </c>
      <c r="M620" s="134" t="s">
        <v>1379</v>
      </c>
      <c r="O620" s="134">
        <f t="shared" si="84"/>
        <v>0</v>
      </c>
      <c r="P620" s="134" t="s">
        <v>1379</v>
      </c>
      <c r="R620" s="134">
        <f t="shared" si="85"/>
        <v>0</v>
      </c>
      <c r="S620" s="134" t="s">
        <v>1379</v>
      </c>
      <c r="U620" s="134">
        <f t="shared" si="86"/>
        <v>0</v>
      </c>
    </row>
    <row r="621" spans="1:21" ht="15.75" x14ac:dyDescent="0.25">
      <c r="A621" s="131" t="s">
        <v>1220</v>
      </c>
      <c r="B621" s="137">
        <f t="shared" si="80"/>
        <v>0</v>
      </c>
      <c r="D621" s="134" t="s">
        <v>1379</v>
      </c>
      <c r="F621" s="134">
        <f t="shared" si="81"/>
        <v>0</v>
      </c>
      <c r="G621" s="134" t="s">
        <v>1379</v>
      </c>
      <c r="I621" s="134">
        <f t="shared" si="82"/>
        <v>0</v>
      </c>
      <c r="J621" s="134" t="s">
        <v>1379</v>
      </c>
      <c r="L621" s="134">
        <f t="shared" si="83"/>
        <v>0</v>
      </c>
      <c r="M621" s="134" t="s">
        <v>1379</v>
      </c>
      <c r="O621" s="134">
        <f t="shared" si="84"/>
        <v>0</v>
      </c>
      <c r="P621" s="134" t="s">
        <v>1379</v>
      </c>
      <c r="R621" s="134">
        <f t="shared" si="85"/>
        <v>0</v>
      </c>
      <c r="S621" s="134" t="s">
        <v>1379</v>
      </c>
      <c r="U621" s="134">
        <f t="shared" si="86"/>
        <v>0</v>
      </c>
    </row>
    <row r="622" spans="1:21" ht="15.75" x14ac:dyDescent="0.25">
      <c r="A622" s="131" t="s">
        <v>1221</v>
      </c>
      <c r="B622" s="137">
        <f t="shared" si="80"/>
        <v>0</v>
      </c>
      <c r="D622" s="134" t="s">
        <v>1379</v>
      </c>
      <c r="F622" s="134">
        <f t="shared" si="81"/>
        <v>0</v>
      </c>
      <c r="G622" s="134" t="s">
        <v>1379</v>
      </c>
      <c r="I622" s="134">
        <f t="shared" si="82"/>
        <v>0</v>
      </c>
      <c r="J622" s="134" t="s">
        <v>1379</v>
      </c>
      <c r="L622" s="134">
        <f t="shared" si="83"/>
        <v>0</v>
      </c>
      <c r="M622" s="134" t="s">
        <v>1379</v>
      </c>
      <c r="O622" s="134">
        <f t="shared" si="84"/>
        <v>0</v>
      </c>
      <c r="P622" s="134" t="s">
        <v>1379</v>
      </c>
      <c r="R622" s="134">
        <f t="shared" si="85"/>
        <v>0</v>
      </c>
      <c r="S622" s="134" t="s">
        <v>1379</v>
      </c>
      <c r="U622" s="134">
        <f t="shared" si="86"/>
        <v>0</v>
      </c>
    </row>
    <row r="623" spans="1:21" ht="15.75" x14ac:dyDescent="0.25">
      <c r="A623" s="131" t="s">
        <v>1222</v>
      </c>
      <c r="B623" s="137">
        <f t="shared" si="80"/>
        <v>0</v>
      </c>
      <c r="D623" s="134" t="s">
        <v>1379</v>
      </c>
      <c r="F623" s="134">
        <f t="shared" si="81"/>
        <v>0</v>
      </c>
      <c r="G623" s="134" t="s">
        <v>1379</v>
      </c>
      <c r="I623" s="134">
        <f t="shared" si="82"/>
        <v>0</v>
      </c>
      <c r="J623" s="134" t="s">
        <v>1379</v>
      </c>
      <c r="L623" s="134">
        <f t="shared" si="83"/>
        <v>0</v>
      </c>
      <c r="M623" s="134" t="s">
        <v>1379</v>
      </c>
      <c r="O623" s="134">
        <f t="shared" si="84"/>
        <v>0</v>
      </c>
      <c r="P623" s="134" t="s">
        <v>1379</v>
      </c>
      <c r="R623" s="134">
        <f t="shared" si="85"/>
        <v>0</v>
      </c>
      <c r="S623" s="134" t="s">
        <v>1379</v>
      </c>
      <c r="U623" s="134">
        <f t="shared" si="86"/>
        <v>0</v>
      </c>
    </row>
    <row r="624" spans="1:21" ht="15.75" x14ac:dyDescent="0.25">
      <c r="A624" s="131" t="s">
        <v>1223</v>
      </c>
      <c r="B624" s="137">
        <f t="shared" si="80"/>
        <v>0</v>
      </c>
      <c r="D624" s="134" t="s">
        <v>1379</v>
      </c>
      <c r="F624" s="134">
        <f t="shared" si="81"/>
        <v>0</v>
      </c>
      <c r="G624" s="134" t="s">
        <v>1379</v>
      </c>
      <c r="I624" s="134">
        <f t="shared" si="82"/>
        <v>0</v>
      </c>
      <c r="J624" s="134" t="s">
        <v>1379</v>
      </c>
      <c r="L624" s="134">
        <f t="shared" si="83"/>
        <v>0</v>
      </c>
      <c r="M624" s="134" t="s">
        <v>1379</v>
      </c>
      <c r="O624" s="134">
        <f t="shared" si="84"/>
        <v>0</v>
      </c>
      <c r="P624" s="134" t="s">
        <v>1379</v>
      </c>
      <c r="R624" s="134">
        <f t="shared" si="85"/>
        <v>0</v>
      </c>
      <c r="S624" s="134" t="s">
        <v>1379</v>
      </c>
      <c r="U624" s="134">
        <f t="shared" si="86"/>
        <v>0</v>
      </c>
    </row>
    <row r="625" spans="1:21" ht="15.75" x14ac:dyDescent="0.25">
      <c r="A625" s="131" t="s">
        <v>1224</v>
      </c>
      <c r="B625" s="137">
        <f t="shared" si="80"/>
        <v>0</v>
      </c>
      <c r="D625" s="134" t="s">
        <v>1379</v>
      </c>
      <c r="F625" s="134">
        <f t="shared" si="81"/>
        <v>0</v>
      </c>
      <c r="G625" s="134" t="s">
        <v>1379</v>
      </c>
      <c r="I625" s="134">
        <f t="shared" si="82"/>
        <v>0</v>
      </c>
      <c r="J625" s="134" t="s">
        <v>1379</v>
      </c>
      <c r="L625" s="134">
        <f t="shared" si="83"/>
        <v>0</v>
      </c>
      <c r="M625" s="134" t="s">
        <v>1379</v>
      </c>
      <c r="O625" s="134">
        <f t="shared" si="84"/>
        <v>0</v>
      </c>
      <c r="P625" s="134" t="s">
        <v>1379</v>
      </c>
      <c r="R625" s="134">
        <f t="shared" si="85"/>
        <v>0</v>
      </c>
      <c r="S625" s="134" t="s">
        <v>1379</v>
      </c>
      <c r="U625" s="134">
        <f t="shared" si="86"/>
        <v>0</v>
      </c>
    </row>
    <row r="626" spans="1:21" ht="15.75" x14ac:dyDescent="0.25">
      <c r="A626" s="131" t="s">
        <v>1225</v>
      </c>
      <c r="B626" s="137">
        <f t="shared" si="80"/>
        <v>0</v>
      </c>
      <c r="D626" s="134" t="s">
        <v>1379</v>
      </c>
      <c r="F626" s="134">
        <f t="shared" si="81"/>
        <v>0</v>
      </c>
      <c r="G626" s="134" t="s">
        <v>1379</v>
      </c>
      <c r="I626" s="134">
        <f t="shared" si="82"/>
        <v>0</v>
      </c>
      <c r="J626" s="134" t="s">
        <v>1379</v>
      </c>
      <c r="L626" s="134">
        <f t="shared" si="83"/>
        <v>0</v>
      </c>
      <c r="M626" s="134" t="s">
        <v>1379</v>
      </c>
      <c r="O626" s="134">
        <f t="shared" si="84"/>
        <v>0</v>
      </c>
      <c r="P626" s="134" t="s">
        <v>1379</v>
      </c>
      <c r="R626" s="134">
        <f t="shared" si="85"/>
        <v>0</v>
      </c>
      <c r="S626" s="134" t="s">
        <v>1379</v>
      </c>
      <c r="U626" s="134">
        <f t="shared" si="86"/>
        <v>0</v>
      </c>
    </row>
    <row r="627" spans="1:21" ht="15.75" x14ac:dyDescent="0.25">
      <c r="A627" s="131" t="s">
        <v>1226</v>
      </c>
      <c r="B627" s="137">
        <f t="shared" si="80"/>
        <v>0</v>
      </c>
      <c r="D627" s="134" t="s">
        <v>1379</v>
      </c>
      <c r="F627" s="134">
        <f t="shared" si="81"/>
        <v>0</v>
      </c>
      <c r="G627" s="134" t="s">
        <v>1379</v>
      </c>
      <c r="I627" s="134">
        <f t="shared" si="82"/>
        <v>0</v>
      </c>
      <c r="J627" s="134" t="s">
        <v>1379</v>
      </c>
      <c r="L627" s="134">
        <f t="shared" si="83"/>
        <v>0</v>
      </c>
      <c r="M627" s="134" t="s">
        <v>1379</v>
      </c>
      <c r="O627" s="134">
        <f t="shared" si="84"/>
        <v>0</v>
      </c>
      <c r="P627" s="134" t="s">
        <v>1379</v>
      </c>
      <c r="R627" s="134">
        <f t="shared" si="85"/>
        <v>0</v>
      </c>
      <c r="S627" s="134" t="s">
        <v>1379</v>
      </c>
      <c r="U627" s="134">
        <f t="shared" si="86"/>
        <v>0</v>
      </c>
    </row>
    <row r="628" spans="1:21" ht="15.75" x14ac:dyDescent="0.25">
      <c r="A628" s="131" t="s">
        <v>1227</v>
      </c>
      <c r="B628" s="137">
        <f t="shared" si="80"/>
        <v>0</v>
      </c>
      <c r="D628" s="134" t="s">
        <v>1379</v>
      </c>
      <c r="F628" s="134">
        <f t="shared" si="81"/>
        <v>0</v>
      </c>
      <c r="G628" s="134" t="s">
        <v>1379</v>
      </c>
      <c r="I628" s="134">
        <f t="shared" si="82"/>
        <v>0</v>
      </c>
      <c r="J628" s="134" t="s">
        <v>1379</v>
      </c>
      <c r="L628" s="134">
        <f t="shared" si="83"/>
        <v>0</v>
      </c>
      <c r="M628" s="134" t="s">
        <v>1379</v>
      </c>
      <c r="O628" s="134">
        <f t="shared" si="84"/>
        <v>0</v>
      </c>
      <c r="P628" s="134" t="s">
        <v>1379</v>
      </c>
      <c r="R628" s="134">
        <f t="shared" si="85"/>
        <v>0</v>
      </c>
      <c r="S628" s="134" t="s">
        <v>1379</v>
      </c>
      <c r="U628" s="134">
        <f t="shared" si="86"/>
        <v>0</v>
      </c>
    </row>
    <row r="629" spans="1:21" ht="15.75" x14ac:dyDescent="0.25">
      <c r="A629" s="131" t="s">
        <v>1228</v>
      </c>
      <c r="B629" s="137">
        <f t="shared" si="80"/>
        <v>0</v>
      </c>
      <c r="D629" s="134" t="s">
        <v>1379</v>
      </c>
      <c r="F629" s="134">
        <f t="shared" si="81"/>
        <v>0</v>
      </c>
      <c r="G629" s="134" t="s">
        <v>1379</v>
      </c>
      <c r="I629" s="134">
        <f t="shared" si="82"/>
        <v>0</v>
      </c>
      <c r="J629" s="134" t="s">
        <v>1379</v>
      </c>
      <c r="L629" s="134">
        <f t="shared" si="83"/>
        <v>0</v>
      </c>
      <c r="M629" s="134" t="s">
        <v>1379</v>
      </c>
      <c r="O629" s="134">
        <f t="shared" si="84"/>
        <v>0</v>
      </c>
      <c r="P629" s="134" t="s">
        <v>1379</v>
      </c>
      <c r="R629" s="134">
        <f t="shared" si="85"/>
        <v>0</v>
      </c>
      <c r="S629" s="134" t="s">
        <v>1379</v>
      </c>
      <c r="U629" s="134">
        <f t="shared" si="86"/>
        <v>0</v>
      </c>
    </row>
    <row r="630" spans="1:21" ht="15.75" x14ac:dyDescent="0.25">
      <c r="A630" s="131" t="s">
        <v>1229</v>
      </c>
      <c r="B630" s="137">
        <f t="shared" si="80"/>
        <v>0</v>
      </c>
      <c r="D630" s="134" t="s">
        <v>1379</v>
      </c>
      <c r="F630" s="134">
        <f t="shared" si="81"/>
        <v>0</v>
      </c>
      <c r="G630" s="134" t="s">
        <v>1379</v>
      </c>
      <c r="I630" s="134">
        <f t="shared" si="82"/>
        <v>0</v>
      </c>
      <c r="J630" s="134" t="s">
        <v>1379</v>
      </c>
      <c r="L630" s="134">
        <f t="shared" si="83"/>
        <v>0</v>
      </c>
      <c r="M630" s="134" t="s">
        <v>1379</v>
      </c>
      <c r="O630" s="134">
        <f t="shared" si="84"/>
        <v>0</v>
      </c>
      <c r="P630" s="134" t="s">
        <v>1379</v>
      </c>
      <c r="R630" s="134">
        <f t="shared" si="85"/>
        <v>0</v>
      </c>
      <c r="S630" s="134" t="s">
        <v>1379</v>
      </c>
      <c r="U630" s="134">
        <f t="shared" si="86"/>
        <v>0</v>
      </c>
    </row>
    <row r="631" spans="1:21" ht="15.75" x14ac:dyDescent="0.25">
      <c r="A631" s="131" t="s">
        <v>1230</v>
      </c>
      <c r="B631" s="137">
        <f t="shared" si="80"/>
        <v>0</v>
      </c>
      <c r="D631" s="134" t="s">
        <v>1379</v>
      </c>
      <c r="F631" s="134">
        <f t="shared" si="81"/>
        <v>0</v>
      </c>
      <c r="G631" s="134" t="s">
        <v>1379</v>
      </c>
      <c r="I631" s="134">
        <f t="shared" si="82"/>
        <v>0</v>
      </c>
      <c r="J631" s="134" t="s">
        <v>1379</v>
      </c>
      <c r="L631" s="134">
        <f t="shared" si="83"/>
        <v>0</v>
      </c>
      <c r="M631" s="134" t="s">
        <v>1379</v>
      </c>
      <c r="O631" s="134">
        <f t="shared" si="84"/>
        <v>0</v>
      </c>
      <c r="P631" s="134" t="s">
        <v>1379</v>
      </c>
      <c r="R631" s="134">
        <f t="shared" si="85"/>
        <v>0</v>
      </c>
      <c r="S631" s="134" t="s">
        <v>1379</v>
      </c>
      <c r="U631" s="134">
        <f t="shared" si="86"/>
        <v>0</v>
      </c>
    </row>
    <row r="632" spans="1:21" ht="15.75" x14ac:dyDescent="0.25">
      <c r="A632" s="131" t="s">
        <v>1231</v>
      </c>
      <c r="B632" s="137">
        <f t="shared" ref="B632:B695" si="87">(F632*E632)+(H632*I632)+(K632*L632)+(N632*O632)+(Q632*R632)+(T632*U632)</f>
        <v>0</v>
      </c>
      <c r="D632" s="134" t="s">
        <v>1379</v>
      </c>
      <c r="F632" s="134">
        <f t="shared" si="81"/>
        <v>0</v>
      </c>
      <c r="G632" s="134" t="s">
        <v>1379</v>
      </c>
      <c r="I632" s="134">
        <f t="shared" si="82"/>
        <v>0</v>
      </c>
      <c r="J632" s="134" t="s">
        <v>1379</v>
      </c>
      <c r="L632" s="134">
        <f t="shared" si="83"/>
        <v>0</v>
      </c>
      <c r="M632" s="134" t="s">
        <v>1379</v>
      </c>
      <c r="O632" s="134">
        <f t="shared" si="84"/>
        <v>0</v>
      </c>
      <c r="P632" s="134" t="s">
        <v>1379</v>
      </c>
      <c r="R632" s="134">
        <f t="shared" si="85"/>
        <v>0</v>
      </c>
      <c r="S632" s="134" t="s">
        <v>1379</v>
      </c>
      <c r="U632" s="134">
        <f t="shared" si="86"/>
        <v>0</v>
      </c>
    </row>
    <row r="633" spans="1:21" ht="15.75" x14ac:dyDescent="0.25">
      <c r="A633" s="131" t="s">
        <v>1232</v>
      </c>
      <c r="B633" s="137">
        <f t="shared" si="87"/>
        <v>0</v>
      </c>
      <c r="D633" s="134" t="s">
        <v>1379</v>
      </c>
      <c r="F633" s="134">
        <f t="shared" si="81"/>
        <v>0</v>
      </c>
      <c r="G633" s="134" t="s">
        <v>1379</v>
      </c>
      <c r="I633" s="134">
        <f t="shared" si="82"/>
        <v>0</v>
      </c>
      <c r="J633" s="134" t="s">
        <v>1379</v>
      </c>
      <c r="L633" s="134">
        <f t="shared" si="83"/>
        <v>0</v>
      </c>
      <c r="M633" s="134" t="s">
        <v>1379</v>
      </c>
      <c r="O633" s="134">
        <f t="shared" si="84"/>
        <v>0</v>
      </c>
      <c r="P633" s="134" t="s">
        <v>1379</v>
      </c>
      <c r="R633" s="134">
        <f t="shared" si="85"/>
        <v>0</v>
      </c>
      <c r="S633" s="134" t="s">
        <v>1379</v>
      </c>
      <c r="U633" s="134">
        <f t="shared" si="86"/>
        <v>0</v>
      </c>
    </row>
    <row r="634" spans="1:21" ht="15.75" x14ac:dyDescent="0.25">
      <c r="A634" s="131" t="s">
        <v>1233</v>
      </c>
      <c r="B634" s="137">
        <f t="shared" si="87"/>
        <v>0</v>
      </c>
      <c r="D634" s="134" t="s">
        <v>1379</v>
      </c>
      <c r="F634" s="134">
        <f t="shared" ref="F634:F697" si="88">VLOOKUP(D634,IDPOINTS,2,FALSE)</f>
        <v>0</v>
      </c>
      <c r="G634" s="134" t="s">
        <v>1379</v>
      </c>
      <c r="I634" s="134">
        <f t="shared" ref="I634:I697" si="89">VLOOKUP(G634,IDPOINTS,2,FALSE)</f>
        <v>0</v>
      </c>
      <c r="J634" s="134" t="s">
        <v>1379</v>
      </c>
      <c r="L634" s="134">
        <f t="shared" ref="L634:L697" si="90">VLOOKUP(J634,IDPOINTS,2,FALSE)</f>
        <v>0</v>
      </c>
      <c r="M634" s="134" t="s">
        <v>1379</v>
      </c>
      <c r="O634" s="134">
        <f t="shared" ref="O634:O697" si="91">VLOOKUP(M634,IDPOINTS,2,FALSE)</f>
        <v>0</v>
      </c>
      <c r="P634" s="134" t="s">
        <v>1379</v>
      </c>
      <c r="R634" s="134">
        <f t="shared" ref="R634:R697" si="92">VLOOKUP(P634,IDPOINTS,2,FALSE)</f>
        <v>0</v>
      </c>
      <c r="S634" s="134" t="s">
        <v>1379</v>
      </c>
      <c r="U634" s="134">
        <f t="shared" ref="U634:U697" si="93">VLOOKUP(S634,IDPOINTS,2,FALSE)</f>
        <v>0</v>
      </c>
    </row>
    <row r="635" spans="1:21" ht="15.75" x14ac:dyDescent="0.25">
      <c r="A635" s="131" t="s">
        <v>1234</v>
      </c>
      <c r="B635" s="137">
        <f t="shared" si="87"/>
        <v>0</v>
      </c>
      <c r="D635" s="134" t="s">
        <v>1379</v>
      </c>
      <c r="F635" s="134">
        <f t="shared" si="88"/>
        <v>0</v>
      </c>
      <c r="G635" s="134" t="s">
        <v>1379</v>
      </c>
      <c r="I635" s="134">
        <f t="shared" si="89"/>
        <v>0</v>
      </c>
      <c r="J635" s="134" t="s">
        <v>1379</v>
      </c>
      <c r="L635" s="134">
        <f t="shared" si="90"/>
        <v>0</v>
      </c>
      <c r="M635" s="134" t="s">
        <v>1379</v>
      </c>
      <c r="O635" s="134">
        <f t="shared" si="91"/>
        <v>0</v>
      </c>
      <c r="P635" s="134" t="s">
        <v>1379</v>
      </c>
      <c r="R635" s="134">
        <f t="shared" si="92"/>
        <v>0</v>
      </c>
      <c r="S635" s="134" t="s">
        <v>1379</v>
      </c>
      <c r="U635" s="134">
        <f t="shared" si="93"/>
        <v>0</v>
      </c>
    </row>
    <row r="636" spans="1:21" ht="15.75" x14ac:dyDescent="0.25">
      <c r="A636" s="131" t="s">
        <v>1235</v>
      </c>
      <c r="B636" s="137">
        <f t="shared" si="87"/>
        <v>0</v>
      </c>
      <c r="D636" s="134" t="s">
        <v>1379</v>
      </c>
      <c r="F636" s="134">
        <f t="shared" si="88"/>
        <v>0</v>
      </c>
      <c r="G636" s="134" t="s">
        <v>1379</v>
      </c>
      <c r="I636" s="134">
        <f t="shared" si="89"/>
        <v>0</v>
      </c>
      <c r="J636" s="134" t="s">
        <v>1379</v>
      </c>
      <c r="L636" s="134">
        <f t="shared" si="90"/>
        <v>0</v>
      </c>
      <c r="M636" s="134" t="s">
        <v>1379</v>
      </c>
      <c r="O636" s="134">
        <f t="shared" si="91"/>
        <v>0</v>
      </c>
      <c r="P636" s="134" t="s">
        <v>1379</v>
      </c>
      <c r="R636" s="134">
        <f t="shared" si="92"/>
        <v>0</v>
      </c>
      <c r="S636" s="134" t="s">
        <v>1379</v>
      </c>
      <c r="U636" s="134">
        <f t="shared" si="93"/>
        <v>0</v>
      </c>
    </row>
    <row r="637" spans="1:21" ht="15.75" x14ac:dyDescent="0.25">
      <c r="A637" s="131" t="s">
        <v>1236</v>
      </c>
      <c r="B637" s="137">
        <f t="shared" si="87"/>
        <v>0</v>
      </c>
      <c r="D637" s="134" t="s">
        <v>1379</v>
      </c>
      <c r="F637" s="134">
        <f t="shared" si="88"/>
        <v>0</v>
      </c>
      <c r="G637" s="134" t="s">
        <v>1379</v>
      </c>
      <c r="I637" s="134">
        <f t="shared" si="89"/>
        <v>0</v>
      </c>
      <c r="J637" s="134" t="s">
        <v>1379</v>
      </c>
      <c r="L637" s="134">
        <f t="shared" si="90"/>
        <v>0</v>
      </c>
      <c r="M637" s="134" t="s">
        <v>1379</v>
      </c>
      <c r="O637" s="134">
        <f t="shared" si="91"/>
        <v>0</v>
      </c>
      <c r="P637" s="134" t="s">
        <v>1379</v>
      </c>
      <c r="R637" s="134">
        <f t="shared" si="92"/>
        <v>0</v>
      </c>
      <c r="S637" s="134" t="s">
        <v>1379</v>
      </c>
      <c r="U637" s="134">
        <f t="shared" si="93"/>
        <v>0</v>
      </c>
    </row>
    <row r="638" spans="1:21" ht="15.75" x14ac:dyDescent="0.25">
      <c r="A638" s="131" t="s">
        <v>1237</v>
      </c>
      <c r="B638" s="137">
        <f t="shared" si="87"/>
        <v>0</v>
      </c>
      <c r="D638" s="134" t="s">
        <v>1379</v>
      </c>
      <c r="F638" s="134">
        <f t="shared" si="88"/>
        <v>0</v>
      </c>
      <c r="G638" s="134" t="s">
        <v>1379</v>
      </c>
      <c r="I638" s="134">
        <f t="shared" si="89"/>
        <v>0</v>
      </c>
      <c r="J638" s="134" t="s">
        <v>1379</v>
      </c>
      <c r="L638" s="134">
        <f t="shared" si="90"/>
        <v>0</v>
      </c>
      <c r="M638" s="134" t="s">
        <v>1379</v>
      </c>
      <c r="O638" s="134">
        <f t="shared" si="91"/>
        <v>0</v>
      </c>
      <c r="P638" s="134" t="s">
        <v>1379</v>
      </c>
      <c r="R638" s="134">
        <f t="shared" si="92"/>
        <v>0</v>
      </c>
      <c r="S638" s="134" t="s">
        <v>1379</v>
      </c>
      <c r="U638" s="134">
        <f t="shared" si="93"/>
        <v>0</v>
      </c>
    </row>
    <row r="639" spans="1:21" ht="15.75" x14ac:dyDescent="0.25">
      <c r="A639" s="131" t="s">
        <v>1238</v>
      </c>
      <c r="B639" s="137">
        <f t="shared" si="87"/>
        <v>0</v>
      </c>
      <c r="D639" s="134" t="s">
        <v>1379</v>
      </c>
      <c r="F639" s="134">
        <f t="shared" si="88"/>
        <v>0</v>
      </c>
      <c r="G639" s="134" t="s">
        <v>1379</v>
      </c>
      <c r="I639" s="134">
        <f t="shared" si="89"/>
        <v>0</v>
      </c>
      <c r="J639" s="134" t="s">
        <v>1379</v>
      </c>
      <c r="L639" s="134">
        <f t="shared" si="90"/>
        <v>0</v>
      </c>
      <c r="M639" s="134" t="s">
        <v>1379</v>
      </c>
      <c r="O639" s="134">
        <f t="shared" si="91"/>
        <v>0</v>
      </c>
      <c r="P639" s="134" t="s">
        <v>1379</v>
      </c>
      <c r="R639" s="134">
        <f t="shared" si="92"/>
        <v>0</v>
      </c>
      <c r="S639" s="134" t="s">
        <v>1379</v>
      </c>
      <c r="U639" s="134">
        <f t="shared" si="93"/>
        <v>0</v>
      </c>
    </row>
    <row r="640" spans="1:21" ht="15.75" x14ac:dyDescent="0.25">
      <c r="A640" s="131" t="s">
        <v>1239</v>
      </c>
      <c r="B640" s="137">
        <f t="shared" si="87"/>
        <v>0</v>
      </c>
      <c r="D640" s="134" t="s">
        <v>1379</v>
      </c>
      <c r="F640" s="134">
        <f t="shared" si="88"/>
        <v>0</v>
      </c>
      <c r="G640" s="134" t="s">
        <v>1379</v>
      </c>
      <c r="I640" s="134">
        <f t="shared" si="89"/>
        <v>0</v>
      </c>
      <c r="J640" s="134" t="s">
        <v>1379</v>
      </c>
      <c r="L640" s="134">
        <f t="shared" si="90"/>
        <v>0</v>
      </c>
      <c r="M640" s="134" t="s">
        <v>1379</v>
      </c>
      <c r="O640" s="134">
        <f t="shared" si="91"/>
        <v>0</v>
      </c>
      <c r="P640" s="134" t="s">
        <v>1379</v>
      </c>
      <c r="R640" s="134">
        <f t="shared" si="92"/>
        <v>0</v>
      </c>
      <c r="S640" s="134" t="s">
        <v>1379</v>
      </c>
      <c r="U640" s="134">
        <f t="shared" si="93"/>
        <v>0</v>
      </c>
    </row>
    <row r="641" spans="1:21" ht="15.75" x14ac:dyDescent="0.25">
      <c r="A641" s="131" t="s">
        <v>1240</v>
      </c>
      <c r="B641" s="137">
        <f t="shared" si="87"/>
        <v>0</v>
      </c>
      <c r="D641" s="134" t="s">
        <v>1379</v>
      </c>
      <c r="F641" s="134">
        <f t="shared" si="88"/>
        <v>0</v>
      </c>
      <c r="G641" s="134" t="s">
        <v>1379</v>
      </c>
      <c r="I641" s="134">
        <f t="shared" si="89"/>
        <v>0</v>
      </c>
      <c r="J641" s="134" t="s">
        <v>1379</v>
      </c>
      <c r="L641" s="134">
        <f t="shared" si="90"/>
        <v>0</v>
      </c>
      <c r="M641" s="134" t="s">
        <v>1379</v>
      </c>
      <c r="O641" s="134">
        <f t="shared" si="91"/>
        <v>0</v>
      </c>
      <c r="P641" s="134" t="s">
        <v>1379</v>
      </c>
      <c r="R641" s="134">
        <f t="shared" si="92"/>
        <v>0</v>
      </c>
      <c r="S641" s="134" t="s">
        <v>1379</v>
      </c>
      <c r="U641" s="134">
        <f t="shared" si="93"/>
        <v>0</v>
      </c>
    </row>
    <row r="642" spans="1:21" ht="15.75" x14ac:dyDescent="0.25">
      <c r="A642" s="131" t="s">
        <v>1241</v>
      </c>
      <c r="B642" s="137">
        <f t="shared" si="87"/>
        <v>0</v>
      </c>
      <c r="D642" s="134" t="s">
        <v>1379</v>
      </c>
      <c r="F642" s="134">
        <f t="shared" si="88"/>
        <v>0</v>
      </c>
      <c r="G642" s="134" t="s">
        <v>1379</v>
      </c>
      <c r="I642" s="134">
        <f t="shared" si="89"/>
        <v>0</v>
      </c>
      <c r="J642" s="134" t="s">
        <v>1379</v>
      </c>
      <c r="L642" s="134">
        <f t="shared" si="90"/>
        <v>0</v>
      </c>
      <c r="M642" s="134" t="s">
        <v>1379</v>
      </c>
      <c r="O642" s="134">
        <f t="shared" si="91"/>
        <v>0</v>
      </c>
      <c r="P642" s="134" t="s">
        <v>1379</v>
      </c>
      <c r="R642" s="134">
        <f t="shared" si="92"/>
        <v>0</v>
      </c>
      <c r="S642" s="134" t="s">
        <v>1379</v>
      </c>
      <c r="U642" s="134">
        <f t="shared" si="93"/>
        <v>0</v>
      </c>
    </row>
    <row r="643" spans="1:21" ht="15.75" x14ac:dyDescent="0.25">
      <c r="A643" s="131" t="s">
        <v>1242</v>
      </c>
      <c r="B643" s="137">
        <f t="shared" si="87"/>
        <v>0</v>
      </c>
      <c r="D643" s="134" t="s">
        <v>1379</v>
      </c>
      <c r="F643" s="134">
        <f t="shared" si="88"/>
        <v>0</v>
      </c>
      <c r="G643" s="134" t="s">
        <v>1379</v>
      </c>
      <c r="I643" s="134">
        <f t="shared" si="89"/>
        <v>0</v>
      </c>
      <c r="J643" s="134" t="s">
        <v>1379</v>
      </c>
      <c r="L643" s="134">
        <f t="shared" si="90"/>
        <v>0</v>
      </c>
      <c r="M643" s="134" t="s">
        <v>1379</v>
      </c>
      <c r="O643" s="134">
        <f t="shared" si="91"/>
        <v>0</v>
      </c>
      <c r="P643" s="134" t="s">
        <v>1379</v>
      </c>
      <c r="R643" s="134">
        <f t="shared" si="92"/>
        <v>0</v>
      </c>
      <c r="S643" s="134" t="s">
        <v>1379</v>
      </c>
      <c r="U643" s="134">
        <f t="shared" si="93"/>
        <v>0</v>
      </c>
    </row>
    <row r="644" spans="1:21" ht="15.75" x14ac:dyDescent="0.25">
      <c r="A644" s="131" t="s">
        <v>1243</v>
      </c>
      <c r="B644" s="137">
        <f t="shared" si="87"/>
        <v>0</v>
      </c>
      <c r="D644" s="134" t="s">
        <v>1379</v>
      </c>
      <c r="F644" s="134">
        <f t="shared" si="88"/>
        <v>0</v>
      </c>
      <c r="G644" s="134" t="s">
        <v>1379</v>
      </c>
      <c r="I644" s="134">
        <f t="shared" si="89"/>
        <v>0</v>
      </c>
      <c r="J644" s="134" t="s">
        <v>1379</v>
      </c>
      <c r="L644" s="134">
        <f t="shared" si="90"/>
        <v>0</v>
      </c>
      <c r="M644" s="134" t="s">
        <v>1379</v>
      </c>
      <c r="O644" s="134">
        <f t="shared" si="91"/>
        <v>0</v>
      </c>
      <c r="P644" s="134" t="s">
        <v>1379</v>
      </c>
      <c r="R644" s="134">
        <f t="shared" si="92"/>
        <v>0</v>
      </c>
      <c r="S644" s="134" t="s">
        <v>1379</v>
      </c>
      <c r="U644" s="134">
        <f t="shared" si="93"/>
        <v>0</v>
      </c>
    </row>
    <row r="645" spans="1:21" ht="15.75" x14ac:dyDescent="0.25">
      <c r="A645" s="131" t="s">
        <v>1244</v>
      </c>
      <c r="B645" s="137">
        <f t="shared" si="87"/>
        <v>0</v>
      </c>
      <c r="D645" s="134" t="s">
        <v>1379</v>
      </c>
      <c r="F645" s="134">
        <f t="shared" si="88"/>
        <v>0</v>
      </c>
      <c r="G645" s="134" t="s">
        <v>1379</v>
      </c>
      <c r="I645" s="134">
        <f t="shared" si="89"/>
        <v>0</v>
      </c>
      <c r="J645" s="134" t="s">
        <v>1379</v>
      </c>
      <c r="L645" s="134">
        <f t="shared" si="90"/>
        <v>0</v>
      </c>
      <c r="M645" s="134" t="s">
        <v>1379</v>
      </c>
      <c r="O645" s="134">
        <f t="shared" si="91"/>
        <v>0</v>
      </c>
      <c r="P645" s="134" t="s">
        <v>1379</v>
      </c>
      <c r="R645" s="134">
        <f t="shared" si="92"/>
        <v>0</v>
      </c>
      <c r="S645" s="134" t="s">
        <v>1379</v>
      </c>
      <c r="U645" s="134">
        <f t="shared" si="93"/>
        <v>0</v>
      </c>
    </row>
    <row r="646" spans="1:21" ht="15.75" x14ac:dyDescent="0.25">
      <c r="A646" s="131" t="s">
        <v>1245</v>
      </c>
      <c r="B646" s="137">
        <f t="shared" si="87"/>
        <v>0</v>
      </c>
      <c r="D646" s="134" t="s">
        <v>1379</v>
      </c>
      <c r="F646" s="134">
        <f t="shared" si="88"/>
        <v>0</v>
      </c>
      <c r="G646" s="134" t="s">
        <v>1379</v>
      </c>
      <c r="I646" s="134">
        <f t="shared" si="89"/>
        <v>0</v>
      </c>
      <c r="J646" s="134" t="s">
        <v>1379</v>
      </c>
      <c r="L646" s="134">
        <f t="shared" si="90"/>
        <v>0</v>
      </c>
      <c r="M646" s="134" t="s">
        <v>1379</v>
      </c>
      <c r="O646" s="134">
        <f t="shared" si="91"/>
        <v>0</v>
      </c>
      <c r="P646" s="134" t="s">
        <v>1379</v>
      </c>
      <c r="R646" s="134">
        <f t="shared" si="92"/>
        <v>0</v>
      </c>
      <c r="S646" s="134" t="s">
        <v>1379</v>
      </c>
      <c r="U646" s="134">
        <f t="shared" si="93"/>
        <v>0</v>
      </c>
    </row>
    <row r="647" spans="1:21" ht="15.75" x14ac:dyDescent="0.25">
      <c r="A647" s="131" t="s">
        <v>1246</v>
      </c>
      <c r="B647" s="137">
        <f t="shared" si="87"/>
        <v>0</v>
      </c>
      <c r="D647" s="134" t="s">
        <v>1379</v>
      </c>
      <c r="F647" s="134">
        <f t="shared" si="88"/>
        <v>0</v>
      </c>
      <c r="G647" s="134" t="s">
        <v>1379</v>
      </c>
      <c r="I647" s="134">
        <f t="shared" si="89"/>
        <v>0</v>
      </c>
      <c r="J647" s="134" t="s">
        <v>1379</v>
      </c>
      <c r="L647" s="134">
        <f t="shared" si="90"/>
        <v>0</v>
      </c>
      <c r="M647" s="134" t="s">
        <v>1379</v>
      </c>
      <c r="O647" s="134">
        <f t="shared" si="91"/>
        <v>0</v>
      </c>
      <c r="P647" s="134" t="s">
        <v>1379</v>
      </c>
      <c r="R647" s="134">
        <f t="shared" si="92"/>
        <v>0</v>
      </c>
      <c r="S647" s="134" t="s">
        <v>1379</v>
      </c>
      <c r="U647" s="134">
        <f t="shared" si="93"/>
        <v>0</v>
      </c>
    </row>
    <row r="648" spans="1:21" ht="15.75" x14ac:dyDescent="0.25">
      <c r="A648" s="131" t="s">
        <v>1247</v>
      </c>
      <c r="B648" s="137">
        <f t="shared" si="87"/>
        <v>0</v>
      </c>
      <c r="D648" s="134" t="s">
        <v>1379</v>
      </c>
      <c r="F648" s="134">
        <f t="shared" si="88"/>
        <v>0</v>
      </c>
      <c r="G648" s="134" t="s">
        <v>1379</v>
      </c>
      <c r="I648" s="134">
        <f t="shared" si="89"/>
        <v>0</v>
      </c>
      <c r="J648" s="134" t="s">
        <v>1379</v>
      </c>
      <c r="L648" s="134">
        <f t="shared" si="90"/>
        <v>0</v>
      </c>
      <c r="M648" s="134" t="s">
        <v>1379</v>
      </c>
      <c r="O648" s="134">
        <f t="shared" si="91"/>
        <v>0</v>
      </c>
      <c r="P648" s="134" t="s">
        <v>1379</v>
      </c>
      <c r="R648" s="134">
        <f t="shared" si="92"/>
        <v>0</v>
      </c>
      <c r="S648" s="134" t="s">
        <v>1379</v>
      </c>
      <c r="U648" s="134">
        <f t="shared" si="93"/>
        <v>0</v>
      </c>
    </row>
    <row r="649" spans="1:21" ht="15.75" x14ac:dyDescent="0.25">
      <c r="A649" s="131" t="s">
        <v>1248</v>
      </c>
      <c r="B649" s="137">
        <f t="shared" si="87"/>
        <v>0</v>
      </c>
      <c r="D649" s="134" t="s">
        <v>1379</v>
      </c>
      <c r="F649" s="134">
        <f t="shared" si="88"/>
        <v>0</v>
      </c>
      <c r="G649" s="134" t="s">
        <v>1379</v>
      </c>
      <c r="I649" s="134">
        <f t="shared" si="89"/>
        <v>0</v>
      </c>
      <c r="J649" s="134" t="s">
        <v>1379</v>
      </c>
      <c r="L649" s="134">
        <f t="shared" si="90"/>
        <v>0</v>
      </c>
      <c r="M649" s="134" t="s">
        <v>1379</v>
      </c>
      <c r="O649" s="134">
        <f t="shared" si="91"/>
        <v>0</v>
      </c>
      <c r="P649" s="134" t="s">
        <v>1379</v>
      </c>
      <c r="R649" s="134">
        <f t="shared" si="92"/>
        <v>0</v>
      </c>
      <c r="S649" s="134" t="s">
        <v>1379</v>
      </c>
      <c r="U649" s="134">
        <f t="shared" si="93"/>
        <v>0</v>
      </c>
    </row>
    <row r="650" spans="1:21" ht="15.75" x14ac:dyDescent="0.25">
      <c r="A650" s="131" t="s">
        <v>1249</v>
      </c>
      <c r="B650" s="137">
        <f t="shared" si="87"/>
        <v>0</v>
      </c>
      <c r="D650" s="134" t="s">
        <v>1379</v>
      </c>
      <c r="F650" s="134">
        <f t="shared" si="88"/>
        <v>0</v>
      </c>
      <c r="G650" s="134" t="s">
        <v>1379</v>
      </c>
      <c r="I650" s="134">
        <f t="shared" si="89"/>
        <v>0</v>
      </c>
      <c r="J650" s="134" t="s">
        <v>1379</v>
      </c>
      <c r="L650" s="134">
        <f t="shared" si="90"/>
        <v>0</v>
      </c>
      <c r="M650" s="134" t="s">
        <v>1379</v>
      </c>
      <c r="O650" s="134">
        <f t="shared" si="91"/>
        <v>0</v>
      </c>
      <c r="P650" s="134" t="s">
        <v>1379</v>
      </c>
      <c r="R650" s="134">
        <f t="shared" si="92"/>
        <v>0</v>
      </c>
      <c r="S650" s="134" t="s">
        <v>1379</v>
      </c>
      <c r="U650" s="134">
        <f t="shared" si="93"/>
        <v>0</v>
      </c>
    </row>
    <row r="651" spans="1:21" ht="15.75" x14ac:dyDescent="0.25">
      <c r="A651" s="131" t="s">
        <v>1250</v>
      </c>
      <c r="B651" s="137">
        <f t="shared" si="87"/>
        <v>0</v>
      </c>
      <c r="D651" s="134" t="s">
        <v>1379</v>
      </c>
      <c r="F651" s="134">
        <f t="shared" si="88"/>
        <v>0</v>
      </c>
      <c r="G651" s="134" t="s">
        <v>1379</v>
      </c>
      <c r="I651" s="134">
        <f t="shared" si="89"/>
        <v>0</v>
      </c>
      <c r="J651" s="134" t="s">
        <v>1379</v>
      </c>
      <c r="L651" s="134">
        <f t="shared" si="90"/>
        <v>0</v>
      </c>
      <c r="M651" s="134" t="s">
        <v>1379</v>
      </c>
      <c r="O651" s="134">
        <f t="shared" si="91"/>
        <v>0</v>
      </c>
      <c r="P651" s="134" t="s">
        <v>1379</v>
      </c>
      <c r="R651" s="134">
        <f t="shared" si="92"/>
        <v>0</v>
      </c>
      <c r="S651" s="134" t="s">
        <v>1379</v>
      </c>
      <c r="U651" s="134">
        <f t="shared" si="93"/>
        <v>0</v>
      </c>
    </row>
    <row r="652" spans="1:21" ht="15.75" x14ac:dyDescent="0.25">
      <c r="A652" s="131" t="s">
        <v>1251</v>
      </c>
      <c r="B652" s="137">
        <f t="shared" si="87"/>
        <v>0</v>
      </c>
      <c r="D652" s="134" t="s">
        <v>1379</v>
      </c>
      <c r="F652" s="134">
        <f t="shared" si="88"/>
        <v>0</v>
      </c>
      <c r="G652" s="134" t="s">
        <v>1379</v>
      </c>
      <c r="I652" s="134">
        <f t="shared" si="89"/>
        <v>0</v>
      </c>
      <c r="J652" s="134" t="s">
        <v>1379</v>
      </c>
      <c r="L652" s="134">
        <f t="shared" si="90"/>
        <v>0</v>
      </c>
      <c r="M652" s="134" t="s">
        <v>1379</v>
      </c>
      <c r="O652" s="134">
        <f t="shared" si="91"/>
        <v>0</v>
      </c>
      <c r="P652" s="134" t="s">
        <v>1379</v>
      </c>
      <c r="R652" s="134">
        <f t="shared" si="92"/>
        <v>0</v>
      </c>
      <c r="S652" s="134" t="s">
        <v>1379</v>
      </c>
      <c r="U652" s="134">
        <f t="shared" si="93"/>
        <v>0</v>
      </c>
    </row>
    <row r="653" spans="1:21" ht="15.75" x14ac:dyDescent="0.25">
      <c r="A653" s="131" t="s">
        <v>1252</v>
      </c>
      <c r="B653" s="137">
        <f t="shared" si="87"/>
        <v>0</v>
      </c>
      <c r="D653" s="134" t="s">
        <v>1379</v>
      </c>
      <c r="F653" s="134">
        <f t="shared" si="88"/>
        <v>0</v>
      </c>
      <c r="G653" s="134" t="s">
        <v>1379</v>
      </c>
      <c r="I653" s="134">
        <f t="shared" si="89"/>
        <v>0</v>
      </c>
      <c r="J653" s="134" t="s">
        <v>1379</v>
      </c>
      <c r="L653" s="134">
        <f t="shared" si="90"/>
        <v>0</v>
      </c>
      <c r="M653" s="134" t="s">
        <v>1379</v>
      </c>
      <c r="O653" s="134">
        <f t="shared" si="91"/>
        <v>0</v>
      </c>
      <c r="P653" s="134" t="s">
        <v>1379</v>
      </c>
      <c r="R653" s="134">
        <f t="shared" si="92"/>
        <v>0</v>
      </c>
      <c r="S653" s="134" t="s">
        <v>1379</v>
      </c>
      <c r="U653" s="134">
        <f t="shared" si="93"/>
        <v>0</v>
      </c>
    </row>
    <row r="654" spans="1:21" ht="15.75" x14ac:dyDescent="0.25">
      <c r="A654" s="131" t="s">
        <v>1253</v>
      </c>
      <c r="B654" s="137">
        <f t="shared" si="87"/>
        <v>0</v>
      </c>
      <c r="D654" s="134" t="s">
        <v>1379</v>
      </c>
      <c r="F654" s="134">
        <f t="shared" si="88"/>
        <v>0</v>
      </c>
      <c r="G654" s="134" t="s">
        <v>1379</v>
      </c>
      <c r="I654" s="134">
        <f t="shared" si="89"/>
        <v>0</v>
      </c>
      <c r="J654" s="134" t="s">
        <v>1379</v>
      </c>
      <c r="L654" s="134">
        <f t="shared" si="90"/>
        <v>0</v>
      </c>
      <c r="M654" s="134" t="s">
        <v>1379</v>
      </c>
      <c r="O654" s="134">
        <f t="shared" si="91"/>
        <v>0</v>
      </c>
      <c r="P654" s="134" t="s">
        <v>1379</v>
      </c>
      <c r="R654" s="134">
        <f t="shared" si="92"/>
        <v>0</v>
      </c>
      <c r="S654" s="134" t="s">
        <v>1379</v>
      </c>
      <c r="U654" s="134">
        <f t="shared" si="93"/>
        <v>0</v>
      </c>
    </row>
    <row r="655" spans="1:21" ht="15.75" x14ac:dyDescent="0.25">
      <c r="A655" s="131" t="s">
        <v>1254</v>
      </c>
      <c r="B655" s="137">
        <f t="shared" si="87"/>
        <v>0</v>
      </c>
      <c r="D655" s="134" t="s">
        <v>1379</v>
      </c>
      <c r="F655" s="134">
        <f t="shared" si="88"/>
        <v>0</v>
      </c>
      <c r="G655" s="134" t="s">
        <v>1379</v>
      </c>
      <c r="I655" s="134">
        <f t="shared" si="89"/>
        <v>0</v>
      </c>
      <c r="J655" s="134" t="s">
        <v>1379</v>
      </c>
      <c r="L655" s="134">
        <f t="shared" si="90"/>
        <v>0</v>
      </c>
      <c r="M655" s="134" t="s">
        <v>1379</v>
      </c>
      <c r="O655" s="134">
        <f t="shared" si="91"/>
        <v>0</v>
      </c>
      <c r="P655" s="134" t="s">
        <v>1379</v>
      </c>
      <c r="R655" s="134">
        <f t="shared" si="92"/>
        <v>0</v>
      </c>
      <c r="S655" s="134" t="s">
        <v>1379</v>
      </c>
      <c r="U655" s="134">
        <f t="shared" si="93"/>
        <v>0</v>
      </c>
    </row>
    <row r="656" spans="1:21" ht="15.75" x14ac:dyDescent="0.25">
      <c r="A656" s="131" t="s">
        <v>1255</v>
      </c>
      <c r="B656" s="137">
        <f t="shared" si="87"/>
        <v>0</v>
      </c>
      <c r="D656" s="134" t="s">
        <v>1379</v>
      </c>
      <c r="F656" s="134">
        <f t="shared" si="88"/>
        <v>0</v>
      </c>
      <c r="G656" s="134" t="s">
        <v>1379</v>
      </c>
      <c r="I656" s="134">
        <f t="shared" si="89"/>
        <v>0</v>
      </c>
      <c r="J656" s="134" t="s">
        <v>1379</v>
      </c>
      <c r="L656" s="134">
        <f t="shared" si="90"/>
        <v>0</v>
      </c>
      <c r="M656" s="134" t="s">
        <v>1379</v>
      </c>
      <c r="O656" s="134">
        <f t="shared" si="91"/>
        <v>0</v>
      </c>
      <c r="P656" s="134" t="s">
        <v>1379</v>
      </c>
      <c r="R656" s="134">
        <f t="shared" si="92"/>
        <v>0</v>
      </c>
      <c r="S656" s="134" t="s">
        <v>1379</v>
      </c>
      <c r="U656" s="134">
        <f t="shared" si="93"/>
        <v>0</v>
      </c>
    </row>
    <row r="657" spans="1:21" ht="15.75" x14ac:dyDescent="0.25">
      <c r="A657" s="131" t="s">
        <v>1256</v>
      </c>
      <c r="B657" s="137">
        <f t="shared" si="87"/>
        <v>0</v>
      </c>
      <c r="D657" s="134" t="s">
        <v>1379</v>
      </c>
      <c r="F657" s="134">
        <f t="shared" si="88"/>
        <v>0</v>
      </c>
      <c r="G657" s="134" t="s">
        <v>1379</v>
      </c>
      <c r="I657" s="134">
        <f t="shared" si="89"/>
        <v>0</v>
      </c>
      <c r="J657" s="134" t="s">
        <v>1379</v>
      </c>
      <c r="L657" s="134">
        <f t="shared" si="90"/>
        <v>0</v>
      </c>
      <c r="M657" s="134" t="s">
        <v>1379</v>
      </c>
      <c r="O657" s="134">
        <f t="shared" si="91"/>
        <v>0</v>
      </c>
      <c r="P657" s="134" t="s">
        <v>1379</v>
      </c>
      <c r="R657" s="134">
        <f t="shared" si="92"/>
        <v>0</v>
      </c>
      <c r="S657" s="134" t="s">
        <v>1379</v>
      </c>
      <c r="U657" s="134">
        <f t="shared" si="93"/>
        <v>0</v>
      </c>
    </row>
    <row r="658" spans="1:21" ht="15.75" x14ac:dyDescent="0.25">
      <c r="A658" s="131" t="s">
        <v>1257</v>
      </c>
      <c r="B658" s="137">
        <f t="shared" si="87"/>
        <v>0</v>
      </c>
      <c r="D658" s="134" t="s">
        <v>1379</v>
      </c>
      <c r="F658" s="134">
        <f t="shared" si="88"/>
        <v>0</v>
      </c>
      <c r="G658" s="134" t="s">
        <v>1379</v>
      </c>
      <c r="I658" s="134">
        <f t="shared" si="89"/>
        <v>0</v>
      </c>
      <c r="J658" s="134" t="s">
        <v>1379</v>
      </c>
      <c r="L658" s="134">
        <f t="shared" si="90"/>
        <v>0</v>
      </c>
      <c r="M658" s="134" t="s">
        <v>1379</v>
      </c>
      <c r="O658" s="134">
        <f t="shared" si="91"/>
        <v>0</v>
      </c>
      <c r="P658" s="134" t="s">
        <v>1379</v>
      </c>
      <c r="R658" s="134">
        <f t="shared" si="92"/>
        <v>0</v>
      </c>
      <c r="S658" s="134" t="s">
        <v>1379</v>
      </c>
      <c r="U658" s="134">
        <f t="shared" si="93"/>
        <v>0</v>
      </c>
    </row>
    <row r="659" spans="1:21" ht="15.75" x14ac:dyDescent="0.25">
      <c r="A659" s="131" t="s">
        <v>1258</v>
      </c>
      <c r="B659" s="137">
        <f t="shared" si="87"/>
        <v>0</v>
      </c>
      <c r="D659" s="134" t="s">
        <v>1379</v>
      </c>
      <c r="F659" s="134">
        <f t="shared" si="88"/>
        <v>0</v>
      </c>
      <c r="G659" s="134" t="s">
        <v>1379</v>
      </c>
      <c r="I659" s="134">
        <f t="shared" si="89"/>
        <v>0</v>
      </c>
      <c r="J659" s="134" t="s">
        <v>1379</v>
      </c>
      <c r="L659" s="134">
        <f t="shared" si="90"/>
        <v>0</v>
      </c>
      <c r="M659" s="134" t="s">
        <v>1379</v>
      </c>
      <c r="O659" s="134">
        <f t="shared" si="91"/>
        <v>0</v>
      </c>
      <c r="P659" s="134" t="s">
        <v>1379</v>
      </c>
      <c r="R659" s="134">
        <f t="shared" si="92"/>
        <v>0</v>
      </c>
      <c r="S659" s="134" t="s">
        <v>1379</v>
      </c>
      <c r="U659" s="134">
        <f t="shared" si="93"/>
        <v>0</v>
      </c>
    </row>
    <row r="660" spans="1:21" ht="15.75" x14ac:dyDescent="0.25">
      <c r="A660" s="131" t="s">
        <v>1259</v>
      </c>
      <c r="B660" s="137">
        <f t="shared" si="87"/>
        <v>0</v>
      </c>
      <c r="D660" s="134" t="s">
        <v>1379</v>
      </c>
      <c r="F660" s="134">
        <f t="shared" si="88"/>
        <v>0</v>
      </c>
      <c r="G660" s="134" t="s">
        <v>1379</v>
      </c>
      <c r="I660" s="134">
        <f t="shared" si="89"/>
        <v>0</v>
      </c>
      <c r="J660" s="134" t="s">
        <v>1379</v>
      </c>
      <c r="L660" s="134">
        <f t="shared" si="90"/>
        <v>0</v>
      </c>
      <c r="M660" s="134" t="s">
        <v>1379</v>
      </c>
      <c r="O660" s="134">
        <f t="shared" si="91"/>
        <v>0</v>
      </c>
      <c r="P660" s="134" t="s">
        <v>1379</v>
      </c>
      <c r="R660" s="134">
        <f t="shared" si="92"/>
        <v>0</v>
      </c>
      <c r="S660" s="134" t="s">
        <v>1379</v>
      </c>
      <c r="U660" s="134">
        <f t="shared" si="93"/>
        <v>0</v>
      </c>
    </row>
    <row r="661" spans="1:21" ht="15.75" x14ac:dyDescent="0.25">
      <c r="A661" s="131" t="s">
        <v>1260</v>
      </c>
      <c r="B661" s="137">
        <f t="shared" si="87"/>
        <v>0</v>
      </c>
      <c r="D661" s="134" t="s">
        <v>1379</v>
      </c>
      <c r="F661" s="134">
        <f t="shared" si="88"/>
        <v>0</v>
      </c>
      <c r="G661" s="134" t="s">
        <v>1379</v>
      </c>
      <c r="I661" s="134">
        <f t="shared" si="89"/>
        <v>0</v>
      </c>
      <c r="J661" s="134" t="s">
        <v>1379</v>
      </c>
      <c r="L661" s="134">
        <f t="shared" si="90"/>
        <v>0</v>
      </c>
      <c r="M661" s="134" t="s">
        <v>1379</v>
      </c>
      <c r="O661" s="134">
        <f t="shared" si="91"/>
        <v>0</v>
      </c>
      <c r="P661" s="134" t="s">
        <v>1379</v>
      </c>
      <c r="R661" s="134">
        <f t="shared" si="92"/>
        <v>0</v>
      </c>
      <c r="S661" s="134" t="s">
        <v>1379</v>
      </c>
      <c r="U661" s="134">
        <f t="shared" si="93"/>
        <v>0</v>
      </c>
    </row>
    <row r="662" spans="1:21" ht="15.75" x14ac:dyDescent="0.25">
      <c r="A662" s="131" t="s">
        <v>1261</v>
      </c>
      <c r="B662" s="137">
        <f t="shared" si="87"/>
        <v>0</v>
      </c>
      <c r="D662" s="134" t="s">
        <v>1379</v>
      </c>
      <c r="F662" s="134">
        <f t="shared" si="88"/>
        <v>0</v>
      </c>
      <c r="G662" s="134" t="s">
        <v>1379</v>
      </c>
      <c r="I662" s="134">
        <f t="shared" si="89"/>
        <v>0</v>
      </c>
      <c r="J662" s="134" t="s">
        <v>1379</v>
      </c>
      <c r="L662" s="134">
        <f t="shared" si="90"/>
        <v>0</v>
      </c>
      <c r="M662" s="134" t="s">
        <v>1379</v>
      </c>
      <c r="O662" s="134">
        <f t="shared" si="91"/>
        <v>0</v>
      </c>
      <c r="P662" s="134" t="s">
        <v>1379</v>
      </c>
      <c r="R662" s="134">
        <f t="shared" si="92"/>
        <v>0</v>
      </c>
      <c r="S662" s="134" t="s">
        <v>1379</v>
      </c>
      <c r="U662" s="134">
        <f t="shared" si="93"/>
        <v>0</v>
      </c>
    </row>
    <row r="663" spans="1:21" ht="15.75" x14ac:dyDescent="0.25">
      <c r="A663" s="131" t="s">
        <v>1262</v>
      </c>
      <c r="B663" s="137">
        <f t="shared" si="87"/>
        <v>0</v>
      </c>
      <c r="D663" s="134" t="s">
        <v>1379</v>
      </c>
      <c r="F663" s="134">
        <f t="shared" si="88"/>
        <v>0</v>
      </c>
      <c r="G663" s="134" t="s">
        <v>1379</v>
      </c>
      <c r="I663" s="134">
        <f t="shared" si="89"/>
        <v>0</v>
      </c>
      <c r="J663" s="134" t="s">
        <v>1379</v>
      </c>
      <c r="L663" s="134">
        <f t="shared" si="90"/>
        <v>0</v>
      </c>
      <c r="M663" s="134" t="s">
        <v>1379</v>
      </c>
      <c r="O663" s="134">
        <f t="shared" si="91"/>
        <v>0</v>
      </c>
      <c r="P663" s="134" t="s">
        <v>1379</v>
      </c>
      <c r="R663" s="134">
        <f t="shared" si="92"/>
        <v>0</v>
      </c>
      <c r="S663" s="134" t="s">
        <v>1379</v>
      </c>
      <c r="U663" s="134">
        <f t="shared" si="93"/>
        <v>0</v>
      </c>
    </row>
    <row r="664" spans="1:21" ht="15.75" x14ac:dyDescent="0.25">
      <c r="A664" s="131" t="s">
        <v>1263</v>
      </c>
      <c r="B664" s="137">
        <f t="shared" si="87"/>
        <v>0</v>
      </c>
      <c r="D664" s="134" t="s">
        <v>1379</v>
      </c>
      <c r="F664" s="134">
        <f t="shared" si="88"/>
        <v>0</v>
      </c>
      <c r="G664" s="134" t="s">
        <v>1379</v>
      </c>
      <c r="I664" s="134">
        <f t="shared" si="89"/>
        <v>0</v>
      </c>
      <c r="J664" s="134" t="s">
        <v>1379</v>
      </c>
      <c r="L664" s="134">
        <f t="shared" si="90"/>
        <v>0</v>
      </c>
      <c r="M664" s="134" t="s">
        <v>1379</v>
      </c>
      <c r="O664" s="134">
        <f t="shared" si="91"/>
        <v>0</v>
      </c>
      <c r="P664" s="134" t="s">
        <v>1379</v>
      </c>
      <c r="R664" s="134">
        <f t="shared" si="92"/>
        <v>0</v>
      </c>
      <c r="S664" s="134" t="s">
        <v>1379</v>
      </c>
      <c r="U664" s="134">
        <f t="shared" si="93"/>
        <v>0</v>
      </c>
    </row>
    <row r="665" spans="1:21" ht="15.75" x14ac:dyDescent="0.25">
      <c r="A665" s="131" t="s">
        <v>1264</v>
      </c>
      <c r="B665" s="137">
        <f t="shared" si="87"/>
        <v>0</v>
      </c>
      <c r="D665" s="134" t="s">
        <v>1379</v>
      </c>
      <c r="F665" s="134">
        <f t="shared" si="88"/>
        <v>0</v>
      </c>
      <c r="G665" s="134" t="s">
        <v>1379</v>
      </c>
      <c r="I665" s="134">
        <f t="shared" si="89"/>
        <v>0</v>
      </c>
      <c r="J665" s="134" t="s">
        <v>1379</v>
      </c>
      <c r="L665" s="134">
        <f t="shared" si="90"/>
        <v>0</v>
      </c>
      <c r="M665" s="134" t="s">
        <v>1379</v>
      </c>
      <c r="O665" s="134">
        <f t="shared" si="91"/>
        <v>0</v>
      </c>
      <c r="P665" s="134" t="s">
        <v>1379</v>
      </c>
      <c r="R665" s="134">
        <f t="shared" si="92"/>
        <v>0</v>
      </c>
      <c r="S665" s="134" t="s">
        <v>1379</v>
      </c>
      <c r="U665" s="134">
        <f t="shared" si="93"/>
        <v>0</v>
      </c>
    </row>
    <row r="666" spans="1:21" ht="15.75" x14ac:dyDescent="0.25">
      <c r="A666" s="131" t="s">
        <v>1265</v>
      </c>
      <c r="B666" s="137">
        <f t="shared" si="87"/>
        <v>0</v>
      </c>
      <c r="D666" s="134" t="s">
        <v>1379</v>
      </c>
      <c r="F666" s="134">
        <f t="shared" si="88"/>
        <v>0</v>
      </c>
      <c r="G666" s="134" t="s">
        <v>1379</v>
      </c>
      <c r="I666" s="134">
        <f t="shared" si="89"/>
        <v>0</v>
      </c>
      <c r="J666" s="134" t="s">
        <v>1379</v>
      </c>
      <c r="L666" s="134">
        <f t="shared" si="90"/>
        <v>0</v>
      </c>
      <c r="M666" s="134" t="s">
        <v>1379</v>
      </c>
      <c r="O666" s="134">
        <f t="shared" si="91"/>
        <v>0</v>
      </c>
      <c r="P666" s="134" t="s">
        <v>1379</v>
      </c>
      <c r="R666" s="134">
        <f t="shared" si="92"/>
        <v>0</v>
      </c>
      <c r="S666" s="134" t="s">
        <v>1379</v>
      </c>
      <c r="U666" s="134">
        <f t="shared" si="93"/>
        <v>0</v>
      </c>
    </row>
    <row r="667" spans="1:21" ht="15.75" x14ac:dyDescent="0.25">
      <c r="A667" s="131" t="s">
        <v>1266</v>
      </c>
      <c r="B667" s="137">
        <f t="shared" si="87"/>
        <v>0</v>
      </c>
      <c r="D667" s="134" t="s">
        <v>1379</v>
      </c>
      <c r="F667" s="134">
        <f t="shared" si="88"/>
        <v>0</v>
      </c>
      <c r="G667" s="134" t="s">
        <v>1379</v>
      </c>
      <c r="I667" s="134">
        <f t="shared" si="89"/>
        <v>0</v>
      </c>
      <c r="J667" s="134" t="s">
        <v>1379</v>
      </c>
      <c r="L667" s="134">
        <f t="shared" si="90"/>
        <v>0</v>
      </c>
      <c r="M667" s="134" t="s">
        <v>1379</v>
      </c>
      <c r="O667" s="134">
        <f t="shared" si="91"/>
        <v>0</v>
      </c>
      <c r="P667" s="134" t="s">
        <v>1379</v>
      </c>
      <c r="R667" s="134">
        <f t="shared" si="92"/>
        <v>0</v>
      </c>
      <c r="S667" s="134" t="s">
        <v>1379</v>
      </c>
      <c r="U667" s="134">
        <f t="shared" si="93"/>
        <v>0</v>
      </c>
    </row>
    <row r="668" spans="1:21" ht="15.75" x14ac:dyDescent="0.25">
      <c r="A668" s="131" t="s">
        <v>1267</v>
      </c>
      <c r="B668" s="137">
        <f t="shared" si="87"/>
        <v>0</v>
      </c>
      <c r="D668" s="134" t="s">
        <v>1379</v>
      </c>
      <c r="F668" s="134">
        <f t="shared" si="88"/>
        <v>0</v>
      </c>
      <c r="G668" s="134" t="s">
        <v>1379</v>
      </c>
      <c r="I668" s="134">
        <f t="shared" si="89"/>
        <v>0</v>
      </c>
      <c r="J668" s="134" t="s">
        <v>1379</v>
      </c>
      <c r="L668" s="134">
        <f t="shared" si="90"/>
        <v>0</v>
      </c>
      <c r="M668" s="134" t="s">
        <v>1379</v>
      </c>
      <c r="O668" s="134">
        <f t="shared" si="91"/>
        <v>0</v>
      </c>
      <c r="P668" s="134" t="s">
        <v>1379</v>
      </c>
      <c r="R668" s="134">
        <f t="shared" si="92"/>
        <v>0</v>
      </c>
      <c r="S668" s="134" t="s">
        <v>1379</v>
      </c>
      <c r="U668" s="134">
        <f t="shared" si="93"/>
        <v>0</v>
      </c>
    </row>
    <row r="669" spans="1:21" ht="15.75" x14ac:dyDescent="0.25">
      <c r="A669" s="131" t="s">
        <v>1268</v>
      </c>
      <c r="B669" s="137">
        <f t="shared" si="87"/>
        <v>0</v>
      </c>
      <c r="D669" s="134" t="s">
        <v>1379</v>
      </c>
      <c r="F669" s="134">
        <f t="shared" si="88"/>
        <v>0</v>
      </c>
      <c r="G669" s="134" t="s">
        <v>1379</v>
      </c>
      <c r="I669" s="134">
        <f t="shared" si="89"/>
        <v>0</v>
      </c>
      <c r="J669" s="134" t="s">
        <v>1379</v>
      </c>
      <c r="L669" s="134">
        <f t="shared" si="90"/>
        <v>0</v>
      </c>
      <c r="M669" s="134" t="s">
        <v>1379</v>
      </c>
      <c r="O669" s="134">
        <f t="shared" si="91"/>
        <v>0</v>
      </c>
      <c r="P669" s="134" t="s">
        <v>1379</v>
      </c>
      <c r="R669" s="134">
        <f t="shared" si="92"/>
        <v>0</v>
      </c>
      <c r="S669" s="134" t="s">
        <v>1379</v>
      </c>
      <c r="U669" s="134">
        <f t="shared" si="93"/>
        <v>0</v>
      </c>
    </row>
    <row r="670" spans="1:21" ht="15.75" x14ac:dyDescent="0.25">
      <c r="A670" s="131" t="s">
        <v>1269</v>
      </c>
      <c r="B670" s="137">
        <f t="shared" si="87"/>
        <v>0</v>
      </c>
      <c r="D670" s="134" t="s">
        <v>1379</v>
      </c>
      <c r="F670" s="134">
        <f t="shared" si="88"/>
        <v>0</v>
      </c>
      <c r="G670" s="134" t="s">
        <v>1379</v>
      </c>
      <c r="I670" s="134">
        <f t="shared" si="89"/>
        <v>0</v>
      </c>
      <c r="J670" s="134" t="s">
        <v>1379</v>
      </c>
      <c r="L670" s="134">
        <f t="shared" si="90"/>
        <v>0</v>
      </c>
      <c r="M670" s="134" t="s">
        <v>1379</v>
      </c>
      <c r="O670" s="134">
        <f t="shared" si="91"/>
        <v>0</v>
      </c>
      <c r="P670" s="134" t="s">
        <v>1379</v>
      </c>
      <c r="R670" s="134">
        <f t="shared" si="92"/>
        <v>0</v>
      </c>
      <c r="S670" s="134" t="s">
        <v>1379</v>
      </c>
      <c r="U670" s="134">
        <f t="shared" si="93"/>
        <v>0</v>
      </c>
    </row>
    <row r="671" spans="1:21" ht="15.75" x14ac:dyDescent="0.25">
      <c r="A671" s="131" t="s">
        <v>1270</v>
      </c>
      <c r="B671" s="137">
        <f t="shared" si="87"/>
        <v>0</v>
      </c>
      <c r="D671" s="134" t="s">
        <v>1379</v>
      </c>
      <c r="F671" s="134">
        <f t="shared" si="88"/>
        <v>0</v>
      </c>
      <c r="G671" s="134" t="s">
        <v>1379</v>
      </c>
      <c r="I671" s="134">
        <f t="shared" si="89"/>
        <v>0</v>
      </c>
      <c r="J671" s="134" t="s">
        <v>1379</v>
      </c>
      <c r="L671" s="134">
        <f t="shared" si="90"/>
        <v>0</v>
      </c>
      <c r="M671" s="134" t="s">
        <v>1379</v>
      </c>
      <c r="O671" s="134">
        <f t="shared" si="91"/>
        <v>0</v>
      </c>
      <c r="P671" s="134" t="s">
        <v>1379</v>
      </c>
      <c r="R671" s="134">
        <f t="shared" si="92"/>
        <v>0</v>
      </c>
      <c r="S671" s="134" t="s">
        <v>1379</v>
      </c>
      <c r="U671" s="134">
        <f t="shared" si="93"/>
        <v>0</v>
      </c>
    </row>
    <row r="672" spans="1:21" ht="15.75" x14ac:dyDescent="0.25">
      <c r="A672" s="131" t="s">
        <v>1271</v>
      </c>
      <c r="B672" s="137">
        <f t="shared" si="87"/>
        <v>0</v>
      </c>
      <c r="D672" s="134" t="s">
        <v>1379</v>
      </c>
      <c r="F672" s="134">
        <f t="shared" si="88"/>
        <v>0</v>
      </c>
      <c r="G672" s="134" t="s">
        <v>1379</v>
      </c>
      <c r="I672" s="134">
        <f t="shared" si="89"/>
        <v>0</v>
      </c>
      <c r="J672" s="134" t="s">
        <v>1379</v>
      </c>
      <c r="L672" s="134">
        <f t="shared" si="90"/>
        <v>0</v>
      </c>
      <c r="M672" s="134" t="s">
        <v>1379</v>
      </c>
      <c r="O672" s="134">
        <f t="shared" si="91"/>
        <v>0</v>
      </c>
      <c r="P672" s="134" t="s">
        <v>1379</v>
      </c>
      <c r="R672" s="134">
        <f t="shared" si="92"/>
        <v>0</v>
      </c>
      <c r="S672" s="134" t="s">
        <v>1379</v>
      </c>
      <c r="U672" s="134">
        <f t="shared" si="93"/>
        <v>0</v>
      </c>
    </row>
    <row r="673" spans="1:21" ht="15.75" x14ac:dyDescent="0.25">
      <c r="A673" s="131" t="s">
        <v>1272</v>
      </c>
      <c r="B673" s="137">
        <f t="shared" si="87"/>
        <v>0</v>
      </c>
      <c r="D673" s="134" t="s">
        <v>1379</v>
      </c>
      <c r="F673" s="134">
        <f t="shared" si="88"/>
        <v>0</v>
      </c>
      <c r="G673" s="134" t="s">
        <v>1379</v>
      </c>
      <c r="I673" s="134">
        <f t="shared" si="89"/>
        <v>0</v>
      </c>
      <c r="J673" s="134" t="s">
        <v>1379</v>
      </c>
      <c r="L673" s="134">
        <f t="shared" si="90"/>
        <v>0</v>
      </c>
      <c r="M673" s="134" t="s">
        <v>1379</v>
      </c>
      <c r="O673" s="134">
        <f t="shared" si="91"/>
        <v>0</v>
      </c>
      <c r="P673" s="134" t="s">
        <v>1379</v>
      </c>
      <c r="R673" s="134">
        <f t="shared" si="92"/>
        <v>0</v>
      </c>
      <c r="S673" s="134" t="s">
        <v>1379</v>
      </c>
      <c r="U673" s="134">
        <f t="shared" si="93"/>
        <v>0</v>
      </c>
    </row>
    <row r="674" spans="1:21" ht="15.75" x14ac:dyDescent="0.25">
      <c r="A674" s="131" t="s">
        <v>1273</v>
      </c>
      <c r="B674" s="137">
        <f t="shared" si="87"/>
        <v>0</v>
      </c>
      <c r="D674" s="134" t="s">
        <v>1379</v>
      </c>
      <c r="F674" s="134">
        <f t="shared" si="88"/>
        <v>0</v>
      </c>
      <c r="G674" s="134" t="s">
        <v>1379</v>
      </c>
      <c r="I674" s="134">
        <f t="shared" si="89"/>
        <v>0</v>
      </c>
      <c r="J674" s="134" t="s">
        <v>1379</v>
      </c>
      <c r="L674" s="134">
        <f t="shared" si="90"/>
        <v>0</v>
      </c>
      <c r="M674" s="134" t="s">
        <v>1379</v>
      </c>
      <c r="O674" s="134">
        <f t="shared" si="91"/>
        <v>0</v>
      </c>
      <c r="P674" s="134" t="s">
        <v>1379</v>
      </c>
      <c r="R674" s="134">
        <f t="shared" si="92"/>
        <v>0</v>
      </c>
      <c r="S674" s="134" t="s">
        <v>1379</v>
      </c>
      <c r="U674" s="134">
        <f t="shared" si="93"/>
        <v>0</v>
      </c>
    </row>
    <row r="675" spans="1:21" ht="15.75" x14ac:dyDescent="0.25">
      <c r="A675" s="131" t="s">
        <v>1274</v>
      </c>
      <c r="B675" s="137">
        <f t="shared" si="87"/>
        <v>0</v>
      </c>
      <c r="D675" s="134" t="s">
        <v>1379</v>
      </c>
      <c r="F675" s="134">
        <f t="shared" si="88"/>
        <v>0</v>
      </c>
      <c r="G675" s="134" t="s">
        <v>1379</v>
      </c>
      <c r="I675" s="134">
        <f t="shared" si="89"/>
        <v>0</v>
      </c>
      <c r="J675" s="134" t="s">
        <v>1379</v>
      </c>
      <c r="L675" s="134">
        <f t="shared" si="90"/>
        <v>0</v>
      </c>
      <c r="M675" s="134" t="s">
        <v>1379</v>
      </c>
      <c r="O675" s="134">
        <f t="shared" si="91"/>
        <v>0</v>
      </c>
      <c r="P675" s="134" t="s">
        <v>1379</v>
      </c>
      <c r="R675" s="134">
        <f t="shared" si="92"/>
        <v>0</v>
      </c>
      <c r="S675" s="134" t="s">
        <v>1379</v>
      </c>
      <c r="U675" s="134">
        <f t="shared" si="93"/>
        <v>0</v>
      </c>
    </row>
    <row r="676" spans="1:21" ht="15.75" x14ac:dyDescent="0.25">
      <c r="A676" s="131" t="s">
        <v>1275</v>
      </c>
      <c r="B676" s="137">
        <f t="shared" si="87"/>
        <v>0</v>
      </c>
      <c r="D676" s="134" t="s">
        <v>1379</v>
      </c>
      <c r="F676" s="134">
        <f t="shared" si="88"/>
        <v>0</v>
      </c>
      <c r="G676" s="134" t="s">
        <v>1379</v>
      </c>
      <c r="I676" s="134">
        <f t="shared" si="89"/>
        <v>0</v>
      </c>
      <c r="J676" s="134" t="s">
        <v>1379</v>
      </c>
      <c r="L676" s="134">
        <f t="shared" si="90"/>
        <v>0</v>
      </c>
      <c r="M676" s="134" t="s">
        <v>1379</v>
      </c>
      <c r="O676" s="134">
        <f t="shared" si="91"/>
        <v>0</v>
      </c>
      <c r="P676" s="134" t="s">
        <v>1379</v>
      </c>
      <c r="R676" s="134">
        <f t="shared" si="92"/>
        <v>0</v>
      </c>
      <c r="S676" s="134" t="s">
        <v>1379</v>
      </c>
      <c r="U676" s="134">
        <f t="shared" si="93"/>
        <v>0</v>
      </c>
    </row>
    <row r="677" spans="1:21" ht="15.75" x14ac:dyDescent="0.25">
      <c r="A677" s="131" t="s">
        <v>1276</v>
      </c>
      <c r="B677" s="137">
        <f t="shared" si="87"/>
        <v>0</v>
      </c>
      <c r="D677" s="134" t="s">
        <v>1379</v>
      </c>
      <c r="F677" s="134">
        <f t="shared" si="88"/>
        <v>0</v>
      </c>
      <c r="G677" s="134" t="s">
        <v>1379</v>
      </c>
      <c r="I677" s="134">
        <f t="shared" si="89"/>
        <v>0</v>
      </c>
      <c r="J677" s="134" t="s">
        <v>1379</v>
      </c>
      <c r="L677" s="134">
        <f t="shared" si="90"/>
        <v>0</v>
      </c>
      <c r="M677" s="134" t="s">
        <v>1379</v>
      </c>
      <c r="O677" s="134">
        <f t="shared" si="91"/>
        <v>0</v>
      </c>
      <c r="P677" s="134" t="s">
        <v>1379</v>
      </c>
      <c r="R677" s="134">
        <f t="shared" si="92"/>
        <v>0</v>
      </c>
      <c r="S677" s="134" t="s">
        <v>1379</v>
      </c>
      <c r="U677" s="134">
        <f t="shared" si="93"/>
        <v>0</v>
      </c>
    </row>
    <row r="678" spans="1:21" ht="15.75" x14ac:dyDescent="0.25">
      <c r="A678" s="131" t="s">
        <v>1277</v>
      </c>
      <c r="B678" s="137">
        <f t="shared" si="87"/>
        <v>0</v>
      </c>
      <c r="D678" s="134" t="s">
        <v>1379</v>
      </c>
      <c r="F678" s="134">
        <f t="shared" si="88"/>
        <v>0</v>
      </c>
      <c r="G678" s="134" t="s">
        <v>1379</v>
      </c>
      <c r="I678" s="134">
        <f t="shared" si="89"/>
        <v>0</v>
      </c>
      <c r="J678" s="134" t="s">
        <v>1379</v>
      </c>
      <c r="L678" s="134">
        <f t="shared" si="90"/>
        <v>0</v>
      </c>
      <c r="M678" s="134" t="s">
        <v>1379</v>
      </c>
      <c r="O678" s="134">
        <f t="shared" si="91"/>
        <v>0</v>
      </c>
      <c r="P678" s="134" t="s">
        <v>1379</v>
      </c>
      <c r="R678" s="134">
        <f t="shared" si="92"/>
        <v>0</v>
      </c>
      <c r="S678" s="134" t="s">
        <v>1379</v>
      </c>
      <c r="U678" s="134">
        <f t="shared" si="93"/>
        <v>0</v>
      </c>
    </row>
    <row r="679" spans="1:21" ht="15.75" x14ac:dyDescent="0.25">
      <c r="A679" s="131" t="s">
        <v>1278</v>
      </c>
      <c r="B679" s="137">
        <f t="shared" si="87"/>
        <v>0</v>
      </c>
      <c r="D679" s="134" t="s">
        <v>1379</v>
      </c>
      <c r="F679" s="134">
        <f t="shared" si="88"/>
        <v>0</v>
      </c>
      <c r="G679" s="134" t="s">
        <v>1379</v>
      </c>
      <c r="I679" s="134">
        <f t="shared" si="89"/>
        <v>0</v>
      </c>
      <c r="J679" s="134" t="s">
        <v>1379</v>
      </c>
      <c r="L679" s="134">
        <f t="shared" si="90"/>
        <v>0</v>
      </c>
      <c r="M679" s="134" t="s">
        <v>1379</v>
      </c>
      <c r="O679" s="134">
        <f t="shared" si="91"/>
        <v>0</v>
      </c>
      <c r="P679" s="134" t="s">
        <v>1379</v>
      </c>
      <c r="R679" s="134">
        <f t="shared" si="92"/>
        <v>0</v>
      </c>
      <c r="S679" s="134" t="s">
        <v>1379</v>
      </c>
      <c r="U679" s="134">
        <f t="shared" si="93"/>
        <v>0</v>
      </c>
    </row>
    <row r="680" spans="1:21" ht="15.75" x14ac:dyDescent="0.25">
      <c r="A680" s="131" t="s">
        <v>1279</v>
      </c>
      <c r="B680" s="137">
        <f t="shared" si="87"/>
        <v>0</v>
      </c>
      <c r="D680" s="134" t="s">
        <v>1379</v>
      </c>
      <c r="F680" s="134">
        <f t="shared" si="88"/>
        <v>0</v>
      </c>
      <c r="G680" s="134" t="s">
        <v>1379</v>
      </c>
      <c r="I680" s="134">
        <f t="shared" si="89"/>
        <v>0</v>
      </c>
      <c r="J680" s="134" t="s">
        <v>1379</v>
      </c>
      <c r="L680" s="134">
        <f t="shared" si="90"/>
        <v>0</v>
      </c>
      <c r="M680" s="134" t="s">
        <v>1379</v>
      </c>
      <c r="O680" s="134">
        <f t="shared" si="91"/>
        <v>0</v>
      </c>
      <c r="P680" s="134" t="s">
        <v>1379</v>
      </c>
      <c r="R680" s="134">
        <f t="shared" si="92"/>
        <v>0</v>
      </c>
      <c r="S680" s="134" t="s">
        <v>1379</v>
      </c>
      <c r="U680" s="134">
        <f t="shared" si="93"/>
        <v>0</v>
      </c>
    </row>
    <row r="681" spans="1:21" ht="15.75" x14ac:dyDescent="0.25">
      <c r="A681" s="131" t="s">
        <v>1280</v>
      </c>
      <c r="B681" s="137">
        <f t="shared" si="87"/>
        <v>0</v>
      </c>
      <c r="D681" s="134" t="s">
        <v>1379</v>
      </c>
      <c r="F681" s="134">
        <f t="shared" si="88"/>
        <v>0</v>
      </c>
      <c r="G681" s="134" t="s">
        <v>1379</v>
      </c>
      <c r="I681" s="134">
        <f t="shared" si="89"/>
        <v>0</v>
      </c>
      <c r="J681" s="134" t="s">
        <v>1379</v>
      </c>
      <c r="L681" s="134">
        <f t="shared" si="90"/>
        <v>0</v>
      </c>
      <c r="M681" s="134" t="s">
        <v>1379</v>
      </c>
      <c r="O681" s="134">
        <f t="shared" si="91"/>
        <v>0</v>
      </c>
      <c r="P681" s="134" t="s">
        <v>1379</v>
      </c>
      <c r="R681" s="134">
        <f t="shared" si="92"/>
        <v>0</v>
      </c>
      <c r="S681" s="134" t="s">
        <v>1379</v>
      </c>
      <c r="U681" s="134">
        <f t="shared" si="93"/>
        <v>0</v>
      </c>
    </row>
    <row r="682" spans="1:21" ht="15.75" x14ac:dyDescent="0.25">
      <c r="A682" s="131" t="s">
        <v>1281</v>
      </c>
      <c r="B682" s="137">
        <f t="shared" si="87"/>
        <v>0</v>
      </c>
      <c r="D682" s="134" t="s">
        <v>1379</v>
      </c>
      <c r="F682" s="134">
        <f t="shared" si="88"/>
        <v>0</v>
      </c>
      <c r="G682" s="134" t="s">
        <v>1379</v>
      </c>
      <c r="I682" s="134">
        <f t="shared" si="89"/>
        <v>0</v>
      </c>
      <c r="J682" s="134" t="s">
        <v>1379</v>
      </c>
      <c r="L682" s="134">
        <f t="shared" si="90"/>
        <v>0</v>
      </c>
      <c r="M682" s="134" t="s">
        <v>1379</v>
      </c>
      <c r="O682" s="134">
        <f t="shared" si="91"/>
        <v>0</v>
      </c>
      <c r="P682" s="134" t="s">
        <v>1379</v>
      </c>
      <c r="R682" s="134">
        <f t="shared" si="92"/>
        <v>0</v>
      </c>
      <c r="S682" s="134" t="s">
        <v>1379</v>
      </c>
      <c r="U682" s="134">
        <f t="shared" si="93"/>
        <v>0</v>
      </c>
    </row>
    <row r="683" spans="1:21" ht="15.75" x14ac:dyDescent="0.25">
      <c r="A683" s="131" t="s">
        <v>1282</v>
      </c>
      <c r="B683" s="137">
        <f t="shared" si="87"/>
        <v>0</v>
      </c>
      <c r="D683" s="134" t="s">
        <v>1379</v>
      </c>
      <c r="F683" s="134">
        <f t="shared" si="88"/>
        <v>0</v>
      </c>
      <c r="G683" s="134" t="s">
        <v>1379</v>
      </c>
      <c r="I683" s="134">
        <f t="shared" si="89"/>
        <v>0</v>
      </c>
      <c r="J683" s="134" t="s">
        <v>1379</v>
      </c>
      <c r="L683" s="134">
        <f t="shared" si="90"/>
        <v>0</v>
      </c>
      <c r="M683" s="134" t="s">
        <v>1379</v>
      </c>
      <c r="O683" s="134">
        <f t="shared" si="91"/>
        <v>0</v>
      </c>
      <c r="P683" s="134" t="s">
        <v>1379</v>
      </c>
      <c r="R683" s="134">
        <f t="shared" si="92"/>
        <v>0</v>
      </c>
      <c r="S683" s="134" t="s">
        <v>1379</v>
      </c>
      <c r="U683" s="134">
        <f t="shared" si="93"/>
        <v>0</v>
      </c>
    </row>
    <row r="684" spans="1:21" ht="15.75" x14ac:dyDescent="0.25">
      <c r="A684" s="131" t="s">
        <v>1283</v>
      </c>
      <c r="B684" s="137">
        <f t="shared" si="87"/>
        <v>0</v>
      </c>
      <c r="D684" s="134" t="s">
        <v>1379</v>
      </c>
      <c r="F684" s="134">
        <f t="shared" si="88"/>
        <v>0</v>
      </c>
      <c r="G684" s="134" t="s">
        <v>1379</v>
      </c>
      <c r="I684" s="134">
        <f t="shared" si="89"/>
        <v>0</v>
      </c>
      <c r="J684" s="134" t="s">
        <v>1379</v>
      </c>
      <c r="L684" s="134">
        <f t="shared" si="90"/>
        <v>0</v>
      </c>
      <c r="M684" s="134" t="s">
        <v>1379</v>
      </c>
      <c r="O684" s="134">
        <f t="shared" si="91"/>
        <v>0</v>
      </c>
      <c r="P684" s="134" t="s">
        <v>1379</v>
      </c>
      <c r="R684" s="134">
        <f t="shared" si="92"/>
        <v>0</v>
      </c>
      <c r="S684" s="134" t="s">
        <v>1379</v>
      </c>
      <c r="U684" s="134">
        <f t="shared" si="93"/>
        <v>0</v>
      </c>
    </row>
    <row r="685" spans="1:21" ht="15.75" x14ac:dyDescent="0.25">
      <c r="A685" s="131" t="s">
        <v>1284</v>
      </c>
      <c r="B685" s="137">
        <f t="shared" si="87"/>
        <v>0</v>
      </c>
      <c r="D685" s="134" t="s">
        <v>1379</v>
      </c>
      <c r="F685" s="134">
        <f t="shared" si="88"/>
        <v>0</v>
      </c>
      <c r="G685" s="134" t="s">
        <v>1379</v>
      </c>
      <c r="I685" s="134">
        <f t="shared" si="89"/>
        <v>0</v>
      </c>
      <c r="J685" s="134" t="s">
        <v>1379</v>
      </c>
      <c r="L685" s="134">
        <f t="shared" si="90"/>
        <v>0</v>
      </c>
      <c r="M685" s="134" t="s">
        <v>1379</v>
      </c>
      <c r="O685" s="134">
        <f t="shared" si="91"/>
        <v>0</v>
      </c>
      <c r="P685" s="134" t="s">
        <v>1379</v>
      </c>
      <c r="R685" s="134">
        <f t="shared" si="92"/>
        <v>0</v>
      </c>
      <c r="S685" s="134" t="s">
        <v>1379</v>
      </c>
      <c r="U685" s="134">
        <f t="shared" si="93"/>
        <v>0</v>
      </c>
    </row>
    <row r="686" spans="1:21" ht="15.75" x14ac:dyDescent="0.25">
      <c r="A686" s="131" t="s">
        <v>1285</v>
      </c>
      <c r="B686" s="137">
        <f t="shared" si="87"/>
        <v>0</v>
      </c>
      <c r="D686" s="134" t="s">
        <v>1379</v>
      </c>
      <c r="F686" s="134">
        <f t="shared" si="88"/>
        <v>0</v>
      </c>
      <c r="G686" s="134" t="s">
        <v>1379</v>
      </c>
      <c r="I686" s="134">
        <f t="shared" si="89"/>
        <v>0</v>
      </c>
      <c r="J686" s="134" t="s">
        <v>1379</v>
      </c>
      <c r="L686" s="134">
        <f t="shared" si="90"/>
        <v>0</v>
      </c>
      <c r="M686" s="134" t="s">
        <v>1379</v>
      </c>
      <c r="O686" s="134">
        <f t="shared" si="91"/>
        <v>0</v>
      </c>
      <c r="P686" s="134" t="s">
        <v>1379</v>
      </c>
      <c r="R686" s="134">
        <f t="shared" si="92"/>
        <v>0</v>
      </c>
      <c r="S686" s="134" t="s">
        <v>1379</v>
      </c>
      <c r="U686" s="134">
        <f t="shared" si="93"/>
        <v>0</v>
      </c>
    </row>
    <row r="687" spans="1:21" ht="15.75" x14ac:dyDescent="0.25">
      <c r="A687" s="131" t="s">
        <v>1286</v>
      </c>
      <c r="B687" s="137">
        <f t="shared" si="87"/>
        <v>0</v>
      </c>
      <c r="D687" s="134" t="s">
        <v>1379</v>
      </c>
      <c r="F687" s="134">
        <f t="shared" si="88"/>
        <v>0</v>
      </c>
      <c r="G687" s="134" t="s">
        <v>1379</v>
      </c>
      <c r="I687" s="134">
        <f t="shared" si="89"/>
        <v>0</v>
      </c>
      <c r="J687" s="134" t="s">
        <v>1379</v>
      </c>
      <c r="L687" s="134">
        <f t="shared" si="90"/>
        <v>0</v>
      </c>
      <c r="M687" s="134" t="s">
        <v>1379</v>
      </c>
      <c r="O687" s="134">
        <f t="shared" si="91"/>
        <v>0</v>
      </c>
      <c r="P687" s="134" t="s">
        <v>1379</v>
      </c>
      <c r="R687" s="134">
        <f t="shared" si="92"/>
        <v>0</v>
      </c>
      <c r="S687" s="134" t="s">
        <v>1379</v>
      </c>
      <c r="U687" s="134">
        <f t="shared" si="93"/>
        <v>0</v>
      </c>
    </row>
    <row r="688" spans="1:21" ht="15.75" x14ac:dyDescent="0.25">
      <c r="A688" s="131" t="s">
        <v>1287</v>
      </c>
      <c r="B688" s="137">
        <f t="shared" si="87"/>
        <v>0</v>
      </c>
      <c r="D688" s="134" t="s">
        <v>1379</v>
      </c>
      <c r="F688" s="134">
        <f t="shared" si="88"/>
        <v>0</v>
      </c>
      <c r="G688" s="134" t="s">
        <v>1379</v>
      </c>
      <c r="I688" s="134">
        <f t="shared" si="89"/>
        <v>0</v>
      </c>
      <c r="J688" s="134" t="s">
        <v>1379</v>
      </c>
      <c r="L688" s="134">
        <f t="shared" si="90"/>
        <v>0</v>
      </c>
      <c r="M688" s="134" t="s">
        <v>1379</v>
      </c>
      <c r="O688" s="134">
        <f t="shared" si="91"/>
        <v>0</v>
      </c>
      <c r="P688" s="134" t="s">
        <v>1379</v>
      </c>
      <c r="R688" s="134">
        <f t="shared" si="92"/>
        <v>0</v>
      </c>
      <c r="S688" s="134" t="s">
        <v>1379</v>
      </c>
      <c r="U688" s="134">
        <f t="shared" si="93"/>
        <v>0</v>
      </c>
    </row>
    <row r="689" spans="1:21" ht="15.75" x14ac:dyDescent="0.25">
      <c r="A689" s="131" t="s">
        <v>1288</v>
      </c>
      <c r="B689" s="137">
        <f t="shared" si="87"/>
        <v>0</v>
      </c>
      <c r="D689" s="134" t="s">
        <v>1379</v>
      </c>
      <c r="F689" s="134">
        <f t="shared" si="88"/>
        <v>0</v>
      </c>
      <c r="G689" s="134" t="s">
        <v>1379</v>
      </c>
      <c r="I689" s="134">
        <f t="shared" si="89"/>
        <v>0</v>
      </c>
      <c r="J689" s="134" t="s">
        <v>1379</v>
      </c>
      <c r="L689" s="134">
        <f t="shared" si="90"/>
        <v>0</v>
      </c>
      <c r="M689" s="134" t="s">
        <v>1379</v>
      </c>
      <c r="O689" s="134">
        <f t="shared" si="91"/>
        <v>0</v>
      </c>
      <c r="P689" s="134" t="s">
        <v>1379</v>
      </c>
      <c r="R689" s="134">
        <f t="shared" si="92"/>
        <v>0</v>
      </c>
      <c r="S689" s="134" t="s">
        <v>1379</v>
      </c>
      <c r="U689" s="134">
        <f t="shared" si="93"/>
        <v>0</v>
      </c>
    </row>
    <row r="690" spans="1:21" ht="15.75" x14ac:dyDescent="0.25">
      <c r="A690" s="131" t="s">
        <v>1289</v>
      </c>
      <c r="B690" s="137">
        <f t="shared" si="87"/>
        <v>0</v>
      </c>
      <c r="D690" s="134" t="s">
        <v>1379</v>
      </c>
      <c r="F690" s="134">
        <f t="shared" si="88"/>
        <v>0</v>
      </c>
      <c r="G690" s="134" t="s">
        <v>1379</v>
      </c>
      <c r="I690" s="134">
        <f t="shared" si="89"/>
        <v>0</v>
      </c>
      <c r="J690" s="134" t="s">
        <v>1379</v>
      </c>
      <c r="L690" s="134">
        <f t="shared" si="90"/>
        <v>0</v>
      </c>
      <c r="M690" s="134" t="s">
        <v>1379</v>
      </c>
      <c r="O690" s="134">
        <f t="shared" si="91"/>
        <v>0</v>
      </c>
      <c r="P690" s="134" t="s">
        <v>1379</v>
      </c>
      <c r="R690" s="134">
        <f t="shared" si="92"/>
        <v>0</v>
      </c>
      <c r="S690" s="134" t="s">
        <v>1379</v>
      </c>
      <c r="U690" s="134">
        <f t="shared" si="93"/>
        <v>0</v>
      </c>
    </row>
    <row r="691" spans="1:21" ht="15.75" x14ac:dyDescent="0.25">
      <c r="A691" s="131" t="s">
        <v>1290</v>
      </c>
      <c r="B691" s="137">
        <f t="shared" si="87"/>
        <v>0</v>
      </c>
      <c r="D691" s="134" t="s">
        <v>1379</v>
      </c>
      <c r="F691" s="134">
        <f t="shared" si="88"/>
        <v>0</v>
      </c>
      <c r="G691" s="134" t="s">
        <v>1379</v>
      </c>
      <c r="I691" s="134">
        <f t="shared" si="89"/>
        <v>0</v>
      </c>
      <c r="J691" s="134" t="s">
        <v>1379</v>
      </c>
      <c r="L691" s="134">
        <f t="shared" si="90"/>
        <v>0</v>
      </c>
      <c r="M691" s="134" t="s">
        <v>1379</v>
      </c>
      <c r="O691" s="134">
        <f t="shared" si="91"/>
        <v>0</v>
      </c>
      <c r="P691" s="134" t="s">
        <v>1379</v>
      </c>
      <c r="R691" s="134">
        <f t="shared" si="92"/>
        <v>0</v>
      </c>
      <c r="S691" s="134" t="s">
        <v>1379</v>
      </c>
      <c r="U691" s="134">
        <f t="shared" si="93"/>
        <v>0</v>
      </c>
    </row>
    <row r="692" spans="1:21" ht="15.75" x14ac:dyDescent="0.25">
      <c r="A692" s="131" t="s">
        <v>1291</v>
      </c>
      <c r="B692" s="137">
        <f t="shared" si="87"/>
        <v>0</v>
      </c>
      <c r="D692" s="134" t="s">
        <v>1379</v>
      </c>
      <c r="F692" s="134">
        <f t="shared" si="88"/>
        <v>0</v>
      </c>
      <c r="G692" s="134" t="s">
        <v>1379</v>
      </c>
      <c r="I692" s="134">
        <f t="shared" si="89"/>
        <v>0</v>
      </c>
      <c r="J692" s="134" t="s">
        <v>1379</v>
      </c>
      <c r="L692" s="134">
        <f t="shared" si="90"/>
        <v>0</v>
      </c>
      <c r="M692" s="134" t="s">
        <v>1379</v>
      </c>
      <c r="O692" s="134">
        <f t="shared" si="91"/>
        <v>0</v>
      </c>
      <c r="P692" s="134" t="s">
        <v>1379</v>
      </c>
      <c r="R692" s="134">
        <f t="shared" si="92"/>
        <v>0</v>
      </c>
      <c r="S692" s="134" t="s">
        <v>1379</v>
      </c>
      <c r="U692" s="134">
        <f t="shared" si="93"/>
        <v>0</v>
      </c>
    </row>
    <row r="693" spans="1:21" ht="15.75" x14ac:dyDescent="0.25">
      <c r="A693" s="131" t="s">
        <v>1292</v>
      </c>
      <c r="B693" s="137">
        <f t="shared" si="87"/>
        <v>0</v>
      </c>
      <c r="D693" s="134" t="s">
        <v>1379</v>
      </c>
      <c r="F693" s="134">
        <f t="shared" si="88"/>
        <v>0</v>
      </c>
      <c r="G693" s="134" t="s">
        <v>1379</v>
      </c>
      <c r="I693" s="134">
        <f t="shared" si="89"/>
        <v>0</v>
      </c>
      <c r="J693" s="134" t="s">
        <v>1379</v>
      </c>
      <c r="L693" s="134">
        <f t="shared" si="90"/>
        <v>0</v>
      </c>
      <c r="M693" s="134" t="s">
        <v>1379</v>
      </c>
      <c r="O693" s="134">
        <f t="shared" si="91"/>
        <v>0</v>
      </c>
      <c r="P693" s="134" t="s">
        <v>1379</v>
      </c>
      <c r="R693" s="134">
        <f t="shared" si="92"/>
        <v>0</v>
      </c>
      <c r="S693" s="134" t="s">
        <v>1379</v>
      </c>
      <c r="U693" s="134">
        <f t="shared" si="93"/>
        <v>0</v>
      </c>
    </row>
    <row r="694" spans="1:21" ht="15.75" x14ac:dyDescent="0.25">
      <c r="A694" s="131" t="s">
        <v>1293</v>
      </c>
      <c r="B694" s="137">
        <f t="shared" si="87"/>
        <v>0</v>
      </c>
      <c r="D694" s="134" t="s">
        <v>1379</v>
      </c>
      <c r="F694" s="134">
        <f t="shared" si="88"/>
        <v>0</v>
      </c>
      <c r="G694" s="134" t="s">
        <v>1379</v>
      </c>
      <c r="I694" s="134">
        <f t="shared" si="89"/>
        <v>0</v>
      </c>
      <c r="J694" s="134" t="s">
        <v>1379</v>
      </c>
      <c r="L694" s="134">
        <f t="shared" si="90"/>
        <v>0</v>
      </c>
      <c r="M694" s="134" t="s">
        <v>1379</v>
      </c>
      <c r="O694" s="134">
        <f t="shared" si="91"/>
        <v>0</v>
      </c>
      <c r="P694" s="134" t="s">
        <v>1379</v>
      </c>
      <c r="R694" s="134">
        <f t="shared" si="92"/>
        <v>0</v>
      </c>
      <c r="S694" s="134" t="s">
        <v>1379</v>
      </c>
      <c r="U694" s="134">
        <f t="shared" si="93"/>
        <v>0</v>
      </c>
    </row>
    <row r="695" spans="1:21" ht="15.75" x14ac:dyDescent="0.25">
      <c r="A695" s="131" t="s">
        <v>1294</v>
      </c>
      <c r="B695" s="137">
        <f t="shared" si="87"/>
        <v>0</v>
      </c>
      <c r="D695" s="134" t="s">
        <v>1379</v>
      </c>
      <c r="F695" s="134">
        <f t="shared" si="88"/>
        <v>0</v>
      </c>
      <c r="G695" s="134" t="s">
        <v>1379</v>
      </c>
      <c r="I695" s="134">
        <f t="shared" si="89"/>
        <v>0</v>
      </c>
      <c r="J695" s="134" t="s">
        <v>1379</v>
      </c>
      <c r="L695" s="134">
        <f t="shared" si="90"/>
        <v>0</v>
      </c>
      <c r="M695" s="134" t="s">
        <v>1379</v>
      </c>
      <c r="O695" s="134">
        <f t="shared" si="91"/>
        <v>0</v>
      </c>
      <c r="P695" s="134" t="s">
        <v>1379</v>
      </c>
      <c r="R695" s="134">
        <f t="shared" si="92"/>
        <v>0</v>
      </c>
      <c r="S695" s="134" t="s">
        <v>1379</v>
      </c>
      <c r="U695" s="134">
        <f t="shared" si="93"/>
        <v>0</v>
      </c>
    </row>
    <row r="696" spans="1:21" ht="15.75" x14ac:dyDescent="0.25">
      <c r="A696" s="131" t="s">
        <v>1295</v>
      </c>
      <c r="B696" s="137">
        <f t="shared" ref="B696:B759" si="94">(F696*E696)+(H696*I696)+(K696*L696)+(N696*O696)+(Q696*R696)+(T696*U696)</f>
        <v>0</v>
      </c>
      <c r="D696" s="134" t="s">
        <v>1379</v>
      </c>
      <c r="F696" s="134">
        <f t="shared" si="88"/>
        <v>0</v>
      </c>
      <c r="G696" s="134" t="s">
        <v>1379</v>
      </c>
      <c r="I696" s="134">
        <f t="shared" si="89"/>
        <v>0</v>
      </c>
      <c r="J696" s="134" t="s">
        <v>1379</v>
      </c>
      <c r="L696" s="134">
        <f t="shared" si="90"/>
        <v>0</v>
      </c>
      <c r="M696" s="134" t="s">
        <v>1379</v>
      </c>
      <c r="O696" s="134">
        <f t="shared" si="91"/>
        <v>0</v>
      </c>
      <c r="P696" s="134" t="s">
        <v>1379</v>
      </c>
      <c r="R696" s="134">
        <f t="shared" si="92"/>
        <v>0</v>
      </c>
      <c r="S696" s="134" t="s">
        <v>1379</v>
      </c>
      <c r="U696" s="134">
        <f t="shared" si="93"/>
        <v>0</v>
      </c>
    </row>
    <row r="697" spans="1:21" ht="15.75" x14ac:dyDescent="0.25">
      <c r="A697" s="131" t="s">
        <v>1296</v>
      </c>
      <c r="B697" s="137">
        <f t="shared" si="94"/>
        <v>0</v>
      </c>
      <c r="D697" s="134" t="s">
        <v>1379</v>
      </c>
      <c r="F697" s="134">
        <f t="shared" si="88"/>
        <v>0</v>
      </c>
      <c r="G697" s="134" t="s">
        <v>1379</v>
      </c>
      <c r="I697" s="134">
        <f t="shared" si="89"/>
        <v>0</v>
      </c>
      <c r="J697" s="134" t="s">
        <v>1379</v>
      </c>
      <c r="L697" s="134">
        <f t="shared" si="90"/>
        <v>0</v>
      </c>
      <c r="M697" s="134" t="s">
        <v>1379</v>
      </c>
      <c r="O697" s="134">
        <f t="shared" si="91"/>
        <v>0</v>
      </c>
      <c r="P697" s="134" t="s">
        <v>1379</v>
      </c>
      <c r="R697" s="134">
        <f t="shared" si="92"/>
        <v>0</v>
      </c>
      <c r="S697" s="134" t="s">
        <v>1379</v>
      </c>
      <c r="U697" s="134">
        <f t="shared" si="93"/>
        <v>0</v>
      </c>
    </row>
    <row r="698" spans="1:21" ht="15.75" x14ac:dyDescent="0.25">
      <c r="A698" s="131" t="s">
        <v>1297</v>
      </c>
      <c r="B698" s="137">
        <f t="shared" si="94"/>
        <v>0</v>
      </c>
      <c r="D698" s="134" t="s">
        <v>1379</v>
      </c>
      <c r="F698" s="134">
        <f t="shared" ref="F698:F761" si="95">VLOOKUP(D698,IDPOINTS,2,FALSE)</f>
        <v>0</v>
      </c>
      <c r="G698" s="134" t="s">
        <v>1379</v>
      </c>
      <c r="I698" s="134">
        <f t="shared" ref="I698:I761" si="96">VLOOKUP(G698,IDPOINTS,2,FALSE)</f>
        <v>0</v>
      </c>
      <c r="J698" s="134" t="s">
        <v>1379</v>
      </c>
      <c r="L698" s="134">
        <f t="shared" ref="L698:L761" si="97">VLOOKUP(J698,IDPOINTS,2,FALSE)</f>
        <v>0</v>
      </c>
      <c r="M698" s="134" t="s">
        <v>1379</v>
      </c>
      <c r="O698" s="134">
        <f t="shared" ref="O698:O761" si="98">VLOOKUP(M698,IDPOINTS,2,FALSE)</f>
        <v>0</v>
      </c>
      <c r="P698" s="134" t="s">
        <v>1379</v>
      </c>
      <c r="R698" s="134">
        <f t="shared" ref="R698:R761" si="99">VLOOKUP(P698,IDPOINTS,2,FALSE)</f>
        <v>0</v>
      </c>
      <c r="S698" s="134" t="s">
        <v>1379</v>
      </c>
      <c r="U698" s="134">
        <f t="shared" ref="U698:U761" si="100">VLOOKUP(S698,IDPOINTS,2,FALSE)</f>
        <v>0</v>
      </c>
    </row>
    <row r="699" spans="1:21" ht="15.75" x14ac:dyDescent="0.25">
      <c r="A699" s="131" t="s">
        <v>1298</v>
      </c>
      <c r="B699" s="137">
        <f t="shared" si="94"/>
        <v>0</v>
      </c>
      <c r="D699" s="134" t="s">
        <v>1379</v>
      </c>
      <c r="F699" s="134">
        <f t="shared" si="95"/>
        <v>0</v>
      </c>
      <c r="G699" s="134" t="s">
        <v>1379</v>
      </c>
      <c r="I699" s="134">
        <f t="shared" si="96"/>
        <v>0</v>
      </c>
      <c r="J699" s="134" t="s">
        <v>1379</v>
      </c>
      <c r="L699" s="134">
        <f t="shared" si="97"/>
        <v>0</v>
      </c>
      <c r="M699" s="134" t="s">
        <v>1379</v>
      </c>
      <c r="O699" s="134">
        <f t="shared" si="98"/>
        <v>0</v>
      </c>
      <c r="P699" s="134" t="s">
        <v>1379</v>
      </c>
      <c r="R699" s="134">
        <f t="shared" si="99"/>
        <v>0</v>
      </c>
      <c r="S699" s="134" t="s">
        <v>1379</v>
      </c>
      <c r="U699" s="134">
        <f t="shared" si="100"/>
        <v>0</v>
      </c>
    </row>
    <row r="700" spans="1:21" ht="15.75" x14ac:dyDescent="0.25">
      <c r="A700" s="131" t="s">
        <v>1299</v>
      </c>
      <c r="B700" s="137">
        <f t="shared" si="94"/>
        <v>0</v>
      </c>
      <c r="D700" s="134" t="s">
        <v>1379</v>
      </c>
      <c r="F700" s="134">
        <f t="shared" si="95"/>
        <v>0</v>
      </c>
      <c r="G700" s="134" t="s">
        <v>1379</v>
      </c>
      <c r="I700" s="134">
        <f t="shared" si="96"/>
        <v>0</v>
      </c>
      <c r="J700" s="134" t="s">
        <v>1379</v>
      </c>
      <c r="L700" s="134">
        <f t="shared" si="97"/>
        <v>0</v>
      </c>
      <c r="M700" s="134" t="s">
        <v>1379</v>
      </c>
      <c r="O700" s="134">
        <f t="shared" si="98"/>
        <v>0</v>
      </c>
      <c r="P700" s="134" t="s">
        <v>1379</v>
      </c>
      <c r="R700" s="134">
        <f t="shared" si="99"/>
        <v>0</v>
      </c>
      <c r="S700" s="134" t="s">
        <v>1379</v>
      </c>
      <c r="U700" s="134">
        <f t="shared" si="100"/>
        <v>0</v>
      </c>
    </row>
    <row r="701" spans="1:21" ht="15.75" x14ac:dyDescent="0.25">
      <c r="A701" s="131" t="s">
        <v>1300</v>
      </c>
      <c r="B701" s="137">
        <f t="shared" si="94"/>
        <v>0</v>
      </c>
      <c r="D701" s="134" t="s">
        <v>1379</v>
      </c>
      <c r="F701" s="134">
        <f t="shared" si="95"/>
        <v>0</v>
      </c>
      <c r="G701" s="134" t="s">
        <v>1379</v>
      </c>
      <c r="I701" s="134">
        <f t="shared" si="96"/>
        <v>0</v>
      </c>
      <c r="J701" s="134" t="s">
        <v>1379</v>
      </c>
      <c r="L701" s="134">
        <f t="shared" si="97"/>
        <v>0</v>
      </c>
      <c r="M701" s="134" t="s">
        <v>1379</v>
      </c>
      <c r="O701" s="134">
        <f t="shared" si="98"/>
        <v>0</v>
      </c>
      <c r="P701" s="134" t="s">
        <v>1379</v>
      </c>
      <c r="R701" s="134">
        <f t="shared" si="99"/>
        <v>0</v>
      </c>
      <c r="S701" s="134" t="s">
        <v>1379</v>
      </c>
      <c r="U701" s="134">
        <f t="shared" si="100"/>
        <v>0</v>
      </c>
    </row>
    <row r="702" spans="1:21" ht="15.75" x14ac:dyDescent="0.25">
      <c r="A702" s="131" t="s">
        <v>1301</v>
      </c>
      <c r="B702" s="137">
        <f t="shared" si="94"/>
        <v>0</v>
      </c>
      <c r="D702" s="134" t="s">
        <v>1379</v>
      </c>
      <c r="F702" s="134">
        <f t="shared" si="95"/>
        <v>0</v>
      </c>
      <c r="G702" s="134" t="s">
        <v>1379</v>
      </c>
      <c r="I702" s="134">
        <f t="shared" si="96"/>
        <v>0</v>
      </c>
      <c r="J702" s="134" t="s">
        <v>1379</v>
      </c>
      <c r="L702" s="134">
        <f t="shared" si="97"/>
        <v>0</v>
      </c>
      <c r="M702" s="134" t="s">
        <v>1379</v>
      </c>
      <c r="O702" s="134">
        <f t="shared" si="98"/>
        <v>0</v>
      </c>
      <c r="P702" s="134" t="s">
        <v>1379</v>
      </c>
      <c r="R702" s="134">
        <f t="shared" si="99"/>
        <v>0</v>
      </c>
      <c r="S702" s="134" t="s">
        <v>1379</v>
      </c>
      <c r="U702" s="134">
        <f t="shared" si="100"/>
        <v>0</v>
      </c>
    </row>
    <row r="703" spans="1:21" ht="15.75" x14ac:dyDescent="0.25">
      <c r="A703" s="131" t="s">
        <v>1302</v>
      </c>
      <c r="B703" s="137">
        <f t="shared" si="94"/>
        <v>0</v>
      </c>
      <c r="D703" s="134" t="s">
        <v>1379</v>
      </c>
      <c r="F703" s="134">
        <f t="shared" si="95"/>
        <v>0</v>
      </c>
      <c r="G703" s="134" t="s">
        <v>1379</v>
      </c>
      <c r="I703" s="134">
        <f t="shared" si="96"/>
        <v>0</v>
      </c>
      <c r="J703" s="134" t="s">
        <v>1379</v>
      </c>
      <c r="L703" s="134">
        <f t="shared" si="97"/>
        <v>0</v>
      </c>
      <c r="M703" s="134" t="s">
        <v>1379</v>
      </c>
      <c r="O703" s="134">
        <f t="shared" si="98"/>
        <v>0</v>
      </c>
      <c r="P703" s="134" t="s">
        <v>1379</v>
      </c>
      <c r="R703" s="134">
        <f t="shared" si="99"/>
        <v>0</v>
      </c>
      <c r="S703" s="134" t="s">
        <v>1379</v>
      </c>
      <c r="U703" s="134">
        <f t="shared" si="100"/>
        <v>0</v>
      </c>
    </row>
    <row r="704" spans="1:21" ht="15.75" x14ac:dyDescent="0.25">
      <c r="A704" s="131" t="s">
        <v>1303</v>
      </c>
      <c r="B704" s="137">
        <f t="shared" si="94"/>
        <v>0</v>
      </c>
      <c r="D704" s="134" t="s">
        <v>1379</v>
      </c>
      <c r="F704" s="134">
        <f t="shared" si="95"/>
        <v>0</v>
      </c>
      <c r="G704" s="134" t="s">
        <v>1379</v>
      </c>
      <c r="I704" s="134">
        <f t="shared" si="96"/>
        <v>0</v>
      </c>
      <c r="J704" s="134" t="s">
        <v>1379</v>
      </c>
      <c r="L704" s="134">
        <f t="shared" si="97"/>
        <v>0</v>
      </c>
      <c r="M704" s="134" t="s">
        <v>1379</v>
      </c>
      <c r="O704" s="134">
        <f t="shared" si="98"/>
        <v>0</v>
      </c>
      <c r="P704" s="134" t="s">
        <v>1379</v>
      </c>
      <c r="R704" s="134">
        <f t="shared" si="99"/>
        <v>0</v>
      </c>
      <c r="S704" s="134" t="s">
        <v>1379</v>
      </c>
      <c r="U704" s="134">
        <f t="shared" si="100"/>
        <v>0</v>
      </c>
    </row>
    <row r="705" spans="1:21" ht="15.75" x14ac:dyDescent="0.25">
      <c r="A705" s="131" t="s">
        <v>1304</v>
      </c>
      <c r="B705" s="137">
        <f t="shared" si="94"/>
        <v>0</v>
      </c>
      <c r="D705" s="134" t="s">
        <v>1379</v>
      </c>
      <c r="F705" s="134">
        <f t="shared" si="95"/>
        <v>0</v>
      </c>
      <c r="G705" s="134" t="s">
        <v>1379</v>
      </c>
      <c r="I705" s="134">
        <f t="shared" si="96"/>
        <v>0</v>
      </c>
      <c r="J705" s="134" t="s">
        <v>1379</v>
      </c>
      <c r="L705" s="134">
        <f t="shared" si="97"/>
        <v>0</v>
      </c>
      <c r="M705" s="134" t="s">
        <v>1379</v>
      </c>
      <c r="O705" s="134">
        <f t="shared" si="98"/>
        <v>0</v>
      </c>
      <c r="P705" s="134" t="s">
        <v>1379</v>
      </c>
      <c r="R705" s="134">
        <f t="shared" si="99"/>
        <v>0</v>
      </c>
      <c r="S705" s="134" t="s">
        <v>1379</v>
      </c>
      <c r="U705" s="134">
        <f t="shared" si="100"/>
        <v>0</v>
      </c>
    </row>
    <row r="706" spans="1:21" ht="15.75" x14ac:dyDescent="0.25">
      <c r="A706" s="131" t="s">
        <v>1305</v>
      </c>
      <c r="B706" s="137">
        <f t="shared" si="94"/>
        <v>0</v>
      </c>
      <c r="D706" s="134" t="s">
        <v>1379</v>
      </c>
      <c r="F706" s="134">
        <f t="shared" si="95"/>
        <v>0</v>
      </c>
      <c r="G706" s="134" t="s">
        <v>1379</v>
      </c>
      <c r="I706" s="134">
        <f t="shared" si="96"/>
        <v>0</v>
      </c>
      <c r="J706" s="134" t="s">
        <v>1379</v>
      </c>
      <c r="L706" s="134">
        <f t="shared" si="97"/>
        <v>0</v>
      </c>
      <c r="M706" s="134" t="s">
        <v>1379</v>
      </c>
      <c r="O706" s="134">
        <f t="shared" si="98"/>
        <v>0</v>
      </c>
      <c r="P706" s="134" t="s">
        <v>1379</v>
      </c>
      <c r="R706" s="134">
        <f t="shared" si="99"/>
        <v>0</v>
      </c>
      <c r="S706" s="134" t="s">
        <v>1379</v>
      </c>
      <c r="U706" s="134">
        <f t="shared" si="100"/>
        <v>0</v>
      </c>
    </row>
    <row r="707" spans="1:21" ht="15.75" x14ac:dyDescent="0.25">
      <c r="A707" s="131" t="s">
        <v>1306</v>
      </c>
      <c r="B707" s="137">
        <f t="shared" si="94"/>
        <v>0</v>
      </c>
      <c r="D707" s="134" t="s">
        <v>1379</v>
      </c>
      <c r="F707" s="134">
        <f t="shared" si="95"/>
        <v>0</v>
      </c>
      <c r="G707" s="134" t="s">
        <v>1379</v>
      </c>
      <c r="I707" s="134">
        <f t="shared" si="96"/>
        <v>0</v>
      </c>
      <c r="J707" s="134" t="s">
        <v>1379</v>
      </c>
      <c r="L707" s="134">
        <f t="shared" si="97"/>
        <v>0</v>
      </c>
      <c r="M707" s="134" t="s">
        <v>1379</v>
      </c>
      <c r="O707" s="134">
        <f t="shared" si="98"/>
        <v>0</v>
      </c>
      <c r="P707" s="134" t="s">
        <v>1379</v>
      </c>
      <c r="R707" s="134">
        <f t="shared" si="99"/>
        <v>0</v>
      </c>
      <c r="S707" s="134" t="s">
        <v>1379</v>
      </c>
      <c r="U707" s="134">
        <f t="shared" si="100"/>
        <v>0</v>
      </c>
    </row>
    <row r="708" spans="1:21" ht="15.75" x14ac:dyDescent="0.25">
      <c r="A708" s="131" t="s">
        <v>1307</v>
      </c>
      <c r="B708" s="137">
        <f t="shared" si="94"/>
        <v>0</v>
      </c>
      <c r="D708" s="134" t="s">
        <v>1379</v>
      </c>
      <c r="F708" s="134">
        <f t="shared" si="95"/>
        <v>0</v>
      </c>
      <c r="G708" s="134" t="s">
        <v>1379</v>
      </c>
      <c r="I708" s="134">
        <f t="shared" si="96"/>
        <v>0</v>
      </c>
      <c r="J708" s="134" t="s">
        <v>1379</v>
      </c>
      <c r="L708" s="134">
        <f t="shared" si="97"/>
        <v>0</v>
      </c>
      <c r="M708" s="134" t="s">
        <v>1379</v>
      </c>
      <c r="O708" s="134">
        <f t="shared" si="98"/>
        <v>0</v>
      </c>
      <c r="P708" s="134" t="s">
        <v>1379</v>
      </c>
      <c r="R708" s="134">
        <f t="shared" si="99"/>
        <v>0</v>
      </c>
      <c r="S708" s="134" t="s">
        <v>1379</v>
      </c>
      <c r="U708" s="134">
        <f t="shared" si="100"/>
        <v>0</v>
      </c>
    </row>
    <row r="709" spans="1:21" ht="15.75" x14ac:dyDescent="0.25">
      <c r="A709" s="131" t="s">
        <v>1308</v>
      </c>
      <c r="B709" s="137">
        <f t="shared" si="94"/>
        <v>0</v>
      </c>
      <c r="D709" s="134" t="s">
        <v>1379</v>
      </c>
      <c r="F709" s="134">
        <f t="shared" si="95"/>
        <v>0</v>
      </c>
      <c r="G709" s="134" t="s">
        <v>1379</v>
      </c>
      <c r="I709" s="134">
        <f t="shared" si="96"/>
        <v>0</v>
      </c>
      <c r="J709" s="134" t="s">
        <v>1379</v>
      </c>
      <c r="L709" s="134">
        <f t="shared" si="97"/>
        <v>0</v>
      </c>
      <c r="M709" s="134" t="s">
        <v>1379</v>
      </c>
      <c r="O709" s="134">
        <f t="shared" si="98"/>
        <v>0</v>
      </c>
      <c r="P709" s="134" t="s">
        <v>1379</v>
      </c>
      <c r="R709" s="134">
        <f t="shared" si="99"/>
        <v>0</v>
      </c>
      <c r="S709" s="134" t="s">
        <v>1379</v>
      </c>
      <c r="U709" s="134">
        <f t="shared" si="100"/>
        <v>0</v>
      </c>
    </row>
    <row r="710" spans="1:21" ht="15.75" x14ac:dyDescent="0.25">
      <c r="A710" s="131" t="s">
        <v>1309</v>
      </c>
      <c r="B710" s="137">
        <f t="shared" si="94"/>
        <v>0</v>
      </c>
      <c r="D710" s="134" t="s">
        <v>1379</v>
      </c>
      <c r="F710" s="134">
        <f t="shared" si="95"/>
        <v>0</v>
      </c>
      <c r="G710" s="134" t="s">
        <v>1379</v>
      </c>
      <c r="I710" s="134">
        <f t="shared" si="96"/>
        <v>0</v>
      </c>
      <c r="J710" s="134" t="s">
        <v>1379</v>
      </c>
      <c r="L710" s="134">
        <f t="shared" si="97"/>
        <v>0</v>
      </c>
      <c r="M710" s="134" t="s">
        <v>1379</v>
      </c>
      <c r="O710" s="134">
        <f t="shared" si="98"/>
        <v>0</v>
      </c>
      <c r="P710" s="134" t="s">
        <v>1379</v>
      </c>
      <c r="R710" s="134">
        <f t="shared" si="99"/>
        <v>0</v>
      </c>
      <c r="S710" s="134" t="s">
        <v>1379</v>
      </c>
      <c r="U710" s="134">
        <f t="shared" si="100"/>
        <v>0</v>
      </c>
    </row>
    <row r="711" spans="1:21" ht="15.75" x14ac:dyDescent="0.25">
      <c r="A711" s="131" t="s">
        <v>1310</v>
      </c>
      <c r="B711" s="137">
        <f t="shared" si="94"/>
        <v>0</v>
      </c>
      <c r="D711" s="134" t="s">
        <v>1379</v>
      </c>
      <c r="F711" s="134">
        <f t="shared" si="95"/>
        <v>0</v>
      </c>
      <c r="G711" s="134" t="s">
        <v>1379</v>
      </c>
      <c r="I711" s="134">
        <f t="shared" si="96"/>
        <v>0</v>
      </c>
      <c r="J711" s="134" t="s">
        <v>1379</v>
      </c>
      <c r="L711" s="134">
        <f t="shared" si="97"/>
        <v>0</v>
      </c>
      <c r="M711" s="134" t="s">
        <v>1379</v>
      </c>
      <c r="O711" s="134">
        <f t="shared" si="98"/>
        <v>0</v>
      </c>
      <c r="P711" s="134" t="s">
        <v>1379</v>
      </c>
      <c r="R711" s="134">
        <f t="shared" si="99"/>
        <v>0</v>
      </c>
      <c r="S711" s="134" t="s">
        <v>1379</v>
      </c>
      <c r="U711" s="134">
        <f t="shared" si="100"/>
        <v>0</v>
      </c>
    </row>
    <row r="712" spans="1:21" ht="15.75" x14ac:dyDescent="0.25">
      <c r="A712" s="131" t="s">
        <v>1311</v>
      </c>
      <c r="B712" s="137">
        <f t="shared" si="94"/>
        <v>0</v>
      </c>
      <c r="D712" s="134" t="s">
        <v>1379</v>
      </c>
      <c r="F712" s="134">
        <f t="shared" si="95"/>
        <v>0</v>
      </c>
      <c r="G712" s="134" t="s">
        <v>1379</v>
      </c>
      <c r="I712" s="134">
        <f t="shared" si="96"/>
        <v>0</v>
      </c>
      <c r="J712" s="134" t="s">
        <v>1379</v>
      </c>
      <c r="L712" s="134">
        <f t="shared" si="97"/>
        <v>0</v>
      </c>
      <c r="M712" s="134" t="s">
        <v>1379</v>
      </c>
      <c r="O712" s="134">
        <f t="shared" si="98"/>
        <v>0</v>
      </c>
      <c r="P712" s="134" t="s">
        <v>1379</v>
      </c>
      <c r="R712" s="134">
        <f t="shared" si="99"/>
        <v>0</v>
      </c>
      <c r="S712" s="134" t="s">
        <v>1379</v>
      </c>
      <c r="U712" s="134">
        <f t="shared" si="100"/>
        <v>0</v>
      </c>
    </row>
    <row r="713" spans="1:21" ht="15.75" x14ac:dyDescent="0.25">
      <c r="A713" s="131" t="s">
        <v>1312</v>
      </c>
      <c r="B713" s="137">
        <f t="shared" si="94"/>
        <v>0</v>
      </c>
      <c r="D713" s="134" t="s">
        <v>1379</v>
      </c>
      <c r="F713" s="134">
        <f t="shared" si="95"/>
        <v>0</v>
      </c>
      <c r="G713" s="134" t="s">
        <v>1379</v>
      </c>
      <c r="I713" s="134">
        <f t="shared" si="96"/>
        <v>0</v>
      </c>
      <c r="J713" s="134" t="s">
        <v>1379</v>
      </c>
      <c r="L713" s="134">
        <f t="shared" si="97"/>
        <v>0</v>
      </c>
      <c r="M713" s="134" t="s">
        <v>1379</v>
      </c>
      <c r="O713" s="134">
        <f t="shared" si="98"/>
        <v>0</v>
      </c>
      <c r="P713" s="134" t="s">
        <v>1379</v>
      </c>
      <c r="R713" s="134">
        <f t="shared" si="99"/>
        <v>0</v>
      </c>
      <c r="S713" s="134" t="s">
        <v>1379</v>
      </c>
      <c r="U713" s="134">
        <f t="shared" si="100"/>
        <v>0</v>
      </c>
    </row>
    <row r="714" spans="1:21" ht="15.75" x14ac:dyDescent="0.25">
      <c r="A714" s="131" t="s">
        <v>1313</v>
      </c>
      <c r="B714" s="137">
        <f t="shared" si="94"/>
        <v>0</v>
      </c>
      <c r="D714" s="134" t="s">
        <v>1379</v>
      </c>
      <c r="F714" s="134">
        <f t="shared" si="95"/>
        <v>0</v>
      </c>
      <c r="G714" s="134" t="s">
        <v>1379</v>
      </c>
      <c r="I714" s="134">
        <f t="shared" si="96"/>
        <v>0</v>
      </c>
      <c r="J714" s="134" t="s">
        <v>1379</v>
      </c>
      <c r="L714" s="134">
        <f t="shared" si="97"/>
        <v>0</v>
      </c>
      <c r="M714" s="134" t="s">
        <v>1379</v>
      </c>
      <c r="O714" s="134">
        <f t="shared" si="98"/>
        <v>0</v>
      </c>
      <c r="P714" s="134" t="s">
        <v>1379</v>
      </c>
      <c r="R714" s="134">
        <f t="shared" si="99"/>
        <v>0</v>
      </c>
      <c r="S714" s="134" t="s">
        <v>1379</v>
      </c>
      <c r="U714" s="134">
        <f t="shared" si="100"/>
        <v>0</v>
      </c>
    </row>
    <row r="715" spans="1:21" ht="15.75" x14ac:dyDescent="0.25">
      <c r="A715" s="131" t="s">
        <v>1314</v>
      </c>
      <c r="B715" s="137">
        <f t="shared" si="94"/>
        <v>0</v>
      </c>
      <c r="D715" s="134" t="s">
        <v>1379</v>
      </c>
      <c r="F715" s="134">
        <f t="shared" si="95"/>
        <v>0</v>
      </c>
      <c r="G715" s="134" t="s">
        <v>1379</v>
      </c>
      <c r="I715" s="134">
        <f t="shared" si="96"/>
        <v>0</v>
      </c>
      <c r="J715" s="134" t="s">
        <v>1379</v>
      </c>
      <c r="L715" s="134">
        <f t="shared" si="97"/>
        <v>0</v>
      </c>
      <c r="M715" s="134" t="s">
        <v>1379</v>
      </c>
      <c r="O715" s="134">
        <f t="shared" si="98"/>
        <v>0</v>
      </c>
      <c r="P715" s="134" t="s">
        <v>1379</v>
      </c>
      <c r="R715" s="134">
        <f t="shared" si="99"/>
        <v>0</v>
      </c>
      <c r="S715" s="134" t="s">
        <v>1379</v>
      </c>
      <c r="U715" s="134">
        <f t="shared" si="100"/>
        <v>0</v>
      </c>
    </row>
    <row r="716" spans="1:21" ht="15.75" x14ac:dyDescent="0.25">
      <c r="A716" s="131" t="s">
        <v>1315</v>
      </c>
      <c r="B716" s="137">
        <f t="shared" si="94"/>
        <v>0</v>
      </c>
      <c r="D716" s="134" t="s">
        <v>1379</v>
      </c>
      <c r="F716" s="134">
        <f t="shared" si="95"/>
        <v>0</v>
      </c>
      <c r="G716" s="134" t="s">
        <v>1379</v>
      </c>
      <c r="I716" s="134">
        <f t="shared" si="96"/>
        <v>0</v>
      </c>
      <c r="J716" s="134" t="s">
        <v>1379</v>
      </c>
      <c r="L716" s="134">
        <f t="shared" si="97"/>
        <v>0</v>
      </c>
      <c r="M716" s="134" t="s">
        <v>1379</v>
      </c>
      <c r="O716" s="134">
        <f t="shared" si="98"/>
        <v>0</v>
      </c>
      <c r="P716" s="134" t="s">
        <v>1379</v>
      </c>
      <c r="R716" s="134">
        <f t="shared" si="99"/>
        <v>0</v>
      </c>
      <c r="S716" s="134" t="s">
        <v>1379</v>
      </c>
      <c r="U716" s="134">
        <f t="shared" si="100"/>
        <v>0</v>
      </c>
    </row>
    <row r="717" spans="1:21" ht="15.75" x14ac:dyDescent="0.25">
      <c r="A717" s="131" t="s">
        <v>1316</v>
      </c>
      <c r="B717" s="137">
        <f t="shared" si="94"/>
        <v>0</v>
      </c>
      <c r="D717" s="134" t="s">
        <v>1379</v>
      </c>
      <c r="F717" s="134">
        <f t="shared" si="95"/>
        <v>0</v>
      </c>
      <c r="G717" s="134" t="s">
        <v>1379</v>
      </c>
      <c r="I717" s="134">
        <f t="shared" si="96"/>
        <v>0</v>
      </c>
      <c r="J717" s="134" t="s">
        <v>1379</v>
      </c>
      <c r="L717" s="134">
        <f t="shared" si="97"/>
        <v>0</v>
      </c>
      <c r="M717" s="134" t="s">
        <v>1379</v>
      </c>
      <c r="O717" s="134">
        <f t="shared" si="98"/>
        <v>0</v>
      </c>
      <c r="P717" s="134" t="s">
        <v>1379</v>
      </c>
      <c r="R717" s="134">
        <f t="shared" si="99"/>
        <v>0</v>
      </c>
      <c r="S717" s="134" t="s">
        <v>1379</v>
      </c>
      <c r="U717" s="134">
        <f t="shared" si="100"/>
        <v>0</v>
      </c>
    </row>
    <row r="718" spans="1:21" ht="15.75" x14ac:dyDescent="0.25">
      <c r="A718" s="131" t="s">
        <v>1317</v>
      </c>
      <c r="B718" s="137">
        <f t="shared" si="94"/>
        <v>0</v>
      </c>
      <c r="D718" s="134" t="s">
        <v>1379</v>
      </c>
      <c r="F718" s="134">
        <f t="shared" si="95"/>
        <v>0</v>
      </c>
      <c r="G718" s="134" t="s">
        <v>1379</v>
      </c>
      <c r="I718" s="134">
        <f t="shared" si="96"/>
        <v>0</v>
      </c>
      <c r="J718" s="134" t="s">
        <v>1379</v>
      </c>
      <c r="L718" s="134">
        <f t="shared" si="97"/>
        <v>0</v>
      </c>
      <c r="M718" s="134" t="s">
        <v>1379</v>
      </c>
      <c r="O718" s="134">
        <f t="shared" si="98"/>
        <v>0</v>
      </c>
      <c r="P718" s="134" t="s">
        <v>1379</v>
      </c>
      <c r="R718" s="134">
        <f t="shared" si="99"/>
        <v>0</v>
      </c>
      <c r="S718" s="134" t="s">
        <v>1379</v>
      </c>
      <c r="U718" s="134">
        <f t="shared" si="100"/>
        <v>0</v>
      </c>
    </row>
    <row r="719" spans="1:21" ht="15.75" x14ac:dyDescent="0.25">
      <c r="A719" s="131" t="s">
        <v>1318</v>
      </c>
      <c r="B719" s="137">
        <f t="shared" si="94"/>
        <v>0</v>
      </c>
      <c r="D719" s="134" t="s">
        <v>1379</v>
      </c>
      <c r="F719" s="134">
        <f t="shared" si="95"/>
        <v>0</v>
      </c>
      <c r="G719" s="134" t="s">
        <v>1379</v>
      </c>
      <c r="I719" s="134">
        <f t="shared" si="96"/>
        <v>0</v>
      </c>
      <c r="J719" s="134" t="s">
        <v>1379</v>
      </c>
      <c r="L719" s="134">
        <f t="shared" si="97"/>
        <v>0</v>
      </c>
      <c r="M719" s="134" t="s">
        <v>1379</v>
      </c>
      <c r="O719" s="134">
        <f t="shared" si="98"/>
        <v>0</v>
      </c>
      <c r="P719" s="134" t="s">
        <v>1379</v>
      </c>
      <c r="R719" s="134">
        <f t="shared" si="99"/>
        <v>0</v>
      </c>
      <c r="S719" s="134" t="s">
        <v>1379</v>
      </c>
      <c r="U719" s="134">
        <f t="shared" si="100"/>
        <v>0</v>
      </c>
    </row>
    <row r="720" spans="1:21" ht="15.75" x14ac:dyDescent="0.25">
      <c r="A720" s="131" t="s">
        <v>1320</v>
      </c>
      <c r="B720" s="137">
        <f t="shared" si="94"/>
        <v>0</v>
      </c>
      <c r="D720" s="134" t="s">
        <v>1379</v>
      </c>
      <c r="F720" s="134">
        <f t="shared" si="95"/>
        <v>0</v>
      </c>
      <c r="G720" s="134" t="s">
        <v>1379</v>
      </c>
      <c r="I720" s="134">
        <f t="shared" si="96"/>
        <v>0</v>
      </c>
      <c r="J720" s="134" t="s">
        <v>1379</v>
      </c>
      <c r="L720" s="134">
        <f t="shared" si="97"/>
        <v>0</v>
      </c>
      <c r="M720" s="134" t="s">
        <v>1379</v>
      </c>
      <c r="O720" s="134">
        <f t="shared" si="98"/>
        <v>0</v>
      </c>
      <c r="P720" s="134" t="s">
        <v>1379</v>
      </c>
      <c r="R720" s="134">
        <f t="shared" si="99"/>
        <v>0</v>
      </c>
      <c r="S720" s="134" t="s">
        <v>1379</v>
      </c>
      <c r="U720" s="134">
        <f t="shared" si="100"/>
        <v>0</v>
      </c>
    </row>
    <row r="721" spans="1:21" ht="15.75" x14ac:dyDescent="0.25">
      <c r="A721" s="131" t="s">
        <v>1319</v>
      </c>
      <c r="B721" s="137">
        <f t="shared" si="94"/>
        <v>0</v>
      </c>
      <c r="D721" s="134" t="s">
        <v>1379</v>
      </c>
      <c r="F721" s="134">
        <f t="shared" si="95"/>
        <v>0</v>
      </c>
      <c r="G721" s="134" t="s">
        <v>1379</v>
      </c>
      <c r="I721" s="134">
        <f t="shared" si="96"/>
        <v>0</v>
      </c>
      <c r="J721" s="134" t="s">
        <v>1379</v>
      </c>
      <c r="L721" s="134">
        <f t="shared" si="97"/>
        <v>0</v>
      </c>
      <c r="M721" s="134" t="s">
        <v>1379</v>
      </c>
      <c r="O721" s="134">
        <f t="shared" si="98"/>
        <v>0</v>
      </c>
      <c r="P721" s="134" t="s">
        <v>1379</v>
      </c>
      <c r="R721" s="134">
        <f t="shared" si="99"/>
        <v>0</v>
      </c>
      <c r="S721" s="134" t="s">
        <v>1379</v>
      </c>
      <c r="U721" s="134">
        <f t="shared" si="100"/>
        <v>0</v>
      </c>
    </row>
    <row r="722" spans="1:21" ht="15.75" x14ac:dyDescent="0.25">
      <c r="A722" s="131" t="s">
        <v>1321</v>
      </c>
      <c r="B722" s="137">
        <f t="shared" si="94"/>
        <v>0</v>
      </c>
      <c r="D722" s="134" t="s">
        <v>1379</v>
      </c>
      <c r="F722" s="134">
        <f t="shared" si="95"/>
        <v>0</v>
      </c>
      <c r="G722" s="134" t="s">
        <v>1379</v>
      </c>
      <c r="I722" s="134">
        <f t="shared" si="96"/>
        <v>0</v>
      </c>
      <c r="J722" s="134" t="s">
        <v>1379</v>
      </c>
      <c r="L722" s="134">
        <f t="shared" si="97"/>
        <v>0</v>
      </c>
      <c r="M722" s="134" t="s">
        <v>1379</v>
      </c>
      <c r="O722" s="134">
        <f t="shared" si="98"/>
        <v>0</v>
      </c>
      <c r="P722" s="134" t="s">
        <v>1379</v>
      </c>
      <c r="R722" s="134">
        <f t="shared" si="99"/>
        <v>0</v>
      </c>
      <c r="S722" s="134" t="s">
        <v>1379</v>
      </c>
      <c r="U722" s="134">
        <f t="shared" si="100"/>
        <v>0</v>
      </c>
    </row>
    <row r="723" spans="1:21" ht="15.75" x14ac:dyDescent="0.25">
      <c r="A723" s="131" t="s">
        <v>1322</v>
      </c>
      <c r="B723" s="137">
        <f t="shared" si="94"/>
        <v>0</v>
      </c>
      <c r="D723" s="134" t="s">
        <v>1379</v>
      </c>
      <c r="F723" s="134">
        <f t="shared" si="95"/>
        <v>0</v>
      </c>
      <c r="G723" s="134" t="s">
        <v>1379</v>
      </c>
      <c r="I723" s="134">
        <f t="shared" si="96"/>
        <v>0</v>
      </c>
      <c r="J723" s="134" t="s">
        <v>1379</v>
      </c>
      <c r="L723" s="134">
        <f t="shared" si="97"/>
        <v>0</v>
      </c>
      <c r="M723" s="134" t="s">
        <v>1379</v>
      </c>
      <c r="O723" s="134">
        <f t="shared" si="98"/>
        <v>0</v>
      </c>
      <c r="P723" s="134" t="s">
        <v>1379</v>
      </c>
      <c r="R723" s="134">
        <f t="shared" si="99"/>
        <v>0</v>
      </c>
      <c r="S723" s="134" t="s">
        <v>1379</v>
      </c>
      <c r="U723" s="134">
        <f t="shared" si="100"/>
        <v>0</v>
      </c>
    </row>
    <row r="724" spans="1:21" ht="15.75" x14ac:dyDescent="0.25">
      <c r="A724" s="131" t="s">
        <v>1323</v>
      </c>
      <c r="B724" s="137">
        <f t="shared" si="94"/>
        <v>0</v>
      </c>
      <c r="D724" s="134" t="s">
        <v>1379</v>
      </c>
      <c r="F724" s="134">
        <f t="shared" si="95"/>
        <v>0</v>
      </c>
      <c r="G724" s="134" t="s">
        <v>1379</v>
      </c>
      <c r="I724" s="134">
        <f t="shared" si="96"/>
        <v>0</v>
      </c>
      <c r="J724" s="134" t="s">
        <v>1379</v>
      </c>
      <c r="L724" s="134">
        <f t="shared" si="97"/>
        <v>0</v>
      </c>
      <c r="M724" s="134" t="s">
        <v>1379</v>
      </c>
      <c r="O724" s="134">
        <f t="shared" si="98"/>
        <v>0</v>
      </c>
      <c r="P724" s="134" t="s">
        <v>1379</v>
      </c>
      <c r="R724" s="134">
        <f t="shared" si="99"/>
        <v>0</v>
      </c>
      <c r="S724" s="134" t="s">
        <v>1379</v>
      </c>
      <c r="U724" s="134">
        <f t="shared" si="100"/>
        <v>0</v>
      </c>
    </row>
    <row r="725" spans="1:21" ht="15.75" x14ac:dyDescent="0.25">
      <c r="A725" s="131" t="s">
        <v>1324</v>
      </c>
      <c r="B725" s="137">
        <f t="shared" si="94"/>
        <v>0</v>
      </c>
      <c r="D725" s="134" t="s">
        <v>1379</v>
      </c>
      <c r="F725" s="134">
        <f t="shared" si="95"/>
        <v>0</v>
      </c>
      <c r="G725" s="134" t="s">
        <v>1379</v>
      </c>
      <c r="I725" s="134">
        <f t="shared" si="96"/>
        <v>0</v>
      </c>
      <c r="J725" s="134" t="s">
        <v>1379</v>
      </c>
      <c r="L725" s="134">
        <f t="shared" si="97"/>
        <v>0</v>
      </c>
      <c r="M725" s="134" t="s">
        <v>1379</v>
      </c>
      <c r="O725" s="134">
        <f t="shared" si="98"/>
        <v>0</v>
      </c>
      <c r="P725" s="134" t="s">
        <v>1379</v>
      </c>
      <c r="R725" s="134">
        <f t="shared" si="99"/>
        <v>0</v>
      </c>
      <c r="S725" s="134" t="s">
        <v>1379</v>
      </c>
      <c r="U725" s="134">
        <f t="shared" si="100"/>
        <v>0</v>
      </c>
    </row>
    <row r="726" spans="1:21" ht="15.75" x14ac:dyDescent="0.25">
      <c r="A726" s="131" t="s">
        <v>1325</v>
      </c>
      <c r="B726" s="137">
        <f t="shared" si="94"/>
        <v>0</v>
      </c>
      <c r="D726" s="134" t="s">
        <v>1379</v>
      </c>
      <c r="F726" s="134">
        <f t="shared" si="95"/>
        <v>0</v>
      </c>
      <c r="G726" s="134" t="s">
        <v>1379</v>
      </c>
      <c r="I726" s="134">
        <f t="shared" si="96"/>
        <v>0</v>
      </c>
      <c r="J726" s="134" t="s">
        <v>1379</v>
      </c>
      <c r="L726" s="134">
        <f t="shared" si="97"/>
        <v>0</v>
      </c>
      <c r="M726" s="134" t="s">
        <v>1379</v>
      </c>
      <c r="O726" s="134">
        <f t="shared" si="98"/>
        <v>0</v>
      </c>
      <c r="P726" s="134" t="s">
        <v>1379</v>
      </c>
      <c r="R726" s="134">
        <f t="shared" si="99"/>
        <v>0</v>
      </c>
      <c r="S726" s="134" t="s">
        <v>1379</v>
      </c>
      <c r="U726" s="134">
        <f t="shared" si="100"/>
        <v>0</v>
      </c>
    </row>
    <row r="727" spans="1:21" ht="15.75" x14ac:dyDescent="0.25">
      <c r="A727" s="131" t="s">
        <v>1326</v>
      </c>
      <c r="B727" s="137">
        <f t="shared" si="94"/>
        <v>0</v>
      </c>
      <c r="D727" s="134" t="s">
        <v>1379</v>
      </c>
      <c r="F727" s="134">
        <f t="shared" si="95"/>
        <v>0</v>
      </c>
      <c r="G727" s="134" t="s">
        <v>1379</v>
      </c>
      <c r="I727" s="134">
        <f t="shared" si="96"/>
        <v>0</v>
      </c>
      <c r="J727" s="134" t="s">
        <v>1379</v>
      </c>
      <c r="L727" s="134">
        <f t="shared" si="97"/>
        <v>0</v>
      </c>
      <c r="M727" s="134" t="s">
        <v>1379</v>
      </c>
      <c r="O727" s="134">
        <f t="shared" si="98"/>
        <v>0</v>
      </c>
      <c r="P727" s="134" t="s">
        <v>1379</v>
      </c>
      <c r="R727" s="134">
        <f t="shared" si="99"/>
        <v>0</v>
      </c>
      <c r="S727" s="134" t="s">
        <v>1379</v>
      </c>
      <c r="U727" s="134">
        <f t="shared" si="100"/>
        <v>0</v>
      </c>
    </row>
    <row r="728" spans="1:21" ht="15.75" x14ac:dyDescent="0.25">
      <c r="A728" s="131" t="s">
        <v>1327</v>
      </c>
      <c r="B728" s="137">
        <f t="shared" si="94"/>
        <v>0</v>
      </c>
      <c r="D728" s="134" t="s">
        <v>1379</v>
      </c>
      <c r="F728" s="134">
        <f t="shared" si="95"/>
        <v>0</v>
      </c>
      <c r="G728" s="134" t="s">
        <v>1379</v>
      </c>
      <c r="I728" s="134">
        <f t="shared" si="96"/>
        <v>0</v>
      </c>
      <c r="J728" s="134" t="s">
        <v>1379</v>
      </c>
      <c r="L728" s="134">
        <f t="shared" si="97"/>
        <v>0</v>
      </c>
      <c r="M728" s="134" t="s">
        <v>1379</v>
      </c>
      <c r="O728" s="134">
        <f t="shared" si="98"/>
        <v>0</v>
      </c>
      <c r="P728" s="134" t="s">
        <v>1379</v>
      </c>
      <c r="R728" s="134">
        <f t="shared" si="99"/>
        <v>0</v>
      </c>
      <c r="S728" s="134" t="s">
        <v>1379</v>
      </c>
      <c r="U728" s="134">
        <f t="shared" si="100"/>
        <v>0</v>
      </c>
    </row>
    <row r="729" spans="1:21" ht="15.75" x14ac:dyDescent="0.25">
      <c r="A729" s="131" t="s">
        <v>1328</v>
      </c>
      <c r="B729" s="137">
        <f t="shared" si="94"/>
        <v>0</v>
      </c>
      <c r="D729" s="134" t="s">
        <v>1379</v>
      </c>
      <c r="F729" s="134">
        <f t="shared" si="95"/>
        <v>0</v>
      </c>
      <c r="G729" s="134" t="s">
        <v>1379</v>
      </c>
      <c r="I729" s="134">
        <f t="shared" si="96"/>
        <v>0</v>
      </c>
      <c r="J729" s="134" t="s">
        <v>1379</v>
      </c>
      <c r="L729" s="134">
        <f t="shared" si="97"/>
        <v>0</v>
      </c>
      <c r="M729" s="134" t="s">
        <v>1379</v>
      </c>
      <c r="O729" s="134">
        <f t="shared" si="98"/>
        <v>0</v>
      </c>
      <c r="P729" s="134" t="s">
        <v>1379</v>
      </c>
      <c r="R729" s="134">
        <f t="shared" si="99"/>
        <v>0</v>
      </c>
      <c r="S729" s="134" t="s">
        <v>1379</v>
      </c>
      <c r="U729" s="134">
        <f t="shared" si="100"/>
        <v>0</v>
      </c>
    </row>
    <row r="730" spans="1:21" ht="15.75" x14ac:dyDescent="0.25">
      <c r="A730" s="131" t="s">
        <v>1329</v>
      </c>
      <c r="B730" s="137">
        <f t="shared" si="94"/>
        <v>0</v>
      </c>
      <c r="D730" s="134" t="s">
        <v>1379</v>
      </c>
      <c r="F730" s="134">
        <f t="shared" si="95"/>
        <v>0</v>
      </c>
      <c r="G730" s="134" t="s">
        <v>1379</v>
      </c>
      <c r="I730" s="134">
        <f t="shared" si="96"/>
        <v>0</v>
      </c>
      <c r="J730" s="134" t="s">
        <v>1379</v>
      </c>
      <c r="L730" s="134">
        <f t="shared" si="97"/>
        <v>0</v>
      </c>
      <c r="M730" s="134" t="s">
        <v>1379</v>
      </c>
      <c r="O730" s="134">
        <f t="shared" si="98"/>
        <v>0</v>
      </c>
      <c r="P730" s="134" t="s">
        <v>1379</v>
      </c>
      <c r="R730" s="134">
        <f t="shared" si="99"/>
        <v>0</v>
      </c>
      <c r="S730" s="134" t="s">
        <v>1379</v>
      </c>
      <c r="U730" s="134">
        <f t="shared" si="100"/>
        <v>0</v>
      </c>
    </row>
    <row r="731" spans="1:21" ht="15.75" x14ac:dyDescent="0.25">
      <c r="A731" s="131" t="s">
        <v>1330</v>
      </c>
      <c r="B731" s="137">
        <f t="shared" si="94"/>
        <v>0</v>
      </c>
      <c r="D731" s="134" t="s">
        <v>1379</v>
      </c>
      <c r="F731" s="134">
        <f t="shared" si="95"/>
        <v>0</v>
      </c>
      <c r="G731" s="134" t="s">
        <v>1379</v>
      </c>
      <c r="I731" s="134">
        <f t="shared" si="96"/>
        <v>0</v>
      </c>
      <c r="J731" s="134" t="s">
        <v>1379</v>
      </c>
      <c r="L731" s="134">
        <f t="shared" si="97"/>
        <v>0</v>
      </c>
      <c r="M731" s="134" t="s">
        <v>1379</v>
      </c>
      <c r="O731" s="134">
        <f t="shared" si="98"/>
        <v>0</v>
      </c>
      <c r="P731" s="134" t="s">
        <v>1379</v>
      </c>
      <c r="R731" s="134">
        <f t="shared" si="99"/>
        <v>0</v>
      </c>
      <c r="S731" s="134" t="s">
        <v>1379</v>
      </c>
      <c r="U731" s="134">
        <f t="shared" si="100"/>
        <v>0</v>
      </c>
    </row>
    <row r="732" spans="1:21" ht="15.75" x14ac:dyDescent="0.25">
      <c r="A732" s="131" t="s">
        <v>1331</v>
      </c>
      <c r="B732" s="137">
        <f t="shared" si="94"/>
        <v>0</v>
      </c>
      <c r="D732" s="134" t="s">
        <v>1379</v>
      </c>
      <c r="F732" s="134">
        <f t="shared" si="95"/>
        <v>0</v>
      </c>
      <c r="G732" s="134" t="s">
        <v>1379</v>
      </c>
      <c r="I732" s="134">
        <f t="shared" si="96"/>
        <v>0</v>
      </c>
      <c r="J732" s="134" t="s">
        <v>1379</v>
      </c>
      <c r="L732" s="134">
        <f t="shared" si="97"/>
        <v>0</v>
      </c>
      <c r="M732" s="134" t="s">
        <v>1379</v>
      </c>
      <c r="O732" s="134">
        <f t="shared" si="98"/>
        <v>0</v>
      </c>
      <c r="P732" s="134" t="s">
        <v>1379</v>
      </c>
      <c r="R732" s="134">
        <f t="shared" si="99"/>
        <v>0</v>
      </c>
      <c r="S732" s="134" t="s">
        <v>1379</v>
      </c>
      <c r="U732" s="134">
        <f t="shared" si="100"/>
        <v>0</v>
      </c>
    </row>
    <row r="733" spans="1:21" ht="15.75" x14ac:dyDescent="0.25">
      <c r="A733" s="131" t="s">
        <v>1332</v>
      </c>
      <c r="B733" s="137">
        <f t="shared" si="94"/>
        <v>0</v>
      </c>
      <c r="D733" s="134" t="s">
        <v>1379</v>
      </c>
      <c r="F733" s="134">
        <f t="shared" si="95"/>
        <v>0</v>
      </c>
      <c r="G733" s="134" t="s">
        <v>1379</v>
      </c>
      <c r="I733" s="134">
        <f t="shared" si="96"/>
        <v>0</v>
      </c>
      <c r="J733" s="134" t="s">
        <v>1379</v>
      </c>
      <c r="L733" s="134">
        <f t="shared" si="97"/>
        <v>0</v>
      </c>
      <c r="M733" s="134" t="s">
        <v>1379</v>
      </c>
      <c r="O733" s="134">
        <f t="shared" si="98"/>
        <v>0</v>
      </c>
      <c r="P733" s="134" t="s">
        <v>1379</v>
      </c>
      <c r="R733" s="134">
        <f t="shared" si="99"/>
        <v>0</v>
      </c>
      <c r="S733" s="134" t="s">
        <v>1379</v>
      </c>
      <c r="U733" s="134">
        <f t="shared" si="100"/>
        <v>0</v>
      </c>
    </row>
    <row r="734" spans="1:21" ht="15.75" x14ac:dyDescent="0.25">
      <c r="A734" s="131" t="s">
        <v>1333</v>
      </c>
      <c r="B734" s="137">
        <f t="shared" si="94"/>
        <v>0</v>
      </c>
      <c r="D734" s="134" t="s">
        <v>1379</v>
      </c>
      <c r="F734" s="134">
        <f t="shared" si="95"/>
        <v>0</v>
      </c>
      <c r="G734" s="134" t="s">
        <v>1379</v>
      </c>
      <c r="I734" s="134">
        <f t="shared" si="96"/>
        <v>0</v>
      </c>
      <c r="J734" s="134" t="s">
        <v>1379</v>
      </c>
      <c r="L734" s="134">
        <f t="shared" si="97"/>
        <v>0</v>
      </c>
      <c r="M734" s="134" t="s">
        <v>1379</v>
      </c>
      <c r="O734" s="134">
        <f t="shared" si="98"/>
        <v>0</v>
      </c>
      <c r="P734" s="134" t="s">
        <v>1379</v>
      </c>
      <c r="R734" s="134">
        <f t="shared" si="99"/>
        <v>0</v>
      </c>
      <c r="S734" s="134" t="s">
        <v>1379</v>
      </c>
      <c r="U734" s="134">
        <f t="shared" si="100"/>
        <v>0</v>
      </c>
    </row>
    <row r="735" spans="1:21" ht="15.75" x14ac:dyDescent="0.25">
      <c r="A735" s="131" t="s">
        <v>1334</v>
      </c>
      <c r="B735" s="137">
        <f t="shared" si="94"/>
        <v>0</v>
      </c>
      <c r="D735" s="134" t="s">
        <v>1379</v>
      </c>
      <c r="F735" s="134">
        <f t="shared" si="95"/>
        <v>0</v>
      </c>
      <c r="G735" s="134" t="s">
        <v>1379</v>
      </c>
      <c r="I735" s="134">
        <f t="shared" si="96"/>
        <v>0</v>
      </c>
      <c r="J735" s="134" t="s">
        <v>1379</v>
      </c>
      <c r="L735" s="134">
        <f t="shared" si="97"/>
        <v>0</v>
      </c>
      <c r="M735" s="134" t="s">
        <v>1379</v>
      </c>
      <c r="O735" s="134">
        <f t="shared" si="98"/>
        <v>0</v>
      </c>
      <c r="P735" s="134" t="s">
        <v>1379</v>
      </c>
      <c r="R735" s="134">
        <f t="shared" si="99"/>
        <v>0</v>
      </c>
      <c r="S735" s="134" t="s">
        <v>1379</v>
      </c>
      <c r="U735" s="134">
        <f t="shared" si="100"/>
        <v>0</v>
      </c>
    </row>
    <row r="736" spans="1:21" ht="15.75" x14ac:dyDescent="0.25">
      <c r="A736" s="131" t="s">
        <v>1335</v>
      </c>
      <c r="B736" s="137">
        <f t="shared" si="94"/>
        <v>0</v>
      </c>
      <c r="D736" s="134" t="s">
        <v>1379</v>
      </c>
      <c r="F736" s="134">
        <f t="shared" si="95"/>
        <v>0</v>
      </c>
      <c r="G736" s="134" t="s">
        <v>1379</v>
      </c>
      <c r="I736" s="134">
        <f t="shared" si="96"/>
        <v>0</v>
      </c>
      <c r="J736" s="134" t="s">
        <v>1379</v>
      </c>
      <c r="L736" s="134">
        <f t="shared" si="97"/>
        <v>0</v>
      </c>
      <c r="M736" s="134" t="s">
        <v>1379</v>
      </c>
      <c r="O736" s="134">
        <f t="shared" si="98"/>
        <v>0</v>
      </c>
      <c r="P736" s="134" t="s">
        <v>1379</v>
      </c>
      <c r="R736" s="134">
        <f t="shared" si="99"/>
        <v>0</v>
      </c>
      <c r="S736" s="134" t="s">
        <v>1379</v>
      </c>
      <c r="U736" s="134">
        <f t="shared" si="100"/>
        <v>0</v>
      </c>
    </row>
    <row r="737" spans="1:21" ht="15.75" x14ac:dyDescent="0.25">
      <c r="A737" s="131" t="s">
        <v>1336</v>
      </c>
      <c r="B737" s="137">
        <f t="shared" si="94"/>
        <v>0</v>
      </c>
      <c r="D737" s="134" t="s">
        <v>1379</v>
      </c>
      <c r="F737" s="134">
        <f t="shared" si="95"/>
        <v>0</v>
      </c>
      <c r="G737" s="134" t="s">
        <v>1379</v>
      </c>
      <c r="I737" s="134">
        <f t="shared" si="96"/>
        <v>0</v>
      </c>
      <c r="J737" s="134" t="s">
        <v>1379</v>
      </c>
      <c r="L737" s="134">
        <f t="shared" si="97"/>
        <v>0</v>
      </c>
      <c r="M737" s="134" t="s">
        <v>1379</v>
      </c>
      <c r="O737" s="134">
        <f t="shared" si="98"/>
        <v>0</v>
      </c>
      <c r="P737" s="134" t="s">
        <v>1379</v>
      </c>
      <c r="R737" s="134">
        <f t="shared" si="99"/>
        <v>0</v>
      </c>
      <c r="S737" s="134" t="s">
        <v>1379</v>
      </c>
      <c r="U737" s="134">
        <f t="shared" si="100"/>
        <v>0</v>
      </c>
    </row>
    <row r="738" spans="1:21" ht="15.75" x14ac:dyDescent="0.25">
      <c r="A738" s="131" t="s">
        <v>1337</v>
      </c>
      <c r="B738" s="137">
        <f t="shared" si="94"/>
        <v>0</v>
      </c>
      <c r="D738" s="134" t="s">
        <v>1379</v>
      </c>
      <c r="F738" s="134">
        <f t="shared" si="95"/>
        <v>0</v>
      </c>
      <c r="G738" s="134" t="s">
        <v>1379</v>
      </c>
      <c r="I738" s="134">
        <f t="shared" si="96"/>
        <v>0</v>
      </c>
      <c r="J738" s="134" t="s">
        <v>1379</v>
      </c>
      <c r="L738" s="134">
        <f t="shared" si="97"/>
        <v>0</v>
      </c>
      <c r="M738" s="134" t="s">
        <v>1379</v>
      </c>
      <c r="O738" s="134">
        <f t="shared" si="98"/>
        <v>0</v>
      </c>
      <c r="P738" s="134" t="s">
        <v>1379</v>
      </c>
      <c r="R738" s="134">
        <f t="shared" si="99"/>
        <v>0</v>
      </c>
      <c r="S738" s="134" t="s">
        <v>1379</v>
      </c>
      <c r="U738" s="134">
        <f t="shared" si="100"/>
        <v>0</v>
      </c>
    </row>
    <row r="739" spans="1:21" ht="15.75" x14ac:dyDescent="0.25">
      <c r="A739" s="131" t="s">
        <v>1338</v>
      </c>
      <c r="B739" s="137">
        <f t="shared" si="94"/>
        <v>0</v>
      </c>
      <c r="D739" s="134" t="s">
        <v>1379</v>
      </c>
      <c r="F739" s="134">
        <f t="shared" si="95"/>
        <v>0</v>
      </c>
      <c r="G739" s="134" t="s">
        <v>1379</v>
      </c>
      <c r="I739" s="134">
        <f t="shared" si="96"/>
        <v>0</v>
      </c>
      <c r="J739" s="134" t="s">
        <v>1379</v>
      </c>
      <c r="L739" s="134">
        <f t="shared" si="97"/>
        <v>0</v>
      </c>
      <c r="M739" s="134" t="s">
        <v>1379</v>
      </c>
      <c r="O739" s="134">
        <f t="shared" si="98"/>
        <v>0</v>
      </c>
      <c r="P739" s="134" t="s">
        <v>1379</v>
      </c>
      <c r="R739" s="134">
        <f t="shared" si="99"/>
        <v>0</v>
      </c>
      <c r="S739" s="134" t="s">
        <v>1379</v>
      </c>
      <c r="U739" s="134">
        <f t="shared" si="100"/>
        <v>0</v>
      </c>
    </row>
    <row r="740" spans="1:21" ht="15.75" x14ac:dyDescent="0.25">
      <c r="A740" s="131" t="s">
        <v>1339</v>
      </c>
      <c r="B740" s="137">
        <f t="shared" si="94"/>
        <v>0</v>
      </c>
      <c r="D740" s="134" t="s">
        <v>1379</v>
      </c>
      <c r="F740" s="134">
        <f t="shared" si="95"/>
        <v>0</v>
      </c>
      <c r="G740" s="134" t="s">
        <v>1379</v>
      </c>
      <c r="I740" s="134">
        <f t="shared" si="96"/>
        <v>0</v>
      </c>
      <c r="J740" s="134" t="s">
        <v>1379</v>
      </c>
      <c r="L740" s="134">
        <f t="shared" si="97"/>
        <v>0</v>
      </c>
      <c r="M740" s="134" t="s">
        <v>1379</v>
      </c>
      <c r="O740" s="134">
        <f t="shared" si="98"/>
        <v>0</v>
      </c>
      <c r="P740" s="134" t="s">
        <v>1379</v>
      </c>
      <c r="R740" s="134">
        <f t="shared" si="99"/>
        <v>0</v>
      </c>
      <c r="S740" s="134" t="s">
        <v>1379</v>
      </c>
      <c r="U740" s="134">
        <f t="shared" si="100"/>
        <v>0</v>
      </c>
    </row>
    <row r="741" spans="1:21" ht="15.75" x14ac:dyDescent="0.25">
      <c r="A741" s="131" t="s">
        <v>1340</v>
      </c>
      <c r="B741" s="137">
        <f t="shared" si="94"/>
        <v>0</v>
      </c>
      <c r="D741" s="134" t="s">
        <v>1379</v>
      </c>
      <c r="F741" s="134">
        <f t="shared" si="95"/>
        <v>0</v>
      </c>
      <c r="G741" s="134" t="s">
        <v>1379</v>
      </c>
      <c r="I741" s="134">
        <f t="shared" si="96"/>
        <v>0</v>
      </c>
      <c r="J741" s="134" t="s">
        <v>1379</v>
      </c>
      <c r="L741" s="134">
        <f t="shared" si="97"/>
        <v>0</v>
      </c>
      <c r="M741" s="134" t="s">
        <v>1379</v>
      </c>
      <c r="O741" s="134">
        <f t="shared" si="98"/>
        <v>0</v>
      </c>
      <c r="P741" s="134" t="s">
        <v>1379</v>
      </c>
      <c r="R741" s="134">
        <f t="shared" si="99"/>
        <v>0</v>
      </c>
      <c r="S741" s="134" t="s">
        <v>1379</v>
      </c>
      <c r="U741" s="134">
        <f t="shared" si="100"/>
        <v>0</v>
      </c>
    </row>
    <row r="742" spans="1:21" ht="15.75" x14ac:dyDescent="0.25">
      <c r="A742" s="131" t="s">
        <v>1341</v>
      </c>
      <c r="B742" s="137">
        <f t="shared" si="94"/>
        <v>0</v>
      </c>
      <c r="D742" s="134" t="s">
        <v>1379</v>
      </c>
      <c r="F742" s="134">
        <f t="shared" si="95"/>
        <v>0</v>
      </c>
      <c r="G742" s="134" t="s">
        <v>1379</v>
      </c>
      <c r="I742" s="134">
        <f t="shared" si="96"/>
        <v>0</v>
      </c>
      <c r="J742" s="134" t="s">
        <v>1379</v>
      </c>
      <c r="L742" s="134">
        <f t="shared" si="97"/>
        <v>0</v>
      </c>
      <c r="M742" s="134" t="s">
        <v>1379</v>
      </c>
      <c r="O742" s="134">
        <f t="shared" si="98"/>
        <v>0</v>
      </c>
      <c r="P742" s="134" t="s">
        <v>1379</v>
      </c>
      <c r="R742" s="134">
        <f t="shared" si="99"/>
        <v>0</v>
      </c>
      <c r="S742" s="134" t="s">
        <v>1379</v>
      </c>
      <c r="U742" s="134">
        <f t="shared" si="100"/>
        <v>0</v>
      </c>
    </row>
    <row r="743" spans="1:21" ht="15.75" x14ac:dyDescent="0.25">
      <c r="A743" s="131" t="s">
        <v>1342</v>
      </c>
      <c r="B743" s="137">
        <f t="shared" si="94"/>
        <v>0</v>
      </c>
      <c r="D743" s="134" t="s">
        <v>1379</v>
      </c>
      <c r="F743" s="134">
        <f t="shared" si="95"/>
        <v>0</v>
      </c>
      <c r="G743" s="134" t="s">
        <v>1379</v>
      </c>
      <c r="I743" s="134">
        <f t="shared" si="96"/>
        <v>0</v>
      </c>
      <c r="J743" s="134" t="s">
        <v>1379</v>
      </c>
      <c r="L743" s="134">
        <f t="shared" si="97"/>
        <v>0</v>
      </c>
      <c r="M743" s="134" t="s">
        <v>1379</v>
      </c>
      <c r="O743" s="134">
        <f t="shared" si="98"/>
        <v>0</v>
      </c>
      <c r="P743" s="134" t="s">
        <v>1379</v>
      </c>
      <c r="R743" s="134">
        <f t="shared" si="99"/>
        <v>0</v>
      </c>
      <c r="S743" s="134" t="s">
        <v>1379</v>
      </c>
      <c r="U743" s="134">
        <f t="shared" si="100"/>
        <v>0</v>
      </c>
    </row>
    <row r="744" spans="1:21" ht="15.75" x14ac:dyDescent="0.25">
      <c r="A744" s="131" t="s">
        <v>1343</v>
      </c>
      <c r="B744" s="137">
        <f t="shared" si="94"/>
        <v>0</v>
      </c>
      <c r="D744" s="134" t="s">
        <v>1379</v>
      </c>
      <c r="F744" s="134">
        <f t="shared" si="95"/>
        <v>0</v>
      </c>
      <c r="G744" s="134" t="s">
        <v>1379</v>
      </c>
      <c r="I744" s="134">
        <f t="shared" si="96"/>
        <v>0</v>
      </c>
      <c r="J744" s="134" t="s">
        <v>1379</v>
      </c>
      <c r="L744" s="134">
        <f t="shared" si="97"/>
        <v>0</v>
      </c>
      <c r="M744" s="134" t="s">
        <v>1379</v>
      </c>
      <c r="O744" s="134">
        <f t="shared" si="98"/>
        <v>0</v>
      </c>
      <c r="P744" s="134" t="s">
        <v>1379</v>
      </c>
      <c r="R744" s="134">
        <f t="shared" si="99"/>
        <v>0</v>
      </c>
      <c r="S744" s="134" t="s">
        <v>1379</v>
      </c>
      <c r="U744" s="134">
        <f t="shared" si="100"/>
        <v>0</v>
      </c>
    </row>
    <row r="745" spans="1:21" ht="15.75" x14ac:dyDescent="0.25">
      <c r="A745" s="131" t="s">
        <v>1344</v>
      </c>
      <c r="B745" s="137">
        <f t="shared" si="94"/>
        <v>0</v>
      </c>
      <c r="D745" s="134" t="s">
        <v>1379</v>
      </c>
      <c r="F745" s="134">
        <f t="shared" si="95"/>
        <v>0</v>
      </c>
      <c r="G745" s="134" t="s">
        <v>1379</v>
      </c>
      <c r="I745" s="134">
        <f t="shared" si="96"/>
        <v>0</v>
      </c>
      <c r="J745" s="134" t="s">
        <v>1379</v>
      </c>
      <c r="L745" s="134">
        <f t="shared" si="97"/>
        <v>0</v>
      </c>
      <c r="M745" s="134" t="s">
        <v>1379</v>
      </c>
      <c r="O745" s="134">
        <f t="shared" si="98"/>
        <v>0</v>
      </c>
      <c r="P745" s="134" t="s">
        <v>1379</v>
      </c>
      <c r="R745" s="134">
        <f t="shared" si="99"/>
        <v>0</v>
      </c>
      <c r="S745" s="134" t="s">
        <v>1379</v>
      </c>
      <c r="U745" s="134">
        <f t="shared" si="100"/>
        <v>0</v>
      </c>
    </row>
    <row r="746" spans="1:21" ht="15.75" x14ac:dyDescent="0.25">
      <c r="A746" s="131" t="s">
        <v>1345</v>
      </c>
      <c r="B746" s="137">
        <f t="shared" si="94"/>
        <v>0</v>
      </c>
      <c r="D746" s="134" t="s">
        <v>1379</v>
      </c>
      <c r="F746" s="134">
        <f t="shared" si="95"/>
        <v>0</v>
      </c>
      <c r="G746" s="134" t="s">
        <v>1379</v>
      </c>
      <c r="I746" s="134">
        <f t="shared" si="96"/>
        <v>0</v>
      </c>
      <c r="J746" s="134" t="s">
        <v>1379</v>
      </c>
      <c r="L746" s="134">
        <f t="shared" si="97"/>
        <v>0</v>
      </c>
      <c r="M746" s="134" t="s">
        <v>1379</v>
      </c>
      <c r="O746" s="134">
        <f t="shared" si="98"/>
        <v>0</v>
      </c>
      <c r="P746" s="134" t="s">
        <v>1379</v>
      </c>
      <c r="R746" s="134">
        <f t="shared" si="99"/>
        <v>0</v>
      </c>
      <c r="S746" s="134" t="s">
        <v>1379</v>
      </c>
      <c r="U746" s="134">
        <f t="shared" si="100"/>
        <v>0</v>
      </c>
    </row>
    <row r="747" spans="1:21" ht="15.75" x14ac:dyDescent="0.25">
      <c r="A747" s="131" t="s">
        <v>1346</v>
      </c>
      <c r="B747" s="137">
        <f t="shared" si="94"/>
        <v>0</v>
      </c>
      <c r="D747" s="134" t="s">
        <v>1379</v>
      </c>
      <c r="F747" s="134">
        <f t="shared" si="95"/>
        <v>0</v>
      </c>
      <c r="G747" s="134" t="s">
        <v>1379</v>
      </c>
      <c r="I747" s="134">
        <f t="shared" si="96"/>
        <v>0</v>
      </c>
      <c r="J747" s="134" t="s">
        <v>1379</v>
      </c>
      <c r="L747" s="134">
        <f t="shared" si="97"/>
        <v>0</v>
      </c>
      <c r="M747" s="134" t="s">
        <v>1379</v>
      </c>
      <c r="O747" s="134">
        <f t="shared" si="98"/>
        <v>0</v>
      </c>
      <c r="P747" s="134" t="s">
        <v>1379</v>
      </c>
      <c r="R747" s="134">
        <f t="shared" si="99"/>
        <v>0</v>
      </c>
      <c r="S747" s="134" t="s">
        <v>1379</v>
      </c>
      <c r="U747" s="134">
        <f t="shared" si="100"/>
        <v>0</v>
      </c>
    </row>
    <row r="748" spans="1:21" ht="15.75" x14ac:dyDescent="0.25">
      <c r="A748" s="131" t="s">
        <v>1347</v>
      </c>
      <c r="B748" s="137">
        <f t="shared" si="94"/>
        <v>0</v>
      </c>
      <c r="D748" s="134" t="s">
        <v>1379</v>
      </c>
      <c r="F748" s="134">
        <f t="shared" si="95"/>
        <v>0</v>
      </c>
      <c r="G748" s="134" t="s">
        <v>1379</v>
      </c>
      <c r="I748" s="134">
        <f t="shared" si="96"/>
        <v>0</v>
      </c>
      <c r="J748" s="134" t="s">
        <v>1379</v>
      </c>
      <c r="L748" s="134">
        <f t="shared" si="97"/>
        <v>0</v>
      </c>
      <c r="M748" s="134" t="s">
        <v>1379</v>
      </c>
      <c r="O748" s="134">
        <f t="shared" si="98"/>
        <v>0</v>
      </c>
      <c r="P748" s="134" t="s">
        <v>1379</v>
      </c>
      <c r="R748" s="134">
        <f t="shared" si="99"/>
        <v>0</v>
      </c>
      <c r="S748" s="134" t="s">
        <v>1379</v>
      </c>
      <c r="U748" s="134">
        <f t="shared" si="100"/>
        <v>0</v>
      </c>
    </row>
    <row r="749" spans="1:21" ht="15.75" x14ac:dyDescent="0.25">
      <c r="A749" s="131" t="s">
        <v>1348</v>
      </c>
      <c r="B749" s="137">
        <f t="shared" si="94"/>
        <v>0</v>
      </c>
      <c r="D749" s="134" t="s">
        <v>1379</v>
      </c>
      <c r="F749" s="134">
        <f t="shared" si="95"/>
        <v>0</v>
      </c>
      <c r="G749" s="134" t="s">
        <v>1379</v>
      </c>
      <c r="I749" s="134">
        <f t="shared" si="96"/>
        <v>0</v>
      </c>
      <c r="J749" s="134" t="s">
        <v>1379</v>
      </c>
      <c r="L749" s="134">
        <f t="shared" si="97"/>
        <v>0</v>
      </c>
      <c r="M749" s="134" t="s">
        <v>1379</v>
      </c>
      <c r="O749" s="134">
        <f t="shared" si="98"/>
        <v>0</v>
      </c>
      <c r="P749" s="134" t="s">
        <v>1379</v>
      </c>
      <c r="R749" s="134">
        <f t="shared" si="99"/>
        <v>0</v>
      </c>
      <c r="S749" s="134" t="s">
        <v>1379</v>
      </c>
      <c r="U749" s="134">
        <f t="shared" si="100"/>
        <v>0</v>
      </c>
    </row>
    <row r="750" spans="1:21" ht="15.75" x14ac:dyDescent="0.25">
      <c r="A750" s="131" t="s">
        <v>1349</v>
      </c>
      <c r="B750" s="137">
        <f t="shared" si="94"/>
        <v>0</v>
      </c>
      <c r="D750" s="134" t="s">
        <v>1379</v>
      </c>
      <c r="F750" s="134">
        <f t="shared" si="95"/>
        <v>0</v>
      </c>
      <c r="G750" s="134" t="s">
        <v>1379</v>
      </c>
      <c r="I750" s="134">
        <f t="shared" si="96"/>
        <v>0</v>
      </c>
      <c r="J750" s="134" t="s">
        <v>1379</v>
      </c>
      <c r="L750" s="134">
        <f t="shared" si="97"/>
        <v>0</v>
      </c>
      <c r="M750" s="134" t="s">
        <v>1379</v>
      </c>
      <c r="O750" s="134">
        <f t="shared" si="98"/>
        <v>0</v>
      </c>
      <c r="P750" s="134" t="s">
        <v>1379</v>
      </c>
      <c r="R750" s="134">
        <f t="shared" si="99"/>
        <v>0</v>
      </c>
      <c r="S750" s="134" t="s">
        <v>1379</v>
      </c>
      <c r="U750" s="134">
        <f t="shared" si="100"/>
        <v>0</v>
      </c>
    </row>
    <row r="751" spans="1:21" ht="15.75" x14ac:dyDescent="0.25">
      <c r="A751" s="131" t="s">
        <v>1350</v>
      </c>
      <c r="B751" s="137">
        <f t="shared" si="94"/>
        <v>0</v>
      </c>
      <c r="D751" s="134" t="s">
        <v>1379</v>
      </c>
      <c r="F751" s="134">
        <f t="shared" si="95"/>
        <v>0</v>
      </c>
      <c r="G751" s="134" t="s">
        <v>1379</v>
      </c>
      <c r="I751" s="134">
        <f t="shared" si="96"/>
        <v>0</v>
      </c>
      <c r="J751" s="134" t="s">
        <v>1379</v>
      </c>
      <c r="L751" s="134">
        <f t="shared" si="97"/>
        <v>0</v>
      </c>
      <c r="M751" s="134" t="s">
        <v>1379</v>
      </c>
      <c r="O751" s="134">
        <f t="shared" si="98"/>
        <v>0</v>
      </c>
      <c r="P751" s="134" t="s">
        <v>1379</v>
      </c>
      <c r="R751" s="134">
        <f t="shared" si="99"/>
        <v>0</v>
      </c>
      <c r="S751" s="134" t="s">
        <v>1379</v>
      </c>
      <c r="U751" s="134">
        <f t="shared" si="100"/>
        <v>0</v>
      </c>
    </row>
    <row r="752" spans="1:21" ht="15.75" x14ac:dyDescent="0.25">
      <c r="A752" s="131" t="s">
        <v>1351</v>
      </c>
      <c r="B752" s="137">
        <f t="shared" si="94"/>
        <v>0</v>
      </c>
      <c r="D752" s="134" t="s">
        <v>1379</v>
      </c>
      <c r="F752" s="134">
        <f t="shared" si="95"/>
        <v>0</v>
      </c>
      <c r="G752" s="134" t="s">
        <v>1379</v>
      </c>
      <c r="I752" s="134">
        <f t="shared" si="96"/>
        <v>0</v>
      </c>
      <c r="J752" s="134" t="s">
        <v>1379</v>
      </c>
      <c r="L752" s="134">
        <f t="shared" si="97"/>
        <v>0</v>
      </c>
      <c r="M752" s="134" t="s">
        <v>1379</v>
      </c>
      <c r="O752" s="134">
        <f t="shared" si="98"/>
        <v>0</v>
      </c>
      <c r="P752" s="134" t="s">
        <v>1379</v>
      </c>
      <c r="R752" s="134">
        <f t="shared" si="99"/>
        <v>0</v>
      </c>
      <c r="S752" s="134" t="s">
        <v>1379</v>
      </c>
      <c r="U752" s="134">
        <f t="shared" si="100"/>
        <v>0</v>
      </c>
    </row>
    <row r="753" spans="1:21" ht="15.75" x14ac:dyDescent="0.25">
      <c r="A753" s="131" t="s">
        <v>1352</v>
      </c>
      <c r="B753" s="137">
        <f t="shared" si="94"/>
        <v>0</v>
      </c>
      <c r="D753" s="134" t="s">
        <v>1379</v>
      </c>
      <c r="F753" s="134">
        <f t="shared" si="95"/>
        <v>0</v>
      </c>
      <c r="G753" s="134" t="s">
        <v>1379</v>
      </c>
      <c r="I753" s="134">
        <f t="shared" si="96"/>
        <v>0</v>
      </c>
      <c r="J753" s="134" t="s">
        <v>1379</v>
      </c>
      <c r="L753" s="134">
        <f t="shared" si="97"/>
        <v>0</v>
      </c>
      <c r="M753" s="134" t="s">
        <v>1379</v>
      </c>
      <c r="O753" s="134">
        <f t="shared" si="98"/>
        <v>0</v>
      </c>
      <c r="P753" s="134" t="s">
        <v>1379</v>
      </c>
      <c r="R753" s="134">
        <f t="shared" si="99"/>
        <v>0</v>
      </c>
      <c r="S753" s="134" t="s">
        <v>1379</v>
      </c>
      <c r="U753" s="134">
        <f t="shared" si="100"/>
        <v>0</v>
      </c>
    </row>
    <row r="754" spans="1:21" ht="15.75" x14ac:dyDescent="0.25">
      <c r="A754" s="131" t="s">
        <v>1353</v>
      </c>
      <c r="B754" s="137">
        <f t="shared" si="94"/>
        <v>0</v>
      </c>
      <c r="D754" s="134" t="s">
        <v>1379</v>
      </c>
      <c r="F754" s="134">
        <f t="shared" si="95"/>
        <v>0</v>
      </c>
      <c r="G754" s="134" t="s">
        <v>1379</v>
      </c>
      <c r="I754" s="134">
        <f t="shared" si="96"/>
        <v>0</v>
      </c>
      <c r="J754" s="134" t="s">
        <v>1379</v>
      </c>
      <c r="L754" s="134">
        <f t="shared" si="97"/>
        <v>0</v>
      </c>
      <c r="M754" s="134" t="s">
        <v>1379</v>
      </c>
      <c r="O754" s="134">
        <f t="shared" si="98"/>
        <v>0</v>
      </c>
      <c r="P754" s="134" t="s">
        <v>1379</v>
      </c>
      <c r="R754" s="134">
        <f t="shared" si="99"/>
        <v>0</v>
      </c>
      <c r="S754" s="134" t="s">
        <v>1379</v>
      </c>
      <c r="U754" s="134">
        <f t="shared" si="100"/>
        <v>0</v>
      </c>
    </row>
    <row r="755" spans="1:21" ht="15.75" x14ac:dyDescent="0.25">
      <c r="A755" s="131" t="s">
        <v>1354</v>
      </c>
      <c r="B755" s="137">
        <f t="shared" si="94"/>
        <v>0</v>
      </c>
      <c r="D755" s="134" t="s">
        <v>1379</v>
      </c>
      <c r="F755" s="134">
        <f t="shared" si="95"/>
        <v>0</v>
      </c>
      <c r="G755" s="134" t="s">
        <v>1379</v>
      </c>
      <c r="I755" s="134">
        <f t="shared" si="96"/>
        <v>0</v>
      </c>
      <c r="J755" s="134" t="s">
        <v>1379</v>
      </c>
      <c r="L755" s="134">
        <f t="shared" si="97"/>
        <v>0</v>
      </c>
      <c r="M755" s="134" t="s">
        <v>1379</v>
      </c>
      <c r="O755" s="134">
        <f t="shared" si="98"/>
        <v>0</v>
      </c>
      <c r="P755" s="134" t="s">
        <v>1379</v>
      </c>
      <c r="R755" s="134">
        <f t="shared" si="99"/>
        <v>0</v>
      </c>
      <c r="S755" s="134" t="s">
        <v>1379</v>
      </c>
      <c r="U755" s="134">
        <f t="shared" si="100"/>
        <v>0</v>
      </c>
    </row>
    <row r="756" spans="1:21" ht="15.75" x14ac:dyDescent="0.25">
      <c r="A756" s="131" t="s">
        <v>1355</v>
      </c>
      <c r="B756" s="137">
        <f t="shared" si="94"/>
        <v>0</v>
      </c>
      <c r="D756" s="134" t="s">
        <v>1379</v>
      </c>
      <c r="F756" s="134">
        <f t="shared" si="95"/>
        <v>0</v>
      </c>
      <c r="G756" s="134" t="s">
        <v>1379</v>
      </c>
      <c r="I756" s="134">
        <f t="shared" si="96"/>
        <v>0</v>
      </c>
      <c r="J756" s="134" t="s">
        <v>1379</v>
      </c>
      <c r="L756" s="134">
        <f t="shared" si="97"/>
        <v>0</v>
      </c>
      <c r="M756" s="134" t="s">
        <v>1379</v>
      </c>
      <c r="O756" s="134">
        <f t="shared" si="98"/>
        <v>0</v>
      </c>
      <c r="P756" s="134" t="s">
        <v>1379</v>
      </c>
      <c r="R756" s="134">
        <f t="shared" si="99"/>
        <v>0</v>
      </c>
      <c r="S756" s="134" t="s">
        <v>1379</v>
      </c>
      <c r="U756" s="134">
        <f t="shared" si="100"/>
        <v>0</v>
      </c>
    </row>
    <row r="757" spans="1:21" ht="15.75" x14ac:dyDescent="0.25">
      <c r="A757" s="131" t="s">
        <v>1356</v>
      </c>
      <c r="B757" s="137">
        <f t="shared" si="94"/>
        <v>0</v>
      </c>
      <c r="D757" s="134" t="s">
        <v>1379</v>
      </c>
      <c r="F757" s="134">
        <f t="shared" si="95"/>
        <v>0</v>
      </c>
      <c r="G757" s="134" t="s">
        <v>1379</v>
      </c>
      <c r="I757" s="134">
        <f t="shared" si="96"/>
        <v>0</v>
      </c>
      <c r="J757" s="134" t="s">
        <v>1379</v>
      </c>
      <c r="L757" s="134">
        <f t="shared" si="97"/>
        <v>0</v>
      </c>
      <c r="M757" s="134" t="s">
        <v>1379</v>
      </c>
      <c r="O757" s="134">
        <f t="shared" si="98"/>
        <v>0</v>
      </c>
      <c r="P757" s="134" t="s">
        <v>1379</v>
      </c>
      <c r="R757" s="134">
        <f t="shared" si="99"/>
        <v>0</v>
      </c>
      <c r="S757" s="134" t="s">
        <v>1379</v>
      </c>
      <c r="U757" s="134">
        <f t="shared" si="100"/>
        <v>0</v>
      </c>
    </row>
    <row r="758" spans="1:21" ht="15.75" x14ac:dyDescent="0.25">
      <c r="A758" s="131" t="s">
        <v>1357</v>
      </c>
      <c r="B758" s="137">
        <f t="shared" si="94"/>
        <v>0</v>
      </c>
      <c r="D758" s="134" t="s">
        <v>1379</v>
      </c>
      <c r="F758" s="134">
        <f t="shared" si="95"/>
        <v>0</v>
      </c>
      <c r="G758" s="134" t="s">
        <v>1379</v>
      </c>
      <c r="I758" s="134">
        <f t="shared" si="96"/>
        <v>0</v>
      </c>
      <c r="J758" s="134" t="s">
        <v>1379</v>
      </c>
      <c r="L758" s="134">
        <f t="shared" si="97"/>
        <v>0</v>
      </c>
      <c r="M758" s="134" t="s">
        <v>1379</v>
      </c>
      <c r="O758" s="134">
        <f t="shared" si="98"/>
        <v>0</v>
      </c>
      <c r="P758" s="134" t="s">
        <v>1379</v>
      </c>
      <c r="R758" s="134">
        <f t="shared" si="99"/>
        <v>0</v>
      </c>
      <c r="S758" s="134" t="s">
        <v>1379</v>
      </c>
      <c r="U758" s="134">
        <f t="shared" si="100"/>
        <v>0</v>
      </c>
    </row>
    <row r="759" spans="1:21" ht="15.75" x14ac:dyDescent="0.25">
      <c r="A759" s="131" t="s">
        <v>1358</v>
      </c>
      <c r="B759" s="137">
        <f t="shared" si="94"/>
        <v>0</v>
      </c>
      <c r="D759" s="134" t="s">
        <v>1379</v>
      </c>
      <c r="F759" s="134">
        <f t="shared" si="95"/>
        <v>0</v>
      </c>
      <c r="G759" s="134" t="s">
        <v>1379</v>
      </c>
      <c r="I759" s="134">
        <f t="shared" si="96"/>
        <v>0</v>
      </c>
      <c r="J759" s="134" t="s">
        <v>1379</v>
      </c>
      <c r="L759" s="134">
        <f t="shared" si="97"/>
        <v>0</v>
      </c>
      <c r="M759" s="134" t="s">
        <v>1379</v>
      </c>
      <c r="O759" s="134">
        <f t="shared" si="98"/>
        <v>0</v>
      </c>
      <c r="P759" s="134" t="s">
        <v>1379</v>
      </c>
      <c r="R759" s="134">
        <f t="shared" si="99"/>
        <v>0</v>
      </c>
      <c r="S759" s="134" t="s">
        <v>1379</v>
      </c>
      <c r="U759" s="134">
        <f t="shared" si="100"/>
        <v>0</v>
      </c>
    </row>
    <row r="760" spans="1:21" ht="15.75" x14ac:dyDescent="0.25">
      <c r="A760" s="131" t="s">
        <v>1359</v>
      </c>
      <c r="B760" s="137">
        <f t="shared" ref="B760:B770" si="101">(F760*E760)+(H760*I760)+(K760*L760)+(N760*O760)+(Q760*R760)+(T760*U760)</f>
        <v>0</v>
      </c>
      <c r="D760" s="134" t="s">
        <v>1379</v>
      </c>
      <c r="F760" s="134">
        <f t="shared" si="95"/>
        <v>0</v>
      </c>
      <c r="G760" s="134" t="s">
        <v>1379</v>
      </c>
      <c r="I760" s="134">
        <f t="shared" si="96"/>
        <v>0</v>
      </c>
      <c r="J760" s="134" t="s">
        <v>1379</v>
      </c>
      <c r="L760" s="134">
        <f t="shared" si="97"/>
        <v>0</v>
      </c>
      <c r="M760" s="134" t="s">
        <v>1379</v>
      </c>
      <c r="O760" s="134">
        <f t="shared" si="98"/>
        <v>0</v>
      </c>
      <c r="P760" s="134" t="s">
        <v>1379</v>
      </c>
      <c r="R760" s="134">
        <f t="shared" si="99"/>
        <v>0</v>
      </c>
      <c r="S760" s="134" t="s">
        <v>1379</v>
      </c>
      <c r="U760" s="134">
        <f t="shared" si="100"/>
        <v>0</v>
      </c>
    </row>
    <row r="761" spans="1:21" ht="15.75" x14ac:dyDescent="0.25">
      <c r="A761" s="131" t="s">
        <v>1360</v>
      </c>
      <c r="B761" s="137">
        <f t="shared" si="101"/>
        <v>0</v>
      </c>
      <c r="D761" s="134" t="s">
        <v>1379</v>
      </c>
      <c r="F761" s="134">
        <f t="shared" si="95"/>
        <v>0</v>
      </c>
      <c r="G761" s="134" t="s">
        <v>1379</v>
      </c>
      <c r="I761" s="134">
        <f t="shared" si="96"/>
        <v>0</v>
      </c>
      <c r="J761" s="134" t="s">
        <v>1379</v>
      </c>
      <c r="L761" s="134">
        <f t="shared" si="97"/>
        <v>0</v>
      </c>
      <c r="M761" s="134" t="s">
        <v>1379</v>
      </c>
      <c r="O761" s="134">
        <f t="shared" si="98"/>
        <v>0</v>
      </c>
      <c r="P761" s="134" t="s">
        <v>1379</v>
      </c>
      <c r="R761" s="134">
        <f t="shared" si="99"/>
        <v>0</v>
      </c>
      <c r="S761" s="134" t="s">
        <v>1379</v>
      </c>
      <c r="U761" s="134">
        <f t="shared" si="100"/>
        <v>0</v>
      </c>
    </row>
    <row r="762" spans="1:21" ht="15.75" x14ac:dyDescent="0.25">
      <c r="A762" s="131" t="s">
        <v>1361</v>
      </c>
      <c r="B762" s="137">
        <f t="shared" si="101"/>
        <v>0</v>
      </c>
      <c r="D762" s="134" t="s">
        <v>1379</v>
      </c>
      <c r="F762" s="134">
        <f t="shared" ref="F762:F770" si="102">VLOOKUP(D762,IDPOINTS,2,FALSE)</f>
        <v>0</v>
      </c>
      <c r="G762" s="134" t="s">
        <v>1379</v>
      </c>
      <c r="I762" s="134">
        <f t="shared" ref="I762:I770" si="103">VLOOKUP(G762,IDPOINTS,2,FALSE)</f>
        <v>0</v>
      </c>
      <c r="J762" s="134" t="s">
        <v>1379</v>
      </c>
      <c r="L762" s="134">
        <f t="shared" ref="L762:L770" si="104">VLOOKUP(J762,IDPOINTS,2,FALSE)</f>
        <v>0</v>
      </c>
      <c r="M762" s="134" t="s">
        <v>1379</v>
      </c>
      <c r="O762" s="134">
        <f t="shared" ref="O762:O770" si="105">VLOOKUP(M762,IDPOINTS,2,FALSE)</f>
        <v>0</v>
      </c>
      <c r="P762" s="134" t="s">
        <v>1379</v>
      </c>
      <c r="R762" s="134">
        <f t="shared" ref="R762:R770" si="106">VLOOKUP(P762,IDPOINTS,2,FALSE)</f>
        <v>0</v>
      </c>
      <c r="S762" s="134" t="s">
        <v>1379</v>
      </c>
      <c r="U762" s="134">
        <f t="shared" ref="U762:U770" si="107">VLOOKUP(S762,IDPOINTS,2,FALSE)</f>
        <v>0</v>
      </c>
    </row>
    <row r="763" spans="1:21" ht="15.75" x14ac:dyDescent="0.25">
      <c r="A763" s="131" t="s">
        <v>1362</v>
      </c>
      <c r="B763" s="137">
        <f t="shared" si="101"/>
        <v>0</v>
      </c>
      <c r="D763" s="134" t="s">
        <v>1379</v>
      </c>
      <c r="F763" s="134">
        <f t="shared" si="102"/>
        <v>0</v>
      </c>
      <c r="G763" s="134" t="s">
        <v>1379</v>
      </c>
      <c r="I763" s="134">
        <f t="shared" si="103"/>
        <v>0</v>
      </c>
      <c r="J763" s="134" t="s">
        <v>1379</v>
      </c>
      <c r="L763" s="134">
        <f t="shared" si="104"/>
        <v>0</v>
      </c>
      <c r="M763" s="134" t="s">
        <v>1379</v>
      </c>
      <c r="O763" s="134">
        <f t="shared" si="105"/>
        <v>0</v>
      </c>
      <c r="P763" s="134" t="s">
        <v>1379</v>
      </c>
      <c r="R763" s="134">
        <f t="shared" si="106"/>
        <v>0</v>
      </c>
      <c r="S763" s="134" t="s">
        <v>1379</v>
      </c>
      <c r="U763" s="134">
        <f t="shared" si="107"/>
        <v>0</v>
      </c>
    </row>
    <row r="764" spans="1:21" ht="15.75" x14ac:dyDescent="0.25">
      <c r="A764" s="131" t="s">
        <v>1363</v>
      </c>
      <c r="B764" s="137">
        <f t="shared" si="101"/>
        <v>0</v>
      </c>
      <c r="D764" s="134" t="s">
        <v>1379</v>
      </c>
      <c r="F764" s="134">
        <f t="shared" si="102"/>
        <v>0</v>
      </c>
      <c r="G764" s="134" t="s">
        <v>1379</v>
      </c>
      <c r="I764" s="134">
        <f t="shared" si="103"/>
        <v>0</v>
      </c>
      <c r="J764" s="134" t="s">
        <v>1379</v>
      </c>
      <c r="L764" s="134">
        <f t="shared" si="104"/>
        <v>0</v>
      </c>
      <c r="M764" s="134" t="s">
        <v>1379</v>
      </c>
      <c r="O764" s="134">
        <f t="shared" si="105"/>
        <v>0</v>
      </c>
      <c r="P764" s="134" t="s">
        <v>1379</v>
      </c>
      <c r="R764" s="134">
        <f t="shared" si="106"/>
        <v>0</v>
      </c>
      <c r="S764" s="134" t="s">
        <v>1379</v>
      </c>
      <c r="U764" s="134">
        <f t="shared" si="107"/>
        <v>0</v>
      </c>
    </row>
    <row r="765" spans="1:21" ht="15.75" x14ac:dyDescent="0.25">
      <c r="A765" s="131" t="s">
        <v>1364</v>
      </c>
      <c r="B765" s="137">
        <f t="shared" si="101"/>
        <v>0</v>
      </c>
      <c r="D765" s="134" t="s">
        <v>1379</v>
      </c>
      <c r="F765" s="134">
        <f t="shared" si="102"/>
        <v>0</v>
      </c>
      <c r="G765" s="134" t="s">
        <v>1379</v>
      </c>
      <c r="I765" s="134">
        <f t="shared" si="103"/>
        <v>0</v>
      </c>
      <c r="J765" s="134" t="s">
        <v>1379</v>
      </c>
      <c r="L765" s="134">
        <f t="shared" si="104"/>
        <v>0</v>
      </c>
      <c r="M765" s="134" t="s">
        <v>1379</v>
      </c>
      <c r="O765" s="134">
        <f t="shared" si="105"/>
        <v>0</v>
      </c>
      <c r="P765" s="134" t="s">
        <v>1379</v>
      </c>
      <c r="R765" s="134">
        <f t="shared" si="106"/>
        <v>0</v>
      </c>
      <c r="S765" s="134" t="s">
        <v>1379</v>
      </c>
      <c r="U765" s="134">
        <f t="shared" si="107"/>
        <v>0</v>
      </c>
    </row>
    <row r="766" spans="1:21" ht="15.75" x14ac:dyDescent="0.25">
      <c r="A766" s="131" t="s">
        <v>1365</v>
      </c>
      <c r="B766" s="137">
        <f t="shared" si="101"/>
        <v>0</v>
      </c>
      <c r="D766" s="134" t="s">
        <v>1379</v>
      </c>
      <c r="F766" s="134">
        <f t="shared" si="102"/>
        <v>0</v>
      </c>
      <c r="G766" s="134" t="s">
        <v>1379</v>
      </c>
      <c r="I766" s="134">
        <f t="shared" si="103"/>
        <v>0</v>
      </c>
      <c r="J766" s="134" t="s">
        <v>1379</v>
      </c>
      <c r="L766" s="134">
        <f t="shared" si="104"/>
        <v>0</v>
      </c>
      <c r="M766" s="134" t="s">
        <v>1379</v>
      </c>
      <c r="O766" s="134">
        <f t="shared" si="105"/>
        <v>0</v>
      </c>
      <c r="P766" s="134" t="s">
        <v>1379</v>
      </c>
      <c r="R766" s="134">
        <f t="shared" si="106"/>
        <v>0</v>
      </c>
      <c r="S766" s="134" t="s">
        <v>1379</v>
      </c>
      <c r="U766" s="134">
        <f t="shared" si="107"/>
        <v>0</v>
      </c>
    </row>
    <row r="767" spans="1:21" ht="15.75" x14ac:dyDescent="0.25">
      <c r="A767" s="131" t="s">
        <v>1366</v>
      </c>
      <c r="B767" s="137">
        <f t="shared" si="101"/>
        <v>0</v>
      </c>
      <c r="D767" s="134" t="s">
        <v>1379</v>
      </c>
      <c r="F767" s="134">
        <f t="shared" si="102"/>
        <v>0</v>
      </c>
      <c r="G767" s="134" t="s">
        <v>1379</v>
      </c>
      <c r="I767" s="134">
        <f t="shared" si="103"/>
        <v>0</v>
      </c>
      <c r="J767" s="134" t="s">
        <v>1379</v>
      </c>
      <c r="L767" s="134">
        <f t="shared" si="104"/>
        <v>0</v>
      </c>
      <c r="M767" s="134" t="s">
        <v>1379</v>
      </c>
      <c r="O767" s="134">
        <f t="shared" si="105"/>
        <v>0</v>
      </c>
      <c r="P767" s="134" t="s">
        <v>1379</v>
      </c>
      <c r="R767" s="134">
        <f t="shared" si="106"/>
        <v>0</v>
      </c>
      <c r="S767" s="134" t="s">
        <v>1379</v>
      </c>
      <c r="U767" s="134">
        <f t="shared" si="107"/>
        <v>0</v>
      </c>
    </row>
    <row r="768" spans="1:21" ht="15.75" x14ac:dyDescent="0.25">
      <c r="A768" s="131" t="s">
        <v>1367</v>
      </c>
      <c r="B768" s="137">
        <f t="shared" si="101"/>
        <v>0</v>
      </c>
      <c r="D768" s="134" t="s">
        <v>1379</v>
      </c>
      <c r="F768" s="134">
        <f t="shared" si="102"/>
        <v>0</v>
      </c>
      <c r="G768" s="134" t="s">
        <v>1379</v>
      </c>
      <c r="I768" s="134">
        <f t="shared" si="103"/>
        <v>0</v>
      </c>
      <c r="J768" s="134" t="s">
        <v>1379</v>
      </c>
      <c r="L768" s="134">
        <f t="shared" si="104"/>
        <v>0</v>
      </c>
      <c r="M768" s="134" t="s">
        <v>1379</v>
      </c>
      <c r="O768" s="134">
        <f t="shared" si="105"/>
        <v>0</v>
      </c>
      <c r="P768" s="134" t="s">
        <v>1379</v>
      </c>
      <c r="R768" s="134">
        <f t="shared" si="106"/>
        <v>0</v>
      </c>
      <c r="S768" s="134" t="s">
        <v>1379</v>
      </c>
      <c r="U768" s="134">
        <f t="shared" si="107"/>
        <v>0</v>
      </c>
    </row>
    <row r="769" spans="1:21" ht="15.75" x14ac:dyDescent="0.25">
      <c r="A769" s="131" t="s">
        <v>1368</v>
      </c>
      <c r="B769" s="137">
        <f t="shared" si="101"/>
        <v>0</v>
      </c>
      <c r="D769" s="134" t="s">
        <v>1379</v>
      </c>
      <c r="F769" s="134">
        <f t="shared" si="102"/>
        <v>0</v>
      </c>
      <c r="G769" s="134" t="s">
        <v>1379</v>
      </c>
      <c r="I769" s="134">
        <f t="shared" si="103"/>
        <v>0</v>
      </c>
      <c r="J769" s="134" t="s">
        <v>1379</v>
      </c>
      <c r="L769" s="134">
        <f t="shared" si="104"/>
        <v>0</v>
      </c>
      <c r="M769" s="134" t="s">
        <v>1379</v>
      </c>
      <c r="O769" s="134">
        <f t="shared" si="105"/>
        <v>0</v>
      </c>
      <c r="P769" s="134" t="s">
        <v>1379</v>
      </c>
      <c r="R769" s="134">
        <f t="shared" si="106"/>
        <v>0</v>
      </c>
      <c r="S769" s="134" t="s">
        <v>1379</v>
      </c>
      <c r="U769" s="134">
        <f t="shared" si="107"/>
        <v>0</v>
      </c>
    </row>
    <row r="770" spans="1:21" ht="15.75" x14ac:dyDescent="0.25">
      <c r="A770" s="131" t="s">
        <v>1369</v>
      </c>
      <c r="B770" s="137">
        <f t="shared" si="101"/>
        <v>0</v>
      </c>
      <c r="D770" s="134" t="s">
        <v>1379</v>
      </c>
      <c r="F770" s="134">
        <f t="shared" si="102"/>
        <v>0</v>
      </c>
      <c r="G770" s="134" t="s">
        <v>1379</v>
      </c>
      <c r="I770" s="134">
        <f t="shared" si="103"/>
        <v>0</v>
      </c>
      <c r="J770" s="134" t="s">
        <v>1379</v>
      </c>
      <c r="L770" s="134">
        <f t="shared" si="104"/>
        <v>0</v>
      </c>
      <c r="M770" s="134" t="s">
        <v>1379</v>
      </c>
      <c r="O770" s="134">
        <f t="shared" si="105"/>
        <v>0</v>
      </c>
      <c r="P770" s="134" t="s">
        <v>1379</v>
      </c>
      <c r="R770" s="134">
        <f t="shared" si="106"/>
        <v>0</v>
      </c>
      <c r="S770" s="134" t="s">
        <v>1379</v>
      </c>
      <c r="U770" s="134">
        <f t="shared" si="107"/>
        <v>0</v>
      </c>
    </row>
  </sheetData>
  <dataValidations count="1">
    <dataValidation type="list" allowBlank="1" showInputMessage="1" showErrorMessage="1" sqref="G3:G770 P3:P770 J3:J770 S3:S770 M3:M770 D3:D770" xr:uid="{5464371E-AB16-48A0-9AA6-BC7223C34D9F}">
      <formula1>IDS</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FFE13-CE8E-4754-B6AA-922146D099A0}">
  <dimension ref="A1:Z40"/>
  <sheetViews>
    <sheetView topLeftCell="H1" workbookViewId="0">
      <selection activeCell="N7" sqref="N7"/>
    </sheetView>
  </sheetViews>
  <sheetFormatPr baseColWidth="10" defaultRowHeight="15" x14ac:dyDescent="0.25"/>
  <cols>
    <col min="1" max="1" width="25.42578125" customWidth="1"/>
    <col min="3" max="3" width="26" customWidth="1"/>
    <col min="5" max="5" width="18.85546875" customWidth="1"/>
    <col min="7" max="7" width="14.85546875" customWidth="1"/>
    <col min="9" max="9" width="15.85546875" customWidth="1"/>
    <col min="13" max="13" width="16.85546875" customWidth="1"/>
    <col min="15" max="15" width="13.7109375" customWidth="1"/>
    <col min="19" max="19" width="13" customWidth="1"/>
    <col min="22" max="22" width="18" customWidth="1"/>
  </cols>
  <sheetData>
    <row r="1" spans="1:26" s="130" customFormat="1" x14ac:dyDescent="0.25">
      <c r="A1" s="188" t="s">
        <v>149</v>
      </c>
      <c r="B1" s="188"/>
      <c r="C1" s="188"/>
      <c r="D1" s="188"/>
      <c r="E1" s="132" t="s">
        <v>661</v>
      </c>
      <c r="F1" s="132"/>
      <c r="G1" s="188" t="s">
        <v>620</v>
      </c>
      <c r="H1" s="188"/>
      <c r="I1" s="188" t="s">
        <v>614</v>
      </c>
      <c r="J1" s="188"/>
      <c r="K1" s="188" t="s">
        <v>615</v>
      </c>
      <c r="L1" s="188"/>
      <c r="M1" s="188" t="s">
        <v>622</v>
      </c>
      <c r="N1" s="188"/>
      <c r="O1" s="188" t="s">
        <v>626</v>
      </c>
      <c r="P1" s="188"/>
      <c r="Q1" s="188" t="s">
        <v>629</v>
      </c>
      <c r="R1" s="188"/>
      <c r="S1" s="188" t="s">
        <v>256</v>
      </c>
      <c r="T1" s="188"/>
      <c r="U1" s="188" t="s">
        <v>655</v>
      </c>
      <c r="V1" s="188"/>
      <c r="W1" s="188" t="s">
        <v>591</v>
      </c>
      <c r="X1" s="188"/>
      <c r="Y1" s="188" t="s">
        <v>267</v>
      </c>
      <c r="Z1" s="188"/>
    </row>
    <row r="2" spans="1:26" ht="15.75" x14ac:dyDescent="0.25">
      <c r="A2" s="131" t="s">
        <v>592</v>
      </c>
      <c r="C2" s="131" t="s">
        <v>597</v>
      </c>
      <c r="E2" s="131" t="s">
        <v>607</v>
      </c>
      <c r="G2" s="131" t="s">
        <v>608</v>
      </c>
      <c r="I2" s="131" t="s">
        <v>609</v>
      </c>
      <c r="K2" s="131" t="s">
        <v>613</v>
      </c>
      <c r="M2" s="131" t="s">
        <v>621</v>
      </c>
      <c r="O2" s="131" t="s">
        <v>627</v>
      </c>
      <c r="Q2" s="131" t="s">
        <v>630</v>
      </c>
      <c r="S2" s="131" t="s">
        <v>652</v>
      </c>
      <c r="U2" s="131" t="s">
        <v>656</v>
      </c>
      <c r="W2" s="131" t="s">
        <v>662</v>
      </c>
      <c r="Y2" s="131" t="s">
        <v>663</v>
      </c>
    </row>
    <row r="3" spans="1:26" ht="15.75" x14ac:dyDescent="0.25">
      <c r="A3" s="131" t="s">
        <v>593</v>
      </c>
      <c r="C3" s="131" t="s">
        <v>598</v>
      </c>
      <c r="G3" s="131" t="s">
        <v>619</v>
      </c>
      <c r="I3" s="131" t="s">
        <v>610</v>
      </c>
      <c r="K3" s="131" t="s">
        <v>660</v>
      </c>
      <c r="M3" s="131" t="s">
        <v>623</v>
      </c>
      <c r="S3" s="131" t="s">
        <v>659</v>
      </c>
      <c r="U3" s="131" t="s">
        <v>657</v>
      </c>
      <c r="Y3" s="131" t="s">
        <v>678</v>
      </c>
    </row>
    <row r="4" spans="1:26" ht="15.75" x14ac:dyDescent="0.25">
      <c r="A4" s="131" t="s">
        <v>594</v>
      </c>
      <c r="C4" s="131" t="s">
        <v>601</v>
      </c>
      <c r="G4" s="131" t="s">
        <v>672</v>
      </c>
      <c r="I4" s="131" t="s">
        <v>611</v>
      </c>
      <c r="M4" s="131" t="s">
        <v>628</v>
      </c>
      <c r="S4" s="131" t="s">
        <v>650</v>
      </c>
    </row>
    <row r="5" spans="1:26" ht="15.75" x14ac:dyDescent="0.25">
      <c r="A5" s="131" t="s">
        <v>595</v>
      </c>
      <c r="C5" s="131" t="s">
        <v>606</v>
      </c>
      <c r="I5" s="131" t="s">
        <v>612</v>
      </c>
      <c r="S5" s="131" t="s">
        <v>651</v>
      </c>
    </row>
    <row r="6" spans="1:26" ht="15.75" x14ac:dyDescent="0.25">
      <c r="A6" s="131" t="s">
        <v>596</v>
      </c>
      <c r="C6" s="131" t="s">
        <v>637</v>
      </c>
      <c r="I6" s="131" t="s">
        <v>671</v>
      </c>
      <c r="S6" s="131" t="s">
        <v>653</v>
      </c>
    </row>
    <row r="7" spans="1:26" ht="15.75" x14ac:dyDescent="0.25">
      <c r="A7" s="131" t="s">
        <v>597</v>
      </c>
      <c r="C7" s="131" t="s">
        <v>638</v>
      </c>
      <c r="S7" s="131" t="s">
        <v>658</v>
      </c>
    </row>
    <row r="8" spans="1:26" ht="15.75" x14ac:dyDescent="0.25">
      <c r="A8" s="131" t="s">
        <v>599</v>
      </c>
      <c r="C8" s="131" t="s">
        <v>641</v>
      </c>
      <c r="S8" s="131" t="s">
        <v>647</v>
      </c>
    </row>
    <row r="9" spans="1:26" ht="15.75" x14ac:dyDescent="0.25">
      <c r="A9" s="131" t="s">
        <v>600</v>
      </c>
      <c r="C9" s="131" t="s">
        <v>646</v>
      </c>
      <c r="S9" s="131" t="s">
        <v>648</v>
      </c>
    </row>
    <row r="10" spans="1:26" ht="15.75" x14ac:dyDescent="0.25">
      <c r="A10" s="131" t="s">
        <v>602</v>
      </c>
      <c r="S10" s="131" t="s">
        <v>649</v>
      </c>
    </row>
    <row r="11" spans="1:26" ht="15.75" x14ac:dyDescent="0.25">
      <c r="A11" s="131" t="s">
        <v>603</v>
      </c>
      <c r="S11" s="131" t="s">
        <v>654</v>
      </c>
    </row>
    <row r="12" spans="1:26" ht="15.75" x14ac:dyDescent="0.25">
      <c r="A12" s="131" t="s">
        <v>604</v>
      </c>
      <c r="S12" s="131" t="s">
        <v>664</v>
      </c>
    </row>
    <row r="13" spans="1:26" ht="15.75" x14ac:dyDescent="0.25">
      <c r="A13" s="131" t="s">
        <v>605</v>
      </c>
      <c r="S13" s="131" t="s">
        <v>665</v>
      </c>
    </row>
    <row r="14" spans="1:26" ht="15.75" x14ac:dyDescent="0.25">
      <c r="A14" s="131" t="s">
        <v>624</v>
      </c>
      <c r="S14" s="131" t="s">
        <v>666</v>
      </c>
    </row>
    <row r="15" spans="1:26" ht="15.75" x14ac:dyDescent="0.25">
      <c r="A15" s="131" t="s">
        <v>632</v>
      </c>
      <c r="S15" s="131" t="s">
        <v>667</v>
      </c>
    </row>
    <row r="16" spans="1:26" ht="15.75" x14ac:dyDescent="0.25">
      <c r="A16" s="131" t="s">
        <v>633</v>
      </c>
      <c r="S16" s="131" t="s">
        <v>668</v>
      </c>
    </row>
    <row r="17" spans="1:19" ht="15.75" x14ac:dyDescent="0.25">
      <c r="A17" s="131" t="s">
        <v>634</v>
      </c>
      <c r="S17" s="131" t="s">
        <v>669</v>
      </c>
    </row>
    <row r="18" spans="1:19" ht="15.75" x14ac:dyDescent="0.25">
      <c r="A18" s="131" t="s">
        <v>635</v>
      </c>
      <c r="S18" s="131" t="s">
        <v>670</v>
      </c>
    </row>
    <row r="19" spans="1:19" ht="15.75" x14ac:dyDescent="0.25">
      <c r="A19" s="131" t="s">
        <v>636</v>
      </c>
      <c r="S19" s="131" t="s">
        <v>673</v>
      </c>
    </row>
    <row r="20" spans="1:19" ht="15.75" x14ac:dyDescent="0.25">
      <c r="A20" s="131" t="s">
        <v>639</v>
      </c>
      <c r="S20" s="131" t="s">
        <v>674</v>
      </c>
    </row>
    <row r="21" spans="1:19" ht="15.75" x14ac:dyDescent="0.25">
      <c r="A21" s="131" t="s">
        <v>640</v>
      </c>
      <c r="S21" s="131" t="s">
        <v>675</v>
      </c>
    </row>
    <row r="22" spans="1:19" ht="15.75" x14ac:dyDescent="0.25">
      <c r="A22" s="131" t="s">
        <v>642</v>
      </c>
      <c r="S22" s="131" t="s">
        <v>676</v>
      </c>
    </row>
    <row r="23" spans="1:19" ht="15.75" x14ac:dyDescent="0.25">
      <c r="A23" s="131" t="s">
        <v>643</v>
      </c>
      <c r="S23" s="131" t="s">
        <v>677</v>
      </c>
    </row>
    <row r="24" spans="1:19" ht="15.75" x14ac:dyDescent="0.25">
      <c r="A24" s="131" t="s">
        <v>644</v>
      </c>
    </row>
    <row r="25" spans="1:19" ht="15.75" x14ac:dyDescent="0.25">
      <c r="A25" s="131" t="s">
        <v>645</v>
      </c>
    </row>
    <row r="37" spans="1:4" ht="15.75" x14ac:dyDescent="0.25">
      <c r="A37" s="131" t="s">
        <v>616</v>
      </c>
      <c r="D37" s="131" t="s">
        <v>631</v>
      </c>
    </row>
    <row r="38" spans="1:4" ht="15.75" x14ac:dyDescent="0.25">
      <c r="A38" s="131" t="s">
        <v>617</v>
      </c>
    </row>
    <row r="39" spans="1:4" ht="15.75" x14ac:dyDescent="0.25">
      <c r="A39" s="131" t="s">
        <v>618</v>
      </c>
    </row>
    <row r="40" spans="1:4" ht="15.75" x14ac:dyDescent="0.25">
      <c r="A40" s="131" t="s">
        <v>625</v>
      </c>
    </row>
  </sheetData>
  <mergeCells count="11">
    <mergeCell ref="A1:D1"/>
    <mergeCell ref="I1:J1"/>
    <mergeCell ref="U1:V1"/>
    <mergeCell ref="W1:X1"/>
    <mergeCell ref="Y1:Z1"/>
    <mergeCell ref="K1:L1"/>
    <mergeCell ref="G1:H1"/>
    <mergeCell ref="M1:N1"/>
    <mergeCell ref="O1:P1"/>
    <mergeCell ref="Q1:R1"/>
    <mergeCell ref="S1:T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topLeftCell="A13" workbookViewId="0">
      <selection activeCell="A3" sqref="A3:B3"/>
    </sheetView>
  </sheetViews>
  <sheetFormatPr baseColWidth="10" defaultRowHeight="15" x14ac:dyDescent="0.2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194" t="s">
        <v>150</v>
      </c>
      <c r="B1" s="194"/>
      <c r="C1" s="194"/>
      <c r="D1" s="194"/>
      <c r="E1" s="192" t="s">
        <v>159</v>
      </c>
      <c r="F1" s="192"/>
      <c r="G1" s="192"/>
      <c r="H1" s="192"/>
      <c r="I1" s="194" t="s">
        <v>151</v>
      </c>
      <c r="J1" s="194"/>
      <c r="K1" s="194"/>
      <c r="L1" s="194"/>
      <c r="M1" s="192" t="s">
        <v>149</v>
      </c>
      <c r="N1" s="192"/>
      <c r="O1" s="192"/>
      <c r="P1" s="192"/>
    </row>
    <row r="2" spans="1:16" ht="15" customHeight="1" x14ac:dyDescent="0.25">
      <c r="A2" s="195" t="s">
        <v>293</v>
      </c>
      <c r="B2" s="195"/>
      <c r="C2" s="195" t="s">
        <v>294</v>
      </c>
      <c r="D2" s="195"/>
      <c r="E2" s="168" t="s">
        <v>304</v>
      </c>
      <c r="F2" s="168"/>
      <c r="G2" s="168" t="s">
        <v>307</v>
      </c>
      <c r="H2" s="168"/>
      <c r="I2" s="195" t="s">
        <v>346</v>
      </c>
      <c r="J2" s="195"/>
      <c r="K2" s="195" t="s">
        <v>309</v>
      </c>
      <c r="L2" s="195"/>
      <c r="M2" s="168" t="s">
        <v>311</v>
      </c>
      <c r="N2" s="168"/>
      <c r="O2" s="168" t="s">
        <v>312</v>
      </c>
      <c r="P2" s="168"/>
    </row>
    <row r="3" spans="1:16" ht="15" customHeight="1" x14ac:dyDescent="0.25">
      <c r="A3" s="189" t="s">
        <v>295</v>
      </c>
      <c r="B3" s="189"/>
      <c r="C3" s="189" t="s">
        <v>299</v>
      </c>
      <c r="D3" s="189"/>
      <c r="E3" s="189" t="s">
        <v>351</v>
      </c>
      <c r="F3" s="189"/>
      <c r="G3" s="189" t="s">
        <v>426</v>
      </c>
      <c r="H3" s="189"/>
      <c r="I3" s="189" t="s">
        <v>363</v>
      </c>
      <c r="J3" s="189"/>
      <c r="K3" s="189" t="s">
        <v>377</v>
      </c>
      <c r="L3" s="189"/>
      <c r="M3" s="189" t="s">
        <v>371</v>
      </c>
      <c r="N3" s="189"/>
      <c r="O3" s="189" t="s">
        <v>313</v>
      </c>
      <c r="P3" s="189"/>
    </row>
    <row r="4" spans="1:16" ht="15" customHeight="1" x14ac:dyDescent="0.25">
      <c r="A4" s="189" t="s">
        <v>297</v>
      </c>
      <c r="B4" s="189"/>
      <c r="C4" s="189" t="s">
        <v>361</v>
      </c>
      <c r="D4" s="189"/>
      <c r="E4" s="189" t="s">
        <v>305</v>
      </c>
      <c r="F4" s="189"/>
      <c r="G4" s="189" t="s">
        <v>353</v>
      </c>
      <c r="H4" s="189"/>
      <c r="I4" s="189" t="s">
        <v>324</v>
      </c>
      <c r="J4" s="189"/>
      <c r="K4" s="189" t="s">
        <v>376</v>
      </c>
      <c r="L4" s="189"/>
      <c r="M4" s="189" t="s">
        <v>367</v>
      </c>
      <c r="N4" s="189"/>
      <c r="O4" s="189" t="s">
        <v>379</v>
      </c>
      <c r="P4" s="189"/>
    </row>
    <row r="5" spans="1:16" ht="15" customHeight="1" x14ac:dyDescent="0.25">
      <c r="A5" s="189" t="s">
        <v>360</v>
      </c>
      <c r="B5" s="189"/>
      <c r="C5" s="189" t="s">
        <v>300</v>
      </c>
      <c r="D5" s="189"/>
      <c r="E5" s="189" t="s">
        <v>352</v>
      </c>
      <c r="F5" s="189"/>
      <c r="G5" s="193" t="s">
        <v>354</v>
      </c>
      <c r="H5" s="193"/>
      <c r="I5" s="193" t="s">
        <v>325</v>
      </c>
      <c r="J5" s="193"/>
      <c r="K5" s="193" t="s">
        <v>370</v>
      </c>
      <c r="L5" s="193"/>
      <c r="M5" s="189" t="s">
        <v>314</v>
      </c>
      <c r="N5" s="189"/>
      <c r="O5" s="193" t="s">
        <v>374</v>
      </c>
      <c r="P5" s="193"/>
    </row>
    <row r="6" spans="1:16" ht="15" customHeight="1" x14ac:dyDescent="0.25">
      <c r="A6" s="189" t="s">
        <v>320</v>
      </c>
      <c r="B6" s="189"/>
      <c r="C6" s="189" t="s">
        <v>301</v>
      </c>
      <c r="D6" s="189"/>
      <c r="E6" s="189" t="s">
        <v>358</v>
      </c>
      <c r="F6" s="189"/>
      <c r="G6" s="189" t="s">
        <v>355</v>
      </c>
      <c r="H6" s="189"/>
      <c r="I6" s="189" t="s">
        <v>401</v>
      </c>
      <c r="J6" s="189"/>
      <c r="K6" s="189" t="s">
        <v>381</v>
      </c>
      <c r="L6" s="189"/>
      <c r="M6" s="189" t="s">
        <v>368</v>
      </c>
      <c r="N6" s="189"/>
      <c r="O6" s="189" t="s">
        <v>373</v>
      </c>
      <c r="P6" s="189"/>
    </row>
    <row r="7" spans="1:16" ht="15" customHeight="1" x14ac:dyDescent="0.25">
      <c r="A7" s="189" t="s">
        <v>322</v>
      </c>
      <c r="B7" s="189"/>
      <c r="C7" s="189" t="s">
        <v>302</v>
      </c>
      <c r="D7" s="189"/>
      <c r="E7" s="189" t="s">
        <v>306</v>
      </c>
      <c r="F7" s="189"/>
      <c r="G7" s="189" t="s">
        <v>356</v>
      </c>
      <c r="H7" s="189"/>
      <c r="I7" s="189" t="s">
        <v>365</v>
      </c>
      <c r="J7" s="189"/>
      <c r="K7" s="189" t="s">
        <v>380</v>
      </c>
      <c r="L7" s="189"/>
      <c r="M7" s="189" t="s">
        <v>369</v>
      </c>
      <c r="N7" s="189"/>
      <c r="O7" s="189" t="s">
        <v>375</v>
      </c>
      <c r="P7" s="189"/>
    </row>
    <row r="8" spans="1:16" ht="15" customHeight="1" x14ac:dyDescent="0.25">
      <c r="A8" s="189" t="s">
        <v>298</v>
      </c>
      <c r="B8" s="189"/>
      <c r="C8" s="189" t="s">
        <v>303</v>
      </c>
      <c r="D8" s="189"/>
      <c r="E8" s="189" t="s">
        <v>359</v>
      </c>
      <c r="F8" s="189"/>
      <c r="G8" s="189" t="s">
        <v>357</v>
      </c>
      <c r="H8" s="189"/>
      <c r="I8" s="189" t="s">
        <v>366</v>
      </c>
      <c r="J8" s="189"/>
      <c r="K8" s="189" t="s">
        <v>378</v>
      </c>
      <c r="L8" s="189"/>
      <c r="M8" s="189" t="s">
        <v>315</v>
      </c>
      <c r="N8" s="189"/>
      <c r="O8" s="189" t="s">
        <v>372</v>
      </c>
      <c r="P8" s="189"/>
    </row>
    <row r="9" spans="1:16" x14ac:dyDescent="0.25">
      <c r="A9" s="190" t="s">
        <v>382</v>
      </c>
      <c r="B9" s="190"/>
      <c r="C9" s="190" t="s">
        <v>383</v>
      </c>
      <c r="D9" s="190"/>
      <c r="E9" s="190" t="s">
        <v>362</v>
      </c>
      <c r="F9" s="190"/>
      <c r="G9" s="190" t="s">
        <v>308</v>
      </c>
      <c r="H9" s="190"/>
      <c r="I9" s="190" t="s">
        <v>310</v>
      </c>
      <c r="J9" s="190"/>
      <c r="K9" s="190" t="s">
        <v>38</v>
      </c>
      <c r="L9" s="190"/>
      <c r="M9" s="190" t="s">
        <v>316</v>
      </c>
      <c r="N9" s="190"/>
      <c r="O9" s="190" t="s">
        <v>318</v>
      </c>
      <c r="P9" s="190"/>
    </row>
    <row r="10" spans="1:16" ht="15" customHeight="1" x14ac:dyDescent="0.25">
      <c r="A10" s="191" t="s">
        <v>343</v>
      </c>
      <c r="B10" s="191"/>
      <c r="C10" s="191" t="s">
        <v>299</v>
      </c>
      <c r="D10" s="191"/>
      <c r="E10" s="191" t="s">
        <v>351</v>
      </c>
      <c r="F10" s="191"/>
      <c r="G10" s="191" t="s">
        <v>427</v>
      </c>
      <c r="H10" s="191"/>
      <c r="I10" s="191" t="s">
        <v>363</v>
      </c>
      <c r="J10" s="191"/>
      <c r="K10" s="191" t="s">
        <v>377</v>
      </c>
      <c r="L10" s="191"/>
      <c r="M10" s="191" t="s">
        <v>371</v>
      </c>
      <c r="N10" s="191"/>
      <c r="O10" s="191" t="s">
        <v>313</v>
      </c>
      <c r="P10" s="191"/>
    </row>
    <row r="11" spans="1:16" ht="15" customHeight="1" x14ac:dyDescent="0.25">
      <c r="A11" t="s">
        <v>319</v>
      </c>
      <c r="B11" t="s">
        <v>321</v>
      </c>
      <c r="C11" s="94" t="s">
        <v>396</v>
      </c>
      <c r="D11" s="94" t="s">
        <v>321</v>
      </c>
      <c r="E11" s="94" t="s">
        <v>394</v>
      </c>
      <c r="F11" s="94" t="s">
        <v>319</v>
      </c>
      <c r="G11" s="94" t="s">
        <v>394</v>
      </c>
      <c r="H11" s="94" t="s">
        <v>432</v>
      </c>
      <c r="I11" s="111" t="s">
        <v>317</v>
      </c>
      <c r="J11" s="111" t="s">
        <v>321</v>
      </c>
      <c r="K11" s="111" t="s">
        <v>317</v>
      </c>
      <c r="L11" s="111"/>
      <c r="M11" s="94" t="s">
        <v>7</v>
      </c>
      <c r="N11" s="94" t="s">
        <v>319</v>
      </c>
      <c r="O11" s="94" t="s">
        <v>7</v>
      </c>
      <c r="P11" s="94"/>
    </row>
    <row r="12" spans="1:16" ht="15" customHeight="1" x14ac:dyDescent="0.25">
      <c r="C12" s="94"/>
      <c r="D12" s="94" t="s">
        <v>317</v>
      </c>
      <c r="E12" s="94"/>
      <c r="F12" s="94" t="s">
        <v>321</v>
      </c>
      <c r="G12" s="94"/>
      <c r="H12" s="115" t="s">
        <v>321</v>
      </c>
      <c r="I12" s="111"/>
      <c r="J12" s="111" t="s">
        <v>394</v>
      </c>
      <c r="K12" s="111" t="s">
        <v>395</v>
      </c>
      <c r="L12" s="111"/>
      <c r="M12" s="94"/>
      <c r="N12" s="94" t="s">
        <v>394</v>
      </c>
      <c r="O12" s="94"/>
      <c r="P12" s="94"/>
    </row>
    <row r="13" spans="1:16" ht="15" customHeight="1" x14ac:dyDescent="0.25">
      <c r="C13" s="94"/>
      <c r="D13" s="94"/>
      <c r="E13" s="94"/>
      <c r="F13" s="94"/>
      <c r="G13" s="94"/>
      <c r="H13" s="115" t="s">
        <v>319</v>
      </c>
      <c r="I13" s="111"/>
      <c r="J13" s="111" t="s">
        <v>319</v>
      </c>
      <c r="K13" s="111"/>
      <c r="L13" s="111"/>
      <c r="M13" s="94"/>
      <c r="N13" s="94"/>
      <c r="O13" s="94"/>
      <c r="P13" s="94"/>
    </row>
    <row r="14" spans="1:16" ht="15" customHeight="1" x14ac:dyDescent="0.25">
      <c r="C14" s="94"/>
      <c r="D14" s="94"/>
      <c r="E14" s="94"/>
      <c r="F14" s="94"/>
      <c r="G14" s="94"/>
      <c r="H14" s="94"/>
      <c r="I14" s="111"/>
      <c r="J14" s="111"/>
      <c r="K14" s="111"/>
      <c r="L14" s="111"/>
      <c r="M14" s="94"/>
      <c r="N14" s="94"/>
      <c r="O14" s="94"/>
      <c r="P14" s="94"/>
    </row>
    <row r="15" spans="1:16" ht="15" customHeight="1" x14ac:dyDescent="0.25">
      <c r="A15" s="191" t="s">
        <v>344</v>
      </c>
      <c r="B15" s="191"/>
      <c r="C15" s="191" t="s">
        <v>361</v>
      </c>
      <c r="D15" s="191"/>
      <c r="E15" s="191" t="s">
        <v>323</v>
      </c>
      <c r="F15" s="191"/>
      <c r="G15" s="191" t="s">
        <v>388</v>
      </c>
      <c r="H15" s="191"/>
      <c r="I15" s="191" t="s">
        <v>324</v>
      </c>
      <c r="J15" s="191"/>
      <c r="K15" s="191" t="s">
        <v>376</v>
      </c>
      <c r="L15" s="191"/>
      <c r="M15" s="191" t="s">
        <v>367</v>
      </c>
      <c r="N15" s="191"/>
      <c r="O15" s="191" t="s">
        <v>379</v>
      </c>
      <c r="P15" s="191"/>
    </row>
    <row r="16" spans="1:16" ht="15" customHeight="1" x14ac:dyDescent="0.25">
      <c r="A16" s="94" t="s">
        <v>295</v>
      </c>
      <c r="B16" s="2" t="s">
        <v>351</v>
      </c>
      <c r="C16" s="94" t="s">
        <v>299</v>
      </c>
      <c r="D16" s="94" t="s">
        <v>376</v>
      </c>
      <c r="E16" s="94" t="s">
        <v>351</v>
      </c>
      <c r="F16" s="94" t="s">
        <v>295</v>
      </c>
      <c r="G16" s="94" t="s">
        <v>394</v>
      </c>
      <c r="H16" s="94" t="s">
        <v>297</v>
      </c>
      <c r="I16" s="111" t="s">
        <v>376</v>
      </c>
      <c r="J16" s="111" t="s">
        <v>379</v>
      </c>
      <c r="K16" s="111" t="s">
        <v>377</v>
      </c>
      <c r="L16" s="111" t="s">
        <v>297</v>
      </c>
      <c r="M16" s="94" t="s">
        <v>297</v>
      </c>
      <c r="N16" s="94" t="s">
        <v>394</v>
      </c>
      <c r="O16" s="94" t="s">
        <v>313</v>
      </c>
      <c r="P16" s="94" t="s">
        <v>367</v>
      </c>
    </row>
    <row r="17" spans="1:16" ht="15" customHeight="1" x14ac:dyDescent="0.25">
      <c r="A17" s="94" t="s">
        <v>319</v>
      </c>
      <c r="B17" t="s">
        <v>323</v>
      </c>
      <c r="C17" s="94" t="s">
        <v>396</v>
      </c>
      <c r="D17" s="2" t="s">
        <v>379</v>
      </c>
      <c r="E17" s="94"/>
      <c r="F17" s="94" t="s">
        <v>313</v>
      </c>
      <c r="G17" s="94"/>
      <c r="H17" s="94" t="s">
        <v>367</v>
      </c>
      <c r="I17" s="111" t="s">
        <v>363</v>
      </c>
      <c r="J17" s="111" t="s">
        <v>367</v>
      </c>
      <c r="K17" s="111" t="s">
        <v>395</v>
      </c>
      <c r="L17" s="111"/>
      <c r="M17" s="94" t="s">
        <v>319</v>
      </c>
      <c r="N17" s="94" t="s">
        <v>313</v>
      </c>
      <c r="O17" s="94" t="s">
        <v>321</v>
      </c>
      <c r="P17" s="94" t="s">
        <v>324</v>
      </c>
    </row>
    <row r="18" spans="1:16" ht="15" customHeight="1" x14ac:dyDescent="0.25">
      <c r="A18" s="94"/>
      <c r="B18" t="s">
        <v>394</v>
      </c>
      <c r="C18" s="94"/>
      <c r="D18" s="94" t="s">
        <v>324</v>
      </c>
      <c r="E18" s="94"/>
      <c r="F18" s="94"/>
      <c r="G18" s="94"/>
      <c r="H18" s="94"/>
      <c r="I18" s="111"/>
      <c r="J18" s="111" t="s">
        <v>361</v>
      </c>
      <c r="K18" s="111"/>
      <c r="L18" s="111"/>
      <c r="M18" s="94"/>
      <c r="N18" s="94" t="s">
        <v>295</v>
      </c>
      <c r="O18" s="94"/>
      <c r="P18" s="94" t="s">
        <v>361</v>
      </c>
    </row>
    <row r="19" spans="1:16" ht="15" customHeight="1" x14ac:dyDescent="0.25">
      <c r="A19" s="2"/>
      <c r="B19" s="94" t="s">
        <v>313</v>
      </c>
      <c r="C19" s="94"/>
      <c r="D19" s="94" t="s">
        <v>297</v>
      </c>
      <c r="E19" s="94"/>
      <c r="F19" s="94"/>
      <c r="G19" s="94"/>
      <c r="H19" s="94"/>
      <c r="I19" s="111"/>
      <c r="J19" s="111"/>
      <c r="K19" s="111"/>
      <c r="L19" s="111"/>
      <c r="M19" s="94"/>
      <c r="N19" s="94"/>
      <c r="O19" s="94"/>
      <c r="P19" s="94" t="s">
        <v>297</v>
      </c>
    </row>
    <row r="20" spans="1:16" ht="15" customHeight="1" x14ac:dyDescent="0.25">
      <c r="A20" s="191" t="s">
        <v>384</v>
      </c>
      <c r="B20" s="191"/>
      <c r="C20" s="191" t="s">
        <v>300</v>
      </c>
      <c r="D20" s="191"/>
      <c r="E20" s="191" t="s">
        <v>352</v>
      </c>
      <c r="F20" s="191"/>
      <c r="G20" s="191" t="s">
        <v>389</v>
      </c>
      <c r="H20" s="191"/>
      <c r="I20" s="191" t="s">
        <v>325</v>
      </c>
      <c r="J20" s="191"/>
      <c r="K20" s="191" t="s">
        <v>370</v>
      </c>
      <c r="L20" s="191"/>
      <c r="M20" s="191" t="s">
        <v>314</v>
      </c>
      <c r="N20" s="191"/>
      <c r="O20" s="191" t="s">
        <v>374</v>
      </c>
      <c r="P20" s="191"/>
    </row>
    <row r="21" spans="1:16" ht="15" customHeight="1" x14ac:dyDescent="0.25">
      <c r="A21" s="94" t="s">
        <v>297</v>
      </c>
      <c r="B21" s="94" t="s">
        <v>352</v>
      </c>
      <c r="C21" s="94" t="s">
        <v>361</v>
      </c>
      <c r="D21" s="94" t="s">
        <v>352</v>
      </c>
      <c r="E21" s="111" t="s">
        <v>351</v>
      </c>
      <c r="F21" s="111" t="s">
        <v>398</v>
      </c>
      <c r="G21" s="94" t="s">
        <v>394</v>
      </c>
      <c r="H21" s="94" t="s">
        <v>399</v>
      </c>
      <c r="I21" s="111" t="s">
        <v>324</v>
      </c>
      <c r="J21" s="111" t="s">
        <v>370</v>
      </c>
      <c r="K21" s="111" t="s">
        <v>376</v>
      </c>
      <c r="L21" s="111" t="s">
        <v>300</v>
      </c>
      <c r="M21" s="94" t="s">
        <v>367</v>
      </c>
      <c r="N21" s="94" t="s">
        <v>394</v>
      </c>
      <c r="O21" s="94" t="s">
        <v>379</v>
      </c>
      <c r="P21" s="94" t="s">
        <v>370</v>
      </c>
    </row>
    <row r="22" spans="1:16" ht="15" customHeight="1" x14ac:dyDescent="0.25">
      <c r="A22" s="94" t="s">
        <v>295</v>
      </c>
      <c r="B22" s="94" t="s">
        <v>394</v>
      </c>
      <c r="C22" s="94" t="s">
        <v>397</v>
      </c>
      <c r="D22" s="94" t="s">
        <v>325</v>
      </c>
      <c r="E22" s="111"/>
      <c r="F22" s="111" t="s">
        <v>394</v>
      </c>
      <c r="G22" s="94"/>
      <c r="H22" s="94" t="s">
        <v>314</v>
      </c>
      <c r="I22" s="111"/>
      <c r="J22" s="111" t="s">
        <v>361</v>
      </c>
      <c r="K22" s="111" t="s">
        <v>377</v>
      </c>
      <c r="L22" s="111"/>
      <c r="M22" s="94" t="s">
        <v>398</v>
      </c>
      <c r="N22" s="94" t="s">
        <v>313</v>
      </c>
      <c r="O22" s="94" t="s">
        <v>313</v>
      </c>
      <c r="P22" s="94" t="s">
        <v>352</v>
      </c>
    </row>
    <row r="23" spans="1:16" ht="15" customHeight="1" x14ac:dyDescent="0.25">
      <c r="A23" s="94"/>
      <c r="B23" s="94" t="s">
        <v>367</v>
      </c>
      <c r="C23" s="94"/>
      <c r="D23" s="94" t="s">
        <v>370</v>
      </c>
      <c r="E23" s="111"/>
      <c r="F23" s="111" t="s">
        <v>314</v>
      </c>
      <c r="G23" s="94"/>
      <c r="H23" s="94" t="s">
        <v>323</v>
      </c>
      <c r="I23" s="111"/>
      <c r="J23" s="111" t="s">
        <v>300</v>
      </c>
      <c r="K23" s="111" t="s">
        <v>395</v>
      </c>
      <c r="L23" s="111"/>
      <c r="M23" s="94"/>
      <c r="N23" s="94" t="s">
        <v>297</v>
      </c>
      <c r="O23" s="94"/>
      <c r="P23" s="94" t="s">
        <v>300</v>
      </c>
    </row>
    <row r="24" spans="1:16" ht="15" customHeight="1" x14ac:dyDescent="0.25">
      <c r="A24" s="94"/>
      <c r="B24" s="94" t="s">
        <v>313</v>
      </c>
      <c r="C24" s="94"/>
      <c r="D24" s="94" t="s">
        <v>373</v>
      </c>
      <c r="E24" s="111"/>
      <c r="F24" s="111" t="s">
        <v>367</v>
      </c>
      <c r="G24" s="94"/>
      <c r="H24" s="94" t="s">
        <v>297</v>
      </c>
      <c r="I24" s="111"/>
      <c r="J24" s="111" t="s">
        <v>373</v>
      </c>
      <c r="K24" s="111"/>
      <c r="L24" s="111"/>
      <c r="M24" s="94"/>
      <c r="N24" s="94" t="s">
        <v>377</v>
      </c>
      <c r="O24" s="94"/>
      <c r="P24" s="94"/>
    </row>
    <row r="25" spans="1:16" ht="15" customHeight="1" x14ac:dyDescent="0.25">
      <c r="A25" s="191" t="s">
        <v>385</v>
      </c>
      <c r="B25" s="191"/>
      <c r="C25" s="191" t="s">
        <v>301</v>
      </c>
      <c r="D25" s="191"/>
      <c r="E25" s="191" t="s">
        <v>358</v>
      </c>
      <c r="F25" s="191"/>
      <c r="G25" s="191" t="s">
        <v>390</v>
      </c>
      <c r="H25" s="191"/>
      <c r="I25" s="191" t="s">
        <v>401</v>
      </c>
      <c r="J25" s="191"/>
      <c r="K25" s="191" t="s">
        <v>381</v>
      </c>
      <c r="L25" s="191"/>
      <c r="M25" s="191" t="s">
        <v>368</v>
      </c>
      <c r="N25" s="191"/>
      <c r="O25" s="191" t="s">
        <v>373</v>
      </c>
      <c r="P25" s="191"/>
    </row>
    <row r="26" spans="1:16" x14ac:dyDescent="0.25">
      <c r="A26" s="94" t="s">
        <v>398</v>
      </c>
      <c r="B26" s="94" t="s">
        <v>400</v>
      </c>
      <c r="C26" s="94" t="s">
        <v>300</v>
      </c>
      <c r="D26" s="94" t="s">
        <v>400</v>
      </c>
      <c r="E26" s="111" t="s">
        <v>352</v>
      </c>
      <c r="F26" s="111" t="s">
        <v>296</v>
      </c>
      <c r="G26" s="94" t="s">
        <v>394</v>
      </c>
      <c r="H26" s="94" t="s">
        <v>296</v>
      </c>
      <c r="I26" s="111" t="s">
        <v>325</v>
      </c>
      <c r="J26" s="111" t="s">
        <v>301</v>
      </c>
      <c r="K26" s="111" t="s">
        <v>370</v>
      </c>
      <c r="L26" s="111" t="s">
        <v>301</v>
      </c>
      <c r="M26" s="94" t="s">
        <v>371</v>
      </c>
      <c r="N26" s="94" t="s">
        <v>313</v>
      </c>
      <c r="O26" s="94" t="s">
        <v>379</v>
      </c>
      <c r="P26" s="94" t="s">
        <v>401</v>
      </c>
    </row>
    <row r="27" spans="1:16" x14ac:dyDescent="0.25">
      <c r="A27" s="94" t="s">
        <v>297</v>
      </c>
      <c r="B27" s="94" t="s">
        <v>394</v>
      </c>
      <c r="C27" s="94" t="s">
        <v>361</v>
      </c>
      <c r="D27" s="94" t="s">
        <v>364</v>
      </c>
      <c r="E27" s="111" t="s">
        <v>351</v>
      </c>
      <c r="F27" s="111" t="s">
        <v>368</v>
      </c>
      <c r="G27" s="94"/>
      <c r="H27" s="94" t="s">
        <v>301</v>
      </c>
      <c r="I27" s="111" t="s">
        <v>324</v>
      </c>
      <c r="J27" s="111" t="s">
        <v>300</v>
      </c>
      <c r="K27" s="111" t="s">
        <v>376</v>
      </c>
      <c r="L27" s="111" t="s">
        <v>368</v>
      </c>
      <c r="M27" s="94" t="s">
        <v>314</v>
      </c>
      <c r="N27" s="94" t="s">
        <v>400</v>
      </c>
      <c r="O27" s="94" t="s">
        <v>374</v>
      </c>
      <c r="P27" s="94" t="s">
        <v>400</v>
      </c>
    </row>
    <row r="28" spans="1:16" x14ac:dyDescent="0.25">
      <c r="A28" s="94"/>
      <c r="B28" s="94" t="s">
        <v>367</v>
      </c>
      <c r="C28" s="94" t="s">
        <v>395</v>
      </c>
      <c r="D28" s="94" t="s">
        <v>381</v>
      </c>
      <c r="E28" s="111"/>
      <c r="F28" s="111" t="s">
        <v>314</v>
      </c>
      <c r="G28" s="94"/>
      <c r="H28" s="94" t="s">
        <v>314</v>
      </c>
      <c r="I28" s="111"/>
      <c r="J28" s="111" t="s">
        <v>381</v>
      </c>
      <c r="K28" s="111" t="s">
        <v>395</v>
      </c>
      <c r="L28" s="111" t="s">
        <v>374</v>
      </c>
      <c r="M28" s="94"/>
      <c r="N28" s="94" t="s">
        <v>296</v>
      </c>
      <c r="O28" s="94"/>
      <c r="P28" s="94" t="s">
        <v>301</v>
      </c>
    </row>
    <row r="29" spans="1:16" x14ac:dyDescent="0.25">
      <c r="C29" s="94"/>
      <c r="D29" s="94" t="s">
        <v>374</v>
      </c>
      <c r="E29" s="111"/>
      <c r="F29" s="111" t="s">
        <v>297</v>
      </c>
      <c r="G29" s="94"/>
      <c r="H29" s="94" t="s">
        <v>374</v>
      </c>
      <c r="I29" s="111"/>
      <c r="J29" s="111" t="s">
        <v>374</v>
      </c>
      <c r="K29" s="111"/>
      <c r="L29" s="111"/>
      <c r="M29" s="94"/>
      <c r="N29" s="94" t="s">
        <v>324</v>
      </c>
      <c r="O29" s="94"/>
      <c r="P29" s="94" t="s">
        <v>324</v>
      </c>
    </row>
    <row r="30" spans="1:16" x14ac:dyDescent="0.25">
      <c r="A30" s="191" t="s">
        <v>386</v>
      </c>
      <c r="B30" s="191"/>
      <c r="C30" s="191" t="s">
        <v>302</v>
      </c>
      <c r="D30" s="191"/>
      <c r="E30" s="191" t="s">
        <v>306</v>
      </c>
      <c r="F30" s="191"/>
      <c r="G30" s="191" t="s">
        <v>391</v>
      </c>
      <c r="H30" s="191"/>
      <c r="I30" s="191" t="s">
        <v>365</v>
      </c>
      <c r="J30" s="191"/>
      <c r="K30" s="191" t="s">
        <v>393</v>
      </c>
      <c r="L30" s="191"/>
      <c r="M30" s="191" t="s">
        <v>369</v>
      </c>
      <c r="N30" s="191"/>
      <c r="O30" s="191" t="s">
        <v>375</v>
      </c>
      <c r="P30" s="191"/>
    </row>
    <row r="31" spans="1:16" x14ac:dyDescent="0.25">
      <c r="A31" s="94" t="s">
        <v>296</v>
      </c>
      <c r="B31" s="94" t="s">
        <v>379</v>
      </c>
      <c r="C31" s="94" t="s">
        <v>301</v>
      </c>
      <c r="D31" s="94" t="s">
        <v>393</v>
      </c>
      <c r="E31" s="111" t="s">
        <v>400</v>
      </c>
      <c r="F31" s="111" t="s">
        <v>322</v>
      </c>
      <c r="G31" s="94" t="s">
        <v>394</v>
      </c>
      <c r="H31" s="94" t="s">
        <v>322</v>
      </c>
      <c r="I31" s="111" t="s">
        <v>401</v>
      </c>
      <c r="J31" s="111" t="s">
        <v>302</v>
      </c>
      <c r="K31" s="111" t="s">
        <v>381</v>
      </c>
      <c r="L31" s="111" t="s">
        <v>302</v>
      </c>
      <c r="M31" s="94" t="s">
        <v>368</v>
      </c>
      <c r="N31" s="94" t="s">
        <v>399</v>
      </c>
      <c r="O31" s="94" t="s">
        <v>373</v>
      </c>
      <c r="P31" s="94" t="s">
        <v>365</v>
      </c>
    </row>
    <row r="32" spans="1:16" x14ac:dyDescent="0.25">
      <c r="A32" s="94" t="s">
        <v>398</v>
      </c>
      <c r="B32" s="94" t="s">
        <v>368</v>
      </c>
      <c r="C32" s="94" t="s">
        <v>300</v>
      </c>
      <c r="D32" s="94" t="s">
        <v>365</v>
      </c>
      <c r="E32" s="111"/>
      <c r="F32" s="111" t="s">
        <v>365</v>
      </c>
      <c r="G32" s="94"/>
      <c r="H32" s="94" t="s">
        <v>401</v>
      </c>
      <c r="I32" s="111" t="s">
        <v>325</v>
      </c>
      <c r="J32" s="111" t="s">
        <v>306</v>
      </c>
      <c r="K32" s="111" t="s">
        <v>370</v>
      </c>
      <c r="L32" s="111" t="s">
        <v>394</v>
      </c>
      <c r="M32" s="94" t="s">
        <v>314</v>
      </c>
      <c r="N32" s="94" t="s">
        <v>313</v>
      </c>
      <c r="O32" s="94" t="s">
        <v>374</v>
      </c>
      <c r="P32" s="94" t="s">
        <v>401</v>
      </c>
    </row>
    <row r="33" spans="1:31" x14ac:dyDescent="0.25">
      <c r="A33" s="94"/>
      <c r="B33" s="94" t="s">
        <v>314</v>
      </c>
      <c r="C33" s="94"/>
      <c r="D33" s="94" t="s">
        <v>306</v>
      </c>
      <c r="E33" s="111"/>
      <c r="F33" s="111" t="s">
        <v>314</v>
      </c>
      <c r="G33" s="94"/>
      <c r="H33" s="94" t="s">
        <v>314</v>
      </c>
      <c r="I33" s="111" t="s">
        <v>324</v>
      </c>
      <c r="J33" s="111" t="s">
        <v>394</v>
      </c>
      <c r="K33" s="111" t="s">
        <v>376</v>
      </c>
      <c r="L33" s="111" t="s">
        <v>375</v>
      </c>
      <c r="M33" s="94"/>
      <c r="N33" s="94" t="s">
        <v>306</v>
      </c>
      <c r="O33" s="94"/>
      <c r="P33" s="94" t="s">
        <v>302</v>
      </c>
    </row>
    <row r="34" spans="1:31" x14ac:dyDescent="0.25">
      <c r="B34" s="94" t="s">
        <v>393</v>
      </c>
      <c r="C34" s="94"/>
      <c r="D34" t="s">
        <v>370</v>
      </c>
      <c r="E34" s="111"/>
      <c r="F34" s="111" t="s">
        <v>401</v>
      </c>
      <c r="H34" t="s">
        <v>325</v>
      </c>
      <c r="I34" s="111"/>
      <c r="J34" s="111" t="s">
        <v>375</v>
      </c>
      <c r="K34" s="111"/>
      <c r="L34" s="111" t="s">
        <v>300</v>
      </c>
      <c r="N34" t="s">
        <v>365</v>
      </c>
      <c r="P34" t="s">
        <v>393</v>
      </c>
    </row>
    <row r="35" spans="1:31" s="111" customFormat="1" x14ac:dyDescent="0.25">
      <c r="A35" s="191" t="s">
        <v>387</v>
      </c>
      <c r="B35" s="191"/>
      <c r="C35" s="191" t="s">
        <v>303</v>
      </c>
      <c r="D35" s="191"/>
      <c r="E35" s="191" t="s">
        <v>359</v>
      </c>
      <c r="F35" s="191"/>
      <c r="G35" s="191" t="s">
        <v>392</v>
      </c>
      <c r="H35" s="191"/>
      <c r="I35" s="191" t="s">
        <v>366</v>
      </c>
      <c r="J35" s="191"/>
      <c r="K35" s="191" t="s">
        <v>378</v>
      </c>
      <c r="L35" s="191"/>
      <c r="M35" s="191" t="s">
        <v>315</v>
      </c>
      <c r="N35" s="191"/>
      <c r="O35" s="191" t="s">
        <v>372</v>
      </c>
      <c r="P35" s="191"/>
    </row>
    <row r="36" spans="1:31" s="111" customFormat="1" x14ac:dyDescent="0.25">
      <c r="A36" s="111" t="s">
        <v>322</v>
      </c>
      <c r="B36" s="111" t="s">
        <v>411</v>
      </c>
      <c r="C36" s="111" t="s">
        <v>302</v>
      </c>
      <c r="D36" s="111" t="s">
        <v>378</v>
      </c>
      <c r="E36" s="111" t="s">
        <v>306</v>
      </c>
      <c r="F36" s="111" t="s">
        <v>298</v>
      </c>
      <c r="G36" s="111" t="s">
        <v>394</v>
      </c>
      <c r="H36" s="111" t="s">
        <v>298</v>
      </c>
      <c r="I36" s="111" t="s">
        <v>401</v>
      </c>
      <c r="J36" s="111" t="s">
        <v>412</v>
      </c>
    </row>
    <row r="37" spans="1:31" x14ac:dyDescent="0.25">
      <c r="A37" s="111" t="s">
        <v>296</v>
      </c>
      <c r="B37" s="111" t="s">
        <v>394</v>
      </c>
      <c r="C37" s="111" t="s">
        <v>301</v>
      </c>
      <c r="D37" s="111" t="s">
        <v>366</v>
      </c>
      <c r="E37" s="111" t="s">
        <v>400</v>
      </c>
      <c r="F37" s="111" t="s">
        <v>366</v>
      </c>
      <c r="G37" s="111"/>
      <c r="H37" s="111" t="s">
        <v>378</v>
      </c>
      <c r="I37" s="111" t="s">
        <v>365</v>
      </c>
      <c r="J37" s="111" t="s">
        <v>378</v>
      </c>
      <c r="K37" s="111"/>
      <c r="L37" s="111"/>
      <c r="M37" s="111"/>
      <c r="N37" s="111"/>
      <c r="O37" s="111"/>
      <c r="P37" s="111"/>
    </row>
    <row r="38" spans="1:31" x14ac:dyDescent="0.25">
      <c r="A38" s="111"/>
      <c r="B38" s="111" t="s">
        <v>315</v>
      </c>
      <c r="C38" s="111"/>
      <c r="D38" s="111" t="s">
        <v>315</v>
      </c>
      <c r="E38" s="111"/>
      <c r="F38" s="111" t="s">
        <v>372</v>
      </c>
      <c r="G38" s="111"/>
      <c r="H38" s="111" t="s">
        <v>315</v>
      </c>
      <c r="I38" s="111"/>
      <c r="J38" s="111" t="s">
        <v>372</v>
      </c>
      <c r="K38" s="111"/>
      <c r="L38" s="111"/>
      <c r="M38" s="111"/>
      <c r="N38" s="111"/>
      <c r="O38" s="111"/>
      <c r="P38" s="111"/>
    </row>
    <row r="39" spans="1:31" x14ac:dyDescent="0.25">
      <c r="A39" s="111"/>
      <c r="B39" s="111" t="s">
        <v>372</v>
      </c>
      <c r="C39" s="111"/>
      <c r="D39" s="111" t="s">
        <v>372</v>
      </c>
      <c r="E39" s="111"/>
      <c r="F39" s="111" t="s">
        <v>378</v>
      </c>
      <c r="G39" s="111"/>
      <c r="H39" s="111" t="s">
        <v>372</v>
      </c>
      <c r="I39" s="111"/>
      <c r="J39" s="111" t="s">
        <v>302</v>
      </c>
      <c r="K39" s="111"/>
      <c r="L39" s="111"/>
      <c r="M39" s="111"/>
      <c r="N39" s="111"/>
      <c r="O39" s="111"/>
      <c r="P39" s="111"/>
    </row>
    <row r="40" spans="1:31" x14ac:dyDescent="0.25">
      <c r="A40" s="114"/>
      <c r="B40" s="114" t="s">
        <v>295</v>
      </c>
      <c r="C40" s="114"/>
      <c r="D40" s="114"/>
      <c r="E40" s="114"/>
      <c r="F40" s="114"/>
      <c r="G40" s="114"/>
      <c r="H40" s="114"/>
      <c r="I40" s="114"/>
      <c r="J40" s="114"/>
      <c r="K40" s="114"/>
      <c r="L40" s="114"/>
      <c r="M40" s="114"/>
      <c r="N40" s="114"/>
      <c r="O40" s="114"/>
      <c r="P40" s="114"/>
      <c r="Q40" s="114"/>
      <c r="R40" s="114"/>
      <c r="S40" s="114"/>
      <c r="T40" s="114"/>
      <c r="U40" s="114"/>
      <c r="V40" s="114"/>
      <c r="W40" s="114"/>
      <c r="X40" s="84"/>
      <c r="Y40" s="84"/>
      <c r="Z40" s="84"/>
      <c r="AA40" s="84"/>
      <c r="AB40" s="84"/>
      <c r="AC40" s="84"/>
      <c r="AD40" s="84"/>
      <c r="AE40" s="84"/>
    </row>
    <row r="41" spans="1:31" x14ac:dyDescent="0.25">
      <c r="A41" s="114" t="s">
        <v>255</v>
      </c>
      <c r="B41" s="114"/>
      <c r="C41" s="114">
        <v>0</v>
      </c>
      <c r="D41" s="114"/>
      <c r="E41" s="114"/>
      <c r="F41" s="114"/>
      <c r="G41" s="114"/>
      <c r="H41" s="114"/>
      <c r="I41" s="114"/>
      <c r="J41" s="114"/>
      <c r="K41" s="114"/>
      <c r="L41" s="114"/>
      <c r="M41" s="114"/>
      <c r="N41" s="114"/>
      <c r="O41" s="114"/>
      <c r="P41" s="114"/>
      <c r="Q41" s="114"/>
      <c r="R41" s="114"/>
      <c r="S41" s="114"/>
      <c r="T41" s="114"/>
      <c r="U41" s="114"/>
      <c r="V41" s="114"/>
      <c r="W41" s="114"/>
      <c r="X41" s="84"/>
      <c r="Y41" s="84"/>
      <c r="Z41" s="84"/>
      <c r="AA41" s="84"/>
      <c r="AB41" s="84"/>
      <c r="AC41" s="84"/>
      <c r="AD41" s="84"/>
      <c r="AE41" s="84"/>
    </row>
    <row r="42" spans="1:31" x14ac:dyDescent="0.25">
      <c r="A42" s="95"/>
      <c r="B42" s="95" t="s">
        <v>200</v>
      </c>
      <c r="C42" s="98" t="s">
        <v>199</v>
      </c>
      <c r="D42" s="102" t="s">
        <v>148</v>
      </c>
      <c r="E42" s="102" t="s">
        <v>326</v>
      </c>
      <c r="F42" s="98" t="s">
        <v>200</v>
      </c>
      <c r="G42" s="102" t="s">
        <v>331</v>
      </c>
      <c r="H42" s="102" t="s">
        <v>148</v>
      </c>
      <c r="I42" s="102" t="s">
        <v>327</v>
      </c>
      <c r="J42" s="98" t="s">
        <v>200</v>
      </c>
      <c r="K42" s="102" t="s">
        <v>331</v>
      </c>
      <c r="L42" s="102" t="s">
        <v>148</v>
      </c>
      <c r="M42" s="102" t="s">
        <v>328</v>
      </c>
      <c r="N42" s="98" t="s">
        <v>200</v>
      </c>
      <c r="O42" s="102" t="s">
        <v>331</v>
      </c>
      <c r="P42" s="102" t="s">
        <v>148</v>
      </c>
      <c r="Q42" s="102" t="s">
        <v>329</v>
      </c>
      <c r="R42" s="98" t="s">
        <v>200</v>
      </c>
      <c r="S42" s="102" t="s">
        <v>331</v>
      </c>
      <c r="T42" s="102" t="s">
        <v>148</v>
      </c>
      <c r="U42" s="102" t="s">
        <v>330</v>
      </c>
      <c r="V42" s="98" t="s">
        <v>200</v>
      </c>
      <c r="W42" s="102" t="s">
        <v>331</v>
      </c>
      <c r="X42" s="102" t="s">
        <v>148</v>
      </c>
      <c r="Y42" s="102" t="s">
        <v>413</v>
      </c>
      <c r="Z42" s="98" t="s">
        <v>200</v>
      </c>
      <c r="AA42" s="102" t="s">
        <v>331</v>
      </c>
      <c r="AB42" s="102" t="s">
        <v>148</v>
      </c>
      <c r="AC42" s="102" t="s">
        <v>414</v>
      </c>
      <c r="AD42" s="98" t="s">
        <v>200</v>
      </c>
      <c r="AE42" s="102" t="s">
        <v>331</v>
      </c>
    </row>
    <row r="43" spans="1:31" x14ac:dyDescent="0.25">
      <c r="A43" s="101" t="s">
        <v>425</v>
      </c>
      <c r="B43" s="101"/>
      <c r="C43" s="96" t="e">
        <f>((D43*G43)+(K43*H43)+(O43*L43)+(S43*P43)+(W43*T43)+(X43*AA43)+(AB43*AE43))</f>
        <v>#NAME?</v>
      </c>
      <c r="D43" s="99">
        <v>16</v>
      </c>
      <c r="E43" s="100">
        <v>17</v>
      </c>
      <c r="F43" s="59" t="e">
        <f t="shared" ref="F43" si="0">VLOOKUP(E43,LISTAITEMS,2,FALSE)</f>
        <v>#NAME?</v>
      </c>
      <c r="G43" s="97" t="e">
        <f>VLOOKUP(E43,LISTAITEMS,5,FALSE)</f>
        <v>#NAME?</v>
      </c>
      <c r="H43" s="99">
        <v>32</v>
      </c>
      <c r="I43" s="100">
        <v>37</v>
      </c>
      <c r="J43" s="59" t="e">
        <f t="shared" ref="J43" si="1">VLOOKUP(I43,LISTAITEMS,2,FALSE)</f>
        <v>#NAME?</v>
      </c>
      <c r="K43" s="97" t="e">
        <f t="shared" ref="K43" si="2">VLOOKUP(I43,LISTAITEMS,5,FALSE)</f>
        <v>#NAME?</v>
      </c>
      <c r="L43" s="99">
        <v>0</v>
      </c>
      <c r="M43" s="100" t="s">
        <v>255</v>
      </c>
      <c r="N43" s="59" t="e">
        <f t="shared" ref="N43" si="3">VLOOKUP(M43,LISTAITEMS,2,FALSE)</f>
        <v>#NAME?</v>
      </c>
      <c r="O43" s="97" t="e">
        <f>VLOOKUP(M43,LISTAITEMS,5,FALSE)</f>
        <v>#NAME?</v>
      </c>
      <c r="P43" s="99">
        <v>0</v>
      </c>
      <c r="Q43" s="100" t="s">
        <v>255</v>
      </c>
      <c r="R43" s="59" t="e">
        <f t="shared" ref="R43" si="4">VLOOKUP(Q43,LISTAITEMS,2,FALSE)</f>
        <v>#NAME?</v>
      </c>
      <c r="S43" s="97" t="e">
        <f>VLOOKUP(Q43,LISTAITEMS,5,FALSE)</f>
        <v>#NAME?</v>
      </c>
      <c r="T43" s="99">
        <v>0</v>
      </c>
      <c r="U43" s="100" t="s">
        <v>255</v>
      </c>
      <c r="V43" s="59" t="e">
        <f t="shared" ref="V43" si="5">VLOOKUP(U43,LISTAITEMS,2,FALSE)</f>
        <v>#NAME?</v>
      </c>
      <c r="W43" s="97" t="e">
        <f>VLOOKUP(U43,LISTAITEMS,5,FALSE)</f>
        <v>#NAME?</v>
      </c>
      <c r="X43" s="99">
        <v>0</v>
      </c>
      <c r="Y43" s="100" t="s">
        <v>255</v>
      </c>
      <c r="Z43" s="59" t="e">
        <f t="shared" ref="Z43" si="6">VLOOKUP(Y43,LISTAITEMS,2,FALSE)</f>
        <v>#NAME?</v>
      </c>
      <c r="AA43" s="97" t="e">
        <f>VLOOKUP(Y43,LISTAITEMS,5,FALSE)</f>
        <v>#NAME?</v>
      </c>
      <c r="AB43" s="99">
        <v>0</v>
      </c>
      <c r="AC43" s="100" t="s">
        <v>255</v>
      </c>
      <c r="AD43" s="59" t="e">
        <f t="shared" ref="AD43" si="7">VLOOKUP(AC43,LISTAITEMS,2,FALSE)</f>
        <v>#NAME?</v>
      </c>
      <c r="AE43" s="97" t="e">
        <f>VLOOKUP(AC43,LISTAITEMS,5,FALSE)</f>
        <v>#NAME?</v>
      </c>
    </row>
    <row r="44" spans="1:31" s="116" customFormat="1" x14ac:dyDescent="0.25">
      <c r="A44" s="114"/>
      <c r="B44" s="114" t="s">
        <v>297</v>
      </c>
      <c r="C44" s="114"/>
      <c r="D44" s="114"/>
      <c r="E44" s="114"/>
      <c r="F44" s="114"/>
      <c r="G44" s="114"/>
      <c r="H44" s="114"/>
      <c r="I44" s="114"/>
      <c r="J44" s="114"/>
      <c r="K44" s="114"/>
      <c r="L44" s="114"/>
      <c r="M44" s="114"/>
      <c r="N44" s="114"/>
      <c r="O44" s="114"/>
      <c r="P44" s="114"/>
      <c r="Q44" s="114"/>
      <c r="R44" s="114"/>
      <c r="S44" s="114"/>
      <c r="T44" s="114"/>
      <c r="U44" s="114"/>
      <c r="V44" s="114"/>
      <c r="W44" s="114"/>
      <c r="X44" s="84"/>
      <c r="Y44" s="84"/>
      <c r="Z44" s="84"/>
      <c r="AA44" s="84"/>
      <c r="AB44" s="84"/>
      <c r="AC44" s="84"/>
      <c r="AD44" s="84"/>
      <c r="AE44" s="84"/>
    </row>
    <row r="45" spans="1:31" s="116" customFormat="1" x14ac:dyDescent="0.25">
      <c r="A45" s="95"/>
      <c r="B45" s="95" t="s">
        <v>200</v>
      </c>
      <c r="C45" s="98" t="s">
        <v>199</v>
      </c>
      <c r="D45" s="102" t="s">
        <v>148</v>
      </c>
      <c r="E45" s="102" t="s">
        <v>326</v>
      </c>
      <c r="F45" s="98" t="s">
        <v>200</v>
      </c>
      <c r="G45" s="102" t="s">
        <v>331</v>
      </c>
      <c r="H45" s="102" t="s">
        <v>148</v>
      </c>
      <c r="I45" s="102" t="s">
        <v>327</v>
      </c>
      <c r="J45" s="98" t="s">
        <v>200</v>
      </c>
      <c r="K45" s="102" t="s">
        <v>331</v>
      </c>
      <c r="L45" s="102" t="s">
        <v>148</v>
      </c>
      <c r="M45" s="102" t="s">
        <v>328</v>
      </c>
      <c r="N45" s="98" t="s">
        <v>200</v>
      </c>
      <c r="O45" s="102" t="s">
        <v>331</v>
      </c>
      <c r="P45" s="102" t="s">
        <v>148</v>
      </c>
      <c r="Q45" s="102" t="s">
        <v>329</v>
      </c>
      <c r="R45" s="98" t="s">
        <v>200</v>
      </c>
      <c r="S45" s="102" t="s">
        <v>331</v>
      </c>
      <c r="T45" s="102" t="s">
        <v>148</v>
      </c>
      <c r="U45" s="102" t="s">
        <v>330</v>
      </c>
      <c r="V45" s="98" t="s">
        <v>200</v>
      </c>
      <c r="W45" s="102" t="s">
        <v>331</v>
      </c>
      <c r="X45" s="102" t="s">
        <v>148</v>
      </c>
      <c r="Y45" s="102" t="s">
        <v>413</v>
      </c>
      <c r="Z45" s="98" t="s">
        <v>200</v>
      </c>
      <c r="AA45" s="102" t="s">
        <v>331</v>
      </c>
      <c r="AB45" s="102" t="s">
        <v>148</v>
      </c>
      <c r="AC45" s="102" t="s">
        <v>414</v>
      </c>
      <c r="AD45" s="98" t="s">
        <v>200</v>
      </c>
      <c r="AE45" s="102" t="s">
        <v>331</v>
      </c>
    </row>
    <row r="46" spans="1:31" s="116" customFormat="1" x14ac:dyDescent="0.25">
      <c r="A46" s="101" t="s">
        <v>433</v>
      </c>
      <c r="B46" s="101"/>
      <c r="C46" s="96" t="e">
        <f t="shared" ref="C46" si="8">((D46*G46)+(K46*H46)+(O46*L46)+(S46*P46)+(W46*T46)+(X46*AA46)+(AB46*AE46))</f>
        <v>#NAME?</v>
      </c>
      <c r="D46" s="99">
        <v>1</v>
      </c>
      <c r="E46" s="100" t="s">
        <v>425</v>
      </c>
      <c r="F46" s="59" t="str">
        <f>E46</f>
        <v>Emplasto Astilloso</v>
      </c>
      <c r="G46" s="97" t="e">
        <f t="shared" ref="G46" si="9">VLOOKUP(E46,craftedesp,3,FALSE)</f>
        <v>#NAME?</v>
      </c>
      <c r="H46" s="99">
        <v>16</v>
      </c>
      <c r="I46" s="100">
        <v>17</v>
      </c>
      <c r="J46" s="59" t="e">
        <f t="shared" ref="J46" si="10">VLOOKUP(I46,LISTAITEMS,2,FALSE)</f>
        <v>#NAME?</v>
      </c>
      <c r="K46" s="97" t="e">
        <f>VLOOKUP(I46,LISTAITEMS,5,FALSE)</f>
        <v>#NAME?</v>
      </c>
      <c r="L46" s="99">
        <v>0</v>
      </c>
      <c r="M46" s="100" t="s">
        <v>255</v>
      </c>
      <c r="N46" s="59" t="e">
        <f t="shared" ref="N46" si="11">VLOOKUP(M46,LISTAITEMS,2,FALSE)</f>
        <v>#NAME?</v>
      </c>
      <c r="O46" s="97" t="e">
        <f t="shared" ref="O46" si="12">VLOOKUP(M46,LISTAITEMS,5,FALSE)</f>
        <v>#NAME?</v>
      </c>
      <c r="P46" s="99">
        <v>0</v>
      </c>
      <c r="Q46" s="100" t="s">
        <v>255</v>
      </c>
      <c r="R46" s="59" t="e">
        <f t="shared" ref="R46" si="13">VLOOKUP(Q46,LISTAITEMS,2,FALSE)</f>
        <v>#NAME?</v>
      </c>
      <c r="S46" s="97" t="e">
        <f t="shared" ref="S46" si="14">VLOOKUP(Q46,LISTAITEMS,5,FALSE)</f>
        <v>#NAME?</v>
      </c>
      <c r="T46" s="99">
        <v>0</v>
      </c>
      <c r="U46" s="100" t="s">
        <v>255</v>
      </c>
      <c r="V46" s="59" t="e">
        <f t="shared" ref="V46" si="15">VLOOKUP(U46,LISTAITEMS,2,FALSE)</f>
        <v>#NAME?</v>
      </c>
      <c r="W46" s="97" t="e">
        <f t="shared" ref="W46" si="16">VLOOKUP(U46,LISTAITEMS,5,FALSE)</f>
        <v>#NAME?</v>
      </c>
      <c r="X46" s="99">
        <v>0</v>
      </c>
      <c r="Y46" s="100" t="s">
        <v>255</v>
      </c>
      <c r="Z46" s="59" t="e">
        <f t="shared" ref="Z46" si="17">VLOOKUP(Y46,LISTAITEMS,2,FALSE)</f>
        <v>#NAME?</v>
      </c>
      <c r="AA46" s="97" t="e">
        <f t="shared" ref="AA46" si="18">VLOOKUP(Y46,LISTAITEMS,5,FALSE)</f>
        <v>#NAME?</v>
      </c>
      <c r="AB46" s="99">
        <v>0</v>
      </c>
      <c r="AC46" s="100" t="s">
        <v>255</v>
      </c>
      <c r="AD46" s="59" t="e">
        <f t="shared" ref="AD46" si="19">VLOOKUP(AC46,LISTAITEMS,2,FALSE)</f>
        <v>#NAME?</v>
      </c>
      <c r="AE46" s="97" t="e">
        <f t="shared" ref="AE46" si="20">VLOOKUP(AC46,LISTAITEMS,5,FALSE)</f>
        <v>#NAME?</v>
      </c>
    </row>
    <row r="47" spans="1:31" s="94" customFormat="1" x14ac:dyDescent="0.25">
      <c r="A47"/>
      <c r="B47"/>
      <c r="C47"/>
      <c r="D47"/>
      <c r="E47"/>
      <c r="F47"/>
      <c r="G47"/>
      <c r="H47"/>
      <c r="I47"/>
      <c r="J47"/>
      <c r="K47"/>
      <c r="L47"/>
      <c r="M47"/>
      <c r="N47"/>
      <c r="O47"/>
      <c r="P47"/>
      <c r="Q47"/>
      <c r="R47"/>
      <c r="S47"/>
      <c r="T47"/>
      <c r="U47"/>
      <c r="V47"/>
      <c r="W47"/>
    </row>
    <row r="48" spans="1:31" s="112" customFormat="1" x14ac:dyDescent="0.25">
      <c r="A48" s="114"/>
      <c r="B48" s="114" t="s">
        <v>299</v>
      </c>
      <c r="C48" s="114"/>
      <c r="D48" s="114"/>
      <c r="E48" s="114"/>
      <c r="F48" s="114"/>
      <c r="G48" s="114"/>
      <c r="H48" s="114"/>
      <c r="I48" s="114"/>
      <c r="J48" s="114"/>
      <c r="K48" s="114"/>
      <c r="L48" s="114"/>
      <c r="M48" s="114"/>
      <c r="N48" s="114"/>
      <c r="O48" s="114"/>
      <c r="P48" s="114"/>
      <c r="Q48" s="114"/>
      <c r="R48" s="114"/>
      <c r="S48" s="114"/>
      <c r="T48" s="114"/>
      <c r="U48" s="114"/>
      <c r="V48" s="114"/>
      <c r="W48" s="114"/>
      <c r="X48" s="84"/>
      <c r="Y48" s="84"/>
      <c r="Z48" s="84"/>
      <c r="AA48" s="84"/>
      <c r="AB48" s="84"/>
      <c r="AC48" s="84"/>
      <c r="AD48" s="84"/>
      <c r="AE48" s="84"/>
    </row>
    <row r="49" spans="1:31" s="112" customFormat="1" x14ac:dyDescent="0.25">
      <c r="A49" s="95"/>
      <c r="B49" s="95" t="s">
        <v>200</v>
      </c>
      <c r="C49" s="98" t="s">
        <v>199</v>
      </c>
      <c r="D49" s="102" t="s">
        <v>148</v>
      </c>
      <c r="E49" s="102" t="s">
        <v>326</v>
      </c>
      <c r="F49" s="98" t="s">
        <v>200</v>
      </c>
      <c r="G49" s="102" t="s">
        <v>331</v>
      </c>
      <c r="H49" s="102" t="s">
        <v>148</v>
      </c>
      <c r="I49" s="102" t="s">
        <v>327</v>
      </c>
      <c r="J49" s="98" t="s">
        <v>200</v>
      </c>
      <c r="K49" s="102" t="s">
        <v>331</v>
      </c>
      <c r="L49" s="102" t="s">
        <v>148</v>
      </c>
      <c r="M49" s="102" t="s">
        <v>328</v>
      </c>
      <c r="N49" s="98" t="s">
        <v>200</v>
      </c>
      <c r="O49" s="102" t="s">
        <v>331</v>
      </c>
      <c r="P49" s="102" t="s">
        <v>148</v>
      </c>
      <c r="Q49" s="102" t="s">
        <v>329</v>
      </c>
      <c r="R49" s="98" t="s">
        <v>200</v>
      </c>
      <c r="S49" s="102" t="s">
        <v>331</v>
      </c>
      <c r="T49" s="102" t="s">
        <v>148</v>
      </c>
      <c r="U49" s="102" t="s">
        <v>330</v>
      </c>
      <c r="V49" s="98" t="s">
        <v>200</v>
      </c>
      <c r="W49" s="102" t="s">
        <v>331</v>
      </c>
      <c r="X49" s="102" t="s">
        <v>148</v>
      </c>
      <c r="Y49" s="102" t="s">
        <v>413</v>
      </c>
      <c r="Z49" s="98" t="s">
        <v>200</v>
      </c>
      <c r="AA49" s="102" t="s">
        <v>331</v>
      </c>
      <c r="AB49" s="102" t="s">
        <v>148</v>
      </c>
      <c r="AC49" s="102" t="s">
        <v>414</v>
      </c>
      <c r="AD49" s="98" t="s">
        <v>200</v>
      </c>
      <c r="AE49" s="102" t="s">
        <v>331</v>
      </c>
    </row>
    <row r="50" spans="1:31" s="112" customFormat="1" x14ac:dyDescent="0.25">
      <c r="A50" s="101" t="s">
        <v>424</v>
      </c>
      <c r="B50" s="101"/>
      <c r="C50" s="96" t="e">
        <f t="shared" ref="C50" si="21">((D50*G50)+(K50*H50)+(O50*L50)+(S50*P50)+(W50*T50)+(X50*AA50)+(AB50*AE50))</f>
        <v>#NAME?</v>
      </c>
      <c r="D50" s="99">
        <v>14</v>
      </c>
      <c r="E50" s="100">
        <v>377</v>
      </c>
      <c r="F50" s="59" t="e">
        <f t="shared" ref="F50" si="22">VLOOKUP(E50,LISTAITEMS,2,FALSE)</f>
        <v>#NAME?</v>
      </c>
      <c r="G50" s="97" t="e">
        <f t="shared" ref="G50" si="23">VLOOKUP(E50,LISTAITEMS,5,FALSE)</f>
        <v>#NAME?</v>
      </c>
      <c r="H50" s="99">
        <v>1</v>
      </c>
      <c r="I50" s="100" t="s">
        <v>420</v>
      </c>
      <c r="J50" s="59" t="str">
        <f>I50</f>
        <v>Ppl Astillado</v>
      </c>
      <c r="K50" s="97" t="e">
        <f t="shared" ref="K50" si="24">VLOOKUP(I50,craftedesp,3,FALSE)</f>
        <v>#NAME?</v>
      </c>
      <c r="L50" s="99">
        <v>0</v>
      </c>
      <c r="M50" s="100" t="s">
        <v>255</v>
      </c>
      <c r="N50" s="59" t="e">
        <f t="shared" ref="N50" si="25">VLOOKUP(M50,LISTAITEMS,2,FALSE)</f>
        <v>#NAME?</v>
      </c>
      <c r="O50" s="97" t="e">
        <f t="shared" ref="O50" si="26">VLOOKUP(M50,LISTAITEMS,5,FALSE)</f>
        <v>#NAME?</v>
      </c>
      <c r="P50" s="99">
        <v>0</v>
      </c>
      <c r="Q50" s="100" t="s">
        <v>255</v>
      </c>
      <c r="R50" s="59" t="e">
        <f t="shared" ref="R50" si="27">VLOOKUP(Q50,LISTAITEMS,2,FALSE)</f>
        <v>#NAME?</v>
      </c>
      <c r="S50" s="97" t="e">
        <f t="shared" ref="S50" si="28">VLOOKUP(Q50,LISTAITEMS,5,FALSE)</f>
        <v>#NAME?</v>
      </c>
      <c r="T50" s="99">
        <v>0</v>
      </c>
      <c r="U50" s="100" t="s">
        <v>255</v>
      </c>
      <c r="V50" s="59" t="e">
        <f t="shared" ref="V50" si="29">VLOOKUP(U50,LISTAITEMS,2,FALSE)</f>
        <v>#NAME?</v>
      </c>
      <c r="W50" s="97" t="e">
        <f t="shared" ref="W50" si="30">VLOOKUP(U50,LISTAITEMS,5,FALSE)</f>
        <v>#NAME?</v>
      </c>
      <c r="X50" s="99">
        <v>0</v>
      </c>
      <c r="Y50" s="100" t="s">
        <v>255</v>
      </c>
      <c r="Z50" s="59" t="e">
        <f t="shared" ref="Z50" si="31">VLOOKUP(Y50,LISTAITEMS,2,FALSE)</f>
        <v>#NAME?</v>
      </c>
      <c r="AA50" s="97" t="e">
        <f t="shared" ref="AA50" si="32">VLOOKUP(Y50,LISTAITEMS,5,FALSE)</f>
        <v>#NAME?</v>
      </c>
      <c r="AB50" s="99">
        <v>0</v>
      </c>
      <c r="AC50" s="100" t="s">
        <v>255</v>
      </c>
      <c r="AD50" s="59" t="e">
        <f t="shared" ref="AD50" si="33">VLOOKUP(AC50,LISTAITEMS,2,FALSE)</f>
        <v>#NAME?</v>
      </c>
      <c r="AE50" s="97" t="e">
        <f t="shared" ref="AE50" si="34">VLOOKUP(AC50,LISTAITEMS,5,FALSE)</f>
        <v>#NAME?</v>
      </c>
    </row>
    <row r="52" spans="1:31" s="112" customFormat="1" x14ac:dyDescent="0.25">
      <c r="A52" s="114"/>
      <c r="B52" s="114" t="s">
        <v>371</v>
      </c>
      <c r="C52" s="114"/>
      <c r="D52" s="114"/>
      <c r="E52" s="114"/>
      <c r="F52" s="114"/>
      <c r="G52" s="114"/>
      <c r="H52" s="114"/>
      <c r="I52" s="114"/>
      <c r="J52" s="114"/>
      <c r="K52" s="114"/>
      <c r="L52" s="114"/>
      <c r="M52" s="114"/>
      <c r="N52" s="114"/>
      <c r="O52" s="114"/>
      <c r="P52" s="114"/>
      <c r="Q52" s="114"/>
      <c r="R52" s="114"/>
      <c r="S52" s="114"/>
      <c r="T52" s="114"/>
      <c r="U52" s="114"/>
      <c r="V52" s="114"/>
      <c r="W52" s="114"/>
      <c r="X52" s="84"/>
      <c r="Y52" s="84"/>
      <c r="Z52" s="84"/>
      <c r="AA52" s="84"/>
      <c r="AB52" s="84"/>
      <c r="AC52" s="84"/>
      <c r="AD52" s="84"/>
      <c r="AE52" s="84"/>
    </row>
    <row r="53" spans="1:31" s="112" customFormat="1" x14ac:dyDescent="0.25">
      <c r="A53" s="95"/>
      <c r="B53" s="95" t="s">
        <v>200</v>
      </c>
      <c r="C53" s="98" t="s">
        <v>199</v>
      </c>
      <c r="D53" s="102" t="s">
        <v>148</v>
      </c>
      <c r="E53" s="102" t="s">
        <v>326</v>
      </c>
      <c r="F53" s="98" t="s">
        <v>200</v>
      </c>
      <c r="G53" s="102" t="s">
        <v>331</v>
      </c>
      <c r="H53" s="102" t="s">
        <v>148</v>
      </c>
      <c r="I53" s="102" t="s">
        <v>327</v>
      </c>
      <c r="J53" s="98" t="s">
        <v>200</v>
      </c>
      <c r="K53" s="102" t="s">
        <v>331</v>
      </c>
      <c r="L53" s="102" t="s">
        <v>148</v>
      </c>
      <c r="M53" s="102" t="s">
        <v>328</v>
      </c>
      <c r="N53" s="98" t="s">
        <v>200</v>
      </c>
      <c r="O53" s="102" t="s">
        <v>331</v>
      </c>
      <c r="P53" s="102" t="s">
        <v>148</v>
      </c>
      <c r="Q53" s="102" t="s">
        <v>329</v>
      </c>
      <c r="R53" s="98" t="s">
        <v>200</v>
      </c>
      <c r="S53" s="102" t="s">
        <v>331</v>
      </c>
      <c r="T53" s="102" t="s">
        <v>148</v>
      </c>
      <c r="U53" s="102" t="s">
        <v>330</v>
      </c>
      <c r="V53" s="98" t="s">
        <v>200</v>
      </c>
      <c r="W53" s="102" t="s">
        <v>331</v>
      </c>
      <c r="X53" s="102" t="s">
        <v>148</v>
      </c>
      <c r="Y53" s="102" t="s">
        <v>413</v>
      </c>
      <c r="Z53" s="98" t="s">
        <v>200</v>
      </c>
      <c r="AA53" s="102" t="s">
        <v>331</v>
      </c>
      <c r="AB53" s="102" t="s">
        <v>148</v>
      </c>
      <c r="AC53" s="102" t="s">
        <v>414</v>
      </c>
      <c r="AD53" s="98" t="s">
        <v>200</v>
      </c>
      <c r="AE53" s="102" t="s">
        <v>331</v>
      </c>
    </row>
    <row r="54" spans="1:31" s="112" customFormat="1" x14ac:dyDescent="0.25">
      <c r="A54" s="101" t="s">
        <v>420</v>
      </c>
      <c r="B54" s="101"/>
      <c r="C54" s="96" t="e">
        <f t="shared" ref="C54" si="35">((D54*G54)+(K54*H54)+(O54*L54)+(S54*P54)+(W54*T54)+(X54*AA54)+(AB54*AE54))</f>
        <v>#NAME?</v>
      </c>
      <c r="D54" s="99">
        <v>64</v>
      </c>
      <c r="E54" s="100">
        <v>17</v>
      </c>
      <c r="F54" s="59" t="e">
        <f t="shared" ref="F54" si="36">VLOOKUP(E54,LISTAITEMS,2,FALSE)</f>
        <v>#NAME?</v>
      </c>
      <c r="G54" s="97" t="e">
        <f t="shared" ref="G54" si="37">VLOOKUP(E54,LISTAITEMS,5,FALSE)</f>
        <v>#NAME?</v>
      </c>
      <c r="H54" s="99">
        <v>1</v>
      </c>
      <c r="I54" s="100" t="s">
        <v>345</v>
      </c>
      <c r="J54" s="59" t="str">
        <f>I54</f>
        <v>Corteza de roble</v>
      </c>
      <c r="K54" s="97" t="e">
        <f t="shared" ref="K54" si="38">VLOOKUP(I54,craftedesp,3,FALSE)</f>
        <v>#NAME?</v>
      </c>
      <c r="L54" s="99">
        <v>0</v>
      </c>
      <c r="M54" s="100" t="s">
        <v>255</v>
      </c>
      <c r="N54" s="59" t="e">
        <f t="shared" ref="N54" si="39">VLOOKUP(M54,LISTAITEMS,2,FALSE)</f>
        <v>#NAME?</v>
      </c>
      <c r="O54" s="97" t="e">
        <f t="shared" ref="O54" si="40">VLOOKUP(M54,LISTAITEMS,5,FALSE)</f>
        <v>#NAME?</v>
      </c>
      <c r="P54" s="99">
        <v>0</v>
      </c>
      <c r="Q54" s="100" t="s">
        <v>255</v>
      </c>
      <c r="R54" s="59" t="e">
        <f t="shared" ref="R54" si="41">VLOOKUP(Q54,LISTAITEMS,2,FALSE)</f>
        <v>#NAME?</v>
      </c>
      <c r="S54" s="97" t="e">
        <f t="shared" ref="S54" si="42">VLOOKUP(Q54,LISTAITEMS,5,FALSE)</f>
        <v>#NAME?</v>
      </c>
      <c r="T54" s="99">
        <v>0</v>
      </c>
      <c r="U54" s="100" t="s">
        <v>255</v>
      </c>
      <c r="V54" s="59" t="e">
        <f t="shared" ref="V54" si="43">VLOOKUP(U54,LISTAITEMS,2,FALSE)</f>
        <v>#NAME?</v>
      </c>
      <c r="W54" s="97" t="e">
        <f t="shared" ref="W54" si="44">VLOOKUP(U54,LISTAITEMS,5,FALSE)</f>
        <v>#NAME?</v>
      </c>
      <c r="X54" s="99">
        <v>0</v>
      </c>
      <c r="Y54" s="100" t="s">
        <v>255</v>
      </c>
      <c r="Z54" s="59" t="e">
        <f t="shared" ref="Z54" si="45">VLOOKUP(Y54,LISTAITEMS,2,FALSE)</f>
        <v>#NAME?</v>
      </c>
      <c r="AA54" s="97" t="e">
        <f t="shared" ref="AA54" si="46">VLOOKUP(Y54,LISTAITEMS,5,FALSE)</f>
        <v>#NAME?</v>
      </c>
      <c r="AB54" s="99">
        <v>0</v>
      </c>
      <c r="AC54" s="100" t="s">
        <v>255</v>
      </c>
      <c r="AD54" s="59" t="e">
        <f t="shared" ref="AD54" si="47">VLOOKUP(AC54,LISTAITEMS,2,FALSE)</f>
        <v>#NAME?</v>
      </c>
      <c r="AE54" s="97" t="e">
        <f t="shared" ref="AE54" si="48">VLOOKUP(AC54,LISTAITEMS,5,FALSE)</f>
        <v>#NAME?</v>
      </c>
    </row>
    <row r="55" spans="1:31" s="110" customFormat="1" x14ac:dyDescent="0.25">
      <c r="A55"/>
      <c r="B55"/>
      <c r="C55"/>
      <c r="D55"/>
      <c r="E55"/>
      <c r="F55"/>
      <c r="G55"/>
      <c r="H55"/>
      <c r="I55"/>
      <c r="J55"/>
      <c r="K55"/>
      <c r="L55"/>
      <c r="M55"/>
      <c r="N55"/>
      <c r="O55"/>
      <c r="P55"/>
      <c r="Q55"/>
      <c r="R55"/>
      <c r="S55"/>
      <c r="T55"/>
      <c r="U55"/>
      <c r="V55"/>
      <c r="W55"/>
    </row>
    <row r="56" spans="1:31" s="110" customFormat="1" x14ac:dyDescent="0.25">
      <c r="A56" s="114"/>
      <c r="B56" s="114" t="s">
        <v>313</v>
      </c>
      <c r="C56" s="114"/>
      <c r="D56" s="114"/>
      <c r="E56" s="114"/>
      <c r="F56" s="114"/>
      <c r="G56" s="114"/>
      <c r="H56" s="114"/>
      <c r="I56" s="114"/>
      <c r="J56" s="114"/>
      <c r="K56" s="114"/>
      <c r="L56" s="114"/>
      <c r="M56" s="114"/>
      <c r="N56" s="114"/>
      <c r="O56" s="114"/>
      <c r="P56" s="114"/>
      <c r="Q56" s="114"/>
      <c r="R56" s="114"/>
      <c r="S56" s="114"/>
      <c r="T56" s="114"/>
      <c r="U56" s="114"/>
      <c r="V56" s="114"/>
      <c r="W56" s="114"/>
      <c r="X56" s="84"/>
      <c r="Y56" s="84"/>
      <c r="Z56" s="84"/>
      <c r="AA56" s="84"/>
      <c r="AB56" s="84"/>
      <c r="AC56" s="84"/>
      <c r="AD56" s="84"/>
      <c r="AE56" s="84"/>
    </row>
    <row r="57" spans="1:31" x14ac:dyDescent="0.25">
      <c r="A57" s="95"/>
      <c r="B57" s="95" t="s">
        <v>200</v>
      </c>
      <c r="C57" s="98" t="s">
        <v>199</v>
      </c>
      <c r="D57" s="102" t="s">
        <v>148</v>
      </c>
      <c r="E57" s="102" t="s">
        <v>326</v>
      </c>
      <c r="F57" s="98" t="s">
        <v>200</v>
      </c>
      <c r="G57" s="102" t="s">
        <v>331</v>
      </c>
      <c r="H57" s="102" t="s">
        <v>148</v>
      </c>
      <c r="I57" s="102" t="s">
        <v>327</v>
      </c>
      <c r="J57" s="98" t="s">
        <v>200</v>
      </c>
      <c r="K57" s="102" t="s">
        <v>331</v>
      </c>
      <c r="L57" s="102" t="s">
        <v>148</v>
      </c>
      <c r="M57" s="102" t="s">
        <v>328</v>
      </c>
      <c r="N57" s="98" t="s">
        <v>200</v>
      </c>
      <c r="O57" s="102" t="s">
        <v>331</v>
      </c>
      <c r="P57" s="102" t="s">
        <v>148</v>
      </c>
      <c r="Q57" s="102" t="s">
        <v>329</v>
      </c>
      <c r="R57" s="98" t="s">
        <v>200</v>
      </c>
      <c r="S57" s="102" t="s">
        <v>331</v>
      </c>
      <c r="T57" s="102" t="s">
        <v>148</v>
      </c>
      <c r="U57" s="102" t="s">
        <v>330</v>
      </c>
      <c r="V57" s="98" t="s">
        <v>200</v>
      </c>
      <c r="W57" s="102" t="s">
        <v>331</v>
      </c>
      <c r="X57" s="102" t="s">
        <v>148</v>
      </c>
      <c r="Y57" s="102" t="s">
        <v>413</v>
      </c>
      <c r="Z57" s="98" t="s">
        <v>200</v>
      </c>
      <c r="AA57" s="102" t="s">
        <v>331</v>
      </c>
      <c r="AB57" s="102" t="s">
        <v>148</v>
      </c>
      <c r="AC57" s="102" t="s">
        <v>414</v>
      </c>
      <c r="AD57" s="98" t="s">
        <v>200</v>
      </c>
      <c r="AE57" s="102" t="s">
        <v>331</v>
      </c>
    </row>
    <row r="58" spans="1:31" x14ac:dyDescent="0.25">
      <c r="A58" s="101" t="s">
        <v>345</v>
      </c>
      <c r="B58" s="101"/>
      <c r="C58" s="96" t="e">
        <f t="shared" ref="C58:C63" si="49">((D58*G58)+(K58*H58)+(O58*L58)+(S58*P58)+(W58*T58)+(X58*AA58)+(AB58*AE58))</f>
        <v>#NAME?</v>
      </c>
      <c r="D58" s="99">
        <v>64</v>
      </c>
      <c r="E58" s="100">
        <v>17</v>
      </c>
      <c r="F58" s="59" t="e">
        <f t="shared" ref="F58:F59" si="50">VLOOKUP(E58,LISTAITEMS,2,FALSE)</f>
        <v>#NAME?</v>
      </c>
      <c r="G58" s="97" t="e">
        <f t="shared" ref="G58:G63" si="51">VLOOKUP(E58,LISTAITEMS,5,FALSE)</f>
        <v>#NAME?</v>
      </c>
      <c r="H58" s="99">
        <v>0</v>
      </c>
      <c r="I58" s="100" t="s">
        <v>255</v>
      </c>
      <c r="J58" s="59" t="e">
        <f t="shared" ref="J58:J59" si="52">VLOOKUP(I58,LISTAITEMS,2,FALSE)</f>
        <v>#NAME?</v>
      </c>
      <c r="K58" s="97" t="e">
        <f t="shared" ref="K58:K63" si="53">VLOOKUP(I58,LISTAITEMS,5,FALSE)</f>
        <v>#NAME?</v>
      </c>
      <c r="L58" s="99">
        <v>0</v>
      </c>
      <c r="M58" s="100" t="s">
        <v>255</v>
      </c>
      <c r="N58" s="59" t="e">
        <f t="shared" ref="N58:N59" si="54">VLOOKUP(M58,LISTAITEMS,2,FALSE)</f>
        <v>#NAME?</v>
      </c>
      <c r="O58" s="97" t="e">
        <f t="shared" ref="O58:O63" si="55">VLOOKUP(M58,LISTAITEMS,5,FALSE)</f>
        <v>#NAME?</v>
      </c>
      <c r="P58" s="99">
        <v>0</v>
      </c>
      <c r="Q58" s="100" t="s">
        <v>255</v>
      </c>
      <c r="R58" s="59" t="e">
        <f t="shared" ref="R58:R59" si="56">VLOOKUP(Q58,LISTAITEMS,2,FALSE)</f>
        <v>#NAME?</v>
      </c>
      <c r="S58" s="97" t="e">
        <f t="shared" ref="S58:S63" si="57">VLOOKUP(Q58,LISTAITEMS,5,FALSE)</f>
        <v>#NAME?</v>
      </c>
      <c r="T58" s="99">
        <v>0</v>
      </c>
      <c r="U58" s="100" t="s">
        <v>255</v>
      </c>
      <c r="V58" s="59" t="e">
        <f t="shared" ref="V58:V59" si="58">VLOOKUP(U58,LISTAITEMS,2,FALSE)</f>
        <v>#NAME?</v>
      </c>
      <c r="W58" s="97" t="e">
        <f t="shared" ref="W58:W63" si="59">VLOOKUP(U58,LISTAITEMS,5,FALSE)</f>
        <v>#NAME?</v>
      </c>
      <c r="X58" s="99">
        <v>0</v>
      </c>
      <c r="Y58" s="100" t="s">
        <v>255</v>
      </c>
      <c r="Z58" s="59" t="e">
        <f t="shared" ref="Z58:Z59" si="60">VLOOKUP(Y58,LISTAITEMS,2,FALSE)</f>
        <v>#NAME?</v>
      </c>
      <c r="AA58" s="97" t="e">
        <f t="shared" ref="AA58:AA63" si="61">VLOOKUP(Y58,LISTAITEMS,5,FALSE)</f>
        <v>#NAME?</v>
      </c>
      <c r="AB58" s="99">
        <v>0</v>
      </c>
      <c r="AC58" s="100" t="s">
        <v>255</v>
      </c>
      <c r="AD58" s="59" t="e">
        <f t="shared" ref="AD58:AD59" si="62">VLOOKUP(AC58,LISTAITEMS,2,FALSE)</f>
        <v>#NAME?</v>
      </c>
      <c r="AE58" s="97" t="e">
        <f t="shared" ref="AE58:AE63" si="63">VLOOKUP(AC58,LISTAITEMS,5,FALSE)</f>
        <v>#NAME?</v>
      </c>
    </row>
    <row r="59" spans="1:31" x14ac:dyDescent="0.25">
      <c r="A59" s="101" t="s">
        <v>347</v>
      </c>
      <c r="B59" s="101"/>
      <c r="C59" s="96" t="e">
        <f t="shared" si="49"/>
        <v>#NAME?</v>
      </c>
      <c r="D59" s="99">
        <v>64</v>
      </c>
      <c r="E59" s="100" t="s">
        <v>207</v>
      </c>
      <c r="F59" s="59" t="e">
        <f t="shared" si="50"/>
        <v>#NAME?</v>
      </c>
      <c r="G59" s="97" t="e">
        <f t="shared" si="51"/>
        <v>#NAME?</v>
      </c>
      <c r="H59" s="99">
        <v>0</v>
      </c>
      <c r="I59" s="100" t="s">
        <v>255</v>
      </c>
      <c r="J59" s="59" t="e">
        <f t="shared" si="52"/>
        <v>#NAME?</v>
      </c>
      <c r="K59" s="97" t="e">
        <f t="shared" si="53"/>
        <v>#NAME?</v>
      </c>
      <c r="L59" s="99">
        <v>0</v>
      </c>
      <c r="M59" s="100" t="s">
        <v>255</v>
      </c>
      <c r="N59" s="59" t="e">
        <f t="shared" si="54"/>
        <v>#NAME?</v>
      </c>
      <c r="O59" s="97" t="e">
        <f t="shared" si="55"/>
        <v>#NAME?</v>
      </c>
      <c r="P59" s="99">
        <v>0</v>
      </c>
      <c r="Q59" s="100" t="s">
        <v>255</v>
      </c>
      <c r="R59" s="59" t="e">
        <f t="shared" si="56"/>
        <v>#NAME?</v>
      </c>
      <c r="S59" s="97" t="e">
        <f t="shared" si="57"/>
        <v>#NAME?</v>
      </c>
      <c r="T59" s="99">
        <v>0</v>
      </c>
      <c r="U59" s="100" t="s">
        <v>255</v>
      </c>
      <c r="V59" s="59" t="e">
        <f t="shared" si="58"/>
        <v>#NAME?</v>
      </c>
      <c r="W59" s="97" t="e">
        <f t="shared" si="59"/>
        <v>#NAME?</v>
      </c>
      <c r="X59" s="99">
        <v>0</v>
      </c>
      <c r="Y59" s="100" t="s">
        <v>255</v>
      </c>
      <c r="Z59" s="59" t="e">
        <f t="shared" si="60"/>
        <v>#NAME?</v>
      </c>
      <c r="AA59" s="97" t="e">
        <f t="shared" si="61"/>
        <v>#NAME?</v>
      </c>
      <c r="AB59" s="99">
        <v>0</v>
      </c>
      <c r="AC59" s="100" t="s">
        <v>255</v>
      </c>
      <c r="AD59" s="59" t="e">
        <f t="shared" si="62"/>
        <v>#NAME?</v>
      </c>
      <c r="AE59" s="97" t="e">
        <f t="shared" si="63"/>
        <v>#NAME?</v>
      </c>
    </row>
    <row r="60" spans="1:31" s="111" customFormat="1" x14ac:dyDescent="0.25">
      <c r="A60" s="101" t="s">
        <v>348</v>
      </c>
      <c r="B60" s="101"/>
      <c r="C60" s="96" t="e">
        <f t="shared" si="49"/>
        <v>#NAME?</v>
      </c>
      <c r="D60" s="99">
        <v>64</v>
      </c>
      <c r="E60" s="100" t="s">
        <v>208</v>
      </c>
      <c r="F60" s="59" t="e">
        <f t="shared" ref="F60:F61" si="64">VLOOKUP(E60,LISTAITEMS,2,FALSE)</f>
        <v>#NAME?</v>
      </c>
      <c r="G60" s="97" t="e">
        <f t="shared" si="51"/>
        <v>#NAME?</v>
      </c>
      <c r="H60" s="99">
        <v>0</v>
      </c>
      <c r="I60" s="100" t="s">
        <v>255</v>
      </c>
      <c r="J60" s="59" t="e">
        <f t="shared" ref="J60:J61" si="65">VLOOKUP(I60,LISTAITEMS,2,FALSE)</f>
        <v>#NAME?</v>
      </c>
      <c r="K60" s="97" t="e">
        <f t="shared" si="53"/>
        <v>#NAME?</v>
      </c>
      <c r="L60" s="99">
        <v>0</v>
      </c>
      <c r="M60" s="100" t="s">
        <v>255</v>
      </c>
      <c r="N60" s="59" t="e">
        <f t="shared" ref="N60:N61" si="66">VLOOKUP(M60,LISTAITEMS,2,FALSE)</f>
        <v>#NAME?</v>
      </c>
      <c r="O60" s="97" t="e">
        <f t="shared" si="55"/>
        <v>#NAME?</v>
      </c>
      <c r="P60" s="99">
        <v>0</v>
      </c>
      <c r="Q60" s="100" t="s">
        <v>255</v>
      </c>
      <c r="R60" s="59" t="e">
        <f t="shared" ref="R60:R61" si="67">VLOOKUP(Q60,LISTAITEMS,2,FALSE)</f>
        <v>#NAME?</v>
      </c>
      <c r="S60" s="97" t="e">
        <f t="shared" si="57"/>
        <v>#NAME?</v>
      </c>
      <c r="T60" s="99">
        <v>0</v>
      </c>
      <c r="U60" s="100" t="s">
        <v>255</v>
      </c>
      <c r="V60" s="59" t="e">
        <f t="shared" ref="V60:V61" si="68">VLOOKUP(U60,LISTAITEMS,2,FALSE)</f>
        <v>#NAME?</v>
      </c>
      <c r="W60" s="97" t="e">
        <f t="shared" si="59"/>
        <v>#NAME?</v>
      </c>
      <c r="X60" s="99">
        <v>0</v>
      </c>
      <c r="Y60" s="100" t="s">
        <v>255</v>
      </c>
      <c r="Z60" s="59" t="e">
        <f t="shared" ref="Z60:Z61" si="69">VLOOKUP(Y60,LISTAITEMS,2,FALSE)</f>
        <v>#NAME?</v>
      </c>
      <c r="AA60" s="97" t="e">
        <f t="shared" si="61"/>
        <v>#NAME?</v>
      </c>
      <c r="AB60" s="99">
        <v>0</v>
      </c>
      <c r="AC60" s="100" t="s">
        <v>255</v>
      </c>
      <c r="AD60" s="59" t="e">
        <f t="shared" ref="AD60:AD61" si="70">VLOOKUP(AC60,LISTAITEMS,2,FALSE)</f>
        <v>#NAME?</v>
      </c>
      <c r="AE60" s="97" t="e">
        <f t="shared" si="63"/>
        <v>#NAME?</v>
      </c>
    </row>
    <row r="61" spans="1:31" s="111" customFormat="1" x14ac:dyDescent="0.25">
      <c r="A61" s="101" t="s">
        <v>415</v>
      </c>
      <c r="B61" s="101"/>
      <c r="C61" s="96" t="e">
        <f t="shared" si="49"/>
        <v>#NAME?</v>
      </c>
      <c r="D61" s="99">
        <v>64</v>
      </c>
      <c r="E61" s="100" t="s">
        <v>209</v>
      </c>
      <c r="F61" s="59" t="e">
        <f t="shared" si="64"/>
        <v>#NAME?</v>
      </c>
      <c r="G61" s="97" t="e">
        <f t="shared" si="51"/>
        <v>#NAME?</v>
      </c>
      <c r="H61" s="99">
        <v>0</v>
      </c>
      <c r="I61" s="100" t="s">
        <v>255</v>
      </c>
      <c r="J61" s="59" t="e">
        <f t="shared" si="65"/>
        <v>#NAME?</v>
      </c>
      <c r="K61" s="97" t="e">
        <f t="shared" si="53"/>
        <v>#NAME?</v>
      </c>
      <c r="L61" s="99">
        <v>0</v>
      </c>
      <c r="M61" s="100" t="s">
        <v>255</v>
      </c>
      <c r="N61" s="59" t="e">
        <f t="shared" si="66"/>
        <v>#NAME?</v>
      </c>
      <c r="O61" s="97" t="e">
        <f t="shared" si="55"/>
        <v>#NAME?</v>
      </c>
      <c r="P61" s="99">
        <v>0</v>
      </c>
      <c r="Q61" s="100" t="s">
        <v>255</v>
      </c>
      <c r="R61" s="59" t="e">
        <f t="shared" si="67"/>
        <v>#NAME?</v>
      </c>
      <c r="S61" s="97" t="e">
        <f t="shared" si="57"/>
        <v>#NAME?</v>
      </c>
      <c r="T61" s="99">
        <v>0</v>
      </c>
      <c r="U61" s="100" t="s">
        <v>255</v>
      </c>
      <c r="V61" s="59" t="e">
        <f t="shared" si="68"/>
        <v>#NAME?</v>
      </c>
      <c r="W61" s="97" t="e">
        <f t="shared" si="59"/>
        <v>#NAME?</v>
      </c>
      <c r="X61" s="99">
        <v>0</v>
      </c>
      <c r="Y61" s="100" t="s">
        <v>255</v>
      </c>
      <c r="Z61" s="59" t="e">
        <f t="shared" si="69"/>
        <v>#NAME?</v>
      </c>
      <c r="AA61" s="97" t="e">
        <f t="shared" si="61"/>
        <v>#NAME?</v>
      </c>
      <c r="AB61" s="99">
        <v>0</v>
      </c>
      <c r="AC61" s="100" t="s">
        <v>255</v>
      </c>
      <c r="AD61" s="59" t="e">
        <f t="shared" si="70"/>
        <v>#NAME?</v>
      </c>
      <c r="AE61" s="97" t="e">
        <f t="shared" si="63"/>
        <v>#NAME?</v>
      </c>
    </row>
    <row r="62" spans="1:31" s="111" customFormat="1" x14ac:dyDescent="0.25">
      <c r="A62" s="101" t="s">
        <v>349</v>
      </c>
      <c r="B62" s="101"/>
      <c r="C62" s="96" t="e">
        <f t="shared" si="49"/>
        <v>#NAME?</v>
      </c>
      <c r="D62" s="99">
        <v>64</v>
      </c>
      <c r="E62" s="100">
        <v>162</v>
      </c>
      <c r="F62" s="59" t="e">
        <f t="shared" ref="F62:F63" si="71">VLOOKUP(E62,LISTAITEMS,2,FALSE)</f>
        <v>#NAME?</v>
      </c>
      <c r="G62" s="97" t="e">
        <f t="shared" si="51"/>
        <v>#NAME?</v>
      </c>
      <c r="H62" s="99">
        <v>0</v>
      </c>
      <c r="I62" s="100" t="s">
        <v>255</v>
      </c>
      <c r="J62" s="59" t="e">
        <f t="shared" ref="J62:J63" si="72">VLOOKUP(I62,LISTAITEMS,2,FALSE)</f>
        <v>#NAME?</v>
      </c>
      <c r="K62" s="97" t="e">
        <f t="shared" si="53"/>
        <v>#NAME?</v>
      </c>
      <c r="L62" s="99">
        <v>0</v>
      </c>
      <c r="M62" s="100" t="s">
        <v>255</v>
      </c>
      <c r="N62" s="59" t="e">
        <f t="shared" ref="N62:N63" si="73">VLOOKUP(M62,LISTAITEMS,2,FALSE)</f>
        <v>#NAME?</v>
      </c>
      <c r="O62" s="97" t="e">
        <f t="shared" si="55"/>
        <v>#NAME?</v>
      </c>
      <c r="P62" s="99">
        <v>0</v>
      </c>
      <c r="Q62" s="100" t="s">
        <v>255</v>
      </c>
      <c r="R62" s="59" t="e">
        <f t="shared" ref="R62:R63" si="74">VLOOKUP(Q62,LISTAITEMS,2,FALSE)</f>
        <v>#NAME?</v>
      </c>
      <c r="S62" s="97" t="e">
        <f t="shared" si="57"/>
        <v>#NAME?</v>
      </c>
      <c r="T62" s="99">
        <v>0</v>
      </c>
      <c r="U62" s="100" t="s">
        <v>255</v>
      </c>
      <c r="V62" s="59" t="e">
        <f t="shared" ref="V62:V63" si="75">VLOOKUP(U62,LISTAITEMS,2,FALSE)</f>
        <v>#NAME?</v>
      </c>
      <c r="W62" s="97" t="e">
        <f t="shared" si="59"/>
        <v>#NAME?</v>
      </c>
      <c r="X62" s="99">
        <v>0</v>
      </c>
      <c r="Y62" s="100" t="s">
        <v>255</v>
      </c>
      <c r="Z62" s="59" t="e">
        <f t="shared" ref="Z62:Z63" si="76">VLOOKUP(Y62,LISTAITEMS,2,FALSE)</f>
        <v>#NAME?</v>
      </c>
      <c r="AA62" s="97" t="e">
        <f t="shared" si="61"/>
        <v>#NAME?</v>
      </c>
      <c r="AB62" s="99">
        <v>0</v>
      </c>
      <c r="AC62" s="100" t="s">
        <v>255</v>
      </c>
      <c r="AD62" s="59" t="e">
        <f t="shared" ref="AD62:AD63" si="77">VLOOKUP(AC62,LISTAITEMS,2,FALSE)</f>
        <v>#NAME?</v>
      </c>
      <c r="AE62" s="97" t="e">
        <f t="shared" si="63"/>
        <v>#NAME?</v>
      </c>
    </row>
    <row r="63" spans="1:31" s="111" customFormat="1" x14ac:dyDescent="0.25">
      <c r="A63" s="101" t="s">
        <v>416</v>
      </c>
      <c r="B63" s="101"/>
      <c r="C63" s="96" t="e">
        <f t="shared" si="49"/>
        <v>#NAME?</v>
      </c>
      <c r="D63" s="99">
        <v>64</v>
      </c>
      <c r="E63" s="100" t="s">
        <v>236</v>
      </c>
      <c r="F63" s="59" t="e">
        <f t="shared" si="71"/>
        <v>#NAME?</v>
      </c>
      <c r="G63" s="97" t="e">
        <f t="shared" si="51"/>
        <v>#NAME?</v>
      </c>
      <c r="H63" s="99">
        <v>0</v>
      </c>
      <c r="I63" s="100" t="s">
        <v>255</v>
      </c>
      <c r="J63" s="59" t="e">
        <f t="shared" si="72"/>
        <v>#NAME?</v>
      </c>
      <c r="K63" s="97" t="e">
        <f t="shared" si="53"/>
        <v>#NAME?</v>
      </c>
      <c r="L63" s="99">
        <v>0</v>
      </c>
      <c r="M63" s="100" t="s">
        <v>255</v>
      </c>
      <c r="N63" s="59" t="e">
        <f t="shared" si="73"/>
        <v>#NAME?</v>
      </c>
      <c r="O63" s="97" t="e">
        <f t="shared" si="55"/>
        <v>#NAME?</v>
      </c>
      <c r="P63" s="99">
        <v>0</v>
      </c>
      <c r="Q63" s="100" t="s">
        <v>255</v>
      </c>
      <c r="R63" s="59" t="e">
        <f t="shared" si="74"/>
        <v>#NAME?</v>
      </c>
      <c r="S63" s="97" t="e">
        <f t="shared" si="57"/>
        <v>#NAME?</v>
      </c>
      <c r="T63" s="99">
        <v>0</v>
      </c>
      <c r="U63" s="100" t="s">
        <v>255</v>
      </c>
      <c r="V63" s="59" t="e">
        <f t="shared" si="75"/>
        <v>#NAME?</v>
      </c>
      <c r="W63" s="97" t="e">
        <f t="shared" si="59"/>
        <v>#NAME?</v>
      </c>
      <c r="X63" s="99">
        <v>0</v>
      </c>
      <c r="Y63" s="100" t="s">
        <v>255</v>
      </c>
      <c r="Z63" s="59" t="e">
        <f t="shared" si="76"/>
        <v>#NAME?</v>
      </c>
      <c r="AA63" s="97" t="e">
        <f t="shared" si="61"/>
        <v>#NAME?</v>
      </c>
      <c r="AB63" s="99">
        <v>0</v>
      </c>
      <c r="AC63" s="100" t="s">
        <v>255</v>
      </c>
      <c r="AD63" s="59" t="e">
        <f t="shared" si="77"/>
        <v>#NAME?</v>
      </c>
      <c r="AE63" s="97" t="e">
        <f t="shared" si="63"/>
        <v>#NAME?</v>
      </c>
    </row>
    <row r="67" spans="1:31" s="111" customFormat="1" x14ac:dyDescent="0.25">
      <c r="A67" s="114"/>
      <c r="B67" s="114" t="s">
        <v>417</v>
      </c>
      <c r="C67" s="114"/>
      <c r="D67" s="114"/>
      <c r="E67" s="114"/>
      <c r="F67" s="114"/>
      <c r="G67" s="114"/>
      <c r="H67" s="114"/>
      <c r="I67" s="114"/>
      <c r="J67" s="114"/>
      <c r="K67" s="114"/>
      <c r="L67" s="114"/>
      <c r="M67" s="114"/>
      <c r="N67" s="114"/>
      <c r="O67" s="114"/>
      <c r="P67" s="114"/>
      <c r="Q67" s="114"/>
      <c r="R67" s="114"/>
      <c r="S67" s="114"/>
      <c r="T67" s="114"/>
      <c r="U67" s="114"/>
      <c r="V67" s="114"/>
      <c r="W67" s="114"/>
      <c r="X67" s="84"/>
      <c r="Y67" s="84"/>
      <c r="Z67" s="84"/>
      <c r="AA67" s="84"/>
      <c r="AB67" s="84"/>
      <c r="AC67" s="84"/>
      <c r="AD67" s="84"/>
      <c r="AE67" s="84"/>
    </row>
    <row r="68" spans="1:31" s="111" customFormat="1" x14ac:dyDescent="0.25">
      <c r="A68" s="95"/>
      <c r="B68" s="95" t="s">
        <v>200</v>
      </c>
      <c r="C68" s="98" t="s">
        <v>199</v>
      </c>
      <c r="D68" s="102" t="s">
        <v>148</v>
      </c>
      <c r="E68" s="102" t="s">
        <v>326</v>
      </c>
      <c r="F68" s="98" t="s">
        <v>200</v>
      </c>
      <c r="G68" s="102" t="s">
        <v>331</v>
      </c>
      <c r="H68" s="102" t="s">
        <v>148</v>
      </c>
      <c r="I68" s="102" t="s">
        <v>327</v>
      </c>
      <c r="J68" s="98" t="s">
        <v>200</v>
      </c>
      <c r="K68" s="102" t="s">
        <v>331</v>
      </c>
      <c r="L68" s="102" t="s">
        <v>148</v>
      </c>
      <c r="M68" s="102" t="s">
        <v>328</v>
      </c>
      <c r="N68" s="98" t="s">
        <v>200</v>
      </c>
      <c r="O68" s="102" t="s">
        <v>331</v>
      </c>
      <c r="P68" s="102" t="s">
        <v>148</v>
      </c>
      <c r="Q68" s="102" t="s">
        <v>329</v>
      </c>
      <c r="R68" s="98" t="s">
        <v>200</v>
      </c>
      <c r="S68" s="102" t="s">
        <v>331</v>
      </c>
      <c r="T68" s="102" t="s">
        <v>148</v>
      </c>
      <c r="U68" s="102" t="s">
        <v>330</v>
      </c>
      <c r="V68" s="98" t="s">
        <v>200</v>
      </c>
      <c r="W68" s="102" t="s">
        <v>331</v>
      </c>
      <c r="X68" s="102" t="s">
        <v>148</v>
      </c>
      <c r="Y68" s="102" t="s">
        <v>413</v>
      </c>
      <c r="Z68" s="98" t="s">
        <v>200</v>
      </c>
      <c r="AA68" s="102" t="s">
        <v>331</v>
      </c>
      <c r="AB68" s="102" t="s">
        <v>148</v>
      </c>
      <c r="AC68" s="102" t="s">
        <v>414</v>
      </c>
      <c r="AD68" s="98" t="s">
        <v>200</v>
      </c>
      <c r="AE68" s="102" t="s">
        <v>331</v>
      </c>
    </row>
    <row r="69" spans="1:31" s="112" customFormat="1" x14ac:dyDescent="0.25">
      <c r="A69" s="101" t="s">
        <v>419</v>
      </c>
      <c r="B69" s="101"/>
      <c r="C69" s="96" t="e">
        <f t="shared" ref="C69" si="78">((D69*G69)+(K69*H69)+(O69*L69)+(S69*P69)+(W69*T69)+(X69*AA69)+(AB69*AE69))</f>
        <v>#NAME?</v>
      </c>
      <c r="D69" s="99">
        <v>64</v>
      </c>
      <c r="E69" s="100" t="s">
        <v>235</v>
      </c>
      <c r="F69" s="59" t="e">
        <f t="shared" ref="F69" si="79">VLOOKUP(E69,LISTAITEMS,2,FALSE)</f>
        <v>#NAME?</v>
      </c>
      <c r="G69" s="97" t="e">
        <f t="shared" ref="G69" si="80">VLOOKUP(E69,LISTAITEMS,5,FALSE)</f>
        <v>#NAME?</v>
      </c>
      <c r="H69" s="99">
        <v>2</v>
      </c>
      <c r="I69" s="100">
        <v>61</v>
      </c>
      <c r="J69" s="59" t="e">
        <f t="shared" ref="J69" si="81">VLOOKUP(I69,LISTAITEMS,2,FALSE)</f>
        <v>#NAME?</v>
      </c>
      <c r="K69" s="97" t="e">
        <f t="shared" ref="K69" si="82">VLOOKUP(I69,LISTAITEMS,5,FALSE)</f>
        <v>#NAME?</v>
      </c>
      <c r="L69" s="99">
        <v>0</v>
      </c>
      <c r="M69" s="100" t="s">
        <v>255</v>
      </c>
      <c r="N69" s="59" t="e">
        <f t="shared" ref="N69" si="83">VLOOKUP(M69,LISTAITEMS,2,FALSE)</f>
        <v>#NAME?</v>
      </c>
      <c r="O69" s="97" t="e">
        <f t="shared" ref="O69" si="84">VLOOKUP(M69,LISTAITEMS,5,FALSE)</f>
        <v>#NAME?</v>
      </c>
      <c r="P69" s="99">
        <v>0</v>
      </c>
      <c r="Q69" s="100" t="s">
        <v>255</v>
      </c>
      <c r="R69" s="59" t="e">
        <f t="shared" ref="R69" si="85">VLOOKUP(Q69,LISTAITEMS,2,FALSE)</f>
        <v>#NAME?</v>
      </c>
      <c r="S69" s="97" t="e">
        <f t="shared" ref="S69" si="86">VLOOKUP(Q69,LISTAITEMS,5,FALSE)</f>
        <v>#NAME?</v>
      </c>
      <c r="T69" s="99">
        <v>0</v>
      </c>
      <c r="U69" s="100" t="s">
        <v>255</v>
      </c>
      <c r="V69" s="59" t="e">
        <f t="shared" ref="V69" si="87">VLOOKUP(U69,LISTAITEMS,2,FALSE)</f>
        <v>#NAME?</v>
      </c>
      <c r="W69" s="97" t="e">
        <f t="shared" ref="W69" si="88">VLOOKUP(U69,LISTAITEMS,5,FALSE)</f>
        <v>#NAME?</v>
      </c>
      <c r="X69" s="99">
        <v>0</v>
      </c>
      <c r="Y69" s="100" t="s">
        <v>255</v>
      </c>
      <c r="Z69" s="59" t="e">
        <f t="shared" ref="Z69" si="89">VLOOKUP(Y69,LISTAITEMS,2,FALSE)</f>
        <v>#NAME?</v>
      </c>
      <c r="AA69" s="97" t="e">
        <f t="shared" ref="AA69" si="90">VLOOKUP(Y69,LISTAITEMS,5,FALSE)</f>
        <v>#NAME?</v>
      </c>
      <c r="AB69" s="99">
        <v>0</v>
      </c>
      <c r="AC69" s="100" t="s">
        <v>255</v>
      </c>
      <c r="AD69" s="59" t="e">
        <f t="shared" ref="AD69" si="91">VLOOKUP(AC69,LISTAITEMS,2,FALSE)</f>
        <v>#NAME?</v>
      </c>
      <c r="AE69" s="97" t="e">
        <f t="shared" ref="AE69" si="92">VLOOKUP(AC69,LISTAITEMS,5,FALSE)</f>
        <v>#NAME?</v>
      </c>
    </row>
    <row r="75" spans="1:31" s="111" customFormat="1" x14ac:dyDescent="0.25">
      <c r="A75" s="114"/>
      <c r="B75" s="114" t="s">
        <v>363</v>
      </c>
      <c r="C75" s="114"/>
      <c r="D75" s="114"/>
      <c r="E75" s="114"/>
      <c r="F75" s="114"/>
      <c r="G75" s="114"/>
      <c r="H75" s="114"/>
      <c r="I75" s="114"/>
      <c r="J75" s="114"/>
      <c r="K75" s="114"/>
      <c r="L75" s="114"/>
      <c r="M75" s="114"/>
      <c r="N75" s="114"/>
      <c r="O75" s="114"/>
      <c r="P75" s="114"/>
      <c r="Q75" s="114"/>
      <c r="R75" s="114"/>
      <c r="S75" s="114"/>
      <c r="T75" s="114"/>
      <c r="U75" s="114"/>
      <c r="V75" s="114"/>
      <c r="W75" s="114"/>
      <c r="X75" s="84"/>
      <c r="Y75" s="84"/>
      <c r="Z75" s="84"/>
      <c r="AA75" s="84"/>
      <c r="AB75" s="84"/>
      <c r="AC75" s="84"/>
      <c r="AD75" s="84"/>
      <c r="AE75" s="84"/>
    </row>
    <row r="76" spans="1:31" s="111" customFormat="1" x14ac:dyDescent="0.25">
      <c r="A76" s="95"/>
      <c r="B76" s="95" t="s">
        <v>200</v>
      </c>
      <c r="C76" s="98" t="s">
        <v>199</v>
      </c>
      <c r="D76" s="102" t="s">
        <v>148</v>
      </c>
      <c r="E76" s="102" t="s">
        <v>326</v>
      </c>
      <c r="F76" s="98" t="s">
        <v>200</v>
      </c>
      <c r="G76" s="102" t="s">
        <v>331</v>
      </c>
      <c r="H76" s="102" t="s">
        <v>148</v>
      </c>
      <c r="I76" s="102" t="s">
        <v>327</v>
      </c>
      <c r="J76" s="98" t="s">
        <v>200</v>
      </c>
      <c r="K76" s="102" t="s">
        <v>331</v>
      </c>
      <c r="L76" s="102" t="s">
        <v>148</v>
      </c>
      <c r="M76" s="102" t="s">
        <v>328</v>
      </c>
      <c r="N76" s="98" t="s">
        <v>200</v>
      </c>
      <c r="O76" s="102" t="s">
        <v>331</v>
      </c>
      <c r="P76" s="102" t="s">
        <v>148</v>
      </c>
      <c r="Q76" s="102" t="s">
        <v>329</v>
      </c>
      <c r="R76" s="98" t="s">
        <v>200</v>
      </c>
      <c r="S76" s="102" t="s">
        <v>331</v>
      </c>
      <c r="T76" s="102" t="s">
        <v>148</v>
      </c>
      <c r="U76" s="102" t="s">
        <v>330</v>
      </c>
      <c r="V76" s="98" t="s">
        <v>200</v>
      </c>
      <c r="W76" s="102" t="s">
        <v>331</v>
      </c>
      <c r="X76" s="102" t="s">
        <v>148</v>
      </c>
      <c r="Y76" s="102" t="s">
        <v>413</v>
      </c>
      <c r="Z76" s="98" t="s">
        <v>200</v>
      </c>
      <c r="AA76" s="102" t="s">
        <v>331</v>
      </c>
      <c r="AB76" s="102" t="s">
        <v>148</v>
      </c>
      <c r="AC76" s="102" t="s">
        <v>414</v>
      </c>
      <c r="AD76" s="98" t="s">
        <v>200</v>
      </c>
      <c r="AE76" s="102" t="s">
        <v>331</v>
      </c>
    </row>
    <row r="77" spans="1:31" s="112" customFormat="1" x14ac:dyDescent="0.25">
      <c r="A77" s="101" t="s">
        <v>423</v>
      </c>
      <c r="B77" s="101"/>
      <c r="C77" s="96" t="e">
        <f>((D77*G77)+(K77*H77)+(O77*L77)+(S77*P77)+(W77*T77)+(X77*AA77)+(AB77*AE77))</f>
        <v>#NAME?</v>
      </c>
      <c r="D77" s="99">
        <v>64</v>
      </c>
      <c r="E77" s="100" t="s">
        <v>235</v>
      </c>
      <c r="F77" s="59" t="e">
        <f t="shared" ref="F77" si="93">VLOOKUP(E77,LISTAITEMS,2,FALSE)</f>
        <v>#NAME?</v>
      </c>
      <c r="G77" s="97" t="e">
        <f>VLOOKUP(E77,LISTAITEMS,5,FALSE)</f>
        <v>#NAME?</v>
      </c>
      <c r="H77" s="99">
        <v>1</v>
      </c>
      <c r="I77" s="100" t="s">
        <v>424</v>
      </c>
      <c r="J77" s="59" t="str">
        <f>I77</f>
        <v>Artl Flamente</v>
      </c>
      <c r="K77" s="97" t="e">
        <f t="shared" ref="K77" si="94">VLOOKUP(I77,craftedesp,3,FALSE)</f>
        <v>#NAME?</v>
      </c>
      <c r="L77" s="99">
        <v>0</v>
      </c>
      <c r="M77" s="100" t="s">
        <v>255</v>
      </c>
      <c r="N77" s="59" t="e">
        <f t="shared" ref="N77" si="95">VLOOKUP(M77,LISTAITEMS,2,FALSE)</f>
        <v>#NAME?</v>
      </c>
      <c r="O77" s="97" t="e">
        <f>VLOOKUP(M77,LISTAITEMS,5,FALSE)</f>
        <v>#NAME?</v>
      </c>
      <c r="P77" s="99">
        <v>0</v>
      </c>
      <c r="Q77" s="100" t="s">
        <v>255</v>
      </c>
      <c r="R77" s="59" t="e">
        <f t="shared" ref="R77" si="96">VLOOKUP(Q77,LISTAITEMS,2,FALSE)</f>
        <v>#NAME?</v>
      </c>
      <c r="S77" s="97" t="e">
        <f>VLOOKUP(Q77,LISTAITEMS,5,FALSE)</f>
        <v>#NAME?</v>
      </c>
      <c r="T77" s="99">
        <v>0</v>
      </c>
      <c r="U77" s="100" t="s">
        <v>255</v>
      </c>
      <c r="V77" s="59" t="e">
        <f t="shared" ref="V77" si="97">VLOOKUP(U77,LISTAITEMS,2,FALSE)</f>
        <v>#NAME?</v>
      </c>
      <c r="W77" s="97" t="e">
        <f>VLOOKUP(U77,LISTAITEMS,5,FALSE)</f>
        <v>#NAME?</v>
      </c>
      <c r="X77" s="99">
        <v>0</v>
      </c>
      <c r="Y77" s="100" t="s">
        <v>255</v>
      </c>
      <c r="Z77" s="59" t="e">
        <f t="shared" ref="Z77" si="98">VLOOKUP(Y77,LISTAITEMS,2,FALSE)</f>
        <v>#NAME?</v>
      </c>
      <c r="AA77" s="97" t="e">
        <f>VLOOKUP(Y77,LISTAITEMS,5,FALSE)</f>
        <v>#NAME?</v>
      </c>
      <c r="AB77" s="99">
        <v>0</v>
      </c>
      <c r="AC77" s="100" t="s">
        <v>255</v>
      </c>
      <c r="AD77" s="59" t="e">
        <f t="shared" ref="AD77" si="99">VLOOKUP(AC77,LISTAITEMS,2,FALSE)</f>
        <v>#NAME?</v>
      </c>
      <c r="AE77" s="97" t="e">
        <f>VLOOKUP(AC77,LISTAITEMS,5,FALSE)</f>
        <v>#NAME?</v>
      </c>
    </row>
    <row r="81" spans="1:31" s="111" customFormat="1" x14ac:dyDescent="0.25">
      <c r="A81" s="114"/>
      <c r="B81" s="114" t="s">
        <v>351</v>
      </c>
      <c r="C81" s="114"/>
      <c r="D81" s="114"/>
      <c r="E81" s="114"/>
      <c r="F81" s="114"/>
      <c r="G81" s="114"/>
      <c r="H81" s="114"/>
      <c r="I81" s="114"/>
      <c r="J81" s="114"/>
      <c r="K81" s="114"/>
      <c r="L81" s="114"/>
      <c r="M81" s="114"/>
      <c r="N81" s="114"/>
      <c r="O81" s="114"/>
      <c r="P81" s="114"/>
      <c r="Q81" s="114"/>
      <c r="R81" s="114"/>
      <c r="S81" s="114"/>
      <c r="T81" s="114"/>
      <c r="U81" s="114"/>
      <c r="V81" s="114"/>
      <c r="W81" s="114"/>
      <c r="X81" s="84"/>
      <c r="Y81" s="84"/>
      <c r="Z81" s="84"/>
      <c r="AA81" s="84"/>
      <c r="AB81" s="84"/>
      <c r="AC81" s="84"/>
      <c r="AD81" s="84"/>
      <c r="AE81" s="84"/>
    </row>
    <row r="82" spans="1:31" s="111" customFormat="1" x14ac:dyDescent="0.25">
      <c r="A82" s="95"/>
      <c r="B82" s="95" t="s">
        <v>200</v>
      </c>
      <c r="C82" s="98" t="s">
        <v>199</v>
      </c>
      <c r="D82" s="102" t="s">
        <v>148</v>
      </c>
      <c r="E82" s="102" t="s">
        <v>326</v>
      </c>
      <c r="F82" s="98" t="s">
        <v>200</v>
      </c>
      <c r="G82" s="102" t="s">
        <v>331</v>
      </c>
      <c r="H82" s="102" t="s">
        <v>148</v>
      </c>
      <c r="I82" s="102" t="s">
        <v>327</v>
      </c>
      <c r="J82" s="98" t="s">
        <v>200</v>
      </c>
      <c r="K82" s="102" t="s">
        <v>331</v>
      </c>
      <c r="L82" s="102" t="s">
        <v>148</v>
      </c>
      <c r="M82" s="102" t="s">
        <v>328</v>
      </c>
      <c r="N82" s="98" t="s">
        <v>200</v>
      </c>
      <c r="O82" s="102" t="s">
        <v>331</v>
      </c>
      <c r="P82" s="102" t="s">
        <v>148</v>
      </c>
      <c r="Q82" s="102" t="s">
        <v>329</v>
      </c>
      <c r="R82" s="98" t="s">
        <v>200</v>
      </c>
      <c r="S82" s="102" t="s">
        <v>331</v>
      </c>
      <c r="T82" s="102" t="s">
        <v>148</v>
      </c>
      <c r="U82" s="102" t="s">
        <v>330</v>
      </c>
      <c r="V82" s="98" t="s">
        <v>200</v>
      </c>
      <c r="W82" s="102" t="s">
        <v>331</v>
      </c>
      <c r="X82" s="102" t="s">
        <v>148</v>
      </c>
      <c r="Y82" s="102" t="s">
        <v>413</v>
      </c>
      <c r="Z82" s="98" t="s">
        <v>200</v>
      </c>
      <c r="AA82" s="102" t="s">
        <v>331</v>
      </c>
      <c r="AB82" s="102" t="s">
        <v>148</v>
      </c>
      <c r="AC82" s="102" t="s">
        <v>414</v>
      </c>
      <c r="AD82" s="98" t="s">
        <v>200</v>
      </c>
      <c r="AE82" s="102" t="s">
        <v>331</v>
      </c>
    </row>
    <row r="83" spans="1:31" s="111" customFormat="1" x14ac:dyDescent="0.25">
      <c r="A83" s="101" t="s">
        <v>430</v>
      </c>
      <c r="B83" s="101"/>
      <c r="C83" s="96" t="e">
        <f>((D83*G83)+(K83*H83)+(O83*L83)+(S83*P83)+(W83*T83)+(X83*AA83)+(AB83*AE83))</f>
        <v>#NAME?</v>
      </c>
      <c r="D83" s="99">
        <v>2</v>
      </c>
      <c r="E83" s="100" t="s">
        <v>418</v>
      </c>
      <c r="F83" s="59" t="str">
        <f>E83</f>
        <v>cadaber de pollo</v>
      </c>
      <c r="G83" s="97">
        <f t="shared" ref="G83" si="100">VLOOKUP(E83,craftedesp,3,FALSE)</f>
        <v>1</v>
      </c>
      <c r="H83" s="99">
        <v>1</v>
      </c>
      <c r="I83" s="100" t="s">
        <v>429</v>
      </c>
      <c r="J83" s="59" t="str">
        <f>I83</f>
        <v>Navaja de Hueso</v>
      </c>
      <c r="K83" s="97" t="e">
        <f t="shared" ref="K83" si="101">VLOOKUP(I83,craftedesp,3,FALSE)</f>
        <v>#NAME?</v>
      </c>
      <c r="L83" s="99">
        <v>0</v>
      </c>
      <c r="M83" s="100" t="s">
        <v>255</v>
      </c>
      <c r="N83" s="59" t="e">
        <f t="shared" ref="N83" si="102">VLOOKUP(M83,LISTAITEMS,2,FALSE)</f>
        <v>#NAME?</v>
      </c>
      <c r="O83" s="97" t="e">
        <f>VLOOKUP(M83,LISTAITEMS,5,FALSE)</f>
        <v>#NAME?</v>
      </c>
      <c r="P83" s="99">
        <v>0</v>
      </c>
      <c r="Q83" s="100" t="s">
        <v>255</v>
      </c>
      <c r="R83" s="59" t="e">
        <f t="shared" ref="R83" si="103">VLOOKUP(Q83,LISTAITEMS,2,FALSE)</f>
        <v>#NAME?</v>
      </c>
      <c r="S83" s="97" t="e">
        <f>VLOOKUP(Q83,LISTAITEMS,5,FALSE)</f>
        <v>#NAME?</v>
      </c>
      <c r="T83" s="99">
        <v>0</v>
      </c>
      <c r="U83" s="100" t="s">
        <v>255</v>
      </c>
      <c r="V83" s="59" t="e">
        <f t="shared" ref="V83" si="104">VLOOKUP(U83,LISTAITEMS,2,FALSE)</f>
        <v>#NAME?</v>
      </c>
      <c r="W83" s="97" t="e">
        <f>VLOOKUP(U83,LISTAITEMS,5,FALSE)</f>
        <v>#NAME?</v>
      </c>
      <c r="X83" s="99">
        <v>0</v>
      </c>
      <c r="Y83" s="100" t="s">
        <v>255</v>
      </c>
      <c r="Z83" s="59" t="e">
        <f t="shared" ref="Z83" si="105">VLOOKUP(Y83,LISTAITEMS,2,FALSE)</f>
        <v>#NAME?</v>
      </c>
      <c r="AA83" s="97" t="e">
        <f>VLOOKUP(Y83,LISTAITEMS,5,FALSE)</f>
        <v>#NAME?</v>
      </c>
      <c r="AB83" s="99">
        <v>0</v>
      </c>
      <c r="AC83" s="100" t="s">
        <v>255</v>
      </c>
      <c r="AD83" s="59" t="e">
        <f t="shared" ref="AD83" si="106">VLOOKUP(AC83,LISTAITEMS,2,FALSE)</f>
        <v>#NAME?</v>
      </c>
      <c r="AE83" s="97" t="e">
        <f>VLOOKUP(AC83,LISTAITEMS,5,FALSE)</f>
        <v>#NAME?</v>
      </c>
    </row>
    <row r="84" spans="1:31" x14ac:dyDescent="0.25">
      <c r="C84">
        <v>476</v>
      </c>
    </row>
    <row r="85" spans="1:31" s="115" customFormat="1" x14ac:dyDescent="0.25">
      <c r="A85" s="114"/>
      <c r="B85" s="114" t="s">
        <v>428</v>
      </c>
      <c r="C85" s="114"/>
      <c r="D85" s="114"/>
      <c r="E85" s="114"/>
      <c r="F85" s="114"/>
      <c r="G85" s="114"/>
      <c r="H85" s="114"/>
      <c r="I85" s="114"/>
      <c r="J85" s="114"/>
      <c r="K85" s="114"/>
      <c r="L85" s="114"/>
      <c r="M85" s="114"/>
      <c r="N85" s="114"/>
      <c r="O85" s="114"/>
      <c r="P85" s="114"/>
      <c r="Q85" s="114"/>
      <c r="R85" s="114"/>
      <c r="S85" s="114"/>
      <c r="T85" s="114"/>
      <c r="U85" s="114"/>
      <c r="V85" s="114"/>
      <c r="W85" s="114"/>
      <c r="X85" s="84"/>
      <c r="Y85" s="84"/>
      <c r="Z85" s="84"/>
      <c r="AA85" s="84"/>
      <c r="AB85" s="84"/>
      <c r="AC85" s="84"/>
      <c r="AD85" s="84"/>
      <c r="AE85" s="84"/>
    </row>
    <row r="86" spans="1:31" s="115" customFormat="1" x14ac:dyDescent="0.25">
      <c r="A86" s="95"/>
      <c r="B86" s="95" t="s">
        <v>200</v>
      </c>
      <c r="C86" s="98" t="s">
        <v>199</v>
      </c>
      <c r="D86" s="102" t="s">
        <v>148</v>
      </c>
      <c r="E86" s="102" t="s">
        <v>326</v>
      </c>
      <c r="F86" s="98" t="s">
        <v>200</v>
      </c>
      <c r="G86" s="102" t="s">
        <v>331</v>
      </c>
      <c r="H86" s="102" t="s">
        <v>148</v>
      </c>
      <c r="I86" s="102" t="s">
        <v>327</v>
      </c>
      <c r="J86" s="98" t="s">
        <v>200</v>
      </c>
      <c r="K86" s="102" t="s">
        <v>331</v>
      </c>
      <c r="L86" s="102" t="s">
        <v>148</v>
      </c>
      <c r="M86" s="102" t="s">
        <v>328</v>
      </c>
      <c r="N86" s="98" t="s">
        <v>200</v>
      </c>
      <c r="O86" s="102" t="s">
        <v>331</v>
      </c>
      <c r="P86" s="102" t="s">
        <v>148</v>
      </c>
      <c r="Q86" s="102" t="s">
        <v>329</v>
      </c>
      <c r="R86" s="98" t="s">
        <v>200</v>
      </c>
      <c r="S86" s="102" t="s">
        <v>331</v>
      </c>
      <c r="T86" s="102" t="s">
        <v>148</v>
      </c>
      <c r="U86" s="102" t="s">
        <v>330</v>
      </c>
      <c r="V86" s="98" t="s">
        <v>200</v>
      </c>
      <c r="W86" s="102" t="s">
        <v>331</v>
      </c>
      <c r="X86" s="102" t="s">
        <v>148</v>
      </c>
      <c r="Y86" s="102" t="s">
        <v>413</v>
      </c>
      <c r="Z86" s="98" t="s">
        <v>200</v>
      </c>
      <c r="AA86" s="102" t="s">
        <v>331</v>
      </c>
      <c r="AB86" s="102" t="s">
        <v>148</v>
      </c>
      <c r="AC86" s="102" t="s">
        <v>414</v>
      </c>
      <c r="AD86" s="98" t="s">
        <v>200</v>
      </c>
      <c r="AE86" s="102" t="s">
        <v>331</v>
      </c>
    </row>
    <row r="87" spans="1:31" s="115" customFormat="1" x14ac:dyDescent="0.25">
      <c r="A87" s="101" t="s">
        <v>429</v>
      </c>
      <c r="B87" s="101"/>
      <c r="C87" s="96" t="e">
        <f>((D87*G87)+(K87*H87)+(O87*L87)+(S87*P87)+(W87*T87)+(X87*AA87)+(AB87*AE87))</f>
        <v>#NAME?</v>
      </c>
      <c r="D87" s="99">
        <v>38</v>
      </c>
      <c r="E87" s="100">
        <v>352</v>
      </c>
      <c r="F87" s="59" t="e">
        <f t="shared" ref="F87" si="107">VLOOKUP(E87,LISTAITEMS,2,FALSE)</f>
        <v>#NAME?</v>
      </c>
      <c r="G87" s="97" t="e">
        <f>VLOOKUP(E87,LISTAITEMS,5,FALSE)</f>
        <v>#NAME?</v>
      </c>
      <c r="H87" s="99">
        <v>64</v>
      </c>
      <c r="I87" s="100">
        <v>280</v>
      </c>
      <c r="J87" s="59" t="e">
        <f t="shared" ref="J87" si="108">VLOOKUP(I87,LISTAITEMS,2,FALSE)</f>
        <v>#NAME?</v>
      </c>
      <c r="K87" s="97" t="e">
        <f>VLOOKUP(I87,LISTAITEMS,5,FALSE)</f>
        <v>#NAME?</v>
      </c>
      <c r="L87" s="99">
        <v>0</v>
      </c>
      <c r="M87" s="100" t="s">
        <v>255</v>
      </c>
      <c r="N87" s="59" t="e">
        <f t="shared" ref="N87" si="109">VLOOKUP(M87,LISTAITEMS,2,FALSE)</f>
        <v>#NAME?</v>
      </c>
      <c r="O87" s="97" t="e">
        <f>VLOOKUP(M87,LISTAITEMS,5,FALSE)</f>
        <v>#NAME?</v>
      </c>
      <c r="P87" s="99">
        <v>0</v>
      </c>
      <c r="Q87" s="100" t="s">
        <v>255</v>
      </c>
      <c r="R87" s="59" t="e">
        <f t="shared" ref="R87" si="110">VLOOKUP(Q87,LISTAITEMS,2,FALSE)</f>
        <v>#NAME?</v>
      </c>
      <c r="S87" s="97" t="e">
        <f>VLOOKUP(Q87,LISTAITEMS,5,FALSE)</f>
        <v>#NAME?</v>
      </c>
      <c r="T87" s="99">
        <v>0</v>
      </c>
      <c r="U87" s="100" t="s">
        <v>255</v>
      </c>
      <c r="V87" s="59" t="e">
        <f t="shared" ref="V87" si="111">VLOOKUP(U87,LISTAITEMS,2,FALSE)</f>
        <v>#NAME?</v>
      </c>
      <c r="W87" s="97" t="e">
        <f>VLOOKUP(U87,LISTAITEMS,5,FALSE)</f>
        <v>#NAME?</v>
      </c>
      <c r="X87" s="99">
        <v>0</v>
      </c>
      <c r="Y87" s="100" t="s">
        <v>255</v>
      </c>
      <c r="Z87" s="59" t="e">
        <f t="shared" ref="Z87" si="112">VLOOKUP(Y87,LISTAITEMS,2,FALSE)</f>
        <v>#NAME?</v>
      </c>
      <c r="AA87" s="97" t="e">
        <f>VLOOKUP(Y87,LISTAITEMS,5,FALSE)</f>
        <v>#NAME?</v>
      </c>
      <c r="AB87" s="99">
        <v>0</v>
      </c>
      <c r="AC87" s="100" t="s">
        <v>255</v>
      </c>
      <c r="AD87" s="59" t="e">
        <f t="shared" ref="AD87" si="113">VLOOKUP(AC87,LISTAITEMS,2,FALSE)</f>
        <v>#NAME?</v>
      </c>
      <c r="AE87" s="97" t="e">
        <f>VLOOKUP(AC87,LISTAITEMS,5,FALSE)</f>
        <v>#NAME?</v>
      </c>
    </row>
    <row r="91" spans="1:31" s="111" customFormat="1" x14ac:dyDescent="0.25">
      <c r="A91" s="114"/>
      <c r="B91" s="114" t="s">
        <v>394</v>
      </c>
      <c r="C91" s="114"/>
      <c r="D91" s="114"/>
      <c r="E91" s="114"/>
      <c r="F91" s="114"/>
      <c r="G91" s="114"/>
      <c r="H91" s="114"/>
      <c r="I91" s="114"/>
      <c r="J91" s="114"/>
      <c r="K91" s="114"/>
      <c r="L91" s="114"/>
      <c r="M91" s="114"/>
      <c r="N91" s="114"/>
      <c r="O91" s="114"/>
      <c r="P91" s="114"/>
      <c r="Q91" s="114"/>
      <c r="R91" s="114"/>
      <c r="S91" s="114"/>
      <c r="T91" s="114"/>
      <c r="U91" s="114"/>
      <c r="V91" s="114"/>
      <c r="W91" s="114"/>
      <c r="X91" s="84"/>
      <c r="Y91" s="84"/>
      <c r="Z91" s="84"/>
      <c r="AA91" s="84"/>
      <c r="AB91" s="84"/>
      <c r="AC91" s="84"/>
      <c r="AD91" s="84"/>
      <c r="AE91" s="84"/>
    </row>
    <row r="92" spans="1:31" s="111" customFormat="1" x14ac:dyDescent="0.25">
      <c r="A92" s="95"/>
      <c r="B92" s="95" t="s">
        <v>200</v>
      </c>
      <c r="C92" s="98" t="s">
        <v>199</v>
      </c>
      <c r="D92" s="102"/>
      <c r="E92" s="102"/>
      <c r="F92" s="98"/>
      <c r="G92" s="102"/>
      <c r="H92" s="102"/>
      <c r="I92" s="102"/>
      <c r="J92" s="98"/>
      <c r="K92" s="102"/>
      <c r="L92" s="102"/>
      <c r="M92" s="102"/>
      <c r="N92" s="98"/>
      <c r="O92" s="102"/>
      <c r="P92" s="102"/>
      <c r="Q92" s="102"/>
      <c r="R92" s="98"/>
      <c r="S92" s="102"/>
      <c r="T92" s="102"/>
      <c r="U92" s="102"/>
      <c r="V92" s="98"/>
      <c r="W92" s="102"/>
      <c r="X92" s="102"/>
      <c r="Y92" s="102"/>
      <c r="Z92" s="98"/>
      <c r="AA92" s="102"/>
      <c r="AB92" s="102"/>
      <c r="AC92" s="102"/>
      <c r="AD92" s="98"/>
      <c r="AE92" s="102"/>
    </row>
    <row r="93" spans="1:31" s="111" customFormat="1" x14ac:dyDescent="0.25">
      <c r="A93" s="101" t="s">
        <v>418</v>
      </c>
      <c r="B93" s="101"/>
      <c r="C93" s="96">
        <f>'ECONOMIA &amp; PROFESIONES'!K27</f>
        <v>1</v>
      </c>
      <c r="D93" s="99"/>
      <c r="E93" s="100"/>
      <c r="F93" s="59"/>
      <c r="G93" s="97"/>
      <c r="H93" s="99"/>
      <c r="I93" s="100"/>
      <c r="J93" s="59"/>
      <c r="K93" s="97"/>
      <c r="L93" s="99"/>
      <c r="M93" s="100"/>
      <c r="N93" s="59"/>
      <c r="O93" s="97"/>
      <c r="P93" s="99"/>
      <c r="Q93" s="100"/>
      <c r="R93" s="59"/>
      <c r="S93" s="97"/>
      <c r="T93" s="99"/>
      <c r="U93" s="100"/>
      <c r="V93" s="59"/>
      <c r="W93" s="97"/>
      <c r="X93" s="99"/>
      <c r="Y93" s="100"/>
      <c r="Z93" s="59"/>
      <c r="AA93" s="97"/>
      <c r="AB93" s="99"/>
      <c r="AC93" s="100"/>
      <c r="AD93" s="59"/>
      <c r="AE93" s="97"/>
    </row>
    <row r="123" spans="1:23" s="94" customFormat="1" x14ac:dyDescent="0.25">
      <c r="A123"/>
      <c r="B123"/>
      <c r="C123"/>
      <c r="D123"/>
      <c r="E123"/>
      <c r="F123"/>
      <c r="G123"/>
      <c r="H123"/>
      <c r="I123"/>
      <c r="J123"/>
      <c r="K123"/>
      <c r="L123"/>
      <c r="M123"/>
      <c r="N123"/>
      <c r="O123"/>
      <c r="P123"/>
      <c r="Q123"/>
      <c r="R123"/>
      <c r="S123"/>
      <c r="T123"/>
      <c r="U123"/>
      <c r="V123"/>
      <c r="W123"/>
    </row>
    <row r="124" spans="1:23" s="94" customFormat="1" x14ac:dyDescent="0.25">
      <c r="A124"/>
      <c r="B124"/>
      <c r="C124"/>
      <c r="D124"/>
      <c r="E124"/>
      <c r="F124"/>
      <c r="G124"/>
      <c r="H124"/>
      <c r="I124"/>
      <c r="J124"/>
      <c r="K124"/>
      <c r="L124"/>
      <c r="M124"/>
      <c r="N124"/>
      <c r="O124"/>
      <c r="P124"/>
      <c r="Q124"/>
      <c r="R124"/>
      <c r="S124"/>
      <c r="T124"/>
      <c r="U124"/>
      <c r="V124"/>
      <c r="W124"/>
    </row>
    <row r="125" spans="1:23" s="94" customFormat="1" x14ac:dyDescent="0.25">
      <c r="A125"/>
      <c r="B125"/>
      <c r="C125"/>
      <c r="D125"/>
      <c r="E125"/>
      <c r="F125"/>
      <c r="G125"/>
      <c r="H125"/>
      <c r="I125"/>
      <c r="J125"/>
      <c r="K125"/>
      <c r="L125"/>
      <c r="M125"/>
      <c r="N125"/>
      <c r="O125"/>
      <c r="P125"/>
      <c r="Q125"/>
      <c r="R125"/>
      <c r="S125"/>
      <c r="T125"/>
      <c r="U125"/>
      <c r="V125"/>
      <c r="W125"/>
    </row>
    <row r="126" spans="1:23" s="94" customFormat="1" x14ac:dyDescent="0.25">
      <c r="A126"/>
      <c r="B126"/>
      <c r="C126"/>
      <c r="D126"/>
      <c r="E126"/>
      <c r="F126"/>
      <c r="G126"/>
      <c r="H126"/>
      <c r="I126"/>
      <c r="J126"/>
      <c r="K126"/>
      <c r="L126"/>
      <c r="M126"/>
      <c r="N126"/>
      <c r="O126"/>
      <c r="P126"/>
      <c r="Q126"/>
      <c r="R126"/>
      <c r="S126"/>
      <c r="T126"/>
      <c r="U126"/>
      <c r="V126"/>
      <c r="W126"/>
    </row>
    <row r="127" spans="1:23" s="94" customFormat="1" x14ac:dyDescent="0.25">
      <c r="A127"/>
      <c r="B127"/>
      <c r="C127"/>
      <c r="D127"/>
      <c r="E127"/>
      <c r="F127"/>
      <c r="G127"/>
      <c r="H127"/>
      <c r="I127"/>
      <c r="J127"/>
      <c r="K127"/>
      <c r="L127"/>
      <c r="M127"/>
      <c r="N127"/>
      <c r="O127"/>
      <c r="P127"/>
      <c r="Q127"/>
      <c r="R127"/>
      <c r="S127"/>
      <c r="T127"/>
      <c r="U127"/>
      <c r="V127"/>
      <c r="W127"/>
    </row>
    <row r="133" spans="1:23" s="94" customFormat="1" x14ac:dyDescent="0.25">
      <c r="A133"/>
      <c r="B133"/>
      <c r="C133"/>
      <c r="D133"/>
      <c r="E133"/>
      <c r="F133"/>
      <c r="G133"/>
      <c r="H133"/>
      <c r="I133"/>
      <c r="J133"/>
      <c r="K133"/>
      <c r="L133"/>
      <c r="M133"/>
      <c r="N133"/>
      <c r="O133"/>
      <c r="P133"/>
      <c r="Q133"/>
      <c r="R133"/>
      <c r="S133"/>
      <c r="T133"/>
      <c r="U133"/>
      <c r="V133"/>
      <c r="W133"/>
    </row>
    <row r="150" spans="1:23" s="109" customFormat="1" x14ac:dyDescent="0.25">
      <c r="A150"/>
      <c r="B150"/>
      <c r="C150"/>
      <c r="D150"/>
      <c r="E150"/>
      <c r="F150"/>
      <c r="G150"/>
      <c r="H150"/>
      <c r="I150"/>
      <c r="J150"/>
      <c r="K150"/>
      <c r="L150"/>
      <c r="M150"/>
      <c r="N150"/>
      <c r="O150"/>
      <c r="P150"/>
      <c r="Q150"/>
      <c r="R150"/>
      <c r="S150"/>
      <c r="T150"/>
      <c r="U150"/>
      <c r="V150"/>
      <c r="W150"/>
    </row>
    <row r="151" spans="1:23" s="109" customFormat="1" x14ac:dyDescent="0.25">
      <c r="A151"/>
      <c r="B151"/>
      <c r="C151"/>
      <c r="D151"/>
      <c r="E151"/>
      <c r="F151"/>
      <c r="G151"/>
      <c r="H151"/>
      <c r="I151"/>
      <c r="J151"/>
      <c r="K151"/>
      <c r="L151"/>
      <c r="M151"/>
      <c r="N151"/>
      <c r="O151"/>
      <c r="P151"/>
      <c r="Q151"/>
      <c r="R151"/>
      <c r="S151"/>
      <c r="T151"/>
      <c r="U151"/>
      <c r="V151"/>
      <c r="W151"/>
    </row>
    <row r="181" spans="1:23" s="110" customFormat="1" x14ac:dyDescent="0.25">
      <c r="A181"/>
      <c r="B181"/>
      <c r="C181"/>
      <c r="D181"/>
      <c r="E181"/>
      <c r="F181"/>
      <c r="G181"/>
      <c r="H181"/>
      <c r="I181"/>
      <c r="J181"/>
      <c r="K181"/>
      <c r="L181"/>
      <c r="M181"/>
      <c r="N181"/>
      <c r="O181"/>
      <c r="P181"/>
      <c r="Q181"/>
      <c r="R181"/>
      <c r="S181"/>
      <c r="T181"/>
      <c r="U181"/>
      <c r="V181"/>
      <c r="W181"/>
    </row>
    <row r="182" spans="1:23" s="110" customFormat="1" x14ac:dyDescent="0.25">
      <c r="A182"/>
      <c r="B182"/>
      <c r="C182"/>
      <c r="D182"/>
      <c r="E182"/>
      <c r="F182"/>
      <c r="G182"/>
      <c r="H182"/>
      <c r="I182"/>
      <c r="J182"/>
      <c r="K182"/>
      <c r="L182"/>
      <c r="M182"/>
      <c r="N182"/>
      <c r="O182"/>
      <c r="P182"/>
      <c r="Q182"/>
      <c r="R182"/>
      <c r="S182"/>
      <c r="T182"/>
      <c r="U182"/>
      <c r="V182"/>
      <c r="W182"/>
    </row>
    <row r="183" spans="1:23" s="110" customFormat="1" x14ac:dyDescent="0.25">
      <c r="A183"/>
      <c r="B183"/>
      <c r="C183"/>
      <c r="D183"/>
      <c r="E183"/>
      <c r="F183"/>
      <c r="G183"/>
      <c r="H183"/>
      <c r="I183"/>
      <c r="J183"/>
      <c r="K183"/>
      <c r="L183"/>
      <c r="M183"/>
      <c r="N183"/>
      <c r="O183"/>
      <c r="P183"/>
      <c r="Q183"/>
      <c r="R183"/>
      <c r="S183"/>
      <c r="T183"/>
      <c r="U183"/>
      <c r="V183"/>
      <c r="W183"/>
    </row>
    <row r="184" spans="1:23" s="110" customFormat="1" x14ac:dyDescent="0.25">
      <c r="A184"/>
      <c r="B184"/>
      <c r="C184"/>
      <c r="D184"/>
      <c r="E184"/>
      <c r="F184"/>
      <c r="G184"/>
      <c r="H184"/>
      <c r="I184"/>
      <c r="J184"/>
      <c r="K184"/>
      <c r="L184"/>
      <c r="M184"/>
      <c r="N184"/>
      <c r="O184"/>
      <c r="P184"/>
      <c r="Q184"/>
      <c r="R184"/>
      <c r="S184"/>
      <c r="T184"/>
      <c r="U184"/>
      <c r="V184"/>
      <c r="W184"/>
    </row>
    <row r="185" spans="1:23" s="110" customFormat="1" x14ac:dyDescent="0.25">
      <c r="A185"/>
      <c r="B185"/>
      <c r="C185"/>
      <c r="D185"/>
      <c r="E185"/>
      <c r="F185"/>
      <c r="G185"/>
      <c r="H185"/>
      <c r="I185"/>
      <c r="J185"/>
      <c r="K185"/>
      <c r="L185"/>
      <c r="M185"/>
      <c r="N185"/>
      <c r="O185"/>
      <c r="P185"/>
      <c r="Q185"/>
      <c r="R185"/>
      <c r="S185"/>
      <c r="T185"/>
      <c r="U185"/>
      <c r="V185"/>
      <c r="W185"/>
    </row>
    <row r="192" spans="1:23" s="94" customFormat="1" x14ac:dyDescent="0.25">
      <c r="A192"/>
      <c r="B192"/>
      <c r="C192"/>
      <c r="D192"/>
      <c r="E192"/>
      <c r="F192"/>
      <c r="G192"/>
      <c r="H192"/>
      <c r="I192"/>
      <c r="J192"/>
      <c r="K192"/>
      <c r="L192"/>
      <c r="M192"/>
      <c r="N192"/>
      <c r="O192"/>
      <c r="P192"/>
      <c r="Q192"/>
      <c r="R192"/>
      <c r="S192"/>
      <c r="T192"/>
      <c r="U192"/>
      <c r="V192"/>
      <c r="W192"/>
    </row>
    <row r="193" spans="1:23" s="94" customFormat="1" x14ac:dyDescent="0.25">
      <c r="A193"/>
      <c r="B193"/>
      <c r="C193"/>
      <c r="D193"/>
      <c r="E193"/>
      <c r="F193"/>
      <c r="G193"/>
      <c r="H193"/>
      <c r="I193"/>
      <c r="J193"/>
      <c r="K193"/>
      <c r="L193"/>
      <c r="M193"/>
      <c r="N193"/>
      <c r="O193"/>
      <c r="P193"/>
      <c r="Q193"/>
      <c r="R193"/>
      <c r="S193"/>
      <c r="T193"/>
      <c r="U193"/>
      <c r="V193"/>
      <c r="W193"/>
    </row>
    <row r="194" spans="1:23" s="94" customFormat="1" x14ac:dyDescent="0.25">
      <c r="A194"/>
      <c r="B194"/>
      <c r="C194"/>
      <c r="D194"/>
      <c r="E194"/>
      <c r="F194"/>
      <c r="G194"/>
      <c r="H194"/>
      <c r="I194"/>
      <c r="J194"/>
      <c r="K194"/>
      <c r="L194"/>
      <c r="M194"/>
      <c r="N194"/>
      <c r="O194"/>
      <c r="P194"/>
      <c r="Q194"/>
      <c r="R194"/>
      <c r="S194"/>
      <c r="T194"/>
      <c r="U194"/>
      <c r="V194"/>
      <c r="W194"/>
    </row>
    <row r="195" spans="1:23" s="94" customFormat="1" x14ac:dyDescent="0.25">
      <c r="A195"/>
      <c r="B195"/>
      <c r="C195"/>
      <c r="D195"/>
      <c r="E195"/>
      <c r="F195"/>
      <c r="G195"/>
      <c r="H195"/>
      <c r="I195"/>
      <c r="J195"/>
      <c r="K195"/>
      <c r="L195"/>
      <c r="M195"/>
      <c r="N195"/>
      <c r="O195"/>
      <c r="P195"/>
      <c r="Q195"/>
      <c r="R195"/>
      <c r="S195"/>
      <c r="T195"/>
      <c r="U195"/>
      <c r="V195"/>
      <c r="W195"/>
    </row>
    <row r="196" spans="1:23" s="94" customFormat="1" x14ac:dyDescent="0.25">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F7" sqref="F7"/>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196" t="s">
        <v>402</v>
      </c>
      <c r="B1" s="84"/>
      <c r="C1" s="84"/>
      <c r="D1" s="113"/>
      <c r="E1" s="103" t="s">
        <v>332</v>
      </c>
      <c r="F1" s="103" t="s">
        <v>333</v>
      </c>
      <c r="G1" s="103" t="s">
        <v>410</v>
      </c>
      <c r="H1" s="103" t="s">
        <v>199</v>
      </c>
      <c r="I1" s="103" t="s">
        <v>334</v>
      </c>
      <c r="J1" s="103" t="s">
        <v>410</v>
      </c>
      <c r="K1" s="103" t="s">
        <v>199</v>
      </c>
      <c r="L1" s="103" t="s">
        <v>350</v>
      </c>
      <c r="M1" s="103" t="s">
        <v>410</v>
      </c>
      <c r="N1" s="103" t="s">
        <v>199</v>
      </c>
      <c r="O1" s="103" t="s">
        <v>403</v>
      </c>
      <c r="P1" s="103" t="s">
        <v>410</v>
      </c>
      <c r="Q1" s="103" t="s">
        <v>199</v>
      </c>
      <c r="R1" s="103" t="s">
        <v>404</v>
      </c>
      <c r="S1" s="103" t="s">
        <v>410</v>
      </c>
      <c r="T1" s="103" t="s">
        <v>199</v>
      </c>
      <c r="U1" s="103" t="s">
        <v>405</v>
      </c>
      <c r="V1" s="103" t="s">
        <v>410</v>
      </c>
      <c r="W1" s="103" t="s">
        <v>199</v>
      </c>
      <c r="X1" s="103" t="s">
        <v>406</v>
      </c>
      <c r="Y1" s="103" t="s">
        <v>410</v>
      </c>
      <c r="Z1" s="103" t="s">
        <v>199</v>
      </c>
    </row>
    <row r="2" spans="1:26" x14ac:dyDescent="0.25">
      <c r="A2" s="196"/>
      <c r="B2" s="205" t="s">
        <v>341</v>
      </c>
      <c r="C2" s="31" t="s">
        <v>6</v>
      </c>
      <c r="D2" s="34">
        <f>'ECONOMIA &amp; PROFESIONES'!$N$5</f>
        <v>502</v>
      </c>
      <c r="E2" s="53" t="e">
        <f>(H2*G2)+(K2*J2)+(M2*N2)+(P2*Q2)+(S2*T2)+(V2*W2)+(Y2*Z2)</f>
        <v>#NAME?</v>
      </c>
      <c r="F2" s="100" t="s">
        <v>419</v>
      </c>
      <c r="G2" s="104">
        <v>2</v>
      </c>
      <c r="H2" s="97" t="e">
        <f>VLOOKUP(F2,craftedesp,3,FALSE)</f>
        <v>#NAME?</v>
      </c>
      <c r="I2" s="100" t="s">
        <v>345</v>
      </c>
      <c r="J2" s="104">
        <v>2</v>
      </c>
      <c r="K2" s="97" t="e">
        <f>VLOOKUP(I2,craftedesp,3,FALSE)</f>
        <v>#NAME?</v>
      </c>
      <c r="L2" s="100" t="s">
        <v>255</v>
      </c>
      <c r="M2" s="104">
        <v>0</v>
      </c>
      <c r="N2" s="97">
        <f t="shared" ref="N2:N26" si="0">VLOOKUP(L2,craftedesp,3,FALSE)</f>
        <v>0</v>
      </c>
      <c r="O2" s="100" t="s">
        <v>255</v>
      </c>
      <c r="P2" s="104">
        <v>0</v>
      </c>
      <c r="Q2" s="97">
        <f t="shared" ref="Q2:Q26" si="1">VLOOKUP(O2,craftedesp,3,FALSE)</f>
        <v>0</v>
      </c>
      <c r="R2" s="100" t="s">
        <v>255</v>
      </c>
      <c r="S2" s="104">
        <v>0</v>
      </c>
      <c r="T2" s="97">
        <f t="shared" ref="T2:T26" si="2">VLOOKUP(R2,craftedesp,3,FALSE)</f>
        <v>0</v>
      </c>
      <c r="U2" s="100" t="s">
        <v>255</v>
      </c>
      <c r="V2" s="104">
        <v>0</v>
      </c>
      <c r="W2" s="97">
        <f t="shared" ref="W2:W26" si="3">VLOOKUP(U2,craftedesp,3,FALSE)</f>
        <v>0</v>
      </c>
      <c r="X2" s="100" t="s">
        <v>255</v>
      </c>
      <c r="Y2" s="104">
        <v>0</v>
      </c>
      <c r="Z2" s="97">
        <f t="shared" ref="Z2:Z26" si="4">VLOOKUP(X2,craftedesp,3,FALSE)</f>
        <v>0</v>
      </c>
    </row>
    <row r="3" spans="1:26" x14ac:dyDescent="0.25">
      <c r="A3" s="196"/>
      <c r="B3" s="206"/>
      <c r="C3" s="32" t="s">
        <v>113</v>
      </c>
      <c r="D3" s="34">
        <f>'ECONOMIA &amp; PROFESIONES'!$N$6</f>
        <v>505</v>
      </c>
      <c r="E3" s="53" t="e">
        <f t="shared" ref="E3:E26" si="5">(H3*G3)+(K3*J3)+(M3*N3)+(P3*Q3)+(S3*T3)+(V3*W3)+(Y3*Z3)</f>
        <v>#NAME?</v>
      </c>
      <c r="F3" s="100" t="s">
        <v>423</v>
      </c>
      <c r="G3" s="104">
        <v>1</v>
      </c>
      <c r="H3" s="97" t="e">
        <f t="shared" ref="H3:H26" si="6">VLOOKUP(F3,craftedesp,3,FALSE)</f>
        <v>#NAME?</v>
      </c>
      <c r="I3" s="100" t="s">
        <v>430</v>
      </c>
      <c r="J3" s="104">
        <v>2</v>
      </c>
      <c r="K3" s="97" t="e">
        <f t="shared" ref="K3:K26" si="7">VLOOKUP(I3,craftedesp,3,FALSE)</f>
        <v>#NAME?</v>
      </c>
      <c r="L3" s="100" t="s">
        <v>255</v>
      </c>
      <c r="M3" s="104">
        <v>0</v>
      </c>
      <c r="N3" s="97">
        <f t="shared" si="0"/>
        <v>0</v>
      </c>
      <c r="O3" s="100" t="s">
        <v>255</v>
      </c>
      <c r="P3" s="104">
        <v>0</v>
      </c>
      <c r="Q3" s="97">
        <f t="shared" si="1"/>
        <v>0</v>
      </c>
      <c r="R3" s="100" t="s">
        <v>255</v>
      </c>
      <c r="S3" s="104">
        <v>0</v>
      </c>
      <c r="T3" s="97">
        <f t="shared" si="2"/>
        <v>0</v>
      </c>
      <c r="U3" s="100" t="s">
        <v>255</v>
      </c>
      <c r="V3" s="104">
        <v>0</v>
      </c>
      <c r="W3" s="97">
        <f t="shared" si="3"/>
        <v>0</v>
      </c>
      <c r="X3" s="100" t="s">
        <v>255</v>
      </c>
      <c r="Y3" s="104">
        <v>0</v>
      </c>
      <c r="Z3" s="97">
        <f t="shared" si="4"/>
        <v>0</v>
      </c>
    </row>
    <row r="4" spans="1:26" x14ac:dyDescent="0.25">
      <c r="A4" s="196"/>
      <c r="B4" s="206"/>
      <c r="C4" s="31" t="s">
        <v>114</v>
      </c>
      <c r="D4" s="34">
        <f>'ECONOMIA &amp; PROFESIONES'!$N$7</f>
        <v>508</v>
      </c>
      <c r="E4" s="53" t="e">
        <f t="shared" si="5"/>
        <v>#NAME?</v>
      </c>
      <c r="F4" s="100" t="s">
        <v>423</v>
      </c>
      <c r="G4" s="104">
        <v>2</v>
      </c>
      <c r="H4" s="97" t="e">
        <f t="shared" si="6"/>
        <v>#NAME?</v>
      </c>
      <c r="I4" s="100" t="s">
        <v>430</v>
      </c>
      <c r="J4" s="104">
        <v>2</v>
      </c>
      <c r="K4" s="97" t="e">
        <f t="shared" si="7"/>
        <v>#NAME?</v>
      </c>
      <c r="L4" s="100" t="s">
        <v>255</v>
      </c>
      <c r="M4" s="104">
        <v>0</v>
      </c>
      <c r="N4" s="97">
        <f t="shared" si="0"/>
        <v>0</v>
      </c>
      <c r="O4" s="100" t="s">
        <v>255</v>
      </c>
      <c r="P4" s="104">
        <v>0</v>
      </c>
      <c r="Q4" s="97">
        <f t="shared" si="1"/>
        <v>0</v>
      </c>
      <c r="R4" s="100" t="s">
        <v>255</v>
      </c>
      <c r="S4" s="104">
        <v>0</v>
      </c>
      <c r="T4" s="97">
        <f t="shared" si="2"/>
        <v>0</v>
      </c>
      <c r="U4" s="100" t="s">
        <v>255</v>
      </c>
      <c r="V4" s="104">
        <v>0</v>
      </c>
      <c r="W4" s="97">
        <f t="shared" si="3"/>
        <v>0</v>
      </c>
      <c r="X4" s="100" t="s">
        <v>255</v>
      </c>
      <c r="Y4" s="104">
        <v>0</v>
      </c>
      <c r="Z4" s="97">
        <f t="shared" si="4"/>
        <v>0</v>
      </c>
    </row>
    <row r="5" spans="1:26" x14ac:dyDescent="0.25">
      <c r="A5" s="196"/>
      <c r="B5" s="206"/>
      <c r="C5" s="32" t="s">
        <v>115</v>
      </c>
      <c r="D5" s="34">
        <f>'ECONOMIA &amp; PROFESIONES'!$N$8</f>
        <v>507</v>
      </c>
      <c r="E5" s="53" t="e">
        <f t="shared" si="5"/>
        <v>#NAME?</v>
      </c>
      <c r="F5" s="100" t="s">
        <v>423</v>
      </c>
      <c r="G5" s="104">
        <v>1</v>
      </c>
      <c r="H5" s="97" t="e">
        <f t="shared" si="6"/>
        <v>#NAME?</v>
      </c>
      <c r="I5" s="100" t="s">
        <v>430</v>
      </c>
      <c r="J5" s="104">
        <v>3</v>
      </c>
      <c r="K5" s="97" t="e">
        <f t="shared" si="7"/>
        <v>#NAME?</v>
      </c>
      <c r="L5" s="100" t="s">
        <v>255</v>
      </c>
      <c r="M5" s="104">
        <v>0</v>
      </c>
      <c r="N5" s="97">
        <f t="shared" si="0"/>
        <v>0</v>
      </c>
      <c r="O5" s="100" t="s">
        <v>255</v>
      </c>
      <c r="P5" s="104">
        <v>0</v>
      </c>
      <c r="Q5" s="97">
        <f t="shared" si="1"/>
        <v>0</v>
      </c>
      <c r="R5" s="100" t="s">
        <v>255</v>
      </c>
      <c r="S5" s="104">
        <v>0</v>
      </c>
      <c r="T5" s="97">
        <f t="shared" si="2"/>
        <v>0</v>
      </c>
      <c r="U5" s="100" t="s">
        <v>255</v>
      </c>
      <c r="V5" s="104">
        <v>0</v>
      </c>
      <c r="W5" s="97">
        <f t="shared" si="3"/>
        <v>0</v>
      </c>
      <c r="X5" s="100" t="s">
        <v>255</v>
      </c>
      <c r="Y5" s="104">
        <v>0</v>
      </c>
      <c r="Z5" s="97">
        <f t="shared" si="4"/>
        <v>0</v>
      </c>
    </row>
    <row r="6" spans="1:26" x14ac:dyDescent="0.25">
      <c r="A6" s="196"/>
      <c r="B6" s="207"/>
      <c r="C6" s="31" t="s">
        <v>116</v>
      </c>
      <c r="D6" s="34">
        <f>'ECONOMIA &amp; PROFESIONES'!$N$9</f>
        <v>504</v>
      </c>
      <c r="E6" s="53" t="e">
        <f t="shared" si="5"/>
        <v>#NAME?</v>
      </c>
      <c r="F6" s="100" t="s">
        <v>423</v>
      </c>
      <c r="G6" s="104">
        <v>1</v>
      </c>
      <c r="H6" s="97" t="e">
        <f t="shared" si="6"/>
        <v>#NAME?</v>
      </c>
      <c r="I6" s="100" t="s">
        <v>430</v>
      </c>
      <c r="J6" s="104">
        <v>1</v>
      </c>
      <c r="K6" s="97" t="e">
        <f t="shared" si="7"/>
        <v>#NAME?</v>
      </c>
      <c r="L6" s="100" t="s">
        <v>255</v>
      </c>
      <c r="M6" s="104">
        <v>0</v>
      </c>
      <c r="N6" s="97">
        <f t="shared" si="0"/>
        <v>0</v>
      </c>
      <c r="O6" s="100" t="s">
        <v>255</v>
      </c>
      <c r="P6" s="104">
        <v>0</v>
      </c>
      <c r="Q6" s="97">
        <f t="shared" si="1"/>
        <v>0</v>
      </c>
      <c r="R6" s="100" t="s">
        <v>255</v>
      </c>
      <c r="S6" s="104">
        <v>0</v>
      </c>
      <c r="T6" s="97">
        <f t="shared" si="2"/>
        <v>0</v>
      </c>
      <c r="U6" s="100" t="s">
        <v>255</v>
      </c>
      <c r="V6" s="104">
        <v>0</v>
      </c>
      <c r="W6" s="97">
        <f t="shared" si="3"/>
        <v>0</v>
      </c>
      <c r="X6" s="100" t="s">
        <v>255</v>
      </c>
      <c r="Y6" s="104">
        <v>0</v>
      </c>
      <c r="Z6" s="97">
        <f t="shared" si="4"/>
        <v>0</v>
      </c>
    </row>
    <row r="7" spans="1:26" x14ac:dyDescent="0.25">
      <c r="A7" s="196"/>
      <c r="B7" s="197" t="s">
        <v>342</v>
      </c>
      <c r="C7" s="32" t="s">
        <v>6</v>
      </c>
      <c r="D7" s="34">
        <f>'ECONOMIA &amp; PROFESIONES'!$N$10</f>
        <v>2052</v>
      </c>
      <c r="E7" s="53">
        <f t="shared" si="5"/>
        <v>0</v>
      </c>
      <c r="F7" s="100" t="s">
        <v>255</v>
      </c>
      <c r="G7" s="104">
        <v>0</v>
      </c>
      <c r="H7" s="97">
        <f t="shared" si="6"/>
        <v>0</v>
      </c>
      <c r="I7" s="100" t="s">
        <v>255</v>
      </c>
      <c r="J7" s="104">
        <v>0</v>
      </c>
      <c r="K7" s="97">
        <f t="shared" si="7"/>
        <v>0</v>
      </c>
      <c r="L7" s="100" t="s">
        <v>255</v>
      </c>
      <c r="M7" s="104">
        <v>0</v>
      </c>
      <c r="N7" s="97">
        <f t="shared" si="0"/>
        <v>0</v>
      </c>
      <c r="O7" s="100" t="s">
        <v>255</v>
      </c>
      <c r="P7" s="104">
        <v>0</v>
      </c>
      <c r="Q7" s="97">
        <f t="shared" si="1"/>
        <v>0</v>
      </c>
      <c r="R7" s="100" t="s">
        <v>255</v>
      </c>
      <c r="S7" s="104">
        <v>0</v>
      </c>
      <c r="T7" s="97">
        <f t="shared" si="2"/>
        <v>0</v>
      </c>
      <c r="U7" s="100" t="s">
        <v>255</v>
      </c>
      <c r="V7" s="104">
        <v>0</v>
      </c>
      <c r="W7" s="97">
        <f t="shared" si="3"/>
        <v>0</v>
      </c>
      <c r="X7" s="100" t="s">
        <v>255</v>
      </c>
      <c r="Y7" s="104">
        <v>0</v>
      </c>
      <c r="Z7" s="97">
        <f t="shared" si="4"/>
        <v>0</v>
      </c>
    </row>
    <row r="8" spans="1:26" x14ac:dyDescent="0.25">
      <c r="A8" s="196"/>
      <c r="B8" s="198"/>
      <c r="C8" s="31" t="s">
        <v>113</v>
      </c>
      <c r="D8" s="34">
        <f>'ECONOMIA &amp; PROFESIONES'!$N$11</f>
        <v>2130</v>
      </c>
      <c r="E8" s="53">
        <f t="shared" si="5"/>
        <v>0</v>
      </c>
      <c r="F8" s="100" t="s">
        <v>255</v>
      </c>
      <c r="G8" s="104">
        <v>0</v>
      </c>
      <c r="H8" s="97">
        <f t="shared" si="6"/>
        <v>0</v>
      </c>
      <c r="I8" s="100" t="s">
        <v>255</v>
      </c>
      <c r="J8" s="104">
        <v>0</v>
      </c>
      <c r="K8" s="97">
        <f t="shared" si="7"/>
        <v>0</v>
      </c>
      <c r="L8" s="100" t="s">
        <v>255</v>
      </c>
      <c r="M8" s="104">
        <v>0</v>
      </c>
      <c r="N8" s="97">
        <f t="shared" si="0"/>
        <v>0</v>
      </c>
      <c r="O8" s="100" t="s">
        <v>255</v>
      </c>
      <c r="P8" s="104">
        <v>0</v>
      </c>
      <c r="Q8" s="97">
        <f t="shared" si="1"/>
        <v>0</v>
      </c>
      <c r="R8" s="100" t="s">
        <v>255</v>
      </c>
      <c r="S8" s="104">
        <v>0</v>
      </c>
      <c r="T8" s="97">
        <f t="shared" si="2"/>
        <v>0</v>
      </c>
      <c r="U8" s="100" t="s">
        <v>255</v>
      </c>
      <c r="V8" s="104">
        <v>0</v>
      </c>
      <c r="W8" s="97">
        <f t="shared" si="3"/>
        <v>0</v>
      </c>
      <c r="X8" s="100" t="s">
        <v>255</v>
      </c>
      <c r="Y8" s="104">
        <v>0</v>
      </c>
      <c r="Z8" s="97">
        <f t="shared" si="4"/>
        <v>0</v>
      </c>
    </row>
    <row r="9" spans="1:26" x14ac:dyDescent="0.25">
      <c r="A9" s="196"/>
      <c r="B9" s="198"/>
      <c r="C9" s="32" t="s">
        <v>114</v>
      </c>
      <c r="D9" s="34">
        <f>'ECONOMIA &amp; PROFESIONES'!$N$12</f>
        <v>2208</v>
      </c>
      <c r="E9" s="53">
        <f t="shared" si="5"/>
        <v>0</v>
      </c>
      <c r="F9" s="100" t="s">
        <v>255</v>
      </c>
      <c r="G9" s="104">
        <v>0</v>
      </c>
      <c r="H9" s="97">
        <f t="shared" si="6"/>
        <v>0</v>
      </c>
      <c r="I9" s="100" t="s">
        <v>255</v>
      </c>
      <c r="J9" s="104">
        <v>0</v>
      </c>
      <c r="K9" s="97">
        <f t="shared" si="7"/>
        <v>0</v>
      </c>
      <c r="L9" s="100" t="s">
        <v>255</v>
      </c>
      <c r="M9" s="104">
        <v>0</v>
      </c>
      <c r="N9" s="97">
        <f t="shared" si="0"/>
        <v>0</v>
      </c>
      <c r="O9" s="100" t="s">
        <v>255</v>
      </c>
      <c r="P9" s="104">
        <v>0</v>
      </c>
      <c r="Q9" s="97">
        <f t="shared" si="1"/>
        <v>0</v>
      </c>
      <c r="R9" s="100" t="s">
        <v>255</v>
      </c>
      <c r="S9" s="104">
        <v>0</v>
      </c>
      <c r="T9" s="97">
        <f t="shared" si="2"/>
        <v>0</v>
      </c>
      <c r="U9" s="100" t="s">
        <v>255</v>
      </c>
      <c r="V9" s="104">
        <v>0</v>
      </c>
      <c r="W9" s="97">
        <f t="shared" si="3"/>
        <v>0</v>
      </c>
      <c r="X9" s="100" t="s">
        <v>255</v>
      </c>
      <c r="Y9" s="104">
        <v>0</v>
      </c>
      <c r="Z9" s="97">
        <f t="shared" si="4"/>
        <v>0</v>
      </c>
    </row>
    <row r="10" spans="1:26" x14ac:dyDescent="0.25">
      <c r="A10" s="196"/>
      <c r="B10" s="198"/>
      <c r="C10" s="31" t="s">
        <v>115</v>
      </c>
      <c r="D10" s="34">
        <f>'ECONOMIA &amp; PROFESIONES'!$N$13</f>
        <v>2182</v>
      </c>
      <c r="E10" s="53">
        <f t="shared" si="5"/>
        <v>0</v>
      </c>
      <c r="F10" s="100" t="s">
        <v>255</v>
      </c>
      <c r="G10" s="104">
        <v>0</v>
      </c>
      <c r="H10" s="97">
        <f t="shared" si="6"/>
        <v>0</v>
      </c>
      <c r="I10" s="100" t="s">
        <v>255</v>
      </c>
      <c r="J10" s="104">
        <v>0</v>
      </c>
      <c r="K10" s="97">
        <f t="shared" si="7"/>
        <v>0</v>
      </c>
      <c r="L10" s="100" t="s">
        <v>255</v>
      </c>
      <c r="M10" s="104">
        <v>0</v>
      </c>
      <c r="N10" s="97">
        <f t="shared" si="0"/>
        <v>0</v>
      </c>
      <c r="O10" s="100" t="s">
        <v>255</v>
      </c>
      <c r="P10" s="104">
        <v>0</v>
      </c>
      <c r="Q10" s="97">
        <f t="shared" si="1"/>
        <v>0</v>
      </c>
      <c r="R10" s="100" t="s">
        <v>255</v>
      </c>
      <c r="S10" s="104">
        <v>0</v>
      </c>
      <c r="T10" s="97">
        <f t="shared" si="2"/>
        <v>0</v>
      </c>
      <c r="U10" s="100" t="s">
        <v>255</v>
      </c>
      <c r="V10" s="104">
        <v>0</v>
      </c>
      <c r="W10" s="97">
        <f t="shared" si="3"/>
        <v>0</v>
      </c>
      <c r="X10" s="100" t="s">
        <v>255</v>
      </c>
      <c r="Y10" s="104">
        <v>0</v>
      </c>
      <c r="Z10" s="97">
        <f t="shared" si="4"/>
        <v>0</v>
      </c>
    </row>
    <row r="11" spans="1:26" x14ac:dyDescent="0.25">
      <c r="A11" s="196"/>
      <c r="B11" s="199"/>
      <c r="C11" s="32" t="s">
        <v>116</v>
      </c>
      <c r="D11" s="34">
        <f>'ECONOMIA &amp; PROFESIONES'!$N$14</f>
        <v>2104</v>
      </c>
      <c r="E11" s="53">
        <f t="shared" si="5"/>
        <v>0</v>
      </c>
      <c r="F11" s="100" t="s">
        <v>255</v>
      </c>
      <c r="G11" s="104">
        <v>0</v>
      </c>
      <c r="H11" s="97">
        <f t="shared" si="6"/>
        <v>0</v>
      </c>
      <c r="I11" s="100" t="s">
        <v>255</v>
      </c>
      <c r="J11" s="104">
        <v>0</v>
      </c>
      <c r="K11" s="97">
        <f t="shared" si="7"/>
        <v>0</v>
      </c>
      <c r="L11" s="100" t="s">
        <v>255</v>
      </c>
      <c r="M11" s="104">
        <v>0</v>
      </c>
      <c r="N11" s="97">
        <f t="shared" si="0"/>
        <v>0</v>
      </c>
      <c r="O11" s="100" t="s">
        <v>255</v>
      </c>
      <c r="P11" s="104">
        <v>0</v>
      </c>
      <c r="Q11" s="97">
        <f t="shared" si="1"/>
        <v>0</v>
      </c>
      <c r="R11" s="100" t="s">
        <v>255</v>
      </c>
      <c r="S11" s="104">
        <v>0</v>
      </c>
      <c r="T11" s="97">
        <f t="shared" si="2"/>
        <v>0</v>
      </c>
      <c r="U11" s="100" t="s">
        <v>255</v>
      </c>
      <c r="V11" s="104">
        <v>0</v>
      </c>
      <c r="W11" s="97">
        <f t="shared" si="3"/>
        <v>0</v>
      </c>
      <c r="X11" s="100" t="s">
        <v>255</v>
      </c>
      <c r="Y11" s="104">
        <v>0</v>
      </c>
      <c r="Z11" s="97">
        <f t="shared" si="4"/>
        <v>0</v>
      </c>
    </row>
    <row r="12" spans="1:26" x14ac:dyDescent="0.25">
      <c r="A12" s="196"/>
      <c r="B12" s="200" t="s">
        <v>408</v>
      </c>
      <c r="C12" s="31" t="s">
        <v>6</v>
      </c>
      <c r="D12" s="34">
        <f>'ECONOMIA &amp; PROFESIONES'!$N$15</f>
        <v>3652</v>
      </c>
      <c r="E12" s="53">
        <f t="shared" si="5"/>
        <v>0</v>
      </c>
      <c r="F12" s="100" t="s">
        <v>255</v>
      </c>
      <c r="G12" s="104">
        <v>0</v>
      </c>
      <c r="H12" s="97">
        <f t="shared" si="6"/>
        <v>0</v>
      </c>
      <c r="I12" s="100" t="s">
        <v>255</v>
      </c>
      <c r="J12" s="104">
        <v>0</v>
      </c>
      <c r="K12" s="97">
        <f t="shared" si="7"/>
        <v>0</v>
      </c>
      <c r="L12" s="100" t="s">
        <v>255</v>
      </c>
      <c r="M12" s="104">
        <v>0</v>
      </c>
      <c r="N12" s="97">
        <f t="shared" si="0"/>
        <v>0</v>
      </c>
      <c r="O12" s="100" t="s">
        <v>255</v>
      </c>
      <c r="P12" s="104">
        <v>0</v>
      </c>
      <c r="Q12" s="97">
        <f t="shared" si="1"/>
        <v>0</v>
      </c>
      <c r="R12" s="100" t="s">
        <v>255</v>
      </c>
      <c r="S12" s="104">
        <v>0</v>
      </c>
      <c r="T12" s="97">
        <f t="shared" si="2"/>
        <v>0</v>
      </c>
      <c r="U12" s="100" t="s">
        <v>255</v>
      </c>
      <c r="V12" s="104">
        <v>0</v>
      </c>
      <c r="W12" s="97">
        <f t="shared" si="3"/>
        <v>0</v>
      </c>
      <c r="X12" s="100" t="s">
        <v>255</v>
      </c>
      <c r="Y12" s="104">
        <v>0</v>
      </c>
      <c r="Z12" s="97">
        <f t="shared" si="4"/>
        <v>0</v>
      </c>
    </row>
    <row r="13" spans="1:26" x14ac:dyDescent="0.25">
      <c r="A13" s="196"/>
      <c r="B13" s="201"/>
      <c r="C13" s="32" t="s">
        <v>113</v>
      </c>
      <c r="D13" s="34">
        <f>'ECONOMIA &amp; PROFESIONES'!$N$16</f>
        <v>3880</v>
      </c>
      <c r="E13" s="53">
        <f t="shared" si="5"/>
        <v>0</v>
      </c>
      <c r="F13" s="100" t="s">
        <v>255</v>
      </c>
      <c r="G13" s="104">
        <v>0</v>
      </c>
      <c r="H13" s="97">
        <f t="shared" si="6"/>
        <v>0</v>
      </c>
      <c r="I13" s="100" t="s">
        <v>255</v>
      </c>
      <c r="J13" s="104">
        <v>0</v>
      </c>
      <c r="K13" s="97">
        <f t="shared" si="7"/>
        <v>0</v>
      </c>
      <c r="L13" s="100" t="s">
        <v>255</v>
      </c>
      <c r="M13" s="104">
        <v>0</v>
      </c>
      <c r="N13" s="97">
        <f t="shared" si="0"/>
        <v>0</v>
      </c>
      <c r="O13" s="100" t="s">
        <v>255</v>
      </c>
      <c r="P13" s="104">
        <v>0</v>
      </c>
      <c r="Q13" s="97">
        <f t="shared" si="1"/>
        <v>0</v>
      </c>
      <c r="R13" s="100" t="s">
        <v>255</v>
      </c>
      <c r="S13" s="104">
        <v>0</v>
      </c>
      <c r="T13" s="97">
        <f t="shared" si="2"/>
        <v>0</v>
      </c>
      <c r="U13" s="100" t="s">
        <v>255</v>
      </c>
      <c r="V13" s="104">
        <v>0</v>
      </c>
      <c r="W13" s="97">
        <f t="shared" si="3"/>
        <v>0</v>
      </c>
      <c r="X13" s="100" t="s">
        <v>255</v>
      </c>
      <c r="Y13" s="104">
        <v>0</v>
      </c>
      <c r="Z13" s="97">
        <f t="shared" si="4"/>
        <v>0</v>
      </c>
    </row>
    <row r="14" spans="1:26" x14ac:dyDescent="0.25">
      <c r="A14" s="196"/>
      <c r="B14" s="201"/>
      <c r="C14" s="31" t="s">
        <v>114</v>
      </c>
      <c r="D14" s="34">
        <f>'ECONOMIA &amp; PROFESIONES'!$N$17</f>
        <v>4108</v>
      </c>
      <c r="E14" s="53">
        <f t="shared" si="5"/>
        <v>0</v>
      </c>
      <c r="F14" s="100" t="s">
        <v>255</v>
      </c>
      <c r="G14" s="104">
        <v>0</v>
      </c>
      <c r="H14" s="97">
        <f t="shared" si="6"/>
        <v>0</v>
      </c>
      <c r="I14" s="100" t="s">
        <v>255</v>
      </c>
      <c r="J14" s="104">
        <v>0</v>
      </c>
      <c r="K14" s="97">
        <f t="shared" si="7"/>
        <v>0</v>
      </c>
      <c r="L14" s="100" t="s">
        <v>255</v>
      </c>
      <c r="M14" s="104">
        <v>0</v>
      </c>
      <c r="N14" s="97">
        <f t="shared" si="0"/>
        <v>0</v>
      </c>
      <c r="O14" s="100" t="s">
        <v>255</v>
      </c>
      <c r="P14" s="104">
        <v>0</v>
      </c>
      <c r="Q14" s="97">
        <f t="shared" si="1"/>
        <v>0</v>
      </c>
      <c r="R14" s="100" t="s">
        <v>255</v>
      </c>
      <c r="S14" s="104">
        <v>0</v>
      </c>
      <c r="T14" s="97">
        <f t="shared" si="2"/>
        <v>0</v>
      </c>
      <c r="U14" s="100" t="s">
        <v>255</v>
      </c>
      <c r="V14" s="104">
        <v>0</v>
      </c>
      <c r="W14" s="97">
        <f t="shared" si="3"/>
        <v>0</v>
      </c>
      <c r="X14" s="100" t="s">
        <v>255</v>
      </c>
      <c r="Y14" s="104">
        <v>0</v>
      </c>
      <c r="Z14" s="97">
        <f t="shared" si="4"/>
        <v>0</v>
      </c>
    </row>
    <row r="15" spans="1:26" x14ac:dyDescent="0.25">
      <c r="A15" s="196"/>
      <c r="B15" s="200"/>
      <c r="C15" s="32" t="s">
        <v>115</v>
      </c>
      <c r="D15" s="34">
        <f>'ECONOMIA &amp; PROFESIONES'!$N$18</f>
        <v>4032</v>
      </c>
      <c r="E15" s="53">
        <f t="shared" si="5"/>
        <v>0</v>
      </c>
      <c r="F15" s="100" t="s">
        <v>255</v>
      </c>
      <c r="G15" s="104">
        <v>0</v>
      </c>
      <c r="H15" s="97">
        <f t="shared" si="6"/>
        <v>0</v>
      </c>
      <c r="I15" s="100" t="s">
        <v>255</v>
      </c>
      <c r="J15" s="104">
        <v>0</v>
      </c>
      <c r="K15" s="97">
        <f t="shared" si="7"/>
        <v>0</v>
      </c>
      <c r="L15" s="100" t="s">
        <v>255</v>
      </c>
      <c r="M15" s="104">
        <v>0</v>
      </c>
      <c r="N15" s="97">
        <f t="shared" si="0"/>
        <v>0</v>
      </c>
      <c r="O15" s="100" t="s">
        <v>255</v>
      </c>
      <c r="P15" s="104">
        <v>0</v>
      </c>
      <c r="Q15" s="97">
        <f t="shared" si="1"/>
        <v>0</v>
      </c>
      <c r="R15" s="100" t="s">
        <v>255</v>
      </c>
      <c r="S15" s="104">
        <v>0</v>
      </c>
      <c r="T15" s="97">
        <f t="shared" si="2"/>
        <v>0</v>
      </c>
      <c r="U15" s="100" t="s">
        <v>255</v>
      </c>
      <c r="V15" s="104">
        <v>0</v>
      </c>
      <c r="W15" s="97">
        <f t="shared" si="3"/>
        <v>0</v>
      </c>
      <c r="X15" s="100" t="s">
        <v>255</v>
      </c>
      <c r="Y15" s="104">
        <v>0</v>
      </c>
      <c r="Z15" s="97">
        <f t="shared" si="4"/>
        <v>0</v>
      </c>
    </row>
    <row r="16" spans="1:26" x14ac:dyDescent="0.25">
      <c r="A16" s="196"/>
      <c r="B16" s="200"/>
      <c r="C16" s="31" t="s">
        <v>116</v>
      </c>
      <c r="D16" s="34">
        <f>'ECONOMIA &amp; PROFESIONES'!$N$19</f>
        <v>3804</v>
      </c>
      <c r="E16" s="53">
        <f t="shared" si="5"/>
        <v>0</v>
      </c>
      <c r="F16" s="100" t="s">
        <v>255</v>
      </c>
      <c r="G16" s="104">
        <v>0</v>
      </c>
      <c r="H16" s="97">
        <f t="shared" si="6"/>
        <v>0</v>
      </c>
      <c r="I16" s="100" t="s">
        <v>255</v>
      </c>
      <c r="J16" s="104">
        <v>0</v>
      </c>
      <c r="K16" s="97">
        <f t="shared" si="7"/>
        <v>0</v>
      </c>
      <c r="L16" s="100" t="s">
        <v>255</v>
      </c>
      <c r="M16" s="104">
        <v>0</v>
      </c>
      <c r="N16" s="97">
        <f t="shared" si="0"/>
        <v>0</v>
      </c>
      <c r="O16" s="100" t="s">
        <v>255</v>
      </c>
      <c r="P16" s="104">
        <v>0</v>
      </c>
      <c r="Q16" s="97">
        <f t="shared" si="1"/>
        <v>0</v>
      </c>
      <c r="R16" s="100" t="s">
        <v>255</v>
      </c>
      <c r="S16" s="104">
        <v>0</v>
      </c>
      <c r="T16" s="97">
        <f t="shared" si="2"/>
        <v>0</v>
      </c>
      <c r="U16" s="100" t="s">
        <v>255</v>
      </c>
      <c r="V16" s="104">
        <v>0</v>
      </c>
      <c r="W16" s="97">
        <f t="shared" si="3"/>
        <v>0</v>
      </c>
      <c r="X16" s="100" t="s">
        <v>255</v>
      </c>
      <c r="Y16" s="104">
        <v>0</v>
      </c>
      <c r="Z16" s="97">
        <f t="shared" si="4"/>
        <v>0</v>
      </c>
    </row>
    <row r="17" spans="1:26" x14ac:dyDescent="0.25">
      <c r="A17" s="196"/>
      <c r="B17" s="202" t="s">
        <v>409</v>
      </c>
      <c r="C17" s="32" t="s">
        <v>6</v>
      </c>
      <c r="D17" s="34">
        <f>'ECONOMIA &amp; PROFESIONES'!$N$20</f>
        <v>5252</v>
      </c>
      <c r="E17" s="53">
        <f t="shared" si="5"/>
        <v>0</v>
      </c>
      <c r="F17" s="100" t="s">
        <v>255</v>
      </c>
      <c r="G17" s="104">
        <v>0</v>
      </c>
      <c r="H17" s="97">
        <f t="shared" si="6"/>
        <v>0</v>
      </c>
      <c r="I17" s="100" t="s">
        <v>255</v>
      </c>
      <c r="J17" s="104">
        <v>0</v>
      </c>
      <c r="K17" s="97">
        <f t="shared" si="7"/>
        <v>0</v>
      </c>
      <c r="L17" s="100" t="s">
        <v>255</v>
      </c>
      <c r="M17" s="104">
        <v>0</v>
      </c>
      <c r="N17" s="97">
        <f t="shared" si="0"/>
        <v>0</v>
      </c>
      <c r="O17" s="100" t="s">
        <v>255</v>
      </c>
      <c r="P17" s="104">
        <v>0</v>
      </c>
      <c r="Q17" s="97">
        <f t="shared" si="1"/>
        <v>0</v>
      </c>
      <c r="R17" s="100" t="s">
        <v>255</v>
      </c>
      <c r="S17" s="104">
        <v>0</v>
      </c>
      <c r="T17" s="97">
        <f t="shared" si="2"/>
        <v>0</v>
      </c>
      <c r="U17" s="100" t="s">
        <v>255</v>
      </c>
      <c r="V17" s="104">
        <v>0</v>
      </c>
      <c r="W17" s="97">
        <f t="shared" si="3"/>
        <v>0</v>
      </c>
      <c r="X17" s="100" t="s">
        <v>255</v>
      </c>
      <c r="Y17" s="104">
        <v>0</v>
      </c>
      <c r="Z17" s="97">
        <f t="shared" si="4"/>
        <v>0</v>
      </c>
    </row>
    <row r="18" spans="1:26" x14ac:dyDescent="0.25">
      <c r="A18" s="196"/>
      <c r="B18" s="203"/>
      <c r="C18" s="31" t="s">
        <v>113</v>
      </c>
      <c r="D18" s="34">
        <f>'ECONOMIA &amp; PROFESIONES'!$N$21</f>
        <v>5630</v>
      </c>
      <c r="E18" s="53">
        <f t="shared" si="5"/>
        <v>0</v>
      </c>
      <c r="F18" s="100" t="s">
        <v>255</v>
      </c>
      <c r="G18" s="104">
        <v>0</v>
      </c>
      <c r="H18" s="97">
        <f t="shared" si="6"/>
        <v>0</v>
      </c>
      <c r="I18" s="100" t="s">
        <v>255</v>
      </c>
      <c r="J18" s="104">
        <v>0</v>
      </c>
      <c r="K18" s="97">
        <f t="shared" si="7"/>
        <v>0</v>
      </c>
      <c r="L18" s="100" t="s">
        <v>255</v>
      </c>
      <c r="M18" s="104">
        <v>0</v>
      </c>
      <c r="N18" s="97">
        <f t="shared" si="0"/>
        <v>0</v>
      </c>
      <c r="O18" s="100" t="s">
        <v>255</v>
      </c>
      <c r="P18" s="104">
        <v>0</v>
      </c>
      <c r="Q18" s="97">
        <f t="shared" si="1"/>
        <v>0</v>
      </c>
      <c r="R18" s="100" t="s">
        <v>255</v>
      </c>
      <c r="S18" s="104">
        <v>0</v>
      </c>
      <c r="T18" s="97">
        <f t="shared" si="2"/>
        <v>0</v>
      </c>
      <c r="U18" s="100" t="s">
        <v>255</v>
      </c>
      <c r="V18" s="104">
        <v>0</v>
      </c>
      <c r="W18" s="97">
        <f t="shared" si="3"/>
        <v>0</v>
      </c>
      <c r="X18" s="100" t="s">
        <v>255</v>
      </c>
      <c r="Y18" s="104">
        <v>0</v>
      </c>
      <c r="Z18" s="97">
        <f t="shared" si="4"/>
        <v>0</v>
      </c>
    </row>
    <row r="19" spans="1:26" x14ac:dyDescent="0.25">
      <c r="A19" s="196"/>
      <c r="B19" s="203"/>
      <c r="C19" s="32" t="s">
        <v>114</v>
      </c>
      <c r="D19" s="34">
        <f>'ECONOMIA &amp; PROFESIONES'!$N$22</f>
        <v>6008</v>
      </c>
      <c r="E19" s="53">
        <f t="shared" si="5"/>
        <v>0</v>
      </c>
      <c r="F19" s="100" t="s">
        <v>255</v>
      </c>
      <c r="G19" s="104">
        <v>0</v>
      </c>
      <c r="H19" s="97">
        <f t="shared" si="6"/>
        <v>0</v>
      </c>
      <c r="I19" s="100" t="s">
        <v>255</v>
      </c>
      <c r="J19" s="104">
        <v>0</v>
      </c>
      <c r="K19" s="97">
        <f t="shared" si="7"/>
        <v>0</v>
      </c>
      <c r="L19" s="100" t="s">
        <v>255</v>
      </c>
      <c r="M19" s="104">
        <v>0</v>
      </c>
      <c r="N19" s="97">
        <f t="shared" si="0"/>
        <v>0</v>
      </c>
      <c r="O19" s="100" t="s">
        <v>255</v>
      </c>
      <c r="P19" s="104">
        <v>0</v>
      </c>
      <c r="Q19" s="97">
        <f t="shared" si="1"/>
        <v>0</v>
      </c>
      <c r="R19" s="100" t="s">
        <v>255</v>
      </c>
      <c r="S19" s="104">
        <v>0</v>
      </c>
      <c r="T19" s="97">
        <f t="shared" si="2"/>
        <v>0</v>
      </c>
      <c r="U19" s="100" t="s">
        <v>255</v>
      </c>
      <c r="V19" s="104">
        <v>0</v>
      </c>
      <c r="W19" s="97">
        <f t="shared" si="3"/>
        <v>0</v>
      </c>
      <c r="X19" s="100" t="s">
        <v>255</v>
      </c>
      <c r="Y19" s="104">
        <v>0</v>
      </c>
      <c r="Z19" s="97">
        <f t="shared" si="4"/>
        <v>0</v>
      </c>
    </row>
    <row r="20" spans="1:26" x14ac:dyDescent="0.25">
      <c r="A20" s="196"/>
      <c r="B20" s="198"/>
      <c r="C20" s="31" t="s">
        <v>115</v>
      </c>
      <c r="D20" s="34">
        <f>'ECONOMIA &amp; PROFESIONES'!$N$23</f>
        <v>5882</v>
      </c>
      <c r="E20" s="53">
        <f t="shared" si="5"/>
        <v>0</v>
      </c>
      <c r="F20" s="100" t="s">
        <v>255</v>
      </c>
      <c r="G20" s="104">
        <v>0</v>
      </c>
      <c r="H20" s="97">
        <f t="shared" si="6"/>
        <v>0</v>
      </c>
      <c r="I20" s="100" t="s">
        <v>255</v>
      </c>
      <c r="J20" s="104">
        <v>0</v>
      </c>
      <c r="K20" s="97">
        <f t="shared" si="7"/>
        <v>0</v>
      </c>
      <c r="L20" s="100" t="s">
        <v>255</v>
      </c>
      <c r="M20" s="104">
        <v>0</v>
      </c>
      <c r="N20" s="97">
        <f t="shared" si="0"/>
        <v>0</v>
      </c>
      <c r="O20" s="100" t="s">
        <v>255</v>
      </c>
      <c r="P20" s="104">
        <v>0</v>
      </c>
      <c r="Q20" s="97">
        <f t="shared" si="1"/>
        <v>0</v>
      </c>
      <c r="R20" s="100" t="s">
        <v>255</v>
      </c>
      <c r="S20" s="104">
        <v>0</v>
      </c>
      <c r="T20" s="97">
        <f t="shared" si="2"/>
        <v>0</v>
      </c>
      <c r="U20" s="100" t="s">
        <v>255</v>
      </c>
      <c r="V20" s="104">
        <v>0</v>
      </c>
      <c r="W20" s="97">
        <f t="shared" si="3"/>
        <v>0</v>
      </c>
      <c r="X20" s="100" t="s">
        <v>255</v>
      </c>
      <c r="Y20" s="104">
        <v>0</v>
      </c>
      <c r="Z20" s="97">
        <f t="shared" si="4"/>
        <v>0</v>
      </c>
    </row>
    <row r="21" spans="1:26" x14ac:dyDescent="0.25">
      <c r="A21" s="196"/>
      <c r="B21" s="204"/>
      <c r="C21" s="32" t="s">
        <v>116</v>
      </c>
      <c r="D21" s="34">
        <f>'ECONOMIA &amp; PROFESIONES'!$N$24</f>
        <v>5504</v>
      </c>
      <c r="E21" s="53">
        <f t="shared" si="5"/>
        <v>0</v>
      </c>
      <c r="F21" s="100" t="s">
        <v>255</v>
      </c>
      <c r="G21" s="104">
        <v>0</v>
      </c>
      <c r="H21" s="97">
        <f t="shared" si="6"/>
        <v>0</v>
      </c>
      <c r="I21" s="100" t="s">
        <v>255</v>
      </c>
      <c r="J21" s="104">
        <v>0</v>
      </c>
      <c r="K21" s="97">
        <f t="shared" si="7"/>
        <v>0</v>
      </c>
      <c r="L21" s="100" t="s">
        <v>255</v>
      </c>
      <c r="M21" s="104">
        <v>0</v>
      </c>
      <c r="N21" s="97">
        <f t="shared" si="0"/>
        <v>0</v>
      </c>
      <c r="O21" s="100" t="s">
        <v>255</v>
      </c>
      <c r="P21" s="104">
        <v>0</v>
      </c>
      <c r="Q21" s="97">
        <f t="shared" si="1"/>
        <v>0</v>
      </c>
      <c r="R21" s="100" t="s">
        <v>255</v>
      </c>
      <c r="S21" s="104">
        <v>0</v>
      </c>
      <c r="T21" s="97">
        <f t="shared" si="2"/>
        <v>0</v>
      </c>
      <c r="U21" s="100" t="s">
        <v>255</v>
      </c>
      <c r="V21" s="104">
        <v>0</v>
      </c>
      <c r="W21" s="97">
        <f t="shared" si="3"/>
        <v>0</v>
      </c>
      <c r="X21" s="100" t="s">
        <v>255</v>
      </c>
      <c r="Y21" s="104">
        <v>0</v>
      </c>
      <c r="Z21" s="97">
        <f t="shared" si="4"/>
        <v>0</v>
      </c>
    </row>
    <row r="22" spans="1:26" x14ac:dyDescent="0.25">
      <c r="A22" s="196"/>
      <c r="B22" s="200" t="s">
        <v>407</v>
      </c>
      <c r="C22" s="31" t="s">
        <v>6</v>
      </c>
      <c r="D22" s="34">
        <f>'ECONOMIA &amp; PROFESIONES'!$N$25</f>
        <v>6852</v>
      </c>
      <c r="E22" s="53">
        <f t="shared" si="5"/>
        <v>0</v>
      </c>
      <c r="F22" s="100" t="s">
        <v>255</v>
      </c>
      <c r="G22" s="104">
        <v>0</v>
      </c>
      <c r="H22" s="97">
        <f t="shared" si="6"/>
        <v>0</v>
      </c>
      <c r="I22" s="100" t="s">
        <v>255</v>
      </c>
      <c r="J22" s="104">
        <v>0</v>
      </c>
      <c r="K22" s="97">
        <f t="shared" si="7"/>
        <v>0</v>
      </c>
      <c r="L22" s="100" t="s">
        <v>255</v>
      </c>
      <c r="M22" s="104">
        <v>0</v>
      </c>
      <c r="N22" s="97">
        <f t="shared" si="0"/>
        <v>0</v>
      </c>
      <c r="O22" s="100" t="s">
        <v>255</v>
      </c>
      <c r="P22" s="104">
        <v>0</v>
      </c>
      <c r="Q22" s="97">
        <f t="shared" si="1"/>
        <v>0</v>
      </c>
      <c r="R22" s="100" t="s">
        <v>255</v>
      </c>
      <c r="S22" s="104">
        <v>0</v>
      </c>
      <c r="T22" s="97">
        <f t="shared" si="2"/>
        <v>0</v>
      </c>
      <c r="U22" s="100" t="s">
        <v>255</v>
      </c>
      <c r="V22" s="104">
        <v>0</v>
      </c>
      <c r="W22" s="97">
        <f t="shared" si="3"/>
        <v>0</v>
      </c>
      <c r="X22" s="100" t="s">
        <v>255</v>
      </c>
      <c r="Y22" s="104">
        <v>0</v>
      </c>
      <c r="Z22" s="97">
        <f t="shared" si="4"/>
        <v>0</v>
      </c>
    </row>
    <row r="23" spans="1:26" x14ac:dyDescent="0.25">
      <c r="A23" s="196"/>
      <c r="B23" s="200"/>
      <c r="C23" s="32" t="s">
        <v>113</v>
      </c>
      <c r="D23" s="34">
        <f>'ECONOMIA &amp; PROFESIONES'!$N$26</f>
        <v>7380</v>
      </c>
      <c r="E23" s="53">
        <f t="shared" si="5"/>
        <v>0</v>
      </c>
      <c r="F23" s="100" t="s">
        <v>255</v>
      </c>
      <c r="G23" s="104">
        <v>0</v>
      </c>
      <c r="H23" s="97">
        <f t="shared" si="6"/>
        <v>0</v>
      </c>
      <c r="I23" s="100" t="s">
        <v>255</v>
      </c>
      <c r="J23" s="104">
        <v>0</v>
      </c>
      <c r="K23" s="97">
        <f t="shared" si="7"/>
        <v>0</v>
      </c>
      <c r="L23" s="100" t="s">
        <v>255</v>
      </c>
      <c r="M23" s="104">
        <v>0</v>
      </c>
      <c r="N23" s="97">
        <f t="shared" si="0"/>
        <v>0</v>
      </c>
      <c r="O23" s="100" t="s">
        <v>255</v>
      </c>
      <c r="P23" s="104">
        <v>0</v>
      </c>
      <c r="Q23" s="97">
        <f t="shared" si="1"/>
        <v>0</v>
      </c>
      <c r="R23" s="100" t="s">
        <v>255</v>
      </c>
      <c r="S23" s="104">
        <v>0</v>
      </c>
      <c r="T23" s="97">
        <f t="shared" si="2"/>
        <v>0</v>
      </c>
      <c r="U23" s="100" t="s">
        <v>255</v>
      </c>
      <c r="V23" s="104">
        <v>0</v>
      </c>
      <c r="W23" s="97">
        <f t="shared" si="3"/>
        <v>0</v>
      </c>
      <c r="X23" s="100" t="s">
        <v>255</v>
      </c>
      <c r="Y23" s="104">
        <v>0</v>
      </c>
      <c r="Z23" s="97">
        <f t="shared" si="4"/>
        <v>0</v>
      </c>
    </row>
    <row r="24" spans="1:26" x14ac:dyDescent="0.25">
      <c r="A24" s="196"/>
      <c r="B24" s="200"/>
      <c r="C24" s="31" t="s">
        <v>114</v>
      </c>
      <c r="D24" s="34">
        <f>'ECONOMIA &amp; PROFESIONES'!$N$27</f>
        <v>7908</v>
      </c>
      <c r="E24" s="53">
        <f t="shared" si="5"/>
        <v>0</v>
      </c>
      <c r="F24" s="100" t="s">
        <v>255</v>
      </c>
      <c r="G24" s="104">
        <v>0</v>
      </c>
      <c r="H24" s="97">
        <f t="shared" si="6"/>
        <v>0</v>
      </c>
      <c r="I24" s="100" t="s">
        <v>255</v>
      </c>
      <c r="J24" s="104">
        <v>0</v>
      </c>
      <c r="K24" s="97">
        <f t="shared" si="7"/>
        <v>0</v>
      </c>
      <c r="L24" s="100" t="s">
        <v>255</v>
      </c>
      <c r="M24" s="104">
        <v>0</v>
      </c>
      <c r="N24" s="97">
        <f t="shared" si="0"/>
        <v>0</v>
      </c>
      <c r="O24" s="100" t="s">
        <v>255</v>
      </c>
      <c r="P24" s="104">
        <v>0</v>
      </c>
      <c r="Q24" s="97">
        <f t="shared" si="1"/>
        <v>0</v>
      </c>
      <c r="R24" s="100" t="s">
        <v>255</v>
      </c>
      <c r="S24" s="104">
        <v>0</v>
      </c>
      <c r="T24" s="97">
        <f t="shared" si="2"/>
        <v>0</v>
      </c>
      <c r="U24" s="100" t="s">
        <v>255</v>
      </c>
      <c r="V24" s="104">
        <v>0</v>
      </c>
      <c r="W24" s="97">
        <f t="shared" si="3"/>
        <v>0</v>
      </c>
      <c r="X24" s="100" t="s">
        <v>255</v>
      </c>
      <c r="Y24" s="104">
        <v>0</v>
      </c>
      <c r="Z24" s="97">
        <f t="shared" si="4"/>
        <v>0</v>
      </c>
    </row>
    <row r="25" spans="1:26" x14ac:dyDescent="0.25">
      <c r="A25" s="196"/>
      <c r="B25" s="200"/>
      <c r="C25" s="32" t="s">
        <v>115</v>
      </c>
      <c r="D25" s="34">
        <f>'ECONOMIA &amp; PROFESIONES'!$N$28</f>
        <v>7732</v>
      </c>
      <c r="E25" s="53">
        <f t="shared" si="5"/>
        <v>0</v>
      </c>
      <c r="F25" s="100" t="s">
        <v>255</v>
      </c>
      <c r="G25" s="104">
        <v>0</v>
      </c>
      <c r="H25" s="97">
        <f t="shared" si="6"/>
        <v>0</v>
      </c>
      <c r="I25" s="100" t="s">
        <v>255</v>
      </c>
      <c r="J25" s="104">
        <v>0</v>
      </c>
      <c r="K25" s="97">
        <f t="shared" si="7"/>
        <v>0</v>
      </c>
      <c r="L25" s="100" t="s">
        <v>255</v>
      </c>
      <c r="M25" s="104">
        <v>0</v>
      </c>
      <c r="N25" s="97">
        <f t="shared" si="0"/>
        <v>0</v>
      </c>
      <c r="O25" s="100" t="s">
        <v>255</v>
      </c>
      <c r="P25" s="104">
        <v>0</v>
      </c>
      <c r="Q25" s="97">
        <f t="shared" si="1"/>
        <v>0</v>
      </c>
      <c r="R25" s="100" t="s">
        <v>255</v>
      </c>
      <c r="S25" s="104">
        <v>0</v>
      </c>
      <c r="T25" s="97">
        <f t="shared" si="2"/>
        <v>0</v>
      </c>
      <c r="U25" s="100" t="s">
        <v>255</v>
      </c>
      <c r="V25" s="104">
        <v>0</v>
      </c>
      <c r="W25" s="97">
        <f t="shared" si="3"/>
        <v>0</v>
      </c>
      <c r="X25" s="100" t="s">
        <v>255</v>
      </c>
      <c r="Y25" s="104">
        <v>0</v>
      </c>
      <c r="Z25" s="97">
        <f t="shared" si="4"/>
        <v>0</v>
      </c>
    </row>
    <row r="26" spans="1:26" x14ac:dyDescent="0.25">
      <c r="A26" s="196"/>
      <c r="B26" s="200"/>
      <c r="C26" s="31" t="s">
        <v>116</v>
      </c>
      <c r="D26" s="34">
        <f>'ECONOMIA &amp; PROFESIONES'!$N$29</f>
        <v>7204</v>
      </c>
      <c r="E26" s="53">
        <f t="shared" si="5"/>
        <v>0</v>
      </c>
      <c r="F26" s="100" t="s">
        <v>255</v>
      </c>
      <c r="G26" s="104">
        <v>0</v>
      </c>
      <c r="H26" s="97">
        <f t="shared" si="6"/>
        <v>0</v>
      </c>
      <c r="I26" s="100" t="s">
        <v>255</v>
      </c>
      <c r="J26" s="104">
        <v>0</v>
      </c>
      <c r="K26" s="97">
        <f t="shared" si="7"/>
        <v>0</v>
      </c>
      <c r="L26" s="100" t="s">
        <v>255</v>
      </c>
      <c r="M26" s="104">
        <v>0</v>
      </c>
      <c r="N26" s="97">
        <f t="shared" si="0"/>
        <v>0</v>
      </c>
      <c r="O26" s="100" t="s">
        <v>255</v>
      </c>
      <c r="P26" s="104">
        <v>0</v>
      </c>
      <c r="Q26" s="97">
        <f t="shared" si="1"/>
        <v>0</v>
      </c>
      <c r="R26" s="100" t="s">
        <v>255</v>
      </c>
      <c r="S26" s="104">
        <v>0</v>
      </c>
      <c r="T26" s="97">
        <f t="shared" si="2"/>
        <v>0</v>
      </c>
      <c r="U26" s="100" t="s">
        <v>255</v>
      </c>
      <c r="V26" s="104">
        <v>0</v>
      </c>
      <c r="W26" s="97">
        <f t="shared" si="3"/>
        <v>0</v>
      </c>
      <c r="X26" s="100" t="s">
        <v>255</v>
      </c>
      <c r="Y26" s="104">
        <v>0</v>
      </c>
      <c r="Z26" s="97">
        <f t="shared" si="4"/>
        <v>0</v>
      </c>
    </row>
    <row r="27" spans="1:26" x14ac:dyDescent="0.25">
      <c r="A27" s="196" t="s">
        <v>431</v>
      </c>
      <c r="B27" s="84"/>
      <c r="C27" s="84"/>
      <c r="D27" s="113"/>
      <c r="E27" s="103" t="s">
        <v>332</v>
      </c>
      <c r="F27" s="103" t="s">
        <v>333</v>
      </c>
      <c r="G27" s="103" t="s">
        <v>410</v>
      </c>
      <c r="H27" s="103" t="s">
        <v>199</v>
      </c>
      <c r="I27" s="103" t="s">
        <v>334</v>
      </c>
      <c r="J27" s="103" t="s">
        <v>410</v>
      </c>
      <c r="K27" s="103" t="s">
        <v>199</v>
      </c>
      <c r="L27" s="103" t="s">
        <v>350</v>
      </c>
      <c r="M27" s="103" t="s">
        <v>410</v>
      </c>
      <c r="N27" s="103" t="s">
        <v>199</v>
      </c>
      <c r="O27" s="103" t="s">
        <v>403</v>
      </c>
      <c r="P27" s="103" t="s">
        <v>410</v>
      </c>
      <c r="Q27" s="103" t="s">
        <v>199</v>
      </c>
      <c r="R27" s="103" t="s">
        <v>404</v>
      </c>
      <c r="S27" s="103" t="s">
        <v>410</v>
      </c>
      <c r="T27" s="103" t="s">
        <v>199</v>
      </c>
      <c r="U27" s="103" t="s">
        <v>405</v>
      </c>
      <c r="V27" s="103" t="s">
        <v>410</v>
      </c>
      <c r="W27" s="103" t="s">
        <v>199</v>
      </c>
      <c r="X27" s="103" t="s">
        <v>406</v>
      </c>
      <c r="Y27" s="103" t="s">
        <v>410</v>
      </c>
      <c r="Z27" s="103" t="s">
        <v>199</v>
      </c>
    </row>
    <row r="28" spans="1:26" x14ac:dyDescent="0.25">
      <c r="A28" s="196"/>
      <c r="B28" s="205" t="s">
        <v>341</v>
      </c>
      <c r="C28" s="31" t="s">
        <v>6</v>
      </c>
      <c r="D28" s="35">
        <f>'ECONOMIA &amp; PROFESIONES'!$O$5</f>
        <v>504</v>
      </c>
      <c r="E28" s="53" t="e">
        <f>(H28*G28)+(K28*J28)+(M28*N28)+(P28*Q28)+(S28*T28)+(V28*W28)+(Y28*Z28)</f>
        <v>#NAME?</v>
      </c>
      <c r="F28" s="100" t="s">
        <v>419</v>
      </c>
      <c r="G28" s="104">
        <v>2</v>
      </c>
      <c r="H28" s="97" t="e">
        <f t="shared" ref="H28:H52" si="8">VLOOKUP(F28,craftedesp,3,FALSE)</f>
        <v>#NAME?</v>
      </c>
      <c r="I28" s="100" t="s">
        <v>345</v>
      </c>
      <c r="J28" s="104">
        <v>2</v>
      </c>
      <c r="K28" s="97" t="e">
        <f t="shared" ref="K28:K52" si="9">VLOOKUP(I28,craftedesp,3,FALSE)</f>
        <v>#NAME?</v>
      </c>
      <c r="L28" s="100" t="s">
        <v>255</v>
      </c>
      <c r="M28" s="104">
        <v>0</v>
      </c>
      <c r="N28" s="97">
        <f t="shared" ref="N28:N52" si="10">VLOOKUP(L28,craftedesp,3,FALSE)</f>
        <v>0</v>
      </c>
      <c r="O28" s="100" t="s">
        <v>255</v>
      </c>
      <c r="P28" s="104">
        <v>0</v>
      </c>
      <c r="Q28" s="97">
        <f t="shared" ref="Q28:Q52" si="11">VLOOKUP(O28,craftedesp,3,FALSE)</f>
        <v>0</v>
      </c>
      <c r="R28" s="100" t="s">
        <v>255</v>
      </c>
      <c r="S28" s="104">
        <v>0</v>
      </c>
      <c r="T28" s="97">
        <f t="shared" ref="T28:T52" si="12">VLOOKUP(R28,craftedesp,3,FALSE)</f>
        <v>0</v>
      </c>
      <c r="U28" s="100" t="s">
        <v>255</v>
      </c>
      <c r="V28" s="104">
        <v>0</v>
      </c>
      <c r="W28" s="97">
        <f t="shared" ref="W28:W52" si="13">VLOOKUP(U28,craftedesp,3,FALSE)</f>
        <v>0</v>
      </c>
      <c r="X28" s="100" t="s">
        <v>255</v>
      </c>
      <c r="Y28" s="104">
        <v>0</v>
      </c>
      <c r="Z28" s="97">
        <f t="shared" ref="Z28:Z52" si="14">VLOOKUP(X28,craftedesp,3,FALSE)</f>
        <v>0</v>
      </c>
    </row>
    <row r="29" spans="1:26" x14ac:dyDescent="0.25">
      <c r="A29" s="196"/>
      <c r="B29" s="206"/>
      <c r="C29" s="32" t="s">
        <v>113</v>
      </c>
      <c r="D29" s="35">
        <f>'ECONOMIA &amp; PROFESIONES'!$O$6</f>
        <v>510</v>
      </c>
      <c r="E29" s="53" t="e">
        <f t="shared" ref="E29:E52" si="15">(H29*G29)+(K29*J29)+(M29*N29)+(P29*Q29)+(S29*T29)+(V29*W29)+(Y29*Z29)</f>
        <v>#NAME?</v>
      </c>
      <c r="F29" s="100" t="s">
        <v>423</v>
      </c>
      <c r="G29" s="104">
        <v>1</v>
      </c>
      <c r="H29" s="97" t="e">
        <f t="shared" si="8"/>
        <v>#NAME?</v>
      </c>
      <c r="I29" s="100" t="s">
        <v>430</v>
      </c>
      <c r="J29" s="104">
        <v>2</v>
      </c>
      <c r="K29" s="97" t="e">
        <f t="shared" si="9"/>
        <v>#NAME?</v>
      </c>
      <c r="L29" s="100" t="s">
        <v>255</v>
      </c>
      <c r="M29" s="104">
        <v>0</v>
      </c>
      <c r="N29" s="97">
        <f t="shared" si="10"/>
        <v>0</v>
      </c>
      <c r="O29" s="100" t="s">
        <v>255</v>
      </c>
      <c r="P29" s="104">
        <v>0</v>
      </c>
      <c r="Q29" s="97">
        <f t="shared" si="11"/>
        <v>0</v>
      </c>
      <c r="R29" s="100" t="s">
        <v>255</v>
      </c>
      <c r="S29" s="104">
        <v>0</v>
      </c>
      <c r="T29" s="97">
        <f t="shared" si="12"/>
        <v>0</v>
      </c>
      <c r="U29" s="100" t="s">
        <v>255</v>
      </c>
      <c r="V29" s="104">
        <v>0</v>
      </c>
      <c r="W29" s="97">
        <f t="shared" si="13"/>
        <v>0</v>
      </c>
      <c r="X29" s="100" t="s">
        <v>255</v>
      </c>
      <c r="Y29" s="104">
        <v>0</v>
      </c>
      <c r="Z29" s="97">
        <f t="shared" si="14"/>
        <v>0</v>
      </c>
    </row>
    <row r="30" spans="1:26" x14ac:dyDescent="0.25">
      <c r="A30" s="196"/>
      <c r="B30" s="206"/>
      <c r="C30" s="31" t="s">
        <v>114</v>
      </c>
      <c r="D30" s="35">
        <f>'ECONOMIA &amp; PROFESIONES'!$O$7</f>
        <v>516</v>
      </c>
      <c r="E30" s="53" t="e">
        <f t="shared" si="15"/>
        <v>#NAME?</v>
      </c>
      <c r="F30" s="100" t="s">
        <v>423</v>
      </c>
      <c r="G30" s="104">
        <v>2</v>
      </c>
      <c r="H30" s="97" t="e">
        <f t="shared" si="8"/>
        <v>#NAME?</v>
      </c>
      <c r="I30" s="100" t="s">
        <v>430</v>
      </c>
      <c r="J30" s="104">
        <v>2</v>
      </c>
      <c r="K30" s="97" t="e">
        <f t="shared" si="9"/>
        <v>#NAME?</v>
      </c>
      <c r="L30" s="100" t="s">
        <v>255</v>
      </c>
      <c r="M30" s="104">
        <v>0</v>
      </c>
      <c r="N30" s="97">
        <f t="shared" si="10"/>
        <v>0</v>
      </c>
      <c r="O30" s="100" t="s">
        <v>255</v>
      </c>
      <c r="P30" s="104">
        <v>0</v>
      </c>
      <c r="Q30" s="97">
        <f t="shared" si="11"/>
        <v>0</v>
      </c>
      <c r="R30" s="100" t="s">
        <v>255</v>
      </c>
      <c r="S30" s="104">
        <v>0</v>
      </c>
      <c r="T30" s="97">
        <f t="shared" si="12"/>
        <v>0</v>
      </c>
      <c r="U30" s="100" t="s">
        <v>255</v>
      </c>
      <c r="V30" s="104">
        <v>0</v>
      </c>
      <c r="W30" s="97">
        <f t="shared" si="13"/>
        <v>0</v>
      </c>
      <c r="X30" s="100" t="s">
        <v>255</v>
      </c>
      <c r="Y30" s="104">
        <v>0</v>
      </c>
      <c r="Z30" s="97">
        <f t="shared" si="14"/>
        <v>0</v>
      </c>
    </row>
    <row r="31" spans="1:26" x14ac:dyDescent="0.25">
      <c r="A31" s="196"/>
      <c r="B31" s="206"/>
      <c r="C31" s="32" t="s">
        <v>115</v>
      </c>
      <c r="D31" s="35">
        <f>'ECONOMIA &amp; PROFESIONES'!$O$8</f>
        <v>514</v>
      </c>
      <c r="E31" s="53" t="e">
        <f t="shared" si="15"/>
        <v>#NAME?</v>
      </c>
      <c r="F31" s="100" t="s">
        <v>423</v>
      </c>
      <c r="G31" s="104">
        <v>1</v>
      </c>
      <c r="H31" s="97" t="e">
        <f t="shared" si="8"/>
        <v>#NAME?</v>
      </c>
      <c r="I31" s="100" t="s">
        <v>430</v>
      </c>
      <c r="J31" s="104">
        <v>3</v>
      </c>
      <c r="K31" s="97" t="e">
        <f t="shared" si="9"/>
        <v>#NAME?</v>
      </c>
      <c r="L31" s="100" t="s">
        <v>255</v>
      </c>
      <c r="M31" s="104">
        <v>0</v>
      </c>
      <c r="N31" s="97">
        <f t="shared" si="10"/>
        <v>0</v>
      </c>
      <c r="O31" s="100" t="s">
        <v>255</v>
      </c>
      <c r="P31" s="104">
        <v>0</v>
      </c>
      <c r="Q31" s="97">
        <f t="shared" si="11"/>
        <v>0</v>
      </c>
      <c r="R31" s="100" t="s">
        <v>255</v>
      </c>
      <c r="S31" s="104">
        <v>0</v>
      </c>
      <c r="T31" s="97">
        <f t="shared" si="12"/>
        <v>0</v>
      </c>
      <c r="U31" s="100" t="s">
        <v>255</v>
      </c>
      <c r="V31" s="104">
        <v>0</v>
      </c>
      <c r="W31" s="97">
        <f t="shared" si="13"/>
        <v>0</v>
      </c>
      <c r="X31" s="100" t="s">
        <v>255</v>
      </c>
      <c r="Y31" s="104">
        <v>0</v>
      </c>
      <c r="Z31" s="97">
        <f t="shared" si="14"/>
        <v>0</v>
      </c>
    </row>
    <row r="32" spans="1:26" x14ac:dyDescent="0.25">
      <c r="A32" s="196"/>
      <c r="B32" s="207"/>
      <c r="C32" s="31" t="s">
        <v>116</v>
      </c>
      <c r="D32" s="35">
        <f>'ECONOMIA &amp; PROFESIONES'!$O$9</f>
        <v>508</v>
      </c>
      <c r="E32" s="53" t="e">
        <f t="shared" si="15"/>
        <v>#NAME?</v>
      </c>
      <c r="F32" s="100" t="s">
        <v>423</v>
      </c>
      <c r="G32" s="104">
        <v>1</v>
      </c>
      <c r="H32" s="97" t="e">
        <f t="shared" si="8"/>
        <v>#NAME?</v>
      </c>
      <c r="I32" s="100" t="s">
        <v>430</v>
      </c>
      <c r="J32" s="104">
        <v>1</v>
      </c>
      <c r="K32" s="97" t="e">
        <f t="shared" si="9"/>
        <v>#NAME?</v>
      </c>
      <c r="L32" s="100" t="s">
        <v>255</v>
      </c>
      <c r="M32" s="104">
        <v>0</v>
      </c>
      <c r="N32" s="97">
        <f t="shared" si="10"/>
        <v>0</v>
      </c>
      <c r="O32" s="100" t="s">
        <v>255</v>
      </c>
      <c r="P32" s="104">
        <v>0</v>
      </c>
      <c r="Q32" s="97">
        <f t="shared" si="11"/>
        <v>0</v>
      </c>
      <c r="R32" s="100" t="s">
        <v>255</v>
      </c>
      <c r="S32" s="104">
        <v>0</v>
      </c>
      <c r="T32" s="97">
        <f t="shared" si="12"/>
        <v>0</v>
      </c>
      <c r="U32" s="100" t="s">
        <v>255</v>
      </c>
      <c r="V32" s="104">
        <v>0</v>
      </c>
      <c r="W32" s="97">
        <f t="shared" si="13"/>
        <v>0</v>
      </c>
      <c r="X32" s="100" t="s">
        <v>255</v>
      </c>
      <c r="Y32" s="104">
        <v>0</v>
      </c>
      <c r="Z32" s="97">
        <f t="shared" si="14"/>
        <v>0</v>
      </c>
    </row>
    <row r="33" spans="1:26" x14ac:dyDescent="0.25">
      <c r="A33" s="196"/>
      <c r="B33" s="197" t="s">
        <v>342</v>
      </c>
      <c r="C33" s="32" t="s">
        <v>6</v>
      </c>
      <c r="D33" s="35">
        <f>'ECONOMIA &amp; PROFESIONES'!$O$10</f>
        <v>2054</v>
      </c>
      <c r="E33" s="53">
        <f t="shared" si="15"/>
        <v>0</v>
      </c>
      <c r="F33" s="100" t="s">
        <v>255</v>
      </c>
      <c r="G33" s="104">
        <v>0</v>
      </c>
      <c r="H33" s="97">
        <f t="shared" si="8"/>
        <v>0</v>
      </c>
      <c r="I33" s="100" t="s">
        <v>255</v>
      </c>
      <c r="J33" s="104">
        <v>0</v>
      </c>
      <c r="K33" s="97">
        <f t="shared" si="9"/>
        <v>0</v>
      </c>
      <c r="L33" s="100" t="s">
        <v>255</v>
      </c>
      <c r="M33" s="104">
        <v>0</v>
      </c>
      <c r="N33" s="97">
        <f t="shared" si="10"/>
        <v>0</v>
      </c>
      <c r="O33" s="100" t="s">
        <v>255</v>
      </c>
      <c r="P33" s="104">
        <v>0</v>
      </c>
      <c r="Q33" s="97">
        <f t="shared" si="11"/>
        <v>0</v>
      </c>
      <c r="R33" s="100" t="s">
        <v>255</v>
      </c>
      <c r="S33" s="104">
        <v>0</v>
      </c>
      <c r="T33" s="97">
        <f t="shared" si="12"/>
        <v>0</v>
      </c>
      <c r="U33" s="100" t="s">
        <v>255</v>
      </c>
      <c r="V33" s="104">
        <v>0</v>
      </c>
      <c r="W33" s="97">
        <f t="shared" si="13"/>
        <v>0</v>
      </c>
      <c r="X33" s="100" t="s">
        <v>255</v>
      </c>
      <c r="Y33" s="104">
        <v>0</v>
      </c>
      <c r="Z33" s="97">
        <f t="shared" si="14"/>
        <v>0</v>
      </c>
    </row>
    <row r="34" spans="1:26" x14ac:dyDescent="0.25">
      <c r="A34" s="196"/>
      <c r="B34" s="198"/>
      <c r="C34" s="31" t="s">
        <v>113</v>
      </c>
      <c r="D34" s="35">
        <f>'ECONOMIA &amp; PROFESIONES'!$O$11</f>
        <v>2135</v>
      </c>
      <c r="E34" s="53">
        <f t="shared" si="15"/>
        <v>0</v>
      </c>
      <c r="F34" s="100" t="s">
        <v>255</v>
      </c>
      <c r="G34" s="104">
        <v>0</v>
      </c>
      <c r="H34" s="97">
        <f t="shared" si="8"/>
        <v>0</v>
      </c>
      <c r="I34" s="100" t="s">
        <v>255</v>
      </c>
      <c r="J34" s="104">
        <v>0</v>
      </c>
      <c r="K34" s="97">
        <f t="shared" si="9"/>
        <v>0</v>
      </c>
      <c r="L34" s="100" t="s">
        <v>255</v>
      </c>
      <c r="M34" s="104">
        <v>0</v>
      </c>
      <c r="N34" s="97">
        <f t="shared" si="10"/>
        <v>0</v>
      </c>
      <c r="O34" s="100" t="s">
        <v>255</v>
      </c>
      <c r="P34" s="104">
        <v>0</v>
      </c>
      <c r="Q34" s="97">
        <f t="shared" si="11"/>
        <v>0</v>
      </c>
      <c r="R34" s="100" t="s">
        <v>255</v>
      </c>
      <c r="S34" s="104">
        <v>0</v>
      </c>
      <c r="T34" s="97">
        <f t="shared" si="12"/>
        <v>0</v>
      </c>
      <c r="U34" s="100" t="s">
        <v>255</v>
      </c>
      <c r="V34" s="104">
        <v>0</v>
      </c>
      <c r="W34" s="97">
        <f t="shared" si="13"/>
        <v>0</v>
      </c>
      <c r="X34" s="100" t="s">
        <v>255</v>
      </c>
      <c r="Y34" s="104">
        <v>0</v>
      </c>
      <c r="Z34" s="97">
        <f t="shared" si="14"/>
        <v>0</v>
      </c>
    </row>
    <row r="35" spans="1:26" x14ac:dyDescent="0.25">
      <c r="A35" s="196"/>
      <c r="B35" s="198"/>
      <c r="C35" s="32" t="s">
        <v>114</v>
      </c>
      <c r="D35" s="35">
        <f>'ECONOMIA &amp; PROFESIONES'!$O$12</f>
        <v>2216</v>
      </c>
      <c r="E35" s="53">
        <f t="shared" si="15"/>
        <v>0</v>
      </c>
      <c r="F35" s="100" t="s">
        <v>255</v>
      </c>
      <c r="G35" s="104">
        <v>0</v>
      </c>
      <c r="H35" s="97">
        <f t="shared" si="8"/>
        <v>0</v>
      </c>
      <c r="I35" s="100" t="s">
        <v>255</v>
      </c>
      <c r="J35" s="104">
        <v>0</v>
      </c>
      <c r="K35" s="97">
        <f t="shared" si="9"/>
        <v>0</v>
      </c>
      <c r="L35" s="100" t="s">
        <v>255</v>
      </c>
      <c r="M35" s="104">
        <v>0</v>
      </c>
      <c r="N35" s="97">
        <f t="shared" si="10"/>
        <v>0</v>
      </c>
      <c r="O35" s="100" t="s">
        <v>255</v>
      </c>
      <c r="P35" s="104">
        <v>0</v>
      </c>
      <c r="Q35" s="97">
        <f t="shared" si="11"/>
        <v>0</v>
      </c>
      <c r="R35" s="100" t="s">
        <v>255</v>
      </c>
      <c r="S35" s="104">
        <v>0</v>
      </c>
      <c r="T35" s="97">
        <f t="shared" si="12"/>
        <v>0</v>
      </c>
      <c r="U35" s="100" t="s">
        <v>255</v>
      </c>
      <c r="V35" s="104">
        <v>0</v>
      </c>
      <c r="W35" s="97">
        <f t="shared" si="13"/>
        <v>0</v>
      </c>
      <c r="X35" s="100" t="s">
        <v>255</v>
      </c>
      <c r="Y35" s="104">
        <v>0</v>
      </c>
      <c r="Z35" s="97">
        <f t="shared" si="14"/>
        <v>0</v>
      </c>
    </row>
    <row r="36" spans="1:26" x14ac:dyDescent="0.25">
      <c r="A36" s="196"/>
      <c r="B36" s="198"/>
      <c r="C36" s="31" t="s">
        <v>115</v>
      </c>
      <c r="D36" s="35">
        <f>'ECONOMIA &amp; PROFESIONES'!$O$13</f>
        <v>2189</v>
      </c>
      <c r="E36" s="53">
        <f t="shared" si="15"/>
        <v>0</v>
      </c>
      <c r="F36" s="100" t="s">
        <v>255</v>
      </c>
      <c r="G36" s="104">
        <v>0</v>
      </c>
      <c r="H36" s="97">
        <f t="shared" si="8"/>
        <v>0</v>
      </c>
      <c r="I36" s="100" t="s">
        <v>255</v>
      </c>
      <c r="J36" s="104">
        <v>0</v>
      </c>
      <c r="K36" s="97">
        <f t="shared" si="9"/>
        <v>0</v>
      </c>
      <c r="L36" s="100" t="s">
        <v>255</v>
      </c>
      <c r="M36" s="104">
        <v>0</v>
      </c>
      <c r="N36" s="97">
        <f t="shared" si="10"/>
        <v>0</v>
      </c>
      <c r="O36" s="100" t="s">
        <v>255</v>
      </c>
      <c r="P36" s="104">
        <v>0</v>
      </c>
      <c r="Q36" s="97">
        <f t="shared" si="11"/>
        <v>0</v>
      </c>
      <c r="R36" s="100" t="s">
        <v>255</v>
      </c>
      <c r="S36" s="104">
        <v>0</v>
      </c>
      <c r="T36" s="97">
        <f t="shared" si="12"/>
        <v>0</v>
      </c>
      <c r="U36" s="100" t="s">
        <v>255</v>
      </c>
      <c r="V36" s="104">
        <v>0</v>
      </c>
      <c r="W36" s="97">
        <f t="shared" si="13"/>
        <v>0</v>
      </c>
      <c r="X36" s="100" t="s">
        <v>255</v>
      </c>
      <c r="Y36" s="104">
        <v>0</v>
      </c>
      <c r="Z36" s="97">
        <f t="shared" si="14"/>
        <v>0</v>
      </c>
    </row>
    <row r="37" spans="1:26" x14ac:dyDescent="0.25">
      <c r="A37" s="196"/>
      <c r="B37" s="199"/>
      <c r="C37" s="32" t="s">
        <v>116</v>
      </c>
      <c r="D37" s="35">
        <f>'ECONOMIA &amp; PROFESIONES'!$O$14</f>
        <v>2108</v>
      </c>
      <c r="E37" s="53">
        <f t="shared" si="15"/>
        <v>0</v>
      </c>
      <c r="F37" s="100" t="s">
        <v>255</v>
      </c>
      <c r="G37" s="104">
        <v>0</v>
      </c>
      <c r="H37" s="97">
        <f t="shared" si="8"/>
        <v>0</v>
      </c>
      <c r="I37" s="100" t="s">
        <v>255</v>
      </c>
      <c r="J37" s="104">
        <v>0</v>
      </c>
      <c r="K37" s="97">
        <f t="shared" si="9"/>
        <v>0</v>
      </c>
      <c r="L37" s="100" t="s">
        <v>255</v>
      </c>
      <c r="M37" s="104">
        <v>0</v>
      </c>
      <c r="N37" s="97">
        <f t="shared" si="10"/>
        <v>0</v>
      </c>
      <c r="O37" s="100" t="s">
        <v>255</v>
      </c>
      <c r="P37" s="104">
        <v>0</v>
      </c>
      <c r="Q37" s="97">
        <f t="shared" si="11"/>
        <v>0</v>
      </c>
      <c r="R37" s="100" t="s">
        <v>255</v>
      </c>
      <c r="S37" s="104">
        <v>0</v>
      </c>
      <c r="T37" s="97">
        <f t="shared" si="12"/>
        <v>0</v>
      </c>
      <c r="U37" s="100" t="s">
        <v>255</v>
      </c>
      <c r="V37" s="104">
        <v>0</v>
      </c>
      <c r="W37" s="97">
        <f t="shared" si="13"/>
        <v>0</v>
      </c>
      <c r="X37" s="100" t="s">
        <v>255</v>
      </c>
      <c r="Y37" s="104">
        <v>0</v>
      </c>
      <c r="Z37" s="97">
        <f t="shared" si="14"/>
        <v>0</v>
      </c>
    </row>
    <row r="38" spans="1:26" x14ac:dyDescent="0.25">
      <c r="A38" s="196"/>
      <c r="B38" s="200" t="s">
        <v>408</v>
      </c>
      <c r="C38" s="31" t="s">
        <v>6</v>
      </c>
      <c r="D38" s="35">
        <f>'ECONOMIA &amp; PROFESIONES'!$O$15</f>
        <v>3654</v>
      </c>
      <c r="E38" s="53">
        <f t="shared" si="15"/>
        <v>0</v>
      </c>
      <c r="F38" s="100" t="s">
        <v>255</v>
      </c>
      <c r="G38" s="104">
        <v>0</v>
      </c>
      <c r="H38" s="97">
        <f t="shared" si="8"/>
        <v>0</v>
      </c>
      <c r="I38" s="100" t="s">
        <v>255</v>
      </c>
      <c r="J38" s="104">
        <v>0</v>
      </c>
      <c r="K38" s="97">
        <f t="shared" si="9"/>
        <v>0</v>
      </c>
      <c r="L38" s="100" t="s">
        <v>255</v>
      </c>
      <c r="M38" s="104">
        <v>0</v>
      </c>
      <c r="N38" s="97">
        <f t="shared" si="10"/>
        <v>0</v>
      </c>
      <c r="O38" s="100" t="s">
        <v>255</v>
      </c>
      <c r="P38" s="104">
        <v>0</v>
      </c>
      <c r="Q38" s="97">
        <f t="shared" si="11"/>
        <v>0</v>
      </c>
      <c r="R38" s="100" t="s">
        <v>255</v>
      </c>
      <c r="S38" s="104">
        <v>0</v>
      </c>
      <c r="T38" s="97">
        <f t="shared" si="12"/>
        <v>0</v>
      </c>
      <c r="U38" s="100" t="s">
        <v>255</v>
      </c>
      <c r="V38" s="104">
        <v>0</v>
      </c>
      <c r="W38" s="97">
        <f t="shared" si="13"/>
        <v>0</v>
      </c>
      <c r="X38" s="100" t="s">
        <v>255</v>
      </c>
      <c r="Y38" s="104">
        <v>0</v>
      </c>
      <c r="Z38" s="97">
        <f t="shared" si="14"/>
        <v>0</v>
      </c>
    </row>
    <row r="39" spans="1:26" x14ac:dyDescent="0.25">
      <c r="A39" s="196"/>
      <c r="B39" s="201"/>
      <c r="C39" s="32" t="s">
        <v>113</v>
      </c>
      <c r="D39" s="35">
        <f>'ECONOMIA &amp; PROFESIONES'!$O$16</f>
        <v>3885</v>
      </c>
      <c r="E39" s="53">
        <f t="shared" si="15"/>
        <v>0</v>
      </c>
      <c r="F39" s="100" t="s">
        <v>255</v>
      </c>
      <c r="G39" s="104">
        <v>0</v>
      </c>
      <c r="H39" s="97">
        <f t="shared" si="8"/>
        <v>0</v>
      </c>
      <c r="I39" s="100" t="s">
        <v>255</v>
      </c>
      <c r="J39" s="104">
        <v>0</v>
      </c>
      <c r="K39" s="97">
        <f t="shared" si="9"/>
        <v>0</v>
      </c>
      <c r="L39" s="100" t="s">
        <v>255</v>
      </c>
      <c r="M39" s="104">
        <v>0</v>
      </c>
      <c r="N39" s="97">
        <f t="shared" si="10"/>
        <v>0</v>
      </c>
      <c r="O39" s="100" t="s">
        <v>255</v>
      </c>
      <c r="P39" s="104">
        <v>0</v>
      </c>
      <c r="Q39" s="97">
        <f t="shared" si="11"/>
        <v>0</v>
      </c>
      <c r="R39" s="100" t="s">
        <v>255</v>
      </c>
      <c r="S39" s="104">
        <v>0</v>
      </c>
      <c r="T39" s="97">
        <f t="shared" si="12"/>
        <v>0</v>
      </c>
      <c r="U39" s="100" t="s">
        <v>255</v>
      </c>
      <c r="V39" s="104">
        <v>0</v>
      </c>
      <c r="W39" s="97">
        <f t="shared" si="13"/>
        <v>0</v>
      </c>
      <c r="X39" s="100" t="s">
        <v>255</v>
      </c>
      <c r="Y39" s="104">
        <v>0</v>
      </c>
      <c r="Z39" s="97">
        <f t="shared" si="14"/>
        <v>0</v>
      </c>
    </row>
    <row r="40" spans="1:26" x14ac:dyDescent="0.25">
      <c r="A40" s="196"/>
      <c r="B40" s="201"/>
      <c r="C40" s="31" t="s">
        <v>114</v>
      </c>
      <c r="D40" s="35">
        <f>'ECONOMIA &amp; PROFESIONES'!$O$17</f>
        <v>4116</v>
      </c>
      <c r="E40" s="53">
        <f t="shared" si="15"/>
        <v>0</v>
      </c>
      <c r="F40" s="100" t="s">
        <v>255</v>
      </c>
      <c r="G40" s="104">
        <v>0</v>
      </c>
      <c r="H40" s="97">
        <f t="shared" si="8"/>
        <v>0</v>
      </c>
      <c r="I40" s="100" t="s">
        <v>255</v>
      </c>
      <c r="J40" s="104">
        <v>0</v>
      </c>
      <c r="K40" s="97">
        <f t="shared" si="9"/>
        <v>0</v>
      </c>
      <c r="L40" s="100" t="s">
        <v>255</v>
      </c>
      <c r="M40" s="104">
        <v>0</v>
      </c>
      <c r="N40" s="97">
        <f t="shared" si="10"/>
        <v>0</v>
      </c>
      <c r="O40" s="100" t="s">
        <v>255</v>
      </c>
      <c r="P40" s="104">
        <v>0</v>
      </c>
      <c r="Q40" s="97">
        <f t="shared" si="11"/>
        <v>0</v>
      </c>
      <c r="R40" s="100" t="s">
        <v>255</v>
      </c>
      <c r="S40" s="104">
        <v>0</v>
      </c>
      <c r="T40" s="97">
        <f t="shared" si="12"/>
        <v>0</v>
      </c>
      <c r="U40" s="100" t="s">
        <v>255</v>
      </c>
      <c r="V40" s="104">
        <v>0</v>
      </c>
      <c r="W40" s="97">
        <f t="shared" si="13"/>
        <v>0</v>
      </c>
      <c r="X40" s="100" t="s">
        <v>255</v>
      </c>
      <c r="Y40" s="104">
        <v>0</v>
      </c>
      <c r="Z40" s="97">
        <f t="shared" si="14"/>
        <v>0</v>
      </c>
    </row>
    <row r="41" spans="1:26" x14ac:dyDescent="0.25">
      <c r="A41" s="196"/>
      <c r="B41" s="200"/>
      <c r="C41" s="32" t="s">
        <v>115</v>
      </c>
      <c r="D41" s="35">
        <f>'ECONOMIA &amp; PROFESIONES'!$O$18</f>
        <v>4039</v>
      </c>
      <c r="E41" s="53">
        <f t="shared" si="15"/>
        <v>0</v>
      </c>
      <c r="F41" s="100" t="s">
        <v>255</v>
      </c>
      <c r="G41" s="104">
        <v>0</v>
      </c>
      <c r="H41" s="97">
        <f t="shared" si="8"/>
        <v>0</v>
      </c>
      <c r="I41" s="100" t="s">
        <v>255</v>
      </c>
      <c r="J41" s="104">
        <v>0</v>
      </c>
      <c r="K41" s="97">
        <f t="shared" si="9"/>
        <v>0</v>
      </c>
      <c r="L41" s="100" t="s">
        <v>255</v>
      </c>
      <c r="M41" s="104">
        <v>0</v>
      </c>
      <c r="N41" s="97">
        <f t="shared" si="10"/>
        <v>0</v>
      </c>
      <c r="O41" s="100" t="s">
        <v>255</v>
      </c>
      <c r="P41" s="104">
        <v>0</v>
      </c>
      <c r="Q41" s="97">
        <f t="shared" si="11"/>
        <v>0</v>
      </c>
      <c r="R41" s="100" t="s">
        <v>255</v>
      </c>
      <c r="S41" s="104">
        <v>0</v>
      </c>
      <c r="T41" s="97">
        <f t="shared" si="12"/>
        <v>0</v>
      </c>
      <c r="U41" s="100" t="s">
        <v>255</v>
      </c>
      <c r="V41" s="104">
        <v>0</v>
      </c>
      <c r="W41" s="97">
        <f t="shared" si="13"/>
        <v>0</v>
      </c>
      <c r="X41" s="100" t="s">
        <v>255</v>
      </c>
      <c r="Y41" s="104">
        <v>0</v>
      </c>
      <c r="Z41" s="97">
        <f t="shared" si="14"/>
        <v>0</v>
      </c>
    </row>
    <row r="42" spans="1:26" x14ac:dyDescent="0.25">
      <c r="A42" s="196"/>
      <c r="B42" s="200"/>
      <c r="C42" s="31" t="s">
        <v>116</v>
      </c>
      <c r="D42" s="35">
        <f>'ECONOMIA &amp; PROFESIONES'!$O$19</f>
        <v>3808</v>
      </c>
      <c r="E42" s="53">
        <f t="shared" si="15"/>
        <v>0</v>
      </c>
      <c r="F42" s="100" t="s">
        <v>255</v>
      </c>
      <c r="G42" s="104">
        <v>0</v>
      </c>
      <c r="H42" s="97">
        <f t="shared" si="8"/>
        <v>0</v>
      </c>
      <c r="I42" s="100" t="s">
        <v>255</v>
      </c>
      <c r="J42" s="104">
        <v>0</v>
      </c>
      <c r="K42" s="97">
        <f t="shared" si="9"/>
        <v>0</v>
      </c>
      <c r="L42" s="100" t="s">
        <v>255</v>
      </c>
      <c r="M42" s="104">
        <v>0</v>
      </c>
      <c r="N42" s="97">
        <f t="shared" si="10"/>
        <v>0</v>
      </c>
      <c r="O42" s="100" t="s">
        <v>255</v>
      </c>
      <c r="P42" s="104">
        <v>0</v>
      </c>
      <c r="Q42" s="97">
        <f t="shared" si="11"/>
        <v>0</v>
      </c>
      <c r="R42" s="100" t="s">
        <v>255</v>
      </c>
      <c r="S42" s="104">
        <v>0</v>
      </c>
      <c r="T42" s="97">
        <f t="shared" si="12"/>
        <v>0</v>
      </c>
      <c r="U42" s="100" t="s">
        <v>255</v>
      </c>
      <c r="V42" s="104">
        <v>0</v>
      </c>
      <c r="W42" s="97">
        <f t="shared" si="13"/>
        <v>0</v>
      </c>
      <c r="X42" s="100" t="s">
        <v>255</v>
      </c>
      <c r="Y42" s="104">
        <v>0</v>
      </c>
      <c r="Z42" s="97">
        <f t="shared" si="14"/>
        <v>0</v>
      </c>
    </row>
    <row r="43" spans="1:26" x14ac:dyDescent="0.25">
      <c r="A43" s="196"/>
      <c r="B43" s="202" t="s">
        <v>409</v>
      </c>
      <c r="C43" s="32" t="s">
        <v>6</v>
      </c>
      <c r="D43" s="35">
        <f>'ECONOMIA &amp; PROFESIONES'!$O$20</f>
        <v>5254</v>
      </c>
      <c r="E43" s="53">
        <f t="shared" si="15"/>
        <v>0</v>
      </c>
      <c r="F43" s="100" t="s">
        <v>255</v>
      </c>
      <c r="G43" s="104">
        <v>0</v>
      </c>
      <c r="H43" s="97">
        <f t="shared" si="8"/>
        <v>0</v>
      </c>
      <c r="I43" s="100" t="s">
        <v>255</v>
      </c>
      <c r="J43" s="104">
        <v>0</v>
      </c>
      <c r="K43" s="97">
        <f t="shared" si="9"/>
        <v>0</v>
      </c>
      <c r="L43" s="100" t="s">
        <v>255</v>
      </c>
      <c r="M43" s="104">
        <v>0</v>
      </c>
      <c r="N43" s="97">
        <f t="shared" si="10"/>
        <v>0</v>
      </c>
      <c r="O43" s="100" t="s">
        <v>255</v>
      </c>
      <c r="P43" s="104">
        <v>0</v>
      </c>
      <c r="Q43" s="97">
        <f t="shared" si="11"/>
        <v>0</v>
      </c>
      <c r="R43" s="100" t="s">
        <v>255</v>
      </c>
      <c r="S43" s="104">
        <v>0</v>
      </c>
      <c r="T43" s="97">
        <f t="shared" si="12"/>
        <v>0</v>
      </c>
      <c r="U43" s="100" t="s">
        <v>255</v>
      </c>
      <c r="V43" s="104">
        <v>0</v>
      </c>
      <c r="W43" s="97">
        <f t="shared" si="13"/>
        <v>0</v>
      </c>
      <c r="X43" s="100" t="s">
        <v>255</v>
      </c>
      <c r="Y43" s="104">
        <v>0</v>
      </c>
      <c r="Z43" s="97">
        <f t="shared" si="14"/>
        <v>0</v>
      </c>
    </row>
    <row r="44" spans="1:26" x14ac:dyDescent="0.25">
      <c r="A44" s="196"/>
      <c r="B44" s="203"/>
      <c r="C44" s="31" t="s">
        <v>113</v>
      </c>
      <c r="D44" s="35">
        <f>'ECONOMIA &amp; PROFESIONES'!$O$21</f>
        <v>5635</v>
      </c>
      <c r="E44" s="53">
        <f t="shared" si="15"/>
        <v>0</v>
      </c>
      <c r="F44" s="100" t="s">
        <v>255</v>
      </c>
      <c r="G44" s="104">
        <v>0</v>
      </c>
      <c r="H44" s="97">
        <f t="shared" si="8"/>
        <v>0</v>
      </c>
      <c r="I44" s="100" t="s">
        <v>255</v>
      </c>
      <c r="J44" s="104">
        <v>0</v>
      </c>
      <c r="K44" s="97">
        <f t="shared" si="9"/>
        <v>0</v>
      </c>
      <c r="L44" s="100" t="s">
        <v>255</v>
      </c>
      <c r="M44" s="104">
        <v>0</v>
      </c>
      <c r="N44" s="97">
        <f t="shared" si="10"/>
        <v>0</v>
      </c>
      <c r="O44" s="100" t="s">
        <v>255</v>
      </c>
      <c r="P44" s="104">
        <v>0</v>
      </c>
      <c r="Q44" s="97">
        <f t="shared" si="11"/>
        <v>0</v>
      </c>
      <c r="R44" s="100" t="s">
        <v>255</v>
      </c>
      <c r="S44" s="104">
        <v>0</v>
      </c>
      <c r="T44" s="97">
        <f t="shared" si="12"/>
        <v>0</v>
      </c>
      <c r="U44" s="100" t="s">
        <v>255</v>
      </c>
      <c r="V44" s="104">
        <v>0</v>
      </c>
      <c r="W44" s="97">
        <f t="shared" si="13"/>
        <v>0</v>
      </c>
      <c r="X44" s="100" t="s">
        <v>255</v>
      </c>
      <c r="Y44" s="104">
        <v>0</v>
      </c>
      <c r="Z44" s="97">
        <f t="shared" si="14"/>
        <v>0</v>
      </c>
    </row>
    <row r="45" spans="1:26" x14ac:dyDescent="0.25">
      <c r="A45" s="196"/>
      <c r="B45" s="203"/>
      <c r="C45" s="32" t="s">
        <v>114</v>
      </c>
      <c r="D45" s="35">
        <f>'ECONOMIA &amp; PROFESIONES'!$O$22</f>
        <v>6016</v>
      </c>
      <c r="E45" s="53">
        <f t="shared" si="15"/>
        <v>0</v>
      </c>
      <c r="F45" s="100" t="s">
        <v>255</v>
      </c>
      <c r="G45" s="104">
        <v>0</v>
      </c>
      <c r="H45" s="97">
        <f t="shared" si="8"/>
        <v>0</v>
      </c>
      <c r="I45" s="100" t="s">
        <v>255</v>
      </c>
      <c r="J45" s="104">
        <v>0</v>
      </c>
      <c r="K45" s="97">
        <f t="shared" si="9"/>
        <v>0</v>
      </c>
      <c r="L45" s="100" t="s">
        <v>255</v>
      </c>
      <c r="M45" s="104">
        <v>0</v>
      </c>
      <c r="N45" s="97">
        <f t="shared" si="10"/>
        <v>0</v>
      </c>
      <c r="O45" s="100" t="s">
        <v>255</v>
      </c>
      <c r="P45" s="104">
        <v>0</v>
      </c>
      <c r="Q45" s="97">
        <f t="shared" si="11"/>
        <v>0</v>
      </c>
      <c r="R45" s="100" t="s">
        <v>255</v>
      </c>
      <c r="S45" s="104">
        <v>0</v>
      </c>
      <c r="T45" s="97">
        <f t="shared" si="12"/>
        <v>0</v>
      </c>
      <c r="U45" s="100" t="s">
        <v>255</v>
      </c>
      <c r="V45" s="104">
        <v>0</v>
      </c>
      <c r="W45" s="97">
        <f t="shared" si="13"/>
        <v>0</v>
      </c>
      <c r="X45" s="100" t="s">
        <v>255</v>
      </c>
      <c r="Y45" s="104">
        <v>0</v>
      </c>
      <c r="Z45" s="97">
        <f t="shared" si="14"/>
        <v>0</v>
      </c>
    </row>
    <row r="46" spans="1:26" x14ac:dyDescent="0.25">
      <c r="A46" s="196"/>
      <c r="B46" s="198"/>
      <c r="C46" s="31" t="s">
        <v>115</v>
      </c>
      <c r="D46" s="35">
        <f>'ECONOMIA &amp; PROFESIONES'!$O$23</f>
        <v>5889</v>
      </c>
      <c r="E46" s="53">
        <f t="shared" si="15"/>
        <v>0</v>
      </c>
      <c r="F46" s="100" t="s">
        <v>255</v>
      </c>
      <c r="G46" s="104">
        <v>0</v>
      </c>
      <c r="H46" s="97">
        <f t="shared" si="8"/>
        <v>0</v>
      </c>
      <c r="I46" s="100" t="s">
        <v>255</v>
      </c>
      <c r="J46" s="104">
        <v>0</v>
      </c>
      <c r="K46" s="97">
        <f t="shared" si="9"/>
        <v>0</v>
      </c>
      <c r="L46" s="100" t="s">
        <v>255</v>
      </c>
      <c r="M46" s="104">
        <v>0</v>
      </c>
      <c r="N46" s="97">
        <f t="shared" si="10"/>
        <v>0</v>
      </c>
      <c r="O46" s="100" t="s">
        <v>255</v>
      </c>
      <c r="P46" s="104">
        <v>0</v>
      </c>
      <c r="Q46" s="97">
        <f t="shared" si="11"/>
        <v>0</v>
      </c>
      <c r="R46" s="100" t="s">
        <v>255</v>
      </c>
      <c r="S46" s="104">
        <v>0</v>
      </c>
      <c r="T46" s="97">
        <f t="shared" si="12"/>
        <v>0</v>
      </c>
      <c r="U46" s="100" t="s">
        <v>255</v>
      </c>
      <c r="V46" s="104">
        <v>0</v>
      </c>
      <c r="W46" s="97">
        <f t="shared" si="13"/>
        <v>0</v>
      </c>
      <c r="X46" s="100" t="s">
        <v>255</v>
      </c>
      <c r="Y46" s="104">
        <v>0</v>
      </c>
      <c r="Z46" s="97">
        <f t="shared" si="14"/>
        <v>0</v>
      </c>
    </row>
    <row r="47" spans="1:26" x14ac:dyDescent="0.25">
      <c r="A47" s="196"/>
      <c r="B47" s="204"/>
      <c r="C47" s="32" t="s">
        <v>116</v>
      </c>
      <c r="D47" s="35">
        <f>'ECONOMIA &amp; PROFESIONES'!$O$24</f>
        <v>5508</v>
      </c>
      <c r="E47" s="53">
        <f t="shared" si="15"/>
        <v>0</v>
      </c>
      <c r="F47" s="100" t="s">
        <v>255</v>
      </c>
      <c r="G47" s="104">
        <v>0</v>
      </c>
      <c r="H47" s="97">
        <f t="shared" si="8"/>
        <v>0</v>
      </c>
      <c r="I47" s="100" t="s">
        <v>255</v>
      </c>
      <c r="J47" s="104">
        <v>0</v>
      </c>
      <c r="K47" s="97">
        <f t="shared" si="9"/>
        <v>0</v>
      </c>
      <c r="L47" s="100" t="s">
        <v>255</v>
      </c>
      <c r="M47" s="104">
        <v>0</v>
      </c>
      <c r="N47" s="97">
        <f t="shared" si="10"/>
        <v>0</v>
      </c>
      <c r="O47" s="100" t="s">
        <v>255</v>
      </c>
      <c r="P47" s="104">
        <v>0</v>
      </c>
      <c r="Q47" s="97">
        <f t="shared" si="11"/>
        <v>0</v>
      </c>
      <c r="R47" s="100" t="s">
        <v>255</v>
      </c>
      <c r="S47" s="104">
        <v>0</v>
      </c>
      <c r="T47" s="97">
        <f t="shared" si="12"/>
        <v>0</v>
      </c>
      <c r="U47" s="100" t="s">
        <v>255</v>
      </c>
      <c r="V47" s="104">
        <v>0</v>
      </c>
      <c r="W47" s="97">
        <f t="shared" si="13"/>
        <v>0</v>
      </c>
      <c r="X47" s="100" t="s">
        <v>255</v>
      </c>
      <c r="Y47" s="104">
        <v>0</v>
      </c>
      <c r="Z47" s="97">
        <f t="shared" si="14"/>
        <v>0</v>
      </c>
    </row>
    <row r="48" spans="1:26" x14ac:dyDescent="0.25">
      <c r="A48" s="196"/>
      <c r="B48" s="200" t="s">
        <v>407</v>
      </c>
      <c r="C48" s="31" t="s">
        <v>6</v>
      </c>
      <c r="D48" s="35">
        <f>'ECONOMIA &amp; PROFESIONES'!$O$25</f>
        <v>6854</v>
      </c>
      <c r="E48" s="53">
        <f t="shared" si="15"/>
        <v>0</v>
      </c>
      <c r="F48" s="100" t="s">
        <v>255</v>
      </c>
      <c r="G48" s="104">
        <v>0</v>
      </c>
      <c r="H48" s="97">
        <f t="shared" si="8"/>
        <v>0</v>
      </c>
      <c r="I48" s="100" t="s">
        <v>255</v>
      </c>
      <c r="J48" s="104">
        <v>0</v>
      </c>
      <c r="K48" s="97">
        <f t="shared" si="9"/>
        <v>0</v>
      </c>
      <c r="L48" s="100" t="s">
        <v>255</v>
      </c>
      <c r="M48" s="104">
        <v>0</v>
      </c>
      <c r="N48" s="97">
        <f t="shared" si="10"/>
        <v>0</v>
      </c>
      <c r="O48" s="100" t="s">
        <v>255</v>
      </c>
      <c r="P48" s="104">
        <v>0</v>
      </c>
      <c r="Q48" s="97">
        <f t="shared" si="11"/>
        <v>0</v>
      </c>
      <c r="R48" s="100" t="s">
        <v>255</v>
      </c>
      <c r="S48" s="104">
        <v>0</v>
      </c>
      <c r="T48" s="97">
        <f t="shared" si="12"/>
        <v>0</v>
      </c>
      <c r="U48" s="100" t="s">
        <v>255</v>
      </c>
      <c r="V48" s="104">
        <v>0</v>
      </c>
      <c r="W48" s="97">
        <f t="shared" si="13"/>
        <v>0</v>
      </c>
      <c r="X48" s="100" t="s">
        <v>255</v>
      </c>
      <c r="Y48" s="104">
        <v>0</v>
      </c>
      <c r="Z48" s="97">
        <f t="shared" si="14"/>
        <v>0</v>
      </c>
    </row>
    <row r="49" spans="1:26" x14ac:dyDescent="0.25">
      <c r="A49" s="196"/>
      <c r="B49" s="200"/>
      <c r="C49" s="32" t="s">
        <v>113</v>
      </c>
      <c r="D49" s="35">
        <f>'ECONOMIA &amp; PROFESIONES'!$O$26</f>
        <v>7385</v>
      </c>
      <c r="E49" s="53">
        <f t="shared" si="15"/>
        <v>0</v>
      </c>
      <c r="F49" s="100" t="s">
        <v>255</v>
      </c>
      <c r="G49" s="104">
        <v>0</v>
      </c>
      <c r="H49" s="97">
        <f t="shared" si="8"/>
        <v>0</v>
      </c>
      <c r="I49" s="100" t="s">
        <v>255</v>
      </c>
      <c r="J49" s="104">
        <v>0</v>
      </c>
      <c r="K49" s="97">
        <f t="shared" si="9"/>
        <v>0</v>
      </c>
      <c r="L49" s="100" t="s">
        <v>255</v>
      </c>
      <c r="M49" s="104">
        <v>0</v>
      </c>
      <c r="N49" s="97">
        <f t="shared" si="10"/>
        <v>0</v>
      </c>
      <c r="O49" s="100" t="s">
        <v>255</v>
      </c>
      <c r="P49" s="104">
        <v>0</v>
      </c>
      <c r="Q49" s="97">
        <f t="shared" si="11"/>
        <v>0</v>
      </c>
      <c r="R49" s="100" t="s">
        <v>255</v>
      </c>
      <c r="S49" s="104">
        <v>0</v>
      </c>
      <c r="T49" s="97">
        <f t="shared" si="12"/>
        <v>0</v>
      </c>
      <c r="U49" s="100" t="s">
        <v>255</v>
      </c>
      <c r="V49" s="104">
        <v>0</v>
      </c>
      <c r="W49" s="97">
        <f t="shared" si="13"/>
        <v>0</v>
      </c>
      <c r="X49" s="100" t="s">
        <v>255</v>
      </c>
      <c r="Y49" s="104">
        <v>0</v>
      </c>
      <c r="Z49" s="97">
        <f t="shared" si="14"/>
        <v>0</v>
      </c>
    </row>
    <row r="50" spans="1:26" x14ac:dyDescent="0.25">
      <c r="A50" s="196"/>
      <c r="B50" s="200"/>
      <c r="C50" s="31" t="s">
        <v>114</v>
      </c>
      <c r="D50" s="35">
        <f>'ECONOMIA &amp; PROFESIONES'!$O$27</f>
        <v>7916</v>
      </c>
      <c r="E50" s="53">
        <f t="shared" si="15"/>
        <v>0</v>
      </c>
      <c r="F50" s="100" t="s">
        <v>255</v>
      </c>
      <c r="G50" s="104">
        <v>0</v>
      </c>
      <c r="H50" s="97">
        <f t="shared" si="8"/>
        <v>0</v>
      </c>
      <c r="I50" s="100" t="s">
        <v>255</v>
      </c>
      <c r="J50" s="104">
        <v>0</v>
      </c>
      <c r="K50" s="97">
        <f t="shared" si="9"/>
        <v>0</v>
      </c>
      <c r="L50" s="100" t="s">
        <v>255</v>
      </c>
      <c r="M50" s="104">
        <v>0</v>
      </c>
      <c r="N50" s="97">
        <f t="shared" si="10"/>
        <v>0</v>
      </c>
      <c r="O50" s="100" t="s">
        <v>255</v>
      </c>
      <c r="P50" s="104">
        <v>0</v>
      </c>
      <c r="Q50" s="97">
        <f t="shared" si="11"/>
        <v>0</v>
      </c>
      <c r="R50" s="100" t="s">
        <v>255</v>
      </c>
      <c r="S50" s="104">
        <v>0</v>
      </c>
      <c r="T50" s="97">
        <f t="shared" si="12"/>
        <v>0</v>
      </c>
      <c r="U50" s="100" t="s">
        <v>255</v>
      </c>
      <c r="V50" s="104">
        <v>0</v>
      </c>
      <c r="W50" s="97">
        <f t="shared" si="13"/>
        <v>0</v>
      </c>
      <c r="X50" s="100" t="s">
        <v>255</v>
      </c>
      <c r="Y50" s="104">
        <v>0</v>
      </c>
      <c r="Z50" s="97">
        <f t="shared" si="14"/>
        <v>0</v>
      </c>
    </row>
    <row r="51" spans="1:26" x14ac:dyDescent="0.25">
      <c r="A51" s="196"/>
      <c r="B51" s="200"/>
      <c r="C51" s="32" t="s">
        <v>115</v>
      </c>
      <c r="D51" s="35">
        <f>'ECONOMIA &amp; PROFESIONES'!$O$28</f>
        <v>7739</v>
      </c>
      <c r="E51" s="53">
        <f t="shared" si="15"/>
        <v>0</v>
      </c>
      <c r="F51" s="100" t="s">
        <v>255</v>
      </c>
      <c r="G51" s="104">
        <v>0</v>
      </c>
      <c r="H51" s="97">
        <f t="shared" si="8"/>
        <v>0</v>
      </c>
      <c r="I51" s="100" t="s">
        <v>255</v>
      </c>
      <c r="J51" s="104">
        <v>0</v>
      </c>
      <c r="K51" s="97">
        <f t="shared" si="9"/>
        <v>0</v>
      </c>
      <c r="L51" s="100" t="s">
        <v>255</v>
      </c>
      <c r="M51" s="104">
        <v>0</v>
      </c>
      <c r="N51" s="97">
        <f t="shared" si="10"/>
        <v>0</v>
      </c>
      <c r="O51" s="100" t="s">
        <v>255</v>
      </c>
      <c r="P51" s="104">
        <v>0</v>
      </c>
      <c r="Q51" s="97">
        <f t="shared" si="11"/>
        <v>0</v>
      </c>
      <c r="R51" s="100" t="s">
        <v>255</v>
      </c>
      <c r="S51" s="104">
        <v>0</v>
      </c>
      <c r="T51" s="97">
        <f t="shared" si="12"/>
        <v>0</v>
      </c>
      <c r="U51" s="100" t="s">
        <v>255</v>
      </c>
      <c r="V51" s="104">
        <v>0</v>
      </c>
      <c r="W51" s="97">
        <f t="shared" si="13"/>
        <v>0</v>
      </c>
      <c r="X51" s="100" t="s">
        <v>255</v>
      </c>
      <c r="Y51" s="104">
        <v>0</v>
      </c>
      <c r="Z51" s="97">
        <f t="shared" si="14"/>
        <v>0</v>
      </c>
    </row>
    <row r="52" spans="1:26" x14ac:dyDescent="0.25">
      <c r="A52" s="196"/>
      <c r="B52" s="200"/>
      <c r="C52" s="31" t="s">
        <v>116</v>
      </c>
      <c r="D52" s="35">
        <f>'ECONOMIA &amp; PROFESIONES'!$O$29</f>
        <v>7208</v>
      </c>
      <c r="E52" s="53">
        <f t="shared" si="15"/>
        <v>0</v>
      </c>
      <c r="F52" s="100" t="s">
        <v>255</v>
      </c>
      <c r="G52" s="104">
        <v>0</v>
      </c>
      <c r="H52" s="97">
        <f t="shared" si="8"/>
        <v>0</v>
      </c>
      <c r="I52" s="100" t="s">
        <v>255</v>
      </c>
      <c r="J52" s="104">
        <v>0</v>
      </c>
      <c r="K52" s="97">
        <f t="shared" si="9"/>
        <v>0</v>
      </c>
      <c r="L52" s="100" t="s">
        <v>255</v>
      </c>
      <c r="M52" s="104">
        <v>0</v>
      </c>
      <c r="N52" s="97">
        <f t="shared" si="10"/>
        <v>0</v>
      </c>
      <c r="O52" s="100" t="s">
        <v>255</v>
      </c>
      <c r="P52" s="104">
        <v>0</v>
      </c>
      <c r="Q52" s="97">
        <f t="shared" si="11"/>
        <v>0</v>
      </c>
      <c r="R52" s="100" t="s">
        <v>255</v>
      </c>
      <c r="S52" s="104">
        <v>0</v>
      </c>
      <c r="T52" s="97">
        <f t="shared" si="12"/>
        <v>0</v>
      </c>
      <c r="U52" s="100" t="s">
        <v>255</v>
      </c>
      <c r="V52" s="104">
        <v>0</v>
      </c>
      <c r="W52" s="97">
        <f t="shared" si="13"/>
        <v>0</v>
      </c>
      <c r="X52" s="100" t="s">
        <v>255</v>
      </c>
      <c r="Y52" s="104">
        <v>0</v>
      </c>
      <c r="Z52" s="97">
        <f t="shared" si="14"/>
        <v>0</v>
      </c>
    </row>
    <row r="53" spans="1:26" x14ac:dyDescent="0.25">
      <c r="A53" s="196" t="s">
        <v>2</v>
      </c>
      <c r="B53" s="84"/>
      <c r="C53" s="84"/>
      <c r="D53" s="113"/>
      <c r="E53" s="103" t="s">
        <v>332</v>
      </c>
      <c r="F53" s="103" t="s">
        <v>333</v>
      </c>
      <c r="G53" s="103" t="s">
        <v>410</v>
      </c>
      <c r="H53" s="103" t="s">
        <v>199</v>
      </c>
      <c r="I53" s="103" t="s">
        <v>334</v>
      </c>
      <c r="J53" s="103" t="s">
        <v>410</v>
      </c>
      <c r="K53" s="103" t="s">
        <v>199</v>
      </c>
      <c r="L53" s="103" t="s">
        <v>350</v>
      </c>
      <c r="M53" s="103" t="s">
        <v>410</v>
      </c>
      <c r="N53" s="103" t="s">
        <v>199</v>
      </c>
      <c r="O53" s="103" t="s">
        <v>403</v>
      </c>
      <c r="P53" s="103" t="s">
        <v>410</v>
      </c>
      <c r="Q53" s="103" t="s">
        <v>199</v>
      </c>
      <c r="R53" s="103" t="s">
        <v>404</v>
      </c>
      <c r="S53" s="103" t="s">
        <v>410</v>
      </c>
      <c r="T53" s="103" t="s">
        <v>199</v>
      </c>
      <c r="U53" s="103" t="s">
        <v>405</v>
      </c>
      <c r="V53" s="103" t="s">
        <v>410</v>
      </c>
      <c r="W53" s="103" t="s">
        <v>199</v>
      </c>
      <c r="X53" s="103" t="s">
        <v>406</v>
      </c>
      <c r="Y53" s="103" t="s">
        <v>410</v>
      </c>
      <c r="Z53" s="103" t="s">
        <v>199</v>
      </c>
    </row>
    <row r="54" spans="1:26" x14ac:dyDescent="0.25">
      <c r="A54" s="196"/>
      <c r="B54" s="205" t="s">
        <v>341</v>
      </c>
      <c r="C54" s="31" t="s">
        <v>6</v>
      </c>
      <c r="D54" s="34">
        <f>'ECONOMIA &amp; PROFESIONES'!$P$5</f>
        <v>508</v>
      </c>
      <c r="E54" s="53">
        <f>(H54*G54)+(K54*J54)+(M54*N54)+(P54*Q54)+(S54*T54)+(V54*W54)+(Y54*Z54)</f>
        <v>0</v>
      </c>
      <c r="F54" s="100" t="s">
        <v>255</v>
      </c>
      <c r="G54" s="104">
        <v>0</v>
      </c>
      <c r="H54" s="97">
        <f t="shared" ref="H54:H78" si="16">VLOOKUP(F54,craftedesp,3,FALSE)</f>
        <v>0</v>
      </c>
      <c r="I54" s="100" t="s">
        <v>255</v>
      </c>
      <c r="J54" s="104">
        <v>0</v>
      </c>
      <c r="K54" s="97">
        <f t="shared" ref="K54:K78" si="17">VLOOKUP(I54,craftedesp,3,FALSE)</f>
        <v>0</v>
      </c>
      <c r="L54" s="100" t="s">
        <v>255</v>
      </c>
      <c r="M54" s="104">
        <v>0</v>
      </c>
      <c r="N54" s="97">
        <f t="shared" ref="N54:N78" si="18">VLOOKUP(L54,craftedesp,3,FALSE)</f>
        <v>0</v>
      </c>
      <c r="O54" s="100" t="s">
        <v>255</v>
      </c>
      <c r="P54" s="104">
        <v>0</v>
      </c>
      <c r="Q54" s="97">
        <f t="shared" ref="Q54:Q78" si="19">VLOOKUP(O54,craftedesp,3,FALSE)</f>
        <v>0</v>
      </c>
      <c r="R54" s="100" t="s">
        <v>255</v>
      </c>
      <c r="S54" s="104">
        <v>0</v>
      </c>
      <c r="T54" s="97">
        <f t="shared" ref="T54:T78" si="20">VLOOKUP(R54,craftedesp,3,FALSE)</f>
        <v>0</v>
      </c>
      <c r="U54" s="100" t="s">
        <v>255</v>
      </c>
      <c r="V54" s="104">
        <v>0</v>
      </c>
      <c r="W54" s="97">
        <f t="shared" ref="W54:W78" si="21">VLOOKUP(U54,craftedesp,3,FALSE)</f>
        <v>0</v>
      </c>
      <c r="X54" s="100" t="s">
        <v>255</v>
      </c>
      <c r="Y54" s="104">
        <v>0</v>
      </c>
      <c r="Z54" s="97">
        <f t="shared" ref="Z54:Z78" si="22">VLOOKUP(X54,craftedesp,3,FALSE)</f>
        <v>0</v>
      </c>
    </row>
    <row r="55" spans="1:26" x14ac:dyDescent="0.25">
      <c r="A55" s="196"/>
      <c r="B55" s="206"/>
      <c r="C55" s="32" t="s">
        <v>113</v>
      </c>
      <c r="D55" s="34">
        <f>'ECONOMIA &amp; PROFESIONES'!$P$6</f>
        <v>520</v>
      </c>
      <c r="E55" s="53">
        <f t="shared" ref="E55:E78" si="23">(H55*G55)+(K55*J55)+(M55*N55)+(P55*Q55)+(S55*T55)+(V55*W55)+(Y55*Z55)</f>
        <v>0</v>
      </c>
      <c r="F55" s="100" t="s">
        <v>255</v>
      </c>
      <c r="G55" s="104">
        <v>0</v>
      </c>
      <c r="H55" s="97">
        <f t="shared" si="16"/>
        <v>0</v>
      </c>
      <c r="I55" s="100" t="s">
        <v>255</v>
      </c>
      <c r="J55" s="104">
        <v>0</v>
      </c>
      <c r="K55" s="97">
        <f t="shared" si="17"/>
        <v>0</v>
      </c>
      <c r="L55" s="100" t="s">
        <v>255</v>
      </c>
      <c r="M55" s="104">
        <v>0</v>
      </c>
      <c r="N55" s="97">
        <f t="shared" si="18"/>
        <v>0</v>
      </c>
      <c r="O55" s="100" t="s">
        <v>255</v>
      </c>
      <c r="P55" s="104">
        <v>0</v>
      </c>
      <c r="Q55" s="97">
        <f t="shared" si="19"/>
        <v>0</v>
      </c>
      <c r="R55" s="100" t="s">
        <v>255</v>
      </c>
      <c r="S55" s="104">
        <v>0</v>
      </c>
      <c r="T55" s="97">
        <f t="shared" si="20"/>
        <v>0</v>
      </c>
      <c r="U55" s="100" t="s">
        <v>255</v>
      </c>
      <c r="V55" s="104">
        <v>0</v>
      </c>
      <c r="W55" s="97">
        <f t="shared" si="21"/>
        <v>0</v>
      </c>
      <c r="X55" s="100" t="s">
        <v>255</v>
      </c>
      <c r="Y55" s="104">
        <v>0</v>
      </c>
      <c r="Z55" s="97">
        <f t="shared" si="22"/>
        <v>0</v>
      </c>
    </row>
    <row r="56" spans="1:26" x14ac:dyDescent="0.25">
      <c r="A56" s="196"/>
      <c r="B56" s="206"/>
      <c r="C56" s="31" t="s">
        <v>114</v>
      </c>
      <c r="D56" s="34">
        <f>'ECONOMIA &amp; PROFESIONES'!$P$7</f>
        <v>532</v>
      </c>
      <c r="E56" s="53">
        <f t="shared" si="23"/>
        <v>0</v>
      </c>
      <c r="F56" s="100" t="s">
        <v>255</v>
      </c>
      <c r="G56" s="104">
        <v>0</v>
      </c>
      <c r="H56" s="97">
        <f t="shared" si="16"/>
        <v>0</v>
      </c>
      <c r="I56" s="100" t="s">
        <v>255</v>
      </c>
      <c r="J56" s="104">
        <v>0</v>
      </c>
      <c r="K56" s="97">
        <f t="shared" si="17"/>
        <v>0</v>
      </c>
      <c r="L56" s="100" t="s">
        <v>255</v>
      </c>
      <c r="M56" s="104">
        <v>0</v>
      </c>
      <c r="N56" s="97">
        <f t="shared" si="18"/>
        <v>0</v>
      </c>
      <c r="O56" s="100" t="s">
        <v>255</v>
      </c>
      <c r="P56" s="104">
        <v>0</v>
      </c>
      <c r="Q56" s="97">
        <f t="shared" si="19"/>
        <v>0</v>
      </c>
      <c r="R56" s="100" t="s">
        <v>255</v>
      </c>
      <c r="S56" s="104">
        <v>0</v>
      </c>
      <c r="T56" s="97">
        <f t="shared" si="20"/>
        <v>0</v>
      </c>
      <c r="U56" s="100" t="s">
        <v>255</v>
      </c>
      <c r="V56" s="104">
        <v>0</v>
      </c>
      <c r="W56" s="97">
        <f t="shared" si="21"/>
        <v>0</v>
      </c>
      <c r="X56" s="100" t="s">
        <v>255</v>
      </c>
      <c r="Y56" s="104">
        <v>0</v>
      </c>
      <c r="Z56" s="97">
        <f t="shared" si="22"/>
        <v>0</v>
      </c>
    </row>
    <row r="57" spans="1:26" x14ac:dyDescent="0.25">
      <c r="A57" s="196"/>
      <c r="B57" s="206"/>
      <c r="C57" s="32" t="s">
        <v>115</v>
      </c>
      <c r="D57" s="34">
        <f>'ECONOMIA &amp; PROFESIONES'!$P$8</f>
        <v>528</v>
      </c>
      <c r="E57" s="53">
        <f t="shared" si="23"/>
        <v>0</v>
      </c>
      <c r="F57" s="100" t="s">
        <v>255</v>
      </c>
      <c r="G57" s="104">
        <v>0</v>
      </c>
      <c r="H57" s="97">
        <f t="shared" si="16"/>
        <v>0</v>
      </c>
      <c r="I57" s="100" t="s">
        <v>255</v>
      </c>
      <c r="J57" s="104">
        <v>0</v>
      </c>
      <c r="K57" s="97">
        <f t="shared" si="17"/>
        <v>0</v>
      </c>
      <c r="L57" s="100" t="s">
        <v>255</v>
      </c>
      <c r="M57" s="104">
        <v>0</v>
      </c>
      <c r="N57" s="97">
        <f t="shared" si="18"/>
        <v>0</v>
      </c>
      <c r="O57" s="100" t="s">
        <v>255</v>
      </c>
      <c r="P57" s="104">
        <v>0</v>
      </c>
      <c r="Q57" s="97">
        <f t="shared" si="19"/>
        <v>0</v>
      </c>
      <c r="R57" s="100" t="s">
        <v>255</v>
      </c>
      <c r="S57" s="104">
        <v>0</v>
      </c>
      <c r="T57" s="97">
        <f t="shared" si="20"/>
        <v>0</v>
      </c>
      <c r="U57" s="100" t="s">
        <v>255</v>
      </c>
      <c r="V57" s="104">
        <v>0</v>
      </c>
      <c r="W57" s="97">
        <f t="shared" si="21"/>
        <v>0</v>
      </c>
      <c r="X57" s="100" t="s">
        <v>255</v>
      </c>
      <c r="Y57" s="104">
        <v>0</v>
      </c>
      <c r="Z57" s="97">
        <f t="shared" si="22"/>
        <v>0</v>
      </c>
    </row>
    <row r="58" spans="1:26" x14ac:dyDescent="0.25">
      <c r="A58" s="196"/>
      <c r="B58" s="207"/>
      <c r="C58" s="31" t="s">
        <v>116</v>
      </c>
      <c r="D58" s="34">
        <f>'ECONOMIA &amp; PROFESIONES'!$P$9</f>
        <v>516</v>
      </c>
      <c r="E58" s="53">
        <f t="shared" si="23"/>
        <v>0</v>
      </c>
      <c r="F58" s="100" t="s">
        <v>255</v>
      </c>
      <c r="G58" s="104">
        <v>0</v>
      </c>
      <c r="H58" s="97">
        <f t="shared" si="16"/>
        <v>0</v>
      </c>
      <c r="I58" s="100" t="s">
        <v>255</v>
      </c>
      <c r="J58" s="104">
        <v>0</v>
      </c>
      <c r="K58" s="97">
        <f t="shared" si="17"/>
        <v>0</v>
      </c>
      <c r="L58" s="100" t="s">
        <v>255</v>
      </c>
      <c r="M58" s="104">
        <v>0</v>
      </c>
      <c r="N58" s="97">
        <f t="shared" si="18"/>
        <v>0</v>
      </c>
      <c r="O58" s="100" t="s">
        <v>255</v>
      </c>
      <c r="P58" s="104">
        <v>0</v>
      </c>
      <c r="Q58" s="97">
        <f t="shared" si="19"/>
        <v>0</v>
      </c>
      <c r="R58" s="100" t="s">
        <v>255</v>
      </c>
      <c r="S58" s="104">
        <v>0</v>
      </c>
      <c r="T58" s="97">
        <f t="shared" si="20"/>
        <v>0</v>
      </c>
      <c r="U58" s="100" t="s">
        <v>255</v>
      </c>
      <c r="V58" s="104">
        <v>0</v>
      </c>
      <c r="W58" s="97">
        <f t="shared" si="21"/>
        <v>0</v>
      </c>
      <c r="X58" s="100" t="s">
        <v>255</v>
      </c>
      <c r="Y58" s="104">
        <v>0</v>
      </c>
      <c r="Z58" s="97">
        <f t="shared" si="22"/>
        <v>0</v>
      </c>
    </row>
    <row r="59" spans="1:26" x14ac:dyDescent="0.25">
      <c r="A59" s="196"/>
      <c r="B59" s="197" t="s">
        <v>342</v>
      </c>
      <c r="C59" s="32" t="s">
        <v>6</v>
      </c>
      <c r="D59" s="34">
        <f>'ECONOMIA &amp; PROFESIONES'!$P$10</f>
        <v>2058</v>
      </c>
      <c r="E59" s="53">
        <f t="shared" si="23"/>
        <v>0</v>
      </c>
      <c r="F59" s="100" t="s">
        <v>255</v>
      </c>
      <c r="G59" s="104">
        <v>0</v>
      </c>
      <c r="H59" s="97">
        <f t="shared" si="16"/>
        <v>0</v>
      </c>
      <c r="I59" s="100" t="s">
        <v>255</v>
      </c>
      <c r="J59" s="104">
        <v>0</v>
      </c>
      <c r="K59" s="97">
        <f t="shared" si="17"/>
        <v>0</v>
      </c>
      <c r="L59" s="100" t="s">
        <v>255</v>
      </c>
      <c r="M59" s="104">
        <v>0</v>
      </c>
      <c r="N59" s="97">
        <f t="shared" si="18"/>
        <v>0</v>
      </c>
      <c r="O59" s="100" t="s">
        <v>255</v>
      </c>
      <c r="P59" s="104">
        <v>0</v>
      </c>
      <c r="Q59" s="97">
        <f t="shared" si="19"/>
        <v>0</v>
      </c>
      <c r="R59" s="100" t="s">
        <v>255</v>
      </c>
      <c r="S59" s="104">
        <v>0</v>
      </c>
      <c r="T59" s="97">
        <f t="shared" si="20"/>
        <v>0</v>
      </c>
      <c r="U59" s="100" t="s">
        <v>255</v>
      </c>
      <c r="V59" s="104">
        <v>0</v>
      </c>
      <c r="W59" s="97">
        <f t="shared" si="21"/>
        <v>0</v>
      </c>
      <c r="X59" s="100" t="s">
        <v>255</v>
      </c>
      <c r="Y59" s="104">
        <v>0</v>
      </c>
      <c r="Z59" s="97">
        <f t="shared" si="22"/>
        <v>0</v>
      </c>
    </row>
    <row r="60" spans="1:26" x14ac:dyDescent="0.25">
      <c r="A60" s="196"/>
      <c r="B60" s="198"/>
      <c r="C60" s="31" t="s">
        <v>113</v>
      </c>
      <c r="D60" s="34">
        <f>'ECONOMIA &amp; PROFESIONES'!$P$11</f>
        <v>2145</v>
      </c>
      <c r="E60" s="53">
        <f t="shared" si="23"/>
        <v>0</v>
      </c>
      <c r="F60" s="100" t="s">
        <v>255</v>
      </c>
      <c r="G60" s="104">
        <v>0</v>
      </c>
      <c r="H60" s="97">
        <f t="shared" si="16"/>
        <v>0</v>
      </c>
      <c r="I60" s="100" t="s">
        <v>255</v>
      </c>
      <c r="J60" s="104">
        <v>0</v>
      </c>
      <c r="K60" s="97">
        <f t="shared" si="17"/>
        <v>0</v>
      </c>
      <c r="L60" s="100" t="s">
        <v>255</v>
      </c>
      <c r="M60" s="104">
        <v>0</v>
      </c>
      <c r="N60" s="97">
        <f t="shared" si="18"/>
        <v>0</v>
      </c>
      <c r="O60" s="100" t="s">
        <v>255</v>
      </c>
      <c r="P60" s="104">
        <v>0</v>
      </c>
      <c r="Q60" s="97">
        <f t="shared" si="19"/>
        <v>0</v>
      </c>
      <c r="R60" s="100" t="s">
        <v>255</v>
      </c>
      <c r="S60" s="104">
        <v>0</v>
      </c>
      <c r="T60" s="97">
        <f t="shared" si="20"/>
        <v>0</v>
      </c>
      <c r="U60" s="100" t="s">
        <v>255</v>
      </c>
      <c r="V60" s="104">
        <v>0</v>
      </c>
      <c r="W60" s="97">
        <f t="shared" si="21"/>
        <v>0</v>
      </c>
      <c r="X60" s="100" t="s">
        <v>255</v>
      </c>
      <c r="Y60" s="104">
        <v>0</v>
      </c>
      <c r="Z60" s="97">
        <f t="shared" si="22"/>
        <v>0</v>
      </c>
    </row>
    <row r="61" spans="1:26" x14ac:dyDescent="0.25">
      <c r="A61" s="196"/>
      <c r="B61" s="198"/>
      <c r="C61" s="32" t="s">
        <v>114</v>
      </c>
      <c r="D61" s="34">
        <f>'ECONOMIA &amp; PROFESIONES'!$P$12</f>
        <v>2232</v>
      </c>
      <c r="E61" s="53">
        <f t="shared" si="23"/>
        <v>0</v>
      </c>
      <c r="F61" s="100" t="s">
        <v>255</v>
      </c>
      <c r="G61" s="104">
        <v>0</v>
      </c>
      <c r="H61" s="97">
        <f t="shared" si="16"/>
        <v>0</v>
      </c>
      <c r="I61" s="100" t="s">
        <v>255</v>
      </c>
      <c r="J61" s="104">
        <v>0</v>
      </c>
      <c r="K61" s="97">
        <f t="shared" si="17"/>
        <v>0</v>
      </c>
      <c r="L61" s="100" t="s">
        <v>255</v>
      </c>
      <c r="M61" s="104">
        <v>0</v>
      </c>
      <c r="N61" s="97">
        <f t="shared" si="18"/>
        <v>0</v>
      </c>
      <c r="O61" s="100" t="s">
        <v>255</v>
      </c>
      <c r="P61" s="104">
        <v>0</v>
      </c>
      <c r="Q61" s="97">
        <f t="shared" si="19"/>
        <v>0</v>
      </c>
      <c r="R61" s="100" t="s">
        <v>255</v>
      </c>
      <c r="S61" s="104">
        <v>0</v>
      </c>
      <c r="T61" s="97">
        <f t="shared" si="20"/>
        <v>0</v>
      </c>
      <c r="U61" s="100" t="s">
        <v>255</v>
      </c>
      <c r="V61" s="104">
        <v>0</v>
      </c>
      <c r="W61" s="97">
        <f t="shared" si="21"/>
        <v>0</v>
      </c>
      <c r="X61" s="100" t="s">
        <v>255</v>
      </c>
      <c r="Y61" s="104">
        <v>0</v>
      </c>
      <c r="Z61" s="97">
        <f t="shared" si="22"/>
        <v>0</v>
      </c>
    </row>
    <row r="62" spans="1:26" x14ac:dyDescent="0.25">
      <c r="A62" s="196"/>
      <c r="B62" s="198"/>
      <c r="C62" s="31" t="s">
        <v>115</v>
      </c>
      <c r="D62" s="34">
        <f>'ECONOMIA &amp; PROFESIONES'!$P$13</f>
        <v>2203</v>
      </c>
      <c r="E62" s="53">
        <f t="shared" si="23"/>
        <v>0</v>
      </c>
      <c r="F62" s="100" t="s">
        <v>255</v>
      </c>
      <c r="G62" s="104">
        <v>0</v>
      </c>
      <c r="H62" s="97">
        <f t="shared" si="16"/>
        <v>0</v>
      </c>
      <c r="I62" s="100" t="s">
        <v>255</v>
      </c>
      <c r="J62" s="104">
        <v>0</v>
      </c>
      <c r="K62" s="97">
        <f t="shared" si="17"/>
        <v>0</v>
      </c>
      <c r="L62" s="100" t="s">
        <v>255</v>
      </c>
      <c r="M62" s="104">
        <v>0</v>
      </c>
      <c r="N62" s="97">
        <f t="shared" si="18"/>
        <v>0</v>
      </c>
      <c r="O62" s="100" t="s">
        <v>255</v>
      </c>
      <c r="P62" s="104">
        <v>0</v>
      </c>
      <c r="Q62" s="97">
        <f t="shared" si="19"/>
        <v>0</v>
      </c>
      <c r="R62" s="100" t="s">
        <v>255</v>
      </c>
      <c r="S62" s="104">
        <v>0</v>
      </c>
      <c r="T62" s="97">
        <f t="shared" si="20"/>
        <v>0</v>
      </c>
      <c r="U62" s="100" t="s">
        <v>255</v>
      </c>
      <c r="V62" s="104">
        <v>0</v>
      </c>
      <c r="W62" s="97">
        <f t="shared" si="21"/>
        <v>0</v>
      </c>
      <c r="X62" s="100" t="s">
        <v>255</v>
      </c>
      <c r="Y62" s="104">
        <v>0</v>
      </c>
      <c r="Z62" s="97">
        <f t="shared" si="22"/>
        <v>0</v>
      </c>
    </row>
    <row r="63" spans="1:26" x14ac:dyDescent="0.25">
      <c r="A63" s="196"/>
      <c r="B63" s="199"/>
      <c r="C63" s="32" t="s">
        <v>116</v>
      </c>
      <c r="D63" s="34">
        <f>'ECONOMIA &amp; PROFESIONES'!$P$14</f>
        <v>2116</v>
      </c>
      <c r="E63" s="53">
        <f t="shared" si="23"/>
        <v>0</v>
      </c>
      <c r="F63" s="100" t="s">
        <v>255</v>
      </c>
      <c r="G63" s="104">
        <v>0</v>
      </c>
      <c r="H63" s="97">
        <f t="shared" si="16"/>
        <v>0</v>
      </c>
      <c r="I63" s="100" t="s">
        <v>255</v>
      </c>
      <c r="J63" s="104">
        <v>0</v>
      </c>
      <c r="K63" s="97">
        <f t="shared" si="17"/>
        <v>0</v>
      </c>
      <c r="L63" s="100" t="s">
        <v>255</v>
      </c>
      <c r="M63" s="104">
        <v>0</v>
      </c>
      <c r="N63" s="97">
        <f t="shared" si="18"/>
        <v>0</v>
      </c>
      <c r="O63" s="100" t="s">
        <v>255</v>
      </c>
      <c r="P63" s="104">
        <v>0</v>
      </c>
      <c r="Q63" s="97">
        <f t="shared" si="19"/>
        <v>0</v>
      </c>
      <c r="R63" s="100" t="s">
        <v>255</v>
      </c>
      <c r="S63" s="104">
        <v>0</v>
      </c>
      <c r="T63" s="97">
        <f t="shared" si="20"/>
        <v>0</v>
      </c>
      <c r="U63" s="100" t="s">
        <v>255</v>
      </c>
      <c r="V63" s="104">
        <v>0</v>
      </c>
      <c r="W63" s="97">
        <f t="shared" si="21"/>
        <v>0</v>
      </c>
      <c r="X63" s="100" t="s">
        <v>255</v>
      </c>
      <c r="Y63" s="104">
        <v>0</v>
      </c>
      <c r="Z63" s="97">
        <f t="shared" si="22"/>
        <v>0</v>
      </c>
    </row>
    <row r="64" spans="1:26" x14ac:dyDescent="0.25">
      <c r="A64" s="196"/>
      <c r="B64" s="200" t="s">
        <v>408</v>
      </c>
      <c r="C64" s="31" t="s">
        <v>6</v>
      </c>
      <c r="D64" s="34">
        <f>'ECONOMIA &amp; PROFESIONES'!$P$15</f>
        <v>3658</v>
      </c>
      <c r="E64" s="53">
        <f t="shared" si="23"/>
        <v>0</v>
      </c>
      <c r="F64" s="100" t="s">
        <v>255</v>
      </c>
      <c r="G64" s="104">
        <v>0</v>
      </c>
      <c r="H64" s="97">
        <f t="shared" si="16"/>
        <v>0</v>
      </c>
      <c r="I64" s="100" t="s">
        <v>255</v>
      </c>
      <c r="J64" s="104">
        <v>0</v>
      </c>
      <c r="K64" s="97">
        <f t="shared" si="17"/>
        <v>0</v>
      </c>
      <c r="L64" s="100" t="s">
        <v>255</v>
      </c>
      <c r="M64" s="104">
        <v>0</v>
      </c>
      <c r="N64" s="97">
        <f t="shared" si="18"/>
        <v>0</v>
      </c>
      <c r="O64" s="100" t="s">
        <v>255</v>
      </c>
      <c r="P64" s="104">
        <v>0</v>
      </c>
      <c r="Q64" s="97">
        <f t="shared" si="19"/>
        <v>0</v>
      </c>
      <c r="R64" s="100" t="s">
        <v>255</v>
      </c>
      <c r="S64" s="104">
        <v>0</v>
      </c>
      <c r="T64" s="97">
        <f t="shared" si="20"/>
        <v>0</v>
      </c>
      <c r="U64" s="100" t="s">
        <v>255</v>
      </c>
      <c r="V64" s="104">
        <v>0</v>
      </c>
      <c r="W64" s="97">
        <f t="shared" si="21"/>
        <v>0</v>
      </c>
      <c r="X64" s="100" t="s">
        <v>255</v>
      </c>
      <c r="Y64" s="104">
        <v>0</v>
      </c>
      <c r="Z64" s="97">
        <f t="shared" si="22"/>
        <v>0</v>
      </c>
    </row>
    <row r="65" spans="1:26" x14ac:dyDescent="0.25">
      <c r="A65" s="196"/>
      <c r="B65" s="201"/>
      <c r="C65" s="32" t="s">
        <v>113</v>
      </c>
      <c r="D65" s="34">
        <f>'ECONOMIA &amp; PROFESIONES'!$P$16</f>
        <v>3895</v>
      </c>
      <c r="E65" s="53">
        <f t="shared" si="23"/>
        <v>0</v>
      </c>
      <c r="F65" s="100" t="s">
        <v>255</v>
      </c>
      <c r="G65" s="104">
        <v>0</v>
      </c>
      <c r="H65" s="97">
        <f t="shared" si="16"/>
        <v>0</v>
      </c>
      <c r="I65" s="100" t="s">
        <v>255</v>
      </c>
      <c r="J65" s="104">
        <v>0</v>
      </c>
      <c r="K65" s="97">
        <f t="shared" si="17"/>
        <v>0</v>
      </c>
      <c r="L65" s="100" t="s">
        <v>255</v>
      </c>
      <c r="M65" s="104">
        <v>0</v>
      </c>
      <c r="N65" s="97">
        <f t="shared" si="18"/>
        <v>0</v>
      </c>
      <c r="O65" s="100" t="s">
        <v>255</v>
      </c>
      <c r="P65" s="104">
        <v>0</v>
      </c>
      <c r="Q65" s="97">
        <f t="shared" si="19"/>
        <v>0</v>
      </c>
      <c r="R65" s="100" t="s">
        <v>255</v>
      </c>
      <c r="S65" s="104">
        <v>0</v>
      </c>
      <c r="T65" s="97">
        <f t="shared" si="20"/>
        <v>0</v>
      </c>
      <c r="U65" s="100" t="s">
        <v>255</v>
      </c>
      <c r="V65" s="104">
        <v>0</v>
      </c>
      <c r="W65" s="97">
        <f t="shared" si="21"/>
        <v>0</v>
      </c>
      <c r="X65" s="100" t="s">
        <v>255</v>
      </c>
      <c r="Y65" s="104">
        <v>0</v>
      </c>
      <c r="Z65" s="97">
        <f t="shared" si="22"/>
        <v>0</v>
      </c>
    </row>
    <row r="66" spans="1:26" x14ac:dyDescent="0.25">
      <c r="A66" s="196"/>
      <c r="B66" s="201"/>
      <c r="C66" s="31" t="s">
        <v>114</v>
      </c>
      <c r="D66" s="34">
        <f>'ECONOMIA &amp; PROFESIONES'!$P$17</f>
        <v>4132</v>
      </c>
      <c r="E66" s="53">
        <f t="shared" si="23"/>
        <v>0</v>
      </c>
      <c r="F66" s="100" t="s">
        <v>255</v>
      </c>
      <c r="G66" s="104">
        <v>0</v>
      </c>
      <c r="H66" s="97">
        <f t="shared" si="16"/>
        <v>0</v>
      </c>
      <c r="I66" s="100" t="s">
        <v>255</v>
      </c>
      <c r="J66" s="104">
        <v>0</v>
      </c>
      <c r="K66" s="97">
        <f t="shared" si="17"/>
        <v>0</v>
      </c>
      <c r="L66" s="100" t="s">
        <v>255</v>
      </c>
      <c r="M66" s="104">
        <v>0</v>
      </c>
      <c r="N66" s="97">
        <f t="shared" si="18"/>
        <v>0</v>
      </c>
      <c r="O66" s="100" t="s">
        <v>255</v>
      </c>
      <c r="P66" s="104">
        <v>0</v>
      </c>
      <c r="Q66" s="97">
        <f t="shared" si="19"/>
        <v>0</v>
      </c>
      <c r="R66" s="100" t="s">
        <v>255</v>
      </c>
      <c r="S66" s="104">
        <v>0</v>
      </c>
      <c r="T66" s="97">
        <f t="shared" si="20"/>
        <v>0</v>
      </c>
      <c r="U66" s="100" t="s">
        <v>255</v>
      </c>
      <c r="V66" s="104">
        <v>0</v>
      </c>
      <c r="W66" s="97">
        <f t="shared" si="21"/>
        <v>0</v>
      </c>
      <c r="X66" s="100" t="s">
        <v>255</v>
      </c>
      <c r="Y66" s="104">
        <v>0</v>
      </c>
      <c r="Z66" s="97">
        <f t="shared" si="22"/>
        <v>0</v>
      </c>
    </row>
    <row r="67" spans="1:26" x14ac:dyDescent="0.25">
      <c r="A67" s="196"/>
      <c r="B67" s="200"/>
      <c r="C67" s="32" t="s">
        <v>115</v>
      </c>
      <c r="D67" s="34">
        <f>'ECONOMIA &amp; PROFESIONES'!$P$18</f>
        <v>4053</v>
      </c>
      <c r="E67" s="53">
        <f t="shared" si="23"/>
        <v>0</v>
      </c>
      <c r="F67" s="100" t="s">
        <v>255</v>
      </c>
      <c r="G67" s="104">
        <v>0</v>
      </c>
      <c r="H67" s="97">
        <f t="shared" si="16"/>
        <v>0</v>
      </c>
      <c r="I67" s="100" t="s">
        <v>255</v>
      </c>
      <c r="J67" s="104">
        <v>0</v>
      </c>
      <c r="K67" s="97">
        <f t="shared" si="17"/>
        <v>0</v>
      </c>
      <c r="L67" s="100" t="s">
        <v>255</v>
      </c>
      <c r="M67" s="104">
        <v>0</v>
      </c>
      <c r="N67" s="97">
        <f t="shared" si="18"/>
        <v>0</v>
      </c>
      <c r="O67" s="100" t="s">
        <v>255</v>
      </c>
      <c r="P67" s="104">
        <v>0</v>
      </c>
      <c r="Q67" s="97">
        <f t="shared" si="19"/>
        <v>0</v>
      </c>
      <c r="R67" s="100" t="s">
        <v>255</v>
      </c>
      <c r="S67" s="104">
        <v>0</v>
      </c>
      <c r="T67" s="97">
        <f t="shared" si="20"/>
        <v>0</v>
      </c>
      <c r="U67" s="100" t="s">
        <v>255</v>
      </c>
      <c r="V67" s="104">
        <v>0</v>
      </c>
      <c r="W67" s="97">
        <f t="shared" si="21"/>
        <v>0</v>
      </c>
      <c r="X67" s="100" t="s">
        <v>255</v>
      </c>
      <c r="Y67" s="104">
        <v>0</v>
      </c>
      <c r="Z67" s="97">
        <f t="shared" si="22"/>
        <v>0</v>
      </c>
    </row>
    <row r="68" spans="1:26" x14ac:dyDescent="0.25">
      <c r="A68" s="196"/>
      <c r="B68" s="200"/>
      <c r="C68" s="31" t="s">
        <v>116</v>
      </c>
      <c r="D68" s="34">
        <f>'ECONOMIA &amp; PROFESIONES'!$P$19</f>
        <v>3816</v>
      </c>
      <c r="E68" s="53">
        <f t="shared" si="23"/>
        <v>0</v>
      </c>
      <c r="F68" s="100" t="s">
        <v>255</v>
      </c>
      <c r="G68" s="104">
        <v>0</v>
      </c>
      <c r="H68" s="97">
        <f t="shared" si="16"/>
        <v>0</v>
      </c>
      <c r="I68" s="100" t="s">
        <v>255</v>
      </c>
      <c r="J68" s="104">
        <v>0</v>
      </c>
      <c r="K68" s="97">
        <f t="shared" si="17"/>
        <v>0</v>
      </c>
      <c r="L68" s="100" t="s">
        <v>255</v>
      </c>
      <c r="M68" s="104">
        <v>0</v>
      </c>
      <c r="N68" s="97">
        <f t="shared" si="18"/>
        <v>0</v>
      </c>
      <c r="O68" s="100" t="s">
        <v>255</v>
      </c>
      <c r="P68" s="104">
        <v>0</v>
      </c>
      <c r="Q68" s="97">
        <f t="shared" si="19"/>
        <v>0</v>
      </c>
      <c r="R68" s="100" t="s">
        <v>255</v>
      </c>
      <c r="S68" s="104">
        <v>0</v>
      </c>
      <c r="T68" s="97">
        <f t="shared" si="20"/>
        <v>0</v>
      </c>
      <c r="U68" s="100" t="s">
        <v>255</v>
      </c>
      <c r="V68" s="104">
        <v>0</v>
      </c>
      <c r="W68" s="97">
        <f t="shared" si="21"/>
        <v>0</v>
      </c>
      <c r="X68" s="100" t="s">
        <v>255</v>
      </c>
      <c r="Y68" s="104">
        <v>0</v>
      </c>
      <c r="Z68" s="97">
        <f t="shared" si="22"/>
        <v>0</v>
      </c>
    </row>
    <row r="69" spans="1:26" x14ac:dyDescent="0.25">
      <c r="A69" s="196"/>
      <c r="B69" s="202" t="s">
        <v>409</v>
      </c>
      <c r="C69" s="32" t="s">
        <v>6</v>
      </c>
      <c r="D69" s="34">
        <f>'ECONOMIA &amp; PROFESIONES'!$P$20</f>
        <v>5258</v>
      </c>
      <c r="E69" s="53">
        <f t="shared" si="23"/>
        <v>0</v>
      </c>
      <c r="F69" s="100" t="s">
        <v>255</v>
      </c>
      <c r="G69" s="104">
        <v>0</v>
      </c>
      <c r="H69" s="97">
        <f t="shared" si="16"/>
        <v>0</v>
      </c>
      <c r="I69" s="100" t="s">
        <v>255</v>
      </c>
      <c r="J69" s="104">
        <v>0</v>
      </c>
      <c r="K69" s="97">
        <f t="shared" si="17"/>
        <v>0</v>
      </c>
      <c r="L69" s="100" t="s">
        <v>255</v>
      </c>
      <c r="M69" s="104">
        <v>0</v>
      </c>
      <c r="N69" s="97">
        <f t="shared" si="18"/>
        <v>0</v>
      </c>
      <c r="O69" s="100" t="s">
        <v>255</v>
      </c>
      <c r="P69" s="104">
        <v>0</v>
      </c>
      <c r="Q69" s="97">
        <f t="shared" si="19"/>
        <v>0</v>
      </c>
      <c r="R69" s="100" t="s">
        <v>255</v>
      </c>
      <c r="S69" s="104">
        <v>0</v>
      </c>
      <c r="T69" s="97">
        <f t="shared" si="20"/>
        <v>0</v>
      </c>
      <c r="U69" s="100" t="s">
        <v>255</v>
      </c>
      <c r="V69" s="104">
        <v>0</v>
      </c>
      <c r="W69" s="97">
        <f t="shared" si="21"/>
        <v>0</v>
      </c>
      <c r="X69" s="100" t="s">
        <v>255</v>
      </c>
      <c r="Y69" s="104">
        <v>0</v>
      </c>
      <c r="Z69" s="97">
        <f t="shared" si="22"/>
        <v>0</v>
      </c>
    </row>
    <row r="70" spans="1:26" x14ac:dyDescent="0.25">
      <c r="A70" s="196"/>
      <c r="B70" s="203"/>
      <c r="C70" s="31" t="s">
        <v>113</v>
      </c>
      <c r="D70" s="34">
        <f>'ECONOMIA &amp; PROFESIONES'!$P$21</f>
        <v>5645</v>
      </c>
      <c r="E70" s="53">
        <f t="shared" si="23"/>
        <v>0</v>
      </c>
      <c r="F70" s="100" t="s">
        <v>255</v>
      </c>
      <c r="G70" s="104">
        <v>0</v>
      </c>
      <c r="H70" s="97">
        <f t="shared" si="16"/>
        <v>0</v>
      </c>
      <c r="I70" s="100" t="s">
        <v>255</v>
      </c>
      <c r="J70" s="104">
        <v>0</v>
      </c>
      <c r="K70" s="97">
        <f t="shared" si="17"/>
        <v>0</v>
      </c>
      <c r="L70" s="100" t="s">
        <v>255</v>
      </c>
      <c r="M70" s="104">
        <v>0</v>
      </c>
      <c r="N70" s="97">
        <f t="shared" si="18"/>
        <v>0</v>
      </c>
      <c r="O70" s="100" t="s">
        <v>255</v>
      </c>
      <c r="P70" s="104">
        <v>0</v>
      </c>
      <c r="Q70" s="97">
        <f t="shared" si="19"/>
        <v>0</v>
      </c>
      <c r="R70" s="100" t="s">
        <v>255</v>
      </c>
      <c r="S70" s="104">
        <v>0</v>
      </c>
      <c r="T70" s="97">
        <f t="shared" si="20"/>
        <v>0</v>
      </c>
      <c r="U70" s="100" t="s">
        <v>255</v>
      </c>
      <c r="V70" s="104">
        <v>0</v>
      </c>
      <c r="W70" s="97">
        <f t="shared" si="21"/>
        <v>0</v>
      </c>
      <c r="X70" s="100" t="s">
        <v>255</v>
      </c>
      <c r="Y70" s="104">
        <v>0</v>
      </c>
      <c r="Z70" s="97">
        <f t="shared" si="22"/>
        <v>0</v>
      </c>
    </row>
    <row r="71" spans="1:26" x14ac:dyDescent="0.25">
      <c r="A71" s="196"/>
      <c r="B71" s="203"/>
      <c r="C71" s="32" t="s">
        <v>114</v>
      </c>
      <c r="D71" s="34">
        <f>'ECONOMIA &amp; PROFESIONES'!$P$22</f>
        <v>6032</v>
      </c>
      <c r="E71" s="53">
        <f t="shared" si="23"/>
        <v>0</v>
      </c>
      <c r="F71" s="100" t="s">
        <v>255</v>
      </c>
      <c r="G71" s="104">
        <v>0</v>
      </c>
      <c r="H71" s="97">
        <f t="shared" si="16"/>
        <v>0</v>
      </c>
      <c r="I71" s="100" t="s">
        <v>255</v>
      </c>
      <c r="J71" s="104">
        <v>0</v>
      </c>
      <c r="K71" s="97">
        <f t="shared" si="17"/>
        <v>0</v>
      </c>
      <c r="L71" s="100" t="s">
        <v>255</v>
      </c>
      <c r="M71" s="104">
        <v>0</v>
      </c>
      <c r="N71" s="97">
        <f t="shared" si="18"/>
        <v>0</v>
      </c>
      <c r="O71" s="100" t="s">
        <v>255</v>
      </c>
      <c r="P71" s="104">
        <v>0</v>
      </c>
      <c r="Q71" s="97">
        <f t="shared" si="19"/>
        <v>0</v>
      </c>
      <c r="R71" s="100" t="s">
        <v>255</v>
      </c>
      <c r="S71" s="104">
        <v>0</v>
      </c>
      <c r="T71" s="97">
        <f t="shared" si="20"/>
        <v>0</v>
      </c>
      <c r="U71" s="100" t="s">
        <v>255</v>
      </c>
      <c r="V71" s="104">
        <v>0</v>
      </c>
      <c r="W71" s="97">
        <f t="shared" si="21"/>
        <v>0</v>
      </c>
      <c r="X71" s="100" t="s">
        <v>255</v>
      </c>
      <c r="Y71" s="104">
        <v>0</v>
      </c>
      <c r="Z71" s="97">
        <f t="shared" si="22"/>
        <v>0</v>
      </c>
    </row>
    <row r="72" spans="1:26" x14ac:dyDescent="0.25">
      <c r="A72" s="196"/>
      <c r="B72" s="198"/>
      <c r="C72" s="31" t="s">
        <v>115</v>
      </c>
      <c r="D72" s="34">
        <f>'ECONOMIA &amp; PROFESIONES'!$P$23</f>
        <v>5903</v>
      </c>
      <c r="E72" s="53">
        <f t="shared" si="23"/>
        <v>0</v>
      </c>
      <c r="F72" s="100" t="s">
        <v>255</v>
      </c>
      <c r="G72" s="104">
        <v>0</v>
      </c>
      <c r="H72" s="97">
        <f t="shared" si="16"/>
        <v>0</v>
      </c>
      <c r="I72" s="100" t="s">
        <v>255</v>
      </c>
      <c r="J72" s="104">
        <v>0</v>
      </c>
      <c r="K72" s="97">
        <f t="shared" si="17"/>
        <v>0</v>
      </c>
      <c r="L72" s="100" t="s">
        <v>255</v>
      </c>
      <c r="M72" s="104">
        <v>0</v>
      </c>
      <c r="N72" s="97">
        <f t="shared" si="18"/>
        <v>0</v>
      </c>
      <c r="O72" s="100" t="s">
        <v>255</v>
      </c>
      <c r="P72" s="104">
        <v>0</v>
      </c>
      <c r="Q72" s="97">
        <f t="shared" si="19"/>
        <v>0</v>
      </c>
      <c r="R72" s="100" t="s">
        <v>255</v>
      </c>
      <c r="S72" s="104">
        <v>0</v>
      </c>
      <c r="T72" s="97">
        <f t="shared" si="20"/>
        <v>0</v>
      </c>
      <c r="U72" s="100" t="s">
        <v>255</v>
      </c>
      <c r="V72" s="104">
        <v>0</v>
      </c>
      <c r="W72" s="97">
        <f t="shared" si="21"/>
        <v>0</v>
      </c>
      <c r="X72" s="100" t="s">
        <v>255</v>
      </c>
      <c r="Y72" s="104">
        <v>0</v>
      </c>
      <c r="Z72" s="97">
        <f t="shared" si="22"/>
        <v>0</v>
      </c>
    </row>
    <row r="73" spans="1:26" x14ac:dyDescent="0.25">
      <c r="A73" s="196"/>
      <c r="B73" s="204"/>
      <c r="C73" s="32" t="s">
        <v>116</v>
      </c>
      <c r="D73" s="34">
        <f>'ECONOMIA &amp; PROFESIONES'!$P$24</f>
        <v>5516</v>
      </c>
      <c r="E73" s="53">
        <f t="shared" si="23"/>
        <v>0</v>
      </c>
      <c r="F73" s="100" t="s">
        <v>255</v>
      </c>
      <c r="G73" s="104">
        <v>0</v>
      </c>
      <c r="H73" s="97">
        <f t="shared" si="16"/>
        <v>0</v>
      </c>
      <c r="I73" s="100" t="s">
        <v>255</v>
      </c>
      <c r="J73" s="104">
        <v>0</v>
      </c>
      <c r="K73" s="97">
        <f t="shared" si="17"/>
        <v>0</v>
      </c>
      <c r="L73" s="100" t="s">
        <v>255</v>
      </c>
      <c r="M73" s="104">
        <v>0</v>
      </c>
      <c r="N73" s="97">
        <f t="shared" si="18"/>
        <v>0</v>
      </c>
      <c r="O73" s="100" t="s">
        <v>255</v>
      </c>
      <c r="P73" s="104">
        <v>0</v>
      </c>
      <c r="Q73" s="97">
        <f t="shared" si="19"/>
        <v>0</v>
      </c>
      <c r="R73" s="100" t="s">
        <v>255</v>
      </c>
      <c r="S73" s="104">
        <v>0</v>
      </c>
      <c r="T73" s="97">
        <f t="shared" si="20"/>
        <v>0</v>
      </c>
      <c r="U73" s="100" t="s">
        <v>255</v>
      </c>
      <c r="V73" s="104">
        <v>0</v>
      </c>
      <c r="W73" s="97">
        <f t="shared" si="21"/>
        <v>0</v>
      </c>
      <c r="X73" s="100" t="s">
        <v>255</v>
      </c>
      <c r="Y73" s="104">
        <v>0</v>
      </c>
      <c r="Z73" s="97">
        <f t="shared" si="22"/>
        <v>0</v>
      </c>
    </row>
    <row r="74" spans="1:26" x14ac:dyDescent="0.25">
      <c r="A74" s="196"/>
      <c r="B74" s="200" t="s">
        <v>407</v>
      </c>
      <c r="C74" s="31" t="s">
        <v>6</v>
      </c>
      <c r="D74" s="34">
        <f>'ECONOMIA &amp; PROFESIONES'!$P$25</f>
        <v>6858</v>
      </c>
      <c r="E74" s="53">
        <f t="shared" si="23"/>
        <v>0</v>
      </c>
      <c r="F74" s="100" t="s">
        <v>255</v>
      </c>
      <c r="G74" s="104">
        <v>0</v>
      </c>
      <c r="H74" s="97">
        <f t="shared" si="16"/>
        <v>0</v>
      </c>
      <c r="I74" s="100" t="s">
        <v>255</v>
      </c>
      <c r="J74" s="104">
        <v>0</v>
      </c>
      <c r="K74" s="97">
        <f t="shared" si="17"/>
        <v>0</v>
      </c>
      <c r="L74" s="100" t="s">
        <v>255</v>
      </c>
      <c r="M74" s="104">
        <v>0</v>
      </c>
      <c r="N74" s="97">
        <f t="shared" si="18"/>
        <v>0</v>
      </c>
      <c r="O74" s="100" t="s">
        <v>255</v>
      </c>
      <c r="P74" s="104">
        <v>0</v>
      </c>
      <c r="Q74" s="97">
        <f t="shared" si="19"/>
        <v>0</v>
      </c>
      <c r="R74" s="100" t="s">
        <v>255</v>
      </c>
      <c r="S74" s="104">
        <v>0</v>
      </c>
      <c r="T74" s="97">
        <f t="shared" si="20"/>
        <v>0</v>
      </c>
      <c r="U74" s="100" t="s">
        <v>255</v>
      </c>
      <c r="V74" s="104">
        <v>0</v>
      </c>
      <c r="W74" s="97">
        <f t="shared" si="21"/>
        <v>0</v>
      </c>
      <c r="X74" s="100" t="s">
        <v>255</v>
      </c>
      <c r="Y74" s="104">
        <v>0</v>
      </c>
      <c r="Z74" s="97">
        <f t="shared" si="22"/>
        <v>0</v>
      </c>
    </row>
    <row r="75" spans="1:26" x14ac:dyDescent="0.25">
      <c r="A75" s="196"/>
      <c r="B75" s="200"/>
      <c r="C75" s="32" t="s">
        <v>113</v>
      </c>
      <c r="D75" s="34">
        <f>'ECONOMIA &amp; PROFESIONES'!$P$26</f>
        <v>7395</v>
      </c>
      <c r="E75" s="53">
        <f t="shared" si="23"/>
        <v>0</v>
      </c>
      <c r="F75" s="100" t="s">
        <v>255</v>
      </c>
      <c r="G75" s="104">
        <v>0</v>
      </c>
      <c r="H75" s="97">
        <f t="shared" si="16"/>
        <v>0</v>
      </c>
      <c r="I75" s="100" t="s">
        <v>255</v>
      </c>
      <c r="J75" s="104">
        <v>0</v>
      </c>
      <c r="K75" s="97">
        <f t="shared" si="17"/>
        <v>0</v>
      </c>
      <c r="L75" s="100" t="s">
        <v>255</v>
      </c>
      <c r="M75" s="104">
        <v>0</v>
      </c>
      <c r="N75" s="97">
        <f t="shared" si="18"/>
        <v>0</v>
      </c>
      <c r="O75" s="100" t="s">
        <v>255</v>
      </c>
      <c r="P75" s="104">
        <v>0</v>
      </c>
      <c r="Q75" s="97">
        <f t="shared" si="19"/>
        <v>0</v>
      </c>
      <c r="R75" s="100" t="s">
        <v>255</v>
      </c>
      <c r="S75" s="104">
        <v>0</v>
      </c>
      <c r="T75" s="97">
        <f t="shared" si="20"/>
        <v>0</v>
      </c>
      <c r="U75" s="100" t="s">
        <v>255</v>
      </c>
      <c r="V75" s="104">
        <v>0</v>
      </c>
      <c r="W75" s="97">
        <f t="shared" si="21"/>
        <v>0</v>
      </c>
      <c r="X75" s="100" t="s">
        <v>255</v>
      </c>
      <c r="Y75" s="104">
        <v>0</v>
      </c>
      <c r="Z75" s="97">
        <f t="shared" si="22"/>
        <v>0</v>
      </c>
    </row>
    <row r="76" spans="1:26" x14ac:dyDescent="0.25">
      <c r="A76" s="196"/>
      <c r="B76" s="200"/>
      <c r="C76" s="31" t="s">
        <v>114</v>
      </c>
      <c r="D76" s="34">
        <f>'ECONOMIA &amp; PROFESIONES'!$P$27</f>
        <v>7932</v>
      </c>
      <c r="E76" s="53">
        <f t="shared" si="23"/>
        <v>0</v>
      </c>
      <c r="F76" s="100" t="s">
        <v>255</v>
      </c>
      <c r="G76" s="104">
        <v>0</v>
      </c>
      <c r="H76" s="97">
        <f t="shared" si="16"/>
        <v>0</v>
      </c>
      <c r="I76" s="100" t="s">
        <v>255</v>
      </c>
      <c r="J76" s="104">
        <v>0</v>
      </c>
      <c r="K76" s="97">
        <f t="shared" si="17"/>
        <v>0</v>
      </c>
      <c r="L76" s="100" t="s">
        <v>255</v>
      </c>
      <c r="M76" s="104">
        <v>0</v>
      </c>
      <c r="N76" s="97">
        <f t="shared" si="18"/>
        <v>0</v>
      </c>
      <c r="O76" s="100" t="s">
        <v>255</v>
      </c>
      <c r="P76" s="104">
        <v>0</v>
      </c>
      <c r="Q76" s="97">
        <f t="shared" si="19"/>
        <v>0</v>
      </c>
      <c r="R76" s="100" t="s">
        <v>255</v>
      </c>
      <c r="S76" s="104">
        <v>0</v>
      </c>
      <c r="T76" s="97">
        <f t="shared" si="20"/>
        <v>0</v>
      </c>
      <c r="U76" s="100" t="s">
        <v>255</v>
      </c>
      <c r="V76" s="104">
        <v>0</v>
      </c>
      <c r="W76" s="97">
        <f t="shared" si="21"/>
        <v>0</v>
      </c>
      <c r="X76" s="100" t="s">
        <v>255</v>
      </c>
      <c r="Y76" s="104">
        <v>0</v>
      </c>
      <c r="Z76" s="97">
        <f t="shared" si="22"/>
        <v>0</v>
      </c>
    </row>
    <row r="77" spans="1:26" x14ac:dyDescent="0.25">
      <c r="A77" s="196"/>
      <c r="B77" s="200"/>
      <c r="C77" s="32" t="s">
        <v>115</v>
      </c>
      <c r="D77" s="34">
        <f>'ECONOMIA &amp; PROFESIONES'!$P$28</f>
        <v>7753</v>
      </c>
      <c r="E77" s="53">
        <f t="shared" si="23"/>
        <v>0</v>
      </c>
      <c r="F77" s="100" t="s">
        <v>255</v>
      </c>
      <c r="G77" s="104">
        <v>0</v>
      </c>
      <c r="H77" s="97">
        <f t="shared" si="16"/>
        <v>0</v>
      </c>
      <c r="I77" s="100" t="s">
        <v>255</v>
      </c>
      <c r="J77" s="104">
        <v>0</v>
      </c>
      <c r="K77" s="97">
        <f t="shared" si="17"/>
        <v>0</v>
      </c>
      <c r="L77" s="100" t="s">
        <v>255</v>
      </c>
      <c r="M77" s="104">
        <v>0</v>
      </c>
      <c r="N77" s="97">
        <f t="shared" si="18"/>
        <v>0</v>
      </c>
      <c r="O77" s="100" t="s">
        <v>255</v>
      </c>
      <c r="P77" s="104">
        <v>0</v>
      </c>
      <c r="Q77" s="97">
        <f t="shared" si="19"/>
        <v>0</v>
      </c>
      <c r="R77" s="100" t="s">
        <v>255</v>
      </c>
      <c r="S77" s="104">
        <v>0</v>
      </c>
      <c r="T77" s="97">
        <f t="shared" si="20"/>
        <v>0</v>
      </c>
      <c r="U77" s="100" t="s">
        <v>255</v>
      </c>
      <c r="V77" s="104">
        <v>0</v>
      </c>
      <c r="W77" s="97">
        <f t="shared" si="21"/>
        <v>0</v>
      </c>
      <c r="X77" s="100" t="s">
        <v>255</v>
      </c>
      <c r="Y77" s="104">
        <v>0</v>
      </c>
      <c r="Z77" s="97">
        <f t="shared" si="22"/>
        <v>0</v>
      </c>
    </row>
    <row r="78" spans="1:26" x14ac:dyDescent="0.25">
      <c r="A78" s="196"/>
      <c r="B78" s="200"/>
      <c r="C78" s="31" t="s">
        <v>116</v>
      </c>
      <c r="D78" s="34">
        <f>'ECONOMIA &amp; PROFESIONES'!$P$29</f>
        <v>7216</v>
      </c>
      <c r="E78" s="53">
        <f t="shared" si="23"/>
        <v>0</v>
      </c>
      <c r="F78" s="100" t="s">
        <v>255</v>
      </c>
      <c r="G78" s="104">
        <v>0</v>
      </c>
      <c r="H78" s="97">
        <f t="shared" si="16"/>
        <v>0</v>
      </c>
      <c r="I78" s="100" t="s">
        <v>255</v>
      </c>
      <c r="J78" s="104">
        <v>0</v>
      </c>
      <c r="K78" s="97">
        <f t="shared" si="17"/>
        <v>0</v>
      </c>
      <c r="L78" s="100" t="s">
        <v>255</v>
      </c>
      <c r="M78" s="104">
        <v>0</v>
      </c>
      <c r="N78" s="97">
        <f t="shared" si="18"/>
        <v>0</v>
      </c>
      <c r="O78" s="100" t="s">
        <v>255</v>
      </c>
      <c r="P78" s="104">
        <v>0</v>
      </c>
      <c r="Q78" s="97">
        <f t="shared" si="19"/>
        <v>0</v>
      </c>
      <c r="R78" s="100" t="s">
        <v>255</v>
      </c>
      <c r="S78" s="104">
        <v>0</v>
      </c>
      <c r="T78" s="97">
        <f t="shared" si="20"/>
        <v>0</v>
      </c>
      <c r="U78" s="100" t="s">
        <v>255</v>
      </c>
      <c r="V78" s="104">
        <v>0</v>
      </c>
      <c r="W78" s="97">
        <f t="shared" si="21"/>
        <v>0</v>
      </c>
      <c r="X78" s="100" t="s">
        <v>255</v>
      </c>
      <c r="Y78" s="104">
        <v>0</v>
      </c>
      <c r="Z78" s="97">
        <f t="shared" si="22"/>
        <v>0</v>
      </c>
    </row>
    <row r="79" spans="1:26" x14ac:dyDescent="0.25">
      <c r="A79" s="196" t="s">
        <v>3</v>
      </c>
      <c r="B79" s="84"/>
      <c r="C79" s="84"/>
      <c r="D79" s="113"/>
      <c r="E79" s="103" t="s">
        <v>332</v>
      </c>
      <c r="F79" s="103" t="s">
        <v>333</v>
      </c>
      <c r="G79" s="103" t="s">
        <v>410</v>
      </c>
      <c r="H79" s="103" t="s">
        <v>199</v>
      </c>
      <c r="I79" s="103" t="s">
        <v>334</v>
      </c>
      <c r="J79" s="103" t="s">
        <v>410</v>
      </c>
      <c r="K79" s="103" t="s">
        <v>199</v>
      </c>
      <c r="L79" s="103" t="s">
        <v>350</v>
      </c>
      <c r="M79" s="103" t="s">
        <v>410</v>
      </c>
      <c r="N79" s="103" t="s">
        <v>199</v>
      </c>
      <c r="O79" s="103" t="s">
        <v>403</v>
      </c>
      <c r="P79" s="103" t="s">
        <v>410</v>
      </c>
      <c r="Q79" s="103" t="s">
        <v>199</v>
      </c>
      <c r="R79" s="103" t="s">
        <v>404</v>
      </c>
      <c r="S79" s="103" t="s">
        <v>410</v>
      </c>
      <c r="T79" s="103" t="s">
        <v>199</v>
      </c>
      <c r="U79" s="103" t="s">
        <v>405</v>
      </c>
      <c r="V79" s="103" t="s">
        <v>410</v>
      </c>
      <c r="W79" s="103" t="s">
        <v>199</v>
      </c>
      <c r="X79" s="103" t="s">
        <v>406</v>
      </c>
      <c r="Y79" s="103" t="s">
        <v>410</v>
      </c>
      <c r="Z79" s="103" t="s">
        <v>199</v>
      </c>
    </row>
    <row r="80" spans="1:26" x14ac:dyDescent="0.25">
      <c r="A80" s="196"/>
      <c r="B80" s="205" t="s">
        <v>341</v>
      </c>
      <c r="C80" s="31" t="s">
        <v>6</v>
      </c>
      <c r="D80" s="35">
        <f>'ECONOMIA &amp; PROFESIONES'!$Q$5</f>
        <v>516</v>
      </c>
      <c r="E80" s="53">
        <f>(H80*G80)+(K80*J80)+(M80*N80)+(P80*Q80)+(S80*T80)+(V80*W80)+(Y80*Z80)</f>
        <v>0</v>
      </c>
      <c r="F80" s="100" t="s">
        <v>255</v>
      </c>
      <c r="G80" s="104">
        <v>0</v>
      </c>
      <c r="H80" s="97">
        <f t="shared" ref="H80:H104" si="24">VLOOKUP(F80,craftedesp,3,FALSE)</f>
        <v>0</v>
      </c>
      <c r="I80" s="100" t="s">
        <v>255</v>
      </c>
      <c r="J80" s="104">
        <v>0</v>
      </c>
      <c r="K80" s="97">
        <f t="shared" ref="K80:K104" si="25">VLOOKUP(I80,craftedesp,3,FALSE)</f>
        <v>0</v>
      </c>
      <c r="L80" s="100" t="s">
        <v>255</v>
      </c>
      <c r="M80" s="104">
        <v>0</v>
      </c>
      <c r="N80" s="97">
        <f t="shared" ref="N80:N104" si="26">VLOOKUP(L80,craftedesp,3,FALSE)</f>
        <v>0</v>
      </c>
      <c r="O80" s="100" t="s">
        <v>255</v>
      </c>
      <c r="P80" s="104">
        <v>0</v>
      </c>
      <c r="Q80" s="97">
        <f t="shared" ref="Q80:Q104" si="27">VLOOKUP(O80,craftedesp,3,FALSE)</f>
        <v>0</v>
      </c>
      <c r="R80" s="100" t="s">
        <v>255</v>
      </c>
      <c r="S80" s="104">
        <v>0</v>
      </c>
      <c r="T80" s="97">
        <f t="shared" ref="T80:T104" si="28">VLOOKUP(R80,craftedesp,3,FALSE)</f>
        <v>0</v>
      </c>
      <c r="U80" s="100" t="s">
        <v>255</v>
      </c>
      <c r="V80" s="104">
        <v>0</v>
      </c>
      <c r="W80" s="97">
        <f t="shared" ref="W80:W104" si="29">VLOOKUP(U80,craftedesp,3,FALSE)</f>
        <v>0</v>
      </c>
      <c r="X80" s="100" t="s">
        <v>255</v>
      </c>
      <c r="Y80" s="104">
        <v>0</v>
      </c>
      <c r="Z80" s="97">
        <f t="shared" ref="Z80:Z104" si="30">VLOOKUP(X80,craftedesp,3,FALSE)</f>
        <v>0</v>
      </c>
    </row>
    <row r="81" spans="1:26" x14ac:dyDescent="0.25">
      <c r="A81" s="196"/>
      <c r="B81" s="206"/>
      <c r="C81" s="32" t="s">
        <v>113</v>
      </c>
      <c r="D81" s="35">
        <f>'ECONOMIA &amp; PROFESIONES'!$Q$6</f>
        <v>540</v>
      </c>
      <c r="E81" s="53">
        <f t="shared" ref="E81:E104" si="31">(H81*G81)+(K81*J81)+(M81*N81)+(P81*Q81)+(S81*T81)+(V81*W81)+(Y81*Z81)</f>
        <v>0</v>
      </c>
      <c r="F81" s="100" t="s">
        <v>255</v>
      </c>
      <c r="G81" s="104">
        <v>0</v>
      </c>
      <c r="H81" s="97">
        <f t="shared" si="24"/>
        <v>0</v>
      </c>
      <c r="I81" s="100" t="s">
        <v>255</v>
      </c>
      <c r="J81" s="104">
        <v>0</v>
      </c>
      <c r="K81" s="97">
        <f t="shared" si="25"/>
        <v>0</v>
      </c>
      <c r="L81" s="100" t="s">
        <v>255</v>
      </c>
      <c r="M81" s="104">
        <v>0</v>
      </c>
      <c r="N81" s="97">
        <f t="shared" si="26"/>
        <v>0</v>
      </c>
      <c r="O81" s="100" t="s">
        <v>255</v>
      </c>
      <c r="P81" s="104">
        <v>0</v>
      </c>
      <c r="Q81" s="97">
        <f t="shared" si="27"/>
        <v>0</v>
      </c>
      <c r="R81" s="100" t="s">
        <v>255</v>
      </c>
      <c r="S81" s="104">
        <v>0</v>
      </c>
      <c r="T81" s="97">
        <f t="shared" si="28"/>
        <v>0</v>
      </c>
      <c r="U81" s="100" t="s">
        <v>255</v>
      </c>
      <c r="V81" s="104">
        <v>0</v>
      </c>
      <c r="W81" s="97">
        <f t="shared" si="29"/>
        <v>0</v>
      </c>
      <c r="X81" s="100" t="s">
        <v>255</v>
      </c>
      <c r="Y81" s="104">
        <v>0</v>
      </c>
      <c r="Z81" s="97">
        <f t="shared" si="30"/>
        <v>0</v>
      </c>
    </row>
    <row r="82" spans="1:26" x14ac:dyDescent="0.25">
      <c r="A82" s="196"/>
      <c r="B82" s="206"/>
      <c r="C82" s="31" t="s">
        <v>114</v>
      </c>
      <c r="D82" s="35">
        <f>'ECONOMIA &amp; PROFESIONES'!$Q$7</f>
        <v>564</v>
      </c>
      <c r="E82" s="53">
        <f t="shared" si="31"/>
        <v>0</v>
      </c>
      <c r="F82" s="100" t="s">
        <v>255</v>
      </c>
      <c r="G82" s="104">
        <v>0</v>
      </c>
      <c r="H82" s="97">
        <f t="shared" si="24"/>
        <v>0</v>
      </c>
      <c r="I82" s="100" t="s">
        <v>255</v>
      </c>
      <c r="J82" s="104">
        <v>0</v>
      </c>
      <c r="K82" s="97">
        <f t="shared" si="25"/>
        <v>0</v>
      </c>
      <c r="L82" s="100" t="s">
        <v>255</v>
      </c>
      <c r="M82" s="104">
        <v>0</v>
      </c>
      <c r="N82" s="97">
        <f t="shared" si="26"/>
        <v>0</v>
      </c>
      <c r="O82" s="100" t="s">
        <v>255</v>
      </c>
      <c r="P82" s="104">
        <v>0</v>
      </c>
      <c r="Q82" s="97">
        <f t="shared" si="27"/>
        <v>0</v>
      </c>
      <c r="R82" s="100" t="s">
        <v>255</v>
      </c>
      <c r="S82" s="104">
        <v>0</v>
      </c>
      <c r="T82" s="97">
        <f t="shared" si="28"/>
        <v>0</v>
      </c>
      <c r="U82" s="100" t="s">
        <v>255</v>
      </c>
      <c r="V82" s="104">
        <v>0</v>
      </c>
      <c r="W82" s="97">
        <f t="shared" si="29"/>
        <v>0</v>
      </c>
      <c r="X82" s="100" t="s">
        <v>255</v>
      </c>
      <c r="Y82" s="104">
        <v>0</v>
      </c>
      <c r="Z82" s="97">
        <f t="shared" si="30"/>
        <v>0</v>
      </c>
    </row>
    <row r="83" spans="1:26" x14ac:dyDescent="0.25">
      <c r="A83" s="196"/>
      <c r="B83" s="206"/>
      <c r="C83" s="32" t="s">
        <v>115</v>
      </c>
      <c r="D83" s="35">
        <f>'ECONOMIA &amp; PROFESIONES'!$Q$8</f>
        <v>556</v>
      </c>
      <c r="E83" s="53">
        <f t="shared" si="31"/>
        <v>0</v>
      </c>
      <c r="F83" s="100" t="s">
        <v>255</v>
      </c>
      <c r="G83" s="104">
        <v>0</v>
      </c>
      <c r="H83" s="97">
        <f t="shared" si="24"/>
        <v>0</v>
      </c>
      <c r="I83" s="100" t="s">
        <v>255</v>
      </c>
      <c r="J83" s="104">
        <v>0</v>
      </c>
      <c r="K83" s="97">
        <f t="shared" si="25"/>
        <v>0</v>
      </c>
      <c r="L83" s="100" t="s">
        <v>255</v>
      </c>
      <c r="M83" s="104">
        <v>0</v>
      </c>
      <c r="N83" s="97">
        <f t="shared" si="26"/>
        <v>0</v>
      </c>
      <c r="O83" s="100" t="s">
        <v>255</v>
      </c>
      <c r="P83" s="104">
        <v>0</v>
      </c>
      <c r="Q83" s="97">
        <f t="shared" si="27"/>
        <v>0</v>
      </c>
      <c r="R83" s="100" t="s">
        <v>255</v>
      </c>
      <c r="S83" s="104">
        <v>0</v>
      </c>
      <c r="T83" s="97">
        <f t="shared" si="28"/>
        <v>0</v>
      </c>
      <c r="U83" s="100" t="s">
        <v>255</v>
      </c>
      <c r="V83" s="104">
        <v>0</v>
      </c>
      <c r="W83" s="97">
        <f t="shared" si="29"/>
        <v>0</v>
      </c>
      <c r="X83" s="100" t="s">
        <v>255</v>
      </c>
      <c r="Y83" s="104">
        <v>0</v>
      </c>
      <c r="Z83" s="97">
        <f t="shared" si="30"/>
        <v>0</v>
      </c>
    </row>
    <row r="84" spans="1:26" x14ac:dyDescent="0.25">
      <c r="A84" s="196"/>
      <c r="B84" s="207"/>
      <c r="C84" s="31" t="s">
        <v>116</v>
      </c>
      <c r="D84" s="35">
        <f>'ECONOMIA &amp; PROFESIONES'!$Q$9</f>
        <v>532</v>
      </c>
      <c r="E84" s="53">
        <f t="shared" si="31"/>
        <v>0</v>
      </c>
      <c r="F84" s="100" t="s">
        <v>255</v>
      </c>
      <c r="G84" s="104">
        <v>0</v>
      </c>
      <c r="H84" s="97">
        <f t="shared" si="24"/>
        <v>0</v>
      </c>
      <c r="I84" s="100" t="s">
        <v>255</v>
      </c>
      <c r="J84" s="104">
        <v>0</v>
      </c>
      <c r="K84" s="97">
        <f t="shared" si="25"/>
        <v>0</v>
      </c>
      <c r="L84" s="100" t="s">
        <v>255</v>
      </c>
      <c r="M84" s="104">
        <v>0</v>
      </c>
      <c r="N84" s="97">
        <f t="shared" si="26"/>
        <v>0</v>
      </c>
      <c r="O84" s="100" t="s">
        <v>255</v>
      </c>
      <c r="P84" s="104">
        <v>0</v>
      </c>
      <c r="Q84" s="97">
        <f t="shared" si="27"/>
        <v>0</v>
      </c>
      <c r="R84" s="100" t="s">
        <v>255</v>
      </c>
      <c r="S84" s="104">
        <v>0</v>
      </c>
      <c r="T84" s="97">
        <f t="shared" si="28"/>
        <v>0</v>
      </c>
      <c r="U84" s="100" t="s">
        <v>255</v>
      </c>
      <c r="V84" s="104">
        <v>0</v>
      </c>
      <c r="W84" s="97">
        <f t="shared" si="29"/>
        <v>0</v>
      </c>
      <c r="X84" s="100" t="s">
        <v>255</v>
      </c>
      <c r="Y84" s="104">
        <v>0</v>
      </c>
      <c r="Z84" s="97">
        <f t="shared" si="30"/>
        <v>0</v>
      </c>
    </row>
    <row r="85" spans="1:26" x14ac:dyDescent="0.25">
      <c r="A85" s="196"/>
      <c r="B85" s="197" t="s">
        <v>342</v>
      </c>
      <c r="C85" s="32" t="s">
        <v>6</v>
      </c>
      <c r="D85" s="35">
        <f>'ECONOMIA &amp; PROFESIONES'!$Q$10</f>
        <v>2066</v>
      </c>
      <c r="E85" s="53">
        <f t="shared" si="31"/>
        <v>0</v>
      </c>
      <c r="F85" s="100" t="s">
        <v>255</v>
      </c>
      <c r="G85" s="104">
        <v>0</v>
      </c>
      <c r="H85" s="97">
        <f t="shared" si="24"/>
        <v>0</v>
      </c>
      <c r="I85" s="100" t="s">
        <v>255</v>
      </c>
      <c r="J85" s="104">
        <v>0</v>
      </c>
      <c r="K85" s="97">
        <f t="shared" si="25"/>
        <v>0</v>
      </c>
      <c r="L85" s="100" t="s">
        <v>255</v>
      </c>
      <c r="M85" s="104">
        <v>0</v>
      </c>
      <c r="N85" s="97">
        <f t="shared" si="26"/>
        <v>0</v>
      </c>
      <c r="O85" s="100" t="s">
        <v>255</v>
      </c>
      <c r="P85" s="104">
        <v>0</v>
      </c>
      <c r="Q85" s="97">
        <f t="shared" si="27"/>
        <v>0</v>
      </c>
      <c r="R85" s="100" t="s">
        <v>255</v>
      </c>
      <c r="S85" s="104">
        <v>0</v>
      </c>
      <c r="T85" s="97">
        <f t="shared" si="28"/>
        <v>0</v>
      </c>
      <c r="U85" s="100" t="s">
        <v>255</v>
      </c>
      <c r="V85" s="104">
        <v>0</v>
      </c>
      <c r="W85" s="97">
        <f t="shared" si="29"/>
        <v>0</v>
      </c>
      <c r="X85" s="100" t="s">
        <v>255</v>
      </c>
      <c r="Y85" s="104">
        <v>0</v>
      </c>
      <c r="Z85" s="97">
        <f t="shared" si="30"/>
        <v>0</v>
      </c>
    </row>
    <row r="86" spans="1:26" x14ac:dyDescent="0.25">
      <c r="A86" s="196"/>
      <c r="B86" s="198"/>
      <c r="C86" s="31" t="s">
        <v>113</v>
      </c>
      <c r="D86" s="35">
        <f>'ECONOMIA &amp; PROFESIONES'!$Q$11</f>
        <v>2165</v>
      </c>
      <c r="E86" s="53">
        <f t="shared" si="31"/>
        <v>0</v>
      </c>
      <c r="F86" s="100" t="s">
        <v>255</v>
      </c>
      <c r="G86" s="104">
        <v>0</v>
      </c>
      <c r="H86" s="97">
        <f t="shared" si="24"/>
        <v>0</v>
      </c>
      <c r="I86" s="100" t="s">
        <v>255</v>
      </c>
      <c r="J86" s="104">
        <v>0</v>
      </c>
      <c r="K86" s="97">
        <f t="shared" si="25"/>
        <v>0</v>
      </c>
      <c r="L86" s="100" t="s">
        <v>255</v>
      </c>
      <c r="M86" s="104">
        <v>0</v>
      </c>
      <c r="N86" s="97">
        <f t="shared" si="26"/>
        <v>0</v>
      </c>
      <c r="O86" s="100" t="s">
        <v>255</v>
      </c>
      <c r="P86" s="104">
        <v>0</v>
      </c>
      <c r="Q86" s="97">
        <f t="shared" si="27"/>
        <v>0</v>
      </c>
      <c r="R86" s="100" t="s">
        <v>255</v>
      </c>
      <c r="S86" s="104">
        <v>0</v>
      </c>
      <c r="T86" s="97">
        <f t="shared" si="28"/>
        <v>0</v>
      </c>
      <c r="U86" s="100" t="s">
        <v>255</v>
      </c>
      <c r="V86" s="104">
        <v>0</v>
      </c>
      <c r="W86" s="97">
        <f t="shared" si="29"/>
        <v>0</v>
      </c>
      <c r="X86" s="100" t="s">
        <v>255</v>
      </c>
      <c r="Y86" s="104">
        <v>0</v>
      </c>
      <c r="Z86" s="97">
        <f t="shared" si="30"/>
        <v>0</v>
      </c>
    </row>
    <row r="87" spans="1:26" x14ac:dyDescent="0.25">
      <c r="A87" s="196"/>
      <c r="B87" s="198"/>
      <c r="C87" s="32" t="s">
        <v>114</v>
      </c>
      <c r="D87" s="35">
        <f>'ECONOMIA &amp; PROFESIONES'!$Q$12</f>
        <v>2264</v>
      </c>
      <c r="E87" s="53">
        <f t="shared" si="31"/>
        <v>0</v>
      </c>
      <c r="F87" s="100" t="s">
        <v>255</v>
      </c>
      <c r="G87" s="104">
        <v>0</v>
      </c>
      <c r="H87" s="97">
        <f t="shared" si="24"/>
        <v>0</v>
      </c>
      <c r="I87" s="100" t="s">
        <v>255</v>
      </c>
      <c r="J87" s="104">
        <v>0</v>
      </c>
      <c r="K87" s="97">
        <f t="shared" si="25"/>
        <v>0</v>
      </c>
      <c r="L87" s="100" t="s">
        <v>255</v>
      </c>
      <c r="M87" s="104">
        <v>0</v>
      </c>
      <c r="N87" s="97">
        <f t="shared" si="26"/>
        <v>0</v>
      </c>
      <c r="O87" s="100" t="s">
        <v>255</v>
      </c>
      <c r="P87" s="104">
        <v>0</v>
      </c>
      <c r="Q87" s="97">
        <f t="shared" si="27"/>
        <v>0</v>
      </c>
      <c r="R87" s="100" t="s">
        <v>255</v>
      </c>
      <c r="S87" s="104">
        <v>0</v>
      </c>
      <c r="T87" s="97">
        <f t="shared" si="28"/>
        <v>0</v>
      </c>
      <c r="U87" s="100" t="s">
        <v>255</v>
      </c>
      <c r="V87" s="104">
        <v>0</v>
      </c>
      <c r="W87" s="97">
        <f t="shared" si="29"/>
        <v>0</v>
      </c>
      <c r="X87" s="100" t="s">
        <v>255</v>
      </c>
      <c r="Y87" s="104">
        <v>0</v>
      </c>
      <c r="Z87" s="97">
        <f t="shared" si="30"/>
        <v>0</v>
      </c>
    </row>
    <row r="88" spans="1:26" x14ac:dyDescent="0.25">
      <c r="A88" s="196"/>
      <c r="B88" s="198"/>
      <c r="C88" s="31" t="s">
        <v>115</v>
      </c>
      <c r="D88" s="35">
        <f>'ECONOMIA &amp; PROFESIONES'!$Q$13</f>
        <v>2231</v>
      </c>
      <c r="E88" s="53">
        <f t="shared" si="31"/>
        <v>0</v>
      </c>
      <c r="F88" s="100" t="s">
        <v>255</v>
      </c>
      <c r="G88" s="104">
        <v>0</v>
      </c>
      <c r="H88" s="97">
        <f t="shared" si="24"/>
        <v>0</v>
      </c>
      <c r="I88" s="100" t="s">
        <v>255</v>
      </c>
      <c r="J88" s="104">
        <v>0</v>
      </c>
      <c r="K88" s="97">
        <f t="shared" si="25"/>
        <v>0</v>
      </c>
      <c r="L88" s="100" t="s">
        <v>255</v>
      </c>
      <c r="M88" s="104">
        <v>0</v>
      </c>
      <c r="N88" s="97">
        <f t="shared" si="26"/>
        <v>0</v>
      </c>
      <c r="O88" s="100" t="s">
        <v>255</v>
      </c>
      <c r="P88" s="104">
        <v>0</v>
      </c>
      <c r="Q88" s="97">
        <f t="shared" si="27"/>
        <v>0</v>
      </c>
      <c r="R88" s="100" t="s">
        <v>255</v>
      </c>
      <c r="S88" s="104">
        <v>0</v>
      </c>
      <c r="T88" s="97">
        <f t="shared" si="28"/>
        <v>0</v>
      </c>
      <c r="U88" s="100" t="s">
        <v>255</v>
      </c>
      <c r="V88" s="104">
        <v>0</v>
      </c>
      <c r="W88" s="97">
        <f t="shared" si="29"/>
        <v>0</v>
      </c>
      <c r="X88" s="100" t="s">
        <v>255</v>
      </c>
      <c r="Y88" s="104">
        <v>0</v>
      </c>
      <c r="Z88" s="97">
        <f t="shared" si="30"/>
        <v>0</v>
      </c>
    </row>
    <row r="89" spans="1:26" x14ac:dyDescent="0.25">
      <c r="A89" s="196"/>
      <c r="B89" s="199"/>
      <c r="C89" s="32" t="s">
        <v>116</v>
      </c>
      <c r="D89" s="35">
        <f>'ECONOMIA &amp; PROFESIONES'!$Q$14</f>
        <v>2132</v>
      </c>
      <c r="E89" s="53">
        <f t="shared" si="31"/>
        <v>0</v>
      </c>
      <c r="F89" s="100" t="s">
        <v>255</v>
      </c>
      <c r="G89" s="104">
        <v>0</v>
      </c>
      <c r="H89" s="97">
        <f t="shared" si="24"/>
        <v>0</v>
      </c>
      <c r="I89" s="100" t="s">
        <v>255</v>
      </c>
      <c r="J89" s="104">
        <v>0</v>
      </c>
      <c r="K89" s="97">
        <f t="shared" si="25"/>
        <v>0</v>
      </c>
      <c r="L89" s="100" t="s">
        <v>255</v>
      </c>
      <c r="M89" s="104">
        <v>0</v>
      </c>
      <c r="N89" s="97">
        <f t="shared" si="26"/>
        <v>0</v>
      </c>
      <c r="O89" s="100" t="s">
        <v>255</v>
      </c>
      <c r="P89" s="104">
        <v>0</v>
      </c>
      <c r="Q89" s="97">
        <f t="shared" si="27"/>
        <v>0</v>
      </c>
      <c r="R89" s="100" t="s">
        <v>255</v>
      </c>
      <c r="S89" s="104">
        <v>0</v>
      </c>
      <c r="T89" s="97">
        <f t="shared" si="28"/>
        <v>0</v>
      </c>
      <c r="U89" s="100" t="s">
        <v>255</v>
      </c>
      <c r="V89" s="104">
        <v>0</v>
      </c>
      <c r="W89" s="97">
        <f t="shared" si="29"/>
        <v>0</v>
      </c>
      <c r="X89" s="100" t="s">
        <v>255</v>
      </c>
      <c r="Y89" s="104">
        <v>0</v>
      </c>
      <c r="Z89" s="97">
        <f t="shared" si="30"/>
        <v>0</v>
      </c>
    </row>
    <row r="90" spans="1:26" x14ac:dyDescent="0.25">
      <c r="A90" s="196"/>
      <c r="B90" s="200" t="s">
        <v>408</v>
      </c>
      <c r="C90" s="31" t="s">
        <v>6</v>
      </c>
      <c r="D90" s="35">
        <f>'ECONOMIA &amp; PROFESIONES'!$Q$15</f>
        <v>3666</v>
      </c>
      <c r="E90" s="53">
        <f t="shared" si="31"/>
        <v>0</v>
      </c>
      <c r="F90" s="100" t="s">
        <v>255</v>
      </c>
      <c r="G90" s="104">
        <v>0</v>
      </c>
      <c r="H90" s="97">
        <f t="shared" si="24"/>
        <v>0</v>
      </c>
      <c r="I90" s="100" t="s">
        <v>255</v>
      </c>
      <c r="J90" s="104">
        <v>0</v>
      </c>
      <c r="K90" s="97">
        <f t="shared" si="25"/>
        <v>0</v>
      </c>
      <c r="L90" s="100" t="s">
        <v>255</v>
      </c>
      <c r="M90" s="104">
        <v>0</v>
      </c>
      <c r="N90" s="97">
        <f t="shared" si="26"/>
        <v>0</v>
      </c>
      <c r="O90" s="100" t="s">
        <v>255</v>
      </c>
      <c r="P90" s="104">
        <v>0</v>
      </c>
      <c r="Q90" s="97">
        <f t="shared" si="27"/>
        <v>0</v>
      </c>
      <c r="R90" s="100" t="s">
        <v>255</v>
      </c>
      <c r="S90" s="104">
        <v>0</v>
      </c>
      <c r="T90" s="97">
        <f t="shared" si="28"/>
        <v>0</v>
      </c>
      <c r="U90" s="100" t="s">
        <v>255</v>
      </c>
      <c r="V90" s="104">
        <v>0</v>
      </c>
      <c r="W90" s="97">
        <f t="shared" si="29"/>
        <v>0</v>
      </c>
      <c r="X90" s="100" t="s">
        <v>255</v>
      </c>
      <c r="Y90" s="104">
        <v>0</v>
      </c>
      <c r="Z90" s="97">
        <f t="shared" si="30"/>
        <v>0</v>
      </c>
    </row>
    <row r="91" spans="1:26" x14ac:dyDescent="0.25">
      <c r="A91" s="196"/>
      <c r="B91" s="201"/>
      <c r="C91" s="32" t="s">
        <v>113</v>
      </c>
      <c r="D91" s="35">
        <f>'ECONOMIA &amp; PROFESIONES'!$Q$16</f>
        <v>3915</v>
      </c>
      <c r="E91" s="53">
        <f t="shared" si="31"/>
        <v>0</v>
      </c>
      <c r="F91" s="100" t="s">
        <v>255</v>
      </c>
      <c r="G91" s="104">
        <v>0</v>
      </c>
      <c r="H91" s="97">
        <f t="shared" si="24"/>
        <v>0</v>
      </c>
      <c r="I91" s="100" t="s">
        <v>255</v>
      </c>
      <c r="J91" s="104">
        <v>0</v>
      </c>
      <c r="K91" s="97">
        <f t="shared" si="25"/>
        <v>0</v>
      </c>
      <c r="L91" s="100" t="s">
        <v>255</v>
      </c>
      <c r="M91" s="104">
        <v>0</v>
      </c>
      <c r="N91" s="97">
        <f t="shared" si="26"/>
        <v>0</v>
      </c>
      <c r="O91" s="100" t="s">
        <v>255</v>
      </c>
      <c r="P91" s="104">
        <v>0</v>
      </c>
      <c r="Q91" s="97">
        <f t="shared" si="27"/>
        <v>0</v>
      </c>
      <c r="R91" s="100" t="s">
        <v>255</v>
      </c>
      <c r="S91" s="104">
        <v>0</v>
      </c>
      <c r="T91" s="97">
        <f t="shared" si="28"/>
        <v>0</v>
      </c>
      <c r="U91" s="100" t="s">
        <v>255</v>
      </c>
      <c r="V91" s="104">
        <v>0</v>
      </c>
      <c r="W91" s="97">
        <f t="shared" si="29"/>
        <v>0</v>
      </c>
      <c r="X91" s="100" t="s">
        <v>255</v>
      </c>
      <c r="Y91" s="104">
        <v>0</v>
      </c>
      <c r="Z91" s="97">
        <f t="shared" si="30"/>
        <v>0</v>
      </c>
    </row>
    <row r="92" spans="1:26" x14ac:dyDescent="0.25">
      <c r="A92" s="196"/>
      <c r="B92" s="201"/>
      <c r="C92" s="31" t="s">
        <v>114</v>
      </c>
      <c r="D92" s="35">
        <f>'ECONOMIA &amp; PROFESIONES'!$Q$17</f>
        <v>4164</v>
      </c>
      <c r="E92" s="53">
        <f t="shared" si="31"/>
        <v>0</v>
      </c>
      <c r="F92" s="100" t="s">
        <v>255</v>
      </c>
      <c r="G92" s="104">
        <v>0</v>
      </c>
      <c r="H92" s="97">
        <f t="shared" si="24"/>
        <v>0</v>
      </c>
      <c r="I92" s="100" t="s">
        <v>255</v>
      </c>
      <c r="J92" s="104">
        <v>0</v>
      </c>
      <c r="K92" s="97">
        <f t="shared" si="25"/>
        <v>0</v>
      </c>
      <c r="L92" s="100" t="s">
        <v>255</v>
      </c>
      <c r="M92" s="104">
        <v>0</v>
      </c>
      <c r="N92" s="97">
        <f t="shared" si="26"/>
        <v>0</v>
      </c>
      <c r="O92" s="100" t="s">
        <v>255</v>
      </c>
      <c r="P92" s="104">
        <v>0</v>
      </c>
      <c r="Q92" s="97">
        <f t="shared" si="27"/>
        <v>0</v>
      </c>
      <c r="R92" s="100" t="s">
        <v>255</v>
      </c>
      <c r="S92" s="104">
        <v>0</v>
      </c>
      <c r="T92" s="97">
        <f t="shared" si="28"/>
        <v>0</v>
      </c>
      <c r="U92" s="100" t="s">
        <v>255</v>
      </c>
      <c r="V92" s="104">
        <v>0</v>
      </c>
      <c r="W92" s="97">
        <f t="shared" si="29"/>
        <v>0</v>
      </c>
      <c r="X92" s="100" t="s">
        <v>255</v>
      </c>
      <c r="Y92" s="104">
        <v>0</v>
      </c>
      <c r="Z92" s="97">
        <f t="shared" si="30"/>
        <v>0</v>
      </c>
    </row>
    <row r="93" spans="1:26" x14ac:dyDescent="0.25">
      <c r="A93" s="196"/>
      <c r="B93" s="200"/>
      <c r="C93" s="32" t="s">
        <v>115</v>
      </c>
      <c r="D93" s="35">
        <f>'ECONOMIA &amp; PROFESIONES'!$Q$18</f>
        <v>4081</v>
      </c>
      <c r="E93" s="53">
        <f t="shared" si="31"/>
        <v>0</v>
      </c>
      <c r="F93" s="100" t="s">
        <v>255</v>
      </c>
      <c r="G93" s="104">
        <v>0</v>
      </c>
      <c r="H93" s="97">
        <f t="shared" si="24"/>
        <v>0</v>
      </c>
      <c r="I93" s="100" t="s">
        <v>255</v>
      </c>
      <c r="J93" s="104">
        <v>0</v>
      </c>
      <c r="K93" s="97">
        <f t="shared" si="25"/>
        <v>0</v>
      </c>
      <c r="L93" s="100" t="s">
        <v>255</v>
      </c>
      <c r="M93" s="104">
        <v>0</v>
      </c>
      <c r="N93" s="97">
        <f t="shared" si="26"/>
        <v>0</v>
      </c>
      <c r="O93" s="100" t="s">
        <v>255</v>
      </c>
      <c r="P93" s="104">
        <v>0</v>
      </c>
      <c r="Q93" s="97">
        <f t="shared" si="27"/>
        <v>0</v>
      </c>
      <c r="R93" s="100" t="s">
        <v>255</v>
      </c>
      <c r="S93" s="104">
        <v>0</v>
      </c>
      <c r="T93" s="97">
        <f t="shared" si="28"/>
        <v>0</v>
      </c>
      <c r="U93" s="100" t="s">
        <v>255</v>
      </c>
      <c r="V93" s="104">
        <v>0</v>
      </c>
      <c r="W93" s="97">
        <f t="shared" si="29"/>
        <v>0</v>
      </c>
      <c r="X93" s="100" t="s">
        <v>255</v>
      </c>
      <c r="Y93" s="104">
        <v>0</v>
      </c>
      <c r="Z93" s="97">
        <f t="shared" si="30"/>
        <v>0</v>
      </c>
    </row>
    <row r="94" spans="1:26" x14ac:dyDescent="0.25">
      <c r="A94" s="196"/>
      <c r="B94" s="200"/>
      <c r="C94" s="31" t="s">
        <v>116</v>
      </c>
      <c r="D94" s="35">
        <f>'ECONOMIA &amp; PROFESIONES'!$Q$19</f>
        <v>3832</v>
      </c>
      <c r="E94" s="53">
        <f t="shared" si="31"/>
        <v>0</v>
      </c>
      <c r="F94" s="100" t="s">
        <v>255</v>
      </c>
      <c r="G94" s="104">
        <v>0</v>
      </c>
      <c r="H94" s="97">
        <f t="shared" si="24"/>
        <v>0</v>
      </c>
      <c r="I94" s="100" t="s">
        <v>255</v>
      </c>
      <c r="J94" s="104">
        <v>0</v>
      </c>
      <c r="K94" s="97">
        <f t="shared" si="25"/>
        <v>0</v>
      </c>
      <c r="L94" s="100" t="s">
        <v>255</v>
      </c>
      <c r="M94" s="104">
        <v>0</v>
      </c>
      <c r="N94" s="97">
        <f t="shared" si="26"/>
        <v>0</v>
      </c>
      <c r="O94" s="100" t="s">
        <v>255</v>
      </c>
      <c r="P94" s="104">
        <v>0</v>
      </c>
      <c r="Q94" s="97">
        <f t="shared" si="27"/>
        <v>0</v>
      </c>
      <c r="R94" s="100" t="s">
        <v>255</v>
      </c>
      <c r="S94" s="104">
        <v>0</v>
      </c>
      <c r="T94" s="97">
        <f t="shared" si="28"/>
        <v>0</v>
      </c>
      <c r="U94" s="100" t="s">
        <v>255</v>
      </c>
      <c r="V94" s="104">
        <v>0</v>
      </c>
      <c r="W94" s="97">
        <f t="shared" si="29"/>
        <v>0</v>
      </c>
      <c r="X94" s="100" t="s">
        <v>255</v>
      </c>
      <c r="Y94" s="104">
        <v>0</v>
      </c>
      <c r="Z94" s="97">
        <f t="shared" si="30"/>
        <v>0</v>
      </c>
    </row>
    <row r="95" spans="1:26" x14ac:dyDescent="0.25">
      <c r="A95" s="196"/>
      <c r="B95" s="202" t="s">
        <v>409</v>
      </c>
      <c r="C95" s="32" t="s">
        <v>6</v>
      </c>
      <c r="D95" s="35">
        <f>'ECONOMIA &amp; PROFESIONES'!$Q$20</f>
        <v>5266</v>
      </c>
      <c r="E95" s="53">
        <f t="shared" si="31"/>
        <v>0</v>
      </c>
      <c r="F95" s="100" t="s">
        <v>255</v>
      </c>
      <c r="G95" s="104">
        <v>0</v>
      </c>
      <c r="H95" s="97">
        <f t="shared" si="24"/>
        <v>0</v>
      </c>
      <c r="I95" s="100" t="s">
        <v>255</v>
      </c>
      <c r="J95" s="104">
        <v>0</v>
      </c>
      <c r="K95" s="97">
        <f t="shared" si="25"/>
        <v>0</v>
      </c>
      <c r="L95" s="100" t="s">
        <v>255</v>
      </c>
      <c r="M95" s="104">
        <v>0</v>
      </c>
      <c r="N95" s="97">
        <f t="shared" si="26"/>
        <v>0</v>
      </c>
      <c r="O95" s="100" t="s">
        <v>255</v>
      </c>
      <c r="P95" s="104">
        <v>0</v>
      </c>
      <c r="Q95" s="97">
        <f t="shared" si="27"/>
        <v>0</v>
      </c>
      <c r="R95" s="100" t="s">
        <v>255</v>
      </c>
      <c r="S95" s="104">
        <v>0</v>
      </c>
      <c r="T95" s="97">
        <f t="shared" si="28"/>
        <v>0</v>
      </c>
      <c r="U95" s="100" t="s">
        <v>255</v>
      </c>
      <c r="V95" s="104">
        <v>0</v>
      </c>
      <c r="W95" s="97">
        <f t="shared" si="29"/>
        <v>0</v>
      </c>
      <c r="X95" s="100" t="s">
        <v>255</v>
      </c>
      <c r="Y95" s="104">
        <v>0</v>
      </c>
      <c r="Z95" s="97">
        <f t="shared" si="30"/>
        <v>0</v>
      </c>
    </row>
    <row r="96" spans="1:26" x14ac:dyDescent="0.25">
      <c r="A96" s="196"/>
      <c r="B96" s="203"/>
      <c r="C96" s="31" t="s">
        <v>113</v>
      </c>
      <c r="D96" s="35">
        <f>'ECONOMIA &amp; PROFESIONES'!$Q$21</f>
        <v>5665</v>
      </c>
      <c r="E96" s="53">
        <f t="shared" si="31"/>
        <v>0</v>
      </c>
      <c r="F96" s="100" t="s">
        <v>255</v>
      </c>
      <c r="G96" s="104">
        <v>0</v>
      </c>
      <c r="H96" s="97">
        <f t="shared" si="24"/>
        <v>0</v>
      </c>
      <c r="I96" s="100" t="s">
        <v>255</v>
      </c>
      <c r="J96" s="104">
        <v>0</v>
      </c>
      <c r="K96" s="97">
        <f t="shared" si="25"/>
        <v>0</v>
      </c>
      <c r="L96" s="100" t="s">
        <v>255</v>
      </c>
      <c r="M96" s="104">
        <v>0</v>
      </c>
      <c r="N96" s="97">
        <f t="shared" si="26"/>
        <v>0</v>
      </c>
      <c r="O96" s="100" t="s">
        <v>255</v>
      </c>
      <c r="P96" s="104">
        <v>0</v>
      </c>
      <c r="Q96" s="97">
        <f t="shared" si="27"/>
        <v>0</v>
      </c>
      <c r="R96" s="100" t="s">
        <v>255</v>
      </c>
      <c r="S96" s="104">
        <v>0</v>
      </c>
      <c r="T96" s="97">
        <f t="shared" si="28"/>
        <v>0</v>
      </c>
      <c r="U96" s="100" t="s">
        <v>255</v>
      </c>
      <c r="V96" s="104">
        <v>0</v>
      </c>
      <c r="W96" s="97">
        <f t="shared" si="29"/>
        <v>0</v>
      </c>
      <c r="X96" s="100" t="s">
        <v>255</v>
      </c>
      <c r="Y96" s="104">
        <v>0</v>
      </c>
      <c r="Z96" s="97">
        <f t="shared" si="30"/>
        <v>0</v>
      </c>
    </row>
    <row r="97" spans="1:26" x14ac:dyDescent="0.25">
      <c r="A97" s="196"/>
      <c r="B97" s="203"/>
      <c r="C97" s="32" t="s">
        <v>114</v>
      </c>
      <c r="D97" s="35">
        <f>'ECONOMIA &amp; PROFESIONES'!$Q$22</f>
        <v>6064</v>
      </c>
      <c r="E97" s="53">
        <f t="shared" si="31"/>
        <v>0</v>
      </c>
      <c r="F97" s="100" t="s">
        <v>255</v>
      </c>
      <c r="G97" s="104">
        <v>0</v>
      </c>
      <c r="H97" s="97">
        <f t="shared" si="24"/>
        <v>0</v>
      </c>
      <c r="I97" s="100" t="s">
        <v>255</v>
      </c>
      <c r="J97" s="104">
        <v>0</v>
      </c>
      <c r="K97" s="97">
        <f t="shared" si="25"/>
        <v>0</v>
      </c>
      <c r="L97" s="100" t="s">
        <v>255</v>
      </c>
      <c r="M97" s="104">
        <v>0</v>
      </c>
      <c r="N97" s="97">
        <f t="shared" si="26"/>
        <v>0</v>
      </c>
      <c r="O97" s="100" t="s">
        <v>255</v>
      </c>
      <c r="P97" s="104">
        <v>0</v>
      </c>
      <c r="Q97" s="97">
        <f t="shared" si="27"/>
        <v>0</v>
      </c>
      <c r="R97" s="100" t="s">
        <v>255</v>
      </c>
      <c r="S97" s="104">
        <v>0</v>
      </c>
      <c r="T97" s="97">
        <f t="shared" si="28"/>
        <v>0</v>
      </c>
      <c r="U97" s="100" t="s">
        <v>255</v>
      </c>
      <c r="V97" s="104">
        <v>0</v>
      </c>
      <c r="W97" s="97">
        <f t="shared" si="29"/>
        <v>0</v>
      </c>
      <c r="X97" s="100" t="s">
        <v>255</v>
      </c>
      <c r="Y97" s="104">
        <v>0</v>
      </c>
      <c r="Z97" s="97">
        <f t="shared" si="30"/>
        <v>0</v>
      </c>
    </row>
    <row r="98" spans="1:26" x14ac:dyDescent="0.25">
      <c r="A98" s="196"/>
      <c r="B98" s="198"/>
      <c r="C98" s="31" t="s">
        <v>115</v>
      </c>
      <c r="D98" s="35">
        <f>'ECONOMIA &amp; PROFESIONES'!$Q$23</f>
        <v>5931</v>
      </c>
      <c r="E98" s="53">
        <f t="shared" si="31"/>
        <v>0</v>
      </c>
      <c r="F98" s="100" t="s">
        <v>255</v>
      </c>
      <c r="G98" s="104">
        <v>0</v>
      </c>
      <c r="H98" s="97">
        <f t="shared" si="24"/>
        <v>0</v>
      </c>
      <c r="I98" s="100" t="s">
        <v>255</v>
      </c>
      <c r="J98" s="104">
        <v>0</v>
      </c>
      <c r="K98" s="97">
        <f t="shared" si="25"/>
        <v>0</v>
      </c>
      <c r="L98" s="100" t="s">
        <v>255</v>
      </c>
      <c r="M98" s="104">
        <v>0</v>
      </c>
      <c r="N98" s="97">
        <f t="shared" si="26"/>
        <v>0</v>
      </c>
      <c r="O98" s="100" t="s">
        <v>255</v>
      </c>
      <c r="P98" s="104">
        <v>0</v>
      </c>
      <c r="Q98" s="97">
        <f t="shared" si="27"/>
        <v>0</v>
      </c>
      <c r="R98" s="100" t="s">
        <v>255</v>
      </c>
      <c r="S98" s="104">
        <v>0</v>
      </c>
      <c r="T98" s="97">
        <f t="shared" si="28"/>
        <v>0</v>
      </c>
      <c r="U98" s="100" t="s">
        <v>255</v>
      </c>
      <c r="V98" s="104">
        <v>0</v>
      </c>
      <c r="W98" s="97">
        <f t="shared" si="29"/>
        <v>0</v>
      </c>
      <c r="X98" s="100" t="s">
        <v>255</v>
      </c>
      <c r="Y98" s="104">
        <v>0</v>
      </c>
      <c r="Z98" s="97">
        <f t="shared" si="30"/>
        <v>0</v>
      </c>
    </row>
    <row r="99" spans="1:26" x14ac:dyDescent="0.25">
      <c r="A99" s="196"/>
      <c r="B99" s="204"/>
      <c r="C99" s="32" t="s">
        <v>116</v>
      </c>
      <c r="D99" s="35">
        <f>'ECONOMIA &amp; PROFESIONES'!$Q$24</f>
        <v>5532</v>
      </c>
      <c r="E99" s="53">
        <f t="shared" si="31"/>
        <v>0</v>
      </c>
      <c r="F99" s="100" t="s">
        <v>255</v>
      </c>
      <c r="G99" s="104">
        <v>0</v>
      </c>
      <c r="H99" s="97">
        <f t="shared" si="24"/>
        <v>0</v>
      </c>
      <c r="I99" s="100" t="s">
        <v>255</v>
      </c>
      <c r="J99" s="104">
        <v>0</v>
      </c>
      <c r="K99" s="97">
        <f t="shared" si="25"/>
        <v>0</v>
      </c>
      <c r="L99" s="100" t="s">
        <v>255</v>
      </c>
      <c r="M99" s="104">
        <v>0</v>
      </c>
      <c r="N99" s="97">
        <f t="shared" si="26"/>
        <v>0</v>
      </c>
      <c r="O99" s="100" t="s">
        <v>255</v>
      </c>
      <c r="P99" s="104">
        <v>0</v>
      </c>
      <c r="Q99" s="97">
        <f t="shared" si="27"/>
        <v>0</v>
      </c>
      <c r="R99" s="100" t="s">
        <v>255</v>
      </c>
      <c r="S99" s="104">
        <v>0</v>
      </c>
      <c r="T99" s="97">
        <f t="shared" si="28"/>
        <v>0</v>
      </c>
      <c r="U99" s="100" t="s">
        <v>255</v>
      </c>
      <c r="V99" s="104">
        <v>0</v>
      </c>
      <c r="W99" s="97">
        <f t="shared" si="29"/>
        <v>0</v>
      </c>
      <c r="X99" s="100" t="s">
        <v>255</v>
      </c>
      <c r="Y99" s="104">
        <v>0</v>
      </c>
      <c r="Z99" s="97">
        <f t="shared" si="30"/>
        <v>0</v>
      </c>
    </row>
    <row r="100" spans="1:26" x14ac:dyDescent="0.25">
      <c r="A100" s="196"/>
      <c r="B100" s="200" t="s">
        <v>407</v>
      </c>
      <c r="C100" s="31" t="s">
        <v>6</v>
      </c>
      <c r="D100" s="35">
        <f>'ECONOMIA &amp; PROFESIONES'!$Q$25</f>
        <v>6866</v>
      </c>
      <c r="E100" s="53">
        <f t="shared" si="31"/>
        <v>0</v>
      </c>
      <c r="F100" s="100" t="s">
        <v>255</v>
      </c>
      <c r="G100" s="104">
        <v>0</v>
      </c>
      <c r="H100" s="97">
        <f t="shared" si="24"/>
        <v>0</v>
      </c>
      <c r="I100" s="100" t="s">
        <v>255</v>
      </c>
      <c r="J100" s="104">
        <v>0</v>
      </c>
      <c r="K100" s="97">
        <f t="shared" si="25"/>
        <v>0</v>
      </c>
      <c r="L100" s="100" t="s">
        <v>255</v>
      </c>
      <c r="M100" s="104">
        <v>0</v>
      </c>
      <c r="N100" s="97">
        <f t="shared" si="26"/>
        <v>0</v>
      </c>
      <c r="O100" s="100" t="s">
        <v>255</v>
      </c>
      <c r="P100" s="104">
        <v>0</v>
      </c>
      <c r="Q100" s="97">
        <f t="shared" si="27"/>
        <v>0</v>
      </c>
      <c r="R100" s="100" t="s">
        <v>255</v>
      </c>
      <c r="S100" s="104">
        <v>0</v>
      </c>
      <c r="T100" s="97">
        <f t="shared" si="28"/>
        <v>0</v>
      </c>
      <c r="U100" s="100" t="s">
        <v>255</v>
      </c>
      <c r="V100" s="104">
        <v>0</v>
      </c>
      <c r="W100" s="97">
        <f t="shared" si="29"/>
        <v>0</v>
      </c>
      <c r="X100" s="100" t="s">
        <v>255</v>
      </c>
      <c r="Y100" s="104">
        <v>0</v>
      </c>
      <c r="Z100" s="97">
        <f t="shared" si="30"/>
        <v>0</v>
      </c>
    </row>
    <row r="101" spans="1:26" x14ac:dyDescent="0.25">
      <c r="A101" s="196"/>
      <c r="B101" s="200"/>
      <c r="C101" s="32" t="s">
        <v>113</v>
      </c>
      <c r="D101" s="35">
        <f>'ECONOMIA &amp; PROFESIONES'!$Q$26</f>
        <v>7415</v>
      </c>
      <c r="E101" s="53">
        <f t="shared" si="31"/>
        <v>0</v>
      </c>
      <c r="F101" s="100" t="s">
        <v>255</v>
      </c>
      <c r="G101" s="104">
        <v>0</v>
      </c>
      <c r="H101" s="97">
        <f t="shared" si="24"/>
        <v>0</v>
      </c>
      <c r="I101" s="100" t="s">
        <v>255</v>
      </c>
      <c r="J101" s="104">
        <v>0</v>
      </c>
      <c r="K101" s="97">
        <f t="shared" si="25"/>
        <v>0</v>
      </c>
      <c r="L101" s="100" t="s">
        <v>255</v>
      </c>
      <c r="M101" s="104">
        <v>0</v>
      </c>
      <c r="N101" s="97">
        <f t="shared" si="26"/>
        <v>0</v>
      </c>
      <c r="O101" s="100" t="s">
        <v>255</v>
      </c>
      <c r="P101" s="104">
        <v>0</v>
      </c>
      <c r="Q101" s="97">
        <f t="shared" si="27"/>
        <v>0</v>
      </c>
      <c r="R101" s="100" t="s">
        <v>255</v>
      </c>
      <c r="S101" s="104">
        <v>0</v>
      </c>
      <c r="T101" s="97">
        <f t="shared" si="28"/>
        <v>0</v>
      </c>
      <c r="U101" s="100" t="s">
        <v>255</v>
      </c>
      <c r="V101" s="104">
        <v>0</v>
      </c>
      <c r="W101" s="97">
        <f t="shared" si="29"/>
        <v>0</v>
      </c>
      <c r="X101" s="100" t="s">
        <v>255</v>
      </c>
      <c r="Y101" s="104">
        <v>0</v>
      </c>
      <c r="Z101" s="97">
        <f t="shared" si="30"/>
        <v>0</v>
      </c>
    </row>
    <row r="102" spans="1:26" x14ac:dyDescent="0.25">
      <c r="A102" s="196"/>
      <c r="B102" s="200"/>
      <c r="C102" s="31" t="s">
        <v>114</v>
      </c>
      <c r="D102" s="35">
        <f>'ECONOMIA &amp; PROFESIONES'!$Q$27</f>
        <v>7964</v>
      </c>
      <c r="E102" s="53">
        <f t="shared" si="31"/>
        <v>0</v>
      </c>
      <c r="F102" s="100" t="s">
        <v>255</v>
      </c>
      <c r="G102" s="104">
        <v>0</v>
      </c>
      <c r="H102" s="97">
        <f t="shared" si="24"/>
        <v>0</v>
      </c>
      <c r="I102" s="100" t="s">
        <v>255</v>
      </c>
      <c r="J102" s="104">
        <v>0</v>
      </c>
      <c r="K102" s="97">
        <f t="shared" si="25"/>
        <v>0</v>
      </c>
      <c r="L102" s="100" t="s">
        <v>255</v>
      </c>
      <c r="M102" s="104">
        <v>0</v>
      </c>
      <c r="N102" s="97">
        <f t="shared" si="26"/>
        <v>0</v>
      </c>
      <c r="O102" s="100" t="s">
        <v>255</v>
      </c>
      <c r="P102" s="104">
        <v>0</v>
      </c>
      <c r="Q102" s="97">
        <f t="shared" si="27"/>
        <v>0</v>
      </c>
      <c r="R102" s="100" t="s">
        <v>255</v>
      </c>
      <c r="S102" s="104">
        <v>0</v>
      </c>
      <c r="T102" s="97">
        <f t="shared" si="28"/>
        <v>0</v>
      </c>
      <c r="U102" s="100" t="s">
        <v>255</v>
      </c>
      <c r="V102" s="104">
        <v>0</v>
      </c>
      <c r="W102" s="97">
        <f t="shared" si="29"/>
        <v>0</v>
      </c>
      <c r="X102" s="100" t="s">
        <v>255</v>
      </c>
      <c r="Y102" s="104">
        <v>0</v>
      </c>
      <c r="Z102" s="97">
        <f t="shared" si="30"/>
        <v>0</v>
      </c>
    </row>
    <row r="103" spans="1:26" x14ac:dyDescent="0.25">
      <c r="A103" s="196"/>
      <c r="B103" s="200"/>
      <c r="C103" s="32" t="s">
        <v>115</v>
      </c>
      <c r="D103" s="35">
        <f>'ECONOMIA &amp; PROFESIONES'!$Q$28</f>
        <v>7781</v>
      </c>
      <c r="E103" s="53">
        <f t="shared" si="31"/>
        <v>0</v>
      </c>
      <c r="F103" s="100" t="s">
        <v>255</v>
      </c>
      <c r="G103" s="104">
        <v>0</v>
      </c>
      <c r="H103" s="97">
        <f t="shared" si="24"/>
        <v>0</v>
      </c>
      <c r="I103" s="100" t="s">
        <v>255</v>
      </c>
      <c r="J103" s="104">
        <v>0</v>
      </c>
      <c r="K103" s="97">
        <f t="shared" si="25"/>
        <v>0</v>
      </c>
      <c r="L103" s="100" t="s">
        <v>255</v>
      </c>
      <c r="M103" s="104">
        <v>0</v>
      </c>
      <c r="N103" s="97">
        <f t="shared" si="26"/>
        <v>0</v>
      </c>
      <c r="O103" s="100" t="s">
        <v>255</v>
      </c>
      <c r="P103" s="104">
        <v>0</v>
      </c>
      <c r="Q103" s="97">
        <f t="shared" si="27"/>
        <v>0</v>
      </c>
      <c r="R103" s="100" t="s">
        <v>255</v>
      </c>
      <c r="S103" s="104">
        <v>0</v>
      </c>
      <c r="T103" s="97">
        <f t="shared" si="28"/>
        <v>0</v>
      </c>
      <c r="U103" s="100" t="s">
        <v>255</v>
      </c>
      <c r="V103" s="104">
        <v>0</v>
      </c>
      <c r="W103" s="97">
        <f t="shared" si="29"/>
        <v>0</v>
      </c>
      <c r="X103" s="100" t="s">
        <v>255</v>
      </c>
      <c r="Y103" s="104">
        <v>0</v>
      </c>
      <c r="Z103" s="97">
        <f t="shared" si="30"/>
        <v>0</v>
      </c>
    </row>
    <row r="104" spans="1:26" x14ac:dyDescent="0.25">
      <c r="A104" s="196"/>
      <c r="B104" s="200"/>
      <c r="C104" s="31" t="s">
        <v>116</v>
      </c>
      <c r="D104" s="35">
        <f>'ECONOMIA &amp; PROFESIONES'!$Q$29</f>
        <v>7232</v>
      </c>
      <c r="E104" s="53">
        <f t="shared" si="31"/>
        <v>0</v>
      </c>
      <c r="F104" s="100" t="s">
        <v>255</v>
      </c>
      <c r="G104" s="104">
        <v>0</v>
      </c>
      <c r="H104" s="97">
        <f t="shared" si="24"/>
        <v>0</v>
      </c>
      <c r="I104" s="100" t="s">
        <v>255</v>
      </c>
      <c r="J104" s="104">
        <v>0</v>
      </c>
      <c r="K104" s="97">
        <f t="shared" si="25"/>
        <v>0</v>
      </c>
      <c r="L104" s="100" t="s">
        <v>255</v>
      </c>
      <c r="M104" s="104">
        <v>0</v>
      </c>
      <c r="N104" s="97">
        <f t="shared" si="26"/>
        <v>0</v>
      </c>
      <c r="O104" s="100" t="s">
        <v>255</v>
      </c>
      <c r="P104" s="104">
        <v>0</v>
      </c>
      <c r="Q104" s="97">
        <f t="shared" si="27"/>
        <v>0</v>
      </c>
      <c r="R104" s="100" t="s">
        <v>255</v>
      </c>
      <c r="S104" s="104">
        <v>0</v>
      </c>
      <c r="T104" s="97">
        <f t="shared" si="28"/>
        <v>0</v>
      </c>
      <c r="U104" s="100" t="s">
        <v>255</v>
      </c>
      <c r="V104" s="104">
        <v>0</v>
      </c>
      <c r="W104" s="97">
        <f t="shared" si="29"/>
        <v>0</v>
      </c>
      <c r="X104" s="100" t="s">
        <v>255</v>
      </c>
      <c r="Y104" s="104">
        <v>0</v>
      </c>
      <c r="Z104" s="97">
        <f t="shared" si="30"/>
        <v>0</v>
      </c>
    </row>
    <row r="105" spans="1:26" x14ac:dyDescent="0.25">
      <c r="A105" s="196" t="s">
        <v>4</v>
      </c>
      <c r="B105" s="84"/>
      <c r="C105" s="84"/>
      <c r="D105" s="113"/>
      <c r="E105" s="103" t="s">
        <v>332</v>
      </c>
      <c r="F105" s="103" t="s">
        <v>333</v>
      </c>
      <c r="G105" s="103" t="s">
        <v>410</v>
      </c>
      <c r="H105" s="103" t="s">
        <v>199</v>
      </c>
      <c r="I105" s="103" t="s">
        <v>334</v>
      </c>
      <c r="J105" s="103" t="s">
        <v>410</v>
      </c>
      <c r="K105" s="103" t="s">
        <v>199</v>
      </c>
      <c r="L105" s="103" t="s">
        <v>350</v>
      </c>
      <c r="M105" s="103" t="s">
        <v>410</v>
      </c>
      <c r="N105" s="103" t="s">
        <v>199</v>
      </c>
      <c r="O105" s="103" t="s">
        <v>403</v>
      </c>
      <c r="P105" s="103" t="s">
        <v>410</v>
      </c>
      <c r="Q105" s="103" t="s">
        <v>199</v>
      </c>
      <c r="R105" s="103" t="s">
        <v>404</v>
      </c>
      <c r="S105" s="103" t="s">
        <v>410</v>
      </c>
      <c r="T105" s="103" t="s">
        <v>199</v>
      </c>
      <c r="U105" s="103" t="s">
        <v>405</v>
      </c>
      <c r="V105" s="103" t="s">
        <v>410</v>
      </c>
      <c r="W105" s="103" t="s">
        <v>199</v>
      </c>
      <c r="X105" s="103" t="s">
        <v>406</v>
      </c>
      <c r="Y105" s="103" t="s">
        <v>410</v>
      </c>
      <c r="Z105" s="103" t="s">
        <v>199</v>
      </c>
    </row>
    <row r="106" spans="1:26" x14ac:dyDescent="0.25">
      <c r="A106" s="196"/>
      <c r="B106" s="205" t="s">
        <v>341</v>
      </c>
      <c r="C106" s="31" t="s">
        <v>6</v>
      </c>
      <c r="D106" s="34">
        <f>'ECONOMIA &amp; PROFESIONES'!$R$5</f>
        <v>532</v>
      </c>
      <c r="E106" s="53">
        <f>(H106*G106)+(K106*J106)+(M106*N106)+(P106*Q106)+(S106*T106)+(V106*W106)+(Y106*Z106)</f>
        <v>0</v>
      </c>
      <c r="F106" s="100" t="s">
        <v>255</v>
      </c>
      <c r="G106" s="104">
        <v>0</v>
      </c>
      <c r="H106" s="97">
        <f t="shared" ref="H106:H130" si="32">VLOOKUP(F106,craftedesp,3,FALSE)</f>
        <v>0</v>
      </c>
      <c r="I106" s="100" t="s">
        <v>255</v>
      </c>
      <c r="J106" s="104">
        <v>0</v>
      </c>
      <c r="K106" s="97">
        <f t="shared" ref="K106:K130" si="33">VLOOKUP(I106,craftedesp,3,FALSE)</f>
        <v>0</v>
      </c>
      <c r="L106" s="100" t="s">
        <v>255</v>
      </c>
      <c r="M106" s="104">
        <v>0</v>
      </c>
      <c r="N106" s="97">
        <f t="shared" ref="N106:N130" si="34">VLOOKUP(L106,craftedesp,3,FALSE)</f>
        <v>0</v>
      </c>
      <c r="O106" s="100" t="s">
        <v>255</v>
      </c>
      <c r="P106" s="104">
        <v>0</v>
      </c>
      <c r="Q106" s="97">
        <f t="shared" ref="Q106:Q130" si="35">VLOOKUP(O106,craftedesp,3,FALSE)</f>
        <v>0</v>
      </c>
      <c r="R106" s="100" t="s">
        <v>255</v>
      </c>
      <c r="S106" s="104">
        <v>0</v>
      </c>
      <c r="T106" s="97">
        <f t="shared" ref="T106:T130" si="36">VLOOKUP(R106,craftedesp,3,FALSE)</f>
        <v>0</v>
      </c>
      <c r="U106" s="100" t="s">
        <v>255</v>
      </c>
      <c r="V106" s="104">
        <v>0</v>
      </c>
      <c r="W106" s="97">
        <f t="shared" ref="W106:W130" si="37">VLOOKUP(U106,craftedesp,3,FALSE)</f>
        <v>0</v>
      </c>
      <c r="X106" s="100" t="s">
        <v>255</v>
      </c>
      <c r="Y106" s="104">
        <v>0</v>
      </c>
      <c r="Z106" s="97">
        <f t="shared" ref="Z106:Z130" si="38">VLOOKUP(X106,craftedesp,3,FALSE)</f>
        <v>0</v>
      </c>
    </row>
    <row r="107" spans="1:26" x14ac:dyDescent="0.25">
      <c r="A107" s="196"/>
      <c r="B107" s="206"/>
      <c r="C107" s="32" t="s">
        <v>113</v>
      </c>
      <c r="D107" s="34">
        <f>'ECONOMIA &amp; PROFESIONES'!$R$6</f>
        <v>580</v>
      </c>
      <c r="E107" s="53">
        <f t="shared" ref="E107:E130" si="39">(H107*G107)+(K107*J107)+(M107*N107)+(P107*Q107)+(S107*T107)+(V107*W107)+(Y107*Z107)</f>
        <v>0</v>
      </c>
      <c r="F107" s="100" t="s">
        <v>255</v>
      </c>
      <c r="G107" s="104">
        <v>0</v>
      </c>
      <c r="H107" s="97">
        <f t="shared" si="32"/>
        <v>0</v>
      </c>
      <c r="I107" s="100" t="s">
        <v>255</v>
      </c>
      <c r="J107" s="104">
        <v>0</v>
      </c>
      <c r="K107" s="97">
        <f t="shared" si="33"/>
        <v>0</v>
      </c>
      <c r="L107" s="100" t="s">
        <v>255</v>
      </c>
      <c r="M107" s="104">
        <v>0</v>
      </c>
      <c r="N107" s="97">
        <f t="shared" si="34"/>
        <v>0</v>
      </c>
      <c r="O107" s="100" t="s">
        <v>255</v>
      </c>
      <c r="P107" s="104">
        <v>0</v>
      </c>
      <c r="Q107" s="97">
        <f t="shared" si="35"/>
        <v>0</v>
      </c>
      <c r="R107" s="100" t="s">
        <v>255</v>
      </c>
      <c r="S107" s="104">
        <v>0</v>
      </c>
      <c r="T107" s="97">
        <f t="shared" si="36"/>
        <v>0</v>
      </c>
      <c r="U107" s="100" t="s">
        <v>255</v>
      </c>
      <c r="V107" s="104">
        <v>0</v>
      </c>
      <c r="W107" s="97">
        <f t="shared" si="37"/>
        <v>0</v>
      </c>
      <c r="X107" s="100" t="s">
        <v>255</v>
      </c>
      <c r="Y107" s="104">
        <v>0</v>
      </c>
      <c r="Z107" s="97">
        <f t="shared" si="38"/>
        <v>0</v>
      </c>
    </row>
    <row r="108" spans="1:26" x14ac:dyDescent="0.25">
      <c r="A108" s="196"/>
      <c r="B108" s="206"/>
      <c r="C108" s="31" t="s">
        <v>114</v>
      </c>
      <c r="D108" s="34">
        <f>'ECONOMIA &amp; PROFESIONES'!$R$7</f>
        <v>628</v>
      </c>
      <c r="E108" s="53">
        <f t="shared" si="39"/>
        <v>0</v>
      </c>
      <c r="F108" s="100" t="s">
        <v>255</v>
      </c>
      <c r="G108" s="104">
        <v>0</v>
      </c>
      <c r="H108" s="97">
        <f t="shared" si="32"/>
        <v>0</v>
      </c>
      <c r="I108" s="100" t="s">
        <v>255</v>
      </c>
      <c r="J108" s="104">
        <v>0</v>
      </c>
      <c r="K108" s="97">
        <f t="shared" si="33"/>
        <v>0</v>
      </c>
      <c r="L108" s="100" t="s">
        <v>255</v>
      </c>
      <c r="M108" s="104">
        <v>0</v>
      </c>
      <c r="N108" s="97">
        <f t="shared" si="34"/>
        <v>0</v>
      </c>
      <c r="O108" s="100" t="s">
        <v>255</v>
      </c>
      <c r="P108" s="104">
        <v>0</v>
      </c>
      <c r="Q108" s="97">
        <f t="shared" si="35"/>
        <v>0</v>
      </c>
      <c r="R108" s="100" t="s">
        <v>255</v>
      </c>
      <c r="S108" s="104">
        <v>0</v>
      </c>
      <c r="T108" s="97">
        <f t="shared" si="36"/>
        <v>0</v>
      </c>
      <c r="U108" s="100" t="s">
        <v>255</v>
      </c>
      <c r="V108" s="104">
        <v>0</v>
      </c>
      <c r="W108" s="97">
        <f t="shared" si="37"/>
        <v>0</v>
      </c>
      <c r="X108" s="100" t="s">
        <v>255</v>
      </c>
      <c r="Y108" s="104">
        <v>0</v>
      </c>
      <c r="Z108" s="97">
        <f t="shared" si="38"/>
        <v>0</v>
      </c>
    </row>
    <row r="109" spans="1:26" x14ac:dyDescent="0.25">
      <c r="A109" s="196"/>
      <c r="B109" s="206"/>
      <c r="C109" s="32" t="s">
        <v>115</v>
      </c>
      <c r="D109" s="34">
        <f>'ECONOMIA &amp; PROFESIONES'!$R$8</f>
        <v>612</v>
      </c>
      <c r="E109" s="53">
        <f t="shared" si="39"/>
        <v>0</v>
      </c>
      <c r="F109" s="100" t="s">
        <v>255</v>
      </c>
      <c r="G109" s="104">
        <v>0</v>
      </c>
      <c r="H109" s="97">
        <f t="shared" si="32"/>
        <v>0</v>
      </c>
      <c r="I109" s="100" t="s">
        <v>255</v>
      </c>
      <c r="J109" s="104">
        <v>0</v>
      </c>
      <c r="K109" s="97">
        <f t="shared" si="33"/>
        <v>0</v>
      </c>
      <c r="L109" s="100" t="s">
        <v>255</v>
      </c>
      <c r="M109" s="104">
        <v>0</v>
      </c>
      <c r="N109" s="97">
        <f t="shared" si="34"/>
        <v>0</v>
      </c>
      <c r="O109" s="100" t="s">
        <v>255</v>
      </c>
      <c r="P109" s="104">
        <v>0</v>
      </c>
      <c r="Q109" s="97">
        <f t="shared" si="35"/>
        <v>0</v>
      </c>
      <c r="R109" s="100" t="s">
        <v>255</v>
      </c>
      <c r="S109" s="104">
        <v>0</v>
      </c>
      <c r="T109" s="97">
        <f t="shared" si="36"/>
        <v>0</v>
      </c>
      <c r="U109" s="100" t="s">
        <v>255</v>
      </c>
      <c r="V109" s="104">
        <v>0</v>
      </c>
      <c r="W109" s="97">
        <f t="shared" si="37"/>
        <v>0</v>
      </c>
      <c r="X109" s="100" t="s">
        <v>255</v>
      </c>
      <c r="Y109" s="104">
        <v>0</v>
      </c>
      <c r="Z109" s="97">
        <f t="shared" si="38"/>
        <v>0</v>
      </c>
    </row>
    <row r="110" spans="1:26" x14ac:dyDescent="0.25">
      <c r="A110" s="196"/>
      <c r="B110" s="207"/>
      <c r="C110" s="31" t="s">
        <v>116</v>
      </c>
      <c r="D110" s="34">
        <f>'ECONOMIA &amp; PROFESIONES'!$R$9</f>
        <v>564</v>
      </c>
      <c r="E110" s="53">
        <f t="shared" si="39"/>
        <v>0</v>
      </c>
      <c r="F110" s="100" t="s">
        <v>255</v>
      </c>
      <c r="G110" s="104">
        <v>0</v>
      </c>
      <c r="H110" s="97">
        <f t="shared" si="32"/>
        <v>0</v>
      </c>
      <c r="I110" s="100" t="s">
        <v>255</v>
      </c>
      <c r="J110" s="104">
        <v>0</v>
      </c>
      <c r="K110" s="97">
        <f t="shared" si="33"/>
        <v>0</v>
      </c>
      <c r="L110" s="100" t="s">
        <v>255</v>
      </c>
      <c r="M110" s="104">
        <v>0</v>
      </c>
      <c r="N110" s="97">
        <f t="shared" si="34"/>
        <v>0</v>
      </c>
      <c r="O110" s="100" t="s">
        <v>255</v>
      </c>
      <c r="P110" s="104">
        <v>0</v>
      </c>
      <c r="Q110" s="97">
        <f t="shared" si="35"/>
        <v>0</v>
      </c>
      <c r="R110" s="100" t="s">
        <v>255</v>
      </c>
      <c r="S110" s="104">
        <v>0</v>
      </c>
      <c r="T110" s="97">
        <f t="shared" si="36"/>
        <v>0</v>
      </c>
      <c r="U110" s="100" t="s">
        <v>255</v>
      </c>
      <c r="V110" s="104">
        <v>0</v>
      </c>
      <c r="W110" s="97">
        <f t="shared" si="37"/>
        <v>0</v>
      </c>
      <c r="X110" s="100" t="s">
        <v>255</v>
      </c>
      <c r="Y110" s="104">
        <v>0</v>
      </c>
      <c r="Z110" s="97">
        <f t="shared" si="38"/>
        <v>0</v>
      </c>
    </row>
    <row r="111" spans="1:26" x14ac:dyDescent="0.25">
      <c r="A111" s="196"/>
      <c r="B111" s="197" t="s">
        <v>342</v>
      </c>
      <c r="C111" s="32" t="s">
        <v>6</v>
      </c>
      <c r="D111" s="34">
        <f>'ECONOMIA &amp; PROFESIONES'!$R$10</f>
        <v>2082</v>
      </c>
      <c r="E111" s="53">
        <f t="shared" si="39"/>
        <v>0</v>
      </c>
      <c r="F111" s="100" t="s">
        <v>255</v>
      </c>
      <c r="G111" s="104">
        <v>0</v>
      </c>
      <c r="H111" s="97">
        <f t="shared" si="32"/>
        <v>0</v>
      </c>
      <c r="I111" s="100" t="s">
        <v>255</v>
      </c>
      <c r="J111" s="104">
        <v>0</v>
      </c>
      <c r="K111" s="97">
        <f t="shared" si="33"/>
        <v>0</v>
      </c>
      <c r="L111" s="100" t="s">
        <v>255</v>
      </c>
      <c r="M111" s="104">
        <v>0</v>
      </c>
      <c r="N111" s="97">
        <f t="shared" si="34"/>
        <v>0</v>
      </c>
      <c r="O111" s="100" t="s">
        <v>255</v>
      </c>
      <c r="P111" s="104">
        <v>0</v>
      </c>
      <c r="Q111" s="97">
        <f t="shared" si="35"/>
        <v>0</v>
      </c>
      <c r="R111" s="100" t="s">
        <v>255</v>
      </c>
      <c r="S111" s="104">
        <v>0</v>
      </c>
      <c r="T111" s="97">
        <f t="shared" si="36"/>
        <v>0</v>
      </c>
      <c r="U111" s="100" t="s">
        <v>255</v>
      </c>
      <c r="V111" s="104">
        <v>0</v>
      </c>
      <c r="W111" s="97">
        <f t="shared" si="37"/>
        <v>0</v>
      </c>
      <c r="X111" s="100" t="s">
        <v>255</v>
      </c>
      <c r="Y111" s="104">
        <v>0</v>
      </c>
      <c r="Z111" s="97">
        <f t="shared" si="38"/>
        <v>0</v>
      </c>
    </row>
    <row r="112" spans="1:26" x14ac:dyDescent="0.25">
      <c r="A112" s="196"/>
      <c r="B112" s="198"/>
      <c r="C112" s="31" t="s">
        <v>113</v>
      </c>
      <c r="D112" s="34">
        <f>'ECONOMIA &amp; PROFESIONES'!$R$11</f>
        <v>2205</v>
      </c>
      <c r="E112" s="53">
        <f t="shared" si="39"/>
        <v>0</v>
      </c>
      <c r="F112" s="100" t="s">
        <v>255</v>
      </c>
      <c r="G112" s="104">
        <v>0</v>
      </c>
      <c r="H112" s="97">
        <f t="shared" si="32"/>
        <v>0</v>
      </c>
      <c r="I112" s="100" t="s">
        <v>255</v>
      </c>
      <c r="J112" s="104">
        <v>0</v>
      </c>
      <c r="K112" s="97">
        <f t="shared" si="33"/>
        <v>0</v>
      </c>
      <c r="L112" s="100" t="s">
        <v>255</v>
      </c>
      <c r="M112" s="104">
        <v>0</v>
      </c>
      <c r="N112" s="97">
        <f t="shared" si="34"/>
        <v>0</v>
      </c>
      <c r="O112" s="100" t="s">
        <v>255</v>
      </c>
      <c r="P112" s="104">
        <v>0</v>
      </c>
      <c r="Q112" s="97">
        <f t="shared" si="35"/>
        <v>0</v>
      </c>
      <c r="R112" s="100" t="s">
        <v>255</v>
      </c>
      <c r="S112" s="104">
        <v>0</v>
      </c>
      <c r="T112" s="97">
        <f t="shared" si="36"/>
        <v>0</v>
      </c>
      <c r="U112" s="100" t="s">
        <v>255</v>
      </c>
      <c r="V112" s="104">
        <v>0</v>
      </c>
      <c r="W112" s="97">
        <f t="shared" si="37"/>
        <v>0</v>
      </c>
      <c r="X112" s="100" t="s">
        <v>255</v>
      </c>
      <c r="Y112" s="104">
        <v>0</v>
      </c>
      <c r="Z112" s="97">
        <f t="shared" si="38"/>
        <v>0</v>
      </c>
    </row>
    <row r="113" spans="1:26" x14ac:dyDescent="0.25">
      <c r="A113" s="196"/>
      <c r="B113" s="198"/>
      <c r="C113" s="32" t="s">
        <v>114</v>
      </c>
      <c r="D113" s="34">
        <f>'ECONOMIA &amp; PROFESIONES'!$R$12</f>
        <v>2328</v>
      </c>
      <c r="E113" s="53">
        <f t="shared" si="39"/>
        <v>0</v>
      </c>
      <c r="F113" s="100" t="s">
        <v>255</v>
      </c>
      <c r="G113" s="104">
        <v>0</v>
      </c>
      <c r="H113" s="97">
        <f t="shared" si="32"/>
        <v>0</v>
      </c>
      <c r="I113" s="100" t="s">
        <v>255</v>
      </c>
      <c r="J113" s="104">
        <v>0</v>
      </c>
      <c r="K113" s="97">
        <f t="shared" si="33"/>
        <v>0</v>
      </c>
      <c r="L113" s="100" t="s">
        <v>255</v>
      </c>
      <c r="M113" s="104">
        <v>0</v>
      </c>
      <c r="N113" s="97">
        <f t="shared" si="34"/>
        <v>0</v>
      </c>
      <c r="O113" s="100" t="s">
        <v>255</v>
      </c>
      <c r="P113" s="104">
        <v>0</v>
      </c>
      <c r="Q113" s="97">
        <f t="shared" si="35"/>
        <v>0</v>
      </c>
      <c r="R113" s="100" t="s">
        <v>255</v>
      </c>
      <c r="S113" s="104">
        <v>0</v>
      </c>
      <c r="T113" s="97">
        <f t="shared" si="36"/>
        <v>0</v>
      </c>
      <c r="U113" s="100" t="s">
        <v>255</v>
      </c>
      <c r="V113" s="104">
        <v>0</v>
      </c>
      <c r="W113" s="97">
        <f t="shared" si="37"/>
        <v>0</v>
      </c>
      <c r="X113" s="100" t="s">
        <v>255</v>
      </c>
      <c r="Y113" s="104">
        <v>0</v>
      </c>
      <c r="Z113" s="97">
        <f t="shared" si="38"/>
        <v>0</v>
      </c>
    </row>
    <row r="114" spans="1:26" x14ac:dyDescent="0.25">
      <c r="A114" s="196"/>
      <c r="B114" s="198"/>
      <c r="C114" s="31" t="s">
        <v>115</v>
      </c>
      <c r="D114" s="34">
        <f>'ECONOMIA &amp; PROFESIONES'!$R$13</f>
        <v>2287</v>
      </c>
      <c r="E114" s="53">
        <f t="shared" si="39"/>
        <v>0</v>
      </c>
      <c r="F114" s="100" t="s">
        <v>255</v>
      </c>
      <c r="G114" s="104">
        <v>0</v>
      </c>
      <c r="H114" s="97">
        <f t="shared" si="32"/>
        <v>0</v>
      </c>
      <c r="I114" s="100" t="s">
        <v>255</v>
      </c>
      <c r="J114" s="104">
        <v>0</v>
      </c>
      <c r="K114" s="97">
        <f t="shared" si="33"/>
        <v>0</v>
      </c>
      <c r="L114" s="100" t="s">
        <v>255</v>
      </c>
      <c r="M114" s="104">
        <v>0</v>
      </c>
      <c r="N114" s="97">
        <f t="shared" si="34"/>
        <v>0</v>
      </c>
      <c r="O114" s="100" t="s">
        <v>255</v>
      </c>
      <c r="P114" s="104">
        <v>0</v>
      </c>
      <c r="Q114" s="97">
        <f t="shared" si="35"/>
        <v>0</v>
      </c>
      <c r="R114" s="100" t="s">
        <v>255</v>
      </c>
      <c r="S114" s="104">
        <v>0</v>
      </c>
      <c r="T114" s="97">
        <f t="shared" si="36"/>
        <v>0</v>
      </c>
      <c r="U114" s="100" t="s">
        <v>255</v>
      </c>
      <c r="V114" s="104">
        <v>0</v>
      </c>
      <c r="W114" s="97">
        <f t="shared" si="37"/>
        <v>0</v>
      </c>
      <c r="X114" s="100" t="s">
        <v>255</v>
      </c>
      <c r="Y114" s="104">
        <v>0</v>
      </c>
      <c r="Z114" s="97">
        <f t="shared" si="38"/>
        <v>0</v>
      </c>
    </row>
    <row r="115" spans="1:26" x14ac:dyDescent="0.25">
      <c r="A115" s="196"/>
      <c r="B115" s="199"/>
      <c r="C115" s="32" t="s">
        <v>116</v>
      </c>
      <c r="D115" s="34">
        <f>'ECONOMIA &amp; PROFESIONES'!$R$14</f>
        <v>2164</v>
      </c>
      <c r="E115" s="53">
        <f t="shared" si="39"/>
        <v>0</v>
      </c>
      <c r="F115" s="100" t="s">
        <v>255</v>
      </c>
      <c r="G115" s="104">
        <v>0</v>
      </c>
      <c r="H115" s="97">
        <f t="shared" si="32"/>
        <v>0</v>
      </c>
      <c r="I115" s="100" t="s">
        <v>255</v>
      </c>
      <c r="J115" s="104">
        <v>0</v>
      </c>
      <c r="K115" s="97">
        <f t="shared" si="33"/>
        <v>0</v>
      </c>
      <c r="L115" s="100" t="s">
        <v>255</v>
      </c>
      <c r="M115" s="104">
        <v>0</v>
      </c>
      <c r="N115" s="97">
        <f t="shared" si="34"/>
        <v>0</v>
      </c>
      <c r="O115" s="100" t="s">
        <v>255</v>
      </c>
      <c r="P115" s="104">
        <v>0</v>
      </c>
      <c r="Q115" s="97">
        <f t="shared" si="35"/>
        <v>0</v>
      </c>
      <c r="R115" s="100" t="s">
        <v>255</v>
      </c>
      <c r="S115" s="104">
        <v>0</v>
      </c>
      <c r="T115" s="97">
        <f t="shared" si="36"/>
        <v>0</v>
      </c>
      <c r="U115" s="100" t="s">
        <v>255</v>
      </c>
      <c r="V115" s="104">
        <v>0</v>
      </c>
      <c r="W115" s="97">
        <f t="shared" si="37"/>
        <v>0</v>
      </c>
      <c r="X115" s="100" t="s">
        <v>255</v>
      </c>
      <c r="Y115" s="104">
        <v>0</v>
      </c>
      <c r="Z115" s="97">
        <f t="shared" si="38"/>
        <v>0</v>
      </c>
    </row>
    <row r="116" spans="1:26" x14ac:dyDescent="0.25">
      <c r="A116" s="196"/>
      <c r="B116" s="200" t="s">
        <v>408</v>
      </c>
      <c r="C116" s="31" t="s">
        <v>6</v>
      </c>
      <c r="D116" s="34">
        <f>'ECONOMIA &amp; PROFESIONES'!$R$15</f>
        <v>3682</v>
      </c>
      <c r="E116" s="53">
        <f t="shared" si="39"/>
        <v>0</v>
      </c>
      <c r="F116" s="100" t="s">
        <v>255</v>
      </c>
      <c r="G116" s="104">
        <v>0</v>
      </c>
      <c r="H116" s="97">
        <f t="shared" si="32"/>
        <v>0</v>
      </c>
      <c r="I116" s="100" t="s">
        <v>255</v>
      </c>
      <c r="J116" s="104">
        <v>0</v>
      </c>
      <c r="K116" s="97">
        <f t="shared" si="33"/>
        <v>0</v>
      </c>
      <c r="L116" s="100" t="s">
        <v>255</v>
      </c>
      <c r="M116" s="104">
        <v>0</v>
      </c>
      <c r="N116" s="97">
        <f t="shared" si="34"/>
        <v>0</v>
      </c>
      <c r="O116" s="100" t="s">
        <v>255</v>
      </c>
      <c r="P116" s="104">
        <v>0</v>
      </c>
      <c r="Q116" s="97">
        <f t="shared" si="35"/>
        <v>0</v>
      </c>
      <c r="R116" s="100" t="s">
        <v>255</v>
      </c>
      <c r="S116" s="104">
        <v>0</v>
      </c>
      <c r="T116" s="97">
        <f t="shared" si="36"/>
        <v>0</v>
      </c>
      <c r="U116" s="100" t="s">
        <v>255</v>
      </c>
      <c r="V116" s="104">
        <v>0</v>
      </c>
      <c r="W116" s="97">
        <f t="shared" si="37"/>
        <v>0</v>
      </c>
      <c r="X116" s="100" t="s">
        <v>255</v>
      </c>
      <c r="Y116" s="104">
        <v>0</v>
      </c>
      <c r="Z116" s="97">
        <f t="shared" si="38"/>
        <v>0</v>
      </c>
    </row>
    <row r="117" spans="1:26" x14ac:dyDescent="0.25">
      <c r="A117" s="196"/>
      <c r="B117" s="201"/>
      <c r="C117" s="32" t="s">
        <v>113</v>
      </c>
      <c r="D117" s="34">
        <f>'ECONOMIA &amp; PROFESIONES'!$R$16</f>
        <v>3955</v>
      </c>
      <c r="E117" s="53">
        <f t="shared" si="39"/>
        <v>0</v>
      </c>
      <c r="F117" s="100" t="s">
        <v>255</v>
      </c>
      <c r="G117" s="104">
        <v>0</v>
      </c>
      <c r="H117" s="97">
        <f t="shared" si="32"/>
        <v>0</v>
      </c>
      <c r="I117" s="100" t="s">
        <v>255</v>
      </c>
      <c r="J117" s="104">
        <v>0</v>
      </c>
      <c r="K117" s="97">
        <f t="shared" si="33"/>
        <v>0</v>
      </c>
      <c r="L117" s="100" t="s">
        <v>255</v>
      </c>
      <c r="M117" s="104">
        <v>0</v>
      </c>
      <c r="N117" s="97">
        <f t="shared" si="34"/>
        <v>0</v>
      </c>
      <c r="O117" s="100" t="s">
        <v>255</v>
      </c>
      <c r="P117" s="104">
        <v>0</v>
      </c>
      <c r="Q117" s="97">
        <f t="shared" si="35"/>
        <v>0</v>
      </c>
      <c r="R117" s="100" t="s">
        <v>255</v>
      </c>
      <c r="S117" s="104">
        <v>0</v>
      </c>
      <c r="T117" s="97">
        <f t="shared" si="36"/>
        <v>0</v>
      </c>
      <c r="U117" s="100" t="s">
        <v>255</v>
      </c>
      <c r="V117" s="104">
        <v>0</v>
      </c>
      <c r="W117" s="97">
        <f t="shared" si="37"/>
        <v>0</v>
      </c>
      <c r="X117" s="100" t="s">
        <v>255</v>
      </c>
      <c r="Y117" s="104">
        <v>0</v>
      </c>
      <c r="Z117" s="97">
        <f t="shared" si="38"/>
        <v>0</v>
      </c>
    </row>
    <row r="118" spans="1:26" x14ac:dyDescent="0.25">
      <c r="A118" s="196"/>
      <c r="B118" s="201"/>
      <c r="C118" s="31" t="s">
        <v>114</v>
      </c>
      <c r="D118" s="34">
        <f>'ECONOMIA &amp; PROFESIONES'!$R$17</f>
        <v>4228</v>
      </c>
      <c r="E118" s="53">
        <f t="shared" si="39"/>
        <v>0</v>
      </c>
      <c r="F118" s="100" t="s">
        <v>255</v>
      </c>
      <c r="G118" s="104">
        <v>0</v>
      </c>
      <c r="H118" s="97">
        <f t="shared" si="32"/>
        <v>0</v>
      </c>
      <c r="I118" s="100" t="s">
        <v>255</v>
      </c>
      <c r="J118" s="104">
        <v>0</v>
      </c>
      <c r="K118" s="97">
        <f t="shared" si="33"/>
        <v>0</v>
      </c>
      <c r="L118" s="100" t="s">
        <v>255</v>
      </c>
      <c r="M118" s="104">
        <v>0</v>
      </c>
      <c r="N118" s="97">
        <f t="shared" si="34"/>
        <v>0</v>
      </c>
      <c r="O118" s="100" t="s">
        <v>255</v>
      </c>
      <c r="P118" s="104">
        <v>0</v>
      </c>
      <c r="Q118" s="97">
        <f t="shared" si="35"/>
        <v>0</v>
      </c>
      <c r="R118" s="100" t="s">
        <v>255</v>
      </c>
      <c r="S118" s="104">
        <v>0</v>
      </c>
      <c r="T118" s="97">
        <f t="shared" si="36"/>
        <v>0</v>
      </c>
      <c r="U118" s="100" t="s">
        <v>255</v>
      </c>
      <c r="V118" s="104">
        <v>0</v>
      </c>
      <c r="W118" s="97">
        <f t="shared" si="37"/>
        <v>0</v>
      </c>
      <c r="X118" s="100" t="s">
        <v>255</v>
      </c>
      <c r="Y118" s="104">
        <v>0</v>
      </c>
      <c r="Z118" s="97">
        <f t="shared" si="38"/>
        <v>0</v>
      </c>
    </row>
    <row r="119" spans="1:26" x14ac:dyDescent="0.25">
      <c r="A119" s="196"/>
      <c r="B119" s="200"/>
      <c r="C119" s="32" t="s">
        <v>115</v>
      </c>
      <c r="D119" s="34">
        <f>'ECONOMIA &amp; PROFESIONES'!$R$18</f>
        <v>4137</v>
      </c>
      <c r="E119" s="53">
        <f t="shared" si="39"/>
        <v>0</v>
      </c>
      <c r="F119" s="100" t="s">
        <v>255</v>
      </c>
      <c r="G119" s="104">
        <v>0</v>
      </c>
      <c r="H119" s="97">
        <f t="shared" si="32"/>
        <v>0</v>
      </c>
      <c r="I119" s="100" t="s">
        <v>255</v>
      </c>
      <c r="J119" s="104">
        <v>0</v>
      </c>
      <c r="K119" s="97">
        <f t="shared" si="33"/>
        <v>0</v>
      </c>
      <c r="L119" s="100" t="s">
        <v>255</v>
      </c>
      <c r="M119" s="104">
        <v>0</v>
      </c>
      <c r="N119" s="97">
        <f t="shared" si="34"/>
        <v>0</v>
      </c>
      <c r="O119" s="100" t="s">
        <v>255</v>
      </c>
      <c r="P119" s="104">
        <v>0</v>
      </c>
      <c r="Q119" s="97">
        <f t="shared" si="35"/>
        <v>0</v>
      </c>
      <c r="R119" s="100" t="s">
        <v>255</v>
      </c>
      <c r="S119" s="104">
        <v>0</v>
      </c>
      <c r="T119" s="97">
        <f t="shared" si="36"/>
        <v>0</v>
      </c>
      <c r="U119" s="100" t="s">
        <v>255</v>
      </c>
      <c r="V119" s="104">
        <v>0</v>
      </c>
      <c r="W119" s="97">
        <f t="shared" si="37"/>
        <v>0</v>
      </c>
      <c r="X119" s="100" t="s">
        <v>255</v>
      </c>
      <c r="Y119" s="104">
        <v>0</v>
      </c>
      <c r="Z119" s="97">
        <f t="shared" si="38"/>
        <v>0</v>
      </c>
    </row>
    <row r="120" spans="1:26" x14ac:dyDescent="0.25">
      <c r="A120" s="196"/>
      <c r="B120" s="200"/>
      <c r="C120" s="31" t="s">
        <v>116</v>
      </c>
      <c r="D120" s="34">
        <f>'ECONOMIA &amp; PROFESIONES'!$R$19</f>
        <v>3864</v>
      </c>
      <c r="E120" s="53">
        <f t="shared" si="39"/>
        <v>0</v>
      </c>
      <c r="F120" s="100" t="s">
        <v>255</v>
      </c>
      <c r="G120" s="104">
        <v>0</v>
      </c>
      <c r="H120" s="97">
        <f t="shared" si="32"/>
        <v>0</v>
      </c>
      <c r="I120" s="100" t="s">
        <v>255</v>
      </c>
      <c r="J120" s="104">
        <v>0</v>
      </c>
      <c r="K120" s="97">
        <f t="shared" si="33"/>
        <v>0</v>
      </c>
      <c r="L120" s="100" t="s">
        <v>255</v>
      </c>
      <c r="M120" s="104">
        <v>0</v>
      </c>
      <c r="N120" s="97">
        <f t="shared" si="34"/>
        <v>0</v>
      </c>
      <c r="O120" s="100" t="s">
        <v>255</v>
      </c>
      <c r="P120" s="104">
        <v>0</v>
      </c>
      <c r="Q120" s="97">
        <f t="shared" si="35"/>
        <v>0</v>
      </c>
      <c r="R120" s="100" t="s">
        <v>255</v>
      </c>
      <c r="S120" s="104">
        <v>0</v>
      </c>
      <c r="T120" s="97">
        <f t="shared" si="36"/>
        <v>0</v>
      </c>
      <c r="U120" s="100" t="s">
        <v>255</v>
      </c>
      <c r="V120" s="104">
        <v>0</v>
      </c>
      <c r="W120" s="97">
        <f t="shared" si="37"/>
        <v>0</v>
      </c>
      <c r="X120" s="100" t="s">
        <v>255</v>
      </c>
      <c r="Y120" s="104">
        <v>0</v>
      </c>
      <c r="Z120" s="97">
        <f t="shared" si="38"/>
        <v>0</v>
      </c>
    </row>
    <row r="121" spans="1:26" x14ac:dyDescent="0.25">
      <c r="A121" s="196"/>
      <c r="B121" s="202" t="s">
        <v>409</v>
      </c>
      <c r="C121" s="32" t="s">
        <v>6</v>
      </c>
      <c r="D121" s="34">
        <f>'ECONOMIA &amp; PROFESIONES'!$R$20</f>
        <v>5282</v>
      </c>
      <c r="E121" s="53">
        <f t="shared" si="39"/>
        <v>0</v>
      </c>
      <c r="F121" s="100" t="s">
        <v>255</v>
      </c>
      <c r="G121" s="104">
        <v>0</v>
      </c>
      <c r="H121" s="97">
        <f t="shared" si="32"/>
        <v>0</v>
      </c>
      <c r="I121" s="100" t="s">
        <v>255</v>
      </c>
      <c r="J121" s="104">
        <v>0</v>
      </c>
      <c r="K121" s="97">
        <f t="shared" si="33"/>
        <v>0</v>
      </c>
      <c r="L121" s="100" t="s">
        <v>255</v>
      </c>
      <c r="M121" s="104">
        <v>0</v>
      </c>
      <c r="N121" s="97">
        <f t="shared" si="34"/>
        <v>0</v>
      </c>
      <c r="O121" s="100" t="s">
        <v>255</v>
      </c>
      <c r="P121" s="104">
        <v>0</v>
      </c>
      <c r="Q121" s="97">
        <f t="shared" si="35"/>
        <v>0</v>
      </c>
      <c r="R121" s="100" t="s">
        <v>255</v>
      </c>
      <c r="S121" s="104">
        <v>0</v>
      </c>
      <c r="T121" s="97">
        <f t="shared" si="36"/>
        <v>0</v>
      </c>
      <c r="U121" s="100" t="s">
        <v>255</v>
      </c>
      <c r="V121" s="104">
        <v>0</v>
      </c>
      <c r="W121" s="97">
        <f t="shared" si="37"/>
        <v>0</v>
      </c>
      <c r="X121" s="100" t="s">
        <v>255</v>
      </c>
      <c r="Y121" s="104">
        <v>0</v>
      </c>
      <c r="Z121" s="97">
        <f t="shared" si="38"/>
        <v>0</v>
      </c>
    </row>
    <row r="122" spans="1:26" x14ac:dyDescent="0.25">
      <c r="A122" s="196"/>
      <c r="B122" s="203"/>
      <c r="C122" s="31" t="s">
        <v>113</v>
      </c>
      <c r="D122" s="34">
        <f>'ECONOMIA &amp; PROFESIONES'!$R$21</f>
        <v>5705</v>
      </c>
      <c r="E122" s="53">
        <f t="shared" si="39"/>
        <v>0</v>
      </c>
      <c r="F122" s="100" t="s">
        <v>255</v>
      </c>
      <c r="G122" s="104">
        <v>0</v>
      </c>
      <c r="H122" s="97">
        <f t="shared" si="32"/>
        <v>0</v>
      </c>
      <c r="I122" s="100" t="s">
        <v>255</v>
      </c>
      <c r="J122" s="104">
        <v>0</v>
      </c>
      <c r="K122" s="97">
        <f t="shared" si="33"/>
        <v>0</v>
      </c>
      <c r="L122" s="100" t="s">
        <v>255</v>
      </c>
      <c r="M122" s="104">
        <v>0</v>
      </c>
      <c r="N122" s="97">
        <f t="shared" si="34"/>
        <v>0</v>
      </c>
      <c r="O122" s="100" t="s">
        <v>255</v>
      </c>
      <c r="P122" s="104">
        <v>0</v>
      </c>
      <c r="Q122" s="97">
        <f t="shared" si="35"/>
        <v>0</v>
      </c>
      <c r="R122" s="100" t="s">
        <v>255</v>
      </c>
      <c r="S122" s="104">
        <v>0</v>
      </c>
      <c r="T122" s="97">
        <f t="shared" si="36"/>
        <v>0</v>
      </c>
      <c r="U122" s="100" t="s">
        <v>255</v>
      </c>
      <c r="V122" s="104">
        <v>0</v>
      </c>
      <c r="W122" s="97">
        <f t="shared" si="37"/>
        <v>0</v>
      </c>
      <c r="X122" s="100" t="s">
        <v>255</v>
      </c>
      <c r="Y122" s="104">
        <v>0</v>
      </c>
      <c r="Z122" s="97">
        <f t="shared" si="38"/>
        <v>0</v>
      </c>
    </row>
    <row r="123" spans="1:26" x14ac:dyDescent="0.25">
      <c r="A123" s="196"/>
      <c r="B123" s="203"/>
      <c r="C123" s="32" t="s">
        <v>114</v>
      </c>
      <c r="D123" s="34">
        <f>'ECONOMIA &amp; PROFESIONES'!$R$22</f>
        <v>6128</v>
      </c>
      <c r="E123" s="53">
        <f t="shared" si="39"/>
        <v>0</v>
      </c>
      <c r="F123" s="100" t="s">
        <v>255</v>
      </c>
      <c r="G123" s="104">
        <v>0</v>
      </c>
      <c r="H123" s="97">
        <f t="shared" si="32"/>
        <v>0</v>
      </c>
      <c r="I123" s="100" t="s">
        <v>255</v>
      </c>
      <c r="J123" s="104">
        <v>0</v>
      </c>
      <c r="K123" s="97">
        <f t="shared" si="33"/>
        <v>0</v>
      </c>
      <c r="L123" s="100" t="s">
        <v>255</v>
      </c>
      <c r="M123" s="104">
        <v>0</v>
      </c>
      <c r="N123" s="97">
        <f t="shared" si="34"/>
        <v>0</v>
      </c>
      <c r="O123" s="100" t="s">
        <v>255</v>
      </c>
      <c r="P123" s="104">
        <v>0</v>
      </c>
      <c r="Q123" s="97">
        <f t="shared" si="35"/>
        <v>0</v>
      </c>
      <c r="R123" s="100" t="s">
        <v>255</v>
      </c>
      <c r="S123" s="104">
        <v>0</v>
      </c>
      <c r="T123" s="97">
        <f t="shared" si="36"/>
        <v>0</v>
      </c>
      <c r="U123" s="100" t="s">
        <v>255</v>
      </c>
      <c r="V123" s="104">
        <v>0</v>
      </c>
      <c r="W123" s="97">
        <f t="shared" si="37"/>
        <v>0</v>
      </c>
      <c r="X123" s="100" t="s">
        <v>255</v>
      </c>
      <c r="Y123" s="104">
        <v>0</v>
      </c>
      <c r="Z123" s="97">
        <f t="shared" si="38"/>
        <v>0</v>
      </c>
    </row>
    <row r="124" spans="1:26" x14ac:dyDescent="0.25">
      <c r="A124" s="196"/>
      <c r="B124" s="198"/>
      <c r="C124" s="31" t="s">
        <v>115</v>
      </c>
      <c r="D124" s="34">
        <f>'ECONOMIA &amp; PROFESIONES'!$R$23</f>
        <v>5987</v>
      </c>
      <c r="E124" s="53">
        <f t="shared" si="39"/>
        <v>0</v>
      </c>
      <c r="F124" s="100" t="s">
        <v>255</v>
      </c>
      <c r="G124" s="104">
        <v>0</v>
      </c>
      <c r="H124" s="97">
        <f t="shared" si="32"/>
        <v>0</v>
      </c>
      <c r="I124" s="100" t="s">
        <v>255</v>
      </c>
      <c r="J124" s="104">
        <v>0</v>
      </c>
      <c r="K124" s="97">
        <f t="shared" si="33"/>
        <v>0</v>
      </c>
      <c r="L124" s="100" t="s">
        <v>255</v>
      </c>
      <c r="M124" s="104">
        <v>0</v>
      </c>
      <c r="N124" s="97">
        <f t="shared" si="34"/>
        <v>0</v>
      </c>
      <c r="O124" s="100" t="s">
        <v>255</v>
      </c>
      <c r="P124" s="104">
        <v>0</v>
      </c>
      <c r="Q124" s="97">
        <f t="shared" si="35"/>
        <v>0</v>
      </c>
      <c r="R124" s="100" t="s">
        <v>255</v>
      </c>
      <c r="S124" s="104">
        <v>0</v>
      </c>
      <c r="T124" s="97">
        <f t="shared" si="36"/>
        <v>0</v>
      </c>
      <c r="U124" s="100" t="s">
        <v>255</v>
      </c>
      <c r="V124" s="104">
        <v>0</v>
      </c>
      <c r="W124" s="97">
        <f t="shared" si="37"/>
        <v>0</v>
      </c>
      <c r="X124" s="100" t="s">
        <v>255</v>
      </c>
      <c r="Y124" s="104">
        <v>0</v>
      </c>
      <c r="Z124" s="97">
        <f t="shared" si="38"/>
        <v>0</v>
      </c>
    </row>
    <row r="125" spans="1:26" x14ac:dyDescent="0.25">
      <c r="A125" s="196"/>
      <c r="B125" s="204"/>
      <c r="C125" s="32" t="s">
        <v>116</v>
      </c>
      <c r="D125" s="34">
        <f>'ECONOMIA &amp; PROFESIONES'!$R$24</f>
        <v>5564</v>
      </c>
      <c r="E125" s="53">
        <f t="shared" si="39"/>
        <v>0</v>
      </c>
      <c r="F125" s="100" t="s">
        <v>255</v>
      </c>
      <c r="G125" s="104">
        <v>0</v>
      </c>
      <c r="H125" s="97">
        <f t="shared" si="32"/>
        <v>0</v>
      </c>
      <c r="I125" s="100" t="s">
        <v>255</v>
      </c>
      <c r="J125" s="104">
        <v>0</v>
      </c>
      <c r="K125" s="97">
        <f t="shared" si="33"/>
        <v>0</v>
      </c>
      <c r="L125" s="100" t="s">
        <v>255</v>
      </c>
      <c r="M125" s="104">
        <v>0</v>
      </c>
      <c r="N125" s="97">
        <f t="shared" si="34"/>
        <v>0</v>
      </c>
      <c r="O125" s="100" t="s">
        <v>255</v>
      </c>
      <c r="P125" s="104">
        <v>0</v>
      </c>
      <c r="Q125" s="97">
        <f t="shared" si="35"/>
        <v>0</v>
      </c>
      <c r="R125" s="100" t="s">
        <v>255</v>
      </c>
      <c r="S125" s="104">
        <v>0</v>
      </c>
      <c r="T125" s="97">
        <f t="shared" si="36"/>
        <v>0</v>
      </c>
      <c r="U125" s="100" t="s">
        <v>255</v>
      </c>
      <c r="V125" s="104">
        <v>0</v>
      </c>
      <c r="W125" s="97">
        <f t="shared" si="37"/>
        <v>0</v>
      </c>
      <c r="X125" s="100" t="s">
        <v>255</v>
      </c>
      <c r="Y125" s="104">
        <v>0</v>
      </c>
      <c r="Z125" s="97">
        <f t="shared" si="38"/>
        <v>0</v>
      </c>
    </row>
    <row r="126" spans="1:26" x14ac:dyDescent="0.25">
      <c r="A126" s="196"/>
      <c r="B126" s="200" t="s">
        <v>407</v>
      </c>
      <c r="C126" s="31" t="s">
        <v>6</v>
      </c>
      <c r="D126" s="34">
        <f>'ECONOMIA &amp; PROFESIONES'!$R$25</f>
        <v>6882</v>
      </c>
      <c r="E126" s="53">
        <f t="shared" si="39"/>
        <v>0</v>
      </c>
      <c r="F126" s="100" t="s">
        <v>255</v>
      </c>
      <c r="G126" s="104">
        <v>0</v>
      </c>
      <c r="H126" s="97">
        <f t="shared" si="32"/>
        <v>0</v>
      </c>
      <c r="I126" s="100" t="s">
        <v>255</v>
      </c>
      <c r="J126" s="104">
        <v>0</v>
      </c>
      <c r="K126" s="97">
        <f t="shared" si="33"/>
        <v>0</v>
      </c>
      <c r="L126" s="100" t="s">
        <v>255</v>
      </c>
      <c r="M126" s="104">
        <v>0</v>
      </c>
      <c r="N126" s="97">
        <f t="shared" si="34"/>
        <v>0</v>
      </c>
      <c r="O126" s="100" t="s">
        <v>255</v>
      </c>
      <c r="P126" s="104">
        <v>0</v>
      </c>
      <c r="Q126" s="97">
        <f t="shared" si="35"/>
        <v>0</v>
      </c>
      <c r="R126" s="100" t="s">
        <v>255</v>
      </c>
      <c r="S126" s="104">
        <v>0</v>
      </c>
      <c r="T126" s="97">
        <f t="shared" si="36"/>
        <v>0</v>
      </c>
      <c r="U126" s="100" t="s">
        <v>255</v>
      </c>
      <c r="V126" s="104">
        <v>0</v>
      </c>
      <c r="W126" s="97">
        <f t="shared" si="37"/>
        <v>0</v>
      </c>
      <c r="X126" s="100" t="s">
        <v>255</v>
      </c>
      <c r="Y126" s="104">
        <v>0</v>
      </c>
      <c r="Z126" s="97">
        <f t="shared" si="38"/>
        <v>0</v>
      </c>
    </row>
    <row r="127" spans="1:26" x14ac:dyDescent="0.25">
      <c r="A127" s="196"/>
      <c r="B127" s="200"/>
      <c r="C127" s="32" t="s">
        <v>113</v>
      </c>
      <c r="D127" s="34">
        <f>'ECONOMIA &amp; PROFESIONES'!$R$26</f>
        <v>7455</v>
      </c>
      <c r="E127" s="53">
        <f t="shared" si="39"/>
        <v>0</v>
      </c>
      <c r="F127" s="100" t="s">
        <v>255</v>
      </c>
      <c r="G127" s="104">
        <v>0</v>
      </c>
      <c r="H127" s="97">
        <f t="shared" si="32"/>
        <v>0</v>
      </c>
      <c r="I127" s="100" t="s">
        <v>255</v>
      </c>
      <c r="J127" s="104">
        <v>0</v>
      </c>
      <c r="K127" s="97">
        <f t="shared" si="33"/>
        <v>0</v>
      </c>
      <c r="L127" s="100" t="s">
        <v>255</v>
      </c>
      <c r="M127" s="104">
        <v>0</v>
      </c>
      <c r="N127" s="97">
        <f t="shared" si="34"/>
        <v>0</v>
      </c>
      <c r="O127" s="100" t="s">
        <v>255</v>
      </c>
      <c r="P127" s="104">
        <v>0</v>
      </c>
      <c r="Q127" s="97">
        <f t="shared" si="35"/>
        <v>0</v>
      </c>
      <c r="R127" s="100" t="s">
        <v>255</v>
      </c>
      <c r="S127" s="104">
        <v>0</v>
      </c>
      <c r="T127" s="97">
        <f t="shared" si="36"/>
        <v>0</v>
      </c>
      <c r="U127" s="100" t="s">
        <v>255</v>
      </c>
      <c r="V127" s="104">
        <v>0</v>
      </c>
      <c r="W127" s="97">
        <f t="shared" si="37"/>
        <v>0</v>
      </c>
      <c r="X127" s="100" t="s">
        <v>255</v>
      </c>
      <c r="Y127" s="104">
        <v>0</v>
      </c>
      <c r="Z127" s="97">
        <f t="shared" si="38"/>
        <v>0</v>
      </c>
    </row>
    <row r="128" spans="1:26" x14ac:dyDescent="0.25">
      <c r="A128" s="196"/>
      <c r="B128" s="200"/>
      <c r="C128" s="31" t="s">
        <v>114</v>
      </c>
      <c r="D128" s="34">
        <f>'ECONOMIA &amp; PROFESIONES'!$R$27</f>
        <v>8028</v>
      </c>
      <c r="E128" s="53">
        <f t="shared" si="39"/>
        <v>0</v>
      </c>
      <c r="F128" s="100" t="s">
        <v>255</v>
      </c>
      <c r="G128" s="104">
        <v>0</v>
      </c>
      <c r="H128" s="97">
        <f t="shared" si="32"/>
        <v>0</v>
      </c>
      <c r="I128" s="100" t="s">
        <v>255</v>
      </c>
      <c r="J128" s="104">
        <v>0</v>
      </c>
      <c r="K128" s="97">
        <f t="shared" si="33"/>
        <v>0</v>
      </c>
      <c r="L128" s="100" t="s">
        <v>255</v>
      </c>
      <c r="M128" s="104">
        <v>0</v>
      </c>
      <c r="N128" s="97">
        <f t="shared" si="34"/>
        <v>0</v>
      </c>
      <c r="O128" s="100" t="s">
        <v>255</v>
      </c>
      <c r="P128" s="104">
        <v>0</v>
      </c>
      <c r="Q128" s="97">
        <f t="shared" si="35"/>
        <v>0</v>
      </c>
      <c r="R128" s="100" t="s">
        <v>255</v>
      </c>
      <c r="S128" s="104">
        <v>0</v>
      </c>
      <c r="T128" s="97">
        <f t="shared" si="36"/>
        <v>0</v>
      </c>
      <c r="U128" s="100" t="s">
        <v>255</v>
      </c>
      <c r="V128" s="104">
        <v>0</v>
      </c>
      <c r="W128" s="97">
        <f t="shared" si="37"/>
        <v>0</v>
      </c>
      <c r="X128" s="100" t="s">
        <v>255</v>
      </c>
      <c r="Y128" s="104">
        <v>0</v>
      </c>
      <c r="Z128" s="97">
        <f t="shared" si="38"/>
        <v>0</v>
      </c>
    </row>
    <row r="129" spans="1:26" x14ac:dyDescent="0.25">
      <c r="A129" s="196"/>
      <c r="B129" s="200"/>
      <c r="C129" s="32" t="s">
        <v>115</v>
      </c>
      <c r="D129" s="34">
        <f>'ECONOMIA &amp; PROFESIONES'!$R$28</f>
        <v>7837</v>
      </c>
      <c r="E129" s="53">
        <f t="shared" si="39"/>
        <v>0</v>
      </c>
      <c r="F129" s="100" t="s">
        <v>255</v>
      </c>
      <c r="G129" s="104">
        <v>0</v>
      </c>
      <c r="H129" s="97">
        <f t="shared" si="32"/>
        <v>0</v>
      </c>
      <c r="I129" s="100" t="s">
        <v>255</v>
      </c>
      <c r="J129" s="104">
        <v>0</v>
      </c>
      <c r="K129" s="97">
        <f t="shared" si="33"/>
        <v>0</v>
      </c>
      <c r="L129" s="100" t="s">
        <v>255</v>
      </c>
      <c r="M129" s="104">
        <v>0</v>
      </c>
      <c r="N129" s="97">
        <f t="shared" si="34"/>
        <v>0</v>
      </c>
      <c r="O129" s="100" t="s">
        <v>255</v>
      </c>
      <c r="P129" s="104">
        <v>0</v>
      </c>
      <c r="Q129" s="97">
        <f t="shared" si="35"/>
        <v>0</v>
      </c>
      <c r="R129" s="100" t="s">
        <v>255</v>
      </c>
      <c r="S129" s="104">
        <v>0</v>
      </c>
      <c r="T129" s="97">
        <f t="shared" si="36"/>
        <v>0</v>
      </c>
      <c r="U129" s="100" t="s">
        <v>255</v>
      </c>
      <c r="V129" s="104">
        <v>0</v>
      </c>
      <c r="W129" s="97">
        <f t="shared" si="37"/>
        <v>0</v>
      </c>
      <c r="X129" s="100" t="s">
        <v>255</v>
      </c>
      <c r="Y129" s="104">
        <v>0</v>
      </c>
      <c r="Z129" s="97">
        <f t="shared" si="38"/>
        <v>0</v>
      </c>
    </row>
    <row r="130" spans="1:26" x14ac:dyDescent="0.25">
      <c r="A130" s="196"/>
      <c r="B130" s="200"/>
      <c r="C130" s="31" t="s">
        <v>116</v>
      </c>
      <c r="D130" s="34">
        <f>'ECONOMIA &amp; PROFESIONES'!$R$29</f>
        <v>7264</v>
      </c>
      <c r="E130" s="53">
        <f t="shared" si="39"/>
        <v>0</v>
      </c>
      <c r="F130" s="100" t="s">
        <v>255</v>
      </c>
      <c r="G130" s="104">
        <v>0</v>
      </c>
      <c r="H130" s="97">
        <f t="shared" si="32"/>
        <v>0</v>
      </c>
      <c r="I130" s="100" t="s">
        <v>255</v>
      </c>
      <c r="J130" s="104">
        <v>0</v>
      </c>
      <c r="K130" s="97">
        <f t="shared" si="33"/>
        <v>0</v>
      </c>
      <c r="L130" s="100" t="s">
        <v>255</v>
      </c>
      <c r="M130" s="104">
        <v>0</v>
      </c>
      <c r="N130" s="97">
        <f t="shared" si="34"/>
        <v>0</v>
      </c>
      <c r="O130" s="100" t="s">
        <v>255</v>
      </c>
      <c r="P130" s="104">
        <v>0</v>
      </c>
      <c r="Q130" s="97">
        <f t="shared" si="35"/>
        <v>0</v>
      </c>
      <c r="R130" s="100" t="s">
        <v>255</v>
      </c>
      <c r="S130" s="104">
        <v>0</v>
      </c>
      <c r="T130" s="97">
        <f t="shared" si="36"/>
        <v>0</v>
      </c>
      <c r="U130" s="100" t="s">
        <v>255</v>
      </c>
      <c r="V130" s="104">
        <v>0</v>
      </c>
      <c r="W130" s="97">
        <f t="shared" si="37"/>
        <v>0</v>
      </c>
      <c r="X130" s="100" t="s">
        <v>255</v>
      </c>
      <c r="Y130" s="104">
        <v>0</v>
      </c>
      <c r="Z130" s="97">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196" t="s">
        <v>422</v>
      </c>
      <c r="B1" s="84"/>
      <c r="C1" s="84"/>
      <c r="D1" s="113"/>
      <c r="E1" s="103" t="s">
        <v>332</v>
      </c>
      <c r="F1" s="103" t="s">
        <v>333</v>
      </c>
      <c r="G1" s="103" t="s">
        <v>410</v>
      </c>
      <c r="H1" s="103" t="s">
        <v>199</v>
      </c>
      <c r="I1" s="103" t="s">
        <v>334</v>
      </c>
      <c r="J1" s="103" t="s">
        <v>410</v>
      </c>
      <c r="K1" s="103" t="s">
        <v>199</v>
      </c>
      <c r="L1" s="103" t="s">
        <v>350</v>
      </c>
      <c r="M1" s="103" t="s">
        <v>410</v>
      </c>
      <c r="N1" s="103" t="s">
        <v>199</v>
      </c>
      <c r="O1" s="103" t="s">
        <v>403</v>
      </c>
      <c r="P1" s="103" t="s">
        <v>410</v>
      </c>
      <c r="Q1" s="103" t="s">
        <v>199</v>
      </c>
      <c r="R1" s="103" t="s">
        <v>404</v>
      </c>
      <c r="S1" s="103" t="s">
        <v>410</v>
      </c>
      <c r="T1" s="103" t="s">
        <v>199</v>
      </c>
      <c r="U1" s="103" t="s">
        <v>405</v>
      </c>
      <c r="V1" s="103" t="s">
        <v>410</v>
      </c>
      <c r="W1" s="103" t="s">
        <v>199</v>
      </c>
      <c r="X1" s="103" t="s">
        <v>406</v>
      </c>
      <c r="Y1" s="103" t="s">
        <v>410</v>
      </c>
      <c r="Z1" s="103" t="s">
        <v>199</v>
      </c>
    </row>
    <row r="2" spans="1:26" x14ac:dyDescent="0.25">
      <c r="A2" s="196"/>
      <c r="B2" s="205" t="s">
        <v>341</v>
      </c>
      <c r="C2" s="31" t="s">
        <v>6</v>
      </c>
      <c r="D2" s="34">
        <f>'ECONOMIA &amp; PROFESIONES'!$P$7</f>
        <v>532</v>
      </c>
      <c r="E2" s="53">
        <f>(H2*G2)+(K2*J2)+(M2*N2)+(P2*Q2)+(S2*T2)+(V2*W2)+(Y2*Z2)</f>
        <v>0</v>
      </c>
      <c r="F2" s="100" t="s">
        <v>255</v>
      </c>
      <c r="G2" s="104">
        <v>0</v>
      </c>
      <c r="H2" s="97">
        <f t="shared" ref="H2:H26" si="0">VLOOKUP(F2,craftedesp,3,FALSE)</f>
        <v>0</v>
      </c>
      <c r="I2" s="100" t="s">
        <v>255</v>
      </c>
      <c r="J2" s="104">
        <v>0</v>
      </c>
      <c r="K2" s="97">
        <f t="shared" ref="K2:K26" si="1">VLOOKUP(I2,craftedesp,3,FALSE)</f>
        <v>0</v>
      </c>
      <c r="L2" s="100" t="s">
        <v>255</v>
      </c>
      <c r="M2" s="104">
        <v>0</v>
      </c>
      <c r="N2" s="97">
        <f t="shared" ref="N2:N26" si="2">VLOOKUP(L2,craftedesp,3,FALSE)</f>
        <v>0</v>
      </c>
      <c r="O2" s="100" t="s">
        <v>255</v>
      </c>
      <c r="P2" s="104">
        <v>0</v>
      </c>
      <c r="Q2" s="97">
        <f t="shared" ref="Q2:Q26" si="3">VLOOKUP(O2,craftedesp,3,FALSE)</f>
        <v>0</v>
      </c>
      <c r="R2" s="100" t="s">
        <v>255</v>
      </c>
      <c r="S2" s="104">
        <v>0</v>
      </c>
      <c r="T2" s="97">
        <f t="shared" ref="T2:T26" si="4">VLOOKUP(R2,craftedesp,3,FALSE)</f>
        <v>0</v>
      </c>
      <c r="U2" s="100" t="s">
        <v>255</v>
      </c>
      <c r="V2" s="104">
        <v>0</v>
      </c>
      <c r="W2" s="97">
        <f t="shared" ref="W2:W26" si="5">VLOOKUP(U2,craftedesp,3,FALSE)</f>
        <v>0</v>
      </c>
      <c r="X2" s="100" t="s">
        <v>255</v>
      </c>
      <c r="Y2" s="104">
        <v>0</v>
      </c>
      <c r="Z2" s="97">
        <f t="shared" ref="Z2:Z26" si="6">VLOOKUP(X2,craftedesp,3,FALSE)</f>
        <v>0</v>
      </c>
    </row>
    <row r="3" spans="1:26" x14ac:dyDescent="0.25">
      <c r="A3" s="196"/>
      <c r="B3" s="206"/>
      <c r="C3" s="32" t="s">
        <v>113</v>
      </c>
      <c r="D3" s="34">
        <f>'ECONOMIA &amp; PROFESIONES'!$P$7</f>
        <v>532</v>
      </c>
      <c r="E3" s="53">
        <f t="shared" ref="E3:E26" si="7">(H3*G3)+(K3*J3)+(M3*N3)+(P3*Q3)+(S3*T3)+(V3*W3)+(Y3*Z3)</f>
        <v>0</v>
      </c>
      <c r="F3" s="100" t="s">
        <v>255</v>
      </c>
      <c r="G3" s="104">
        <v>0</v>
      </c>
      <c r="H3" s="97">
        <f t="shared" si="0"/>
        <v>0</v>
      </c>
      <c r="I3" s="100" t="s">
        <v>255</v>
      </c>
      <c r="J3" s="104">
        <v>0</v>
      </c>
      <c r="K3" s="97">
        <f t="shared" si="1"/>
        <v>0</v>
      </c>
      <c r="L3" s="100" t="s">
        <v>255</v>
      </c>
      <c r="M3" s="104">
        <v>0</v>
      </c>
      <c r="N3" s="97">
        <f t="shared" si="2"/>
        <v>0</v>
      </c>
      <c r="O3" s="100" t="s">
        <v>255</v>
      </c>
      <c r="P3" s="104">
        <v>0</v>
      </c>
      <c r="Q3" s="97">
        <f t="shared" si="3"/>
        <v>0</v>
      </c>
      <c r="R3" s="100" t="s">
        <v>255</v>
      </c>
      <c r="S3" s="104">
        <v>0</v>
      </c>
      <c r="T3" s="97">
        <f t="shared" si="4"/>
        <v>0</v>
      </c>
      <c r="U3" s="100" t="s">
        <v>255</v>
      </c>
      <c r="V3" s="104">
        <v>0</v>
      </c>
      <c r="W3" s="97">
        <f t="shared" si="5"/>
        <v>0</v>
      </c>
      <c r="X3" s="100" t="s">
        <v>255</v>
      </c>
      <c r="Y3" s="104">
        <v>0</v>
      </c>
      <c r="Z3" s="97">
        <f t="shared" si="6"/>
        <v>0</v>
      </c>
    </row>
    <row r="4" spans="1:26" x14ac:dyDescent="0.25">
      <c r="A4" s="196"/>
      <c r="B4" s="206"/>
      <c r="C4" s="31" t="s">
        <v>421</v>
      </c>
      <c r="D4" s="34">
        <f>'ECONOMIA &amp; PROFESIONES'!$P$7</f>
        <v>532</v>
      </c>
      <c r="E4" s="53" t="e">
        <f t="shared" si="7"/>
        <v>#NAME?</v>
      </c>
      <c r="F4" s="100" t="s">
        <v>430</v>
      </c>
      <c r="G4" s="104">
        <v>14</v>
      </c>
      <c r="H4" s="97" t="e">
        <f t="shared" si="0"/>
        <v>#NAME?</v>
      </c>
      <c r="I4" s="100" t="s">
        <v>255</v>
      </c>
      <c r="J4" s="104">
        <v>24</v>
      </c>
      <c r="K4" s="97">
        <f t="shared" si="1"/>
        <v>0</v>
      </c>
      <c r="L4" s="100" t="s">
        <v>255</v>
      </c>
      <c r="M4" s="104">
        <v>0</v>
      </c>
      <c r="N4" s="97">
        <f t="shared" si="2"/>
        <v>0</v>
      </c>
      <c r="O4" s="100" t="s">
        <v>255</v>
      </c>
      <c r="P4" s="104">
        <v>0</v>
      </c>
      <c r="Q4" s="97">
        <f t="shared" si="3"/>
        <v>0</v>
      </c>
      <c r="R4" s="100" t="s">
        <v>255</v>
      </c>
      <c r="S4" s="104">
        <v>0</v>
      </c>
      <c r="T4" s="97">
        <f t="shared" si="4"/>
        <v>0</v>
      </c>
      <c r="U4" s="100" t="s">
        <v>255</v>
      </c>
      <c r="V4" s="104">
        <v>0</v>
      </c>
      <c r="W4" s="97">
        <f t="shared" si="5"/>
        <v>0</v>
      </c>
      <c r="X4" s="100" t="s">
        <v>255</v>
      </c>
      <c r="Y4" s="104">
        <v>0</v>
      </c>
      <c r="Z4" s="97">
        <f t="shared" si="6"/>
        <v>0</v>
      </c>
    </row>
    <row r="5" spans="1:26" x14ac:dyDescent="0.25">
      <c r="A5" s="196"/>
      <c r="B5" s="206"/>
      <c r="C5" s="32" t="s">
        <v>115</v>
      </c>
      <c r="D5" s="34">
        <f>'ECONOMIA &amp; PROFESIONES'!$P$7</f>
        <v>532</v>
      </c>
      <c r="E5" s="53">
        <f t="shared" si="7"/>
        <v>0</v>
      </c>
      <c r="F5" s="100" t="s">
        <v>255</v>
      </c>
      <c r="G5" s="104">
        <v>0</v>
      </c>
      <c r="H5" s="97">
        <f t="shared" si="0"/>
        <v>0</v>
      </c>
      <c r="I5" s="100" t="s">
        <v>255</v>
      </c>
      <c r="J5" s="104">
        <v>0</v>
      </c>
      <c r="K5" s="97">
        <f t="shared" si="1"/>
        <v>0</v>
      </c>
      <c r="L5" s="100" t="s">
        <v>255</v>
      </c>
      <c r="M5" s="104">
        <v>0</v>
      </c>
      <c r="N5" s="97">
        <f t="shared" si="2"/>
        <v>0</v>
      </c>
      <c r="O5" s="100" t="s">
        <v>255</v>
      </c>
      <c r="P5" s="104">
        <v>0</v>
      </c>
      <c r="Q5" s="97">
        <f t="shared" si="3"/>
        <v>0</v>
      </c>
      <c r="R5" s="100" t="s">
        <v>255</v>
      </c>
      <c r="S5" s="104">
        <v>0</v>
      </c>
      <c r="T5" s="97">
        <f t="shared" si="4"/>
        <v>0</v>
      </c>
      <c r="U5" s="100" t="s">
        <v>255</v>
      </c>
      <c r="V5" s="104">
        <v>0</v>
      </c>
      <c r="W5" s="97">
        <f t="shared" si="5"/>
        <v>0</v>
      </c>
      <c r="X5" s="100" t="s">
        <v>255</v>
      </c>
      <c r="Y5" s="104">
        <v>0</v>
      </c>
      <c r="Z5" s="97">
        <f t="shared" si="6"/>
        <v>0</v>
      </c>
    </row>
    <row r="6" spans="1:26" x14ac:dyDescent="0.25">
      <c r="A6" s="196"/>
      <c r="B6" s="207"/>
      <c r="C6" s="31" t="s">
        <v>116</v>
      </c>
      <c r="D6" s="34">
        <f>'ECONOMIA &amp; PROFESIONES'!$P$7</f>
        <v>532</v>
      </c>
      <c r="E6" s="53">
        <f t="shared" si="7"/>
        <v>0</v>
      </c>
      <c r="F6" s="100" t="s">
        <v>255</v>
      </c>
      <c r="G6" s="104">
        <v>0</v>
      </c>
      <c r="H6" s="97">
        <f t="shared" si="0"/>
        <v>0</v>
      </c>
      <c r="I6" s="100" t="s">
        <v>255</v>
      </c>
      <c r="J6" s="104">
        <v>0</v>
      </c>
      <c r="K6" s="97">
        <f t="shared" si="1"/>
        <v>0</v>
      </c>
      <c r="L6" s="100" t="s">
        <v>255</v>
      </c>
      <c r="M6" s="104">
        <v>0</v>
      </c>
      <c r="N6" s="97">
        <f t="shared" si="2"/>
        <v>0</v>
      </c>
      <c r="O6" s="100" t="s">
        <v>255</v>
      </c>
      <c r="P6" s="104">
        <v>0</v>
      </c>
      <c r="Q6" s="97">
        <f t="shared" si="3"/>
        <v>0</v>
      </c>
      <c r="R6" s="100" t="s">
        <v>255</v>
      </c>
      <c r="S6" s="104">
        <v>0</v>
      </c>
      <c r="T6" s="97">
        <f t="shared" si="4"/>
        <v>0</v>
      </c>
      <c r="U6" s="100" t="s">
        <v>255</v>
      </c>
      <c r="V6" s="104">
        <v>0</v>
      </c>
      <c r="W6" s="97">
        <f t="shared" si="5"/>
        <v>0</v>
      </c>
      <c r="X6" s="100" t="s">
        <v>255</v>
      </c>
      <c r="Y6" s="104">
        <v>0</v>
      </c>
      <c r="Z6" s="97">
        <f t="shared" si="6"/>
        <v>0</v>
      </c>
    </row>
    <row r="7" spans="1:26" x14ac:dyDescent="0.25">
      <c r="A7" s="196"/>
      <c r="B7" s="197" t="s">
        <v>342</v>
      </c>
      <c r="C7" s="32" t="s">
        <v>6</v>
      </c>
      <c r="D7" s="34">
        <f>'ECONOMIA &amp; PROFESIONES'!$P$12</f>
        <v>2232</v>
      </c>
      <c r="E7" s="53">
        <f t="shared" si="7"/>
        <v>0</v>
      </c>
      <c r="F7" s="100" t="s">
        <v>255</v>
      </c>
      <c r="G7" s="104">
        <v>0</v>
      </c>
      <c r="H7" s="97">
        <f t="shared" si="0"/>
        <v>0</v>
      </c>
      <c r="I7" s="100" t="s">
        <v>255</v>
      </c>
      <c r="J7" s="104">
        <v>0</v>
      </c>
      <c r="K7" s="97">
        <f t="shared" si="1"/>
        <v>0</v>
      </c>
      <c r="L7" s="100" t="s">
        <v>255</v>
      </c>
      <c r="M7" s="104">
        <v>0</v>
      </c>
      <c r="N7" s="97">
        <f t="shared" si="2"/>
        <v>0</v>
      </c>
      <c r="O7" s="100" t="s">
        <v>255</v>
      </c>
      <c r="P7" s="104">
        <v>0</v>
      </c>
      <c r="Q7" s="97">
        <f t="shared" si="3"/>
        <v>0</v>
      </c>
      <c r="R7" s="100" t="s">
        <v>255</v>
      </c>
      <c r="S7" s="104">
        <v>0</v>
      </c>
      <c r="T7" s="97">
        <f t="shared" si="4"/>
        <v>0</v>
      </c>
      <c r="U7" s="100" t="s">
        <v>255</v>
      </c>
      <c r="V7" s="104">
        <v>0</v>
      </c>
      <c r="W7" s="97">
        <f t="shared" si="5"/>
        <v>0</v>
      </c>
      <c r="X7" s="100" t="s">
        <v>255</v>
      </c>
      <c r="Y7" s="104">
        <v>0</v>
      </c>
      <c r="Z7" s="97">
        <f t="shared" si="6"/>
        <v>0</v>
      </c>
    </row>
    <row r="8" spans="1:26" x14ac:dyDescent="0.25">
      <c r="A8" s="196"/>
      <c r="B8" s="198"/>
      <c r="C8" s="31" t="s">
        <v>113</v>
      </c>
      <c r="D8" s="34">
        <f>'ECONOMIA &amp; PROFESIONES'!$P$12</f>
        <v>2232</v>
      </c>
      <c r="E8" s="53">
        <f t="shared" si="7"/>
        <v>0</v>
      </c>
      <c r="F8" s="100" t="s">
        <v>255</v>
      </c>
      <c r="G8" s="104">
        <v>0</v>
      </c>
      <c r="H8" s="97">
        <f t="shared" si="0"/>
        <v>0</v>
      </c>
      <c r="I8" s="100" t="s">
        <v>255</v>
      </c>
      <c r="J8" s="104">
        <v>0</v>
      </c>
      <c r="K8" s="97">
        <f t="shared" si="1"/>
        <v>0</v>
      </c>
      <c r="L8" s="100" t="s">
        <v>255</v>
      </c>
      <c r="M8" s="104">
        <v>0</v>
      </c>
      <c r="N8" s="97">
        <f t="shared" si="2"/>
        <v>0</v>
      </c>
      <c r="O8" s="100" t="s">
        <v>255</v>
      </c>
      <c r="P8" s="104">
        <v>0</v>
      </c>
      <c r="Q8" s="97">
        <f t="shared" si="3"/>
        <v>0</v>
      </c>
      <c r="R8" s="100" t="s">
        <v>255</v>
      </c>
      <c r="S8" s="104">
        <v>0</v>
      </c>
      <c r="T8" s="97">
        <f t="shared" si="4"/>
        <v>0</v>
      </c>
      <c r="U8" s="100" t="s">
        <v>255</v>
      </c>
      <c r="V8" s="104">
        <v>0</v>
      </c>
      <c r="W8" s="97">
        <f t="shared" si="5"/>
        <v>0</v>
      </c>
      <c r="X8" s="100" t="s">
        <v>255</v>
      </c>
      <c r="Y8" s="104">
        <v>0</v>
      </c>
      <c r="Z8" s="97">
        <f t="shared" si="6"/>
        <v>0</v>
      </c>
    </row>
    <row r="9" spans="1:26" x14ac:dyDescent="0.25">
      <c r="A9" s="196"/>
      <c r="B9" s="198"/>
      <c r="C9" s="32" t="s">
        <v>114</v>
      </c>
      <c r="D9" s="34">
        <f>'ECONOMIA &amp; PROFESIONES'!$P$12</f>
        <v>2232</v>
      </c>
      <c r="E9" s="53">
        <f t="shared" si="7"/>
        <v>0</v>
      </c>
      <c r="F9" s="100" t="s">
        <v>255</v>
      </c>
      <c r="G9" s="104">
        <v>0</v>
      </c>
      <c r="H9" s="97">
        <f t="shared" si="0"/>
        <v>0</v>
      </c>
      <c r="I9" s="100" t="s">
        <v>255</v>
      </c>
      <c r="J9" s="104">
        <v>0</v>
      </c>
      <c r="K9" s="97">
        <f t="shared" si="1"/>
        <v>0</v>
      </c>
      <c r="L9" s="100" t="s">
        <v>255</v>
      </c>
      <c r="M9" s="104">
        <v>0</v>
      </c>
      <c r="N9" s="97">
        <f t="shared" si="2"/>
        <v>0</v>
      </c>
      <c r="O9" s="100" t="s">
        <v>255</v>
      </c>
      <c r="P9" s="104">
        <v>0</v>
      </c>
      <c r="Q9" s="97">
        <f t="shared" si="3"/>
        <v>0</v>
      </c>
      <c r="R9" s="100" t="s">
        <v>255</v>
      </c>
      <c r="S9" s="104">
        <v>0</v>
      </c>
      <c r="T9" s="97">
        <f t="shared" si="4"/>
        <v>0</v>
      </c>
      <c r="U9" s="100" t="s">
        <v>255</v>
      </c>
      <c r="V9" s="104">
        <v>0</v>
      </c>
      <c r="W9" s="97">
        <f t="shared" si="5"/>
        <v>0</v>
      </c>
      <c r="X9" s="100" t="s">
        <v>255</v>
      </c>
      <c r="Y9" s="104">
        <v>0</v>
      </c>
      <c r="Z9" s="97">
        <f t="shared" si="6"/>
        <v>0</v>
      </c>
    </row>
    <row r="10" spans="1:26" x14ac:dyDescent="0.25">
      <c r="A10" s="196"/>
      <c r="B10" s="198"/>
      <c r="C10" s="31" t="s">
        <v>115</v>
      </c>
      <c r="D10" s="34">
        <f>'ECONOMIA &amp; PROFESIONES'!$P$12</f>
        <v>2232</v>
      </c>
      <c r="E10" s="53">
        <f t="shared" si="7"/>
        <v>0</v>
      </c>
      <c r="F10" s="100" t="s">
        <v>255</v>
      </c>
      <c r="G10" s="104">
        <v>0</v>
      </c>
      <c r="H10" s="97">
        <f t="shared" si="0"/>
        <v>0</v>
      </c>
      <c r="I10" s="100" t="s">
        <v>255</v>
      </c>
      <c r="J10" s="104">
        <v>0</v>
      </c>
      <c r="K10" s="97">
        <f t="shared" si="1"/>
        <v>0</v>
      </c>
      <c r="L10" s="100" t="s">
        <v>255</v>
      </c>
      <c r="M10" s="104">
        <v>0</v>
      </c>
      <c r="N10" s="97">
        <f t="shared" si="2"/>
        <v>0</v>
      </c>
      <c r="O10" s="100" t="s">
        <v>255</v>
      </c>
      <c r="P10" s="104">
        <v>0</v>
      </c>
      <c r="Q10" s="97">
        <f t="shared" si="3"/>
        <v>0</v>
      </c>
      <c r="R10" s="100" t="s">
        <v>255</v>
      </c>
      <c r="S10" s="104">
        <v>0</v>
      </c>
      <c r="T10" s="97">
        <f t="shared" si="4"/>
        <v>0</v>
      </c>
      <c r="U10" s="100" t="s">
        <v>255</v>
      </c>
      <c r="V10" s="104">
        <v>0</v>
      </c>
      <c r="W10" s="97">
        <f t="shared" si="5"/>
        <v>0</v>
      </c>
      <c r="X10" s="100" t="s">
        <v>255</v>
      </c>
      <c r="Y10" s="104">
        <v>0</v>
      </c>
      <c r="Z10" s="97">
        <f t="shared" si="6"/>
        <v>0</v>
      </c>
    </row>
    <row r="11" spans="1:26" x14ac:dyDescent="0.25">
      <c r="A11" s="196"/>
      <c r="B11" s="199"/>
      <c r="C11" s="32" t="s">
        <v>116</v>
      </c>
      <c r="D11" s="34">
        <f>'ECONOMIA &amp; PROFESIONES'!$P$12</f>
        <v>2232</v>
      </c>
      <c r="E11" s="53">
        <f t="shared" si="7"/>
        <v>0</v>
      </c>
      <c r="F11" s="100" t="s">
        <v>255</v>
      </c>
      <c r="G11" s="104">
        <v>0</v>
      </c>
      <c r="H11" s="97">
        <f t="shared" si="0"/>
        <v>0</v>
      </c>
      <c r="I11" s="100" t="s">
        <v>255</v>
      </c>
      <c r="J11" s="104">
        <v>0</v>
      </c>
      <c r="K11" s="97">
        <f t="shared" si="1"/>
        <v>0</v>
      </c>
      <c r="L11" s="100" t="s">
        <v>255</v>
      </c>
      <c r="M11" s="104">
        <v>0</v>
      </c>
      <c r="N11" s="97">
        <f t="shared" si="2"/>
        <v>0</v>
      </c>
      <c r="O11" s="100" t="s">
        <v>255</v>
      </c>
      <c r="P11" s="104">
        <v>0</v>
      </c>
      <c r="Q11" s="97">
        <f t="shared" si="3"/>
        <v>0</v>
      </c>
      <c r="R11" s="100" t="s">
        <v>255</v>
      </c>
      <c r="S11" s="104">
        <v>0</v>
      </c>
      <c r="T11" s="97">
        <f t="shared" si="4"/>
        <v>0</v>
      </c>
      <c r="U11" s="100" t="s">
        <v>255</v>
      </c>
      <c r="V11" s="104">
        <v>0</v>
      </c>
      <c r="W11" s="97">
        <f t="shared" si="5"/>
        <v>0</v>
      </c>
      <c r="X11" s="100" t="s">
        <v>255</v>
      </c>
      <c r="Y11" s="104">
        <v>0</v>
      </c>
      <c r="Z11" s="97">
        <f t="shared" si="6"/>
        <v>0</v>
      </c>
    </row>
    <row r="12" spans="1:26" x14ac:dyDescent="0.25">
      <c r="A12" s="196"/>
      <c r="B12" s="200" t="s">
        <v>408</v>
      </c>
      <c r="C12" s="31" t="s">
        <v>6</v>
      </c>
      <c r="D12" s="34">
        <f>'ECONOMIA &amp; PROFESIONES'!$P$17</f>
        <v>4132</v>
      </c>
      <c r="E12" s="53">
        <f t="shared" si="7"/>
        <v>0</v>
      </c>
      <c r="F12" s="100" t="s">
        <v>255</v>
      </c>
      <c r="G12" s="104">
        <v>0</v>
      </c>
      <c r="H12" s="97">
        <f t="shared" si="0"/>
        <v>0</v>
      </c>
      <c r="I12" s="100" t="s">
        <v>255</v>
      </c>
      <c r="J12" s="104">
        <v>0</v>
      </c>
      <c r="K12" s="97">
        <f t="shared" si="1"/>
        <v>0</v>
      </c>
      <c r="L12" s="100" t="s">
        <v>255</v>
      </c>
      <c r="M12" s="104">
        <v>0</v>
      </c>
      <c r="N12" s="97">
        <f t="shared" si="2"/>
        <v>0</v>
      </c>
      <c r="O12" s="100" t="s">
        <v>255</v>
      </c>
      <c r="P12" s="104">
        <v>0</v>
      </c>
      <c r="Q12" s="97">
        <f t="shared" si="3"/>
        <v>0</v>
      </c>
      <c r="R12" s="100" t="s">
        <v>255</v>
      </c>
      <c r="S12" s="104">
        <v>0</v>
      </c>
      <c r="T12" s="97">
        <f t="shared" si="4"/>
        <v>0</v>
      </c>
      <c r="U12" s="100" t="s">
        <v>255</v>
      </c>
      <c r="V12" s="104">
        <v>0</v>
      </c>
      <c r="W12" s="97">
        <f t="shared" si="5"/>
        <v>0</v>
      </c>
      <c r="X12" s="100" t="s">
        <v>255</v>
      </c>
      <c r="Y12" s="104">
        <v>0</v>
      </c>
      <c r="Z12" s="97">
        <f t="shared" si="6"/>
        <v>0</v>
      </c>
    </row>
    <row r="13" spans="1:26" x14ac:dyDescent="0.25">
      <c r="A13" s="196"/>
      <c r="B13" s="201"/>
      <c r="C13" s="32" t="s">
        <v>113</v>
      </c>
      <c r="D13" s="34">
        <f>'ECONOMIA &amp; PROFESIONES'!$P$17</f>
        <v>4132</v>
      </c>
      <c r="E13" s="53">
        <f t="shared" si="7"/>
        <v>0</v>
      </c>
      <c r="F13" s="100" t="s">
        <v>255</v>
      </c>
      <c r="G13" s="104">
        <v>0</v>
      </c>
      <c r="H13" s="97">
        <f t="shared" si="0"/>
        <v>0</v>
      </c>
      <c r="I13" s="100" t="s">
        <v>255</v>
      </c>
      <c r="J13" s="104">
        <v>0</v>
      </c>
      <c r="K13" s="97">
        <f t="shared" si="1"/>
        <v>0</v>
      </c>
      <c r="L13" s="100" t="s">
        <v>255</v>
      </c>
      <c r="M13" s="104">
        <v>0</v>
      </c>
      <c r="N13" s="97">
        <f t="shared" si="2"/>
        <v>0</v>
      </c>
      <c r="O13" s="100" t="s">
        <v>255</v>
      </c>
      <c r="P13" s="104">
        <v>0</v>
      </c>
      <c r="Q13" s="97">
        <f t="shared" si="3"/>
        <v>0</v>
      </c>
      <c r="R13" s="100" t="s">
        <v>255</v>
      </c>
      <c r="S13" s="104">
        <v>0</v>
      </c>
      <c r="T13" s="97">
        <f t="shared" si="4"/>
        <v>0</v>
      </c>
      <c r="U13" s="100" t="s">
        <v>255</v>
      </c>
      <c r="V13" s="104">
        <v>0</v>
      </c>
      <c r="W13" s="97">
        <f t="shared" si="5"/>
        <v>0</v>
      </c>
      <c r="X13" s="100" t="s">
        <v>255</v>
      </c>
      <c r="Y13" s="104">
        <v>0</v>
      </c>
      <c r="Z13" s="97">
        <f t="shared" si="6"/>
        <v>0</v>
      </c>
    </row>
    <row r="14" spans="1:26" x14ac:dyDescent="0.25">
      <c r="A14" s="196"/>
      <c r="B14" s="201"/>
      <c r="C14" s="31" t="s">
        <v>114</v>
      </c>
      <c r="D14" s="34">
        <f>'ECONOMIA &amp; PROFESIONES'!$P$17</f>
        <v>4132</v>
      </c>
      <c r="E14" s="53">
        <f t="shared" si="7"/>
        <v>0</v>
      </c>
      <c r="F14" s="100" t="s">
        <v>255</v>
      </c>
      <c r="G14" s="104">
        <v>0</v>
      </c>
      <c r="H14" s="97">
        <f t="shared" si="0"/>
        <v>0</v>
      </c>
      <c r="I14" s="100" t="s">
        <v>255</v>
      </c>
      <c r="J14" s="104">
        <v>0</v>
      </c>
      <c r="K14" s="97">
        <f t="shared" si="1"/>
        <v>0</v>
      </c>
      <c r="L14" s="100" t="s">
        <v>255</v>
      </c>
      <c r="M14" s="104">
        <v>0</v>
      </c>
      <c r="N14" s="97">
        <f t="shared" si="2"/>
        <v>0</v>
      </c>
      <c r="O14" s="100" t="s">
        <v>255</v>
      </c>
      <c r="P14" s="104">
        <v>0</v>
      </c>
      <c r="Q14" s="97">
        <f t="shared" si="3"/>
        <v>0</v>
      </c>
      <c r="R14" s="100" t="s">
        <v>255</v>
      </c>
      <c r="S14" s="104">
        <v>0</v>
      </c>
      <c r="T14" s="97">
        <f t="shared" si="4"/>
        <v>0</v>
      </c>
      <c r="U14" s="100" t="s">
        <v>255</v>
      </c>
      <c r="V14" s="104">
        <v>0</v>
      </c>
      <c r="W14" s="97">
        <f t="shared" si="5"/>
        <v>0</v>
      </c>
      <c r="X14" s="100" t="s">
        <v>255</v>
      </c>
      <c r="Y14" s="104">
        <v>0</v>
      </c>
      <c r="Z14" s="97">
        <f t="shared" si="6"/>
        <v>0</v>
      </c>
    </row>
    <row r="15" spans="1:26" x14ac:dyDescent="0.25">
      <c r="A15" s="196"/>
      <c r="B15" s="200"/>
      <c r="C15" s="32" t="s">
        <v>115</v>
      </c>
      <c r="D15" s="34">
        <f>'ECONOMIA &amp; PROFESIONES'!$P$17</f>
        <v>4132</v>
      </c>
      <c r="E15" s="53">
        <f t="shared" si="7"/>
        <v>0</v>
      </c>
      <c r="F15" s="100" t="s">
        <v>255</v>
      </c>
      <c r="G15" s="104">
        <v>0</v>
      </c>
      <c r="H15" s="97">
        <f t="shared" si="0"/>
        <v>0</v>
      </c>
      <c r="I15" s="100" t="s">
        <v>255</v>
      </c>
      <c r="J15" s="104">
        <v>0</v>
      </c>
      <c r="K15" s="97">
        <f t="shared" si="1"/>
        <v>0</v>
      </c>
      <c r="L15" s="100" t="s">
        <v>255</v>
      </c>
      <c r="M15" s="104">
        <v>0</v>
      </c>
      <c r="N15" s="97">
        <f t="shared" si="2"/>
        <v>0</v>
      </c>
      <c r="O15" s="100" t="s">
        <v>255</v>
      </c>
      <c r="P15" s="104">
        <v>0</v>
      </c>
      <c r="Q15" s="97">
        <f t="shared" si="3"/>
        <v>0</v>
      </c>
      <c r="R15" s="100" t="s">
        <v>255</v>
      </c>
      <c r="S15" s="104">
        <v>0</v>
      </c>
      <c r="T15" s="97">
        <f t="shared" si="4"/>
        <v>0</v>
      </c>
      <c r="U15" s="100" t="s">
        <v>255</v>
      </c>
      <c r="V15" s="104">
        <v>0</v>
      </c>
      <c r="W15" s="97">
        <f t="shared" si="5"/>
        <v>0</v>
      </c>
      <c r="X15" s="100" t="s">
        <v>255</v>
      </c>
      <c r="Y15" s="104">
        <v>0</v>
      </c>
      <c r="Z15" s="97">
        <f t="shared" si="6"/>
        <v>0</v>
      </c>
    </row>
    <row r="16" spans="1:26" x14ac:dyDescent="0.25">
      <c r="A16" s="196"/>
      <c r="B16" s="200"/>
      <c r="C16" s="31" t="s">
        <v>116</v>
      </c>
      <c r="D16" s="34">
        <f>'ECONOMIA &amp; PROFESIONES'!$P$17</f>
        <v>4132</v>
      </c>
      <c r="E16" s="53">
        <f t="shared" si="7"/>
        <v>0</v>
      </c>
      <c r="F16" s="100" t="s">
        <v>255</v>
      </c>
      <c r="G16" s="104">
        <v>0</v>
      </c>
      <c r="H16" s="97">
        <f t="shared" si="0"/>
        <v>0</v>
      </c>
      <c r="I16" s="100" t="s">
        <v>255</v>
      </c>
      <c r="J16" s="104">
        <v>0</v>
      </c>
      <c r="K16" s="97">
        <f t="shared" si="1"/>
        <v>0</v>
      </c>
      <c r="L16" s="100" t="s">
        <v>255</v>
      </c>
      <c r="M16" s="104">
        <v>0</v>
      </c>
      <c r="N16" s="97">
        <f t="shared" si="2"/>
        <v>0</v>
      </c>
      <c r="O16" s="100" t="s">
        <v>255</v>
      </c>
      <c r="P16" s="104">
        <v>0</v>
      </c>
      <c r="Q16" s="97">
        <f t="shared" si="3"/>
        <v>0</v>
      </c>
      <c r="R16" s="100" t="s">
        <v>255</v>
      </c>
      <c r="S16" s="104">
        <v>0</v>
      </c>
      <c r="T16" s="97">
        <f t="shared" si="4"/>
        <v>0</v>
      </c>
      <c r="U16" s="100" t="s">
        <v>255</v>
      </c>
      <c r="V16" s="104">
        <v>0</v>
      </c>
      <c r="W16" s="97">
        <f t="shared" si="5"/>
        <v>0</v>
      </c>
      <c r="X16" s="100" t="s">
        <v>255</v>
      </c>
      <c r="Y16" s="104">
        <v>0</v>
      </c>
      <c r="Z16" s="97">
        <f t="shared" si="6"/>
        <v>0</v>
      </c>
    </row>
    <row r="17" spans="1:26" x14ac:dyDescent="0.25">
      <c r="A17" s="196"/>
      <c r="B17" s="202" t="s">
        <v>409</v>
      </c>
      <c r="C17" s="32" t="s">
        <v>6</v>
      </c>
      <c r="D17" s="34">
        <f>'ECONOMIA &amp; PROFESIONES'!$P$22</f>
        <v>6032</v>
      </c>
      <c r="E17" s="53">
        <f t="shared" si="7"/>
        <v>0</v>
      </c>
      <c r="F17" s="100" t="s">
        <v>255</v>
      </c>
      <c r="G17" s="104">
        <v>0</v>
      </c>
      <c r="H17" s="97">
        <f t="shared" si="0"/>
        <v>0</v>
      </c>
      <c r="I17" s="100" t="s">
        <v>255</v>
      </c>
      <c r="J17" s="104">
        <v>0</v>
      </c>
      <c r="K17" s="97">
        <f t="shared" si="1"/>
        <v>0</v>
      </c>
      <c r="L17" s="100" t="s">
        <v>255</v>
      </c>
      <c r="M17" s="104">
        <v>0</v>
      </c>
      <c r="N17" s="97">
        <f t="shared" si="2"/>
        <v>0</v>
      </c>
      <c r="O17" s="100" t="s">
        <v>255</v>
      </c>
      <c r="P17" s="104">
        <v>0</v>
      </c>
      <c r="Q17" s="97">
        <f t="shared" si="3"/>
        <v>0</v>
      </c>
      <c r="R17" s="100" t="s">
        <v>255</v>
      </c>
      <c r="S17" s="104">
        <v>0</v>
      </c>
      <c r="T17" s="97">
        <f t="shared" si="4"/>
        <v>0</v>
      </c>
      <c r="U17" s="100" t="s">
        <v>255</v>
      </c>
      <c r="V17" s="104">
        <v>0</v>
      </c>
      <c r="W17" s="97">
        <f t="shared" si="5"/>
        <v>0</v>
      </c>
      <c r="X17" s="100" t="s">
        <v>255</v>
      </c>
      <c r="Y17" s="104">
        <v>0</v>
      </c>
      <c r="Z17" s="97">
        <f t="shared" si="6"/>
        <v>0</v>
      </c>
    </row>
    <row r="18" spans="1:26" x14ac:dyDescent="0.25">
      <c r="A18" s="196"/>
      <c r="B18" s="203"/>
      <c r="C18" s="31" t="s">
        <v>113</v>
      </c>
      <c r="D18" s="34">
        <f>'ECONOMIA &amp; PROFESIONES'!$P$22</f>
        <v>6032</v>
      </c>
      <c r="E18" s="53">
        <f t="shared" si="7"/>
        <v>0</v>
      </c>
      <c r="F18" s="100" t="s">
        <v>255</v>
      </c>
      <c r="G18" s="104">
        <v>0</v>
      </c>
      <c r="H18" s="97">
        <f t="shared" si="0"/>
        <v>0</v>
      </c>
      <c r="I18" s="100" t="s">
        <v>255</v>
      </c>
      <c r="J18" s="104">
        <v>0</v>
      </c>
      <c r="K18" s="97">
        <f t="shared" si="1"/>
        <v>0</v>
      </c>
      <c r="L18" s="100" t="s">
        <v>255</v>
      </c>
      <c r="M18" s="104">
        <v>0</v>
      </c>
      <c r="N18" s="97">
        <f t="shared" si="2"/>
        <v>0</v>
      </c>
      <c r="O18" s="100" t="s">
        <v>255</v>
      </c>
      <c r="P18" s="104">
        <v>0</v>
      </c>
      <c r="Q18" s="97">
        <f t="shared" si="3"/>
        <v>0</v>
      </c>
      <c r="R18" s="100" t="s">
        <v>255</v>
      </c>
      <c r="S18" s="104">
        <v>0</v>
      </c>
      <c r="T18" s="97">
        <f t="shared" si="4"/>
        <v>0</v>
      </c>
      <c r="U18" s="100" t="s">
        <v>255</v>
      </c>
      <c r="V18" s="104">
        <v>0</v>
      </c>
      <c r="W18" s="97">
        <f t="shared" si="5"/>
        <v>0</v>
      </c>
      <c r="X18" s="100" t="s">
        <v>255</v>
      </c>
      <c r="Y18" s="104">
        <v>0</v>
      </c>
      <c r="Z18" s="97">
        <f t="shared" si="6"/>
        <v>0</v>
      </c>
    </row>
    <row r="19" spans="1:26" x14ac:dyDescent="0.25">
      <c r="A19" s="196"/>
      <c r="B19" s="203"/>
      <c r="C19" s="32" t="s">
        <v>114</v>
      </c>
      <c r="D19" s="34">
        <f>'ECONOMIA &amp; PROFESIONES'!$P$22</f>
        <v>6032</v>
      </c>
      <c r="E19" s="53">
        <f t="shared" si="7"/>
        <v>0</v>
      </c>
      <c r="F19" s="100" t="s">
        <v>255</v>
      </c>
      <c r="G19" s="104">
        <v>0</v>
      </c>
      <c r="H19" s="97">
        <f t="shared" si="0"/>
        <v>0</v>
      </c>
      <c r="I19" s="100" t="s">
        <v>255</v>
      </c>
      <c r="J19" s="104">
        <v>0</v>
      </c>
      <c r="K19" s="97">
        <f t="shared" si="1"/>
        <v>0</v>
      </c>
      <c r="L19" s="100" t="s">
        <v>255</v>
      </c>
      <c r="M19" s="104">
        <v>0</v>
      </c>
      <c r="N19" s="97">
        <f t="shared" si="2"/>
        <v>0</v>
      </c>
      <c r="O19" s="100" t="s">
        <v>255</v>
      </c>
      <c r="P19" s="104">
        <v>0</v>
      </c>
      <c r="Q19" s="97">
        <f t="shared" si="3"/>
        <v>0</v>
      </c>
      <c r="R19" s="100" t="s">
        <v>255</v>
      </c>
      <c r="S19" s="104">
        <v>0</v>
      </c>
      <c r="T19" s="97">
        <f t="shared" si="4"/>
        <v>0</v>
      </c>
      <c r="U19" s="100" t="s">
        <v>255</v>
      </c>
      <c r="V19" s="104">
        <v>0</v>
      </c>
      <c r="W19" s="97">
        <f t="shared" si="5"/>
        <v>0</v>
      </c>
      <c r="X19" s="100" t="s">
        <v>255</v>
      </c>
      <c r="Y19" s="104">
        <v>0</v>
      </c>
      <c r="Z19" s="97">
        <f t="shared" si="6"/>
        <v>0</v>
      </c>
    </row>
    <row r="20" spans="1:26" x14ac:dyDescent="0.25">
      <c r="A20" s="196"/>
      <c r="B20" s="198"/>
      <c r="C20" s="31" t="s">
        <v>115</v>
      </c>
      <c r="D20" s="34">
        <f>'ECONOMIA &amp; PROFESIONES'!$P$22</f>
        <v>6032</v>
      </c>
      <c r="E20" s="53">
        <f t="shared" si="7"/>
        <v>0</v>
      </c>
      <c r="F20" s="100" t="s">
        <v>255</v>
      </c>
      <c r="G20" s="104">
        <v>0</v>
      </c>
      <c r="H20" s="97">
        <f t="shared" si="0"/>
        <v>0</v>
      </c>
      <c r="I20" s="100" t="s">
        <v>255</v>
      </c>
      <c r="J20" s="104">
        <v>0</v>
      </c>
      <c r="K20" s="97">
        <f t="shared" si="1"/>
        <v>0</v>
      </c>
      <c r="L20" s="100" t="s">
        <v>255</v>
      </c>
      <c r="M20" s="104">
        <v>0</v>
      </c>
      <c r="N20" s="97">
        <f t="shared" si="2"/>
        <v>0</v>
      </c>
      <c r="O20" s="100" t="s">
        <v>255</v>
      </c>
      <c r="P20" s="104">
        <v>0</v>
      </c>
      <c r="Q20" s="97">
        <f t="shared" si="3"/>
        <v>0</v>
      </c>
      <c r="R20" s="100" t="s">
        <v>255</v>
      </c>
      <c r="S20" s="104">
        <v>0</v>
      </c>
      <c r="T20" s="97">
        <f t="shared" si="4"/>
        <v>0</v>
      </c>
      <c r="U20" s="100" t="s">
        <v>255</v>
      </c>
      <c r="V20" s="104">
        <v>0</v>
      </c>
      <c r="W20" s="97">
        <f t="shared" si="5"/>
        <v>0</v>
      </c>
      <c r="X20" s="100" t="s">
        <v>255</v>
      </c>
      <c r="Y20" s="104">
        <v>0</v>
      </c>
      <c r="Z20" s="97">
        <f t="shared" si="6"/>
        <v>0</v>
      </c>
    </row>
    <row r="21" spans="1:26" x14ac:dyDescent="0.25">
      <c r="A21" s="196"/>
      <c r="B21" s="204"/>
      <c r="C21" s="32" t="s">
        <v>116</v>
      </c>
      <c r="D21" s="34">
        <f>'ECONOMIA &amp; PROFESIONES'!$P$22</f>
        <v>6032</v>
      </c>
      <c r="E21" s="53">
        <f t="shared" si="7"/>
        <v>0</v>
      </c>
      <c r="F21" s="100" t="s">
        <v>255</v>
      </c>
      <c r="G21" s="104">
        <v>0</v>
      </c>
      <c r="H21" s="97">
        <f t="shared" si="0"/>
        <v>0</v>
      </c>
      <c r="I21" s="100" t="s">
        <v>255</v>
      </c>
      <c r="J21" s="104">
        <v>0</v>
      </c>
      <c r="K21" s="97">
        <f t="shared" si="1"/>
        <v>0</v>
      </c>
      <c r="L21" s="100" t="s">
        <v>255</v>
      </c>
      <c r="M21" s="104">
        <v>0</v>
      </c>
      <c r="N21" s="97">
        <f t="shared" si="2"/>
        <v>0</v>
      </c>
      <c r="O21" s="100" t="s">
        <v>255</v>
      </c>
      <c r="P21" s="104">
        <v>0</v>
      </c>
      <c r="Q21" s="97">
        <f t="shared" si="3"/>
        <v>0</v>
      </c>
      <c r="R21" s="100" t="s">
        <v>255</v>
      </c>
      <c r="S21" s="104">
        <v>0</v>
      </c>
      <c r="T21" s="97">
        <f t="shared" si="4"/>
        <v>0</v>
      </c>
      <c r="U21" s="100" t="s">
        <v>255</v>
      </c>
      <c r="V21" s="104">
        <v>0</v>
      </c>
      <c r="W21" s="97">
        <f t="shared" si="5"/>
        <v>0</v>
      </c>
      <c r="X21" s="100" t="s">
        <v>255</v>
      </c>
      <c r="Y21" s="104">
        <v>0</v>
      </c>
      <c r="Z21" s="97">
        <f t="shared" si="6"/>
        <v>0</v>
      </c>
    </row>
    <row r="22" spans="1:26" x14ac:dyDescent="0.25">
      <c r="A22" s="196"/>
      <c r="B22" s="200" t="s">
        <v>407</v>
      </c>
      <c r="C22" s="31" t="s">
        <v>6</v>
      </c>
      <c r="D22" s="34">
        <f>'ECONOMIA &amp; PROFESIONES'!$P$27</f>
        <v>7932</v>
      </c>
      <c r="E22" s="53">
        <f t="shared" si="7"/>
        <v>0</v>
      </c>
      <c r="F22" s="100" t="s">
        <v>255</v>
      </c>
      <c r="G22" s="104">
        <v>0</v>
      </c>
      <c r="H22" s="97">
        <f t="shared" si="0"/>
        <v>0</v>
      </c>
      <c r="I22" s="100" t="s">
        <v>255</v>
      </c>
      <c r="J22" s="104">
        <v>0</v>
      </c>
      <c r="K22" s="97">
        <f t="shared" si="1"/>
        <v>0</v>
      </c>
      <c r="L22" s="100" t="s">
        <v>255</v>
      </c>
      <c r="M22" s="104">
        <v>0</v>
      </c>
      <c r="N22" s="97">
        <f t="shared" si="2"/>
        <v>0</v>
      </c>
      <c r="O22" s="100" t="s">
        <v>255</v>
      </c>
      <c r="P22" s="104">
        <v>0</v>
      </c>
      <c r="Q22" s="97">
        <f t="shared" si="3"/>
        <v>0</v>
      </c>
      <c r="R22" s="100" t="s">
        <v>255</v>
      </c>
      <c r="S22" s="104">
        <v>0</v>
      </c>
      <c r="T22" s="97">
        <f t="shared" si="4"/>
        <v>0</v>
      </c>
      <c r="U22" s="100" t="s">
        <v>255</v>
      </c>
      <c r="V22" s="104">
        <v>0</v>
      </c>
      <c r="W22" s="97">
        <f t="shared" si="5"/>
        <v>0</v>
      </c>
      <c r="X22" s="100" t="s">
        <v>255</v>
      </c>
      <c r="Y22" s="104">
        <v>0</v>
      </c>
      <c r="Z22" s="97">
        <f t="shared" si="6"/>
        <v>0</v>
      </c>
    </row>
    <row r="23" spans="1:26" x14ac:dyDescent="0.25">
      <c r="A23" s="196"/>
      <c r="B23" s="200"/>
      <c r="C23" s="32" t="s">
        <v>113</v>
      </c>
      <c r="D23" s="34">
        <f>'ECONOMIA &amp; PROFESIONES'!$P$27</f>
        <v>7932</v>
      </c>
      <c r="E23" s="53">
        <f t="shared" si="7"/>
        <v>0</v>
      </c>
      <c r="F23" s="100" t="s">
        <v>255</v>
      </c>
      <c r="G23" s="104">
        <v>0</v>
      </c>
      <c r="H23" s="97">
        <f t="shared" si="0"/>
        <v>0</v>
      </c>
      <c r="I23" s="100" t="s">
        <v>255</v>
      </c>
      <c r="J23" s="104">
        <v>0</v>
      </c>
      <c r="K23" s="97">
        <f t="shared" si="1"/>
        <v>0</v>
      </c>
      <c r="L23" s="100" t="s">
        <v>255</v>
      </c>
      <c r="M23" s="104">
        <v>0</v>
      </c>
      <c r="N23" s="97">
        <f t="shared" si="2"/>
        <v>0</v>
      </c>
      <c r="O23" s="100" t="s">
        <v>255</v>
      </c>
      <c r="P23" s="104">
        <v>0</v>
      </c>
      <c r="Q23" s="97">
        <f t="shared" si="3"/>
        <v>0</v>
      </c>
      <c r="R23" s="100" t="s">
        <v>255</v>
      </c>
      <c r="S23" s="104">
        <v>0</v>
      </c>
      <c r="T23" s="97">
        <f t="shared" si="4"/>
        <v>0</v>
      </c>
      <c r="U23" s="100" t="s">
        <v>255</v>
      </c>
      <c r="V23" s="104">
        <v>0</v>
      </c>
      <c r="W23" s="97">
        <f t="shared" si="5"/>
        <v>0</v>
      </c>
      <c r="X23" s="100" t="s">
        <v>255</v>
      </c>
      <c r="Y23" s="104">
        <v>0</v>
      </c>
      <c r="Z23" s="97">
        <f t="shared" si="6"/>
        <v>0</v>
      </c>
    </row>
    <row r="24" spans="1:26" x14ac:dyDescent="0.25">
      <c r="A24" s="196"/>
      <c r="B24" s="200"/>
      <c r="C24" s="31" t="s">
        <v>114</v>
      </c>
      <c r="D24" s="34">
        <f>'ECONOMIA &amp; PROFESIONES'!$P$27</f>
        <v>7932</v>
      </c>
      <c r="E24" s="53">
        <f t="shared" si="7"/>
        <v>0</v>
      </c>
      <c r="F24" s="100" t="s">
        <v>255</v>
      </c>
      <c r="G24" s="104">
        <v>0</v>
      </c>
      <c r="H24" s="97">
        <f t="shared" si="0"/>
        <v>0</v>
      </c>
      <c r="I24" s="100" t="s">
        <v>255</v>
      </c>
      <c r="J24" s="104">
        <v>0</v>
      </c>
      <c r="K24" s="97">
        <f t="shared" si="1"/>
        <v>0</v>
      </c>
      <c r="L24" s="100" t="s">
        <v>255</v>
      </c>
      <c r="M24" s="104">
        <v>0</v>
      </c>
      <c r="N24" s="97">
        <f t="shared" si="2"/>
        <v>0</v>
      </c>
      <c r="O24" s="100" t="s">
        <v>255</v>
      </c>
      <c r="P24" s="104">
        <v>0</v>
      </c>
      <c r="Q24" s="97">
        <f t="shared" si="3"/>
        <v>0</v>
      </c>
      <c r="R24" s="100" t="s">
        <v>255</v>
      </c>
      <c r="S24" s="104">
        <v>0</v>
      </c>
      <c r="T24" s="97">
        <f t="shared" si="4"/>
        <v>0</v>
      </c>
      <c r="U24" s="100" t="s">
        <v>255</v>
      </c>
      <c r="V24" s="104">
        <v>0</v>
      </c>
      <c r="W24" s="97">
        <f t="shared" si="5"/>
        <v>0</v>
      </c>
      <c r="X24" s="100" t="s">
        <v>255</v>
      </c>
      <c r="Y24" s="104">
        <v>0</v>
      </c>
      <c r="Z24" s="97">
        <f t="shared" si="6"/>
        <v>0</v>
      </c>
    </row>
    <row r="25" spans="1:26" x14ac:dyDescent="0.25">
      <c r="A25" s="196"/>
      <c r="B25" s="200"/>
      <c r="C25" s="32" t="s">
        <v>115</v>
      </c>
      <c r="D25" s="34">
        <f>'ECONOMIA &amp; PROFESIONES'!$P$27</f>
        <v>7932</v>
      </c>
      <c r="E25" s="53">
        <f t="shared" si="7"/>
        <v>0</v>
      </c>
      <c r="F25" s="100" t="s">
        <v>255</v>
      </c>
      <c r="G25" s="104">
        <v>0</v>
      </c>
      <c r="H25" s="97">
        <f t="shared" si="0"/>
        <v>0</v>
      </c>
      <c r="I25" s="100" t="s">
        <v>255</v>
      </c>
      <c r="J25" s="104">
        <v>0</v>
      </c>
      <c r="K25" s="97">
        <f t="shared" si="1"/>
        <v>0</v>
      </c>
      <c r="L25" s="100" t="s">
        <v>255</v>
      </c>
      <c r="M25" s="104">
        <v>0</v>
      </c>
      <c r="N25" s="97">
        <f t="shared" si="2"/>
        <v>0</v>
      </c>
      <c r="O25" s="100" t="s">
        <v>255</v>
      </c>
      <c r="P25" s="104">
        <v>0</v>
      </c>
      <c r="Q25" s="97">
        <f t="shared" si="3"/>
        <v>0</v>
      </c>
      <c r="R25" s="100" t="s">
        <v>255</v>
      </c>
      <c r="S25" s="104">
        <v>0</v>
      </c>
      <c r="T25" s="97">
        <f t="shared" si="4"/>
        <v>0</v>
      </c>
      <c r="U25" s="100" t="s">
        <v>255</v>
      </c>
      <c r="V25" s="104">
        <v>0</v>
      </c>
      <c r="W25" s="97">
        <f t="shared" si="5"/>
        <v>0</v>
      </c>
      <c r="X25" s="100" t="s">
        <v>255</v>
      </c>
      <c r="Y25" s="104">
        <v>0</v>
      </c>
      <c r="Z25" s="97">
        <f t="shared" si="6"/>
        <v>0</v>
      </c>
    </row>
    <row r="26" spans="1:26" x14ac:dyDescent="0.25">
      <c r="A26" s="196"/>
      <c r="B26" s="200"/>
      <c r="C26" s="31" t="s">
        <v>116</v>
      </c>
      <c r="D26" s="34">
        <f>'ECONOMIA &amp; PROFESIONES'!$P$27</f>
        <v>7932</v>
      </c>
      <c r="E26" s="53">
        <f t="shared" si="7"/>
        <v>0</v>
      </c>
      <c r="F26" s="100" t="s">
        <v>255</v>
      </c>
      <c r="G26" s="104">
        <v>0</v>
      </c>
      <c r="H26" s="97">
        <f t="shared" si="0"/>
        <v>0</v>
      </c>
      <c r="I26" s="100" t="s">
        <v>255</v>
      </c>
      <c r="J26" s="104">
        <v>0</v>
      </c>
      <c r="K26" s="97">
        <f t="shared" si="1"/>
        <v>0</v>
      </c>
      <c r="L26" s="100" t="s">
        <v>255</v>
      </c>
      <c r="M26" s="104">
        <v>0</v>
      </c>
      <c r="N26" s="97">
        <f t="shared" si="2"/>
        <v>0</v>
      </c>
      <c r="O26" s="100" t="s">
        <v>255</v>
      </c>
      <c r="P26" s="104">
        <v>0</v>
      </c>
      <c r="Q26" s="97">
        <f t="shared" si="3"/>
        <v>0</v>
      </c>
      <c r="R26" s="100" t="s">
        <v>255</v>
      </c>
      <c r="S26" s="104">
        <v>0</v>
      </c>
      <c r="T26" s="97">
        <f t="shared" si="4"/>
        <v>0</v>
      </c>
      <c r="U26" s="100" t="s">
        <v>255</v>
      </c>
      <c r="V26" s="104">
        <v>0</v>
      </c>
      <c r="W26" s="97">
        <f t="shared" si="5"/>
        <v>0</v>
      </c>
      <c r="X26" s="100" t="s">
        <v>255</v>
      </c>
      <c r="Y26" s="104">
        <v>0</v>
      </c>
      <c r="Z26" s="97">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1</v>
      </c>
      <c r="C2" t="s">
        <v>7</v>
      </c>
      <c r="D2">
        <f>$B$2*2</f>
        <v>2</v>
      </c>
      <c r="E2" t="s">
        <v>9</v>
      </c>
      <c r="F2">
        <f>$B$2*5</f>
        <v>5</v>
      </c>
      <c r="G2">
        <f>$B$3*5</f>
        <v>10</v>
      </c>
      <c r="H2">
        <f>$B$4*5</f>
        <v>20</v>
      </c>
      <c r="I2">
        <f>$B$5*5</f>
        <v>40</v>
      </c>
      <c r="J2">
        <f>$B$6*5</f>
        <v>80</v>
      </c>
    </row>
    <row r="3" spans="1:10" x14ac:dyDescent="0.25">
      <c r="A3" t="s">
        <v>88</v>
      </c>
      <c r="B3" s="2">
        <f>'ECONOMIA &amp; PROFESIONES'!$B$17</f>
        <v>2</v>
      </c>
      <c r="C3" t="s">
        <v>8</v>
      </c>
      <c r="D3">
        <f>$B$3*2</f>
        <v>4</v>
      </c>
      <c r="E3" t="s">
        <v>10</v>
      </c>
      <c r="F3">
        <f>$B$2*8</f>
        <v>8</v>
      </c>
      <c r="G3">
        <f>$B$3*8</f>
        <v>16</v>
      </c>
      <c r="H3">
        <f>$B$4*8</f>
        <v>32</v>
      </c>
      <c r="I3">
        <f>$B$5*8</f>
        <v>64</v>
      </c>
      <c r="J3">
        <f>$B$6*8</f>
        <v>128</v>
      </c>
    </row>
    <row r="4" spans="1:10" x14ac:dyDescent="0.25">
      <c r="A4" t="s">
        <v>2</v>
      </c>
      <c r="B4" s="2">
        <f>'ECONOMIA &amp; PROFESIONES'!$B$18</f>
        <v>4</v>
      </c>
      <c r="C4" t="s">
        <v>2</v>
      </c>
      <c r="D4">
        <f>$B$4*2</f>
        <v>8</v>
      </c>
      <c r="E4" t="s">
        <v>11</v>
      </c>
      <c r="F4">
        <f>$B$2*7</f>
        <v>7</v>
      </c>
      <c r="G4">
        <f>$B$3*7</f>
        <v>14</v>
      </c>
      <c r="H4">
        <f>$B$4*7</f>
        <v>28</v>
      </c>
      <c r="I4">
        <f>$B$5*7</f>
        <v>56</v>
      </c>
      <c r="J4">
        <f>$B$6*7</f>
        <v>112</v>
      </c>
    </row>
    <row r="5" spans="1:10" x14ac:dyDescent="0.25">
      <c r="A5" t="s">
        <v>3</v>
      </c>
      <c r="B5" s="2">
        <f>'ECONOMIA &amp; PROFESIONES'!$B$19</f>
        <v>8</v>
      </c>
      <c r="C5" t="s">
        <v>3</v>
      </c>
      <c r="D5">
        <f>$B$5*2</f>
        <v>16</v>
      </c>
      <c r="E5" t="s">
        <v>12</v>
      </c>
      <c r="F5">
        <f>$B$2*4</f>
        <v>4</v>
      </c>
      <c r="G5">
        <f>$B$3*4</f>
        <v>8</v>
      </c>
      <c r="H5">
        <f>$B$4*4</f>
        <v>16</v>
      </c>
      <c r="I5">
        <f>$B$5*4</f>
        <v>32</v>
      </c>
      <c r="J5">
        <f>$B$6*4</f>
        <v>64</v>
      </c>
    </row>
    <row r="6" spans="1:10" x14ac:dyDescent="0.25">
      <c r="A6" t="s">
        <v>4</v>
      </c>
      <c r="B6" s="2">
        <f>'ECONOMIA &amp; PROFESIONES'!$B$20</f>
        <v>16</v>
      </c>
      <c r="C6" t="s">
        <v>4</v>
      </c>
      <c r="D6">
        <f>$B$6*2</f>
        <v>32</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336</v>
      </c>
      <c r="D11" s="37">
        <v>1</v>
      </c>
      <c r="E11" s="28"/>
      <c r="G11" s="2"/>
    </row>
    <row r="12" spans="1:10" x14ac:dyDescent="0.25">
      <c r="C12" s="37" t="s">
        <v>335</v>
      </c>
      <c r="D12" s="37">
        <v>1</v>
      </c>
      <c r="E12" s="28"/>
      <c r="G12" s="2"/>
    </row>
    <row r="13" spans="1:10" x14ac:dyDescent="0.25">
      <c r="C13" s="37"/>
      <c r="D13" s="37"/>
      <c r="E13" s="28"/>
      <c r="G13" s="2"/>
    </row>
    <row r="14" spans="1:10" s="93" customFormat="1" x14ac:dyDescent="0.25">
      <c r="C14" s="92"/>
      <c r="D14" s="92"/>
      <c r="E14" s="70"/>
      <c r="G14" s="2"/>
    </row>
    <row r="15" spans="1:10" s="93" customFormat="1" x14ac:dyDescent="0.25">
      <c r="C15" s="92"/>
      <c r="D15" s="92"/>
      <c r="E15" s="70"/>
      <c r="G15" s="2"/>
    </row>
    <row r="16" spans="1:10" s="91" customFormat="1" x14ac:dyDescent="0.25">
      <c r="C16" s="90"/>
      <c r="D16" s="90"/>
      <c r="E16" s="70"/>
      <c r="G16" s="2"/>
    </row>
    <row r="17" spans="1:9" ht="27.75" customHeight="1" x14ac:dyDescent="0.25">
      <c r="A17" s="208" t="s">
        <v>39</v>
      </c>
      <c r="B17" s="208"/>
      <c r="C17" s="3" t="s">
        <v>35</v>
      </c>
      <c r="D17" s="3" t="s">
        <v>51</v>
      </c>
      <c r="E17" s="3" t="s">
        <v>52</v>
      </c>
      <c r="F17" s="3" t="s">
        <v>53</v>
      </c>
      <c r="G17" s="3" t="s">
        <v>54</v>
      </c>
    </row>
    <row r="18" spans="1:9" x14ac:dyDescent="0.25">
      <c r="A18" s="189" t="s">
        <v>73</v>
      </c>
      <c r="B18" s="189"/>
      <c r="C18" s="37">
        <v>0</v>
      </c>
      <c r="D18" s="28">
        <f>$C$18+1</f>
        <v>1</v>
      </c>
      <c r="E18" s="28">
        <f>$D$18+1</f>
        <v>2</v>
      </c>
      <c r="F18" s="28">
        <f>$E$18+1</f>
        <v>3</v>
      </c>
      <c r="G18" s="28">
        <f>$F$18+1</f>
        <v>4</v>
      </c>
    </row>
    <row r="19" spans="1:9" x14ac:dyDescent="0.25">
      <c r="A19" s="189" t="s">
        <v>74</v>
      </c>
      <c r="B19" s="189"/>
      <c r="C19" s="37">
        <v>0</v>
      </c>
      <c r="D19" s="28">
        <f>$C$19+1</f>
        <v>1</v>
      </c>
      <c r="E19" s="28">
        <f>$D$19+2</f>
        <v>3</v>
      </c>
      <c r="F19" s="28">
        <f>$E$19+2</f>
        <v>5</v>
      </c>
      <c r="G19" s="28">
        <f>$F$19+2</f>
        <v>7</v>
      </c>
    </row>
    <row r="20" spans="1:9" x14ac:dyDescent="0.25">
      <c r="A20" s="189" t="s">
        <v>40</v>
      </c>
      <c r="B20" s="189"/>
      <c r="C20" s="37">
        <v>0</v>
      </c>
      <c r="D20" s="28">
        <f>$C$20+1</f>
        <v>1</v>
      </c>
      <c r="E20" s="28">
        <f>$D$20+1</f>
        <v>2</v>
      </c>
      <c r="F20" s="28">
        <f>$E$20+1</f>
        <v>3</v>
      </c>
      <c r="G20" s="28">
        <f>$F$20+1</f>
        <v>4</v>
      </c>
    </row>
    <row r="21" spans="1:9" x14ac:dyDescent="0.25">
      <c r="A21" s="189" t="s">
        <v>41</v>
      </c>
      <c r="B21" s="189"/>
      <c r="C21" s="37">
        <v>0</v>
      </c>
      <c r="D21" s="28">
        <f>$C$21+2</f>
        <v>2</v>
      </c>
      <c r="E21" s="28">
        <f>$D$21+1</f>
        <v>3</v>
      </c>
      <c r="F21" s="28">
        <f>$E$21+1</f>
        <v>4</v>
      </c>
      <c r="G21" s="28">
        <f>$F$21+1</f>
        <v>5</v>
      </c>
    </row>
    <row r="22" spans="1:9" x14ac:dyDescent="0.25">
      <c r="A22" s="189" t="s">
        <v>44</v>
      </c>
      <c r="B22" s="189"/>
      <c r="C22" s="37">
        <v>0</v>
      </c>
      <c r="D22" s="28">
        <f>$C$22+1</f>
        <v>1</v>
      </c>
      <c r="E22" s="28">
        <f>$D$22+1</f>
        <v>2</v>
      </c>
      <c r="F22" s="28">
        <f>$E$22+1</f>
        <v>3</v>
      </c>
      <c r="G22" s="28">
        <f>$F$22+1</f>
        <v>4</v>
      </c>
    </row>
    <row r="23" spans="1:9" x14ac:dyDescent="0.25">
      <c r="A23" s="189" t="s">
        <v>42</v>
      </c>
      <c r="B23" s="189"/>
      <c r="C23" s="37">
        <v>0</v>
      </c>
      <c r="D23" s="28">
        <f>C23</f>
        <v>0</v>
      </c>
      <c r="E23" s="28">
        <f>$D$23+1</f>
        <v>1</v>
      </c>
      <c r="F23" s="28">
        <f>$E$23+1</f>
        <v>2</v>
      </c>
      <c r="G23" s="28">
        <f>$F$23+1</f>
        <v>3</v>
      </c>
    </row>
    <row r="24" spans="1:9" x14ac:dyDescent="0.25">
      <c r="A24" s="189" t="s">
        <v>43</v>
      </c>
      <c r="B24" s="189"/>
      <c r="C24" s="37">
        <v>0</v>
      </c>
      <c r="D24" s="28">
        <f>$C$24+1</f>
        <v>1</v>
      </c>
      <c r="E24" s="28">
        <f>$D$24+1</f>
        <v>2</v>
      </c>
      <c r="F24" s="28">
        <f>$E$24+1</f>
        <v>3</v>
      </c>
      <c r="G24" s="28">
        <f>$F$24+1</f>
        <v>4</v>
      </c>
    </row>
    <row r="25" spans="1:9" x14ac:dyDescent="0.25">
      <c r="A25" s="189" t="s">
        <v>45</v>
      </c>
      <c r="B25" s="189"/>
      <c r="C25" s="37">
        <v>5</v>
      </c>
      <c r="D25" s="28">
        <f>$C$25+1</f>
        <v>6</v>
      </c>
      <c r="E25" s="28">
        <f>$D$25+1</f>
        <v>7</v>
      </c>
      <c r="F25" s="28">
        <f>$E$25+1</f>
        <v>8</v>
      </c>
      <c r="G25" s="28">
        <f>$F$25+1</f>
        <v>9</v>
      </c>
    </row>
    <row r="26" spans="1:9" x14ac:dyDescent="0.25">
      <c r="A26" s="189" t="s">
        <v>46</v>
      </c>
      <c r="B26" s="189"/>
      <c r="C26" s="37">
        <v>6</v>
      </c>
      <c r="D26" s="28">
        <f>$C$26+1</f>
        <v>7</v>
      </c>
      <c r="E26" s="28">
        <f>$D$26+1</f>
        <v>8</v>
      </c>
      <c r="F26" s="28">
        <f>$E$26+1</f>
        <v>9</v>
      </c>
      <c r="G26" s="28">
        <f>$F$26+1</f>
        <v>10</v>
      </c>
      <c r="I26" s="15" t="s">
        <v>99</v>
      </c>
    </row>
    <row r="27" spans="1:9" x14ac:dyDescent="0.25">
      <c r="A27" s="189" t="s">
        <v>47</v>
      </c>
      <c r="B27" s="189"/>
      <c r="C27" s="38">
        <v>0.7</v>
      </c>
      <c r="D27" s="28">
        <f>$C$27/2</f>
        <v>0.35</v>
      </c>
      <c r="E27" s="28">
        <f>$D$27/2</f>
        <v>0.17499999999999999</v>
      </c>
      <c r="F27" s="28">
        <f>$E$27/2</f>
        <v>8.7499999999999994E-2</v>
      </c>
      <c r="G27" s="28">
        <f>$F$27/2</f>
        <v>4.3749999999999997E-2</v>
      </c>
      <c r="I27" s="37">
        <v>5</v>
      </c>
    </row>
    <row r="28" spans="1:9" x14ac:dyDescent="0.25">
      <c r="A28" s="189" t="s">
        <v>48</v>
      </c>
      <c r="B28" s="189"/>
      <c r="C28" s="37">
        <f>C27/2</f>
        <v>0.35</v>
      </c>
      <c r="D28" s="28">
        <f>$D$27/2</f>
        <v>0.17499999999999999</v>
      </c>
      <c r="E28" s="28">
        <f>$E$27/2</f>
        <v>8.7499999999999994E-2</v>
      </c>
      <c r="F28" s="28">
        <f>$F$27/2</f>
        <v>4.3749999999999997E-2</v>
      </c>
      <c r="G28" s="28">
        <f>$G$27/2</f>
        <v>2.1874999999999999E-2</v>
      </c>
    </row>
    <row r="29" spans="1:9" x14ac:dyDescent="0.25">
      <c r="A29" s="189" t="s">
        <v>75</v>
      </c>
      <c r="B29" s="189"/>
      <c r="C29" s="37">
        <v>0</v>
      </c>
      <c r="D29" s="69">
        <v>1</v>
      </c>
      <c r="E29" s="69">
        <v>1</v>
      </c>
      <c r="F29" s="69">
        <v>2</v>
      </c>
      <c r="G29" s="69">
        <v>2</v>
      </c>
    </row>
    <row r="30" spans="1:9" x14ac:dyDescent="0.25">
      <c r="A30" s="189" t="s">
        <v>76</v>
      </c>
      <c r="B30" s="189"/>
      <c r="C30" s="37">
        <v>0</v>
      </c>
      <c r="D30" s="69">
        <v>1</v>
      </c>
      <c r="E30" s="69">
        <v>2</v>
      </c>
      <c r="F30" s="69">
        <v>3</v>
      </c>
      <c r="G30" s="69">
        <v>4</v>
      </c>
    </row>
    <row r="31" spans="1:9" x14ac:dyDescent="0.25">
      <c r="A31" s="213" t="s">
        <v>49</v>
      </c>
      <c r="B31" s="213"/>
      <c r="C31" s="213"/>
      <c r="D31" s="213"/>
      <c r="E31" s="213"/>
      <c r="F31" s="213"/>
      <c r="G31" s="213"/>
      <c r="H31" s="1" t="s">
        <v>65</v>
      </c>
      <c r="I31" s="15" t="s">
        <v>98</v>
      </c>
    </row>
    <row r="32" spans="1:9" x14ac:dyDescent="0.25">
      <c r="A32" s="189" t="s">
        <v>50</v>
      </c>
      <c r="B32" s="189"/>
      <c r="C32" s="37">
        <v>8.9</v>
      </c>
      <c r="D32" s="28">
        <f>C32*3</f>
        <v>26.700000000000003</v>
      </c>
      <c r="E32" s="28">
        <f>D32*3</f>
        <v>80.100000000000009</v>
      </c>
      <c r="F32" s="28">
        <f>E32*3</f>
        <v>240.3</v>
      </c>
      <c r="G32" s="28">
        <f>F32*2</f>
        <v>480.6</v>
      </c>
      <c r="H32" s="28">
        <f>ROUNDDOWN(G32/5*H64,0)</f>
        <v>768</v>
      </c>
      <c r="I32" s="28">
        <f>H32+(5*I27)</f>
        <v>793</v>
      </c>
    </row>
    <row r="33" spans="1:17" x14ac:dyDescent="0.25">
      <c r="A33" s="189" t="str">
        <f>C12</f>
        <v>Esencia</v>
      </c>
      <c r="B33" s="189"/>
      <c r="C33" s="37">
        <f>ROUNDDOWN(C32/2,0)</f>
        <v>4</v>
      </c>
      <c r="D33" s="28">
        <f>ROUNDDOWN(D32/2,0)</f>
        <v>13</v>
      </c>
      <c r="E33" s="28">
        <f t="shared" ref="D33:G35" si="0">ROUNDDOWN(E32/2,0)</f>
        <v>40</v>
      </c>
      <c r="F33" s="28">
        <f t="shared" si="0"/>
        <v>120</v>
      </c>
      <c r="G33" s="28">
        <f t="shared" si="0"/>
        <v>240</v>
      </c>
      <c r="H33" s="28"/>
      <c r="I33" s="28"/>
    </row>
    <row r="34" spans="1:17" x14ac:dyDescent="0.25">
      <c r="A34" s="189" t="str">
        <f>C12</f>
        <v>Esencia</v>
      </c>
      <c r="B34" s="189"/>
      <c r="C34" s="37">
        <f>ROUNDDOWN(C33/2,0)</f>
        <v>2</v>
      </c>
      <c r="D34" s="28">
        <f t="shared" si="0"/>
        <v>6</v>
      </c>
      <c r="E34" s="28">
        <f t="shared" si="0"/>
        <v>20</v>
      </c>
      <c r="F34" s="28">
        <f t="shared" si="0"/>
        <v>60</v>
      </c>
      <c r="G34" s="28">
        <f t="shared" si="0"/>
        <v>120</v>
      </c>
      <c r="H34" s="28"/>
      <c r="I34" s="28"/>
    </row>
    <row r="35" spans="1:17" x14ac:dyDescent="0.25">
      <c r="A35" s="193" t="str">
        <f>C11</f>
        <v>Inteligencia</v>
      </c>
      <c r="B35" s="193"/>
      <c r="C35" s="37">
        <f t="shared" ref="C35" si="1">ROUNDDOWN(C34/2,0)</f>
        <v>1</v>
      </c>
      <c r="D35" s="28">
        <f t="shared" si="0"/>
        <v>3</v>
      </c>
      <c r="E35" s="28">
        <f t="shared" si="0"/>
        <v>10</v>
      </c>
      <c r="F35" s="28">
        <f t="shared" si="0"/>
        <v>30</v>
      </c>
      <c r="G35" s="28">
        <f t="shared" si="0"/>
        <v>60</v>
      </c>
      <c r="H35" s="28"/>
      <c r="I35" s="28"/>
    </row>
    <row r="36" spans="1:17" x14ac:dyDescent="0.25">
      <c r="A36" s="213" t="s">
        <v>21</v>
      </c>
      <c r="B36" s="213"/>
      <c r="C36" s="213"/>
      <c r="D36" s="213"/>
      <c r="E36" s="213"/>
      <c r="F36" s="213"/>
      <c r="G36" s="213"/>
    </row>
    <row r="37" spans="1:17" x14ac:dyDescent="0.25">
      <c r="A37" s="211" t="s">
        <v>61</v>
      </c>
      <c r="B37" s="211"/>
      <c r="C37" s="211"/>
      <c r="D37" s="211"/>
      <c r="E37" s="211"/>
      <c r="F37" s="211"/>
      <c r="G37" s="211"/>
      <c r="H37" s="4" t="s">
        <v>82</v>
      </c>
    </row>
    <row r="38" spans="1:17" x14ac:dyDescent="0.25">
      <c r="A38" s="189" t="s">
        <v>69</v>
      </c>
      <c r="B38" s="189"/>
      <c r="C38" s="39"/>
      <c r="D38" s="28"/>
      <c r="E38" s="28"/>
      <c r="F38" s="28"/>
      <c r="G38" s="28"/>
      <c r="H38" s="28">
        <v>300</v>
      </c>
    </row>
    <row r="39" spans="1:17" x14ac:dyDescent="0.25">
      <c r="A39" s="189" t="s">
        <v>67</v>
      </c>
      <c r="B39" s="189"/>
      <c r="C39" s="69">
        <v>1800</v>
      </c>
      <c r="D39" s="28">
        <f>C39+$H$38</f>
        <v>2100</v>
      </c>
      <c r="E39" s="70">
        <f t="shared" ref="E39:G39" si="2">D39+$H$38</f>
        <v>2400</v>
      </c>
      <c r="F39" s="70">
        <f t="shared" si="2"/>
        <v>2700</v>
      </c>
      <c r="G39" s="70">
        <f t="shared" si="2"/>
        <v>3000</v>
      </c>
      <c r="H39" s="28"/>
    </row>
    <row r="40" spans="1:17" x14ac:dyDescent="0.25">
      <c r="A40" s="210" t="s">
        <v>68</v>
      </c>
      <c r="B40" s="210"/>
      <c r="C40" s="39">
        <v>1800</v>
      </c>
      <c r="D40" s="39">
        <v>1800</v>
      </c>
      <c r="E40" s="39">
        <v>1800</v>
      </c>
      <c r="F40" s="39">
        <v>1800</v>
      </c>
      <c r="G40" s="39">
        <v>1800</v>
      </c>
      <c r="H40" s="28"/>
    </row>
    <row r="41" spans="1:17" ht="27.75" customHeight="1" x14ac:dyDescent="0.25">
      <c r="A41" s="208" t="s">
        <v>38</v>
      </c>
      <c r="B41" s="208"/>
      <c r="C41" s="3" t="s">
        <v>7</v>
      </c>
      <c r="D41" s="3" t="s">
        <v>8</v>
      </c>
      <c r="E41" s="3" t="s">
        <v>83</v>
      </c>
      <c r="F41" s="3" t="s">
        <v>84</v>
      </c>
      <c r="G41" s="3" t="s">
        <v>85</v>
      </c>
      <c r="H41" s="3" t="s">
        <v>62</v>
      </c>
      <c r="I41" s="23" t="s">
        <v>119</v>
      </c>
      <c r="J41" s="208" t="s">
        <v>338</v>
      </c>
      <c r="K41" s="208"/>
      <c r="L41" s="208" t="s">
        <v>340</v>
      </c>
      <c r="M41" s="208"/>
      <c r="N41" s="208" t="s">
        <v>435</v>
      </c>
      <c r="O41" s="208"/>
      <c r="P41" s="208"/>
      <c r="Q41" s="208"/>
    </row>
    <row r="42" spans="1:17" x14ac:dyDescent="0.25">
      <c r="A42" s="211" t="s">
        <v>20</v>
      </c>
      <c r="B42" s="211"/>
      <c r="C42" s="211"/>
      <c r="D42" s="211"/>
      <c r="E42" s="211"/>
      <c r="F42" s="211"/>
      <c r="G42" s="211"/>
      <c r="H42" s="6">
        <v>2</v>
      </c>
      <c r="I42" s="41">
        <v>1</v>
      </c>
      <c r="J42" s="161" t="s">
        <v>434</v>
      </c>
      <c r="K42" s="161"/>
      <c r="L42" s="161">
        <v>2</v>
      </c>
      <c r="M42" s="161"/>
      <c r="N42" s="189" t="s">
        <v>436</v>
      </c>
      <c r="O42" s="189"/>
      <c r="P42" s="118" t="s">
        <v>441</v>
      </c>
      <c r="Q42" s="118"/>
    </row>
    <row r="43" spans="1:17" x14ac:dyDescent="0.25">
      <c r="A43" s="189" t="str">
        <f>C8</f>
        <v>Vitalidad</v>
      </c>
      <c r="B43" s="189"/>
      <c r="C43" s="28">
        <f>D8*H42</f>
        <v>2</v>
      </c>
      <c r="D43" s="28">
        <f>C43*3</f>
        <v>6</v>
      </c>
      <c r="E43" s="28">
        <f>D43*3</f>
        <v>18</v>
      </c>
      <c r="F43" s="28">
        <f>E43*3</f>
        <v>54</v>
      </c>
      <c r="G43" s="28">
        <f>F43*3</f>
        <v>162</v>
      </c>
      <c r="H43" s="26" t="s">
        <v>120</v>
      </c>
      <c r="N43" s="189" t="s">
        <v>437</v>
      </c>
      <c r="O43" s="189"/>
      <c r="P43" s="118" t="s">
        <v>442</v>
      </c>
      <c r="Q43" s="118"/>
    </row>
    <row r="44" spans="1:17" x14ac:dyDescent="0.25">
      <c r="A44" s="189" t="str">
        <f>C9</f>
        <v>Fuerza</v>
      </c>
      <c r="B44" s="189"/>
      <c r="C44" s="28">
        <f>D9*H42</f>
        <v>2</v>
      </c>
      <c r="D44" s="70">
        <f t="shared" ref="D44:G46" si="3">C44*3</f>
        <v>6</v>
      </c>
      <c r="E44" s="70">
        <f t="shared" si="3"/>
        <v>18</v>
      </c>
      <c r="F44" s="70">
        <f t="shared" si="3"/>
        <v>54</v>
      </c>
      <c r="G44" s="70">
        <f t="shared" si="3"/>
        <v>162</v>
      </c>
      <c r="H44" s="6">
        <v>2</v>
      </c>
      <c r="N44" s="189" t="s">
        <v>438</v>
      </c>
      <c r="O44" s="189"/>
      <c r="P44" s="118" t="s">
        <v>443</v>
      </c>
      <c r="Q44" s="118"/>
    </row>
    <row r="45" spans="1:17" x14ac:dyDescent="0.25">
      <c r="A45" s="189" t="str">
        <f>C10</f>
        <v>Agilidad</v>
      </c>
      <c r="B45" s="189"/>
      <c r="C45" s="28">
        <f>D10*H42</f>
        <v>2</v>
      </c>
      <c r="D45" s="70">
        <f t="shared" si="3"/>
        <v>6</v>
      </c>
      <c r="E45" s="70">
        <f t="shared" si="3"/>
        <v>18</v>
      </c>
      <c r="F45" s="70">
        <f t="shared" si="3"/>
        <v>54</v>
      </c>
      <c r="G45" s="70">
        <f t="shared" si="3"/>
        <v>162</v>
      </c>
      <c r="N45" s="189" t="s">
        <v>439</v>
      </c>
      <c r="O45" s="189"/>
      <c r="P45" s="118" t="s">
        <v>444</v>
      </c>
      <c r="Q45" s="118"/>
    </row>
    <row r="46" spans="1:17" x14ac:dyDescent="0.25">
      <c r="A46" s="189" t="str">
        <f>C11</f>
        <v>Inteligencia</v>
      </c>
      <c r="B46" s="189"/>
      <c r="C46" s="28">
        <f>D11*H42</f>
        <v>2</v>
      </c>
      <c r="D46" s="70">
        <f t="shared" si="3"/>
        <v>6</v>
      </c>
      <c r="E46" s="70">
        <f t="shared" si="3"/>
        <v>18</v>
      </c>
      <c r="F46" s="70">
        <f t="shared" si="3"/>
        <v>54</v>
      </c>
      <c r="G46" s="70">
        <f t="shared" si="3"/>
        <v>162</v>
      </c>
      <c r="N46" s="189" t="s">
        <v>440</v>
      </c>
      <c r="O46" s="189"/>
      <c r="P46" s="118" t="s">
        <v>445</v>
      </c>
      <c r="Q46" s="118"/>
    </row>
    <row r="47" spans="1:17" x14ac:dyDescent="0.25">
      <c r="A47" s="189" t="s">
        <v>77</v>
      </c>
      <c r="B47" s="189"/>
      <c r="C47" s="28">
        <f>(C$23+C$24)/2*$H$42</f>
        <v>0</v>
      </c>
      <c r="D47" s="28">
        <f>($D$23+$D$24)/2*$H$42</f>
        <v>1</v>
      </c>
      <c r="E47" s="28">
        <f>($E$23+$E$24)/2*$H$42</f>
        <v>3</v>
      </c>
      <c r="F47" s="28">
        <f>($F$23+$F$24)/2*$H$42</f>
        <v>5</v>
      </c>
      <c r="G47" s="28">
        <f>($G$23+$G$24)/2*$H$42</f>
        <v>7</v>
      </c>
      <c r="N47" s="118"/>
      <c r="O47" s="118"/>
      <c r="P47" s="209"/>
      <c r="Q47" s="209"/>
    </row>
    <row r="48" spans="1:17" x14ac:dyDescent="0.25">
      <c r="A48" s="211" t="s">
        <v>49</v>
      </c>
      <c r="B48" s="211"/>
      <c r="C48" s="211"/>
      <c r="D48" s="211"/>
      <c r="E48" s="211"/>
      <c r="F48" s="211"/>
      <c r="G48" s="211"/>
      <c r="N48" s="118"/>
      <c r="O48" s="118"/>
      <c r="P48" s="209"/>
      <c r="Q48" s="209"/>
    </row>
    <row r="49" spans="1:17" x14ac:dyDescent="0.25">
      <c r="A49" s="189" t="s">
        <v>50</v>
      </c>
      <c r="B49" s="189"/>
      <c r="C49" s="40">
        <f>ROUNDDOWN(C32/5*H42,0)</f>
        <v>3</v>
      </c>
      <c r="D49" s="40">
        <f>ROUNDDOWN(D32/5*H42,0)</f>
        <v>10</v>
      </c>
      <c r="E49" s="40">
        <f>ROUNDDOWN(E32/5*H42,0)</f>
        <v>32</v>
      </c>
      <c r="F49" s="40">
        <f>ROUNDDOWN(F32/5*H42,0)</f>
        <v>96</v>
      </c>
      <c r="G49" s="40">
        <f>ROUNDDOWN(G32/5*H42,0)</f>
        <v>192</v>
      </c>
      <c r="N49" s="118"/>
      <c r="O49" s="118"/>
      <c r="P49" s="209"/>
      <c r="Q49" s="209"/>
    </row>
    <row r="50" spans="1:17" x14ac:dyDescent="0.25">
      <c r="A50" s="189" t="str">
        <f>C12</f>
        <v>Esencia</v>
      </c>
      <c r="B50" s="189"/>
      <c r="C50" s="40">
        <f>ROUNDDOWN(C49/3,0)</f>
        <v>1</v>
      </c>
      <c r="D50" s="40">
        <f>ROUNDDOWN(D49/3,0)</f>
        <v>3</v>
      </c>
      <c r="E50" s="40">
        <f>ROUNDDOWN(E49/3,0)</f>
        <v>10</v>
      </c>
      <c r="F50" s="40">
        <f>ROUNDDOWN(F49/3,0)</f>
        <v>32</v>
      </c>
      <c r="G50" s="40">
        <f>ROUNDDOWN(G49/3,0)</f>
        <v>64</v>
      </c>
      <c r="N50" s="118"/>
      <c r="O50" s="118"/>
      <c r="P50" s="209"/>
      <c r="Q50" s="209"/>
    </row>
    <row r="51" spans="1:17" x14ac:dyDescent="0.25">
      <c r="A51" s="189"/>
      <c r="B51" s="189"/>
      <c r="N51" s="118"/>
      <c r="O51" s="118"/>
      <c r="P51" s="209"/>
      <c r="Q51" s="209"/>
    </row>
    <row r="52" spans="1:17" ht="27.75" customHeight="1" x14ac:dyDescent="0.25">
      <c r="A52" s="208" t="s">
        <v>63</v>
      </c>
      <c r="B52" s="208"/>
      <c r="C52" s="3" t="s">
        <v>0</v>
      </c>
      <c r="D52" s="3" t="s">
        <v>86</v>
      </c>
      <c r="E52" s="3" t="s">
        <v>83</v>
      </c>
      <c r="F52" s="3" t="s">
        <v>84</v>
      </c>
      <c r="G52" s="3" t="s">
        <v>85</v>
      </c>
      <c r="H52" s="3" t="s">
        <v>62</v>
      </c>
      <c r="J52" s="208" t="s">
        <v>338</v>
      </c>
      <c r="K52" s="208"/>
      <c r="L52" s="208" t="s">
        <v>340</v>
      </c>
      <c r="M52" s="208"/>
    </row>
    <row r="53" spans="1:17" x14ac:dyDescent="0.25">
      <c r="A53" s="211" t="s">
        <v>20</v>
      </c>
      <c r="B53" s="211"/>
      <c r="C53" s="211"/>
      <c r="D53" s="211"/>
      <c r="E53" s="211"/>
      <c r="F53" s="211"/>
      <c r="G53" s="211"/>
      <c r="H53" s="6">
        <f>$H$55*$I$42</f>
        <v>5</v>
      </c>
      <c r="J53" s="161" t="s">
        <v>339</v>
      </c>
      <c r="K53" s="161"/>
      <c r="L53" s="161">
        <v>1</v>
      </c>
      <c r="M53" s="161"/>
    </row>
    <row r="54" spans="1:17" x14ac:dyDescent="0.25">
      <c r="A54" s="189" t="str">
        <f>C8</f>
        <v>Vitalidad</v>
      </c>
      <c r="B54" s="189"/>
      <c r="C54">
        <f>D8*H53</f>
        <v>5</v>
      </c>
      <c r="D54" s="106">
        <f>ROUNDDOWN(C54*1.7,0)</f>
        <v>8</v>
      </c>
      <c r="E54" s="106">
        <f>ROUNDDOWN(D54*1.7,0)</f>
        <v>13</v>
      </c>
      <c r="F54" s="106">
        <f>ROUNDDOWN(E54*1.7,0)</f>
        <v>22</v>
      </c>
      <c r="G54" s="106">
        <f>ROUNDDOWN(F54*1.7,0)</f>
        <v>37</v>
      </c>
      <c r="H54" s="26" t="s">
        <v>120</v>
      </c>
    </row>
    <row r="55" spans="1:17" x14ac:dyDescent="0.25">
      <c r="A55" s="189" t="str">
        <f>C9</f>
        <v>Fuerza</v>
      </c>
      <c r="B55" s="189"/>
      <c r="C55">
        <f>D9*H53</f>
        <v>5</v>
      </c>
      <c r="D55" s="106">
        <f t="shared" ref="D55:G55" si="4">ROUNDDOWN(C55*1.7,0)</f>
        <v>8</v>
      </c>
      <c r="E55" s="106">
        <f t="shared" si="4"/>
        <v>13</v>
      </c>
      <c r="F55" s="106">
        <f t="shared" si="4"/>
        <v>22</v>
      </c>
      <c r="G55" s="106">
        <f t="shared" si="4"/>
        <v>37</v>
      </c>
      <c r="H55" s="6">
        <v>5</v>
      </c>
    </row>
    <row r="56" spans="1:17" x14ac:dyDescent="0.25">
      <c r="A56" s="189" t="str">
        <f>C10</f>
        <v>Agilidad</v>
      </c>
      <c r="B56" s="189"/>
      <c r="C56">
        <f>D10*H53</f>
        <v>5</v>
      </c>
      <c r="D56" s="106">
        <f t="shared" ref="D56:G56" si="5">ROUNDDOWN(C56*1.7,0)</f>
        <v>8</v>
      </c>
      <c r="E56" s="106">
        <f t="shared" si="5"/>
        <v>13</v>
      </c>
      <c r="F56" s="106">
        <f t="shared" si="5"/>
        <v>22</v>
      </c>
      <c r="G56" s="106">
        <f t="shared" si="5"/>
        <v>37</v>
      </c>
    </row>
    <row r="57" spans="1:17" x14ac:dyDescent="0.25">
      <c r="A57" s="189" t="str">
        <f>C11</f>
        <v>Inteligencia</v>
      </c>
      <c r="B57" s="189"/>
      <c r="C57">
        <f>D11*H53</f>
        <v>5</v>
      </c>
      <c r="D57" s="106">
        <f t="shared" ref="D57:G57" si="6">ROUNDDOWN(C57*1.7,0)</f>
        <v>8</v>
      </c>
      <c r="E57" s="106">
        <f t="shared" si="6"/>
        <v>13</v>
      </c>
      <c r="F57" s="106">
        <f t="shared" si="6"/>
        <v>22</v>
      </c>
      <c r="G57" s="106">
        <f t="shared" si="6"/>
        <v>37</v>
      </c>
    </row>
    <row r="58" spans="1:17" x14ac:dyDescent="0.25">
      <c r="A58" s="189" t="s">
        <v>77</v>
      </c>
      <c r="B58" s="189"/>
      <c r="C58">
        <f>(C$23+C$24)/2*$H$53</f>
        <v>0</v>
      </c>
      <c r="D58">
        <f>(D$23+D$24)/2*$H$53</f>
        <v>2.5</v>
      </c>
      <c r="E58">
        <f>(E$23+E$24)/2*$H$53</f>
        <v>7.5</v>
      </c>
      <c r="F58">
        <f>(F$23+F$24)/2*$H$53</f>
        <v>12.5</v>
      </c>
      <c r="G58">
        <f>(G$23+G$24)/2*$H$53</f>
        <v>17.5</v>
      </c>
    </row>
    <row r="59" spans="1:17" x14ac:dyDescent="0.25">
      <c r="A59" s="211" t="s">
        <v>49</v>
      </c>
      <c r="B59" s="211"/>
      <c r="C59" s="211"/>
      <c r="D59" s="211"/>
      <c r="E59" s="211"/>
      <c r="F59" s="211"/>
      <c r="G59" s="211"/>
    </row>
    <row r="60" spans="1:17" x14ac:dyDescent="0.25">
      <c r="A60" s="189" t="s">
        <v>50</v>
      </c>
      <c r="B60" s="189"/>
      <c r="C60" s="5">
        <f>ROUNDDOWN(C32/5*H53,0)</f>
        <v>8</v>
      </c>
      <c r="D60" s="5">
        <f>ROUNDDOWN(D32/5*H53,0)</f>
        <v>26</v>
      </c>
      <c r="E60" s="5">
        <f>ROUNDDOWN(E32/5*H53,0)</f>
        <v>80</v>
      </c>
      <c r="F60" s="5">
        <f>ROUNDDOWN(F32/5*H53,0)</f>
        <v>240</v>
      </c>
      <c r="G60" s="5">
        <f>ROUNDDOWN(G32/5*H53,0)</f>
        <v>480</v>
      </c>
    </row>
    <row r="61" spans="1:17" x14ac:dyDescent="0.25">
      <c r="A61" s="189" t="str">
        <f>C12</f>
        <v>Esencia</v>
      </c>
      <c r="B61" s="189"/>
      <c r="C61" s="5">
        <f>ROUNDDOWN(C60/3,0)</f>
        <v>2</v>
      </c>
      <c r="D61" s="5">
        <f>ROUNDDOWN(D60/3,0)</f>
        <v>8</v>
      </c>
      <c r="E61" s="5">
        <f>ROUNDDOWN(E60/3,0)</f>
        <v>26</v>
      </c>
      <c r="F61" s="5">
        <f>ROUNDDOWN(F60/3,0)</f>
        <v>80</v>
      </c>
      <c r="G61" s="5">
        <f>ROUNDDOWN(G60/3,0)</f>
        <v>160</v>
      </c>
    </row>
    <row r="62" spans="1:17" x14ac:dyDescent="0.25">
      <c r="A62" s="212"/>
      <c r="B62" s="212"/>
    </row>
    <row r="63" spans="1:17" ht="27.75" customHeight="1" x14ac:dyDescent="0.25">
      <c r="A63" s="208" t="s">
        <v>64</v>
      </c>
      <c r="B63" s="208"/>
      <c r="C63" s="3" t="s">
        <v>0</v>
      </c>
      <c r="D63" s="3" t="s">
        <v>86</v>
      </c>
      <c r="E63" s="3" t="s">
        <v>83</v>
      </c>
      <c r="F63" s="3" t="s">
        <v>84</v>
      </c>
      <c r="G63" s="3" t="s">
        <v>85</v>
      </c>
      <c r="H63" s="3" t="s">
        <v>62</v>
      </c>
    </row>
    <row r="64" spans="1:17" x14ac:dyDescent="0.25">
      <c r="A64" s="211" t="s">
        <v>20</v>
      </c>
      <c r="B64" s="211"/>
      <c r="C64" s="211"/>
      <c r="D64" s="211"/>
      <c r="E64" s="211"/>
      <c r="F64" s="211"/>
      <c r="G64" s="211"/>
      <c r="H64" s="6">
        <f>$H$66*$I$42</f>
        <v>8</v>
      </c>
    </row>
    <row r="65" spans="1:8" x14ac:dyDescent="0.25">
      <c r="A65" s="189" t="str">
        <f>C8</f>
        <v>Vitalidad</v>
      </c>
      <c r="B65" s="189"/>
      <c r="C65">
        <f>D8*H64</f>
        <v>8</v>
      </c>
      <c r="D65">
        <f>ROUNDDOWN(C65*1.7,0)</f>
        <v>13</v>
      </c>
      <c r="E65">
        <f>ROUNDDOWN(D65*1.7,0)</f>
        <v>22</v>
      </c>
      <c r="F65">
        <f>ROUNDDOWN(E65*1.7,0)</f>
        <v>37</v>
      </c>
      <c r="G65">
        <f>ROUNDDOWN(F65*1.7,0)</f>
        <v>62</v>
      </c>
      <c r="H65" s="26" t="s">
        <v>120</v>
      </c>
    </row>
    <row r="66" spans="1:8" x14ac:dyDescent="0.25">
      <c r="A66" s="189" t="str">
        <f>C9</f>
        <v>Fuerza</v>
      </c>
      <c r="B66" s="189"/>
      <c r="C66">
        <f>D9*H64</f>
        <v>8</v>
      </c>
      <c r="D66" s="106">
        <f t="shared" ref="D66:G68" si="7">ROUNDDOWN(C66*1.7,0)</f>
        <v>13</v>
      </c>
      <c r="E66" s="106">
        <f t="shared" si="7"/>
        <v>22</v>
      </c>
      <c r="F66" s="106">
        <f t="shared" si="7"/>
        <v>37</v>
      </c>
      <c r="G66" s="106">
        <f t="shared" si="7"/>
        <v>62</v>
      </c>
      <c r="H66" s="6">
        <v>8</v>
      </c>
    </row>
    <row r="67" spans="1:8" x14ac:dyDescent="0.25">
      <c r="A67" s="189" t="str">
        <f>C10</f>
        <v>Agilidad</v>
      </c>
      <c r="B67" s="189"/>
      <c r="C67">
        <f>D9*H64</f>
        <v>8</v>
      </c>
      <c r="D67" s="106">
        <f t="shared" si="7"/>
        <v>13</v>
      </c>
      <c r="E67" s="106">
        <f t="shared" si="7"/>
        <v>22</v>
      </c>
      <c r="F67" s="106">
        <f t="shared" si="7"/>
        <v>37</v>
      </c>
      <c r="G67" s="106">
        <f t="shared" si="7"/>
        <v>62</v>
      </c>
    </row>
    <row r="68" spans="1:8" x14ac:dyDescent="0.25">
      <c r="A68" s="189" t="str">
        <f>C11</f>
        <v>Inteligencia</v>
      </c>
      <c r="B68" s="189"/>
      <c r="C68">
        <f>D9*H64</f>
        <v>8</v>
      </c>
      <c r="D68" s="106">
        <f t="shared" si="7"/>
        <v>13</v>
      </c>
      <c r="E68" s="106">
        <f t="shared" si="7"/>
        <v>22</v>
      </c>
      <c r="F68" s="106">
        <f t="shared" si="7"/>
        <v>37</v>
      </c>
      <c r="G68" s="106">
        <f t="shared" si="7"/>
        <v>62</v>
      </c>
    </row>
    <row r="69" spans="1:8" x14ac:dyDescent="0.25">
      <c r="A69" s="189" t="s">
        <v>77</v>
      </c>
      <c r="B69" s="189"/>
      <c r="C69">
        <f>(C$23+C$24)/2*$H$64</f>
        <v>0</v>
      </c>
      <c r="D69">
        <f>(D$23+D$24)/2*$H$64</f>
        <v>4</v>
      </c>
      <c r="E69">
        <f>(E$23+E$24)/2*$H$64</f>
        <v>12</v>
      </c>
      <c r="F69">
        <f>(F$23+F$24)/2*$H$64</f>
        <v>20</v>
      </c>
      <c r="G69">
        <f>(G$23+G$24)/2*$H$64</f>
        <v>28</v>
      </c>
    </row>
    <row r="70" spans="1:8" x14ac:dyDescent="0.25">
      <c r="A70" s="211" t="s">
        <v>49</v>
      </c>
      <c r="B70" s="211"/>
      <c r="C70" s="211"/>
      <c r="D70" s="211"/>
      <c r="E70" s="211"/>
      <c r="F70" s="211"/>
      <c r="G70" s="211"/>
    </row>
    <row r="71" spans="1:8" x14ac:dyDescent="0.25">
      <c r="A71" s="189" t="s">
        <v>50</v>
      </c>
      <c r="B71" s="189"/>
      <c r="C71" s="5">
        <f>ROUNDDOWN(C32/5*H64,0)</f>
        <v>14</v>
      </c>
      <c r="D71" s="5">
        <f>ROUNDDOWN(D32/5*H64,0)</f>
        <v>42</v>
      </c>
      <c r="E71" s="5">
        <f>ROUNDDOWN(E32/5*H64,0)</f>
        <v>128</v>
      </c>
      <c r="F71" s="5">
        <f>ROUNDDOWN(F32/5*H64,0)</f>
        <v>384</v>
      </c>
      <c r="G71" s="5">
        <f>ROUNDDOWN(G32/5*H64,0)</f>
        <v>768</v>
      </c>
    </row>
    <row r="72" spans="1:8" x14ac:dyDescent="0.25">
      <c r="A72" s="189" t="str">
        <f>C12</f>
        <v>Esencia</v>
      </c>
      <c r="B72" s="189"/>
      <c r="C72" s="5">
        <f>ROUNDDOWN(C71/3,0)</f>
        <v>4</v>
      </c>
      <c r="D72" s="5">
        <f>ROUNDDOWN(D71/3,0)</f>
        <v>14</v>
      </c>
      <c r="E72" s="5">
        <f>ROUNDDOWN(E71/3,0)</f>
        <v>42</v>
      </c>
      <c r="F72" s="5">
        <f>ROUNDDOWN(F71/3,0)</f>
        <v>128</v>
      </c>
      <c r="G72" s="5">
        <f>ROUNDDOWN(G71/3,0)</f>
        <v>256</v>
      </c>
    </row>
    <row r="73" spans="1:8" x14ac:dyDescent="0.25">
      <c r="A73" s="209"/>
      <c r="B73" s="209"/>
    </row>
    <row r="74" spans="1:8" ht="27.75" customHeight="1" x14ac:dyDescent="0.25">
      <c r="A74" s="208" t="s">
        <v>11</v>
      </c>
      <c r="B74" s="208"/>
      <c r="C74" s="3" t="s">
        <v>0</v>
      </c>
      <c r="D74" s="3" t="s">
        <v>86</v>
      </c>
      <c r="E74" s="3" t="s">
        <v>83</v>
      </c>
      <c r="F74" s="3" t="s">
        <v>84</v>
      </c>
      <c r="G74" s="3" t="s">
        <v>85</v>
      </c>
      <c r="H74" s="3" t="s">
        <v>62</v>
      </c>
    </row>
    <row r="75" spans="1:8" x14ac:dyDescent="0.25">
      <c r="A75" s="211" t="s">
        <v>20</v>
      </c>
      <c r="B75" s="211"/>
      <c r="C75" s="211"/>
      <c r="D75" s="211"/>
      <c r="E75" s="211"/>
      <c r="F75" s="211"/>
      <c r="G75" s="211"/>
      <c r="H75" s="6">
        <f>$H$77*$I$42</f>
        <v>7</v>
      </c>
    </row>
    <row r="76" spans="1:8" x14ac:dyDescent="0.25">
      <c r="A76" s="189" t="str">
        <f>C8</f>
        <v>Vitalidad</v>
      </c>
      <c r="B76" s="189"/>
      <c r="C76">
        <f>D8*H75</f>
        <v>7</v>
      </c>
      <c r="D76" s="106">
        <f>ROUNDDOWN(C76*1.7,0)</f>
        <v>11</v>
      </c>
      <c r="E76" s="106">
        <f>ROUNDDOWN(D76*1.7,0)</f>
        <v>18</v>
      </c>
      <c r="F76" s="106">
        <f>ROUNDDOWN(E76*1.7,0)</f>
        <v>30</v>
      </c>
      <c r="G76" s="106">
        <f>ROUNDDOWN(F76*1.7,0)</f>
        <v>51</v>
      </c>
      <c r="H76" s="26" t="s">
        <v>120</v>
      </c>
    </row>
    <row r="77" spans="1:8" x14ac:dyDescent="0.25">
      <c r="A77" s="189" t="str">
        <f>C9</f>
        <v>Fuerza</v>
      </c>
      <c r="B77" s="189"/>
      <c r="C77">
        <f>D9*H75</f>
        <v>7</v>
      </c>
      <c r="D77" s="106">
        <f t="shared" ref="D77:G77" si="8">ROUNDDOWN(C77*1.7,0)</f>
        <v>11</v>
      </c>
      <c r="E77" s="106">
        <f t="shared" si="8"/>
        <v>18</v>
      </c>
      <c r="F77" s="106">
        <f t="shared" si="8"/>
        <v>30</v>
      </c>
      <c r="G77" s="106">
        <f t="shared" si="8"/>
        <v>51</v>
      </c>
      <c r="H77" s="6">
        <v>7</v>
      </c>
    </row>
    <row r="78" spans="1:8" x14ac:dyDescent="0.25">
      <c r="A78" s="189" t="str">
        <f>C10</f>
        <v>Agilidad</v>
      </c>
      <c r="B78" s="189"/>
      <c r="C78">
        <f>D10*H75</f>
        <v>7</v>
      </c>
      <c r="D78" s="106">
        <f t="shared" ref="D78:G78" si="9">ROUNDDOWN(C78*1.7,0)</f>
        <v>11</v>
      </c>
      <c r="E78" s="106">
        <f t="shared" si="9"/>
        <v>18</v>
      </c>
      <c r="F78" s="106">
        <f t="shared" si="9"/>
        <v>30</v>
      </c>
      <c r="G78" s="106">
        <f t="shared" si="9"/>
        <v>51</v>
      </c>
    </row>
    <row r="79" spans="1:8" x14ac:dyDescent="0.25">
      <c r="A79" s="189" t="str">
        <f>C11</f>
        <v>Inteligencia</v>
      </c>
      <c r="B79" s="189"/>
      <c r="C79">
        <f>D11*H75</f>
        <v>7</v>
      </c>
      <c r="D79" s="106">
        <f t="shared" ref="D79:G79" si="10">ROUNDDOWN(C79*1.7,0)</f>
        <v>11</v>
      </c>
      <c r="E79" s="106">
        <f t="shared" si="10"/>
        <v>18</v>
      </c>
      <c r="F79" s="106">
        <f t="shared" si="10"/>
        <v>30</v>
      </c>
      <c r="G79" s="106">
        <f t="shared" si="10"/>
        <v>51</v>
      </c>
    </row>
    <row r="80" spans="1:8" x14ac:dyDescent="0.25">
      <c r="A80" s="189" t="s">
        <v>77</v>
      </c>
      <c r="B80" s="189"/>
      <c r="C80">
        <f>(C$23+C$24)/2*$H$75</f>
        <v>0</v>
      </c>
      <c r="D80">
        <f>(D$23+D$24)/2*$H$75</f>
        <v>3.5</v>
      </c>
      <c r="E80">
        <f>(E$23+E$24)/2*$H$75</f>
        <v>10.5</v>
      </c>
      <c r="F80">
        <f>(F$23+F$24)/2*$H$75</f>
        <v>17.5</v>
      </c>
      <c r="G80">
        <f>(G$23+G$24)/2*$H$75</f>
        <v>24.5</v>
      </c>
    </row>
    <row r="81" spans="1:8" x14ac:dyDescent="0.25">
      <c r="A81" s="211" t="s">
        <v>49</v>
      </c>
      <c r="B81" s="211"/>
      <c r="C81" s="211"/>
      <c r="D81" s="211"/>
      <c r="E81" s="211"/>
      <c r="F81" s="211"/>
      <c r="G81" s="211"/>
    </row>
    <row r="82" spans="1:8" x14ac:dyDescent="0.25">
      <c r="A82" s="189" t="s">
        <v>50</v>
      </c>
      <c r="B82" s="189"/>
      <c r="C82" s="5">
        <f>ROUNDDOWN(C32/5*H75,0)</f>
        <v>12</v>
      </c>
      <c r="D82" s="5">
        <f>ROUNDDOWN(D32/5*H75,0)</f>
        <v>37</v>
      </c>
      <c r="E82" s="5">
        <f>ROUNDDOWN(E32/5*H75,0)</f>
        <v>112</v>
      </c>
      <c r="F82" s="5">
        <f>ROUNDDOWN(F32/5*H75,0)</f>
        <v>336</v>
      </c>
      <c r="G82" s="5">
        <f>ROUNDDOWN(G32/5*H75,0)</f>
        <v>672</v>
      </c>
    </row>
    <row r="83" spans="1:8" x14ac:dyDescent="0.25">
      <c r="A83" s="189" t="str">
        <f>C12</f>
        <v>Esencia</v>
      </c>
      <c r="B83" s="189"/>
      <c r="C83" s="5">
        <f>ROUNDDOWN(C82/3,0)</f>
        <v>4</v>
      </c>
      <c r="D83" s="5">
        <f t="shared" ref="D83:G83" si="11">ROUNDDOWN(D82/3,0)</f>
        <v>12</v>
      </c>
      <c r="E83" s="5">
        <f t="shared" si="11"/>
        <v>37</v>
      </c>
      <c r="F83" s="5">
        <f t="shared" si="11"/>
        <v>112</v>
      </c>
      <c r="G83" s="5">
        <f t="shared" si="11"/>
        <v>224</v>
      </c>
    </row>
    <row r="84" spans="1:8" x14ac:dyDescent="0.25">
      <c r="A84" s="209"/>
      <c r="B84" s="209"/>
    </row>
    <row r="85" spans="1:8" ht="27.75" customHeight="1" x14ac:dyDescent="0.25">
      <c r="A85" s="208" t="s">
        <v>66</v>
      </c>
      <c r="B85" s="208"/>
      <c r="C85" s="3" t="s">
        <v>0</v>
      </c>
      <c r="D85" s="3" t="s">
        <v>86</v>
      </c>
      <c r="E85" s="3" t="s">
        <v>83</v>
      </c>
      <c r="F85" s="3" t="s">
        <v>84</v>
      </c>
      <c r="G85" s="3" t="s">
        <v>85</v>
      </c>
      <c r="H85" s="3" t="s">
        <v>62</v>
      </c>
    </row>
    <row r="86" spans="1:8" x14ac:dyDescent="0.25">
      <c r="A86" s="211" t="s">
        <v>20</v>
      </c>
      <c r="B86" s="211"/>
      <c r="C86" s="211"/>
      <c r="D86" s="211"/>
      <c r="E86" s="211"/>
      <c r="F86" s="211"/>
      <c r="G86" s="211"/>
      <c r="H86" s="6">
        <v>4</v>
      </c>
    </row>
    <row r="87" spans="1:8" x14ac:dyDescent="0.25">
      <c r="A87" s="189" t="str">
        <f>C8</f>
        <v>Vitalidad</v>
      </c>
      <c r="B87" s="189"/>
      <c r="C87">
        <f>D9*H86</f>
        <v>4</v>
      </c>
      <c r="D87" s="106">
        <f>ROUNDDOWN(C87*1.7,0)</f>
        <v>6</v>
      </c>
      <c r="E87" s="106">
        <f>ROUNDDOWN(D87*1.7,0)</f>
        <v>10</v>
      </c>
      <c r="F87" s="106">
        <f>ROUNDDOWN(E87*1.7,0)</f>
        <v>17</v>
      </c>
      <c r="G87" s="106">
        <f>ROUNDDOWN(F87*1.7,0)</f>
        <v>28</v>
      </c>
      <c r="H87" s="26" t="s">
        <v>120</v>
      </c>
    </row>
    <row r="88" spans="1:8" x14ac:dyDescent="0.25">
      <c r="A88" s="189" t="str">
        <f>C9</f>
        <v>Fuerza</v>
      </c>
      <c r="B88" s="189"/>
      <c r="C88">
        <f>D10*H86</f>
        <v>4</v>
      </c>
      <c r="D88" s="106">
        <f t="shared" ref="D88:G88" si="12">ROUNDDOWN(C88*1.7,0)</f>
        <v>6</v>
      </c>
      <c r="E88" s="106">
        <f t="shared" si="12"/>
        <v>10</v>
      </c>
      <c r="F88" s="106">
        <f t="shared" si="12"/>
        <v>17</v>
      </c>
      <c r="G88" s="106">
        <f t="shared" si="12"/>
        <v>28</v>
      </c>
      <c r="H88" s="6">
        <v>4</v>
      </c>
    </row>
    <row r="89" spans="1:8" x14ac:dyDescent="0.25">
      <c r="A89" s="189" t="str">
        <f>C10</f>
        <v>Agilidad</v>
      </c>
      <c r="B89" s="189"/>
      <c r="C89">
        <f>D11*H86</f>
        <v>4</v>
      </c>
      <c r="D89" s="106">
        <f t="shared" ref="D89:G89" si="13">ROUNDDOWN(C89*1.7,0)</f>
        <v>6</v>
      </c>
      <c r="E89" s="106">
        <f t="shared" si="13"/>
        <v>10</v>
      </c>
      <c r="F89" s="106">
        <f t="shared" si="13"/>
        <v>17</v>
      </c>
      <c r="G89" s="106">
        <f t="shared" si="13"/>
        <v>28</v>
      </c>
    </row>
    <row r="90" spans="1:8" x14ac:dyDescent="0.25">
      <c r="A90" s="189" t="str">
        <f>C11</f>
        <v>Inteligencia</v>
      </c>
      <c r="B90" s="189"/>
      <c r="C90">
        <f>D12*H86</f>
        <v>4</v>
      </c>
      <c r="D90" s="106">
        <f t="shared" ref="D90:G90" si="14">ROUNDDOWN(C90*1.7,0)</f>
        <v>6</v>
      </c>
      <c r="E90" s="106">
        <f t="shared" si="14"/>
        <v>10</v>
      </c>
      <c r="F90" s="106">
        <f t="shared" si="14"/>
        <v>17</v>
      </c>
      <c r="G90" s="106">
        <f t="shared" si="14"/>
        <v>28</v>
      </c>
    </row>
    <row r="91" spans="1:8" x14ac:dyDescent="0.25">
      <c r="A91" s="189" t="s">
        <v>77</v>
      </c>
      <c r="B91" s="189"/>
      <c r="C91">
        <f>(C$23+C$24)/2*$H$86</f>
        <v>0</v>
      </c>
      <c r="D91">
        <f>(D$23+D$24)/2*$H$86</f>
        <v>2</v>
      </c>
      <c r="E91">
        <f>(E$23+E$24)/2*$H$86</f>
        <v>6</v>
      </c>
      <c r="F91">
        <f>(F$23+F$24)/2*$H$86</f>
        <v>10</v>
      </c>
      <c r="G91">
        <f>(G$23+G$24)/2*$H$86</f>
        <v>14</v>
      </c>
    </row>
    <row r="92" spans="1:8" x14ac:dyDescent="0.25">
      <c r="A92" s="211" t="s">
        <v>49</v>
      </c>
      <c r="B92" s="211"/>
      <c r="C92" s="211"/>
      <c r="D92" s="211"/>
      <c r="E92" s="211"/>
      <c r="F92" s="211"/>
      <c r="G92" s="211"/>
    </row>
    <row r="93" spans="1:8" x14ac:dyDescent="0.25">
      <c r="A93" s="189" t="s">
        <v>50</v>
      </c>
      <c r="B93" s="189"/>
      <c r="C93" s="5">
        <f>ROUNDDOWN(C32/5*H86,0)</f>
        <v>7</v>
      </c>
      <c r="D93" s="5">
        <f>ROUNDDOWN(D32/5*H86,0)</f>
        <v>21</v>
      </c>
      <c r="E93" s="5">
        <f>ROUNDDOWN(E32/5*H86,0)</f>
        <v>64</v>
      </c>
      <c r="F93" s="5">
        <f>ROUNDDOWN(F32/5*H86,0)</f>
        <v>192</v>
      </c>
      <c r="G93" s="5">
        <f>ROUNDDOWN(G32/5*H86,0)</f>
        <v>384</v>
      </c>
    </row>
    <row r="94" spans="1:8" x14ac:dyDescent="0.25">
      <c r="A94" s="189" t="str">
        <f>C12</f>
        <v>Esencia</v>
      </c>
      <c r="B94" s="189"/>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36</v>
      </c>
      <c r="B2" s="161"/>
      <c r="C2" s="161">
        <f>'ECONOMIA &amp; PROFESIONES'!$N$3</f>
        <v>1</v>
      </c>
      <c r="D2" s="161"/>
      <c r="E2" s="161" t="s">
        <v>81</v>
      </c>
      <c r="F2" s="161"/>
      <c r="G2" s="161" t="s">
        <v>90</v>
      </c>
      <c r="H2" s="161"/>
      <c r="I2" s="161" t="str">
        <f>MAIN!$J$42</f>
        <v>&amp;4Poder de Arma:</v>
      </c>
      <c r="J2" s="161"/>
      <c r="K2" s="161">
        <f>MAIN!$L$42</f>
        <v>2</v>
      </c>
      <c r="L2" s="161"/>
    </row>
    <row r="3" spans="1:26" ht="29.25" customHeight="1" x14ac:dyDescent="0.25">
      <c r="A3" s="214" t="s">
        <v>7</v>
      </c>
      <c r="B3" s="214"/>
      <c r="C3" s="214"/>
      <c r="D3" s="214"/>
      <c r="E3" s="214" t="s">
        <v>8</v>
      </c>
      <c r="F3" s="214"/>
      <c r="G3" s="214"/>
      <c r="H3" s="214"/>
      <c r="I3" s="214" t="s">
        <v>83</v>
      </c>
      <c r="J3" s="214"/>
      <c r="K3" s="214"/>
      <c r="L3" s="214"/>
      <c r="M3" s="214" t="s">
        <v>84</v>
      </c>
      <c r="N3" s="214"/>
      <c r="O3" s="214"/>
      <c r="P3" s="214"/>
      <c r="Q3" s="214" t="s">
        <v>85</v>
      </c>
      <c r="R3" s="214"/>
      <c r="S3" s="214"/>
      <c r="T3" s="214"/>
      <c r="V3" s="105" t="s">
        <v>7</v>
      </c>
      <c r="W3" s="105" t="s">
        <v>8</v>
      </c>
      <c r="X3" s="105" t="s">
        <v>83</v>
      </c>
      <c r="Y3" s="105" t="s">
        <v>84</v>
      </c>
      <c r="Z3" s="105"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6" t="str">
        <f>$I$2&amp;" "&amp;ROUND(MAIN!$C$44*$C$2*$K$2/5*$U$4,0)</f>
        <v>&amp;4Poder de Arma: 1</v>
      </c>
      <c r="W4" s="106" t="str">
        <f>$I$2&amp;" "&amp;ROUND(MAIN!$D$44*$C$2*$K$2/5*$U$4,0)</f>
        <v>&amp;4Poder de Arma: 2</v>
      </c>
      <c r="X4" s="106" t="str">
        <f>$I$2&amp;" "&amp;ROUND(MAIN!$E$44*$C$2*$K$2/5*$U$4,0)</f>
        <v>&amp;4Poder de Arma: 7</v>
      </c>
      <c r="Y4" s="106" t="str">
        <f>$I$2&amp;" "&amp;ROUND(MAIN!$F$44*$C$2*$K$2/5*$U$4,0)</f>
        <v>&amp;4Poder de Arma: 22</v>
      </c>
      <c r="Z4" s="106"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6" t="str">
        <f>$I$2&amp;" "&amp;ROUND(MAIN!$C$44*$C$2*$K$2/5*$U$5,0)</f>
        <v>&amp;4Poder de Arma: 2</v>
      </c>
      <c r="W5" s="106" t="str">
        <f>$I$2&amp;" "&amp;ROUND(MAIN!$D$44*$C$2*$K$2/5*$U$5,0)</f>
        <v>&amp;4Poder de Arma: 5</v>
      </c>
      <c r="X5" s="106" t="str">
        <f>$I$2&amp;" "&amp;ROUND(MAIN!$E$44*$C$2*$K$2/5*$U$5,0)</f>
        <v>&amp;4Poder de Arma: 14</v>
      </c>
      <c r="Y5" s="106" t="str">
        <f>$I$2&amp;" "&amp;ROUND(MAIN!$F$44*$C$2*$K$2/5*$U$5,0)</f>
        <v>&amp;4Poder de Arma: 43</v>
      </c>
      <c r="Z5" s="106"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106" t="str">
        <f>$I$2&amp;" "&amp;ROUND(MAIN!$C$44*$C$2*$K$2/5*$U$6,0)</f>
        <v>&amp;4Poder de Arma: 2</v>
      </c>
      <c r="W6" s="106" t="str">
        <f>$I$2&amp;" "&amp;ROUND(MAIN!$D$44*$C$2*$K$2/5*$U$6,0)</f>
        <v>&amp;4Poder de Arma: 7</v>
      </c>
      <c r="X6" s="106" t="str">
        <f>$I$2&amp;" "&amp;ROUND(MAIN!$E$44*$C$2*$K$2/5*$U$6,0)</f>
        <v>&amp;4Poder de Arma: 22</v>
      </c>
      <c r="Y6" s="106" t="str">
        <f>$I$2&amp;" "&amp;ROUND(MAIN!$F$44*$C$2*$K$2/5*$U$6,0)</f>
        <v>&amp;4Poder de Arma: 65</v>
      </c>
      <c r="Z6" s="106"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106" t="str">
        <f>$I$2&amp;" "&amp;ROUND(MAIN!$C$44*$C$2*$K$2/5*$U$7,0)</f>
        <v>&amp;4Poder de Arma: 3</v>
      </c>
      <c r="W7" s="106" t="str">
        <f>$I$2&amp;" "&amp;ROUND(MAIN!$D$44*$C$2*$K$2/5*$U$7,0)</f>
        <v>&amp;4Poder de Arma: 10</v>
      </c>
      <c r="X7" s="106" t="str">
        <f>$I$2&amp;" "&amp;ROUND(MAIN!$E$44*$C$2*$K$2/5*$U$7,0)</f>
        <v>&amp;4Poder de Arma: 29</v>
      </c>
      <c r="Y7" s="106" t="str">
        <f>$I$2&amp;" "&amp;ROUND(MAIN!$F$44*$C$2*$K$2/5*$U$7,0)</f>
        <v>&amp;4Poder de Arma: 86</v>
      </c>
      <c r="Z7" s="106"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106" t="str">
        <f>$I$2&amp;" "&amp;ROUND(MAIN!$C$44*$C$2*$K$2/5*$U$8,0)</f>
        <v>&amp;4Poder de Arma: 4</v>
      </c>
      <c r="W8" s="106" t="str">
        <f>$I$2&amp;" "&amp;ROUND(MAIN!$D$44*$C$2*$K$2/5*$U$8,0)</f>
        <v>&amp;4Poder de Arma: 12</v>
      </c>
      <c r="X8" s="106" t="str">
        <f>$I$2&amp;" "&amp;ROUND(MAIN!$E$44*$C$2*$K$2/5*$U$8,0)</f>
        <v>&amp;4Poder de Arma: 36</v>
      </c>
      <c r="Y8" s="106" t="str">
        <f>$I$2&amp;" "&amp;ROUND(MAIN!$F$44*$C$2*$K$2/5*$U$8,0)</f>
        <v>&amp;4Poder de Arma: 108</v>
      </c>
      <c r="Z8" s="106"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&amp;650.4 &amp;aAlmakos'</v>
      </c>
      <c r="F21" s="20"/>
      <c r="G21" s="20"/>
      <c r="H21" s="20"/>
      <c r="I21" s="20" t="str">
        <f>"  - '&amp;aVenta: &amp;6"&amp;(MAIN!$D$4+(MAIN!$C$18+MAIN!$C$19)/2*MAIN!$B$9+(MAIN!$C$20+MAIN!$C$21)/2*MAIN!$B$8+(MAIN!$C$47*MAIN!$B$11)+($C$2*MAIN!$B$10))/10&amp;" &amp;aAlmakos'"</f>
        <v xml:space="preserve">  - '&amp;aVenta: &amp;650.8 &amp;aAlmakos'</v>
      </c>
      <c r="J21" s="20"/>
      <c r="K21" s="20"/>
      <c r="L21" s="20"/>
      <c r="M21" s="20" t="str">
        <f>"  - '&amp;aVenta: &amp;6"&amp;(MAIN!$D$5+(MAIN!$C$18+MAIN!$C$19)/2*MAIN!$B$9+(MAIN!$C$20+MAIN!$C$21)/2*MAIN!$B$8+(MAIN!$C$47*MAIN!$B$11)+($C$2*MAIN!$B$10))/10&amp;" &amp;aAlmakos'"</f>
        <v xml:space="preserve">  - '&amp;aVenta: &amp;651.6 &amp;aAlmakos'</v>
      </c>
      <c r="N21" s="20"/>
      <c r="O21" s="20"/>
      <c r="P21" s="20"/>
      <c r="Q21" s="20" t="str">
        <f>"  - '&amp;aVenta: &amp;6"&amp;(MAIN!$D$6+(MAIN!$C$18+MAIN!$C$19)/2*MAIN!$B$9+(MAIN!$C$20+MAIN!$C$21)/2*MAIN!$B$8+(MAIN!$C$47*MAIN!$B$11)+($C$2*MAIN!$B$10))/10&amp;" &amp;aAlmakos'"</f>
        <v xml:space="preserve">  - '&amp;aVenta: &amp;653.2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x14ac:dyDescent="0.25">
      <c r="A24" s="9" t="s">
        <v>292</v>
      </c>
      <c r="B24" s="9"/>
      <c r="C24" s="9"/>
      <c r="D24" s="9"/>
      <c r="E24" s="9" t="s">
        <v>292</v>
      </c>
      <c r="F24" s="9"/>
      <c r="G24" s="9"/>
      <c r="H24" s="9"/>
      <c r="I24" s="9" t="s">
        <v>292</v>
      </c>
      <c r="J24" s="9"/>
      <c r="K24" s="9"/>
      <c r="L24" s="9"/>
      <c r="M24" s="9" t="s">
        <v>292</v>
      </c>
      <c r="N24" s="9"/>
      <c r="O24" s="9"/>
      <c r="P24" s="9"/>
      <c r="Q24" s="9" t="s">
        <v>292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x14ac:dyDescent="0.25">
      <c r="A28" s="9" t="s">
        <v>337</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36</v>
      </c>
      <c r="B2" s="161"/>
      <c r="C2" s="161">
        <f>'ECONOMIA &amp; PROFESIONES'!$N$3</f>
        <v>1</v>
      </c>
      <c r="D2" s="161"/>
      <c r="E2" s="161" t="s">
        <v>81</v>
      </c>
      <c r="F2" s="161"/>
      <c r="G2" s="161" t="s">
        <v>90</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6">
        <v>1</v>
      </c>
      <c r="V4" s="106" t="str">
        <f>"+"&amp;ROUND(MAIN!$C$55*$C$2*$K$2/5*$U$4,0)&amp;" "&amp;$I$2</f>
        <v>+1 Armor</v>
      </c>
      <c r="W4" s="106" t="str">
        <f>"+"&amp;ROUND(MAIN!$D$55*$C$2*$K$2/5*$U$4,0)&amp;" "&amp;$I$2</f>
        <v>+2 Armor</v>
      </c>
      <c r="X4" s="106" t="str">
        <f>"+"&amp;ROUND(MAIN!$E$55*$C$2*$K$2/5*$U$4,0)&amp;" "&amp;$I$2</f>
        <v>+3 Armor</v>
      </c>
      <c r="Y4" s="106" t="str">
        <f>"+"&amp;ROUND(MAIN!$F$55*$C$2*$K$2/5*$U$4,0)&amp;" "&amp;$I$2</f>
        <v>+4 Armor</v>
      </c>
      <c r="Z4" s="106"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6">
        <v>2</v>
      </c>
      <c r="V5" s="106" t="str">
        <f>"+"&amp;ROUND(MAIN!$C$55*$C$2*$K$2/5*$U$5,0)&amp;" "&amp;$I$2</f>
        <v>+2 Armor</v>
      </c>
      <c r="W5" s="106" t="str">
        <f>"+"&amp;ROUND(MAIN!$D$55*$C$2*$K$2/5*$U$5,0)&amp;" "&amp;$I$2</f>
        <v>+3 Armor</v>
      </c>
      <c r="X5" s="106" t="str">
        <f>"+"&amp;ROUND(MAIN!$E$55*$C$2*$K$2/5*$U$5,0)&amp;" "&amp;$I$2</f>
        <v>+5 Armor</v>
      </c>
      <c r="Y5" s="106" t="str">
        <f>"+"&amp;ROUND(MAIN!$F$55*$C$2*$K$2/5*$U$5,0)&amp;" "&amp;$I$2</f>
        <v>+9 Armor</v>
      </c>
      <c r="Z5" s="106"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+3 Armor</v>
      </c>
      <c r="W6" s="106" t="str">
        <f>"+"&amp;ROUND(MAIN!$D$55*$C$2*$K$2/5*$U$6,0)&amp;" "&amp;$I$2</f>
        <v>+5 Armor</v>
      </c>
      <c r="X6" s="106" t="str">
        <f>"+"&amp;ROUND(MAIN!$E$55*$C$2*$K$2/5*$U$6,0)&amp;" "&amp;$I$2</f>
        <v>+8 Armor</v>
      </c>
      <c r="Y6" s="106" t="str">
        <f>"+"&amp;ROUND(MAIN!$F$55*$C$2*$K$2/5*$U$6,0)&amp;" "&amp;$I$2</f>
        <v>+13 Armor</v>
      </c>
      <c r="Z6" s="106"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+4 Armor</v>
      </c>
      <c r="W7" s="106" t="str">
        <f>"+"&amp;ROUND(MAIN!$D$55*$C$2*$K$2/5*$U$7,0)&amp;" "&amp;$I$2</f>
        <v>+6 Armor</v>
      </c>
      <c r="X7" s="106" t="str">
        <f>"+"&amp;ROUND(MAIN!$E$55*$C$2*$K$2/5*$U$7,0)&amp;" "&amp;$I$2</f>
        <v>+10 Armor</v>
      </c>
      <c r="Y7" s="106" t="str">
        <f>"+"&amp;ROUND(MAIN!$F$55*$C$2*$K$2/5*$U$7,0)&amp;" "&amp;$I$2</f>
        <v>+18 Armor</v>
      </c>
      <c r="Z7" s="106"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+5 Armor</v>
      </c>
      <c r="W8" s="106" t="str">
        <f>"+"&amp;ROUND(MAIN!$D$55*$C$2*$K$2/5*$U$8,0)&amp;" "&amp;$I$2</f>
        <v>+8 Armor</v>
      </c>
      <c r="X8" s="106" t="str">
        <f>"+"&amp;ROUND(MAIN!$E$55*$C$2*$K$2/5*$U$8,0)&amp;" "&amp;$I$2</f>
        <v>+13 Armor</v>
      </c>
      <c r="Y8" s="106" t="str">
        <f>"+"&amp;ROUND(MAIN!$F$55*$C$2*$K$2/5*$U$8,0)&amp;" "&amp;$I$2</f>
        <v>+22 Armor</v>
      </c>
      <c r="Z8" s="106"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 &amp;aAlmakos'</v>
      </c>
      <c r="F21" s="20"/>
      <c r="G21" s="20"/>
      <c r="H21" s="20"/>
      <c r="I21" s="20" t="str">
        <f>"  - '&amp;aVenta: &amp;6"&amp;(MAIN!$H$2+(MAIN!$C$18+MAIN!$C$19)/2*MAIN!$B$9+(MAIN!$C$20+MAIN!$C$21)/2*MAIN!$B$8+(MAIN!$C$58*MAIN!$B$11)+($C$2*MAIN!$B$10))/10&amp;" &amp;aAlmakos'"</f>
        <v xml:space="preserve">  - '&amp;aVenta: &amp;652 &amp;aAlmakos'</v>
      </c>
      <c r="J21" s="20"/>
      <c r="K21" s="20"/>
      <c r="L21" s="20"/>
      <c r="M21" s="20" t="str">
        <f>"  - '&amp;aVenta: &amp;6"&amp;(MAIN!$I$2+(MAIN!$C$18+MAIN!$C$19)/2*MAIN!$B$9+(MAIN!$C$20+MAIN!$C$21)/2*MAIN!$B$8+(MAIN!$C$58*MAIN!$B$11)+($C$2*MAIN!$B$10))/10&amp;" &amp;aAlmakos'"</f>
        <v xml:space="preserve">  - '&amp;aVenta: &amp;654 &amp;aAlmakos'</v>
      </c>
      <c r="N21" s="20"/>
      <c r="O21" s="20"/>
      <c r="P21" s="20"/>
      <c r="Q21" s="20" t="str">
        <f>"  - '&amp;aVenta: &amp;6"&amp;(MAIN!$J$2+(MAIN!$C$18+MAIN!$C$19)/2*MAIN!$B$9+(MAIN!$C$20+MAIN!$C$21)/2*MAIN!$B$8+(MAIN!$C$58*MAIN!$B$11)+($C$2*MAIN!$B$10))/10&amp;" &amp;aAlmakos'"</f>
        <v xml:space="preserve">  - '&amp;aVenta: &amp;658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x14ac:dyDescent="0.25">
      <c r="A24" s="9" t="s">
        <v>292</v>
      </c>
      <c r="B24" s="9"/>
      <c r="C24" s="9"/>
      <c r="D24" s="9"/>
      <c r="E24" s="9" t="s">
        <v>292</v>
      </c>
      <c r="F24" s="9"/>
      <c r="G24" s="9"/>
      <c r="H24" s="9"/>
      <c r="I24" s="9" t="s">
        <v>292</v>
      </c>
      <c r="J24" s="9"/>
      <c r="K24" s="9"/>
      <c r="L24" s="9"/>
      <c r="M24" s="9" t="s">
        <v>292</v>
      </c>
      <c r="N24" s="9"/>
      <c r="O24" s="9"/>
      <c r="P24" s="9"/>
      <c r="Q24" s="9" t="s">
        <v>292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x14ac:dyDescent="0.25">
      <c r="A28" s="9" t="s">
        <v>337</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workbookViewId="0">
      <selection activeCell="A35" sqref="A35"/>
    </sheetView>
  </sheetViews>
  <sheetFormatPr baseColWidth="10" defaultRowHeight="15" x14ac:dyDescent="0.25"/>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36</v>
      </c>
      <c r="B2" s="161"/>
      <c r="C2" s="161">
        <f>'ECONOMIA &amp; PROFESIONES'!$N$3</f>
        <v>1</v>
      </c>
      <c r="D2" s="161"/>
      <c r="E2" s="161" t="s">
        <v>81</v>
      </c>
      <c r="F2" s="161"/>
      <c r="G2" s="161" t="s">
        <v>90</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&amp;651.6 &amp;aAlmakos'</v>
      </c>
      <c r="F21" s="20"/>
      <c r="G21" s="20"/>
      <c r="H21" s="20"/>
      <c r="I21" s="20" t="str">
        <f>"  - '&amp;aVenta: &amp;6"&amp;(MAIN!$H$3+(MAIN!$C$18+MAIN!$C$19)/2*MAIN!$B$9+(MAIN!$C$20+MAIN!$C$21)/2*MAIN!$B$8+(MAIN!$C$69*MAIN!$B$11)+($C$2*MAIN!$B$10))/10&amp;" &amp;aAlmakos'"</f>
        <v xml:space="preserve">  - '&amp;aVenta: &amp;653.2 &amp;aAlmakos'</v>
      </c>
      <c r="J21" s="20"/>
      <c r="K21" s="20"/>
      <c r="L21" s="20"/>
      <c r="M21" s="20" t="str">
        <f>"  - '&amp;aVenta: &amp;6"&amp;(MAIN!$I$3+(MAIN!$C$18+MAIN!$C$19)/2*MAIN!$B$9+(MAIN!$C$20+MAIN!$C$21)/2*MAIN!$B$8+(MAIN!$C$69*MAIN!$B$11)+($C$2*MAIN!$B$10))/10&amp;" &amp;aAlmakos'"</f>
        <v xml:space="preserve">  - '&amp;aVenta: &amp;656.4 &amp;aAlmakos'</v>
      </c>
      <c r="N21" s="20"/>
      <c r="O21" s="20"/>
      <c r="P21" s="20"/>
      <c r="Q21" s="20" t="str">
        <f>"  - '&amp;aVenta: &amp;6"&amp;(MAIN!$J$3+(MAIN!$C$18+MAIN!$C$19)/2*MAIN!$B$9+(MAIN!$C$20+MAIN!$C$21)/2*MAIN!$B$8+(MAIN!$C$69*MAIN!$B$11)+($C$2*MAIN!$B$10))/10&amp;" &amp;aAlmakos'"</f>
        <v xml:space="preserve">  - '&amp;aVenta: &amp;662.8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x14ac:dyDescent="0.25">
      <c r="A24" s="9" t="s">
        <v>292</v>
      </c>
      <c r="B24" s="9"/>
      <c r="C24" s="9"/>
      <c r="D24" s="9"/>
      <c r="E24" s="9" t="s">
        <v>292</v>
      </c>
      <c r="F24" s="9"/>
      <c r="G24" s="9"/>
      <c r="H24" s="9"/>
      <c r="I24" s="9" t="s">
        <v>292</v>
      </c>
      <c r="J24" s="9"/>
      <c r="K24" s="9"/>
      <c r="L24" s="9"/>
      <c r="M24" s="9" t="s">
        <v>292</v>
      </c>
      <c r="N24" s="9"/>
      <c r="O24" s="9"/>
      <c r="P24" s="9"/>
      <c r="Q24" s="9" t="s">
        <v>292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x14ac:dyDescent="0.25">
      <c r="A28" s="9" t="s">
        <v>337</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8"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71"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36</v>
      </c>
      <c r="B2" s="161"/>
      <c r="C2" s="161">
        <f>'ECONOMIA &amp; PROFESIONES'!$N$3</f>
        <v>1</v>
      </c>
      <c r="D2" s="161"/>
      <c r="E2" s="161" t="s">
        <v>81</v>
      </c>
      <c r="F2" s="161"/>
      <c r="G2" s="161" t="s">
        <v>90</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&amp;651.4 &amp;aAlmakos'</v>
      </c>
      <c r="F21" s="20"/>
      <c r="G21" s="20"/>
      <c r="H21" s="20"/>
      <c r="I21" s="20" t="str">
        <f>"  - '&amp;aVenta: &amp;6"&amp;(MAIN!$H$4+(MAIN!$C$18+MAIN!$C$19)/2*MAIN!$B$9+(MAIN!$C$20+MAIN!$C$21)/2*MAIN!$B$8+(MAIN!$C$80*MAIN!$B$11)+($C$2*MAIN!$B$10))/10&amp;" &amp;aAlmakos'"</f>
        <v xml:space="preserve">  - '&amp;aVenta: &amp;652.8 &amp;aAlmakos'</v>
      </c>
      <c r="J21" s="20"/>
      <c r="K21" s="20"/>
      <c r="L21" s="20"/>
      <c r="M21" s="20" t="str">
        <f>"  - '&amp;aVenta: &amp;6"&amp;(MAIN!$I$4+(MAIN!$C$18+MAIN!$C$19)/2*MAIN!$B$9+(MAIN!$C$20+MAIN!$C$21)/2*MAIN!$B$8+(MAIN!$C$80*MAIN!$B$11)+($C$2*MAIN!$B$10))/10&amp;" &amp;aAlmakos'"</f>
        <v xml:space="preserve">  - '&amp;aVenta: &amp;655.6 &amp;aAlmakos'</v>
      </c>
      <c r="N21" s="20"/>
      <c r="O21" s="20"/>
      <c r="P21" s="20"/>
      <c r="Q21" s="20" t="str">
        <f>"  - '&amp;aVenta: &amp;6"&amp;(MAIN!$J$4+(MAIN!$C$18+MAIN!$C$19)/2*MAIN!$B$9+(MAIN!$C$20+MAIN!$C$21)/2*MAIN!$B$8+(MAIN!$C$80*MAIN!$B$11)+($C$2*MAIN!$B$10))/10&amp;" &amp;aAlmakos'"</f>
        <v xml:space="preserve">  - '&amp;aVenta: &amp;661.2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x14ac:dyDescent="0.25">
      <c r="A24" s="9" t="s">
        <v>292</v>
      </c>
      <c r="B24" s="9"/>
      <c r="C24" s="9"/>
      <c r="D24" s="9"/>
      <c r="E24" s="9" t="s">
        <v>292</v>
      </c>
      <c r="F24" s="9"/>
      <c r="G24" s="9"/>
      <c r="H24" s="9"/>
      <c r="I24" s="9" t="s">
        <v>292</v>
      </c>
      <c r="J24" s="9"/>
      <c r="K24" s="9"/>
      <c r="L24" s="9"/>
      <c r="M24" s="9" t="s">
        <v>292</v>
      </c>
      <c r="N24" s="9"/>
      <c r="O24" s="9"/>
      <c r="P24" s="9"/>
      <c r="Q24" s="9" t="s">
        <v>292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x14ac:dyDescent="0.25">
      <c r="A28" s="9" t="s">
        <v>337</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36</v>
      </c>
      <c r="B2" s="161"/>
      <c r="C2" s="161">
        <f>'ECONOMIA &amp; PROFESIONES'!$N$3</f>
        <v>1</v>
      </c>
      <c r="D2" s="161"/>
      <c r="E2" s="161" t="s">
        <v>81</v>
      </c>
      <c r="F2" s="161"/>
      <c r="G2" s="161" t="s">
        <v>90</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&amp;650.8 &amp;aAlmakos'</v>
      </c>
      <c r="F21" s="20"/>
      <c r="G21" s="20"/>
      <c r="H21" s="20"/>
      <c r="I21" s="20" t="str">
        <f>"  - '&amp;aVenta: &amp;6"&amp;(MAIN!$H$5+(MAIN!$C$18+MAIN!$C$19)/2*MAIN!$B$9+(MAIN!$C$20+MAIN!$C$21)/2*MAIN!$B$8+(MAIN!$C$91*MAIN!$B$11)+($C$2*MAIN!$B$10))/10&amp;" &amp;aAlmakos'"</f>
        <v xml:space="preserve">  - '&amp;aVenta: &amp;651.6 &amp;aAlmakos'</v>
      </c>
      <c r="J21" s="20"/>
      <c r="K21" s="20"/>
      <c r="L21" s="20"/>
      <c r="M21" s="20" t="str">
        <f>"  - '&amp;aVenta: &amp;6"&amp;(MAIN!$I$5+(MAIN!$C$18+MAIN!$C$19)/2*MAIN!$B$9+(MAIN!$C$20+MAIN!$C$21)/2*MAIN!$B$8+(MAIN!$C$91*MAIN!$B$11)+($C$2*MAIN!$B$10))/10&amp;" &amp;aAlmakos'"</f>
        <v xml:space="preserve">  - '&amp;aVenta: &amp;653.2 &amp;aAlmakos'</v>
      </c>
      <c r="N21" s="20"/>
      <c r="O21" s="20"/>
      <c r="P21" s="20"/>
      <c r="Q21" s="20" t="str">
        <f>"  - '&amp;aVenta: &amp;6"&amp;(MAIN!$J$5+(MAIN!$C$18+MAIN!$C$19)/2*MAIN!$B$9+(MAIN!$C$20+MAIN!$C$21)/2*MAIN!$B$8+(MAIN!$C$91*MAIN!$B$11)+($C$2*MAIN!$B$10))/10&amp;" &amp;aAlmakos'"</f>
        <v xml:space="preserve">  - '&amp;aVenta: &amp;656.4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x14ac:dyDescent="0.25">
      <c r="A24" s="9" t="s">
        <v>292</v>
      </c>
      <c r="B24" s="9"/>
      <c r="C24" s="9"/>
      <c r="D24" s="9"/>
      <c r="E24" s="9" t="s">
        <v>292</v>
      </c>
      <c r="F24" s="9"/>
      <c r="G24" s="9"/>
      <c r="H24" s="9"/>
      <c r="I24" s="9" t="s">
        <v>292</v>
      </c>
      <c r="J24" s="9"/>
      <c r="K24" s="9"/>
      <c r="L24" s="9"/>
      <c r="M24" s="9" t="s">
        <v>292</v>
      </c>
      <c r="N24" s="9"/>
      <c r="O24" s="9"/>
      <c r="P24" s="9"/>
      <c r="Q24" s="9" t="s">
        <v>292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x14ac:dyDescent="0.25">
      <c r="A28" s="9" t="s">
        <v>337</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100</v>
      </c>
      <c r="B2" s="161"/>
      <c r="C2" s="161">
        <f>'ECONOMIA &amp; PROFESIONES'!$O$3</f>
        <v>3</v>
      </c>
      <c r="D2" s="161"/>
      <c r="E2" s="161" t="s">
        <v>81</v>
      </c>
      <c r="F2" s="161"/>
      <c r="G2" s="161" t="s">
        <v>97</v>
      </c>
      <c r="H2" s="161"/>
      <c r="I2" s="161" t="str">
        <f>MAIN!$J$42</f>
        <v>&amp;4Poder de Arma:</v>
      </c>
      <c r="J2" s="161"/>
      <c r="K2" s="161">
        <f>MAIN!$L$42</f>
        <v>2</v>
      </c>
      <c r="L2" s="161"/>
    </row>
    <row r="3" spans="1:26" ht="29.25" customHeight="1" x14ac:dyDescent="0.25">
      <c r="A3" s="214" t="s">
        <v>7</v>
      </c>
      <c r="B3" s="214"/>
      <c r="C3" s="214"/>
      <c r="D3" s="214"/>
      <c r="E3" s="214" t="s">
        <v>8</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6">
        <v>1</v>
      </c>
      <c r="V4" s="106" t="str">
        <f>$I$2&amp;" "&amp;ROUND(MAIN!$C$44*$C$2*$K$2/5*$U$4,0)</f>
        <v>&amp;4Poder de Arma: 2</v>
      </c>
      <c r="W4" s="106" t="str">
        <f>$I$2&amp;" "&amp;ROUND(MAIN!$D$44*$C$2*$K$2/5*$U$4,0)</f>
        <v>&amp;4Poder de Arma: 7</v>
      </c>
      <c r="X4" s="106" t="str">
        <f>$I$2&amp;" "&amp;ROUND(MAIN!$E$44*$C$2*$K$2/5*$U$4,0)</f>
        <v>&amp;4Poder de Arma: 22</v>
      </c>
      <c r="Y4" s="106" t="str">
        <f>$I$2&amp;" "&amp;ROUND(MAIN!$F$44*$C$2*$K$2/5*$U$4,0)</f>
        <v>&amp;4Poder de Arma: 65</v>
      </c>
      <c r="Z4" s="106"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6">
        <v>2</v>
      </c>
      <c r="V5" s="106" t="str">
        <f>$I$2&amp;" "&amp;ROUND(MAIN!$C$44*$C$2*$K$2/5*$U$5,0)</f>
        <v>&amp;4Poder de Arma: 5</v>
      </c>
      <c r="W5" s="106" t="str">
        <f>$I$2&amp;" "&amp;ROUND(MAIN!$D$44*$C$2*$K$2/5*$U$5,0)</f>
        <v>&amp;4Poder de Arma: 14</v>
      </c>
      <c r="X5" s="106" t="str">
        <f>$I$2&amp;" "&amp;ROUND(MAIN!$E$44*$C$2*$K$2/5*$U$5,0)</f>
        <v>&amp;4Poder de Arma: 43</v>
      </c>
      <c r="Y5" s="106" t="str">
        <f>$I$2&amp;" "&amp;ROUND(MAIN!$F$44*$C$2*$K$2/5*$U$5,0)</f>
        <v>&amp;4Poder de Arma: 130</v>
      </c>
      <c r="Z5" s="106"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7</v>
      </c>
      <c r="W6" s="106" t="str">
        <f>$I$2&amp;" "&amp;ROUND(MAIN!$D$44*$C$2*$K$2/5*$U$6,0)</f>
        <v>&amp;4Poder de Arma: 22</v>
      </c>
      <c r="X6" s="106" t="str">
        <f>$I$2&amp;" "&amp;ROUND(MAIN!$E$44*$C$2*$K$2/5*$U$6,0)</f>
        <v>&amp;4Poder de Arma: 65</v>
      </c>
      <c r="Y6" s="106" t="str">
        <f>$I$2&amp;" "&amp;ROUND(MAIN!$F$44*$C$2*$K$2/5*$U$6,0)</f>
        <v>&amp;4Poder de Arma: 194</v>
      </c>
      <c r="Z6" s="106"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10</v>
      </c>
      <c r="W7" s="106" t="str">
        <f>$I$2&amp;" "&amp;ROUND(MAIN!$D$44*$C$2*$K$2/5*$U$7,0)</f>
        <v>&amp;4Poder de Arma: 29</v>
      </c>
      <c r="X7" s="106" t="str">
        <f>$I$2&amp;" "&amp;ROUND(MAIN!$E$44*$C$2*$K$2/5*$U$7,0)</f>
        <v>&amp;4Poder de Arma: 86</v>
      </c>
      <c r="Y7" s="106" t="str">
        <f>$I$2&amp;" "&amp;ROUND(MAIN!$F$44*$C$2*$K$2/5*$U$7,0)</f>
        <v>&amp;4Poder de Arma: 259</v>
      </c>
      <c r="Z7" s="106"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12</v>
      </c>
      <c r="W8" s="106" t="str">
        <f>$I$2&amp;" "&amp;ROUND(MAIN!$D$44*$C$2*$K$2/5*$U$8,0)</f>
        <v>&amp;4Poder de Arma: 36</v>
      </c>
      <c r="X8" s="106" t="str">
        <f>$I$2&amp;" "&amp;ROUND(MAIN!$E$44*$C$2*$K$2/5*$U$8,0)</f>
        <v>&amp;4Poder de Arma: 108</v>
      </c>
      <c r="Y8" s="106" t="str">
        <f>$I$2&amp;" "&amp;ROUND(MAIN!$F$44*$C$2*$K$2/5*$U$8,0)</f>
        <v>&amp;4Poder de Arma: 324</v>
      </c>
      <c r="Z8" s="106"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&amp;6205.4 &amp;aAlmakos'</v>
      </c>
      <c r="F43" s="20"/>
      <c r="G43" s="20"/>
      <c r="H43" s="20"/>
      <c r="I43" s="20" t="str">
        <f>"  - '&amp;aVenta: &amp;6"&amp;(MAIN!$D$4+(MAIN!$D$18+MAIN!$D$19)/2*MAIN!$B$9+(MAIN!$D$20+MAIN!$D$21)/2*MAIN!$B$8+(MAIN!$D$47*MAIN!$B$11)+($C$2*MAIN!$B$10))/10&amp;" &amp;aAlmakos'"</f>
        <v xml:space="preserve">  - '&amp;aVenta: &amp;6205.8 &amp;aAlmakos'</v>
      </c>
      <c r="J43" s="20"/>
      <c r="K43" s="20"/>
      <c r="L43" s="20"/>
      <c r="M43" s="20" t="str">
        <f>"  - '&amp;aVenta: &amp;6"&amp;(MAIN!$D$5+(MAIN!$D$18+MAIN!$D$19)/2*MAIN!$B$9+(MAIN!$D$20+MAIN!$D$21)/2*MAIN!$B$8+(MAIN!$D$47*MAIN!$B$11)+($C$2*MAIN!$B$10))/10&amp;" &amp;aAlmakos'"</f>
        <v xml:space="preserve">  - '&amp;aVenta: &amp;6206.6 &amp;aAlmakos'</v>
      </c>
      <c r="N43" s="20"/>
      <c r="O43" s="20"/>
      <c r="P43" s="20"/>
      <c r="Q43" s="20" t="str">
        <f>"  - '&amp;aVenta: &amp;6"&amp;(MAIN!$D$6+(MAIN!$D$18+MAIN!$D$19)/2*MAIN!$B$9+(MAIN!$D$20+MAIN!$D$21)/2*MAIN!$B$8+(MAIN!$D$47*MAIN!$B$11)+($C$2*MAIN!$B$10))/10&amp;" &amp;aAlmakos'"</f>
        <v xml:space="preserve">  - '&amp;aVenta: &amp;6208.2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89" customFormat="1" x14ac:dyDescent="0.25">
      <c r="A46" s="9" t="s">
        <v>292</v>
      </c>
      <c r="B46" s="9"/>
      <c r="C46" s="9"/>
      <c r="D46" s="9"/>
      <c r="E46" s="9" t="s">
        <v>292</v>
      </c>
      <c r="F46" s="9"/>
      <c r="G46" s="9"/>
      <c r="H46" s="9"/>
      <c r="I46" s="9" t="s">
        <v>292</v>
      </c>
      <c r="J46" s="9"/>
      <c r="K46" s="9"/>
      <c r="L46" s="9"/>
      <c r="M46" s="9" t="s">
        <v>292</v>
      </c>
      <c r="N46" s="9"/>
      <c r="O46" s="9"/>
      <c r="P46" s="9"/>
      <c r="Q46" s="9" t="s">
        <v>292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106" customFormat="1" x14ac:dyDescent="0.25">
      <c r="A50" s="9" t="s">
        <v>337</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8"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108"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100</v>
      </c>
      <c r="B2" s="161"/>
      <c r="C2" s="161">
        <f>'ECONOMIA &amp; PROFESIONES'!$O$3</f>
        <v>3</v>
      </c>
      <c r="D2" s="161"/>
      <c r="E2" s="161" t="s">
        <v>81</v>
      </c>
      <c r="F2" s="161"/>
      <c r="G2" s="161" t="s">
        <v>97</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6">
        <v>1</v>
      </c>
      <c r="V4" s="106" t="str">
        <f>"+"&amp;ROUND(MAIN!$C$55*$C$2*$K$2/5*$U$4,0)&amp;" "&amp;$I$2</f>
        <v>+3 Armor</v>
      </c>
      <c r="W4" s="106" t="str">
        <f>"+"&amp;ROUND(MAIN!$D$55*$C$2*$K$2/5*$U$4,0)&amp;" "&amp;$I$2</f>
        <v>+5 Armor</v>
      </c>
      <c r="X4" s="106" t="str">
        <f>"+"&amp;ROUND(MAIN!$E$55*$C$2*$K$2/5*$U$4,0)&amp;" "&amp;$I$2</f>
        <v>+8 Armor</v>
      </c>
      <c r="Y4" s="106" t="str">
        <f>"+"&amp;ROUND(MAIN!$F$55*$C$2*$K$2/5*$U$4,0)&amp;" "&amp;$I$2</f>
        <v>+13 Armor</v>
      </c>
      <c r="Z4" s="106"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6">
        <v>2</v>
      </c>
      <c r="V5" s="106" t="str">
        <f>"+"&amp;ROUND(MAIN!$C$55*$C$2*$K$2/5*$U$5,0)&amp;" "&amp;$I$2</f>
        <v>+6 Armor</v>
      </c>
      <c r="W5" s="106" t="str">
        <f>"+"&amp;ROUND(MAIN!$D$55*$C$2*$K$2/5*$U$5,0)&amp;" "&amp;$I$2</f>
        <v>+10 Armor</v>
      </c>
      <c r="X5" s="106" t="str">
        <f>"+"&amp;ROUND(MAIN!$E$55*$C$2*$K$2/5*$U$5,0)&amp;" "&amp;$I$2</f>
        <v>+16 Armor</v>
      </c>
      <c r="Y5" s="106" t="str">
        <f>"+"&amp;ROUND(MAIN!$F$55*$C$2*$K$2/5*$U$5,0)&amp;" "&amp;$I$2</f>
        <v>+26 Armor</v>
      </c>
      <c r="Z5" s="106"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+9 Armor</v>
      </c>
      <c r="W6" s="106" t="str">
        <f>"+"&amp;ROUND(MAIN!$D$55*$C$2*$K$2/5*$U$6,0)&amp;" "&amp;$I$2</f>
        <v>+14 Armor</v>
      </c>
      <c r="X6" s="106" t="str">
        <f>"+"&amp;ROUND(MAIN!$E$55*$C$2*$K$2/5*$U$6,0)&amp;" "&amp;$I$2</f>
        <v>+23 Armor</v>
      </c>
      <c r="Y6" s="106" t="str">
        <f>"+"&amp;ROUND(MAIN!$F$55*$C$2*$K$2/5*$U$6,0)&amp;" "&amp;$I$2</f>
        <v>+40 Armor</v>
      </c>
      <c r="Z6" s="106"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+12 Armor</v>
      </c>
      <c r="W7" s="106" t="str">
        <f>"+"&amp;ROUND(MAIN!$D$55*$C$2*$K$2/5*$U$7,0)&amp;" "&amp;$I$2</f>
        <v>+19 Armor</v>
      </c>
      <c r="X7" s="106" t="str">
        <f>"+"&amp;ROUND(MAIN!$E$55*$C$2*$K$2/5*$U$7,0)&amp;" "&amp;$I$2</f>
        <v>+31 Armor</v>
      </c>
      <c r="Y7" s="106" t="str">
        <f>"+"&amp;ROUND(MAIN!$F$55*$C$2*$K$2/5*$U$7,0)&amp;" "&amp;$I$2</f>
        <v>+53 Armor</v>
      </c>
      <c r="Z7" s="106"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+15 Armor</v>
      </c>
      <c r="W8" s="106" t="str">
        <f>"+"&amp;ROUND(MAIN!$D$55*$C$2*$K$2/5*$U$8,0)&amp;" "&amp;$I$2</f>
        <v>+24 Armor</v>
      </c>
      <c r="X8" s="106" t="str">
        <f>"+"&amp;ROUND(MAIN!$E$55*$C$2*$K$2/5*$U$8,0)&amp;" "&amp;$I$2</f>
        <v>+39 Armor</v>
      </c>
      <c r="Y8" s="106" t="str">
        <f>"+"&amp;ROUND(MAIN!$F$55*$C$2*$K$2/5*$U$8,0)&amp;" "&amp;$I$2</f>
        <v>+66 Armor</v>
      </c>
      <c r="Z8" s="106"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&amp;6213.5 &amp;aAlmakos'</v>
      </c>
      <c r="F42" s="20"/>
      <c r="G42" s="20"/>
      <c r="H42" s="20"/>
      <c r="I42" s="20" t="str">
        <f>"  - '&amp;aVenta: &amp;6"&amp;(MAIN!$H$2+(MAIN!$D$18+MAIN!$D$19)/2*MAIN!$B$9+(MAIN!$D$20+MAIN!$D$21)/2*MAIN!$B$8+(MAIN!$D$58*MAIN!$B$11)+($C$2*MAIN!$B$10))/10&amp;" &amp;aAlmakos'"</f>
        <v xml:space="preserve">  - '&amp;aVenta: &amp;6214.5 &amp;aAlmakos'</v>
      </c>
      <c r="J42" s="20"/>
      <c r="K42" s="20"/>
      <c r="L42" s="20"/>
      <c r="M42" s="20" t="str">
        <f>"  - '&amp;aVenta: &amp;6"&amp;(MAIN!$I$2+(MAIN!$D$18+MAIN!$D$19)/2*MAIN!$B$9+(MAIN!$D$20+MAIN!$D$21)/2*MAIN!$B$8+(MAIN!$D$58*MAIN!$B$11)+($C$2*MAIN!$B$10))/10&amp;" &amp;aAlmakos'"</f>
        <v xml:space="preserve">  - '&amp;aVenta: &amp;6216.5 &amp;aAlmakos'</v>
      </c>
      <c r="N42" s="20"/>
      <c r="O42" s="20"/>
      <c r="P42" s="20"/>
      <c r="Q42" s="20" t="str">
        <f>"  - '&amp;aVenta: &amp;6"&amp;(MAIN!$J$2+(MAIN!$D$18+MAIN!$D$19)/2*MAIN!$B$9+(MAIN!$D$20+MAIN!$D$21)/2*MAIN!$B$8+(MAIN!$D$58*MAIN!$B$11)+($C$2*MAIN!$B$10))/10&amp;" &amp;aAlmakos'"</f>
        <v xml:space="preserve">  - '&amp;aVenta: &amp;6220.5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x14ac:dyDescent="0.25">
      <c r="A45" s="9" t="s">
        <v>292</v>
      </c>
      <c r="B45" s="9"/>
      <c r="C45" s="9"/>
      <c r="D45" s="9"/>
      <c r="E45" s="9" t="s">
        <v>292</v>
      </c>
      <c r="F45" s="9"/>
      <c r="G45" s="9"/>
      <c r="H45" s="9"/>
      <c r="I45" s="9" t="s">
        <v>292</v>
      </c>
      <c r="J45" s="9"/>
      <c r="K45" s="9"/>
      <c r="L45" s="9"/>
      <c r="M45" s="9" t="s">
        <v>292</v>
      </c>
      <c r="N45" s="9"/>
      <c r="O45" s="9"/>
      <c r="P45" s="9"/>
      <c r="Q45" s="9" t="s">
        <v>292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x14ac:dyDescent="0.25">
      <c r="A49" s="9" t="s">
        <v>337</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8"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100</v>
      </c>
      <c r="B2" s="161"/>
      <c r="C2" s="161">
        <f>'ECONOMIA &amp; PROFESIONES'!$O$3</f>
        <v>3</v>
      </c>
      <c r="D2" s="161"/>
      <c r="E2" s="161" t="s">
        <v>81</v>
      </c>
      <c r="F2" s="161"/>
      <c r="G2" s="161" t="s">
        <v>97</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&amp;6221.6 &amp;aAlmakos'</v>
      </c>
      <c r="F42" s="20"/>
      <c r="G42" s="20"/>
      <c r="H42" s="20"/>
      <c r="I42" s="20" t="str">
        <f>"  - '&amp;aVenta: &amp;6"&amp;(MAIN!$H$3+(MAIN!$D$18+MAIN!$D$19)/2*MAIN!$B$9+(MAIN!$D$20+MAIN!$D$21)/2*MAIN!$B$8+(MAIN!$D$69*MAIN!$B$11)+($C$2*MAIN!$B$10))/10&amp;" &amp;aAlmakos'"</f>
        <v xml:space="preserve">  - '&amp;aVenta: &amp;6223.2 &amp;aAlmakos'</v>
      </c>
      <c r="J42" s="20"/>
      <c r="K42" s="20"/>
      <c r="L42" s="20"/>
      <c r="M42" s="20" t="str">
        <f>"  - '&amp;aVenta: &amp;6"&amp;(MAIN!$I$3+(MAIN!$D$18+MAIN!$D$19)/2*MAIN!$B$9+(MAIN!$D$20+MAIN!$D$21)/2*MAIN!$B$8+(MAIN!$D$69*MAIN!$B$11)+($C$2*MAIN!$B$10))/10&amp;" &amp;aAlmakos'"</f>
        <v xml:space="preserve">  - '&amp;aVenta: &amp;6226.4 &amp;aAlmakos'</v>
      </c>
      <c r="N42" s="20"/>
      <c r="O42" s="20"/>
      <c r="P42" s="20"/>
      <c r="Q42" s="20" t="str">
        <f>"  - '&amp;aVenta: &amp;6"&amp;(MAIN!$J$3+(MAIN!$D$18+MAIN!$D$19)/2*MAIN!$B$9+(MAIN!$D$20+MAIN!$D$21)/2*MAIN!$B$8+(MAIN!$D$69*MAIN!$B$11)+($C$2*MAIN!$B$10))/10&amp;" &amp;aAlmakos'"</f>
        <v xml:space="preserve">  - '&amp;aVenta: &amp;6232.8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x14ac:dyDescent="0.25">
      <c r="A45" s="9" t="s">
        <v>292</v>
      </c>
      <c r="B45" s="9"/>
      <c r="C45" s="9"/>
      <c r="D45" s="9"/>
      <c r="E45" s="9" t="s">
        <v>292</v>
      </c>
      <c r="F45" s="9"/>
      <c r="G45" s="9"/>
      <c r="H45" s="9"/>
      <c r="I45" s="9" t="s">
        <v>292</v>
      </c>
      <c r="J45" s="9"/>
      <c r="K45" s="9"/>
      <c r="L45" s="9"/>
      <c r="M45" s="9" t="s">
        <v>292</v>
      </c>
      <c r="N45" s="9"/>
      <c r="O45" s="9"/>
      <c r="P45" s="9"/>
      <c r="Q45" s="9" t="s">
        <v>292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x14ac:dyDescent="0.25">
      <c r="A49" s="9" t="s">
        <v>337</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100</v>
      </c>
      <c r="B2" s="161"/>
      <c r="C2" s="161">
        <f>'ECONOMIA &amp; PROFESIONES'!$O$3</f>
        <v>3</v>
      </c>
      <c r="D2" s="161"/>
      <c r="E2" s="161" t="s">
        <v>81</v>
      </c>
      <c r="F2" s="161"/>
      <c r="G2" s="161" t="s">
        <v>97</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&amp;6218.9 &amp;aAlmakos'</v>
      </c>
      <c r="F42" s="20"/>
      <c r="G42" s="20"/>
      <c r="H42" s="20"/>
      <c r="I42" s="20" t="str">
        <f>"  - '&amp;aVenta: &amp;6"&amp;(MAIN!$H$4+(MAIN!$D$18+MAIN!$D$19)/2*MAIN!$B$9+(MAIN!$D$20+MAIN!$D$21)/2*MAIN!$B$8+(MAIN!$D$80*MAIN!$B$11)+($C$2*MAIN!$B$10))/10&amp;" &amp;aAlmakos'"</f>
        <v xml:space="preserve">  - '&amp;aVenta: &amp;6220.3 &amp;aAlmakos'</v>
      </c>
      <c r="J42" s="20"/>
      <c r="K42" s="20"/>
      <c r="L42" s="20"/>
      <c r="M42" s="20" t="str">
        <f>"  - '&amp;aVenta: &amp;6"&amp;(MAIN!$I$4+(MAIN!$D$18+MAIN!$D$19)/2*MAIN!$B$9+(MAIN!$D$20+MAIN!$D$21)/2*MAIN!$B$8+(MAIN!$D$80*MAIN!$B$11)+($C$2*MAIN!$B$10))/10&amp;" &amp;aAlmakos'"</f>
        <v xml:space="preserve">  - '&amp;aVenta: &amp;6223.1 &amp;aAlmakos'</v>
      </c>
      <c r="N42" s="20"/>
      <c r="O42" s="20"/>
      <c r="P42" s="20"/>
      <c r="Q42" s="20" t="str">
        <f>"  - '&amp;aVenta: &amp;6"&amp;(MAIN!$J$4+(MAIN!$D$18+MAIN!$D$19)/2*MAIN!$B$9+(MAIN!$D$20+MAIN!$D$21)/2*MAIN!$B$8+(MAIN!$D$80*MAIN!$B$11)+($C$2*MAIN!$B$10))/10&amp;" &amp;aAlmakos'"</f>
        <v xml:space="preserve">  - '&amp;aVenta: &amp;6228.7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x14ac:dyDescent="0.25">
      <c r="A45" s="9" t="s">
        <v>292</v>
      </c>
      <c r="B45" s="9"/>
      <c r="C45" s="9"/>
      <c r="D45" s="9"/>
      <c r="E45" s="9" t="s">
        <v>292</v>
      </c>
      <c r="F45" s="9"/>
      <c r="G45" s="9"/>
      <c r="H45" s="9"/>
      <c r="I45" s="9" t="s">
        <v>292</v>
      </c>
      <c r="J45" s="9"/>
      <c r="K45" s="9"/>
      <c r="L45" s="9"/>
      <c r="M45" s="9" t="s">
        <v>292</v>
      </c>
      <c r="N45" s="9"/>
      <c r="O45" s="9"/>
      <c r="P45" s="9"/>
      <c r="Q45" s="9" t="s">
        <v>292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x14ac:dyDescent="0.25">
      <c r="A49" s="9" t="s">
        <v>337</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100</v>
      </c>
      <c r="B2" s="161"/>
      <c r="C2" s="161">
        <f>'ECONOMIA &amp; PROFESIONES'!$O$3</f>
        <v>3</v>
      </c>
      <c r="D2" s="161"/>
      <c r="E2" s="161" t="s">
        <v>81</v>
      </c>
      <c r="F2" s="161"/>
      <c r="G2" s="161" t="s">
        <v>97</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&amp;6210.8 &amp;aAlmakos'</v>
      </c>
      <c r="F42" s="20"/>
      <c r="G42" s="20"/>
      <c r="H42" s="20"/>
      <c r="I42" s="20" t="str">
        <f>"  - '&amp;aVenta: &amp;6"&amp;(MAIN!$H$5+(MAIN!$D$18+MAIN!$D$19)/2*MAIN!$B$9+(MAIN!$D$20+MAIN!$D$21)/2*MAIN!$B$8+(MAIN!$D$91*MAIN!$B$11)+($C$2*MAIN!$B$10))/10&amp;" &amp;aAlmakos'"</f>
        <v xml:space="preserve">  - '&amp;aVenta: &amp;6211.6 &amp;aAlmakos'</v>
      </c>
      <c r="J42" s="20"/>
      <c r="K42" s="20"/>
      <c r="L42" s="20"/>
      <c r="M42" s="20" t="str">
        <f>"  - '&amp;aVenta: &amp;6"&amp;(MAIN!$I$5+(MAIN!$D$18+MAIN!$D$19)/2*MAIN!$B$9+(MAIN!$D$20+MAIN!$D$21)/2*MAIN!$B$8+(MAIN!$D$91*MAIN!$B$11)+($C$2*MAIN!$B$10))/10&amp;" &amp;aAlmakos'"</f>
        <v xml:space="preserve">  - '&amp;aVenta: &amp;6213.2 &amp;aAlmakos'</v>
      </c>
      <c r="N42" s="20"/>
      <c r="O42" s="20"/>
      <c r="P42" s="20"/>
      <c r="Q42" s="20" t="str">
        <f>"  - '&amp;aVenta: &amp;6"&amp;(MAIN!$J$5+(MAIN!$D$18+MAIN!$D$19)/2*MAIN!$B$9+(MAIN!$D$20+MAIN!$D$21)/2*MAIN!$B$8+(MAIN!$D$91*MAIN!$B$11)+($C$2*MAIN!$B$10))/10&amp;" &amp;aAlmakos'"</f>
        <v xml:space="preserve">  - '&amp;aVenta: &amp;6216.4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x14ac:dyDescent="0.25">
      <c r="A45" s="9" t="s">
        <v>292</v>
      </c>
      <c r="B45" s="9"/>
      <c r="C45" s="9"/>
      <c r="D45" s="9"/>
      <c r="E45" s="9" t="s">
        <v>292</v>
      </c>
      <c r="F45" s="9"/>
      <c r="G45" s="9"/>
      <c r="H45" s="9"/>
      <c r="I45" s="9" t="s">
        <v>292</v>
      </c>
      <c r="J45" s="9"/>
      <c r="K45" s="9"/>
      <c r="L45" s="9"/>
      <c r="M45" s="9" t="s">
        <v>292</v>
      </c>
      <c r="N45" s="9"/>
      <c r="O45" s="9"/>
      <c r="P45" s="9"/>
      <c r="Q45" s="9" t="s">
        <v>292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x14ac:dyDescent="0.25">
      <c r="A49" s="9" t="s">
        <v>337</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102</v>
      </c>
      <c r="B2" s="161"/>
      <c r="C2" s="161">
        <f>'ECONOMIA &amp; PROFESIONES'!$P$3</f>
        <v>5</v>
      </c>
      <c r="D2" s="161"/>
      <c r="E2" s="161" t="s">
        <v>81</v>
      </c>
      <c r="F2" s="161"/>
      <c r="G2" s="161" t="s">
        <v>103</v>
      </c>
      <c r="H2" s="161"/>
      <c r="I2" s="161" t="str">
        <f>MAIN!$J$42</f>
        <v>&amp;4Poder de Arma:</v>
      </c>
      <c r="J2" s="161"/>
      <c r="K2" s="161">
        <f>MAIN!$L$42</f>
        <v>2</v>
      </c>
      <c r="L2" s="161"/>
    </row>
    <row r="3" spans="1:26" ht="29.25" customHeight="1" x14ac:dyDescent="0.25">
      <c r="A3" s="214" t="s">
        <v>7</v>
      </c>
      <c r="B3" s="214"/>
      <c r="C3" s="214"/>
      <c r="D3" s="214"/>
      <c r="E3" s="214" t="s">
        <v>8</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6">
        <v>1</v>
      </c>
      <c r="V4" s="106" t="str">
        <f>$I$2&amp;" "&amp;ROUND(MAIN!$C$44*$C$2*$K$2/5*$U$4,0)</f>
        <v>&amp;4Poder de Arma: 4</v>
      </c>
      <c r="W4" s="106" t="str">
        <f>$I$2&amp;" "&amp;ROUND(MAIN!$D$44*$C$2*$K$2/5*$U$4,0)</f>
        <v>&amp;4Poder de Arma: 12</v>
      </c>
      <c r="X4" s="106" t="str">
        <f>$I$2&amp;" "&amp;ROUND(MAIN!$E$44*$C$2*$K$2/5*$U$4,0)</f>
        <v>&amp;4Poder de Arma: 36</v>
      </c>
      <c r="Y4" s="106" t="str">
        <f>$I$2&amp;" "&amp;ROUND(MAIN!$F$44*$C$2*$K$2/5*$U$4,0)</f>
        <v>&amp;4Poder de Arma: 108</v>
      </c>
      <c r="Z4" s="106"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6">
        <v>2</v>
      </c>
      <c r="V5" s="106" t="str">
        <f>$I$2&amp;" "&amp;ROUND(MAIN!$C$44*$C$2*$K$2/5*$U$5,0)</f>
        <v>&amp;4Poder de Arma: 8</v>
      </c>
      <c r="W5" s="106" t="str">
        <f>$I$2&amp;" "&amp;ROUND(MAIN!$D$44*$C$2*$K$2/5*$U$5,0)</f>
        <v>&amp;4Poder de Arma: 24</v>
      </c>
      <c r="X5" s="106" t="str">
        <f>$I$2&amp;" "&amp;ROUND(MAIN!$E$44*$C$2*$K$2/5*$U$5,0)</f>
        <v>&amp;4Poder de Arma: 72</v>
      </c>
      <c r="Y5" s="106" t="str">
        <f>$I$2&amp;" "&amp;ROUND(MAIN!$F$44*$C$2*$K$2/5*$U$5,0)</f>
        <v>&amp;4Poder de Arma: 216</v>
      </c>
      <c r="Z5" s="106"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12</v>
      </c>
      <c r="W6" s="106" t="str">
        <f>$I$2&amp;" "&amp;ROUND(MAIN!$D$44*$C$2*$K$2/5*$U$6,0)</f>
        <v>&amp;4Poder de Arma: 36</v>
      </c>
      <c r="X6" s="106" t="str">
        <f>$I$2&amp;" "&amp;ROUND(MAIN!$E$44*$C$2*$K$2/5*$U$6,0)</f>
        <v>&amp;4Poder de Arma: 108</v>
      </c>
      <c r="Y6" s="106" t="str">
        <f>$I$2&amp;" "&amp;ROUND(MAIN!$F$44*$C$2*$K$2/5*$U$6,0)</f>
        <v>&amp;4Poder de Arma: 324</v>
      </c>
      <c r="Z6" s="106"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16</v>
      </c>
      <c r="W7" s="106" t="str">
        <f>$I$2&amp;" "&amp;ROUND(MAIN!$D$44*$C$2*$K$2/5*$U$7,0)</f>
        <v>&amp;4Poder de Arma: 48</v>
      </c>
      <c r="X7" s="106" t="str">
        <f>$I$2&amp;" "&amp;ROUND(MAIN!$E$44*$C$2*$K$2/5*$U$7,0)</f>
        <v>&amp;4Poder de Arma: 144</v>
      </c>
      <c r="Y7" s="106" t="str">
        <f>$I$2&amp;" "&amp;ROUND(MAIN!$F$44*$C$2*$K$2/5*$U$7,0)</f>
        <v>&amp;4Poder de Arma: 432</v>
      </c>
      <c r="Z7" s="106"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20</v>
      </c>
      <c r="W8" s="106" t="str">
        <f>$I$2&amp;" "&amp;ROUND(MAIN!$D$44*$C$2*$K$2/5*$U$8,0)</f>
        <v>&amp;4Poder de Arma: 60</v>
      </c>
      <c r="X8" s="106" t="str">
        <f>$I$2&amp;" "&amp;ROUND(MAIN!$E$44*$C$2*$K$2/5*$U$8,0)</f>
        <v>&amp;4Poder de Arma: 180</v>
      </c>
      <c r="Y8" s="106" t="str">
        <f>$I$2&amp;" "&amp;ROUND(MAIN!$F$44*$C$2*$K$2/5*$U$8,0)</f>
        <v>&amp;4Poder de Arma: 540</v>
      </c>
      <c r="Z8" s="106"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&amp;6365.4 &amp;aAlmakos'</v>
      </c>
      <c r="F62" s="20"/>
      <c r="G62" s="20"/>
      <c r="H62" s="20"/>
      <c r="I62" s="20" t="str">
        <f>"  - '&amp;aVenta: &amp;6"&amp;(MAIN!$D$4+(MAIN!$E$18+MAIN!$E$19)/2*MAIN!$B$9+(MAIN!$E$20+MAIN!$E$21)/2*MAIN!$B$8+(MAIN!$E$47*MAIN!$B$11)+($C$2*MAIN!$B$10))/10&amp;" &amp;aAlmakos'"</f>
        <v xml:space="preserve">  - '&amp;aVenta: &amp;6365.8 &amp;aAlmakos'</v>
      </c>
      <c r="J62" s="20"/>
      <c r="K62" s="20"/>
      <c r="L62" s="20"/>
      <c r="M62" s="20" t="str">
        <f>"  - '&amp;aVenta: &amp;6"&amp;(MAIN!$D$5+(MAIN!$E$18+MAIN!$E$19)/2*MAIN!$B$9+(MAIN!$E$20+MAIN!$E$21)/2*MAIN!$B$8+(MAIN!$E$47*MAIN!$B$11)+($C$2*MAIN!$B$10))/10&amp;" &amp;aAlmakos'"</f>
        <v xml:space="preserve">  - '&amp;aVenta: &amp;6366.6 &amp;aAlmakos'</v>
      </c>
      <c r="N62" s="20"/>
      <c r="O62" s="20"/>
      <c r="P62" s="20"/>
      <c r="Q62" s="20" t="str">
        <f>"  - '&amp;aVenta: &amp;6"&amp;(MAIN!$D$6+(MAIN!$E$18+MAIN!$E$19)/2*MAIN!$B$9+(MAIN!$E$20+MAIN!$E$21)/2*MAIN!$B$8+(MAIN!$E$47*MAIN!$B$11)+($C$2*MAIN!$B$10))/10&amp;" &amp;aAlmakos'"</f>
        <v xml:space="preserve">  - '&amp;aVenta: &amp;6368.2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8"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102</v>
      </c>
      <c r="B2" s="161"/>
      <c r="C2" s="161">
        <f>'ECONOMIA &amp; PROFESIONES'!$P$3</f>
        <v>5</v>
      </c>
      <c r="D2" s="161"/>
      <c r="E2" s="161" t="s">
        <v>81</v>
      </c>
      <c r="F2" s="161"/>
      <c r="G2" s="161" t="s">
        <v>103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6">
        <v>1</v>
      </c>
      <c r="V4" s="106" t="str">
        <f>"+"&amp;ROUND(MAIN!$C$55*$C$2*$K$2/5*$U$4,0)&amp;" "&amp;$I$2</f>
        <v>+5 Armor</v>
      </c>
      <c r="W4" s="106" t="str">
        <f>"+"&amp;ROUND(MAIN!$D$55*$C$2*$K$2/5*$U$4,0)&amp;" "&amp;$I$2</f>
        <v>+8 Armor</v>
      </c>
      <c r="X4" s="106" t="str">
        <f>"+"&amp;ROUND(MAIN!$E$55*$C$2*$K$2/5*$U$4,0)&amp;" "&amp;$I$2</f>
        <v>+13 Armor</v>
      </c>
      <c r="Y4" s="106" t="str">
        <f>"+"&amp;ROUND(MAIN!$F$55*$C$2*$K$2/5*$U$4,0)&amp;" "&amp;$I$2</f>
        <v>+22 Armor</v>
      </c>
      <c r="Z4" s="106"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6">
        <v>2</v>
      </c>
      <c r="V5" s="106" t="str">
        <f>"+"&amp;ROUND(MAIN!$C$55*$C$2*$K$2/5*$U$5,0)&amp;" "&amp;$I$2</f>
        <v>+10 Armor</v>
      </c>
      <c r="W5" s="106" t="str">
        <f>"+"&amp;ROUND(MAIN!$D$55*$C$2*$K$2/5*$U$5,0)&amp;" "&amp;$I$2</f>
        <v>+16 Armor</v>
      </c>
      <c r="X5" s="106" t="str">
        <f>"+"&amp;ROUND(MAIN!$E$55*$C$2*$K$2/5*$U$5,0)&amp;" "&amp;$I$2</f>
        <v>+26 Armor</v>
      </c>
      <c r="Y5" s="106" t="str">
        <f>"+"&amp;ROUND(MAIN!$F$55*$C$2*$K$2/5*$U$5,0)&amp;" "&amp;$I$2</f>
        <v>+44 Armor</v>
      </c>
      <c r="Z5" s="106"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+15 Armor</v>
      </c>
      <c r="W6" s="106" t="str">
        <f>"+"&amp;ROUND(MAIN!$D$55*$C$2*$K$2/5*$U$6,0)&amp;" "&amp;$I$2</f>
        <v>+24 Armor</v>
      </c>
      <c r="X6" s="106" t="str">
        <f>"+"&amp;ROUND(MAIN!$E$55*$C$2*$K$2/5*$U$6,0)&amp;" "&amp;$I$2</f>
        <v>+39 Armor</v>
      </c>
      <c r="Y6" s="106" t="str">
        <f>"+"&amp;ROUND(MAIN!$F$55*$C$2*$K$2/5*$U$6,0)&amp;" "&amp;$I$2</f>
        <v>+66 Armor</v>
      </c>
      <c r="Z6" s="106"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+20 Armor</v>
      </c>
      <c r="W7" s="106" t="str">
        <f>"+"&amp;ROUND(MAIN!$D$55*$C$2*$K$2/5*$U$7,0)&amp;" "&amp;$I$2</f>
        <v>+32 Armor</v>
      </c>
      <c r="X7" s="106" t="str">
        <f>"+"&amp;ROUND(MAIN!$E$55*$C$2*$K$2/5*$U$7,0)&amp;" "&amp;$I$2</f>
        <v>+52 Armor</v>
      </c>
      <c r="Y7" s="106" t="str">
        <f>"+"&amp;ROUND(MAIN!$F$55*$C$2*$K$2/5*$U$7,0)&amp;" "&amp;$I$2</f>
        <v>+88 Armor</v>
      </c>
      <c r="Z7" s="106"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+25 Armor</v>
      </c>
      <c r="W8" s="106" t="str">
        <f>"+"&amp;ROUND(MAIN!$D$55*$C$2*$K$2/5*$U$8,0)&amp;" "&amp;$I$2</f>
        <v>+40 Armor</v>
      </c>
      <c r="X8" s="106" t="str">
        <f>"+"&amp;ROUND(MAIN!$E$55*$C$2*$K$2/5*$U$8,0)&amp;" "&amp;$I$2</f>
        <v>+65 Armor</v>
      </c>
      <c r="Y8" s="106" t="str">
        <f>"+"&amp;ROUND(MAIN!$F$55*$C$2*$K$2/5*$U$8,0)&amp;" "&amp;$I$2</f>
        <v>+110 Armor</v>
      </c>
      <c r="Z8" s="106"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&amp;6388.5 &amp;aAlmakos'</v>
      </c>
      <c r="F62" s="20"/>
      <c r="G62" s="20"/>
      <c r="H62" s="20"/>
      <c r="I62" s="20" t="str">
        <f>"  - '&amp;aVenta: &amp;6"&amp;(MAIN!$H$2+(MAIN!$E$18+MAIN!$E$19)/2*MAIN!$B$9+(MAIN!$E$20+MAIN!$E$21)/2*MAIN!$B$8+(MAIN!$E$58*MAIN!$B$11)+($C$2*MAIN!$B$10))/10&amp;" &amp;aAlmakos'"</f>
        <v xml:space="preserve">  - '&amp;aVenta: &amp;6389.5 &amp;aAlmakos'</v>
      </c>
      <c r="J62" s="20"/>
      <c r="K62" s="20"/>
      <c r="L62" s="20"/>
      <c r="M62" s="20" t="str">
        <f>"  - '&amp;aVenta: &amp;6"&amp;(MAIN!$I$2+(MAIN!$E$18+MAIN!$E$19)/2*MAIN!$B$9+(MAIN!$E$20+MAIN!$E$21)/2*MAIN!$B$8+(MAIN!$E$58*MAIN!$B$11)+($C$2*MAIN!$B$10))/10&amp;" &amp;aAlmakos'"</f>
        <v xml:space="preserve">  - '&amp;aVenta: &amp;6391.5 &amp;aAlmakos'</v>
      </c>
      <c r="N62" s="20"/>
      <c r="O62" s="20"/>
      <c r="P62" s="20"/>
      <c r="Q62" s="20" t="str">
        <f>"  - '&amp;aVenta: &amp;6"&amp;(MAIN!$J$2+(MAIN!$E$18+MAIN!$E$19)/2*MAIN!$B$9+(MAIN!$E$20+MAIN!$E$21)/2*MAIN!$B$8+(MAIN!$E$58*MAIN!$B$11)+($C$2*MAIN!$B$10))/10&amp;" &amp;aAlmakos'"</f>
        <v xml:space="preserve">  - '&amp;aVenta: &amp;6395.5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8"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102</v>
      </c>
      <c r="B2" s="161"/>
      <c r="C2" s="161">
        <f>'ECONOMIA &amp; PROFESIONES'!$P$3</f>
        <v>5</v>
      </c>
      <c r="D2" s="161"/>
      <c r="E2" s="161" t="s">
        <v>81</v>
      </c>
      <c r="F2" s="161"/>
      <c r="G2" s="161" t="s">
        <v>103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&amp;6411.6 &amp;aAlmakos'</v>
      </c>
      <c r="F62" s="20"/>
      <c r="G62" s="20"/>
      <c r="H62" s="20"/>
      <c r="I62" s="20" t="str">
        <f>"  - '&amp;aVenta: &amp;6"&amp;(MAIN!$H$3+(MAIN!$E$18+MAIN!$E$19)/2*MAIN!$B$9+(MAIN!$E$20+MAIN!$E$21)/2*MAIN!$B$8+(MAIN!$E$69*MAIN!$B$11)+($C$2*MAIN!$B$10))/10&amp;" &amp;aAlmakos'"</f>
        <v xml:space="preserve">  - '&amp;aVenta: &amp;6413.2 &amp;aAlmakos'</v>
      </c>
      <c r="J62" s="20"/>
      <c r="K62" s="20"/>
      <c r="L62" s="20"/>
      <c r="M62" s="20" t="str">
        <f>"  - '&amp;aVenta: &amp;6"&amp;(MAIN!$I$3+(MAIN!$E$18+MAIN!$E$19)/2*MAIN!$B$9+(MAIN!$E$20+MAIN!$E$21)/2*MAIN!$B$8+(MAIN!$E$69*MAIN!$B$11)+($C$2*MAIN!$B$10))/10&amp;" &amp;aAlmakos'"</f>
        <v xml:space="preserve">  - '&amp;aVenta: &amp;6416.4 &amp;aAlmakos'</v>
      </c>
      <c r="N62" s="20"/>
      <c r="O62" s="20"/>
      <c r="P62" s="20"/>
      <c r="Q62" s="20" t="str">
        <f>"  - '&amp;aVenta: &amp;6"&amp;(MAIN!$J$3+(MAIN!$E$18+MAIN!$E$19)/2*MAIN!$B$9+(MAIN!$E$20+MAIN!$E$21)/2*MAIN!$B$8+(MAIN!$E$69*MAIN!$B$11)+($C$2*MAIN!$B$10))/10&amp;" &amp;aAlmakos'"</f>
        <v xml:space="preserve">  - '&amp;aVenta: &amp;6422.8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102</v>
      </c>
      <c r="B2" s="161"/>
      <c r="C2" s="161">
        <f>'ECONOMIA &amp; PROFESIONES'!$P$3</f>
        <v>5</v>
      </c>
      <c r="D2" s="161"/>
      <c r="E2" s="161" t="s">
        <v>81</v>
      </c>
      <c r="F2" s="161"/>
      <c r="G2" s="161" t="s">
        <v>103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&amp;6403.9 &amp;aAlmakos'</v>
      </c>
      <c r="F62" s="20"/>
      <c r="G62" s="20"/>
      <c r="H62" s="20"/>
      <c r="I62" s="20" t="str">
        <f>"  - '&amp;aVenta: &amp;6"&amp;(MAIN!$H$4+(MAIN!$E$18+MAIN!$E$19)/2*MAIN!$B$9+(MAIN!$E$20+MAIN!$E$21)/2*MAIN!$B$8+(MAIN!$E$80*MAIN!$B$11)+($C$2*MAIN!$B$10))/10&amp;" &amp;aAlmakos'"</f>
        <v xml:space="preserve">  - '&amp;aVenta: &amp;6405.3 &amp;aAlmakos'</v>
      </c>
      <c r="J62" s="20"/>
      <c r="K62" s="20"/>
      <c r="L62" s="20"/>
      <c r="M62" s="20" t="str">
        <f>"  - '&amp;aVenta: &amp;6"&amp;(MAIN!$I$4+(MAIN!$E$18+MAIN!$E$19)/2*MAIN!$B$9+(MAIN!$E$20+MAIN!$E$21)/2*MAIN!$B$8+(MAIN!$E$80*MAIN!$B$11)+($C$2*MAIN!$B$10))/10&amp;" &amp;aAlmakos'"</f>
        <v xml:space="preserve">  - '&amp;aVenta: &amp;6408.1 &amp;aAlmakos'</v>
      </c>
      <c r="N62" s="20"/>
      <c r="O62" s="20"/>
      <c r="P62" s="20"/>
      <c r="Q62" s="20" t="str">
        <f>"  - '&amp;aVenta: &amp;6"&amp;(MAIN!$J$4+(MAIN!$E$18+MAIN!$E$19)/2*MAIN!$B$9+(MAIN!$E$20+MAIN!$E$21)/2*MAIN!$B$8+(MAIN!$E$80*MAIN!$B$11)+($C$2*MAIN!$B$10))/10&amp;" &amp;aAlmakos'"</f>
        <v xml:space="preserve">  - '&amp;aVenta: &amp;6413.7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102</v>
      </c>
      <c r="B2" s="161"/>
      <c r="C2" s="161">
        <f>'ECONOMIA &amp; PROFESIONES'!$P$3</f>
        <v>5</v>
      </c>
      <c r="D2" s="161"/>
      <c r="E2" s="161" t="s">
        <v>81</v>
      </c>
      <c r="F2" s="161"/>
      <c r="G2" s="161" t="s">
        <v>103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&amp;6380.8 &amp;aAlmakos'</v>
      </c>
      <c r="F62" s="20"/>
      <c r="G62" s="20"/>
      <c r="H62" s="20"/>
      <c r="I62" s="20" t="str">
        <f>"  - '&amp;aVenta: &amp;6"&amp;(MAIN!$H$5+(MAIN!$E$18+MAIN!$E$19)/2*MAIN!$B$9+(MAIN!$E$20+MAIN!$E$21)/2*MAIN!$B$8+(MAIN!$E$91*MAIN!$B$11)+($C$2*MAIN!$B$10))/10&amp;" &amp;aAlmakos'"</f>
        <v xml:space="preserve">  - '&amp;aVenta: &amp;6381.6 &amp;aAlmakos'</v>
      </c>
      <c r="J62" s="20"/>
      <c r="K62" s="20"/>
      <c r="L62" s="20"/>
      <c r="M62" s="20" t="str">
        <f>"  - '&amp;aVenta: &amp;6"&amp;(MAIN!$I$5+(MAIN!$E$18+MAIN!$E$19)/2*MAIN!$B$9+(MAIN!$E$20+MAIN!$E$21)/2*MAIN!$B$8+(MAIN!$E$91*MAIN!$B$11)+($C$2*MAIN!$B$10))/10&amp;" &amp;aAlmakos'"</f>
        <v xml:space="preserve">  - '&amp;aVenta: &amp;6383.2 &amp;aAlmakos'</v>
      </c>
      <c r="N62" s="20"/>
      <c r="O62" s="20"/>
      <c r="P62" s="20"/>
      <c r="Q62" s="20" t="str">
        <f>"  - '&amp;aVenta: &amp;6"&amp;(MAIN!$J$5+(MAIN!$E$18+MAIN!$E$19)/2*MAIN!$B$9+(MAIN!$E$20+MAIN!$E$21)/2*MAIN!$B$8+(MAIN!$E$91*MAIN!$B$11)+($C$2*MAIN!$B$10))/10&amp;" &amp;aAlmakos'"</f>
        <v xml:space="preserve">  - '&amp;aVenta: &amp;6386.4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104</v>
      </c>
      <c r="B2" s="161"/>
      <c r="C2" s="161">
        <f>'ECONOMIA &amp; PROFESIONES'!$Q$3</f>
        <v>7</v>
      </c>
      <c r="D2" s="161"/>
      <c r="E2" s="161" t="s">
        <v>81</v>
      </c>
      <c r="F2" s="161"/>
      <c r="G2" s="161" t="s">
        <v>3</v>
      </c>
      <c r="H2" s="161"/>
      <c r="I2" s="161" t="str">
        <f>MAIN!$J$42</f>
        <v>&amp;4Poder de Arma:</v>
      </c>
      <c r="J2" s="161"/>
      <c r="K2" s="161">
        <f>MAIN!$L$42</f>
        <v>2</v>
      </c>
      <c r="L2" s="161"/>
    </row>
    <row r="3" spans="1:26" ht="29.25" customHeight="1" x14ac:dyDescent="0.25">
      <c r="A3" s="214" t="s">
        <v>7</v>
      </c>
      <c r="B3" s="214"/>
      <c r="C3" s="214"/>
      <c r="D3" s="214"/>
      <c r="E3" s="214" t="s">
        <v>8</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6">
        <v>1</v>
      </c>
      <c r="V4" s="106" t="str">
        <f>$I$2&amp;" "&amp;ROUND(MAIN!$C$44*$C$2*$K$2/5*$U$4,0)</f>
        <v>&amp;4Poder de Arma: 6</v>
      </c>
      <c r="W4" s="106" t="str">
        <f>$I$2&amp;" "&amp;ROUND(MAIN!$D$44*$C$2*$K$2/5*$U$4,0)</f>
        <v>&amp;4Poder de Arma: 17</v>
      </c>
      <c r="X4" s="106" t="str">
        <f>$I$2&amp;" "&amp;ROUND(MAIN!$E$44*$C$2*$K$2/5*$U$4,0)</f>
        <v>&amp;4Poder de Arma: 50</v>
      </c>
      <c r="Y4" s="106" t="str">
        <f>$I$2&amp;" "&amp;ROUND(MAIN!$F$44*$C$2*$K$2/5*$U$4,0)</f>
        <v>&amp;4Poder de Arma: 151</v>
      </c>
      <c r="Z4" s="106"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6">
        <v>2</v>
      </c>
      <c r="V5" s="106" t="str">
        <f>$I$2&amp;" "&amp;ROUND(MAIN!$C$44*$C$2*$K$2/5*$U$5,0)</f>
        <v>&amp;4Poder de Arma: 11</v>
      </c>
      <c r="W5" s="106" t="str">
        <f>$I$2&amp;" "&amp;ROUND(MAIN!$D$44*$C$2*$K$2/5*$U$5,0)</f>
        <v>&amp;4Poder de Arma: 34</v>
      </c>
      <c r="X5" s="106" t="str">
        <f>$I$2&amp;" "&amp;ROUND(MAIN!$E$44*$C$2*$K$2/5*$U$5,0)</f>
        <v>&amp;4Poder de Arma: 101</v>
      </c>
      <c r="Y5" s="106" t="str">
        <f>$I$2&amp;" "&amp;ROUND(MAIN!$F$44*$C$2*$K$2/5*$U$5,0)</f>
        <v>&amp;4Poder de Arma: 302</v>
      </c>
      <c r="Z5" s="106"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17</v>
      </c>
      <c r="W6" s="106" t="str">
        <f>$I$2&amp;" "&amp;ROUND(MAIN!$D$44*$C$2*$K$2/5*$U$6,0)</f>
        <v>&amp;4Poder de Arma: 50</v>
      </c>
      <c r="X6" s="106" t="str">
        <f>$I$2&amp;" "&amp;ROUND(MAIN!$E$44*$C$2*$K$2/5*$U$6,0)</f>
        <v>&amp;4Poder de Arma: 151</v>
      </c>
      <c r="Y6" s="106" t="str">
        <f>$I$2&amp;" "&amp;ROUND(MAIN!$F$44*$C$2*$K$2/5*$U$6,0)</f>
        <v>&amp;4Poder de Arma: 454</v>
      </c>
      <c r="Z6" s="106"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22</v>
      </c>
      <c r="W7" s="106" t="str">
        <f>$I$2&amp;" "&amp;ROUND(MAIN!$D$44*$C$2*$K$2/5*$U$7,0)</f>
        <v>&amp;4Poder de Arma: 67</v>
      </c>
      <c r="X7" s="106" t="str">
        <f>$I$2&amp;" "&amp;ROUND(MAIN!$E$44*$C$2*$K$2/5*$U$7,0)</f>
        <v>&amp;4Poder de Arma: 202</v>
      </c>
      <c r="Y7" s="106" t="str">
        <f>$I$2&amp;" "&amp;ROUND(MAIN!$F$44*$C$2*$K$2/5*$U$7,0)</f>
        <v>&amp;4Poder de Arma: 605</v>
      </c>
      <c r="Z7" s="106"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28</v>
      </c>
      <c r="W8" s="106" t="str">
        <f>$I$2&amp;" "&amp;ROUND(MAIN!$D$44*$C$2*$K$2/5*$U$8,0)</f>
        <v>&amp;4Poder de Arma: 84</v>
      </c>
      <c r="X8" s="106" t="str">
        <f>$I$2&amp;" "&amp;ROUND(MAIN!$E$44*$C$2*$K$2/5*$U$8,0)</f>
        <v>&amp;4Poder de Arma: 252</v>
      </c>
      <c r="Y8" s="106" t="str">
        <f>$I$2&amp;" "&amp;ROUND(MAIN!$F$44*$C$2*$K$2/5*$U$8,0)</f>
        <v>&amp;4Poder de Arma: 756</v>
      </c>
      <c r="Z8" s="106"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&amp;6525.4 &amp;aAlmakos'</v>
      </c>
      <c r="F62" s="20"/>
      <c r="G62" s="20"/>
      <c r="H62" s="20"/>
      <c r="I62" s="20" t="str">
        <f>"  - '&amp;aVenta: &amp;6"&amp;(MAIN!$D$4+(MAIN!$F$18+MAIN!$F$19)/2*MAIN!$B$9+(MAIN!$F$20+MAIN!$F$21)/2*MAIN!$B$8+(MAIN!$F$47*MAIN!$B$11)+($C$2*MAIN!$B$10))/10&amp;" &amp;aAlmakos'"</f>
        <v xml:space="preserve">  - '&amp;aVenta: &amp;6525.8 &amp;aAlmakos'</v>
      </c>
      <c r="J62" s="20"/>
      <c r="K62" s="20"/>
      <c r="L62" s="20"/>
      <c r="M62" s="20" t="str">
        <f>"  - '&amp;aVenta: &amp;6"&amp;(MAIN!$D$5+(MAIN!$F$18+MAIN!$F$19)/2*MAIN!$B$9+(MAIN!$F$20+MAIN!$F$21)/2*MAIN!$B$8+(MAIN!$F$47*MAIN!$B$11)+($C$2*MAIN!$B$10))/10&amp;" &amp;aAlmakos'"</f>
        <v xml:space="preserve">  - '&amp;aVenta: &amp;6526.6 &amp;aAlmakos'</v>
      </c>
      <c r="N62" s="20"/>
      <c r="O62" s="20"/>
      <c r="P62" s="20"/>
      <c r="Q62" s="20" t="str">
        <f>"  - '&amp;aVenta: &amp;6"&amp;(MAIN!$D$6+(MAIN!$F$18+MAIN!$F$19)/2*MAIN!$B$9+(MAIN!$F$20+MAIN!$F$21)/2*MAIN!$B$8+(MAIN!$F$47*MAIN!$B$11)+($C$2*MAIN!$B$10))/10&amp;" &amp;aAlmakos'"</f>
        <v xml:space="preserve">  - '&amp;aVenta: &amp;6528.2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104</v>
      </c>
      <c r="B2" s="161"/>
      <c r="C2" s="161">
        <f>'ECONOMIA &amp; PROFESIONES'!$Q$3</f>
        <v>7</v>
      </c>
      <c r="D2" s="161"/>
      <c r="E2" s="161" t="s">
        <v>81</v>
      </c>
      <c r="F2" s="161"/>
      <c r="G2" s="161" t="s">
        <v>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6">
        <v>1</v>
      </c>
      <c r="V4" s="106" t="str">
        <f>"+"&amp;ROUND(MAIN!$C$55*$C$2*$K$2/5*$U$4,0)&amp;" "&amp;$I$2</f>
        <v>+7 Armor</v>
      </c>
      <c r="W4" s="106" t="str">
        <f>"+"&amp;ROUND(MAIN!$D$55*$C$2*$K$2/5*$U$4,0)&amp;" "&amp;$I$2</f>
        <v>+11 Armor</v>
      </c>
      <c r="X4" s="106" t="str">
        <f>"+"&amp;ROUND(MAIN!$E$55*$C$2*$K$2/5*$U$4,0)&amp;" "&amp;$I$2</f>
        <v>+18 Armor</v>
      </c>
      <c r="Y4" s="106" t="str">
        <f>"+"&amp;ROUND(MAIN!$F$55*$C$2*$K$2/5*$U$4,0)&amp;" "&amp;$I$2</f>
        <v>+31 Armor</v>
      </c>
      <c r="Z4" s="106"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6">
        <v>2</v>
      </c>
      <c r="V5" s="106" t="str">
        <f>"+"&amp;ROUND(MAIN!$C$55*$C$2*$K$2/5*$U$5,0)&amp;" "&amp;$I$2</f>
        <v>+14 Armor</v>
      </c>
      <c r="W5" s="106" t="str">
        <f>"+"&amp;ROUND(MAIN!$D$55*$C$2*$K$2/5*$U$5,0)&amp;" "&amp;$I$2</f>
        <v>+22 Armor</v>
      </c>
      <c r="X5" s="106" t="str">
        <f>"+"&amp;ROUND(MAIN!$E$55*$C$2*$K$2/5*$U$5,0)&amp;" "&amp;$I$2</f>
        <v>+36 Armor</v>
      </c>
      <c r="Y5" s="106" t="str">
        <f>"+"&amp;ROUND(MAIN!$F$55*$C$2*$K$2/5*$U$5,0)&amp;" "&amp;$I$2</f>
        <v>+62 Armor</v>
      </c>
      <c r="Z5" s="106"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+21 Armor</v>
      </c>
      <c r="W6" s="106" t="str">
        <f>"+"&amp;ROUND(MAIN!$D$55*$C$2*$K$2/5*$U$6,0)&amp;" "&amp;$I$2</f>
        <v>+34 Armor</v>
      </c>
      <c r="X6" s="106" t="str">
        <f>"+"&amp;ROUND(MAIN!$E$55*$C$2*$K$2/5*$U$6,0)&amp;" "&amp;$I$2</f>
        <v>+55 Armor</v>
      </c>
      <c r="Y6" s="106" t="str">
        <f>"+"&amp;ROUND(MAIN!$F$55*$C$2*$K$2/5*$U$6,0)&amp;" "&amp;$I$2</f>
        <v>+92 Armor</v>
      </c>
      <c r="Z6" s="106"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+28 Armor</v>
      </c>
      <c r="W7" s="106" t="str">
        <f>"+"&amp;ROUND(MAIN!$D$55*$C$2*$K$2/5*$U$7,0)&amp;" "&amp;$I$2</f>
        <v>+45 Armor</v>
      </c>
      <c r="X7" s="106" t="str">
        <f>"+"&amp;ROUND(MAIN!$E$55*$C$2*$K$2/5*$U$7,0)&amp;" "&amp;$I$2</f>
        <v>+73 Armor</v>
      </c>
      <c r="Y7" s="106" t="str">
        <f>"+"&amp;ROUND(MAIN!$F$55*$C$2*$K$2/5*$U$7,0)&amp;" "&amp;$I$2</f>
        <v>+123 Armor</v>
      </c>
      <c r="Z7" s="106"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+35 Armor</v>
      </c>
      <c r="W8" s="106" t="str">
        <f>"+"&amp;ROUND(MAIN!$D$55*$C$2*$K$2/5*$U$8,0)&amp;" "&amp;$I$2</f>
        <v>+56 Armor</v>
      </c>
      <c r="X8" s="106" t="str">
        <f>"+"&amp;ROUND(MAIN!$E$55*$C$2*$K$2/5*$U$8,0)&amp;" "&amp;$I$2</f>
        <v>+91 Armor</v>
      </c>
      <c r="Y8" s="106" t="str">
        <f>"+"&amp;ROUND(MAIN!$F$55*$C$2*$K$2/5*$U$8,0)&amp;" "&amp;$I$2</f>
        <v>+154 Armor</v>
      </c>
      <c r="Z8" s="106"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&amp;6563.5 &amp;aAlmakos'</v>
      </c>
      <c r="F62" s="20"/>
      <c r="G62" s="20"/>
      <c r="H62" s="20"/>
      <c r="I62" s="20" t="str">
        <f>"  - '&amp;aVenta: &amp;6"&amp;(MAIN!$H$2+(MAIN!$F$18+MAIN!$F$19)/2*MAIN!$B$9+(MAIN!$F$20+MAIN!$F$21)/2*MAIN!$B$8+(MAIN!$F$58*MAIN!$B$11)+($C$2*MAIN!$B$10))/10&amp;" &amp;aAlmakos'"</f>
        <v xml:space="preserve">  - '&amp;aVenta: &amp;6564.5 &amp;aAlmakos'</v>
      </c>
      <c r="J62" s="20"/>
      <c r="K62" s="20"/>
      <c r="L62" s="20"/>
      <c r="M62" s="20" t="str">
        <f>"  - '&amp;aVenta: &amp;6"&amp;(MAIN!$I$2+(MAIN!$F$18+MAIN!$F$19)/2*MAIN!$B$9+(MAIN!$F$20+MAIN!$F$21)/2*MAIN!$B$8+(MAIN!$F$58*MAIN!$B$11)+($C$2*MAIN!$B$10))/10&amp;" &amp;aAlmakos'"</f>
        <v xml:space="preserve">  - '&amp;aVenta: &amp;6566.5 &amp;aAlmakos'</v>
      </c>
      <c r="N62" s="20"/>
      <c r="O62" s="20"/>
      <c r="P62" s="20"/>
      <c r="Q62" s="20" t="str">
        <f>"  - '&amp;aVenta: &amp;6"&amp;(MAIN!$J$2+(MAIN!$F$18+MAIN!$F$19)/2*MAIN!$B$9+(MAIN!$F$20+MAIN!$F$21)/2*MAIN!$B$8+(MAIN!$F$58*MAIN!$B$11)+($C$2*MAIN!$B$10))/10&amp;" &amp;aAlmakos'"</f>
        <v xml:space="preserve">  - '&amp;aVenta: &amp;6570.5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8"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104</v>
      </c>
      <c r="B2" s="161"/>
      <c r="C2" s="161">
        <f>'ECONOMIA &amp; PROFESIONES'!$Q$3</f>
        <v>7</v>
      </c>
      <c r="D2" s="161"/>
      <c r="E2" s="161" t="s">
        <v>81</v>
      </c>
      <c r="F2" s="161"/>
      <c r="G2" s="161" t="s">
        <v>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&amp;6601.6 &amp;aAlmakos'</v>
      </c>
      <c r="F62" s="20"/>
      <c r="G62" s="20"/>
      <c r="H62" s="20"/>
      <c r="I62" s="20" t="str">
        <f>"  - '&amp;aVenta: &amp;6"&amp;(MAIN!$H$3+(MAIN!$F$18+MAIN!$F$19)/2*MAIN!$B$9+(MAIN!$F$20+MAIN!$F$21)/2*MAIN!$B$8+(MAIN!$F$69*MAIN!$B$11)+($C$2*MAIN!$B$10))/10&amp;" &amp;aAlmakos'"</f>
        <v xml:space="preserve">  - '&amp;aVenta: &amp;6603.2 &amp;aAlmakos'</v>
      </c>
      <c r="J62" s="20"/>
      <c r="K62" s="20"/>
      <c r="L62" s="20"/>
      <c r="M62" s="20" t="str">
        <f>"  - '&amp;aVenta: &amp;6"&amp;(MAIN!$I$3+(MAIN!$F$18+MAIN!$F$19)/2*MAIN!$B$9+(MAIN!$F$20+MAIN!$F$21)/2*MAIN!$B$8+(MAIN!$F$69*MAIN!$B$11)+($C$2*MAIN!$B$10))/10&amp;" &amp;aAlmakos'"</f>
        <v xml:space="preserve">  - '&amp;aVenta: &amp;6606.4 &amp;aAlmakos'</v>
      </c>
      <c r="N62" s="20"/>
      <c r="O62" s="20"/>
      <c r="P62" s="20"/>
      <c r="Q62" s="20" t="str">
        <f>"  - '&amp;aVenta: &amp;6"&amp;(MAIN!$J$3+(MAIN!$F$18+MAIN!$F$19)/2*MAIN!$B$9+(MAIN!$F$20+MAIN!$F$21)/2*MAIN!$B$8+(MAIN!$F$69*MAIN!$B$11)+($C$2*MAIN!$B$10))/10&amp;" &amp;aAlmakos'"</f>
        <v xml:space="preserve">  - '&amp;aVenta: &amp;6612.8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104</v>
      </c>
      <c r="B2" s="161"/>
      <c r="C2" s="161">
        <f>'ECONOMIA &amp; PROFESIONES'!$Q$3</f>
        <v>7</v>
      </c>
      <c r="D2" s="161"/>
      <c r="E2" s="161" t="s">
        <v>81</v>
      </c>
      <c r="F2" s="161"/>
      <c r="G2" s="161" t="s">
        <v>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&amp;6588.9 &amp;aAlmakos'</v>
      </c>
      <c r="F62" s="20"/>
      <c r="G62" s="20"/>
      <c r="H62" s="20"/>
      <c r="I62" s="20" t="str">
        <f>"  - '&amp;aVenta: &amp;6"&amp;(MAIN!$H$4+(MAIN!$F$18+MAIN!$F$19)/2*MAIN!$B$9+(MAIN!$F$20+MAIN!$F$21)/2*MAIN!$B$8+(MAIN!$F$80*MAIN!$B$11)+($C$2*MAIN!$B$10))/10&amp;" &amp;aAlmakos'"</f>
        <v xml:space="preserve">  - '&amp;aVenta: &amp;6590.3 &amp;aAlmakos'</v>
      </c>
      <c r="J62" s="20"/>
      <c r="K62" s="20"/>
      <c r="L62" s="20"/>
      <c r="M62" s="20" t="str">
        <f>"  - '&amp;aVenta: &amp;6"&amp;(MAIN!$I$4+(MAIN!$F$18+MAIN!$F$19)/2*MAIN!$B$9+(MAIN!$F$20+MAIN!$F$21)/2*MAIN!$B$8+(MAIN!$F$80*MAIN!$B$11)+($C$2*MAIN!$B$10))/10&amp;" &amp;aAlmakos'"</f>
        <v xml:space="preserve">  - '&amp;aVenta: &amp;6593.1 &amp;aAlmakos'</v>
      </c>
      <c r="N62" s="20"/>
      <c r="O62" s="20"/>
      <c r="P62" s="20"/>
      <c r="Q62" s="20" t="str">
        <f>"  - '&amp;aVenta: &amp;6"&amp;(MAIN!$J$4+(MAIN!$F$18+MAIN!$F$19)/2*MAIN!$B$9+(MAIN!$F$20+MAIN!$F$21)/2*MAIN!$B$8+(MAIN!$F$80*MAIN!$B$11)+($C$2*MAIN!$B$10))/10&amp;" &amp;aAlmakos'"</f>
        <v xml:space="preserve">  - '&amp;aVenta: &amp;6598.7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104</v>
      </c>
      <c r="B2" s="161"/>
      <c r="C2" s="161">
        <f>'ECONOMIA &amp; PROFESIONES'!$Q$3</f>
        <v>7</v>
      </c>
      <c r="D2" s="161"/>
      <c r="E2" s="161" t="s">
        <v>81</v>
      </c>
      <c r="F2" s="161"/>
      <c r="G2" s="161" t="s">
        <v>3</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&amp;6550.8 &amp;aAlmakos'</v>
      </c>
      <c r="F62" s="20"/>
      <c r="G62" s="20"/>
      <c r="H62" s="20"/>
      <c r="I62" s="20" t="str">
        <f>"  - '&amp;aVenta: &amp;6"&amp;(MAIN!$H$5+(MAIN!$F$18+MAIN!$F$19)/2*MAIN!$B$9+(MAIN!$F$20+MAIN!$F$21)/2*MAIN!$B$8+(MAIN!$F$91*MAIN!$B$11)+($C$2*MAIN!$B$10))/10&amp;" &amp;aAlmakos'"</f>
        <v xml:space="preserve">  - '&amp;aVenta: &amp;6551.6 &amp;aAlmakos'</v>
      </c>
      <c r="J62" s="20"/>
      <c r="K62" s="20"/>
      <c r="L62" s="20"/>
      <c r="M62" s="20" t="str">
        <f>"  - '&amp;aVenta: &amp;6"&amp;(MAIN!$I$5+(MAIN!$F$18+MAIN!$F$19)/2*MAIN!$B$9+(MAIN!$F$20+MAIN!$F$21)/2*MAIN!$B$8+(MAIN!$F$91*MAIN!$B$11)+($C$2*MAIN!$B$10))/10&amp;" &amp;aAlmakos'"</f>
        <v xml:space="preserve">  - '&amp;aVenta: &amp;6553.2 &amp;aAlmakos'</v>
      </c>
      <c r="N62" s="20"/>
      <c r="O62" s="20"/>
      <c r="P62" s="20"/>
      <c r="Q62" s="20" t="str">
        <f>"  - '&amp;aVenta: &amp;6"&amp;(MAIN!$J$5+(MAIN!$F$18+MAIN!$F$19)/2*MAIN!$B$9+(MAIN!$F$20+MAIN!$F$21)/2*MAIN!$B$8+(MAIN!$F$91*MAIN!$B$11)+($C$2*MAIN!$B$10))/10&amp;" &amp;aAlmakos'"</f>
        <v xml:space="preserve">  - '&amp;aVenta: &amp;6556.4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105</v>
      </c>
      <c r="B2" s="161"/>
      <c r="C2" s="161">
        <f>'ECONOMIA &amp; PROFESIONES'!$R$3</f>
        <v>9</v>
      </c>
      <c r="D2" s="161"/>
      <c r="E2" s="161" t="s">
        <v>107</v>
      </c>
      <c r="F2" s="161"/>
      <c r="G2" s="161" t="s">
        <v>106</v>
      </c>
      <c r="H2" s="161"/>
      <c r="I2" s="161" t="str">
        <f>MAIN!$J$42</f>
        <v>&amp;4Poder de Arma:</v>
      </c>
      <c r="J2" s="161"/>
      <c r="K2" s="161">
        <f>MAIN!$L$42</f>
        <v>2</v>
      </c>
      <c r="L2" s="161"/>
    </row>
    <row r="3" spans="1:26" ht="29.25" customHeight="1" x14ac:dyDescent="0.25">
      <c r="A3" s="214" t="s">
        <v>7</v>
      </c>
      <c r="B3" s="214"/>
      <c r="C3" s="214"/>
      <c r="D3" s="214"/>
      <c r="E3" s="214" t="s">
        <v>8</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6">
        <v>1</v>
      </c>
      <c r="V4" s="106" t="str">
        <f>$I$2&amp;" "&amp;ROUND(MAIN!$C$44*$C$2*$K$2/5*$U$4,0)</f>
        <v>&amp;4Poder de Arma: 7</v>
      </c>
      <c r="W4" s="106" t="str">
        <f>$I$2&amp;" "&amp;ROUND(MAIN!$D$44*$C$2*$K$2/5*$U$4,0)</f>
        <v>&amp;4Poder de Arma: 22</v>
      </c>
      <c r="X4" s="106" t="str">
        <f>$I$2&amp;" "&amp;ROUND(MAIN!$E$44*$C$2*$K$2/5*$U$4,0)</f>
        <v>&amp;4Poder de Arma: 65</v>
      </c>
      <c r="Y4" s="106" t="str">
        <f>$I$2&amp;" "&amp;ROUND(MAIN!$F$44*$C$2*$K$2/5*$U$4,0)</f>
        <v>&amp;4Poder de Arma: 194</v>
      </c>
      <c r="Z4" s="106"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6">
        <v>2</v>
      </c>
      <c r="V5" s="106" t="str">
        <f>$I$2&amp;" "&amp;ROUND(MAIN!$C$44*$C$2*$K$2/5*$U$5,0)</f>
        <v>&amp;4Poder de Arma: 14</v>
      </c>
      <c r="W5" s="106" t="str">
        <f>$I$2&amp;" "&amp;ROUND(MAIN!$D$44*$C$2*$K$2/5*$U$5,0)</f>
        <v>&amp;4Poder de Arma: 43</v>
      </c>
      <c r="X5" s="106" t="str">
        <f>$I$2&amp;" "&amp;ROUND(MAIN!$E$44*$C$2*$K$2/5*$U$5,0)</f>
        <v>&amp;4Poder de Arma: 130</v>
      </c>
      <c r="Y5" s="106" t="str">
        <f>$I$2&amp;" "&amp;ROUND(MAIN!$F$44*$C$2*$K$2/5*$U$5,0)</f>
        <v>&amp;4Poder de Arma: 389</v>
      </c>
      <c r="Z5" s="106"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22</v>
      </c>
      <c r="W6" s="106" t="str">
        <f>$I$2&amp;" "&amp;ROUND(MAIN!$D$44*$C$2*$K$2/5*$U$6,0)</f>
        <v>&amp;4Poder de Arma: 65</v>
      </c>
      <c r="X6" s="106" t="str">
        <f>$I$2&amp;" "&amp;ROUND(MAIN!$E$44*$C$2*$K$2/5*$U$6,0)</f>
        <v>&amp;4Poder de Arma: 194</v>
      </c>
      <c r="Y6" s="106" t="str">
        <f>$I$2&amp;" "&amp;ROUND(MAIN!$F$44*$C$2*$K$2/5*$U$6,0)</f>
        <v>&amp;4Poder de Arma: 583</v>
      </c>
      <c r="Z6" s="106"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29</v>
      </c>
      <c r="W7" s="106" t="str">
        <f>$I$2&amp;" "&amp;ROUND(MAIN!$D$44*$C$2*$K$2/5*$U$7,0)</f>
        <v>&amp;4Poder de Arma: 86</v>
      </c>
      <c r="X7" s="106" t="str">
        <f>$I$2&amp;" "&amp;ROUND(MAIN!$E$44*$C$2*$K$2/5*$U$7,0)</f>
        <v>&amp;4Poder de Arma: 259</v>
      </c>
      <c r="Y7" s="106" t="str">
        <f>$I$2&amp;" "&amp;ROUND(MAIN!$F$44*$C$2*$K$2/5*$U$7,0)</f>
        <v>&amp;4Poder de Arma: 778</v>
      </c>
      <c r="Z7" s="106"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36</v>
      </c>
      <c r="W8" s="106" t="str">
        <f>$I$2&amp;" "&amp;ROUND(MAIN!$D$44*$C$2*$K$2/5*$U$8,0)</f>
        <v>&amp;4Poder de Arma: 108</v>
      </c>
      <c r="X8" s="106" t="str">
        <f>$I$2&amp;" "&amp;ROUND(MAIN!$E$44*$C$2*$K$2/5*$U$8,0)</f>
        <v>&amp;4Poder de Arma: 324</v>
      </c>
      <c r="Y8" s="106" t="str">
        <f>$I$2&amp;" "&amp;ROUND(MAIN!$F$44*$C$2*$K$2/5*$U$8,0)</f>
        <v>&amp;4Poder de Arma: 972</v>
      </c>
      <c r="Z8" s="106"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&amp;6685.4 &amp;aAlmakos'</v>
      </c>
      <c r="F62" s="20"/>
      <c r="G62" s="20"/>
      <c r="H62" s="20"/>
      <c r="I62" s="20" t="str">
        <f>"  - '&amp;aVenta: &amp;6"&amp;(MAIN!$D$4+(MAIN!$G$18+MAIN!$G$19)/2*MAIN!$B$9+(MAIN!$G$20+MAIN!$G$21)/2*MAIN!$B$8+(MAIN!$G$47*MAIN!$B$11)+($C$2*MAIN!$B$10))/10&amp;" &amp;aAlmakos'"</f>
        <v xml:space="preserve">  - '&amp;aVenta: &amp;6685.8 &amp;aAlmakos'</v>
      </c>
      <c r="J62" s="20"/>
      <c r="K62" s="20"/>
      <c r="L62" s="20"/>
      <c r="M62" s="20" t="str">
        <f>"  - '&amp;aVenta: &amp;6"&amp;(MAIN!$D$5+(MAIN!$G$18+MAIN!$G$19)/2*MAIN!$B$9+(MAIN!$G$20+MAIN!$G$21)/2*MAIN!$B$8+(MAIN!$G$47*MAIN!$B$11)+($C$2*MAIN!$B$10))/10&amp;" &amp;aAlmakos'"</f>
        <v xml:space="preserve">  - '&amp;aVenta: &amp;6686.6 &amp;aAlmakos'</v>
      </c>
      <c r="N62" s="20"/>
      <c r="O62" s="20"/>
      <c r="P62" s="20"/>
      <c r="Q62" s="20" t="str">
        <f>"  - '&amp;aVenta: &amp;6"&amp;(MAIN!$D$6+(MAIN!$G$18+MAIN!$G$19)/2*MAIN!$B$9+(MAIN!$G$20+MAIN!$G$21)/2*MAIN!$B$8+(MAIN!$G$47*MAIN!$B$11)+($C$2*MAIN!$B$10))/10&amp;" &amp;aAlmakos'"</f>
        <v xml:space="preserve">  - '&amp;aVenta: &amp;6688.2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105</v>
      </c>
      <c r="B2" s="161"/>
      <c r="C2" s="161">
        <f>'ECONOMIA &amp; PROFESIONES'!$R$3</f>
        <v>9</v>
      </c>
      <c r="D2" s="161"/>
      <c r="E2" s="161" t="s">
        <v>107</v>
      </c>
      <c r="F2" s="161"/>
      <c r="G2" s="161" t="s">
        <v>106</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106"/>
      <c r="V3" s="105" t="s">
        <v>7</v>
      </c>
      <c r="W3" s="105" t="s">
        <v>8</v>
      </c>
      <c r="X3" s="105" t="s">
        <v>83</v>
      </c>
      <c r="Y3" s="105" t="s">
        <v>84</v>
      </c>
      <c r="Z3" s="105"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6">
        <v>1</v>
      </c>
      <c r="V4" s="106" t="str">
        <f>"+"&amp;ROUND(MAIN!$C$55*$C$2*$K$2/5*$U$4,0)&amp;" "&amp;$I$2</f>
        <v>+9 Armor</v>
      </c>
      <c r="W4" s="106" t="str">
        <f>"+"&amp;ROUND(MAIN!$D$55*$C$2*$K$2/5*$U$4,0)&amp;" "&amp;$I$2</f>
        <v>+14 Armor</v>
      </c>
      <c r="X4" s="106" t="str">
        <f>"+"&amp;ROUND(MAIN!$E$55*$C$2*$K$2/5*$U$4,0)&amp;" "&amp;$I$2</f>
        <v>+23 Armor</v>
      </c>
      <c r="Y4" s="106" t="str">
        <f>"+"&amp;ROUND(MAIN!$F$55*$C$2*$K$2/5*$U$4,0)&amp;" "&amp;$I$2</f>
        <v>+40 Armor</v>
      </c>
      <c r="Z4" s="106"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6">
        <v>2</v>
      </c>
      <c r="V5" s="106" t="str">
        <f>"+"&amp;ROUND(MAIN!$C$55*$C$2*$K$2/5*$U$5,0)&amp;" "&amp;$I$2</f>
        <v>+18 Armor</v>
      </c>
      <c r="W5" s="106" t="str">
        <f>"+"&amp;ROUND(MAIN!$D$55*$C$2*$K$2/5*$U$5,0)&amp;" "&amp;$I$2</f>
        <v>+29 Armor</v>
      </c>
      <c r="X5" s="106" t="str">
        <f>"+"&amp;ROUND(MAIN!$E$55*$C$2*$K$2/5*$U$5,0)&amp;" "&amp;$I$2</f>
        <v>+47 Armor</v>
      </c>
      <c r="Y5" s="106" t="str">
        <f>"+"&amp;ROUND(MAIN!$F$55*$C$2*$K$2/5*$U$5,0)&amp;" "&amp;$I$2</f>
        <v>+79 Armor</v>
      </c>
      <c r="Z5" s="106"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+27 Armor</v>
      </c>
      <c r="W6" s="106" t="str">
        <f>"+"&amp;ROUND(MAIN!$D$55*$C$2*$K$2/5*$U$6,0)&amp;" "&amp;$I$2</f>
        <v>+43 Armor</v>
      </c>
      <c r="X6" s="106" t="str">
        <f>"+"&amp;ROUND(MAIN!$E$55*$C$2*$K$2/5*$U$6,0)&amp;" "&amp;$I$2</f>
        <v>+70 Armor</v>
      </c>
      <c r="Y6" s="106" t="str">
        <f>"+"&amp;ROUND(MAIN!$F$55*$C$2*$K$2/5*$U$6,0)&amp;" "&amp;$I$2</f>
        <v>+119 Armor</v>
      </c>
      <c r="Z6" s="106"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+36 Armor</v>
      </c>
      <c r="W7" s="106" t="str">
        <f>"+"&amp;ROUND(MAIN!$D$55*$C$2*$K$2/5*$U$7,0)&amp;" "&amp;$I$2</f>
        <v>+58 Armor</v>
      </c>
      <c r="X7" s="106" t="str">
        <f>"+"&amp;ROUND(MAIN!$E$55*$C$2*$K$2/5*$U$7,0)&amp;" "&amp;$I$2</f>
        <v>+94 Armor</v>
      </c>
      <c r="Y7" s="106" t="str">
        <f>"+"&amp;ROUND(MAIN!$F$55*$C$2*$K$2/5*$U$7,0)&amp;" "&amp;$I$2</f>
        <v>+158 Armor</v>
      </c>
      <c r="Z7" s="106"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+45 Armor</v>
      </c>
      <c r="W8" s="106" t="str">
        <f>"+"&amp;ROUND(MAIN!$D$55*$C$2*$K$2/5*$U$8,0)&amp;" "&amp;$I$2</f>
        <v>+72 Armor</v>
      </c>
      <c r="X8" s="106" t="str">
        <f>"+"&amp;ROUND(MAIN!$E$55*$C$2*$K$2/5*$U$8,0)&amp;" "&amp;$I$2</f>
        <v>+117 Armor</v>
      </c>
      <c r="Y8" s="106" t="str">
        <f>"+"&amp;ROUND(MAIN!$F$55*$C$2*$K$2/5*$U$8,0)&amp;" "&amp;$I$2</f>
        <v>+198 Armor</v>
      </c>
      <c r="Z8" s="106"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&amp;6738.5 &amp;aAlmakos'</v>
      </c>
      <c r="F62" s="20"/>
      <c r="G62" s="20"/>
      <c r="H62" s="20"/>
      <c r="I62" s="20" t="str">
        <f>"  - '&amp;aVenta: &amp;6"&amp;(MAIN!$H$2+(MAIN!$G$18+MAIN!$G$19)/2*MAIN!$B$9+(MAIN!$G$20+MAIN!$G$21)/2*MAIN!$B$8+(MAIN!$G$58*MAIN!$B$11)+($C$2*MAIN!$B$10))/10&amp;" &amp;aAlmakos'"</f>
        <v xml:space="preserve">  - '&amp;aVenta: &amp;6739.5 &amp;aAlmakos'</v>
      </c>
      <c r="J62" s="20"/>
      <c r="K62" s="20"/>
      <c r="L62" s="20"/>
      <c r="M62" s="20" t="str">
        <f>"  - '&amp;aVenta: &amp;6"&amp;(MAIN!$I$2+(MAIN!$G$18+MAIN!$G$19)/2*MAIN!$B$9+(MAIN!$G$20+MAIN!$G$21)/2*MAIN!$B$8+(MAIN!$G$58*MAIN!$B$11)+($C$2*MAIN!$B$10))/10&amp;" &amp;aAlmakos'"</f>
        <v xml:space="preserve">  - '&amp;aVenta: &amp;6741.5 &amp;aAlmakos'</v>
      </c>
      <c r="N62" s="20"/>
      <c r="O62" s="20"/>
      <c r="P62" s="20"/>
      <c r="Q62" s="20" t="str">
        <f>"  - '&amp;aVenta: &amp;6"&amp;(MAIN!$J$2+(MAIN!$G$18+MAIN!$G$19)/2*MAIN!$B$9+(MAIN!$G$20+MAIN!$G$21)/2*MAIN!$B$8+(MAIN!$G$58*MAIN!$B$11)+($C$2*MAIN!$B$10))/10&amp;" &amp;aAlmakos'"</f>
        <v xml:space="preserve">  - '&amp;aVenta: &amp;6745.5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8"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105</v>
      </c>
      <c r="B2" s="161"/>
      <c r="C2" s="161">
        <f>'ECONOMIA &amp; PROFESIONES'!$R$3</f>
        <v>9</v>
      </c>
      <c r="D2" s="161"/>
      <c r="E2" s="161" t="s">
        <v>107</v>
      </c>
      <c r="F2" s="161"/>
      <c r="G2" s="161" t="s">
        <v>106</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&amp;6791.6 &amp;aAlmakos'</v>
      </c>
      <c r="F62" s="20"/>
      <c r="G62" s="20"/>
      <c r="H62" s="20"/>
      <c r="I62" s="20" t="str">
        <f>"  - '&amp;aVenta: &amp;6"&amp;(MAIN!$H$3+(MAIN!$G$18+MAIN!$G$19)/2*MAIN!$B$9+(MAIN!$G$20+MAIN!$G$21)/2*MAIN!$B$8+(MAIN!$G$69*MAIN!$B$11)+($C$2*MAIN!$B$10))/10&amp;" &amp;aAlmakos'"</f>
        <v xml:space="preserve">  - '&amp;aVenta: &amp;6793.2 &amp;aAlmakos'</v>
      </c>
      <c r="J62" s="20"/>
      <c r="K62" s="20"/>
      <c r="L62" s="20"/>
      <c r="M62" s="20" t="str">
        <f>"  - '&amp;aVenta: &amp;6"&amp;(MAIN!$I$3+(MAIN!$G$18+MAIN!$G$19)/2*MAIN!$B$9+(MAIN!$G$20+MAIN!$G$21)/2*MAIN!$B$8+(MAIN!$G$69*MAIN!$B$11)+($C$2*MAIN!$B$10))/10&amp;" &amp;aAlmakos'"</f>
        <v xml:space="preserve">  - '&amp;aVenta: &amp;6796.4 &amp;aAlmakos'</v>
      </c>
      <c r="N62" s="20"/>
      <c r="O62" s="20"/>
      <c r="P62" s="20"/>
      <c r="Q62" s="20" t="str">
        <f>"  - '&amp;aVenta: &amp;6"&amp;(MAIN!$J$3+(MAIN!$G$18+MAIN!$G$19)/2*MAIN!$B$9+(MAIN!$G$20+MAIN!$G$21)/2*MAIN!$B$8+(MAIN!$G$69*MAIN!$B$11)+($C$2*MAIN!$B$10))/10&amp;" &amp;aAlmakos'"</f>
        <v xml:space="preserve">  - '&amp;aVenta: &amp;6802.8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105</v>
      </c>
      <c r="B2" s="161"/>
      <c r="C2" s="161">
        <f>'ECONOMIA &amp; PROFESIONES'!$R$3</f>
        <v>9</v>
      </c>
      <c r="D2" s="161"/>
      <c r="E2" s="161" t="s">
        <v>107</v>
      </c>
      <c r="F2" s="161"/>
      <c r="G2" s="161" t="s">
        <v>106</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&amp;6773.9 &amp;aAlmakos'</v>
      </c>
      <c r="F62" s="20"/>
      <c r="G62" s="20"/>
      <c r="H62" s="20"/>
      <c r="I62" s="20" t="str">
        <f>"  - '&amp;aVenta: &amp;6"&amp;(MAIN!$H$4+(MAIN!$G$18+MAIN!$G$19)/2*MAIN!$B$9+(MAIN!$G$20+MAIN!$G$21)/2*MAIN!$B$8+(MAIN!$G$80*MAIN!$B$11)+($C$2*MAIN!$B$10))/10&amp;" &amp;aAlmakos'"</f>
        <v xml:space="preserve">  - '&amp;aVenta: &amp;6775.3 &amp;aAlmakos'</v>
      </c>
      <c r="J62" s="20"/>
      <c r="K62" s="20"/>
      <c r="L62" s="20"/>
      <c r="M62" s="20" t="str">
        <f>"  - '&amp;aVenta: &amp;6"&amp;(MAIN!$I$4+(MAIN!$G$18+MAIN!$G$19)/2*MAIN!$B$9+(MAIN!$G$20+MAIN!$G$21)/2*MAIN!$B$8+(MAIN!$G$80*MAIN!$B$11)+($C$2*MAIN!$B$10))/10&amp;" &amp;aAlmakos'"</f>
        <v xml:space="preserve">  - '&amp;aVenta: &amp;6778.1 &amp;aAlmakos'</v>
      </c>
      <c r="N62" s="20"/>
      <c r="O62" s="20"/>
      <c r="P62" s="20"/>
      <c r="Q62" s="20" t="str">
        <f>"  - '&amp;aVenta: &amp;6"&amp;(MAIN!$J$4+(MAIN!$G$18+MAIN!$G$19)/2*MAIN!$B$9+(MAIN!$G$20+MAIN!$G$21)/2*MAIN!$B$8+(MAIN!$G$80*MAIN!$B$11)+($C$2*MAIN!$B$10))/10&amp;" &amp;aAlmakos'"</f>
        <v xml:space="preserve">  - '&amp;aVenta: &amp;6783.7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208" t="s">
        <v>19</v>
      </c>
      <c r="B1" s="208"/>
      <c r="C1" s="208" t="s">
        <v>70</v>
      </c>
      <c r="D1" s="208"/>
      <c r="E1" s="208" t="s">
        <v>80</v>
      </c>
      <c r="F1" s="208"/>
      <c r="G1" s="208" t="s">
        <v>89</v>
      </c>
      <c r="H1" s="208"/>
      <c r="I1" s="208" t="s">
        <v>338</v>
      </c>
      <c r="J1" s="208"/>
      <c r="K1" s="208" t="s">
        <v>340</v>
      </c>
      <c r="L1" s="208"/>
    </row>
    <row r="2" spans="1:26" x14ac:dyDescent="0.25">
      <c r="A2" s="161" t="s">
        <v>105</v>
      </c>
      <c r="B2" s="161"/>
      <c r="C2" s="161">
        <f>'ECONOMIA &amp; PROFESIONES'!$R$3</f>
        <v>9</v>
      </c>
      <c r="D2" s="161"/>
      <c r="E2" s="161" t="s">
        <v>107</v>
      </c>
      <c r="F2" s="161"/>
      <c r="G2" s="161" t="s">
        <v>106</v>
      </c>
      <c r="H2" s="161"/>
      <c r="I2" s="161" t="str">
        <f>MAIN!$J$53</f>
        <v>Armor</v>
      </c>
      <c r="J2" s="161"/>
      <c r="K2" s="161">
        <f>MAIN!$L$53</f>
        <v>1</v>
      </c>
      <c r="L2" s="161"/>
    </row>
    <row r="3" spans="1:26" ht="29.25" customHeight="1" x14ac:dyDescent="0.25">
      <c r="A3" s="214" t="s">
        <v>0</v>
      </c>
      <c r="B3" s="214"/>
      <c r="C3" s="214"/>
      <c r="D3" s="214"/>
      <c r="E3" s="214" t="s">
        <v>86</v>
      </c>
      <c r="F3" s="214"/>
      <c r="G3" s="214"/>
      <c r="H3" s="214"/>
      <c r="I3" s="214" t="s">
        <v>83</v>
      </c>
      <c r="J3" s="214"/>
      <c r="K3" s="214"/>
      <c r="L3" s="214"/>
      <c r="M3" s="214" t="s">
        <v>84</v>
      </c>
      <c r="N3" s="214"/>
      <c r="O3" s="214"/>
      <c r="P3" s="214"/>
      <c r="Q3" s="214" t="s">
        <v>85</v>
      </c>
      <c r="R3" s="214"/>
      <c r="S3" s="214"/>
      <c r="T3" s="214"/>
      <c r="U3" s="2"/>
      <c r="V3" s="105" t="s">
        <v>7</v>
      </c>
      <c r="W3" s="105" t="s">
        <v>8</v>
      </c>
      <c r="X3" s="105" t="s">
        <v>83</v>
      </c>
      <c r="Y3" s="105" t="s">
        <v>84</v>
      </c>
      <c r="Z3" s="105"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&amp;6720.8 &amp;aAlmakos'</v>
      </c>
      <c r="F62" s="20"/>
      <c r="G62" s="20"/>
      <c r="H62" s="20"/>
      <c r="I62" s="20" t="str">
        <f>"  - '&amp;aVenta: &amp;6"&amp;(MAIN!$H$5+(MAIN!$G$18+MAIN!$G$19)/2*MAIN!$B$9+(MAIN!$G$20+MAIN!$G$21)/2*MAIN!$B$8+(MAIN!$G$91*MAIN!$B$11)+($C$2*MAIN!$B$10))/10&amp;" &amp;aAlmakos'"</f>
        <v xml:space="preserve">  - '&amp;aVenta: &amp;6721.6 &amp;aAlmakos'</v>
      </c>
      <c r="J62" s="20"/>
      <c r="K62" s="20"/>
      <c r="L62" s="20"/>
      <c r="M62" s="20" t="str">
        <f>"  - '&amp;aVenta: &amp;6"&amp;(MAIN!$I$5+(MAIN!$G$18+MAIN!$G$19)/2*MAIN!$B$9+(MAIN!$G$20+MAIN!$G$21)/2*MAIN!$B$8+(MAIN!$G$91*MAIN!$B$11)+($C$2*MAIN!$B$10))/10&amp;" &amp;aAlmakos'"</f>
        <v xml:space="preserve">  - '&amp;aVenta: &amp;6723.2 &amp;aAlmakos'</v>
      </c>
      <c r="N62" s="20"/>
      <c r="O62" s="20"/>
      <c r="P62" s="20"/>
      <c r="Q62" s="20" t="str">
        <f>"  - '&amp;aVenta: &amp;6"&amp;(MAIN!$J$5+(MAIN!$G$18+MAIN!$G$19)/2*MAIN!$B$9+(MAIN!$G$20+MAIN!$G$21)/2*MAIN!$B$8+(MAIN!$G$91*MAIN!$B$11)+($C$2*MAIN!$B$10))/10&amp;" &amp;aAlmakos'"</f>
        <v xml:space="preserve">  - '&amp;aVenta: &amp;6726.4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x14ac:dyDescent="0.25">
      <c r="A65" s="9" t="s">
        <v>292</v>
      </c>
      <c r="B65" s="9"/>
      <c r="C65" s="9"/>
      <c r="D65" s="9"/>
      <c r="E65" s="9" t="s">
        <v>292</v>
      </c>
      <c r="F65" s="9"/>
      <c r="G65" s="9"/>
      <c r="H65" s="9"/>
      <c r="I65" s="9" t="s">
        <v>292</v>
      </c>
      <c r="J65" s="9"/>
      <c r="K65" s="9"/>
      <c r="L65" s="9"/>
      <c r="M65" s="9" t="s">
        <v>292</v>
      </c>
      <c r="N65" s="9"/>
      <c r="O65" s="9"/>
      <c r="P65" s="9"/>
      <c r="Q65" s="9" t="s">
        <v>292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x14ac:dyDescent="0.25">
      <c r="A69" s="9" t="s">
        <v>337</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36</vt:i4>
      </vt:variant>
      <vt:variant>
        <vt:lpstr>Rangos con nombre</vt:lpstr>
      </vt:variant>
      <vt:variant>
        <vt:i4>11</vt:i4>
      </vt:variant>
    </vt:vector>
  </HeadingPairs>
  <TitlesOfParts>
    <vt:vector size="47" baseType="lpstr">
      <vt:lpstr>Historia</vt:lpstr>
      <vt:lpstr>Skills Humanos</vt:lpstr>
      <vt:lpstr>Skills Licantropo</vt:lpstr>
      <vt:lpstr>Skills Vampiro</vt:lpstr>
      <vt:lpstr>ECONOMIA &amp; PROFESIONES</vt:lpstr>
      <vt:lpstr>ListItemsCraft</vt:lpstr>
      <vt:lpstr>ItemsCore</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IDPOINTS</vt:lpstr>
      <vt:lpstr>IDS</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2019-09-20T07:12:32Z</dcterms:modified>
</cp:coreProperties>
</file>