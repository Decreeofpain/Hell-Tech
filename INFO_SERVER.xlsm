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E:\Proyecto Esparcraft\Hell-Tech\"/>
    </mc:Choice>
  </mc:AlternateContent>
  <xr:revisionPtr revIDLastSave="0" documentId="13_ncr:1_{3108FC4B-9233-4653-9EE9-A2AD363EA787}" xr6:coauthVersionLast="45" xr6:coauthVersionMax="45" xr10:uidLastSave="{00000000-0000-0000-0000-000000000000}"/>
  <bookViews>
    <workbookView xWindow="-120" yWindow="480" windowWidth="38640" windowHeight="2124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20" i="45" l="1"/>
  <c r="C121" i="45"/>
  <c r="C122" i="45"/>
  <c r="C119" i="45"/>
  <c r="C558" i="45" l="1"/>
  <c r="C557"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37" i="32"/>
  <c r="G44" i="32"/>
  <c r="C484" i="45" s="1"/>
  <c r="G43" i="32"/>
  <c r="G42" i="32"/>
  <c r="G41" i="32"/>
  <c r="E37" i="32"/>
  <c r="C47" i="32"/>
  <c r="C46" i="32"/>
  <c r="C45" i="32"/>
  <c r="C243" i="45" s="1"/>
  <c r="C44" i="32"/>
  <c r="C43" i="32"/>
  <c r="I36" i="32"/>
  <c r="G40" i="32"/>
  <c r="E36" i="32"/>
  <c r="C42" i="32"/>
  <c r="C41" i="32"/>
  <c r="C40" i="32"/>
  <c r="C39" i="32"/>
  <c r="I35" i="32"/>
  <c r="G39" i="32"/>
  <c r="C729" i="45" s="1"/>
  <c r="E35" i="32"/>
  <c r="C38" i="32"/>
  <c r="C37" i="32"/>
  <c r="C36" i="32"/>
  <c r="I34" i="32"/>
  <c r="C395" i="45" s="1"/>
  <c r="G38" i="32"/>
  <c r="G35" i="32"/>
  <c r="E34" i="32"/>
  <c r="C35" i="32"/>
  <c r="I33" i="32"/>
  <c r="C562" i="45" s="1"/>
  <c r="G33" i="32"/>
  <c r="E33" i="32"/>
  <c r="C33" i="32"/>
  <c r="I32" i="32"/>
  <c r="G32" i="32"/>
  <c r="C430" i="45" s="1"/>
  <c r="E32" i="32"/>
  <c r="C32" i="32"/>
  <c r="C274" i="45" s="1"/>
  <c r="I55" i="32" l="1"/>
  <c r="C242" i="45"/>
  <c r="C263" i="45"/>
  <c r="C264" i="45"/>
  <c r="C692" i="45"/>
  <c r="C661" i="45"/>
  <c r="D49" i="46"/>
  <c r="D40" i="46"/>
  <c r="D34" i="46"/>
  <c r="D56" i="46"/>
  <c r="D45" i="46"/>
  <c r="D24" i="46"/>
  <c r="D50" i="46"/>
  <c r="D28" i="46"/>
  <c r="D54" i="46"/>
  <c r="D44" i="46"/>
  <c r="D58" i="46"/>
  <c r="D53" i="46"/>
  <c r="D48" i="46"/>
  <c r="D42" i="46"/>
  <c r="D37" i="46"/>
  <c r="D26" i="46"/>
  <c r="D21" i="46"/>
  <c r="D57" i="46"/>
  <c r="D52" i="46"/>
  <c r="D46" i="46"/>
  <c r="D41" i="46"/>
  <c r="D25" i="46"/>
  <c r="D55" i="46"/>
  <c r="D51" i="46"/>
  <c r="D47" i="46"/>
  <c r="D43" i="46"/>
  <c r="D39" i="46"/>
  <c r="D23" i="46"/>
  <c r="C64" i="32"/>
  <c r="E64" i="32" s="1"/>
  <c r="C634" i="45"/>
  <c r="D36" i="46" s="1"/>
  <c r="C391" i="45"/>
  <c r="G54" i="32"/>
  <c r="I54" i="32" s="1"/>
  <c r="C353" i="45" s="1"/>
  <c r="C54" i="32"/>
  <c r="C475" i="45" s="1"/>
  <c r="G56" i="32"/>
  <c r="J754" i="45"/>
  <c r="J753" i="45"/>
  <c r="J733" i="45"/>
  <c r="J732" i="45"/>
  <c r="C728" i="45"/>
  <c r="C721" i="45"/>
  <c r="C708" i="45"/>
  <c r="D38" i="46" s="1"/>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D33" i="46" s="1"/>
  <c r="C599" i="45"/>
  <c r="D32" i="46" s="1"/>
  <c r="G599" i="45"/>
  <c r="J595" i="45"/>
  <c r="J594" i="45"/>
  <c r="C589" i="45"/>
  <c r="C588" i="45"/>
  <c r="C587" i="45"/>
  <c r="C582" i="45"/>
  <c r="D17" i="46" s="1"/>
  <c r="J569" i="45"/>
  <c r="J568" i="45"/>
  <c r="C565" i="45"/>
  <c r="D31" i="46" s="1"/>
  <c r="C563" i="45"/>
  <c r="D30" i="46" s="1"/>
  <c r="C551" i="45"/>
  <c r="D29" i="46" s="1"/>
  <c r="C550" i="45"/>
  <c r="C538" i="45"/>
  <c r="D27" i="46" s="1"/>
  <c r="G755" i="45" l="1"/>
  <c r="G734" i="45"/>
  <c r="C537" i="45"/>
  <c r="J506" i="45"/>
  <c r="J505" i="45"/>
  <c r="C500" i="45"/>
  <c r="C493" i="45"/>
  <c r="G500" i="45"/>
  <c r="G493" i="45"/>
  <c r="V488" i="45"/>
  <c r="S488" i="45"/>
  <c r="P488" i="45"/>
  <c r="M488" i="45"/>
  <c r="J488" i="45"/>
  <c r="C486" i="45" l="1"/>
  <c r="C473" i="45"/>
  <c r="C472" i="45"/>
  <c r="C101" i="45"/>
  <c r="C459" i="45"/>
  <c r="D22" i="46" s="1"/>
  <c r="C386" i="45"/>
  <c r="G386" i="45"/>
  <c r="C379" i="45"/>
  <c r="G380" i="45" s="1"/>
  <c r="G379" i="45"/>
  <c r="G362" i="45"/>
  <c r="C311" i="45"/>
  <c r="C304" i="45"/>
  <c r="C287" i="45"/>
  <c r="D9" i="46" s="1"/>
  <c r="C253" i="45"/>
  <c r="C244" i="45"/>
  <c r="D15" i="46" l="1"/>
  <c r="C246" i="45"/>
  <c r="D8" i="46" s="1"/>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C137" i="45"/>
  <c r="D3" i="46" s="1"/>
  <c r="C135" i="45"/>
  <c r="C133" i="45"/>
  <c r="D14" i="46" s="1"/>
  <c r="C132" i="45"/>
  <c r="C131" i="45"/>
  <c r="C114" i="45"/>
  <c r="C111" i="45" l="1"/>
  <c r="G101" i="45"/>
  <c r="J97" i="45"/>
  <c r="J96" i="45"/>
  <c r="G70" i="45"/>
  <c r="G71" i="45"/>
  <c r="C40" i="45"/>
  <c r="C47" i="45" s="1"/>
  <c r="C32" i="45"/>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G33" i="45" l="1"/>
  <c r="D7" i="46"/>
  <c r="D4" i="46"/>
  <c r="C678" i="45"/>
  <c r="G683" i="45" s="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08" i="45"/>
  <c r="C621" i="45"/>
  <c r="J501" i="45"/>
  <c r="G27" i="45"/>
  <c r="C86" i="45"/>
  <c r="C85" i="45"/>
  <c r="C706" i="45"/>
  <c r="C656" i="45"/>
  <c r="G158" i="45"/>
  <c r="C158" i="45" s="1"/>
  <c r="C262" i="45"/>
  <c r="C521" i="45"/>
  <c r="G596" i="45"/>
  <c r="C712" i="45"/>
  <c r="C215" i="45"/>
  <c r="C210" i="45"/>
  <c r="C724" i="45"/>
  <c r="C717" i="45"/>
  <c r="J756" i="45"/>
  <c r="C756" i="45" s="1"/>
  <c r="C705" i="45"/>
  <c r="J638" i="45"/>
  <c r="C624" i="45"/>
  <c r="G156" i="45"/>
  <c r="C156" i="45" s="1"/>
  <c r="G528" i="45"/>
  <c r="C522" i="45"/>
  <c r="C474" i="45"/>
  <c r="C727" i="45"/>
  <c r="G662" i="45" s="1"/>
  <c r="C662" i="45" s="1"/>
  <c r="C723" i="45"/>
  <c r="C350" i="45"/>
  <c r="C346" i="45"/>
  <c r="C310" i="45"/>
  <c r="C251" i="45"/>
  <c r="C211" i="45"/>
  <c r="C207" i="45"/>
  <c r="C203"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G689" i="45"/>
  <c r="C689" i="45" s="1"/>
  <c r="G690" i="45"/>
  <c r="C690" i="45" s="1"/>
  <c r="G687" i="45"/>
  <c r="C687" i="45" s="1"/>
  <c r="G688" i="45"/>
  <c r="G685" i="45"/>
  <c r="G686" i="45"/>
  <c r="C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196" i="45" l="1"/>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F194" i="46" s="1"/>
  <c r="G167" i="45"/>
  <c r="C167" i="45" s="1"/>
  <c r="G169" i="45"/>
  <c r="C169" i="45" s="1"/>
  <c r="P590" i="45"/>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G512" i="45" s="1"/>
  <c r="C512" i="45" s="1"/>
  <c r="C513" i="45"/>
  <c r="G509" i="45" s="1"/>
  <c r="C509" i="45" s="1"/>
  <c r="C322" i="45"/>
  <c r="G318" i="45" s="1"/>
  <c r="C318" i="45" s="1"/>
  <c r="C334" i="45"/>
  <c r="G330" i="45" s="1"/>
  <c r="C330" i="45" s="1"/>
  <c r="C332" i="45"/>
  <c r="G333" i="45" s="1"/>
  <c r="C333" i="45" s="1"/>
  <c r="F69" i="46"/>
  <c r="C327" i="45"/>
  <c r="C282" i="45"/>
  <c r="G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J389" i="45" l="1"/>
  <c r="G620" i="45"/>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G363" i="45" s="1"/>
  <c r="C363" i="45" s="1"/>
  <c r="G365" i="45" s="1"/>
  <c r="C365" i="45" s="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C57" i="32"/>
  <c r="G4" i="1"/>
  <c r="G3" i="1"/>
  <c r="G2" i="1"/>
  <c r="D3" i="1"/>
  <c r="G5" i="1"/>
  <c r="A66" i="27"/>
  <c r="H4" i="1"/>
  <c r="H3" i="1"/>
  <c r="D4" i="1"/>
  <c r="H2" i="1"/>
  <c r="H5" i="1"/>
  <c r="B5" i="1"/>
  <c r="E56" i="32" l="1"/>
  <c r="C429" i="45" s="1"/>
  <c r="C77" i="45"/>
  <c r="E57" i="32"/>
  <c r="C164" i="45"/>
  <c r="C337" i="45"/>
  <c r="C340" i="45"/>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280" i="45"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G735" i="45" l="1"/>
  <c r="D20" i="46"/>
  <c r="C165" i="45"/>
  <c r="G715" i="45"/>
  <c r="C715" i="45" s="1"/>
  <c r="G342" i="45"/>
  <c r="C342" i="45" s="1"/>
  <c r="J125" i="45"/>
  <c r="C125" i="45" s="1"/>
  <c r="J279" i="45"/>
  <c r="C279" i="45" s="1"/>
  <c r="F33" i="46"/>
  <c r="F34" i="46"/>
  <c r="F19" i="46"/>
  <c r="J115" i="45"/>
  <c r="C115" i="45" s="1"/>
  <c r="J248" i="45"/>
  <c r="C248" i="45" s="1"/>
  <c r="J373" i="45"/>
  <c r="C373" i="45" s="1"/>
  <c r="D5" i="46"/>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1" i="32"/>
  <c r="J250" i="45" s="1"/>
  <c r="J4" i="1"/>
  <c r="D6" i="1"/>
  <c r="J3" i="1"/>
  <c r="K43" i="36"/>
  <c r="C8" i="32"/>
  <c r="C67" i="32" s="1"/>
  <c r="C62" i="32"/>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D1" i="46" l="1"/>
  <c r="E67" i="32"/>
  <c r="J53" i="45" s="1"/>
  <c r="C53" i="45" s="1"/>
  <c r="C744" i="45"/>
  <c r="J640" i="45" s="1"/>
  <c r="C640" i="45" s="1"/>
  <c r="C743" i="45"/>
  <c r="C238" i="45"/>
  <c r="C237" i="45"/>
  <c r="E63" i="32"/>
  <c r="C259" i="45"/>
  <c r="C260" i="45"/>
  <c r="E62" i="32"/>
  <c r="C62" i="45"/>
  <c r="F32" i="46"/>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C236" i="45" s="1"/>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C55" i="45"/>
  <c r="F10" i="46" s="1"/>
  <c r="C56" i="45"/>
  <c r="G74" i="45" s="1"/>
  <c r="C74" i="45" s="1"/>
  <c r="C58" i="45"/>
  <c r="G54" i="45" s="1"/>
  <c r="C54" i="45" s="1"/>
  <c r="K58" i="32"/>
  <c r="F81" i="46"/>
  <c r="F183" i="46"/>
  <c r="G410" i="45"/>
  <c r="C410" i="45" s="1"/>
  <c r="F8" i="46"/>
  <c r="F11" i="46"/>
  <c r="F195" i="46"/>
  <c r="F196" i="46"/>
  <c r="F193" i="46"/>
  <c r="F24" i="46"/>
  <c r="F25" i="46"/>
  <c r="F181" i="46"/>
  <c r="F21"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C51" i="45"/>
  <c r="F6" i="46" s="1"/>
  <c r="G69" i="45"/>
  <c r="C69" i="45" s="1"/>
  <c r="F22" i="46"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F3" i="46" s="1"/>
  <c r="G50" i="45"/>
  <c r="C50" i="45" s="1"/>
  <c r="G49" i="45"/>
  <c r="C49" i="45" s="1"/>
  <c r="G523" i="45" l="1"/>
  <c r="C523" i="45" s="1"/>
  <c r="G525" i="45"/>
  <c r="C525" i="45" s="1"/>
  <c r="C440" i="45"/>
  <c r="F109" i="46" s="1"/>
  <c r="F82" i="46"/>
  <c r="C409" i="45"/>
  <c r="G592" i="45"/>
  <c r="C592" i="45" s="1"/>
  <c r="G753" i="45"/>
  <c r="G752" i="45"/>
  <c r="G751" i="45"/>
  <c r="C751" i="45" s="1"/>
  <c r="F139" i="46"/>
  <c r="G566" i="45"/>
  <c r="C566" i="45" s="1"/>
  <c r="F161" i="46"/>
  <c r="G324" i="45"/>
  <c r="C324" i="45" s="1"/>
  <c r="F75" i="46"/>
  <c r="F125" i="46"/>
  <c r="F123" i="46"/>
  <c r="F140" i="46"/>
  <c r="F138" i="46"/>
  <c r="G505" i="45"/>
  <c r="C505" i="45" s="1"/>
  <c r="F128" i="46"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G418" i="45"/>
  <c r="F98" i="46"/>
  <c r="F95" i="46"/>
  <c r="F96" i="46"/>
  <c r="F86" i="46"/>
  <c r="G313" i="45"/>
  <c r="G314" i="45"/>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C752" i="45"/>
  <c r="F187" i="46" s="1"/>
  <c r="F163" i="46"/>
  <c r="C593" i="45"/>
  <c r="F155" i="46"/>
  <c r="C568" i="45"/>
  <c r="F115" i="46"/>
  <c r="C445" i="45"/>
  <c r="F113" i="46" s="1"/>
  <c r="F116" i="46"/>
  <c r="C446" i="45"/>
  <c r="F114" i="46" s="1"/>
  <c r="F93" i="46"/>
  <c r="C418" i="45"/>
  <c r="F55" i="46"/>
  <c r="C313" i="45"/>
  <c r="F53" i="46" s="1"/>
  <c r="F68" i="46"/>
  <c r="C326" i="45"/>
  <c r="F67" i="46"/>
  <c r="C325" i="45"/>
  <c r="F65" i="46" s="1"/>
  <c r="F56" i="46"/>
  <c r="C314" i="45"/>
  <c r="C65" i="45"/>
  <c r="F18" i="46" s="1"/>
  <c r="F16" i="46"/>
  <c r="C63" i="45"/>
  <c r="F130" i="46"/>
  <c r="F127" i="46"/>
  <c r="F66" i="46"/>
  <c r="F64" i="46"/>
  <c r="F87" i="46"/>
  <c r="F85" i="46"/>
  <c r="F99" i="46"/>
  <c r="F97" i="46"/>
  <c r="F153" i="46"/>
  <c r="F150" i="46"/>
  <c r="F165" i="46"/>
  <c r="F162" i="46"/>
  <c r="F94" i="46"/>
  <c r="F152" i="46"/>
  <c r="F190" i="46"/>
  <c r="F186" i="46"/>
  <c r="F54" i="46"/>
  <c r="F52"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<sst xmlns="http://schemas.openxmlformats.org/spreadsheetml/2006/main" count="11795" uniqueCount="1430">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</sst>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5" fillId="2" borderId="12" xfId="0" applyFont="1" applyFill="1" applyBorder="1" applyAlignment="1">
      <alignment horizontal="center" vertic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29" fillId="38" borderId="0" xfId="0" applyFont="1" applyFill="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3" workbookViewId="0">
      <selection activeCell="G24" sqref="G2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5" t="s">
        <v>143</v>
      </c>
      <c r="E1" s="205"/>
      <c r="F1" s="205"/>
      <c r="G1" s="205"/>
      <c r="H1" s="205"/>
      <c r="I1" s="205"/>
      <c r="J1" s="205"/>
      <c r="K1" s="206"/>
      <c r="L1" s="208" t="s">
        <v>193</v>
      </c>
      <c r="M1" s="209"/>
      <c r="N1" s="207" t="s">
        <v>161</v>
      </c>
      <c r="O1" s="207"/>
      <c r="P1" s="207"/>
      <c r="Q1" s="207"/>
      <c r="R1" s="207"/>
      <c r="S1" s="25"/>
    </row>
    <row r="2" spans="1:24">
      <c r="B2" s="50" t="s">
        <v>144</v>
      </c>
      <c r="C2" s="50" t="s">
        <v>62</v>
      </c>
      <c r="D2" s="203" t="s">
        <v>149</v>
      </c>
      <c r="E2" s="203"/>
      <c r="F2" s="203" t="s">
        <v>147</v>
      </c>
      <c r="G2" s="203"/>
      <c r="H2" s="203" t="s">
        <v>148</v>
      </c>
      <c r="I2" s="203"/>
      <c r="J2" s="203" t="s">
        <v>157</v>
      </c>
      <c r="K2" s="219"/>
      <c r="L2" s="210"/>
      <c r="M2" s="211"/>
      <c r="N2" s="29" t="s">
        <v>35</v>
      </c>
      <c r="O2" s="30" t="s">
        <v>51</v>
      </c>
      <c r="P2" s="29" t="s">
        <v>52</v>
      </c>
      <c r="Q2" s="30" t="s">
        <v>53</v>
      </c>
      <c r="R2" s="29" t="s">
        <v>54</v>
      </c>
    </row>
    <row r="3" spans="1:24">
      <c r="B3" s="28">
        <v>1</v>
      </c>
      <c r="C3" s="53">
        <v>1</v>
      </c>
      <c r="D3" s="204" t="s">
        <v>1429</v>
      </c>
      <c r="E3" s="204"/>
      <c r="F3" s="191" t="s">
        <v>126</v>
      </c>
      <c r="G3" s="191"/>
      <c r="H3" s="204" t="s">
        <v>132</v>
      </c>
      <c r="I3" s="204"/>
      <c r="J3" s="204" t="s">
        <v>133</v>
      </c>
      <c r="K3" s="220"/>
      <c r="L3" s="210"/>
      <c r="M3" s="211"/>
      <c r="N3" s="33">
        <v>1</v>
      </c>
      <c r="O3" s="33">
        <v>3</v>
      </c>
      <c r="P3" s="33">
        <v>5</v>
      </c>
      <c r="Q3" s="33">
        <v>7</v>
      </c>
      <c r="R3" s="33">
        <v>9</v>
      </c>
      <c r="S3" s="221" t="s">
        <v>162</v>
      </c>
      <c r="T3" s="222"/>
      <c r="U3" s="222"/>
      <c r="V3" s="222"/>
      <c r="W3" s="222"/>
      <c r="X3" s="222"/>
    </row>
    <row r="4" spans="1:24" s="24" customFormat="1">
      <c r="B4" s="28">
        <v>2</v>
      </c>
      <c r="C4" s="54">
        <f>$C$3+2</f>
        <v>3</v>
      </c>
      <c r="D4" s="204" t="s">
        <v>1316</v>
      </c>
      <c r="E4" s="204"/>
      <c r="F4" s="191" t="s">
        <v>127</v>
      </c>
      <c r="G4" s="191"/>
      <c r="H4" s="204" t="s">
        <v>1330</v>
      </c>
      <c r="I4" s="204"/>
      <c r="J4" s="204" t="s">
        <v>134</v>
      </c>
      <c r="K4" s="220"/>
      <c r="L4" s="212"/>
      <c r="M4" s="21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4" t="s">
        <v>123</v>
      </c>
      <c r="E5" s="204"/>
      <c r="F5" s="191" t="s">
        <v>128</v>
      </c>
      <c r="G5" s="191"/>
      <c r="H5" s="204" t="s">
        <v>136</v>
      </c>
      <c r="I5" s="204"/>
      <c r="J5" s="204" t="s">
        <v>135</v>
      </c>
      <c r="K5" s="220"/>
      <c r="L5" s="214"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4" t="s">
        <v>125</v>
      </c>
      <c r="E6" s="204"/>
      <c r="F6" s="191" t="s">
        <v>129</v>
      </c>
      <c r="G6" s="191"/>
      <c r="H6" s="204" t="s">
        <v>137</v>
      </c>
      <c r="I6" s="204"/>
      <c r="J6" s="204" t="s">
        <v>138</v>
      </c>
      <c r="K6" s="220"/>
      <c r="L6" s="215"/>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4" t="s">
        <v>124</v>
      </c>
      <c r="E7" s="204"/>
      <c r="F7" s="191" t="s">
        <v>130</v>
      </c>
      <c r="G7" s="191"/>
      <c r="H7" s="204" t="s">
        <v>139</v>
      </c>
      <c r="I7" s="204"/>
      <c r="J7" s="204" t="s">
        <v>140</v>
      </c>
      <c r="K7" s="220"/>
      <c r="L7" s="215"/>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4" t="s">
        <v>535</v>
      </c>
      <c r="E8" s="204"/>
      <c r="F8" s="191" t="s">
        <v>131</v>
      </c>
      <c r="G8" s="191"/>
      <c r="H8" s="204" t="s">
        <v>141</v>
      </c>
      <c r="I8" s="204"/>
      <c r="J8" s="204" t="s">
        <v>142</v>
      </c>
      <c r="K8" s="220"/>
      <c r="L8" s="215"/>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5" t="s">
        <v>160</v>
      </c>
      <c r="E9" s="205"/>
      <c r="F9" s="205"/>
      <c r="G9" s="205"/>
      <c r="H9" s="205"/>
      <c r="I9" s="205"/>
      <c r="J9" s="205"/>
      <c r="K9" s="206"/>
      <c r="L9" s="216"/>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1">
        <v>1.5</v>
      </c>
      <c r="E10" s="191"/>
      <c r="F10" s="191">
        <v>2.5</v>
      </c>
      <c r="G10" s="191"/>
      <c r="H10" s="191">
        <v>64</v>
      </c>
      <c r="I10" s="191"/>
      <c r="J10" s="191">
        <v>64</v>
      </c>
      <c r="K10" s="223"/>
      <c r="L10" s="217"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1">
        <v>64</v>
      </c>
      <c r="E11" s="191"/>
      <c r="F11" s="191">
        <v>64</v>
      </c>
      <c r="G11" s="191"/>
      <c r="H11" s="191">
        <v>64</v>
      </c>
      <c r="I11" s="191"/>
      <c r="J11" s="191">
        <v>64</v>
      </c>
      <c r="K11" s="223"/>
      <c r="L11" s="197"/>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5" t="s">
        <v>166</v>
      </c>
      <c r="B12" s="205"/>
      <c r="C12" s="27"/>
      <c r="D12" s="205" t="s">
        <v>164</v>
      </c>
      <c r="E12" s="205"/>
      <c r="F12" s="205"/>
      <c r="G12" s="205"/>
      <c r="H12" s="205"/>
      <c r="I12" s="205"/>
      <c r="J12" s="205"/>
      <c r="K12" s="206"/>
      <c r="L12" s="197"/>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3" t="s">
        <v>149</v>
      </c>
      <c r="E13" s="203"/>
      <c r="F13" s="203" t="s">
        <v>147</v>
      </c>
      <c r="G13" s="203"/>
      <c r="H13" s="203" t="s">
        <v>148</v>
      </c>
      <c r="I13" s="203"/>
      <c r="J13" s="203" t="s">
        <v>157</v>
      </c>
      <c r="K13" s="219"/>
      <c r="L13" s="197"/>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200">
        <f>ROUND((D10*$B$13)/$B$14,2)</f>
        <v>42.1</v>
      </c>
      <c r="E14" s="200"/>
      <c r="F14" s="200">
        <f>ROUND((F10*$B$13)/$B$14,2)</f>
        <v>70.17</v>
      </c>
      <c r="G14" s="200"/>
      <c r="H14" s="200">
        <f>ROUND((H10*$B$13)/$B$14,2)</f>
        <v>1796.27</v>
      </c>
      <c r="I14" s="200"/>
      <c r="J14" s="200">
        <f>ROUND((J10*$B$13)/$B$14,2)</f>
        <v>1796.27</v>
      </c>
      <c r="K14" s="200"/>
      <c r="L14" s="218"/>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5" t="s">
        <v>168</v>
      </c>
      <c r="B15" s="205"/>
      <c r="C15" s="51" t="s">
        <v>159</v>
      </c>
      <c r="D15" s="200">
        <f>ROUND($D$14/$D$11,2)</f>
        <v>0.66</v>
      </c>
      <c r="E15" s="200"/>
      <c r="F15" s="200">
        <f>ROUND($F$14/$F$11,2)</f>
        <v>1.1000000000000001</v>
      </c>
      <c r="G15" s="200"/>
      <c r="H15" s="200">
        <f>ROUND($H$14/$H$11,2)</f>
        <v>28.07</v>
      </c>
      <c r="I15" s="200"/>
      <c r="J15" s="200">
        <f>ROUND($J$14/$J$11,2)</f>
        <v>28.07</v>
      </c>
      <c r="K15" s="200"/>
      <c r="L15" s="193"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99"/>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199"/>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193"/>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193"/>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195"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196"/>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196"/>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7"/>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198"/>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193"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193"/>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193"/>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193"/>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5" t="s">
        <v>192</v>
      </c>
      <c r="C29" s="205"/>
      <c r="D29" s="205"/>
      <c r="E29" s="205"/>
      <c r="F29" s="205"/>
      <c r="G29" s="205"/>
      <c r="H29" s="205"/>
      <c r="I29" s="206"/>
      <c r="L29" s="193"/>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194" t="s">
        <v>149</v>
      </c>
      <c r="C30" s="194"/>
      <c r="D30" s="194" t="s">
        <v>147</v>
      </c>
      <c r="E30" s="194"/>
      <c r="F30" s="194" t="s">
        <v>148</v>
      </c>
      <c r="G30" s="194"/>
      <c r="H30" s="194" t="s">
        <v>157</v>
      </c>
      <c r="I30" s="194"/>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190" t="s">
        <v>1321</v>
      </c>
      <c r="N51" s="190"/>
      <c r="O51" s="190"/>
      <c r="P51" s="42"/>
      <c r="Q51" s="157"/>
      <c r="Z51" s="24"/>
      <c r="AA51" s="24"/>
    </row>
    <row r="52" spans="1:27" ht="15.75">
      <c r="A52" s="75"/>
      <c r="B52" s="201" t="s">
        <v>214</v>
      </c>
      <c r="C52" s="202"/>
      <c r="D52" s="202"/>
      <c r="E52" s="202"/>
      <c r="F52" s="201" t="s">
        <v>216</v>
      </c>
      <c r="G52" s="202"/>
      <c r="H52" s="202"/>
      <c r="I52" s="202"/>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727" workbookViewId="0">
      <selection activeCell="A745" sqref="A745"/>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80">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5</v>
      </c>
      <c r="D22" s="180">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3</v>
      </c>
      <c r="D24" s="180">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1</v>
      </c>
      <c r="D25" s="180">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1</v>
      </c>
      <c r="D29" s="180">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11</v>
      </c>
      <c r="D48" s="180">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11</v>
      </c>
      <c r="D49" s="180">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11</v>
      </c>
      <c r="D50" s="180">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11</v>
      </c>
      <c r="D51" s="180">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11</v>
      </c>
      <c r="D52" s="180">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11</v>
      </c>
      <c r="D53" s="180">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11</v>
      </c>
      <c r="D54" s="180">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11</v>
      </c>
      <c r="D56" s="180">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11</v>
      </c>
      <c r="D57" s="180">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11</v>
      </c>
      <c r="D58" s="180">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11</v>
      </c>
      <c r="D59" s="180">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5</v>
      </c>
      <c r="D60" s="180">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9</v>
      </c>
      <c r="D61" s="180">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LARGE((G63,J63,M63,P63,S63,V63),1)</f>
        <v>5</v>
      </c>
      <c r="D63" s="180">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LARGE((G64,J64,M64,P64,S64,V64),1)</f>
        <v>5</v>
      </c>
      <c r="D64" s="180">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LARGE((G65,J65,M65,P65,S65,V65),1)</f>
        <v>5</v>
      </c>
      <c r="D65" s="180">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LARGE((G66,J66,M66,P66,S66,V66),1)</f>
        <v>5</v>
      </c>
      <c r="D66" s="180">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LARGE((G67,J67,M67,P67,S67,V67),1)</f>
        <v>5</v>
      </c>
      <c r="D67" s="180">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1351</v>
      </c>
      <c r="B68" s="144" t="s">
        <v>603</v>
      </c>
      <c r="C68" s="130">
        <f>LARGE((G68,J68,M68,P68,S68,V68),1)</f>
        <v>5</v>
      </c>
      <c r="D68" s="180">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1351</v>
      </c>
      <c r="B69" s="125" t="s">
        <v>604</v>
      </c>
      <c r="C69" s="130">
        <f>LARGE((G69,J69,M69,P69,S69,V69),1)</f>
        <v>11</v>
      </c>
      <c r="D69" s="180">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09" si="13">(G70*F70)+(I70*J70)+(L70*M70)+(O70*P70)+(R70*S70)+(U70*V70)</f>
        <v>0</v>
      </c>
      <c r="D70" s="184"/>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80"/>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1351</v>
      </c>
      <c r="B72" s="125" t="s">
        <v>607</v>
      </c>
      <c r="C72" s="130">
        <f>LARGE((G72,J72,M72,P72,S72,V72),1)</f>
        <v>9</v>
      </c>
      <c r="D72" s="180">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1351</v>
      </c>
      <c r="B73" s="125" t="s">
        <v>608</v>
      </c>
      <c r="C73" s="130">
        <f>LARGE((G73,J73,M73,P73,S73,V73),1)</f>
        <v>5</v>
      </c>
      <c r="D73" s="180">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1351</v>
      </c>
      <c r="B74" s="125" t="s">
        <v>609</v>
      </c>
      <c r="C74" s="130">
        <f>LARGE((G74,J74,M74,P74,S74,V74),1)</f>
        <v>11</v>
      </c>
      <c r="D74" s="180">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1351</v>
      </c>
      <c r="B75" s="125" t="s">
        <v>610</v>
      </c>
      <c r="C75" s="130">
        <f>LARGE((G75,J75,M75,P75,S75,V75),1)</f>
        <v>7</v>
      </c>
      <c r="D75" s="180">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1351</v>
      </c>
      <c r="B76" s="125" t="s">
        <v>611</v>
      </c>
      <c r="C76" s="130">
        <f>LARGE((G76,J76,M76,P76,S76,V76),1)</f>
        <v>5</v>
      </c>
      <c r="D76" s="180">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3"/>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1348</v>
      </c>
      <c r="B78" s="125" t="s">
        <v>613</v>
      </c>
      <c r="C78" s="130">
        <f>LARGE((G78,J78,M78,P78,S78,V78),1)</f>
        <v>5</v>
      </c>
      <c r="D78" s="180">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1348</v>
      </c>
      <c r="B79" s="125" t="s">
        <v>614</v>
      </c>
      <c r="C79" s="130">
        <f>LARGE((G79,J79,M79,P79,S79,V79),1)</f>
        <v>5</v>
      </c>
      <c r="D79" s="180">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1352</v>
      </c>
      <c r="B80" s="125" t="s">
        <v>615</v>
      </c>
      <c r="C80" s="130">
        <f>LARGE((G80,J80,M80,P80,S80,V80),1)</f>
        <v>5</v>
      </c>
      <c r="D80" s="180">
        <v>1</v>
      </c>
      <c r="E80" s="127" t="s">
        <v>1051</v>
      </c>
      <c r="F80">
        <v>3</v>
      </c>
      <c r="G80" s="127">
        <f t="shared" si="7"/>
        <v>5</v>
      </c>
      <c r="H80" s="127" t="s">
        <v>928</v>
      </c>
      <c r="I80" s="127">
        <v>1</v>
      </c>
      <c r="J80" s="127">
        <f t="shared" si="8"/>
        <v>5</v>
      </c>
      <c r="K80" s="127" t="s">
        <v>1305</v>
      </c>
      <c r="M80" s="127">
        <f t="shared" si="9"/>
        <v>0</v>
      </c>
      <c r="N80" s="127" t="s">
        <v>1305</v>
      </c>
      <c r="P80" s="127">
        <f t="shared" si="10"/>
        <v>0</v>
      </c>
      <c r="Q80" s="127" t="s">
        <v>1305</v>
      </c>
      <c r="S80" s="127">
        <f t="shared" si="11"/>
        <v>0</v>
      </c>
      <c r="T80" s="127" t="s">
        <v>1305</v>
      </c>
      <c r="V80" s="127">
        <f t="shared" si="12"/>
        <v>0</v>
      </c>
    </row>
    <row r="81" spans="1:22" ht="15.75">
      <c r="A81" s="153" t="s">
        <v>1352</v>
      </c>
      <c r="B81" s="125" t="s">
        <v>616</v>
      </c>
      <c r="C81" s="130">
        <f>LARGE((G81,J81,M81,P81,S81,V81),1)</f>
        <v>5</v>
      </c>
      <c r="D81" s="180">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1344</v>
      </c>
      <c r="B82" s="125" t="s">
        <v>617</v>
      </c>
      <c r="C82" s="130">
        <f>LARGE((G82,J82,M82,P82,S82,V82),1)</f>
        <v>3</v>
      </c>
      <c r="D82" s="180">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1348</v>
      </c>
      <c r="B83" s="125" t="s">
        <v>618</v>
      </c>
      <c r="C83" s="130">
        <f>LARGE((G83,J83,M83,P83,S83,V83),1)</f>
        <v>1</v>
      </c>
      <c r="D83" s="180">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4"/>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4"/>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4"/>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1348</v>
      </c>
      <c r="B87" s="125" t="s">
        <v>622</v>
      </c>
      <c r="C87" s="130">
        <f>LARGE((G87,J87,M87,P87,S87,V87),1)</f>
        <v>7</v>
      </c>
      <c r="D87" s="180">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1352</v>
      </c>
      <c r="B88" s="125" t="s">
        <v>623</v>
      </c>
      <c r="C88" s="130">
        <f>LARGE((G88,J88,M88,P88,S88,V88),1)</f>
        <v>9</v>
      </c>
      <c r="D88" s="180">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1346</v>
      </c>
      <c r="B89" s="125" t="s">
        <v>624</v>
      </c>
      <c r="C89" s="130">
        <f>LARGE((G89,J89,M89,P89,S89,V89),1)</f>
        <v>7</v>
      </c>
      <c r="D89" s="180">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1346</v>
      </c>
      <c r="B90" s="125" t="s">
        <v>625</v>
      </c>
      <c r="C90" s="130">
        <f>LARGE((G90,J90,M90,P90,S90,V90),1)</f>
        <v>7</v>
      </c>
      <c r="D90" s="180">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1346</v>
      </c>
      <c r="B91" s="125" t="s">
        <v>626</v>
      </c>
      <c r="C91" s="130">
        <f>LARGE((G91,J91,M91,P91,S91,V91),1)</f>
        <v>7</v>
      </c>
      <c r="D91" s="180">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1346</v>
      </c>
      <c r="B92" s="125" t="s">
        <v>627</v>
      </c>
      <c r="C92" s="130">
        <f>LARGE((G92,J92,M92,P92,S92,V92),1)</f>
        <v>7</v>
      </c>
      <c r="D92" s="180">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1346</v>
      </c>
      <c r="B93" s="125" t="s">
        <v>628</v>
      </c>
      <c r="C93" s="130">
        <f>LARGE((G93,J93,M93,P93,S93,V93),1)</f>
        <v>7</v>
      </c>
      <c r="D93" s="180">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1351</v>
      </c>
      <c r="B94" s="125" t="s">
        <v>629</v>
      </c>
      <c r="C94" s="130">
        <f>LARGE((G94,J94,M94,P94,S94,V94),1)</f>
        <v>7</v>
      </c>
      <c r="D94" s="180">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1351</v>
      </c>
      <c r="B95" s="125" t="s">
        <v>630</v>
      </c>
      <c r="C95" s="130">
        <f>LARGE((G95,J95,M95,P95,S95,V95),1)</f>
        <v>7</v>
      </c>
      <c r="D95" s="180">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1351</v>
      </c>
      <c r="B96" s="125" t="s">
        <v>631</v>
      </c>
      <c r="C96" s="130">
        <f>LARGE((G96,J96,M96,P96,S96,V96),1)</f>
        <v>7</v>
      </c>
      <c r="D96" s="180">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1351</v>
      </c>
      <c r="B97" s="125" t="s">
        <v>632</v>
      </c>
      <c r="C97" s="130">
        <f>LARGE((G97,J97,M97,P97,S97,V97),1)</f>
        <v>7</v>
      </c>
      <c r="D97" s="180">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1351</v>
      </c>
      <c r="B98" s="125" t="s">
        <v>633</v>
      </c>
      <c r="C98" s="130">
        <f>LARGE((G98,J98,M98,P98,S98,V98),1)</f>
        <v>7</v>
      </c>
      <c r="D98" s="180">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1351</v>
      </c>
      <c r="B99" s="144" t="s">
        <v>634</v>
      </c>
      <c r="C99" s="130">
        <f>LARGE((G99,J99,M99,P99,S99,V99),1)</f>
        <v>7</v>
      </c>
      <c r="D99" s="180">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1351</v>
      </c>
      <c r="B100" s="125" t="s">
        <v>635</v>
      </c>
      <c r="C100" s="130">
        <f>LARGE((G100,J100,M100,P100,S100,V100),1)</f>
        <v>7</v>
      </c>
      <c r="D100" s="180">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80"/>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1351</v>
      </c>
      <c r="B102" s="125" t="s">
        <v>637</v>
      </c>
      <c r="C102" s="130">
        <f>LARGE((G102,J102,M102,P102,S102,V102),1)</f>
        <v>9</v>
      </c>
      <c r="D102" s="180">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1351</v>
      </c>
      <c r="B103" s="125" t="s">
        <v>638</v>
      </c>
      <c r="C103" s="130">
        <f>LARGE((G103,J103,M103,P103,S103,V103),1)</f>
        <v>7</v>
      </c>
      <c r="D103" s="180">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1351</v>
      </c>
      <c r="B104" s="125" t="s">
        <v>639</v>
      </c>
      <c r="C104" s="130">
        <f>LARGE((G104,J104,M104,P104,S104,V104),1)</f>
        <v>7</v>
      </c>
      <c r="D104" s="180">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1351</v>
      </c>
      <c r="B105" s="125" t="s">
        <v>640</v>
      </c>
      <c r="C105" s="130">
        <f>LARGE((G105,J105,M105,P105,S105,V105),1)</f>
        <v>7</v>
      </c>
      <c r="D105" s="180">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1351</v>
      </c>
      <c r="B106" s="125" t="s">
        <v>641</v>
      </c>
      <c r="C106" s="130">
        <f>LARGE((G106,J106,M106,P106,S106,V106),1)</f>
        <v>7</v>
      </c>
      <c r="D106" s="180">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4"/>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4"/>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4"/>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1343</v>
      </c>
      <c r="B110" s="125" t="s">
        <v>645</v>
      </c>
      <c r="C110" s="130">
        <f>LARGE((G110,J110,M110,P110,S110,V110),1)</f>
        <v>5</v>
      </c>
      <c r="D110" s="180">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80"/>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1348</v>
      </c>
      <c r="B112" s="125" t="s">
        <v>647</v>
      </c>
      <c r="C112" s="130">
        <f>LARGE((G112,J112,M112,P112,S112,V112),1)</f>
        <v>7</v>
      </c>
      <c r="D112" s="180">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2.5</v>
      </c>
      <c r="Q112" s="127" t="s">
        <v>1305</v>
      </c>
      <c r="S112" s="127">
        <f t="shared" si="11"/>
        <v>0</v>
      </c>
      <c r="T112" s="127" t="s">
        <v>1305</v>
      </c>
      <c r="V112" s="127">
        <f t="shared" si="12"/>
        <v>0</v>
      </c>
    </row>
    <row r="113" spans="1:22" ht="15.75">
      <c r="A113" s="153" t="s">
        <v>1345</v>
      </c>
      <c r="B113" s="125" t="s">
        <v>648</v>
      </c>
      <c r="C113" s="130">
        <f>LARGE((G113,J113,M113,P113,S113,V113),1)</f>
        <v>3</v>
      </c>
      <c r="D113" s="180">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80"/>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1348</v>
      </c>
      <c r="B115" s="125" t="s">
        <v>650</v>
      </c>
      <c r="C115" s="130">
        <f>LARGE((G115,J115,M115,P115,S115,V115),1)</f>
        <v>5</v>
      </c>
      <c r="D115" s="180">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1345</v>
      </c>
      <c r="B116" s="125" t="s">
        <v>651</v>
      </c>
      <c r="C116" s="130">
        <f>LARGE((G116,J116,M116,P116,S116,V116),1)</f>
        <v>5</v>
      </c>
      <c r="D116" s="180">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1348</v>
      </c>
      <c r="B117" s="125" t="s">
        <v>652</v>
      </c>
      <c r="C117" s="130">
        <f>LARGE((G117,J117,M117,P117,S117,V117),1)</f>
        <v>11</v>
      </c>
      <c r="D117" s="180">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1343</v>
      </c>
      <c r="B118" s="125" t="s">
        <v>653</v>
      </c>
      <c r="C118" s="130">
        <f>LARGE((G118,J118,M118,P118,S118,V118),1)</f>
        <v>5</v>
      </c>
      <c r="D118" s="180">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1344</v>
      </c>
      <c r="B119" s="138" t="s">
        <v>654</v>
      </c>
      <c r="C119" s="139">
        <f>'ECONOMIA &amp; PROFESIONES'!$B$17</f>
        <v>3</v>
      </c>
      <c r="D119" s="185"/>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1344</v>
      </c>
      <c r="B120" s="138" t="s">
        <v>655</v>
      </c>
      <c r="C120" s="139">
        <f>'ECONOMIA &amp; PROFESIONES'!$B$17</f>
        <v>3</v>
      </c>
      <c r="D120" s="185"/>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1344</v>
      </c>
      <c r="B121" s="138" t="s">
        <v>656</v>
      </c>
      <c r="C121" s="139">
        <f>'ECONOMIA &amp; PROFESIONES'!$B$17</f>
        <v>3</v>
      </c>
      <c r="D121" s="185"/>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1344</v>
      </c>
      <c r="B122" s="138" t="s">
        <v>657</v>
      </c>
      <c r="C122" s="139">
        <f>'ECONOMIA &amp; PROFESIONES'!$B$17</f>
        <v>3</v>
      </c>
      <c r="D122" s="185"/>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80">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1345</v>
      </c>
      <c r="B124" s="125" t="s">
        <v>659</v>
      </c>
      <c r="C124" s="130">
        <f>LARGE((G124,J124,M124,P124,S124,V124),1)</f>
        <v>1</v>
      </c>
      <c r="D124" s="180">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80">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80"/>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1346</v>
      </c>
      <c r="B127" s="125" t="s">
        <v>662</v>
      </c>
      <c r="C127" s="130">
        <f>LARGE((G127,J127,M127,P127,S127,V127),1)</f>
        <v>9</v>
      </c>
      <c r="D127" s="180">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1346</v>
      </c>
      <c r="B128" s="125" t="s">
        <v>663</v>
      </c>
      <c r="C128" s="130">
        <f>LARGE((G128,J128,M128,P128,S128,V128),1)</f>
        <v>7</v>
      </c>
      <c r="D128" s="180">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1346</v>
      </c>
      <c r="B129" s="125" t="s">
        <v>664</v>
      </c>
      <c r="C129" s="130">
        <f>LARGE((G129,J129,M129,P129,S129,V129),1)</f>
        <v>5</v>
      </c>
      <c r="D129" s="180">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1346</v>
      </c>
      <c r="B130" s="125" t="s">
        <v>665</v>
      </c>
      <c r="C130" s="130">
        <f>LARGE((G130,J130,M130,P130,S130,V130),1)</f>
        <v>3</v>
      </c>
      <c r="D130" s="180">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80"/>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80"/>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80"/>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1346</v>
      </c>
      <c r="B134" s="144" t="s">
        <v>669</v>
      </c>
      <c r="C134" s="130">
        <f>LARGE((G134,J134,M134,P134,S134,V134),1)</f>
        <v>7</v>
      </c>
      <c r="D134" s="180">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80"/>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1343</v>
      </c>
      <c r="B136" s="125" t="s">
        <v>671</v>
      </c>
      <c r="C136" s="130">
        <f>LARGE((G136,J136,M136,P136,S136,V136),1)</f>
        <v>7</v>
      </c>
      <c r="D136" s="180">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80"/>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1346</v>
      </c>
      <c r="B138" s="125" t="s">
        <v>673</v>
      </c>
      <c r="C138" s="130">
        <f>LARGE((G138,J138,M138,P138,S138,V138),1)</f>
        <v>3</v>
      </c>
      <c r="D138" s="180">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80"/>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1346</v>
      </c>
      <c r="B140" s="125" t="s">
        <v>675</v>
      </c>
      <c r="C140" s="130">
        <f>LARGE((G140,J140,M140,P140,S140,V140),1)</f>
        <v>1</v>
      </c>
      <c r="D140" s="180">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80"/>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1346</v>
      </c>
      <c r="B142" s="125" t="s">
        <v>677</v>
      </c>
      <c r="C142" s="130">
        <f>LARGE((G142,J142,M142,P142,S142,V142),1)</f>
        <v>1</v>
      </c>
      <c r="D142" s="180">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1346</v>
      </c>
      <c r="B143" s="125" t="s">
        <v>678</v>
      </c>
      <c r="C143" s="130">
        <f>LARGE((G143,J143,M143,P143,S143,V143),1)</f>
        <v>1</v>
      </c>
      <c r="D143" s="180">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1346</v>
      </c>
      <c r="B144" s="125" t="s">
        <v>679</v>
      </c>
      <c r="C144" s="130">
        <f>LARGE((G144,J144,M144,P144,S144,V144),1)</f>
        <v>1</v>
      </c>
      <c r="D144" s="180">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80"/>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80"/>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1342</v>
      </c>
      <c r="B147" s="135" t="s">
        <v>681</v>
      </c>
      <c r="C147" s="136">
        <f>'ECONOMIA &amp; PROFESIONES'!I33</f>
        <v>3</v>
      </c>
      <c r="D147" s="180"/>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1353</v>
      </c>
      <c r="B148" s="125" t="s">
        <v>682</v>
      </c>
      <c r="C148" s="130">
        <f>LARGE((G148,J148,M148,P148,S148,V148),1)</f>
        <v>9</v>
      </c>
      <c r="D148" s="180">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1343</v>
      </c>
      <c r="B149" s="125" t="s">
        <v>683</v>
      </c>
      <c r="C149" s="130">
        <f>LARGE((G149,J149,M149,P149,S149,V149),1)</f>
        <v>7</v>
      </c>
      <c r="D149" s="180">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1345</v>
      </c>
      <c r="B150" s="125" t="s">
        <v>684</v>
      </c>
      <c r="C150" s="130">
        <f>LARGE((G150,J150,M150,P150,S150,V150),1)</f>
        <v>1</v>
      </c>
      <c r="D150" s="180">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1350</v>
      </c>
      <c r="B151" s="125" t="s">
        <v>685</v>
      </c>
      <c r="C151" s="130">
        <f>LARGE((G151,J151,M151,P151,S151,V151),1)</f>
        <v>1</v>
      </c>
      <c r="D151" s="180">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1348</v>
      </c>
      <c r="B152" s="125" t="s">
        <v>686</v>
      </c>
      <c r="C152" s="130">
        <f>LARGE((G152,J152,M152,P152,S152,V152),1)</f>
        <v>3</v>
      </c>
      <c r="D152" s="180">
        <v>1</v>
      </c>
      <c r="E152" s="127" t="s">
        <v>565</v>
      </c>
      <c r="F152">
        <v>1</v>
      </c>
      <c r="G152" s="127">
        <f t="shared" si="14"/>
        <v>2.5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1348</v>
      </c>
      <c r="B153" s="125" t="s">
        <v>687</v>
      </c>
      <c r="C153" s="130">
        <f>LARGE((G153,J153,M153,P153,S153,V153),1)</f>
        <v>3</v>
      </c>
      <c r="D153" s="180">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1348</v>
      </c>
      <c r="B154" s="125" t="s">
        <v>688</v>
      </c>
      <c r="C154" s="130">
        <f>LARGE((G154,J154,M154,P154,S154,V154),1)</f>
        <v>3</v>
      </c>
      <c r="D154" s="180">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1348</v>
      </c>
      <c r="B155" s="125" t="s">
        <v>689</v>
      </c>
      <c r="C155" s="130">
        <f>LARGE((G155,J155,M155,P155,S155,V155),1)</f>
        <v>11</v>
      </c>
      <c r="D155" s="180">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1348</v>
      </c>
      <c r="B156" s="125" t="s">
        <v>690</v>
      </c>
      <c r="C156" s="130">
        <f>LARGE((G156,J156,M156,P156,S156,V156),1)</f>
        <v>7</v>
      </c>
      <c r="D156" s="180">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1348</v>
      </c>
      <c r="B157" s="125" t="s">
        <v>691</v>
      </c>
      <c r="C157" s="130">
        <f>LARGE((G157,J157,M157,P157,S157,V157),1)</f>
        <v>9</v>
      </c>
      <c r="D157" s="180">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1348</v>
      </c>
      <c r="B158" s="125" t="s">
        <v>692</v>
      </c>
      <c r="C158" s="130">
        <f>LARGE((G158,J158,M158,P158,S158,V158),1)</f>
        <v>3</v>
      </c>
      <c r="D158" s="180">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1348</v>
      </c>
      <c r="B159" s="125" t="s">
        <v>693</v>
      </c>
      <c r="C159" s="130">
        <f>LARGE((G159,J159,M159,P159,S159,V159),1)</f>
        <v>7</v>
      </c>
      <c r="D159" s="180">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80"/>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1346</v>
      </c>
      <c r="B161" s="125" t="s">
        <v>695</v>
      </c>
      <c r="C161" s="130">
        <f>LARGE((G161,J161,M161,P161,S161,V161),1)</f>
        <v>3</v>
      </c>
      <c r="D161" s="180">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5" customFormat="1" ht="15.75">
      <c r="B162" s="176" t="s">
        <v>696</v>
      </c>
      <c r="C162" s="177">
        <f t="shared" ref="C162" si="26">(G162*F162)+(I162*J162)+(L162*M162)+(O162*P162)+(R162*S162)+(U162*V162)</f>
        <v>4</v>
      </c>
      <c r="D162" s="180"/>
      <c r="E162" s="175" t="s">
        <v>1026</v>
      </c>
      <c r="F162" s="175">
        <v>4</v>
      </c>
      <c r="G162" s="175">
        <f t="shared" si="14"/>
        <v>1</v>
      </c>
      <c r="H162" s="175" t="s">
        <v>1305</v>
      </c>
      <c r="J162" s="175">
        <f t="shared" si="15"/>
        <v>0</v>
      </c>
      <c r="K162" s="175" t="s">
        <v>1305</v>
      </c>
      <c r="M162" s="175">
        <f t="shared" si="16"/>
        <v>0</v>
      </c>
      <c r="N162" s="175" t="s">
        <v>1305</v>
      </c>
      <c r="P162" s="175">
        <f t="shared" si="17"/>
        <v>0</v>
      </c>
      <c r="Q162" s="175" t="s">
        <v>1305</v>
      </c>
      <c r="S162" s="175">
        <f t="shared" si="18"/>
        <v>0</v>
      </c>
      <c r="T162" s="175" t="s">
        <v>1305</v>
      </c>
      <c r="V162" s="175">
        <f t="shared" si="19"/>
        <v>0</v>
      </c>
    </row>
    <row r="163" spans="1:22" ht="15.75">
      <c r="A163" s="153"/>
      <c r="B163" s="125" t="s">
        <v>697</v>
      </c>
      <c r="C163" s="130">
        <f>LARGE((G163,J163,M163,P163,S163,V163),1)</f>
        <v>5</v>
      </c>
      <c r="D163" s="180">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80"/>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1344</v>
      </c>
      <c r="B165" s="125" t="s">
        <v>698</v>
      </c>
      <c r="C165" s="130">
        <f>LARGE((G165,J165,M165,P165,S165,V165),1)</f>
        <v>5</v>
      </c>
      <c r="D165" s="180">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1346</v>
      </c>
      <c r="B166" s="125" t="s">
        <v>699</v>
      </c>
      <c r="C166" s="130">
        <f>LARGE((G166,J166,M166,P166,S166,V166),1)</f>
        <v>7</v>
      </c>
      <c r="D166" s="180">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1346</v>
      </c>
      <c r="B167" s="125" t="s">
        <v>700</v>
      </c>
      <c r="C167" s="130">
        <f>LARGE((G167,J167,M167,P167,S167,V167),1)</f>
        <v>7</v>
      </c>
      <c r="D167" s="180">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1346</v>
      </c>
      <c r="B168" s="125" t="s">
        <v>701</v>
      </c>
      <c r="C168" s="130">
        <f>LARGE((G168,J168,M168,P168,S168,V168),1)</f>
        <v>5</v>
      </c>
      <c r="D168" s="180">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1346</v>
      </c>
      <c r="B169" s="125" t="s">
        <v>702</v>
      </c>
      <c r="C169" s="130">
        <f>LARGE((G169,J169,M169,P169,S169,V169),1)</f>
        <v>5</v>
      </c>
      <c r="D169" s="180">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1351</v>
      </c>
      <c r="B170" s="125" t="s">
        <v>703</v>
      </c>
      <c r="C170" s="130">
        <f>LARGE((G170,J170,M170,P170,S170,V170),1)</f>
        <v>5</v>
      </c>
      <c r="D170" s="180">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1351</v>
      </c>
      <c r="B171" s="125" t="s">
        <v>704</v>
      </c>
      <c r="C171" s="130">
        <f>LARGE((G171,J171,M171,P171,S171,V171),1)</f>
        <v>5</v>
      </c>
      <c r="D171" s="180">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1351</v>
      </c>
      <c r="B172" s="125" t="s">
        <v>705</v>
      </c>
      <c r="C172" s="130">
        <f>LARGE((G172,J172,M172,P172,S172,V172),1)</f>
        <v>5</v>
      </c>
      <c r="D172" s="180">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1351</v>
      </c>
      <c r="B173" s="125" t="s">
        <v>706</v>
      </c>
      <c r="C173" s="130">
        <f>LARGE((G173,J173,M173,P173,S173,V173),1)</f>
        <v>5</v>
      </c>
      <c r="D173" s="180">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1351</v>
      </c>
      <c r="B174" s="125" t="s">
        <v>707</v>
      </c>
      <c r="C174" s="130">
        <f>LARGE((G174,J174,M174,P174,S174,V174),1)</f>
        <v>5</v>
      </c>
      <c r="D174" s="180">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1351</v>
      </c>
      <c r="B175" s="144" t="s">
        <v>708</v>
      </c>
      <c r="C175" s="130">
        <f>LARGE((G175,J175,M175,P175,S175,V175),1)</f>
        <v>5</v>
      </c>
      <c r="D175" s="180">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1351</v>
      </c>
      <c r="B176" s="125" t="s">
        <v>709</v>
      </c>
      <c r="C176" s="130">
        <f>LARGE((G176,J176,M176,P176,S176,V176),1)</f>
        <v>7</v>
      </c>
      <c r="D176" s="180">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1351</v>
      </c>
      <c r="B177" s="125" t="s">
        <v>710</v>
      </c>
      <c r="C177" s="130">
        <f>LARGE((G177,J177,M177,P177,S177,V177),1)</f>
        <v>9</v>
      </c>
      <c r="D177" s="180">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1351</v>
      </c>
      <c r="B178" s="125" t="s">
        <v>711</v>
      </c>
      <c r="C178" s="130">
        <f>LARGE((G178,J178,M178,P178,S178,V178),1)</f>
        <v>5</v>
      </c>
      <c r="D178" s="180">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1351</v>
      </c>
      <c r="B179" s="125" t="s">
        <v>712</v>
      </c>
      <c r="C179" s="130">
        <f>LARGE((G179,J179,M179,P179,S179,V179),1)</f>
        <v>5</v>
      </c>
      <c r="D179" s="180">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1351</v>
      </c>
      <c r="B180" s="125" t="s">
        <v>713</v>
      </c>
      <c r="C180" s="130">
        <f>LARGE((G180,J180,M180,P180,S180,V180),1)</f>
        <v>7</v>
      </c>
      <c r="D180" s="180">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1351</v>
      </c>
      <c r="B181" s="125" t="s">
        <v>714</v>
      </c>
      <c r="C181" s="130">
        <f>LARGE((G181,J181,M181,P181,S181,V181),1)</f>
        <v>5</v>
      </c>
      <c r="D181" s="180">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80"/>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1345</v>
      </c>
      <c r="B183" s="125" t="s">
        <v>716</v>
      </c>
      <c r="C183" s="130">
        <f>LARGE((G183,J183,M183,P183,S183,V183),1)</f>
        <v>11</v>
      </c>
      <c r="D183" s="180">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1345</v>
      </c>
      <c r="B184" s="125" t="s">
        <v>717</v>
      </c>
      <c r="C184" s="130">
        <f>LARGE((G184,J184,M184,P184,S184,V184),1)</f>
        <v>11</v>
      </c>
      <c r="D184" s="180">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1345</v>
      </c>
      <c r="B185" s="125" t="s">
        <v>718</v>
      </c>
      <c r="C185" s="130">
        <f>LARGE((G185,J185,M185,P185,S185,V185),1)</f>
        <v>11</v>
      </c>
      <c r="D185" s="180">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1345</v>
      </c>
      <c r="B186" s="125" t="s">
        <v>719</v>
      </c>
      <c r="C186" s="130">
        <f>LARGE((G186,J186,M186,P186,S186,V186),1)</f>
        <v>11</v>
      </c>
      <c r="D186" s="180">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1345</v>
      </c>
      <c r="B187" s="125" t="s">
        <v>720</v>
      </c>
      <c r="C187" s="130">
        <f>LARGE((G187,J187,M187,P187,S187,V187),1)</f>
        <v>11</v>
      </c>
      <c r="D187" s="180">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80"/>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1345</v>
      </c>
      <c r="B189" s="125" t="s">
        <v>722</v>
      </c>
      <c r="C189" s="130">
        <f>LARGE((G189,J189,M189,P189,S189,V189),1)</f>
        <v>11</v>
      </c>
      <c r="D189" s="180">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1345</v>
      </c>
      <c r="B190" s="125" t="s">
        <v>723</v>
      </c>
      <c r="C190" s="130">
        <f>LARGE((G190,J190,M190,P190,S190,V190),1)</f>
        <v>11</v>
      </c>
      <c r="D190" s="180">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1345</v>
      </c>
      <c r="B191" s="125" t="s">
        <v>724</v>
      </c>
      <c r="C191" s="130">
        <f>LARGE((G191,J191,M191,P191,S191,V191),1)</f>
        <v>11</v>
      </c>
      <c r="D191" s="180">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1345</v>
      </c>
      <c r="B192" s="125" t="s">
        <v>725</v>
      </c>
      <c r="C192" s="130">
        <f>LARGE((G192,J192,M192,P192,S192,V192),1)</f>
        <v>11</v>
      </c>
      <c r="D192" s="180">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1345</v>
      </c>
      <c r="B193" s="125" t="s">
        <v>726</v>
      </c>
      <c r="C193" s="130">
        <f>LARGE((G193,J193,M193,P193,S193,V193),1)</f>
        <v>11</v>
      </c>
      <c r="D193" s="180">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1345</v>
      </c>
      <c r="B194" s="125" t="s">
        <v>727</v>
      </c>
      <c r="C194" s="130">
        <f>LARGE((G194,J194,M194,P194,S194,V194),1)</f>
        <v>11</v>
      </c>
      <c r="D194" s="180">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80"/>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1346</v>
      </c>
      <c r="B196" s="125" t="s">
        <v>729</v>
      </c>
      <c r="C196" s="130">
        <f>LARGE((G196,J196,M196,P196,S196,V196),1)</f>
        <v>9</v>
      </c>
      <c r="D196" s="180">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1346</v>
      </c>
      <c r="B197" s="125" t="s">
        <v>730</v>
      </c>
      <c r="C197" s="130">
        <f>LARGE((G197,J197,M197,P197,S197,V197),1)</f>
        <v>9</v>
      </c>
      <c r="D197" s="180">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1346</v>
      </c>
      <c r="B198" s="125" t="s">
        <v>731</v>
      </c>
      <c r="C198" s="130">
        <f>LARGE((G198,J198,M198,P198,S198,V198),1)</f>
        <v>9</v>
      </c>
      <c r="D198" s="180">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1353</v>
      </c>
      <c r="B199" s="125" t="s">
        <v>732</v>
      </c>
      <c r="C199" s="130">
        <f>LARGE((G199,J199,M199,P199,S199,V199),1)</f>
        <v>9</v>
      </c>
      <c r="D199" s="180">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4"/>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4"/>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4"/>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4"/>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4"/>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4"/>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4"/>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4"/>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4"/>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4"/>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4"/>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4"/>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4"/>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4"/>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4"/>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4"/>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80">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80"/>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1343</v>
      </c>
      <c r="B218" s="125" t="s">
        <v>751</v>
      </c>
      <c r="C218" s="130">
        <f>LARGE((G218,J218,M218,P218,S218,V218),1)</f>
        <v>11</v>
      </c>
      <c r="D218" s="180">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1343</v>
      </c>
      <c r="B219" s="125" t="s">
        <v>752</v>
      </c>
      <c r="C219" s="130">
        <f>LARGE((G219,J219,M219,P219,S219,V219),1)</f>
        <v>11</v>
      </c>
      <c r="D219" s="180">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1344</v>
      </c>
      <c r="B220" s="125" t="s">
        <v>753</v>
      </c>
      <c r="C220" s="130">
        <f>LARGE((G220,J220,M220,P220,S220,V220),1)</f>
        <v>11</v>
      </c>
      <c r="D220" s="180">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1344</v>
      </c>
      <c r="B221" s="125" t="s">
        <v>754</v>
      </c>
      <c r="C221" s="130">
        <f>LARGE((G221,J221,M221,P221,S221,V221),1)</f>
        <v>11</v>
      </c>
      <c r="D221" s="180">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1344</v>
      </c>
      <c r="B222" s="125" t="s">
        <v>755</v>
      </c>
      <c r="C222" s="130">
        <f>LARGE((G222,J222,M222,P222,S222,V222),1)</f>
        <v>11</v>
      </c>
      <c r="D222" s="180">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1343</v>
      </c>
      <c r="B223" s="125" t="s">
        <v>756</v>
      </c>
      <c r="C223" s="130">
        <f>LARGE((G223,J223,M223,P223,S223,V223),1)</f>
        <v>11</v>
      </c>
      <c r="D223" s="180">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80"/>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1344</v>
      </c>
      <c r="B225" s="125" t="s">
        <v>758</v>
      </c>
      <c r="C225" s="130">
        <f>LARGE((G225,J225,M225,P225,S225,V225),1)</f>
        <v>11</v>
      </c>
      <c r="D225" s="180">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80"/>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1343</v>
      </c>
      <c r="B227" s="125" t="s">
        <v>760</v>
      </c>
      <c r="C227" s="130">
        <f>LARGE((G227,J227,M227,P227,S227,V227),1)</f>
        <v>11</v>
      </c>
      <c r="D227" s="180">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1343</v>
      </c>
      <c r="B228" s="125" t="s">
        <v>761</v>
      </c>
      <c r="C228" s="130">
        <f>LARGE((G228,J228,M228,P228,S228,V228),1)</f>
        <v>11</v>
      </c>
      <c r="D228" s="180">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1344</v>
      </c>
      <c r="B229" s="125" t="s">
        <v>762</v>
      </c>
      <c r="C229" s="130">
        <f>LARGE((G229,J229,M229,P229,S229,V229),1)</f>
        <v>11</v>
      </c>
      <c r="D229" s="180">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80"/>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1346</v>
      </c>
      <c r="B231" s="125" t="s">
        <v>764</v>
      </c>
      <c r="C231" s="130">
        <f>LARGE((G231,J231,M231,P231,S231,V231),1)</f>
        <v>1.8</v>
      </c>
      <c r="D231" s="180">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1346</v>
      </c>
      <c r="B232" s="125" t="s">
        <v>765</v>
      </c>
      <c r="C232" s="130">
        <f>LARGE((G232,J232,M232,P232,S232,V232),1)</f>
        <v>1.8</v>
      </c>
      <c r="D232" s="180">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1346</v>
      </c>
      <c r="B233" s="125" t="s">
        <v>766</v>
      </c>
      <c r="C233" s="130">
        <f>LARGE((G233,J233,M233,P233,S233,V233),1)</f>
        <v>1.8</v>
      </c>
      <c r="D233" s="180">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80"/>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1353</v>
      </c>
      <c r="B235" s="125" t="s">
        <v>768</v>
      </c>
      <c r="C235" s="130">
        <f>LARGE((G235,J235,M235,P235,S235,V235),1)</f>
        <v>7</v>
      </c>
      <c r="D235" s="180">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1350</v>
      </c>
      <c r="B236" s="125" t="s">
        <v>769</v>
      </c>
      <c r="C236" s="130">
        <f>LARGE((G236,J236,M236,P236,S236,V236),1)</f>
        <v>5.5</v>
      </c>
      <c r="D236" s="180">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80"/>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80"/>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1348</v>
      </c>
      <c r="B239" s="125" t="s">
        <v>772</v>
      </c>
      <c r="C239" s="130">
        <f>LARGE((G239,J239,M239,P239,S239,V239),1)</f>
        <v>5</v>
      </c>
      <c r="D239" s="180">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1348</v>
      </c>
      <c r="B240" s="125" t="s">
        <v>773</v>
      </c>
      <c r="C240" s="130">
        <f>LARGE((G240,J240,M240,P240,S240,V240),1)</f>
        <v>5</v>
      </c>
      <c r="D240" s="180">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1353</v>
      </c>
      <c r="B241" s="125" t="s">
        <v>774</v>
      </c>
      <c r="C241" s="130">
        <f>LARGE((G241,J241,M241,P241,S241,V241),1)</f>
        <v>7</v>
      </c>
      <c r="D241" s="180">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3"/>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1344</v>
      </c>
      <c r="B243" s="138" t="s">
        <v>776</v>
      </c>
      <c r="C243" s="139">
        <f>'ECONOMIA &amp; PROFESIONES'!C45</f>
        <v>11</v>
      </c>
      <c r="D243" s="180"/>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80"/>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1346</v>
      </c>
      <c r="B245" s="125" t="s">
        <v>778</v>
      </c>
      <c r="C245" s="130">
        <f>LARGE((G245,J245,M245,P245,S245,V245),1)</f>
        <v>9</v>
      </c>
      <c r="D245" s="180">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80"/>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1352</v>
      </c>
      <c r="B247" s="125" t="s">
        <v>780</v>
      </c>
      <c r="C247" s="130">
        <f>LARGE((G247,J247,M247,P247,S247,V247),1)</f>
        <v>5</v>
      </c>
      <c r="D247" s="180">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1352</v>
      </c>
      <c r="B248" s="125" t="s">
        <v>781</v>
      </c>
      <c r="C248" s="130">
        <f>LARGE((G248,J248,M248,P248,S248,V248),1)</f>
        <v>7</v>
      </c>
      <c r="D248" s="180">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1352</v>
      </c>
      <c r="B249" s="125" t="s">
        <v>782</v>
      </c>
      <c r="C249" s="130">
        <f>LARGE((G249,J249,M249,P249,S249,V249),1)</f>
        <v>11</v>
      </c>
      <c r="D249" s="180">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1350</v>
      </c>
      <c r="B250" s="125" t="s">
        <v>783</v>
      </c>
      <c r="C250" s="130">
        <f>LARGE((G250,J250,M250,P250,S250,V250),1)</f>
        <v>9</v>
      </c>
      <c r="D250" s="180">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80"/>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1352</v>
      </c>
      <c r="B252" s="125" t="s">
        <v>785</v>
      </c>
      <c r="C252" s="130">
        <f>LARGE((G252,J252,M252,P252,S252,V252),1)</f>
        <v>11</v>
      </c>
      <c r="D252" s="180">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80"/>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1346</v>
      </c>
      <c r="B254" s="125" t="s">
        <v>787</v>
      </c>
      <c r="C254" s="130">
        <f>LARGE((G254,J254,M254,P254,S254,V254),1)</f>
        <v>11</v>
      </c>
      <c r="D254" s="180">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1346</v>
      </c>
      <c r="B255" s="125" t="s">
        <v>788</v>
      </c>
      <c r="C255" s="130">
        <f>LARGE((G255,J255,M255,P255,S255,V255),1)</f>
        <v>11</v>
      </c>
      <c r="D255" s="180">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1346</v>
      </c>
      <c r="B256" s="125" t="s">
        <v>789</v>
      </c>
      <c r="C256" s="130">
        <f>LARGE((G256,J256,M256,P256,S256,V256),1)</f>
        <v>11</v>
      </c>
      <c r="D256" s="180">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1346</v>
      </c>
      <c r="B257" s="125" t="s">
        <v>790</v>
      </c>
      <c r="C257" s="130">
        <f>LARGE((G257,J257,M257,P257,S257,V257),1)</f>
        <v>11</v>
      </c>
      <c r="D257" s="180">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1352</v>
      </c>
      <c r="B258" s="125" t="s">
        <v>791</v>
      </c>
      <c r="C258" s="130">
        <f>LARGE((G258,J258,M258,P258,S258,V258),1)</f>
        <v>11</v>
      </c>
      <c r="D258" s="180">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3"/>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3"/>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5"/>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4"/>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1341</v>
      </c>
      <c r="B263" s="146" t="s">
        <v>796</v>
      </c>
      <c r="C263" s="147">
        <f>'ECONOMIA &amp; PROFESIONES'!G55</f>
        <v>1</v>
      </c>
      <c r="D263" s="183"/>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48" t="s">
        <v>1341</v>
      </c>
      <c r="B264" s="146" t="s">
        <v>797</v>
      </c>
      <c r="C264" s="147">
        <f>'ECONOMIA &amp; PROFESIONES'!C55</f>
        <v>3</v>
      </c>
      <c r="D264" s="183"/>
      <c r="E264" s="148" t="s">
        <v>1305</v>
      </c>
      <c r="G264" s="148">
        <f t="shared" si="41"/>
        <v>0</v>
      </c>
      <c r="H264" s="148" t="s">
        <v>1305</v>
      </c>
      <c r="J264" s="148">
        <f t="shared" si="42"/>
        <v>0</v>
      </c>
      <c r="K264" s="148" t="s">
        <v>1305</v>
      </c>
      <c r="M264" s="148">
        <f t="shared" si="43"/>
        <v>0</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2"/>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1352</v>
      </c>
      <c r="B266" s="125" t="s">
        <v>799</v>
      </c>
      <c r="C266" s="130">
        <f>LARGE((G266,J266,M266,P266,S266,V266),1)</f>
        <v>9</v>
      </c>
      <c r="D266" s="180">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4"/>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4"/>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4"/>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1352</v>
      </c>
      <c r="B270" s="125" t="s">
        <v>803</v>
      </c>
      <c r="C270" s="130">
        <f>LARGE((G270,J270,M270,P270,S270,V270),1)</f>
        <v>5</v>
      </c>
      <c r="D270" s="180">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5"/>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1348</v>
      </c>
      <c r="B272" s="125" t="s">
        <v>805</v>
      </c>
      <c r="C272" s="130">
        <f>LARGE((G272,J272,M272,P272,S272,V272),1)</f>
        <v>3</v>
      </c>
      <c r="D272" s="180">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1344</v>
      </c>
      <c r="B273" s="125" t="s">
        <v>806</v>
      </c>
      <c r="C273" s="130">
        <f>LARGE((G273,J273,M273,P273,S273,V273),1)</f>
        <v>1</v>
      </c>
      <c r="D273" s="180">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2">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1343</v>
      </c>
      <c r="B275" s="125" t="s">
        <v>808</v>
      </c>
      <c r="C275" s="130">
        <f>LARGE((G275,J275,M275,P275,S275,V275),1)</f>
        <v>5</v>
      </c>
      <c r="D275" s="180">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80">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1346</v>
      </c>
      <c r="B277" s="125" t="s">
        <v>810</v>
      </c>
      <c r="C277" s="130">
        <f>LARGE((G277,J277,M277,P277,S277,V277),1)</f>
        <v>7</v>
      </c>
      <c r="D277" s="180">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1343</v>
      </c>
      <c r="B278" s="125" t="s">
        <v>811</v>
      </c>
      <c r="C278" s="130">
        <f>LARGE((G278,J278,M278,P278,S278,V278),1)</f>
        <v>1</v>
      </c>
      <c r="D278" s="180">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80">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3"/>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1346</v>
      </c>
      <c r="B281" s="125" t="s">
        <v>814</v>
      </c>
      <c r="C281" s="130">
        <f>LARGE((G281,J281,M281,P281,S281,V281),1)</f>
        <v>5</v>
      </c>
      <c r="D281" s="180">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53" t="s">
        <v>1346</v>
      </c>
      <c r="B282" s="125" t="s">
        <v>815</v>
      </c>
      <c r="C282" s="130">
        <f>LARGE((G282,J282,M282,P282,S282,V282),1)</f>
        <v>5</v>
      </c>
      <c r="D282" s="180">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53" t="s">
        <v>1346</v>
      </c>
      <c r="B283" s="125" t="s">
        <v>816</v>
      </c>
      <c r="C283" s="130">
        <f>LARGE((G283,J283,M283,P283,S283,V283),1)</f>
        <v>5</v>
      </c>
      <c r="D283" s="180">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1348</v>
      </c>
      <c r="B284" s="125" t="s">
        <v>817</v>
      </c>
      <c r="C284" s="130">
        <f>LARGE((G284,J284,M284,P284,S284,V284),1)</f>
        <v>7</v>
      </c>
      <c r="D284" s="180">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80"/>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1346</v>
      </c>
      <c r="B286" s="125" t="s">
        <v>819</v>
      </c>
      <c r="C286" s="130">
        <f>LARGE((G286,J286,M286,P286,S286,V286),1)</f>
        <v>9</v>
      </c>
      <c r="D286" s="180">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80"/>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1343</v>
      </c>
      <c r="B288" s="125" t="s">
        <v>821</v>
      </c>
      <c r="C288" s="130">
        <f>LARGE((G288,J288,M288,P288,S288,V288),1)</f>
        <v>7</v>
      </c>
      <c r="D288" s="180">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1343</v>
      </c>
      <c r="B289" s="125" t="s">
        <v>822</v>
      </c>
      <c r="C289" s="130">
        <f>LARGE((G289,J289,M289,P289,S289,V289),1)</f>
        <v>7</v>
      </c>
      <c r="D289" s="180">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1343</v>
      </c>
      <c r="B290" s="125" t="s">
        <v>823</v>
      </c>
      <c r="C290" s="130">
        <f>LARGE((G290,J290,M290,P290,S290,V290),1)</f>
        <v>7</v>
      </c>
      <c r="D290" s="180">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2"/>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1352</v>
      </c>
      <c r="B292" s="125" t="s">
        <v>825</v>
      </c>
      <c r="C292" s="130">
        <f>LARGE((G292,J292,M292,P292,S292,V292),1)</f>
        <v>7</v>
      </c>
      <c r="D292" s="180">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1343</v>
      </c>
      <c r="B293" s="125" t="s">
        <v>826</v>
      </c>
      <c r="C293" s="130">
        <f>LARGE((G293,J293,M293,P293,S293,V293),1)</f>
        <v>7</v>
      </c>
      <c r="D293" s="180">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1344</v>
      </c>
      <c r="B294" s="125" t="s">
        <v>827</v>
      </c>
      <c r="C294" s="130">
        <f>LARGE((G294,J294,M294,P294,S294,V294),1)</f>
        <v>7</v>
      </c>
      <c r="D294" s="180">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1348</v>
      </c>
      <c r="B295" s="125" t="s">
        <v>828</v>
      </c>
      <c r="C295" s="130">
        <f>LARGE((G295,J295,M295,P295,S295,V295),1)</f>
        <v>7</v>
      </c>
      <c r="D295" s="180">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1344</v>
      </c>
      <c r="B296" s="125" t="s">
        <v>829</v>
      </c>
      <c r="C296" s="130">
        <f>LARGE((G296,J296,M296,P296,S296,V296),1)</f>
        <v>7</v>
      </c>
      <c r="D296" s="180">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1344</v>
      </c>
      <c r="B297" s="125" t="s">
        <v>830</v>
      </c>
      <c r="C297" s="130">
        <f>LARGE((G297,J297,M297,P297,S297,V297),1)</f>
        <v>7</v>
      </c>
      <c r="D297" s="180">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1343</v>
      </c>
      <c r="B298" s="125" t="s">
        <v>831</v>
      </c>
      <c r="C298" s="130">
        <f>LARGE((G298,J298,M298,P298,S298,V298),1)</f>
        <v>7</v>
      </c>
      <c r="D298" s="180">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80"/>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1344</v>
      </c>
      <c r="B300" s="125" t="s">
        <v>833</v>
      </c>
      <c r="C300" s="130">
        <f>LARGE((G300,J300,M300,P300,S300,V300),1)</f>
        <v>7</v>
      </c>
      <c r="D300" s="180">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1343</v>
      </c>
      <c r="B301" s="125" t="s">
        <v>834</v>
      </c>
      <c r="C301" s="130">
        <f>LARGE((G301,J301,M301,P301,S301,V301),1)</f>
        <v>7</v>
      </c>
      <c r="D301" s="180">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1343</v>
      </c>
      <c r="B302" s="125" t="s">
        <v>835</v>
      </c>
      <c r="C302" s="130">
        <f>LARGE((G302,J302,M302,P302,S302,V302),1)</f>
        <v>7</v>
      </c>
      <c r="D302" s="180">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1344</v>
      </c>
      <c r="B303" s="125" t="s">
        <v>836</v>
      </c>
      <c r="C303" s="130">
        <f>LARGE((G303,J303,M303,P303,S303,V303),1)</f>
        <v>7</v>
      </c>
      <c r="D303" s="180">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80"/>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1346</v>
      </c>
      <c r="B305" s="125" t="s">
        <v>838</v>
      </c>
      <c r="C305" s="130">
        <f>LARGE((G305,J305,M305,P305,S305,V305),1)</f>
        <v>1.6</v>
      </c>
      <c r="D305" s="180">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1346</v>
      </c>
      <c r="B306" s="125" t="s">
        <v>839</v>
      </c>
      <c r="C306" s="130">
        <f>LARGE((G306,J306,M306,P306,S306,V306),1)</f>
        <v>1.6</v>
      </c>
      <c r="D306" s="180">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1346</v>
      </c>
      <c r="B307" s="125" t="s">
        <v>840</v>
      </c>
      <c r="C307" s="130">
        <f>LARGE((G307,J307,M307,P307,S307,V307),1)</f>
        <v>1.6</v>
      </c>
      <c r="D307" s="180">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80"/>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80"/>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80"/>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80"/>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1351</v>
      </c>
      <c r="B312" s="125" t="s">
        <v>845</v>
      </c>
      <c r="C312" s="130">
        <f>LARGE((G312,J312,M312,P312,S312,V312),1)</f>
        <v>5</v>
      </c>
      <c r="D312" s="180">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1351</v>
      </c>
      <c r="B313" s="125" t="s">
        <v>846</v>
      </c>
      <c r="C313" s="130">
        <f>LARGE((G313,J313,M313,P313,S313,V313),1)</f>
        <v>5</v>
      </c>
      <c r="D313" s="180">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1351</v>
      </c>
      <c r="B314" s="125" t="s">
        <v>847</v>
      </c>
      <c r="C314" s="130">
        <f>LARGE((G314,J314,M314,P314,S314,V314),1)</f>
        <v>5</v>
      </c>
      <c r="D314" s="180">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1351</v>
      </c>
      <c r="B315" s="125" t="s">
        <v>848</v>
      </c>
      <c r="C315" s="130">
        <f>LARGE((G315,J315,M315,P315,S315,V315),1)</f>
        <v>11</v>
      </c>
      <c r="D315" s="180">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1351</v>
      </c>
      <c r="B316" s="125" t="s">
        <v>849</v>
      </c>
      <c r="C316" s="130">
        <f>LARGE((G316,J316,M316,P316,S316,V316),1)</f>
        <v>11</v>
      </c>
      <c r="D316" s="180">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1351</v>
      </c>
      <c r="B317" s="144" t="s">
        <v>850</v>
      </c>
      <c r="C317" s="130">
        <f>LARGE((G317,J317,M317,P317,S317,V317),1)</f>
        <v>11</v>
      </c>
      <c r="D317" s="180">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1351</v>
      </c>
      <c r="B318" s="125" t="s">
        <v>851</v>
      </c>
      <c r="C318" s="130">
        <f>LARGE((G318,J318,M318,P318,S318,V318),1)</f>
        <v>7</v>
      </c>
      <c r="D318" s="180">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1351</v>
      </c>
      <c r="B319" s="125" t="s">
        <v>852</v>
      </c>
      <c r="C319" s="130">
        <f>LARGE((G319,J319,M319,P319,S319,V319),1)</f>
        <v>11</v>
      </c>
      <c r="D319" s="180">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1351</v>
      </c>
      <c r="B320" s="125" t="s">
        <v>853</v>
      </c>
      <c r="C320" s="130">
        <f>LARGE((G320,J320,M320,P320,S320,V320),1)</f>
        <v>11</v>
      </c>
      <c r="D320" s="180">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1351</v>
      </c>
      <c r="B321" s="125" t="s">
        <v>854</v>
      </c>
      <c r="C321" s="130">
        <f>LARGE((G321,J321,M321,P321,S321,V321),1)</f>
        <v>11</v>
      </c>
      <c r="D321" s="180">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1351</v>
      </c>
      <c r="B322" s="125" t="s">
        <v>855</v>
      </c>
      <c r="C322" s="130">
        <f>LARGE((G322,J322,M322,P322,S322,V322),1)</f>
        <v>7</v>
      </c>
      <c r="D322" s="180">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1351</v>
      </c>
      <c r="B323" s="125" t="s">
        <v>856</v>
      </c>
      <c r="C323" s="130">
        <f>LARGE((G323,J323,M323,P323,S323,V323),1)</f>
        <v>5</v>
      </c>
      <c r="D323" s="180">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1351</v>
      </c>
      <c r="B324" s="125" t="s">
        <v>857</v>
      </c>
      <c r="C324" s="130">
        <f>LARGE((G324,J324,M324,P324,S324,V324),1)</f>
        <v>5</v>
      </c>
      <c r="D324" s="180">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1351</v>
      </c>
      <c r="B325" s="125" t="s">
        <v>858</v>
      </c>
      <c r="C325" s="130">
        <f>LARGE((G325,J325,M325,P325,S325,V325),1)</f>
        <v>5</v>
      </c>
      <c r="D325" s="180">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1351</v>
      </c>
      <c r="B326" s="125" t="s">
        <v>859</v>
      </c>
      <c r="C326" s="130">
        <f>LARGE((G326,J326,M326,P326,S326,V326),1)</f>
        <v>5</v>
      </c>
      <c r="D326" s="180">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1351</v>
      </c>
      <c r="B327" s="125" t="s">
        <v>860</v>
      </c>
      <c r="C327" s="130">
        <f>LARGE((G327,J327,M327,P327,S327,V327),1)</f>
        <v>5</v>
      </c>
      <c r="D327" s="180">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1351</v>
      </c>
      <c r="B328" s="125" t="s">
        <v>861</v>
      </c>
      <c r="C328" s="130">
        <f>LARGE((G328,J328,M328,P328,S328,V328),1)</f>
        <v>5</v>
      </c>
      <c r="D328" s="180">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1351</v>
      </c>
      <c r="B329" s="144" t="s">
        <v>862</v>
      </c>
      <c r="C329" s="130">
        <f>LARGE((G329,J329,M329,P329,S329,V329),1)</f>
        <v>5</v>
      </c>
      <c r="D329" s="180">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1351</v>
      </c>
      <c r="B330" s="125" t="s">
        <v>863</v>
      </c>
      <c r="C330" s="130">
        <f>LARGE((G330,J330,M330,P330,S330,V330),1)</f>
        <v>7</v>
      </c>
      <c r="D330" s="180">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1351</v>
      </c>
      <c r="B331" s="125" t="s">
        <v>864</v>
      </c>
      <c r="C331" s="130">
        <f>LARGE((G331,J331,M331,P331,S331,V331),1)</f>
        <v>9</v>
      </c>
      <c r="D331" s="180">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1351</v>
      </c>
      <c r="B332" s="125" t="s">
        <v>865</v>
      </c>
      <c r="C332" s="130">
        <f>LARGE((G332,J332,M332,P332,S332,V332),1)</f>
        <v>5</v>
      </c>
      <c r="D332" s="180">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1351</v>
      </c>
      <c r="B333" s="125" t="s">
        <v>866</v>
      </c>
      <c r="C333" s="130">
        <f>LARGE((G333,J333,M333,P333,S333,V333),1)</f>
        <v>5</v>
      </c>
      <c r="D333" s="180">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1351</v>
      </c>
      <c r="B334" s="125" t="s">
        <v>867</v>
      </c>
      <c r="C334" s="130">
        <f>LARGE((G334,J334,M334,P334,S334,V334),1)</f>
        <v>7</v>
      </c>
      <c r="D334" s="180">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1351</v>
      </c>
      <c r="B335" s="125" t="s">
        <v>868</v>
      </c>
      <c r="C335" s="130">
        <f>LARGE((G335,J335,M335,P335,S335,V335),1)</f>
        <v>5</v>
      </c>
      <c r="D335" s="180">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1343</v>
      </c>
      <c r="B336" s="125" t="s">
        <v>869</v>
      </c>
      <c r="C336" s="130">
        <f>LARGE((G336,J336,M336,P336,S336,V336),1)</f>
        <v>3</v>
      </c>
      <c r="D336" s="180">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3"/>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1348</v>
      </c>
      <c r="B338" s="125" t="s">
        <v>871</v>
      </c>
      <c r="C338" s="130">
        <f>LARGE((G338,J338,M338,P338,S338,V338),1)</f>
        <v>7</v>
      </c>
      <c r="D338" s="180">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80"/>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1346</v>
      </c>
      <c r="B340" s="125" t="s">
        <v>873</v>
      </c>
      <c r="C340" s="130">
        <f>LARGE((G340,J340,M340,P340,S340,V340),1)</f>
        <v>5</v>
      </c>
      <c r="D340" s="180">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1353</v>
      </c>
      <c r="B341" s="125" t="s">
        <v>874</v>
      </c>
      <c r="C341" s="130">
        <f>LARGE((G341,J341,M341,P341,S341,V341),1)</f>
        <v>5</v>
      </c>
      <c r="D341" s="180">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80">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4"/>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4"/>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4"/>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4"/>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4"/>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4"/>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4"/>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4"/>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4"/>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4"/>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3"/>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1343</v>
      </c>
      <c r="B354" s="125" t="s">
        <v>887</v>
      </c>
      <c r="C354" s="130">
        <f>LARGE((G354,J354,M354,P354,S354,V354),1)</f>
        <v>5</v>
      </c>
      <c r="D354" s="180">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1343</v>
      </c>
      <c r="B355" s="125" t="s">
        <v>888</v>
      </c>
      <c r="C355" s="130">
        <f>LARGE((G355,J355,M355,P355,S355,V355),1)</f>
        <v>5</v>
      </c>
      <c r="D355" s="180">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1343</v>
      </c>
      <c r="B356" s="125" t="s">
        <v>889</v>
      </c>
      <c r="C356" s="130">
        <f>LARGE((G356,J356,M356,P356,S356,V356),1)</f>
        <v>5</v>
      </c>
      <c r="D356" s="180">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1344</v>
      </c>
      <c r="B357" s="125" t="s">
        <v>890</v>
      </c>
      <c r="C357" s="130">
        <f>LARGE((G357,J357,M357,P357,S357,V357),1)</f>
        <v>5</v>
      </c>
      <c r="D357" s="180">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1344</v>
      </c>
      <c r="B358" s="125" t="s">
        <v>891</v>
      </c>
      <c r="C358" s="130">
        <f>LARGE((G358,J358,M358,P358,S358,V358),1)</f>
        <v>5</v>
      </c>
      <c r="D358" s="180">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1343</v>
      </c>
      <c r="B359" s="125" t="s">
        <v>892</v>
      </c>
      <c r="C359" s="130">
        <f>LARGE((G359,J359,M359,P359,S359,V359),1)</f>
        <v>5</v>
      </c>
      <c r="D359" s="180">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1344</v>
      </c>
      <c r="B360" s="125" t="s">
        <v>893</v>
      </c>
      <c r="C360" s="130">
        <f>LARGE((G360,J360,M360,P360,S360,V360),1)</f>
        <v>5</v>
      </c>
      <c r="D360" s="180">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1343</v>
      </c>
      <c r="B361" s="125" t="s">
        <v>894</v>
      </c>
      <c r="C361" s="130">
        <f>LARGE((G361,J361,M361,P361,S361,V361),1)</f>
        <v>5</v>
      </c>
      <c r="D361" s="180">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80"/>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1343</v>
      </c>
      <c r="B363" s="144" t="s">
        <v>896</v>
      </c>
      <c r="C363" s="130">
        <f>LARGE((G363,J363,M363,P363,S363,V363),1)</f>
        <v>5</v>
      </c>
      <c r="D363" s="180">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1344</v>
      </c>
      <c r="B364" s="125" t="s">
        <v>897</v>
      </c>
      <c r="C364" s="130">
        <f>LARGE((G364,J364,M364,P364,S364,V364),1)</f>
        <v>5</v>
      </c>
      <c r="D364" s="180">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1343</v>
      </c>
      <c r="B365" s="125" t="s">
        <v>898</v>
      </c>
      <c r="C365" s="130">
        <f>LARGE((G365,J365,M365,P365,S365,V365),1)</f>
        <v>5</v>
      </c>
      <c r="D365" s="180">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80"/>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1343</v>
      </c>
      <c r="B367" s="125" t="s">
        <v>900</v>
      </c>
      <c r="C367" s="130">
        <f>LARGE((G367,J367,M367,P367,S367,V367),1)</f>
        <v>5</v>
      </c>
      <c r="D367" s="180">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1343</v>
      </c>
      <c r="B368" s="125" t="s">
        <v>901</v>
      </c>
      <c r="C368" s="130">
        <f>LARGE((G368,J368,M368,P368,S368,V368),1)</f>
        <v>5</v>
      </c>
      <c r="D368" s="180">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1344</v>
      </c>
      <c r="B369" s="125" t="s">
        <v>902</v>
      </c>
      <c r="C369" s="130">
        <f>LARGE((G369,J369,M369,P369,S369,V369),1)</f>
        <v>5</v>
      </c>
      <c r="D369" s="180">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1343</v>
      </c>
      <c r="B370" s="125" t="s">
        <v>903</v>
      </c>
      <c r="C370" s="130">
        <f>LARGE((G370,J370,M370,P370,S370,V370),1)</f>
        <v>5</v>
      </c>
      <c r="D370" s="180">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1345</v>
      </c>
      <c r="B371" s="125" t="s">
        <v>904</v>
      </c>
      <c r="C371" s="130">
        <f>LARGE((G371,J371,M371,P371,S371,V371),1)</f>
        <v>5</v>
      </c>
      <c r="D371" s="180">
        <v>1</v>
      </c>
      <c r="E371" s="127" t="s">
        <v>1208</v>
      </c>
      <c r="F371">
        <v>8</v>
      </c>
      <c r="G371" s="127">
        <f t="shared" si="54"/>
        <v>1</v>
      </c>
      <c r="H371" s="127" t="s">
        <v>928</v>
      </c>
      <c r="I371" s="127">
        <v>1</v>
      </c>
      <c r="J371" s="127">
        <f t="shared" si="48"/>
        <v>5</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1348</v>
      </c>
      <c r="B372" s="125" t="s">
        <v>905</v>
      </c>
      <c r="C372" s="130">
        <f>LARGE((G372,J372,M372,P372,S372,V372),1)</f>
        <v>11</v>
      </c>
      <c r="D372" s="180">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1353</v>
      </c>
      <c r="B373" s="125" t="s">
        <v>906</v>
      </c>
      <c r="C373" s="130">
        <f>LARGE((G373,J373,M373,P373,S373,V373),1)</f>
        <v>11</v>
      </c>
      <c r="D373" s="180">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1345</v>
      </c>
      <c r="B374" s="125" t="s">
        <v>907</v>
      </c>
      <c r="C374" s="130">
        <f>LARGE((G374,J374,M374,P374,S374,V374),1)</f>
        <v>7</v>
      </c>
      <c r="D374" s="180">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1345</v>
      </c>
      <c r="B375" s="125" t="s">
        <v>908</v>
      </c>
      <c r="C375" s="130">
        <f>LARGE((G375,J375,M375,P375,S375,V375),1)</f>
        <v>7</v>
      </c>
      <c r="D375" s="180">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1345</v>
      </c>
      <c r="B376" s="125" t="s">
        <v>909</v>
      </c>
      <c r="C376" s="130">
        <f>LARGE((G376,J376,M376,P376,S376,V376),1)</f>
        <v>7</v>
      </c>
      <c r="D376" s="180">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1345</v>
      </c>
      <c r="B377" s="125" t="s">
        <v>910</v>
      </c>
      <c r="C377" s="130">
        <f>LARGE((G377,J377,M377,P377,S377,V377),1)</f>
        <v>7</v>
      </c>
      <c r="D377" s="180">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1345</v>
      </c>
      <c r="B378" s="125" t="s">
        <v>911</v>
      </c>
      <c r="C378" s="130">
        <f>LARGE((G378,J378,M378,P378,S378,V378),1)</f>
        <v>7</v>
      </c>
      <c r="D378" s="180">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80"/>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1345</v>
      </c>
      <c r="B380" s="125" t="s">
        <v>913</v>
      </c>
      <c r="C380" s="130">
        <f>LARGE((G380,J380,M380,P380,S380,V380),1)</f>
        <v>7</v>
      </c>
      <c r="D380" s="180">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1345</v>
      </c>
      <c r="B381" s="125" t="s">
        <v>914</v>
      </c>
      <c r="C381" s="130">
        <f>LARGE((G381,J381,M381,P381,S381,V381),1)</f>
        <v>7</v>
      </c>
      <c r="D381" s="180">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1345</v>
      </c>
      <c r="B382" s="125" t="s">
        <v>915</v>
      </c>
      <c r="C382" s="130">
        <f>LARGE((G382,J382,M382,P382,S382,V382),1)</f>
        <v>7</v>
      </c>
      <c r="D382" s="180">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1345</v>
      </c>
      <c r="B383" s="125" t="s">
        <v>916</v>
      </c>
      <c r="C383" s="130">
        <f>LARGE((G383,J383,M383,P383,S383,V383),1)</f>
        <v>7</v>
      </c>
      <c r="D383" s="180">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1345</v>
      </c>
      <c r="B384" s="125" t="s">
        <v>917</v>
      </c>
      <c r="C384" s="130">
        <f>LARGE((G384,J384,M384,P384,S384,V384),1)</f>
        <v>7</v>
      </c>
      <c r="D384" s="180">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1345</v>
      </c>
      <c r="B385" s="125" t="s">
        <v>918</v>
      </c>
      <c r="C385" s="130">
        <f>LARGE((G385,J385,M385,P385,S385,V385),1)</f>
        <v>7</v>
      </c>
      <c r="D385" s="180">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80"/>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80"/>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1345</v>
      </c>
      <c r="B388" s="125" t="s">
        <v>921</v>
      </c>
      <c r="C388" s="130">
        <f>LARGE((G388,J388,M388,P388,S388,V388),1)</f>
        <v>1</v>
      </c>
      <c r="D388" s="180">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1343</v>
      </c>
      <c r="B389" s="125" t="s">
        <v>922</v>
      </c>
      <c r="C389" s="130">
        <f>LARGE((G389,J389,M389,P389,S389,V389),1)</f>
        <v>5</v>
      </c>
      <c r="D389" s="180">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1346</v>
      </c>
      <c r="B390" s="125" t="s">
        <v>923</v>
      </c>
      <c r="C390" s="130">
        <f>LARGE((G390,J390,M390,P390,S390,V390),1)</f>
        <v>5</v>
      </c>
      <c r="D390" s="180">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80"/>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80"/>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80"/>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1347</v>
      </c>
      <c r="B394" s="125" t="s">
        <v>927</v>
      </c>
      <c r="C394" s="130">
        <f>LARGE((G394,J394,M394,P394,S394,V394),1)</f>
        <v>7</v>
      </c>
      <c r="D394" s="180">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1347</v>
      </c>
      <c r="B395" s="135" t="s">
        <v>928</v>
      </c>
      <c r="C395" s="136">
        <f>'ECONOMIA &amp; PROFESIONES'!I34</f>
        <v>5</v>
      </c>
      <c r="D395" s="182"/>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53" t="s">
        <v>1347</v>
      </c>
      <c r="B396" s="125" t="s">
        <v>929</v>
      </c>
      <c r="C396" s="130">
        <f>LARGE((G396,J396,M396,P396,S396,V396),1)</f>
        <v>5</v>
      </c>
      <c r="D396" s="180">
        <v>1</v>
      </c>
      <c r="E396" s="127" t="s">
        <v>928</v>
      </c>
      <c r="F396">
        <v>4</v>
      </c>
      <c r="G396" s="127">
        <f t="shared" si="61"/>
        <v>5</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53" t="s">
        <v>1347</v>
      </c>
      <c r="B397" s="125" t="s">
        <v>930</v>
      </c>
      <c r="C397" s="130">
        <f>LARGE((G397,J397,M397,P397,S397,V397),1)</f>
        <v>5</v>
      </c>
      <c r="D397" s="180">
        <v>1</v>
      </c>
      <c r="E397" s="143" t="s">
        <v>928</v>
      </c>
      <c r="F397">
        <v>8</v>
      </c>
      <c r="G397" s="127">
        <f t="shared" si="61"/>
        <v>5</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53" t="s">
        <v>1347</v>
      </c>
      <c r="B398" s="125" t="s">
        <v>931</v>
      </c>
      <c r="C398" s="130">
        <f>LARGE((G398,J398,M398,P398,S398,V398),1)</f>
        <v>5</v>
      </c>
      <c r="D398" s="180">
        <v>1</v>
      </c>
      <c r="E398" s="143" t="s">
        <v>928</v>
      </c>
      <c r="F398">
        <v>5</v>
      </c>
      <c r="G398" s="127">
        <f t="shared" si="61"/>
        <v>5</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80"/>
      <c r="E399" s="140" t="s">
        <v>928</v>
      </c>
      <c r="G399" s="140">
        <f t="shared" si="61"/>
        <v>5</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1347</v>
      </c>
      <c r="B400" s="125" t="s">
        <v>933</v>
      </c>
      <c r="C400" s="130">
        <f>LARGE((G400,J400,M400,P400,S400,V400),1)</f>
        <v>5</v>
      </c>
      <c r="D400" s="180">
        <v>1</v>
      </c>
      <c r="E400" s="143" t="s">
        <v>928</v>
      </c>
      <c r="F400">
        <v>7</v>
      </c>
      <c r="G400" s="127">
        <f t="shared" si="61"/>
        <v>5</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1352</v>
      </c>
      <c r="B401" s="125" t="s">
        <v>934</v>
      </c>
      <c r="C401" s="130">
        <f>LARGE((G401,J401,M401,P401,S401,V401),1)</f>
        <v>5</v>
      </c>
      <c r="D401" s="180">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1353</v>
      </c>
      <c r="B402" s="125" t="s">
        <v>935</v>
      </c>
      <c r="C402" s="130">
        <f>LARGE((G402,J402,M402,P402,S402,V402),1)</f>
        <v>1</v>
      </c>
      <c r="D402" s="180">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1351</v>
      </c>
      <c r="B403" s="125" t="s">
        <v>936</v>
      </c>
      <c r="C403" s="130">
        <f>LARGE((G403,J403,M403,P403,S403,V403),1)</f>
        <v>3</v>
      </c>
      <c r="D403" s="180">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1351</v>
      </c>
      <c r="B404" s="125" t="s">
        <v>937</v>
      </c>
      <c r="C404" s="130">
        <f>LARGE((G404,J404,M404,P404,S404,V404),1)</f>
        <v>3</v>
      </c>
      <c r="D404" s="180">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1351</v>
      </c>
      <c r="B405" s="125" t="s">
        <v>938</v>
      </c>
      <c r="C405" s="130">
        <f>LARGE((G405,J405,M405,P405,S405,V405),1)</f>
        <v>3</v>
      </c>
      <c r="D405" s="180">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1351</v>
      </c>
      <c r="B406" s="125" t="s">
        <v>939</v>
      </c>
      <c r="C406" s="130">
        <f>LARGE((G406,J406,M406,P406,S406,V406),1)</f>
        <v>5</v>
      </c>
      <c r="D406" s="180">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1351</v>
      </c>
      <c r="B407" s="125" t="s">
        <v>940</v>
      </c>
      <c r="C407" s="130">
        <f>LARGE((G407,J407,M407,P407,S407,V407),1)</f>
        <v>5</v>
      </c>
      <c r="D407" s="180">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1351</v>
      </c>
      <c r="B408" s="144" t="s">
        <v>941</v>
      </c>
      <c r="C408" s="130">
        <f>LARGE((G408,J408,M408,P408,S408,V408),1)</f>
        <v>5</v>
      </c>
      <c r="D408" s="180">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1351</v>
      </c>
      <c r="B409" s="125" t="s">
        <v>942</v>
      </c>
      <c r="C409" s="130">
        <f>LARGE((G409,J409,M409,P409,S409,V409),1)</f>
        <v>7</v>
      </c>
      <c r="D409" s="180">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1351</v>
      </c>
      <c r="B410" s="125" t="s">
        <v>943</v>
      </c>
      <c r="C410" s="130">
        <f>LARGE((G410,J410,M410,P410,S410,V410),1)</f>
        <v>9</v>
      </c>
      <c r="D410" s="180">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1351</v>
      </c>
      <c r="B411" s="125" t="s">
        <v>944</v>
      </c>
      <c r="C411" s="130">
        <f>LARGE((G411,J411,M411,P411,S411,V411),1)</f>
        <v>5</v>
      </c>
      <c r="D411" s="180">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1351</v>
      </c>
      <c r="B412" s="125" t="s">
        <v>945</v>
      </c>
      <c r="C412" s="130">
        <f>LARGE((G412,J412,M412,P412,S412,V412),1)</f>
        <v>5</v>
      </c>
      <c r="D412" s="180">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1351</v>
      </c>
      <c r="B413" s="125" t="s">
        <v>946</v>
      </c>
      <c r="C413" s="130">
        <f>LARGE((G413,J413,M413,P413,S413,V413),1)</f>
        <v>7</v>
      </c>
      <c r="D413" s="180">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1351</v>
      </c>
      <c r="B414" s="125" t="s">
        <v>947</v>
      </c>
      <c r="C414" s="130">
        <f>LARGE((G414,J414,M414,P414,S414,V414),1)</f>
        <v>3</v>
      </c>
      <c r="D414" s="180">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1351</v>
      </c>
      <c r="B415" s="125" t="s">
        <v>948</v>
      </c>
      <c r="C415" s="130">
        <f>LARGE((G415,J415,M415,P415,S415,V415),1)</f>
        <v>3</v>
      </c>
      <c r="D415" s="180">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1351</v>
      </c>
      <c r="B416" s="125" t="s">
        <v>949</v>
      </c>
      <c r="C416" s="130">
        <f>LARGE((G416,J416,M416,P416,S416,V416),1)</f>
        <v>3</v>
      </c>
      <c r="D416" s="180">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1351</v>
      </c>
      <c r="B417" s="125" t="s">
        <v>950</v>
      </c>
      <c r="C417" s="130">
        <f>LARGE((G417,J417,M417,P417,S417,V417),1)</f>
        <v>3</v>
      </c>
      <c r="D417" s="180">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1351</v>
      </c>
      <c r="B418" s="125" t="s">
        <v>951</v>
      </c>
      <c r="C418" s="130">
        <f>LARGE((G418,J418,M418,P418,S418,V418),1)</f>
        <v>5</v>
      </c>
      <c r="D418" s="180">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1351</v>
      </c>
      <c r="B419" s="125" t="s">
        <v>952</v>
      </c>
      <c r="C419" s="130">
        <f>LARGE((G419,J419,M419,P419,S419,V419),1)</f>
        <v>5</v>
      </c>
      <c r="D419" s="180">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1351</v>
      </c>
      <c r="B420" s="144" t="s">
        <v>953</v>
      </c>
      <c r="C420" s="130">
        <f>LARGE((G420,J420,M420,P420,S420,V420),1)</f>
        <v>1</v>
      </c>
      <c r="D420" s="180">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1351</v>
      </c>
      <c r="B421" s="125" t="s">
        <v>954</v>
      </c>
      <c r="C421" s="130">
        <f>LARGE((G421,J421,M421,P421,S421,V421),1)</f>
        <v>7</v>
      </c>
      <c r="D421" s="180">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1351</v>
      </c>
      <c r="B422" s="125" t="s">
        <v>955</v>
      </c>
      <c r="C422" s="130">
        <f>LARGE((G422,J422,M422,P422,S422,V422),1)</f>
        <v>9</v>
      </c>
      <c r="D422" s="180">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1351</v>
      </c>
      <c r="B423" s="125" t="s">
        <v>956</v>
      </c>
      <c r="C423" s="130">
        <f>LARGE((G423,J423,M423,P423,S423,V423),1)</f>
        <v>5</v>
      </c>
      <c r="D423" s="180">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1351</v>
      </c>
      <c r="B424" s="125" t="s">
        <v>957</v>
      </c>
      <c r="C424" s="130">
        <f>LARGE((G424,J424,M424,P424,S424,V424),1)</f>
        <v>5</v>
      </c>
      <c r="D424" s="180">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1351</v>
      </c>
      <c r="B425" s="125" t="s">
        <v>958</v>
      </c>
      <c r="C425" s="130">
        <f>LARGE((G425,J425,M425,P425,S425,V425),1)</f>
        <v>7</v>
      </c>
      <c r="D425" s="180">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1351</v>
      </c>
      <c r="B426" s="125" t="s">
        <v>959</v>
      </c>
      <c r="C426" s="130">
        <f>LARGE((G426,J426,M426,P426,S426,V426),1)</f>
        <v>3</v>
      </c>
      <c r="D426" s="180">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1343</v>
      </c>
      <c r="B427" s="125" t="s">
        <v>960</v>
      </c>
      <c r="C427" s="130">
        <f>LARGE((G427,J427,M427,P427,S427,V427),1)</f>
        <v>7</v>
      </c>
      <c r="D427" s="180">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80"/>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80"/>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80"/>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1351</v>
      </c>
      <c r="B431" s="125" t="s">
        <v>964</v>
      </c>
      <c r="C431" s="130">
        <f>LARGE((G431,J431,M431,P431,S431,V431),1)</f>
        <v>5</v>
      </c>
      <c r="D431" s="180">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1351</v>
      </c>
      <c r="B432" s="125" t="s">
        <v>965</v>
      </c>
      <c r="C432" s="130">
        <f>LARGE((G432,J432,M432,P432,S432,V432),1)</f>
        <v>5</v>
      </c>
      <c r="D432" s="180">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1351</v>
      </c>
      <c r="B433" s="125" t="s">
        <v>966</v>
      </c>
      <c r="C433" s="130">
        <f>LARGE((G433,J433,M433,P433,S433,V433),1)</f>
        <v>5</v>
      </c>
      <c r="D433" s="180">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1351</v>
      </c>
      <c r="B434" s="125" t="s">
        <v>967</v>
      </c>
      <c r="C434" s="130">
        <f>LARGE((G434,J434,M434,P434,S434,V434),1)</f>
        <v>5</v>
      </c>
      <c r="D434" s="180">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1351</v>
      </c>
      <c r="B435" s="125" t="s">
        <v>968</v>
      </c>
      <c r="C435" s="130">
        <f>LARGE((G435,J435,M435,P435,S435,V435),1)</f>
        <v>5</v>
      </c>
      <c r="D435" s="180">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1351</v>
      </c>
      <c r="B436" s="144" t="s">
        <v>969</v>
      </c>
      <c r="C436" s="130">
        <f>LARGE((G436,J436,M436,P436,S436,V436),1)</f>
        <v>5</v>
      </c>
      <c r="D436" s="180">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1351</v>
      </c>
      <c r="B437" s="125" t="s">
        <v>970</v>
      </c>
      <c r="C437" s="130">
        <f>LARGE((G437,J437,M437,P437,S437,V437),1)</f>
        <v>7</v>
      </c>
      <c r="D437" s="180">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1351</v>
      </c>
      <c r="B438" s="125" t="s">
        <v>971</v>
      </c>
      <c r="C438" s="130">
        <f>LARGE((G438,J438,M438,P438,S438,V438),1)</f>
        <v>9</v>
      </c>
      <c r="D438" s="180">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1351</v>
      </c>
      <c r="B439" s="125" t="s">
        <v>972</v>
      </c>
      <c r="C439" s="130">
        <f>LARGE((G439,J439,M439,P439,S439,V439),1)</f>
        <v>5</v>
      </c>
      <c r="D439" s="180">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1351</v>
      </c>
      <c r="B440" s="125" t="s">
        <v>973</v>
      </c>
      <c r="C440" s="130">
        <f>LARGE((G440,J440,M440,P440,S440,V440),1)</f>
        <v>5</v>
      </c>
      <c r="D440" s="180">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1351</v>
      </c>
      <c r="B441" s="125" t="s">
        <v>974</v>
      </c>
      <c r="C441" s="130">
        <f>LARGE((G441,J441,M441,P441,S441,V441),1)</f>
        <v>7</v>
      </c>
      <c r="D441" s="180">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1351</v>
      </c>
      <c r="B442" s="125" t="s">
        <v>975</v>
      </c>
      <c r="C442" s="130">
        <f>LARGE((G442,J442,M442,P442,S442,V442),1)</f>
        <v>5</v>
      </c>
      <c r="D442" s="180">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1345</v>
      </c>
      <c r="B443" s="125" t="s">
        <v>976</v>
      </c>
      <c r="C443" s="130">
        <f>LARGE((G443,J443,M443,P443,S443,V443),1)</f>
        <v>3</v>
      </c>
      <c r="D443" s="180">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1351</v>
      </c>
      <c r="B444" s="125" t="s">
        <v>977</v>
      </c>
      <c r="C444" s="130">
        <f>LARGE((G444,J444,M444,P444,S444,V444),1)</f>
        <v>3</v>
      </c>
      <c r="D444" s="180">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1351</v>
      </c>
      <c r="B445" s="125" t="s">
        <v>978</v>
      </c>
      <c r="C445" s="130">
        <f>LARGE((G445,J445,M445,P445,S445,V445),1)</f>
        <v>3</v>
      </c>
      <c r="D445" s="180">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1351</v>
      </c>
      <c r="B446" s="125" t="s">
        <v>979</v>
      </c>
      <c r="C446" s="130">
        <f>LARGE((G446,J446,M446,P446,S446,V446),1)</f>
        <v>3</v>
      </c>
      <c r="D446" s="180">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1351</v>
      </c>
      <c r="B447" s="125" t="s">
        <v>980</v>
      </c>
      <c r="C447" s="130">
        <f>LARGE((G447,J447,M447,P447,S447,V447),1)</f>
        <v>5</v>
      </c>
      <c r="D447" s="180">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1351</v>
      </c>
      <c r="B448" s="125" t="s">
        <v>981</v>
      </c>
      <c r="C448" s="130">
        <f>LARGE((G448,J448,M448,P448,S448,V448),1)</f>
        <v>5</v>
      </c>
      <c r="D448" s="180">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1351</v>
      </c>
      <c r="B449" s="144" t="s">
        <v>982</v>
      </c>
      <c r="C449" s="130">
        <f>LARGE((G449,J449,M449,P449,S449,V449),1)</f>
        <v>1</v>
      </c>
      <c r="D449" s="180">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1351</v>
      </c>
      <c r="B450" s="125" t="s">
        <v>983</v>
      </c>
      <c r="C450" s="130">
        <f>LARGE((G450,J450,M450,P450,S450,V450),1)</f>
        <v>7</v>
      </c>
      <c r="D450" s="180">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1351</v>
      </c>
      <c r="B451" s="125" t="s">
        <v>984</v>
      </c>
      <c r="C451" s="130">
        <f>LARGE((G451,J451,M451,P451,S451,V451),1)</f>
        <v>9</v>
      </c>
      <c r="D451" s="180">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1351</v>
      </c>
      <c r="B452" s="125" t="s">
        <v>985</v>
      </c>
      <c r="C452" s="130">
        <f>LARGE((G452,J452,M452,P452,S452,V452),1)</f>
        <v>5</v>
      </c>
      <c r="D452" s="180">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1351</v>
      </c>
      <c r="B453" s="125" t="s">
        <v>986</v>
      </c>
      <c r="C453" s="130">
        <f>LARGE((G453,J453,M453,P453,S453,V453),1)</f>
        <v>5</v>
      </c>
      <c r="D453" s="180">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1351</v>
      </c>
      <c r="B454" s="125" t="s">
        <v>987</v>
      </c>
      <c r="C454" s="130">
        <f>LARGE((G454,J454,M454,P454,S454,V454),1)</f>
        <v>7</v>
      </c>
      <c r="D454" s="180">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1351</v>
      </c>
      <c r="B455" s="125" t="s">
        <v>988</v>
      </c>
      <c r="C455" s="130">
        <f>LARGE((G455,J455,M455,P455,S455,V455),1)</f>
        <v>3</v>
      </c>
      <c r="D455" s="180">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1351</v>
      </c>
      <c r="B456" s="125" t="s">
        <v>989</v>
      </c>
      <c r="C456" s="130">
        <f>LARGE((G456,J456,M456,P456,S456,V456),1)</f>
        <v>9</v>
      </c>
      <c r="D456" s="180">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1351</v>
      </c>
      <c r="B457" s="125" t="s">
        <v>990</v>
      </c>
      <c r="C457" s="130">
        <f>LARGE((G457,J457,M457,P457,S457,V457),1)</f>
        <v>9</v>
      </c>
      <c r="D457" s="180">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1350</v>
      </c>
      <c r="B458" s="125" t="s">
        <v>991</v>
      </c>
      <c r="C458" s="130">
        <f>LARGE((G458,J458,M458,P458,S458,V458),1)</f>
        <v>7</v>
      </c>
      <c r="D458" s="180">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80"/>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1348</v>
      </c>
      <c r="B460" s="125" t="s">
        <v>993</v>
      </c>
      <c r="C460" s="130">
        <f>LARGE((G460,J460,M460,P460,S460,V460),1)</f>
        <v>3</v>
      </c>
      <c r="D460" s="180">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80">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80">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1346</v>
      </c>
      <c r="B463" s="125" t="s">
        <v>996</v>
      </c>
      <c r="C463" s="130">
        <f>LARGE((G463,J463,M463,P463,S463,V463),1)</f>
        <v>1</v>
      </c>
      <c r="D463" s="180">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1346</v>
      </c>
      <c r="B464" s="125" t="s">
        <v>997</v>
      </c>
      <c r="C464" s="130">
        <f>LARGE((G464,J464,M464,P464,S464,V464),1)</f>
        <v>1</v>
      </c>
      <c r="D464" s="180">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1346</v>
      </c>
      <c r="B465" s="125" t="s">
        <v>998</v>
      </c>
      <c r="C465" s="130">
        <f>LARGE((G465,J465,M465,P465,S465,V465),1)</f>
        <v>1</v>
      </c>
      <c r="D465" s="180">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1346</v>
      </c>
      <c r="B466" s="125" t="s">
        <v>999</v>
      </c>
      <c r="C466" s="130">
        <f>LARGE((G466,J466,M466,P466,S466,V466),1)</f>
        <v>1</v>
      </c>
      <c r="D466" s="180">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1346</v>
      </c>
      <c r="B467" s="125" t="s">
        <v>1000</v>
      </c>
      <c r="C467" s="130">
        <f>LARGE((G467,J467,M467,P467,S467,V467),1)</f>
        <v>3</v>
      </c>
      <c r="D467" s="180">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1346</v>
      </c>
      <c r="B468" s="125" t="s">
        <v>1001</v>
      </c>
      <c r="C468" s="130">
        <f>LARGE((G468,J468,M468,P468,S468,V468),1)</f>
        <v>3</v>
      </c>
      <c r="D468" s="180">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1346</v>
      </c>
      <c r="B469" s="125" t="s">
        <v>1002</v>
      </c>
      <c r="C469" s="130">
        <f>LARGE((G469,J469,M469,P469,S469,V469),1)</f>
        <v>3</v>
      </c>
      <c r="D469" s="180">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1346</v>
      </c>
      <c r="B470" s="125" t="s">
        <v>1003</v>
      </c>
      <c r="C470" s="130">
        <f>LARGE((G470,J470,M470,P470,S470,V470),1)</f>
        <v>3</v>
      </c>
      <c r="D470" s="180">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1348</v>
      </c>
      <c r="B471" s="125" t="s">
        <v>1004</v>
      </c>
      <c r="C471" s="130">
        <f>LARGE((G471,J471,M471,P471,S471,V471),1)</f>
        <v>11</v>
      </c>
      <c r="D471" s="180">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80"/>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80"/>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80"/>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1350</v>
      </c>
      <c r="B475" s="146" t="s">
        <v>1008</v>
      </c>
      <c r="C475" s="147">
        <f>'ECONOMIA &amp; PROFESIONES'!C54</f>
        <v>1</v>
      </c>
      <c r="D475" s="180"/>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1346</v>
      </c>
      <c r="B476" s="125" t="s">
        <v>1009</v>
      </c>
      <c r="C476" s="130">
        <f>LARGE((G476,J476,M476,P476,S476,V476),1)</f>
        <v>11</v>
      </c>
      <c r="D476" s="180">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1346</v>
      </c>
      <c r="B477" s="125" t="s">
        <v>1010</v>
      </c>
      <c r="C477" s="130">
        <f>LARGE((G477,J477,M477,P477,S477,V477),1)</f>
        <v>11</v>
      </c>
      <c r="D477" s="180">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1346</v>
      </c>
      <c r="B478" s="125" t="s">
        <v>1011</v>
      </c>
      <c r="C478" s="130">
        <f>LARGE((G478,J478,M478,P478,S478,V478),1)</f>
        <v>11</v>
      </c>
      <c r="D478" s="180">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1346</v>
      </c>
      <c r="B479" s="125" t="s">
        <v>1012</v>
      </c>
      <c r="C479" s="130">
        <f>LARGE((G479,J479,M479,P479,S479,V479),1)</f>
        <v>11</v>
      </c>
      <c r="D479" s="180">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1346</v>
      </c>
      <c r="B480" s="125" t="s">
        <v>1013</v>
      </c>
      <c r="C480" s="130">
        <f>LARGE((G480,J480,M480,P480,S480,V480),1)</f>
        <v>11</v>
      </c>
      <c r="D480" s="180">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1346</v>
      </c>
      <c r="B481" s="125" t="s">
        <v>1014</v>
      </c>
      <c r="C481" s="130">
        <f>LARGE((G481,J481,M481,P481,S481,V481),1)</f>
        <v>11</v>
      </c>
      <c r="D481" s="180">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80"/>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1350</v>
      </c>
      <c r="B483" s="146" t="s">
        <v>1016</v>
      </c>
      <c r="C483" s="147">
        <v>11</v>
      </c>
      <c r="D483" s="180"/>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1352</v>
      </c>
      <c r="B484" s="135" t="s">
        <v>1017</v>
      </c>
      <c r="C484" s="136">
        <f>'ECONOMIA &amp; PROFESIONES'!G44</f>
        <v>11</v>
      </c>
      <c r="D484" s="182"/>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1346</v>
      </c>
      <c r="B485" s="125" t="s">
        <v>1018</v>
      </c>
      <c r="C485" s="130">
        <f>LARGE((G485,J485,M485,P485,S485,V485),1)</f>
        <v>11</v>
      </c>
      <c r="D485" s="180">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80"/>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1353</v>
      </c>
      <c r="B487" s="125" t="s">
        <v>1020</v>
      </c>
      <c r="C487" s="130">
        <f>LARGE((G487,J487,M487,P487,S487,V487),1)</f>
        <v>7</v>
      </c>
      <c r="D487" s="180">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1345</v>
      </c>
      <c r="B488" s="151" t="s">
        <v>1314</v>
      </c>
      <c r="C488" s="130">
        <f>LARGE((G488,J488,M488,P488,S488,V488),1)</f>
        <v>1</v>
      </c>
      <c r="D488" s="180">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1345</v>
      </c>
      <c r="B489" s="125" t="s">
        <v>1021</v>
      </c>
      <c r="C489" s="130">
        <f>LARGE((G489,J489,M489,P489,S489,V489),1)</f>
        <v>1</v>
      </c>
      <c r="D489" s="180">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1345</v>
      </c>
      <c r="B490" s="125" t="s">
        <v>1022</v>
      </c>
      <c r="C490" s="130">
        <f>LARGE((G490,J490,M490,P490,S490,V490),1)</f>
        <v>1</v>
      </c>
      <c r="D490" s="180">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1345</v>
      </c>
      <c r="B491" s="125" t="s">
        <v>1023</v>
      </c>
      <c r="C491" s="130">
        <f>LARGE((G491,J491,M491,P491,S491,V491),1)</f>
        <v>1</v>
      </c>
      <c r="D491" s="180">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1345</v>
      </c>
      <c r="B492" s="125" t="s">
        <v>1024</v>
      </c>
      <c r="C492" s="130">
        <f>LARGE((G492,J492,M492,P492,S492,V492),1)</f>
        <v>1</v>
      </c>
      <c r="D492" s="180">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80"/>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ht="15.75">
      <c r="A494" s="153" t="s">
        <v>1345</v>
      </c>
      <c r="B494" s="125" t="s">
        <v>1026</v>
      </c>
      <c r="C494" s="130">
        <f>LARGE((G494,J494,M494,P494,S494,V494),1)</f>
        <v>1</v>
      </c>
      <c r="D494" s="180">
        <v>4</v>
      </c>
      <c r="E494" s="145" t="s">
        <v>1025</v>
      </c>
      <c r="F494" s="145">
        <v>1</v>
      </c>
      <c r="G494" s="145">
        <f t="shared" si="71"/>
        <v>1</v>
      </c>
      <c r="H494" s="145" t="s">
        <v>1305</v>
      </c>
      <c r="I494" s="145"/>
      <c r="J494" s="127">
        <f t="shared" si="65"/>
        <v>0</v>
      </c>
      <c r="K494" s="127" t="s">
        <v>1305</v>
      </c>
      <c r="M494" s="127">
        <f t="shared" si="66"/>
        <v>0</v>
      </c>
      <c r="N494" s="127" t="s">
        <v>1305</v>
      </c>
      <c r="P494" s="127">
        <f t="shared" si="67"/>
        <v>0</v>
      </c>
      <c r="Q494" s="127" t="s">
        <v>1305</v>
      </c>
      <c r="S494" s="127">
        <f t="shared" si="68"/>
        <v>0</v>
      </c>
      <c r="T494" s="127" t="s">
        <v>1305</v>
      </c>
      <c r="V494" s="127">
        <f t="shared" si="69"/>
        <v>0</v>
      </c>
    </row>
    <row r="495" spans="1:22" ht="15.75">
      <c r="A495" s="153" t="s">
        <v>1345</v>
      </c>
      <c r="B495" s="125" t="s">
        <v>1027</v>
      </c>
      <c r="C495" s="130">
        <f>LARGE((G495,J495,M495,P495,S495,V495),1)</f>
        <v>1</v>
      </c>
      <c r="D495" s="180">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1345</v>
      </c>
      <c r="B496" s="125" t="s">
        <v>1028</v>
      </c>
      <c r="C496" s="130">
        <f>LARGE((G496,J496,M496,P496,S496,V496),1)</f>
        <v>1</v>
      </c>
      <c r="D496" s="180">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1345</v>
      </c>
      <c r="B497" s="125" t="s">
        <v>1029</v>
      </c>
      <c r="C497" s="130">
        <f>LARGE((G497,J497,M497,P497,S497,V497),1)</f>
        <v>1</v>
      </c>
      <c r="D497" s="180">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1345</v>
      </c>
      <c r="B498" s="125" t="s">
        <v>1030</v>
      </c>
      <c r="C498" s="130">
        <f>LARGE((G498,J498,M498,P498,S498,V498),1)</f>
        <v>1</v>
      </c>
      <c r="D498" s="180">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1345</v>
      </c>
      <c r="B499" s="125" t="s">
        <v>1031</v>
      </c>
      <c r="C499" s="130">
        <f>LARGE((G499,J499,M499,P499,S499,V499),1)</f>
        <v>1</v>
      </c>
      <c r="D499" s="180">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80"/>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1353</v>
      </c>
      <c r="B501" s="125" t="s">
        <v>1033</v>
      </c>
      <c r="C501" s="130">
        <f>LARGE((G501,J501,M501,P501,S501,V501),1)</f>
        <v>9</v>
      </c>
      <c r="D501" s="180">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80"/>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1351</v>
      </c>
      <c r="B503" s="125" t="s">
        <v>1035</v>
      </c>
      <c r="C503" s="130">
        <f>LARGE((G503,J503,M503,P503,S503,V503),1)</f>
        <v>3</v>
      </c>
      <c r="D503" s="180">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1351</v>
      </c>
      <c r="B504" s="125" t="s">
        <v>1036</v>
      </c>
      <c r="C504" s="130">
        <f>LARGE((G504,J504,M504,P504,S504,V504),1)</f>
        <v>3</v>
      </c>
      <c r="D504" s="180">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1351</v>
      </c>
      <c r="B505" s="125" t="s">
        <v>1037</v>
      </c>
      <c r="C505" s="130">
        <f>LARGE((G505,J505,M505,P505,S505,V505),1)</f>
        <v>3</v>
      </c>
      <c r="D505" s="180">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1351</v>
      </c>
      <c r="B506" s="125" t="s">
        <v>1038</v>
      </c>
      <c r="C506" s="130">
        <f>LARGE((G506,J506,M506,P506,S506,V506),1)</f>
        <v>5</v>
      </c>
      <c r="D506" s="180">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1351</v>
      </c>
      <c r="B507" s="125" t="s">
        <v>1039</v>
      </c>
      <c r="C507" s="130">
        <f>LARGE((G507,J507,M507,P507,S507,V507),1)</f>
        <v>5</v>
      </c>
      <c r="D507" s="180">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1351</v>
      </c>
      <c r="B508" s="144" t="s">
        <v>1040</v>
      </c>
      <c r="C508" s="130">
        <f>LARGE((G508,J508,M508,P508,S508,V508),1)</f>
        <v>1</v>
      </c>
      <c r="D508" s="180">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1351</v>
      </c>
      <c r="B509" s="125" t="s">
        <v>1041</v>
      </c>
      <c r="C509" s="130">
        <f>LARGE((G509,J509,M509,P509,S509,V509),1)</f>
        <v>7</v>
      </c>
      <c r="D509" s="180">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1351</v>
      </c>
      <c r="B510" s="125" t="s">
        <v>1042</v>
      </c>
      <c r="C510" s="130">
        <f>LARGE((G510,J510,M510,P510,S510,V510),1)</f>
        <v>9</v>
      </c>
      <c r="D510" s="180">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1351</v>
      </c>
      <c r="B511" s="125" t="s">
        <v>1043</v>
      </c>
      <c r="C511" s="130">
        <f>LARGE((G511,J511,M511,P511,S511,V511),1)</f>
        <v>5</v>
      </c>
      <c r="D511" s="180">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1351</v>
      </c>
      <c r="B512" s="125" t="s">
        <v>1044</v>
      </c>
      <c r="C512" s="130">
        <f>LARGE((G512,J512,M512,P512,S512,V512),1)</f>
        <v>5</v>
      </c>
      <c r="D512" s="180">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1351</v>
      </c>
      <c r="B513" s="125" t="s">
        <v>1045</v>
      </c>
      <c r="C513" s="130">
        <f>LARGE((G513,J513,M513,P513,S513,V513),1)</f>
        <v>7</v>
      </c>
      <c r="D513" s="180">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80"/>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1351</v>
      </c>
      <c r="B515" s="125" t="s">
        <v>1047</v>
      </c>
      <c r="C515" s="130">
        <f>LARGE((G515,J515,M515,P515,S515,V515),1)</f>
        <v>3</v>
      </c>
      <c r="D515" s="180">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80"/>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80"/>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1345</v>
      </c>
      <c r="B518" s="125" t="s">
        <v>1050</v>
      </c>
      <c r="C518" s="130">
        <f>LARGE((G518,J518,M518,P518,S518,V518),1)</f>
        <v>3</v>
      </c>
      <c r="D518" s="180">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1352</v>
      </c>
      <c r="B519" s="125" t="s">
        <v>1051</v>
      </c>
      <c r="C519" s="130">
        <f>LARGE((G519,J519,M519,P519,S519,V519),1)</f>
        <v>5</v>
      </c>
      <c r="D519" s="180">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80"/>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80"/>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53" t="s">
        <v>1350</v>
      </c>
      <c r="B522" s="146" t="s">
        <v>1054</v>
      </c>
      <c r="C522" s="147">
        <f t="shared" si="86"/>
        <v>0</v>
      </c>
      <c r="D522" s="180"/>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1351</v>
      </c>
      <c r="B523" s="125" t="s">
        <v>1055</v>
      </c>
      <c r="C523" s="130">
        <f>LARGE((G523,J523,M523,P523,S523,V523),1)</f>
        <v>3</v>
      </c>
      <c r="D523" s="180">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1351</v>
      </c>
      <c r="B524" s="125" t="s">
        <v>1056</v>
      </c>
      <c r="C524" s="130">
        <f>LARGE((G524,J524,M524,P524,S524,V524),1)</f>
        <v>3</v>
      </c>
      <c r="D524" s="180">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1351</v>
      </c>
      <c r="B525" s="125" t="s">
        <v>1057</v>
      </c>
      <c r="C525" s="130">
        <f>LARGE((G525,J525,M525,P525,S525,V525),1)</f>
        <v>3</v>
      </c>
      <c r="D525" s="180">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1351</v>
      </c>
      <c r="B526" s="125" t="s">
        <v>1058</v>
      </c>
      <c r="C526" s="130">
        <f>LARGE((G526,J526,M526,P526,S526,V526),1)</f>
        <v>5</v>
      </c>
      <c r="D526" s="180">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1351</v>
      </c>
      <c r="B527" s="125" t="s">
        <v>1059</v>
      </c>
      <c r="C527" s="130">
        <f>LARGE((G527,J527,M527,P527,S527,V527),1)</f>
        <v>5</v>
      </c>
      <c r="D527" s="180">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1351</v>
      </c>
      <c r="B528" s="144" t="s">
        <v>1060</v>
      </c>
      <c r="C528" s="130">
        <f>LARGE((G528,J528,M528,P528,S528,V528),1)</f>
        <v>1</v>
      </c>
      <c r="D528" s="180">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1351</v>
      </c>
      <c r="B529" s="125" t="s">
        <v>1061</v>
      </c>
      <c r="C529" s="130">
        <f>LARGE((G529,J529,M529,P529,S529,V529),1)</f>
        <v>7</v>
      </c>
      <c r="D529" s="180">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1351</v>
      </c>
      <c r="B530" s="125" t="s">
        <v>1062</v>
      </c>
      <c r="C530" s="130">
        <f>LARGE((G530,J530,M530,P530,S530,V530),1)</f>
        <v>9</v>
      </c>
      <c r="D530" s="180">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1351</v>
      </c>
      <c r="B531" s="125" t="s">
        <v>1063</v>
      </c>
      <c r="C531" s="130">
        <f>LARGE((G531,J531,M531,P531,S531,V531),1)</f>
        <v>5</v>
      </c>
      <c r="D531" s="180">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1351</v>
      </c>
      <c r="B532" s="125" t="s">
        <v>1064</v>
      </c>
      <c r="C532" s="130">
        <f>LARGE((G532,J532,M532,P532,S532,V532),1)</f>
        <v>5</v>
      </c>
      <c r="D532" s="180">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1351</v>
      </c>
      <c r="B533" s="125" t="s">
        <v>1065</v>
      </c>
      <c r="C533" s="130">
        <f>LARGE((G533,J533,M533,P533,S533,V533),1)</f>
        <v>7</v>
      </c>
      <c r="D533" s="180">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80"/>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1351</v>
      </c>
      <c r="B535" s="125" t="s">
        <v>1067</v>
      </c>
      <c r="C535" s="130">
        <f>LARGE((G535,J535,M535,P535,S535,V535),1)</f>
        <v>3</v>
      </c>
      <c r="D535" s="180">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1353</v>
      </c>
      <c r="B536" s="125" t="s">
        <v>1068</v>
      </c>
      <c r="C536" s="130">
        <f>LARGE((G536,J536,M536,P536,S536,V536),1)</f>
        <v>7</v>
      </c>
      <c r="D536" s="180">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80"/>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80"/>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1346</v>
      </c>
      <c r="B539" s="125" t="s">
        <v>1071</v>
      </c>
      <c r="C539" s="130">
        <f>LARGE((G539,J539,M539,P539,S539,V539),1)</f>
        <v>2</v>
      </c>
      <c r="D539" s="180">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1346</v>
      </c>
      <c r="B540" s="125" t="s">
        <v>1072</v>
      </c>
      <c r="C540" s="130">
        <f>LARGE((G540,J540,M540,P540,S540,V540),1)</f>
        <v>2</v>
      </c>
      <c r="D540" s="180">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1346</v>
      </c>
      <c r="B541" s="125" t="s">
        <v>1073</v>
      </c>
      <c r="C541" s="130">
        <f>LARGE((G541,J541,M541,P541,S541,V541),1)</f>
        <v>2</v>
      </c>
      <c r="D541" s="180">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1346</v>
      </c>
      <c r="B542" s="125" t="s">
        <v>1074</v>
      </c>
      <c r="C542" s="130">
        <f>LARGE((G542,J542,M542,P542,S542,V542),1)</f>
        <v>1.8</v>
      </c>
      <c r="D542" s="180">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1346</v>
      </c>
      <c r="B543" s="125" t="s">
        <v>1075</v>
      </c>
      <c r="C543" s="130">
        <f>LARGE((G543,J543,M543,P543,S543,V543),1)</f>
        <v>1.8</v>
      </c>
      <c r="D543" s="180">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1346</v>
      </c>
      <c r="B544" s="125" t="s">
        <v>1076</v>
      </c>
      <c r="C544" s="130">
        <f>LARGE((G544,J544,M544,P544,S544,V544),1)</f>
        <v>1.8</v>
      </c>
      <c r="D544" s="180">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1346</v>
      </c>
      <c r="B545" s="125" t="s">
        <v>1077</v>
      </c>
      <c r="C545" s="130">
        <f>LARGE((G545,J545,M545,P545,S545,V545),1)</f>
        <v>1.6</v>
      </c>
      <c r="D545" s="180">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1346</v>
      </c>
      <c r="B546" s="125" t="s">
        <v>1078</v>
      </c>
      <c r="C546" s="130">
        <f>LARGE((G546,J546,M546,P546,S546,V546),1)</f>
        <v>1.6</v>
      </c>
      <c r="D546" s="180">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1346</v>
      </c>
      <c r="B547" s="125" t="s">
        <v>1079</v>
      </c>
      <c r="C547" s="130">
        <f>LARGE((G547,J547,M547,P547,S547,V547),1)</f>
        <v>1.6</v>
      </c>
      <c r="D547" s="180">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1352</v>
      </c>
      <c r="B548" s="125" t="s">
        <v>1080</v>
      </c>
      <c r="C548" s="130">
        <f>LARGE((G548,J548,M548,P548,S548,V548),1)</f>
        <v>11</v>
      </c>
      <c r="D548" s="180">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80"/>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80"/>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80"/>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80">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1346</v>
      </c>
      <c r="B553" s="125" t="s">
        <v>1085</v>
      </c>
      <c r="C553" s="130">
        <f>LARGE((G553,J553,M553,P553,S553,V553),1)</f>
        <v>9</v>
      </c>
      <c r="D553" s="180">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1346</v>
      </c>
      <c r="B554" s="125" t="s">
        <v>1086</v>
      </c>
      <c r="C554" s="130">
        <f>LARGE((G554,J554,M554,P554,S554,V554),1)</f>
        <v>9</v>
      </c>
      <c r="D554" s="180">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1346</v>
      </c>
      <c r="B555" s="125" t="s">
        <v>1087</v>
      </c>
      <c r="C555" s="130">
        <f>LARGE((G555,J555,M555,P555,S555,V555),1)</f>
        <v>9</v>
      </c>
      <c r="D555" s="180">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1346</v>
      </c>
      <c r="B556" s="125" t="s">
        <v>1088</v>
      </c>
      <c r="C556" s="130">
        <f>LARGE((G556,J556,M556,P556,S556,V556),1)</f>
        <v>9</v>
      </c>
      <c r="D556" s="180">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80"/>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80"/>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1346</v>
      </c>
      <c r="B559" s="125" t="s">
        <v>1091</v>
      </c>
      <c r="C559" s="130">
        <f>LARGE((G559,J559,M559,P559,S559,V559),1)</f>
        <v>9</v>
      </c>
      <c r="D559" s="180">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1346</v>
      </c>
      <c r="B560" s="125" t="s">
        <v>1092</v>
      </c>
      <c r="C560" s="130">
        <f>LARGE((G560,J560,M560,P560,S560,V560),1)</f>
        <v>9</v>
      </c>
      <c r="D560" s="180">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1346</v>
      </c>
      <c r="B561" s="125" t="s">
        <v>1093</v>
      </c>
      <c r="C561" s="130">
        <f>LARGE((G561,J561,M561,P561,S561,V561),1)</f>
        <v>9</v>
      </c>
      <c r="D561" s="180">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1342</v>
      </c>
      <c r="B562" s="135" t="s">
        <v>1094</v>
      </c>
      <c r="C562" s="136">
        <f>'ECONOMIA &amp; PROFESIONES'!I33</f>
        <v>3</v>
      </c>
      <c r="D562" s="182"/>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80"/>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1348</v>
      </c>
      <c r="B564" s="125" t="s">
        <v>1096</v>
      </c>
      <c r="C564" s="130">
        <f>LARGE((G564,J564,M564,P564,S564,V564),1)</f>
        <v>11</v>
      </c>
      <c r="D564" s="180">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80"/>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1351</v>
      </c>
      <c r="B566" s="125" t="s">
        <v>1098</v>
      </c>
      <c r="C566" s="130">
        <f>LARGE((G566,J566,M566,P566,S566,V566),1)</f>
        <v>5</v>
      </c>
      <c r="D566" s="180">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1351</v>
      </c>
      <c r="B567" s="125" t="s">
        <v>1099</v>
      </c>
      <c r="C567" s="130">
        <f>LARGE((G567,J567,M567,P567,S567,V567),1)</f>
        <v>5</v>
      </c>
      <c r="D567" s="180">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1351</v>
      </c>
      <c r="B568" s="125" t="s">
        <v>1100</v>
      </c>
      <c r="C568" s="130">
        <f>LARGE((G568,J568,M568,P568,S568,V568),1)</f>
        <v>5</v>
      </c>
      <c r="D568" s="180">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1351</v>
      </c>
      <c r="B569" s="125" t="s">
        <v>1101</v>
      </c>
      <c r="C569" s="130">
        <f>LARGE((G569,J569,M569,P569,S569,V569),1)</f>
        <v>5</v>
      </c>
      <c r="D569" s="180">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1351</v>
      </c>
      <c r="B570" s="125" t="s">
        <v>1102</v>
      </c>
      <c r="C570" s="130">
        <f>LARGE((G570,J570,M570,P570,S570,V570),1)</f>
        <v>5</v>
      </c>
      <c r="D570" s="180">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1351</v>
      </c>
      <c r="B571" s="144" t="s">
        <v>1103</v>
      </c>
      <c r="C571" s="130">
        <f>LARGE((G571,J571,M571,P571,S571,V571),1)</f>
        <v>5</v>
      </c>
      <c r="D571" s="180">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1351</v>
      </c>
      <c r="B572" s="125" t="s">
        <v>1104</v>
      </c>
      <c r="C572" s="130">
        <f>LARGE((G572,J572,M572,P572,S572,V572),1)</f>
        <v>7</v>
      </c>
      <c r="D572" s="180">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1351</v>
      </c>
      <c r="B573" s="125" t="s">
        <v>1105</v>
      </c>
      <c r="C573" s="130">
        <f>LARGE((G573,J573,M573,P573,S573,V573),1)</f>
        <v>9</v>
      </c>
      <c r="D573" s="180">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1351</v>
      </c>
      <c r="B574" s="125" t="s">
        <v>1106</v>
      </c>
      <c r="C574" s="130">
        <f>LARGE((G574,J574,M574,P574,S574,V574),1)</f>
        <v>5</v>
      </c>
      <c r="D574" s="180">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1351</v>
      </c>
      <c r="B575" s="125" t="s">
        <v>1107</v>
      </c>
      <c r="C575" s="130">
        <f>LARGE((G575,J575,M575,P575,S575,V575),1)</f>
        <v>5</v>
      </c>
      <c r="D575" s="180">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1351</v>
      </c>
      <c r="B576" s="125" t="s">
        <v>1108</v>
      </c>
      <c r="C576" s="130">
        <f>LARGE((G576,J576,M576,P576,S576,V576),1)</f>
        <v>7</v>
      </c>
      <c r="D576" s="180">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1351</v>
      </c>
      <c r="B577" s="125" t="s">
        <v>1109</v>
      </c>
      <c r="C577" s="130">
        <f>LARGE((G577,J577,M577,P577,S577,V577),1)</f>
        <v>5</v>
      </c>
      <c r="D577" s="180">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1346</v>
      </c>
      <c r="B578" s="125" t="s">
        <v>1110</v>
      </c>
      <c r="C578" s="130">
        <f>LARGE((G578,J578,M578,P578,S578,V578),1)</f>
        <v>11</v>
      </c>
      <c r="D578" s="180">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1346</v>
      </c>
      <c r="B579" s="125" t="s">
        <v>1111</v>
      </c>
      <c r="C579" s="130">
        <f>LARGE((G579,J579,M579,P579,S579,V579),1)</f>
        <v>11</v>
      </c>
      <c r="D579" s="180">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1346</v>
      </c>
      <c r="B580" s="125" t="s">
        <v>1112</v>
      </c>
      <c r="C580" s="130">
        <f>LARGE((G580,J580,M580,P580,S580,V580),1)</f>
        <v>11</v>
      </c>
      <c r="D580" s="180">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1346</v>
      </c>
      <c r="B581" s="125" t="s">
        <v>1113</v>
      </c>
      <c r="C581" s="130">
        <f>LARGE((G581,J581,M581,P581,S581,V581),1)</f>
        <v>11</v>
      </c>
      <c r="D581" s="180">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80"/>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1346</v>
      </c>
      <c r="B583" s="125" t="s">
        <v>1115</v>
      </c>
      <c r="C583" s="130">
        <f>LARGE((G583,J583,M583,P583,S583,V583),1)</f>
        <v>9</v>
      </c>
      <c r="D583" s="180">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1346</v>
      </c>
      <c r="B584" s="125" t="s">
        <v>1116</v>
      </c>
      <c r="C584" s="130">
        <f>LARGE((G584,J584,M584,P584,S584,V584),1)</f>
        <v>9</v>
      </c>
      <c r="D584" s="180">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1346</v>
      </c>
      <c r="B585" s="125" t="s">
        <v>1117</v>
      </c>
      <c r="C585" s="130">
        <f>LARGE((G585,J585,M585,P585,S585,V585),1)</f>
        <v>9</v>
      </c>
      <c r="D585" s="180">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1346</v>
      </c>
      <c r="B586" s="125" t="s">
        <v>1118</v>
      </c>
      <c r="C586" s="130">
        <f>LARGE((G586,J586,M586,P586,S586,V586),1)</f>
        <v>9</v>
      </c>
      <c r="D586" s="180">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80"/>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80"/>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80"/>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1348</v>
      </c>
      <c r="B590" s="125" t="s">
        <v>1122</v>
      </c>
      <c r="C590" s="130">
        <f>LARGE((G590,J590,M590,P590,S590,V590),1)</f>
        <v>11</v>
      </c>
      <c r="D590" s="180">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80">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1351</v>
      </c>
      <c r="B592" s="125" t="s">
        <v>1124</v>
      </c>
      <c r="C592" s="130">
        <f>LARGE((G592,J592,M592,P592,S592,V592),1)</f>
        <v>3</v>
      </c>
      <c r="D592" s="180">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1351</v>
      </c>
      <c r="B593" s="125" t="s">
        <v>1125</v>
      </c>
      <c r="C593" s="130">
        <f>LARGE((G593,J593,M593,P593,S593,V593),1)</f>
        <v>3</v>
      </c>
      <c r="D593" s="180">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1351</v>
      </c>
      <c r="B594" s="125" t="s">
        <v>1126</v>
      </c>
      <c r="C594" s="130">
        <f>LARGE((G594,J594,M594,P594,S594,V594),1)</f>
        <v>3</v>
      </c>
      <c r="D594" s="180">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1351</v>
      </c>
      <c r="B595" s="125" t="s">
        <v>1127</v>
      </c>
      <c r="C595" s="130">
        <f>LARGE((G595,J595,M595,P595,S595,V595),1)</f>
        <v>5</v>
      </c>
      <c r="D595" s="180">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1351</v>
      </c>
      <c r="B596" s="125" t="s">
        <v>1128</v>
      </c>
      <c r="C596" s="130">
        <f>LARGE((G596,J596,M596,P596,S596,V596),1)</f>
        <v>5</v>
      </c>
      <c r="D596" s="180">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1351</v>
      </c>
      <c r="B597" s="144" t="s">
        <v>1129</v>
      </c>
      <c r="C597" s="130">
        <f>LARGE((G597,J597,M597,P597,S597,V597),1)</f>
        <v>1</v>
      </c>
      <c r="D597" s="180">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1351</v>
      </c>
      <c r="B598" s="125" t="s">
        <v>1130</v>
      </c>
      <c r="C598" s="130">
        <f>LARGE((G598,J598,M598,P598,S598,V598),1)</f>
        <v>7</v>
      </c>
      <c r="D598" s="180">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80"/>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1346</v>
      </c>
      <c r="B600" s="125" t="s">
        <v>1132</v>
      </c>
      <c r="C600" s="130">
        <f>LARGE((G600,J600,M600,P600,S600,V600),1)</f>
        <v>11</v>
      </c>
      <c r="D600" s="180">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1346</v>
      </c>
      <c r="B601" s="125" t="s">
        <v>1133</v>
      </c>
      <c r="C601" s="130">
        <f>LARGE((G601,J601,M601,P601,S601,V601),1)</f>
        <v>11</v>
      </c>
      <c r="D601" s="180">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1346</v>
      </c>
      <c r="B602" s="125" t="s">
        <v>1134</v>
      </c>
      <c r="C602" s="130">
        <f>LARGE((G602,J602,M602,P602,S602,V602),1)</f>
        <v>11</v>
      </c>
      <c r="D602" s="180">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1346</v>
      </c>
      <c r="B603" s="125" t="s">
        <v>1135</v>
      </c>
      <c r="C603" s="130">
        <f>LARGE((G603,J603,M603,P603,S603,V603),1)</f>
        <v>11</v>
      </c>
      <c r="D603" s="180">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80"/>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1346</v>
      </c>
      <c r="B605" s="125" t="s">
        <v>1137</v>
      </c>
      <c r="C605" s="130">
        <f>LARGE((G605,J605,M605,P605,S605,V605),1)</f>
        <v>7</v>
      </c>
      <c r="D605" s="180">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1346</v>
      </c>
      <c r="B606" s="125" t="s">
        <v>1138</v>
      </c>
      <c r="C606" s="130">
        <f>LARGE((G606,J606,M606,P606,S606,V606),1)</f>
        <v>7</v>
      </c>
      <c r="D606" s="180">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1346</v>
      </c>
      <c r="B607" s="125" t="s">
        <v>1139</v>
      </c>
      <c r="C607" s="130">
        <f>LARGE((G607,J607,M607,P607,S607,V607),1)</f>
        <v>7</v>
      </c>
      <c r="D607" s="180">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1346</v>
      </c>
      <c r="B608" s="125" t="s">
        <v>1140</v>
      </c>
      <c r="C608" s="130">
        <f>LARGE((G608,J608,M608,P608,S608,V608),1)</f>
        <v>7</v>
      </c>
      <c r="D608" s="180">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1351</v>
      </c>
      <c r="B609" s="125" t="s">
        <v>1141</v>
      </c>
      <c r="C609" s="130">
        <f>LARGE((G609,J609,M609,P609,S609,V609),1)</f>
        <v>9</v>
      </c>
      <c r="D609" s="180">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1351</v>
      </c>
      <c r="B610" s="125" t="s">
        <v>1142</v>
      </c>
      <c r="C610" s="130">
        <f>LARGE((G610,J610,M610,P610,S610,V610),1)</f>
        <v>5</v>
      </c>
      <c r="D610" s="180">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1351</v>
      </c>
      <c r="B611" s="125" t="s">
        <v>1143</v>
      </c>
      <c r="C611" s="130">
        <f>LARGE((G611,J611,M611,P611,S611,V611),1)</f>
        <v>5</v>
      </c>
      <c r="D611" s="180">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1351</v>
      </c>
      <c r="B612" s="125" t="s">
        <v>1144</v>
      </c>
      <c r="C612" s="130">
        <f>LARGE((G612,J612,M612,P612,S612,V612),1)</f>
        <v>7</v>
      </c>
      <c r="D612" s="180">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80"/>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1351</v>
      </c>
      <c r="B614" s="125" t="s">
        <v>1146</v>
      </c>
      <c r="C614" s="130">
        <f>LARGE((G614,J614,M614,P614,S614,V614),1)</f>
        <v>3</v>
      </c>
      <c r="D614" s="180">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80"/>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1353</v>
      </c>
      <c r="B616" s="125" t="s">
        <v>1148</v>
      </c>
      <c r="C616" s="130">
        <f>LARGE((G616,J616,M616,P616,S616,V616),1)</f>
        <v>7</v>
      </c>
      <c r="D616" s="180">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1353</v>
      </c>
      <c r="B617" s="125" t="s">
        <v>1149</v>
      </c>
      <c r="C617" s="130">
        <f>LARGE((G617,J617,M617,P617,S617,V617),1)</f>
        <v>9</v>
      </c>
      <c r="D617" s="180">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80"/>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1353</v>
      </c>
      <c r="B619" s="125" t="s">
        <v>1151</v>
      </c>
      <c r="C619" s="130">
        <f>LARGE((G619,J619,M619,P619,S619,V619),1)</f>
        <v>7</v>
      </c>
      <c r="D619" s="180">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1353</v>
      </c>
      <c r="B620" s="125" t="s">
        <v>1152</v>
      </c>
      <c r="C620" s="130">
        <f>LARGE((G620,J620,M620,P620,S620,V620),1)</f>
        <v>7</v>
      </c>
      <c r="D620" s="180">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80"/>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80"/>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53" t="s">
        <v>1350</v>
      </c>
      <c r="B623" s="146" t="s">
        <v>1155</v>
      </c>
      <c r="C623" s="147">
        <f>'ECONOMIA &amp; PROFESIONES'!E54</f>
        <v>1</v>
      </c>
      <c r="D623" s="180"/>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80"/>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1342</v>
      </c>
      <c r="B625" s="135" t="s">
        <v>1157</v>
      </c>
      <c r="C625" s="136">
        <f>'ECONOMIA &amp; PROFESIONES'!I33</f>
        <v>3</v>
      </c>
      <c r="D625" s="180"/>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80"/>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1346</v>
      </c>
      <c r="B627" s="125" t="s">
        <v>1159</v>
      </c>
      <c r="C627" s="130">
        <f>LARGE((G627,J627,M627,P627,S627,V627),1)</f>
        <v>5</v>
      </c>
      <c r="D627" s="180">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1346</v>
      </c>
      <c r="B628" s="125" t="s">
        <v>1160</v>
      </c>
      <c r="C628" s="130">
        <f>LARGE((G628,J628,M628,P628,S628,V628),1)</f>
        <v>5</v>
      </c>
      <c r="D628" s="180">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1346</v>
      </c>
      <c r="B629" s="125" t="s">
        <v>1161</v>
      </c>
      <c r="C629" s="130">
        <f>LARGE((G629,J629,M629,P629,S629,V629),1)</f>
        <v>5</v>
      </c>
      <c r="D629" s="180">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1346</v>
      </c>
      <c r="B630" s="125" t="s">
        <v>1162</v>
      </c>
      <c r="C630" s="130">
        <f>LARGE((G630,J630,M630,P630,S630,V630),1)</f>
        <v>5</v>
      </c>
      <c r="D630" s="180">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1345</v>
      </c>
      <c r="B631" s="125" t="s">
        <v>1163</v>
      </c>
      <c r="C631" s="130">
        <f>LARGE((G631,J631,M631,P631,S631,V631),1)</f>
        <v>5</v>
      </c>
      <c r="D631" s="180">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1352</v>
      </c>
      <c r="B632" s="125" t="s">
        <v>1164</v>
      </c>
      <c r="C632" s="130">
        <f>LARGE((G632,J632,M632,P632,S632,V632),1)</f>
        <v>2</v>
      </c>
      <c r="D632" s="180">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1346</v>
      </c>
      <c r="B633" s="125" t="s">
        <v>1165</v>
      </c>
      <c r="C633" s="130">
        <f>LARGE((G633,J633,M633,P633,S633,V633),1)</f>
        <v>9</v>
      </c>
      <c r="D633" s="180">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80"/>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80"/>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1343</v>
      </c>
      <c r="B636" s="125" t="s">
        <v>1168</v>
      </c>
      <c r="C636" s="130">
        <f>LARGE((G636,J636,M636,P636,S636,V636),1)</f>
        <v>5</v>
      </c>
      <c r="D636" s="180">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1344</v>
      </c>
      <c r="B637" s="125" t="s">
        <v>1169</v>
      </c>
      <c r="C637" s="130">
        <f>LARGE((G637,J637,M637,P637,S637,V637),1)</f>
        <v>5</v>
      </c>
      <c r="D637" s="180">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1345</v>
      </c>
      <c r="B638" s="125" t="s">
        <v>1170</v>
      </c>
      <c r="C638" s="130">
        <f>LARGE((G638,J638,M638,P638,S638,V638),1)</f>
        <v>9</v>
      </c>
      <c r="D638" s="180">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80"/>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80">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80"/>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1346</v>
      </c>
      <c r="B642" s="125" t="s">
        <v>1174</v>
      </c>
      <c r="C642" s="130">
        <f>LARGE((G642,J642,M642,P642,S642,V642),1)</f>
        <v>7</v>
      </c>
      <c r="D642" s="180">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1343</v>
      </c>
      <c r="B643" s="125" t="s">
        <v>1175</v>
      </c>
      <c r="C643" s="130">
        <f>LARGE((G643,J643,M643,P643,S643,V643),1)</f>
        <v>5</v>
      </c>
      <c r="D643" s="180">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1343</v>
      </c>
      <c r="B644" s="125" t="s">
        <v>1176</v>
      </c>
      <c r="C644" s="130">
        <f>LARGE((G644,J644,M644,P644,S644,V644),1)</f>
        <v>1</v>
      </c>
      <c r="D644" s="180">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1346</v>
      </c>
      <c r="B645" s="125" t="s">
        <v>1177</v>
      </c>
      <c r="C645" s="130">
        <f>LARGE((G645,J645,M645,P645,S645,V645),1)</f>
        <v>9</v>
      </c>
      <c r="D645" s="180">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1346</v>
      </c>
      <c r="B646" s="125" t="s">
        <v>1178</v>
      </c>
      <c r="C646" s="130">
        <f>LARGE((G646,J646,M646,P646,S646,V646),1)</f>
        <v>9</v>
      </c>
      <c r="D646" s="180">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1346</v>
      </c>
      <c r="B647" s="125" t="s">
        <v>1179</v>
      </c>
      <c r="C647" s="130">
        <f>LARGE((G647,J647,M647,P647,S647,V647),1)</f>
        <v>9</v>
      </c>
      <c r="D647" s="180">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1346</v>
      </c>
      <c r="B648" s="125" t="s">
        <v>1180</v>
      </c>
      <c r="C648" s="130">
        <f>LARGE((G648,J648,M648,P648,S648,V648),1)</f>
        <v>7</v>
      </c>
      <c r="D648" s="180">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1346</v>
      </c>
      <c r="B649" s="125" t="s">
        <v>1181</v>
      </c>
      <c r="C649" s="130">
        <f>LARGE((G649,J649,M649,P649,S649,V649),1)</f>
        <v>7</v>
      </c>
      <c r="D649" s="180">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1346</v>
      </c>
      <c r="B650" s="125" t="s">
        <v>1182</v>
      </c>
      <c r="C650" s="130">
        <f>LARGE((G650,J650,M650,P650,S650,V650),1)</f>
        <v>7</v>
      </c>
      <c r="D650" s="180">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1346</v>
      </c>
      <c r="B651" s="125" t="s">
        <v>1183</v>
      </c>
      <c r="C651" s="130">
        <f>LARGE((G651,J651,M651,P651,S651,V651),1)</f>
        <v>5</v>
      </c>
      <c r="D651" s="180">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1346</v>
      </c>
      <c r="B652" s="125" t="s">
        <v>1184</v>
      </c>
      <c r="C652" s="130">
        <f>LARGE((G652,J652,M652,P652,S652,V652),1)</f>
        <v>5</v>
      </c>
      <c r="D652" s="180">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1346</v>
      </c>
      <c r="B653" s="125" t="s">
        <v>1185</v>
      </c>
      <c r="C653" s="130">
        <f>LARGE((G653,J653,M653,P653,S653,V653),1)</f>
        <v>5</v>
      </c>
      <c r="D653" s="180">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1346</v>
      </c>
      <c r="B654" s="125" t="s">
        <v>1186</v>
      </c>
      <c r="C654" s="130">
        <f>LARGE((G654,J654,M654,P654,S654,V654),1)</f>
        <v>3</v>
      </c>
      <c r="D654" s="180">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1346</v>
      </c>
      <c r="B655" s="125" t="s">
        <v>1187</v>
      </c>
      <c r="C655" s="130">
        <f>LARGE((G655,J655,M655,P655,S655,V655),1)</f>
        <v>3</v>
      </c>
      <c r="D655" s="180">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80"/>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80"/>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80"/>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80"/>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1344</v>
      </c>
      <c r="B660" s="125" t="s">
        <v>1192</v>
      </c>
      <c r="C660" s="130">
        <f>LARGE((G660,J660,M660,P660,S660,V660),1)</f>
        <v>9</v>
      </c>
      <c r="D660" s="180">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80"/>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80"/>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1345</v>
      </c>
      <c r="B663" s="125" t="s">
        <v>1195</v>
      </c>
      <c r="C663" s="130">
        <f>LARGE((G663,J663,M663,P663,S663,V663),1)</f>
        <v>3</v>
      </c>
      <c r="D663" s="180">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1345</v>
      </c>
      <c r="B664" s="125" t="s">
        <v>1196</v>
      </c>
      <c r="C664" s="130">
        <f>LARGE((G664,J664,M664,P664,S664,V664),1)</f>
        <v>3</v>
      </c>
      <c r="D664" s="180">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1345</v>
      </c>
      <c r="B665" s="125" t="s">
        <v>1197</v>
      </c>
      <c r="C665" s="130">
        <f>LARGE((G665,J665,M665,P665,S665,V665),1)</f>
        <v>3</v>
      </c>
      <c r="D665" s="180">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1345</v>
      </c>
      <c r="B666" s="125" t="s">
        <v>1198</v>
      </c>
      <c r="C666" s="130">
        <f>LARGE((G666,J666,M666,P666,S666,V666),1)</f>
        <v>3</v>
      </c>
      <c r="D666" s="180">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1345</v>
      </c>
      <c r="B667" s="125" t="s">
        <v>1199</v>
      </c>
      <c r="C667" s="130">
        <f>LARGE((G667,J667,M667,P667,S667,V667),1)</f>
        <v>3</v>
      </c>
      <c r="D667" s="180">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80"/>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1345</v>
      </c>
      <c r="B669" s="125" t="s">
        <v>1201</v>
      </c>
      <c r="C669" s="130">
        <f>LARGE((G669,J669,M669,P669,S669,V669),1)</f>
        <v>3</v>
      </c>
      <c r="D669" s="180">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1345</v>
      </c>
      <c r="B670" s="125" t="s">
        <v>1202</v>
      </c>
      <c r="C670" s="130">
        <f>LARGE((G670,J670,M670,P670,S670,V670),1)</f>
        <v>3</v>
      </c>
      <c r="D670" s="180">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1345</v>
      </c>
      <c r="B671" s="125" t="s">
        <v>1203</v>
      </c>
      <c r="C671" s="130">
        <f>LARGE((G671,J671,M671,P671,S671,V671),1)</f>
        <v>3</v>
      </c>
      <c r="D671" s="180">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1345</v>
      </c>
      <c r="B672" s="125" t="s">
        <v>1204</v>
      </c>
      <c r="C672" s="130">
        <f>LARGE((G672,J672,M672,P672,S672,V672),1)</f>
        <v>3</v>
      </c>
      <c r="D672" s="180">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1345</v>
      </c>
      <c r="B673" s="125" t="s">
        <v>1205</v>
      </c>
      <c r="C673" s="130">
        <f>LARGE((G673,J673,M673,P673,S673,V673),1)</f>
        <v>3</v>
      </c>
      <c r="D673" s="180">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1345</v>
      </c>
      <c r="B674" s="125" t="s">
        <v>1206</v>
      </c>
      <c r="C674" s="130">
        <f>LARGE((G674,J674,M674,P674,S674,V674),1)</f>
        <v>3</v>
      </c>
      <c r="D674" s="180">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80"/>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1345</v>
      </c>
      <c r="B676" s="125" t="s">
        <v>1208</v>
      </c>
      <c r="C676" s="130">
        <f>LARGE((G676,J676,M676,P676,S676,V676),1)</f>
        <v>1</v>
      </c>
      <c r="D676" s="180">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1353</v>
      </c>
      <c r="B677" s="125" t="s">
        <v>1209</v>
      </c>
      <c r="C677" s="130">
        <f>LARGE((G677,J677,M677,P677,S677,V677),1)</f>
        <v>7</v>
      </c>
      <c r="D677" s="180">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1346</v>
      </c>
      <c r="B678" s="125" t="s">
        <v>1210</v>
      </c>
      <c r="C678" s="130">
        <f>LARGE((G678,J678,M678,P678,S678,V678),1)</f>
        <v>3</v>
      </c>
      <c r="D678" s="180">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1343</v>
      </c>
      <c r="B679" s="125" t="s">
        <v>1211</v>
      </c>
      <c r="C679" s="130">
        <f>LARGE((G679,J679,M679,P679,S679,V679),1)</f>
        <v>1</v>
      </c>
      <c r="D679" s="180">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1346</v>
      </c>
      <c r="B680" s="125" t="s">
        <v>1212</v>
      </c>
      <c r="C680" s="130">
        <f>LARGE((G680,J680,M680,P680,S680,V680),1)</f>
        <v>3</v>
      </c>
      <c r="D680" s="180">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1346</v>
      </c>
      <c r="B681" s="125" t="s">
        <v>1213</v>
      </c>
      <c r="C681" s="130">
        <f>LARGE((G681,J681,M681,P681,S681,V681),1)</f>
        <v>3</v>
      </c>
      <c r="D681" s="180">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1346</v>
      </c>
      <c r="B682" s="125" t="s">
        <v>1214</v>
      </c>
      <c r="C682" s="130">
        <f>LARGE((G682,J682,M682,P682,S682,V682),1)</f>
        <v>3</v>
      </c>
      <c r="D682" s="180">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1346</v>
      </c>
      <c r="B683" s="125" t="s">
        <v>1215</v>
      </c>
      <c r="C683" s="130">
        <f>LARGE((G683,J683,M683,P683,S683,V683),1)</f>
        <v>3</v>
      </c>
      <c r="D683" s="180">
        <v>4</v>
      </c>
      <c r="E683" s="127" t="s">
        <v>1210</v>
      </c>
      <c r="F683">
        <v>4</v>
      </c>
      <c r="G683" s="127">
        <f>VLOOKUP(E683,IDPOINTS,2,FALSE)</f>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1346</v>
      </c>
      <c r="B684" s="125" t="s">
        <v>1216</v>
      </c>
      <c r="C684" s="130">
        <f>LARGE((G684,J684,M684,P684,S684,V684),1)</f>
        <v>3</v>
      </c>
      <c r="D684" s="180">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1343</v>
      </c>
      <c r="B685" s="125" t="s">
        <v>1217</v>
      </c>
      <c r="C685" s="130">
        <f>LARGE((G685,J685,M685,P685,S685,V685),1)</f>
        <v>1</v>
      </c>
      <c r="D685" s="180">
        <v>1</v>
      </c>
      <c r="E685" s="127" t="s">
        <v>676</v>
      </c>
      <c r="F685">
        <v>2</v>
      </c>
      <c r="G685" s="127">
        <f t="shared" si="100"/>
        <v>1</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1343</v>
      </c>
      <c r="B686" s="125" t="s">
        <v>1218</v>
      </c>
      <c r="C686" s="130">
        <f>LARGE((G686,J686,M686,P686,S686,V686),1)</f>
        <v>1</v>
      </c>
      <c r="D686" s="180">
        <v>1</v>
      </c>
      <c r="E686" s="127" t="s">
        <v>676</v>
      </c>
      <c r="F686">
        <v>3</v>
      </c>
      <c r="G686" s="127">
        <f t="shared" si="100"/>
        <v>1</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1346</v>
      </c>
      <c r="B687" s="125" t="s">
        <v>1219</v>
      </c>
      <c r="C687" s="130">
        <f>LARGE((G687,J687,M687,P687,S687,V687),1)</f>
        <v>3</v>
      </c>
      <c r="D687" s="180">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1343</v>
      </c>
      <c r="B688" s="125" t="s">
        <v>1220</v>
      </c>
      <c r="C688" s="130">
        <f>LARGE((G688,J688,M688,P688,S688,V688),1)</f>
        <v>1</v>
      </c>
      <c r="D688" s="180">
        <v>1</v>
      </c>
      <c r="E688" s="124" t="s">
        <v>676</v>
      </c>
      <c r="F688">
        <v>1</v>
      </c>
      <c r="G688" s="127">
        <f t="shared" si="100"/>
        <v>1</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1346</v>
      </c>
      <c r="B689" s="125" t="s">
        <v>1221</v>
      </c>
      <c r="C689" s="130">
        <f>LARGE((G689,J689,M689,P689,S689,V689),1)</f>
        <v>3</v>
      </c>
      <c r="D689" s="180">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1346</v>
      </c>
      <c r="B690" s="125" t="s">
        <v>1222</v>
      </c>
      <c r="C690" s="130">
        <f>LARGE((G690,J690,M690,P690,S690,V690),1)</f>
        <v>3</v>
      </c>
      <c r="D690" s="180">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1344</v>
      </c>
      <c r="B691" s="125" t="s">
        <v>1223</v>
      </c>
      <c r="C691" s="130">
        <f>LARGE((G691,J691,M691,P691,S691,V691),1)</f>
        <v>1</v>
      </c>
      <c r="D691" s="180">
        <v>1</v>
      </c>
      <c r="E691" s="127" t="s">
        <v>676</v>
      </c>
      <c r="F691" s="124">
        <v>6</v>
      </c>
      <c r="G691" s="127">
        <f t="shared" si="100"/>
        <v>1</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80"/>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80"/>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80"/>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80"/>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80"/>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80"/>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80"/>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80"/>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80"/>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80"/>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80"/>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80"/>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80"/>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80"/>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80"/>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1348</v>
      </c>
      <c r="B707" s="125" t="s">
        <v>1239</v>
      </c>
      <c r="C707" s="130">
        <f>LARGE((G707,J707,M707,P707,S707,V707),1)</f>
        <v>5</v>
      </c>
      <c r="D707" s="180">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80"/>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80"/>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1348</v>
      </c>
      <c r="B710" s="125" t="s">
        <v>1242</v>
      </c>
      <c r="C710" s="130">
        <f>LARGE((G710,J710,M710,P710,S710,V710),1)</f>
        <v>11</v>
      </c>
      <c r="D710" s="180">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80"/>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80"/>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1346</v>
      </c>
      <c r="B713" s="125" t="s">
        <v>1245</v>
      </c>
      <c r="C713" s="130">
        <f>LARGE((G713,J713,M713,P713,S713,V713),1)</f>
        <v>7</v>
      </c>
      <c r="D713" s="180">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1353</v>
      </c>
      <c r="B714" s="125" t="s">
        <v>1247</v>
      </c>
      <c r="C714" s="130">
        <f>LARGE((G714,J714,M714,P714,S714,V714),1)</f>
        <v>5</v>
      </c>
      <c r="D714" s="180">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80">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c r="B716" s="125" t="s">
        <v>1248</v>
      </c>
      <c r="C716" s="130">
        <f>LARGE((G716,J716,M716,P716,S716,V716),1)</f>
        <v>3</v>
      </c>
      <c r="D716" s="180">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80"/>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1353</v>
      </c>
      <c r="B718" s="125" t="s">
        <v>1250</v>
      </c>
      <c r="C718" s="130">
        <f>LARGE((G718,J718,M718,P718,S718,V718),1)</f>
        <v>5</v>
      </c>
      <c r="D718" s="180">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80"/>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1353</v>
      </c>
      <c r="B720" s="125" t="s">
        <v>1252</v>
      </c>
      <c r="C720" s="130">
        <f>LARGE((G720,J720,M720,P720,S720,V720),1)</f>
        <v>5</v>
      </c>
      <c r="D720" s="180">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1342</v>
      </c>
      <c r="B721" s="135" t="s">
        <v>1253</v>
      </c>
      <c r="C721" s="136">
        <f>'ECONOMIA &amp; PROFESIONES'!I33</f>
        <v>3</v>
      </c>
      <c r="D721" s="180"/>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80"/>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80"/>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80"/>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1344</v>
      </c>
      <c r="B725" s="125" t="s">
        <v>1257</v>
      </c>
      <c r="C725" s="130">
        <f>LARGE((G725,J725,M725,P725,S725,V725),1)</f>
        <v>2</v>
      </c>
      <c r="D725" s="180">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80"/>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80"/>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80"/>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80"/>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1351</v>
      </c>
      <c r="B730" s="125" t="s">
        <v>1262</v>
      </c>
      <c r="C730" s="130">
        <f>LARGE((G730,J730,M730,P730,S730,V730),1)</f>
        <v>3</v>
      </c>
      <c r="D730" s="180">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1351</v>
      </c>
      <c r="B731" s="125" t="s">
        <v>1263</v>
      </c>
      <c r="C731" s="130">
        <f>LARGE((G731,J731,M731,P731,S731,V731),1)</f>
        <v>3</v>
      </c>
      <c r="D731" s="180">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1351</v>
      </c>
      <c r="B732" s="125" t="s">
        <v>1264</v>
      </c>
      <c r="C732" s="130">
        <f>LARGE((G732,J732,M732,P732,S732,V732),1)</f>
        <v>3</v>
      </c>
      <c r="D732" s="180">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1351</v>
      </c>
      <c r="B733" s="125" t="s">
        <v>1265</v>
      </c>
      <c r="C733" s="130">
        <f>LARGE((G733,J733,M733,P733,S733,V733),1)</f>
        <v>5</v>
      </c>
      <c r="D733" s="180">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1351</v>
      </c>
      <c r="B734" s="125" t="s">
        <v>1266</v>
      </c>
      <c r="C734" s="130">
        <f>LARGE((G734,J734,M734,P734,S734,V734),1)</f>
        <v>5</v>
      </c>
      <c r="D734" s="180">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1351</v>
      </c>
      <c r="B735" s="144" t="s">
        <v>1267</v>
      </c>
      <c r="C735" s="130">
        <f>LARGE((G735,J735,M735,P735,S735,V735),1)</f>
        <v>5</v>
      </c>
      <c r="D735" s="180">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1351</v>
      </c>
      <c r="B736" s="125" t="s">
        <v>1268</v>
      </c>
      <c r="C736" s="130">
        <f>LARGE((G736,J736,M736,P736,S736,V736),1)</f>
        <v>7</v>
      </c>
      <c r="D736" s="180">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1351</v>
      </c>
      <c r="B737" s="125" t="s">
        <v>1269</v>
      </c>
      <c r="C737" s="130">
        <f>LARGE((G737,J737,M737,P737,S737,V737),1)</f>
        <v>9</v>
      </c>
      <c r="D737" s="180">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1351</v>
      </c>
      <c r="B738" s="125" t="s">
        <v>1270</v>
      </c>
      <c r="C738" s="130">
        <f>LARGE((G738,J738,M738,P738,S738,V738),1)</f>
        <v>5</v>
      </c>
      <c r="D738" s="180">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1351</v>
      </c>
      <c r="B739" s="125" t="s">
        <v>1271</v>
      </c>
      <c r="C739" s="130">
        <f>LARGE((G739,J739,M739,P739,S739,V739),1)</f>
        <v>5</v>
      </c>
      <c r="D739" s="180">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1351</v>
      </c>
      <c r="B740" s="125" t="s">
        <v>1272</v>
      </c>
      <c r="C740" s="130">
        <f>LARGE((G740,J740,M740,P740,S740,V740),1)</f>
        <v>7</v>
      </c>
      <c r="D740" s="180">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80"/>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1351</v>
      </c>
      <c r="B742" s="125" t="s">
        <v>1274</v>
      </c>
      <c r="C742" s="130">
        <f>LARGE((G742,J742,M742,P742,S742,V742),1)</f>
        <v>3</v>
      </c>
      <c r="D742" s="180">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80"/>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80"/>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c r="B745" s="125" t="s">
        <v>1277</v>
      </c>
      <c r="C745" s="130">
        <f>LARGE((G745,J745,M745,P745,S745,V745),1)</f>
        <v>1</v>
      </c>
      <c r="D745" s="180">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53"/>
      <c r="B746" s="125" t="s">
        <v>1278</v>
      </c>
      <c r="C746" s="130">
        <f>LARGE((G746,J746,M746,P746,S746,V746),1)</f>
        <v>1</v>
      </c>
      <c r="D746" s="180">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53"/>
      <c r="B747" s="125" t="s">
        <v>1279</v>
      </c>
      <c r="C747" s="130">
        <f>LARGE((G747,J747,M747,P747,S747,V747),1)</f>
        <v>1</v>
      </c>
      <c r="D747" s="180">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53"/>
      <c r="B748" s="125" t="s">
        <v>1280</v>
      </c>
      <c r="C748" s="130">
        <f>LARGE((G748,J748,M748,P748,S748,V748),1)</f>
        <v>1</v>
      </c>
      <c r="D748" s="180">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53"/>
      <c r="B749" s="125" t="s">
        <v>1281</v>
      </c>
      <c r="C749" s="130">
        <f>LARGE((G749,J749,M749,P749,S749,V749),1)</f>
        <v>1</v>
      </c>
      <c r="D749" s="180">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1352</v>
      </c>
      <c r="B750" s="125" t="s">
        <v>1282</v>
      </c>
      <c r="C750" s="130">
        <f>LARGE((G750,J750,M750,P750,S750,V750),1)</f>
        <v>5</v>
      </c>
      <c r="D750" s="180">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1351</v>
      </c>
      <c r="B751" s="125" t="s">
        <v>1283</v>
      </c>
      <c r="C751" s="130">
        <f>LARGE((G751,J751,M751,P751,S751,V751),1)</f>
        <v>3</v>
      </c>
      <c r="D751" s="180">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1351</v>
      </c>
      <c r="B752" s="125" t="s">
        <v>1284</v>
      </c>
      <c r="C752" s="130">
        <f>LARGE((G752,J752,M752,P752,S752,V752),1)</f>
        <v>3</v>
      </c>
      <c r="D752" s="180">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1351</v>
      </c>
      <c r="B753" s="125" t="s">
        <v>1285</v>
      </c>
      <c r="C753" s="130">
        <f>LARGE((G753,J753,M753,P753,S753,V753),1)</f>
        <v>3</v>
      </c>
      <c r="D753" s="180">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1351</v>
      </c>
      <c r="B754" s="125" t="s">
        <v>1286</v>
      </c>
      <c r="C754" s="130">
        <f>LARGE((G754,J754,M754,P754,S754,V754),1)</f>
        <v>5</v>
      </c>
      <c r="D754" s="180">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1351</v>
      </c>
      <c r="B755" s="125" t="s">
        <v>1287</v>
      </c>
      <c r="C755" s="130">
        <f>LARGE((G755,J755,M755,P755,S755,V755),1)</f>
        <v>5</v>
      </c>
      <c r="D755" s="180">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1351</v>
      </c>
      <c r="B756" s="144" t="s">
        <v>1288</v>
      </c>
      <c r="C756" s="130">
        <f>LARGE((G756,J756,M756,P756,S756,V756),1)</f>
        <v>1</v>
      </c>
      <c r="D756" s="180">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1351</v>
      </c>
      <c r="B757" s="125" t="s">
        <v>1289</v>
      </c>
      <c r="C757" s="130">
        <f>LARGE((G757,J757,M757,P757,S757,V757),1)</f>
        <v>7</v>
      </c>
      <c r="D757" s="180">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1351</v>
      </c>
      <c r="B758" s="125" t="s">
        <v>1290</v>
      </c>
      <c r="C758" s="130">
        <f>LARGE((G758,J758,M758,P758,S758,V758),1)</f>
        <v>9</v>
      </c>
      <c r="D758" s="180">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1351</v>
      </c>
      <c r="B759" s="125" t="s">
        <v>1291</v>
      </c>
      <c r="C759" s="130">
        <f>LARGE((G759,J759,M759,P759,S759,V759),1)</f>
        <v>5</v>
      </c>
      <c r="D759" s="180">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1351</v>
      </c>
      <c r="B760" s="125" t="s">
        <v>1292</v>
      </c>
      <c r="C760" s="130">
        <f>LARGE((G760,J760,M760,P760,S760,V760),1)</f>
        <v>5</v>
      </c>
      <c r="D760" s="180">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1351</v>
      </c>
      <c r="B761" s="125" t="s">
        <v>1293</v>
      </c>
      <c r="C761" s="130">
        <f>LARGE((G761,J761,M761,P761,S761,V761),1)</f>
        <v>7</v>
      </c>
      <c r="D761" s="180">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1351</v>
      </c>
      <c r="B762" s="125" t="s">
        <v>1294</v>
      </c>
      <c r="C762" s="130">
        <f>LARGE((G762,J762,M762,P762,S762,V762),1)</f>
        <v>3</v>
      </c>
      <c r="D762" s="180">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80"/>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E41" sqref="E41"/>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7" s="168" customFormat="1">
      <c r="A1" s="168" t="s">
        <v>1336</v>
      </c>
      <c r="B1" s="168" t="s">
        <v>205</v>
      </c>
      <c r="C1" s="131" t="s">
        <v>1354</v>
      </c>
      <c r="D1" s="131">
        <f>LARGE(D3:D84,1)</f>
        <v>11</v>
      </c>
      <c r="E1" s="131" t="s">
        <v>1355</v>
      </c>
      <c r="F1" s="168">
        <f>LARGE(F3:F260,1)</f>
        <v>11</v>
      </c>
    </row>
    <row r="2" spans="1:7">
      <c r="A2" s="169" t="s">
        <v>1337</v>
      </c>
      <c r="B2" s="169" t="s">
        <v>1343</v>
      </c>
      <c r="C2" s="178" t="s">
        <v>1337</v>
      </c>
      <c r="D2" s="178" t="s">
        <v>1356</v>
      </c>
      <c r="E2" s="178" t="s">
        <v>1343</v>
      </c>
      <c r="F2" s="178" t="s">
        <v>1356</v>
      </c>
      <c r="G2" s="162">
        <v>1</v>
      </c>
    </row>
    <row r="3" spans="1:7">
      <c r="A3" s="21" t="s">
        <v>1338</v>
      </c>
      <c r="B3" s="169" t="s">
        <v>1344</v>
      </c>
      <c r="C3" t="str">
        <f t="array" ref="C3:C763">IFERROR(INDEX(ListItemsCraft!$B$1:$B$763,SMALL(IF(indexop=$C$2,ROW()),ROW()-2)),"")</f>
        <v>coal</v>
      </c>
      <c r="D3" s="153">
        <f t="shared" ref="D3:D34" si="0">IFERROR(VLOOKUP(C3,listitems,2,0),"")</f>
        <v>3</v>
      </c>
      <c r="E3" t="str">
        <f t="array" ref="E3:E763">IFERROR(INDEX(ListItemsCraft!$B$1:$B$763,SMALL(IF(indexop=$E$2,ROW()),ROW()-2)),"")</f>
        <v>anvil</v>
      </c>
      <c r="F3">
        <f>IFERROR(VLOOKUP(E3,listitems,2,0),"")</f>
        <v>5</v>
      </c>
      <c r="G3" s="61">
        <v>3</v>
      </c>
    </row>
    <row r="4" spans="1:7">
      <c r="A4" s="170" t="s">
        <v>560</v>
      </c>
      <c r="B4" s="21" t="s">
        <v>1345</v>
      </c>
      <c r="C4" t="str">
        <v>coal_ore</v>
      </c>
      <c r="D4" s="153">
        <f t="shared" si="0"/>
        <v>3</v>
      </c>
      <c r="E4" t="str">
        <v>bucket</v>
      </c>
      <c r="F4" s="153">
        <f t="shared" ref="F4:F34" si="1">IFERROR(VLOOKUP(E4,listitems,2,0),"")</f>
        <v>5</v>
      </c>
      <c r="G4" s="62">
        <v>5</v>
      </c>
    </row>
    <row r="5" spans="1:7">
      <c r="A5" s="171" t="s">
        <v>1339</v>
      </c>
      <c r="B5" s="171" t="s">
        <v>1346</v>
      </c>
      <c r="C5" t="str">
        <v>diamond</v>
      </c>
      <c r="D5" s="153">
        <f t="shared" si="0"/>
        <v>11</v>
      </c>
      <c r="E5" t="str">
        <v>cauldron</v>
      </c>
      <c r="F5" s="153">
        <f t="shared" si="1"/>
        <v>5</v>
      </c>
      <c r="G5" s="63">
        <v>7</v>
      </c>
    </row>
    <row r="6" spans="1:7">
      <c r="A6" s="172" t="s">
        <v>1340</v>
      </c>
      <c r="B6" s="172" t="s">
        <v>1347</v>
      </c>
      <c r="C6" t="str">
        <v>diamond_ore</v>
      </c>
      <c r="D6" s="153">
        <f t="shared" si="0"/>
        <v>11</v>
      </c>
      <c r="E6" t="str">
        <v>clock</v>
      </c>
      <c r="F6" s="153">
        <f t="shared" si="1"/>
        <v>7</v>
      </c>
      <c r="G6" s="64">
        <v>9</v>
      </c>
    </row>
    <row r="7" spans="1:7">
      <c r="A7" s="140" t="s">
        <v>1341</v>
      </c>
      <c r="B7" s="170" t="s">
        <v>1348</v>
      </c>
      <c r="C7" t="str">
        <v>emerald</v>
      </c>
      <c r="D7" s="153">
        <f t="shared" si="0"/>
        <v>9</v>
      </c>
      <c r="E7" t="str">
        <v>compass</v>
      </c>
      <c r="F7" s="153">
        <f t="shared" si="1"/>
        <v>7</v>
      </c>
      <c r="G7" s="65">
        <v>11</v>
      </c>
    </row>
    <row r="8" spans="1:7">
      <c r="A8" s="173" t="s">
        <v>1342</v>
      </c>
      <c r="B8" s="140" t="s">
        <v>1350</v>
      </c>
      <c r="C8" t="str">
        <v>emerald_ore</v>
      </c>
      <c r="D8" s="153">
        <f t="shared" si="0"/>
        <v>9</v>
      </c>
      <c r="E8" t="str">
        <v>diamond_axe</v>
      </c>
      <c r="F8" s="153">
        <f t="shared" si="1"/>
        <v>11</v>
      </c>
    </row>
    <row r="9" spans="1:7">
      <c r="B9" s="173" t="s">
        <v>1349</v>
      </c>
      <c r="C9" t="str">
        <v>glowstone_dust</v>
      </c>
      <c r="D9" s="153">
        <f t="shared" si="0"/>
        <v>9</v>
      </c>
      <c r="E9" t="str">
        <v>diamond_block</v>
      </c>
      <c r="F9" s="153">
        <f t="shared" si="1"/>
        <v>11</v>
      </c>
    </row>
    <row r="10" spans="1:7">
      <c r="B10" s="169" t="s">
        <v>595</v>
      </c>
      <c r="C10" t="str">
        <v>gold_ore</v>
      </c>
      <c r="D10" s="153">
        <f t="shared" si="0"/>
        <v>7</v>
      </c>
      <c r="E10" t="str">
        <v>diamond_hoe</v>
      </c>
      <c r="F10" s="153">
        <f t="shared" si="1"/>
        <v>11</v>
      </c>
    </row>
    <row r="11" spans="1:7">
      <c r="B11" s="170" t="s">
        <v>1351</v>
      </c>
      <c r="C11" t="str">
        <v>iron_ore</v>
      </c>
      <c r="D11" s="153">
        <f t="shared" si="0"/>
        <v>5</v>
      </c>
      <c r="E11" t="str">
        <v>diamond_pickaxe</v>
      </c>
      <c r="F11" s="153">
        <f t="shared" si="1"/>
        <v>11</v>
      </c>
    </row>
    <row r="12" spans="1:7">
      <c r="B12" s="170" t="s">
        <v>1352</v>
      </c>
      <c r="C12" t="str">
        <v>lapis_lazuli</v>
      </c>
      <c r="D12" s="153">
        <f t="shared" si="0"/>
        <v>5</v>
      </c>
      <c r="E12" t="str">
        <v>diamond_shovel</v>
      </c>
      <c r="F12" s="153">
        <f t="shared" si="1"/>
        <v>11</v>
      </c>
    </row>
    <row r="13" spans="1:7">
      <c r="B13" s="174" t="s">
        <v>1353</v>
      </c>
      <c r="C13" t="str">
        <v>lapis_ore</v>
      </c>
      <c r="D13" s="153">
        <f t="shared" si="0"/>
        <v>5</v>
      </c>
      <c r="E13" t="str">
        <v>flint_and_steel</v>
      </c>
      <c r="F13" s="153">
        <f t="shared" si="1"/>
        <v>5</v>
      </c>
    </row>
    <row r="14" spans="1:7">
      <c r="C14" t="str">
        <v>nether_quartz_ore</v>
      </c>
      <c r="D14" s="153">
        <f t="shared" si="0"/>
        <v>9</v>
      </c>
      <c r="E14" t="str">
        <v>furnace</v>
      </c>
      <c r="F14" s="153">
        <f t="shared" si="1"/>
        <v>1</v>
      </c>
    </row>
    <row r="15" spans="1:7">
      <c r="C15" t="str">
        <v>netherrack</v>
      </c>
      <c r="D15" s="153">
        <f t="shared" si="0"/>
        <v>11</v>
      </c>
      <c r="E15" t="str">
        <v>gold_block</v>
      </c>
      <c r="F15" s="153">
        <f t="shared" si="1"/>
        <v>7</v>
      </c>
    </row>
    <row r="16" spans="1:7">
      <c r="C16" t="str">
        <v>obsidian</v>
      </c>
      <c r="D16" s="153">
        <f t="shared" si="0"/>
        <v>11</v>
      </c>
      <c r="E16" t="str">
        <v>gold_ingot</v>
      </c>
      <c r="F16" s="153">
        <f t="shared" si="1"/>
        <v>7</v>
      </c>
    </row>
    <row r="17" spans="1:6">
      <c r="C17" t="str">
        <v>quartz</v>
      </c>
      <c r="D17" s="153">
        <f t="shared" si="0"/>
        <v>9</v>
      </c>
      <c r="E17" t="str">
        <v>gold_nugget</v>
      </c>
      <c r="F17" s="153">
        <f t="shared" si="1"/>
        <v>7</v>
      </c>
    </row>
    <row r="18" spans="1:6">
      <c r="C18" t="str">
        <v>redstone</v>
      </c>
      <c r="D18" s="153">
        <f t="shared" si="0"/>
        <v>7</v>
      </c>
      <c r="E18" t="str">
        <v>golden_axe</v>
      </c>
      <c r="F18" s="153">
        <f t="shared" si="1"/>
        <v>7</v>
      </c>
    </row>
    <row r="19" spans="1:6">
      <c r="C19" t="str">
        <v>redstone_ore</v>
      </c>
      <c r="D19" s="153">
        <f t="shared" si="0"/>
        <v>7</v>
      </c>
      <c r="E19" t="str">
        <v>golden_hoe</v>
      </c>
      <c r="F19" s="153">
        <f t="shared" si="1"/>
        <v>7</v>
      </c>
    </row>
    <row r="20" spans="1:6">
      <c r="C20" t="str">
        <v/>
      </c>
      <c r="D20" s="153" t="str">
        <f t="shared" si="0"/>
        <v/>
      </c>
      <c r="E20" t="str">
        <v>golden_pickaxe</v>
      </c>
      <c r="F20" s="153">
        <f t="shared" si="1"/>
        <v>7</v>
      </c>
    </row>
    <row r="21" spans="1:6">
      <c r="C21" t="str">
        <v/>
      </c>
      <c r="D21" s="153" t="str">
        <f t="shared" si="0"/>
        <v/>
      </c>
      <c r="E21" t="str">
        <v>golden_shovel</v>
      </c>
      <c r="F21" s="153">
        <f t="shared" si="1"/>
        <v>7</v>
      </c>
    </row>
    <row r="22" spans="1:6">
      <c r="C22" t="str">
        <v/>
      </c>
      <c r="D22" s="153" t="str">
        <f t="shared" si="0"/>
        <v/>
      </c>
      <c r="E22" t="str">
        <v>grindstone</v>
      </c>
      <c r="F22" s="153">
        <f t="shared" si="1"/>
        <v>3</v>
      </c>
    </row>
    <row r="23" spans="1:6">
      <c r="C23" t="str">
        <v/>
      </c>
      <c r="D23" s="153" t="str">
        <f t="shared" si="0"/>
        <v/>
      </c>
      <c r="E23" t="str">
        <v>iron_axe</v>
      </c>
      <c r="F23" s="153">
        <f t="shared" si="1"/>
        <v>5</v>
      </c>
    </row>
    <row r="24" spans="1:6" ht="15.75">
      <c r="A24" s="125" t="s">
        <v>658</v>
      </c>
      <c r="C24" t="str">
        <v/>
      </c>
      <c r="D24" s="153" t="str">
        <f t="shared" si="0"/>
        <v/>
      </c>
      <c r="E24" t="str">
        <v>iron_bars</v>
      </c>
      <c r="F24" s="153">
        <f t="shared" si="1"/>
        <v>5</v>
      </c>
    </row>
    <row r="25" spans="1:6">
      <c r="C25" t="str">
        <v/>
      </c>
      <c r="D25" s="153" t="str">
        <f t="shared" si="0"/>
        <v/>
      </c>
      <c r="E25" t="str">
        <v>iron_block</v>
      </c>
      <c r="F25" s="153">
        <f t="shared" si="1"/>
        <v>5</v>
      </c>
    </row>
    <row r="26" spans="1:6">
      <c r="C26" t="str">
        <v/>
      </c>
      <c r="D26" s="153" t="str">
        <f t="shared" si="0"/>
        <v/>
      </c>
      <c r="E26" t="str">
        <v>iron_door</v>
      </c>
      <c r="F26" s="153">
        <f t="shared" si="1"/>
        <v>5</v>
      </c>
    </row>
    <row r="27" spans="1:6">
      <c r="C27" t="str">
        <v/>
      </c>
      <c r="D27" s="153" t="str">
        <f t="shared" si="0"/>
        <v/>
      </c>
      <c r="E27" t="str">
        <v>iron_hoe</v>
      </c>
      <c r="F27" s="153">
        <f t="shared" si="1"/>
        <v>5</v>
      </c>
    </row>
    <row r="28" spans="1:6">
      <c r="C28" t="str">
        <v/>
      </c>
      <c r="D28" s="153" t="str">
        <f t="shared" si="0"/>
        <v/>
      </c>
      <c r="E28" t="str">
        <v>iron_ingot</v>
      </c>
      <c r="F28" s="153">
        <f t="shared" si="1"/>
        <v>5</v>
      </c>
    </row>
    <row r="29" spans="1:6">
      <c r="C29" t="str">
        <v/>
      </c>
      <c r="D29" s="153" t="str">
        <f t="shared" si="0"/>
        <v/>
      </c>
      <c r="E29" t="str">
        <v>iron_nugget</v>
      </c>
      <c r="F29" s="153">
        <f t="shared" si="1"/>
        <v>5</v>
      </c>
    </row>
    <row r="30" spans="1:6">
      <c r="C30" t="str">
        <v/>
      </c>
      <c r="D30" s="153" t="str">
        <f t="shared" si="0"/>
        <v/>
      </c>
      <c r="E30" t="str">
        <v>iron_pickaxe</v>
      </c>
      <c r="F30" s="153">
        <f t="shared" si="1"/>
        <v>5</v>
      </c>
    </row>
    <row r="31" spans="1:6">
      <c r="C31" t="str">
        <v/>
      </c>
      <c r="D31" s="153" t="str">
        <f t="shared" si="0"/>
        <v/>
      </c>
      <c r="E31" t="str">
        <v>iron_shovel</v>
      </c>
      <c r="F31" s="153">
        <f t="shared" si="1"/>
        <v>5</v>
      </c>
    </row>
    <row r="32" spans="1:6">
      <c r="C32" t="str">
        <v/>
      </c>
      <c r="D32" s="153" t="str">
        <f t="shared" si="0"/>
        <v/>
      </c>
      <c r="E32" t="str">
        <v>iron_trapdoor</v>
      </c>
      <c r="F32" s="153">
        <f t="shared" si="1"/>
        <v>5</v>
      </c>
    </row>
    <row r="33" spans="3:6">
      <c r="C33" t="str">
        <v/>
      </c>
      <c r="D33" s="153" t="str">
        <f t="shared" si="0"/>
        <v/>
      </c>
      <c r="E33" t="str">
        <v>lantern</v>
      </c>
      <c r="F33" s="153">
        <f t="shared" si="1"/>
        <v>5</v>
      </c>
    </row>
    <row r="34" spans="3:6">
      <c r="C34" t="str">
        <v/>
      </c>
      <c r="D34" s="153" t="str">
        <f t="shared" si="0"/>
        <v/>
      </c>
      <c r="E34" t="str">
        <v>light_weighted_pressure_plate</v>
      </c>
      <c r="F34" s="153">
        <f t="shared" si="1"/>
        <v>7</v>
      </c>
    </row>
    <row r="35" spans="3:6">
      <c r="C35" t="str">
        <v/>
      </c>
      <c r="D35" s="153" t="str">
        <f t="shared" ref="D35:D58" si="2">IFERROR(VLOOKUP(C35,listitems,2,0),"")</f>
        <v/>
      </c>
      <c r="E35" t="str">
        <v>shears</v>
      </c>
      <c r="F35" s="153">
        <f t="shared" ref="F35:F98" si="3">IFERROR(VLOOKUP(E35,listitems,2,0),"")</f>
        <v>5</v>
      </c>
    </row>
    <row r="36" spans="3:6">
      <c r="C36" t="str">
        <v/>
      </c>
      <c r="D36" s="153" t="str">
        <f t="shared" si="2"/>
        <v/>
      </c>
      <c r="E36" t="str">
        <v>smithing_table</v>
      </c>
      <c r="F36" s="153">
        <f t="shared" si="3"/>
        <v>5</v>
      </c>
    </row>
    <row r="37" spans="3:6">
      <c r="C37" t="str">
        <v/>
      </c>
      <c r="D37" s="153" t="str">
        <f t="shared" si="2"/>
        <v/>
      </c>
      <c r="E37" t="str">
        <v>smoker</v>
      </c>
      <c r="F37" s="153">
        <f t="shared" si="3"/>
        <v>1</v>
      </c>
    </row>
    <row r="38" spans="3:6">
      <c r="C38" t="str">
        <v/>
      </c>
      <c r="D38" s="153" t="str">
        <f t="shared" si="2"/>
        <v/>
      </c>
      <c r="E38" t="str">
        <v>stone_axe</v>
      </c>
      <c r="F38" s="153">
        <f t="shared" si="3"/>
        <v>1</v>
      </c>
    </row>
    <row r="39" spans="3:6">
      <c r="C39" t="str">
        <v/>
      </c>
      <c r="D39" s="153" t="str">
        <f t="shared" si="2"/>
        <v/>
      </c>
      <c r="E39" t="str">
        <v>stone_hoe</v>
      </c>
      <c r="F39" s="153">
        <f t="shared" si="3"/>
        <v>1</v>
      </c>
    </row>
    <row r="40" spans="3:6">
      <c r="C40" t="str">
        <v/>
      </c>
      <c r="D40" s="153" t="str">
        <f t="shared" si="2"/>
        <v/>
      </c>
      <c r="E40" t="str">
        <v>stone_pickaxe</v>
      </c>
      <c r="F40" s="153">
        <f t="shared" si="3"/>
        <v>1</v>
      </c>
    </row>
    <row r="41" spans="3:6">
      <c r="C41" t="str">
        <v/>
      </c>
      <c r="D41" s="153" t="str">
        <f t="shared" si="2"/>
        <v/>
      </c>
      <c r="E41" t="str">
        <v>stone_shovel</v>
      </c>
      <c r="F41" s="153">
        <f t="shared" si="3"/>
        <v>1</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8" t="s">
        <v>148</v>
      </c>
      <c r="B1" s="228"/>
      <c r="C1" s="228"/>
      <c r="D1" s="228"/>
      <c r="E1" s="229" t="s">
        <v>157</v>
      </c>
      <c r="F1" s="229"/>
      <c r="G1" s="229"/>
      <c r="H1" s="229"/>
      <c r="I1" s="228" t="s">
        <v>149</v>
      </c>
      <c r="J1" s="228"/>
      <c r="K1" s="228"/>
      <c r="L1" s="228"/>
      <c r="M1" s="229" t="s">
        <v>147</v>
      </c>
      <c r="N1" s="229"/>
      <c r="O1" s="229"/>
      <c r="P1" s="229"/>
    </row>
    <row r="2" spans="1:16" ht="15" customHeight="1">
      <c r="A2" s="227" t="s">
        <v>238</v>
      </c>
      <c r="B2" s="227"/>
      <c r="C2" s="227" t="s">
        <v>239</v>
      </c>
      <c r="D2" s="227"/>
      <c r="E2" s="205" t="s">
        <v>249</v>
      </c>
      <c r="F2" s="205"/>
      <c r="G2" s="205" t="s">
        <v>252</v>
      </c>
      <c r="H2" s="205"/>
      <c r="I2" s="227" t="s">
        <v>291</v>
      </c>
      <c r="J2" s="227"/>
      <c r="K2" s="227" t="s">
        <v>254</v>
      </c>
      <c r="L2" s="227"/>
      <c r="M2" s="205" t="s">
        <v>256</v>
      </c>
      <c r="N2" s="205"/>
      <c r="O2" s="205" t="s">
        <v>257</v>
      </c>
      <c r="P2" s="20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30" t="s">
        <v>299</v>
      </c>
      <c r="H5" s="230"/>
      <c r="I5" s="230" t="s">
        <v>270</v>
      </c>
      <c r="J5" s="230"/>
      <c r="K5" s="230" t="s">
        <v>315</v>
      </c>
      <c r="L5" s="230"/>
      <c r="M5" s="225" t="s">
        <v>259</v>
      </c>
      <c r="N5" s="225"/>
      <c r="O5" s="230" t="s">
        <v>319</v>
      </c>
      <c r="P5" s="230"/>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31" t="s">
        <v>327</v>
      </c>
      <c r="B9" s="231"/>
      <c r="C9" s="231" t="s">
        <v>328</v>
      </c>
      <c r="D9" s="231"/>
      <c r="E9" s="231" t="s">
        <v>307</v>
      </c>
      <c r="F9" s="231"/>
      <c r="G9" s="231" t="s">
        <v>253</v>
      </c>
      <c r="H9" s="231"/>
      <c r="I9" s="231" t="s">
        <v>255</v>
      </c>
      <c r="J9" s="231"/>
      <c r="K9" s="231" t="s">
        <v>38</v>
      </c>
      <c r="L9" s="231"/>
      <c r="M9" s="231" t="s">
        <v>261</v>
      </c>
      <c r="N9" s="231"/>
      <c r="O9" s="231" t="s">
        <v>263</v>
      </c>
      <c r="P9" s="231"/>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3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3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3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3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6"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7"/>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7"/>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7"/>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8"/>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9"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40"/>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40"/>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9"/>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9"/>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41"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42"/>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42"/>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7"/>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3"/>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9"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9"/>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9"/>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9"/>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9"/>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33"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34"/>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34"/>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34"/>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35"/>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6"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7"/>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7"/>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7"/>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8"/>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9"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40"/>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40"/>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9"/>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9"/>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41"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42"/>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42"/>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7"/>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3"/>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9"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9"/>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9"/>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9"/>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9"/>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33"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34"/>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34"/>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34"/>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35"/>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6"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7"/>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7"/>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7"/>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8"/>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9"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40"/>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40"/>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9"/>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9"/>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41"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42"/>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42"/>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7"/>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3"/>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9"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9"/>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9"/>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9"/>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9"/>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33"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34"/>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34"/>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34"/>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35"/>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6"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7"/>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7"/>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7"/>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8"/>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9"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40"/>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40"/>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9"/>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9"/>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41"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42"/>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42"/>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7"/>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3"/>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9"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9"/>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9"/>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9"/>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9"/>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33"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34"/>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34"/>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34"/>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35"/>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6"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7"/>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7"/>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7"/>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8"/>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9"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40"/>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40"/>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9"/>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9"/>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41"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42"/>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42"/>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7"/>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3"/>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9"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9"/>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9"/>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9"/>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9"/>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34"/>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34"/>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34"/>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35"/>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6"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7"/>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7"/>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7"/>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8"/>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9"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40"/>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40"/>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9"/>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9"/>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41"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42"/>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42"/>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7"/>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3"/>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9"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9"/>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9"/>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9"/>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9"/>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5" t="s">
        <v>39</v>
      </c>
      <c r="B17" s="245"/>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6" t="s">
        <v>49</v>
      </c>
      <c r="B31" s="246"/>
      <c r="C31" s="246"/>
      <c r="D31" s="246"/>
      <c r="E31" s="246"/>
      <c r="F31" s="246"/>
      <c r="G31" s="246"/>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30" t="str">
        <f>C11</f>
        <v>Inteligencia</v>
      </c>
      <c r="B35" s="230"/>
      <c r="C35" s="37">
        <f t="shared" ref="C35" si="1">ROUNDDOWN(C34/2,0)</f>
        <v>1</v>
      </c>
      <c r="D35" s="28">
        <f t="shared" si="0"/>
        <v>3</v>
      </c>
      <c r="E35" s="28">
        <f t="shared" si="0"/>
        <v>10</v>
      </c>
      <c r="F35" s="28">
        <f t="shared" si="0"/>
        <v>30</v>
      </c>
      <c r="G35" s="28">
        <f t="shared" si="0"/>
        <v>60</v>
      </c>
      <c r="H35" s="28"/>
      <c r="I35" s="28"/>
    </row>
    <row r="36" spans="1:17">
      <c r="A36" s="246" t="s">
        <v>21</v>
      </c>
      <c r="B36" s="246"/>
      <c r="C36" s="246"/>
      <c r="D36" s="246"/>
      <c r="E36" s="246"/>
      <c r="F36" s="246"/>
      <c r="G36" s="246"/>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9" t="s">
        <v>68</v>
      </c>
      <c r="B40" s="249"/>
      <c r="C40" s="39">
        <v>1800</v>
      </c>
      <c r="D40" s="39">
        <v>1800</v>
      </c>
      <c r="E40" s="39">
        <v>1800</v>
      </c>
      <c r="F40" s="39">
        <v>1800</v>
      </c>
      <c r="G40" s="39">
        <v>1800</v>
      </c>
      <c r="H40" s="28"/>
    </row>
    <row r="41" spans="1:17" ht="27.75" customHeight="1">
      <c r="A41" s="245" t="s">
        <v>38</v>
      </c>
      <c r="B41" s="245"/>
      <c r="C41" s="3" t="s">
        <v>7</v>
      </c>
      <c r="D41" s="3" t="s">
        <v>8</v>
      </c>
      <c r="E41" s="3" t="s">
        <v>83</v>
      </c>
      <c r="F41" s="3" t="s">
        <v>84</v>
      </c>
      <c r="G41" s="3" t="s">
        <v>85</v>
      </c>
      <c r="H41" s="3" t="s">
        <v>62</v>
      </c>
      <c r="I41" s="23" t="s">
        <v>119</v>
      </c>
      <c r="J41" s="245" t="s">
        <v>283</v>
      </c>
      <c r="K41" s="245"/>
      <c r="L41" s="245" t="s">
        <v>285</v>
      </c>
      <c r="M41" s="245"/>
      <c r="N41" s="245" t="s">
        <v>380</v>
      </c>
      <c r="O41" s="245"/>
      <c r="P41" s="245"/>
      <c r="Q41" s="245"/>
    </row>
    <row r="42" spans="1:17">
      <c r="A42" s="247" t="s">
        <v>20</v>
      </c>
      <c r="B42" s="247"/>
      <c r="C42" s="247"/>
      <c r="D42" s="247"/>
      <c r="E42" s="247"/>
      <c r="F42" s="247"/>
      <c r="G42" s="247"/>
      <c r="H42" s="6">
        <v>2</v>
      </c>
      <c r="I42" s="41">
        <v>1</v>
      </c>
      <c r="J42" s="191" t="s">
        <v>379</v>
      </c>
      <c r="K42" s="191"/>
      <c r="L42" s="191">
        <v>2</v>
      </c>
      <c r="M42" s="191"/>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4"/>
      <c r="Q47" s="244"/>
    </row>
    <row r="48" spans="1:17">
      <c r="A48" s="247" t="s">
        <v>49</v>
      </c>
      <c r="B48" s="247"/>
      <c r="C48" s="247"/>
      <c r="D48" s="247"/>
      <c r="E48" s="247"/>
      <c r="F48" s="247"/>
      <c r="G48" s="247"/>
      <c r="N48" s="113"/>
      <c r="O48" s="113"/>
      <c r="P48" s="244"/>
      <c r="Q48" s="244"/>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4"/>
      <c r="Q49" s="244"/>
    </row>
    <row r="50" spans="1:17">
      <c r="A50" s="225" t="str">
        <f>C12</f>
        <v>Esencia</v>
      </c>
      <c r="B50" s="225"/>
      <c r="C50" s="40">
        <f>ROUNDDOWN(C49/3,0)</f>
        <v>1</v>
      </c>
      <c r="D50" s="40">
        <f>ROUNDDOWN(D49/3,0)</f>
        <v>3</v>
      </c>
      <c r="E50" s="40">
        <f>ROUNDDOWN(E49/3,0)</f>
        <v>10</v>
      </c>
      <c r="F50" s="40">
        <f>ROUNDDOWN(F49/3,0)</f>
        <v>32</v>
      </c>
      <c r="G50" s="40">
        <f>ROUNDDOWN(G49/3,0)</f>
        <v>64</v>
      </c>
      <c r="N50" s="113"/>
      <c r="O50" s="113"/>
      <c r="P50" s="244"/>
      <c r="Q50" s="244"/>
    </row>
    <row r="51" spans="1:17">
      <c r="A51" s="225"/>
      <c r="B51" s="225"/>
      <c r="N51" s="113"/>
      <c r="O51" s="113"/>
      <c r="P51" s="244"/>
      <c r="Q51" s="244"/>
    </row>
    <row r="52" spans="1:17" ht="27.75" customHeight="1">
      <c r="A52" s="245" t="s">
        <v>63</v>
      </c>
      <c r="B52" s="245"/>
      <c r="C52" s="3" t="s">
        <v>0</v>
      </c>
      <c r="D52" s="3" t="s">
        <v>86</v>
      </c>
      <c r="E52" s="3" t="s">
        <v>83</v>
      </c>
      <c r="F52" s="3" t="s">
        <v>84</v>
      </c>
      <c r="G52" s="3" t="s">
        <v>85</v>
      </c>
      <c r="H52" s="3" t="s">
        <v>62</v>
      </c>
      <c r="J52" s="245" t="s">
        <v>283</v>
      </c>
      <c r="K52" s="245"/>
      <c r="L52" s="245" t="s">
        <v>285</v>
      </c>
      <c r="M52" s="245"/>
    </row>
    <row r="53" spans="1:17">
      <c r="A53" s="247" t="s">
        <v>20</v>
      </c>
      <c r="B53" s="247"/>
      <c r="C53" s="247"/>
      <c r="D53" s="247"/>
      <c r="E53" s="247"/>
      <c r="F53" s="247"/>
      <c r="G53" s="247"/>
      <c r="H53" s="6">
        <f>$H$55*$I$42</f>
        <v>5</v>
      </c>
      <c r="J53" s="191" t="s">
        <v>284</v>
      </c>
      <c r="K53" s="191"/>
      <c r="L53" s="191">
        <v>1</v>
      </c>
      <c r="M53" s="191"/>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5" t="s">
        <v>64</v>
      </c>
      <c r="B63" s="245"/>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4"/>
      <c r="B73" s="244"/>
    </row>
    <row r="74" spans="1:8" ht="27.75" customHeight="1">
      <c r="A74" s="245" t="s">
        <v>11</v>
      </c>
      <c r="B74" s="245"/>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5" t="s">
        <v>66</v>
      </c>
      <c r="B85" s="245"/>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Stalker</cp:lastModifiedBy>
  <cp:lastPrinted>2018-03-18T20:50:32Z</cp:lastPrinted>
  <dcterms:created xsi:type="dcterms:W3CDTF">2017-03-19T06:56:32Z</dcterms:created>
  <dcterms:modified xsi:type="dcterms:W3CDTF">2019-11-14T02:14:37Z</dcterms:modified>
</cp:coreProperties>
</file>