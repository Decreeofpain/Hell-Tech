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Dr Brain\Documents\Hell-Tech\"/>
    </mc:Choice>
  </mc:AlternateContent>
  <bookViews>
    <workbookView xWindow="-120" yWindow="330" windowWidth="38640" windowHeight="21390" tabRatio="893" firstSheet="1" activeTab="6"/>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Crafteos Prof ESP" sheetId="36" r:id="rId8"/>
    <sheet name="Crafteos MD" sheetId="38" r:id="rId9"/>
    <sheet name="Crafteos Mechanics" sheetId="39" r:id="rId10"/>
    <sheet name="MAIN" sheetId="1" r:id="rId11"/>
    <sheet name="armas comun" sheetId="4" r:id="rId12"/>
    <sheet name="helmet comun" sheetId="5" r:id="rId13"/>
    <sheet name="chestplate comun" sheetId="6" r:id="rId14"/>
    <sheet name="leggins comun" sheetId="7" r:id="rId15"/>
    <sheet name="boots comun" sheetId="9" r:id="rId16"/>
    <sheet name="armas magico" sheetId="10" r:id="rId17"/>
    <sheet name="helmet magico" sheetId="12" r:id="rId18"/>
    <sheet name="chestplate magico" sheetId="13" r:id="rId19"/>
    <sheet name="leggins magico" sheetId="14" r:id="rId20"/>
    <sheet name="boots magico" sheetId="15" r:id="rId21"/>
    <sheet name="armas raro" sheetId="16" r:id="rId22"/>
    <sheet name="helmet raro" sheetId="17" r:id="rId23"/>
    <sheet name="chestplate raro" sheetId="18" r:id="rId24"/>
    <sheet name="leggins raro" sheetId="19" r:id="rId25"/>
    <sheet name="boots raro" sheetId="20" r:id="rId26"/>
    <sheet name="armas legendario" sheetId="21" r:id="rId27"/>
    <sheet name="helmet legendario" sheetId="22" r:id="rId28"/>
    <sheet name="chestplate legendario" sheetId="23" r:id="rId29"/>
    <sheet name="leggins legendario" sheetId="24" r:id="rId30"/>
    <sheet name="boots legendario" sheetId="25" r:id="rId31"/>
    <sheet name="armas ancestral" sheetId="26" r:id="rId32"/>
    <sheet name="helmet ancestral" sheetId="27" r:id="rId33"/>
    <sheet name="chestplate ancestral" sheetId="28" r:id="rId34"/>
    <sheet name="leggins ancestral" sheetId="29" r:id="rId35"/>
    <sheet name="boots ancestral" sheetId="31" r:id="rId36"/>
  </sheets>
  <definedNames>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62913"/>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 i="46" l="1" a="1"/>
  <c r="C3" i="46" a="1"/>
  <c r="C3" i="46" s="1"/>
  <c r="D3" i="46" s="1"/>
  <c r="C8" i="46"/>
  <c r="D8" i="46" s="1"/>
  <c r="C13" i="46"/>
  <c r="D13" i="46" s="1"/>
  <c r="C18" i="46"/>
  <c r="D18" i="46" s="1"/>
  <c r="C24" i="46"/>
  <c r="D24" i="46" s="1"/>
  <c r="C29" i="46"/>
  <c r="D29" i="46" s="1"/>
  <c r="C34" i="46"/>
  <c r="D34" i="46" s="1"/>
  <c r="C38" i="46"/>
  <c r="D38" i="46" s="1"/>
  <c r="C40" i="46"/>
  <c r="D40" i="46" s="1"/>
  <c r="C45" i="46"/>
  <c r="D45" i="46" s="1"/>
  <c r="C49" i="46"/>
  <c r="D49" i="46" s="1"/>
  <c r="C50" i="46"/>
  <c r="D50" i="46" s="1"/>
  <c r="C56" i="46"/>
  <c r="D56" i="46" s="1"/>
  <c r="C60" i="46"/>
  <c r="C61" i="46"/>
  <c r="C66" i="46"/>
  <c r="C70" i="46"/>
  <c r="C72" i="46"/>
  <c r="C77" i="46"/>
  <c r="C81" i="46"/>
  <c r="C82" i="46"/>
  <c r="C88" i="46"/>
  <c r="C92" i="46"/>
  <c r="C93" i="46"/>
  <c r="C98" i="46"/>
  <c r="C102" i="46"/>
  <c r="C104" i="46"/>
  <c r="C109" i="46"/>
  <c r="C113" i="46"/>
  <c r="C114" i="46"/>
  <c r="C120" i="46"/>
  <c r="C124" i="46"/>
  <c r="C125" i="46"/>
  <c r="C130" i="46"/>
  <c r="C134" i="46"/>
  <c r="C136" i="46"/>
  <c r="C141" i="46"/>
  <c r="C145" i="46"/>
  <c r="C146" i="46"/>
  <c r="C152" i="46"/>
  <c r="C156" i="46"/>
  <c r="C157" i="46"/>
  <c r="C162" i="46"/>
  <c r="C166" i="46"/>
  <c r="C168" i="46"/>
  <c r="C173" i="46"/>
  <c r="C177" i="46"/>
  <c r="C178" i="46"/>
  <c r="C184" i="46"/>
  <c r="C188" i="46"/>
  <c r="C189" i="46"/>
  <c r="C194" i="46"/>
  <c r="C198" i="46"/>
  <c r="C200" i="46"/>
  <c r="C205" i="46"/>
  <c r="C209" i="46"/>
  <c r="C210" i="46"/>
  <c r="C216" i="46"/>
  <c r="C220" i="46"/>
  <c r="C221" i="46"/>
  <c r="C226" i="46"/>
  <c r="C230" i="46"/>
  <c r="C232" i="46"/>
  <c r="C237" i="46"/>
  <c r="C241" i="46"/>
  <c r="C242" i="46"/>
  <c r="C248" i="46"/>
  <c r="C252" i="46"/>
  <c r="C253" i="46"/>
  <c r="C258" i="46"/>
  <c r="C262" i="46"/>
  <c r="C264" i="46"/>
  <c r="C269" i="46"/>
  <c r="C273" i="46"/>
  <c r="C274" i="46"/>
  <c r="C280" i="46"/>
  <c r="C284" i="46"/>
  <c r="C285" i="46"/>
  <c r="C290" i="46"/>
  <c r="C294" i="46"/>
  <c r="C296" i="46"/>
  <c r="C301" i="46"/>
  <c r="C305" i="46"/>
  <c r="C306" i="46"/>
  <c r="C312" i="46"/>
  <c r="C316" i="46"/>
  <c r="C317" i="46"/>
  <c r="C322" i="46"/>
  <c r="C326" i="46"/>
  <c r="C328" i="46"/>
  <c r="C333" i="46"/>
  <c r="C337" i="46"/>
  <c r="C338" i="46"/>
  <c r="C343" i="46"/>
  <c r="C346" i="46"/>
  <c r="C347" i="46"/>
  <c r="C351" i="46"/>
  <c r="C354" i="46"/>
  <c r="C355" i="46"/>
  <c r="C359" i="46"/>
  <c r="C361" i="46"/>
  <c r="C362" i="46"/>
  <c r="C365" i="46"/>
  <c r="C366" i="46"/>
  <c r="C367" i="46"/>
  <c r="C370" i="46"/>
  <c r="C371" i="46"/>
  <c r="C373" i="46"/>
  <c r="C375" i="46"/>
  <c r="C377" i="46"/>
  <c r="C378" i="46"/>
  <c r="C381" i="46"/>
  <c r="C382" i="46"/>
  <c r="C383" i="46"/>
  <c r="C386" i="46"/>
  <c r="C387" i="46"/>
  <c r="C389" i="46"/>
  <c r="C391" i="46"/>
  <c r="C393" i="46"/>
  <c r="C394" i="46"/>
  <c r="C397" i="46"/>
  <c r="C398" i="46"/>
  <c r="C399" i="46"/>
  <c r="C402" i="46"/>
  <c r="C403" i="46"/>
  <c r="C405" i="46"/>
  <c r="C407" i="46"/>
  <c r="C409" i="46"/>
  <c r="C410" i="46"/>
  <c r="C413" i="46"/>
  <c r="C414" i="46"/>
  <c r="C415" i="46"/>
  <c r="C418" i="46"/>
  <c r="C419" i="46"/>
  <c r="C421" i="46"/>
  <c r="C423" i="46"/>
  <c r="C425" i="46"/>
  <c r="C426" i="46"/>
  <c r="C428" i="46"/>
  <c r="C429" i="46"/>
  <c r="C430" i="46"/>
  <c r="C432" i="46"/>
  <c r="C433" i="46"/>
  <c r="C434" i="46"/>
  <c r="C436" i="46"/>
  <c r="C437" i="46"/>
  <c r="C438" i="46"/>
  <c r="C440" i="46"/>
  <c r="C441" i="46"/>
  <c r="C442" i="46"/>
  <c r="C444" i="46"/>
  <c r="C445" i="46"/>
  <c r="C446" i="46"/>
  <c r="C448" i="46"/>
  <c r="C449" i="46"/>
  <c r="C450" i="46"/>
  <c r="C452" i="46"/>
  <c r="C453" i="46"/>
  <c r="C454" i="46"/>
  <c r="C456" i="46"/>
  <c r="C457" i="46"/>
  <c r="C458" i="46"/>
  <c r="C460" i="46"/>
  <c r="C461" i="46"/>
  <c r="C462" i="46"/>
  <c r="C464" i="46"/>
  <c r="C465" i="46"/>
  <c r="C466" i="46"/>
  <c r="C468" i="46"/>
  <c r="C469" i="46"/>
  <c r="C470" i="46"/>
  <c r="C472" i="46"/>
  <c r="C473" i="46"/>
  <c r="C474" i="46"/>
  <c r="C476" i="46"/>
  <c r="C477" i="46"/>
  <c r="C478" i="46"/>
  <c r="C480" i="46"/>
  <c r="C481" i="46"/>
  <c r="C482" i="46"/>
  <c r="C484" i="46"/>
  <c r="C485" i="46"/>
  <c r="C486" i="46"/>
  <c r="C488" i="46"/>
  <c r="C489" i="46"/>
  <c r="C490" i="46"/>
  <c r="C492" i="46"/>
  <c r="C493" i="46"/>
  <c r="C494" i="46"/>
  <c r="C496" i="46"/>
  <c r="C497" i="46"/>
  <c r="C498" i="46"/>
  <c r="C500" i="46"/>
  <c r="C501" i="46"/>
  <c r="C502" i="46"/>
  <c r="C504" i="46"/>
  <c r="C505" i="46"/>
  <c r="C506" i="46"/>
  <c r="C508" i="46"/>
  <c r="C509" i="46"/>
  <c r="C510" i="46"/>
  <c r="C512" i="46"/>
  <c r="C513" i="46"/>
  <c r="C514" i="46"/>
  <c r="C516" i="46"/>
  <c r="C517" i="46"/>
  <c r="C518" i="46"/>
  <c r="C520" i="46"/>
  <c r="C521" i="46"/>
  <c r="C522" i="46"/>
  <c r="C523" i="46"/>
  <c r="C524" i="46"/>
  <c r="C525" i="46"/>
  <c r="C526" i="46"/>
  <c r="C527" i="46"/>
  <c r="C528" i="46"/>
  <c r="C529" i="46"/>
  <c r="C530" i="46"/>
  <c r="C531" i="46"/>
  <c r="C532" i="46"/>
  <c r="C533" i="46"/>
  <c r="C534" i="46"/>
  <c r="C535" i="46"/>
  <c r="C536" i="46"/>
  <c r="C537" i="46"/>
  <c r="C538" i="46"/>
  <c r="C539" i="46"/>
  <c r="C540" i="46"/>
  <c r="C541" i="46"/>
  <c r="C542" i="46"/>
  <c r="C543" i="46"/>
  <c r="C544" i="46"/>
  <c r="C545" i="46"/>
  <c r="C546" i="46"/>
  <c r="C547" i="46"/>
  <c r="C548" i="46"/>
  <c r="C549" i="46"/>
  <c r="C550" i="46"/>
  <c r="C551" i="46"/>
  <c r="C552" i="46"/>
  <c r="C553" i="46"/>
  <c r="C554" i="46"/>
  <c r="C555" i="46"/>
  <c r="C556" i="46"/>
  <c r="C557" i="46"/>
  <c r="C558" i="46"/>
  <c r="C559" i="46"/>
  <c r="C560" i="46"/>
  <c r="C561" i="46"/>
  <c r="C562" i="46"/>
  <c r="C563" i="46"/>
  <c r="C564" i="46"/>
  <c r="C565" i="46"/>
  <c r="C566" i="46"/>
  <c r="C567" i="46"/>
  <c r="C568" i="46"/>
  <c r="C569" i="46"/>
  <c r="C570" i="46"/>
  <c r="C571" i="46"/>
  <c r="C572" i="46"/>
  <c r="C573" i="46"/>
  <c r="C574" i="46"/>
  <c r="C575" i="46"/>
  <c r="C576" i="46"/>
  <c r="C577" i="46"/>
  <c r="C578" i="46"/>
  <c r="C579" i="46"/>
  <c r="C580" i="46"/>
  <c r="C581" i="46"/>
  <c r="C582" i="46"/>
  <c r="C583" i="46"/>
  <c r="C584" i="46"/>
  <c r="C585" i="46"/>
  <c r="C586" i="46"/>
  <c r="C587" i="46"/>
  <c r="C588" i="46"/>
  <c r="C589" i="46"/>
  <c r="C590" i="46"/>
  <c r="C591" i="46"/>
  <c r="C592" i="46"/>
  <c r="C593" i="46"/>
  <c r="C594" i="46"/>
  <c r="C595" i="46"/>
  <c r="C596" i="46"/>
  <c r="C597" i="46"/>
  <c r="C598" i="46"/>
  <c r="C599" i="46"/>
  <c r="C600" i="46"/>
  <c r="C601" i="46"/>
  <c r="C602" i="46"/>
  <c r="C603" i="46"/>
  <c r="C604" i="46"/>
  <c r="C605" i="46"/>
  <c r="C606" i="46"/>
  <c r="C607" i="46"/>
  <c r="C608" i="46"/>
  <c r="C609" i="46"/>
  <c r="C610" i="46"/>
  <c r="C611" i="46"/>
  <c r="C612" i="46"/>
  <c r="C613" i="46"/>
  <c r="C614" i="46"/>
  <c r="C615" i="46"/>
  <c r="C616" i="46"/>
  <c r="C617" i="46"/>
  <c r="C618" i="46"/>
  <c r="C619" i="46"/>
  <c r="C620" i="46"/>
  <c r="C621" i="46"/>
  <c r="C622" i="46"/>
  <c r="C623" i="46"/>
  <c r="C624" i="46"/>
  <c r="C625" i="46"/>
  <c r="C626" i="46"/>
  <c r="C627" i="46"/>
  <c r="C628" i="46"/>
  <c r="C629" i="46"/>
  <c r="C630" i="46"/>
  <c r="C631" i="46"/>
  <c r="C632" i="46"/>
  <c r="C633" i="46"/>
  <c r="C634" i="46"/>
  <c r="C635" i="46"/>
  <c r="C636" i="46"/>
  <c r="C637" i="46"/>
  <c r="C638" i="46"/>
  <c r="C639" i="46"/>
  <c r="C640" i="46"/>
  <c r="C641" i="46"/>
  <c r="C642" i="46"/>
  <c r="C643" i="46"/>
  <c r="C644" i="46"/>
  <c r="C645" i="46"/>
  <c r="C646" i="46"/>
  <c r="C647" i="46"/>
  <c r="C648" i="46"/>
  <c r="C649" i="46"/>
  <c r="C650" i="46"/>
  <c r="C651" i="46"/>
  <c r="C652" i="46"/>
  <c r="C653" i="46"/>
  <c r="C654" i="46"/>
  <c r="C655" i="46"/>
  <c r="C656" i="46"/>
  <c r="C657" i="46"/>
  <c r="C658" i="46"/>
  <c r="C659" i="46"/>
  <c r="C660" i="46"/>
  <c r="C661" i="46"/>
  <c r="C662" i="46"/>
  <c r="C663" i="46"/>
  <c r="C664" i="46"/>
  <c r="C665" i="46"/>
  <c r="C666" i="46"/>
  <c r="C667" i="46"/>
  <c r="C668" i="46"/>
  <c r="C669" i="46"/>
  <c r="C670" i="46"/>
  <c r="C671" i="46"/>
  <c r="C672" i="46"/>
  <c r="C673" i="46"/>
  <c r="C674" i="46"/>
  <c r="C675" i="46"/>
  <c r="C676" i="46"/>
  <c r="C677" i="46"/>
  <c r="C678" i="46"/>
  <c r="C679" i="46"/>
  <c r="C680" i="46"/>
  <c r="C681" i="46"/>
  <c r="C682" i="46"/>
  <c r="C683" i="46"/>
  <c r="C684" i="46"/>
  <c r="C685" i="46"/>
  <c r="C686" i="46"/>
  <c r="C687" i="46"/>
  <c r="C688" i="46"/>
  <c r="C689" i="46"/>
  <c r="C690" i="46"/>
  <c r="C691" i="46"/>
  <c r="C692" i="46"/>
  <c r="C693" i="46"/>
  <c r="C694" i="46"/>
  <c r="C695" i="46"/>
  <c r="C696" i="46"/>
  <c r="C697" i="46"/>
  <c r="C698" i="46"/>
  <c r="C699" i="46"/>
  <c r="C700" i="46"/>
  <c r="C701" i="46"/>
  <c r="C702" i="46"/>
  <c r="C703" i="46"/>
  <c r="C704" i="46"/>
  <c r="C705" i="46"/>
  <c r="C706" i="46"/>
  <c r="C707" i="46"/>
  <c r="C708" i="46"/>
  <c r="C709" i="46"/>
  <c r="C710" i="46"/>
  <c r="C711" i="46"/>
  <c r="C712" i="46"/>
  <c r="C713" i="46"/>
  <c r="C714" i="46"/>
  <c r="C715" i="46"/>
  <c r="C716" i="46"/>
  <c r="C717" i="46"/>
  <c r="C718" i="46"/>
  <c r="C719" i="46"/>
  <c r="C720" i="46"/>
  <c r="C721" i="46"/>
  <c r="C722" i="46"/>
  <c r="C723" i="46"/>
  <c r="C724" i="46"/>
  <c r="C725" i="46"/>
  <c r="C726" i="46"/>
  <c r="C727" i="46"/>
  <c r="C728" i="46"/>
  <c r="C729" i="46"/>
  <c r="C730" i="46"/>
  <c r="C731" i="46"/>
  <c r="C732" i="46"/>
  <c r="C733" i="46"/>
  <c r="C734" i="46"/>
  <c r="C735" i="46"/>
  <c r="C736" i="46"/>
  <c r="C737" i="46"/>
  <c r="C738" i="46"/>
  <c r="C739" i="46"/>
  <c r="C740" i="46"/>
  <c r="C741" i="46"/>
  <c r="C742" i="46"/>
  <c r="C743" i="46"/>
  <c r="C744" i="46"/>
  <c r="C745" i="46"/>
  <c r="C746" i="46"/>
  <c r="C747" i="46"/>
  <c r="C748" i="46"/>
  <c r="C749" i="46"/>
  <c r="C750" i="46"/>
  <c r="C751" i="46"/>
  <c r="C752" i="46"/>
  <c r="C753" i="46"/>
  <c r="C754" i="46"/>
  <c r="C755" i="46"/>
  <c r="C756" i="46"/>
  <c r="C757" i="46"/>
  <c r="C758" i="46"/>
  <c r="C759" i="46"/>
  <c r="C760" i="46"/>
  <c r="C761" i="46"/>
  <c r="C762" i="46"/>
  <c r="C763" i="46"/>
  <c r="G37" i="32"/>
  <c r="C387" i="45" s="1"/>
  <c r="G36" i="32"/>
  <c r="C635" i="45" s="1"/>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C28" i="46" l="1"/>
  <c r="D28" i="46" s="1"/>
  <c r="C17" i="46"/>
  <c r="D17" i="46" s="1"/>
  <c r="C6" i="46"/>
  <c r="D6" i="46" s="1"/>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2" i="46"/>
  <c r="C417" i="46"/>
  <c r="C411" i="46"/>
  <c r="C406" i="46"/>
  <c r="C401" i="46"/>
  <c r="C395" i="46"/>
  <c r="C390" i="46"/>
  <c r="C385" i="46"/>
  <c r="C379" i="46"/>
  <c r="C374" i="46"/>
  <c r="C369" i="46"/>
  <c r="C363" i="46"/>
  <c r="C358" i="46"/>
  <c r="C350" i="46"/>
  <c r="C342" i="46"/>
  <c r="C332" i="46"/>
  <c r="C321" i="46"/>
  <c r="C310" i="46"/>
  <c r="C300" i="46"/>
  <c r="C289" i="46"/>
  <c r="C278" i="46"/>
  <c r="C268" i="46"/>
  <c r="C257" i="46"/>
  <c r="C246" i="46"/>
  <c r="C236" i="46"/>
  <c r="C225" i="46"/>
  <c r="C214" i="46"/>
  <c r="C204" i="46"/>
  <c r="C193" i="46"/>
  <c r="C182" i="46"/>
  <c r="C172" i="46"/>
  <c r="C161" i="46"/>
  <c r="C150" i="46"/>
  <c r="C140" i="46"/>
  <c r="C129" i="46"/>
  <c r="C118" i="46"/>
  <c r="C108" i="46"/>
  <c r="C97" i="46"/>
  <c r="C86" i="46"/>
  <c r="C76" i="46"/>
  <c r="C65" i="46"/>
  <c r="C54" i="46"/>
  <c r="D54" i="46" s="1"/>
  <c r="C44" i="46"/>
  <c r="D44" i="46" s="1"/>
  <c r="C33" i="46"/>
  <c r="D33" i="46" s="1"/>
  <c r="C22" i="46"/>
  <c r="D22" i="46" s="1"/>
  <c r="C12" i="46"/>
  <c r="D12" i="46" s="1"/>
  <c r="E10" i="46"/>
  <c r="F10" i="46" s="1"/>
  <c r="E30" i="46"/>
  <c r="F30" i="46" s="1"/>
  <c r="E110" i="46"/>
  <c r="F110" i="46" s="1"/>
  <c r="E186" i="46"/>
  <c r="E258" i="46"/>
  <c r="E322" i="46"/>
  <c r="E347" i="46"/>
  <c r="E364" i="46"/>
  <c r="E384" i="46"/>
  <c r="E396" i="46"/>
  <c r="E411" i="46"/>
  <c r="E422" i="46"/>
  <c r="E434" i="46"/>
  <c r="E448" i="46"/>
  <c r="E460" i="46"/>
  <c r="E471" i="46"/>
  <c r="E486" i="46"/>
  <c r="E498" i="46"/>
  <c r="E511" i="46"/>
  <c r="E524" i="46"/>
  <c r="E534" i="46"/>
  <c r="E544" i="46"/>
  <c r="E554" i="46"/>
  <c r="E564" i="46"/>
  <c r="E572" i="46"/>
  <c r="E582" i="46"/>
  <c r="E592" i="46"/>
  <c r="E601" i="46"/>
  <c r="E612" i="46"/>
  <c r="E620" i="46"/>
  <c r="E629" i="46"/>
  <c r="E640" i="46"/>
  <c r="E649" i="46"/>
  <c r="E656" i="46"/>
  <c r="E664" i="46"/>
  <c r="E671" i="46"/>
  <c r="E678" i="46"/>
  <c r="E686" i="46"/>
  <c r="E692" i="46"/>
  <c r="E699" i="46"/>
  <c r="E707" i="46"/>
  <c r="E46" i="46"/>
  <c r="F46" i="46" s="1"/>
  <c r="E142" i="46"/>
  <c r="F142" i="46" s="1"/>
  <c r="E226" i="46"/>
  <c r="E326" i="46"/>
  <c r="E356" i="46"/>
  <c r="E378" i="46"/>
  <c r="E400" i="46"/>
  <c r="E415" i="46"/>
  <c r="E432" i="46"/>
  <c r="E450" i="46"/>
  <c r="E468" i="46"/>
  <c r="E482" i="46"/>
  <c r="E500" i="46"/>
  <c r="E518" i="46"/>
  <c r="E533" i="46"/>
  <c r="E548" i="46"/>
  <c r="E558" i="46"/>
  <c r="E570" i="46"/>
  <c r="E585" i="46"/>
  <c r="E597" i="46"/>
  <c r="E608" i="46"/>
  <c r="E622" i="46"/>
  <c r="E634" i="46"/>
  <c r="E646" i="46"/>
  <c r="E659" i="46"/>
  <c r="E667" i="46"/>
  <c r="E676" i="46"/>
  <c r="E687" i="46"/>
  <c r="E696" i="46"/>
  <c r="E704" i="46"/>
  <c r="E714" i="46"/>
  <c r="E720" i="46"/>
  <c r="E728" i="46"/>
  <c r="E735" i="46"/>
  <c r="E741" i="46"/>
  <c r="E747" i="46"/>
  <c r="E752" i="46"/>
  <c r="E757" i="46"/>
  <c r="E763" i="46"/>
  <c r="E194" i="46"/>
  <c r="E368" i="46"/>
  <c r="E426" i="46"/>
  <c r="E458" i="46"/>
  <c r="E491" i="46"/>
  <c r="E527" i="46"/>
  <c r="E74" i="46"/>
  <c r="F74" i="46" s="1"/>
  <c r="E158" i="46"/>
  <c r="F158" i="46" s="1"/>
  <c r="E270" i="46"/>
  <c r="E334" i="46"/>
  <c r="E358" i="46"/>
  <c r="E386" i="46"/>
  <c r="E404" i="46"/>
  <c r="E420" i="46"/>
  <c r="E439" i="46"/>
  <c r="E454" i="46"/>
  <c r="E470" i="46"/>
  <c r="E490" i="46"/>
  <c r="E506" i="46"/>
  <c r="E519" i="46"/>
  <c r="E537" i="46"/>
  <c r="E549" i="46"/>
  <c r="E561" i="46"/>
  <c r="E576" i="46"/>
  <c r="E586" i="46"/>
  <c r="E598" i="46"/>
  <c r="E613" i="46"/>
  <c r="E625" i="46"/>
  <c r="E636" i="46"/>
  <c r="E650" i="46"/>
  <c r="E660" i="46"/>
  <c r="E670" i="46"/>
  <c r="E680" i="46"/>
  <c r="E688" i="46"/>
  <c r="E698" i="46"/>
  <c r="E708" i="46"/>
  <c r="E715" i="46"/>
  <c r="E723" i="46"/>
  <c r="E730" i="46"/>
  <c r="E736" i="46"/>
  <c r="E743" i="46"/>
  <c r="E748" i="46"/>
  <c r="E753" i="46"/>
  <c r="E759" i="46"/>
  <c r="E78" i="46"/>
  <c r="F78" i="46" s="1"/>
  <c r="E302" i="46"/>
  <c r="E340" i="46"/>
  <c r="E391" i="46"/>
  <c r="E406" i="46"/>
  <c r="E442" i="46"/>
  <c r="E476" i="46"/>
  <c r="E507" i="46"/>
  <c r="E761" i="46"/>
  <c r="E751" i="46"/>
  <c r="E740" i="46"/>
  <c r="E726" i="46"/>
  <c r="E712" i="46"/>
  <c r="E694" i="46"/>
  <c r="E675" i="46"/>
  <c r="E655" i="46"/>
  <c r="E633" i="46"/>
  <c r="E606" i="46"/>
  <c r="E580" i="46"/>
  <c r="E556" i="46"/>
  <c r="E528" i="46"/>
  <c r="E463" i="46"/>
  <c r="E394" i="46"/>
  <c r="E222" i="46"/>
  <c r="E760" i="46"/>
  <c r="E749" i="46"/>
  <c r="E739" i="46"/>
  <c r="E724" i="46"/>
  <c r="E710" i="46"/>
  <c r="E691" i="46"/>
  <c r="E672" i="46"/>
  <c r="E654" i="46"/>
  <c r="E628" i="46"/>
  <c r="E604" i="46"/>
  <c r="E577" i="46"/>
  <c r="E550" i="46"/>
  <c r="E514" i="46"/>
  <c r="E443" i="46"/>
  <c r="E375" i="46"/>
  <c r="E114" i="46"/>
  <c r="F114" i="46" s="1"/>
  <c r="E756" i="46"/>
  <c r="E745" i="46"/>
  <c r="E734" i="46"/>
  <c r="E719" i="46"/>
  <c r="E703" i="46"/>
  <c r="E683" i="46"/>
  <c r="E666" i="46"/>
  <c r="E644" i="46"/>
  <c r="E618" i="46"/>
  <c r="E593" i="46"/>
  <c r="E569" i="46"/>
  <c r="E542" i="46"/>
  <c r="E496" i="46"/>
  <c r="E428" i="46"/>
  <c r="E348" i="46"/>
  <c r="E755" i="46"/>
  <c r="E744" i="46"/>
  <c r="E731" i="46"/>
  <c r="E718" i="46"/>
  <c r="E702" i="46"/>
  <c r="E682" i="46"/>
  <c r="E662" i="46"/>
  <c r="E641" i="46"/>
  <c r="E614" i="46"/>
  <c r="E590" i="46"/>
  <c r="E565" i="46"/>
  <c r="E540" i="46"/>
  <c r="E479" i="46"/>
  <c r="E412" i="46"/>
  <c r="E306" i="46"/>
  <c r="E383" i="46"/>
  <c r="E372" i="46"/>
  <c r="E363" i="46"/>
  <c r="E354" i="46"/>
  <c r="E343" i="46"/>
  <c r="E333" i="46"/>
  <c r="E321" i="46"/>
  <c r="E286" i="46"/>
  <c r="E250" i="46"/>
  <c r="E218" i="46"/>
  <c r="E174" i="46"/>
  <c r="F174" i="46" s="1"/>
  <c r="E138" i="46"/>
  <c r="F138" i="46" s="1"/>
  <c r="E98" i="46"/>
  <c r="F98" i="46" s="1"/>
  <c r="E58" i="46"/>
  <c r="F58" i="46" s="1"/>
  <c r="E26" i="46"/>
  <c r="F26" i="46" s="1"/>
  <c r="E762" i="46"/>
  <c r="E758" i="46"/>
  <c r="E754" i="46"/>
  <c r="E750" i="46"/>
  <c r="E746" i="46"/>
  <c r="E742" i="46"/>
  <c r="E738" i="46"/>
  <c r="E732" i="46"/>
  <c r="E727" i="46"/>
  <c r="E722" i="46"/>
  <c r="E716" i="46"/>
  <c r="E711" i="46"/>
  <c r="E706" i="46"/>
  <c r="E700" i="46"/>
  <c r="E695" i="46"/>
  <c r="E690" i="46"/>
  <c r="E684" i="46"/>
  <c r="E679" i="46"/>
  <c r="E674" i="46"/>
  <c r="E668" i="46"/>
  <c r="E663" i="46"/>
  <c r="E658" i="46"/>
  <c r="E652" i="46"/>
  <c r="E645" i="46"/>
  <c r="E638" i="46"/>
  <c r="E630" i="46"/>
  <c r="E624" i="46"/>
  <c r="E617" i="46"/>
  <c r="E609" i="46"/>
  <c r="E602" i="46"/>
  <c r="E596" i="46"/>
  <c r="E588" i="46"/>
  <c r="E581" i="46"/>
  <c r="E574" i="46"/>
  <c r="E566" i="46"/>
  <c r="E560" i="46"/>
  <c r="E553" i="46"/>
  <c r="E545" i="46"/>
  <c r="E538" i="46"/>
  <c r="E532" i="46"/>
  <c r="E522" i="46"/>
  <c r="E512" i="46"/>
  <c r="E503" i="46"/>
  <c r="E492" i="46"/>
  <c r="E484" i="46"/>
  <c r="E475" i="46"/>
  <c r="E464" i="46"/>
  <c r="E455" i="46"/>
  <c r="E447" i="46"/>
  <c r="E436" i="46"/>
  <c r="E427" i="46"/>
  <c r="E418" i="46"/>
  <c r="E407" i="46"/>
  <c r="E399" i="46"/>
  <c r="E390" i="46"/>
  <c r="E379" i="46"/>
  <c r="E370" i="46"/>
  <c r="E362" i="46"/>
  <c r="E351" i="46"/>
  <c r="E342" i="46"/>
  <c r="E329" i="46"/>
  <c r="E313" i="46"/>
  <c r="E282" i="46"/>
  <c r="E242" i="46"/>
  <c r="E202" i="46"/>
  <c r="E162" i="46"/>
  <c r="F162" i="46" s="1"/>
  <c r="E130" i="46"/>
  <c r="F130" i="46" s="1"/>
  <c r="E90" i="46"/>
  <c r="F90" i="46" s="1"/>
  <c r="E50" i="46"/>
  <c r="F50" i="46" s="1"/>
  <c r="E14" i="46"/>
  <c r="F14" i="46" s="1"/>
  <c r="E737" i="46"/>
  <c r="E733" i="46"/>
  <c r="E729" i="46"/>
  <c r="E725" i="46"/>
  <c r="E721" i="46"/>
  <c r="E717" i="46"/>
  <c r="E713" i="46"/>
  <c r="E709" i="46"/>
  <c r="E705" i="46"/>
  <c r="E701" i="46"/>
  <c r="E697" i="46"/>
  <c r="E693" i="46"/>
  <c r="E689" i="46"/>
  <c r="E685" i="46"/>
  <c r="E681" i="46"/>
  <c r="E677" i="46"/>
  <c r="E673" i="46"/>
  <c r="E669" i="46"/>
  <c r="E665" i="46"/>
  <c r="E661" i="46"/>
  <c r="E657" i="46"/>
  <c r="E653" i="46"/>
  <c r="E648" i="46"/>
  <c r="E642" i="46"/>
  <c r="E637" i="46"/>
  <c r="E632" i="46"/>
  <c r="E626" i="46"/>
  <c r="E621" i="46"/>
  <c r="E616" i="46"/>
  <c r="E610" i="46"/>
  <c r="E605" i="46"/>
  <c r="E600" i="46"/>
  <c r="E594" i="46"/>
  <c r="E589" i="46"/>
  <c r="E584" i="46"/>
  <c r="E578" i="46"/>
  <c r="E573" i="46"/>
  <c r="E568" i="46"/>
  <c r="E562" i="46"/>
  <c r="E557" i="46"/>
  <c r="E552" i="46"/>
  <c r="E546" i="46"/>
  <c r="E541" i="46"/>
  <c r="E536" i="46"/>
  <c r="E530" i="46"/>
  <c r="E523" i="46"/>
  <c r="E516" i="46"/>
  <c r="E508" i="46"/>
  <c r="E502" i="46"/>
  <c r="E495" i="46"/>
  <c r="E487" i="46"/>
  <c r="E480" i="46"/>
  <c r="E474" i="46"/>
  <c r="E466" i="46"/>
  <c r="E459" i="46"/>
  <c r="E452" i="46"/>
  <c r="E444" i="46"/>
  <c r="E438" i="46"/>
  <c r="E431" i="46"/>
  <c r="E423" i="46"/>
  <c r="E416" i="46"/>
  <c r="E410" i="46"/>
  <c r="E402" i="46"/>
  <c r="E395" i="46"/>
  <c r="E388" i="46"/>
  <c r="E380" i="46"/>
  <c r="E374" i="46"/>
  <c r="E367" i="46"/>
  <c r="E359" i="46"/>
  <c r="E352" i="46"/>
  <c r="E346" i="46"/>
  <c r="E337" i="46"/>
  <c r="E328" i="46"/>
  <c r="E317" i="46"/>
  <c r="E290" i="46"/>
  <c r="E266" i="46"/>
  <c r="E238" i="46"/>
  <c r="E206" i="46"/>
  <c r="E178" i="46"/>
  <c r="E154" i="46"/>
  <c r="F154" i="46" s="1"/>
  <c r="E122" i="46"/>
  <c r="F122" i="46" s="1"/>
  <c r="E94" i="46"/>
  <c r="F94" i="46" s="1"/>
  <c r="E66" i="46"/>
  <c r="F66" i="46" s="1"/>
  <c r="E34" i="46"/>
  <c r="F34" i="46" s="1"/>
  <c r="E3" i="46"/>
  <c r="F3" i="46" s="1"/>
  <c r="E18" i="46"/>
  <c r="F18" i="46" s="1"/>
  <c r="E42" i="46"/>
  <c r="F42" i="46" s="1"/>
  <c r="E62" i="46"/>
  <c r="F62" i="46" s="1"/>
  <c r="E82" i="46"/>
  <c r="F82" i="46" s="1"/>
  <c r="E106" i="46"/>
  <c r="F106" i="46" s="1"/>
  <c r="E126" i="46"/>
  <c r="F126" i="46" s="1"/>
  <c r="E146" i="46"/>
  <c r="F146" i="46" s="1"/>
  <c r="E170" i="46"/>
  <c r="F170" i="46" s="1"/>
  <c r="E190" i="46"/>
  <c r="E210" i="46"/>
  <c r="E234" i="46"/>
  <c r="E254" i="46"/>
  <c r="E274" i="46"/>
  <c r="E298" i="46"/>
  <c r="E314" i="46"/>
  <c r="E324" i="46"/>
  <c r="E332" i="46"/>
  <c r="E338" i="46"/>
  <c r="E344" i="46"/>
  <c r="E350" i="46"/>
  <c r="E355" i="46"/>
  <c r="E360" i="46"/>
  <c r="E366" i="46"/>
  <c r="E371" i="46"/>
  <c r="E376" i="46"/>
  <c r="E382" i="46"/>
  <c r="E387" i="46"/>
  <c r="E392" i="46"/>
  <c r="E398" i="46"/>
  <c r="E403" i="46"/>
  <c r="E408" i="46"/>
  <c r="E414" i="46"/>
  <c r="E419" i="46"/>
  <c r="E424" i="46"/>
  <c r="E430" i="46"/>
  <c r="E435" i="46"/>
  <c r="E440" i="46"/>
  <c r="E446" i="46"/>
  <c r="E451" i="46"/>
  <c r="E456" i="46"/>
  <c r="E462" i="46"/>
  <c r="E467" i="46"/>
  <c r="E472" i="46"/>
  <c r="E478" i="46"/>
  <c r="E483" i="46"/>
  <c r="E488" i="46"/>
  <c r="E494" i="46"/>
  <c r="E499" i="46"/>
  <c r="E504" i="46"/>
  <c r="E510" i="46"/>
  <c r="E515" i="46"/>
  <c r="E520" i="46"/>
  <c r="E526" i="46"/>
  <c r="E531" i="46"/>
  <c r="E535" i="46"/>
  <c r="E539" i="46"/>
  <c r="E543" i="46"/>
  <c r="E547" i="46"/>
  <c r="E551" i="46"/>
  <c r="E555" i="46"/>
  <c r="E559" i="46"/>
  <c r="E563" i="46"/>
  <c r="E567" i="46"/>
  <c r="E571" i="46"/>
  <c r="E575" i="46"/>
  <c r="E579" i="46"/>
  <c r="E583" i="46"/>
  <c r="E587" i="46"/>
  <c r="E591" i="46"/>
  <c r="E595" i="46"/>
  <c r="E599" i="46"/>
  <c r="E603" i="46"/>
  <c r="E607" i="46"/>
  <c r="E611" i="46"/>
  <c r="E615" i="46"/>
  <c r="E619" i="46"/>
  <c r="E623" i="46"/>
  <c r="E627" i="46"/>
  <c r="E631" i="46"/>
  <c r="E635" i="46"/>
  <c r="E639" i="46"/>
  <c r="E643" i="46"/>
  <c r="E647" i="46"/>
  <c r="E651" i="46"/>
  <c r="E529"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6" i="46"/>
  <c r="E330" i="46"/>
  <c r="E325" i="46"/>
  <c r="E318" i="46"/>
  <c r="E310" i="46"/>
  <c r="E294" i="46"/>
  <c r="E278" i="46"/>
  <c r="E262" i="46"/>
  <c r="E246" i="46"/>
  <c r="E230" i="46"/>
  <c r="E214" i="46"/>
  <c r="E198" i="46"/>
  <c r="E182" i="46"/>
  <c r="E166" i="46"/>
  <c r="F166" i="46" s="1"/>
  <c r="E150" i="46"/>
  <c r="F150" i="46" s="1"/>
  <c r="E134" i="46"/>
  <c r="F134" i="46" s="1"/>
  <c r="E118" i="46"/>
  <c r="F118" i="46" s="1"/>
  <c r="E102" i="46"/>
  <c r="F102" i="46" s="1"/>
  <c r="E86" i="46"/>
  <c r="F86" i="46" s="1"/>
  <c r="E70" i="46"/>
  <c r="F70" i="46" s="1"/>
  <c r="E54" i="46"/>
  <c r="F54" i="46" s="1"/>
  <c r="E38" i="46"/>
  <c r="F38" i="46" s="1"/>
  <c r="E22" i="46"/>
  <c r="F22" i="46" s="1"/>
  <c r="E6" i="46"/>
  <c r="F6" i="46" s="1"/>
  <c r="E309" i="46"/>
  <c r="E305" i="46"/>
  <c r="E301" i="46"/>
  <c r="E297" i="46"/>
  <c r="E293" i="46"/>
  <c r="E289" i="46"/>
  <c r="E285" i="46"/>
  <c r="E281" i="46"/>
  <c r="E277" i="46"/>
  <c r="E273" i="46"/>
  <c r="E269" i="46"/>
  <c r="E265" i="46"/>
  <c r="E261" i="46"/>
  <c r="E257" i="46"/>
  <c r="E253" i="46"/>
  <c r="E249" i="46"/>
  <c r="E245" i="46"/>
  <c r="E241" i="46"/>
  <c r="E237" i="46"/>
  <c r="E233" i="46"/>
  <c r="E229" i="46"/>
  <c r="E225" i="46"/>
  <c r="E221" i="46"/>
  <c r="E217" i="46"/>
  <c r="E213" i="46"/>
  <c r="E209" i="46"/>
  <c r="E205" i="46"/>
  <c r="E201" i="46"/>
  <c r="E197" i="46"/>
  <c r="E193" i="46"/>
  <c r="E189" i="46"/>
  <c r="E185" i="46"/>
  <c r="E181" i="46"/>
  <c r="E177" i="46"/>
  <c r="F177" i="46" s="1"/>
  <c r="E173" i="46"/>
  <c r="F173" i="46" s="1"/>
  <c r="E169" i="46"/>
  <c r="F169" i="46" s="1"/>
  <c r="E165" i="46"/>
  <c r="F165" i="46" s="1"/>
  <c r="E161" i="46"/>
  <c r="F161" i="46" s="1"/>
  <c r="E157" i="46"/>
  <c r="F157" i="46" s="1"/>
  <c r="E153" i="46"/>
  <c r="F153" i="46" s="1"/>
  <c r="E149" i="46"/>
  <c r="F149" i="46" s="1"/>
  <c r="E145" i="46"/>
  <c r="F145" i="46" s="1"/>
  <c r="E141" i="46"/>
  <c r="F141" i="46" s="1"/>
  <c r="E137" i="46"/>
  <c r="F137" i="46" s="1"/>
  <c r="E133" i="46"/>
  <c r="F133" i="46" s="1"/>
  <c r="E129" i="46"/>
  <c r="F129" i="46" s="1"/>
  <c r="E125" i="46"/>
  <c r="F125" i="46" s="1"/>
  <c r="E121" i="46"/>
  <c r="F121" i="46" s="1"/>
  <c r="E117" i="46"/>
  <c r="F117" i="46" s="1"/>
  <c r="E113" i="46"/>
  <c r="F113" i="46" s="1"/>
  <c r="E109" i="46"/>
  <c r="F109" i="46" s="1"/>
  <c r="E105" i="46"/>
  <c r="F105" i="46" s="1"/>
  <c r="E101" i="46"/>
  <c r="F101" i="46" s="1"/>
  <c r="E97" i="46"/>
  <c r="F97" i="46" s="1"/>
  <c r="E93" i="46"/>
  <c r="F93" i="46" s="1"/>
  <c r="E89" i="46"/>
  <c r="F89" i="46" s="1"/>
  <c r="E85" i="46"/>
  <c r="F85" i="46" s="1"/>
  <c r="E81" i="46"/>
  <c r="F81" i="46" s="1"/>
  <c r="E77" i="46"/>
  <c r="F77" i="46" s="1"/>
  <c r="E73" i="46"/>
  <c r="F73" i="46" s="1"/>
  <c r="E69" i="46"/>
  <c r="F69" i="46" s="1"/>
  <c r="E65" i="46"/>
  <c r="F65" i="46" s="1"/>
  <c r="E61" i="46"/>
  <c r="F61" i="46" s="1"/>
  <c r="E57" i="46"/>
  <c r="F57" i="46" s="1"/>
  <c r="E53" i="46"/>
  <c r="F53" i="46" s="1"/>
  <c r="E49" i="46"/>
  <c r="F49" i="46" s="1"/>
  <c r="E45" i="46"/>
  <c r="F45" i="46" s="1"/>
  <c r="E41" i="46"/>
  <c r="F41" i="46" s="1"/>
  <c r="E37" i="46"/>
  <c r="F37" i="46" s="1"/>
  <c r="E33" i="46"/>
  <c r="F33" i="46" s="1"/>
  <c r="E29" i="46"/>
  <c r="F29" i="46" s="1"/>
  <c r="E25" i="46"/>
  <c r="F25" i="46" s="1"/>
  <c r="E21" i="46"/>
  <c r="F21" i="46" s="1"/>
  <c r="E17" i="46"/>
  <c r="F17" i="46" s="1"/>
  <c r="E13" i="46"/>
  <c r="F13" i="46" s="1"/>
  <c r="E9" i="46"/>
  <c r="F9" i="46" s="1"/>
  <c r="E5" i="46"/>
  <c r="F5" i="46" s="1"/>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E216" i="46"/>
  <c r="E212" i="46"/>
  <c r="E208" i="46"/>
  <c r="E204" i="46"/>
  <c r="E200" i="46"/>
  <c r="E196" i="46"/>
  <c r="E192" i="46"/>
  <c r="E188" i="46"/>
  <c r="E184" i="46"/>
  <c r="E180" i="46"/>
  <c r="E176" i="46"/>
  <c r="F176" i="46" s="1"/>
  <c r="E172" i="46"/>
  <c r="F172" i="46" s="1"/>
  <c r="E168" i="46"/>
  <c r="F168" i="46" s="1"/>
  <c r="E164" i="46"/>
  <c r="F164" i="46" s="1"/>
  <c r="E160" i="46"/>
  <c r="F160" i="46" s="1"/>
  <c r="E156" i="46"/>
  <c r="F156" i="46" s="1"/>
  <c r="E152" i="46"/>
  <c r="F152" i="46" s="1"/>
  <c r="E148" i="46"/>
  <c r="F148" i="46" s="1"/>
  <c r="E144" i="46"/>
  <c r="F144" i="46" s="1"/>
  <c r="E140" i="46"/>
  <c r="F140" i="46" s="1"/>
  <c r="E136" i="46"/>
  <c r="F136" i="46" s="1"/>
  <c r="E132" i="46"/>
  <c r="F132" i="46" s="1"/>
  <c r="E128" i="46"/>
  <c r="F128" i="46" s="1"/>
  <c r="E124" i="46"/>
  <c r="F124" i="46" s="1"/>
  <c r="E120" i="46"/>
  <c r="F120" i="46" s="1"/>
  <c r="E116" i="46"/>
  <c r="F116" i="46" s="1"/>
  <c r="E112" i="46"/>
  <c r="F112" i="46" s="1"/>
  <c r="E108" i="46"/>
  <c r="F108" i="46" s="1"/>
  <c r="E104" i="46"/>
  <c r="F104" i="46" s="1"/>
  <c r="E100" i="46"/>
  <c r="F100" i="46" s="1"/>
  <c r="E96" i="46"/>
  <c r="F96" i="46" s="1"/>
  <c r="E92" i="46"/>
  <c r="F92" i="46" s="1"/>
  <c r="E88" i="46"/>
  <c r="F88" i="46" s="1"/>
  <c r="E84" i="46"/>
  <c r="F84" i="46" s="1"/>
  <c r="E80" i="46"/>
  <c r="F80" i="46" s="1"/>
  <c r="E76" i="46"/>
  <c r="F76" i="46" s="1"/>
  <c r="E72" i="46"/>
  <c r="F72" i="46" s="1"/>
  <c r="E68" i="46"/>
  <c r="F68" i="46" s="1"/>
  <c r="E64" i="46"/>
  <c r="F64" i="46" s="1"/>
  <c r="E60" i="46"/>
  <c r="F60" i="46" s="1"/>
  <c r="E56" i="46"/>
  <c r="F56" i="46" s="1"/>
  <c r="E52" i="46"/>
  <c r="F52" i="46" s="1"/>
  <c r="E48" i="46"/>
  <c r="F48" i="46" s="1"/>
  <c r="E44" i="46"/>
  <c r="F44" i="46" s="1"/>
  <c r="E40" i="46"/>
  <c r="F40" i="46" s="1"/>
  <c r="E36" i="46"/>
  <c r="F36" i="46" s="1"/>
  <c r="E32" i="46"/>
  <c r="F32" i="46" s="1"/>
  <c r="E28" i="46"/>
  <c r="F28" i="46" s="1"/>
  <c r="E24" i="46"/>
  <c r="F24" i="46" s="1"/>
  <c r="E20" i="46"/>
  <c r="F20" i="46" s="1"/>
  <c r="E16" i="46"/>
  <c r="F16" i="46" s="1"/>
  <c r="E12" i="46"/>
  <c r="F12" i="46" s="1"/>
  <c r="E8" i="46"/>
  <c r="F8" i="46" s="1"/>
  <c r="E4" i="46"/>
  <c r="F4" i="46" s="1"/>
  <c r="E339"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E215" i="46"/>
  <c r="E211" i="46"/>
  <c r="E207" i="46"/>
  <c r="E203" i="46"/>
  <c r="E199" i="46"/>
  <c r="E195" i="46"/>
  <c r="E191" i="46"/>
  <c r="E187" i="46"/>
  <c r="E183" i="46"/>
  <c r="E179" i="46"/>
  <c r="E175" i="46"/>
  <c r="F175" i="46" s="1"/>
  <c r="E171" i="46"/>
  <c r="F171" i="46" s="1"/>
  <c r="E167" i="46"/>
  <c r="F167" i="46" s="1"/>
  <c r="E163" i="46"/>
  <c r="F163" i="46" s="1"/>
  <c r="E159" i="46"/>
  <c r="F159" i="46" s="1"/>
  <c r="E155" i="46"/>
  <c r="F155" i="46" s="1"/>
  <c r="E151" i="46"/>
  <c r="F151" i="46" s="1"/>
  <c r="E147" i="46"/>
  <c r="F147" i="46" s="1"/>
  <c r="E143" i="46"/>
  <c r="F143" i="46" s="1"/>
  <c r="E139" i="46"/>
  <c r="F139" i="46" s="1"/>
  <c r="E135" i="46"/>
  <c r="F135" i="46" s="1"/>
  <c r="E131" i="46"/>
  <c r="F131" i="46" s="1"/>
  <c r="E127" i="46"/>
  <c r="F127" i="46" s="1"/>
  <c r="E123" i="46"/>
  <c r="F123" i="46" s="1"/>
  <c r="E119" i="46"/>
  <c r="F119" i="46" s="1"/>
  <c r="E115" i="46"/>
  <c r="F115" i="46" s="1"/>
  <c r="E111" i="46"/>
  <c r="F111" i="46" s="1"/>
  <c r="E107" i="46"/>
  <c r="F107" i="46" s="1"/>
  <c r="E103" i="46"/>
  <c r="F103" i="46" s="1"/>
  <c r="E99" i="46"/>
  <c r="F99" i="46" s="1"/>
  <c r="E95" i="46"/>
  <c r="F95" i="46" s="1"/>
  <c r="E91" i="46"/>
  <c r="F91" i="46" s="1"/>
  <c r="E87" i="46"/>
  <c r="F87" i="46" s="1"/>
  <c r="E83" i="46"/>
  <c r="F83" i="46" s="1"/>
  <c r="E79" i="46"/>
  <c r="F79" i="46" s="1"/>
  <c r="E75" i="46"/>
  <c r="F75" i="46" s="1"/>
  <c r="E71" i="46"/>
  <c r="F71" i="46" s="1"/>
  <c r="E67" i="46"/>
  <c r="F67" i="46" s="1"/>
  <c r="E63" i="46"/>
  <c r="F63" i="46" s="1"/>
  <c r="E59" i="46"/>
  <c r="F59" i="46" s="1"/>
  <c r="E55" i="46"/>
  <c r="F55" i="46" s="1"/>
  <c r="E51" i="46"/>
  <c r="F51" i="46" s="1"/>
  <c r="E47" i="46"/>
  <c r="F47" i="46" s="1"/>
  <c r="E43" i="46"/>
  <c r="F43" i="46" s="1"/>
  <c r="E39" i="46"/>
  <c r="F39" i="46" s="1"/>
  <c r="E35" i="46"/>
  <c r="F35" i="46" s="1"/>
  <c r="E31" i="46"/>
  <c r="F31" i="46" s="1"/>
  <c r="E27" i="46"/>
  <c r="F27" i="46" s="1"/>
  <c r="E23" i="46"/>
  <c r="F23" i="46" s="1"/>
  <c r="E19" i="46"/>
  <c r="F19" i="46" s="1"/>
  <c r="E15" i="46"/>
  <c r="F15" i="46" s="1"/>
  <c r="E11" i="46"/>
  <c r="F11" i="46" s="1"/>
  <c r="E7" i="46"/>
  <c r="F7" i="46" s="1"/>
  <c r="C357" i="46"/>
  <c r="C353" i="46"/>
  <c r="C349" i="46"/>
  <c r="C345" i="46"/>
  <c r="C341" i="46"/>
  <c r="C336" i="46"/>
  <c r="C330" i="46"/>
  <c r="C325" i="46"/>
  <c r="C320" i="46"/>
  <c r="C314" i="46"/>
  <c r="C309" i="46"/>
  <c r="C304" i="46"/>
  <c r="C298" i="46"/>
  <c r="C293" i="46"/>
  <c r="C288" i="46"/>
  <c r="C282" i="46"/>
  <c r="C277" i="46"/>
  <c r="C272" i="46"/>
  <c r="C266" i="46"/>
  <c r="C261" i="46"/>
  <c r="C256" i="46"/>
  <c r="C250" i="46"/>
  <c r="C245" i="46"/>
  <c r="C240" i="46"/>
  <c r="C234" i="46"/>
  <c r="C229" i="46"/>
  <c r="C224" i="46"/>
  <c r="C218" i="46"/>
  <c r="C213" i="46"/>
  <c r="C208" i="46"/>
  <c r="C202" i="46"/>
  <c r="C197" i="46"/>
  <c r="C192" i="46"/>
  <c r="C186" i="46"/>
  <c r="C181" i="46"/>
  <c r="C176" i="46"/>
  <c r="C170" i="46"/>
  <c r="C165" i="46"/>
  <c r="C160" i="46"/>
  <c r="C154" i="46"/>
  <c r="C149" i="46"/>
  <c r="C144" i="46"/>
  <c r="C138" i="46"/>
  <c r="C133" i="46"/>
  <c r="C128" i="46"/>
  <c r="C122" i="46"/>
  <c r="C117" i="46"/>
  <c r="C112" i="46"/>
  <c r="C106" i="46"/>
  <c r="C101" i="46"/>
  <c r="C96" i="46"/>
  <c r="C90" i="46"/>
  <c r="C85" i="46"/>
  <c r="C80" i="46"/>
  <c r="C74" i="46"/>
  <c r="C69" i="46"/>
  <c r="C64" i="46"/>
  <c r="C58" i="46"/>
  <c r="D58" i="46" s="1"/>
  <c r="C53" i="46"/>
  <c r="D53" i="46" s="1"/>
  <c r="C48" i="46"/>
  <c r="D48" i="46" s="1"/>
  <c r="C42" i="46"/>
  <c r="D42" i="46" s="1"/>
  <c r="C37" i="46"/>
  <c r="D37" i="46" s="1"/>
  <c r="C32" i="46"/>
  <c r="D32" i="46" s="1"/>
  <c r="C26" i="46"/>
  <c r="D26" i="46" s="1"/>
  <c r="C21" i="46"/>
  <c r="D21" i="46" s="1"/>
  <c r="C16" i="46"/>
  <c r="D16" i="46" s="1"/>
  <c r="C10" i="46"/>
  <c r="D10" i="46" s="1"/>
  <c r="C5" i="46"/>
  <c r="D5" i="46" s="1"/>
  <c r="C424" i="46"/>
  <c r="C420" i="46"/>
  <c r="C416" i="46"/>
  <c r="C412" i="46"/>
  <c r="C408" i="46"/>
  <c r="C404" i="46"/>
  <c r="C400" i="46"/>
  <c r="C396" i="46"/>
  <c r="C392" i="46"/>
  <c r="C388" i="46"/>
  <c r="C384" i="46"/>
  <c r="C380" i="46"/>
  <c r="C376" i="46"/>
  <c r="C372" i="46"/>
  <c r="C368" i="46"/>
  <c r="C364" i="46"/>
  <c r="C360" i="46"/>
  <c r="C356" i="46"/>
  <c r="C352" i="46"/>
  <c r="C348" i="46"/>
  <c r="C344" i="46"/>
  <c r="C340" i="46"/>
  <c r="C334" i="46"/>
  <c r="C329" i="46"/>
  <c r="C324" i="46"/>
  <c r="C318" i="46"/>
  <c r="C313" i="46"/>
  <c r="C308" i="46"/>
  <c r="C302" i="46"/>
  <c r="C297" i="46"/>
  <c r="C292" i="46"/>
  <c r="C286" i="46"/>
  <c r="C281" i="46"/>
  <c r="C276" i="46"/>
  <c r="C270" i="46"/>
  <c r="C265" i="46"/>
  <c r="C260" i="46"/>
  <c r="C254" i="46"/>
  <c r="C249" i="46"/>
  <c r="C244" i="46"/>
  <c r="C238" i="46"/>
  <c r="C233" i="46"/>
  <c r="C228" i="46"/>
  <c r="C222" i="46"/>
  <c r="C217" i="46"/>
  <c r="C212" i="46"/>
  <c r="C206" i="46"/>
  <c r="C201" i="46"/>
  <c r="C196" i="46"/>
  <c r="C190" i="46"/>
  <c r="C185" i="46"/>
  <c r="C180" i="46"/>
  <c r="C174" i="46"/>
  <c r="C169" i="46"/>
  <c r="C164" i="46"/>
  <c r="C158" i="46"/>
  <c r="C153" i="46"/>
  <c r="C148" i="46"/>
  <c r="C142" i="46"/>
  <c r="C137" i="46"/>
  <c r="C132" i="46"/>
  <c r="C126" i="46"/>
  <c r="C121" i="46"/>
  <c r="C116" i="46"/>
  <c r="C110" i="46"/>
  <c r="C105" i="46"/>
  <c r="C100" i="46"/>
  <c r="C94" i="46"/>
  <c r="C89" i="46"/>
  <c r="C84" i="46"/>
  <c r="C78" i="46"/>
  <c r="C73" i="46"/>
  <c r="C68" i="46"/>
  <c r="C62" i="46"/>
  <c r="C57" i="46"/>
  <c r="D57" i="46" s="1"/>
  <c r="C52" i="46"/>
  <c r="D52" i="46" s="1"/>
  <c r="C46" i="46"/>
  <c r="D46" i="46" s="1"/>
  <c r="C41" i="46"/>
  <c r="D41" i="46" s="1"/>
  <c r="C36" i="46"/>
  <c r="D36" i="46" s="1"/>
  <c r="C30" i="46"/>
  <c r="D30" i="46" s="1"/>
  <c r="C25" i="46"/>
  <c r="D25" i="46" s="1"/>
  <c r="C20" i="46"/>
  <c r="D20" i="46" s="1"/>
  <c r="C14" i="46"/>
  <c r="D14" i="46" s="1"/>
  <c r="C9" i="46"/>
  <c r="D9" i="46" s="1"/>
  <c r="C4" i="46"/>
  <c r="D4" i="46" s="1"/>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D55" i="46" s="1"/>
  <c r="C51" i="46"/>
  <c r="D51" i="46" s="1"/>
  <c r="C47" i="46"/>
  <c r="D47" i="46" s="1"/>
  <c r="C43" i="46"/>
  <c r="D43" i="46" s="1"/>
  <c r="C39" i="46"/>
  <c r="D39" i="46" s="1"/>
  <c r="C35" i="46"/>
  <c r="D35" i="46" s="1"/>
  <c r="C31" i="46"/>
  <c r="D31" i="46" s="1"/>
  <c r="C27" i="46"/>
  <c r="D27" i="46" s="1"/>
  <c r="C23" i="46"/>
  <c r="D23" i="46" s="1"/>
  <c r="C19" i="46"/>
  <c r="D19" i="46" s="1"/>
  <c r="D1" i="46" s="1"/>
  <c r="C15" i="46"/>
  <c r="D15" i="46" s="1"/>
  <c r="C11" i="46"/>
  <c r="D11" i="46" s="1"/>
  <c r="C7" i="46"/>
  <c r="D7" i="46" s="1"/>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F1" i="46" l="1"/>
  <c r="H7" i="46" s="1"/>
  <c r="C639" i="45"/>
  <c r="E65" i="32"/>
  <c r="C626" i="45"/>
  <c r="C625" i="45"/>
  <c r="C618" i="45"/>
  <c r="C615" i="45"/>
  <c r="C604" i="45"/>
  <c r="C599" i="45"/>
  <c r="G599" i="45"/>
  <c r="J595" i="45"/>
  <c r="J594" i="45"/>
  <c r="C589" i="45"/>
  <c r="C588" i="45"/>
  <c r="C587" i="45"/>
  <c r="C582" i="45"/>
  <c r="J569" i="45"/>
  <c r="J568" i="45"/>
  <c r="C565" i="45"/>
  <c r="C563" i="45"/>
  <c r="C562" i="45"/>
  <c r="C558" i="45"/>
  <c r="C557" i="45"/>
  <c r="C551" i="45"/>
  <c r="C550" i="45"/>
  <c r="C538" i="45"/>
  <c r="H2" i="46" l="1"/>
  <c r="H4" i="46"/>
  <c r="H3" i="46"/>
  <c r="H6" i="46"/>
  <c r="H5" i="46"/>
  <c r="G755" i="45"/>
  <c r="G734" i="45"/>
  <c r="C537" i="45"/>
  <c r="J506" i="45"/>
  <c r="J505" i="45"/>
  <c r="C500" i="45"/>
  <c r="C493" i="45"/>
  <c r="G500" i="45"/>
  <c r="G493" i="45"/>
  <c r="V488" i="45"/>
  <c r="S488" i="45"/>
  <c r="P488" i="45"/>
  <c r="M488" i="45"/>
  <c r="J488" i="45"/>
  <c r="C484" i="45"/>
  <c r="C482" i="45"/>
  <c r="C486" i="45" l="1"/>
  <c r="C473" i="45"/>
  <c r="C472" i="45"/>
  <c r="C101" i="45"/>
  <c r="C459" i="45"/>
  <c r="C460" i="45" s="1"/>
  <c r="C395" i="45"/>
  <c r="C386" i="45"/>
  <c r="G386" i="45"/>
  <c r="G380" i="45"/>
  <c r="C379" i="45"/>
  <c r="G379" i="45"/>
  <c r="G362" i="45"/>
  <c r="G363" i="45"/>
  <c r="C311" i="45"/>
  <c r="C304" i="45"/>
  <c r="C287" i="45"/>
  <c r="C274" i="45"/>
  <c r="C253" i="45"/>
  <c r="C244" i="45"/>
  <c r="C246" i="45" s="1"/>
  <c r="J734" i="45" l="1"/>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C137" i="45"/>
  <c r="C135" i="45"/>
  <c r="C133" i="45"/>
  <c r="C132" i="45"/>
  <c r="C131" i="45"/>
  <c r="C114" i="45"/>
  <c r="C111" i="45" l="1"/>
  <c r="G101" i="45"/>
  <c r="J97" i="45"/>
  <c r="J96" i="45"/>
  <c r="G70" i="45"/>
  <c r="G71" i="45"/>
  <c r="C40" i="45"/>
  <c r="C47" i="45" s="1"/>
  <c r="C32" i="45"/>
  <c r="G33" i="45" s="1"/>
  <c r="C502" i="45"/>
  <c r="M249" i="45" s="1"/>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M3"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5"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0"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5" i="45"/>
  <c r="G366" i="45"/>
  <c r="G387" i="45"/>
  <c r="G391" i="45"/>
  <c r="G392" i="45"/>
  <c r="G393" i="45"/>
  <c r="G395" i="45"/>
  <c r="G396" i="45"/>
  <c r="G397" i="45"/>
  <c r="G398" i="45"/>
  <c r="G399" i="45"/>
  <c r="G400" i="45"/>
  <c r="G402" i="45"/>
  <c r="G420" i="45"/>
  <c r="G459" i="45"/>
  <c r="G460"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286" i="45" l="1"/>
  <c r="J617" i="45" s="1"/>
  <c r="C617" i="45" s="1"/>
  <c r="J258" i="45"/>
  <c r="C138" i="45"/>
  <c r="C134" i="45"/>
  <c r="G9" i="45"/>
  <c r="C9" i="45" s="1"/>
  <c r="G41" i="45"/>
  <c r="C41" i="45" s="1"/>
  <c r="G20" i="45"/>
  <c r="C20" i="45" s="1"/>
  <c r="G21" i="45"/>
  <c r="C21" i="45" s="1"/>
  <c r="J30" i="45"/>
  <c r="C19" i="45"/>
  <c r="C726" i="45"/>
  <c r="C722" i="45"/>
  <c r="C719" i="45"/>
  <c r="C622" i="45"/>
  <c r="G157" i="45"/>
  <c r="C157" i="45" s="1"/>
  <c r="S590" i="45" s="1"/>
  <c r="C583" i="45"/>
  <c r="G645" i="45" s="1"/>
  <c r="C645" i="45" s="1"/>
  <c r="G647" i="45" s="1"/>
  <c r="C647" i="45" s="1"/>
  <c r="G117" i="45"/>
  <c r="C117" i="45" s="1"/>
  <c r="J372" i="45" s="1"/>
  <c r="C548" i="45"/>
  <c r="G485" i="45"/>
  <c r="C485" i="45" s="1"/>
  <c r="C476" i="45"/>
  <c r="C398" i="45"/>
  <c r="C352" i="45"/>
  <c r="C344" i="45"/>
  <c r="C268" i="45"/>
  <c r="C261" i="45"/>
  <c r="C245" i="45"/>
  <c r="C233" i="45"/>
  <c r="C213" i="45"/>
  <c r="C205" i="45"/>
  <c r="C154" i="45"/>
  <c r="C142" i="45"/>
  <c r="J528" i="45"/>
  <c r="G155" i="45"/>
  <c r="C155" i="45" s="1"/>
  <c r="C348" i="45"/>
  <c r="C257" i="45"/>
  <c r="G256" i="45" s="1"/>
  <c r="C256" i="45" s="1"/>
  <c r="C209" i="45"/>
  <c r="C201" i="45"/>
  <c r="C122" i="45"/>
  <c r="C108" i="45"/>
  <c r="C678" i="45"/>
  <c r="G691" i="45" s="1"/>
  <c r="C691" i="45" s="1"/>
  <c r="C621" i="45"/>
  <c r="C605" i="45"/>
  <c r="G608" i="45" s="1"/>
  <c r="C608" i="45" s="1"/>
  <c r="J501" i="45"/>
  <c r="G27" i="45"/>
  <c r="G284" i="45"/>
  <c r="C397" i="45"/>
  <c r="C86" i="45"/>
  <c r="C85" i="45"/>
  <c r="C729" i="45"/>
  <c r="C706" i="45"/>
  <c r="C656" i="45"/>
  <c r="C632" i="45"/>
  <c r="G725" i="45" s="1"/>
  <c r="C725" i="45" s="1"/>
  <c r="G158" i="45"/>
  <c r="C158" i="45" s="1"/>
  <c r="C539" i="45"/>
  <c r="C262" i="45"/>
  <c r="C305" i="45"/>
  <c r="C399" i="45"/>
  <c r="C521" i="45"/>
  <c r="C545" i="45"/>
  <c r="G596" i="45"/>
  <c r="C712" i="45"/>
  <c r="C215" i="45"/>
  <c r="C210" i="45"/>
  <c r="J640" i="45"/>
  <c r="C724" i="45"/>
  <c r="C717" i="45"/>
  <c r="J756" i="45"/>
  <c r="C756" i="45" s="1"/>
  <c r="C705" i="45"/>
  <c r="J638" i="45"/>
  <c r="C627" i="45"/>
  <c r="G651" i="45" s="1"/>
  <c r="C651" i="45" s="1"/>
  <c r="C624" i="45"/>
  <c r="C616" i="45"/>
  <c r="G156" i="45"/>
  <c r="C156" i="45" s="1"/>
  <c r="C542" i="45"/>
  <c r="G528" i="45"/>
  <c r="C522" i="45"/>
  <c r="C474" i="45"/>
  <c r="C400" i="45"/>
  <c r="C396" i="45"/>
  <c r="C727" i="45"/>
  <c r="G662" i="45" s="1"/>
  <c r="C662" i="45" s="1"/>
  <c r="C723" i="45"/>
  <c r="C669" i="45"/>
  <c r="C350" i="45"/>
  <c r="C346" i="45"/>
  <c r="C310" i="45"/>
  <c r="C306" i="45"/>
  <c r="C278" i="45"/>
  <c r="G644" i="45" s="1"/>
  <c r="C644" i="45" s="1"/>
  <c r="C251" i="45"/>
  <c r="C243" i="45"/>
  <c r="C231" i="45"/>
  <c r="C211" i="45"/>
  <c r="C207" i="45"/>
  <c r="C203" i="45"/>
  <c r="C144" i="45"/>
  <c r="C120" i="45"/>
  <c r="C99" i="45"/>
  <c r="K54" i="32" s="1"/>
  <c r="C119" i="45"/>
  <c r="C202" i="45"/>
  <c r="G140" i="45"/>
  <c r="C329" i="45"/>
  <c r="K57" i="32" s="1"/>
  <c r="C345" i="45"/>
  <c r="G239" i="45"/>
  <c r="C239" i="45" s="1"/>
  <c r="G240" i="45" s="1"/>
  <c r="C240" i="45" s="1"/>
  <c r="C517" i="45"/>
  <c r="C349" i="45"/>
  <c r="C285" i="45"/>
  <c r="C269" i="45"/>
  <c r="C214" i="45"/>
  <c r="C109" i="45"/>
  <c r="C351" i="45"/>
  <c r="C347" i="45"/>
  <c r="C343" i="45"/>
  <c r="C339" i="45"/>
  <c r="J151" i="45" s="1"/>
  <c r="J174" i="45"/>
  <c r="C307" i="45"/>
  <c r="C299" i="45"/>
  <c r="C271" i="45"/>
  <c r="C267" i="45"/>
  <c r="C232" i="45"/>
  <c r="C224" i="45"/>
  <c r="C212" i="45"/>
  <c r="C208" i="45"/>
  <c r="C204" i="45"/>
  <c r="C200" i="45"/>
  <c r="C189" i="45"/>
  <c r="J88" i="45"/>
  <c r="C121" i="45"/>
  <c r="C107" i="45"/>
  <c r="C84" i="45"/>
  <c r="C34" i="45"/>
  <c r="C206" i="45"/>
  <c r="C143" i="45"/>
  <c r="I2" i="4"/>
  <c r="G68" i="45" l="1"/>
  <c r="J68" i="45"/>
  <c r="J762" i="45"/>
  <c r="K67" i="32"/>
  <c r="C528" i="45"/>
  <c r="P710" i="45"/>
  <c r="G597" i="45"/>
  <c r="K63" i="32"/>
  <c r="G175" i="45"/>
  <c r="G436" i="45"/>
  <c r="J276" i="45"/>
  <c r="M420" i="45"/>
  <c r="G53" i="45"/>
  <c r="G758" i="45"/>
  <c r="J761" i="45"/>
  <c r="J759" i="45"/>
  <c r="J742" i="45"/>
  <c r="M755" i="45"/>
  <c r="C755" i="45" s="1"/>
  <c r="J196" i="45"/>
  <c r="M750" i="45"/>
  <c r="J741" i="45"/>
  <c r="G89" i="45"/>
  <c r="G713" i="45"/>
  <c r="C713" i="45" s="1"/>
  <c r="G761" i="45" s="1"/>
  <c r="G519" i="45"/>
  <c r="C519" i="45" s="1"/>
  <c r="G462" i="45" s="1"/>
  <c r="G707" i="45"/>
  <c r="C707" i="45" s="1"/>
  <c r="M112" i="45" s="1"/>
  <c r="G689" i="45"/>
  <c r="C689" i="45" s="1"/>
  <c r="J24" i="45" s="1"/>
  <c r="G690" i="45"/>
  <c r="C690" i="45" s="1"/>
  <c r="G687" i="45"/>
  <c r="C687" i="45" s="1"/>
  <c r="M216" i="45" s="1"/>
  <c r="G688" i="45"/>
  <c r="G685" i="45"/>
  <c r="G686" i="45"/>
  <c r="G683" i="45"/>
  <c r="C683" i="45" s="1"/>
  <c r="G680" i="45" s="1"/>
  <c r="C680" i="45" s="1"/>
  <c r="G130" i="45" s="1"/>
  <c r="C130" i="45" s="1"/>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6" i="45"/>
  <c r="C646" i="45" s="1"/>
  <c r="G648" i="45"/>
  <c r="C648" i="45" s="1"/>
  <c r="G630" i="45"/>
  <c r="C630" i="45" s="1"/>
  <c r="G629" i="45"/>
  <c r="C629" i="45" s="1"/>
  <c r="G168" i="45"/>
  <c r="C168" i="45" s="1"/>
  <c r="G169" i="45" s="1"/>
  <c r="C169" i="45" s="1"/>
  <c r="G628" i="45"/>
  <c r="C628" i="45" s="1"/>
  <c r="G129" i="45" s="1"/>
  <c r="C129" i="45" s="1"/>
  <c r="M148" i="45"/>
  <c r="M620" i="45"/>
  <c r="G613" i="45"/>
  <c r="J599" i="45"/>
  <c r="J613" i="45"/>
  <c r="G606" i="45"/>
  <c r="C606" i="45" s="1"/>
  <c r="G128" i="45" s="1"/>
  <c r="C128" i="45" s="1"/>
  <c r="G607" i="45"/>
  <c r="C607" i="45" s="1"/>
  <c r="J477" i="45"/>
  <c r="J603" i="45"/>
  <c r="C603" i="45" s="1"/>
  <c r="G602" i="45" s="1"/>
  <c r="J602" i="45"/>
  <c r="J601" i="45"/>
  <c r="G585" i="45"/>
  <c r="C585" i="45" s="1"/>
  <c r="G127" i="45" s="1"/>
  <c r="C127" i="45" s="1"/>
  <c r="G586" i="45"/>
  <c r="C586" i="45" s="1"/>
  <c r="J252" i="45"/>
  <c r="G578" i="45"/>
  <c r="C578" i="45" s="1"/>
  <c r="M527" i="45"/>
  <c r="G527" i="45"/>
  <c r="G570" i="45"/>
  <c r="G196" i="45"/>
  <c r="G556" i="45"/>
  <c r="C556" i="45" s="1"/>
  <c r="G555" i="45" s="1"/>
  <c r="C555" i="45" s="1"/>
  <c r="M536" i="45"/>
  <c r="M552" i="45"/>
  <c r="G553" i="45"/>
  <c r="C553" i="45" s="1"/>
  <c r="J633" i="45" s="1"/>
  <c r="G546" i="45"/>
  <c r="C546" i="45" s="1"/>
  <c r="G547" i="45"/>
  <c r="C547" i="45" s="1"/>
  <c r="G543" i="45"/>
  <c r="C543" i="45" s="1"/>
  <c r="G544" i="45"/>
  <c r="C544" i="45" s="1"/>
  <c r="G540" i="45"/>
  <c r="C540" i="45" s="1"/>
  <c r="G541" i="45"/>
  <c r="C541" i="45" s="1"/>
  <c r="J535" i="45"/>
  <c r="G530" i="45"/>
  <c r="J533" i="45"/>
  <c r="J531" i="45"/>
  <c r="J514" i="45"/>
  <c r="G514" i="45"/>
  <c r="G448" i="45"/>
  <c r="G507" i="45"/>
  <c r="J487" i="45"/>
  <c r="G501" i="45"/>
  <c r="C501" i="45" s="1"/>
  <c r="G123" i="45"/>
  <c r="C123" i="45" s="1"/>
  <c r="J493" i="45"/>
  <c r="J497" i="45"/>
  <c r="J471" i="45"/>
  <c r="J463" i="45"/>
  <c r="C463" i="45" s="1"/>
  <c r="G464" i="45" s="1"/>
  <c r="C464" i="45" s="1"/>
  <c r="J470" i="45"/>
  <c r="J428" i="45"/>
  <c r="G435" i="45"/>
  <c r="J405" i="45"/>
  <c r="G407" i="45"/>
  <c r="G419" i="45"/>
  <c r="G328" i="45"/>
  <c r="C328" i="45" s="1"/>
  <c r="J247" i="45"/>
  <c r="G390" i="45"/>
  <c r="C390" i="45" s="1"/>
  <c r="J385" i="45"/>
  <c r="J381" i="45"/>
  <c r="C380" i="45"/>
  <c r="G378" i="45" s="1"/>
  <c r="J80" i="45"/>
  <c r="J371" i="45"/>
  <c r="J364" i="45"/>
  <c r="J363" i="45"/>
  <c r="J359" i="45"/>
  <c r="J362" i="45"/>
  <c r="C362" i="45" s="1"/>
  <c r="G159" i="45"/>
  <c r="C159" i="45" s="1"/>
  <c r="G338" i="45"/>
  <c r="C338" i="45" s="1"/>
  <c r="G331" i="45"/>
  <c r="J332" i="45"/>
  <c r="J334" i="45"/>
  <c r="J335" i="45"/>
  <c r="J323" i="45"/>
  <c r="J322" i="45"/>
  <c r="G281" i="45"/>
  <c r="C281" i="45" s="1"/>
  <c r="G759"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G167" i="45" s="1"/>
  <c r="C167"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P590"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68" i="45" l="1"/>
  <c r="K53" i="32" s="1"/>
  <c r="C761" i="45"/>
  <c r="C196" i="45"/>
  <c r="G197" i="45" s="1"/>
  <c r="C197" i="45" s="1"/>
  <c r="G533" i="45"/>
  <c r="C533" i="45" s="1"/>
  <c r="C759" i="45"/>
  <c r="C89" i="45"/>
  <c r="G93" i="45" s="1"/>
  <c r="C93" i="45" s="1"/>
  <c r="G92" i="45" s="1"/>
  <c r="C92" i="45" s="1"/>
  <c r="G612" i="45"/>
  <c r="G740" i="45"/>
  <c r="G610" i="45"/>
  <c r="G738" i="45"/>
  <c r="G513" i="45"/>
  <c r="G334" i="45"/>
  <c r="C334" i="45" s="1"/>
  <c r="G441" i="45"/>
  <c r="G413" i="45"/>
  <c r="G454" i="45"/>
  <c r="G58" i="45"/>
  <c r="G180" i="45"/>
  <c r="G80" i="45"/>
  <c r="C80" i="45" s="1"/>
  <c r="G425" i="45"/>
  <c r="G75" i="45"/>
  <c r="G105" i="45"/>
  <c r="C105" i="45" s="1"/>
  <c r="G322" i="45"/>
  <c r="C322" i="45" s="1"/>
  <c r="G576" i="45"/>
  <c r="G458" i="45"/>
  <c r="G116" i="45"/>
  <c r="M564" i="45"/>
  <c r="G270" i="45"/>
  <c r="G276" i="45"/>
  <c r="C276" i="45" s="1"/>
  <c r="G640" i="45"/>
  <c r="C640" i="45" s="1"/>
  <c r="J163" i="45"/>
  <c r="G336" i="45"/>
  <c r="G161" i="45"/>
  <c r="C161" i="45" s="1"/>
  <c r="G470" i="45"/>
  <c r="C470" i="45" s="1"/>
  <c r="G469" i="45" s="1"/>
  <c r="C469" i="45" s="1"/>
  <c r="G682" i="45"/>
  <c r="C682" i="45" s="1"/>
  <c r="G681" i="45"/>
  <c r="C681" i="45" s="1"/>
  <c r="C527" i="45"/>
  <c r="M60" i="45"/>
  <c r="G655" i="45"/>
  <c r="C655" i="45" s="1"/>
  <c r="G649" i="45"/>
  <c r="C649" i="45" s="1"/>
  <c r="G650" i="45"/>
  <c r="C650" i="45" s="1"/>
  <c r="G561" i="45"/>
  <c r="C561" i="45" s="1"/>
  <c r="G633" i="45"/>
  <c r="C633" i="45" s="1"/>
  <c r="J597" i="45"/>
  <c r="C597" i="45" s="1"/>
  <c r="K65" i="32" s="1"/>
  <c r="C602" i="45"/>
  <c r="G600" i="45"/>
  <c r="G601" i="45"/>
  <c r="C601" i="45" s="1"/>
  <c r="G584" i="45"/>
  <c r="C584" i="45" s="1"/>
  <c r="G580" i="45"/>
  <c r="C580" i="45" s="1"/>
  <c r="G579" i="45" s="1"/>
  <c r="C579" i="45" s="1"/>
  <c r="G581" i="45"/>
  <c r="C581" i="45" s="1"/>
  <c r="G574" i="45"/>
  <c r="G559" i="45"/>
  <c r="C559" i="45" s="1"/>
  <c r="G560" i="45"/>
  <c r="C560" i="45" s="1"/>
  <c r="G554" i="45"/>
  <c r="C554" i="45" s="1"/>
  <c r="G511" i="45"/>
  <c r="G531" i="45"/>
  <c r="C531" i="45" s="1"/>
  <c r="G508" i="45"/>
  <c r="C508" i="45" s="1"/>
  <c r="K62" i="32" s="1"/>
  <c r="G494" i="45"/>
  <c r="C494" i="45" s="1"/>
  <c r="J752" i="45" s="1"/>
  <c r="G466" i="45"/>
  <c r="C466" i="45" s="1"/>
  <c r="G465" i="45"/>
  <c r="C465" i="45" s="1"/>
  <c r="G439" i="45"/>
  <c r="G452" i="45"/>
  <c r="G411" i="45"/>
  <c r="G423" i="45"/>
  <c r="C407" i="45"/>
  <c r="G430" i="45" s="1"/>
  <c r="G327" i="45"/>
  <c r="C327" i="45" s="1"/>
  <c r="G383" i="45"/>
  <c r="C383" i="45" s="1"/>
  <c r="G384" i="45"/>
  <c r="C384" i="45" s="1"/>
  <c r="G385" i="45"/>
  <c r="C385" i="45" s="1"/>
  <c r="G382" i="45"/>
  <c r="G381" i="45"/>
  <c r="C381" i="45" s="1"/>
  <c r="G375" i="45"/>
  <c r="C375" i="45" s="1"/>
  <c r="G376" i="45"/>
  <c r="C376" i="45" s="1"/>
  <c r="G377" i="45"/>
  <c r="G374" i="45"/>
  <c r="G56" i="45"/>
  <c r="G332" i="45"/>
  <c r="C332" i="45" s="1"/>
  <c r="G73" i="45"/>
  <c r="M250" i="45"/>
  <c r="G283" i="45"/>
  <c r="C283" i="45" s="1"/>
  <c r="G320" i="45"/>
  <c r="J199" i="45"/>
  <c r="M30" i="45"/>
  <c r="G103" i="45"/>
  <c r="C103" i="45" s="1"/>
  <c r="G178" i="45"/>
  <c r="G282" i="45"/>
  <c r="C282" i="45" s="1"/>
  <c r="G236" i="45" s="1"/>
  <c r="C183" i="45"/>
  <c r="C98" i="45"/>
  <c r="J87" i="36"/>
  <c r="F87" i="36"/>
  <c r="AE87" i="36"/>
  <c r="AD87" i="36"/>
  <c r="AA87" i="36"/>
  <c r="Z87" i="36"/>
  <c r="W87" i="36"/>
  <c r="V87" i="36"/>
  <c r="S87" i="36"/>
  <c r="R87" i="36"/>
  <c r="O87" i="36"/>
  <c r="N87" i="36"/>
  <c r="J43" i="36"/>
  <c r="G408" i="45" l="1"/>
  <c r="J75" i="45"/>
  <c r="C75" i="45" s="1"/>
  <c r="J73" i="45"/>
  <c r="C73" i="45" s="1"/>
  <c r="J175" i="45"/>
  <c r="C175" i="45" s="1"/>
  <c r="G72" i="45"/>
  <c r="J76" i="45"/>
  <c r="G571" i="45"/>
  <c r="M67" i="45"/>
  <c r="C67" i="45" s="1"/>
  <c r="G66" i="45" s="1"/>
  <c r="C66" i="45" s="1"/>
  <c r="J571" i="45"/>
  <c r="J610" i="45"/>
  <c r="C610" i="45" s="1"/>
  <c r="G611" i="45" s="1"/>
  <c r="C611" i="45" s="1"/>
  <c r="G609" i="45"/>
  <c r="M596" i="45"/>
  <c r="C596" i="45" s="1"/>
  <c r="G595" i="45" s="1"/>
  <c r="C595" i="45" s="1"/>
  <c r="J614" i="45"/>
  <c r="J612" i="45"/>
  <c r="C612" i="45" s="1"/>
  <c r="G598" i="45" s="1"/>
  <c r="C598" i="45" s="1"/>
  <c r="J511" i="45"/>
  <c r="C511" i="45" s="1"/>
  <c r="G512" i="45" s="1"/>
  <c r="C512" i="45" s="1"/>
  <c r="J513" i="45"/>
  <c r="C513" i="45" s="1"/>
  <c r="G509" i="45" s="1"/>
  <c r="C509" i="45" s="1"/>
  <c r="G510" i="45"/>
  <c r="M507" i="45"/>
  <c r="C507" i="45" s="1"/>
  <c r="G506" i="45" s="1"/>
  <c r="C506" i="45" s="1"/>
  <c r="G198" i="45"/>
  <c r="C198" i="45" s="1"/>
  <c r="G760" i="45"/>
  <c r="C760" i="45" s="1"/>
  <c r="G249" i="45"/>
  <c r="G750" i="45"/>
  <c r="G745" i="45"/>
  <c r="G747" i="45"/>
  <c r="G748" i="45"/>
  <c r="G749" i="45"/>
  <c r="G746" i="45"/>
  <c r="M720" i="45"/>
  <c r="J731" i="45"/>
  <c r="G526" i="45"/>
  <c r="C526" i="45" s="1"/>
  <c r="G467" i="45"/>
  <c r="C467" i="45" s="1"/>
  <c r="J643" i="45"/>
  <c r="G676" i="45"/>
  <c r="C676" i="45" s="1"/>
  <c r="J751" i="45" s="1"/>
  <c r="G468" i="45"/>
  <c r="C468" i="45" s="1"/>
  <c r="J593" i="45"/>
  <c r="J637" i="45"/>
  <c r="C600" i="45"/>
  <c r="G529" i="45"/>
  <c r="C529" i="45" s="1"/>
  <c r="G536" i="45"/>
  <c r="J567" i="45"/>
  <c r="G532" i="45"/>
  <c r="C532" i="45" s="1"/>
  <c r="J504" i="45"/>
  <c r="J524" i="45"/>
  <c r="G495" i="45"/>
  <c r="C495" i="45" s="1"/>
  <c r="G499" i="45"/>
  <c r="C499" i="45" s="1"/>
  <c r="G498" i="45"/>
  <c r="C498" i="45" s="1"/>
  <c r="G497" i="45"/>
  <c r="C497" i="45" s="1"/>
  <c r="G496" i="45"/>
  <c r="G487" i="45"/>
  <c r="C487" i="45" s="1"/>
  <c r="G489" i="45"/>
  <c r="C489" i="45" s="1"/>
  <c r="J416" i="45"/>
  <c r="G162" i="45"/>
  <c r="C162" i="45" s="1"/>
  <c r="J64" i="45"/>
  <c r="G29" i="45"/>
  <c r="J432" i="45"/>
  <c r="G273" i="45"/>
  <c r="C273" i="45" s="1"/>
  <c r="J171" i="45"/>
  <c r="J81" i="45"/>
  <c r="J49" i="45"/>
  <c r="J95" i="45"/>
  <c r="G492" i="45"/>
  <c r="G488" i="45"/>
  <c r="C488" i="45" s="1"/>
  <c r="J313" i="45"/>
  <c r="G83" i="45"/>
  <c r="C83" i="45" s="1"/>
  <c r="M590" i="45" s="1"/>
  <c r="C590" i="45" s="1"/>
  <c r="J404" i="45"/>
  <c r="G124" i="45"/>
  <c r="C124" i="45" s="1"/>
  <c r="G491" i="45"/>
  <c r="G443" i="45"/>
  <c r="G150" i="45"/>
  <c r="J445" i="45"/>
  <c r="G373" i="45"/>
  <c r="J325" i="45"/>
  <c r="M113" i="45"/>
  <c r="G490" i="45"/>
  <c r="C490" i="45" s="1"/>
  <c r="J401" i="45"/>
  <c r="M336" i="45"/>
  <c r="J116" i="45"/>
  <c r="C116" i="45" s="1"/>
  <c r="G427" i="45"/>
  <c r="G429" i="45"/>
  <c r="G428" i="45"/>
  <c r="J449" i="45" s="1"/>
  <c r="G406" i="45"/>
  <c r="C406" i="45" s="1"/>
  <c r="G330" i="45"/>
  <c r="C330" i="45" s="1"/>
  <c r="G247" i="45"/>
  <c r="C247" i="45" s="1"/>
  <c r="G81" i="45"/>
  <c r="G333" i="45"/>
  <c r="C333" i="45" s="1"/>
  <c r="G318" i="45"/>
  <c r="C318" i="45" s="1"/>
  <c r="G277" i="45"/>
  <c r="C277" i="45" s="1"/>
  <c r="G104" i="45"/>
  <c r="C104" i="45" s="1"/>
  <c r="G100" i="45"/>
  <c r="C100" i="45" s="1"/>
  <c r="G97" i="45"/>
  <c r="C97" i="45" s="1"/>
  <c r="G91" i="45"/>
  <c r="C91" i="45" s="1"/>
  <c r="G90" i="45"/>
  <c r="C90"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571" i="45" l="1"/>
  <c r="K64" i="32" s="1"/>
  <c r="K55" i="32"/>
  <c r="J180" i="45"/>
  <c r="C180" i="45" s="1"/>
  <c r="G176" i="45" s="1"/>
  <c r="C176" i="45" s="1"/>
  <c r="J181" i="45"/>
  <c r="G177" i="45"/>
  <c r="J178" i="45"/>
  <c r="C178" i="45" s="1"/>
  <c r="G179" i="45" s="1"/>
  <c r="C179" i="45" s="1"/>
  <c r="M174" i="45"/>
  <c r="C174" i="45" s="1"/>
  <c r="G173" i="45" s="1"/>
  <c r="C173" i="45" s="1"/>
  <c r="M570" i="45"/>
  <c r="C570" i="45" s="1"/>
  <c r="G569" i="45" s="1"/>
  <c r="C569" i="45" s="1"/>
  <c r="J576" i="45"/>
  <c r="C576" i="45" s="1"/>
  <c r="G572" i="45" s="1"/>
  <c r="C572" i="45" s="1"/>
  <c r="G573" i="45"/>
  <c r="J747" i="45"/>
  <c r="C747" i="45" s="1"/>
  <c r="J746" i="45"/>
  <c r="C746" i="45" s="1"/>
  <c r="J749" i="45"/>
  <c r="C749" i="45" s="1"/>
  <c r="J748" i="45"/>
  <c r="C748" i="45" s="1"/>
  <c r="J374" i="45" s="1"/>
  <c r="C374" i="45" s="1"/>
  <c r="J730" i="45"/>
  <c r="J745" i="45"/>
  <c r="C745" i="45" s="1"/>
  <c r="J716" i="45"/>
  <c r="C716" i="45" s="1"/>
  <c r="G372" i="45" s="1"/>
  <c r="C372" i="45" s="1"/>
  <c r="J720" i="45"/>
  <c r="G638" i="45"/>
  <c r="C638" i="45" s="1"/>
  <c r="J758" i="45" s="1"/>
  <c r="C758" i="45" s="1"/>
  <c r="G718" i="45"/>
  <c r="J686" i="45"/>
  <c r="C686" i="45" s="1"/>
  <c r="J688" i="45"/>
  <c r="C688" i="45" s="1"/>
  <c r="J679" i="45"/>
  <c r="C679" i="45" s="1"/>
  <c r="J685" i="45"/>
  <c r="C685" i="45" s="1"/>
  <c r="J619" i="45"/>
  <c r="C619" i="45" s="1"/>
  <c r="G518" i="45"/>
  <c r="J496" i="45"/>
  <c r="C496" i="45" s="1"/>
  <c r="J444" i="45"/>
  <c r="J431" i="45"/>
  <c r="J402" i="45"/>
  <c r="C402" i="45" s="1"/>
  <c r="J382" i="45"/>
  <c r="C382" i="45" s="1"/>
  <c r="J361" i="45"/>
  <c r="J312" i="45"/>
  <c r="J302" i="45"/>
  <c r="G272" i="45"/>
  <c r="J227" i="45"/>
  <c r="J186" i="45"/>
  <c r="C186" i="45" s="1"/>
  <c r="J38" i="45"/>
  <c r="C38" i="45" s="1"/>
  <c r="G25" i="45"/>
  <c r="J43" i="45"/>
  <c r="C43" i="45" s="1"/>
  <c r="J11" i="45"/>
  <c r="C11" i="45" s="1"/>
  <c r="J503" i="45"/>
  <c r="J377" i="45"/>
  <c r="C377" i="45" s="1"/>
  <c r="J369" i="45"/>
  <c r="J354" i="45"/>
  <c r="J223" i="45"/>
  <c r="G24" i="45"/>
  <c r="C24" i="45" s="1"/>
  <c r="J671" i="45"/>
  <c r="C671" i="45" s="1"/>
  <c r="J552" i="45"/>
  <c r="J492" i="45"/>
  <c r="C492" i="45" s="1"/>
  <c r="G388" i="45"/>
  <c r="C388" i="45" s="1"/>
  <c r="J367" i="45"/>
  <c r="J324" i="45"/>
  <c r="J303" i="45"/>
  <c r="J293" i="45"/>
  <c r="J228" i="45"/>
  <c r="J191" i="45"/>
  <c r="C191" i="45" s="1"/>
  <c r="M165" i="45"/>
  <c r="J6" i="45"/>
  <c r="C6" i="45" s="1"/>
  <c r="J523" i="45"/>
  <c r="J491" i="45"/>
  <c r="C491" i="45" s="1"/>
  <c r="J150" i="45" s="1"/>
  <c r="C150" i="45" s="1"/>
  <c r="J415" i="45"/>
  <c r="J301" i="45"/>
  <c r="J187" i="45"/>
  <c r="C187" i="45" s="1"/>
  <c r="J39" i="45"/>
  <c r="C39" i="45" s="1"/>
  <c r="J667" i="45"/>
  <c r="C667" i="45" s="1"/>
  <c r="J591" i="45"/>
  <c r="J566" i="45"/>
  <c r="J403" i="45"/>
  <c r="G371" i="45"/>
  <c r="C371" i="45" s="1"/>
  <c r="J378" i="45"/>
  <c r="C378" i="45" s="1"/>
  <c r="J368" i="45"/>
  <c r="J336" i="45"/>
  <c r="C336" i="45" s="1"/>
  <c r="J298" i="45"/>
  <c r="J229" i="45"/>
  <c r="J218" i="45"/>
  <c r="J170" i="45"/>
  <c r="J94" i="45"/>
  <c r="J63" i="45"/>
  <c r="J48" i="45"/>
  <c r="J16" i="45"/>
  <c r="J7" i="45"/>
  <c r="C7" i="45" s="1"/>
  <c r="J666" i="45"/>
  <c r="C666" i="45" s="1"/>
  <c r="J592" i="45"/>
  <c r="J427" i="45"/>
  <c r="C427" i="45" s="1"/>
  <c r="G113" i="45"/>
  <c r="C113" i="45" s="1"/>
  <c r="G82" i="45"/>
  <c r="C81" i="45"/>
  <c r="G401" i="45" s="1"/>
  <c r="C401" i="45" s="1"/>
  <c r="J29" i="45"/>
  <c r="C29" i="45" s="1"/>
  <c r="M199" i="45"/>
  <c r="C199" i="45" s="1"/>
  <c r="J33" i="45"/>
  <c r="C33" i="45" s="1"/>
  <c r="G471" i="45"/>
  <c r="C471" i="45" s="1"/>
  <c r="G125" i="45"/>
  <c r="G341"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J574" i="45" l="1"/>
  <c r="C574" i="45" s="1"/>
  <c r="G575" i="45" s="1"/>
  <c r="C575" i="45" s="1"/>
  <c r="G449" i="45"/>
  <c r="C449" i="45" s="1"/>
  <c r="J454" i="45" s="1"/>
  <c r="C454" i="45" s="1"/>
  <c r="G450" i="45" s="1"/>
  <c r="C450" i="45" s="1"/>
  <c r="J577" i="45"/>
  <c r="J452" i="45"/>
  <c r="C452" i="45" s="1"/>
  <c r="G453" i="45" s="1"/>
  <c r="C453" i="45" s="1"/>
  <c r="J389" i="45"/>
  <c r="J319" i="45"/>
  <c r="J737" i="45"/>
  <c r="J72" i="45"/>
  <c r="C72" i="45" s="1"/>
  <c r="J573" i="45"/>
  <c r="C573" i="45" s="1"/>
  <c r="J102" i="45"/>
  <c r="C102" i="45" s="1"/>
  <c r="J609" i="45"/>
  <c r="C609" i="45" s="1"/>
  <c r="J331" i="45"/>
  <c r="C331" i="45" s="1"/>
  <c r="J410" i="45"/>
  <c r="J438" i="45"/>
  <c r="J510" i="45"/>
  <c r="C510" i="45" s="1"/>
  <c r="J451" i="45"/>
  <c r="J422" i="45"/>
  <c r="J530" i="45"/>
  <c r="C530" i="45" s="1"/>
  <c r="J55" i="45"/>
  <c r="J177" i="45"/>
  <c r="C177" i="45" s="1"/>
  <c r="G620" i="45"/>
  <c r="C620" i="45" s="1"/>
  <c r="M16" i="45"/>
  <c r="G148" i="45"/>
  <c r="C148" i="45" s="1"/>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K61" i="32" l="1"/>
  <c r="J515" i="45"/>
  <c r="J455" i="45"/>
  <c r="G451" i="45"/>
  <c r="C451" i="45" s="1"/>
  <c r="M448" i="45"/>
  <c r="C448" i="45" s="1"/>
  <c r="G447" i="45" s="1"/>
  <c r="C447" i="45" s="1"/>
  <c r="Q38" i="9"/>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C363" i="45" l="1"/>
  <c r="C366" i="45"/>
  <c r="C365" i="45"/>
  <c r="G389" i="45" s="1"/>
  <c r="C389" i="45" s="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C661" i="45" l="1"/>
  <c r="C692" i="45"/>
  <c r="G643" i="45"/>
  <c r="C643" i="45" s="1"/>
  <c r="G720" i="45"/>
  <c r="C720" i="45" s="1"/>
  <c r="G591" i="45"/>
  <c r="C591" i="45" s="1"/>
  <c r="G637" i="45"/>
  <c r="C637" i="45" s="1"/>
  <c r="G636" i="45"/>
  <c r="C636" i="45" s="1"/>
  <c r="C291" i="45"/>
  <c r="C289" i="45"/>
  <c r="G552" i="45" s="1"/>
  <c r="C552" i="45" s="1"/>
  <c r="C264" i="45"/>
  <c r="C145" i="45"/>
  <c r="G364" i="45"/>
  <c r="C364" i="45" s="1"/>
  <c r="P536" i="45"/>
  <c r="C536" i="45" s="1"/>
  <c r="G677" i="45" s="1"/>
  <c r="G370" i="45"/>
  <c r="C370" i="45" s="1"/>
  <c r="G367" i="45"/>
  <c r="C367" i="45" s="1"/>
  <c r="G368" i="45"/>
  <c r="C368" i="45" s="1"/>
  <c r="G461" i="45"/>
  <c r="C461" i="45" s="1"/>
  <c r="J715" i="45" s="1"/>
  <c r="G369" i="45"/>
  <c r="C369" i="45" s="1"/>
  <c r="G275" i="45"/>
  <c r="C275" i="45" s="1"/>
  <c r="G22" i="45"/>
  <c r="G340" i="45"/>
  <c r="C340" i="45" s="1"/>
  <c r="G216" i="45"/>
  <c r="C216" i="45" s="1"/>
  <c r="G165" i="45"/>
  <c r="G361" i="45"/>
  <c r="C361" i="45" s="1"/>
  <c r="G149" i="45"/>
  <c r="C149" i="45" s="1"/>
  <c r="J458" i="45" s="1"/>
  <c r="C458" i="45" s="1"/>
  <c r="G357" i="45"/>
  <c r="C357" i="45" s="1"/>
  <c r="G355" i="45"/>
  <c r="C355" i="45" s="1"/>
  <c r="J60" i="45"/>
  <c r="C60" i="45" s="1"/>
  <c r="G354" i="45"/>
  <c r="C354" i="45" s="1"/>
  <c r="G16" i="45"/>
  <c r="C16" i="45" s="1"/>
  <c r="G358" i="45"/>
  <c r="C358" i="45" s="1"/>
  <c r="G356" i="45"/>
  <c r="C356" i="45" s="1"/>
  <c r="J22" i="45" s="1"/>
  <c r="G110" i="45"/>
  <c r="C110" i="45" s="1"/>
  <c r="G118" i="45"/>
  <c r="C118" i="45" s="1"/>
  <c r="G360" i="45"/>
  <c r="C360" i="45" s="1"/>
  <c r="J341" i="45"/>
  <c r="C341" i="45" s="1"/>
  <c r="J342" i="45" s="1"/>
  <c r="G359" i="45"/>
  <c r="C359" i="45" s="1"/>
  <c r="E54" i="10"/>
  <c r="A54" i="10"/>
  <c r="I54" i="10"/>
  <c r="M54" i="10"/>
  <c r="Q54" i="10"/>
  <c r="E73" i="26"/>
  <c r="M73" i="26"/>
  <c r="Q73" i="26"/>
  <c r="A73" i="26"/>
  <c r="I73" i="26"/>
  <c r="Q73" i="21"/>
  <c r="A73" i="21"/>
  <c r="I73" i="21"/>
  <c r="M73" i="21"/>
  <c r="E73" i="21"/>
  <c r="A73" i="16"/>
  <c r="B20" i="32"/>
  <c r="C226" i="45"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G742" i="45" l="1"/>
  <c r="G631" i="45"/>
  <c r="C631" i="45" s="1"/>
  <c r="J272" i="45"/>
  <c r="C272" i="45" s="1"/>
  <c r="J115" i="45" s="1"/>
  <c r="C115" i="45" s="1"/>
  <c r="J165" i="45"/>
  <c r="G394" i="45"/>
  <c r="J443" i="45"/>
  <c r="C443" i="45" s="1"/>
  <c r="J82" i="45"/>
  <c r="C82" i="45" s="1"/>
  <c r="P165" i="45"/>
  <c r="J718" i="45"/>
  <c r="C718" i="45" s="1"/>
  <c r="C22" i="45"/>
  <c r="G87" i="36"/>
  <c r="C77" i="45"/>
  <c r="G79" i="45" s="1"/>
  <c r="C79" i="45" s="1"/>
  <c r="C337" i="45"/>
  <c r="G714" i="45" s="1"/>
  <c r="C714" i="45" s="1"/>
  <c r="G715" i="45" s="1"/>
  <c r="C715" i="45" s="1"/>
  <c r="C164" i="45"/>
  <c r="G163" i="45" s="1"/>
  <c r="C163" i="45" s="1"/>
  <c r="G342" i="45"/>
  <c r="C342" i="45" s="1"/>
  <c r="J279" i="45"/>
  <c r="C279" i="45" s="1"/>
  <c r="J125" i="45"/>
  <c r="C125" i="45" s="1"/>
  <c r="C290" i="45"/>
  <c r="G288" i="45"/>
  <c r="C288" i="45" s="1"/>
  <c r="J248" i="45" s="1"/>
  <c r="C248" i="45" s="1"/>
  <c r="J462" i="45" s="1"/>
  <c r="C462"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J373" i="45" s="1"/>
  <c r="C373" i="45" s="1"/>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G710" i="45" l="1"/>
  <c r="C710" i="45" s="1"/>
  <c r="M235" i="45"/>
  <c r="C235" i="45" s="1"/>
  <c r="J677" i="45"/>
  <c r="C677" i="45" s="1"/>
  <c r="G642" i="45"/>
  <c r="C642" i="45" s="1"/>
  <c r="G457" i="45"/>
  <c r="J394" i="45"/>
  <c r="C394" i="45" s="1"/>
  <c r="C165" i="45"/>
  <c r="G78" i="45"/>
  <c r="C78" i="45" s="1"/>
  <c r="J735" i="45"/>
  <c r="C735" i="45" s="1"/>
  <c r="K66" i="32" s="1"/>
  <c r="G295" i="45"/>
  <c r="C295" i="45" s="1"/>
  <c r="J284" i="45"/>
  <c r="C284" i="45" s="1"/>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6" i="32" s="1"/>
  <c r="E66" i="32" s="1"/>
  <c r="C743" i="45" s="1"/>
  <c r="J53" i="45" s="1"/>
  <c r="C53" i="45" s="1"/>
  <c r="K52" i="32"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08" i="45" l="1"/>
  <c r="C408" i="45" s="1"/>
  <c r="J436" i="45"/>
  <c r="C436" i="45" s="1"/>
  <c r="K60" i="32" s="1"/>
  <c r="J59" i="45"/>
  <c r="G55" i="45"/>
  <c r="C55" i="45" s="1"/>
  <c r="M52" i="45"/>
  <c r="C52" i="45" s="1"/>
  <c r="G51" i="45" s="1"/>
  <c r="C51" i="45" s="1"/>
  <c r="J56" i="45"/>
  <c r="C56" i="45" s="1"/>
  <c r="J58" i="45"/>
  <c r="C58" i="45" s="1"/>
  <c r="G317" i="45"/>
  <c r="J317" i="45"/>
  <c r="J740" i="45"/>
  <c r="C740" i="45" s="1"/>
  <c r="M734" i="45"/>
  <c r="C734" i="45" s="1"/>
  <c r="J738" i="45"/>
  <c r="C738" i="45" s="1"/>
  <c r="G739" i="45" s="1"/>
  <c r="C739" i="45" s="1"/>
  <c r="G737" i="45"/>
  <c r="C737" i="45" s="1"/>
  <c r="C483" i="45"/>
  <c r="G30" i="45" s="1"/>
  <c r="C30" i="45" s="1"/>
  <c r="J236" i="45"/>
  <c r="C236" i="45" s="1"/>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G410" i="45" l="1"/>
  <c r="C410" i="45" s="1"/>
  <c r="K58" i="32"/>
  <c r="M435" i="45"/>
  <c r="C435" i="45" s="1"/>
  <c r="G434" i="45" s="1"/>
  <c r="C434" i="45" s="1"/>
  <c r="J441" i="45"/>
  <c r="C441" i="45" s="1"/>
  <c r="G437" i="45" s="1"/>
  <c r="C437" i="45" s="1"/>
  <c r="J442" i="45"/>
  <c r="G438" i="45"/>
  <c r="C438" i="45" s="1"/>
  <c r="J439" i="45"/>
  <c r="C439" i="45" s="1"/>
  <c r="C317" i="45"/>
  <c r="G74" i="45"/>
  <c r="C74" i="45" s="1"/>
  <c r="G57" i="45"/>
  <c r="C57" i="45" s="1"/>
  <c r="G54" i="45"/>
  <c r="C54" i="45" s="1"/>
  <c r="G69" i="45"/>
  <c r="C69" i="45" s="1"/>
  <c r="G754" i="45"/>
  <c r="C754" i="45" s="1"/>
  <c r="G733" i="45"/>
  <c r="C733" i="45" s="1"/>
  <c r="G757" i="45"/>
  <c r="C757" i="45" s="1"/>
  <c r="G736" i="45"/>
  <c r="C736" i="45" s="1"/>
  <c r="M266" i="45"/>
  <c r="C266" i="45" s="1"/>
  <c r="J457" i="45"/>
  <c r="C457" i="45" s="1"/>
  <c r="G456" i="45" s="1"/>
  <c r="C456"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M316" i="45" l="1"/>
  <c r="C316" i="45" s="1"/>
  <c r="G315" i="45" s="1"/>
  <c r="C315" i="45" s="1"/>
  <c r="K56" i="32"/>
  <c r="G319" i="45"/>
  <c r="C319" i="45" s="1"/>
  <c r="J320" i="45"/>
  <c r="C320" i="45" s="1"/>
  <c r="G321" i="45" s="1"/>
  <c r="C321"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A66" i="16" l="1"/>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I12" i="14" l="1"/>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C25" i="45" s="1"/>
  <c r="J660" i="45" s="1"/>
  <c r="C660" i="45" s="1"/>
  <c r="J750" i="45"/>
  <c r="C750" i="45" s="1"/>
  <c r="J112" i="45"/>
  <c r="C112" i="45" s="1"/>
  <c r="J564" i="45"/>
  <c r="C564" i="45" s="1"/>
  <c r="H28" i="38"/>
  <c r="E28" i="38" s="1"/>
  <c r="H2" i="38"/>
  <c r="K87" i="36"/>
  <c r="K54" i="36" l="1"/>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s="1"/>
  <c r="G477" i="45" l="1"/>
  <c r="C477" i="45" s="1"/>
  <c r="G479" i="45"/>
  <c r="C479" i="45" s="1"/>
  <c r="G478" i="45"/>
  <c r="C478" i="45" s="1"/>
  <c r="G480" i="45"/>
  <c r="C480" i="45" s="1"/>
  <c r="G658" i="45"/>
  <c r="G741" i="45"/>
  <c r="J420" i="45" s="1"/>
  <c r="C420" i="45" s="1"/>
  <c r="K59" i="32" s="1"/>
  <c r="C742" i="45"/>
  <c r="G762" i="45" s="1"/>
  <c r="C762" i="45" s="1"/>
  <c r="C658" i="45" l="1"/>
  <c r="G657" i="45" s="1"/>
  <c r="C657" i="45" s="1"/>
  <c r="M419" i="45"/>
  <c r="C419" i="45" s="1"/>
  <c r="G418" i="45" s="1"/>
  <c r="C418" i="45" s="1"/>
  <c r="J423" i="45"/>
  <c r="C423" i="45" s="1"/>
  <c r="J413" i="45"/>
  <c r="C413" i="45" s="1"/>
  <c r="G409" i="45" s="1"/>
  <c r="C409" i="45" s="1"/>
  <c r="J426" i="45"/>
  <c r="J414" i="45"/>
  <c r="G422" i="45"/>
  <c r="C422" i="45" s="1"/>
  <c r="J425" i="45"/>
  <c r="C425" i="45" s="1"/>
  <c r="G421" i="45" s="1"/>
  <c r="C421" i="45" s="1"/>
  <c r="J411" i="45"/>
  <c r="C411" i="45" s="1"/>
  <c r="G412" i="45" s="1"/>
  <c r="C412" i="45" s="1"/>
  <c r="G535" i="45"/>
  <c r="C535" i="45" s="1"/>
  <c r="G524" i="45" s="1"/>
  <c r="C524" i="45" s="1"/>
  <c r="G753" i="45"/>
  <c r="C753" i="45" s="1"/>
  <c r="G752" i="45"/>
  <c r="C752" i="45" s="1"/>
  <c r="G751" i="45"/>
  <c r="C751" i="45" s="1"/>
  <c r="G614" i="45"/>
  <c r="C614" i="45" s="1"/>
  <c r="G592" i="45" s="1"/>
  <c r="C592" i="45" s="1"/>
  <c r="G455" i="45"/>
  <c r="C455" i="45" s="1"/>
  <c r="G444" i="45" s="1"/>
  <c r="C444" i="45" s="1"/>
  <c r="G426" i="45"/>
  <c r="G442" i="45"/>
  <c r="C442" i="45" s="1"/>
  <c r="G431" i="45" s="1"/>
  <c r="C431"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G594" i="45" l="1"/>
  <c r="C594" i="45" s="1"/>
  <c r="C414" i="45"/>
  <c r="C426" i="45"/>
  <c r="G415" i="45" s="1"/>
  <c r="C415" i="45" s="1"/>
  <c r="G440" i="45"/>
  <c r="C440" i="45" s="1"/>
  <c r="G424" i="45"/>
  <c r="C424" i="45" s="1"/>
  <c r="G523" i="45"/>
  <c r="C523" i="45" s="1"/>
  <c r="G593" i="45"/>
  <c r="C593" i="45" s="1"/>
  <c r="G525" i="45"/>
  <c r="C525" i="45" s="1"/>
  <c r="G446" i="45"/>
  <c r="C446" i="45" s="1"/>
  <c r="G445" i="45"/>
  <c r="C445" i="45" s="1"/>
  <c r="G417" i="45"/>
  <c r="C417" i="45" s="1"/>
  <c r="G433" i="45"/>
  <c r="C433" i="45" s="1"/>
  <c r="G432" i="45"/>
  <c r="C432" i="45" s="1"/>
  <c r="G170" i="45"/>
  <c r="C170" i="45" s="1"/>
  <c r="G172" i="45"/>
  <c r="C172" i="45" s="1"/>
  <c r="G171" i="45"/>
  <c r="C171" i="45" s="1"/>
  <c r="G94" i="45"/>
  <c r="C94" i="45" s="1"/>
  <c r="G95" i="45"/>
  <c r="C95" i="45" s="1"/>
  <c r="G96" i="45"/>
  <c r="C96" i="45" s="1"/>
  <c r="G403" i="45"/>
  <c r="C403" i="45" s="1"/>
  <c r="G405" i="45"/>
  <c r="C405" i="45" s="1"/>
  <c r="G404" i="45"/>
  <c r="C404" i="45" s="1"/>
  <c r="G63" i="45"/>
  <c r="C63" i="45" s="1"/>
  <c r="G65" i="45"/>
  <c r="C65" i="45" s="1"/>
  <c r="G64" i="45"/>
  <c r="C64" i="45" s="1"/>
  <c r="G566" i="45"/>
  <c r="C566" i="45" s="1"/>
  <c r="G567" i="45"/>
  <c r="C567" i="45" s="1"/>
  <c r="G568" i="45"/>
  <c r="C568" i="45" s="1"/>
  <c r="G324" i="45"/>
  <c r="C324" i="45" s="1"/>
  <c r="G326" i="45"/>
  <c r="C326" i="45" s="1"/>
  <c r="G325" i="45"/>
  <c r="C325" i="45" s="1"/>
  <c r="G312" i="45"/>
  <c r="C312" i="45" s="1"/>
  <c r="G314" i="45"/>
  <c r="C314" i="45" s="1"/>
  <c r="G313" i="45"/>
  <c r="C313" i="45" s="1"/>
  <c r="G505" i="45"/>
  <c r="C505" i="45" s="1"/>
  <c r="G503" i="45"/>
  <c r="C503" i="45" s="1"/>
  <c r="G504" i="45"/>
  <c r="C504" i="45" s="1"/>
  <c r="G48" i="45"/>
  <c r="C48" i="45" s="1"/>
  <c r="G50" i="45"/>
  <c r="C50" i="45" s="1"/>
  <c r="G49" i="45"/>
  <c r="C49" i="45" s="1"/>
  <c r="G416" i="45" l="1"/>
  <c r="C416" i="45" s="1"/>
</calcChain>
</file>

<file path=xl/comments1.xml><?xml version="1.0" encoding="utf-8"?>
<comments xmlns="http://schemas.openxmlformats.org/spreadsheetml/2006/main">
  <authors>
    <author>Eduardo Miranda</author>
  </authors>
  <commentList>
    <comment ref="C2" authorId="0" shapeId="0">
      <text>
        <r>
          <rPr>
            <b/>
            <sz val="9"/>
            <color indexed="81"/>
            <rFont val="Tahoma"/>
            <family val="2"/>
          </rPr>
          <t xml:space="preserve">Multiplo por el cual se valora el valor de la materia prima en base al tier,
</t>
        </r>
      </text>
    </comment>
    <comment ref="N3" authorId="0" shapeId="0">
      <text>
        <r>
          <rPr>
            <b/>
            <sz val="9"/>
            <color indexed="81"/>
            <rFont val="Tahoma"/>
            <charset val="1"/>
          </rPr>
          <t>Este valor define el multiplo de los tiers!
Valores que modifica:
- requisitos 
- stats
- valor de venta</t>
        </r>
      </text>
    </comment>
    <comment ref="C10" authorId="0" shapeId="0">
      <text>
        <r>
          <rPr>
            <b/>
            <sz val="9"/>
            <color indexed="81"/>
            <rFont val="Tahoma"/>
            <family val="2"/>
          </rPr>
          <t>Tiempo en el que se tarda en recolectar 1 stack</t>
        </r>
      </text>
    </comment>
    <comment ref="C11" authorId="0" shapeId="0">
      <text>
        <r>
          <rPr>
            <b/>
            <sz val="9"/>
            <color indexed="81"/>
            <rFont val="Tahoma"/>
            <family val="2"/>
          </rPr>
          <t>el 64 representa el Stack</t>
        </r>
      </text>
    </comment>
    <comment ref="D12" authorId="0" shapeId="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text>
        <r>
          <rPr>
            <b/>
            <sz val="9"/>
            <color indexed="81"/>
            <rFont val="Tahoma"/>
            <family val="2"/>
          </rPr>
          <t xml:space="preserve">Tomado del costo total
del set comun,
</t>
        </r>
      </text>
    </comment>
    <comment ref="D13" authorId="0" shapeId="0">
      <text>
        <r>
          <rPr>
            <b/>
            <sz val="9"/>
            <color indexed="81"/>
            <rFont val="Tahoma"/>
            <family val="2"/>
          </rPr>
          <t>COBBLESTONE</t>
        </r>
      </text>
    </comment>
    <comment ref="F13" authorId="0" shapeId="0">
      <text>
        <r>
          <rPr>
            <b/>
            <sz val="9"/>
            <color indexed="81"/>
            <rFont val="Tahoma"/>
            <family val="2"/>
          </rPr>
          <t>TRONCO OAK</t>
        </r>
      </text>
    </comment>
    <comment ref="H13" authorId="0" shapeId="0">
      <text>
        <r>
          <rPr>
            <sz val="9"/>
            <color indexed="81"/>
            <rFont val="Tahoma"/>
            <family val="2"/>
          </rPr>
          <t xml:space="preserve">POTATO
</t>
        </r>
      </text>
    </comment>
    <comment ref="J13" authorId="0" shapeId="0">
      <text>
        <r>
          <rPr>
            <b/>
            <sz val="9"/>
            <color indexed="81"/>
            <rFont val="Tahoma"/>
            <family val="2"/>
          </rPr>
          <t>CHICKEN</t>
        </r>
      </text>
    </comment>
    <comment ref="B14" authorId="0" shapeId="0">
      <text>
        <r>
          <rPr>
            <b/>
            <sz val="9"/>
            <color indexed="81"/>
            <rFont val="Tahoma"/>
            <family val="2"/>
          </rPr>
          <t>Tiempo estimado
en el que se pretende
recolectar ese dinero</t>
        </r>
      </text>
    </comment>
    <comment ref="B16" authorId="0" shapeId="0">
      <text>
        <r>
          <rPr>
            <b/>
            <sz val="9"/>
            <color indexed="81"/>
            <rFont val="Tahoma"/>
            <family val="2"/>
          </rPr>
          <t xml:space="preserve">ESTE ES EL VALOR INICIAL DE TODA LA ECONOMIA,
</t>
        </r>
      </text>
    </comment>
    <comment ref="C17" authorId="0" shapeId="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authors>
    <author>Hell</author>
  </authors>
  <commentList>
    <comment ref="A2" authorId="0" shapeId="0">
      <text>
        <r>
          <rPr>
            <b/>
            <sz val="9"/>
            <color indexed="81"/>
            <rFont val="Tahoma"/>
            <charset val="1"/>
          </rPr>
          <t>Rickter</t>
        </r>
      </text>
    </comment>
    <comment ref="C2" authorId="0" shapeId="0">
      <text>
        <r>
          <rPr>
            <b/>
            <sz val="9"/>
            <color indexed="81"/>
            <rFont val="Tahoma"/>
            <charset val="1"/>
          </rPr>
          <t>Aloys</t>
        </r>
      </text>
    </comment>
    <comment ref="E2" authorId="0" shapeId="0">
      <text>
        <r>
          <rPr>
            <b/>
            <sz val="9"/>
            <color indexed="81"/>
            <rFont val="Tahoma"/>
            <charset val="1"/>
          </rPr>
          <t>Bronson</t>
        </r>
      </text>
    </comment>
    <comment ref="G2" authorId="0" shapeId="0">
      <text>
        <r>
          <rPr>
            <b/>
            <sz val="9"/>
            <color indexed="81"/>
            <rFont val="Tahoma"/>
            <charset val="1"/>
          </rPr>
          <t>Brayton</t>
        </r>
      </text>
    </comment>
    <comment ref="I2" authorId="0" shapeId="0">
      <text>
        <r>
          <rPr>
            <b/>
            <sz val="9"/>
            <color indexed="81"/>
            <rFont val="Tahoma"/>
            <charset val="1"/>
          </rPr>
          <t>Jurian</t>
        </r>
      </text>
    </comment>
    <comment ref="K2" authorId="0" shapeId="0">
      <text>
        <r>
          <rPr>
            <b/>
            <sz val="9"/>
            <color indexed="81"/>
            <rFont val="Tahoma"/>
            <charset val="1"/>
          </rPr>
          <t>Mack</t>
        </r>
      </text>
    </comment>
    <comment ref="M2" authorId="0" shapeId="0">
      <text>
        <r>
          <rPr>
            <b/>
            <sz val="9"/>
            <color indexed="81"/>
            <rFont val="Tahoma"/>
            <charset val="1"/>
          </rPr>
          <t>Ladislao</t>
        </r>
      </text>
    </comment>
    <comment ref="O2" authorId="0" shapeId="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<sst xmlns="http://schemas.openxmlformats.org/spreadsheetml/2006/main" count="11709" uniqueCount="1412">
  <si>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</si>
  <si>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</si>
  <si>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</si>
  <si>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</si>
  <si>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</si>
  <si>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</si>
  <si>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</si>
  <si>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</si>
  <si>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</si>
  <si>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</si>
  <si>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</si>
  <si>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</si>
  <si>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</si>
  <si>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</si>
  <si>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</si>
  <si>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</si>
  <si>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</si>
  <si>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</si>
  <si>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</si>
  <si>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</si>
  <si>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</si>
  <si>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</si>
  <si>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</si>
  <si>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</si>
  <si>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</si>
  <si>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</si>
  <si>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</si>
  <si>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</si>
  <si>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</si>
  <si>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</si>
  <si>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</si>
  <si>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</si>
  <si>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</si>
  <si>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</si>
  <si>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</si>
  <si>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</si>
  <si>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</si>
  <si>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</si>
  <si>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</si>
  <si>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</si>
  <si>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</si>
  <si>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</si>
  <si>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</si>
  <si>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</si>
  <si>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</si>
  <si>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</si>
  <si>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</si>
  <si>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</si>
  <si>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</si>
  <si>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</si>
  <si>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</si>
  <si>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</si>
  <si>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</si>
  <si>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</si>
  <si>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</si>
  <si>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</si>
  <si>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</si>
  <si>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</si>
  <si>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</si>
  <si>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</si>
  <si>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</si>
  <si>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</si>
  <si>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</si>
  <si>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</si>
  <si>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</si>
  <si>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</si>
  <si>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</si>
  <si>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</si>
  <si>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</si>
  <si>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</si>
  <si>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</si>
  <si>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</si>
  <si>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</si>
  <si>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</si>
  <si>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</si>
  <si>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</si>
  <si>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</si>
  <si>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</si>
  <si>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</si>
  <si>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</si>
  <si>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</si>
  <si>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</si>
  <si>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</si>
  <si>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</si>
  <si>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</si>
  <si>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</si>
  <si>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</si>
  <si>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</si>
  <si>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</si>
  <si>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</si>
  <si>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</si>
  <si>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</si>
  <si>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</si>
  <si>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</si>
  <si>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</si>
  <si>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</si>
  <si>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</si>
  <si>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</si>
  <si>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</si>
  <si>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</si>
  <si>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</si>
  <si>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</si>
  <si>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</si>
  <si>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</si>
  <si>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</si>
  <si>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</si>
  <si>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</si>
  <si>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</si>
  <si>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</si>
  <si>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</si>
  <si>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</si>
  <si>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</si>
  <si>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</si>
  <si>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</si>
  <si>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</si>
  <si>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</si>
  <si>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</si>
  <si>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</si>
  <si>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</si>
  <si>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</si>
  <si>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</si>
  <si>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</si>
  <si>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</si>
  <si>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</si>
  <si>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</si>
  <si>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</si>
  <si>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</si>
  <si>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</si>
  <si>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</si>
  <si>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</si>
  <si>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</si>
  <si>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</si>
  <si>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</si>
  <si>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</si>
  <si>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</si>
  <si>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</si>
  <si>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</si>
  <si>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</si>
  <si>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</si>
  <si>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</si>
  <si>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</si>
  <si>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</si>
  <si>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</si>
  <si>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</si>
  <si>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</si>
  <si>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</si>
  <si>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</si>
  <si>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</si>
  <si>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</si>
  <si>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</si>
  <si>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</si>
  <si>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</si>
  <si>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</si>
  <si>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</si>
  <si>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</si>
  <si>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</si>
  <si>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</si>
  <si>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</si>
  <si>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</si>
  <si>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</si>
  <si>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</si>
  <si>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</si>
  <si>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</si>
  <si>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</si>
  <si>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</si>
  <si>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</si>
  <si>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</si>
  <si>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</si>
  <si>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</si>
  <si>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</si>
  <si>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</si>
  <si>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</si>
  <si>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</si>
  <si>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</si>
  <si>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</si>
  <si>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</si>
  <si>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</si>
  <si>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</si>
  <si>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</si>
  <si>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</si>
  <si>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</si>
  <si>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</si>
  <si>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</si>
  <si>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</si>
  <si>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</si>
  <si>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</si>
  <si>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</si>
  <si>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</si>
  <si>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</si>
  <si>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</si>
  <si>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</si>
  <si>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</si>
  <si>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</si>
  <si>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</si>
  <si>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</si>
  <si>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</si>
  <si>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</si>
  <si>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</si>
  <si>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</si>
  <si>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</si>
  <si>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</si>
  <si>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</si>
  <si>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</si>
  <si>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</si>
  <si>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</si>
  <si>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</si>
  <si>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</si>
  <si>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</si>
  <si>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</si>
  <si>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</si>
  <si>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</si>
  <si>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</si>
  <si>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</si>
  <si>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</si>
  <si>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</si>
  <si>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</si>
  <si>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</si>
  <si>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</si>
  <si>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</si>
  <si>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</si>
  <si>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</si>
  <si>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</si>
  <si>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</si>
  <si>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</si>
  <si>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</si>
  <si>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</si>
  <si>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</si>
  <si>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</si>
  <si>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</si>
  <si>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</si>
  <si>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</si>
  <si>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</si>
  <si>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</si>
  <si>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</si>
  <si>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</si>
  <si>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</si>
  <si>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</si>
  <si>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</si>
  <si>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</si>
  <si>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</si>
  <si>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</si>
  <si>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</si>
  <si>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</si>
  <si>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</si>
  <si>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</si>
  <si>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</si>
  <si>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</si>
  <si>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</si>
  <si>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</si>
  <si>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</si>
  <si>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</si>
  <si>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</si>
  <si>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</si>
  <si>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</si>
  <si>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</si>
  <si>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</si>
  <si>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</si>
  <si>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</si>
  <si>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</si>
  <si>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</si>
  <si>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</si>
  <si>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</si>
  <si>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</si>
  <si>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</si>
  <si>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</si>
  <si>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</si>
  <si>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</si>
  <si>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</si>
  <si>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</si>
  <si>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</si>
  <si>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</si>
  <si>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</si>
  <si>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</si>
  <si>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</si>
  <si>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</si>
  <si>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</si>
  <si>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</si>
  <si>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</si>
  <si>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</si>
  <si>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</si>
  <si>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</si>
  <si>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</si>
  <si>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</si>
  <si>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</si>
  <si>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</si>
  <si>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</si>
  <si>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</si>
  <si>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</si>
  <si>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</si>
  <si>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</si>
  <si>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</si>
  <si>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</si>
  <si>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</si>
  <si>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</si>
  <si>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</si>
  <si>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</si>
  <si>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</si>
  <si>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</si>
  <si>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</si>
  <si>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</si>
  <si>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</si>
  <si>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</si>
  <si>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</si>
  <si>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</si>
  <si>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</si>
  <si>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</si>
  <si>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</si>
  <si>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</si>
  <si>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</si>
  <si>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</si>
  <si>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</si>
  <si>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</si>
  <si>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</si>
  <si>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</si>
  <si>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</si>
  <si>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</si>
  <si>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</si>
  <si>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</si>
  <si>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</si>
  <si>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</si>
  <si>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</si>
  <si>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</si>
  <si>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</si>
  <si>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</si>
  <si>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</si>
  <si>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</si>
  <si>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</si>
  <si>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</si>
  <si>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</si>
  <si>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</si>
  <si>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</si>
  <si>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</si>
  <si>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</si>
  <si>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</si>
  <si>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</si>
  <si>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</si>
  <si>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</si>
  <si>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</si>
  <si>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</si>
  <si>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</si>
  <si>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</si>
  <si>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</si>
  <si>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</si>
  <si>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</si>
  <si>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</si>
  <si>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</si>
  <si>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</si>
  <si>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</si>
  <si>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</si>
  <si>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</si>
  <si>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</si>
  <si>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</si>
  <si>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</si>
  <si>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</si>
  <si>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</si>
  <si>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</si>
  <si>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</si>
  <si>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</si>
  <si>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</si>
  <si>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</si>
  <si>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</si>
  <si>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</si>
  <si>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</si>
  <si>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</si>
  <si>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</si>
  <si>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</si>
  <si>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</si>
  <si>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</si>
  <si>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</si>
  <si>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</si>
  <si>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</si>
  <si>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</si>
  <si>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</si>
  <si>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</si>
  <si>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</si>
  <si>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</si>
  <si>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</si>
  <si>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</si>
  <si>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</si>
  <si>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</si>
  <si>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</si>
  <si>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</si>
  <si>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</si>
  <si>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</si>
  <si>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</si>
  <si>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</si>
  <si>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</si>
  <si>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</si>
  <si>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</si>
  <si>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</si>
  <si>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</si>
  <si>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</si>
  <si>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</si>
  <si>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</si>
  <si>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</si>
  <si>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</si>
  <si>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</si>
  <si>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</si>
  <si>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</si>
  <si>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</si>
  <si>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</si>
  <si>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</si>
  <si>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</si>
  <si>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</si>
  <si>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</si>
  <si>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</si>
  <si>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</si>
  <si>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</si>
  <si>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</si>
  <si>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</si>
  <si>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</si>
  <si>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</si>
  <si>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</si>
  <si>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</si>
  <si>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</si>
  <si>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</si>
  <si>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</si>
  <si>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</si>
  <si>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</si>
  <si>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</si>
  <si>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</si>
  <si>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</si>
  <si>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</si>
  <si>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</si>
  <si>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</si>
  <si>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</si>
  <si>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</si>
  <si>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</si>
  <si>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</si>
  <si>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</si>
  <si>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</si>
  <si>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</si>
  <si>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</si>
  <si>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</si>
  <si>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</si>
  <si>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</si>
  <si>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</si>
  <si>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</si>
  <si>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</si>
  <si>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</si>
  <si>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</si>
  <si>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</si>
  <si>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</si>
  <si>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</si>
  <si>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</si>
  <si>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</si>
  <si>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</si>
  <si>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</si>
  <si>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</si>
  <si>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</si>
  <si>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</si>
  <si>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</si>
  <si>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</si>
  <si>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</si>
  <si>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</si>
  <si>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</si>
  <si>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</si>
  <si>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</si>
  <si>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</si>
  <si>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</si>
  <si>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</si>
  <si>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</si>
  <si>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</si>
  <si>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</si>
  <si>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</si>
  <si>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</si>
  <si>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</si>
  <si>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</si>
  <si>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</si>
  <si>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</si>
  <si>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</si>
  <si>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</si>
  <si>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</si>
  <si>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</si>
  <si>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</si>
  <si>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</si>
  <si>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</si>
  <si>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</si>
  <si>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</si>
  <si>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</si>
  <si>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</si>
  <si>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</si>
  <si>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</si>
  <si>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</si>
  <si>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</si>
  <si>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</si>
  <si>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</si>
  <si>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</si>
  <si>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</si>
  <si>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</si>
  <si>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</si>
  <si>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</si>
  <si>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</si>
  <si>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</si>
  <si>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</si>
  <si>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</si>
  <si>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</si>
  <si>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</si>
  <si>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</si>
  <si>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</si>
  <si>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</si>
  <si>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</si>
  <si>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</si>
  <si>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</si>
  <si>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</si>
  <si>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</si>
  <si>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</si>
  <si>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</si>
  <si>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</si>
  <si>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</si>
  <si>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</si>
  <si>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</si>
  <si>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</si>
  <si>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</si>
  <si>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</si>
  <si>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</si>
  <si>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</si>
  <si>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</si>
  <si>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</si>
  <si>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</si>
  <si>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</si>
  <si>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</si>
  <si>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</si>
  <si>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</si>
  <si>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</si>
  <si>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</si>
  <si>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</si>
  <si>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</si>
  <si>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</si>
  <si>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</si>
  <si>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</si>
  <si>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</si>
  <si>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</si>
  <si>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</si>
  <si>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</si>
  <si>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</si>
  <si>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</si>
  <si>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</si>
  <si>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</si>
  <si>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</si>
  <si>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</si>
  <si>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</si>
  <si>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</si>
  <si>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</si>
  <si>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</si>
  <si>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</si>
  <si>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</si>
  <si>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</si>
  <si>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</si>
  <si>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</si>
  <si>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</si>
  <si>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</si>
  <si>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</si>
  <si>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</si>
  <si>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</si>
  <si>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</si>
  <si>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</si>
  <si>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</si>
  <si>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</si>
  <si>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</si>
  <si>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</si>
  <si>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</si>
  <si>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</si>
  <si>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</si>
  <si>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</si>
  <si>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</si>
  <si>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</si>
  <si>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</si>
  <si>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</si>
  <si>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</si>
  <si>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</si>
  <si>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</si>
  <si>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</si>
  <si>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</si>
  <si>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</si>
  <si>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</si>
  <si>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</si>
  <si>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</si>
  <si>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</si>
  <si>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</si>
  <si>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</si>
  <si>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</si>
  <si>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</si>
  <si>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</si>
  <si>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</si>
  <si>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</si>
  <si>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</si>
  <si>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</si>
  <si>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</si>
  <si>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</si>
  <si>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</si>
  <si>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</si>
  <si>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</si>
  <si>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</si>
  <si>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</si>
  <si>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</si>
  <si>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</si>
  <si>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</si>
  <si>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</si>
  <si>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</si>
  <si>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</si>
  <si>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</si>
  <si>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</si>
  <si>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</si>
  <si>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</si>
  <si>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</si>
  <si>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</si>
  <si>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</si>
  <si>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</si>
  <si>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</si>
  <si>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</si>
  <si>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</si>
  <si>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</si>
  <si>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</si>
  <si>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</si>
  <si>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</si>
  <si>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</si>
  <si>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</si>
  <si>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</si>
  <si>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</si>
  <si>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</si>
  <si>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</si>
  <si>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</si>
  <si>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</si>
  <si>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</si>
  <si>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</si>
  <si>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</si>
  <si>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</si>
  <si>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</si>
  <si>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</si>
  <si>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</si>
  <si>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</si>
  <si>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</si>
  <si>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</si>
  <si>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</si>
  <si>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</si>
  <si>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</si>
  <si>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</si>
  <si>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</si>
  <si>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</si>
  <si>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</si>
  <si>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</si>
  <si>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</si>
  <si>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</si>
  <si>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</si>
  <si>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</si>
  <si>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</si>
  <si>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</si>
  <si>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</si>
  <si>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</si>
  <si>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</si>
  <si>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</si>
  <si>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</si>
  <si>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</si>
  <si>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</si>
  <si>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</si>
  <si>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</si>
  <si>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</si>
  <si>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</si>
  <si>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</si>
  <si>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</si>
  <si>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</si>
  <si>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</si>
  <si>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</si>
  <si>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</si>
  <si>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</si>
  <si>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</si>
  <si>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</si>
  <si>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</si>
  <si>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</si>
  <si>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</si>
  <si>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</si>
  <si>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</si>
  <si>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</si>
  <si>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</si>
  <si>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</si>
  <si>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</si>
  <si>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</si>
  <si>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</si>
  <si>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</si>
  <si>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</si>
  <si>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</si>
  <si>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</si>
  <si>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</si>
  <si>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</si>
  <si>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</si>
  <si>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</si>
  <si>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</si>
  <si>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</si>
  <si>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</si>
  <si>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</si>
  <si>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</si>
  <si>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</si>
  <si>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</si>
  <si>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</si>
  <si>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</si>
  <si>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</si>
  <si>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</si>
  <si>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</si>
  <si>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</si>
  <si>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</si>
  <si>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</si>
  <si>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</si>
  <si>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</si>
  <si>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</si>
  <si>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</si>
  <si>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</si>
  <si>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</si>
  <si>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</si>
  <si>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</si>
  <si>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</si>
  <si>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</si>
  <si>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</si>
  <si>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</si>
  <si>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</si>
  <si>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</si>
  <si>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</si>
  <si>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</si>
  <si>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</si>
  <si>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</si>
  <si>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</si>
  <si>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</si>
  <si>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</si>
  <si>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</si>
  <si>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</si>
  <si>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</si>
  <si>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</si>
  <si>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</si>
  <si>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</si>
  <si>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</si>
  <si>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</si>
  <si>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</si>
  <si>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</si>
  <si>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</si>
  <si>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</si>
  <si>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</si>
  <si>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</si>
  <si>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</si>
  <si>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</si>
  <si>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</si>
  <si>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</si>
  <si>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</si>
  <si>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</si>
  <si>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</si>
  <si>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</si>
  <si>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</si>
  <si>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</si>
  <si>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</si>
  <si>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</si>
  <si>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</si>
  <si>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</si>
  <si>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</si>
  <si>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</si>
  <si>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</si>
  <si>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</si>
  <si>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</si>
  <si>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</si>
  <si>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</si>
  <si>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</si>
  <si>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</si>
  <si>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</si>
  <si>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</si>
  <si>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</si>
  <si>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</si>
  <si>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</si>
  <si>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</si>
  <si>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</si>
  <si>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</si>
  <si>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</si>
  <si>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</si>
  <si>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</si>
  <si>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</si>
  <si>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</si>
  <si>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</si>
  <si>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</si>
  <si>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</si>
  <si>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</si>
  <si>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</si>
  <si>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</si>
  <si>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</si>
  <si>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</si>
  <si>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</si>
  <si>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</si>
  <si>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</si>
  <si>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</si>
  <si>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</si>
  <si>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</si>
  <si>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</si>
  <si>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</si>
  <si>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</si>
  <si>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</si>
  <si>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</si>
  <si>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</si>
  <si>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</si>
  <si>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</si>
  <si>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</si>
  <si>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</si>
  <si>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</si>
  <si>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</si>
  <si>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</si>
  <si>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</si>
  <si>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</si>
  <si>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</si>
  <si>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</si>
  <si>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</si>
  <si>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</si>
  <si>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</si>
  <si>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</si>
  <si>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</si>
  <si>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</si>
  <si>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</si>
  <si>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</si>
  <si>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</si>
  <si>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</si>
  <si>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</si>
  <si>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</si>
  <si>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</si>
  <si>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</si>
  <si>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</si>
  <si>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</si>
  <si>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</si>
  <si>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</si>
  <si>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</si>
  <si>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</si>
  <si>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</si>
  <si>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</si>
  <si>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</si>
  <si>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</si>
  <si>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</si>
  <si>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</si>
  <si>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</si>
  <si>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</si>
  <si>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</si>
  <si>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</si>
  <si>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</si>
  <si>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</si>
  <si>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</si>
  <si>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</si>
  <si>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</si>
  <si>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</si>
  <si>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</si>
  <si>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</si>
  <si>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</si>
  <si>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</si>
  <si>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</si>
  <si>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</si>
  <si>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</si>
  <si>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</si>
  <si>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</si>
  <si>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</si>
  <si>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</si>
  <si>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</si>
  <si>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</si>
  <si>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</si>
  <si>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</si>
  <si>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</si>
  <si>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</si>
  <si>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</si>
  <si>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</si>
  <si>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</si>
  <si>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</si>
  <si>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</si>
  <si>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</si>
  <si>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</si>
  <si>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</si>
  <si>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</si>
  <si>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</si>
  <si>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</si>
  <si>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</si>
  <si>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</si>
  <si>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</si>
  <si>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</si>
  <si>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</si>
  <si>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</si>
  <si>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</si>
  <si>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</si>
  <si>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</si>
  <si>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</si>
  <si>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</si>
  <si>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</si>
  <si>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</si>
  <si>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</si>
  <si>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</si>
  <si>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</si>
  <si>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</si>
  <si>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</si>
  <si>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</si>
  <si>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</si>
  <si>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</si>
  <si>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</si>
  <si>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</si>
  <si>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</si>
  <si>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</si>
  <si>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</si>
  <si>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</si>
  <si>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</si>
  <si>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</si>
  <si>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</si>
  <si>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</si>
  <si>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</si>
  <si>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</si>
  <si>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</si>
  <si>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</si>
  <si>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</si>
  <si>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</si>
  <si>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</si>
  <si>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</si>
  <si>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</si>
  <si>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</si>
  <si>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</si>
  <si>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</si>
  <si>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</si>
  <si>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</si>
  <si>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</si>
  <si>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</si>
  <si>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</si>
  <si>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</si>
  <si>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</si>
  <si>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</si>
  <si>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</si>
  <si>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</si>
  <si>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</si>
  <si>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</si>
  <si>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</si>
  <si>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</si>
  <si>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</si>
  <si>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</si>
  <si>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</si>
  <si>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</si>
  <si>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</si>
  <si>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</si>
  <si>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</si>
  <si>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</si>
  <si>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</si>
  <si>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</si>
  <si>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</si>
  <si>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</si>
  <si>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</si>
  <si>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</si>
  <si>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</si>
  <si>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</si>
  <si>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</si>
  <si>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</si>
  <si>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</si>
  <si>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</si>
  <si>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</si>
  <si>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</si>
  <si>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</si>
  <si>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</si>
  <si>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</si>
  <si>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</si>
  <si>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</si>
  <si>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</si>
  <si>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</si>
  <si>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</si>
  <si>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</si>
  <si>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</si>
  <si>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</si>
  <si>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</si>
  <si>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</si>
  <si>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</si>
  <si>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</si>
  <si>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</si>
  <si>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</si>
  <si>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</si>
  <si>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</si>
  <si>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</si>
  <si>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</si>
  <si>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</si>
  <si>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</si>
  <si>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</si>
  <si>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</si>
  <si>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</si>
  <si>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</si>
  <si>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</si>
  <si>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</si>
  <si>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</si>
  <si>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</si>
  <si>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</si>
  <si>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</si>
  <si>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</si>
  <si>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</si>
  <si>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</si>
  <si>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</si>
  <si>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</si>
  <si>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</si>
  <si>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</si>
  <si>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</si>
  <si>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</si>
  <si>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</si>
  <si>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</si>
  <si>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</si>
  <si>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</si>
  <si>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</si>
  <si>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</si>
  <si>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</si>
  <si>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</si>
  <si>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</si>
  <si>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</si>
  <si>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</si>
  <si>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</si>
  <si>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</si>
  <si>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</si>
  <si>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</si>
  <si>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</si>
  <si>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</si>
  <si>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</si>
  <si>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</si>
  <si>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</si>
  <si>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</si>
  <si>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</si>
  <si>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</si>
  <si>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</si>
  <si>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</si>
  <si>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</si>
  <si>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</si>
  <si>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</si>
  <si>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</si>
  <si>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</si>
  <si>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</si>
  <si>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</si>
  <si>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</si>
  <si>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</si>
  <si>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</si>
  <si>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</si>
  <si>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</si>
  <si>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</si>
  <si>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</si>
  <si>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</si>
  <si>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</si>
  <si>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</si>
  <si>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</si>
  <si>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</si>
  <si>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</si>
  <si>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</si>
  <si>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</si>
  <si>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</si>
  <si>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</si>
  <si>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</si>
  <si>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</si>
  <si>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</si>
  <si>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</si>
  <si>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</si>
  <si>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</si>
  <si>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</si>
  <si>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</si>
  <si>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</si>
  <si>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</si>
  <si>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</si>
  <si>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</si>
  <si>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</si>
  <si>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</si>
  <si>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</si>
  <si>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</si>
  <si>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</si>
  <si>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</si>
  <si>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</si>
  <si>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</si>
  <si>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</si>
  <si>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</si>
  <si>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</si>
  <si>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</si>
  <si>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</si>
  <si>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</si>
  <si>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</si>
  <si>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</si>
  <si>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</si>
  <si>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</si>
  <si>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</si>
  <si>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</si>
  <si>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</si>
  <si>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</si>
  <si>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</si>
  <si>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</si>
  <si>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</si>
  <si>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</si>
  <si>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</si>
  <si>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</si>
  <si>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</si>
  <si>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</si>
  <si>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</si>
  <si>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</si>
  <si>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</si>
  <si>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</si>
  <si>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</si>
  <si>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</si>
  <si>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</si>
  <si>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</si>
  <si>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</si>
  <si>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</si>
  <si>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</si>
  <si>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</si>
  <si>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</si>
  <si>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</si>
  <si>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</si>
  <si>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</si>
  <si>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</si>
  <si>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</si>
  <si>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</si>
  <si>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</si>
  <si>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</si>
  <si>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</si>
  <si>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</si>
  <si>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</si>
  <si>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</si>
  <si>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</si>
  <si>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</si>
  <si>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</si>
  <si>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</si>
  <si>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</si>
  <si>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</si>
  <si>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</si>
  <si>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</si>
  <si>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</si>
  <si>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</si>
  <si>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</si>
  <si>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</si>
  <si>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</si>
  <si>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</si>
  <si>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</si>
  <si>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</si>
  <si>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</si>
  <si>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</si>
  <si>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</si>
  <si>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</si>
  <si>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</si>
  <si>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</si>
  <si>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</si>
  <si>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</si>
  <si>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</si>
  <si>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</si>
  <si>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</si>
  <si>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</si>
  <si>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</si>
  <si>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</si>
  <si>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</si>
  <si>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</si>
  <si>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</si>
  <si>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</si>
  <si>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</si>
  <si>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</si>
  <si>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</si>
  <si>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</si>
  <si>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</si>
  <si>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</si>
  <si>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</si>
  <si>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</si>
  <si>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</si>
  <si>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</si>
  <si>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</si>
  <si>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</si>
  <si>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</si>
  <si>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</si>
  <si>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</si>
  <si>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</si>
  <si>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</si>
  <si>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</si>
  <si>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</si>
  <si>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</si>
  <si>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</si>
  <si>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</si>
  <si>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</si>
  <si>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</si>
  <si>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</si>
  <si>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</si>
  <si>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</si>
  <si>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</si>
  <si>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</si>
  <si>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</si>
  <si>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</si>
  <si>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</si>
  <si>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</si>
  <si>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</si>
  <si>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</si>
  <si>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</si>
  <si>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</si>
  <si>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</si>
  <si>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</si>
  <si>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</si>
  <si>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</si>
  <si>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</si>
  <si>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</si>
  <si>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</si>
  <si>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</si>
  <si>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</si>
  <si>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</si>
  <si>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</si>
  <si>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</si>
  <si>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</si>
  <si>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</si>
  <si>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</si>
  <si>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</si>
  <si>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</si>
  <si>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</si>
  <si>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</si>
  <si>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</si>
  <si>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</si>
  <si>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</si>
  <si>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</si>
  <si>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</si>
  <si>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</si>
  <si>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</si>
  <si>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</si>
  <si>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</si>
  <si>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</si>
  <si>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</si>
  <si>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</si>
  <si>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</si>
  <si>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</si>
  <si>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</si>
  <si>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</si>
  <si>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</si>
  <si>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</si>
  <si>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</si>
  <si>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</si>
  <si>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</si>
  <si>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</si>
  <si>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</si>
  <si>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</si>
  <si>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</si>
  <si>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</si>
  <si>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</si>
  <si>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</si>
  <si>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</si>
  <si>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</si>
  <si>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</si>
  <si>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</si>
  <si>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</si>
  <si>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</si>
  <si>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</si>
  <si>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</si>
  <si>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</si>
  <si>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</si>
  <si>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</si>
  <si>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</si>
  <si>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</si>
  <si>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</si>
  <si>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</si>
  <si>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</si>
  <si>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</si>
  <si>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</si>
  <si>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</si>
  <si>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</si>
  <si>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</si>
  <si>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</si>
  <si>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</si>
  <si>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</si>
  <si>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</si>
  <si>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</si>
  <si>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</si>
  <si>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</si>
  <si>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</si>
  <si>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</si>
  <si>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</si>
  <si>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</si>
  <si>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</si>
  <si>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</si>
  <si>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</si>
  <si>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</si>
  <si>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</si>
  <si>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</si>
  <si>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</si>
  <si>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</si>
  <si>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</si>
  <si>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</si>
  <si>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</si>
  <si>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</si>
  <si>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</si>
  <si>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</si>
  <si>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</si>
  <si>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</si>
  <si>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</si>
  <si>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</si>
  <si>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</si>
  <si>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</si>
  <si>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</si>
  <si>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</si>
  <si>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</si>
  <si>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</si>
  <si>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</si>
  <si>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</si>
  <si>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</si>
  <si>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</si>
  <si>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</si>
  <si>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</si>
  <si>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</si>
  <si>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</si>
  <si>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</si>
  <si>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</si>
  <si>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</si>
  <si>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</si>
  <si>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</si>
  <si>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</si>
  <si>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</si>
  <si>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</si>
  <si>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</si>
  <si>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</si>
  <si>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</si>
  <si>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</si>
  <si>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</si>
  <si>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</si>
  <si>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</si>
  <si>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</si>
  <si>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</si>
  <si>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</si>
  <si>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</si>
  <si>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</si>
  <si>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</si>
  <si>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</si>
  <si>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</si>
  <si>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</si>
  <si>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</si>
  <si>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</si>
  <si>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</si>
  <si>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</si>
  <si>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</si>
  <si>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</si>
  <si>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</si>
  <si>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</si>
  <si>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</si>
  <si>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</si>
  <si>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</si>
  <si>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</si>
  <si>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</si>
  <si>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</si>
  <si>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</si>
  <si>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</si>
  <si>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</si>
  <si>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</si>
  <si>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</si>
  <si>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</si>
  <si>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</si>
  <si>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</si>
  <si>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</si>
  <si>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</si>
  <si>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</si>
  <si>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</si>
  <si>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</si>
  <si>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</si>
  <si>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</si>
  <si>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</si>
  <si>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</si>
  <si>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</si>
  <si>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</si>
  <si>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</si>
  <si>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</si>
  <si>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</si>
  <si>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</si>
  <si>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</si>
  <si>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</si>
  <si>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</si>
  <si>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</si>
  <si>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</si>
  <si>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</si>
  <si>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</si>
  <si>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</si>
  <si>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</si>
  <si>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BIOMAS</t>
  </si>
  <si>
    <t>Espigas de hielo</t>
  </si>
  <si>
    <t>Bloques</t>
  </si>
  <si>
    <t>Mobs</t>
  </si>
  <si>
    <t>Hielo compacto</t>
  </si>
  <si>
    <t>Animales</t>
  </si>
  <si>
    <t>Conejos</t>
  </si>
  <si>
    <t>Strays</t>
  </si>
  <si>
    <t>Oso polar</t>
  </si>
  <si>
    <t xml:space="preserve">llanuras </t>
  </si>
  <si>
    <t>Hierba</t>
  </si>
  <si>
    <t>Flores</t>
  </si>
  <si>
    <t>Caballos</t>
  </si>
  <si>
    <t>Burros</t>
  </si>
  <si>
    <t>Bosque</t>
  </si>
  <si>
    <t>Roble</t>
  </si>
  <si>
    <t>Abedul</t>
  </si>
  <si>
    <t>Bosque techado</t>
  </si>
  <si>
    <t>Roble oscuro</t>
  </si>
  <si>
    <t>Hongos</t>
  </si>
  <si>
    <t>Rosales</t>
  </si>
  <si>
    <t>Pantano</t>
  </si>
  <si>
    <t>lilypad</t>
  </si>
  <si>
    <t>mushroom</t>
  </si>
  <si>
    <t>slimes</t>
  </si>
  <si>
    <t>Jungla</t>
  </si>
  <si>
    <t>Ocelotes</t>
  </si>
  <si>
    <t>Loros</t>
  </si>
  <si>
    <t>Isla de Hongos</t>
  </si>
  <si>
    <t>hongos</t>
  </si>
  <si>
    <t>micelio</t>
  </si>
  <si>
    <t>vavas zeta</t>
  </si>
  <si>
    <t>End</t>
  </si>
  <si>
    <t>Piedra de end</t>
  </si>
  <si>
    <t>Enderman</t>
  </si>
  <si>
    <t>obsidiana</t>
  </si>
  <si>
    <t>cristales de end</t>
  </si>
  <si>
    <t>shulker</t>
  </si>
  <si>
    <t>chrous plant</t>
  </si>
  <si>
    <t>Desiento</t>
  </si>
  <si>
    <t>Arbusto muerto</t>
  </si>
  <si>
    <t>Savanna</t>
  </si>
  <si>
    <t>cow</t>
  </si>
  <si>
    <t>sheep</t>
  </si>
  <si>
    <t>llamas</t>
  </si>
  <si>
    <t>Mesa</t>
  </si>
  <si>
    <t>Terracota</t>
  </si>
  <si>
    <t>red sand</t>
  </si>
  <si>
    <t>Hell</t>
  </si>
  <si>
    <t>Nther rack</t>
  </si>
  <si>
    <t>Glowstone</t>
  </si>
  <si>
    <t>Soulsand</t>
  </si>
  <si>
    <t>Quartz</t>
  </si>
  <si>
    <t>Deep Ocean</t>
  </si>
  <si>
    <t>Elder guardians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</si>
</sst>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28">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s>
  <fills count="37">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4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0" fillId="29" borderId="0" xfId="0" applyFill="1"/>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24" fillId="0" borderId="0" xfId="0" applyFont="1" applyFill="1" applyAlignment="1">
      <alignment horizontal="center"/>
    </xf>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cellStyle name="Data 1.8" xfId="2"/>
    <cellStyle name="Estilo 1" xfId="1"/>
    <cellStyle name="GM Only" xfId="4"/>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9</xdr:col>
      <xdr:colOff>9525</xdr:colOff>
      <xdr:row>7</xdr:row>
      <xdr:rowOff>9525</xdr:rowOff>
    </xdr:from>
    <xdr:to>
      <xdr:col>9</xdr:col>
      <xdr:colOff>951728</xdr:colOff>
      <xdr:row>10</xdr:row>
      <xdr:rowOff>19050</xdr:rowOff>
    </xdr:to>
    <xdr:pic>
      <xdr:nvPicPr>
        <xdr:cNvPr id="2" name="Imagen 1" descr="RoofedForest.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63150" y="2105025"/>
          <a:ext cx="942203"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0</xdr:rowOff>
    </xdr:from>
    <xdr:to>
      <xdr:col>9</xdr:col>
      <xdr:colOff>1028700</xdr:colOff>
      <xdr:row>5</xdr:row>
      <xdr:rowOff>8001</xdr:rowOff>
    </xdr:to>
    <xdr:pic>
      <xdr:nvPicPr>
        <xdr:cNvPr id="3" name="Imagen 2" descr="Ice Plains Spikes.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953625" y="381000"/>
          <a:ext cx="1028700" cy="5795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0</xdr:rowOff>
    </xdr:from>
    <xdr:to>
      <xdr:col>9</xdr:col>
      <xdr:colOff>990600</xdr:colOff>
      <xdr:row>27</xdr:row>
      <xdr:rowOff>9652</xdr:rowOff>
    </xdr:to>
    <xdr:pic>
      <xdr:nvPicPr>
        <xdr:cNvPr id="4" name="Imagen 3" descr="Mushroomisland.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953625" y="4581525"/>
          <a:ext cx="990600" cy="5811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29</xdr:row>
      <xdr:rowOff>1</xdr:rowOff>
    </xdr:from>
    <xdr:to>
      <xdr:col>9</xdr:col>
      <xdr:colOff>1009650</xdr:colOff>
      <xdr:row>31</xdr:row>
      <xdr:rowOff>187771</xdr:rowOff>
    </xdr:to>
    <xdr:pic>
      <xdr:nvPicPr>
        <xdr:cNvPr id="5" name="Imagen 4" descr="TheEnd 1.9.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953625" y="5534026"/>
          <a:ext cx="1009650" cy="568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36</xdr:row>
      <xdr:rowOff>0</xdr:rowOff>
    </xdr:from>
    <xdr:to>
      <xdr:col>9</xdr:col>
      <xdr:colOff>933450</xdr:colOff>
      <xdr:row>39</xdr:row>
      <xdr:rowOff>25908</xdr:rowOff>
    </xdr:to>
    <xdr:pic>
      <xdr:nvPicPr>
        <xdr:cNvPr id="6" name="Imagen 5" descr="Savanna Acacia.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953625" y="6867525"/>
          <a:ext cx="933450" cy="5974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41</xdr:row>
      <xdr:rowOff>0</xdr:rowOff>
    </xdr:from>
    <xdr:to>
      <xdr:col>9</xdr:col>
      <xdr:colOff>876300</xdr:colOff>
      <xdr:row>44</xdr:row>
      <xdr:rowOff>30226</xdr:rowOff>
    </xdr:to>
    <xdr:pic>
      <xdr:nvPicPr>
        <xdr:cNvPr id="8" name="Imagen 7" descr="Mesa Cliff.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953625" y="7820025"/>
          <a:ext cx="876300" cy="6017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0" t="s">
        <v>391</v>
      </c>
      <c r="B2" s="180"/>
      <c r="C2" s="180" t="s">
        <v>412</v>
      </c>
      <c r="D2" s="180"/>
      <c r="E2" s="180" t="s">
        <v>418</v>
      </c>
      <c r="F2" s="180"/>
      <c r="G2" s="180" t="s">
        <v>432</v>
      </c>
      <c r="H2" s="180"/>
      <c r="I2" s="180" t="s">
        <v>433</v>
      </c>
      <c r="J2" s="180"/>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hyperlink ref="G5" r:id="rId2" display="https://eu.diablo3.com/es/class/crusader/active/iron-skin"/>
    <hyperlink ref="G6" r:id="rId3" display="https://eu.diablo3.com/es/class/crusader/active/consecration"/>
    <hyperlink ref="I4" r:id="rId4" display="https://eu.diablo3.com/es/class/crusader/active/falling-sword"/>
    <hyperlink ref="I5" r:id="rId5" display="https://eu.diablo3.com/es/class/crusader/active/akarats-champion"/>
    <hyperlink ref="I6" r:id="rId6" display="https://eu.diablo3.com/es/class/crusader/active/heavens-fury"/>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0" t="s">
        <v>391</v>
      </c>
      <c r="B2" s="180"/>
      <c r="C2" s="180" t="s">
        <v>412</v>
      </c>
      <c r="D2" s="180"/>
      <c r="E2" s="180" t="s">
        <v>418</v>
      </c>
      <c r="F2" s="180"/>
      <c r="G2" s="180" t="s">
        <v>432</v>
      </c>
      <c r="H2" s="180"/>
      <c r="I2" s="180" t="s">
        <v>433</v>
      </c>
      <c r="J2" s="180"/>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hyperlink ref="A5" r:id="rId2" display="https://eu.diablo3.com/es/class/barbarian/passive/ruthless"/>
    <hyperlink ref="A6" r:id="rId3" display="https://eu.diablo3.com/es/class/barbarian/passive/weapons-master"/>
    <hyperlink ref="A7" r:id="rId4" display="https://eu.diablo3.com/es/class/barbarian/passive/inspiring-presence"/>
    <hyperlink ref="A8" r:id="rId5" display="https://eu.diablo3.com/es/class/barbarian/passive/superstition"/>
    <hyperlink ref="A9" r:id="rId6" display="https://eu.diablo3.com/es/class/barbarian/passive/tough-as-nails"/>
    <hyperlink ref="A10" r:id="rId7" display="https://eu.diablo3.com/es/class/barbarian/passive/relentless"/>
    <hyperlink ref="A12" r:id="rId8" display="https://eu.diablo3.com/es/class/barbarian/passive/rampage"/>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0" t="s">
        <v>391</v>
      </c>
      <c r="B2" s="180"/>
      <c r="C2" s="180" t="s">
        <v>412</v>
      </c>
      <c r="D2" s="180"/>
      <c r="E2" s="180" t="s">
        <v>418</v>
      </c>
      <c r="F2" s="180"/>
      <c r="G2" s="180" t="s">
        <v>432</v>
      </c>
      <c r="H2" s="180"/>
      <c r="I2" s="180" t="s">
        <v>433</v>
      </c>
      <c r="J2" s="180"/>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A509"/>
  <sheetViews>
    <sheetView topLeftCell="A13" workbookViewId="0">
      <selection activeCell="A32" sqref="A32:A37"/>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2" t="s">
        <v>143</v>
      </c>
      <c r="E1" s="202"/>
      <c r="F1" s="202"/>
      <c r="G1" s="202"/>
      <c r="H1" s="202"/>
      <c r="I1" s="202"/>
      <c r="J1" s="202"/>
      <c r="K1" s="203"/>
      <c r="L1" s="189" t="s">
        <v>193</v>
      </c>
      <c r="M1" s="190"/>
      <c r="N1" s="188" t="s">
        <v>161</v>
      </c>
      <c r="O1" s="188"/>
      <c r="P1" s="188"/>
      <c r="Q1" s="188"/>
      <c r="R1" s="188"/>
      <c r="S1" s="25"/>
    </row>
    <row r="2" spans="1:24">
      <c r="B2" s="50" t="s">
        <v>144</v>
      </c>
      <c r="C2" s="50" t="s">
        <v>62</v>
      </c>
      <c r="D2" s="186" t="s">
        <v>149</v>
      </c>
      <c r="E2" s="186"/>
      <c r="F2" s="186" t="s">
        <v>147</v>
      </c>
      <c r="G2" s="186"/>
      <c r="H2" s="186" t="s">
        <v>148</v>
      </c>
      <c r="I2" s="186"/>
      <c r="J2" s="186" t="s">
        <v>157</v>
      </c>
      <c r="K2" s="201"/>
      <c r="L2" s="191"/>
      <c r="M2" s="192"/>
      <c r="N2" s="29" t="s">
        <v>35</v>
      </c>
      <c r="O2" s="30" t="s">
        <v>51</v>
      </c>
      <c r="P2" s="29" t="s">
        <v>52</v>
      </c>
      <c r="Q2" s="30" t="s">
        <v>53</v>
      </c>
      <c r="R2" s="29" t="s">
        <v>54</v>
      </c>
    </row>
    <row r="3" spans="1:24">
      <c r="B3" s="28">
        <v>1</v>
      </c>
      <c r="C3" s="53">
        <v>1</v>
      </c>
      <c r="D3" s="187" t="s">
        <v>122</v>
      </c>
      <c r="E3" s="187"/>
      <c r="F3" s="182" t="s">
        <v>126</v>
      </c>
      <c r="G3" s="182"/>
      <c r="H3" s="187" t="s">
        <v>132</v>
      </c>
      <c r="I3" s="187"/>
      <c r="J3" s="187" t="s">
        <v>133</v>
      </c>
      <c r="K3" s="211"/>
      <c r="L3" s="191"/>
      <c r="M3" s="192"/>
      <c r="N3" s="33">
        <v>1</v>
      </c>
      <c r="O3" s="33">
        <v>3</v>
      </c>
      <c r="P3" s="33">
        <v>5</v>
      </c>
      <c r="Q3" s="33">
        <v>7</v>
      </c>
      <c r="R3" s="33">
        <v>9</v>
      </c>
      <c r="S3" s="212" t="s">
        <v>162</v>
      </c>
      <c r="T3" s="213"/>
      <c r="U3" s="213"/>
      <c r="V3" s="213"/>
      <c r="W3" s="213"/>
      <c r="X3" s="213"/>
    </row>
    <row r="4" spans="1:24" s="24" customFormat="1">
      <c r="B4" s="28">
        <v>2</v>
      </c>
      <c r="C4" s="54">
        <f>$C$3+2</f>
        <v>3</v>
      </c>
      <c r="D4" s="187" t="s">
        <v>1316</v>
      </c>
      <c r="E4" s="187"/>
      <c r="F4" s="182" t="s">
        <v>127</v>
      </c>
      <c r="G4" s="182"/>
      <c r="H4" s="187" t="s">
        <v>1330</v>
      </c>
      <c r="I4" s="187"/>
      <c r="J4" s="187" t="s">
        <v>134</v>
      </c>
      <c r="K4" s="211"/>
      <c r="L4" s="193"/>
      <c r="M4" s="194"/>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87" t="s">
        <v>123</v>
      </c>
      <c r="E5" s="187"/>
      <c r="F5" s="182" t="s">
        <v>128</v>
      </c>
      <c r="G5" s="182"/>
      <c r="H5" s="187" t="s">
        <v>136</v>
      </c>
      <c r="I5" s="187"/>
      <c r="J5" s="187" t="s">
        <v>135</v>
      </c>
      <c r="K5" s="211"/>
      <c r="L5" s="195" t="s">
        <v>108</v>
      </c>
      <c r="M5" s="31" t="s">
        <v>6</v>
      </c>
      <c r="N5" s="34">
        <f>MAIN!$D$2+(MAIN!$C$18+MAIN!$C$19)/2*MAIN!$B$9+(MAIN!$C$20+MAIN!$C$21)/2*MAIN!$B$8+(MAIN!$C$47*MAIN!$B$11)+($N$3*MAIN!$B$10)</f>
        <v>502</v>
      </c>
      <c r="O5" s="35">
        <f>MAIN!$D$3+(MAIN!$C$18+MAIN!$C$19)/2*MAIN!$B$9+(MAIN!$C$20+MAIN!$C$21)/2*MAIN!$B$8+(MAIN!$C$47*MAIN!$B$11)+($N$3*MAIN!$B$10)</f>
        <v>504</v>
      </c>
      <c r="P5" s="34">
        <f>MAIN!$D$4+(MAIN!$C$18+MAIN!$C$19)/2*MAIN!$B$9+(MAIN!$C$20+MAIN!$C$21)/2*MAIN!$B$8+(MAIN!$C$47*MAIN!$B$11)+($N$3*MAIN!$B$10)</f>
        <v>508</v>
      </c>
      <c r="Q5" s="35">
        <f>MAIN!$D$5+(MAIN!$C$18+MAIN!$C$19)/2*MAIN!$B$9+(MAIN!$C$20+MAIN!$C$21)/2*MAIN!$B$8+(MAIN!$C$47*MAIN!$B$11)+($N$3*MAIN!$B$10)</f>
        <v>516</v>
      </c>
      <c r="R5" s="34">
        <f>MAIN!$D$6+(MAIN!$C$18+MAIN!$C$19)/2*MAIN!$B$9+(MAIN!$C$20+MAIN!$C$21)/2*MAIN!$B$8+(MAIN!$C$47*MAIN!$B$11)+($N$3*MAIN!$B$10)</f>
        <v>532</v>
      </c>
      <c r="S5" s="44" t="s">
        <v>35</v>
      </c>
      <c r="T5" s="46">
        <f>SUM($N$5:$N$9)</f>
        <v>2526</v>
      </c>
      <c r="U5" s="46">
        <f>SUM($O$5:$O$9)</f>
        <v>2552</v>
      </c>
      <c r="V5" s="46">
        <f>SUM($P$5:$P$9)</f>
        <v>2604</v>
      </c>
      <c r="W5" s="46">
        <f>SUM($Q$5:$Q$9)</f>
        <v>2708</v>
      </c>
      <c r="X5" s="46">
        <f>SUM($R$5:$R$9)</f>
        <v>2916</v>
      </c>
    </row>
    <row r="6" spans="1:24" s="13" customFormat="1" ht="15" customHeight="1">
      <c r="B6" s="43">
        <v>4</v>
      </c>
      <c r="C6" s="56">
        <f>$C$5+2</f>
        <v>7</v>
      </c>
      <c r="D6" s="187" t="s">
        <v>125</v>
      </c>
      <c r="E6" s="187"/>
      <c r="F6" s="182" t="s">
        <v>129</v>
      </c>
      <c r="G6" s="182"/>
      <c r="H6" s="187" t="s">
        <v>137</v>
      </c>
      <c r="I6" s="187"/>
      <c r="J6" s="187" t="s">
        <v>138</v>
      </c>
      <c r="K6" s="211"/>
      <c r="L6" s="196"/>
      <c r="M6" s="32" t="s">
        <v>113</v>
      </c>
      <c r="N6" s="36">
        <f>MAIN!$F$2+(MAIN!$C$18+MAIN!$C$19)/2*MAIN!$B$9+(MAIN!$C$20+MAIN!$C$21)/2*MAIN!$B$8+(MAIN!$C$58*MAIN!$B$11)+($N$3*MAIN!$B$10)</f>
        <v>505</v>
      </c>
      <c r="O6" s="36">
        <f>MAIN!$G$2+(MAIN!$C$18+MAIN!$C$19)/2*MAIN!$B$9+(MAIN!$C$20+MAIN!$C$21)/2*MAIN!$B$8+(MAIN!$C$58*MAIN!$B$11)+($N$3*MAIN!$B$10)</f>
        <v>510</v>
      </c>
      <c r="P6" s="36">
        <f>MAIN!$H$2+(MAIN!$C$18+MAIN!$C$19)/2*MAIN!$B$9+(MAIN!$C$20+MAIN!$C$21)/2*MAIN!$B$8+(MAIN!$C$58*MAIN!$B$11)+($N$3*MAIN!$B$10)</f>
        <v>520</v>
      </c>
      <c r="Q6" s="36">
        <f>MAIN!$I$2+(MAIN!$C$18+MAIN!$C$19)/2*MAIN!$B$9+(MAIN!$C$20+MAIN!$C$21)/2*MAIN!$B$8+(MAIN!$C$58*MAIN!$B$11)+($N$3*MAIN!$B$10)</f>
        <v>540</v>
      </c>
      <c r="R6" s="36">
        <f>MAIN!$J$2+(MAIN!$C$18+MAIN!$C$19)/2*MAIN!$B$9+(MAIN!$C$20+MAIN!$C$21)/2*MAIN!$B$8+(MAIN!$C$58*MAIN!$B$11)+($N$3*MAIN!$B$10)</f>
        <v>580</v>
      </c>
      <c r="S6" s="44" t="s">
        <v>51</v>
      </c>
      <c r="T6" s="46">
        <f>SUM($N$10:$N$14)</f>
        <v>10676</v>
      </c>
      <c r="U6" s="46">
        <f>SUM($O$10:$O$14)</f>
        <v>10702</v>
      </c>
      <c r="V6" s="46">
        <f>SUM($P$10:$P$14)</f>
        <v>10754</v>
      </c>
      <c r="W6" s="46">
        <f>SUM($Q$10:$Q$14)</f>
        <v>10858</v>
      </c>
      <c r="X6" s="46">
        <f>SUM($R$10:$R$14)</f>
        <v>11066</v>
      </c>
    </row>
    <row r="7" spans="1:24" s="13" customFormat="1" ht="15" customHeight="1">
      <c r="A7" s="48"/>
      <c r="B7" s="43">
        <v>5</v>
      </c>
      <c r="C7" s="57">
        <f>$C$6+2</f>
        <v>9</v>
      </c>
      <c r="D7" s="187" t="s">
        <v>124</v>
      </c>
      <c r="E7" s="187"/>
      <c r="F7" s="182" t="s">
        <v>130</v>
      </c>
      <c r="G7" s="182"/>
      <c r="H7" s="187" t="s">
        <v>139</v>
      </c>
      <c r="I7" s="187"/>
      <c r="J7" s="187" t="s">
        <v>140</v>
      </c>
      <c r="K7" s="211"/>
      <c r="L7" s="196"/>
      <c r="M7" s="31" t="s">
        <v>114</v>
      </c>
      <c r="N7" s="34">
        <f>MAIN!$F$3+(MAIN!$C$18+MAIN!$C$19)/2*MAIN!$B$9+(MAIN!$C$20+MAIN!$C$21)/2*MAIN!$B$8+(MAIN!$C$69*MAIN!$B$11)+($N$3*MAIN!$B$10)</f>
        <v>508</v>
      </c>
      <c r="O7" s="35">
        <f>MAIN!$G$3+(MAIN!$C$18+MAIN!$C$19)/2*MAIN!$B$9+(MAIN!$C$20+MAIN!$C$21)/2*MAIN!$B$8+(MAIN!$C$69*MAIN!$B$11)+($N$3*MAIN!$B$10)</f>
        <v>516</v>
      </c>
      <c r="P7" s="34">
        <f>MAIN!$H$3+(MAIN!$C$18+MAIN!$C$19)/2*MAIN!$B$9+(MAIN!$C$20+MAIN!$C$21)/2*MAIN!$B$8+(MAIN!$C$69*MAIN!$B$11)+($N$3*MAIN!$B$10)</f>
        <v>532</v>
      </c>
      <c r="Q7" s="35">
        <f>MAIN!$I$3+(MAIN!$C$18+MAIN!$C$19)/2*MAIN!$B$9+(MAIN!$C$20+MAIN!$C$21)/2*MAIN!$B$8+(MAIN!$C$69*MAIN!$B$11)+($N$3*MAIN!$B$10)</f>
        <v>564</v>
      </c>
      <c r="R7" s="34">
        <f>MAIN!$J$3+(MAIN!$C$18+MAIN!$C$19)/2*MAIN!$B$9+(MAIN!$C$20+MAIN!$C$21)/2*MAIN!$B$8+(MAIN!$C$69*MAIN!$B$11)+($N$3*MAIN!$B$10)</f>
        <v>628</v>
      </c>
      <c r="S7" s="45" t="s">
        <v>52</v>
      </c>
      <c r="T7" s="46">
        <f>SUM($N$15:$N$19)</f>
        <v>19476</v>
      </c>
      <c r="U7" s="46">
        <f>SUM($O$15:$O$19)</f>
        <v>19502</v>
      </c>
      <c r="V7" s="46">
        <f>SUM($P$15:$P$19)</f>
        <v>19554</v>
      </c>
      <c r="W7" s="46">
        <f>SUM($Q$15:$Q$19)</f>
        <v>19658</v>
      </c>
      <c r="X7" s="46">
        <f>SUM($R$15:$R$19)</f>
        <v>19866</v>
      </c>
    </row>
    <row r="8" spans="1:24" s="13" customFormat="1" ht="15" customHeight="1">
      <c r="A8" s="48"/>
      <c r="B8" s="43">
        <v>6</v>
      </c>
      <c r="C8" s="58">
        <f>$C$7+2</f>
        <v>11</v>
      </c>
      <c r="D8" s="187" t="s">
        <v>535</v>
      </c>
      <c r="E8" s="187"/>
      <c r="F8" s="182" t="s">
        <v>131</v>
      </c>
      <c r="G8" s="182"/>
      <c r="H8" s="187" t="s">
        <v>141</v>
      </c>
      <c r="I8" s="187"/>
      <c r="J8" s="187" t="s">
        <v>142</v>
      </c>
      <c r="K8" s="211"/>
      <c r="L8" s="196"/>
      <c r="M8" s="32" t="s">
        <v>115</v>
      </c>
      <c r="N8" s="36">
        <f>MAIN!$F$4+(MAIN!$C$18+MAIN!$C$19)/2*MAIN!$B$9+(MAIN!$C$20+MAIN!$C$21)/2*MAIN!$B$8+(MAIN!$C$80*MAIN!$B$11)+($N$3*MAIN!$B$10)</f>
        <v>507</v>
      </c>
      <c r="O8" s="36">
        <f>MAIN!$G$4+(MAIN!$C$18+MAIN!$C$19)/2*MAIN!$B$9+(MAIN!$C$20+MAIN!$C$21)/2*MAIN!$B$8+(MAIN!$C$80*MAIN!$B$11)+($N$3*MAIN!$B$10)</f>
        <v>514</v>
      </c>
      <c r="P8" s="36">
        <f>MAIN!$H$4+(MAIN!$C$18+MAIN!$C$19)/2*MAIN!$B$9+(MAIN!$C$20+MAIN!$C$21)/2*MAIN!$B$8+(MAIN!$C$80*MAIN!$B$11)+($N$3*MAIN!$B$10)</f>
        <v>528</v>
      </c>
      <c r="Q8" s="36">
        <f>MAIN!$I$4+(MAIN!$C$18+MAIN!$C$19)/2*MAIN!$B$9+(MAIN!$C$20+MAIN!$C$21)/2*MAIN!$B$8+(MAIN!$C$80*MAIN!$B$11)+($N$3*MAIN!$B$10)</f>
        <v>556</v>
      </c>
      <c r="R8" s="36">
        <f>MAIN!$J$4+(MAIN!$C$18+MAIN!$C$19)/2*MAIN!$B$9+(MAIN!$C$20+MAIN!$C$21)/2*MAIN!$B$8+(MAIN!$C$80*MAIN!$B$11)+($N$3*MAIN!$B$10)</f>
        <v>612</v>
      </c>
      <c r="S8" s="45" t="s">
        <v>53</v>
      </c>
      <c r="T8" s="46">
        <f>SUM($N$20:$N$24)</f>
        <v>28276</v>
      </c>
      <c r="U8" s="46">
        <f>SUM($O$20:$O$24)</f>
        <v>28302</v>
      </c>
      <c r="V8" s="46">
        <f>SUM($P$20:$P$24)</f>
        <v>28354</v>
      </c>
      <c r="W8" s="46">
        <f>SUM($Q$20:$Q$24)</f>
        <v>28458</v>
      </c>
      <c r="X8" s="46">
        <f>SUM($R$20:$R$24)</f>
        <v>28666</v>
      </c>
    </row>
    <row r="9" spans="1:24" s="13" customFormat="1" ht="15" customHeight="1">
      <c r="D9" s="202" t="s">
        <v>160</v>
      </c>
      <c r="E9" s="202"/>
      <c r="F9" s="202"/>
      <c r="G9" s="202"/>
      <c r="H9" s="202"/>
      <c r="I9" s="202"/>
      <c r="J9" s="202"/>
      <c r="K9" s="203"/>
      <c r="L9" s="197"/>
      <c r="M9" s="31" t="s">
        <v>116</v>
      </c>
      <c r="N9" s="34">
        <f>MAIN!$F$5+(MAIN!$C$18+MAIN!$C$19)/2*MAIN!$B$9+(MAIN!$C$20+MAIN!$C$21)/2*MAIN!$B$8+(MAIN!$C$91*MAIN!$B$11)+($N$3*MAIN!$B$10)</f>
        <v>504</v>
      </c>
      <c r="O9" s="35">
        <f>MAIN!$G$5+(MAIN!$C$18+MAIN!$C$19)/2*MAIN!$B$9+(MAIN!$C$20+MAIN!$C$21)/2*MAIN!$B$8+(MAIN!$C$91*MAIN!$B$11)+($N$3*MAIN!$B$10)</f>
        <v>508</v>
      </c>
      <c r="P9" s="34">
        <f>MAIN!$H$5+(MAIN!$C$18+MAIN!$C$19)/2*MAIN!$B$9+(MAIN!$C$20+MAIN!$C$21)/2*MAIN!$B$8+(MAIN!$C$91*MAIN!$B$11)+($N$3*MAIN!$B$10)</f>
        <v>516</v>
      </c>
      <c r="Q9" s="35">
        <f>MAIN!$I$5+(MAIN!$C$18+MAIN!$C$19)/2*MAIN!$B$9+(MAIN!$C$20+MAIN!$C$21)/2*MAIN!$B$8+(MAIN!$C$91*MAIN!$B$11)+($N$3*MAIN!$B$10)</f>
        <v>532</v>
      </c>
      <c r="R9" s="34">
        <f>MAIN!$J$5+(MAIN!$C$18+MAIN!$C$19)/2*MAIN!$B$9+(MAIN!$C$20+MAIN!$C$21)/2*MAIN!$B$8+(MAIN!$C$91*MAIN!$B$11)+($N$3*MAIN!$B$10)</f>
        <v>564</v>
      </c>
      <c r="S9" s="45" t="s">
        <v>54</v>
      </c>
      <c r="T9" s="46">
        <f>SUM($N$25:$N$29)</f>
        <v>37076</v>
      </c>
      <c r="U9" s="46">
        <f>SUM($O$25:$O$29)</f>
        <v>37102</v>
      </c>
      <c r="V9" s="46">
        <f>SUM($P$25:$P$29)</f>
        <v>37154</v>
      </c>
      <c r="W9" s="46">
        <f>SUM($Q$25:$Q$29)</f>
        <v>37258</v>
      </c>
      <c r="X9" s="46">
        <f>SUM($R$25:$R$29)</f>
        <v>37466</v>
      </c>
    </row>
    <row r="10" spans="1:24" s="24" customFormat="1" ht="15" customHeight="1">
      <c r="A10" s="27"/>
      <c r="B10" s="27"/>
      <c r="C10" s="51" t="s">
        <v>145</v>
      </c>
      <c r="D10" s="182">
        <v>1.5</v>
      </c>
      <c r="E10" s="182"/>
      <c r="F10" s="182">
        <v>2.5</v>
      </c>
      <c r="G10" s="182"/>
      <c r="H10" s="182">
        <v>64</v>
      </c>
      <c r="I10" s="182"/>
      <c r="J10" s="182">
        <v>64</v>
      </c>
      <c r="K10" s="214"/>
      <c r="L10" s="198" t="s">
        <v>109</v>
      </c>
      <c r="M10" s="32" t="s">
        <v>6</v>
      </c>
      <c r="N10" s="36">
        <f>MAIN!$D$2+(MAIN!$D$18+MAIN!$D$19)/2*MAIN!$B$9+(MAIN!$D$20+MAIN!$D$21)/2*MAIN!$B$8+(MAIN!$D$47*MAIN!$B$11)+($O$3*MAIN!$B$10)</f>
        <v>2052</v>
      </c>
      <c r="O10" s="36">
        <f>MAIN!$D$3+(MAIN!$D$18+MAIN!$D$19)/2*MAIN!$B$9+(MAIN!$D$20+MAIN!$D$21)/2*MAIN!$B$8+(MAIN!$D$47*MAIN!$B$11)+($O$3*MAIN!$B$10)</f>
        <v>2054</v>
      </c>
      <c r="P10" s="36">
        <f>MAIN!$D$4+(MAIN!$D$18+MAIN!$D$19)/2*MAIN!$B$9+(MAIN!$D$20+MAIN!$D$21)/2*MAIN!$B$8+(MAIN!$D$47*MAIN!$B$11)+($O$3*MAIN!$B$10)</f>
        <v>2058</v>
      </c>
      <c r="Q10" s="36">
        <f>MAIN!$D$5+(MAIN!$D$18+MAIN!$D$19)/2*MAIN!$B$9+(MAIN!$D$20+MAIN!$D$21)/2*MAIN!$B$8+(MAIN!$D$47*MAIN!$B$11)+($O$3*MAIN!$B$10)</f>
        <v>2066</v>
      </c>
      <c r="R10" s="36">
        <f>MAIN!$D$6+(MAIN!$D$18+MAIN!$D$19)/2*MAIN!$B$9+(MAIN!$D$20+MAIN!$D$21)/2*MAIN!$B$8+(MAIN!$D$47*MAIN!$B$11)+($O$3*MAIN!$B$10)</f>
        <v>2082</v>
      </c>
    </row>
    <row r="11" spans="1:24" s="24" customFormat="1" ht="15" customHeight="1">
      <c r="A11" s="27"/>
      <c r="B11" s="27"/>
      <c r="C11" s="51" t="s">
        <v>146</v>
      </c>
      <c r="D11" s="182">
        <v>64</v>
      </c>
      <c r="E11" s="182"/>
      <c r="F11" s="182">
        <v>64</v>
      </c>
      <c r="G11" s="182"/>
      <c r="H11" s="182">
        <v>64</v>
      </c>
      <c r="I11" s="182"/>
      <c r="J11" s="182">
        <v>64</v>
      </c>
      <c r="K11" s="214"/>
      <c r="L11" s="199"/>
      <c r="M11" s="31" t="s">
        <v>113</v>
      </c>
      <c r="N11" s="34">
        <f>MAIN!$F$2+(MAIN!$D$18+MAIN!$D$19)/2*MAIN!$B$9+(MAIN!$D$20+MAIN!$D$21)/2*MAIN!$B$8+(MAIN!$D$58*MAIN!$B$11)+($O$3*MAIN!$B$10)</f>
        <v>2130</v>
      </c>
      <c r="O11" s="35">
        <f>MAIN!$G$2+(MAIN!$D$18+MAIN!$D$19)/2*MAIN!$B$9+(MAIN!$D$20+MAIN!$D$21)/2*MAIN!$B$8+(MAIN!$D$58*MAIN!$B$11)+($O$3*MAIN!$B$10)</f>
        <v>2135</v>
      </c>
      <c r="P11" s="34">
        <f>MAIN!$H$2+(MAIN!$D$18+MAIN!$D$19)/2*MAIN!$B$9+(MAIN!$D$20+MAIN!$D$21)/2*MAIN!$B$8+(MAIN!$D$58*MAIN!$B$11)+($O$3*MAIN!$B$10)</f>
        <v>2145</v>
      </c>
      <c r="Q11" s="35">
        <f>MAIN!$I$2+(MAIN!$D$18+MAIN!$D$19)/2*MAIN!$B$9+(MAIN!$D$20+MAIN!$D$21)/2*MAIN!$B$8+(MAIN!$D$58*MAIN!$B$11)+($O$3*MAIN!$B$10)</f>
        <v>2165</v>
      </c>
      <c r="R11" s="34">
        <f>MAIN!$J$2+(MAIN!$D$18+MAIN!$D$19)/2*MAIN!$B$9+(MAIN!$D$20+MAIN!$D$21)/2*MAIN!$B$8+(MAIN!$D$58*MAIN!$B$11)+($O$3*MAIN!$B$10)</f>
        <v>2205</v>
      </c>
    </row>
    <row r="12" spans="1:24" s="24" customFormat="1" ht="15" customHeight="1">
      <c r="A12" s="202" t="s">
        <v>166</v>
      </c>
      <c r="B12" s="202"/>
      <c r="C12" s="27"/>
      <c r="D12" s="202" t="s">
        <v>164</v>
      </c>
      <c r="E12" s="202"/>
      <c r="F12" s="202"/>
      <c r="G12" s="202"/>
      <c r="H12" s="202"/>
      <c r="I12" s="202"/>
      <c r="J12" s="202"/>
      <c r="K12" s="203"/>
      <c r="L12" s="199"/>
      <c r="M12" s="32" t="s">
        <v>114</v>
      </c>
      <c r="N12" s="36">
        <f>MAIN!$F$3+(MAIN!$D$18+MAIN!$D$19)/2*MAIN!$B$9+(MAIN!$D$20+MAIN!$D$21)/2*MAIN!$B$8+(MAIN!$D$69*MAIN!$B$11)+($O$3*MAIN!$B$10)</f>
        <v>2208</v>
      </c>
      <c r="O12" s="36">
        <f>MAIN!$G$3+(MAIN!$D$18+MAIN!$D$19)/2*MAIN!$B$9+(MAIN!$D$20+MAIN!$D$21)/2*MAIN!$B$8+(MAIN!$D$69*MAIN!$B$11)+($O$3*MAIN!$B$10)</f>
        <v>2216</v>
      </c>
      <c r="P12" s="36">
        <f>MAIN!$H$3+(MAIN!$D$18+MAIN!$D$19)/2*MAIN!$B$9+(MAIN!$D$20+MAIN!$D$21)/2*MAIN!$B$8+(MAIN!$D$69*MAIN!$B$11)+($O$3*MAIN!$B$10)</f>
        <v>2232</v>
      </c>
      <c r="Q12" s="36">
        <f>MAIN!$I$3+(MAIN!$D$18+MAIN!$D$19)/2*MAIN!$B$9+(MAIN!$D$20+MAIN!$D$21)/2*MAIN!$B$8+(MAIN!$D$69*MAIN!$B$11)+($O$3*MAIN!$B$10)</f>
        <v>2264</v>
      </c>
      <c r="R12" s="36">
        <f>MAIN!$J$3+(MAIN!$D$18+MAIN!$D$19)/2*MAIN!$B$9+(MAIN!$D$20+MAIN!$D$21)/2*MAIN!$B$8+(MAIN!$D$69*MAIN!$B$11)+($O$3*MAIN!$B$10)</f>
        <v>2328</v>
      </c>
      <c r="S12" s="13"/>
      <c r="T12" s="13"/>
      <c r="U12" s="13"/>
    </row>
    <row r="13" spans="1:24" s="27" customFormat="1" ht="15" customHeight="1">
      <c r="A13" s="27" t="s">
        <v>156</v>
      </c>
      <c r="B13" s="27">
        <f>$T$5</f>
        <v>2526</v>
      </c>
      <c r="D13" s="186" t="s">
        <v>149</v>
      </c>
      <c r="E13" s="186"/>
      <c r="F13" s="186" t="s">
        <v>147</v>
      </c>
      <c r="G13" s="186"/>
      <c r="H13" s="186" t="s">
        <v>148</v>
      </c>
      <c r="I13" s="186"/>
      <c r="J13" s="186" t="s">
        <v>157</v>
      </c>
      <c r="K13" s="201"/>
      <c r="L13" s="199"/>
      <c r="M13" s="31" t="s">
        <v>115</v>
      </c>
      <c r="N13" s="34">
        <f>MAIN!$F$4+(MAIN!$D$18+MAIN!$D$19)/2*MAIN!$B$9+(MAIN!$D$20+MAIN!$D$21)/2*MAIN!$B$8+(MAIN!$D$80*MAIN!$B$11)+($O$3*MAIN!$B$10)</f>
        <v>2182</v>
      </c>
      <c r="O13" s="35">
        <f>MAIN!$G$4+(MAIN!$D$18+MAIN!$D$19)/2*MAIN!$B$9+(MAIN!$D$20+MAIN!$D$21)/2*MAIN!$B$8+(MAIN!$D$80*MAIN!$B$11)+($O$3*MAIN!$B$10)</f>
        <v>2189</v>
      </c>
      <c r="P13" s="34">
        <f>MAIN!$H$4+(MAIN!$D$18+MAIN!$D$19)/2*MAIN!$B$9+(MAIN!$D$20+MAIN!$D$21)/2*MAIN!$B$8+(MAIN!$D$80*MAIN!$B$11)+($O$3*MAIN!$B$10)</f>
        <v>2203</v>
      </c>
      <c r="Q13" s="35">
        <f>MAIN!$I$4+(MAIN!$D$18+MAIN!$D$19)/2*MAIN!$B$9+(MAIN!$D$20+MAIN!$D$21)/2*MAIN!$B$8+(MAIN!$D$80*MAIN!$B$11)+($O$3*MAIN!$B$10)</f>
        <v>2231</v>
      </c>
      <c r="R13" s="34">
        <f>MAIN!$J$4+(MAIN!$D$18+MAIN!$D$19)/2*MAIN!$B$9+(MAIN!$D$20+MAIN!$D$21)/2*MAIN!$B$8+(MAIN!$D$80*MAIN!$B$11)+($O$3*MAIN!$B$10)</f>
        <v>2287</v>
      </c>
      <c r="S13" s="13"/>
      <c r="T13" s="47"/>
      <c r="U13" s="13"/>
      <c r="V13" s="24"/>
      <c r="W13" s="24"/>
    </row>
    <row r="14" spans="1:24" s="27" customFormat="1" ht="15" customHeight="1">
      <c r="A14" s="27" t="s">
        <v>145</v>
      </c>
      <c r="B14" s="7">
        <v>90</v>
      </c>
      <c r="C14" s="51" t="s">
        <v>158</v>
      </c>
      <c r="D14" s="205">
        <f>ROUND((D10*$B$13)/$B$14,2)</f>
        <v>42.1</v>
      </c>
      <c r="E14" s="205"/>
      <c r="F14" s="205">
        <f>ROUND((F10*$B$13)/$B$14,2)</f>
        <v>70.17</v>
      </c>
      <c r="G14" s="205"/>
      <c r="H14" s="205">
        <f>ROUND((H10*$B$13)/$B$14,2)</f>
        <v>1796.27</v>
      </c>
      <c r="I14" s="205"/>
      <c r="J14" s="205">
        <f>ROUND((J10*$B$13)/$B$14,2)</f>
        <v>1796.27</v>
      </c>
      <c r="K14" s="205"/>
      <c r="L14" s="200"/>
      <c r="M14" s="32" t="s">
        <v>116</v>
      </c>
      <c r="N14" s="36">
        <f>MAIN!$F$5+(MAIN!$D$18+MAIN!$D$19)/2*MAIN!$B$9+(MAIN!$D$20+MAIN!$D$21)/2*MAIN!$B$8+(MAIN!$D$91*MAIN!$B$11)+($O$3*MAIN!$B$10)</f>
        <v>2104</v>
      </c>
      <c r="O14" s="36">
        <f>MAIN!$G$5+(MAIN!$D$18+MAIN!$D$19)/2*MAIN!$B$9+(MAIN!$D$20+MAIN!$D$21)/2*MAIN!$B$8+(MAIN!$D$91*MAIN!$B$11)+($O$3*MAIN!$B$10)</f>
        <v>2108</v>
      </c>
      <c r="P14" s="36">
        <f>MAIN!$H$5+(MAIN!$D$18+MAIN!$D$19)/2*MAIN!$B$9+(MAIN!$D$20+MAIN!$D$21)/2*MAIN!$B$8+(MAIN!$D$91*MAIN!$B$11)+($O$3*MAIN!$B$10)</f>
        <v>2116</v>
      </c>
      <c r="Q14" s="36">
        <f>MAIN!$I$5+(MAIN!$D$18+MAIN!$D$19)/2*MAIN!$B$9+(MAIN!$D$20+MAIN!$D$21)/2*MAIN!$B$8+(MAIN!$D$91*MAIN!$B$11)+($O$3*MAIN!$B$10)</f>
        <v>2132</v>
      </c>
      <c r="R14" s="36">
        <f>MAIN!$J$5+(MAIN!$D$18+MAIN!$D$19)/2*MAIN!$B$9+(MAIN!$D$20+MAIN!$D$21)/2*MAIN!$B$8+(MAIN!$D$91*MAIN!$B$11)+($O$3*MAIN!$B$10)</f>
        <v>2164</v>
      </c>
      <c r="S14" s="13"/>
      <c r="T14" s="13"/>
      <c r="U14" s="13"/>
      <c r="V14" s="24"/>
    </row>
    <row r="15" spans="1:24" s="27" customFormat="1" ht="15" customHeight="1">
      <c r="A15" s="202" t="s">
        <v>168</v>
      </c>
      <c r="B15" s="202"/>
      <c r="C15" s="51" t="s">
        <v>159</v>
      </c>
      <c r="D15" s="205">
        <f>ROUND($D$14/$D$11,2)</f>
        <v>0.66</v>
      </c>
      <c r="E15" s="205"/>
      <c r="F15" s="205">
        <f>ROUND($F$14/$F$11,2)</f>
        <v>1.1000000000000001</v>
      </c>
      <c r="G15" s="205"/>
      <c r="H15" s="205">
        <f>ROUND($H$14/$H$11,2)</f>
        <v>28.07</v>
      </c>
      <c r="I15" s="205"/>
      <c r="J15" s="205">
        <f>ROUND($J$14/$J$11,2)</f>
        <v>28.07</v>
      </c>
      <c r="K15" s="205"/>
      <c r="L15" s="204" t="s">
        <v>110</v>
      </c>
      <c r="M15" s="31" t="s">
        <v>6</v>
      </c>
      <c r="N15" s="34">
        <f>MAIN!$D$2+(MAIN!$E$18+MAIN!$E$19)/2*MAIN!$B$9+(MAIN!$E$20+MAIN!$E$21)/2*MAIN!$B$8+(MAIN!$E$47*MAIN!$B$11)+($P$3*MAIN!$B$10)</f>
        <v>3652</v>
      </c>
      <c r="O15" s="35">
        <f>MAIN!$D$3+(MAIN!$E$18+MAIN!$E$19)/2*MAIN!$B$9+(MAIN!$E$20+MAIN!$E$21)/2*MAIN!$B$8+(MAIN!$E$47*MAIN!$B$11)+($P$3*MAIN!$B$10)</f>
        <v>3654</v>
      </c>
      <c r="P15" s="34">
        <f>MAIN!$D$4+(MAIN!$E$18+MAIN!$E$19)/2*MAIN!$B$9+(MAIN!$E$20+MAIN!$E$21)/2*MAIN!$B$8+(MAIN!$E$47*MAIN!$B$11)+($P$3*MAIN!$B$10)</f>
        <v>3658</v>
      </c>
      <c r="Q15" s="35">
        <f>MAIN!$D$5+(MAIN!$E$18+MAIN!$E$19)/2*MAIN!$B$9+(MAIN!$E$20+MAIN!$E$21)/2*MAIN!$B$8+(MAIN!$E$47*MAIN!$B$11)+($P$3*MAIN!$B$10)</f>
        <v>3666</v>
      </c>
      <c r="R15" s="34">
        <f>MAIN!$D$6+(MAIN!$E$18+MAIN!$E$19)/2*MAIN!$B$9+(MAIN!$E$20+MAIN!$E$21)/2*MAIN!$B$8+(MAIN!$E$47*MAIN!$B$11)+($P$3*MAIN!$B$10)</f>
        <v>3682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10"/>
      <c r="M16" s="32" t="s">
        <v>113</v>
      </c>
      <c r="N16" s="36">
        <f>MAIN!$F$2+(MAIN!$E$18+MAIN!$E$19)/2*MAIN!$B$9+(MAIN!$E$20+MAIN!$E$21)/2*MAIN!$B$8+(MAIN!$E$58*MAIN!$B$11)+($P$3*MAIN!$B$10)</f>
        <v>3880</v>
      </c>
      <c r="O16" s="36">
        <f>MAIN!$G$2+(MAIN!$E$18+MAIN!$E$19)/2*MAIN!$B$9+(MAIN!$E$20+MAIN!$E$21)/2*MAIN!$B$8+(MAIN!$E$58*MAIN!$B$11)+($P$3*MAIN!$B$10)</f>
        <v>3885</v>
      </c>
      <c r="P16" s="36">
        <f>MAIN!$H$2+(MAIN!$E$18+MAIN!$E$19)/2*MAIN!$B$9+(MAIN!$E$20+MAIN!$E$21)/2*MAIN!$B$8+(MAIN!$E$58*MAIN!$B$11)+($P$3*MAIN!$B$10)</f>
        <v>3895</v>
      </c>
      <c r="Q16" s="36">
        <f>MAIN!$I$2+(MAIN!$E$18+MAIN!$E$19)/2*MAIN!$B$9+(MAIN!$E$20+MAIN!$E$21)/2*MAIN!$B$8+(MAIN!$E$58*MAIN!$B$11)+($P$3*MAIN!$B$10)</f>
        <v>3915</v>
      </c>
      <c r="R16" s="36">
        <f>MAIN!$J$2+(MAIN!$E$18+MAIN!$E$19)/2*MAIN!$B$9+(MAIN!$E$20+MAIN!$E$21)/2*MAIN!$B$8+(MAIN!$E$58*MAIN!$B$11)+($P$3*MAIN!$B$10)</f>
        <v>3955</v>
      </c>
      <c r="S16" s="24"/>
      <c r="T16" s="24"/>
      <c r="U16" s="24"/>
      <c r="V16" s="24"/>
      <c r="W16" s="24"/>
    </row>
    <row r="17" spans="1:23" s="24" customFormat="1" ht="15" customHeight="1">
      <c r="A17" s="27" t="s">
        <v>1</v>
      </c>
      <c r="B17" s="2">
        <f>$B$16*2</f>
        <v>2</v>
      </c>
      <c r="C17" s="52" t="s">
        <v>163</v>
      </c>
      <c r="D17" s="80" t="s">
        <v>149</v>
      </c>
      <c r="E17" s="71" t="s">
        <v>150</v>
      </c>
      <c r="F17" s="78" t="s">
        <v>154</v>
      </c>
      <c r="G17" s="74" t="s">
        <v>153</v>
      </c>
      <c r="H17" s="79"/>
      <c r="I17" s="71">
        <f>COUNTIF(E17:H17,"*")</f>
        <v>3</v>
      </c>
      <c r="J17" s="78"/>
      <c r="K17" s="73"/>
      <c r="L17" s="210"/>
      <c r="M17" s="31" t="s">
        <v>114</v>
      </c>
      <c r="N17" s="34">
        <f>MAIN!$F$3+(MAIN!$E$18+MAIN!$E$19)/2*MAIN!$B$9+(MAIN!$E$20+MAIN!$E$21)/2*MAIN!$B$8+(MAIN!$E$69*MAIN!$B$11)+($P$3*MAIN!$B$10)</f>
        <v>4108</v>
      </c>
      <c r="O17" s="35">
        <f>MAIN!$G$3+(MAIN!$E$18+MAIN!$E$19)/2*MAIN!$B$9+(MAIN!$E$20+MAIN!$E$21)/2*MAIN!$B$8+(MAIN!$E$69*MAIN!$B$11)+($P$3*MAIN!$B$10)</f>
        <v>4116</v>
      </c>
      <c r="P17" s="34">
        <f>MAIN!$H$3+(MAIN!$E$18+MAIN!$E$19)/2*MAIN!$B$9+(MAIN!$E$20+MAIN!$E$21)/2*MAIN!$B$8+(MAIN!$E$69*MAIN!$B$11)+($P$3*MAIN!$B$10)</f>
        <v>4132</v>
      </c>
      <c r="Q17" s="35">
        <f>MAIN!$I$3+(MAIN!$E$18+MAIN!$E$19)/2*MAIN!$B$9+(MAIN!$E$20+MAIN!$E$21)/2*MAIN!$B$8+(MAIN!$E$69*MAIN!$B$11)+($P$3*MAIN!$B$10)</f>
        <v>4164</v>
      </c>
      <c r="R17" s="34">
        <f>MAIN!$J$3+(MAIN!$E$18+MAIN!$E$19)/2*MAIN!$B$9+(MAIN!$E$20+MAIN!$E$21)/2*MAIN!$B$8+(MAIN!$E$69*MAIN!$B$11)+($P$3*MAIN!$B$10)</f>
        <v>4228</v>
      </c>
    </row>
    <row r="18" spans="1:23" s="27" customFormat="1" ht="15" customHeight="1">
      <c r="A18" s="27" t="s">
        <v>2</v>
      </c>
      <c r="B18" s="2">
        <f>$B$17*2</f>
        <v>4</v>
      </c>
      <c r="C18" s="27" t="s">
        <v>150</v>
      </c>
      <c r="D18" s="80" t="s">
        <v>147</v>
      </c>
      <c r="E18" s="74" t="s">
        <v>153</v>
      </c>
      <c r="F18" s="72" t="s">
        <v>151</v>
      </c>
      <c r="G18" s="74" t="s">
        <v>150</v>
      </c>
      <c r="H18" s="48"/>
      <c r="I18" s="71">
        <f t="shared" ref="I18:I20" si="0">COUNTIF(E18:H18,"*")</f>
        <v>3</v>
      </c>
      <c r="J18" s="72"/>
      <c r="K18" s="74"/>
      <c r="L18" s="204"/>
      <c r="M18" s="32" t="s">
        <v>115</v>
      </c>
      <c r="N18" s="36">
        <f>MAIN!$F$4+(MAIN!$E$18+MAIN!$E$19)/2*MAIN!$B$9+(MAIN!$E$20+MAIN!$E$21)/2*MAIN!$B$8+(MAIN!$E$80*MAIN!$B$11)+($P$3*MAIN!$B$10)</f>
        <v>4032</v>
      </c>
      <c r="O18" s="36">
        <f>MAIN!$G$4+(MAIN!$E$18+MAIN!$E$19)/2*MAIN!$B$9+(MAIN!$E$20+MAIN!$E$21)/2*MAIN!$B$8+(MAIN!$E$80*MAIN!$B$11)+($P$3*MAIN!$B$10)</f>
        <v>4039</v>
      </c>
      <c r="P18" s="36">
        <f>MAIN!$H$4+(MAIN!$E$18+MAIN!$E$19)/2*MAIN!$B$9+(MAIN!$E$20+MAIN!$E$21)/2*MAIN!$B$8+(MAIN!$E$80*MAIN!$B$11)+($P$3*MAIN!$B$10)</f>
        <v>4053</v>
      </c>
      <c r="Q18" s="36">
        <f>MAIN!$I$4+(MAIN!$E$18+MAIN!$E$19)/2*MAIN!$B$9+(MAIN!$E$20+MAIN!$E$21)/2*MAIN!$B$8+(MAIN!$E$80*MAIN!$B$11)+($P$3*MAIN!$B$10)</f>
        <v>4081</v>
      </c>
      <c r="R18" s="36">
        <f>MAIN!$J$4+(MAIN!$E$18+MAIN!$E$19)/2*MAIN!$B$9+(MAIN!$E$20+MAIN!$E$21)/2*MAIN!$B$8+(MAIN!$E$80*MAIN!$B$11)+($P$3*MAIN!$B$10)</f>
        <v>4137</v>
      </c>
      <c r="S18" s="24"/>
      <c r="T18" s="24"/>
      <c r="U18" s="24"/>
      <c r="V18" s="24"/>
      <c r="W18" s="24"/>
    </row>
    <row r="19" spans="1:23" s="27" customFormat="1" ht="15" customHeight="1">
      <c r="A19" s="27" t="s">
        <v>3</v>
      </c>
      <c r="B19" s="2">
        <f>$B$18*2</f>
        <v>8</v>
      </c>
      <c r="C19" s="27" t="s">
        <v>151</v>
      </c>
      <c r="D19" s="80" t="s">
        <v>148</v>
      </c>
      <c r="E19" s="74" t="s">
        <v>153</v>
      </c>
      <c r="F19" s="72" t="s">
        <v>150</v>
      </c>
      <c r="G19" s="74" t="s">
        <v>151</v>
      </c>
      <c r="H19" s="48"/>
      <c r="I19" s="71">
        <f t="shared" si="0"/>
        <v>3</v>
      </c>
      <c r="J19" s="72"/>
      <c r="K19" s="74"/>
      <c r="L19" s="204"/>
      <c r="M19" s="31" t="s">
        <v>116</v>
      </c>
      <c r="N19" s="34">
        <f>MAIN!$F$5+(MAIN!$E$18+MAIN!$E$19)/2*MAIN!$B$9+(MAIN!$E$20+MAIN!$E$21)/2*MAIN!$B$8+(MAIN!$E$91*MAIN!$B$11)+($P$3*MAIN!$B$10)</f>
        <v>3804</v>
      </c>
      <c r="O19" s="35">
        <f>MAIN!$G$5+(MAIN!$E$18+MAIN!$E$19)/2*MAIN!$B$9+(MAIN!$E$20+MAIN!$E$21)/2*MAIN!$B$8+(MAIN!$E$91*MAIN!$B$11)+($P$3*MAIN!$B$10)</f>
        <v>3808</v>
      </c>
      <c r="P19" s="34">
        <f>MAIN!$H$5+(MAIN!$E$18+MAIN!$E$19)/2*MAIN!$B$9+(MAIN!$E$20+MAIN!$E$21)/2*MAIN!$B$8+(MAIN!$E$91*MAIN!$B$11)+($P$3*MAIN!$B$10)</f>
        <v>3816</v>
      </c>
      <c r="Q19" s="35">
        <f>MAIN!$I$5+(MAIN!$E$18+MAIN!$E$19)/2*MAIN!$B$9+(MAIN!$E$20+MAIN!$E$21)/2*MAIN!$B$8+(MAIN!$E$91*MAIN!$B$11)+($P$3*MAIN!$B$10)</f>
        <v>3832</v>
      </c>
      <c r="R19" s="34">
        <f>MAIN!$J$5+(MAIN!$E$18+MAIN!$E$19)/2*MAIN!$B$9+(MAIN!$E$20+MAIN!$E$21)/2*MAIN!$B$8+(MAIN!$E$91*MAIN!$B$11)+($P$3*MAIN!$B$10)</f>
        <v>3864</v>
      </c>
      <c r="S19" s="24"/>
      <c r="T19" s="24"/>
      <c r="U19" s="24"/>
      <c r="V19" s="24"/>
      <c r="W19" s="24"/>
    </row>
    <row r="20" spans="1:23" s="24" customFormat="1" ht="15" customHeight="1">
      <c r="A20" s="27" t="s">
        <v>4</v>
      </c>
      <c r="B20" s="2">
        <f>$B$19*2</f>
        <v>16</v>
      </c>
      <c r="C20" s="27" t="s">
        <v>153</v>
      </c>
      <c r="D20" s="80" t="s">
        <v>1334</v>
      </c>
      <c r="E20" s="74" t="s">
        <v>152</v>
      </c>
      <c r="F20" s="72" t="s">
        <v>153</v>
      </c>
      <c r="G20" s="74"/>
      <c r="H20" s="48"/>
      <c r="I20" s="71">
        <f t="shared" si="0"/>
        <v>2</v>
      </c>
      <c r="J20" s="72"/>
      <c r="K20" s="74"/>
      <c r="L20" s="207" t="s">
        <v>111</v>
      </c>
      <c r="M20" s="32" t="s">
        <v>6</v>
      </c>
      <c r="N20" s="36">
        <f>MAIN!$D$2+(MAIN!$F$18+MAIN!$F$19)/2*MAIN!$B$9+(MAIN!$F$20+MAIN!$F$21)/2*MAIN!$B$8+(MAIN!$F$47*MAIN!$B$11)+($Q$3*MAIN!$B$10)</f>
        <v>5252</v>
      </c>
      <c r="O20" s="36">
        <f>MAIN!$D$3+(MAIN!$F$18+MAIN!$F$19)/2*MAIN!$B$9+(MAIN!$F$20+MAIN!$F$21)/2*MAIN!$B$8+(MAIN!$F$47*MAIN!$B$11)+($Q$3*MAIN!$B$10)</f>
        <v>5254</v>
      </c>
      <c r="P20" s="36">
        <f>MAIN!$D$4+(MAIN!$F$18+MAIN!$F$19)/2*MAIN!$B$9+(MAIN!$F$20+MAIN!$F$21)/2*MAIN!$B$8+(MAIN!$F$47*MAIN!$B$11)+($Q$3*MAIN!$B$10)</f>
        <v>5258</v>
      </c>
      <c r="Q20" s="36">
        <f>MAIN!$D$5+(MAIN!$F$18+MAIN!$F$19)/2*MAIN!$B$9+(MAIN!$F$20+MAIN!$F$21)/2*MAIN!$B$8+(MAIN!$F$47*MAIN!$B$11)+($Q$3*MAIN!$B$10)</f>
        <v>5266</v>
      </c>
      <c r="R20" s="36">
        <f>MAIN!$D$6+(MAIN!$F$18+MAIN!$F$19)/2*MAIN!$B$9+(MAIN!$F$20+MAIN!$F$21)/2*MAIN!$B$8+(MAIN!$F$47*MAIN!$B$11)+($Q$3*MAIN!$B$10)</f>
        <v>5282</v>
      </c>
    </row>
    <row r="21" spans="1:23" s="24" customFormat="1" ht="15" customHeight="1">
      <c r="A21" s="27"/>
      <c r="B21" s="27"/>
      <c r="C21" s="27" t="s">
        <v>154</v>
      </c>
      <c r="D21" s="80" t="s">
        <v>1335</v>
      </c>
      <c r="E21" s="70"/>
      <c r="F21" s="70"/>
      <c r="G21" s="70"/>
      <c r="H21" s="13"/>
      <c r="I21" s="74"/>
      <c r="J21" s="72"/>
      <c r="K21" s="74"/>
      <c r="L21" s="208"/>
      <c r="M21" s="31" t="s">
        <v>113</v>
      </c>
      <c r="N21" s="34">
        <f>MAIN!$F$2+(MAIN!$F$18+MAIN!$F$19)/2*MAIN!$B$9+(MAIN!$F$20+MAIN!$F$21)/2*MAIN!$B$8+(MAIN!$F$58*MAIN!$B$11)+($Q$3*MAIN!$B$10)</f>
        <v>5630</v>
      </c>
      <c r="O21" s="35">
        <f>MAIN!$G$2+(MAIN!$F$18+MAIN!$F$19)/2*MAIN!$B$9+(MAIN!$F$20+MAIN!$F$21)/2*MAIN!$B$8+(MAIN!$F$58*MAIN!$B$11)+($Q$3*MAIN!$B$10)</f>
        <v>5635</v>
      </c>
      <c r="P21" s="34">
        <f>MAIN!$H$2+(MAIN!$F$18+MAIN!$F$19)/2*MAIN!$B$9+(MAIN!$F$20+MAIN!$F$21)/2*MAIN!$B$8+(MAIN!$F$58*MAIN!$B$11)+($Q$3*MAIN!$B$10)</f>
        <v>5645</v>
      </c>
      <c r="Q21" s="35">
        <f>MAIN!$I$2+(MAIN!$F$18+MAIN!$F$19)/2*MAIN!$B$9+(MAIN!$F$20+MAIN!$F$21)/2*MAIN!$B$8+(MAIN!$F$58*MAIN!$B$11)+($Q$3*MAIN!$B$10)</f>
        <v>5665</v>
      </c>
      <c r="R21" s="34">
        <f>MAIN!$J$2+(MAIN!$F$18+MAIN!$F$19)/2*MAIN!$B$9+(MAIN!$F$20+MAIN!$F$21)/2*MAIN!$B$8+(MAIN!$F$58*MAIN!$B$11)+($Q$3*MAIN!$B$10)</f>
        <v>5705</v>
      </c>
    </row>
    <row r="22" spans="1:23" s="24" customFormat="1" ht="15" customHeight="1">
      <c r="A22" s="27"/>
      <c r="B22" s="27"/>
      <c r="C22" s="27" t="s">
        <v>152</v>
      </c>
      <c r="D22" s="80" t="s">
        <v>157</v>
      </c>
      <c r="E22" s="70"/>
      <c r="F22" s="70"/>
      <c r="G22" s="70"/>
      <c r="H22" s="13"/>
      <c r="I22" s="74"/>
      <c r="J22" s="72"/>
      <c r="K22" s="74"/>
      <c r="L22" s="208"/>
      <c r="M22" s="32" t="s">
        <v>114</v>
      </c>
      <c r="N22" s="36">
        <f>MAIN!$F$3+(MAIN!$F$18+MAIN!$F$19)/2*MAIN!$B$9+(MAIN!$F$20+MAIN!$F$21)/2*MAIN!$B$8+(MAIN!$F$69*MAIN!$B$11)+($Q$3*MAIN!$B$10)</f>
        <v>6008</v>
      </c>
      <c r="O22" s="36">
        <f>MAIN!$G$3+(MAIN!$F$18+MAIN!$F$19)/2*MAIN!$B$9+(MAIN!$F$20+MAIN!$F$21)/2*MAIN!$B$8+(MAIN!$F$69*MAIN!$B$11)+($Q$3*MAIN!$B$10)</f>
        <v>6016</v>
      </c>
      <c r="P22" s="36">
        <f>MAIN!$H$3+(MAIN!$F$18+MAIN!$F$19)/2*MAIN!$B$9+(MAIN!$F$20+MAIN!$F$21)/2*MAIN!$B$8+(MAIN!$F$69*MAIN!$B$11)+($Q$3*MAIN!$B$10)</f>
        <v>6032</v>
      </c>
      <c r="Q22" s="36">
        <f>MAIN!$I$3+(MAIN!$F$18+MAIN!$F$19)/2*MAIN!$B$9+(MAIN!$F$20+MAIN!$F$21)/2*MAIN!$B$8+(MAIN!$F$69*MAIN!$B$11)+($Q$3*MAIN!$B$10)</f>
        <v>6064</v>
      </c>
      <c r="R22" s="36">
        <f>MAIN!$J$3+(MAIN!$F$18+MAIN!$F$19)/2*MAIN!$B$9+(MAIN!$F$20+MAIN!$F$21)/2*MAIN!$B$8+(MAIN!$F$69*MAIN!$B$11)+($Q$3*MAIN!$B$10)</f>
        <v>6128</v>
      </c>
    </row>
    <row r="23" spans="1:23" s="24" customFormat="1" ht="15" customHeight="1">
      <c r="A23" s="27"/>
      <c r="B23" s="27"/>
      <c r="C23" s="82" t="s">
        <v>155</v>
      </c>
      <c r="D23" s="80" t="s">
        <v>157</v>
      </c>
      <c r="E23" s="83"/>
      <c r="F23" s="83"/>
      <c r="G23" s="83"/>
      <c r="H23" s="13"/>
      <c r="I23" s="71"/>
      <c r="J23" s="72"/>
      <c r="K23" s="73"/>
      <c r="L23" s="199"/>
      <c r="M23" s="31" t="s">
        <v>115</v>
      </c>
      <c r="N23" s="34">
        <f>MAIN!$F$4+(MAIN!$F$18+MAIN!$F$19)/2*MAIN!$B$9+(MAIN!$F$20+MAIN!$F$21)/2*MAIN!$B$8+(MAIN!$F$80*MAIN!$B$11)+($Q$3*MAIN!$B$10)</f>
        <v>5882</v>
      </c>
      <c r="O23" s="35">
        <f>MAIN!$G$4+(MAIN!$F$18+MAIN!$F$19)/2*MAIN!$B$9+(MAIN!$F$20+MAIN!$F$21)/2*MAIN!$B$8+(MAIN!$F$80*MAIN!$B$11)+($Q$3*MAIN!$B$10)</f>
        <v>5889</v>
      </c>
      <c r="P23" s="34">
        <f>MAIN!$H$4+(MAIN!$F$18+MAIN!$F$19)/2*MAIN!$B$9+(MAIN!$F$20+MAIN!$F$21)/2*MAIN!$B$8+(MAIN!$F$80*MAIN!$B$11)+($Q$3*MAIN!$B$10)</f>
        <v>5903</v>
      </c>
      <c r="Q23" s="35">
        <f>MAIN!$I$4+(MAIN!$F$18+MAIN!$F$19)/2*MAIN!$B$9+(MAIN!$F$20+MAIN!$F$21)/2*MAIN!$B$8+(MAIN!$F$80*MAIN!$B$11)+($Q$3*MAIN!$B$10)</f>
        <v>5931</v>
      </c>
      <c r="R23" s="34">
        <f>MAIN!$J$4+(MAIN!$F$18+MAIN!$F$19)/2*MAIN!$B$9+(MAIN!$F$20+MAIN!$F$21)/2*MAIN!$B$8+(MAIN!$F$80*MAIN!$B$11)+($Q$3*MAIN!$B$10)</f>
        <v>5987</v>
      </c>
    </row>
    <row r="24" spans="1:23" s="24" customFormat="1" ht="15" customHeight="1">
      <c r="A24" s="27"/>
      <c r="B24" s="27"/>
      <c r="D24" s="80" t="s">
        <v>157</v>
      </c>
      <c r="L24" s="209"/>
      <c r="M24" s="32" t="s">
        <v>116</v>
      </c>
      <c r="N24" s="36">
        <f>MAIN!$F$5+(MAIN!$F$18+MAIN!$F$19)/2*MAIN!$B$9+(MAIN!$F$20+MAIN!$F$21)/2*MAIN!$B$8+(MAIN!$F$91*MAIN!$B$11)+($Q$3*MAIN!$B$10)</f>
        <v>5504</v>
      </c>
      <c r="O24" s="36">
        <f>MAIN!$G$5+(MAIN!$F$18+MAIN!$F$19)/2*MAIN!$B$9+(MAIN!$F$20+MAIN!$F$21)/2*MAIN!$B$8+(MAIN!$F$91*MAIN!$B$11)+($Q$3*MAIN!$B$10)</f>
        <v>5508</v>
      </c>
      <c r="P24" s="36">
        <f>MAIN!$H$5+(MAIN!$F$18+MAIN!$F$19)/2*MAIN!$B$9+(MAIN!$F$20+MAIN!$F$21)/2*MAIN!$B$8+(MAIN!$F$91*MAIN!$B$11)+($Q$3*MAIN!$B$10)</f>
        <v>5516</v>
      </c>
      <c r="Q24" s="36">
        <f>MAIN!$I$5+(MAIN!$F$18+MAIN!$F$19)/2*MAIN!$B$9+(MAIN!$F$20+MAIN!$F$21)/2*MAIN!$B$8+(MAIN!$F$91*MAIN!$B$11)+($Q$3*MAIN!$B$10)</f>
        <v>5532</v>
      </c>
      <c r="R24" s="36">
        <f>MAIN!$J$5+(MAIN!$F$18+MAIN!$F$19)/2*MAIN!$B$9+(MAIN!$F$20+MAIN!$F$21)/2*MAIN!$B$8+(MAIN!$F$91*MAIN!$B$11)+($Q$3*MAIN!$B$10)</f>
        <v>5564</v>
      </c>
    </row>
    <row r="25" spans="1:23" s="24" customFormat="1" ht="15" customHeight="1">
      <c r="A25" s="27"/>
      <c r="B25" s="159"/>
      <c r="L25" s="204" t="s">
        <v>112</v>
      </c>
      <c r="M25" s="31" t="s">
        <v>6</v>
      </c>
      <c r="N25" s="34">
        <f>MAIN!$D$2+(MAIN!$G$18+MAIN!$G$19)/2*MAIN!$B$9+(MAIN!$G$20+MAIN!$G$21)/2*MAIN!$B$8+(MAIN!$G$47*MAIN!$B$11)+($R$3*MAIN!$B$10)</f>
        <v>6852</v>
      </c>
      <c r="O25" s="35">
        <f>MAIN!$D$3+(MAIN!$G$18+MAIN!$G$19)/2*MAIN!$B$9+(MAIN!$G$20+MAIN!$G$21)/2*MAIN!$B$8+(MAIN!$G$47*MAIN!$B$11)+($R$3*MAIN!$B$10)</f>
        <v>6854</v>
      </c>
      <c r="P25" s="34">
        <f>MAIN!$D$4+(MAIN!$G$18+MAIN!$G$19)/2*MAIN!$B$9+(MAIN!$G$20+MAIN!$G$21)/2*MAIN!$B$8+(MAIN!$G$47*MAIN!$B$11)+($R$3*MAIN!$B$10)</f>
        <v>6858</v>
      </c>
      <c r="Q25" s="35">
        <f>MAIN!$D$5+(MAIN!$G$18+MAIN!$G$19)/2*MAIN!$B$9+(MAIN!$G$20+MAIN!$G$21)/2*MAIN!$B$8+(MAIN!$G$47*MAIN!$B$11)+($R$3*MAIN!$B$10)</f>
        <v>6866</v>
      </c>
      <c r="R25" s="34">
        <f>MAIN!$D$6+(MAIN!$G$18+MAIN!$G$19)/2*MAIN!$B$9+(MAIN!$G$20+MAIN!$G$21)/2*MAIN!$B$8+(MAIN!$G$47*MAIN!$B$11)+($R$3*MAIN!$B$10)</f>
        <v>6882</v>
      </c>
    </row>
    <row r="26" spans="1:23" s="24" customFormat="1" ht="15" customHeight="1">
      <c r="A26" s="27"/>
      <c r="B26" s="164"/>
      <c r="L26" s="204"/>
      <c r="M26" s="32" t="s">
        <v>113</v>
      </c>
      <c r="N26" s="36">
        <f>MAIN!$F$2+(MAIN!$G$18+MAIN!$G$19)/2*MAIN!$B$9+(MAIN!$G$20+MAIN!$G$21)/2*MAIN!$B$8+(MAIN!$G$58*MAIN!$B$11)+($R$3*MAIN!$B$10)</f>
        <v>7380</v>
      </c>
      <c r="O26" s="36">
        <f>MAIN!$G$2+(MAIN!$G$18+MAIN!$G$19)/2*MAIN!$B$9+(MAIN!$G$20+MAIN!$G$21)/2*MAIN!$B$8+(MAIN!$G$58*MAIN!$B$11)+($R$3*MAIN!$B$10)</f>
        <v>7385</v>
      </c>
      <c r="P26" s="36">
        <f>MAIN!$H$2+(MAIN!$G$18+MAIN!$G$19)/2*MAIN!$B$9+(MAIN!$G$20+MAIN!$G$21)/2*MAIN!$B$8+(MAIN!$G$58*MAIN!$B$11)+($R$3*MAIN!$B$10)</f>
        <v>7395</v>
      </c>
      <c r="Q26" s="36">
        <f>MAIN!$I$2+(MAIN!$G$18+MAIN!$G$19)/2*MAIN!$B$9+(MAIN!$G$20+MAIN!$G$21)/2*MAIN!$B$8+(MAIN!$G$58*MAIN!$B$11)+($R$3*MAIN!$B$10)</f>
        <v>7415</v>
      </c>
      <c r="R26" s="36">
        <f>MAIN!$J$2+(MAIN!$G$18+MAIN!$G$19)/2*MAIN!$B$9+(MAIN!$G$20+MAIN!$G$21)/2*MAIN!$B$8+(MAIN!$G$58*MAIN!$B$11)+($R$3*MAIN!$B$10)</f>
        <v>7455</v>
      </c>
    </row>
    <row r="27" spans="1:23" s="24" customFormat="1" ht="15" customHeight="1">
      <c r="A27" s="27"/>
      <c r="B27" s="165"/>
      <c r="L27" s="204"/>
      <c r="M27" s="31" t="s">
        <v>114</v>
      </c>
      <c r="N27" s="34">
        <f>MAIN!$F$3+(MAIN!$G$18+MAIN!$G$19)/2*MAIN!$B$9+(MAIN!$G$20+MAIN!$G$21)/2*MAIN!$B$8+(MAIN!$G$69*MAIN!$B$11)+($R$3*MAIN!$B$10)</f>
        <v>7908</v>
      </c>
      <c r="O27" s="35">
        <f>MAIN!$G$3+(MAIN!$G$18+MAIN!$G$19)/2*MAIN!$B$9+(MAIN!$G$20+MAIN!$G$21)/2*MAIN!$B$8+(MAIN!$G$69*MAIN!$B$11)+($R$3*MAIN!$B$10)</f>
        <v>7916</v>
      </c>
      <c r="P27" s="34">
        <f>MAIN!$H$3+(MAIN!$G$18+MAIN!$G$19)/2*MAIN!$B$9+(MAIN!$G$20+MAIN!$G$21)/2*MAIN!$B$8+(MAIN!$G$69*MAIN!$B$11)+($R$3*MAIN!$B$10)</f>
        <v>7932</v>
      </c>
      <c r="Q27" s="35">
        <f>MAIN!$I$3+(MAIN!$G$18+MAIN!$G$19)/2*MAIN!$B$9+(MAIN!$G$20+MAIN!$G$21)/2*MAIN!$B$8+(MAIN!$G$69*MAIN!$B$11)+($R$3*MAIN!$B$10)</f>
        <v>7964</v>
      </c>
      <c r="R27" s="34">
        <f>MAIN!$J$3+(MAIN!$G$18+MAIN!$G$19)/2*MAIN!$B$9+(MAIN!$G$20+MAIN!$G$21)/2*MAIN!$B$8+(MAIN!$G$69*MAIN!$B$11)+($R$3*MAIN!$B$10)</f>
        <v>8028</v>
      </c>
    </row>
    <row r="28" spans="1:23" s="24" customFormat="1" ht="15" customHeight="1">
      <c r="A28" s="27"/>
      <c r="B28" s="27"/>
      <c r="L28" s="204"/>
      <c r="M28" s="32" t="s">
        <v>115</v>
      </c>
      <c r="N28" s="36">
        <f>MAIN!$F$4+(MAIN!$G$18+MAIN!$G$19)/2*MAIN!$B$9+(MAIN!$G$20+MAIN!$G$21)/2*MAIN!$B$8+(MAIN!$G$80*MAIN!$B$11)+($R$3*MAIN!$B$10)</f>
        <v>7732</v>
      </c>
      <c r="O28" s="36">
        <f>MAIN!$G$4+(MAIN!$G$18+MAIN!$G$19)/2*MAIN!$B$9+(MAIN!$G$20+MAIN!$G$21)/2*MAIN!$B$8+(MAIN!$G$80*MAIN!$B$11)+($R$3*MAIN!$B$10)</f>
        <v>7739</v>
      </c>
      <c r="P28" s="36">
        <f>MAIN!$H$4+(MAIN!$G$18+MAIN!$G$19)/2*MAIN!$B$9+(MAIN!$G$20+MAIN!$G$21)/2*MAIN!$B$8+(MAIN!$G$80*MAIN!$B$11)+($R$3*MAIN!$B$10)</f>
        <v>7753</v>
      </c>
      <c r="Q28" s="36">
        <f>MAIN!$I$4+(MAIN!$G$18+MAIN!$G$19)/2*MAIN!$B$9+(MAIN!$G$20+MAIN!$G$21)/2*MAIN!$B$8+(MAIN!$G$80*MAIN!$B$11)+($R$3*MAIN!$B$10)</f>
        <v>7781</v>
      </c>
      <c r="R28" s="36">
        <f>MAIN!$J$4+(MAIN!$G$18+MAIN!$G$19)/2*MAIN!$B$9+(MAIN!$G$20+MAIN!$G$21)/2*MAIN!$B$8+(MAIN!$G$80*MAIN!$B$11)+($R$3*MAIN!$B$10)</f>
        <v>7837</v>
      </c>
    </row>
    <row r="29" spans="1:23" s="24" customFormat="1" ht="15" customHeight="1">
      <c r="A29" s="50"/>
      <c r="B29" s="202" t="s">
        <v>192</v>
      </c>
      <c r="C29" s="202"/>
      <c r="D29" s="202"/>
      <c r="E29" s="202"/>
      <c r="F29" s="202"/>
      <c r="G29" s="202"/>
      <c r="H29" s="202"/>
      <c r="I29" s="203"/>
      <c r="L29" s="204"/>
      <c r="M29" s="31" t="s">
        <v>116</v>
      </c>
      <c r="N29" s="34">
        <f>MAIN!$F$5+(MAIN!$G$18+MAIN!$G$19)/2*MAIN!$B$9+(MAIN!$G$20+MAIN!$G$21)/2*MAIN!$B$8+(MAIN!$G$91*MAIN!$B$11)+($R$3*MAIN!$B$10)</f>
        <v>7204</v>
      </c>
      <c r="O29" s="35">
        <f>MAIN!$G$5+(MAIN!$G$18+MAIN!$G$19)/2*MAIN!$B$9+(MAIN!$G$20+MAIN!$G$21)/2*MAIN!$B$8+(MAIN!$G$91*MAIN!$B$11)+($R$3*MAIN!$B$10)</f>
        <v>7208</v>
      </c>
      <c r="P29" s="34">
        <f>MAIN!$H$5+(MAIN!$G$18+MAIN!$G$19)/2*MAIN!$B$9+(MAIN!$G$20+MAIN!$G$21)/2*MAIN!$B$8+(MAIN!$G$91*MAIN!$B$11)+($R$3*MAIN!$B$10)</f>
        <v>7216</v>
      </c>
      <c r="Q29" s="35">
        <f>MAIN!$I$5+(MAIN!$G$18+MAIN!$G$19)/2*MAIN!$B$9+(MAIN!$G$20+MAIN!$G$21)/2*MAIN!$B$8+(MAIN!$G$91*MAIN!$B$11)+($R$3*MAIN!$B$10)</f>
        <v>7232</v>
      </c>
      <c r="R29" s="34">
        <f>MAIN!$J$5+(MAIN!$G$18+MAIN!$G$19)/2*MAIN!$B$9+(MAIN!$G$20+MAIN!$G$21)/2*MAIN!$B$8+(MAIN!$G$91*MAIN!$B$11)+($R$3*MAIN!$B$10)</f>
        <v>7264</v>
      </c>
    </row>
    <row r="30" spans="1:23" s="24" customFormat="1" ht="15" customHeight="1">
      <c r="A30" s="50"/>
      <c r="B30" s="206" t="s">
        <v>149</v>
      </c>
      <c r="C30" s="206"/>
      <c r="D30" s="206" t="s">
        <v>147</v>
      </c>
      <c r="E30" s="206"/>
      <c r="F30" s="206" t="s">
        <v>148</v>
      </c>
      <c r="G30" s="206"/>
      <c r="H30" s="206" t="s">
        <v>157</v>
      </c>
      <c r="I30" s="206"/>
      <c r="M30"/>
      <c r="N30"/>
      <c r="O30"/>
      <c r="P30"/>
      <c r="Q30"/>
    </row>
    <row r="31" spans="1:23" s="27" customFormat="1" ht="15" customHeight="1">
      <c r="A31" s="162" t="s">
        <v>19</v>
      </c>
      <c r="B31" s="59" t="s">
        <v>143</v>
      </c>
      <c r="C31" s="59" t="s">
        <v>156</v>
      </c>
      <c r="D31" s="59" t="s">
        <v>143</v>
      </c>
      <c r="E31" s="59" t="s">
        <v>156</v>
      </c>
      <c r="F31" s="59" t="s">
        <v>143</v>
      </c>
      <c r="G31" s="59" t="s">
        <v>156</v>
      </c>
      <c r="H31" s="59" t="s">
        <v>143</v>
      </c>
      <c r="I31" s="59" t="s">
        <v>156</v>
      </c>
    </row>
    <row r="32" spans="1:23" s="24" customFormat="1" ht="15" customHeight="1">
      <c r="A32" s="163">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2"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2" t="s">
        <v>1310</v>
      </c>
      <c r="K36" s="143">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2" t="s">
        <v>1313</v>
      </c>
      <c r="K37" s="143">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4"/>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6"/>
      <c r="G47"/>
      <c r="H47" s="127"/>
      <c r="I47" s="127"/>
      <c r="Z47" s="24"/>
      <c r="AA47" s="24"/>
    </row>
    <row r="48" spans="1:27">
      <c r="Z48" s="24"/>
      <c r="AA48" s="24"/>
    </row>
    <row r="49" spans="1:27">
      <c r="Z49" s="24"/>
      <c r="AA49" s="24"/>
    </row>
    <row r="50" spans="1:27">
      <c r="Z50" s="24"/>
      <c r="AA50" s="24"/>
    </row>
    <row r="51" spans="1:27">
      <c r="A51" s="75"/>
      <c r="B51" s="183" t="s">
        <v>213</v>
      </c>
      <c r="C51" s="183"/>
      <c r="D51" s="183"/>
      <c r="E51" s="183"/>
      <c r="F51" s="183" t="s">
        <v>233</v>
      </c>
      <c r="G51" s="183"/>
      <c r="H51" s="183"/>
      <c r="I51" s="183"/>
      <c r="J51" s="161" t="s">
        <v>19</v>
      </c>
      <c r="K51" s="161" t="s">
        <v>5</v>
      </c>
      <c r="L51" s="161" t="s">
        <v>203</v>
      </c>
      <c r="M51" s="181" t="s">
        <v>1321</v>
      </c>
      <c r="N51" s="181"/>
      <c r="O51" s="181"/>
      <c r="P51" s="42"/>
      <c r="Q51" s="159"/>
      <c r="Z51" s="24"/>
      <c r="AA51" s="24"/>
    </row>
    <row r="52" spans="1:27" ht="15.75">
      <c r="A52" s="75"/>
      <c r="B52" s="184" t="s">
        <v>214</v>
      </c>
      <c r="C52" s="185"/>
      <c r="D52" s="185"/>
      <c r="E52" s="185"/>
      <c r="F52" s="184" t="s">
        <v>216</v>
      </c>
      <c r="G52" s="185"/>
      <c r="H52" s="185"/>
      <c r="I52" s="185"/>
      <c r="J52">
        <v>1</v>
      </c>
      <c r="K52">
        <f>ListItemsCraft!C53</f>
        <v>1</v>
      </c>
      <c r="L52" s="139" t="s">
        <v>587</v>
      </c>
      <c r="M52" s="160" t="s">
        <v>886</v>
      </c>
      <c r="N52" s="141" t="s">
        <v>1275</v>
      </c>
      <c r="O52" s="157"/>
      <c r="P52" t="s">
        <v>1323</v>
      </c>
      <c r="Q52" s="159"/>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9" t="s">
        <v>603</v>
      </c>
      <c r="M53" s="141" t="s">
        <v>924</v>
      </c>
      <c r="N53" s="160" t="s">
        <v>694</v>
      </c>
      <c r="O53" s="157"/>
      <c r="P53" s="158" t="s">
        <v>1324</v>
      </c>
      <c r="Q53" s="159"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9" t="s">
        <v>634</v>
      </c>
      <c r="M54" s="160" t="s">
        <v>1311</v>
      </c>
      <c r="N54" s="27"/>
      <c r="O54" s="157"/>
      <c r="P54" s="158" t="s">
        <v>1324</v>
      </c>
      <c r="Q54" s="159"/>
      <c r="Z54" s="24"/>
      <c r="AA54" s="24"/>
    </row>
    <row r="55" spans="1:27" ht="15.75">
      <c r="A55" s="61">
        <f t="shared" si="3"/>
        <v>3</v>
      </c>
      <c r="B55" s="61" t="s">
        <v>218</v>
      </c>
      <c r="C55" s="61">
        <f>A55</f>
        <v>3</v>
      </c>
      <c r="D55" s="61">
        <v>2</v>
      </c>
      <c r="E55" s="61">
        <f t="shared" ref="E55:E66" si="4">C55/D55</f>
        <v>1.5</v>
      </c>
      <c r="F55" s="60" t="s">
        <v>188</v>
      </c>
      <c r="G55" s="60">
        <f>A54</f>
        <v>1</v>
      </c>
      <c r="H55" s="60">
        <v>3</v>
      </c>
      <c r="I55" s="60">
        <f>ROUNDUP(G55/H55,1)</f>
        <v>0.4</v>
      </c>
      <c r="J55">
        <v>5</v>
      </c>
      <c r="K55">
        <f>ListItemsCraft!C175</f>
        <v>6</v>
      </c>
      <c r="L55" s="139" t="s">
        <v>708</v>
      </c>
      <c r="M55" s="160" t="s">
        <v>862</v>
      </c>
      <c r="N55" s="160" t="s">
        <v>603</v>
      </c>
      <c r="O55" s="157"/>
      <c r="P55" s="158"/>
      <c r="Q55" s="159"/>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3.5</v>
      </c>
      <c r="L56" s="139" t="s">
        <v>850</v>
      </c>
      <c r="M56" s="160" t="s">
        <v>587</v>
      </c>
      <c r="N56" s="160" t="s">
        <v>1267</v>
      </c>
      <c r="O56" s="157"/>
      <c r="P56" s="158"/>
      <c r="Q56" s="159"/>
    </row>
    <row r="57" spans="1:27" s="152"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9" t="s">
        <v>862</v>
      </c>
      <c r="M57" s="160" t="s">
        <v>646</v>
      </c>
      <c r="N57" s="27"/>
      <c r="O57" s="157"/>
      <c r="P57" s="158"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1</v>
      </c>
      <c r="L58" s="139" t="s">
        <v>941</v>
      </c>
      <c r="M58" s="160" t="s">
        <v>606</v>
      </c>
      <c r="N58" s="158"/>
      <c r="O58" s="159"/>
      <c r="P58" s="158"/>
      <c r="Q58" s="159"/>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9" t="s">
        <v>953</v>
      </c>
      <c r="M59" s="141" t="s">
        <v>559</v>
      </c>
      <c r="N59" s="141" t="s">
        <v>1273</v>
      </c>
      <c r="O59" s="141" t="s">
        <v>1048</v>
      </c>
      <c r="P59" s="27"/>
      <c r="Q59" s="159"/>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7.5</v>
      </c>
      <c r="L60" s="139" t="s">
        <v>969</v>
      </c>
      <c r="M60" s="160" t="s">
        <v>862</v>
      </c>
      <c r="N60" s="160" t="s">
        <v>1267</v>
      </c>
      <c r="O60" s="157"/>
      <c r="P60" s="158"/>
      <c r="Q60" s="159"/>
      <c r="R60" s="154"/>
    </row>
    <row r="61" spans="1:27" ht="15.75">
      <c r="A61" s="68"/>
      <c r="B61" s="64" t="s">
        <v>234</v>
      </c>
      <c r="C61" s="64">
        <f>C54*C7</f>
        <v>9</v>
      </c>
      <c r="D61" s="64">
        <v>2</v>
      </c>
      <c r="E61" s="64">
        <f>C61/D61</f>
        <v>4.5</v>
      </c>
      <c r="F61"/>
      <c r="G61"/>
      <c r="H61"/>
      <c r="I61"/>
      <c r="J61">
        <v>2</v>
      </c>
      <c r="K61">
        <f>ListItemsCraft!C449</f>
        <v>1</v>
      </c>
      <c r="L61" s="139" t="s">
        <v>982</v>
      </c>
      <c r="M61" s="141" t="s">
        <v>550</v>
      </c>
      <c r="N61" s="141" t="s">
        <v>961</v>
      </c>
      <c r="O61" s="157"/>
      <c r="P61" s="158"/>
      <c r="Q61" s="159"/>
      <c r="R61" t="s">
        <v>1315</v>
      </c>
    </row>
    <row r="62" spans="1:27" ht="15.75">
      <c r="A62" s="68"/>
      <c r="B62" s="64" t="s">
        <v>223</v>
      </c>
      <c r="C62" s="64">
        <f>C54*C7</f>
        <v>9</v>
      </c>
      <c r="D62" s="64">
        <v>2</v>
      </c>
      <c r="E62" s="64">
        <f t="shared" si="4"/>
        <v>4.5</v>
      </c>
      <c r="F62" s="154"/>
      <c r="G62"/>
      <c r="H62"/>
      <c r="I62"/>
      <c r="J62">
        <v>4</v>
      </c>
      <c r="K62">
        <f>ListItemsCraft!C508</f>
        <v>1</v>
      </c>
      <c r="L62" s="139" t="s">
        <v>1040</v>
      </c>
      <c r="M62" s="160" t="s">
        <v>1046</v>
      </c>
      <c r="N62" s="27"/>
      <c r="O62" s="157"/>
      <c r="P62" s="158"/>
      <c r="Q62" s="159"/>
      <c r="R62" s="27"/>
      <c r="S62" s="27"/>
      <c r="T62" s="27"/>
      <c r="U62" s="27"/>
      <c r="Y62" s="154"/>
      <c r="Z62" s="24"/>
      <c r="AA62" s="24"/>
    </row>
    <row r="63" spans="1:27" s="42" customFormat="1" ht="15.75">
      <c r="A63" s="68"/>
      <c r="B63" s="64" t="s">
        <v>224</v>
      </c>
      <c r="C63" s="64">
        <f>C54*C7</f>
        <v>9</v>
      </c>
      <c r="D63" s="64">
        <v>1</v>
      </c>
      <c r="E63" s="64">
        <f t="shared" si="4"/>
        <v>9</v>
      </c>
      <c r="F63"/>
      <c r="G63"/>
      <c r="H63"/>
      <c r="I63"/>
      <c r="J63">
        <v>6</v>
      </c>
      <c r="K63">
        <f>ListItemsCraft!C528</f>
        <v>1</v>
      </c>
      <c r="L63" s="139" t="s">
        <v>1060</v>
      </c>
      <c r="M63" s="141" t="s">
        <v>1066</v>
      </c>
      <c r="N63" s="141" t="s">
        <v>1052</v>
      </c>
      <c r="O63" s="157"/>
      <c r="P63" s="158"/>
      <c r="Q63" s="159"/>
      <c r="V63" s="27"/>
      <c r="W63"/>
      <c r="X63" s="27"/>
      <c r="Y63" s="27"/>
    </row>
    <row r="64" spans="1:27" ht="15.75">
      <c r="A64" s="151"/>
      <c r="B64" s="64" t="s">
        <v>1332</v>
      </c>
      <c r="C64" s="64">
        <f>A58</f>
        <v>9</v>
      </c>
      <c r="D64" s="64">
        <v>4</v>
      </c>
      <c r="E64" s="64">
        <f t="shared" si="4"/>
        <v>2.25</v>
      </c>
      <c r="F64"/>
      <c r="G64"/>
      <c r="H64"/>
      <c r="I64"/>
      <c r="J64">
        <v>6</v>
      </c>
      <c r="K64">
        <f>ListItemsCraft!C571</f>
        <v>2</v>
      </c>
      <c r="L64" s="139" t="s">
        <v>1103</v>
      </c>
      <c r="M64" s="160" t="s">
        <v>603</v>
      </c>
      <c r="N64" s="160" t="s">
        <v>1129</v>
      </c>
      <c r="O64" s="157"/>
      <c r="P64" s="158"/>
      <c r="Q64" s="159"/>
      <c r="X64" s="42"/>
      <c r="Y64" s="42"/>
      <c r="Z64" s="24"/>
      <c r="AA64" s="24"/>
    </row>
    <row r="65" spans="1:27" ht="15.75">
      <c r="A65" s="76"/>
      <c r="B65" s="64" t="s">
        <v>1318</v>
      </c>
      <c r="C65" s="64">
        <f>A58</f>
        <v>9</v>
      </c>
      <c r="D65" s="64">
        <v>1</v>
      </c>
      <c r="E65" s="64">
        <f t="shared" si="4"/>
        <v>9</v>
      </c>
      <c r="F65" s="152"/>
      <c r="G65" s="152"/>
      <c r="H65" s="152"/>
      <c r="I65" s="152"/>
      <c r="J65">
        <v>2</v>
      </c>
      <c r="K65">
        <f>ListItemsCraft!C597</f>
        <v>1</v>
      </c>
      <c r="L65" s="139" t="s">
        <v>1129</v>
      </c>
      <c r="M65" s="141" t="s">
        <v>1081</v>
      </c>
      <c r="N65" s="141" t="s">
        <v>1145</v>
      </c>
      <c r="O65" s="157"/>
      <c r="P65" s="158"/>
      <c r="Q65" s="159"/>
      <c r="X65" s="27"/>
      <c r="Y65" s="27"/>
      <c r="Z65" s="24"/>
      <c r="AA65" s="24"/>
    </row>
    <row r="66" spans="1:27" ht="15.75">
      <c r="B66" s="65" t="s">
        <v>225</v>
      </c>
      <c r="C66" s="65">
        <f>C54*C8</f>
        <v>11</v>
      </c>
      <c r="D66" s="65">
        <v>2</v>
      </c>
      <c r="E66" s="65">
        <f t="shared" si="4"/>
        <v>5.5</v>
      </c>
      <c r="J66">
        <v>1</v>
      </c>
      <c r="K66">
        <f>ListItemsCraft!C735</f>
        <v>2.5</v>
      </c>
      <c r="L66" s="139" t="s">
        <v>1267</v>
      </c>
      <c r="M66" s="141" t="s">
        <v>962</v>
      </c>
      <c r="N66" s="141" t="s">
        <v>614</v>
      </c>
      <c r="O66" s="157"/>
      <c r="P66" s="158" t="s">
        <v>1323</v>
      </c>
      <c r="Q66" s="159"/>
      <c r="X66" s="27"/>
      <c r="Y66" s="27"/>
      <c r="Z66" s="24"/>
      <c r="AA66" s="24"/>
    </row>
    <row r="67" spans="1:27" ht="15.75">
      <c r="J67">
        <v>2</v>
      </c>
      <c r="K67">
        <f>ListItemsCraft!C756</f>
        <v>1</v>
      </c>
      <c r="L67" s="139" t="s">
        <v>1288</v>
      </c>
      <c r="M67" s="141" t="s">
        <v>715</v>
      </c>
      <c r="N67" s="141" t="s">
        <v>1241</v>
      </c>
      <c r="O67" s="157"/>
      <c r="P67" s="158"/>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8"/>
    </row>
    <row r="82" spans="2:22">
      <c r="F82"/>
      <c r="G82"/>
      <c r="J82"/>
      <c r="K82"/>
      <c r="L82"/>
      <c r="M82"/>
    </row>
    <row r="83" spans="2:22">
      <c r="B83"/>
      <c r="C83"/>
      <c r="F83"/>
      <c r="G83"/>
      <c r="J83"/>
      <c r="K83"/>
      <c r="L83"/>
      <c r="M83"/>
    </row>
    <row r="84" spans="2:22">
      <c r="B84"/>
      <c r="C84"/>
      <c r="D84"/>
      <c r="E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E87"/>
      <c r="F87"/>
      <c r="G87"/>
      <c r="H87"/>
      <c r="I87"/>
      <c r="J87"/>
      <c r="K87"/>
      <c r="L87"/>
      <c r="M87"/>
    </row>
    <row r="88" spans="2:22">
      <c r="B88"/>
      <c r="C88"/>
      <c r="D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s="42"/>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c r="C124"/>
      <c r="D124"/>
      <c r="E124"/>
      <c r="F124"/>
      <c r="G124"/>
      <c r="H124"/>
      <c r="I124"/>
      <c r="J124"/>
      <c r="K124"/>
      <c r="L124"/>
      <c r="M124"/>
    </row>
    <row r="125" spans="2:13">
      <c r="B125"/>
      <c r="C125"/>
      <c r="D125"/>
      <c r="E125" s="42"/>
      <c r="F125"/>
      <c r="G125"/>
      <c r="H125"/>
      <c r="I125"/>
      <c r="J125"/>
      <c r="K125"/>
      <c r="L125"/>
      <c r="M125"/>
    </row>
    <row r="126" spans="2:13">
      <c r="B126"/>
      <c r="C126" s="42"/>
      <c r="D126" s="42"/>
      <c r="E126" s="42"/>
      <c r="F126"/>
      <c r="G126"/>
      <c r="H126"/>
      <c r="I126"/>
      <c r="J126"/>
      <c r="K126"/>
      <c r="L126"/>
      <c r="M126"/>
    </row>
    <row r="127" spans="2:13">
      <c r="B127"/>
      <c r="C127" s="42"/>
      <c r="D127" s="42"/>
      <c r="E127" s="42"/>
      <c r="F127"/>
      <c r="G127"/>
      <c r="H127"/>
      <c r="I127"/>
      <c r="J127"/>
      <c r="K127"/>
      <c r="L127"/>
      <c r="M127"/>
    </row>
    <row r="128" spans="2:13">
      <c r="B128"/>
      <c r="C128" s="42"/>
      <c r="D128" s="42"/>
      <c r="E128"/>
      <c r="F128"/>
      <c r="G128"/>
      <c r="H128"/>
      <c r="I128"/>
      <c r="J128"/>
      <c r="K128"/>
      <c r="L128"/>
      <c r="M128"/>
    </row>
    <row r="129" spans="2:13">
      <c r="B129"/>
      <c r="C129"/>
      <c r="D129"/>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C490"/>
      <c r="D490"/>
      <c r="E490"/>
      <c r="L490"/>
      <c r="M490"/>
    </row>
    <row r="491" spans="2:13">
      <c r="C491"/>
      <c r="D491"/>
      <c r="E491"/>
      <c r="L491"/>
      <c r="M491"/>
    </row>
    <row r="492" spans="2:13">
      <c r="C492"/>
      <c r="D492"/>
      <c r="E492"/>
      <c r="L492"/>
      <c r="M492"/>
    </row>
    <row r="493" spans="2:13">
      <c r="C493"/>
      <c r="D493"/>
      <c r="E493"/>
      <c r="L493"/>
      <c r="M493"/>
    </row>
    <row r="494" spans="2:13">
      <c r="C494"/>
      <c r="D494"/>
      <c r="L494"/>
      <c r="M494"/>
    </row>
    <row r="495" spans="2:13">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763"/>
  <sheetViews>
    <sheetView workbookViewId="0">
      <selection activeCell="A15" sqref="A15"/>
    </sheetView>
  </sheetViews>
  <sheetFormatPr baseColWidth="10" defaultRowHeight="15"/>
  <cols>
    <col min="1" max="1" width="24.7109375" style="154" customWidth="1"/>
    <col min="2" max="2" width="34.7109375" customWidth="1"/>
    <col min="3" max="3" width="11.42578125" style="130"/>
    <col min="4" max="4" width="8.85546875" style="133"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31"/>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5" customFormat="1">
      <c r="B2" s="132" t="s">
        <v>1305</v>
      </c>
      <c r="C2" s="132">
        <v>0</v>
      </c>
      <c r="D2" s="132"/>
      <c r="E2" s="134"/>
      <c r="F2" s="134"/>
      <c r="G2" s="134"/>
      <c r="H2" s="134"/>
      <c r="I2" s="134"/>
      <c r="J2" s="134"/>
      <c r="K2" s="134"/>
      <c r="L2" s="134"/>
      <c r="M2" s="134"/>
      <c r="N2" s="134"/>
      <c r="O2" s="134"/>
      <c r="P2" s="134"/>
      <c r="Q2" s="134"/>
      <c r="R2" s="134"/>
      <c r="S2" s="134"/>
      <c r="T2" s="134"/>
      <c r="U2" s="134"/>
      <c r="V2" s="134"/>
    </row>
    <row r="3" spans="1:22" ht="15.75">
      <c r="A3" s="154" t="s">
        <v>1345</v>
      </c>
      <c r="B3" s="125" t="s">
        <v>536</v>
      </c>
      <c r="C3" s="130">
        <f>(G3*F3)+(I3*J3)+(L3*M3)+(O3*P3)+(R3*S3)+(U3*V3)</f>
        <v>36</v>
      </c>
      <c r="E3" t="s">
        <v>542</v>
      </c>
      <c r="F3">
        <v>4</v>
      </c>
      <c r="G3" s="127">
        <f t="shared" ref="G3:G66" si="0">VLOOKUP(E3,IDPOINTS,2,FALSE)</f>
        <v>9</v>
      </c>
      <c r="H3" s="127" t="s">
        <v>1305</v>
      </c>
      <c r="J3" s="127">
        <f t="shared" ref="J3:J66" si="1">VLOOKUP(H3,IDPOINTS,2,FALSE)</f>
        <v>0</v>
      </c>
      <c r="K3" s="127" t="s">
        <v>1305</v>
      </c>
      <c r="M3" s="12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5" t="s">
        <v>1345</v>
      </c>
      <c r="B4" s="125" t="s">
        <v>537</v>
      </c>
      <c r="C4" s="130">
        <f t="shared" ref="C4:C63" si="6">(G4*F4)+(I4*J4)+(L4*M4)+(O4*P4)+(R4*S4)+(U4*V4)</f>
        <v>9</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5" t="s">
        <v>1345</v>
      </c>
      <c r="B5" s="125" t="s">
        <v>538</v>
      </c>
      <c r="C5" s="130">
        <f t="shared" si="6"/>
        <v>54</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5" t="s">
        <v>1345</v>
      </c>
      <c r="B6" s="125" t="s">
        <v>539</v>
      </c>
      <c r="C6" s="130">
        <f t="shared" si="6"/>
        <v>40</v>
      </c>
      <c r="E6" s="127" t="s">
        <v>542</v>
      </c>
      <c r="F6">
        <v>4</v>
      </c>
      <c r="G6" s="127">
        <f t="shared" si="0"/>
        <v>9</v>
      </c>
      <c r="H6" s="127" t="s">
        <v>1208</v>
      </c>
      <c r="I6" s="127">
        <v>2</v>
      </c>
      <c r="J6" s="127">
        <f t="shared" si="1"/>
        <v>2</v>
      </c>
      <c r="K6" s="127" t="s">
        <v>1305</v>
      </c>
      <c r="M6" s="127">
        <f t="shared" si="2"/>
        <v>0</v>
      </c>
      <c r="N6" s="127" t="s">
        <v>1305</v>
      </c>
      <c r="P6" s="127">
        <f t="shared" si="3"/>
        <v>0</v>
      </c>
      <c r="Q6" s="127" t="s">
        <v>1305</v>
      </c>
      <c r="S6" s="127">
        <f t="shared" si="4"/>
        <v>0</v>
      </c>
      <c r="T6" s="127" t="s">
        <v>1305</v>
      </c>
      <c r="V6" s="127">
        <f t="shared" si="5"/>
        <v>0</v>
      </c>
    </row>
    <row r="7" spans="1:22" ht="15.75">
      <c r="A7" s="155" t="s">
        <v>1345</v>
      </c>
      <c r="B7" s="125" t="s">
        <v>540</v>
      </c>
      <c r="C7" s="130">
        <f t="shared" si="6"/>
        <v>26</v>
      </c>
      <c r="E7" s="127" t="s">
        <v>542</v>
      </c>
      <c r="F7" s="127">
        <v>2</v>
      </c>
      <c r="G7" s="127">
        <f t="shared" si="0"/>
        <v>9</v>
      </c>
      <c r="H7" s="127" t="s">
        <v>1208</v>
      </c>
      <c r="I7" s="127">
        <v>4</v>
      </c>
      <c r="J7" s="127">
        <f t="shared" si="1"/>
        <v>2</v>
      </c>
      <c r="K7" s="127" t="s">
        <v>1305</v>
      </c>
      <c r="M7" s="127">
        <f t="shared" si="2"/>
        <v>0</v>
      </c>
      <c r="N7" s="127" t="s">
        <v>1305</v>
      </c>
      <c r="P7" s="127">
        <f t="shared" si="3"/>
        <v>0</v>
      </c>
      <c r="Q7" s="127" t="s">
        <v>1305</v>
      </c>
      <c r="S7" s="127">
        <f t="shared" si="4"/>
        <v>0</v>
      </c>
      <c r="T7" s="127" t="s">
        <v>1305</v>
      </c>
      <c r="V7" s="127">
        <f t="shared" si="5"/>
        <v>0</v>
      </c>
    </row>
    <row r="8" spans="1:22" s="138" customFormat="1" ht="15.75">
      <c r="A8" s="138" t="s">
        <v>1338</v>
      </c>
      <c r="B8" s="136" t="s">
        <v>541</v>
      </c>
      <c r="C8" s="137">
        <f>'ECONOMIA &amp; PROFESIONES'!E36</f>
        <v>9</v>
      </c>
      <c r="D8" s="133"/>
      <c r="E8" s="138" t="s">
        <v>1305</v>
      </c>
      <c r="G8" s="138">
        <f t="shared" si="0"/>
        <v>0</v>
      </c>
      <c r="H8" s="138" t="s">
        <v>1305</v>
      </c>
      <c r="J8" s="138">
        <f t="shared" si="1"/>
        <v>0</v>
      </c>
      <c r="K8" s="138" t="s">
        <v>1305</v>
      </c>
      <c r="M8" s="138">
        <f t="shared" si="2"/>
        <v>0</v>
      </c>
      <c r="N8" s="138" t="s">
        <v>1305</v>
      </c>
      <c r="P8" s="138">
        <f t="shared" si="3"/>
        <v>0</v>
      </c>
      <c r="Q8" s="138" t="s">
        <v>1305</v>
      </c>
      <c r="S8" s="138">
        <f t="shared" si="4"/>
        <v>0</v>
      </c>
      <c r="T8" s="138" t="s">
        <v>1305</v>
      </c>
      <c r="V8" s="138">
        <f t="shared" si="5"/>
        <v>0</v>
      </c>
    </row>
    <row r="9" spans="1:22" ht="15.75">
      <c r="A9" s="155" t="s">
        <v>1345</v>
      </c>
      <c r="B9" s="125" t="s">
        <v>542</v>
      </c>
      <c r="C9" s="130">
        <f t="shared" si="6"/>
        <v>9</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5" t="s">
        <v>1345</v>
      </c>
      <c r="B10" s="125" t="s">
        <v>543</v>
      </c>
      <c r="C10" s="130">
        <f t="shared" si="6"/>
        <v>18</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5" t="s">
        <v>1345</v>
      </c>
      <c r="B11" s="125" t="s">
        <v>544</v>
      </c>
      <c r="C11" s="130">
        <f t="shared" si="6"/>
        <v>56</v>
      </c>
      <c r="E11" s="127" t="s">
        <v>542</v>
      </c>
      <c r="F11" s="127">
        <v>6</v>
      </c>
      <c r="G11" s="127">
        <f t="shared" si="0"/>
        <v>9</v>
      </c>
      <c r="H11" s="127" t="s">
        <v>1208</v>
      </c>
      <c r="I11" s="127">
        <v>1</v>
      </c>
      <c r="J11" s="127">
        <f t="shared" si="1"/>
        <v>2</v>
      </c>
      <c r="K11" s="127" t="s">
        <v>1305</v>
      </c>
      <c r="M11" s="127">
        <f t="shared" si="2"/>
        <v>0</v>
      </c>
      <c r="N11" s="127" t="s">
        <v>1305</v>
      </c>
      <c r="P11" s="127">
        <f t="shared" si="3"/>
        <v>0</v>
      </c>
      <c r="Q11" s="127" t="s">
        <v>1305</v>
      </c>
      <c r="S11" s="127">
        <f t="shared" si="4"/>
        <v>0</v>
      </c>
      <c r="T11" s="127" t="s">
        <v>1305</v>
      </c>
      <c r="V11" s="127">
        <f t="shared" si="5"/>
        <v>0</v>
      </c>
    </row>
    <row r="12" spans="1:22" ht="15.75">
      <c r="A12" s="155" t="s">
        <v>1345</v>
      </c>
      <c r="B12" s="125" t="s">
        <v>545</v>
      </c>
      <c r="C12" s="130">
        <f t="shared" si="6"/>
        <v>27</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5" t="s">
        <v>1345</v>
      </c>
      <c r="B13" s="125" t="s">
        <v>546</v>
      </c>
      <c r="C13" s="130">
        <f t="shared" si="6"/>
        <v>54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5" t="s">
        <v>1345</v>
      </c>
      <c r="B14" s="125" t="s">
        <v>547</v>
      </c>
      <c r="C14" s="130">
        <f t="shared" si="6"/>
        <v>54</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8" customFormat="1" ht="15.75">
      <c r="A15" s="138" t="s">
        <v>1338</v>
      </c>
      <c r="B15" s="136" t="s">
        <v>548</v>
      </c>
      <c r="C15" s="137">
        <f>C8</f>
        <v>9</v>
      </c>
      <c r="D15" s="133"/>
      <c r="E15" s="138" t="s">
        <v>1305</v>
      </c>
      <c r="G15" s="138">
        <f t="shared" si="0"/>
        <v>0</v>
      </c>
      <c r="H15" s="138" t="s">
        <v>1305</v>
      </c>
      <c r="J15" s="138">
        <f t="shared" si="1"/>
        <v>0</v>
      </c>
      <c r="K15" s="138" t="s">
        <v>1305</v>
      </c>
      <c r="M15" s="138">
        <f t="shared" si="2"/>
        <v>0</v>
      </c>
      <c r="N15" s="138" t="s">
        <v>1305</v>
      </c>
      <c r="P15" s="138">
        <f t="shared" si="3"/>
        <v>0</v>
      </c>
      <c r="Q15" s="138" t="s">
        <v>1305</v>
      </c>
      <c r="S15" s="138">
        <f t="shared" si="4"/>
        <v>0</v>
      </c>
      <c r="T15" s="138" t="s">
        <v>1305</v>
      </c>
      <c r="V15" s="138">
        <f t="shared" si="5"/>
        <v>0</v>
      </c>
    </row>
    <row r="16" spans="1:22" ht="15.75">
      <c r="A16" s="155" t="s">
        <v>595</v>
      </c>
      <c r="B16" s="125" t="s">
        <v>549</v>
      </c>
      <c r="C16" s="130">
        <f t="shared" si="6"/>
        <v>37</v>
      </c>
      <c r="E16" s="127" t="s">
        <v>896</v>
      </c>
      <c r="F16">
        <v>6</v>
      </c>
      <c r="G16" s="127">
        <f t="shared" si="0"/>
        <v>4</v>
      </c>
      <c r="H16" s="127" t="s">
        <v>1208</v>
      </c>
      <c r="I16" s="127">
        <v>2</v>
      </c>
      <c r="J16" s="127">
        <f t="shared" si="1"/>
        <v>2</v>
      </c>
      <c r="K16" s="127" t="s">
        <v>1151</v>
      </c>
      <c r="L16" s="127">
        <v>1</v>
      </c>
      <c r="M16" s="127">
        <f t="shared" si="2"/>
        <v>9</v>
      </c>
      <c r="N16" s="127" t="s">
        <v>1305</v>
      </c>
      <c r="P16" s="127">
        <f t="shared" si="3"/>
        <v>0</v>
      </c>
      <c r="Q16" s="127" t="s">
        <v>1305</v>
      </c>
      <c r="S16" s="127">
        <f t="shared" si="4"/>
        <v>0</v>
      </c>
      <c r="T16" s="127" t="s">
        <v>1305</v>
      </c>
      <c r="V16" s="127">
        <f t="shared" si="5"/>
        <v>0</v>
      </c>
    </row>
    <row r="17" spans="1:22" s="138" customFormat="1" ht="15.75">
      <c r="A17" s="138" t="s">
        <v>560</v>
      </c>
      <c r="B17" s="136" t="s">
        <v>550</v>
      </c>
      <c r="C17" s="137">
        <v>1</v>
      </c>
      <c r="D17" s="133"/>
      <c r="E17" s="138" t="s">
        <v>1305</v>
      </c>
      <c r="G17" s="138">
        <f t="shared" si="0"/>
        <v>0</v>
      </c>
      <c r="H17" s="138" t="s">
        <v>1305</v>
      </c>
      <c r="J17" s="138">
        <f t="shared" si="1"/>
        <v>0</v>
      </c>
      <c r="K17" s="138" t="s">
        <v>1305</v>
      </c>
      <c r="M17" s="138">
        <f t="shared" si="2"/>
        <v>0</v>
      </c>
      <c r="N17" s="138" t="s">
        <v>1305</v>
      </c>
      <c r="P17" s="138">
        <f t="shared" si="3"/>
        <v>0</v>
      </c>
      <c r="Q17" s="138" t="s">
        <v>1305</v>
      </c>
      <c r="S17" s="138">
        <f t="shared" si="4"/>
        <v>0</v>
      </c>
      <c r="T17" s="138" t="s">
        <v>1305</v>
      </c>
      <c r="V17" s="138">
        <f t="shared" si="5"/>
        <v>0</v>
      </c>
    </row>
    <row r="18" spans="1:22" s="138" customFormat="1" ht="15.75">
      <c r="A18" s="138" t="s">
        <v>1339</v>
      </c>
      <c r="B18" s="136" t="s">
        <v>551</v>
      </c>
      <c r="C18" s="137">
        <f>'ECONOMIA &amp; PROFESIONES'!K36</f>
        <v>2</v>
      </c>
      <c r="E18" s="138" t="s">
        <v>1305</v>
      </c>
      <c r="G18" s="138">
        <f t="shared" si="0"/>
        <v>0</v>
      </c>
      <c r="H18" s="138" t="s">
        <v>1305</v>
      </c>
      <c r="J18" s="138">
        <f t="shared" si="1"/>
        <v>0</v>
      </c>
      <c r="K18" s="138" t="s">
        <v>1305</v>
      </c>
      <c r="M18" s="138">
        <f t="shared" si="2"/>
        <v>0</v>
      </c>
      <c r="N18" s="138" t="s">
        <v>1305</v>
      </c>
      <c r="P18" s="138">
        <f t="shared" si="3"/>
        <v>0</v>
      </c>
      <c r="Q18" s="138" t="s">
        <v>1305</v>
      </c>
      <c r="S18" s="138">
        <f t="shared" si="4"/>
        <v>0</v>
      </c>
      <c r="T18" s="138" t="s">
        <v>1305</v>
      </c>
      <c r="V18" s="138">
        <f t="shared" si="5"/>
        <v>0</v>
      </c>
    </row>
    <row r="19" spans="1:22" ht="15.75">
      <c r="A19" s="155" t="s">
        <v>1346</v>
      </c>
      <c r="B19" s="125" t="s">
        <v>552</v>
      </c>
      <c r="C19" s="130">
        <f t="shared" si="6"/>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22" ht="15.75">
      <c r="A20" s="155" t="s">
        <v>1346</v>
      </c>
      <c r="B20" s="125" t="s">
        <v>553</v>
      </c>
      <c r="C20" s="130">
        <f t="shared" si="6"/>
        <v>12</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22" ht="15.75">
      <c r="A21" s="155" t="s">
        <v>1346</v>
      </c>
      <c r="B21" s="125" t="s">
        <v>554</v>
      </c>
      <c r="C21" s="130">
        <f t="shared" si="6"/>
        <v>12</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22" ht="15.75">
      <c r="A22" s="155" t="s">
        <v>1343</v>
      </c>
      <c r="B22" s="125" t="s">
        <v>555</v>
      </c>
      <c r="C22" s="130">
        <f t="shared" si="6"/>
        <v>124</v>
      </c>
      <c r="E22" s="127" t="s">
        <v>896</v>
      </c>
      <c r="F22">
        <v>4</v>
      </c>
      <c r="G22" s="127">
        <f t="shared" si="0"/>
        <v>4</v>
      </c>
      <c r="H22" s="127" t="s">
        <v>889</v>
      </c>
      <c r="I22" s="127">
        <v>3</v>
      </c>
      <c r="J22" s="127">
        <f t="shared" si="1"/>
        <v>36</v>
      </c>
      <c r="K22" s="127" t="s">
        <v>1305</v>
      </c>
      <c r="M22" s="127">
        <f t="shared" si="2"/>
        <v>0</v>
      </c>
      <c r="N22" s="127" t="s">
        <v>1305</v>
      </c>
      <c r="P22" s="127">
        <f t="shared" si="3"/>
        <v>0</v>
      </c>
      <c r="Q22" s="127" t="s">
        <v>1305</v>
      </c>
      <c r="S22" s="127">
        <f t="shared" si="4"/>
        <v>0</v>
      </c>
      <c r="T22" s="127" t="s">
        <v>1305</v>
      </c>
      <c r="V22" s="127">
        <f t="shared" si="5"/>
        <v>0</v>
      </c>
    </row>
    <row r="23" spans="1:22" s="138" customFormat="1" ht="15.75">
      <c r="A23" s="138" t="s">
        <v>560</v>
      </c>
      <c r="B23" s="136" t="s">
        <v>556</v>
      </c>
      <c r="C23" s="137">
        <f>'ECONOMIA &amp; PROFESIONES'!G32</f>
        <v>1</v>
      </c>
      <c r="D23" s="133"/>
      <c r="E23" s="138" t="s">
        <v>1305</v>
      </c>
      <c r="F23" s="138">
        <v>0</v>
      </c>
      <c r="G23" s="138">
        <f t="shared" si="0"/>
        <v>0</v>
      </c>
      <c r="H23" s="138" t="s">
        <v>1305</v>
      </c>
      <c r="J23" s="138">
        <f t="shared" si="1"/>
        <v>0</v>
      </c>
      <c r="K23" s="138" t="s">
        <v>1305</v>
      </c>
      <c r="M23" s="138">
        <f t="shared" si="2"/>
        <v>0</v>
      </c>
      <c r="N23" s="138" t="s">
        <v>1305</v>
      </c>
      <c r="P23" s="138">
        <f t="shared" si="3"/>
        <v>0</v>
      </c>
      <c r="Q23" s="138" t="s">
        <v>1305</v>
      </c>
      <c r="S23" s="138">
        <f t="shared" si="4"/>
        <v>0</v>
      </c>
      <c r="T23" s="138" t="s">
        <v>1305</v>
      </c>
      <c r="V23" s="138">
        <f t="shared" si="5"/>
        <v>0</v>
      </c>
    </row>
    <row r="24" spans="1:22" ht="15.75">
      <c r="A24" s="155" t="s">
        <v>1344</v>
      </c>
      <c r="B24" s="125" t="s">
        <v>557</v>
      </c>
      <c r="C24" s="130">
        <f t="shared" si="6"/>
        <v>24</v>
      </c>
      <c r="E24" s="127" t="s">
        <v>1208</v>
      </c>
      <c r="F24">
        <v>6</v>
      </c>
      <c r="G24" s="127">
        <f t="shared" si="0"/>
        <v>2</v>
      </c>
      <c r="H24" s="127" t="s">
        <v>1221</v>
      </c>
      <c r="I24" s="127">
        <v>1</v>
      </c>
      <c r="J24" s="127">
        <f t="shared" si="1"/>
        <v>12</v>
      </c>
      <c r="K24" s="127" t="s">
        <v>1305</v>
      </c>
      <c r="M24" s="127">
        <f t="shared" si="2"/>
        <v>0</v>
      </c>
      <c r="N24" s="127" t="s">
        <v>1305</v>
      </c>
      <c r="P24" s="127">
        <f t="shared" si="3"/>
        <v>0</v>
      </c>
      <c r="Q24" s="127" t="s">
        <v>1305</v>
      </c>
      <c r="S24" s="127">
        <f t="shared" si="4"/>
        <v>0</v>
      </c>
      <c r="T24" s="127" t="s">
        <v>1305</v>
      </c>
      <c r="V24" s="127">
        <f t="shared" si="5"/>
        <v>0</v>
      </c>
    </row>
    <row r="25" spans="1:22" ht="15.75">
      <c r="A25" s="155" t="s">
        <v>1344</v>
      </c>
      <c r="B25" s="125" t="s">
        <v>558</v>
      </c>
      <c r="C25" s="130">
        <f t="shared" si="6"/>
        <v>3.4</v>
      </c>
      <c r="E25" s="127" t="s">
        <v>1208</v>
      </c>
      <c r="F25">
        <v>1</v>
      </c>
      <c r="G25" s="127">
        <f t="shared" si="0"/>
        <v>2</v>
      </c>
      <c r="H25" s="127" t="s">
        <v>807</v>
      </c>
      <c r="I25" s="127">
        <v>1</v>
      </c>
      <c r="J25" s="127">
        <f t="shared" si="1"/>
        <v>1</v>
      </c>
      <c r="K25" s="127" t="s">
        <v>796</v>
      </c>
      <c r="L25" s="127">
        <v>1</v>
      </c>
      <c r="M25" s="127">
        <f t="shared" si="2"/>
        <v>0.4</v>
      </c>
      <c r="N25" s="127" t="s">
        <v>1305</v>
      </c>
      <c r="P25" s="127">
        <f t="shared" si="3"/>
        <v>0</v>
      </c>
      <c r="Q25" s="127" t="s">
        <v>1305</v>
      </c>
      <c r="S25" s="127">
        <f t="shared" si="4"/>
        <v>0</v>
      </c>
      <c r="T25" s="127" t="s">
        <v>1305</v>
      </c>
      <c r="V25" s="127">
        <f t="shared" si="5"/>
        <v>0</v>
      </c>
    </row>
    <row r="26" spans="1:22" s="138" customFormat="1" ht="15.75">
      <c r="A26" s="138" t="s">
        <v>560</v>
      </c>
      <c r="B26" s="136" t="s">
        <v>559</v>
      </c>
      <c r="C26" s="137">
        <v>1</v>
      </c>
      <c r="D26" s="133"/>
      <c r="E26" s="138" t="s">
        <v>1305</v>
      </c>
      <c r="G26" s="138">
        <f t="shared" si="0"/>
        <v>0</v>
      </c>
      <c r="H26" s="138" t="s">
        <v>1305</v>
      </c>
      <c r="J26" s="138">
        <f t="shared" si="1"/>
        <v>0</v>
      </c>
      <c r="K26" s="138" t="s">
        <v>1305</v>
      </c>
      <c r="M26" s="138">
        <f t="shared" si="2"/>
        <v>0</v>
      </c>
      <c r="N26" s="138" t="s">
        <v>1305</v>
      </c>
      <c r="P26" s="138">
        <f t="shared" si="3"/>
        <v>0</v>
      </c>
      <c r="Q26" s="138" t="s">
        <v>1305</v>
      </c>
      <c r="S26" s="138">
        <f t="shared" si="4"/>
        <v>0</v>
      </c>
      <c r="T26" s="138" t="s">
        <v>1305</v>
      </c>
      <c r="V26" s="138">
        <f t="shared" si="5"/>
        <v>0</v>
      </c>
    </row>
    <row r="27" spans="1:22" ht="15.75">
      <c r="A27" s="155" t="s">
        <v>1348</v>
      </c>
      <c r="B27" s="125" t="s">
        <v>561</v>
      </c>
      <c r="C27" s="130">
        <f t="shared" si="6"/>
        <v>4</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22" s="138" customFormat="1" ht="15.75">
      <c r="A28" s="138" t="s">
        <v>560</v>
      </c>
      <c r="B28" s="136" t="s">
        <v>562</v>
      </c>
      <c r="C28" s="137">
        <f>'ECONOMIA &amp; PROFESIONES'!G38</f>
        <v>5</v>
      </c>
      <c r="D28" s="133"/>
      <c r="E28" s="138" t="s">
        <v>1305</v>
      </c>
      <c r="G28" s="138">
        <f t="shared" si="0"/>
        <v>0</v>
      </c>
      <c r="H28" s="138" t="s">
        <v>1305</v>
      </c>
      <c r="J28" s="138">
        <f t="shared" si="1"/>
        <v>0</v>
      </c>
      <c r="K28" s="138" t="s">
        <v>1305</v>
      </c>
      <c r="M28" s="138">
        <f t="shared" si="2"/>
        <v>0</v>
      </c>
      <c r="N28" s="138" t="s">
        <v>1305</v>
      </c>
      <c r="P28" s="138">
        <f t="shared" si="3"/>
        <v>0</v>
      </c>
      <c r="Q28" s="138" t="s">
        <v>1305</v>
      </c>
      <c r="S28" s="138">
        <f t="shared" si="4"/>
        <v>0</v>
      </c>
      <c r="T28" s="138" t="s">
        <v>1305</v>
      </c>
      <c r="V28" s="138">
        <f t="shared" si="5"/>
        <v>0</v>
      </c>
    </row>
    <row r="29" spans="1:22" ht="15.75">
      <c r="A29" s="155" t="s">
        <v>1345</v>
      </c>
      <c r="B29" s="125" t="s">
        <v>563</v>
      </c>
      <c r="C29" s="130">
        <f t="shared" si="6"/>
        <v>12</v>
      </c>
      <c r="E29" s="127" t="s">
        <v>1026</v>
      </c>
      <c r="F29">
        <v>6</v>
      </c>
      <c r="G29" s="127">
        <f t="shared" si="0"/>
        <v>1</v>
      </c>
      <c r="H29" s="127" t="s">
        <v>1029</v>
      </c>
      <c r="I29" s="127">
        <v>2</v>
      </c>
      <c r="J29" s="127">
        <f t="shared" si="1"/>
        <v>3</v>
      </c>
      <c r="K29" s="127" t="s">
        <v>1305</v>
      </c>
      <c r="M29" s="127">
        <f t="shared" si="2"/>
        <v>0</v>
      </c>
      <c r="N29" s="127" t="s">
        <v>1305</v>
      </c>
      <c r="P29" s="127">
        <f t="shared" si="3"/>
        <v>0</v>
      </c>
      <c r="Q29" s="127" t="s">
        <v>1305</v>
      </c>
      <c r="S29" s="127">
        <f t="shared" si="4"/>
        <v>0</v>
      </c>
      <c r="T29" s="127" t="s">
        <v>1305</v>
      </c>
      <c r="V29" s="127">
        <f t="shared" si="5"/>
        <v>0</v>
      </c>
    </row>
    <row r="30" spans="1:22" s="141" customFormat="1" ht="15.75">
      <c r="B30" s="139" t="s">
        <v>564</v>
      </c>
      <c r="C30" s="140">
        <f t="shared" si="6"/>
        <v>62.5</v>
      </c>
      <c r="E30" s="141" t="s">
        <v>1016</v>
      </c>
      <c r="F30" s="141">
        <v>1</v>
      </c>
      <c r="G30" s="141">
        <f t="shared" si="0"/>
        <v>5.5</v>
      </c>
      <c r="H30" s="141" t="s">
        <v>1034</v>
      </c>
      <c r="I30" s="141">
        <v>3</v>
      </c>
      <c r="J30" s="141">
        <f t="shared" si="1"/>
        <v>11</v>
      </c>
      <c r="K30" s="141" t="s">
        <v>814</v>
      </c>
      <c r="L30" s="141">
        <v>3</v>
      </c>
      <c r="M30" s="141">
        <f t="shared" si="2"/>
        <v>8</v>
      </c>
      <c r="N30" s="141" t="s">
        <v>1305</v>
      </c>
      <c r="P30" s="141">
        <f t="shared" si="3"/>
        <v>0</v>
      </c>
      <c r="Q30" s="141" t="s">
        <v>1305</v>
      </c>
      <c r="S30" s="141">
        <f t="shared" si="4"/>
        <v>0</v>
      </c>
      <c r="T30" s="141" t="s">
        <v>1305</v>
      </c>
      <c r="V30" s="141">
        <f t="shared" si="5"/>
        <v>0</v>
      </c>
    </row>
    <row r="31" spans="1:22" s="138" customFormat="1" ht="15.75">
      <c r="A31" s="138" t="s">
        <v>1340</v>
      </c>
      <c r="B31" s="136" t="s">
        <v>565</v>
      </c>
      <c r="C31" s="137">
        <f>'ECONOMIA &amp; PROFESIONES'!I57</f>
        <v>2.5</v>
      </c>
      <c r="D31" s="133"/>
      <c r="E31" s="138" t="s">
        <v>1305</v>
      </c>
      <c r="G31" s="138">
        <f t="shared" si="0"/>
        <v>0</v>
      </c>
      <c r="H31" s="138" t="s">
        <v>1305</v>
      </c>
      <c r="J31" s="138">
        <f t="shared" si="1"/>
        <v>0</v>
      </c>
      <c r="K31" s="138" t="s">
        <v>1305</v>
      </c>
      <c r="M31" s="138">
        <f t="shared" si="2"/>
        <v>0</v>
      </c>
      <c r="N31" s="138" t="s">
        <v>1305</v>
      </c>
      <c r="P31" s="138">
        <f t="shared" si="3"/>
        <v>0</v>
      </c>
      <c r="Q31" s="138" t="s">
        <v>1305</v>
      </c>
      <c r="S31" s="138">
        <f t="shared" si="4"/>
        <v>0</v>
      </c>
      <c r="T31" s="138" t="s">
        <v>1305</v>
      </c>
      <c r="V31" s="138">
        <f t="shared" si="5"/>
        <v>0</v>
      </c>
    </row>
    <row r="32" spans="1:22" s="138" customFormat="1" ht="15.75">
      <c r="A32" s="138" t="s">
        <v>560</v>
      </c>
      <c r="B32" s="136" t="s">
        <v>566</v>
      </c>
      <c r="C32" s="137">
        <f>'ECONOMIA &amp; PROFESIONES'!G40</f>
        <v>9</v>
      </c>
      <c r="D32" s="133"/>
      <c r="E32" s="138" t="s">
        <v>1305</v>
      </c>
      <c r="G32" s="138">
        <f t="shared" si="0"/>
        <v>0</v>
      </c>
      <c r="H32" s="138" t="s">
        <v>1305</v>
      </c>
      <c r="J32" s="138">
        <f t="shared" si="1"/>
        <v>0</v>
      </c>
      <c r="K32" s="138" t="s">
        <v>1305</v>
      </c>
      <c r="M32" s="138">
        <f t="shared" si="2"/>
        <v>0</v>
      </c>
      <c r="N32" s="138" t="s">
        <v>1305</v>
      </c>
      <c r="P32" s="138">
        <f t="shared" si="3"/>
        <v>0</v>
      </c>
      <c r="Q32" s="138" t="s">
        <v>1305</v>
      </c>
      <c r="S32" s="138">
        <f t="shared" si="4"/>
        <v>0</v>
      </c>
      <c r="T32" s="138" t="s">
        <v>1305</v>
      </c>
      <c r="V32" s="138">
        <f t="shared" si="5"/>
        <v>0</v>
      </c>
    </row>
    <row r="33" spans="1:22" ht="15.75">
      <c r="A33" s="155" t="s">
        <v>1348</v>
      </c>
      <c r="B33" s="125" t="s">
        <v>567</v>
      </c>
      <c r="C33" s="130">
        <f t="shared" si="6"/>
        <v>57</v>
      </c>
      <c r="E33" s="127" t="s">
        <v>566</v>
      </c>
      <c r="F33">
        <v>6</v>
      </c>
      <c r="G33" s="127">
        <f t="shared" si="0"/>
        <v>9</v>
      </c>
      <c r="H33" s="127" t="s">
        <v>618</v>
      </c>
      <c r="I33" s="127">
        <v>1</v>
      </c>
      <c r="J33" s="127">
        <f t="shared" si="1"/>
        <v>3</v>
      </c>
      <c r="K33" s="127" t="s">
        <v>1305</v>
      </c>
      <c r="M33" s="127">
        <f t="shared" si="2"/>
        <v>0</v>
      </c>
      <c r="N33" s="127" t="s">
        <v>1305</v>
      </c>
      <c r="P33" s="127">
        <f t="shared" si="3"/>
        <v>0</v>
      </c>
      <c r="Q33" s="127" t="s">
        <v>1305</v>
      </c>
      <c r="S33" s="127">
        <f t="shared" si="4"/>
        <v>0</v>
      </c>
      <c r="T33" s="127" t="s">
        <v>1305</v>
      </c>
      <c r="V33" s="127">
        <f t="shared" si="5"/>
        <v>0</v>
      </c>
    </row>
    <row r="34" spans="1:22" s="141" customFormat="1" ht="15.75">
      <c r="A34" s="155"/>
      <c r="B34" s="139" t="s">
        <v>568</v>
      </c>
      <c r="C34" s="140">
        <f t="shared" si="6"/>
        <v>0</v>
      </c>
      <c r="D34" s="133"/>
      <c r="E34" s="141" t="s">
        <v>1305</v>
      </c>
      <c r="G34" s="141">
        <f t="shared" si="0"/>
        <v>0</v>
      </c>
      <c r="H34" s="141" t="s">
        <v>1305</v>
      </c>
      <c r="J34" s="141">
        <f t="shared" si="1"/>
        <v>0</v>
      </c>
      <c r="K34" s="141" t="s">
        <v>1305</v>
      </c>
      <c r="M34" s="141">
        <f t="shared" si="2"/>
        <v>0</v>
      </c>
      <c r="N34" s="141" t="s">
        <v>1305</v>
      </c>
      <c r="P34" s="141">
        <f t="shared" si="3"/>
        <v>0</v>
      </c>
      <c r="Q34" s="141" t="s">
        <v>1305</v>
      </c>
      <c r="S34" s="141">
        <f t="shared" si="4"/>
        <v>0</v>
      </c>
      <c r="T34" s="141" t="s">
        <v>1305</v>
      </c>
      <c r="V34" s="141">
        <f t="shared" si="5"/>
        <v>0</v>
      </c>
    </row>
    <row r="35" spans="1:22" ht="15.75">
      <c r="A35" s="155" t="s">
        <v>1345</v>
      </c>
      <c r="B35" s="125" t="s">
        <v>569</v>
      </c>
      <c r="C35" s="130">
        <f t="shared" si="6"/>
        <v>20</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5" t="s">
        <v>1345</v>
      </c>
      <c r="B36" s="125" t="s">
        <v>570</v>
      </c>
      <c r="C36" s="130">
        <f t="shared" si="6"/>
        <v>5</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5" t="s">
        <v>1345</v>
      </c>
      <c r="B37" s="125" t="s">
        <v>571</v>
      </c>
      <c r="C37" s="130">
        <f t="shared" si="6"/>
        <v>30</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5" t="s">
        <v>1345</v>
      </c>
      <c r="B38" s="125" t="s">
        <v>572</v>
      </c>
      <c r="C38" s="130">
        <f t="shared" si="6"/>
        <v>24</v>
      </c>
      <c r="E38" s="127" t="s">
        <v>575</v>
      </c>
      <c r="F38" s="127">
        <v>4</v>
      </c>
      <c r="G38" s="127">
        <f t="shared" si="0"/>
        <v>5</v>
      </c>
      <c r="H38" s="127" t="s">
        <v>1208</v>
      </c>
      <c r="I38" s="127">
        <v>2</v>
      </c>
      <c r="J38" s="127">
        <f t="shared" si="1"/>
        <v>2</v>
      </c>
      <c r="K38" s="127" t="s">
        <v>1305</v>
      </c>
      <c r="M38" s="127">
        <f t="shared" si="2"/>
        <v>0</v>
      </c>
      <c r="N38" s="127" t="s">
        <v>1305</v>
      </c>
      <c r="P38" s="127">
        <f t="shared" si="3"/>
        <v>0</v>
      </c>
      <c r="Q38" s="127" t="s">
        <v>1305</v>
      </c>
      <c r="S38" s="127">
        <f t="shared" si="4"/>
        <v>0</v>
      </c>
      <c r="T38" s="127" t="s">
        <v>1305</v>
      </c>
      <c r="V38" s="127">
        <f t="shared" si="5"/>
        <v>0</v>
      </c>
    </row>
    <row r="39" spans="1:22" ht="15.75">
      <c r="A39" s="155" t="s">
        <v>1345</v>
      </c>
      <c r="B39" s="125" t="s">
        <v>573</v>
      </c>
      <c r="C39" s="130">
        <f t="shared" si="6"/>
        <v>18</v>
      </c>
      <c r="E39" s="127" t="s">
        <v>575</v>
      </c>
      <c r="F39" s="127">
        <v>2</v>
      </c>
      <c r="G39" s="127">
        <f t="shared" si="0"/>
        <v>5</v>
      </c>
      <c r="H39" s="127" t="s">
        <v>1208</v>
      </c>
      <c r="I39" s="127">
        <v>4</v>
      </c>
      <c r="J39" s="127">
        <f t="shared" si="1"/>
        <v>2</v>
      </c>
      <c r="K39" s="127" t="s">
        <v>1305</v>
      </c>
      <c r="M39" s="127">
        <f t="shared" si="2"/>
        <v>0</v>
      </c>
      <c r="N39" s="127" t="s">
        <v>1305</v>
      </c>
      <c r="P39" s="127">
        <f t="shared" si="3"/>
        <v>0</v>
      </c>
      <c r="Q39" s="127" t="s">
        <v>1305</v>
      </c>
      <c r="S39" s="127">
        <f t="shared" si="4"/>
        <v>0</v>
      </c>
      <c r="T39" s="127" t="s">
        <v>1305</v>
      </c>
      <c r="V39" s="127">
        <f t="shared" si="5"/>
        <v>0</v>
      </c>
    </row>
    <row r="40" spans="1:22" s="138" customFormat="1" ht="15.75">
      <c r="A40" s="138" t="s">
        <v>1338</v>
      </c>
      <c r="B40" s="136" t="s">
        <v>574</v>
      </c>
      <c r="C40" s="137">
        <f>'ECONOMIA &amp; PROFESIONES'!E34</f>
        <v>5</v>
      </c>
      <c r="D40" s="133"/>
      <c r="E40" s="138" t="s">
        <v>1305</v>
      </c>
      <c r="G40" s="138">
        <f t="shared" si="0"/>
        <v>0</v>
      </c>
      <c r="H40" s="138" t="s">
        <v>1305</v>
      </c>
      <c r="J40" s="138">
        <f t="shared" si="1"/>
        <v>0</v>
      </c>
      <c r="K40" s="138" t="s">
        <v>1305</v>
      </c>
      <c r="M40" s="138">
        <f t="shared" si="2"/>
        <v>0</v>
      </c>
      <c r="N40" s="138" t="s">
        <v>1305</v>
      </c>
      <c r="P40" s="138">
        <f t="shared" si="3"/>
        <v>0</v>
      </c>
      <c r="Q40" s="138" t="s">
        <v>1305</v>
      </c>
      <c r="S40" s="138">
        <f t="shared" si="4"/>
        <v>0</v>
      </c>
      <c r="T40" s="138" t="s">
        <v>1305</v>
      </c>
      <c r="V40" s="138">
        <f t="shared" si="5"/>
        <v>0</v>
      </c>
    </row>
    <row r="41" spans="1:22" ht="15.75">
      <c r="A41" s="155" t="s">
        <v>1345</v>
      </c>
      <c r="B41" s="125" t="s">
        <v>575</v>
      </c>
      <c r="C41" s="130">
        <f t="shared" si="6"/>
        <v>5</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5" t="s">
        <v>1345</v>
      </c>
      <c r="B42" s="125" t="s">
        <v>576</v>
      </c>
      <c r="C42" s="130">
        <f t="shared" si="6"/>
        <v>10</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5" t="s">
        <v>1345</v>
      </c>
      <c r="B43" s="125" t="s">
        <v>577</v>
      </c>
      <c r="C43" s="130">
        <f t="shared" si="6"/>
        <v>32</v>
      </c>
      <c r="E43" s="127" t="s">
        <v>575</v>
      </c>
      <c r="F43" s="127">
        <v>6</v>
      </c>
      <c r="G43" s="127">
        <f t="shared" si="0"/>
        <v>5</v>
      </c>
      <c r="H43" s="127" t="s">
        <v>1208</v>
      </c>
      <c r="I43" s="127">
        <v>1</v>
      </c>
      <c r="J43" s="127">
        <f t="shared" si="1"/>
        <v>2</v>
      </c>
      <c r="K43" s="127" t="s">
        <v>1305</v>
      </c>
      <c r="M43" s="127">
        <f t="shared" si="2"/>
        <v>0</v>
      </c>
      <c r="N43" s="127" t="s">
        <v>1305</v>
      </c>
      <c r="P43" s="127">
        <f t="shared" si="3"/>
        <v>0</v>
      </c>
      <c r="Q43" s="127" t="s">
        <v>1305</v>
      </c>
      <c r="S43" s="127">
        <f t="shared" si="4"/>
        <v>0</v>
      </c>
      <c r="T43" s="127" t="s">
        <v>1305</v>
      </c>
      <c r="V43" s="127">
        <f t="shared" si="5"/>
        <v>0</v>
      </c>
    </row>
    <row r="44" spans="1:22" ht="15.75">
      <c r="A44" s="155" t="s">
        <v>1345</v>
      </c>
      <c r="B44" s="125" t="s">
        <v>578</v>
      </c>
      <c r="C44" s="130">
        <f t="shared" si="6"/>
        <v>15</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5" t="s">
        <v>1345</v>
      </c>
      <c r="B45" s="125" t="s">
        <v>579</v>
      </c>
      <c r="C45" s="130">
        <f t="shared" si="6"/>
        <v>30</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5" t="s">
        <v>1345</v>
      </c>
      <c r="B46" s="125" t="s">
        <v>580</v>
      </c>
      <c r="C46" s="130">
        <f t="shared" si="6"/>
        <v>30</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8" customFormat="1" ht="15.75">
      <c r="A47" s="138" t="s">
        <v>1338</v>
      </c>
      <c r="B47" s="136" t="s">
        <v>581</v>
      </c>
      <c r="C47" s="137">
        <f>C40</f>
        <v>5</v>
      </c>
      <c r="D47" s="133"/>
      <c r="E47" s="138" t="s">
        <v>1305</v>
      </c>
      <c r="G47" s="138">
        <f t="shared" si="0"/>
        <v>0</v>
      </c>
      <c r="H47" s="138" t="s">
        <v>1305</v>
      </c>
      <c r="J47" s="138">
        <f t="shared" si="1"/>
        <v>0</v>
      </c>
      <c r="K47" s="138" t="s">
        <v>1305</v>
      </c>
      <c r="M47" s="138">
        <f t="shared" si="2"/>
        <v>0</v>
      </c>
      <c r="N47" s="138" t="s">
        <v>1305</v>
      </c>
      <c r="P47" s="138">
        <f t="shared" si="3"/>
        <v>0</v>
      </c>
      <c r="Q47" s="138" t="s">
        <v>1305</v>
      </c>
      <c r="S47" s="138">
        <f t="shared" si="4"/>
        <v>0</v>
      </c>
      <c r="T47" s="138" t="s">
        <v>1305</v>
      </c>
      <c r="V47" s="138">
        <f t="shared" si="5"/>
        <v>0</v>
      </c>
    </row>
    <row r="48" spans="1:22" ht="15.75">
      <c r="A48" s="155" t="s">
        <v>1351</v>
      </c>
      <c r="B48" s="125" t="s">
        <v>582</v>
      </c>
      <c r="C48" s="130">
        <f t="shared" si="6"/>
        <v>44</v>
      </c>
      <c r="E48" s="127" t="s">
        <v>593</v>
      </c>
      <c r="F48">
        <v>6</v>
      </c>
      <c r="G48" s="127">
        <f t="shared" si="0"/>
        <v>7</v>
      </c>
      <c r="H48" s="127" t="s">
        <v>1208</v>
      </c>
      <c r="I48" s="127">
        <v>1</v>
      </c>
      <c r="J48" s="127">
        <f t="shared" si="1"/>
        <v>2</v>
      </c>
      <c r="K48" s="127" t="s">
        <v>1305</v>
      </c>
      <c r="M48" s="127">
        <f t="shared" si="2"/>
        <v>0</v>
      </c>
      <c r="N48" s="127" t="s">
        <v>1305</v>
      </c>
      <c r="P48" s="127">
        <f t="shared" si="3"/>
        <v>0</v>
      </c>
      <c r="Q48" s="127" t="s">
        <v>1305</v>
      </c>
      <c r="S48" s="127">
        <f t="shared" si="4"/>
        <v>0</v>
      </c>
      <c r="T48" s="127" t="s">
        <v>1305</v>
      </c>
      <c r="V48" s="127">
        <f t="shared" si="5"/>
        <v>0</v>
      </c>
    </row>
    <row r="49" spans="1:22" ht="15.75">
      <c r="A49" s="155" t="s">
        <v>1351</v>
      </c>
      <c r="B49" s="125" t="s">
        <v>583</v>
      </c>
      <c r="C49" s="130">
        <f t="shared" si="6"/>
        <v>24</v>
      </c>
      <c r="E49" s="127" t="s">
        <v>593</v>
      </c>
      <c r="F49">
        <v>3</v>
      </c>
      <c r="G49" s="127">
        <f t="shared" si="0"/>
        <v>7</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5" t="s">
        <v>1351</v>
      </c>
      <c r="B50" s="125" t="s">
        <v>584</v>
      </c>
      <c r="C50" s="130">
        <f t="shared" si="6"/>
        <v>14</v>
      </c>
      <c r="E50" s="127" t="s">
        <v>593</v>
      </c>
      <c r="F50">
        <v>2</v>
      </c>
      <c r="G50" s="127">
        <f t="shared" si="0"/>
        <v>7</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5" t="s">
        <v>1351</v>
      </c>
      <c r="B51" s="125" t="s">
        <v>585</v>
      </c>
      <c r="C51" s="130">
        <f t="shared" si="6"/>
        <v>25</v>
      </c>
      <c r="E51" s="127" t="s">
        <v>586</v>
      </c>
      <c r="F51">
        <v>1</v>
      </c>
      <c r="G51" s="127">
        <f t="shared" si="0"/>
        <v>25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5" t="s">
        <v>1351</v>
      </c>
      <c r="B52" s="125" t="s">
        <v>586</v>
      </c>
      <c r="C52" s="130">
        <f t="shared" si="6"/>
        <v>25</v>
      </c>
      <c r="E52" s="127" t="s">
        <v>1158</v>
      </c>
      <c r="F52">
        <v>4</v>
      </c>
      <c r="G52" s="127">
        <f t="shared" si="0"/>
        <v>5</v>
      </c>
      <c r="H52" s="127" t="s">
        <v>844</v>
      </c>
      <c r="I52" s="127">
        <v>4</v>
      </c>
      <c r="J52" s="127">
        <f t="shared" si="1"/>
        <v>1</v>
      </c>
      <c r="K52" s="127" t="s">
        <v>587</v>
      </c>
      <c r="L52" s="127">
        <v>1</v>
      </c>
      <c r="M52" s="127">
        <f t="shared" si="2"/>
        <v>1</v>
      </c>
      <c r="N52" s="127" t="s">
        <v>1305</v>
      </c>
      <c r="P52" s="127">
        <f t="shared" si="3"/>
        <v>0</v>
      </c>
      <c r="Q52" s="127" t="s">
        <v>1305</v>
      </c>
      <c r="S52" s="127">
        <f t="shared" si="4"/>
        <v>0</v>
      </c>
      <c r="T52" s="127" t="s">
        <v>1305</v>
      </c>
      <c r="V52" s="127">
        <f t="shared" si="5"/>
        <v>0</v>
      </c>
    </row>
    <row r="53" spans="1:22" s="13" customFormat="1" ht="15.75">
      <c r="A53" s="155" t="s">
        <v>1351</v>
      </c>
      <c r="B53" s="145" t="s">
        <v>587</v>
      </c>
      <c r="C53" s="146">
        <f t="shared" si="6"/>
        <v>1</v>
      </c>
      <c r="D53" s="133"/>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5" t="s">
        <v>1351</v>
      </c>
      <c r="B54" s="125" t="s">
        <v>588</v>
      </c>
      <c r="C54" s="130">
        <f t="shared" si="6"/>
        <v>252</v>
      </c>
      <c r="E54" s="127" t="s">
        <v>592</v>
      </c>
      <c r="F54">
        <v>1</v>
      </c>
      <c r="G54" s="127">
        <f t="shared" si="0"/>
        <v>249</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5" t="s">
        <v>1351</v>
      </c>
      <c r="B55" s="125" t="s">
        <v>589</v>
      </c>
      <c r="C55" s="130">
        <f t="shared" si="6"/>
        <v>27</v>
      </c>
      <c r="E55" s="127" t="s">
        <v>587</v>
      </c>
      <c r="F55">
        <v>1</v>
      </c>
      <c r="G55" s="127">
        <f t="shared" si="0"/>
        <v>1</v>
      </c>
      <c r="H55" s="127" t="s">
        <v>1170</v>
      </c>
      <c r="I55" s="127">
        <v>1</v>
      </c>
      <c r="J55" s="127">
        <f t="shared" si="1"/>
        <v>26</v>
      </c>
      <c r="K55" s="127" t="s">
        <v>1305</v>
      </c>
      <c r="M55" s="127">
        <f t="shared" si="2"/>
        <v>0</v>
      </c>
      <c r="N55" s="127" t="s">
        <v>1305</v>
      </c>
      <c r="P55" s="127">
        <f t="shared" si="3"/>
        <v>0</v>
      </c>
      <c r="Q55" s="127" t="s">
        <v>1305</v>
      </c>
      <c r="S55" s="127">
        <f t="shared" si="4"/>
        <v>0</v>
      </c>
      <c r="T55" s="127" t="s">
        <v>1305</v>
      </c>
      <c r="V55" s="127">
        <f t="shared" si="5"/>
        <v>0</v>
      </c>
    </row>
    <row r="56" spans="1:22" ht="15.75">
      <c r="A56" s="155" t="s">
        <v>1351</v>
      </c>
      <c r="B56" s="125" t="s">
        <v>590</v>
      </c>
      <c r="C56" s="130">
        <f t="shared" si="6"/>
        <v>65</v>
      </c>
      <c r="E56" s="127" t="s">
        <v>814</v>
      </c>
      <c r="F56">
        <v>8</v>
      </c>
      <c r="G56" s="127">
        <f t="shared" si="0"/>
        <v>8</v>
      </c>
      <c r="H56" s="127" t="s">
        <v>587</v>
      </c>
      <c r="I56" s="127">
        <v>1</v>
      </c>
      <c r="J56" s="127">
        <f t="shared" si="1"/>
        <v>1</v>
      </c>
      <c r="K56" s="127" t="s">
        <v>1305</v>
      </c>
      <c r="M56" s="127">
        <f t="shared" si="2"/>
        <v>0</v>
      </c>
      <c r="N56" s="127" t="s">
        <v>1305</v>
      </c>
      <c r="P56" s="127">
        <f t="shared" si="3"/>
        <v>0</v>
      </c>
      <c r="Q56" s="127" t="s">
        <v>1305</v>
      </c>
      <c r="S56" s="127">
        <f t="shared" si="4"/>
        <v>0</v>
      </c>
      <c r="T56" s="127" t="s">
        <v>1305</v>
      </c>
      <c r="V56" s="127">
        <f t="shared" si="5"/>
        <v>0</v>
      </c>
    </row>
    <row r="57" spans="1:22" ht="15.75">
      <c r="A57" s="155" t="s">
        <v>1351</v>
      </c>
      <c r="B57" s="125" t="s">
        <v>591</v>
      </c>
      <c r="C57" s="130">
        <f t="shared" si="6"/>
        <v>390</v>
      </c>
      <c r="E57" s="127" t="s">
        <v>590</v>
      </c>
      <c r="F57">
        <v>6</v>
      </c>
      <c r="G57" s="127">
        <f t="shared" si="0"/>
        <v>65</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5" t="s">
        <v>1351</v>
      </c>
      <c r="B58" s="125" t="s">
        <v>592</v>
      </c>
      <c r="C58" s="130">
        <f t="shared" si="6"/>
        <v>249</v>
      </c>
      <c r="E58" s="127" t="s">
        <v>1245</v>
      </c>
      <c r="F58">
        <v>8</v>
      </c>
      <c r="G58" s="127">
        <f t="shared" si="0"/>
        <v>31</v>
      </c>
      <c r="H58" s="127" t="s">
        <v>587</v>
      </c>
      <c r="I58" s="127">
        <v>1</v>
      </c>
      <c r="J58" s="127">
        <f t="shared" si="1"/>
        <v>1</v>
      </c>
      <c r="K58" s="127" t="s">
        <v>1305</v>
      </c>
      <c r="M58" s="127">
        <f t="shared" si="2"/>
        <v>0</v>
      </c>
      <c r="N58" s="127" t="s">
        <v>1305</v>
      </c>
      <c r="P58" s="127">
        <f t="shared" si="3"/>
        <v>0</v>
      </c>
      <c r="Q58" s="127" t="s">
        <v>1305</v>
      </c>
      <c r="S58" s="127">
        <f t="shared" si="4"/>
        <v>0</v>
      </c>
      <c r="T58" s="127" t="s">
        <v>1305</v>
      </c>
      <c r="V58" s="127">
        <f t="shared" si="5"/>
        <v>0</v>
      </c>
    </row>
    <row r="59" spans="1:22" ht="15.75">
      <c r="A59" s="155" t="s">
        <v>1351</v>
      </c>
      <c r="B59" s="125" t="s">
        <v>593</v>
      </c>
      <c r="C59" s="130">
        <f t="shared" si="6"/>
        <v>7</v>
      </c>
      <c r="E59" s="127" t="s">
        <v>1274</v>
      </c>
      <c r="F59">
        <v>1</v>
      </c>
      <c r="G59" s="127">
        <f t="shared" si="0"/>
        <v>6</v>
      </c>
      <c r="H59" s="127" t="s">
        <v>587</v>
      </c>
      <c r="I59" s="127">
        <v>1</v>
      </c>
      <c r="J59" s="127">
        <f t="shared" si="1"/>
        <v>1</v>
      </c>
      <c r="K59" s="127" t="s">
        <v>1305</v>
      </c>
      <c r="M59" s="127">
        <f t="shared" si="2"/>
        <v>0</v>
      </c>
      <c r="N59" s="127" t="s">
        <v>1305</v>
      </c>
      <c r="P59" s="127">
        <f t="shared" si="3"/>
        <v>0</v>
      </c>
      <c r="Q59" s="127" t="s">
        <v>1305</v>
      </c>
      <c r="S59" s="127">
        <f t="shared" si="4"/>
        <v>0</v>
      </c>
      <c r="T59" s="127" t="s">
        <v>1305</v>
      </c>
      <c r="V59" s="127">
        <f t="shared" si="5"/>
        <v>0</v>
      </c>
    </row>
    <row r="60" spans="1:22" ht="15.75">
      <c r="A60" s="155" t="s">
        <v>1351</v>
      </c>
      <c r="B60" s="125" t="s">
        <v>594</v>
      </c>
      <c r="C60" s="130">
        <f t="shared" si="6"/>
        <v>40</v>
      </c>
      <c r="E60" s="127" t="s">
        <v>811</v>
      </c>
      <c r="F60">
        <v>1</v>
      </c>
      <c r="G60" s="127">
        <f t="shared" si="0"/>
        <v>8</v>
      </c>
      <c r="H60" s="127" t="s">
        <v>896</v>
      </c>
      <c r="I60" s="127">
        <v>5</v>
      </c>
      <c r="J60" s="127">
        <f t="shared" si="1"/>
        <v>4</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5" t="s">
        <v>1352</v>
      </c>
      <c r="B61" s="125" t="s">
        <v>596</v>
      </c>
      <c r="C61" s="130">
        <f t="shared" si="6"/>
        <v>4.5</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50" customFormat="1" ht="15.75">
      <c r="A62" s="150" t="s">
        <v>1341</v>
      </c>
      <c r="B62" s="148" t="s">
        <v>597</v>
      </c>
      <c r="C62" s="149">
        <f>'ECONOMIA &amp; PROFESIONES'!E62</f>
        <v>4.5</v>
      </c>
      <c r="E62" s="150" t="s">
        <v>1305</v>
      </c>
      <c r="G62" s="150">
        <f t="shared" si="0"/>
        <v>0</v>
      </c>
      <c r="H62" s="150" t="s">
        <v>1305</v>
      </c>
      <c r="J62" s="150">
        <f t="shared" si="1"/>
        <v>0</v>
      </c>
      <c r="K62" s="150" t="s">
        <v>1305</v>
      </c>
      <c r="M62" s="150">
        <f t="shared" si="2"/>
        <v>0</v>
      </c>
      <c r="N62" s="150" t="s">
        <v>1305</v>
      </c>
      <c r="P62" s="150">
        <f t="shared" si="3"/>
        <v>0</v>
      </c>
      <c r="Q62" s="150" t="s">
        <v>1305</v>
      </c>
      <c r="S62" s="150">
        <f t="shared" si="4"/>
        <v>0</v>
      </c>
      <c r="T62" s="150" t="s">
        <v>1305</v>
      </c>
      <c r="V62" s="150">
        <f t="shared" si="5"/>
        <v>0</v>
      </c>
    </row>
    <row r="63" spans="1:22" ht="15.75">
      <c r="A63" s="155" t="s">
        <v>1351</v>
      </c>
      <c r="B63" s="125" t="s">
        <v>598</v>
      </c>
      <c r="C63" s="130">
        <f t="shared" si="6"/>
        <v>44</v>
      </c>
      <c r="E63" s="127" t="s">
        <v>611</v>
      </c>
      <c r="F63" s="127">
        <v>6</v>
      </c>
      <c r="G63" s="127">
        <f t="shared" si="0"/>
        <v>7</v>
      </c>
      <c r="H63" s="127" t="s">
        <v>1208</v>
      </c>
      <c r="I63" s="127">
        <v>1</v>
      </c>
      <c r="J63" s="127">
        <f t="shared" si="1"/>
        <v>2</v>
      </c>
      <c r="K63" s="127" t="s">
        <v>1305</v>
      </c>
      <c r="M63" s="127">
        <f t="shared" si="2"/>
        <v>0</v>
      </c>
      <c r="N63" s="127" t="s">
        <v>1305</v>
      </c>
      <c r="P63" s="127">
        <f t="shared" si="3"/>
        <v>0</v>
      </c>
      <c r="Q63" s="127" t="s">
        <v>1305</v>
      </c>
      <c r="S63" s="127">
        <f t="shared" si="4"/>
        <v>0</v>
      </c>
      <c r="T63" s="127" t="s">
        <v>1305</v>
      </c>
      <c r="V63" s="127">
        <f t="shared" si="5"/>
        <v>0</v>
      </c>
    </row>
    <row r="64" spans="1:22" ht="15.75">
      <c r="A64" s="155" t="s">
        <v>1351</v>
      </c>
      <c r="B64" s="125" t="s">
        <v>599</v>
      </c>
      <c r="C64" s="130">
        <f t="shared" ref="C64:C124" si="7">(G64*F64)+(I64*J64)+(L64*M64)+(O64*P64)+(R64*S64)+(U64*V64)</f>
        <v>24</v>
      </c>
      <c r="E64" s="127" t="s">
        <v>611</v>
      </c>
      <c r="F64" s="127">
        <v>3</v>
      </c>
      <c r="G64" s="127">
        <f t="shared" si="0"/>
        <v>7</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5" t="s">
        <v>1351</v>
      </c>
      <c r="B65" s="125" t="s">
        <v>600</v>
      </c>
      <c r="C65" s="130">
        <f t="shared" si="7"/>
        <v>14</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5" t="s">
        <v>1351</v>
      </c>
      <c r="B66" s="125" t="s">
        <v>601</v>
      </c>
      <c r="C66" s="130">
        <f t="shared" si="7"/>
        <v>25</v>
      </c>
      <c r="E66" s="127" t="s">
        <v>602</v>
      </c>
      <c r="F66" s="127">
        <v>1</v>
      </c>
      <c r="G66" s="127">
        <f t="shared" si="0"/>
        <v>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5" t="s">
        <v>1351</v>
      </c>
      <c r="B67" s="125" t="s">
        <v>602</v>
      </c>
      <c r="C67" s="130">
        <f t="shared" si="7"/>
        <v>25</v>
      </c>
      <c r="E67" s="127" t="s">
        <v>1158</v>
      </c>
      <c r="F67" s="127">
        <v>4</v>
      </c>
      <c r="G67" s="127">
        <f t="shared" ref="G67:G127" si="8">VLOOKUP(E67,IDPOINTS,2,FALSE)</f>
        <v>5</v>
      </c>
      <c r="H67" s="127" t="s">
        <v>844</v>
      </c>
      <c r="I67" s="127">
        <v>4</v>
      </c>
      <c r="J67" s="127">
        <f t="shared" ref="J67:J127" si="9">VLOOKUP(H67,IDPOINTS,2,FALSE)</f>
        <v>1</v>
      </c>
      <c r="K67" s="127" t="s">
        <v>603</v>
      </c>
      <c r="L67" s="127">
        <v>1</v>
      </c>
      <c r="M67" s="127">
        <f t="shared" ref="M67:M127" si="10">VLOOKUP(K67,IDPOINTS,2,FALSE)</f>
        <v>1</v>
      </c>
      <c r="N67" s="127" t="s">
        <v>1305</v>
      </c>
      <c r="P67" s="127">
        <f t="shared" ref="P67:P127" si="11">VLOOKUP(N67,IDPOINTS,2,FALSE)</f>
        <v>0</v>
      </c>
      <c r="Q67" s="127" t="s">
        <v>1305</v>
      </c>
      <c r="S67" s="127">
        <f t="shared" ref="S67:S127" si="12">VLOOKUP(Q67,IDPOINTS,2,FALSE)</f>
        <v>0</v>
      </c>
      <c r="T67" s="127" t="s">
        <v>1305</v>
      </c>
      <c r="V67" s="127">
        <f t="shared" ref="V67:V127" si="13">VLOOKUP(T67,IDPOINTS,2,FALSE)</f>
        <v>0</v>
      </c>
    </row>
    <row r="68" spans="1:22" s="13" customFormat="1" ht="15.75">
      <c r="A68" s="155" t="s">
        <v>1351</v>
      </c>
      <c r="B68" s="145" t="s">
        <v>603</v>
      </c>
      <c r="C68" s="146">
        <f t="shared" si="7"/>
        <v>1</v>
      </c>
      <c r="D68" s="133"/>
      <c r="E68" s="13" t="s">
        <v>694</v>
      </c>
      <c r="F68" s="13">
        <v>1</v>
      </c>
      <c r="G68" s="13">
        <f t="shared" si="8"/>
        <v>1</v>
      </c>
      <c r="H68" s="13" t="s">
        <v>924</v>
      </c>
      <c r="I68" s="13">
        <v>0</v>
      </c>
      <c r="J68" s="13">
        <f t="shared" si="9"/>
        <v>5</v>
      </c>
      <c r="K68" s="13" t="s">
        <v>1305</v>
      </c>
      <c r="M68" s="13">
        <f t="shared" si="10"/>
        <v>0</v>
      </c>
      <c r="N68" s="13" t="s">
        <v>1305</v>
      </c>
      <c r="P68" s="13">
        <f t="shared" si="11"/>
        <v>0</v>
      </c>
      <c r="Q68" s="13" t="s">
        <v>1305</v>
      </c>
      <c r="S68" s="13">
        <f t="shared" si="12"/>
        <v>0</v>
      </c>
      <c r="T68" s="13" t="s">
        <v>1305</v>
      </c>
      <c r="V68" s="13">
        <f t="shared" si="13"/>
        <v>0</v>
      </c>
    </row>
    <row r="69" spans="1:22" ht="15.75">
      <c r="A69" s="155" t="s">
        <v>1351</v>
      </c>
      <c r="B69" s="125" t="s">
        <v>604</v>
      </c>
      <c r="C69" s="130">
        <f t="shared" si="7"/>
        <v>252</v>
      </c>
      <c r="E69" s="127" t="s">
        <v>592</v>
      </c>
      <c r="F69" s="127">
        <v>1</v>
      </c>
      <c r="G69" s="127">
        <f t="shared" si="8"/>
        <v>249</v>
      </c>
      <c r="H69" s="127" t="s">
        <v>672</v>
      </c>
      <c r="I69" s="127">
        <v>1</v>
      </c>
      <c r="J69" s="127">
        <f t="shared" si="9"/>
        <v>3</v>
      </c>
      <c r="K69" s="127" t="s">
        <v>1305</v>
      </c>
      <c r="M69" s="127">
        <f t="shared" si="10"/>
        <v>0</v>
      </c>
      <c r="N69" s="127" t="s">
        <v>1305</v>
      </c>
      <c r="P69" s="127">
        <f t="shared" si="11"/>
        <v>0</v>
      </c>
      <c r="Q69" s="127" t="s">
        <v>1305</v>
      </c>
      <c r="S69" s="127">
        <f t="shared" si="12"/>
        <v>0</v>
      </c>
      <c r="T69" s="127" t="s">
        <v>1305</v>
      </c>
      <c r="V69" s="127">
        <f t="shared" si="13"/>
        <v>0</v>
      </c>
    </row>
    <row r="70" spans="1:22" s="168" customFormat="1" ht="15.75">
      <c r="A70" s="155"/>
      <c r="B70" s="166" t="s">
        <v>605</v>
      </c>
      <c r="C70" s="167">
        <f t="shared" si="7"/>
        <v>0</v>
      </c>
      <c r="D70" s="133"/>
      <c r="E70" s="168" t="s">
        <v>1305</v>
      </c>
      <c r="G70" s="168">
        <f t="shared" si="8"/>
        <v>0</v>
      </c>
      <c r="H70" s="168" t="s">
        <v>1305</v>
      </c>
      <c r="J70" s="168">
        <f t="shared" si="9"/>
        <v>0</v>
      </c>
      <c r="K70" s="168" t="s">
        <v>1305</v>
      </c>
      <c r="M70" s="168">
        <f t="shared" si="10"/>
        <v>0</v>
      </c>
      <c r="N70" s="168" t="s">
        <v>1305</v>
      </c>
      <c r="P70" s="168">
        <f t="shared" si="11"/>
        <v>0</v>
      </c>
      <c r="Q70" s="168" t="s">
        <v>1305</v>
      </c>
      <c r="S70" s="168">
        <f t="shared" si="12"/>
        <v>0</v>
      </c>
      <c r="T70" s="168" t="s">
        <v>1305</v>
      </c>
      <c r="V70" s="168">
        <f t="shared" si="13"/>
        <v>0</v>
      </c>
    </row>
    <row r="71" spans="1:22" s="138" customFormat="1" ht="15.75">
      <c r="A71" s="138" t="s">
        <v>560</v>
      </c>
      <c r="B71" s="136" t="s">
        <v>606</v>
      </c>
      <c r="C71" s="137">
        <v>1</v>
      </c>
      <c r="D71" s="133"/>
      <c r="E71" s="138" t="s">
        <v>1305</v>
      </c>
      <c r="G71" s="138">
        <f t="shared" si="8"/>
        <v>0</v>
      </c>
      <c r="H71" s="138" t="s">
        <v>1305</v>
      </c>
      <c r="J71" s="138">
        <f t="shared" si="9"/>
        <v>0</v>
      </c>
      <c r="K71" s="138" t="s">
        <v>1305</v>
      </c>
      <c r="M71" s="138">
        <f t="shared" si="10"/>
        <v>0</v>
      </c>
      <c r="N71" s="138" t="s">
        <v>1305</v>
      </c>
      <c r="P71" s="138">
        <f t="shared" si="11"/>
        <v>0</v>
      </c>
      <c r="Q71" s="138" t="s">
        <v>1305</v>
      </c>
      <c r="S71" s="138">
        <f t="shared" si="12"/>
        <v>0</v>
      </c>
      <c r="T71" s="138" t="s">
        <v>1305</v>
      </c>
      <c r="V71" s="138">
        <f t="shared" si="13"/>
        <v>0</v>
      </c>
    </row>
    <row r="72" spans="1:22" ht="15.75">
      <c r="A72" s="155" t="s">
        <v>1351</v>
      </c>
      <c r="B72" s="125" t="s">
        <v>607</v>
      </c>
      <c r="C72" s="130">
        <f t="shared" si="7"/>
        <v>27</v>
      </c>
      <c r="E72" s="127" t="s">
        <v>603</v>
      </c>
      <c r="F72" s="127">
        <v>1</v>
      </c>
      <c r="G72" s="127">
        <f t="shared" si="8"/>
        <v>1</v>
      </c>
      <c r="H72" s="127" t="s">
        <v>1170</v>
      </c>
      <c r="I72" s="127">
        <v>1</v>
      </c>
      <c r="J72" s="127">
        <f t="shared" si="9"/>
        <v>26</v>
      </c>
      <c r="K72" s="127" t="s">
        <v>1305</v>
      </c>
      <c r="M72" s="127">
        <f t="shared" si="10"/>
        <v>0</v>
      </c>
      <c r="N72" s="127" t="s">
        <v>1305</v>
      </c>
      <c r="P72" s="127">
        <f t="shared" si="11"/>
        <v>0</v>
      </c>
      <c r="Q72" s="127" t="s">
        <v>1305</v>
      </c>
      <c r="S72" s="127">
        <f t="shared" si="12"/>
        <v>0</v>
      </c>
      <c r="T72" s="127" t="s">
        <v>1305</v>
      </c>
      <c r="V72" s="127">
        <f t="shared" si="13"/>
        <v>0</v>
      </c>
    </row>
    <row r="73" spans="1:22" ht="15.75">
      <c r="A73" s="155" t="s">
        <v>1351</v>
      </c>
      <c r="B73" s="125" t="s">
        <v>608</v>
      </c>
      <c r="C73" s="130">
        <f t="shared" si="7"/>
        <v>65</v>
      </c>
      <c r="E73" s="127" t="s">
        <v>814</v>
      </c>
      <c r="F73" s="127">
        <v>8</v>
      </c>
      <c r="G73" s="127">
        <f t="shared" si="8"/>
        <v>8</v>
      </c>
      <c r="H73" s="127" t="s">
        <v>603</v>
      </c>
      <c r="I73" s="127">
        <v>1</v>
      </c>
      <c r="J73" s="127">
        <f t="shared" si="9"/>
        <v>1</v>
      </c>
      <c r="K73" s="127" t="s">
        <v>1305</v>
      </c>
      <c r="M73" s="127">
        <f t="shared" si="10"/>
        <v>0</v>
      </c>
      <c r="N73" s="127" t="s">
        <v>1305</v>
      </c>
      <c r="P73" s="127">
        <f t="shared" si="11"/>
        <v>0</v>
      </c>
      <c r="Q73" s="127" t="s">
        <v>1305</v>
      </c>
      <c r="S73" s="127">
        <f t="shared" si="12"/>
        <v>0</v>
      </c>
      <c r="T73" s="127" t="s">
        <v>1305</v>
      </c>
      <c r="V73" s="127">
        <f t="shared" si="13"/>
        <v>0</v>
      </c>
    </row>
    <row r="74" spans="1:22" ht="15.75">
      <c r="A74" s="155" t="s">
        <v>1351</v>
      </c>
      <c r="B74" s="125" t="s">
        <v>609</v>
      </c>
      <c r="C74" s="130">
        <f t="shared" si="7"/>
        <v>390</v>
      </c>
      <c r="E74" s="127" t="s">
        <v>590</v>
      </c>
      <c r="F74" s="127">
        <v>6</v>
      </c>
      <c r="G74" s="127">
        <f t="shared" si="8"/>
        <v>65</v>
      </c>
      <c r="H74" s="127" t="s">
        <v>1305</v>
      </c>
      <c r="J74" s="127">
        <f t="shared" si="9"/>
        <v>0</v>
      </c>
      <c r="K74" s="127" t="s">
        <v>1305</v>
      </c>
      <c r="M74" s="127">
        <f t="shared" si="10"/>
        <v>0</v>
      </c>
      <c r="N74" s="127" t="s">
        <v>1305</v>
      </c>
      <c r="P74" s="127">
        <f t="shared" si="11"/>
        <v>0</v>
      </c>
      <c r="Q74" s="127" t="s">
        <v>1305</v>
      </c>
      <c r="S74" s="127">
        <f t="shared" si="12"/>
        <v>0</v>
      </c>
      <c r="T74" s="127" t="s">
        <v>1305</v>
      </c>
      <c r="V74" s="127">
        <f t="shared" si="13"/>
        <v>0</v>
      </c>
    </row>
    <row r="75" spans="1:22" ht="15.75">
      <c r="A75" s="155" t="s">
        <v>1351</v>
      </c>
      <c r="B75" s="125" t="s">
        <v>610</v>
      </c>
      <c r="C75" s="130">
        <f t="shared" si="7"/>
        <v>249</v>
      </c>
      <c r="E75" s="127" t="s">
        <v>1245</v>
      </c>
      <c r="F75" s="127">
        <v>8</v>
      </c>
      <c r="G75" s="127">
        <f t="shared" si="8"/>
        <v>31</v>
      </c>
      <c r="H75" s="127" t="s">
        <v>603</v>
      </c>
      <c r="I75" s="127">
        <v>1</v>
      </c>
      <c r="J75" s="127">
        <f t="shared" si="9"/>
        <v>1</v>
      </c>
      <c r="K75" s="127" t="s">
        <v>1305</v>
      </c>
      <c r="M75" s="127">
        <f t="shared" si="10"/>
        <v>0</v>
      </c>
      <c r="N75" s="127" t="s">
        <v>1305</v>
      </c>
      <c r="P75" s="127">
        <f t="shared" si="11"/>
        <v>0</v>
      </c>
      <c r="Q75" s="127" t="s">
        <v>1305</v>
      </c>
      <c r="S75" s="127">
        <f t="shared" si="12"/>
        <v>0</v>
      </c>
      <c r="T75" s="127" t="s">
        <v>1305</v>
      </c>
      <c r="V75" s="127">
        <f t="shared" si="13"/>
        <v>0</v>
      </c>
    </row>
    <row r="76" spans="1:22" ht="15.75">
      <c r="A76" s="155" t="s">
        <v>1351</v>
      </c>
      <c r="B76" s="125" t="s">
        <v>611</v>
      </c>
      <c r="C76" s="130">
        <f t="shared" si="7"/>
        <v>7</v>
      </c>
      <c r="E76" s="127" t="s">
        <v>1274</v>
      </c>
      <c r="F76" s="127">
        <v>1</v>
      </c>
      <c r="G76" s="127">
        <f t="shared" si="8"/>
        <v>6</v>
      </c>
      <c r="H76" s="127" t="s">
        <v>603</v>
      </c>
      <c r="I76" s="127">
        <v>1</v>
      </c>
      <c r="J76" s="127">
        <f t="shared" si="9"/>
        <v>1</v>
      </c>
      <c r="K76" s="127" t="s">
        <v>1305</v>
      </c>
      <c r="M76" s="127">
        <f t="shared" si="10"/>
        <v>0</v>
      </c>
      <c r="N76" s="127" t="s">
        <v>1305</v>
      </c>
      <c r="P76" s="127">
        <f t="shared" si="11"/>
        <v>0</v>
      </c>
      <c r="Q76" s="127" t="s">
        <v>1305</v>
      </c>
      <c r="S76" s="127">
        <f t="shared" si="12"/>
        <v>0</v>
      </c>
      <c r="T76" s="127" t="s">
        <v>1305</v>
      </c>
      <c r="V76" s="127">
        <f t="shared" si="13"/>
        <v>0</v>
      </c>
    </row>
    <row r="77" spans="1:22" ht="15.75">
      <c r="A77" s="155" t="s">
        <v>1348</v>
      </c>
      <c r="B77" s="125" t="s">
        <v>612</v>
      </c>
      <c r="C77" s="130">
        <f>'ECONOMIA &amp; PROFESIONES'!E56</f>
        <v>2.5</v>
      </c>
      <c r="E77" s="127" t="s">
        <v>1305</v>
      </c>
      <c r="G77" s="127">
        <f t="shared" si="8"/>
        <v>0</v>
      </c>
      <c r="H77" s="127" t="s">
        <v>1305</v>
      </c>
      <c r="J77" s="127">
        <f t="shared" si="9"/>
        <v>0</v>
      </c>
      <c r="K77" s="127" t="s">
        <v>1305</v>
      </c>
      <c r="M77" s="127">
        <f t="shared" si="10"/>
        <v>0</v>
      </c>
      <c r="N77" s="127" t="s">
        <v>1305</v>
      </c>
      <c r="P77" s="127">
        <f t="shared" si="11"/>
        <v>0</v>
      </c>
      <c r="Q77" s="127" t="s">
        <v>1305</v>
      </c>
      <c r="S77" s="127">
        <f t="shared" si="12"/>
        <v>0</v>
      </c>
      <c r="T77" s="127" t="s">
        <v>1305</v>
      </c>
      <c r="V77" s="127">
        <f t="shared" si="13"/>
        <v>0</v>
      </c>
    </row>
    <row r="78" spans="1:22" ht="15.75">
      <c r="A78" s="155" t="s">
        <v>1348</v>
      </c>
      <c r="B78" s="125" t="s">
        <v>613</v>
      </c>
      <c r="C78" s="130">
        <f t="shared" si="7"/>
        <v>22.5</v>
      </c>
      <c r="E78" s="127" t="s">
        <v>614</v>
      </c>
      <c r="F78">
        <v>9</v>
      </c>
      <c r="G78" s="127">
        <f t="shared" si="8"/>
        <v>2.5</v>
      </c>
      <c r="H78" s="127" t="s">
        <v>1305</v>
      </c>
      <c r="J78" s="127">
        <f t="shared" si="9"/>
        <v>0</v>
      </c>
      <c r="K78" s="127" t="s">
        <v>1305</v>
      </c>
      <c r="M78" s="127">
        <f t="shared" si="10"/>
        <v>0</v>
      </c>
      <c r="N78" s="127" t="s">
        <v>1305</v>
      </c>
      <c r="P78" s="127">
        <f t="shared" si="11"/>
        <v>0</v>
      </c>
      <c r="Q78" s="127" t="s">
        <v>1305</v>
      </c>
      <c r="S78" s="127">
        <f t="shared" si="12"/>
        <v>0</v>
      </c>
      <c r="T78" s="127" t="s">
        <v>1305</v>
      </c>
      <c r="V78" s="127">
        <f t="shared" si="13"/>
        <v>0</v>
      </c>
    </row>
    <row r="79" spans="1:22" ht="15.75">
      <c r="A79" s="155" t="s">
        <v>1348</v>
      </c>
      <c r="B79" s="125" t="s">
        <v>614</v>
      </c>
      <c r="C79" s="130">
        <f t="shared" si="7"/>
        <v>2.5</v>
      </c>
      <c r="E79" s="127" t="s">
        <v>612</v>
      </c>
      <c r="F79">
        <v>1</v>
      </c>
      <c r="G79" s="127">
        <f t="shared" si="8"/>
        <v>2.5</v>
      </c>
      <c r="H79" s="127" t="s">
        <v>1305</v>
      </c>
      <c r="J79" s="127">
        <f t="shared" si="9"/>
        <v>0</v>
      </c>
      <c r="K79" s="127" t="s">
        <v>1305</v>
      </c>
      <c r="M79" s="127">
        <f t="shared" si="10"/>
        <v>0</v>
      </c>
      <c r="N79" s="127" t="s">
        <v>1305</v>
      </c>
      <c r="P79" s="127">
        <f t="shared" si="11"/>
        <v>0</v>
      </c>
      <c r="Q79" s="127" t="s">
        <v>1305</v>
      </c>
      <c r="S79" s="127">
        <f t="shared" si="12"/>
        <v>0</v>
      </c>
      <c r="T79" s="127" t="s">
        <v>1305</v>
      </c>
      <c r="V79" s="127">
        <f t="shared" si="13"/>
        <v>0</v>
      </c>
    </row>
    <row r="80" spans="1:22" ht="15.75">
      <c r="A80" s="155" t="s">
        <v>1352</v>
      </c>
      <c r="B80" s="125" t="s">
        <v>615</v>
      </c>
      <c r="C80" s="130">
        <f t="shared" si="7"/>
        <v>46</v>
      </c>
      <c r="E80" s="127" t="s">
        <v>1051</v>
      </c>
      <c r="F80">
        <v>3</v>
      </c>
      <c r="G80" s="127">
        <f t="shared" si="8"/>
        <v>15</v>
      </c>
      <c r="H80" s="127" t="s">
        <v>928</v>
      </c>
      <c r="I80" s="127">
        <v>1</v>
      </c>
      <c r="J80" s="127">
        <f t="shared" si="9"/>
        <v>1</v>
      </c>
      <c r="K80" s="127" t="s">
        <v>1305</v>
      </c>
      <c r="M80" s="127">
        <f t="shared" si="10"/>
        <v>0</v>
      </c>
      <c r="N80" s="127" t="s">
        <v>1305</v>
      </c>
      <c r="P80" s="127">
        <f t="shared" si="11"/>
        <v>0</v>
      </c>
      <c r="Q80" s="127" t="s">
        <v>1305</v>
      </c>
      <c r="S80" s="127">
        <f t="shared" si="12"/>
        <v>0</v>
      </c>
      <c r="T80" s="127" t="s">
        <v>1305</v>
      </c>
      <c r="V80" s="127">
        <f t="shared" si="13"/>
        <v>0</v>
      </c>
    </row>
    <row r="81" spans="1:22" ht="15.75">
      <c r="A81" s="155" t="s">
        <v>1352</v>
      </c>
      <c r="B81" s="125" t="s">
        <v>616</v>
      </c>
      <c r="C81" s="130">
        <f t="shared" si="7"/>
        <v>144</v>
      </c>
      <c r="E81" s="127" t="s">
        <v>615</v>
      </c>
      <c r="F81">
        <v>3</v>
      </c>
      <c r="G81" s="127">
        <f t="shared" si="8"/>
        <v>46</v>
      </c>
      <c r="H81" s="127" t="s">
        <v>1026</v>
      </c>
      <c r="I81" s="127">
        <v>6</v>
      </c>
      <c r="J81" s="127">
        <f t="shared" si="9"/>
        <v>1</v>
      </c>
      <c r="K81" s="127" t="s">
        <v>1305</v>
      </c>
      <c r="M81" s="127">
        <f t="shared" si="10"/>
        <v>0</v>
      </c>
      <c r="N81" s="127" t="s">
        <v>1305</v>
      </c>
      <c r="P81" s="127">
        <f t="shared" si="11"/>
        <v>0</v>
      </c>
      <c r="Q81" s="127" t="s">
        <v>1305</v>
      </c>
      <c r="S81" s="127">
        <f t="shared" si="12"/>
        <v>0</v>
      </c>
      <c r="T81" s="127" t="s">
        <v>1305</v>
      </c>
      <c r="V81" s="127">
        <f t="shared" si="13"/>
        <v>0</v>
      </c>
    </row>
    <row r="82" spans="1:22" ht="15.75">
      <c r="A82" s="155" t="s">
        <v>1344</v>
      </c>
      <c r="B82" s="125" t="s">
        <v>617</v>
      </c>
      <c r="C82" s="130">
        <f t="shared" si="7"/>
        <v>10.5</v>
      </c>
      <c r="E82" s="127" t="s">
        <v>1208</v>
      </c>
      <c r="F82">
        <v>3</v>
      </c>
      <c r="G82" s="127">
        <f t="shared" si="8"/>
        <v>2</v>
      </c>
      <c r="H82" s="127" t="s">
        <v>1224</v>
      </c>
      <c r="I82" s="127">
        <v>3</v>
      </c>
      <c r="J82" s="127">
        <f t="shared" si="9"/>
        <v>1.5</v>
      </c>
      <c r="K82" s="127" t="s">
        <v>1305</v>
      </c>
      <c r="M82" s="127">
        <f t="shared" si="10"/>
        <v>0</v>
      </c>
      <c r="N82" s="127" t="s">
        <v>1305</v>
      </c>
      <c r="P82" s="127">
        <f t="shared" si="11"/>
        <v>0</v>
      </c>
      <c r="Q82" s="127" t="s">
        <v>1305</v>
      </c>
      <c r="S82" s="127">
        <f t="shared" si="12"/>
        <v>0</v>
      </c>
      <c r="T82" s="127" t="s">
        <v>1305</v>
      </c>
      <c r="V82" s="127">
        <f t="shared" si="13"/>
        <v>0</v>
      </c>
    </row>
    <row r="83" spans="1:22" ht="15.75">
      <c r="A83" s="155" t="s">
        <v>1348</v>
      </c>
      <c r="B83" s="125" t="s">
        <v>618</v>
      </c>
      <c r="C83" s="130">
        <f t="shared" si="7"/>
        <v>3</v>
      </c>
      <c r="E83" s="127" t="s">
        <v>1026</v>
      </c>
      <c r="F83">
        <v>3</v>
      </c>
      <c r="G83" s="127">
        <f t="shared" si="8"/>
        <v>1</v>
      </c>
      <c r="H83" s="127" t="s">
        <v>1305</v>
      </c>
      <c r="J83" s="127">
        <f t="shared" si="9"/>
        <v>0</v>
      </c>
      <c r="K83" s="127" t="s">
        <v>1305</v>
      </c>
      <c r="M83" s="127">
        <f t="shared" si="10"/>
        <v>0</v>
      </c>
      <c r="N83" s="127" t="s">
        <v>1305</v>
      </c>
      <c r="P83" s="127">
        <f t="shared" si="11"/>
        <v>0</v>
      </c>
      <c r="Q83" s="127" t="s">
        <v>1305</v>
      </c>
      <c r="S83" s="127">
        <f t="shared" si="12"/>
        <v>0</v>
      </c>
      <c r="T83" s="127" t="s">
        <v>1305</v>
      </c>
      <c r="V83" s="127">
        <f t="shared" si="13"/>
        <v>0</v>
      </c>
    </row>
    <row r="84" spans="1:22" s="168" customFormat="1" ht="15.75">
      <c r="A84" s="155"/>
      <c r="B84" s="166" t="s">
        <v>619</v>
      </c>
      <c r="C84" s="167">
        <f t="shared" si="7"/>
        <v>0</v>
      </c>
      <c r="D84" s="133"/>
      <c r="E84" s="168" t="s">
        <v>1305</v>
      </c>
      <c r="G84" s="168">
        <f t="shared" si="8"/>
        <v>0</v>
      </c>
      <c r="H84" s="168" t="s">
        <v>1305</v>
      </c>
      <c r="J84" s="168">
        <f t="shared" si="9"/>
        <v>0</v>
      </c>
      <c r="K84" s="168" t="s">
        <v>1305</v>
      </c>
      <c r="M84" s="168">
        <f t="shared" si="10"/>
        <v>0</v>
      </c>
      <c r="N84" s="168" t="s">
        <v>1305</v>
      </c>
      <c r="P84" s="168">
        <f t="shared" si="11"/>
        <v>0</v>
      </c>
      <c r="Q84" s="168" t="s">
        <v>1305</v>
      </c>
      <c r="S84" s="168">
        <f t="shared" si="12"/>
        <v>0</v>
      </c>
      <c r="T84" s="168" t="s">
        <v>1305</v>
      </c>
      <c r="V84" s="168">
        <f t="shared" si="13"/>
        <v>0</v>
      </c>
    </row>
    <row r="85" spans="1:22" s="168" customFormat="1" ht="15.75">
      <c r="A85" s="155"/>
      <c r="B85" s="166" t="s">
        <v>620</v>
      </c>
      <c r="C85" s="167">
        <f t="shared" si="7"/>
        <v>0</v>
      </c>
      <c r="D85" s="133"/>
      <c r="E85" s="168" t="s">
        <v>1305</v>
      </c>
      <c r="G85" s="168">
        <f t="shared" si="8"/>
        <v>0</v>
      </c>
      <c r="H85" s="168" t="s">
        <v>1305</v>
      </c>
      <c r="J85" s="168">
        <f t="shared" si="9"/>
        <v>0</v>
      </c>
      <c r="K85" s="168" t="s">
        <v>1305</v>
      </c>
      <c r="M85" s="168">
        <f t="shared" si="10"/>
        <v>0</v>
      </c>
      <c r="N85" s="168" t="s">
        <v>1305</v>
      </c>
      <c r="P85" s="168">
        <f t="shared" si="11"/>
        <v>0</v>
      </c>
      <c r="Q85" s="168" t="s">
        <v>1305</v>
      </c>
      <c r="S85" s="168">
        <f t="shared" si="12"/>
        <v>0</v>
      </c>
      <c r="T85" s="168" t="s">
        <v>1305</v>
      </c>
      <c r="V85" s="168">
        <f t="shared" si="13"/>
        <v>0</v>
      </c>
    </row>
    <row r="86" spans="1:22" s="168" customFormat="1" ht="15.75">
      <c r="A86" s="155"/>
      <c r="B86" s="166" t="s">
        <v>621</v>
      </c>
      <c r="C86" s="167">
        <f t="shared" si="7"/>
        <v>0</v>
      </c>
      <c r="D86" s="133"/>
      <c r="E86" s="168" t="s">
        <v>1305</v>
      </c>
      <c r="G86" s="168">
        <f t="shared" si="8"/>
        <v>0</v>
      </c>
      <c r="H86" s="168" t="s">
        <v>1305</v>
      </c>
      <c r="J86" s="168">
        <f t="shared" si="9"/>
        <v>0</v>
      </c>
      <c r="K86" s="168" t="s">
        <v>1305</v>
      </c>
      <c r="M86" s="168">
        <f t="shared" si="10"/>
        <v>0</v>
      </c>
      <c r="N86" s="168" t="s">
        <v>1305</v>
      </c>
      <c r="P86" s="168">
        <f t="shared" si="11"/>
        <v>0</v>
      </c>
      <c r="Q86" s="168" t="s">
        <v>1305</v>
      </c>
      <c r="S86" s="168">
        <f t="shared" si="12"/>
        <v>0</v>
      </c>
      <c r="T86" s="168" t="s">
        <v>1305</v>
      </c>
      <c r="V86" s="168">
        <f t="shared" si="13"/>
        <v>0</v>
      </c>
    </row>
    <row r="87" spans="1:22" ht="15.75">
      <c r="A87" s="155" t="s">
        <v>1348</v>
      </c>
      <c r="B87" s="125" t="s">
        <v>622</v>
      </c>
      <c r="C87" s="130">
        <f t="shared" si="7"/>
        <v>21</v>
      </c>
      <c r="E87" s="127" t="s">
        <v>1260</v>
      </c>
      <c r="F87">
        <v>3</v>
      </c>
      <c r="G87" s="127">
        <f t="shared" si="8"/>
        <v>7</v>
      </c>
      <c r="H87" s="127" t="s">
        <v>1305</v>
      </c>
      <c r="J87" s="127">
        <f t="shared" si="9"/>
        <v>0</v>
      </c>
      <c r="K87" s="127" t="s">
        <v>1305</v>
      </c>
      <c r="M87" s="127">
        <f t="shared" si="10"/>
        <v>0</v>
      </c>
      <c r="N87" s="127" t="s">
        <v>1305</v>
      </c>
      <c r="P87" s="127">
        <f t="shared" si="11"/>
        <v>0</v>
      </c>
      <c r="Q87" s="127" t="s">
        <v>1305</v>
      </c>
      <c r="S87" s="127">
        <f t="shared" si="12"/>
        <v>0</v>
      </c>
      <c r="T87" s="127" t="s">
        <v>1305</v>
      </c>
      <c r="V87" s="127">
        <f t="shared" si="13"/>
        <v>0</v>
      </c>
    </row>
    <row r="88" spans="1:22" ht="15.75">
      <c r="A88" s="155" t="s">
        <v>1352</v>
      </c>
      <c r="B88" s="125" t="s">
        <v>623</v>
      </c>
      <c r="C88" s="130">
        <f t="shared" si="7"/>
        <v>7.5</v>
      </c>
      <c r="E88" s="127" t="s">
        <v>597</v>
      </c>
      <c r="F88">
        <v>1</v>
      </c>
      <c r="G88" s="127">
        <f t="shared" si="8"/>
        <v>4.5</v>
      </c>
      <c r="H88" s="127" t="s">
        <v>676</v>
      </c>
      <c r="I88" s="127">
        <v>3</v>
      </c>
      <c r="J88" s="127">
        <f t="shared" si="9"/>
        <v>1</v>
      </c>
      <c r="K88" s="127" t="s">
        <v>1305</v>
      </c>
      <c r="M88" s="127">
        <f t="shared" si="10"/>
        <v>0</v>
      </c>
      <c r="N88" s="127" t="s">
        <v>1305</v>
      </c>
      <c r="P88" s="127">
        <f t="shared" si="11"/>
        <v>0</v>
      </c>
      <c r="Q88" s="127" t="s">
        <v>1305</v>
      </c>
      <c r="S88" s="127">
        <f t="shared" si="12"/>
        <v>0</v>
      </c>
      <c r="T88" s="127" t="s">
        <v>1305</v>
      </c>
      <c r="V88" s="127">
        <f t="shared" si="13"/>
        <v>0</v>
      </c>
    </row>
    <row r="89" spans="1:22" ht="15.75">
      <c r="A89" s="155" t="s">
        <v>1346</v>
      </c>
      <c r="B89" s="125" t="s">
        <v>624</v>
      </c>
      <c r="C89" s="130">
        <f t="shared" si="7"/>
        <v>31</v>
      </c>
      <c r="E89" s="127" t="s">
        <v>669</v>
      </c>
      <c r="F89">
        <v>1</v>
      </c>
      <c r="G89" s="127">
        <f t="shared" si="8"/>
        <v>28</v>
      </c>
      <c r="H89" s="127" t="s">
        <v>672</v>
      </c>
      <c r="I89" s="127">
        <v>1</v>
      </c>
      <c r="J89" s="127">
        <f t="shared" si="9"/>
        <v>3</v>
      </c>
      <c r="K89" s="127" t="s">
        <v>1305</v>
      </c>
      <c r="M89" s="127">
        <f t="shared" si="10"/>
        <v>0</v>
      </c>
      <c r="N89" s="127" t="s">
        <v>1305</v>
      </c>
      <c r="P89" s="127">
        <f t="shared" si="11"/>
        <v>0</v>
      </c>
      <c r="Q89" s="127" t="s">
        <v>1305</v>
      </c>
      <c r="S89" s="127">
        <f t="shared" si="12"/>
        <v>0</v>
      </c>
      <c r="T89" s="127" t="s">
        <v>1305</v>
      </c>
      <c r="V89" s="127">
        <f t="shared" si="13"/>
        <v>0</v>
      </c>
    </row>
    <row r="90" spans="1:22" ht="15.75">
      <c r="A90" s="155" t="s">
        <v>1346</v>
      </c>
      <c r="B90" s="125" t="s">
        <v>625</v>
      </c>
      <c r="C90" s="130">
        <f t="shared" si="7"/>
        <v>372</v>
      </c>
      <c r="E90" s="127" t="s">
        <v>628</v>
      </c>
      <c r="F90">
        <v>3</v>
      </c>
      <c r="G90" s="127">
        <f t="shared" si="8"/>
        <v>124</v>
      </c>
      <c r="H90" s="127" t="s">
        <v>1305</v>
      </c>
      <c r="J90" s="127">
        <f t="shared" si="9"/>
        <v>0</v>
      </c>
      <c r="K90" s="127" t="s">
        <v>1305</v>
      </c>
      <c r="M90" s="127">
        <f t="shared" si="10"/>
        <v>0</v>
      </c>
      <c r="N90" s="127" t="s">
        <v>1305</v>
      </c>
      <c r="P90" s="127">
        <f t="shared" si="11"/>
        <v>0</v>
      </c>
      <c r="Q90" s="127" t="s">
        <v>1305</v>
      </c>
      <c r="S90" s="127">
        <f t="shared" si="12"/>
        <v>0</v>
      </c>
      <c r="T90" s="127" t="s">
        <v>1305</v>
      </c>
      <c r="V90" s="127">
        <f t="shared" si="13"/>
        <v>0</v>
      </c>
    </row>
    <row r="91" spans="1:22" ht="15.75">
      <c r="A91" s="155" t="s">
        <v>1346</v>
      </c>
      <c r="B91" s="125" t="s">
        <v>626</v>
      </c>
      <c r="C91" s="130">
        <f t="shared" si="7"/>
        <v>744</v>
      </c>
      <c r="E91" s="127" t="s">
        <v>628</v>
      </c>
      <c r="F91">
        <v>6</v>
      </c>
      <c r="G91" s="127">
        <f t="shared" si="8"/>
        <v>124</v>
      </c>
      <c r="H91" s="127" t="s">
        <v>1305</v>
      </c>
      <c r="J91" s="127">
        <f t="shared" si="9"/>
        <v>0</v>
      </c>
      <c r="K91" s="127" t="s">
        <v>1305</v>
      </c>
      <c r="M91" s="127">
        <f t="shared" si="10"/>
        <v>0</v>
      </c>
      <c r="N91" s="127" t="s">
        <v>1305</v>
      </c>
      <c r="P91" s="127">
        <f t="shared" si="11"/>
        <v>0</v>
      </c>
      <c r="Q91" s="127" t="s">
        <v>1305</v>
      </c>
      <c r="S91" s="127">
        <f t="shared" si="12"/>
        <v>0</v>
      </c>
      <c r="T91" s="127" t="s">
        <v>1305</v>
      </c>
      <c r="V91" s="127">
        <f t="shared" si="13"/>
        <v>0</v>
      </c>
    </row>
    <row r="92" spans="1:22" ht="15.75">
      <c r="A92" s="155" t="s">
        <v>1346</v>
      </c>
      <c r="B92" s="125" t="s">
        <v>627</v>
      </c>
      <c r="C92" s="130">
        <f t="shared" si="7"/>
        <v>744</v>
      </c>
      <c r="E92" s="127" t="s">
        <v>628</v>
      </c>
      <c r="F92">
        <v>6</v>
      </c>
      <c r="G92" s="127">
        <f t="shared" si="8"/>
        <v>124</v>
      </c>
      <c r="H92" s="127" t="s">
        <v>1305</v>
      </c>
      <c r="J92" s="127">
        <f t="shared" si="9"/>
        <v>0</v>
      </c>
      <c r="K92" s="127" t="s">
        <v>1305</v>
      </c>
      <c r="M92" s="127">
        <f t="shared" si="10"/>
        <v>0</v>
      </c>
      <c r="N92" s="127" t="s">
        <v>1305</v>
      </c>
      <c r="P92" s="127">
        <f t="shared" si="11"/>
        <v>0</v>
      </c>
      <c r="Q92" s="127" t="s">
        <v>1305</v>
      </c>
      <c r="S92" s="127">
        <f t="shared" si="12"/>
        <v>0</v>
      </c>
      <c r="T92" s="127" t="s">
        <v>1305</v>
      </c>
      <c r="V92" s="127">
        <f t="shared" si="13"/>
        <v>0</v>
      </c>
    </row>
    <row r="93" spans="1:22" ht="15.75">
      <c r="A93" s="155" t="s">
        <v>1346</v>
      </c>
      <c r="B93" s="125" t="s">
        <v>628</v>
      </c>
      <c r="C93" s="130">
        <f t="shared" si="7"/>
        <v>124</v>
      </c>
      <c r="E93" s="127" t="s">
        <v>624</v>
      </c>
      <c r="F93">
        <v>4</v>
      </c>
      <c r="G93" s="127">
        <f t="shared" si="8"/>
        <v>31</v>
      </c>
      <c r="H93" s="127" t="s">
        <v>1305</v>
      </c>
      <c r="J93" s="127">
        <f t="shared" si="9"/>
        <v>0</v>
      </c>
      <c r="K93" s="127" t="s">
        <v>1305</v>
      </c>
      <c r="M93" s="127">
        <f t="shared" si="10"/>
        <v>0</v>
      </c>
      <c r="N93" s="127" t="s">
        <v>1305</v>
      </c>
      <c r="P93" s="127">
        <f t="shared" si="11"/>
        <v>0</v>
      </c>
      <c r="Q93" s="127" t="s">
        <v>1305</v>
      </c>
      <c r="S93" s="127">
        <f t="shared" si="12"/>
        <v>0</v>
      </c>
      <c r="T93" s="127" t="s">
        <v>1305</v>
      </c>
      <c r="V93" s="127">
        <f t="shared" si="13"/>
        <v>0</v>
      </c>
    </row>
    <row r="94" spans="1:22" ht="15.75">
      <c r="A94" s="155" t="s">
        <v>1351</v>
      </c>
      <c r="B94" s="125" t="s">
        <v>629</v>
      </c>
      <c r="C94" s="130">
        <f t="shared" si="7"/>
        <v>80</v>
      </c>
      <c r="E94" s="127" t="s">
        <v>641</v>
      </c>
      <c r="F94" s="127">
        <v>6</v>
      </c>
      <c r="G94" s="127">
        <f t="shared" si="8"/>
        <v>13</v>
      </c>
      <c r="H94" s="127" t="s">
        <v>1208</v>
      </c>
      <c r="I94" s="127">
        <v>1</v>
      </c>
      <c r="J94" s="127">
        <f t="shared" si="9"/>
        <v>2</v>
      </c>
      <c r="K94" s="127" t="s">
        <v>1305</v>
      </c>
      <c r="M94" s="127">
        <f t="shared" si="10"/>
        <v>0</v>
      </c>
      <c r="N94" s="127" t="s">
        <v>1305</v>
      </c>
      <c r="P94" s="127">
        <f t="shared" si="11"/>
        <v>0</v>
      </c>
      <c r="Q94" s="127" t="s">
        <v>1305</v>
      </c>
      <c r="S94" s="127">
        <f t="shared" si="12"/>
        <v>0</v>
      </c>
      <c r="T94" s="127" t="s">
        <v>1305</v>
      </c>
      <c r="V94" s="127">
        <f t="shared" si="13"/>
        <v>0</v>
      </c>
    </row>
    <row r="95" spans="1:22" ht="15.75">
      <c r="A95" s="155" t="s">
        <v>1351</v>
      </c>
      <c r="B95" s="125" t="s">
        <v>630</v>
      </c>
      <c r="C95" s="130">
        <f t="shared" si="7"/>
        <v>42</v>
      </c>
      <c r="E95" s="127" t="s">
        <v>641</v>
      </c>
      <c r="F95" s="127">
        <v>3</v>
      </c>
      <c r="G95" s="127">
        <f t="shared" si="8"/>
        <v>13</v>
      </c>
      <c r="H95" s="127" t="s">
        <v>1026</v>
      </c>
      <c r="I95" s="127">
        <v>3</v>
      </c>
      <c r="J95" s="127">
        <f t="shared" si="9"/>
        <v>1</v>
      </c>
      <c r="K95" s="127" t="s">
        <v>1305</v>
      </c>
      <c r="M95" s="127">
        <f t="shared" si="10"/>
        <v>0</v>
      </c>
      <c r="N95" s="127" t="s">
        <v>1305</v>
      </c>
      <c r="P95" s="127">
        <f t="shared" si="11"/>
        <v>0</v>
      </c>
      <c r="Q95" s="127" t="s">
        <v>1305</v>
      </c>
      <c r="S95" s="127">
        <f t="shared" si="12"/>
        <v>0</v>
      </c>
      <c r="T95" s="127" t="s">
        <v>1305</v>
      </c>
      <c r="V95" s="127">
        <f t="shared" si="13"/>
        <v>0</v>
      </c>
    </row>
    <row r="96" spans="1:22" ht="15.75">
      <c r="A96" s="155" t="s">
        <v>1351</v>
      </c>
      <c r="B96" s="125" t="s">
        <v>631</v>
      </c>
      <c r="C96" s="130">
        <f t="shared" si="7"/>
        <v>26</v>
      </c>
      <c r="E96" s="127" t="s">
        <v>641</v>
      </c>
      <c r="F96" s="127">
        <v>2</v>
      </c>
      <c r="G96" s="127">
        <f t="shared" si="8"/>
        <v>13</v>
      </c>
      <c r="H96" s="127" t="s">
        <v>1305</v>
      </c>
      <c r="J96" s="127">
        <f t="shared" si="9"/>
        <v>0</v>
      </c>
      <c r="K96" s="127" t="s">
        <v>1305</v>
      </c>
      <c r="M96" s="127">
        <f t="shared" si="10"/>
        <v>0</v>
      </c>
      <c r="N96" s="127" t="s">
        <v>1305</v>
      </c>
      <c r="P96" s="127">
        <f t="shared" si="11"/>
        <v>0</v>
      </c>
      <c r="Q96" s="127" t="s">
        <v>1305</v>
      </c>
      <c r="S96" s="127">
        <f t="shared" si="12"/>
        <v>0</v>
      </c>
      <c r="T96" s="127" t="s">
        <v>1305</v>
      </c>
      <c r="V96" s="127">
        <f t="shared" si="13"/>
        <v>0</v>
      </c>
    </row>
    <row r="97" spans="1:22" ht="15.75">
      <c r="A97" s="155" t="s">
        <v>1351</v>
      </c>
      <c r="B97" s="125" t="s">
        <v>632</v>
      </c>
      <c r="C97" s="130">
        <f t="shared" si="7"/>
        <v>31</v>
      </c>
      <c r="E97" s="127" t="s">
        <v>633</v>
      </c>
      <c r="F97" s="127">
        <v>1</v>
      </c>
      <c r="G97" s="127">
        <f t="shared" si="8"/>
        <v>31</v>
      </c>
      <c r="H97" s="127" t="s">
        <v>1305</v>
      </c>
      <c r="J97" s="127">
        <f t="shared" si="9"/>
        <v>0</v>
      </c>
      <c r="K97" s="127" t="s">
        <v>1305</v>
      </c>
      <c r="M97" s="127">
        <f t="shared" si="10"/>
        <v>0</v>
      </c>
      <c r="N97" s="127" t="s">
        <v>1305</v>
      </c>
      <c r="P97" s="127">
        <f t="shared" si="11"/>
        <v>0</v>
      </c>
      <c r="Q97" s="127" t="s">
        <v>1305</v>
      </c>
      <c r="S97" s="127">
        <f t="shared" si="12"/>
        <v>0</v>
      </c>
      <c r="T97" s="127" t="s">
        <v>1305</v>
      </c>
      <c r="V97" s="127">
        <f t="shared" si="13"/>
        <v>0</v>
      </c>
    </row>
    <row r="98" spans="1:22" ht="15.75">
      <c r="A98" s="155" t="s">
        <v>1351</v>
      </c>
      <c r="B98" s="125" t="s">
        <v>633</v>
      </c>
      <c r="C98" s="130">
        <f t="shared" si="7"/>
        <v>31</v>
      </c>
      <c r="E98" s="127" t="s">
        <v>1158</v>
      </c>
      <c r="F98" s="127">
        <v>4</v>
      </c>
      <c r="G98" s="127">
        <f t="shared" si="8"/>
        <v>5</v>
      </c>
      <c r="H98" s="127" t="s">
        <v>844</v>
      </c>
      <c r="I98" s="127">
        <v>4</v>
      </c>
      <c r="J98" s="127">
        <f t="shared" si="9"/>
        <v>1</v>
      </c>
      <c r="K98" s="127" t="s">
        <v>634</v>
      </c>
      <c r="L98" s="127">
        <v>1</v>
      </c>
      <c r="M98" s="127">
        <f t="shared" si="10"/>
        <v>7</v>
      </c>
      <c r="N98" s="127" t="s">
        <v>1305</v>
      </c>
      <c r="P98" s="127">
        <f t="shared" si="11"/>
        <v>0</v>
      </c>
      <c r="Q98" s="127" t="s">
        <v>1305</v>
      </c>
      <c r="S98" s="127">
        <f t="shared" si="12"/>
        <v>0</v>
      </c>
      <c r="T98" s="127" t="s">
        <v>1305</v>
      </c>
      <c r="V98" s="127">
        <f t="shared" si="13"/>
        <v>0</v>
      </c>
    </row>
    <row r="99" spans="1:22" s="13" customFormat="1" ht="15.75">
      <c r="A99" s="155" t="s">
        <v>1351</v>
      </c>
      <c r="B99" s="145" t="s">
        <v>634</v>
      </c>
      <c r="C99" s="146">
        <f t="shared" si="7"/>
        <v>7</v>
      </c>
      <c r="D99" s="133"/>
      <c r="E99" s="13" t="s">
        <v>1311</v>
      </c>
      <c r="F99" s="13">
        <v>1</v>
      </c>
      <c r="G99" s="13">
        <f t="shared" si="8"/>
        <v>7</v>
      </c>
      <c r="H99" s="13" t="s">
        <v>1305</v>
      </c>
      <c r="J99" s="13">
        <f t="shared" si="9"/>
        <v>0</v>
      </c>
      <c r="K99" s="13" t="s">
        <v>1305</v>
      </c>
      <c r="M99" s="13">
        <f t="shared" si="10"/>
        <v>0</v>
      </c>
      <c r="N99" s="13" t="s">
        <v>1305</v>
      </c>
      <c r="P99" s="13">
        <f t="shared" si="11"/>
        <v>0</v>
      </c>
      <c r="Q99" s="13" t="s">
        <v>1305</v>
      </c>
      <c r="S99" s="13">
        <f t="shared" si="12"/>
        <v>0</v>
      </c>
      <c r="T99" s="13" t="s">
        <v>1305</v>
      </c>
      <c r="V99" s="13">
        <f t="shared" si="13"/>
        <v>0</v>
      </c>
    </row>
    <row r="100" spans="1:22" ht="15.75">
      <c r="A100" s="155" t="s">
        <v>1351</v>
      </c>
      <c r="B100" s="125" t="s">
        <v>635</v>
      </c>
      <c r="C100" s="130">
        <f t="shared" si="7"/>
        <v>258</v>
      </c>
      <c r="E100" s="127" t="s">
        <v>640</v>
      </c>
      <c r="F100" s="127">
        <v>1</v>
      </c>
      <c r="G100" s="127">
        <f t="shared" si="8"/>
        <v>255</v>
      </c>
      <c r="H100" s="127" t="s">
        <v>672</v>
      </c>
      <c r="I100" s="127">
        <v>1</v>
      </c>
      <c r="J100" s="127">
        <f t="shared" si="9"/>
        <v>3</v>
      </c>
      <c r="K100" s="127" t="s">
        <v>1305</v>
      </c>
      <c r="M100" s="127">
        <f t="shared" si="10"/>
        <v>0</v>
      </c>
      <c r="N100" s="127" t="s">
        <v>1305</v>
      </c>
      <c r="P100" s="127">
        <f t="shared" si="11"/>
        <v>0</v>
      </c>
      <c r="Q100" s="127" t="s">
        <v>1305</v>
      </c>
      <c r="S100" s="127">
        <f t="shared" si="12"/>
        <v>0</v>
      </c>
      <c r="T100" s="127" t="s">
        <v>1305</v>
      </c>
      <c r="V100" s="127">
        <f t="shared" si="13"/>
        <v>0</v>
      </c>
    </row>
    <row r="101" spans="1:22" s="138" customFormat="1" ht="15.75">
      <c r="A101" s="138" t="s">
        <v>560</v>
      </c>
      <c r="B101" s="136" t="s">
        <v>636</v>
      </c>
      <c r="C101" s="137">
        <f>'ECONOMIA &amp; PROFESIONES'!G42</f>
        <v>11</v>
      </c>
      <c r="D101" s="133"/>
      <c r="E101" s="138" t="s">
        <v>1305</v>
      </c>
      <c r="G101" s="138">
        <f t="shared" si="8"/>
        <v>0</v>
      </c>
      <c r="H101" s="138" t="s">
        <v>1305</v>
      </c>
      <c r="J101" s="138">
        <f t="shared" si="9"/>
        <v>0</v>
      </c>
      <c r="K101" s="138" t="s">
        <v>1305</v>
      </c>
      <c r="M101" s="138">
        <f t="shared" si="10"/>
        <v>0</v>
      </c>
      <c r="N101" s="138" t="s">
        <v>1305</v>
      </c>
      <c r="P101" s="138">
        <f t="shared" si="11"/>
        <v>0</v>
      </c>
      <c r="Q101" s="138" t="s">
        <v>1305</v>
      </c>
      <c r="S101" s="138">
        <f t="shared" si="12"/>
        <v>0</v>
      </c>
      <c r="T101" s="138" t="s">
        <v>1305</v>
      </c>
      <c r="V101" s="138">
        <f t="shared" si="13"/>
        <v>0</v>
      </c>
    </row>
    <row r="102" spans="1:22" ht="15.75">
      <c r="A102" s="155" t="s">
        <v>1351</v>
      </c>
      <c r="B102" s="125" t="s">
        <v>637</v>
      </c>
      <c r="C102" s="130">
        <f t="shared" si="7"/>
        <v>33</v>
      </c>
      <c r="E102" s="127" t="s">
        <v>634</v>
      </c>
      <c r="F102" s="127">
        <v>1</v>
      </c>
      <c r="G102" s="127">
        <f t="shared" si="8"/>
        <v>7</v>
      </c>
      <c r="H102" s="127" t="s">
        <v>1170</v>
      </c>
      <c r="I102" s="127">
        <v>1</v>
      </c>
      <c r="J102" s="127">
        <f t="shared" si="9"/>
        <v>26</v>
      </c>
      <c r="K102" s="127" t="s">
        <v>1305</v>
      </c>
      <c r="M102" s="127">
        <f t="shared" si="10"/>
        <v>0</v>
      </c>
      <c r="N102" s="127" t="s">
        <v>1305</v>
      </c>
      <c r="P102" s="127">
        <f t="shared" si="11"/>
        <v>0</v>
      </c>
      <c r="Q102" s="127" t="s">
        <v>1305</v>
      </c>
      <c r="S102" s="127">
        <f t="shared" si="12"/>
        <v>0</v>
      </c>
      <c r="T102" s="127" t="s">
        <v>1305</v>
      </c>
      <c r="V102" s="127">
        <f t="shared" si="13"/>
        <v>0</v>
      </c>
    </row>
    <row r="103" spans="1:22" ht="15.75">
      <c r="A103" s="155" t="s">
        <v>1351</v>
      </c>
      <c r="B103" s="125" t="s">
        <v>638</v>
      </c>
      <c r="C103" s="130">
        <f t="shared" si="7"/>
        <v>71</v>
      </c>
      <c r="E103" s="127" t="s">
        <v>814</v>
      </c>
      <c r="F103" s="127">
        <v>8</v>
      </c>
      <c r="G103" s="127">
        <f t="shared" si="8"/>
        <v>8</v>
      </c>
      <c r="H103" s="127" t="s">
        <v>634</v>
      </c>
      <c r="I103" s="127">
        <v>1</v>
      </c>
      <c r="J103" s="127">
        <f t="shared" si="9"/>
        <v>7</v>
      </c>
      <c r="K103" s="127" t="s">
        <v>1305</v>
      </c>
      <c r="M103" s="127">
        <f t="shared" si="10"/>
        <v>0</v>
      </c>
      <c r="N103" s="127" t="s">
        <v>1305</v>
      </c>
      <c r="P103" s="127">
        <f t="shared" si="11"/>
        <v>0</v>
      </c>
      <c r="Q103" s="127" t="s">
        <v>1305</v>
      </c>
      <c r="S103" s="127">
        <f t="shared" si="12"/>
        <v>0</v>
      </c>
      <c r="T103" s="127" t="s">
        <v>1305</v>
      </c>
      <c r="V103" s="127">
        <f t="shared" si="13"/>
        <v>0</v>
      </c>
    </row>
    <row r="104" spans="1:22" ht="15.75">
      <c r="A104" s="155" t="s">
        <v>1351</v>
      </c>
      <c r="B104" s="125" t="s">
        <v>639</v>
      </c>
      <c r="C104" s="130">
        <f t="shared" si="7"/>
        <v>426</v>
      </c>
      <c r="E104" s="127" t="s">
        <v>638</v>
      </c>
      <c r="F104" s="127">
        <v>6</v>
      </c>
      <c r="G104" s="127">
        <f t="shared" si="8"/>
        <v>71</v>
      </c>
      <c r="H104" s="127" t="s">
        <v>1305</v>
      </c>
      <c r="J104" s="127">
        <f t="shared" si="9"/>
        <v>0</v>
      </c>
      <c r="K104" s="127" t="s">
        <v>1305</v>
      </c>
      <c r="M104" s="127">
        <f t="shared" si="10"/>
        <v>0</v>
      </c>
      <c r="N104" s="127" t="s">
        <v>1305</v>
      </c>
      <c r="P104" s="127">
        <f t="shared" si="11"/>
        <v>0</v>
      </c>
      <c r="Q104" s="127" t="s">
        <v>1305</v>
      </c>
      <c r="S104" s="127">
        <f t="shared" si="12"/>
        <v>0</v>
      </c>
      <c r="T104" s="127" t="s">
        <v>1305</v>
      </c>
      <c r="V104" s="127">
        <f t="shared" si="13"/>
        <v>0</v>
      </c>
    </row>
    <row r="105" spans="1:22" ht="15.75">
      <c r="A105" s="155" t="s">
        <v>1351</v>
      </c>
      <c r="B105" s="125" t="s">
        <v>640</v>
      </c>
      <c r="C105" s="130">
        <f t="shared" si="7"/>
        <v>255</v>
      </c>
      <c r="E105" s="127" t="s">
        <v>1245</v>
      </c>
      <c r="F105" s="127">
        <v>8</v>
      </c>
      <c r="G105" s="127">
        <f t="shared" si="8"/>
        <v>31</v>
      </c>
      <c r="H105" s="127" t="s">
        <v>634</v>
      </c>
      <c r="I105" s="127">
        <v>1</v>
      </c>
      <c r="J105" s="127">
        <f t="shared" si="9"/>
        <v>7</v>
      </c>
      <c r="K105" s="127" t="s">
        <v>1305</v>
      </c>
      <c r="M105" s="127">
        <f t="shared" si="10"/>
        <v>0</v>
      </c>
      <c r="N105" s="127" t="s">
        <v>1305</v>
      </c>
      <c r="P105" s="127">
        <f t="shared" si="11"/>
        <v>0</v>
      </c>
      <c r="Q105" s="127" t="s">
        <v>1305</v>
      </c>
      <c r="S105" s="127">
        <f t="shared" si="12"/>
        <v>0</v>
      </c>
      <c r="T105" s="127" t="s">
        <v>1305</v>
      </c>
      <c r="V105" s="127">
        <f t="shared" si="13"/>
        <v>0</v>
      </c>
    </row>
    <row r="106" spans="1:22" ht="15.75">
      <c r="A106" s="155" t="s">
        <v>1351</v>
      </c>
      <c r="B106" s="125" t="s">
        <v>641</v>
      </c>
      <c r="C106" s="130">
        <f t="shared" si="7"/>
        <v>13</v>
      </c>
      <c r="E106" s="127" t="s">
        <v>1274</v>
      </c>
      <c r="F106" s="127">
        <v>1</v>
      </c>
      <c r="G106" s="127">
        <f t="shared" si="8"/>
        <v>6</v>
      </c>
      <c r="H106" s="127" t="s">
        <v>634</v>
      </c>
      <c r="I106" s="127">
        <v>1</v>
      </c>
      <c r="J106" s="127">
        <f t="shared" si="9"/>
        <v>7</v>
      </c>
      <c r="K106" s="127" t="s">
        <v>1305</v>
      </c>
      <c r="M106" s="127">
        <f t="shared" si="10"/>
        <v>0</v>
      </c>
      <c r="N106" s="127" t="s">
        <v>1305</v>
      </c>
      <c r="P106" s="127">
        <f t="shared" si="11"/>
        <v>0</v>
      </c>
      <c r="Q106" s="127" t="s">
        <v>1305</v>
      </c>
      <c r="S106" s="127">
        <f t="shared" si="12"/>
        <v>0</v>
      </c>
      <c r="T106" s="127" t="s">
        <v>1305</v>
      </c>
      <c r="V106" s="127">
        <f t="shared" si="13"/>
        <v>0</v>
      </c>
    </row>
    <row r="107" spans="1:22" s="168" customFormat="1" ht="15.75">
      <c r="A107" s="155"/>
      <c r="B107" s="166" t="s">
        <v>642</v>
      </c>
      <c r="C107" s="167">
        <f t="shared" si="7"/>
        <v>0</v>
      </c>
      <c r="D107" s="133"/>
      <c r="E107" s="168" t="s">
        <v>1305</v>
      </c>
      <c r="G107" s="168">
        <f t="shared" si="8"/>
        <v>0</v>
      </c>
      <c r="H107" s="168" t="s">
        <v>1305</v>
      </c>
      <c r="J107" s="168">
        <f t="shared" si="9"/>
        <v>0</v>
      </c>
      <c r="K107" s="168" t="s">
        <v>1305</v>
      </c>
      <c r="M107" s="168">
        <f t="shared" si="10"/>
        <v>0</v>
      </c>
      <c r="N107" s="168" t="s">
        <v>1305</v>
      </c>
      <c r="P107" s="168">
        <f t="shared" si="11"/>
        <v>0</v>
      </c>
      <c r="Q107" s="168" t="s">
        <v>1305</v>
      </c>
      <c r="S107" s="168">
        <f t="shared" si="12"/>
        <v>0</v>
      </c>
      <c r="T107" s="168" t="s">
        <v>1305</v>
      </c>
      <c r="V107" s="168">
        <f t="shared" si="13"/>
        <v>0</v>
      </c>
    </row>
    <row r="108" spans="1:22" s="168" customFormat="1" ht="15.75">
      <c r="A108" s="155"/>
      <c r="B108" s="166" t="s">
        <v>643</v>
      </c>
      <c r="C108" s="167">
        <f t="shared" si="7"/>
        <v>0</v>
      </c>
      <c r="D108" s="133"/>
      <c r="E108" s="168" t="s">
        <v>1305</v>
      </c>
      <c r="G108" s="168">
        <f t="shared" si="8"/>
        <v>0</v>
      </c>
      <c r="H108" s="168" t="s">
        <v>1305</v>
      </c>
      <c r="J108" s="168">
        <f t="shared" si="9"/>
        <v>0</v>
      </c>
      <c r="K108" s="168" t="s">
        <v>1305</v>
      </c>
      <c r="M108" s="168">
        <f t="shared" si="10"/>
        <v>0</v>
      </c>
      <c r="N108" s="168" t="s">
        <v>1305</v>
      </c>
      <c r="P108" s="168">
        <f t="shared" si="11"/>
        <v>0</v>
      </c>
      <c r="Q108" s="168" t="s">
        <v>1305</v>
      </c>
      <c r="S108" s="168">
        <f t="shared" si="12"/>
        <v>0</v>
      </c>
      <c r="T108" s="168" t="s">
        <v>1305</v>
      </c>
      <c r="V108" s="168">
        <f t="shared" si="13"/>
        <v>0</v>
      </c>
    </row>
    <row r="109" spans="1:22" s="168" customFormat="1" ht="15.75">
      <c r="A109" s="155"/>
      <c r="B109" s="166" t="s">
        <v>644</v>
      </c>
      <c r="C109" s="167">
        <f t="shared" si="7"/>
        <v>0</v>
      </c>
      <c r="D109" s="133"/>
      <c r="E109" s="168" t="s">
        <v>1305</v>
      </c>
      <c r="G109" s="168">
        <f t="shared" si="8"/>
        <v>0</v>
      </c>
      <c r="H109" s="168" t="s">
        <v>1305</v>
      </c>
      <c r="J109" s="168">
        <f t="shared" si="9"/>
        <v>0</v>
      </c>
      <c r="K109" s="168" t="s">
        <v>1305</v>
      </c>
      <c r="M109" s="168">
        <f t="shared" si="10"/>
        <v>0</v>
      </c>
      <c r="N109" s="168" t="s">
        <v>1305</v>
      </c>
      <c r="P109" s="168">
        <f t="shared" si="11"/>
        <v>0</v>
      </c>
      <c r="Q109" s="168" t="s">
        <v>1305</v>
      </c>
      <c r="S109" s="168">
        <f t="shared" si="12"/>
        <v>0</v>
      </c>
      <c r="T109" s="168" t="s">
        <v>1305</v>
      </c>
      <c r="V109" s="168">
        <f t="shared" si="13"/>
        <v>0</v>
      </c>
    </row>
    <row r="110" spans="1:22" ht="15.75">
      <c r="A110" s="155" t="s">
        <v>1343</v>
      </c>
      <c r="B110" s="125" t="s">
        <v>645</v>
      </c>
      <c r="C110" s="130">
        <f t="shared" si="7"/>
        <v>12</v>
      </c>
      <c r="E110" s="127" t="s">
        <v>896</v>
      </c>
      <c r="F110">
        <v>3</v>
      </c>
      <c r="G110" s="127">
        <f t="shared" si="8"/>
        <v>4</v>
      </c>
      <c r="H110" s="127" t="s">
        <v>1305</v>
      </c>
      <c r="J110" s="127">
        <f t="shared" si="9"/>
        <v>0</v>
      </c>
      <c r="K110" s="127" t="s">
        <v>1305</v>
      </c>
      <c r="M110" s="127">
        <f t="shared" si="10"/>
        <v>0</v>
      </c>
      <c r="N110" s="127" t="s">
        <v>1305</v>
      </c>
      <c r="P110" s="127">
        <f t="shared" si="11"/>
        <v>0</v>
      </c>
      <c r="Q110" s="127" t="s">
        <v>1305</v>
      </c>
      <c r="S110" s="127">
        <f t="shared" si="12"/>
        <v>0</v>
      </c>
      <c r="T110" s="127" t="s">
        <v>1305</v>
      </c>
      <c r="V110" s="127">
        <f t="shared" si="13"/>
        <v>0</v>
      </c>
    </row>
    <row r="111" spans="1:22" s="138" customFormat="1" ht="15.75">
      <c r="A111" s="138" t="s">
        <v>560</v>
      </c>
      <c r="B111" s="136" t="s">
        <v>646</v>
      </c>
      <c r="C111" s="137">
        <f>'ECONOMIA &amp; PROFESIONES'!G38</f>
        <v>5</v>
      </c>
      <c r="D111" s="133"/>
      <c r="E111" s="138" t="s">
        <v>1305</v>
      </c>
      <c r="G111" s="138">
        <f t="shared" si="8"/>
        <v>0</v>
      </c>
      <c r="H111" s="138" t="s">
        <v>1305</v>
      </c>
      <c r="J111" s="138">
        <f t="shared" si="9"/>
        <v>0</v>
      </c>
      <c r="K111" s="138" t="s">
        <v>1305</v>
      </c>
      <c r="M111" s="138">
        <f t="shared" si="10"/>
        <v>0</v>
      </c>
      <c r="N111" s="138" t="s">
        <v>1305</v>
      </c>
      <c r="P111" s="138">
        <f t="shared" si="11"/>
        <v>0</v>
      </c>
      <c r="Q111" s="138" t="s">
        <v>1305</v>
      </c>
      <c r="S111" s="138">
        <f t="shared" si="12"/>
        <v>0</v>
      </c>
      <c r="T111" s="138" t="s">
        <v>1305</v>
      </c>
      <c r="V111" s="138">
        <f t="shared" si="13"/>
        <v>0</v>
      </c>
    </row>
    <row r="112" spans="1:22" ht="15.75">
      <c r="A112" s="155" t="s">
        <v>1348</v>
      </c>
      <c r="B112" s="125" t="s">
        <v>647</v>
      </c>
      <c r="C112" s="130">
        <f t="shared" si="7"/>
        <v>38.9</v>
      </c>
      <c r="E112" s="127" t="s">
        <v>1260</v>
      </c>
      <c r="F112">
        <v>3</v>
      </c>
      <c r="G112" s="127">
        <f t="shared" si="8"/>
        <v>7</v>
      </c>
      <c r="H112" s="127" t="s">
        <v>775</v>
      </c>
      <c r="I112" s="127">
        <v>1</v>
      </c>
      <c r="J112" s="127">
        <f t="shared" si="9"/>
        <v>0.4</v>
      </c>
      <c r="K112" s="127" t="s">
        <v>1239</v>
      </c>
      <c r="L112" s="127">
        <v>2</v>
      </c>
      <c r="M112" s="127">
        <f t="shared" si="10"/>
        <v>5</v>
      </c>
      <c r="N112" s="127" t="s">
        <v>565</v>
      </c>
      <c r="O112" s="127">
        <v>3</v>
      </c>
      <c r="P112" s="127">
        <f t="shared" si="11"/>
        <v>2.5</v>
      </c>
      <c r="Q112" s="127" t="s">
        <v>1305</v>
      </c>
      <c r="S112" s="127">
        <f t="shared" si="12"/>
        <v>0</v>
      </c>
      <c r="T112" s="127" t="s">
        <v>1305</v>
      </c>
      <c r="V112" s="127">
        <f t="shared" si="13"/>
        <v>0</v>
      </c>
    </row>
    <row r="113" spans="1:22" ht="15.75">
      <c r="A113" s="155" t="s">
        <v>1345</v>
      </c>
      <c r="B113" s="125" t="s">
        <v>648</v>
      </c>
      <c r="C113" s="130">
        <f t="shared" si="7"/>
        <v>12</v>
      </c>
      <c r="E113" s="127" t="s">
        <v>1208</v>
      </c>
      <c r="F113">
        <v>3</v>
      </c>
      <c r="G113" s="127">
        <f t="shared" si="8"/>
        <v>2</v>
      </c>
      <c r="H113" s="127" t="s">
        <v>672</v>
      </c>
      <c r="I113" s="127">
        <v>1</v>
      </c>
      <c r="J113" s="127">
        <f t="shared" si="9"/>
        <v>3</v>
      </c>
      <c r="K113" s="127" t="s">
        <v>1026</v>
      </c>
      <c r="L113" s="127">
        <v>3</v>
      </c>
      <c r="M113" s="127">
        <f t="shared" si="10"/>
        <v>1</v>
      </c>
      <c r="N113" s="127" t="s">
        <v>1305</v>
      </c>
      <c r="P113" s="127">
        <f t="shared" si="11"/>
        <v>0</v>
      </c>
      <c r="Q113" s="127" t="s">
        <v>1305</v>
      </c>
      <c r="S113" s="127">
        <f t="shared" si="12"/>
        <v>0</v>
      </c>
      <c r="T113" s="127" t="s">
        <v>1305</v>
      </c>
      <c r="V113" s="127">
        <f t="shared" si="13"/>
        <v>0</v>
      </c>
    </row>
    <row r="114" spans="1:22" s="138" customFormat="1" ht="15.75">
      <c r="A114" s="138" t="s">
        <v>560</v>
      </c>
      <c r="B114" s="136" t="s">
        <v>649</v>
      </c>
      <c r="C114" s="137">
        <f>'ECONOMIA &amp; PROFESIONES'!G35</f>
        <v>5</v>
      </c>
      <c r="D114" s="133"/>
      <c r="E114" s="138" t="s">
        <v>1305</v>
      </c>
      <c r="G114" s="138">
        <f t="shared" si="8"/>
        <v>0</v>
      </c>
      <c r="H114" s="138" t="s">
        <v>1305</v>
      </c>
      <c r="J114" s="138">
        <f t="shared" si="9"/>
        <v>0</v>
      </c>
      <c r="K114" s="138" t="s">
        <v>1305</v>
      </c>
      <c r="M114" s="138">
        <f t="shared" si="10"/>
        <v>0</v>
      </c>
      <c r="N114" s="138" t="s">
        <v>1305</v>
      </c>
      <c r="P114" s="138">
        <f t="shared" si="11"/>
        <v>0</v>
      </c>
      <c r="Q114" s="138" t="s">
        <v>1305</v>
      </c>
      <c r="S114" s="138">
        <f t="shared" si="12"/>
        <v>0</v>
      </c>
      <c r="T114" s="138" t="s">
        <v>1305</v>
      </c>
      <c r="V114" s="138">
        <f t="shared" si="13"/>
        <v>0</v>
      </c>
    </row>
    <row r="115" spans="1:22" ht="15.75">
      <c r="A115" s="155" t="s">
        <v>1348</v>
      </c>
      <c r="B115" s="125" t="s">
        <v>650</v>
      </c>
      <c r="C115" s="130">
        <f t="shared" si="7"/>
        <v>14</v>
      </c>
      <c r="E115" s="127" t="s">
        <v>649</v>
      </c>
      <c r="F115">
        <v>1</v>
      </c>
      <c r="G115" s="127">
        <f t="shared" si="8"/>
        <v>5</v>
      </c>
      <c r="H115" s="127" t="s">
        <v>805</v>
      </c>
      <c r="I115" s="127">
        <v>1</v>
      </c>
      <c r="J115" s="127">
        <f t="shared" si="9"/>
        <v>9</v>
      </c>
      <c r="K115" s="127" t="s">
        <v>1305</v>
      </c>
      <c r="M115" s="127">
        <f t="shared" si="10"/>
        <v>0</v>
      </c>
      <c r="N115" s="127" t="s">
        <v>1305</v>
      </c>
      <c r="P115" s="127">
        <f t="shared" si="11"/>
        <v>0</v>
      </c>
      <c r="Q115" s="127" t="s">
        <v>1305</v>
      </c>
      <c r="S115" s="127">
        <f t="shared" si="12"/>
        <v>0</v>
      </c>
      <c r="T115" s="127" t="s">
        <v>1305</v>
      </c>
      <c r="V115" s="127">
        <f t="shared" si="13"/>
        <v>0</v>
      </c>
    </row>
    <row r="116" spans="1:22" ht="15.75">
      <c r="A116" s="155" t="s">
        <v>1345</v>
      </c>
      <c r="B116" s="125" t="s">
        <v>651</v>
      </c>
      <c r="C116" s="130">
        <f t="shared" si="7"/>
        <v>34</v>
      </c>
      <c r="E116" s="127" t="s">
        <v>1051</v>
      </c>
      <c r="F116">
        <v>2</v>
      </c>
      <c r="G116" s="127">
        <f t="shared" si="8"/>
        <v>15</v>
      </c>
      <c r="H116" s="127" t="s">
        <v>1026</v>
      </c>
      <c r="I116" s="127">
        <v>4</v>
      </c>
      <c r="J116" s="127">
        <f t="shared" si="9"/>
        <v>1</v>
      </c>
      <c r="K116" s="127" t="s">
        <v>1305</v>
      </c>
      <c r="M116" s="127">
        <f t="shared" si="10"/>
        <v>0</v>
      </c>
      <c r="N116" s="127" t="s">
        <v>1305</v>
      </c>
      <c r="P116" s="127">
        <f t="shared" si="11"/>
        <v>0</v>
      </c>
      <c r="Q116" s="127" t="s">
        <v>1305</v>
      </c>
      <c r="S116" s="127">
        <f t="shared" si="12"/>
        <v>0</v>
      </c>
      <c r="T116" s="127" t="s">
        <v>1305</v>
      </c>
      <c r="V116" s="127">
        <f t="shared" si="13"/>
        <v>0</v>
      </c>
    </row>
    <row r="117" spans="1:22" ht="15.75">
      <c r="A117" s="155" t="s">
        <v>1348</v>
      </c>
      <c r="B117" s="125" t="s">
        <v>652</v>
      </c>
      <c r="C117" s="130">
        <f t="shared" si="7"/>
        <v>11</v>
      </c>
      <c r="E117" s="127" t="s">
        <v>1095</v>
      </c>
      <c r="F117">
        <v>1</v>
      </c>
      <c r="G117" s="127">
        <f t="shared" si="8"/>
        <v>11</v>
      </c>
      <c r="H117" s="127" t="s">
        <v>1305</v>
      </c>
      <c r="J117" s="127">
        <f t="shared" si="9"/>
        <v>0</v>
      </c>
      <c r="K117" s="127" t="s">
        <v>1305</v>
      </c>
      <c r="M117" s="127">
        <f t="shared" si="10"/>
        <v>0</v>
      </c>
      <c r="N117" s="127" t="s">
        <v>1305</v>
      </c>
      <c r="P117" s="127">
        <f t="shared" si="11"/>
        <v>0</v>
      </c>
      <c r="Q117" s="127" t="s">
        <v>1305</v>
      </c>
      <c r="S117" s="127">
        <f t="shared" si="12"/>
        <v>0</v>
      </c>
      <c r="T117" s="127" t="s">
        <v>1305</v>
      </c>
      <c r="V117" s="127">
        <f t="shared" si="13"/>
        <v>0</v>
      </c>
    </row>
    <row r="118" spans="1:22" ht="15.75">
      <c r="A118" s="155" t="s">
        <v>1343</v>
      </c>
      <c r="B118" s="125" t="s">
        <v>653</v>
      </c>
      <c r="C118" s="130">
        <f t="shared" si="7"/>
        <v>28</v>
      </c>
      <c r="E118" s="127" t="s">
        <v>896</v>
      </c>
      <c r="F118">
        <v>7</v>
      </c>
      <c r="G118" s="127">
        <f t="shared" si="8"/>
        <v>4</v>
      </c>
      <c r="H118" s="127" t="s">
        <v>1305</v>
      </c>
      <c r="J118" s="127">
        <f t="shared" si="9"/>
        <v>0</v>
      </c>
      <c r="K118" s="127" t="s">
        <v>1305</v>
      </c>
      <c r="M118" s="127">
        <f t="shared" si="10"/>
        <v>0</v>
      </c>
      <c r="N118" s="127" t="s">
        <v>1305</v>
      </c>
      <c r="P118" s="127">
        <f t="shared" si="11"/>
        <v>0</v>
      </c>
      <c r="Q118" s="127" t="s">
        <v>1305</v>
      </c>
      <c r="S118" s="127">
        <f t="shared" si="12"/>
        <v>0</v>
      </c>
      <c r="T118" s="127" t="s">
        <v>1305</v>
      </c>
      <c r="V118" s="127">
        <f t="shared" si="13"/>
        <v>0</v>
      </c>
    </row>
    <row r="119" spans="1:22" s="141" customFormat="1" ht="15.75">
      <c r="A119" s="155" t="s">
        <v>1344</v>
      </c>
      <c r="B119" s="139" t="s">
        <v>654</v>
      </c>
      <c r="C119" s="140">
        <f t="shared" si="7"/>
        <v>0</v>
      </c>
      <c r="D119" s="133"/>
      <c r="E119" s="141" t="s">
        <v>1305</v>
      </c>
      <c r="G119" s="141">
        <f t="shared" si="8"/>
        <v>0</v>
      </c>
      <c r="H119" s="141" t="s">
        <v>1305</v>
      </c>
      <c r="J119" s="141">
        <f t="shared" si="9"/>
        <v>0</v>
      </c>
      <c r="K119" s="141" t="s">
        <v>1305</v>
      </c>
      <c r="M119" s="141">
        <f t="shared" si="10"/>
        <v>0</v>
      </c>
      <c r="N119" s="141" t="s">
        <v>1305</v>
      </c>
      <c r="P119" s="141">
        <f t="shared" si="11"/>
        <v>0</v>
      </c>
      <c r="Q119" s="141" t="s">
        <v>1305</v>
      </c>
      <c r="S119" s="141">
        <f t="shared" si="12"/>
        <v>0</v>
      </c>
      <c r="T119" s="141" t="s">
        <v>1305</v>
      </c>
      <c r="V119" s="141">
        <f t="shared" si="13"/>
        <v>0</v>
      </c>
    </row>
    <row r="120" spans="1:22" s="141" customFormat="1" ht="15.75">
      <c r="A120" s="155" t="s">
        <v>1344</v>
      </c>
      <c r="B120" s="139" t="s">
        <v>655</v>
      </c>
      <c r="C120" s="140">
        <f t="shared" si="7"/>
        <v>0</v>
      </c>
      <c r="D120" s="133"/>
      <c r="E120" s="141" t="s">
        <v>1305</v>
      </c>
      <c r="G120" s="141">
        <f t="shared" si="8"/>
        <v>0</v>
      </c>
      <c r="H120" s="141" t="s">
        <v>1305</v>
      </c>
      <c r="J120" s="141">
        <f t="shared" si="9"/>
        <v>0</v>
      </c>
      <c r="K120" s="141" t="s">
        <v>1305</v>
      </c>
      <c r="M120" s="141">
        <f t="shared" si="10"/>
        <v>0</v>
      </c>
      <c r="N120" s="141" t="s">
        <v>1305</v>
      </c>
      <c r="P120" s="141">
        <f t="shared" si="11"/>
        <v>0</v>
      </c>
      <c r="Q120" s="141" t="s">
        <v>1305</v>
      </c>
      <c r="S120" s="141">
        <f t="shared" si="12"/>
        <v>0</v>
      </c>
      <c r="T120" s="141" t="s">
        <v>1305</v>
      </c>
      <c r="V120" s="141">
        <f t="shared" si="13"/>
        <v>0</v>
      </c>
    </row>
    <row r="121" spans="1:22" s="141" customFormat="1" ht="15.75">
      <c r="A121" s="155" t="s">
        <v>1344</v>
      </c>
      <c r="B121" s="139" t="s">
        <v>656</v>
      </c>
      <c r="C121" s="140">
        <f t="shared" si="7"/>
        <v>0</v>
      </c>
      <c r="D121" s="133"/>
      <c r="E121" s="141" t="s">
        <v>1305</v>
      </c>
      <c r="G121" s="141">
        <f t="shared" si="8"/>
        <v>0</v>
      </c>
      <c r="H121" s="141" t="s">
        <v>1305</v>
      </c>
      <c r="J121" s="141">
        <f t="shared" si="9"/>
        <v>0</v>
      </c>
      <c r="K121" s="141" t="s">
        <v>1305</v>
      </c>
      <c r="M121" s="141">
        <f t="shared" si="10"/>
        <v>0</v>
      </c>
      <c r="N121" s="141" t="s">
        <v>1305</v>
      </c>
      <c r="P121" s="141">
        <f t="shared" si="11"/>
        <v>0</v>
      </c>
      <c r="Q121" s="141" t="s">
        <v>1305</v>
      </c>
      <c r="S121" s="141">
        <f t="shared" si="12"/>
        <v>0</v>
      </c>
      <c r="T121" s="141" t="s">
        <v>1305</v>
      </c>
      <c r="V121" s="141">
        <f t="shared" si="13"/>
        <v>0</v>
      </c>
    </row>
    <row r="122" spans="1:22" s="141" customFormat="1" ht="15.75">
      <c r="A122" s="155" t="s">
        <v>1344</v>
      </c>
      <c r="B122" s="139" t="s">
        <v>657</v>
      </c>
      <c r="C122" s="140">
        <f t="shared" si="7"/>
        <v>0</v>
      </c>
      <c r="D122" s="133"/>
      <c r="E122" s="141" t="s">
        <v>1305</v>
      </c>
      <c r="G122" s="141">
        <f t="shared" si="8"/>
        <v>0</v>
      </c>
      <c r="H122" s="141" t="s">
        <v>1305</v>
      </c>
      <c r="J122" s="141">
        <f t="shared" si="9"/>
        <v>0</v>
      </c>
      <c r="K122" s="141" t="s">
        <v>1305</v>
      </c>
      <c r="M122" s="141">
        <f t="shared" si="10"/>
        <v>0</v>
      </c>
      <c r="N122" s="141" t="s">
        <v>1305</v>
      </c>
      <c r="P122" s="141">
        <f t="shared" si="11"/>
        <v>0</v>
      </c>
      <c r="Q122" s="141" t="s">
        <v>1305</v>
      </c>
      <c r="S122" s="141">
        <f t="shared" si="12"/>
        <v>0</v>
      </c>
      <c r="T122" s="141" t="s">
        <v>1305</v>
      </c>
      <c r="V122" s="141">
        <f t="shared" si="13"/>
        <v>0</v>
      </c>
    </row>
    <row r="123" spans="1:22" ht="15.75">
      <c r="A123" s="155"/>
      <c r="B123" s="125" t="s">
        <v>658</v>
      </c>
      <c r="C123" s="130">
        <f t="shared" si="7"/>
        <v>2</v>
      </c>
      <c r="E123" s="127" t="s">
        <v>1032</v>
      </c>
      <c r="F123">
        <v>2</v>
      </c>
      <c r="G123" s="127">
        <f t="shared" si="8"/>
        <v>1</v>
      </c>
      <c r="H123" s="127" t="s">
        <v>1305</v>
      </c>
      <c r="J123" s="127">
        <f t="shared" si="9"/>
        <v>0</v>
      </c>
      <c r="K123" s="127" t="s">
        <v>1305</v>
      </c>
      <c r="M123" s="127">
        <f t="shared" si="10"/>
        <v>0</v>
      </c>
      <c r="N123" s="127" t="s">
        <v>1305</v>
      </c>
      <c r="P123" s="127">
        <f t="shared" si="11"/>
        <v>0</v>
      </c>
      <c r="Q123" s="127" t="s">
        <v>1305</v>
      </c>
      <c r="S123" s="127">
        <f t="shared" si="12"/>
        <v>0</v>
      </c>
      <c r="T123" s="127" t="s">
        <v>1305</v>
      </c>
      <c r="V123" s="127">
        <f t="shared" si="13"/>
        <v>0</v>
      </c>
    </row>
    <row r="124" spans="1:22" ht="15.75">
      <c r="A124" s="155" t="s">
        <v>1345</v>
      </c>
      <c r="B124" s="125" t="s">
        <v>659</v>
      </c>
      <c r="C124" s="130">
        <f t="shared" si="7"/>
        <v>8</v>
      </c>
      <c r="E124" s="127" t="s">
        <v>1026</v>
      </c>
      <c r="F124">
        <v>8</v>
      </c>
      <c r="G124" s="127">
        <f t="shared" si="8"/>
        <v>1</v>
      </c>
      <c r="H124" s="127" t="s">
        <v>1305</v>
      </c>
      <c r="J124" s="127">
        <f t="shared" si="9"/>
        <v>0</v>
      </c>
      <c r="K124" s="127" t="s">
        <v>1305</v>
      </c>
      <c r="M124" s="127">
        <f t="shared" si="10"/>
        <v>0</v>
      </c>
      <c r="N124" s="127" t="s">
        <v>1305</v>
      </c>
      <c r="P124" s="127">
        <f t="shared" si="11"/>
        <v>0</v>
      </c>
      <c r="Q124" s="127" t="s">
        <v>1305</v>
      </c>
      <c r="S124" s="127">
        <f t="shared" si="12"/>
        <v>0</v>
      </c>
      <c r="T124" s="127" t="s">
        <v>1305</v>
      </c>
      <c r="V124" s="127">
        <f t="shared" si="13"/>
        <v>0</v>
      </c>
    </row>
    <row r="125" spans="1:22" ht="15.75">
      <c r="A125" s="155" t="s">
        <v>595</v>
      </c>
      <c r="B125" s="125" t="s">
        <v>660</v>
      </c>
      <c r="C125" s="130">
        <f t="shared" ref="C125:C187" si="14">(G125*F125)+(I125*J125)+(L125*M125)+(O125*P125)+(R125*S125)+(U125*V125)</f>
        <v>28</v>
      </c>
      <c r="E125" s="127" t="s">
        <v>659</v>
      </c>
      <c r="F125">
        <v>1</v>
      </c>
      <c r="G125" s="127">
        <f t="shared" si="8"/>
        <v>8</v>
      </c>
      <c r="H125" s="127" t="s">
        <v>994</v>
      </c>
      <c r="I125" s="127">
        <v>1</v>
      </c>
      <c r="J125" s="127">
        <f t="shared" si="9"/>
        <v>20</v>
      </c>
      <c r="K125" s="127" t="s">
        <v>1305</v>
      </c>
      <c r="M125" s="127">
        <f t="shared" si="10"/>
        <v>0</v>
      </c>
      <c r="N125" s="127" t="s">
        <v>1305</v>
      </c>
      <c r="P125" s="127">
        <f t="shared" si="11"/>
        <v>0</v>
      </c>
      <c r="Q125" s="127" t="s">
        <v>1305</v>
      </c>
      <c r="S125" s="127">
        <f t="shared" si="12"/>
        <v>0</v>
      </c>
      <c r="T125" s="127" t="s">
        <v>1305</v>
      </c>
      <c r="V125" s="127">
        <f t="shared" si="13"/>
        <v>0</v>
      </c>
    </row>
    <row r="126" spans="1:22" s="138" customFormat="1" ht="15.75">
      <c r="A126" s="138" t="s">
        <v>1340</v>
      </c>
      <c r="B126" s="136" t="s">
        <v>661</v>
      </c>
      <c r="C126" s="137">
        <f>'ECONOMIA &amp; PROFESIONES'!G55</f>
        <v>1</v>
      </c>
      <c r="D126" s="133"/>
      <c r="E126" s="138" t="s">
        <v>1305</v>
      </c>
      <c r="G126" s="138">
        <f t="shared" si="8"/>
        <v>0</v>
      </c>
      <c r="H126" s="138" t="s">
        <v>1305</v>
      </c>
      <c r="J126" s="138">
        <f t="shared" si="9"/>
        <v>0</v>
      </c>
      <c r="K126" s="138" t="s">
        <v>1305</v>
      </c>
      <c r="M126" s="138">
        <f t="shared" si="10"/>
        <v>0</v>
      </c>
      <c r="N126" s="138" t="s">
        <v>1305</v>
      </c>
      <c r="P126" s="138">
        <f t="shared" si="11"/>
        <v>0</v>
      </c>
      <c r="Q126" s="138" t="s">
        <v>1305</v>
      </c>
      <c r="S126" s="138">
        <f t="shared" si="12"/>
        <v>0</v>
      </c>
      <c r="T126" s="138" t="s">
        <v>1305</v>
      </c>
      <c r="V126" s="138">
        <f t="shared" si="13"/>
        <v>0</v>
      </c>
    </row>
    <row r="127" spans="1:22" ht="15.75">
      <c r="A127" s="155" t="s">
        <v>1346</v>
      </c>
      <c r="B127" s="125" t="s">
        <v>662</v>
      </c>
      <c r="C127" s="130">
        <f t="shared" si="14"/>
        <v>216</v>
      </c>
      <c r="E127" s="127" t="s">
        <v>1117</v>
      </c>
      <c r="F127">
        <v>2</v>
      </c>
      <c r="G127" s="127">
        <f t="shared" si="8"/>
        <v>108</v>
      </c>
      <c r="H127" s="127" t="s">
        <v>1305</v>
      </c>
      <c r="J127" s="127">
        <f t="shared" si="9"/>
        <v>0</v>
      </c>
      <c r="K127" s="127" t="s">
        <v>1305</v>
      </c>
      <c r="M127" s="127">
        <f t="shared" si="10"/>
        <v>0</v>
      </c>
      <c r="N127" s="127" t="s">
        <v>1305</v>
      </c>
      <c r="P127" s="127">
        <f t="shared" si="11"/>
        <v>0</v>
      </c>
      <c r="Q127" s="127" t="s">
        <v>1305</v>
      </c>
      <c r="S127" s="127">
        <f t="shared" si="12"/>
        <v>0</v>
      </c>
      <c r="T127" s="127" t="s">
        <v>1305</v>
      </c>
      <c r="V127" s="127">
        <f t="shared" si="13"/>
        <v>0</v>
      </c>
    </row>
    <row r="128" spans="1:22" ht="15.75">
      <c r="A128" s="155" t="s">
        <v>1346</v>
      </c>
      <c r="B128" s="125" t="s">
        <v>663</v>
      </c>
      <c r="C128" s="130">
        <f t="shared" si="14"/>
        <v>168</v>
      </c>
      <c r="E128" s="127" t="s">
        <v>1138</v>
      </c>
      <c r="F128">
        <v>2</v>
      </c>
      <c r="G128" s="127">
        <f t="shared" ref="G128:G191" si="15">VLOOKUP(E128,IDPOINTS,2,FALSE)</f>
        <v>84</v>
      </c>
      <c r="H128" s="127" t="s">
        <v>1305</v>
      </c>
      <c r="J128" s="127">
        <f t="shared" ref="J128:J190" si="16">VLOOKUP(H128,IDPOINTS,2,FALSE)</f>
        <v>0</v>
      </c>
      <c r="K128" s="127" t="s">
        <v>1305</v>
      </c>
      <c r="M128" s="127">
        <f t="shared" ref="M128:M190" si="17">VLOOKUP(K128,IDPOINTS,2,FALSE)</f>
        <v>0</v>
      </c>
      <c r="N128" s="127" t="s">
        <v>1305</v>
      </c>
      <c r="P128" s="127">
        <f t="shared" ref="P128:P190" si="18">VLOOKUP(N128,IDPOINTS,2,FALSE)</f>
        <v>0</v>
      </c>
      <c r="Q128" s="127" t="s">
        <v>1305</v>
      </c>
      <c r="S128" s="127">
        <f t="shared" ref="S128:S190" si="19">VLOOKUP(Q128,IDPOINTS,2,FALSE)</f>
        <v>0</v>
      </c>
      <c r="T128" s="127" t="s">
        <v>1305</v>
      </c>
      <c r="V128" s="127">
        <f t="shared" ref="V128:V190" si="20">VLOOKUP(T128,IDPOINTS,2,FALSE)</f>
        <v>0</v>
      </c>
    </row>
    <row r="129" spans="1:22" ht="15.75">
      <c r="A129" s="155" t="s">
        <v>1346</v>
      </c>
      <c r="B129" s="125" t="s">
        <v>664</v>
      </c>
      <c r="C129" s="130">
        <f t="shared" si="14"/>
        <v>120</v>
      </c>
      <c r="E129" s="127" t="s">
        <v>1160</v>
      </c>
      <c r="F129">
        <v>2</v>
      </c>
      <c r="G129" s="127">
        <f t="shared" si="15"/>
        <v>60</v>
      </c>
      <c r="H129" s="127" t="s">
        <v>1305</v>
      </c>
      <c r="J129" s="127">
        <f t="shared" si="16"/>
        <v>0</v>
      </c>
      <c r="K129" s="127" t="s">
        <v>1305</v>
      </c>
      <c r="M129" s="127">
        <f t="shared" si="17"/>
        <v>0</v>
      </c>
      <c r="N129" s="127" t="s">
        <v>1305</v>
      </c>
      <c r="P129" s="127">
        <f t="shared" si="18"/>
        <v>0</v>
      </c>
      <c r="Q129" s="127" t="s">
        <v>1305</v>
      </c>
      <c r="S129" s="127">
        <f t="shared" si="19"/>
        <v>0</v>
      </c>
      <c r="T129" s="127" t="s">
        <v>1305</v>
      </c>
      <c r="V129" s="127">
        <f t="shared" si="20"/>
        <v>0</v>
      </c>
    </row>
    <row r="130" spans="1:22" ht="15.75">
      <c r="A130" s="155" t="s">
        <v>1346</v>
      </c>
      <c r="B130" s="125" t="s">
        <v>665</v>
      </c>
      <c r="C130" s="130">
        <f t="shared" si="14"/>
        <v>96</v>
      </c>
      <c r="E130" s="127" t="s">
        <v>1212</v>
      </c>
      <c r="F130">
        <v>2</v>
      </c>
      <c r="G130" s="127">
        <f t="shared" si="15"/>
        <v>48</v>
      </c>
      <c r="H130" s="127" t="s">
        <v>1305</v>
      </c>
      <c r="J130" s="127">
        <f t="shared" si="16"/>
        <v>0</v>
      </c>
      <c r="K130" s="127" t="s">
        <v>1305</v>
      </c>
      <c r="M130" s="127">
        <f t="shared" si="17"/>
        <v>0</v>
      </c>
      <c r="N130" s="127" t="s">
        <v>1305</v>
      </c>
      <c r="P130" s="127">
        <f t="shared" si="18"/>
        <v>0</v>
      </c>
      <c r="Q130" s="127" t="s">
        <v>1305</v>
      </c>
      <c r="S130" s="127">
        <f t="shared" si="19"/>
        <v>0</v>
      </c>
      <c r="T130" s="127" t="s">
        <v>1305</v>
      </c>
      <c r="V130" s="127">
        <f t="shared" si="20"/>
        <v>0</v>
      </c>
    </row>
    <row r="131" spans="1:22" s="138" customFormat="1" ht="15.75">
      <c r="A131" s="138" t="s">
        <v>560</v>
      </c>
      <c r="B131" s="136" t="s">
        <v>666</v>
      </c>
      <c r="C131" s="137">
        <f>'ECONOMIA &amp; PROFESIONES'!G43</f>
        <v>11</v>
      </c>
      <c r="D131" s="133"/>
      <c r="E131" s="138" t="s">
        <v>1305</v>
      </c>
      <c r="G131" s="138">
        <f t="shared" si="15"/>
        <v>0</v>
      </c>
      <c r="H131" s="138" t="s">
        <v>1305</v>
      </c>
      <c r="J131" s="138">
        <f t="shared" si="16"/>
        <v>0</v>
      </c>
      <c r="K131" s="138" t="s">
        <v>1305</v>
      </c>
      <c r="M131" s="138">
        <f t="shared" si="17"/>
        <v>0</v>
      </c>
      <c r="N131" s="138" t="s">
        <v>1305</v>
      </c>
      <c r="P131" s="138">
        <f t="shared" si="18"/>
        <v>0</v>
      </c>
      <c r="Q131" s="138" t="s">
        <v>1305</v>
      </c>
      <c r="S131" s="138">
        <f t="shared" si="19"/>
        <v>0</v>
      </c>
      <c r="T131" s="138" t="s">
        <v>1305</v>
      </c>
      <c r="V131" s="138">
        <f t="shared" si="20"/>
        <v>0</v>
      </c>
    </row>
    <row r="132" spans="1:22" s="138" customFormat="1" ht="15.75">
      <c r="A132" s="138" t="s">
        <v>560</v>
      </c>
      <c r="B132" s="136" t="s">
        <v>667</v>
      </c>
      <c r="C132" s="137">
        <f>'ECONOMIA &amp; PROFESIONES'!G43</f>
        <v>11</v>
      </c>
      <c r="D132" s="133"/>
      <c r="E132" s="138" t="s">
        <v>1305</v>
      </c>
      <c r="G132" s="138">
        <f t="shared" si="15"/>
        <v>0</v>
      </c>
      <c r="H132" s="138" t="s">
        <v>1305</v>
      </c>
      <c r="J132" s="138">
        <f t="shared" si="16"/>
        <v>0</v>
      </c>
      <c r="K132" s="138" t="s">
        <v>1305</v>
      </c>
      <c r="M132" s="138">
        <f t="shared" si="17"/>
        <v>0</v>
      </c>
      <c r="N132" s="138" t="s">
        <v>1305</v>
      </c>
      <c r="P132" s="138">
        <f t="shared" si="18"/>
        <v>0</v>
      </c>
      <c r="Q132" s="138" t="s">
        <v>1305</v>
      </c>
      <c r="S132" s="138">
        <f t="shared" si="19"/>
        <v>0</v>
      </c>
      <c r="T132" s="138" t="s">
        <v>1305</v>
      </c>
      <c r="V132" s="138">
        <f t="shared" si="20"/>
        <v>0</v>
      </c>
    </row>
    <row r="133" spans="1:22" s="138" customFormat="1" ht="15.75">
      <c r="A133" s="138" t="s">
        <v>560</v>
      </c>
      <c r="B133" s="136" t="s">
        <v>668</v>
      </c>
      <c r="C133" s="137">
        <f>'ECONOMIA &amp; PROFESIONES'!G43</f>
        <v>11</v>
      </c>
      <c r="D133" s="133"/>
      <c r="E133" s="138" t="s">
        <v>1305</v>
      </c>
      <c r="G133" s="138">
        <f t="shared" si="15"/>
        <v>0</v>
      </c>
      <c r="H133" s="138" t="s">
        <v>1305</v>
      </c>
      <c r="J133" s="138">
        <f t="shared" si="16"/>
        <v>0</v>
      </c>
      <c r="K133" s="138" t="s">
        <v>1305</v>
      </c>
      <c r="M133" s="138">
        <f t="shared" si="17"/>
        <v>0</v>
      </c>
      <c r="N133" s="138" t="s">
        <v>1305</v>
      </c>
      <c r="P133" s="138">
        <f t="shared" si="18"/>
        <v>0</v>
      </c>
      <c r="Q133" s="138" t="s">
        <v>1305</v>
      </c>
      <c r="S133" s="138">
        <f t="shared" si="19"/>
        <v>0</v>
      </c>
      <c r="T133" s="138" t="s">
        <v>1305</v>
      </c>
      <c r="V133" s="138">
        <f t="shared" si="20"/>
        <v>0</v>
      </c>
    </row>
    <row r="134" spans="1:22" s="13" customFormat="1" ht="15.75">
      <c r="A134" s="155" t="s">
        <v>1346</v>
      </c>
      <c r="B134" s="145" t="s">
        <v>669</v>
      </c>
      <c r="C134" s="146">
        <f t="shared" si="14"/>
        <v>28</v>
      </c>
      <c r="D134" s="133"/>
      <c r="E134" s="13" t="s">
        <v>670</v>
      </c>
      <c r="F134" s="13">
        <v>4</v>
      </c>
      <c r="G134" s="13">
        <f t="shared" si="15"/>
        <v>7</v>
      </c>
      <c r="H134" s="13" t="s">
        <v>1305</v>
      </c>
      <c r="J134" s="13">
        <f t="shared" si="16"/>
        <v>0</v>
      </c>
      <c r="K134" s="13" t="s">
        <v>1305</v>
      </c>
      <c r="M134" s="13">
        <f t="shared" si="17"/>
        <v>0</v>
      </c>
      <c r="N134" s="13" t="s">
        <v>1305</v>
      </c>
      <c r="P134" s="13">
        <f t="shared" si="18"/>
        <v>0</v>
      </c>
      <c r="Q134" s="13" t="s">
        <v>1305</v>
      </c>
      <c r="S134" s="13">
        <f t="shared" si="19"/>
        <v>0</v>
      </c>
      <c r="T134" s="13" t="s">
        <v>1305</v>
      </c>
      <c r="V134" s="13">
        <f t="shared" si="20"/>
        <v>0</v>
      </c>
    </row>
    <row r="135" spans="1:22" s="138" customFormat="1" ht="15.75">
      <c r="A135" s="138" t="s">
        <v>1339</v>
      </c>
      <c r="B135" s="136" t="s">
        <v>670</v>
      </c>
      <c r="C135" s="137">
        <f>'ECONOMIA &amp; PROFESIONES'!C36</f>
        <v>7</v>
      </c>
      <c r="D135" s="133"/>
      <c r="E135" s="138" t="s">
        <v>1305</v>
      </c>
      <c r="G135" s="138">
        <f t="shared" si="15"/>
        <v>0</v>
      </c>
      <c r="H135" s="138" t="s">
        <v>1305</v>
      </c>
      <c r="J135" s="138">
        <f t="shared" si="16"/>
        <v>0</v>
      </c>
      <c r="K135" s="138" t="s">
        <v>1305</v>
      </c>
      <c r="M135" s="138">
        <f t="shared" si="17"/>
        <v>0</v>
      </c>
      <c r="N135" s="138" t="s">
        <v>1305</v>
      </c>
      <c r="P135" s="138">
        <f t="shared" si="18"/>
        <v>0</v>
      </c>
      <c r="Q135" s="138" t="s">
        <v>1305</v>
      </c>
      <c r="S135" s="138">
        <f t="shared" si="19"/>
        <v>0</v>
      </c>
      <c r="T135" s="138" t="s">
        <v>1305</v>
      </c>
      <c r="V135" s="138">
        <f t="shared" si="20"/>
        <v>0</v>
      </c>
    </row>
    <row r="136" spans="1:22" ht="15.75">
      <c r="A136" s="155" t="s">
        <v>1343</v>
      </c>
      <c r="B136" s="125" t="s">
        <v>671</v>
      </c>
      <c r="C136" s="130">
        <f t="shared" si="14"/>
        <v>39</v>
      </c>
      <c r="E136" s="127" t="s">
        <v>822</v>
      </c>
      <c r="F136">
        <v>4</v>
      </c>
      <c r="G136" s="127">
        <f t="shared" si="15"/>
        <v>8</v>
      </c>
      <c r="H136" s="127" t="s">
        <v>1147</v>
      </c>
      <c r="I136" s="127">
        <v>1</v>
      </c>
      <c r="J136" s="127">
        <f t="shared" si="16"/>
        <v>7</v>
      </c>
      <c r="K136" s="127" t="s">
        <v>1305</v>
      </c>
      <c r="M136" s="127">
        <f t="shared" si="17"/>
        <v>0</v>
      </c>
      <c r="N136" s="127" t="s">
        <v>1305</v>
      </c>
      <c r="P136" s="127">
        <f t="shared" si="18"/>
        <v>0</v>
      </c>
      <c r="Q136" s="127" t="s">
        <v>1305</v>
      </c>
      <c r="S136" s="127">
        <f t="shared" si="19"/>
        <v>0</v>
      </c>
      <c r="T136" s="127" t="s">
        <v>1305</v>
      </c>
      <c r="V136" s="127">
        <f t="shared" si="20"/>
        <v>0</v>
      </c>
    </row>
    <row r="137" spans="1:22" s="138" customFormat="1" ht="15.75">
      <c r="A137" s="138" t="s">
        <v>1337</v>
      </c>
      <c r="B137" s="136" t="s">
        <v>672</v>
      </c>
      <c r="C137" s="137">
        <f>'ECONOMIA &amp; PROFESIONES'!C33</f>
        <v>3</v>
      </c>
      <c r="D137" s="133"/>
      <c r="E137" s="138" t="s">
        <v>1305</v>
      </c>
      <c r="G137" s="138">
        <f t="shared" si="15"/>
        <v>0</v>
      </c>
      <c r="H137" s="138" t="s">
        <v>1305</v>
      </c>
      <c r="J137" s="138">
        <f t="shared" si="16"/>
        <v>0</v>
      </c>
      <c r="K137" s="138" t="s">
        <v>1305</v>
      </c>
      <c r="M137" s="138">
        <f t="shared" si="17"/>
        <v>0</v>
      </c>
      <c r="N137" s="138" t="s">
        <v>1305</v>
      </c>
      <c r="P137" s="138">
        <f t="shared" si="18"/>
        <v>0</v>
      </c>
      <c r="Q137" s="138" t="s">
        <v>1305</v>
      </c>
      <c r="S137" s="138">
        <f t="shared" si="19"/>
        <v>0</v>
      </c>
      <c r="T137" s="138" t="s">
        <v>1305</v>
      </c>
      <c r="V137" s="138">
        <f t="shared" si="20"/>
        <v>0</v>
      </c>
    </row>
    <row r="138" spans="1:22" ht="15.75">
      <c r="A138" s="155" t="s">
        <v>1346</v>
      </c>
      <c r="B138" s="125" t="s">
        <v>673</v>
      </c>
      <c r="C138" s="130">
        <f t="shared" si="14"/>
        <v>27</v>
      </c>
      <c r="E138" s="127" t="s">
        <v>672</v>
      </c>
      <c r="F138">
        <v>9</v>
      </c>
      <c r="G138" s="127">
        <f t="shared" si="15"/>
        <v>3</v>
      </c>
      <c r="H138" s="127" t="s">
        <v>1305</v>
      </c>
      <c r="J138" s="127">
        <f t="shared" si="16"/>
        <v>0</v>
      </c>
      <c r="K138" s="127" t="s">
        <v>1305</v>
      </c>
      <c r="M138" s="127">
        <f t="shared" si="17"/>
        <v>0</v>
      </c>
      <c r="N138" s="127" t="s">
        <v>1305</v>
      </c>
      <c r="P138" s="127">
        <f t="shared" si="18"/>
        <v>0</v>
      </c>
      <c r="Q138" s="127" t="s">
        <v>1305</v>
      </c>
      <c r="S138" s="127">
        <f t="shared" si="19"/>
        <v>0</v>
      </c>
      <c r="T138" s="127" t="s">
        <v>1305</v>
      </c>
      <c r="V138" s="127">
        <f t="shared" si="20"/>
        <v>0</v>
      </c>
    </row>
    <row r="139" spans="1:22" s="138" customFormat="1" ht="15.75">
      <c r="A139" s="138" t="s">
        <v>1337</v>
      </c>
      <c r="B139" s="136" t="s">
        <v>674</v>
      </c>
      <c r="C139" s="137">
        <f>'ECONOMIA &amp; PROFESIONES'!C33</f>
        <v>3</v>
      </c>
      <c r="D139" s="133"/>
      <c r="E139" s="138" t="s">
        <v>1305</v>
      </c>
      <c r="G139" s="138">
        <f t="shared" si="15"/>
        <v>0</v>
      </c>
      <c r="H139" s="138" t="s">
        <v>1305</v>
      </c>
      <c r="J139" s="138">
        <f t="shared" si="16"/>
        <v>0</v>
      </c>
      <c r="K139" s="138" t="s">
        <v>1305</v>
      </c>
      <c r="M139" s="138">
        <f t="shared" si="17"/>
        <v>0</v>
      </c>
      <c r="N139" s="138" t="s">
        <v>1305</v>
      </c>
      <c r="P139" s="138">
        <f t="shared" si="18"/>
        <v>0</v>
      </c>
      <c r="Q139" s="138" t="s">
        <v>1305</v>
      </c>
      <c r="S139" s="138">
        <f t="shared" si="19"/>
        <v>0</v>
      </c>
      <c r="T139" s="138" t="s">
        <v>1305</v>
      </c>
      <c r="V139" s="138">
        <f t="shared" si="20"/>
        <v>0</v>
      </c>
    </row>
    <row r="140" spans="1:22" ht="15.75">
      <c r="A140" s="155" t="s">
        <v>1346</v>
      </c>
      <c r="B140" s="125" t="s">
        <v>675</v>
      </c>
      <c r="C140" s="130">
        <f t="shared" si="14"/>
        <v>3</v>
      </c>
      <c r="E140" s="127" t="s">
        <v>767</v>
      </c>
      <c r="F140">
        <v>2</v>
      </c>
      <c r="G140" s="127">
        <f t="shared" si="15"/>
        <v>0.5</v>
      </c>
      <c r="H140" s="127" t="s">
        <v>844</v>
      </c>
      <c r="I140" s="127">
        <v>2</v>
      </c>
      <c r="J140" s="127">
        <f t="shared" si="16"/>
        <v>1</v>
      </c>
      <c r="K140" s="127" t="s">
        <v>1305</v>
      </c>
      <c r="M140" s="127">
        <f t="shared" si="17"/>
        <v>0</v>
      </c>
      <c r="N140" s="127" t="s">
        <v>1305</v>
      </c>
      <c r="P140" s="127">
        <f t="shared" si="18"/>
        <v>0</v>
      </c>
      <c r="Q140" s="127" t="s">
        <v>1305</v>
      </c>
      <c r="S140" s="127">
        <f t="shared" si="19"/>
        <v>0</v>
      </c>
      <c r="T140" s="127" t="s">
        <v>1305</v>
      </c>
      <c r="V140" s="127">
        <f t="shared" si="20"/>
        <v>0</v>
      </c>
    </row>
    <row r="141" spans="1:22" s="138" customFormat="1" ht="15.75">
      <c r="A141" s="138" t="s">
        <v>1339</v>
      </c>
      <c r="B141" s="136" t="s">
        <v>676</v>
      </c>
      <c r="C141" s="137">
        <f>'ECONOMIA &amp; PROFESIONES'!C32</f>
        <v>1</v>
      </c>
      <c r="D141" s="133"/>
      <c r="E141" s="138" t="s">
        <v>1305</v>
      </c>
      <c r="G141" s="138">
        <f t="shared" si="15"/>
        <v>0</v>
      </c>
      <c r="H141" s="138" t="s">
        <v>1305</v>
      </c>
      <c r="J141" s="138">
        <f t="shared" si="16"/>
        <v>0</v>
      </c>
      <c r="K141" s="138" t="s">
        <v>1305</v>
      </c>
      <c r="M141" s="138">
        <f t="shared" si="17"/>
        <v>0</v>
      </c>
      <c r="N141" s="138" t="s">
        <v>1305</v>
      </c>
      <c r="P141" s="138">
        <f t="shared" si="18"/>
        <v>0</v>
      </c>
      <c r="Q141" s="138" t="s">
        <v>1305</v>
      </c>
      <c r="S141" s="138">
        <f t="shared" si="19"/>
        <v>0</v>
      </c>
      <c r="T141" s="138" t="s">
        <v>1305</v>
      </c>
      <c r="V141" s="138">
        <f t="shared" si="20"/>
        <v>0</v>
      </c>
    </row>
    <row r="142" spans="1:22" ht="15.75">
      <c r="A142" s="155" t="s">
        <v>1346</v>
      </c>
      <c r="B142" s="125" t="s">
        <v>677</v>
      </c>
      <c r="C142" s="130">
        <f t="shared" si="14"/>
        <v>3</v>
      </c>
      <c r="E142" s="127" t="s">
        <v>676</v>
      </c>
      <c r="F142">
        <v>3</v>
      </c>
      <c r="G142" s="127">
        <f t="shared" si="15"/>
        <v>1</v>
      </c>
      <c r="H142" s="127" t="s">
        <v>1305</v>
      </c>
      <c r="J142" s="127">
        <f t="shared" si="16"/>
        <v>0</v>
      </c>
      <c r="K142" s="127" t="s">
        <v>1305</v>
      </c>
      <c r="M142" s="127">
        <f t="shared" si="17"/>
        <v>0</v>
      </c>
      <c r="N142" s="127" t="s">
        <v>1305</v>
      </c>
      <c r="P142" s="127">
        <f t="shared" si="18"/>
        <v>0</v>
      </c>
      <c r="Q142" s="127" t="s">
        <v>1305</v>
      </c>
      <c r="S142" s="127">
        <f t="shared" si="19"/>
        <v>0</v>
      </c>
      <c r="T142" s="127" t="s">
        <v>1305</v>
      </c>
      <c r="V142" s="127">
        <f t="shared" si="20"/>
        <v>0</v>
      </c>
    </row>
    <row r="143" spans="1:22" ht="15.75">
      <c r="A143" s="155" t="s">
        <v>1346</v>
      </c>
      <c r="B143" s="125" t="s">
        <v>678</v>
      </c>
      <c r="C143" s="130">
        <f t="shared" si="14"/>
        <v>3</v>
      </c>
      <c r="E143" s="128" t="s">
        <v>676</v>
      </c>
      <c r="F143" s="128">
        <v>3</v>
      </c>
      <c r="G143" s="127">
        <f t="shared" si="15"/>
        <v>1</v>
      </c>
      <c r="H143" s="127" t="s">
        <v>1305</v>
      </c>
      <c r="J143" s="127">
        <f t="shared" si="16"/>
        <v>0</v>
      </c>
      <c r="K143" s="127" t="s">
        <v>1305</v>
      </c>
      <c r="M143" s="127">
        <f t="shared" si="17"/>
        <v>0</v>
      </c>
      <c r="N143" s="127" t="s">
        <v>1305</v>
      </c>
      <c r="P143" s="127">
        <f t="shared" si="18"/>
        <v>0</v>
      </c>
      <c r="Q143" s="127" t="s">
        <v>1305</v>
      </c>
      <c r="S143" s="127">
        <f t="shared" si="19"/>
        <v>0</v>
      </c>
      <c r="T143" s="127" t="s">
        <v>1305</v>
      </c>
      <c r="V143" s="127">
        <f t="shared" si="20"/>
        <v>0</v>
      </c>
    </row>
    <row r="144" spans="1:22" ht="15.75">
      <c r="A144" s="155" t="s">
        <v>1346</v>
      </c>
      <c r="B144" s="125" t="s">
        <v>679</v>
      </c>
      <c r="C144" s="130">
        <f t="shared" si="14"/>
        <v>3</v>
      </c>
      <c r="E144" s="128" t="s">
        <v>676</v>
      </c>
      <c r="F144" s="128">
        <v>3</v>
      </c>
      <c r="G144" s="127">
        <f t="shared" si="15"/>
        <v>1</v>
      </c>
      <c r="H144" s="127" t="s">
        <v>1305</v>
      </c>
      <c r="J144" s="127">
        <f t="shared" si="16"/>
        <v>0</v>
      </c>
      <c r="K144" s="127" t="s">
        <v>1305</v>
      </c>
      <c r="M144" s="127">
        <f t="shared" si="17"/>
        <v>0</v>
      </c>
      <c r="N144" s="127" t="s">
        <v>1305</v>
      </c>
      <c r="P144" s="127">
        <f t="shared" si="18"/>
        <v>0</v>
      </c>
      <c r="Q144" s="127" t="s">
        <v>1305</v>
      </c>
      <c r="S144" s="127">
        <f t="shared" si="19"/>
        <v>0</v>
      </c>
      <c r="T144" s="127" t="s">
        <v>1305</v>
      </c>
      <c r="V144" s="127">
        <f t="shared" si="20"/>
        <v>0</v>
      </c>
    </row>
    <row r="145" spans="1:22" s="168" customFormat="1" ht="15.75">
      <c r="B145" s="166" t="s">
        <v>680</v>
      </c>
      <c r="C145" s="167">
        <f>'ECONOMIA &amp; PROFESIONES'!E55</f>
        <v>1.5</v>
      </c>
      <c r="E145" s="168" t="s">
        <v>1305</v>
      </c>
      <c r="G145" s="168">
        <f t="shared" si="15"/>
        <v>0</v>
      </c>
      <c r="H145" s="168" t="s">
        <v>1305</v>
      </c>
      <c r="J145" s="168">
        <f t="shared" si="16"/>
        <v>0</v>
      </c>
      <c r="K145" s="168" t="s">
        <v>1305</v>
      </c>
      <c r="M145" s="168">
        <f t="shared" si="17"/>
        <v>0</v>
      </c>
      <c r="N145" s="168" t="s">
        <v>1305</v>
      </c>
      <c r="P145" s="168">
        <f t="shared" si="18"/>
        <v>0</v>
      </c>
      <c r="Q145" s="168" t="s">
        <v>1305</v>
      </c>
      <c r="S145" s="168">
        <f t="shared" si="19"/>
        <v>0</v>
      </c>
      <c r="T145" s="168" t="s">
        <v>1305</v>
      </c>
      <c r="V145" s="168">
        <f t="shared" si="20"/>
        <v>0</v>
      </c>
    </row>
    <row r="146" spans="1:22" s="138" customFormat="1" ht="15.75">
      <c r="A146" s="138" t="s">
        <v>560</v>
      </c>
      <c r="B146" s="136" t="s">
        <v>1311</v>
      </c>
      <c r="C146" s="137">
        <f>'ECONOMIA &amp; PROFESIONES'!G39</f>
        <v>7</v>
      </c>
      <c r="D146" s="133"/>
      <c r="E146" s="138" t="s">
        <v>1305</v>
      </c>
      <c r="G146" s="138">
        <f t="shared" ref="G146" si="21">VLOOKUP(E146,IDPOINTS,2,FALSE)</f>
        <v>0</v>
      </c>
      <c r="H146" s="138" t="s">
        <v>1305</v>
      </c>
      <c r="J146" s="138">
        <f t="shared" ref="J146" si="22">VLOOKUP(H146,IDPOINTS,2,FALSE)</f>
        <v>0</v>
      </c>
      <c r="K146" s="138" t="s">
        <v>1305</v>
      </c>
      <c r="M146" s="138">
        <f t="shared" ref="M146" si="23">VLOOKUP(K146,IDPOINTS,2,FALSE)</f>
        <v>0</v>
      </c>
      <c r="N146" s="138" t="s">
        <v>1305</v>
      </c>
      <c r="P146" s="138">
        <f t="shared" ref="P146" si="24">VLOOKUP(N146,IDPOINTS,2,FALSE)</f>
        <v>0</v>
      </c>
      <c r="Q146" s="138" t="s">
        <v>1305</v>
      </c>
      <c r="S146" s="138">
        <f t="shared" ref="S146" si="25">VLOOKUP(Q146,IDPOINTS,2,FALSE)</f>
        <v>0</v>
      </c>
      <c r="T146" s="138" t="s">
        <v>1305</v>
      </c>
      <c r="V146" s="138">
        <f t="shared" ref="V146" si="26">VLOOKUP(T146,IDPOINTS,2,FALSE)</f>
        <v>0</v>
      </c>
    </row>
    <row r="147" spans="1:22" s="138" customFormat="1" ht="15.75">
      <c r="A147" s="138" t="s">
        <v>1342</v>
      </c>
      <c r="B147" s="136" t="s">
        <v>681</v>
      </c>
      <c r="C147" s="137">
        <f>'ECONOMIA &amp; PROFESIONES'!I33</f>
        <v>3</v>
      </c>
      <c r="D147" s="133"/>
      <c r="E147" s="138" t="s">
        <v>1305</v>
      </c>
      <c r="G147" s="138">
        <f t="shared" si="15"/>
        <v>0</v>
      </c>
      <c r="H147" s="138" t="s">
        <v>1305</v>
      </c>
      <c r="J147" s="138">
        <f t="shared" si="16"/>
        <v>0</v>
      </c>
      <c r="K147" s="138" t="s">
        <v>1305</v>
      </c>
      <c r="M147" s="138">
        <f t="shared" si="17"/>
        <v>0</v>
      </c>
      <c r="N147" s="138" t="s">
        <v>1305</v>
      </c>
      <c r="P147" s="138">
        <f t="shared" si="18"/>
        <v>0</v>
      </c>
      <c r="Q147" s="138" t="s">
        <v>1305</v>
      </c>
      <c r="S147" s="138">
        <f t="shared" si="19"/>
        <v>0</v>
      </c>
      <c r="T147" s="138" t="s">
        <v>1305</v>
      </c>
      <c r="V147" s="138">
        <f t="shared" si="20"/>
        <v>0</v>
      </c>
    </row>
    <row r="148" spans="1:22" ht="15.75">
      <c r="A148" s="155" t="s">
        <v>1353</v>
      </c>
      <c r="B148" s="125" t="s">
        <v>682</v>
      </c>
      <c r="C148" s="130">
        <f t="shared" si="14"/>
        <v>48</v>
      </c>
      <c r="E148" s="127" t="s">
        <v>1151</v>
      </c>
      <c r="F148">
        <v>3</v>
      </c>
      <c r="G148" s="127">
        <f t="shared" si="15"/>
        <v>9</v>
      </c>
      <c r="H148" s="127" t="s">
        <v>1114</v>
      </c>
      <c r="I148" s="127">
        <v>1</v>
      </c>
      <c r="J148" s="127">
        <f t="shared" si="16"/>
        <v>9</v>
      </c>
      <c r="K148" s="127" t="s">
        <v>1210</v>
      </c>
      <c r="L148" s="127">
        <v>3</v>
      </c>
      <c r="M148" s="127">
        <f t="shared" si="17"/>
        <v>4</v>
      </c>
      <c r="N148" s="127" t="s">
        <v>1305</v>
      </c>
      <c r="P148" s="127">
        <f t="shared" si="18"/>
        <v>0</v>
      </c>
      <c r="Q148" s="127" t="s">
        <v>1305</v>
      </c>
      <c r="S148" s="127">
        <f t="shared" si="19"/>
        <v>0</v>
      </c>
      <c r="T148" s="127" t="s">
        <v>1305</v>
      </c>
      <c r="V148" s="127">
        <f t="shared" si="20"/>
        <v>0</v>
      </c>
    </row>
    <row r="149" spans="1:22" ht="15.75">
      <c r="A149" s="155" t="s">
        <v>1343</v>
      </c>
      <c r="B149" s="125" t="s">
        <v>683</v>
      </c>
      <c r="C149" s="130">
        <f t="shared" si="14"/>
        <v>23</v>
      </c>
      <c r="E149" s="127" t="s">
        <v>896</v>
      </c>
      <c r="F149">
        <v>4</v>
      </c>
      <c r="G149" s="127">
        <f t="shared" si="15"/>
        <v>4</v>
      </c>
      <c r="H149" s="127" t="s">
        <v>1147</v>
      </c>
      <c r="I149" s="127">
        <v>1</v>
      </c>
      <c r="J149" s="127">
        <f t="shared" si="16"/>
        <v>7</v>
      </c>
      <c r="K149" s="127" t="s">
        <v>1305</v>
      </c>
      <c r="M149" s="127">
        <f t="shared" si="17"/>
        <v>0</v>
      </c>
      <c r="N149" s="127" t="s">
        <v>1305</v>
      </c>
      <c r="P149" s="127">
        <f t="shared" si="18"/>
        <v>0</v>
      </c>
      <c r="Q149" s="127" t="s">
        <v>1305</v>
      </c>
      <c r="S149" s="127">
        <f t="shared" si="19"/>
        <v>0</v>
      </c>
      <c r="T149" s="127" t="s">
        <v>1305</v>
      </c>
      <c r="V149" s="127">
        <f t="shared" si="20"/>
        <v>0</v>
      </c>
    </row>
    <row r="150" spans="1:22" ht="15.75">
      <c r="A150" s="155" t="s">
        <v>1345</v>
      </c>
      <c r="B150" s="125" t="s">
        <v>684</v>
      </c>
      <c r="C150" s="130">
        <f t="shared" si="14"/>
        <v>35</v>
      </c>
      <c r="E150" s="127" t="s">
        <v>1026</v>
      </c>
      <c r="F150">
        <v>3</v>
      </c>
      <c r="G150" s="127">
        <f t="shared" si="15"/>
        <v>1</v>
      </c>
      <c r="H150" s="127" t="s">
        <v>1023</v>
      </c>
      <c r="I150" s="127">
        <v>4</v>
      </c>
      <c r="J150" s="127">
        <f t="shared" si="16"/>
        <v>8</v>
      </c>
      <c r="K150" s="127" t="s">
        <v>1305</v>
      </c>
      <c r="M150" s="127">
        <f t="shared" si="17"/>
        <v>0</v>
      </c>
      <c r="N150" s="127" t="s">
        <v>1305</v>
      </c>
      <c r="P150" s="127">
        <f t="shared" si="18"/>
        <v>0</v>
      </c>
      <c r="Q150" s="127" t="s">
        <v>1305</v>
      </c>
      <c r="S150" s="127">
        <f t="shared" si="19"/>
        <v>0</v>
      </c>
      <c r="T150" s="127" t="s">
        <v>1305</v>
      </c>
      <c r="V150" s="127">
        <f t="shared" si="20"/>
        <v>0</v>
      </c>
    </row>
    <row r="151" spans="1:22" ht="15.75">
      <c r="A151" s="155" t="s">
        <v>1350</v>
      </c>
      <c r="B151" s="125" t="s">
        <v>685</v>
      </c>
      <c r="C151" s="130">
        <f t="shared" si="14"/>
        <v>3.2</v>
      </c>
      <c r="E151" s="127" t="s">
        <v>1008</v>
      </c>
      <c r="F151">
        <v>8</v>
      </c>
      <c r="G151" s="127">
        <f t="shared" si="15"/>
        <v>0.4</v>
      </c>
      <c r="H151" s="127" t="s">
        <v>872</v>
      </c>
      <c r="I151" s="127">
        <v>1</v>
      </c>
      <c r="J151" s="127">
        <f t="shared" si="16"/>
        <v>0</v>
      </c>
      <c r="K151" s="127" t="s">
        <v>1305</v>
      </c>
      <c r="M151" s="127">
        <f t="shared" si="17"/>
        <v>0</v>
      </c>
      <c r="N151" s="127" t="s">
        <v>1305</v>
      </c>
      <c r="P151" s="127">
        <f t="shared" si="18"/>
        <v>0</v>
      </c>
      <c r="Q151" s="127" t="s">
        <v>1305</v>
      </c>
      <c r="S151" s="127">
        <f t="shared" si="19"/>
        <v>0</v>
      </c>
      <c r="T151" s="127" t="s">
        <v>1305</v>
      </c>
      <c r="V151" s="127">
        <f t="shared" si="20"/>
        <v>0</v>
      </c>
    </row>
    <row r="152" spans="1:22" ht="15.75">
      <c r="A152" s="155" t="s">
        <v>1348</v>
      </c>
      <c r="B152" s="125" t="s">
        <v>686</v>
      </c>
      <c r="C152" s="130">
        <f t="shared" si="14"/>
        <v>5.5</v>
      </c>
      <c r="E152" s="127" t="s">
        <v>565</v>
      </c>
      <c r="F152">
        <v>1</v>
      </c>
      <c r="G152" s="127">
        <f t="shared" si="15"/>
        <v>2.5</v>
      </c>
      <c r="H152" s="127" t="s">
        <v>672</v>
      </c>
      <c r="I152" s="127">
        <v>1</v>
      </c>
      <c r="J152" s="127">
        <f t="shared" si="16"/>
        <v>3</v>
      </c>
      <c r="K152" s="127" t="s">
        <v>1305</v>
      </c>
      <c r="M152" s="127">
        <f t="shared" si="17"/>
        <v>0</v>
      </c>
      <c r="N152" s="127" t="s">
        <v>1305</v>
      </c>
      <c r="P152" s="127">
        <f t="shared" si="18"/>
        <v>0</v>
      </c>
      <c r="Q152" s="127" t="s">
        <v>1305</v>
      </c>
      <c r="S152" s="127">
        <f t="shared" si="19"/>
        <v>0</v>
      </c>
      <c r="T152" s="127" t="s">
        <v>1305</v>
      </c>
      <c r="V152" s="127">
        <f t="shared" si="20"/>
        <v>0</v>
      </c>
    </row>
    <row r="153" spans="1:22" ht="15.75">
      <c r="A153" s="155" t="s">
        <v>1348</v>
      </c>
      <c r="B153" s="125" t="s">
        <v>687</v>
      </c>
      <c r="C153" s="130">
        <f t="shared" si="14"/>
        <v>4</v>
      </c>
      <c r="E153" s="127" t="s">
        <v>661</v>
      </c>
      <c r="F153">
        <v>1</v>
      </c>
      <c r="G153" s="127">
        <f t="shared" si="15"/>
        <v>1</v>
      </c>
      <c r="H153" s="127" t="s">
        <v>672</v>
      </c>
      <c r="I153" s="127">
        <v>1</v>
      </c>
      <c r="J153" s="127">
        <f t="shared" si="16"/>
        <v>3</v>
      </c>
      <c r="K153" s="127" t="s">
        <v>1305</v>
      </c>
      <c r="M153" s="127">
        <f t="shared" si="17"/>
        <v>0</v>
      </c>
      <c r="N153" s="127" t="s">
        <v>1305</v>
      </c>
      <c r="P153" s="127">
        <f t="shared" si="18"/>
        <v>0</v>
      </c>
      <c r="Q153" s="127" t="s">
        <v>1305</v>
      </c>
      <c r="S153" s="127">
        <f t="shared" si="19"/>
        <v>0</v>
      </c>
      <c r="T153" s="127" t="s">
        <v>1305</v>
      </c>
      <c r="V153" s="127">
        <f t="shared" si="20"/>
        <v>0</v>
      </c>
    </row>
    <row r="154" spans="1:22" ht="15.75">
      <c r="A154" s="155" t="s">
        <v>1348</v>
      </c>
      <c r="B154" s="125" t="s">
        <v>688</v>
      </c>
      <c r="C154" s="130">
        <f t="shared" si="14"/>
        <v>6</v>
      </c>
      <c r="E154" s="127" t="s">
        <v>681</v>
      </c>
      <c r="F154">
        <v>1</v>
      </c>
      <c r="G154" s="127">
        <f t="shared" si="15"/>
        <v>3</v>
      </c>
      <c r="H154" s="127" t="s">
        <v>672</v>
      </c>
      <c r="I154" s="127">
        <v>1</v>
      </c>
      <c r="J154" s="127">
        <f t="shared" si="16"/>
        <v>3</v>
      </c>
      <c r="K154" s="127" t="s">
        <v>1305</v>
      </c>
      <c r="M154" s="127">
        <f t="shared" si="17"/>
        <v>0</v>
      </c>
      <c r="N154" s="127" t="s">
        <v>1305</v>
      </c>
      <c r="P154" s="127">
        <f t="shared" si="18"/>
        <v>0</v>
      </c>
      <c r="Q154" s="127" t="s">
        <v>1305</v>
      </c>
      <c r="S154" s="127">
        <f t="shared" si="19"/>
        <v>0</v>
      </c>
      <c r="T154" s="127" t="s">
        <v>1305</v>
      </c>
      <c r="V154" s="127">
        <f t="shared" si="20"/>
        <v>0</v>
      </c>
    </row>
    <row r="155" spans="1:22" ht="15.75">
      <c r="A155" s="155" t="s">
        <v>1348</v>
      </c>
      <c r="B155" s="125" t="s">
        <v>689</v>
      </c>
      <c r="C155" s="130">
        <f t="shared" si="14"/>
        <v>14</v>
      </c>
      <c r="E155" s="127" t="s">
        <v>1005</v>
      </c>
      <c r="F155">
        <v>1</v>
      </c>
      <c r="G155" s="127">
        <f t="shared" si="15"/>
        <v>11</v>
      </c>
      <c r="H155" s="127" t="s">
        <v>672</v>
      </c>
      <c r="I155" s="127">
        <v>1</v>
      </c>
      <c r="J155" s="127">
        <f t="shared" si="16"/>
        <v>3</v>
      </c>
      <c r="K155" s="127" t="s">
        <v>1305</v>
      </c>
      <c r="M155" s="127">
        <f t="shared" si="17"/>
        <v>0</v>
      </c>
      <c r="N155" s="127" t="s">
        <v>1305</v>
      </c>
      <c r="P155" s="127">
        <f t="shared" si="18"/>
        <v>0</v>
      </c>
      <c r="Q155" s="127" t="s">
        <v>1305</v>
      </c>
      <c r="S155" s="127">
        <f t="shared" si="19"/>
        <v>0</v>
      </c>
      <c r="T155" s="127" t="s">
        <v>1305</v>
      </c>
      <c r="V155" s="127">
        <f t="shared" si="20"/>
        <v>0</v>
      </c>
    </row>
    <row r="156" spans="1:22" ht="15.75">
      <c r="A156" s="155" t="s">
        <v>1348</v>
      </c>
      <c r="B156" s="125" t="s">
        <v>690</v>
      </c>
      <c r="C156" s="130">
        <f t="shared" si="14"/>
        <v>10</v>
      </c>
      <c r="E156" s="127" t="s">
        <v>1082</v>
      </c>
      <c r="F156">
        <v>1</v>
      </c>
      <c r="G156" s="127">
        <f t="shared" si="15"/>
        <v>7</v>
      </c>
      <c r="H156" s="127" t="s">
        <v>672</v>
      </c>
      <c r="I156" s="127">
        <v>1</v>
      </c>
      <c r="J156" s="127">
        <f t="shared" si="16"/>
        <v>3</v>
      </c>
      <c r="K156" s="127" t="s">
        <v>1305</v>
      </c>
      <c r="M156" s="127">
        <f t="shared" si="17"/>
        <v>0</v>
      </c>
      <c r="N156" s="127" t="s">
        <v>1305</v>
      </c>
      <c r="P156" s="127">
        <f t="shared" si="18"/>
        <v>0</v>
      </c>
      <c r="Q156" s="127" t="s">
        <v>1305</v>
      </c>
      <c r="S156" s="127">
        <f t="shared" si="19"/>
        <v>0</v>
      </c>
      <c r="T156" s="127" t="s">
        <v>1305</v>
      </c>
      <c r="V156" s="127">
        <f t="shared" si="20"/>
        <v>0</v>
      </c>
    </row>
    <row r="157" spans="1:22" ht="15.75">
      <c r="A157" s="155" t="s">
        <v>1348</v>
      </c>
      <c r="B157" s="125" t="s">
        <v>691</v>
      </c>
      <c r="C157" s="130">
        <f t="shared" si="14"/>
        <v>12</v>
      </c>
      <c r="E157" s="127" t="s">
        <v>1119</v>
      </c>
      <c r="F157">
        <v>1</v>
      </c>
      <c r="G157" s="127">
        <f t="shared" si="15"/>
        <v>9</v>
      </c>
      <c r="H157" s="127" t="s">
        <v>672</v>
      </c>
      <c r="I157" s="127">
        <v>1</v>
      </c>
      <c r="J157" s="127">
        <f t="shared" si="16"/>
        <v>3</v>
      </c>
      <c r="K157" s="127" t="s">
        <v>1305</v>
      </c>
      <c r="M157" s="127">
        <f t="shared" si="17"/>
        <v>0</v>
      </c>
      <c r="N157" s="127" t="s">
        <v>1305</v>
      </c>
      <c r="P157" s="127">
        <f t="shared" si="18"/>
        <v>0</v>
      </c>
      <c r="Q157" s="127" t="s">
        <v>1305</v>
      </c>
      <c r="S157" s="127">
        <f t="shared" si="19"/>
        <v>0</v>
      </c>
      <c r="T157" s="127" t="s">
        <v>1305</v>
      </c>
      <c r="V157" s="127">
        <f t="shared" si="20"/>
        <v>0</v>
      </c>
    </row>
    <row r="158" spans="1:22" ht="15.75">
      <c r="A158" s="155" t="s">
        <v>1348</v>
      </c>
      <c r="B158" s="125" t="s">
        <v>692</v>
      </c>
      <c r="C158" s="130">
        <f t="shared" si="14"/>
        <v>6</v>
      </c>
      <c r="E158" s="127" t="s">
        <v>1157</v>
      </c>
      <c r="F158">
        <v>1</v>
      </c>
      <c r="G158" s="127">
        <f t="shared" si="15"/>
        <v>3</v>
      </c>
      <c r="H158" s="127" t="s">
        <v>672</v>
      </c>
      <c r="I158" s="127">
        <v>1</v>
      </c>
      <c r="J158" s="127">
        <f t="shared" si="16"/>
        <v>3</v>
      </c>
      <c r="K158" s="127" t="s">
        <v>1305</v>
      </c>
      <c r="M158" s="127">
        <f t="shared" si="17"/>
        <v>0</v>
      </c>
      <c r="N158" s="127" t="s">
        <v>1305</v>
      </c>
      <c r="P158" s="127">
        <f t="shared" si="18"/>
        <v>0</v>
      </c>
      <c r="Q158" s="127" t="s">
        <v>1305</v>
      </c>
      <c r="S158" s="127">
        <f t="shared" si="19"/>
        <v>0</v>
      </c>
      <c r="T158" s="127" t="s">
        <v>1305</v>
      </c>
      <c r="V158" s="127">
        <f t="shared" si="20"/>
        <v>0</v>
      </c>
    </row>
    <row r="159" spans="1:22" ht="15.75">
      <c r="A159" s="155" t="s">
        <v>1348</v>
      </c>
      <c r="B159" s="125" t="s">
        <v>693</v>
      </c>
      <c r="C159" s="130">
        <f t="shared" si="14"/>
        <v>21</v>
      </c>
      <c r="E159" s="127" t="s">
        <v>1260</v>
      </c>
      <c r="F159">
        <v>2</v>
      </c>
      <c r="G159" s="127">
        <f t="shared" si="15"/>
        <v>7</v>
      </c>
      <c r="H159" s="127" t="s">
        <v>1311</v>
      </c>
      <c r="I159" s="127">
        <v>1</v>
      </c>
      <c r="J159" s="127">
        <f t="shared" si="16"/>
        <v>7</v>
      </c>
      <c r="K159" s="127" t="s">
        <v>1305</v>
      </c>
      <c r="M159" s="127">
        <f t="shared" si="17"/>
        <v>0</v>
      </c>
      <c r="N159" s="127" t="s">
        <v>1305</v>
      </c>
      <c r="P159" s="127">
        <f t="shared" si="18"/>
        <v>0</v>
      </c>
      <c r="Q159" s="127" t="s">
        <v>1305</v>
      </c>
      <c r="S159" s="127">
        <f t="shared" si="19"/>
        <v>0</v>
      </c>
      <c r="T159" s="127" t="s">
        <v>1305</v>
      </c>
      <c r="V159" s="127">
        <f t="shared" si="20"/>
        <v>0</v>
      </c>
    </row>
    <row r="160" spans="1:22" s="138" customFormat="1" ht="15.75">
      <c r="A160" s="138" t="s">
        <v>560</v>
      </c>
      <c r="B160" s="136" t="s">
        <v>694</v>
      </c>
      <c r="C160" s="137">
        <v>1</v>
      </c>
      <c r="D160" s="133"/>
      <c r="E160" s="138" t="s">
        <v>1305</v>
      </c>
      <c r="G160" s="138">
        <f t="shared" si="15"/>
        <v>0</v>
      </c>
      <c r="H160" s="138" t="s">
        <v>1305</v>
      </c>
      <c r="J160" s="138">
        <f t="shared" si="16"/>
        <v>0</v>
      </c>
      <c r="K160" s="138" t="s">
        <v>1305</v>
      </c>
      <c r="M160" s="138">
        <f t="shared" si="17"/>
        <v>0</v>
      </c>
      <c r="N160" s="138" t="s">
        <v>1305</v>
      </c>
      <c r="P160" s="138">
        <f t="shared" si="18"/>
        <v>0</v>
      </c>
      <c r="Q160" s="138" t="s">
        <v>1305</v>
      </c>
      <c r="S160" s="138">
        <f t="shared" si="19"/>
        <v>0</v>
      </c>
      <c r="T160" s="138" t="s">
        <v>1305</v>
      </c>
      <c r="V160" s="138">
        <f t="shared" si="20"/>
        <v>0</v>
      </c>
    </row>
    <row r="161" spans="1:22" ht="15.75">
      <c r="A161" s="155" t="s">
        <v>1346</v>
      </c>
      <c r="B161" s="125" t="s">
        <v>695</v>
      </c>
      <c r="C161" s="130">
        <f t="shared" si="14"/>
        <v>19</v>
      </c>
      <c r="E161" s="127" t="s">
        <v>1215</v>
      </c>
      <c r="F161">
        <v>1</v>
      </c>
      <c r="G161" s="127">
        <f t="shared" si="15"/>
        <v>16</v>
      </c>
      <c r="H161" s="127" t="s">
        <v>672</v>
      </c>
      <c r="I161" s="127">
        <v>1</v>
      </c>
      <c r="J161" s="127">
        <f t="shared" si="16"/>
        <v>3</v>
      </c>
      <c r="K161" s="127" t="s">
        <v>1305</v>
      </c>
      <c r="M161" s="127">
        <f t="shared" si="17"/>
        <v>0</v>
      </c>
      <c r="N161" s="127" t="s">
        <v>1305</v>
      </c>
      <c r="P161" s="127">
        <f t="shared" si="18"/>
        <v>0</v>
      </c>
      <c r="Q161" s="127" t="s">
        <v>1305</v>
      </c>
      <c r="S161" s="127">
        <f t="shared" si="19"/>
        <v>0</v>
      </c>
      <c r="T161" s="127" t="s">
        <v>1305</v>
      </c>
      <c r="V161" s="127">
        <f t="shared" si="20"/>
        <v>0</v>
      </c>
    </row>
    <row r="162" spans="1:22" s="176" customFormat="1" ht="15.75">
      <c r="B162" s="177" t="s">
        <v>696</v>
      </c>
      <c r="C162" s="178">
        <f t="shared" si="14"/>
        <v>4</v>
      </c>
      <c r="E162" s="176" t="s">
        <v>1026</v>
      </c>
      <c r="F162" s="176">
        <v>4</v>
      </c>
      <c r="G162" s="176">
        <f t="shared" si="15"/>
        <v>1</v>
      </c>
      <c r="H162" s="176" t="s">
        <v>1305</v>
      </c>
      <c r="J162" s="176">
        <f t="shared" si="16"/>
        <v>0</v>
      </c>
      <c r="K162" s="176" t="s">
        <v>1305</v>
      </c>
      <c r="M162" s="176">
        <f t="shared" si="17"/>
        <v>0</v>
      </c>
      <c r="N162" s="176" t="s">
        <v>1305</v>
      </c>
      <c r="P162" s="176">
        <f t="shared" si="18"/>
        <v>0</v>
      </c>
      <c r="Q162" s="176" t="s">
        <v>1305</v>
      </c>
      <c r="S162" s="176">
        <f t="shared" si="19"/>
        <v>0</v>
      </c>
      <c r="T162" s="176" t="s">
        <v>1305</v>
      </c>
      <c r="V162" s="176">
        <f t="shared" si="20"/>
        <v>0</v>
      </c>
    </row>
    <row r="163" spans="1:22" ht="15.75">
      <c r="A163" s="155" t="s">
        <v>1351</v>
      </c>
      <c r="B163" s="125" t="s">
        <v>697</v>
      </c>
      <c r="C163" s="130">
        <f t="shared" si="14"/>
        <v>20</v>
      </c>
      <c r="E163" s="127" t="s">
        <v>1312</v>
      </c>
      <c r="F163">
        <v>1</v>
      </c>
      <c r="G163" s="127">
        <f t="shared" si="15"/>
        <v>5</v>
      </c>
      <c r="H163" s="127" t="s">
        <v>1051</v>
      </c>
      <c r="I163" s="127">
        <v>1</v>
      </c>
      <c r="J163" s="127">
        <f t="shared" si="16"/>
        <v>15</v>
      </c>
      <c r="K163" s="127" t="s">
        <v>1305</v>
      </c>
      <c r="M163" s="127">
        <f t="shared" si="17"/>
        <v>0</v>
      </c>
      <c r="N163" s="127" t="s">
        <v>1305</v>
      </c>
      <c r="P163" s="127">
        <f t="shared" si="18"/>
        <v>0</v>
      </c>
      <c r="Q163" s="127" t="s">
        <v>1305</v>
      </c>
      <c r="S163" s="127">
        <f t="shared" si="19"/>
        <v>0</v>
      </c>
      <c r="T163" s="127" t="s">
        <v>1305</v>
      </c>
      <c r="V163" s="127">
        <f t="shared" si="20"/>
        <v>0</v>
      </c>
    </row>
    <row r="164" spans="1:22" s="150" customFormat="1" ht="15.75">
      <c r="A164" s="150" t="s">
        <v>1341</v>
      </c>
      <c r="B164" s="148" t="s">
        <v>1312</v>
      </c>
      <c r="C164" s="149">
        <f>'ECONOMIA &amp; PROFESIONES'!E57</f>
        <v>5</v>
      </c>
      <c r="E164" s="150" t="s">
        <v>1305</v>
      </c>
      <c r="G164" s="150">
        <f t="shared" ref="G164" si="27">VLOOKUP(E164,IDPOINTS,2,FALSE)</f>
        <v>0</v>
      </c>
      <c r="H164" s="150" t="s">
        <v>1305</v>
      </c>
      <c r="J164" s="150">
        <f t="shared" ref="J164" si="28">VLOOKUP(H164,IDPOINTS,2,FALSE)</f>
        <v>0</v>
      </c>
      <c r="K164" s="150" t="s">
        <v>1305</v>
      </c>
      <c r="M164" s="150">
        <f t="shared" ref="M164" si="29">VLOOKUP(K164,IDPOINTS,2,FALSE)</f>
        <v>0</v>
      </c>
      <c r="N164" s="150" t="s">
        <v>1305</v>
      </c>
      <c r="P164" s="150">
        <f t="shared" ref="P164" si="30">VLOOKUP(N164,IDPOINTS,2,FALSE)</f>
        <v>0</v>
      </c>
      <c r="Q164" s="150" t="s">
        <v>1305</v>
      </c>
      <c r="S164" s="150">
        <f t="shared" ref="S164" si="31">VLOOKUP(Q164,IDPOINTS,2,FALSE)</f>
        <v>0</v>
      </c>
      <c r="T164" s="150" t="s">
        <v>1305</v>
      </c>
      <c r="V164" s="150">
        <f t="shared" ref="V164" si="32">VLOOKUP(T164,IDPOINTS,2,FALSE)</f>
        <v>0</v>
      </c>
    </row>
    <row r="165" spans="1:22" ht="15.75">
      <c r="A165" s="155" t="s">
        <v>1344</v>
      </c>
      <c r="B165" s="125" t="s">
        <v>698</v>
      </c>
      <c r="C165" s="130">
        <f t="shared" si="14"/>
        <v>18.5</v>
      </c>
      <c r="E165" s="127" t="s">
        <v>896</v>
      </c>
      <c r="F165">
        <v>1</v>
      </c>
      <c r="G165" s="127">
        <f t="shared" si="15"/>
        <v>4</v>
      </c>
      <c r="H165" s="127" t="s">
        <v>1224</v>
      </c>
      <c r="I165" s="127">
        <v>1</v>
      </c>
      <c r="J165" s="127">
        <f t="shared" si="16"/>
        <v>1.5</v>
      </c>
      <c r="K165" s="127" t="s">
        <v>1208</v>
      </c>
      <c r="L165" s="127">
        <v>3</v>
      </c>
      <c r="M165" s="127">
        <f t="shared" si="17"/>
        <v>2</v>
      </c>
      <c r="N165" s="127" t="s">
        <v>1252</v>
      </c>
      <c r="O165" s="127">
        <v>1</v>
      </c>
      <c r="P165" s="127">
        <f t="shared" si="18"/>
        <v>7</v>
      </c>
      <c r="Q165" s="127" t="s">
        <v>1305</v>
      </c>
      <c r="S165" s="127">
        <f t="shared" si="19"/>
        <v>0</v>
      </c>
      <c r="T165" s="127" t="s">
        <v>1305</v>
      </c>
      <c r="V165" s="127">
        <f t="shared" si="20"/>
        <v>0</v>
      </c>
    </row>
    <row r="166" spans="1:22" ht="15.75">
      <c r="A166" s="155" t="s">
        <v>1346</v>
      </c>
      <c r="B166" s="125" t="s">
        <v>699</v>
      </c>
      <c r="C166" s="130">
        <f t="shared" si="14"/>
        <v>112</v>
      </c>
      <c r="E166" s="127" t="s">
        <v>1137</v>
      </c>
      <c r="F166">
        <v>4</v>
      </c>
      <c r="G166" s="127">
        <f t="shared" si="15"/>
        <v>28</v>
      </c>
      <c r="H166" s="127" t="s">
        <v>1305</v>
      </c>
      <c r="J166" s="127">
        <f t="shared" si="16"/>
        <v>0</v>
      </c>
      <c r="K166" s="127" t="s">
        <v>1305</v>
      </c>
      <c r="M166" s="127">
        <f t="shared" si="17"/>
        <v>0</v>
      </c>
      <c r="N166" s="127" t="s">
        <v>1305</v>
      </c>
      <c r="P166" s="127">
        <f t="shared" si="18"/>
        <v>0</v>
      </c>
      <c r="Q166" s="127" t="s">
        <v>1305</v>
      </c>
      <c r="S166" s="127">
        <f t="shared" si="19"/>
        <v>0</v>
      </c>
      <c r="T166" s="127" t="s">
        <v>1305</v>
      </c>
      <c r="V166" s="127">
        <f t="shared" si="20"/>
        <v>0</v>
      </c>
    </row>
    <row r="167" spans="1:22" ht="15.75">
      <c r="A167" s="155" t="s">
        <v>1346</v>
      </c>
      <c r="B167" s="125" t="s">
        <v>700</v>
      </c>
      <c r="C167" s="130">
        <f t="shared" si="14"/>
        <v>336</v>
      </c>
      <c r="E167" s="128" t="s">
        <v>699</v>
      </c>
      <c r="F167">
        <v>3</v>
      </c>
      <c r="G167" s="127">
        <f t="shared" si="15"/>
        <v>112</v>
      </c>
      <c r="H167" s="127" t="s">
        <v>1305</v>
      </c>
      <c r="J167" s="127">
        <f t="shared" si="16"/>
        <v>0</v>
      </c>
      <c r="K167" s="127" t="s">
        <v>1305</v>
      </c>
      <c r="M167" s="127">
        <f t="shared" si="17"/>
        <v>0</v>
      </c>
      <c r="N167" s="127" t="s">
        <v>1305</v>
      </c>
      <c r="P167" s="127">
        <f t="shared" si="18"/>
        <v>0</v>
      </c>
      <c r="Q167" s="127" t="s">
        <v>1305</v>
      </c>
      <c r="S167" s="127">
        <f t="shared" si="19"/>
        <v>0</v>
      </c>
      <c r="T167" s="127" t="s">
        <v>1305</v>
      </c>
      <c r="V167" s="127">
        <f t="shared" si="20"/>
        <v>0</v>
      </c>
    </row>
    <row r="168" spans="1:22" ht="15.75">
      <c r="A168" s="155" t="s">
        <v>1346</v>
      </c>
      <c r="B168" s="125" t="s">
        <v>701</v>
      </c>
      <c r="C168" s="130">
        <f t="shared" si="14"/>
        <v>80</v>
      </c>
      <c r="E168" s="127" t="s">
        <v>1159</v>
      </c>
      <c r="F168">
        <v>4</v>
      </c>
      <c r="G168" s="127">
        <f t="shared" si="15"/>
        <v>20</v>
      </c>
      <c r="H168" s="127" t="s">
        <v>1305</v>
      </c>
      <c r="J168" s="127">
        <f t="shared" si="16"/>
        <v>0</v>
      </c>
      <c r="K168" s="127" t="s">
        <v>1305</v>
      </c>
      <c r="M168" s="127">
        <f t="shared" si="17"/>
        <v>0</v>
      </c>
      <c r="N168" s="127" t="s">
        <v>1305</v>
      </c>
      <c r="P168" s="127">
        <f t="shared" si="18"/>
        <v>0</v>
      </c>
      <c r="Q168" s="127" t="s">
        <v>1305</v>
      </c>
      <c r="S168" s="127">
        <f t="shared" si="19"/>
        <v>0</v>
      </c>
      <c r="T168" s="127" t="s">
        <v>1305</v>
      </c>
      <c r="V168" s="127">
        <f t="shared" si="20"/>
        <v>0</v>
      </c>
    </row>
    <row r="169" spans="1:22" ht="15.75">
      <c r="A169" s="155" t="s">
        <v>1346</v>
      </c>
      <c r="B169" s="125" t="s">
        <v>702</v>
      </c>
      <c r="C169" s="130">
        <f t="shared" si="14"/>
        <v>240</v>
      </c>
      <c r="E169" s="127" t="s">
        <v>701</v>
      </c>
      <c r="F169">
        <v>3</v>
      </c>
      <c r="G169" s="127">
        <f t="shared" si="15"/>
        <v>80</v>
      </c>
      <c r="H169" s="127" t="s">
        <v>1305</v>
      </c>
      <c r="J169" s="127">
        <f t="shared" si="16"/>
        <v>0</v>
      </c>
      <c r="K169" s="127" t="s">
        <v>1305</v>
      </c>
      <c r="M169" s="127">
        <f t="shared" si="17"/>
        <v>0</v>
      </c>
      <c r="N169" s="127" t="s">
        <v>1305</v>
      </c>
      <c r="P169" s="127">
        <f t="shared" si="18"/>
        <v>0</v>
      </c>
      <c r="Q169" s="127" t="s">
        <v>1305</v>
      </c>
      <c r="S169" s="127">
        <f t="shared" si="19"/>
        <v>0</v>
      </c>
      <c r="T169" s="127" t="s">
        <v>1305</v>
      </c>
      <c r="V169" s="127">
        <f t="shared" si="20"/>
        <v>0</v>
      </c>
    </row>
    <row r="170" spans="1:22" ht="15.75">
      <c r="A170" s="155" t="s">
        <v>1351</v>
      </c>
      <c r="B170" s="125" t="s">
        <v>703</v>
      </c>
      <c r="C170" s="130">
        <f t="shared" si="14"/>
        <v>74</v>
      </c>
      <c r="E170" s="128" t="s">
        <v>714</v>
      </c>
      <c r="F170" s="128">
        <v>6</v>
      </c>
      <c r="G170" s="128">
        <f t="shared" si="15"/>
        <v>12</v>
      </c>
      <c r="H170" s="128" t="s">
        <v>1208</v>
      </c>
      <c r="I170" s="128">
        <v>1</v>
      </c>
      <c r="J170" s="128">
        <f t="shared" si="16"/>
        <v>2</v>
      </c>
      <c r="K170" s="128" t="s">
        <v>1305</v>
      </c>
      <c r="L170" s="128"/>
      <c r="M170" s="127">
        <f t="shared" si="17"/>
        <v>0</v>
      </c>
      <c r="N170" s="127" t="s">
        <v>1305</v>
      </c>
      <c r="P170" s="127">
        <f t="shared" si="18"/>
        <v>0</v>
      </c>
      <c r="Q170" s="127" t="s">
        <v>1305</v>
      </c>
      <c r="S170" s="127">
        <f t="shared" si="19"/>
        <v>0</v>
      </c>
      <c r="T170" s="127" t="s">
        <v>1305</v>
      </c>
      <c r="V170" s="127">
        <f t="shared" si="20"/>
        <v>0</v>
      </c>
    </row>
    <row r="171" spans="1:22" ht="15.75">
      <c r="A171" s="155" t="s">
        <v>1351</v>
      </c>
      <c r="B171" s="125" t="s">
        <v>704</v>
      </c>
      <c r="C171" s="130">
        <f t="shared" si="14"/>
        <v>39</v>
      </c>
      <c r="E171" s="128" t="s">
        <v>714</v>
      </c>
      <c r="F171" s="128">
        <v>3</v>
      </c>
      <c r="G171" s="128">
        <f t="shared" si="15"/>
        <v>12</v>
      </c>
      <c r="H171" s="128" t="s">
        <v>1026</v>
      </c>
      <c r="I171" s="128">
        <v>3</v>
      </c>
      <c r="J171" s="128">
        <f t="shared" si="16"/>
        <v>1</v>
      </c>
      <c r="K171" s="128" t="s">
        <v>1305</v>
      </c>
      <c r="L171" s="128"/>
      <c r="M171" s="127">
        <f t="shared" si="17"/>
        <v>0</v>
      </c>
      <c r="N171" s="127" t="s">
        <v>1305</v>
      </c>
      <c r="P171" s="127">
        <f t="shared" si="18"/>
        <v>0</v>
      </c>
      <c r="Q171" s="127" t="s">
        <v>1305</v>
      </c>
      <c r="S171" s="127">
        <f t="shared" si="19"/>
        <v>0</v>
      </c>
      <c r="T171" s="127" t="s">
        <v>1305</v>
      </c>
      <c r="V171" s="127">
        <f t="shared" si="20"/>
        <v>0</v>
      </c>
    </row>
    <row r="172" spans="1:22" ht="15.75">
      <c r="A172" s="155" t="s">
        <v>1351</v>
      </c>
      <c r="B172" s="125" t="s">
        <v>705</v>
      </c>
      <c r="C172" s="130">
        <f t="shared" si="14"/>
        <v>24</v>
      </c>
      <c r="E172" s="128" t="s">
        <v>714</v>
      </c>
      <c r="F172" s="128">
        <v>2</v>
      </c>
      <c r="G172" s="128">
        <f t="shared" si="15"/>
        <v>12</v>
      </c>
      <c r="H172" s="128" t="s">
        <v>1305</v>
      </c>
      <c r="I172" s="128"/>
      <c r="J172" s="128">
        <f t="shared" si="16"/>
        <v>0</v>
      </c>
      <c r="K172" s="128" t="s">
        <v>1305</v>
      </c>
      <c r="L172" s="128"/>
      <c r="M172" s="127">
        <f t="shared" si="17"/>
        <v>0</v>
      </c>
      <c r="N172" s="127" t="s">
        <v>1305</v>
      </c>
      <c r="P172" s="127">
        <f t="shared" si="18"/>
        <v>0</v>
      </c>
      <c r="Q172" s="127" t="s">
        <v>1305</v>
      </c>
      <c r="S172" s="127">
        <f t="shared" si="19"/>
        <v>0</v>
      </c>
      <c r="T172" s="127" t="s">
        <v>1305</v>
      </c>
      <c r="V172" s="127">
        <f t="shared" si="20"/>
        <v>0</v>
      </c>
    </row>
    <row r="173" spans="1:22" ht="15.75">
      <c r="A173" s="155" t="s">
        <v>1351</v>
      </c>
      <c r="B173" s="125" t="s">
        <v>706</v>
      </c>
      <c r="C173" s="130">
        <f t="shared" si="14"/>
        <v>30</v>
      </c>
      <c r="E173" s="128" t="s">
        <v>707</v>
      </c>
      <c r="F173" s="128">
        <v>1</v>
      </c>
      <c r="G173" s="128">
        <f t="shared" si="15"/>
        <v>30</v>
      </c>
      <c r="H173" s="128" t="s">
        <v>1305</v>
      </c>
      <c r="I173" s="128"/>
      <c r="J173" s="128">
        <f t="shared" si="16"/>
        <v>0</v>
      </c>
      <c r="K173" s="128" t="s">
        <v>1305</v>
      </c>
      <c r="L173" s="128"/>
      <c r="M173" s="127">
        <f t="shared" si="17"/>
        <v>0</v>
      </c>
      <c r="N173" s="127" t="s">
        <v>1305</v>
      </c>
      <c r="P173" s="127">
        <f t="shared" si="18"/>
        <v>0</v>
      </c>
      <c r="Q173" s="127" t="s">
        <v>1305</v>
      </c>
      <c r="S173" s="127">
        <f t="shared" si="19"/>
        <v>0</v>
      </c>
      <c r="T173" s="127" t="s">
        <v>1305</v>
      </c>
      <c r="V173" s="127">
        <f t="shared" si="20"/>
        <v>0</v>
      </c>
    </row>
    <row r="174" spans="1:22" ht="15.75">
      <c r="A174" s="155" t="s">
        <v>1351</v>
      </c>
      <c r="B174" s="125" t="s">
        <v>707</v>
      </c>
      <c r="C174" s="130">
        <f t="shared" si="14"/>
        <v>30</v>
      </c>
      <c r="E174" s="128" t="s">
        <v>1158</v>
      </c>
      <c r="F174" s="128">
        <v>4</v>
      </c>
      <c r="G174" s="128">
        <f t="shared" si="15"/>
        <v>5</v>
      </c>
      <c r="H174" s="128" t="s">
        <v>844</v>
      </c>
      <c r="I174" s="128">
        <v>4</v>
      </c>
      <c r="J174" s="128">
        <f t="shared" si="16"/>
        <v>1</v>
      </c>
      <c r="K174" s="128" t="s">
        <v>708</v>
      </c>
      <c r="L174" s="128">
        <v>1</v>
      </c>
      <c r="M174" s="127">
        <f t="shared" si="17"/>
        <v>6</v>
      </c>
      <c r="N174" s="127" t="s">
        <v>1305</v>
      </c>
      <c r="P174" s="127">
        <f t="shared" si="18"/>
        <v>0</v>
      </c>
      <c r="Q174" s="127" t="s">
        <v>1305</v>
      </c>
      <c r="S174" s="127">
        <f t="shared" si="19"/>
        <v>0</v>
      </c>
      <c r="T174" s="127" t="s">
        <v>1305</v>
      </c>
      <c r="V174" s="127">
        <f t="shared" si="20"/>
        <v>0</v>
      </c>
    </row>
    <row r="175" spans="1:22" s="13" customFormat="1" ht="15.75">
      <c r="A175" s="155" t="s">
        <v>1351</v>
      </c>
      <c r="B175" s="145" t="s">
        <v>708</v>
      </c>
      <c r="C175" s="146">
        <f t="shared" si="14"/>
        <v>6</v>
      </c>
      <c r="D175" s="133"/>
      <c r="E175" s="13" t="s">
        <v>862</v>
      </c>
      <c r="F175" s="13">
        <v>1</v>
      </c>
      <c r="G175" s="13">
        <f t="shared" si="15"/>
        <v>5</v>
      </c>
      <c r="H175" s="13" t="s">
        <v>603</v>
      </c>
      <c r="I175" s="13">
        <v>1</v>
      </c>
      <c r="J175" s="13">
        <f t="shared" si="16"/>
        <v>1</v>
      </c>
      <c r="K175" s="13" t="s">
        <v>1305</v>
      </c>
      <c r="M175" s="13">
        <f t="shared" si="17"/>
        <v>0</v>
      </c>
      <c r="N175" s="13" t="s">
        <v>1305</v>
      </c>
      <c r="P175" s="13">
        <f t="shared" si="18"/>
        <v>0</v>
      </c>
      <c r="Q175" s="13" t="s">
        <v>1305</v>
      </c>
      <c r="S175" s="13">
        <f t="shared" si="19"/>
        <v>0</v>
      </c>
      <c r="T175" s="13" t="s">
        <v>1305</v>
      </c>
      <c r="V175" s="13">
        <f t="shared" si="20"/>
        <v>0</v>
      </c>
    </row>
    <row r="176" spans="1:22" ht="15.75">
      <c r="A176" s="155" t="s">
        <v>1351</v>
      </c>
      <c r="B176" s="125" t="s">
        <v>709</v>
      </c>
      <c r="C176" s="130">
        <f t="shared" si="14"/>
        <v>257</v>
      </c>
      <c r="E176" s="128" t="s">
        <v>713</v>
      </c>
      <c r="F176" s="128">
        <v>1</v>
      </c>
      <c r="G176" s="128">
        <f t="shared" si="15"/>
        <v>254</v>
      </c>
      <c r="H176" s="128" t="s">
        <v>672</v>
      </c>
      <c r="I176" s="128">
        <v>1</v>
      </c>
      <c r="J176" s="127">
        <f t="shared" si="16"/>
        <v>3</v>
      </c>
      <c r="K176" s="127" t="s">
        <v>1305</v>
      </c>
      <c r="M176" s="127">
        <f t="shared" si="17"/>
        <v>0</v>
      </c>
      <c r="N176" s="127" t="s">
        <v>1305</v>
      </c>
      <c r="P176" s="127">
        <f t="shared" si="18"/>
        <v>0</v>
      </c>
      <c r="Q176" s="127" t="s">
        <v>1305</v>
      </c>
      <c r="S176" s="127">
        <f t="shared" si="19"/>
        <v>0</v>
      </c>
      <c r="T176" s="127" t="s">
        <v>1305</v>
      </c>
      <c r="V176" s="127">
        <f t="shared" si="20"/>
        <v>0</v>
      </c>
    </row>
    <row r="177" spans="1:22" ht="15.75">
      <c r="A177" s="155" t="s">
        <v>1351</v>
      </c>
      <c r="B177" s="125" t="s">
        <v>710</v>
      </c>
      <c r="C177" s="130">
        <f t="shared" si="14"/>
        <v>32</v>
      </c>
      <c r="E177" s="128" t="s">
        <v>708</v>
      </c>
      <c r="F177" s="128">
        <v>1</v>
      </c>
      <c r="G177" s="128">
        <f t="shared" si="15"/>
        <v>6</v>
      </c>
      <c r="H177" s="128" t="s">
        <v>1170</v>
      </c>
      <c r="I177" s="128">
        <v>1</v>
      </c>
      <c r="J177" s="127">
        <f t="shared" si="16"/>
        <v>26</v>
      </c>
      <c r="K177" s="127" t="s">
        <v>1305</v>
      </c>
      <c r="M177" s="127">
        <f t="shared" si="17"/>
        <v>0</v>
      </c>
      <c r="N177" s="127" t="s">
        <v>1305</v>
      </c>
      <c r="P177" s="127">
        <f t="shared" si="18"/>
        <v>0</v>
      </c>
      <c r="Q177" s="127" t="s">
        <v>1305</v>
      </c>
      <c r="S177" s="127">
        <f t="shared" si="19"/>
        <v>0</v>
      </c>
      <c r="T177" s="127" t="s">
        <v>1305</v>
      </c>
      <c r="V177" s="127">
        <f t="shared" si="20"/>
        <v>0</v>
      </c>
    </row>
    <row r="178" spans="1:22" ht="15.75">
      <c r="A178" s="155" t="s">
        <v>1351</v>
      </c>
      <c r="B178" s="125" t="s">
        <v>711</v>
      </c>
      <c r="C178" s="130">
        <f t="shared" si="14"/>
        <v>70</v>
      </c>
      <c r="E178" s="128" t="s">
        <v>814</v>
      </c>
      <c r="F178" s="128">
        <v>8</v>
      </c>
      <c r="G178" s="128">
        <f t="shared" si="15"/>
        <v>8</v>
      </c>
      <c r="H178" s="128" t="s">
        <v>708</v>
      </c>
      <c r="I178" s="128">
        <v>1</v>
      </c>
      <c r="J178" s="127">
        <f t="shared" si="16"/>
        <v>6</v>
      </c>
      <c r="K178" s="127" t="s">
        <v>1305</v>
      </c>
      <c r="M178" s="127">
        <f t="shared" si="17"/>
        <v>0</v>
      </c>
      <c r="N178" s="127" t="s">
        <v>1305</v>
      </c>
      <c r="P178" s="127">
        <f t="shared" si="18"/>
        <v>0</v>
      </c>
      <c r="Q178" s="127" t="s">
        <v>1305</v>
      </c>
      <c r="S178" s="127">
        <f t="shared" si="19"/>
        <v>0</v>
      </c>
      <c r="T178" s="127" t="s">
        <v>1305</v>
      </c>
      <c r="V178" s="127">
        <f t="shared" si="20"/>
        <v>0</v>
      </c>
    </row>
    <row r="179" spans="1:22" ht="15.75">
      <c r="A179" s="155" t="s">
        <v>1351</v>
      </c>
      <c r="B179" s="125" t="s">
        <v>712</v>
      </c>
      <c r="C179" s="130">
        <f t="shared" si="14"/>
        <v>420</v>
      </c>
      <c r="E179" s="128" t="s">
        <v>711</v>
      </c>
      <c r="F179" s="128">
        <v>6</v>
      </c>
      <c r="G179" s="128">
        <f t="shared" si="15"/>
        <v>70</v>
      </c>
      <c r="H179" s="128" t="s">
        <v>1305</v>
      </c>
      <c r="I179" s="128"/>
      <c r="J179" s="127">
        <f t="shared" si="16"/>
        <v>0</v>
      </c>
      <c r="K179" s="127" t="s">
        <v>1305</v>
      </c>
      <c r="M179" s="127">
        <f t="shared" si="17"/>
        <v>0</v>
      </c>
      <c r="N179" s="127" t="s">
        <v>1305</v>
      </c>
      <c r="P179" s="127">
        <f t="shared" si="18"/>
        <v>0</v>
      </c>
      <c r="Q179" s="127" t="s">
        <v>1305</v>
      </c>
      <c r="S179" s="127">
        <f t="shared" si="19"/>
        <v>0</v>
      </c>
      <c r="T179" s="127" t="s">
        <v>1305</v>
      </c>
      <c r="V179" s="127">
        <f t="shared" si="20"/>
        <v>0</v>
      </c>
    </row>
    <row r="180" spans="1:22" ht="15.75">
      <c r="A180" s="155" t="s">
        <v>1351</v>
      </c>
      <c r="B180" s="125" t="s">
        <v>713</v>
      </c>
      <c r="C180" s="130">
        <f t="shared" si="14"/>
        <v>254</v>
      </c>
      <c r="E180" s="128" t="s">
        <v>1245</v>
      </c>
      <c r="F180" s="128">
        <v>8</v>
      </c>
      <c r="G180" s="128">
        <f t="shared" si="15"/>
        <v>31</v>
      </c>
      <c r="H180" s="128" t="s">
        <v>708</v>
      </c>
      <c r="I180" s="128">
        <v>1</v>
      </c>
      <c r="J180" s="127">
        <f t="shared" si="16"/>
        <v>6</v>
      </c>
      <c r="K180" s="127" t="s">
        <v>1305</v>
      </c>
      <c r="M180" s="127">
        <f t="shared" si="17"/>
        <v>0</v>
      </c>
      <c r="N180" s="127" t="s">
        <v>1305</v>
      </c>
      <c r="P180" s="127">
        <f t="shared" si="18"/>
        <v>0</v>
      </c>
      <c r="Q180" s="127" t="s">
        <v>1305</v>
      </c>
      <c r="S180" s="127">
        <f t="shared" si="19"/>
        <v>0</v>
      </c>
      <c r="T180" s="127" t="s">
        <v>1305</v>
      </c>
      <c r="V180" s="127">
        <f t="shared" si="20"/>
        <v>0</v>
      </c>
    </row>
    <row r="181" spans="1:22" ht="15.75">
      <c r="A181" s="155" t="s">
        <v>1351</v>
      </c>
      <c r="B181" s="125" t="s">
        <v>714</v>
      </c>
      <c r="C181" s="130">
        <f t="shared" si="14"/>
        <v>12</v>
      </c>
      <c r="E181" s="128" t="s">
        <v>1274</v>
      </c>
      <c r="F181" s="128">
        <v>1</v>
      </c>
      <c r="G181" s="128">
        <f t="shared" si="15"/>
        <v>6</v>
      </c>
      <c r="H181" s="128" t="s">
        <v>708</v>
      </c>
      <c r="I181" s="128">
        <v>1</v>
      </c>
      <c r="J181" s="127">
        <f t="shared" si="16"/>
        <v>6</v>
      </c>
      <c r="K181" s="127" t="s">
        <v>1305</v>
      </c>
      <c r="M181" s="127">
        <f t="shared" si="17"/>
        <v>0</v>
      </c>
      <c r="N181" s="127" t="s">
        <v>1305</v>
      </c>
      <c r="P181" s="127">
        <f t="shared" si="18"/>
        <v>0</v>
      </c>
      <c r="Q181" s="127" t="s">
        <v>1305</v>
      </c>
      <c r="S181" s="127">
        <f t="shared" si="19"/>
        <v>0</v>
      </c>
      <c r="T181" s="127" t="s">
        <v>1305</v>
      </c>
      <c r="V181" s="127">
        <f t="shared" si="20"/>
        <v>0</v>
      </c>
    </row>
    <row r="182" spans="1:22" s="138" customFormat="1" ht="15.75">
      <c r="A182" s="138" t="s">
        <v>560</v>
      </c>
      <c r="B182" s="136" t="s">
        <v>715</v>
      </c>
      <c r="C182" s="137">
        <v>1</v>
      </c>
      <c r="D182" s="133"/>
      <c r="E182" s="138" t="s">
        <v>1305</v>
      </c>
      <c r="G182" s="138">
        <f t="shared" si="15"/>
        <v>0</v>
      </c>
      <c r="H182" s="138" t="s">
        <v>1305</v>
      </c>
      <c r="J182" s="138">
        <f t="shared" si="16"/>
        <v>0</v>
      </c>
      <c r="K182" s="138" t="s">
        <v>1305</v>
      </c>
      <c r="M182" s="138">
        <f t="shared" si="17"/>
        <v>0</v>
      </c>
      <c r="N182" s="138" t="s">
        <v>1305</v>
      </c>
      <c r="P182" s="138">
        <f t="shared" si="18"/>
        <v>0</v>
      </c>
      <c r="Q182" s="138" t="s">
        <v>1305</v>
      </c>
      <c r="S182" s="138">
        <f t="shared" si="19"/>
        <v>0</v>
      </c>
      <c r="T182" s="138" t="s">
        <v>1305</v>
      </c>
      <c r="V182" s="138">
        <f t="shared" si="20"/>
        <v>0</v>
      </c>
    </row>
    <row r="183" spans="1:22" ht="15.75">
      <c r="A183" s="155" t="s">
        <v>1345</v>
      </c>
      <c r="B183" s="125" t="s">
        <v>716</v>
      </c>
      <c r="C183" s="130">
        <f t="shared" si="14"/>
        <v>44</v>
      </c>
      <c r="E183" s="128" t="s">
        <v>722</v>
      </c>
      <c r="F183" s="128">
        <v>4</v>
      </c>
      <c r="G183" s="128">
        <f t="shared" si="15"/>
        <v>11</v>
      </c>
      <c r="H183" s="128" t="s">
        <v>1305</v>
      </c>
      <c r="I183" s="128"/>
      <c r="J183" s="127">
        <f t="shared" si="16"/>
        <v>0</v>
      </c>
      <c r="K183" s="127" t="s">
        <v>1305</v>
      </c>
      <c r="M183" s="127">
        <f t="shared" si="17"/>
        <v>0</v>
      </c>
      <c r="N183" s="127" t="s">
        <v>1305</v>
      </c>
      <c r="P183" s="127">
        <f t="shared" si="18"/>
        <v>0</v>
      </c>
      <c r="Q183" s="127" t="s">
        <v>1305</v>
      </c>
      <c r="S183" s="127">
        <f t="shared" si="19"/>
        <v>0</v>
      </c>
      <c r="T183" s="127" t="s">
        <v>1305</v>
      </c>
      <c r="V183" s="127">
        <f t="shared" si="20"/>
        <v>0</v>
      </c>
    </row>
    <row r="184" spans="1:22" ht="15.75">
      <c r="A184" s="155" t="s">
        <v>1345</v>
      </c>
      <c r="B184" s="125" t="s">
        <v>717</v>
      </c>
      <c r="C184" s="130">
        <f t="shared" si="14"/>
        <v>11</v>
      </c>
      <c r="E184" s="128" t="s">
        <v>722</v>
      </c>
      <c r="F184" s="128">
        <v>1</v>
      </c>
      <c r="G184" s="128">
        <f t="shared" si="15"/>
        <v>11</v>
      </c>
      <c r="H184" s="128" t="s">
        <v>1305</v>
      </c>
      <c r="I184" s="128"/>
      <c r="J184" s="127">
        <f t="shared" si="16"/>
        <v>0</v>
      </c>
      <c r="K184" s="127" t="s">
        <v>1305</v>
      </c>
      <c r="M184" s="127">
        <f t="shared" si="17"/>
        <v>0</v>
      </c>
      <c r="N184" s="127" t="s">
        <v>1305</v>
      </c>
      <c r="P184" s="127">
        <f t="shared" si="18"/>
        <v>0</v>
      </c>
      <c r="Q184" s="127" t="s">
        <v>1305</v>
      </c>
      <c r="S184" s="127">
        <f t="shared" si="19"/>
        <v>0</v>
      </c>
      <c r="T184" s="127" t="s">
        <v>1305</v>
      </c>
      <c r="V184" s="127">
        <f t="shared" si="20"/>
        <v>0</v>
      </c>
    </row>
    <row r="185" spans="1:22" ht="15.75">
      <c r="A185" s="155" t="s">
        <v>1345</v>
      </c>
      <c r="B185" s="125" t="s">
        <v>718</v>
      </c>
      <c r="C185" s="130">
        <f t="shared" si="14"/>
        <v>66</v>
      </c>
      <c r="E185" s="128" t="s">
        <v>722</v>
      </c>
      <c r="F185" s="128">
        <v>6</v>
      </c>
      <c r="G185" s="128">
        <f t="shared" si="15"/>
        <v>11</v>
      </c>
      <c r="H185" s="128" t="s">
        <v>1305</v>
      </c>
      <c r="I185" s="128"/>
      <c r="J185" s="127">
        <f t="shared" si="16"/>
        <v>0</v>
      </c>
      <c r="K185" s="127" t="s">
        <v>1305</v>
      </c>
      <c r="M185" s="127">
        <f t="shared" si="17"/>
        <v>0</v>
      </c>
      <c r="N185" s="127" t="s">
        <v>1305</v>
      </c>
      <c r="P185" s="127">
        <f t="shared" si="18"/>
        <v>0</v>
      </c>
      <c r="Q185" s="127" t="s">
        <v>1305</v>
      </c>
      <c r="S185" s="127">
        <f t="shared" si="19"/>
        <v>0</v>
      </c>
      <c r="T185" s="127" t="s">
        <v>1305</v>
      </c>
      <c r="V185" s="127">
        <f t="shared" si="20"/>
        <v>0</v>
      </c>
    </row>
    <row r="186" spans="1:22" ht="15.75">
      <c r="A186" s="155" t="s">
        <v>1345</v>
      </c>
      <c r="B186" s="125" t="s">
        <v>719</v>
      </c>
      <c r="C186" s="130">
        <f t="shared" si="14"/>
        <v>48</v>
      </c>
      <c r="E186" s="128" t="s">
        <v>722</v>
      </c>
      <c r="F186" s="128">
        <v>4</v>
      </c>
      <c r="G186" s="128">
        <f t="shared" si="15"/>
        <v>11</v>
      </c>
      <c r="H186" s="128" t="s">
        <v>1208</v>
      </c>
      <c r="I186" s="128">
        <v>2</v>
      </c>
      <c r="J186" s="127">
        <f t="shared" si="16"/>
        <v>2</v>
      </c>
      <c r="K186" s="127" t="s">
        <v>1305</v>
      </c>
      <c r="M186" s="127">
        <f t="shared" si="17"/>
        <v>0</v>
      </c>
      <c r="N186" s="127" t="s">
        <v>1305</v>
      </c>
      <c r="P186" s="127">
        <f t="shared" si="18"/>
        <v>0</v>
      </c>
      <c r="Q186" s="127" t="s">
        <v>1305</v>
      </c>
      <c r="S186" s="127">
        <f t="shared" si="19"/>
        <v>0</v>
      </c>
      <c r="T186" s="127" t="s">
        <v>1305</v>
      </c>
      <c r="V186" s="127">
        <f t="shared" si="20"/>
        <v>0</v>
      </c>
    </row>
    <row r="187" spans="1:22" ht="15.75">
      <c r="A187" s="155" t="s">
        <v>1345</v>
      </c>
      <c r="B187" s="125" t="s">
        <v>720</v>
      </c>
      <c r="C187" s="130">
        <f t="shared" si="14"/>
        <v>30</v>
      </c>
      <c r="E187" s="128" t="s">
        <v>722</v>
      </c>
      <c r="F187" s="128">
        <v>2</v>
      </c>
      <c r="G187" s="128">
        <f t="shared" si="15"/>
        <v>11</v>
      </c>
      <c r="H187" s="128" t="s">
        <v>1208</v>
      </c>
      <c r="I187" s="128">
        <v>4</v>
      </c>
      <c r="J187" s="127">
        <f t="shared" si="16"/>
        <v>2</v>
      </c>
      <c r="K187" s="127" t="s">
        <v>1305</v>
      </c>
      <c r="M187" s="127">
        <f t="shared" si="17"/>
        <v>0</v>
      </c>
      <c r="N187" s="127" t="s">
        <v>1305</v>
      </c>
      <c r="P187" s="127">
        <f t="shared" si="18"/>
        <v>0</v>
      </c>
      <c r="Q187" s="127" t="s">
        <v>1305</v>
      </c>
      <c r="S187" s="127">
        <f t="shared" si="19"/>
        <v>0</v>
      </c>
      <c r="T187" s="127" t="s">
        <v>1305</v>
      </c>
      <c r="V187" s="127">
        <f t="shared" si="20"/>
        <v>0</v>
      </c>
    </row>
    <row r="188" spans="1:22" s="138" customFormat="1" ht="15.75">
      <c r="A188" s="138" t="s">
        <v>1338</v>
      </c>
      <c r="B188" s="136" t="s">
        <v>721</v>
      </c>
      <c r="C188" s="137">
        <f>'ECONOMIA &amp; PROFESIONES'!E37</f>
        <v>11</v>
      </c>
      <c r="D188" s="133"/>
      <c r="E188" s="138" t="s">
        <v>1305</v>
      </c>
      <c r="G188" s="138">
        <f t="shared" si="15"/>
        <v>0</v>
      </c>
      <c r="H188" s="138" t="s">
        <v>1305</v>
      </c>
      <c r="J188" s="138">
        <f t="shared" si="16"/>
        <v>0</v>
      </c>
      <c r="K188" s="138" t="s">
        <v>1305</v>
      </c>
      <c r="M188" s="138">
        <f t="shared" si="17"/>
        <v>0</v>
      </c>
      <c r="N188" s="138" t="s">
        <v>1305</v>
      </c>
      <c r="P188" s="138">
        <f t="shared" si="18"/>
        <v>0</v>
      </c>
      <c r="Q188" s="138" t="s">
        <v>1305</v>
      </c>
      <c r="S188" s="138">
        <f t="shared" si="19"/>
        <v>0</v>
      </c>
      <c r="T188" s="138" t="s">
        <v>1305</v>
      </c>
      <c r="V188" s="138">
        <f t="shared" si="20"/>
        <v>0</v>
      </c>
    </row>
    <row r="189" spans="1:22" ht="15.75">
      <c r="A189" s="155" t="s">
        <v>1345</v>
      </c>
      <c r="B189" s="125" t="s">
        <v>722</v>
      </c>
      <c r="C189" s="130">
        <f t="shared" ref="C189:C251" si="33">(G189*F189)+(I189*J189)+(L189*M189)+(O189*P189)+(R189*S189)+(U189*V189)</f>
        <v>11</v>
      </c>
      <c r="E189" s="128" t="s">
        <v>721</v>
      </c>
      <c r="F189" s="128">
        <v>1</v>
      </c>
      <c r="G189" s="128">
        <f t="shared" si="15"/>
        <v>11</v>
      </c>
      <c r="H189" s="128" t="s">
        <v>1305</v>
      </c>
      <c r="I189" s="128"/>
      <c r="J189" s="127">
        <f t="shared" si="16"/>
        <v>0</v>
      </c>
      <c r="K189" s="127" t="s">
        <v>1305</v>
      </c>
      <c r="M189" s="127">
        <f t="shared" si="17"/>
        <v>0</v>
      </c>
      <c r="N189" s="127" t="s">
        <v>1305</v>
      </c>
      <c r="P189" s="127">
        <f t="shared" si="18"/>
        <v>0</v>
      </c>
      <c r="Q189" s="127" t="s">
        <v>1305</v>
      </c>
      <c r="S189" s="127">
        <f t="shared" si="19"/>
        <v>0</v>
      </c>
      <c r="T189" s="127" t="s">
        <v>1305</v>
      </c>
      <c r="V189" s="127">
        <f t="shared" si="20"/>
        <v>0</v>
      </c>
    </row>
    <row r="190" spans="1:22" ht="15.75">
      <c r="A190" s="155" t="s">
        <v>1345</v>
      </c>
      <c r="B190" s="125" t="s">
        <v>723</v>
      </c>
      <c r="C190" s="130">
        <f t="shared" si="33"/>
        <v>22</v>
      </c>
      <c r="E190" s="128" t="s">
        <v>722</v>
      </c>
      <c r="F190" s="128">
        <v>2</v>
      </c>
      <c r="G190" s="128">
        <f t="shared" si="15"/>
        <v>11</v>
      </c>
      <c r="H190" s="128" t="s">
        <v>1305</v>
      </c>
      <c r="I190" s="128"/>
      <c r="J190" s="127">
        <f t="shared" si="16"/>
        <v>0</v>
      </c>
      <c r="K190" s="127" t="s">
        <v>1305</v>
      </c>
      <c r="M190" s="127">
        <f t="shared" si="17"/>
        <v>0</v>
      </c>
      <c r="N190" s="127" t="s">
        <v>1305</v>
      </c>
      <c r="P190" s="127">
        <f t="shared" si="18"/>
        <v>0</v>
      </c>
      <c r="Q190" s="127" t="s">
        <v>1305</v>
      </c>
      <c r="S190" s="127">
        <f t="shared" si="19"/>
        <v>0</v>
      </c>
      <c r="T190" s="127" t="s">
        <v>1305</v>
      </c>
      <c r="V190" s="127">
        <f t="shared" si="20"/>
        <v>0</v>
      </c>
    </row>
    <row r="191" spans="1:22" ht="15.75">
      <c r="A191" s="155" t="s">
        <v>1345</v>
      </c>
      <c r="B191" s="125" t="s">
        <v>724</v>
      </c>
      <c r="C191" s="130">
        <f t="shared" si="33"/>
        <v>68</v>
      </c>
      <c r="E191" s="128" t="s">
        <v>722</v>
      </c>
      <c r="F191" s="128">
        <v>6</v>
      </c>
      <c r="G191" s="128">
        <f t="shared" si="15"/>
        <v>11</v>
      </c>
      <c r="H191" s="128" t="s">
        <v>1208</v>
      </c>
      <c r="I191" s="128">
        <v>1</v>
      </c>
      <c r="J191" s="127">
        <f t="shared" ref="J191:J254" si="34">VLOOKUP(H191,IDPOINTS,2,FALSE)</f>
        <v>2</v>
      </c>
      <c r="K191" s="127" t="s">
        <v>1305</v>
      </c>
      <c r="M191" s="127">
        <f t="shared" ref="M191:M254" si="35">VLOOKUP(K191,IDPOINTS,2,FALSE)</f>
        <v>0</v>
      </c>
      <c r="N191" s="127" t="s">
        <v>1305</v>
      </c>
      <c r="P191" s="127">
        <f t="shared" ref="P191:P254" si="36">VLOOKUP(N191,IDPOINTS,2,FALSE)</f>
        <v>0</v>
      </c>
      <c r="Q191" s="127" t="s">
        <v>1305</v>
      </c>
      <c r="S191" s="127">
        <f t="shared" ref="S191:S254" si="37">VLOOKUP(Q191,IDPOINTS,2,FALSE)</f>
        <v>0</v>
      </c>
      <c r="T191" s="127" t="s">
        <v>1305</v>
      </c>
      <c r="V191" s="127">
        <f t="shared" ref="V191:V254" si="38">VLOOKUP(T191,IDPOINTS,2,FALSE)</f>
        <v>0</v>
      </c>
    </row>
    <row r="192" spans="1:22" ht="15.75">
      <c r="A192" s="155" t="s">
        <v>1345</v>
      </c>
      <c r="B192" s="125" t="s">
        <v>725</v>
      </c>
      <c r="C192" s="130">
        <f t="shared" si="33"/>
        <v>33</v>
      </c>
      <c r="E192" s="128" t="s">
        <v>722</v>
      </c>
      <c r="F192" s="128">
        <v>3</v>
      </c>
      <c r="G192" s="128">
        <f t="shared" ref="G192:G194" si="39">VLOOKUP(E192,IDPOINTS,2,FALSE)</f>
        <v>11</v>
      </c>
      <c r="H192" s="128" t="s">
        <v>1305</v>
      </c>
      <c r="I192" s="128"/>
      <c r="J192" s="127">
        <f t="shared" si="34"/>
        <v>0</v>
      </c>
      <c r="K192" s="127" t="s">
        <v>1305</v>
      </c>
      <c r="M192" s="127">
        <f t="shared" si="35"/>
        <v>0</v>
      </c>
      <c r="N192" s="127" t="s">
        <v>1305</v>
      </c>
      <c r="P192" s="127">
        <f t="shared" si="36"/>
        <v>0</v>
      </c>
      <c r="Q192" s="127" t="s">
        <v>1305</v>
      </c>
      <c r="S192" s="127">
        <f t="shared" si="37"/>
        <v>0</v>
      </c>
      <c r="T192" s="127" t="s">
        <v>1305</v>
      </c>
      <c r="V192" s="127">
        <f t="shared" si="38"/>
        <v>0</v>
      </c>
    </row>
    <row r="193" spans="1:22" ht="15.75">
      <c r="A193" s="155" t="s">
        <v>1345</v>
      </c>
      <c r="B193" s="125" t="s">
        <v>726</v>
      </c>
      <c r="C193" s="130">
        <f t="shared" si="33"/>
        <v>66</v>
      </c>
      <c r="E193" s="128" t="s">
        <v>722</v>
      </c>
      <c r="F193" s="128">
        <v>6</v>
      </c>
      <c r="G193" s="128">
        <f t="shared" si="39"/>
        <v>11</v>
      </c>
      <c r="H193" s="128" t="s">
        <v>1305</v>
      </c>
      <c r="I193" s="128"/>
      <c r="J193" s="127">
        <f t="shared" si="34"/>
        <v>0</v>
      </c>
      <c r="K193" s="127" t="s">
        <v>1305</v>
      </c>
      <c r="M193" s="127">
        <f t="shared" si="35"/>
        <v>0</v>
      </c>
      <c r="N193" s="127" t="s">
        <v>1305</v>
      </c>
      <c r="P193" s="127">
        <f t="shared" si="36"/>
        <v>0</v>
      </c>
      <c r="Q193" s="127" t="s">
        <v>1305</v>
      </c>
      <c r="S193" s="127">
        <f t="shared" si="37"/>
        <v>0</v>
      </c>
      <c r="T193" s="127" t="s">
        <v>1305</v>
      </c>
      <c r="V193" s="127">
        <f t="shared" si="38"/>
        <v>0</v>
      </c>
    </row>
    <row r="194" spans="1:22" ht="15.75">
      <c r="A194" s="155" t="s">
        <v>1345</v>
      </c>
      <c r="B194" s="125" t="s">
        <v>727</v>
      </c>
      <c r="C194" s="130">
        <f t="shared" si="33"/>
        <v>66</v>
      </c>
      <c r="E194" s="128" t="s">
        <v>722</v>
      </c>
      <c r="F194" s="128">
        <v>6</v>
      </c>
      <c r="G194" s="128">
        <f t="shared" si="39"/>
        <v>11</v>
      </c>
      <c r="H194" s="128" t="s">
        <v>1305</v>
      </c>
      <c r="I194" s="128"/>
      <c r="J194" s="127">
        <f t="shared" si="34"/>
        <v>0</v>
      </c>
      <c r="K194" s="127" t="s">
        <v>1305</v>
      </c>
      <c r="M194" s="127">
        <f t="shared" si="35"/>
        <v>0</v>
      </c>
      <c r="N194" s="127" t="s">
        <v>1305</v>
      </c>
      <c r="P194" s="127">
        <f t="shared" si="36"/>
        <v>0</v>
      </c>
      <c r="Q194" s="127" t="s">
        <v>1305</v>
      </c>
      <c r="S194" s="127">
        <f t="shared" si="37"/>
        <v>0</v>
      </c>
      <c r="T194" s="127" t="s">
        <v>1305</v>
      </c>
      <c r="V194" s="127">
        <f t="shared" si="38"/>
        <v>0</v>
      </c>
    </row>
    <row r="195" spans="1:22" s="138" customFormat="1" ht="15.75">
      <c r="A195" s="138" t="s">
        <v>1338</v>
      </c>
      <c r="B195" s="136" t="s">
        <v>728</v>
      </c>
      <c r="C195" s="137">
        <f>'ECONOMIA &amp; PROFESIONES'!E37</f>
        <v>11</v>
      </c>
      <c r="D195" s="133"/>
      <c r="E195" s="138" t="s">
        <v>1305</v>
      </c>
      <c r="G195" s="138">
        <f t="shared" ref="G195:G254" si="40">VLOOKUP(E195,IDPOINTS,2,FALSE)</f>
        <v>0</v>
      </c>
      <c r="H195" s="138" t="s">
        <v>1305</v>
      </c>
      <c r="J195" s="138">
        <f t="shared" si="34"/>
        <v>0</v>
      </c>
      <c r="K195" s="138" t="s">
        <v>1305</v>
      </c>
      <c r="M195" s="138">
        <f t="shared" si="35"/>
        <v>0</v>
      </c>
      <c r="N195" s="138" t="s">
        <v>1305</v>
      </c>
      <c r="P195" s="138">
        <f t="shared" si="36"/>
        <v>0</v>
      </c>
      <c r="Q195" s="138" t="s">
        <v>1305</v>
      </c>
      <c r="S195" s="138">
        <f t="shared" si="37"/>
        <v>0</v>
      </c>
      <c r="T195" s="138" t="s">
        <v>1305</v>
      </c>
      <c r="V195" s="138">
        <f t="shared" si="38"/>
        <v>0</v>
      </c>
    </row>
    <row r="196" spans="1:22" ht="15.75">
      <c r="A196" s="155" t="s">
        <v>1346</v>
      </c>
      <c r="B196" s="125" t="s">
        <v>729</v>
      </c>
      <c r="C196" s="130">
        <f t="shared" si="33"/>
        <v>73</v>
      </c>
      <c r="E196" s="127" t="s">
        <v>1090</v>
      </c>
      <c r="F196">
        <v>8</v>
      </c>
      <c r="G196" s="127">
        <f t="shared" si="40"/>
        <v>9</v>
      </c>
      <c r="H196" s="127" t="s">
        <v>886</v>
      </c>
      <c r="I196" s="127">
        <v>1</v>
      </c>
      <c r="J196" s="127">
        <f t="shared" si="34"/>
        <v>1</v>
      </c>
      <c r="K196" s="127" t="s">
        <v>1305</v>
      </c>
      <c r="M196" s="127">
        <f t="shared" si="35"/>
        <v>0</v>
      </c>
      <c r="N196" s="127" t="s">
        <v>1305</v>
      </c>
      <c r="P196" s="127">
        <f t="shared" si="36"/>
        <v>0</v>
      </c>
      <c r="Q196" s="127" t="s">
        <v>1305</v>
      </c>
      <c r="S196" s="127">
        <f t="shared" si="37"/>
        <v>0</v>
      </c>
      <c r="T196" s="127" t="s">
        <v>1305</v>
      </c>
      <c r="V196" s="127">
        <f t="shared" si="38"/>
        <v>0</v>
      </c>
    </row>
    <row r="197" spans="1:22" ht="15.75">
      <c r="A197" s="155" t="s">
        <v>1346</v>
      </c>
      <c r="B197" s="125" t="s">
        <v>730</v>
      </c>
      <c r="C197" s="130">
        <f t="shared" si="33"/>
        <v>219</v>
      </c>
      <c r="E197" s="127" t="s">
        <v>729</v>
      </c>
      <c r="F197">
        <v>3</v>
      </c>
      <c r="G197" s="127">
        <f t="shared" si="40"/>
        <v>73</v>
      </c>
      <c r="H197" s="127" t="s">
        <v>1305</v>
      </c>
      <c r="J197" s="127">
        <f t="shared" si="34"/>
        <v>0</v>
      </c>
      <c r="K197" s="127" t="s">
        <v>1305</v>
      </c>
      <c r="M197" s="127">
        <f t="shared" si="35"/>
        <v>0</v>
      </c>
      <c r="N197" s="127" t="s">
        <v>1305</v>
      </c>
      <c r="P197" s="127">
        <f t="shared" si="36"/>
        <v>0</v>
      </c>
      <c r="Q197" s="127" t="s">
        <v>1305</v>
      </c>
      <c r="S197" s="127">
        <f t="shared" si="37"/>
        <v>0</v>
      </c>
      <c r="T197" s="127" t="s">
        <v>1305</v>
      </c>
      <c r="V197" s="127">
        <f t="shared" si="38"/>
        <v>0</v>
      </c>
    </row>
    <row r="198" spans="1:22" ht="15.75">
      <c r="A198" s="155" t="s">
        <v>1346</v>
      </c>
      <c r="B198" s="125" t="s">
        <v>731</v>
      </c>
      <c r="C198" s="130">
        <f t="shared" si="33"/>
        <v>438</v>
      </c>
      <c r="E198" s="128" t="s">
        <v>729</v>
      </c>
      <c r="F198">
        <v>6</v>
      </c>
      <c r="G198" s="127">
        <f t="shared" si="40"/>
        <v>73</v>
      </c>
      <c r="H198" s="127" t="s">
        <v>1305</v>
      </c>
      <c r="J198" s="127">
        <f t="shared" si="34"/>
        <v>0</v>
      </c>
      <c r="K198" s="127" t="s">
        <v>1305</v>
      </c>
      <c r="M198" s="127">
        <f t="shared" si="35"/>
        <v>0</v>
      </c>
      <c r="N198" s="127" t="s">
        <v>1305</v>
      </c>
      <c r="P198" s="127">
        <f t="shared" si="36"/>
        <v>0</v>
      </c>
      <c r="Q198" s="127" t="s">
        <v>1305</v>
      </c>
      <c r="S198" s="127">
        <f t="shared" si="37"/>
        <v>0</v>
      </c>
      <c r="T198" s="127" t="s">
        <v>1305</v>
      </c>
      <c r="V198" s="127">
        <f t="shared" si="38"/>
        <v>0</v>
      </c>
    </row>
    <row r="199" spans="1:22" ht="15.75">
      <c r="A199" s="155" t="s">
        <v>1353</v>
      </c>
      <c r="B199" s="125" t="s">
        <v>732</v>
      </c>
      <c r="C199" s="130">
        <f t="shared" si="33"/>
        <v>60</v>
      </c>
      <c r="E199" s="127" t="s">
        <v>1114</v>
      </c>
      <c r="F199">
        <v>3</v>
      </c>
      <c r="G199" s="127">
        <f t="shared" si="40"/>
        <v>9</v>
      </c>
      <c r="H199" s="127" t="s">
        <v>814</v>
      </c>
      <c r="I199" s="127">
        <v>3</v>
      </c>
      <c r="J199" s="127">
        <f t="shared" si="34"/>
        <v>8</v>
      </c>
      <c r="K199" s="127" t="s">
        <v>1029</v>
      </c>
      <c r="L199" s="127">
        <v>3</v>
      </c>
      <c r="M199" s="127">
        <f t="shared" si="35"/>
        <v>3</v>
      </c>
      <c r="N199" s="127" t="s">
        <v>1305</v>
      </c>
      <c r="P199" s="127">
        <f t="shared" si="36"/>
        <v>0</v>
      </c>
      <c r="Q199" s="127" t="s">
        <v>1305</v>
      </c>
      <c r="S199" s="127">
        <f t="shared" si="37"/>
        <v>0</v>
      </c>
      <c r="T199" s="127" t="s">
        <v>1305</v>
      </c>
      <c r="V199" s="127">
        <f t="shared" si="38"/>
        <v>0</v>
      </c>
    </row>
    <row r="200" spans="1:22" s="168" customFormat="1" ht="15.75">
      <c r="A200" s="155"/>
      <c r="B200" s="166" t="s">
        <v>733</v>
      </c>
      <c r="C200" s="167">
        <f t="shared" si="33"/>
        <v>0</v>
      </c>
      <c r="D200" s="133"/>
      <c r="E200" s="168" t="s">
        <v>1305</v>
      </c>
      <c r="G200" s="168">
        <f t="shared" si="40"/>
        <v>0</v>
      </c>
      <c r="H200" s="168" t="s">
        <v>1305</v>
      </c>
      <c r="J200" s="168">
        <f t="shared" si="34"/>
        <v>0</v>
      </c>
      <c r="K200" s="168" t="s">
        <v>1305</v>
      </c>
      <c r="M200" s="168">
        <f t="shared" si="35"/>
        <v>0</v>
      </c>
      <c r="N200" s="168" t="s">
        <v>1305</v>
      </c>
      <c r="P200" s="168">
        <f t="shared" si="36"/>
        <v>0</v>
      </c>
      <c r="Q200" s="168" t="s">
        <v>1305</v>
      </c>
      <c r="S200" s="168">
        <f t="shared" si="37"/>
        <v>0</v>
      </c>
      <c r="T200" s="168" t="s">
        <v>1305</v>
      </c>
      <c r="V200" s="168">
        <f t="shared" si="38"/>
        <v>0</v>
      </c>
    </row>
    <row r="201" spans="1:22" s="168" customFormat="1" ht="15.75">
      <c r="A201" s="155"/>
      <c r="B201" s="166" t="s">
        <v>734</v>
      </c>
      <c r="C201" s="167">
        <f t="shared" si="33"/>
        <v>0</v>
      </c>
      <c r="D201" s="133"/>
      <c r="E201" s="168" t="s">
        <v>1305</v>
      </c>
      <c r="G201" s="168">
        <f t="shared" si="40"/>
        <v>0</v>
      </c>
      <c r="H201" s="168" t="s">
        <v>1305</v>
      </c>
      <c r="J201" s="168">
        <f t="shared" si="34"/>
        <v>0</v>
      </c>
      <c r="K201" s="168" t="s">
        <v>1305</v>
      </c>
      <c r="M201" s="168">
        <f t="shared" si="35"/>
        <v>0</v>
      </c>
      <c r="N201" s="168" t="s">
        <v>1305</v>
      </c>
      <c r="P201" s="168">
        <f t="shared" si="36"/>
        <v>0</v>
      </c>
      <c r="Q201" s="168" t="s">
        <v>1305</v>
      </c>
      <c r="S201" s="168">
        <f t="shared" si="37"/>
        <v>0</v>
      </c>
      <c r="T201" s="168" t="s">
        <v>1305</v>
      </c>
      <c r="V201" s="168">
        <f t="shared" si="38"/>
        <v>0</v>
      </c>
    </row>
    <row r="202" spans="1:22" s="168" customFormat="1" ht="15.75">
      <c r="A202" s="155"/>
      <c r="B202" s="166" t="s">
        <v>735</v>
      </c>
      <c r="C202" s="167">
        <f t="shared" si="33"/>
        <v>0</v>
      </c>
      <c r="D202" s="133"/>
      <c r="E202" s="168" t="s">
        <v>1305</v>
      </c>
      <c r="G202" s="168">
        <f t="shared" si="40"/>
        <v>0</v>
      </c>
      <c r="H202" s="168" t="s">
        <v>1305</v>
      </c>
      <c r="J202" s="168">
        <f t="shared" si="34"/>
        <v>0</v>
      </c>
      <c r="K202" s="168" t="s">
        <v>1305</v>
      </c>
      <c r="M202" s="168">
        <f t="shared" si="35"/>
        <v>0</v>
      </c>
      <c r="N202" s="168" t="s">
        <v>1305</v>
      </c>
      <c r="P202" s="168">
        <f t="shared" si="36"/>
        <v>0</v>
      </c>
      <c r="Q202" s="168" t="s">
        <v>1305</v>
      </c>
      <c r="S202" s="168">
        <f t="shared" si="37"/>
        <v>0</v>
      </c>
      <c r="T202" s="168" t="s">
        <v>1305</v>
      </c>
      <c r="V202" s="168">
        <f t="shared" si="38"/>
        <v>0</v>
      </c>
    </row>
    <row r="203" spans="1:22" s="168" customFormat="1" ht="15.75">
      <c r="A203" s="155"/>
      <c r="B203" s="166" t="s">
        <v>736</v>
      </c>
      <c r="C203" s="167">
        <f t="shared" si="33"/>
        <v>0</v>
      </c>
      <c r="D203" s="133"/>
      <c r="E203" s="168" t="s">
        <v>1305</v>
      </c>
      <c r="G203" s="168">
        <f t="shared" si="40"/>
        <v>0</v>
      </c>
      <c r="H203" s="168" t="s">
        <v>1305</v>
      </c>
      <c r="J203" s="168">
        <f t="shared" si="34"/>
        <v>0</v>
      </c>
      <c r="K203" s="168" t="s">
        <v>1305</v>
      </c>
      <c r="M203" s="168">
        <f t="shared" si="35"/>
        <v>0</v>
      </c>
      <c r="N203" s="168" t="s">
        <v>1305</v>
      </c>
      <c r="P203" s="168">
        <f t="shared" si="36"/>
        <v>0</v>
      </c>
      <c r="Q203" s="168" t="s">
        <v>1305</v>
      </c>
      <c r="S203" s="168">
        <f t="shared" si="37"/>
        <v>0</v>
      </c>
      <c r="T203" s="168" t="s">
        <v>1305</v>
      </c>
      <c r="V203" s="168">
        <f t="shared" si="38"/>
        <v>0</v>
      </c>
    </row>
    <row r="204" spans="1:22" s="168" customFormat="1" ht="15.75">
      <c r="A204" s="155"/>
      <c r="B204" s="166" t="s">
        <v>737</v>
      </c>
      <c r="C204" s="167">
        <f t="shared" si="33"/>
        <v>0</v>
      </c>
      <c r="D204" s="133"/>
      <c r="E204" s="168" t="s">
        <v>1305</v>
      </c>
      <c r="G204" s="168">
        <f t="shared" si="40"/>
        <v>0</v>
      </c>
      <c r="H204" s="168" t="s">
        <v>1305</v>
      </c>
      <c r="J204" s="168">
        <f t="shared" si="34"/>
        <v>0</v>
      </c>
      <c r="K204" s="168" t="s">
        <v>1305</v>
      </c>
      <c r="M204" s="168">
        <f t="shared" si="35"/>
        <v>0</v>
      </c>
      <c r="N204" s="168" t="s">
        <v>1305</v>
      </c>
      <c r="P204" s="168">
        <f t="shared" si="36"/>
        <v>0</v>
      </c>
      <c r="Q204" s="168" t="s">
        <v>1305</v>
      </c>
      <c r="S204" s="168">
        <f t="shared" si="37"/>
        <v>0</v>
      </c>
      <c r="T204" s="168" t="s">
        <v>1305</v>
      </c>
      <c r="V204" s="168">
        <f t="shared" si="38"/>
        <v>0</v>
      </c>
    </row>
    <row r="205" spans="1:22" s="168" customFormat="1" ht="15.75">
      <c r="A205" s="155"/>
      <c r="B205" s="166" t="s">
        <v>738</v>
      </c>
      <c r="C205" s="167">
        <f t="shared" si="33"/>
        <v>0</v>
      </c>
      <c r="D205" s="133"/>
      <c r="E205" s="168" t="s">
        <v>1305</v>
      </c>
      <c r="G205" s="168">
        <f t="shared" si="40"/>
        <v>0</v>
      </c>
      <c r="H205" s="168" t="s">
        <v>1305</v>
      </c>
      <c r="J205" s="168">
        <f t="shared" si="34"/>
        <v>0</v>
      </c>
      <c r="K205" s="168" t="s">
        <v>1305</v>
      </c>
      <c r="M205" s="168">
        <f t="shared" si="35"/>
        <v>0</v>
      </c>
      <c r="N205" s="168" t="s">
        <v>1305</v>
      </c>
      <c r="P205" s="168">
        <f t="shared" si="36"/>
        <v>0</v>
      </c>
      <c r="Q205" s="168" t="s">
        <v>1305</v>
      </c>
      <c r="S205" s="168">
        <f t="shared" si="37"/>
        <v>0</v>
      </c>
      <c r="T205" s="168" t="s">
        <v>1305</v>
      </c>
      <c r="V205" s="168">
        <f t="shared" si="38"/>
        <v>0</v>
      </c>
    </row>
    <row r="206" spans="1:22" s="168" customFormat="1" ht="15.75">
      <c r="A206" s="155"/>
      <c r="B206" s="166" t="s">
        <v>739</v>
      </c>
      <c r="C206" s="167">
        <f t="shared" si="33"/>
        <v>0</v>
      </c>
      <c r="D206" s="133"/>
      <c r="E206" s="168" t="s">
        <v>1305</v>
      </c>
      <c r="G206" s="168">
        <f t="shared" si="40"/>
        <v>0</v>
      </c>
      <c r="H206" s="168" t="s">
        <v>1305</v>
      </c>
      <c r="J206" s="168">
        <f t="shared" si="34"/>
        <v>0</v>
      </c>
      <c r="K206" s="168" t="s">
        <v>1305</v>
      </c>
      <c r="M206" s="168">
        <f t="shared" si="35"/>
        <v>0</v>
      </c>
      <c r="N206" s="168" t="s">
        <v>1305</v>
      </c>
      <c r="P206" s="168">
        <f t="shared" si="36"/>
        <v>0</v>
      </c>
      <c r="Q206" s="168" t="s">
        <v>1305</v>
      </c>
      <c r="S206" s="168">
        <f t="shared" si="37"/>
        <v>0</v>
      </c>
      <c r="T206" s="168" t="s">
        <v>1305</v>
      </c>
      <c r="V206" s="168">
        <f t="shared" si="38"/>
        <v>0</v>
      </c>
    </row>
    <row r="207" spans="1:22" s="168" customFormat="1" ht="15.75">
      <c r="A207" s="155"/>
      <c r="B207" s="166" t="s">
        <v>740</v>
      </c>
      <c r="C207" s="167">
        <f t="shared" si="33"/>
        <v>0</v>
      </c>
      <c r="D207" s="133"/>
      <c r="E207" s="168" t="s">
        <v>1305</v>
      </c>
      <c r="G207" s="168">
        <f t="shared" si="40"/>
        <v>0</v>
      </c>
      <c r="H207" s="168" t="s">
        <v>1305</v>
      </c>
      <c r="J207" s="168">
        <f t="shared" si="34"/>
        <v>0</v>
      </c>
      <c r="K207" s="168" t="s">
        <v>1305</v>
      </c>
      <c r="M207" s="168">
        <f t="shared" si="35"/>
        <v>0</v>
      </c>
      <c r="N207" s="168" t="s">
        <v>1305</v>
      </c>
      <c r="P207" s="168">
        <f t="shared" si="36"/>
        <v>0</v>
      </c>
      <c r="Q207" s="168" t="s">
        <v>1305</v>
      </c>
      <c r="S207" s="168">
        <f t="shared" si="37"/>
        <v>0</v>
      </c>
      <c r="T207" s="168" t="s">
        <v>1305</v>
      </c>
      <c r="V207" s="168">
        <f t="shared" si="38"/>
        <v>0</v>
      </c>
    </row>
    <row r="208" spans="1:22" s="168" customFormat="1" ht="15.75">
      <c r="A208" s="155"/>
      <c r="B208" s="166" t="s">
        <v>741</v>
      </c>
      <c r="C208" s="167">
        <f t="shared" si="33"/>
        <v>0</v>
      </c>
      <c r="D208" s="133"/>
      <c r="E208" s="168" t="s">
        <v>1305</v>
      </c>
      <c r="G208" s="168">
        <f t="shared" si="40"/>
        <v>0</v>
      </c>
      <c r="H208" s="168" t="s">
        <v>1305</v>
      </c>
      <c r="J208" s="168">
        <f t="shared" si="34"/>
        <v>0</v>
      </c>
      <c r="K208" s="168" t="s">
        <v>1305</v>
      </c>
      <c r="M208" s="168">
        <f t="shared" si="35"/>
        <v>0</v>
      </c>
      <c r="N208" s="168" t="s">
        <v>1305</v>
      </c>
      <c r="P208" s="168">
        <f t="shared" si="36"/>
        <v>0</v>
      </c>
      <c r="Q208" s="168" t="s">
        <v>1305</v>
      </c>
      <c r="S208" s="168">
        <f t="shared" si="37"/>
        <v>0</v>
      </c>
      <c r="T208" s="168" t="s">
        <v>1305</v>
      </c>
      <c r="V208" s="168">
        <f t="shared" si="38"/>
        <v>0</v>
      </c>
    </row>
    <row r="209" spans="1:22" s="168" customFormat="1" ht="15.75">
      <c r="A209" s="155"/>
      <c r="B209" s="166" t="s">
        <v>742</v>
      </c>
      <c r="C209" s="167">
        <f t="shared" si="33"/>
        <v>0</v>
      </c>
      <c r="D209" s="133"/>
      <c r="E209" s="168" t="s">
        <v>1305</v>
      </c>
      <c r="G209" s="168">
        <f t="shared" si="40"/>
        <v>0</v>
      </c>
      <c r="H209" s="168" t="s">
        <v>1305</v>
      </c>
      <c r="J209" s="168">
        <f t="shared" si="34"/>
        <v>0</v>
      </c>
      <c r="K209" s="168" t="s">
        <v>1305</v>
      </c>
      <c r="M209" s="168">
        <f t="shared" si="35"/>
        <v>0</v>
      </c>
      <c r="N209" s="168" t="s">
        <v>1305</v>
      </c>
      <c r="P209" s="168">
        <f t="shared" si="36"/>
        <v>0</v>
      </c>
      <c r="Q209" s="168" t="s">
        <v>1305</v>
      </c>
      <c r="S209" s="168">
        <f t="shared" si="37"/>
        <v>0</v>
      </c>
      <c r="T209" s="168" t="s">
        <v>1305</v>
      </c>
      <c r="V209" s="168">
        <f t="shared" si="38"/>
        <v>0</v>
      </c>
    </row>
    <row r="210" spans="1:22" s="168" customFormat="1" ht="15.75">
      <c r="A210" s="155"/>
      <c r="B210" s="166" t="s">
        <v>743</v>
      </c>
      <c r="C210" s="167">
        <f t="shared" si="33"/>
        <v>0</v>
      </c>
      <c r="D210" s="133"/>
      <c r="E210" s="168" t="s">
        <v>1305</v>
      </c>
      <c r="G210" s="168">
        <f t="shared" si="40"/>
        <v>0</v>
      </c>
      <c r="H210" s="168" t="s">
        <v>1305</v>
      </c>
      <c r="J210" s="168">
        <f t="shared" si="34"/>
        <v>0</v>
      </c>
      <c r="K210" s="168" t="s">
        <v>1305</v>
      </c>
      <c r="M210" s="168">
        <f t="shared" si="35"/>
        <v>0</v>
      </c>
      <c r="N210" s="168" t="s">
        <v>1305</v>
      </c>
      <c r="P210" s="168">
        <f t="shared" si="36"/>
        <v>0</v>
      </c>
      <c r="Q210" s="168" t="s">
        <v>1305</v>
      </c>
      <c r="S210" s="168">
        <f t="shared" si="37"/>
        <v>0</v>
      </c>
      <c r="T210" s="168" t="s">
        <v>1305</v>
      </c>
      <c r="V210" s="168">
        <f t="shared" si="38"/>
        <v>0</v>
      </c>
    </row>
    <row r="211" spans="1:22" s="168" customFormat="1" ht="15.75">
      <c r="A211" s="155"/>
      <c r="B211" s="166" t="s">
        <v>744</v>
      </c>
      <c r="C211" s="167">
        <f t="shared" si="33"/>
        <v>0</v>
      </c>
      <c r="D211" s="133"/>
      <c r="E211" s="168" t="s">
        <v>1305</v>
      </c>
      <c r="G211" s="168">
        <f t="shared" si="40"/>
        <v>0</v>
      </c>
      <c r="H211" s="168" t="s">
        <v>1305</v>
      </c>
      <c r="J211" s="168">
        <f t="shared" si="34"/>
        <v>0</v>
      </c>
      <c r="K211" s="168" t="s">
        <v>1305</v>
      </c>
      <c r="M211" s="168">
        <f t="shared" si="35"/>
        <v>0</v>
      </c>
      <c r="N211" s="168" t="s">
        <v>1305</v>
      </c>
      <c r="P211" s="168">
        <f t="shared" si="36"/>
        <v>0</v>
      </c>
      <c r="Q211" s="168" t="s">
        <v>1305</v>
      </c>
      <c r="S211" s="168">
        <f t="shared" si="37"/>
        <v>0</v>
      </c>
      <c r="T211" s="168" t="s">
        <v>1305</v>
      </c>
      <c r="V211" s="168">
        <f t="shared" si="38"/>
        <v>0</v>
      </c>
    </row>
    <row r="212" spans="1:22" s="168" customFormat="1" ht="15.75">
      <c r="A212" s="155"/>
      <c r="B212" s="166" t="s">
        <v>745</v>
      </c>
      <c r="C212" s="167">
        <f t="shared" si="33"/>
        <v>0</v>
      </c>
      <c r="D212" s="133"/>
      <c r="E212" s="168" t="s">
        <v>1305</v>
      </c>
      <c r="G212" s="168">
        <f t="shared" si="40"/>
        <v>0</v>
      </c>
      <c r="H212" s="168" t="s">
        <v>1305</v>
      </c>
      <c r="J212" s="168">
        <f t="shared" si="34"/>
        <v>0</v>
      </c>
      <c r="K212" s="168" t="s">
        <v>1305</v>
      </c>
      <c r="M212" s="168">
        <f t="shared" si="35"/>
        <v>0</v>
      </c>
      <c r="N212" s="168" t="s">
        <v>1305</v>
      </c>
      <c r="P212" s="168">
        <f t="shared" si="36"/>
        <v>0</v>
      </c>
      <c r="Q212" s="168" t="s">
        <v>1305</v>
      </c>
      <c r="S212" s="168">
        <f t="shared" si="37"/>
        <v>0</v>
      </c>
      <c r="T212" s="168" t="s">
        <v>1305</v>
      </c>
      <c r="V212" s="168">
        <f t="shared" si="38"/>
        <v>0</v>
      </c>
    </row>
    <row r="213" spans="1:22" s="168" customFormat="1" ht="15.75">
      <c r="A213" s="155"/>
      <c r="B213" s="166" t="s">
        <v>746</v>
      </c>
      <c r="C213" s="167">
        <f t="shared" si="33"/>
        <v>0</v>
      </c>
      <c r="D213" s="133"/>
      <c r="E213" s="168" t="s">
        <v>1305</v>
      </c>
      <c r="G213" s="168">
        <f t="shared" si="40"/>
        <v>0</v>
      </c>
      <c r="H213" s="168" t="s">
        <v>1305</v>
      </c>
      <c r="J213" s="168">
        <f t="shared" si="34"/>
        <v>0</v>
      </c>
      <c r="K213" s="168" t="s">
        <v>1305</v>
      </c>
      <c r="M213" s="168">
        <f t="shared" si="35"/>
        <v>0</v>
      </c>
      <c r="N213" s="168" t="s">
        <v>1305</v>
      </c>
      <c r="P213" s="168">
        <f t="shared" si="36"/>
        <v>0</v>
      </c>
      <c r="Q213" s="168" t="s">
        <v>1305</v>
      </c>
      <c r="S213" s="168">
        <f t="shared" si="37"/>
        <v>0</v>
      </c>
      <c r="T213" s="168" t="s">
        <v>1305</v>
      </c>
      <c r="V213" s="168">
        <f t="shared" si="38"/>
        <v>0</v>
      </c>
    </row>
    <row r="214" spans="1:22" s="168" customFormat="1" ht="15.75">
      <c r="A214" s="155"/>
      <c r="B214" s="166" t="s">
        <v>747</v>
      </c>
      <c r="C214" s="167">
        <f t="shared" si="33"/>
        <v>0</v>
      </c>
      <c r="D214" s="133"/>
      <c r="E214" s="168" t="s">
        <v>1305</v>
      </c>
      <c r="G214" s="168">
        <f t="shared" si="40"/>
        <v>0</v>
      </c>
      <c r="H214" s="168" t="s">
        <v>1305</v>
      </c>
      <c r="J214" s="168">
        <f t="shared" si="34"/>
        <v>0</v>
      </c>
      <c r="K214" s="168" t="s">
        <v>1305</v>
      </c>
      <c r="M214" s="168">
        <f t="shared" si="35"/>
        <v>0</v>
      </c>
      <c r="N214" s="168" t="s">
        <v>1305</v>
      </c>
      <c r="P214" s="168">
        <f t="shared" si="36"/>
        <v>0</v>
      </c>
      <c r="Q214" s="168" t="s">
        <v>1305</v>
      </c>
      <c r="S214" s="168">
        <f t="shared" si="37"/>
        <v>0</v>
      </c>
      <c r="T214" s="168" t="s">
        <v>1305</v>
      </c>
      <c r="V214" s="168">
        <f t="shared" si="38"/>
        <v>0</v>
      </c>
    </row>
    <row r="215" spans="1:22" s="168" customFormat="1" ht="15.75">
      <c r="A215" s="155"/>
      <c r="B215" s="166" t="s">
        <v>748</v>
      </c>
      <c r="C215" s="167">
        <f t="shared" si="33"/>
        <v>0</v>
      </c>
      <c r="D215" s="133"/>
      <c r="E215" s="168" t="s">
        <v>1305</v>
      </c>
      <c r="G215" s="168">
        <f t="shared" si="40"/>
        <v>0</v>
      </c>
      <c r="H215" s="168" t="s">
        <v>1305</v>
      </c>
      <c r="J215" s="168">
        <f t="shared" si="34"/>
        <v>0</v>
      </c>
      <c r="K215" s="168" t="s">
        <v>1305</v>
      </c>
      <c r="M215" s="168">
        <f t="shared" si="35"/>
        <v>0</v>
      </c>
      <c r="N215" s="168" t="s">
        <v>1305</v>
      </c>
      <c r="P215" s="168">
        <f t="shared" si="36"/>
        <v>0</v>
      </c>
      <c r="Q215" s="168" t="s">
        <v>1305</v>
      </c>
      <c r="S215" s="168">
        <f t="shared" si="37"/>
        <v>0</v>
      </c>
      <c r="T215" s="168" t="s">
        <v>1305</v>
      </c>
      <c r="V215" s="168">
        <f t="shared" si="38"/>
        <v>0</v>
      </c>
    </row>
    <row r="216" spans="1:22" ht="15.75">
      <c r="A216" s="155" t="s">
        <v>595</v>
      </c>
      <c r="B216" s="125" t="s">
        <v>749</v>
      </c>
      <c r="C216" s="130">
        <f t="shared" si="33"/>
        <v>39</v>
      </c>
      <c r="E216" s="127" t="s">
        <v>896</v>
      </c>
      <c r="F216">
        <v>6</v>
      </c>
      <c r="G216" s="127">
        <f t="shared" si="40"/>
        <v>4</v>
      </c>
      <c r="H216" s="127" t="s">
        <v>1147</v>
      </c>
      <c r="I216" s="127">
        <v>1</v>
      </c>
      <c r="J216" s="127">
        <f t="shared" si="34"/>
        <v>7</v>
      </c>
      <c r="K216" s="127" t="s">
        <v>1219</v>
      </c>
      <c r="L216" s="127">
        <v>1</v>
      </c>
      <c r="M216" s="127">
        <f t="shared" si="35"/>
        <v>8</v>
      </c>
      <c r="N216" s="127" t="s">
        <v>1305</v>
      </c>
      <c r="P216" s="127">
        <f t="shared" si="36"/>
        <v>0</v>
      </c>
      <c r="Q216" s="127" t="s">
        <v>1305</v>
      </c>
      <c r="S216" s="127">
        <f t="shared" si="37"/>
        <v>0</v>
      </c>
      <c r="T216" s="127" t="s">
        <v>1305</v>
      </c>
      <c r="V216" s="127">
        <f t="shared" si="38"/>
        <v>0</v>
      </c>
    </row>
    <row r="217" spans="1:22" s="138" customFormat="1" ht="15.75">
      <c r="A217" s="138" t="s">
        <v>1337</v>
      </c>
      <c r="B217" s="136" t="s">
        <v>750</v>
      </c>
      <c r="C217" s="137">
        <f>'ECONOMIA &amp; PROFESIONES'!B20</f>
        <v>16</v>
      </c>
      <c r="D217" s="133"/>
      <c r="E217" s="138" t="s">
        <v>1305</v>
      </c>
      <c r="G217" s="138">
        <f t="shared" si="40"/>
        <v>0</v>
      </c>
      <c r="H217" s="138" t="s">
        <v>1305</v>
      </c>
      <c r="J217" s="138">
        <f t="shared" si="34"/>
        <v>0</v>
      </c>
      <c r="K217" s="138" t="s">
        <v>1305</v>
      </c>
      <c r="M217" s="138">
        <f t="shared" si="35"/>
        <v>0</v>
      </c>
      <c r="N217" s="138" t="s">
        <v>1305</v>
      </c>
      <c r="P217" s="138">
        <f t="shared" si="36"/>
        <v>0</v>
      </c>
      <c r="Q217" s="138" t="s">
        <v>1305</v>
      </c>
      <c r="S217" s="138">
        <f t="shared" si="37"/>
        <v>0</v>
      </c>
      <c r="T217" s="138" t="s">
        <v>1305</v>
      </c>
      <c r="V217" s="138">
        <f t="shared" si="38"/>
        <v>0</v>
      </c>
    </row>
    <row r="218" spans="1:22" ht="15.75">
      <c r="A218" s="155" t="s">
        <v>1343</v>
      </c>
      <c r="B218" s="125" t="s">
        <v>751</v>
      </c>
      <c r="C218" s="130">
        <f t="shared" si="33"/>
        <v>100</v>
      </c>
      <c r="E218" s="127" t="s">
        <v>750</v>
      </c>
      <c r="F218">
        <v>6</v>
      </c>
      <c r="G218" s="127">
        <f t="shared" si="40"/>
        <v>16</v>
      </c>
      <c r="H218" s="127" t="s">
        <v>1208</v>
      </c>
      <c r="I218" s="127">
        <v>2</v>
      </c>
      <c r="J218" s="127">
        <f t="shared" si="34"/>
        <v>2</v>
      </c>
      <c r="K218" s="127" t="s">
        <v>1305</v>
      </c>
      <c r="M218" s="127">
        <f t="shared" si="35"/>
        <v>0</v>
      </c>
      <c r="N218" s="127" t="s">
        <v>1305</v>
      </c>
      <c r="P218" s="127">
        <f t="shared" si="36"/>
        <v>0</v>
      </c>
      <c r="Q218" s="127" t="s">
        <v>1305</v>
      </c>
      <c r="S218" s="127">
        <f t="shared" si="37"/>
        <v>0</v>
      </c>
      <c r="T218" s="127" t="s">
        <v>1305</v>
      </c>
      <c r="V218" s="127">
        <f t="shared" si="38"/>
        <v>0</v>
      </c>
    </row>
    <row r="219" spans="1:22" ht="15.75">
      <c r="A219" s="155" t="s">
        <v>1343</v>
      </c>
      <c r="B219" s="125" t="s">
        <v>752</v>
      </c>
      <c r="C219" s="130">
        <f t="shared" si="33"/>
        <v>144</v>
      </c>
      <c r="E219" s="127" t="s">
        <v>750</v>
      </c>
      <c r="F219">
        <v>9</v>
      </c>
      <c r="G219" s="127">
        <f t="shared" si="40"/>
        <v>16</v>
      </c>
      <c r="H219" s="127" t="s">
        <v>1305</v>
      </c>
      <c r="J219" s="127">
        <f t="shared" si="34"/>
        <v>0</v>
      </c>
      <c r="K219" s="127" t="s">
        <v>1305</v>
      </c>
      <c r="M219" s="127">
        <f t="shared" si="35"/>
        <v>0</v>
      </c>
      <c r="N219" s="127" t="s">
        <v>1305</v>
      </c>
      <c r="P219" s="127">
        <f t="shared" si="36"/>
        <v>0</v>
      </c>
      <c r="Q219" s="127" t="s">
        <v>1305</v>
      </c>
      <c r="S219" s="127">
        <f t="shared" si="37"/>
        <v>0</v>
      </c>
      <c r="T219" s="127" t="s">
        <v>1305</v>
      </c>
      <c r="V219" s="127">
        <f t="shared" si="38"/>
        <v>0</v>
      </c>
    </row>
    <row r="220" spans="1:22" ht="15.75">
      <c r="A220" s="155" t="s">
        <v>1344</v>
      </c>
      <c r="B220" s="125" t="s">
        <v>753</v>
      </c>
      <c r="C220" s="130">
        <f t="shared" si="33"/>
        <v>64</v>
      </c>
      <c r="E220" s="127" t="s">
        <v>750</v>
      </c>
      <c r="F220">
        <v>4</v>
      </c>
      <c r="G220" s="127">
        <f t="shared" si="40"/>
        <v>16</v>
      </c>
      <c r="H220" s="127" t="s">
        <v>1305</v>
      </c>
      <c r="J220" s="127">
        <f t="shared" si="34"/>
        <v>0</v>
      </c>
      <c r="K220" s="127" t="s">
        <v>1305</v>
      </c>
      <c r="M220" s="127">
        <f t="shared" si="35"/>
        <v>0</v>
      </c>
      <c r="N220" s="127" t="s">
        <v>1305</v>
      </c>
      <c r="P220" s="127">
        <f t="shared" si="36"/>
        <v>0</v>
      </c>
      <c r="Q220" s="127" t="s">
        <v>1305</v>
      </c>
      <c r="S220" s="127">
        <f t="shared" si="37"/>
        <v>0</v>
      </c>
      <c r="T220" s="127" t="s">
        <v>1305</v>
      </c>
      <c r="V220" s="127">
        <f t="shared" si="38"/>
        <v>0</v>
      </c>
    </row>
    <row r="221" spans="1:22" ht="15.75">
      <c r="A221" s="155" t="s">
        <v>1344</v>
      </c>
      <c r="B221" s="125" t="s">
        <v>754</v>
      </c>
      <c r="C221" s="130">
        <f t="shared" si="33"/>
        <v>128</v>
      </c>
      <c r="E221" s="127" t="s">
        <v>750</v>
      </c>
      <c r="F221">
        <v>8</v>
      </c>
      <c r="G221" s="127">
        <f t="shared" si="40"/>
        <v>16</v>
      </c>
      <c r="H221" s="127" t="s">
        <v>1305</v>
      </c>
      <c r="J221" s="127">
        <f t="shared" si="34"/>
        <v>0</v>
      </c>
      <c r="K221" s="127" t="s">
        <v>1305</v>
      </c>
      <c r="M221" s="127">
        <f t="shared" si="35"/>
        <v>0</v>
      </c>
      <c r="N221" s="127" t="s">
        <v>1305</v>
      </c>
      <c r="P221" s="127">
        <f t="shared" si="36"/>
        <v>0</v>
      </c>
      <c r="Q221" s="127" t="s">
        <v>1305</v>
      </c>
      <c r="S221" s="127">
        <f t="shared" si="37"/>
        <v>0</v>
      </c>
      <c r="T221" s="127" t="s">
        <v>1305</v>
      </c>
      <c r="V221" s="127">
        <f t="shared" si="38"/>
        <v>0</v>
      </c>
    </row>
    <row r="222" spans="1:22" ht="15.75">
      <c r="A222" s="155" t="s">
        <v>1344</v>
      </c>
      <c r="B222" s="125" t="s">
        <v>755</v>
      </c>
      <c r="C222" s="130">
        <f t="shared" si="33"/>
        <v>80</v>
      </c>
      <c r="E222" s="127" t="s">
        <v>750</v>
      </c>
      <c r="F222">
        <v>5</v>
      </c>
      <c r="G222" s="127">
        <f t="shared" si="40"/>
        <v>16</v>
      </c>
      <c r="H222" s="127" t="s">
        <v>1305</v>
      </c>
      <c r="J222" s="127">
        <f t="shared" si="34"/>
        <v>0</v>
      </c>
      <c r="K222" s="127" t="s">
        <v>1305</v>
      </c>
      <c r="M222" s="127">
        <f t="shared" si="35"/>
        <v>0</v>
      </c>
      <c r="N222" s="127" t="s">
        <v>1305</v>
      </c>
      <c r="P222" s="127">
        <f t="shared" si="36"/>
        <v>0</v>
      </c>
      <c r="Q222" s="127" t="s">
        <v>1305</v>
      </c>
      <c r="S222" s="127">
        <f t="shared" si="37"/>
        <v>0</v>
      </c>
      <c r="T222" s="127" t="s">
        <v>1305</v>
      </c>
      <c r="V222" s="127">
        <f t="shared" si="38"/>
        <v>0</v>
      </c>
    </row>
    <row r="223" spans="1:22" ht="15.75">
      <c r="A223" s="155" t="s">
        <v>1343</v>
      </c>
      <c r="B223" s="125" t="s">
        <v>756</v>
      </c>
      <c r="C223" s="130">
        <f t="shared" si="33"/>
        <v>36</v>
      </c>
      <c r="E223" s="127" t="s">
        <v>750</v>
      </c>
      <c r="F223">
        <v>2</v>
      </c>
      <c r="G223" s="127">
        <f t="shared" si="40"/>
        <v>16</v>
      </c>
      <c r="H223" s="127" t="s">
        <v>1208</v>
      </c>
      <c r="I223" s="127">
        <v>2</v>
      </c>
      <c r="J223" s="127">
        <f t="shared" si="34"/>
        <v>2</v>
      </c>
      <c r="K223" s="127" t="s">
        <v>1305</v>
      </c>
      <c r="M223" s="127">
        <f t="shared" si="35"/>
        <v>0</v>
      </c>
      <c r="N223" s="127" t="s">
        <v>1305</v>
      </c>
      <c r="P223" s="127">
        <f t="shared" si="36"/>
        <v>0</v>
      </c>
      <c r="Q223" s="127" t="s">
        <v>1305</v>
      </c>
      <c r="S223" s="127">
        <f t="shared" si="37"/>
        <v>0</v>
      </c>
      <c r="T223" s="127" t="s">
        <v>1305</v>
      </c>
      <c r="V223" s="127">
        <f t="shared" si="38"/>
        <v>0</v>
      </c>
    </row>
    <row r="224" spans="1:22" s="141" customFormat="1" ht="15.75">
      <c r="A224" s="155"/>
      <c r="B224" s="139" t="s">
        <v>757</v>
      </c>
      <c r="C224" s="140">
        <f t="shared" si="33"/>
        <v>0</v>
      </c>
      <c r="D224" s="133"/>
      <c r="E224" s="141" t="s">
        <v>1305</v>
      </c>
      <c r="G224" s="141">
        <f t="shared" si="40"/>
        <v>0</v>
      </c>
      <c r="H224" s="141" t="s">
        <v>1305</v>
      </c>
      <c r="J224" s="141">
        <f t="shared" si="34"/>
        <v>0</v>
      </c>
      <c r="K224" s="141" t="s">
        <v>1305</v>
      </c>
      <c r="M224" s="141">
        <f t="shared" si="35"/>
        <v>0</v>
      </c>
      <c r="N224" s="141" t="s">
        <v>1305</v>
      </c>
      <c r="P224" s="141">
        <f t="shared" si="36"/>
        <v>0</v>
      </c>
      <c r="Q224" s="141" t="s">
        <v>1305</v>
      </c>
      <c r="S224" s="141">
        <f t="shared" si="37"/>
        <v>0</v>
      </c>
      <c r="T224" s="141" t="s">
        <v>1305</v>
      </c>
      <c r="V224" s="141">
        <f t="shared" si="38"/>
        <v>0</v>
      </c>
    </row>
    <row r="225" spans="1:22" ht="15.75">
      <c r="A225" s="155" t="s">
        <v>1344</v>
      </c>
      <c r="B225" s="125" t="s">
        <v>758</v>
      </c>
      <c r="C225" s="130">
        <f t="shared" si="33"/>
        <v>112</v>
      </c>
      <c r="E225" s="127" t="s">
        <v>750</v>
      </c>
      <c r="F225">
        <v>7</v>
      </c>
      <c r="G225" s="127">
        <f t="shared" si="40"/>
        <v>16</v>
      </c>
      <c r="H225" s="127" t="s">
        <v>1305</v>
      </c>
      <c r="J225" s="127">
        <f t="shared" si="34"/>
        <v>0</v>
      </c>
      <c r="K225" s="127" t="s">
        <v>1305</v>
      </c>
      <c r="M225" s="127">
        <f t="shared" si="35"/>
        <v>0</v>
      </c>
      <c r="N225" s="127" t="s">
        <v>1305</v>
      </c>
      <c r="P225" s="127">
        <f t="shared" si="36"/>
        <v>0</v>
      </c>
      <c r="Q225" s="127" t="s">
        <v>1305</v>
      </c>
      <c r="S225" s="127">
        <f t="shared" si="37"/>
        <v>0</v>
      </c>
      <c r="T225" s="127" t="s">
        <v>1305</v>
      </c>
      <c r="V225" s="127">
        <f t="shared" si="38"/>
        <v>0</v>
      </c>
    </row>
    <row r="226" spans="1:22" s="138" customFormat="1" ht="15.75">
      <c r="A226" s="138" t="s">
        <v>1337</v>
      </c>
      <c r="B226" s="136" t="s">
        <v>759</v>
      </c>
      <c r="C226" s="137">
        <f>'ECONOMIA &amp; PROFESIONES'!B20</f>
        <v>16</v>
      </c>
      <c r="D226" s="133"/>
      <c r="E226" s="138" t="s">
        <v>1305</v>
      </c>
      <c r="G226" s="138">
        <f t="shared" si="40"/>
        <v>0</v>
      </c>
      <c r="H226" s="138" t="s">
        <v>1305</v>
      </c>
      <c r="J226" s="138">
        <f t="shared" si="34"/>
        <v>0</v>
      </c>
      <c r="K226" s="138" t="s">
        <v>1305</v>
      </c>
      <c r="M226" s="138">
        <f t="shared" si="35"/>
        <v>0</v>
      </c>
      <c r="N226" s="138" t="s">
        <v>1305</v>
      </c>
      <c r="P226" s="138">
        <f t="shared" si="36"/>
        <v>0</v>
      </c>
      <c r="Q226" s="138" t="s">
        <v>1305</v>
      </c>
      <c r="S226" s="138">
        <f t="shared" si="37"/>
        <v>0</v>
      </c>
      <c r="T226" s="138" t="s">
        <v>1305</v>
      </c>
      <c r="V226" s="138">
        <f t="shared" si="38"/>
        <v>0</v>
      </c>
    </row>
    <row r="227" spans="1:22" ht="15.75">
      <c r="A227" s="155" t="s">
        <v>1343</v>
      </c>
      <c r="B227" s="125" t="s">
        <v>760</v>
      </c>
      <c r="C227" s="130">
        <f t="shared" si="33"/>
        <v>52</v>
      </c>
      <c r="E227" s="127" t="s">
        <v>750</v>
      </c>
      <c r="F227">
        <v>3</v>
      </c>
      <c r="G227" s="127">
        <f t="shared" si="40"/>
        <v>16</v>
      </c>
      <c r="H227" s="127" t="s">
        <v>1208</v>
      </c>
      <c r="I227" s="127">
        <v>2</v>
      </c>
      <c r="J227" s="127">
        <f t="shared" si="34"/>
        <v>2</v>
      </c>
      <c r="K227" s="127" t="s">
        <v>1305</v>
      </c>
      <c r="M227" s="127">
        <f t="shared" si="35"/>
        <v>0</v>
      </c>
      <c r="N227" s="127" t="s">
        <v>1305</v>
      </c>
      <c r="P227" s="127">
        <f t="shared" si="36"/>
        <v>0</v>
      </c>
      <c r="Q227" s="127" t="s">
        <v>1305</v>
      </c>
      <c r="S227" s="127">
        <f t="shared" si="37"/>
        <v>0</v>
      </c>
      <c r="T227" s="127" t="s">
        <v>1305</v>
      </c>
      <c r="V227" s="127">
        <f t="shared" si="38"/>
        <v>0</v>
      </c>
    </row>
    <row r="228" spans="1:22" ht="15.75">
      <c r="A228" s="155" t="s">
        <v>1343</v>
      </c>
      <c r="B228" s="125" t="s">
        <v>761</v>
      </c>
      <c r="C228" s="130">
        <f t="shared" si="33"/>
        <v>20</v>
      </c>
      <c r="E228" s="127" t="s">
        <v>750</v>
      </c>
      <c r="F228">
        <v>1</v>
      </c>
      <c r="G228" s="127">
        <f t="shared" si="40"/>
        <v>16</v>
      </c>
      <c r="H228" s="127" t="s">
        <v>1208</v>
      </c>
      <c r="I228" s="127">
        <v>2</v>
      </c>
      <c r="J228" s="127">
        <f t="shared" si="34"/>
        <v>2</v>
      </c>
      <c r="K228" s="127" t="s">
        <v>1305</v>
      </c>
      <c r="M228" s="127">
        <f t="shared" si="35"/>
        <v>0</v>
      </c>
      <c r="N228" s="127" t="s">
        <v>1305</v>
      </c>
      <c r="P228" s="127">
        <f t="shared" si="36"/>
        <v>0</v>
      </c>
      <c r="Q228" s="127" t="s">
        <v>1305</v>
      </c>
      <c r="S228" s="127">
        <f t="shared" si="37"/>
        <v>0</v>
      </c>
      <c r="T228" s="127" t="s">
        <v>1305</v>
      </c>
      <c r="V228" s="127">
        <f t="shared" si="38"/>
        <v>0</v>
      </c>
    </row>
    <row r="229" spans="1:22" ht="15.75">
      <c r="A229" s="155" t="s">
        <v>1344</v>
      </c>
      <c r="B229" s="125" t="s">
        <v>762</v>
      </c>
      <c r="C229" s="130">
        <f t="shared" si="33"/>
        <v>34</v>
      </c>
      <c r="E229" s="127" t="s">
        <v>750</v>
      </c>
      <c r="F229">
        <v>2</v>
      </c>
      <c r="G229" s="127">
        <f t="shared" si="40"/>
        <v>16</v>
      </c>
      <c r="H229" s="127" t="s">
        <v>1208</v>
      </c>
      <c r="I229" s="127">
        <v>1</v>
      </c>
      <c r="J229" s="127">
        <f t="shared" si="34"/>
        <v>2</v>
      </c>
      <c r="K229" s="127" t="s">
        <v>1305</v>
      </c>
      <c r="M229" s="127">
        <f t="shared" si="35"/>
        <v>0</v>
      </c>
      <c r="N229" s="127" t="s">
        <v>1305</v>
      </c>
      <c r="P229" s="127">
        <f t="shared" si="36"/>
        <v>0</v>
      </c>
      <c r="Q229" s="127" t="s">
        <v>1305</v>
      </c>
      <c r="S229" s="127">
        <f t="shared" si="37"/>
        <v>0</v>
      </c>
      <c r="T229" s="127" t="s">
        <v>1305</v>
      </c>
      <c r="V229" s="127">
        <f t="shared" si="38"/>
        <v>0</v>
      </c>
    </row>
    <row r="230" spans="1:22" s="138" customFormat="1" ht="15.75">
      <c r="A230" s="138" t="s">
        <v>1339</v>
      </c>
      <c r="B230" s="136" t="s">
        <v>763</v>
      </c>
      <c r="C230" s="137">
        <f>'ECONOMIA &amp; PROFESIONES'!K35</f>
        <v>1.8</v>
      </c>
      <c r="D230" s="133"/>
      <c r="E230" s="138" t="s">
        <v>1305</v>
      </c>
      <c r="G230" s="138">
        <f t="shared" si="40"/>
        <v>0</v>
      </c>
      <c r="H230" s="138" t="s">
        <v>1305</v>
      </c>
      <c r="J230" s="138">
        <f t="shared" si="34"/>
        <v>0</v>
      </c>
      <c r="K230" s="138" t="s">
        <v>1305</v>
      </c>
      <c r="M230" s="138">
        <f t="shared" si="35"/>
        <v>0</v>
      </c>
      <c r="N230" s="138" t="s">
        <v>1305</v>
      </c>
      <c r="P230" s="138">
        <f t="shared" si="36"/>
        <v>0</v>
      </c>
      <c r="Q230" s="138" t="s">
        <v>1305</v>
      </c>
      <c r="S230" s="138">
        <f t="shared" si="37"/>
        <v>0</v>
      </c>
      <c r="T230" s="138" t="s">
        <v>1305</v>
      </c>
      <c r="V230" s="138">
        <f t="shared" si="38"/>
        <v>0</v>
      </c>
    </row>
    <row r="231" spans="1:22" ht="15.75">
      <c r="A231" s="155" t="s">
        <v>1346</v>
      </c>
      <c r="B231" s="125" t="s">
        <v>764</v>
      </c>
      <c r="C231" s="130">
        <f t="shared" si="33"/>
        <v>5.4</v>
      </c>
      <c r="E231" s="127" t="s">
        <v>763</v>
      </c>
      <c r="F231">
        <v>3</v>
      </c>
      <c r="G231" s="127">
        <f t="shared" si="40"/>
        <v>1.8</v>
      </c>
      <c r="H231" s="127" t="s">
        <v>1305</v>
      </c>
      <c r="J231" s="127">
        <f t="shared" si="34"/>
        <v>0</v>
      </c>
      <c r="K231" s="127" t="s">
        <v>1305</v>
      </c>
      <c r="M231" s="127">
        <f t="shared" si="35"/>
        <v>0</v>
      </c>
      <c r="N231" s="127" t="s">
        <v>1305</v>
      </c>
      <c r="P231" s="127">
        <f t="shared" si="36"/>
        <v>0</v>
      </c>
      <c r="Q231" s="127" t="s">
        <v>1305</v>
      </c>
      <c r="S231" s="127">
        <f t="shared" si="37"/>
        <v>0</v>
      </c>
      <c r="T231" s="127" t="s">
        <v>1305</v>
      </c>
      <c r="V231" s="127">
        <f t="shared" si="38"/>
        <v>0</v>
      </c>
    </row>
    <row r="232" spans="1:22" ht="15.75">
      <c r="A232" s="155" t="s">
        <v>1346</v>
      </c>
      <c r="B232" s="125" t="s">
        <v>765</v>
      </c>
      <c r="C232" s="130">
        <f t="shared" si="33"/>
        <v>10.8</v>
      </c>
      <c r="E232" s="128" t="s">
        <v>763</v>
      </c>
      <c r="F232">
        <v>6</v>
      </c>
      <c r="G232" s="127">
        <f t="shared" si="40"/>
        <v>1.8</v>
      </c>
      <c r="H232" s="127" t="s">
        <v>1305</v>
      </c>
      <c r="J232" s="127">
        <f t="shared" si="34"/>
        <v>0</v>
      </c>
      <c r="K232" s="127" t="s">
        <v>1305</v>
      </c>
      <c r="M232" s="127">
        <f t="shared" si="35"/>
        <v>0</v>
      </c>
      <c r="N232" s="127" t="s">
        <v>1305</v>
      </c>
      <c r="P232" s="127">
        <f t="shared" si="36"/>
        <v>0</v>
      </c>
      <c r="Q232" s="127" t="s">
        <v>1305</v>
      </c>
      <c r="S232" s="127">
        <f t="shared" si="37"/>
        <v>0</v>
      </c>
      <c r="T232" s="127" t="s">
        <v>1305</v>
      </c>
      <c r="V232" s="127">
        <f t="shared" si="38"/>
        <v>0</v>
      </c>
    </row>
    <row r="233" spans="1:22" ht="15.75">
      <c r="A233" s="155" t="s">
        <v>1346</v>
      </c>
      <c r="B233" s="125" t="s">
        <v>766</v>
      </c>
      <c r="C233" s="130">
        <f t="shared" si="33"/>
        <v>10.8</v>
      </c>
      <c r="E233" s="128" t="s">
        <v>763</v>
      </c>
      <c r="F233">
        <v>6</v>
      </c>
      <c r="G233" s="127">
        <f t="shared" si="40"/>
        <v>1.8</v>
      </c>
      <c r="H233" s="127" t="s">
        <v>1305</v>
      </c>
      <c r="J233" s="127">
        <f t="shared" si="34"/>
        <v>0</v>
      </c>
      <c r="K233" s="127" t="s">
        <v>1305</v>
      </c>
      <c r="M233" s="127">
        <f t="shared" si="35"/>
        <v>0</v>
      </c>
      <c r="N233" s="127" t="s">
        <v>1305</v>
      </c>
      <c r="P233" s="127">
        <f t="shared" si="36"/>
        <v>0</v>
      </c>
      <c r="Q233" s="127" t="s">
        <v>1305</v>
      </c>
      <c r="S233" s="127">
        <f t="shared" si="37"/>
        <v>0</v>
      </c>
      <c r="T233" s="127" t="s">
        <v>1305</v>
      </c>
      <c r="V233" s="127">
        <f t="shared" si="38"/>
        <v>0</v>
      </c>
    </row>
    <row r="234" spans="1:22" s="138" customFormat="1" ht="15.75">
      <c r="A234" s="138" t="s">
        <v>1339</v>
      </c>
      <c r="B234" s="136" t="s">
        <v>767</v>
      </c>
      <c r="C234" s="137">
        <f>'ECONOMIA &amp; PROFESIONES'!K37</f>
        <v>0.5</v>
      </c>
      <c r="D234" s="133"/>
      <c r="E234" s="138" t="s">
        <v>1305</v>
      </c>
      <c r="G234" s="138">
        <f t="shared" si="40"/>
        <v>0</v>
      </c>
      <c r="H234" s="138" t="s">
        <v>1305</v>
      </c>
      <c r="J234" s="138">
        <f t="shared" si="34"/>
        <v>0</v>
      </c>
      <c r="K234" s="138" t="s">
        <v>1305</v>
      </c>
      <c r="M234" s="138">
        <f t="shared" si="35"/>
        <v>0</v>
      </c>
      <c r="N234" s="138" t="s">
        <v>1305</v>
      </c>
      <c r="P234" s="138">
        <f t="shared" si="36"/>
        <v>0</v>
      </c>
      <c r="Q234" s="138" t="s">
        <v>1305</v>
      </c>
      <c r="S234" s="138">
        <f t="shared" si="37"/>
        <v>0</v>
      </c>
      <c r="T234" s="138" t="s">
        <v>1305</v>
      </c>
      <c r="V234" s="138">
        <f t="shared" si="38"/>
        <v>0</v>
      </c>
    </row>
    <row r="235" spans="1:22" ht="15.75">
      <c r="A235" s="155" t="s">
        <v>1353</v>
      </c>
      <c r="B235" s="125" t="s">
        <v>768</v>
      </c>
      <c r="C235" s="130">
        <f t="shared" si="33"/>
        <v>24.5</v>
      </c>
      <c r="E235" s="127" t="s">
        <v>1147</v>
      </c>
      <c r="F235">
        <v>1</v>
      </c>
      <c r="G235" s="127">
        <f t="shared" si="40"/>
        <v>7</v>
      </c>
      <c r="H235" s="127" t="s">
        <v>676</v>
      </c>
      <c r="I235" s="127">
        <v>7</v>
      </c>
      <c r="J235" s="127">
        <f t="shared" si="34"/>
        <v>1</v>
      </c>
      <c r="K235" s="127" t="s">
        <v>617</v>
      </c>
      <c r="L235" s="127">
        <v>1</v>
      </c>
      <c r="M235" s="127">
        <f t="shared" si="35"/>
        <v>10.5</v>
      </c>
      <c r="N235" s="127" t="s">
        <v>1305</v>
      </c>
      <c r="P235" s="127">
        <f t="shared" si="36"/>
        <v>0</v>
      </c>
      <c r="Q235" s="127" t="s">
        <v>1305</v>
      </c>
      <c r="S235" s="127">
        <f t="shared" si="37"/>
        <v>0</v>
      </c>
      <c r="T235" s="127" t="s">
        <v>1305</v>
      </c>
      <c r="V235" s="127">
        <f t="shared" si="38"/>
        <v>0</v>
      </c>
    </row>
    <row r="236" spans="1:22" ht="15.75">
      <c r="A236" s="155" t="s">
        <v>1350</v>
      </c>
      <c r="B236" s="125" t="s">
        <v>769</v>
      </c>
      <c r="C236" s="130">
        <f t="shared" si="33"/>
        <v>29.5</v>
      </c>
      <c r="E236" s="127" t="s">
        <v>815</v>
      </c>
      <c r="F236">
        <v>1</v>
      </c>
      <c r="G236" s="127">
        <f t="shared" si="40"/>
        <v>24</v>
      </c>
      <c r="H236" s="127" t="s">
        <v>1305</v>
      </c>
      <c r="I236" s="127">
        <v>1</v>
      </c>
      <c r="J236" s="127">
        <f>'ECONOMIA &amp; PROFESIONES'!E66</f>
        <v>5.5</v>
      </c>
      <c r="K236" s="127" t="s">
        <v>1305</v>
      </c>
      <c r="M236" s="127">
        <f t="shared" si="35"/>
        <v>0</v>
      </c>
      <c r="N236" s="127" t="s">
        <v>1305</v>
      </c>
      <c r="P236" s="127">
        <f t="shared" si="36"/>
        <v>0</v>
      </c>
      <c r="Q236" s="127" t="s">
        <v>1305</v>
      </c>
      <c r="S236" s="127">
        <f t="shared" si="37"/>
        <v>0</v>
      </c>
      <c r="T236" s="127" t="s">
        <v>1305</v>
      </c>
      <c r="V236" s="127">
        <f t="shared" si="38"/>
        <v>0</v>
      </c>
    </row>
    <row r="237" spans="1:22" s="150" customFormat="1" ht="15.75">
      <c r="A237" s="138" t="s">
        <v>1341</v>
      </c>
      <c r="B237" s="148" t="s">
        <v>770</v>
      </c>
      <c r="C237" s="149">
        <f>'ECONOMIA &amp; PROFESIONES'!E66</f>
        <v>5.5</v>
      </c>
      <c r="E237" s="150" t="s">
        <v>1305</v>
      </c>
      <c r="G237" s="150">
        <f t="shared" si="40"/>
        <v>0</v>
      </c>
      <c r="H237" s="150" t="s">
        <v>1305</v>
      </c>
      <c r="J237" s="150">
        <f t="shared" si="34"/>
        <v>0</v>
      </c>
      <c r="K237" s="150" t="s">
        <v>1305</v>
      </c>
      <c r="M237" s="150">
        <f t="shared" si="35"/>
        <v>0</v>
      </c>
      <c r="N237" s="150" t="s">
        <v>1305</v>
      </c>
      <c r="P237" s="150">
        <f t="shared" si="36"/>
        <v>0</v>
      </c>
      <c r="Q237" s="150" t="s">
        <v>1305</v>
      </c>
      <c r="S237" s="150">
        <f t="shared" si="37"/>
        <v>0</v>
      </c>
      <c r="T237" s="150" t="s">
        <v>1305</v>
      </c>
      <c r="V237" s="150">
        <f t="shared" si="38"/>
        <v>0</v>
      </c>
    </row>
    <row r="238" spans="1:22" s="150" customFormat="1" ht="15.75">
      <c r="A238" s="138" t="s">
        <v>1341</v>
      </c>
      <c r="B238" s="148" t="s">
        <v>771</v>
      </c>
      <c r="C238" s="149">
        <f>'ECONOMIA &amp; PROFESIONES'!E66</f>
        <v>5.5</v>
      </c>
      <c r="E238" s="150" t="s">
        <v>1305</v>
      </c>
      <c r="G238" s="150">
        <f t="shared" si="40"/>
        <v>0</v>
      </c>
      <c r="H238" s="150" t="s">
        <v>1305</v>
      </c>
      <c r="J238" s="150">
        <f t="shared" si="34"/>
        <v>0</v>
      </c>
      <c r="K238" s="150" t="s">
        <v>1305</v>
      </c>
      <c r="M238" s="150">
        <f t="shared" si="35"/>
        <v>0</v>
      </c>
      <c r="N238" s="150" t="s">
        <v>1305</v>
      </c>
      <c r="P238" s="150">
        <f t="shared" si="36"/>
        <v>0</v>
      </c>
      <c r="Q238" s="150" t="s">
        <v>1305</v>
      </c>
      <c r="S238" s="150">
        <f t="shared" si="37"/>
        <v>0</v>
      </c>
      <c r="T238" s="150" t="s">
        <v>1305</v>
      </c>
      <c r="V238" s="150">
        <f t="shared" si="38"/>
        <v>0</v>
      </c>
    </row>
    <row r="239" spans="1:22" ht="15.75">
      <c r="A239" s="155" t="s">
        <v>1348</v>
      </c>
      <c r="B239" s="125" t="s">
        <v>772</v>
      </c>
      <c r="C239" s="130">
        <f t="shared" si="33"/>
        <v>8</v>
      </c>
      <c r="E239" s="127" t="s">
        <v>920</v>
      </c>
      <c r="F239">
        <v>1</v>
      </c>
      <c r="G239" s="127">
        <f t="shared" si="40"/>
        <v>5</v>
      </c>
      <c r="H239" s="127" t="s">
        <v>672</v>
      </c>
      <c r="I239" s="127">
        <v>1</v>
      </c>
      <c r="J239" s="127">
        <f t="shared" si="34"/>
        <v>3</v>
      </c>
      <c r="K239" s="127" t="s">
        <v>1305</v>
      </c>
      <c r="M239" s="127">
        <f t="shared" si="35"/>
        <v>0</v>
      </c>
      <c r="N239" s="127" t="s">
        <v>1305</v>
      </c>
      <c r="P239" s="127">
        <f t="shared" si="36"/>
        <v>0</v>
      </c>
      <c r="Q239" s="127" t="s">
        <v>1305</v>
      </c>
      <c r="S239" s="127">
        <f t="shared" si="37"/>
        <v>0</v>
      </c>
      <c r="T239" s="127" t="s">
        <v>1305</v>
      </c>
      <c r="V239" s="127">
        <f t="shared" si="38"/>
        <v>0</v>
      </c>
    </row>
    <row r="240" spans="1:22" ht="15.75">
      <c r="A240" s="155" t="s">
        <v>1348</v>
      </c>
      <c r="B240" s="125" t="s">
        <v>773</v>
      </c>
      <c r="C240" s="130">
        <f t="shared" si="33"/>
        <v>72</v>
      </c>
      <c r="E240" s="127" t="s">
        <v>772</v>
      </c>
      <c r="F240">
        <v>9</v>
      </c>
      <c r="G240" s="127">
        <f t="shared" si="40"/>
        <v>8</v>
      </c>
      <c r="H240" s="127" t="s">
        <v>1305</v>
      </c>
      <c r="J240" s="127">
        <f t="shared" si="34"/>
        <v>0</v>
      </c>
      <c r="K240" s="127" t="s">
        <v>1305</v>
      </c>
      <c r="M240" s="127">
        <f t="shared" si="35"/>
        <v>0</v>
      </c>
      <c r="N240" s="127" t="s">
        <v>1305</v>
      </c>
      <c r="P240" s="127">
        <f t="shared" si="36"/>
        <v>0</v>
      </c>
      <c r="Q240" s="127" t="s">
        <v>1305</v>
      </c>
      <c r="S240" s="127">
        <f t="shared" si="37"/>
        <v>0</v>
      </c>
      <c r="T240" s="127" t="s">
        <v>1305</v>
      </c>
      <c r="V240" s="127">
        <f t="shared" si="38"/>
        <v>0</v>
      </c>
    </row>
    <row r="241" spans="1:22" ht="15.75">
      <c r="A241" s="155" t="s">
        <v>1353</v>
      </c>
      <c r="B241" s="125" t="s">
        <v>774</v>
      </c>
      <c r="C241" s="130">
        <f t="shared" si="33"/>
        <v>14</v>
      </c>
      <c r="E241" s="127" t="s">
        <v>1147</v>
      </c>
      <c r="F241">
        <v>1</v>
      </c>
      <c r="G241" s="127">
        <f t="shared" si="40"/>
        <v>7</v>
      </c>
      <c r="H241" s="127" t="s">
        <v>676</v>
      </c>
      <c r="I241" s="127">
        <v>7</v>
      </c>
      <c r="J241" s="127">
        <f t="shared" si="34"/>
        <v>1</v>
      </c>
      <c r="K241" s="127" t="s">
        <v>1305</v>
      </c>
      <c r="M241" s="127">
        <f t="shared" si="35"/>
        <v>0</v>
      </c>
      <c r="N241" s="127" t="s">
        <v>1305</v>
      </c>
      <c r="P241" s="127">
        <f t="shared" si="36"/>
        <v>0</v>
      </c>
      <c r="Q241" s="127" t="s">
        <v>1305</v>
      </c>
      <c r="S241" s="127">
        <f t="shared" si="37"/>
        <v>0</v>
      </c>
      <c r="T241" s="127" t="s">
        <v>1305</v>
      </c>
      <c r="V241" s="127">
        <f t="shared" si="38"/>
        <v>0</v>
      </c>
    </row>
    <row r="242" spans="1:22" s="138" customFormat="1" ht="15.75">
      <c r="A242" s="138" t="s">
        <v>1340</v>
      </c>
      <c r="B242" s="136" t="s">
        <v>775</v>
      </c>
      <c r="C242" s="137">
        <f>'ECONOMIA &amp; PROFESIONES'!I55</f>
        <v>0.4</v>
      </c>
      <c r="D242" s="133"/>
      <c r="E242" s="138" t="s">
        <v>1305</v>
      </c>
      <c r="G242" s="138">
        <f t="shared" si="40"/>
        <v>0</v>
      </c>
      <c r="H242" s="138" t="s">
        <v>1305</v>
      </c>
      <c r="J242" s="138">
        <f t="shared" si="34"/>
        <v>0</v>
      </c>
      <c r="K242" s="138" t="s">
        <v>1305</v>
      </c>
      <c r="M242" s="138">
        <f t="shared" si="35"/>
        <v>0</v>
      </c>
      <c r="N242" s="138" t="s">
        <v>1305</v>
      </c>
      <c r="P242" s="138">
        <f t="shared" si="36"/>
        <v>0</v>
      </c>
      <c r="Q242" s="138" t="s">
        <v>1305</v>
      </c>
      <c r="S242" s="138">
        <f t="shared" si="37"/>
        <v>0</v>
      </c>
      <c r="T242" s="138" t="s">
        <v>1305</v>
      </c>
      <c r="V242" s="138">
        <f t="shared" si="38"/>
        <v>0</v>
      </c>
    </row>
    <row r="243" spans="1:22" s="141" customFormat="1" ht="15.75">
      <c r="A243" s="155" t="s">
        <v>1344</v>
      </c>
      <c r="B243" s="139" t="s">
        <v>776</v>
      </c>
      <c r="C243" s="140">
        <f t="shared" si="33"/>
        <v>0</v>
      </c>
      <c r="D243" s="133"/>
      <c r="E243" s="141" t="s">
        <v>1305</v>
      </c>
      <c r="G243" s="141">
        <f t="shared" si="40"/>
        <v>0</v>
      </c>
      <c r="H243" s="141" t="s">
        <v>1305</v>
      </c>
      <c r="J243" s="141">
        <f t="shared" si="34"/>
        <v>0</v>
      </c>
      <c r="K243" s="141" t="s">
        <v>1305</v>
      </c>
      <c r="M243" s="141">
        <f t="shared" si="35"/>
        <v>0</v>
      </c>
      <c r="N243" s="141" t="s">
        <v>1305</v>
      </c>
      <c r="P243" s="141">
        <f t="shared" si="36"/>
        <v>0</v>
      </c>
      <c r="Q243" s="141" t="s">
        <v>1305</v>
      </c>
      <c r="S243" s="141">
        <f t="shared" si="37"/>
        <v>0</v>
      </c>
      <c r="T243" s="141" t="s">
        <v>1305</v>
      </c>
      <c r="V243" s="141">
        <f t="shared" si="38"/>
        <v>0</v>
      </c>
    </row>
    <row r="244" spans="1:22" s="138" customFormat="1" ht="15.75">
      <c r="A244" s="138" t="s">
        <v>1337</v>
      </c>
      <c r="B244" s="136" t="s">
        <v>777</v>
      </c>
      <c r="C244" s="137">
        <f>'ECONOMIA &amp; PROFESIONES'!C42</f>
        <v>9</v>
      </c>
      <c r="D244" s="133"/>
      <c r="E244" s="138" t="s">
        <v>1305</v>
      </c>
      <c r="G244" s="138">
        <f t="shared" si="40"/>
        <v>0</v>
      </c>
      <c r="H244" s="138" t="s">
        <v>1305</v>
      </c>
      <c r="J244" s="138">
        <f t="shared" si="34"/>
        <v>0</v>
      </c>
      <c r="K244" s="138" t="s">
        <v>1305</v>
      </c>
      <c r="M244" s="138">
        <f t="shared" si="35"/>
        <v>0</v>
      </c>
      <c r="N244" s="138" t="s">
        <v>1305</v>
      </c>
      <c r="P244" s="138">
        <f t="shared" si="36"/>
        <v>0</v>
      </c>
      <c r="Q244" s="138" t="s">
        <v>1305</v>
      </c>
      <c r="S244" s="138">
        <f t="shared" si="37"/>
        <v>0</v>
      </c>
      <c r="T244" s="138" t="s">
        <v>1305</v>
      </c>
      <c r="V244" s="138">
        <f t="shared" si="38"/>
        <v>0</v>
      </c>
    </row>
    <row r="245" spans="1:22" ht="15.75">
      <c r="A245" s="155" t="s">
        <v>1346</v>
      </c>
      <c r="B245" s="125" t="s">
        <v>778</v>
      </c>
      <c r="C245" s="130">
        <f t="shared" si="33"/>
        <v>81</v>
      </c>
      <c r="E245" s="127" t="s">
        <v>777</v>
      </c>
      <c r="F245">
        <v>9</v>
      </c>
      <c r="G245" s="127">
        <f t="shared" si="40"/>
        <v>9</v>
      </c>
      <c r="H245" s="127" t="s">
        <v>1305</v>
      </c>
      <c r="J245" s="127">
        <f t="shared" si="34"/>
        <v>0</v>
      </c>
      <c r="K245" s="127" t="s">
        <v>1305</v>
      </c>
      <c r="M245" s="127">
        <f t="shared" si="35"/>
        <v>0</v>
      </c>
      <c r="N245" s="127" t="s">
        <v>1305</v>
      </c>
      <c r="P245" s="127">
        <f t="shared" si="36"/>
        <v>0</v>
      </c>
      <c r="Q245" s="127" t="s">
        <v>1305</v>
      </c>
      <c r="S245" s="127">
        <f t="shared" si="37"/>
        <v>0</v>
      </c>
      <c r="T245" s="127" t="s">
        <v>1305</v>
      </c>
      <c r="V245" s="127">
        <f t="shared" si="38"/>
        <v>0</v>
      </c>
    </row>
    <row r="246" spans="1:22" s="138" customFormat="1" ht="15.75">
      <c r="A246" s="138" t="s">
        <v>1337</v>
      </c>
      <c r="B246" s="136" t="s">
        <v>779</v>
      </c>
      <c r="C246" s="137">
        <f>C244</f>
        <v>9</v>
      </c>
      <c r="D246" s="133"/>
      <c r="E246" s="138" t="s">
        <v>1305</v>
      </c>
      <c r="G246" s="138">
        <f t="shared" si="40"/>
        <v>0</v>
      </c>
      <c r="H246" s="138" t="s">
        <v>1305</v>
      </c>
      <c r="J246" s="138">
        <f t="shared" si="34"/>
        <v>0</v>
      </c>
      <c r="K246" s="138" t="s">
        <v>1305</v>
      </c>
      <c r="M246" s="138">
        <f t="shared" si="35"/>
        <v>0</v>
      </c>
      <c r="N246" s="138" t="s">
        <v>1305</v>
      </c>
      <c r="P246" s="138">
        <f t="shared" si="36"/>
        <v>0</v>
      </c>
      <c r="Q246" s="138" t="s">
        <v>1305</v>
      </c>
      <c r="S246" s="138">
        <f t="shared" si="37"/>
        <v>0</v>
      </c>
      <c r="T246" s="138" t="s">
        <v>1305</v>
      </c>
      <c r="V246" s="138">
        <f t="shared" si="38"/>
        <v>0</v>
      </c>
    </row>
    <row r="247" spans="1:22" ht="15.75">
      <c r="A247" s="155" t="s">
        <v>1352</v>
      </c>
      <c r="B247" s="125" t="s">
        <v>780</v>
      </c>
      <c r="C247" s="130">
        <f t="shared" si="33"/>
        <v>51</v>
      </c>
      <c r="E247" s="127" t="s">
        <v>615</v>
      </c>
      <c r="F247">
        <v>1</v>
      </c>
      <c r="G247" s="127">
        <f t="shared" si="40"/>
        <v>46</v>
      </c>
      <c r="H247" s="127" t="s">
        <v>924</v>
      </c>
      <c r="I247" s="127">
        <v>1</v>
      </c>
      <c r="J247" s="127">
        <f t="shared" si="34"/>
        <v>5</v>
      </c>
      <c r="K247" s="127" t="s">
        <v>1305</v>
      </c>
      <c r="M247" s="127">
        <f t="shared" si="35"/>
        <v>0</v>
      </c>
      <c r="N247" s="127" t="s">
        <v>1305</v>
      </c>
      <c r="P247" s="127">
        <f t="shared" si="36"/>
        <v>0</v>
      </c>
      <c r="Q247" s="127" t="s">
        <v>1305</v>
      </c>
      <c r="S247" s="127">
        <f t="shared" si="37"/>
        <v>0</v>
      </c>
      <c r="T247" s="127" t="s">
        <v>1305</v>
      </c>
      <c r="V247" s="127">
        <f t="shared" si="38"/>
        <v>0</v>
      </c>
    </row>
    <row r="248" spans="1:22" ht="15.75">
      <c r="A248" s="155" t="s">
        <v>1352</v>
      </c>
      <c r="B248" s="125" t="s">
        <v>781</v>
      </c>
      <c r="C248" s="130">
        <f t="shared" si="33"/>
        <v>577</v>
      </c>
      <c r="E248" s="127" t="s">
        <v>556</v>
      </c>
      <c r="F248">
        <v>1</v>
      </c>
      <c r="G248" s="127">
        <f t="shared" si="40"/>
        <v>1</v>
      </c>
      <c r="H248" s="127" t="s">
        <v>821</v>
      </c>
      <c r="I248" s="127">
        <v>8</v>
      </c>
      <c r="J248" s="127">
        <f t="shared" si="34"/>
        <v>72</v>
      </c>
      <c r="K248" s="127" t="s">
        <v>1305</v>
      </c>
      <c r="M248" s="127">
        <f t="shared" si="35"/>
        <v>0</v>
      </c>
      <c r="N248" s="127" t="s">
        <v>1305</v>
      </c>
      <c r="P248" s="127">
        <f t="shared" si="36"/>
        <v>0</v>
      </c>
      <c r="Q248" s="127" t="s">
        <v>1305</v>
      </c>
      <c r="S248" s="127">
        <f t="shared" si="37"/>
        <v>0</v>
      </c>
      <c r="T248" s="127" t="s">
        <v>1305</v>
      </c>
      <c r="V248" s="127">
        <f t="shared" si="38"/>
        <v>0</v>
      </c>
    </row>
    <row r="249" spans="1:22" ht="15.75">
      <c r="A249" s="155" t="s">
        <v>1352</v>
      </c>
      <c r="B249" s="125" t="s">
        <v>782</v>
      </c>
      <c r="C249" s="130">
        <f t="shared" si="33"/>
        <v>122</v>
      </c>
      <c r="E249" s="127" t="s">
        <v>615</v>
      </c>
      <c r="F249">
        <v>1</v>
      </c>
      <c r="G249" s="127">
        <f t="shared" si="40"/>
        <v>46</v>
      </c>
      <c r="H249" s="127" t="s">
        <v>750</v>
      </c>
      <c r="I249" s="127">
        <v>2</v>
      </c>
      <c r="J249" s="127">
        <f t="shared" si="34"/>
        <v>16</v>
      </c>
      <c r="K249" s="127" t="s">
        <v>1034</v>
      </c>
      <c r="L249" s="127">
        <v>4</v>
      </c>
      <c r="M249" s="127">
        <f t="shared" si="35"/>
        <v>11</v>
      </c>
      <c r="N249" s="127" t="s">
        <v>1305</v>
      </c>
      <c r="P249" s="127">
        <f t="shared" si="36"/>
        <v>0</v>
      </c>
      <c r="Q249" s="127" t="s">
        <v>1305</v>
      </c>
      <c r="S249" s="127">
        <f t="shared" si="37"/>
        <v>0</v>
      </c>
      <c r="T249" s="127" t="s">
        <v>1305</v>
      </c>
      <c r="V249" s="127">
        <f t="shared" si="38"/>
        <v>0</v>
      </c>
    </row>
    <row r="250" spans="1:22" ht="15.75">
      <c r="A250" s="155" t="s">
        <v>1350</v>
      </c>
      <c r="B250" s="125" t="s">
        <v>783</v>
      </c>
      <c r="C250" s="130">
        <f t="shared" si="33"/>
        <v>69.5</v>
      </c>
      <c r="E250" s="127" t="s">
        <v>792</v>
      </c>
      <c r="F250">
        <v>1</v>
      </c>
      <c r="G250" s="127">
        <f t="shared" si="40"/>
        <v>9</v>
      </c>
      <c r="H250" s="127" t="s">
        <v>813</v>
      </c>
      <c r="I250" s="127">
        <v>1</v>
      </c>
      <c r="J250" s="127">
        <f t="shared" si="34"/>
        <v>4.5</v>
      </c>
      <c r="K250" s="127" t="s">
        <v>814</v>
      </c>
      <c r="L250" s="127">
        <v>7</v>
      </c>
      <c r="M250" s="127">
        <f t="shared" si="35"/>
        <v>8</v>
      </c>
      <c r="N250" s="127" t="s">
        <v>1305</v>
      </c>
      <c r="P250" s="127">
        <f t="shared" si="36"/>
        <v>0</v>
      </c>
      <c r="Q250" s="127" t="s">
        <v>1305</v>
      </c>
      <c r="S250" s="127">
        <f t="shared" si="37"/>
        <v>0</v>
      </c>
      <c r="T250" s="127" t="s">
        <v>1305</v>
      </c>
      <c r="V250" s="127">
        <f t="shared" si="38"/>
        <v>0</v>
      </c>
    </row>
    <row r="251" spans="1:22" s="141" customFormat="1" ht="15.75">
      <c r="A251" s="155"/>
      <c r="B251" s="139" t="s">
        <v>784</v>
      </c>
      <c r="C251" s="140">
        <f t="shared" si="33"/>
        <v>0</v>
      </c>
      <c r="D251" s="133"/>
      <c r="E251" s="141" t="s">
        <v>1305</v>
      </c>
      <c r="G251" s="141">
        <f t="shared" si="40"/>
        <v>0</v>
      </c>
      <c r="H251" s="141" t="s">
        <v>1305</v>
      </c>
      <c r="J251" s="141">
        <f t="shared" si="34"/>
        <v>0</v>
      </c>
      <c r="K251" s="141" t="s">
        <v>1305</v>
      </c>
      <c r="M251" s="141">
        <f t="shared" si="35"/>
        <v>0</v>
      </c>
      <c r="N251" s="141" t="s">
        <v>1305</v>
      </c>
      <c r="P251" s="141">
        <f t="shared" si="36"/>
        <v>0</v>
      </c>
      <c r="Q251" s="141" t="s">
        <v>1305</v>
      </c>
      <c r="S251" s="141">
        <f t="shared" si="37"/>
        <v>0</v>
      </c>
      <c r="T251" s="141" t="s">
        <v>1305</v>
      </c>
      <c r="V251" s="141">
        <f t="shared" si="38"/>
        <v>0</v>
      </c>
    </row>
    <row r="252" spans="1:22" ht="15.75">
      <c r="A252" s="155" t="s">
        <v>1352</v>
      </c>
      <c r="B252" s="125" t="s">
        <v>785</v>
      </c>
      <c r="C252" s="130">
        <f t="shared" ref="C252:C314" si="41">(G252*F252)+(I252*J252)+(L252*M252)+(O252*P252)+(R252*S252)+(U252*V252)</f>
        <v>15.5</v>
      </c>
      <c r="E252" s="127" t="s">
        <v>597</v>
      </c>
      <c r="F252">
        <v>1</v>
      </c>
      <c r="G252" s="127">
        <f t="shared" si="40"/>
        <v>4.5</v>
      </c>
      <c r="H252" s="144" t="s">
        <v>1080</v>
      </c>
      <c r="I252" s="127">
        <v>1</v>
      </c>
      <c r="J252" s="127">
        <f t="shared" si="34"/>
        <v>11</v>
      </c>
      <c r="K252" s="127" t="s">
        <v>1305</v>
      </c>
      <c r="M252" s="127">
        <f t="shared" si="35"/>
        <v>0</v>
      </c>
      <c r="N252" s="127" t="s">
        <v>1305</v>
      </c>
      <c r="P252" s="127">
        <f t="shared" si="36"/>
        <v>0</v>
      </c>
      <c r="Q252" s="127" t="s">
        <v>1305</v>
      </c>
      <c r="S252" s="127">
        <f t="shared" si="37"/>
        <v>0</v>
      </c>
      <c r="T252" s="127" t="s">
        <v>1305</v>
      </c>
      <c r="V252" s="127">
        <f t="shared" si="38"/>
        <v>0</v>
      </c>
    </row>
    <row r="253" spans="1:22" s="138" customFormat="1" ht="15.75">
      <c r="A253" s="138" t="s">
        <v>1339</v>
      </c>
      <c r="B253" s="136" t="s">
        <v>786</v>
      </c>
      <c r="C253" s="137">
        <f>'ECONOMIA &amp; PROFESIONES'!C45</f>
        <v>11</v>
      </c>
      <c r="D253" s="133"/>
      <c r="E253" s="138" t="s">
        <v>1305</v>
      </c>
      <c r="G253" s="138">
        <f t="shared" si="40"/>
        <v>0</v>
      </c>
      <c r="H253" s="138" t="s">
        <v>1305</v>
      </c>
      <c r="J253" s="138">
        <f t="shared" si="34"/>
        <v>0</v>
      </c>
      <c r="K253" s="138" t="s">
        <v>1305</v>
      </c>
      <c r="M253" s="138">
        <f t="shared" si="35"/>
        <v>0</v>
      </c>
      <c r="N253" s="138" t="s">
        <v>1305</v>
      </c>
      <c r="P253" s="138">
        <f t="shared" si="36"/>
        <v>0</v>
      </c>
      <c r="Q253" s="138" t="s">
        <v>1305</v>
      </c>
      <c r="S253" s="138">
        <f t="shared" si="37"/>
        <v>0</v>
      </c>
      <c r="T253" s="138" t="s">
        <v>1305</v>
      </c>
      <c r="V253" s="138">
        <f t="shared" si="38"/>
        <v>0</v>
      </c>
    </row>
    <row r="254" spans="1:22" ht="15.75">
      <c r="A254" s="155" t="s">
        <v>1346</v>
      </c>
      <c r="B254" s="125" t="s">
        <v>787</v>
      </c>
      <c r="C254" s="130">
        <f t="shared" si="41"/>
        <v>132</v>
      </c>
      <c r="E254" s="127" t="s">
        <v>790</v>
      </c>
      <c r="F254">
        <v>3</v>
      </c>
      <c r="G254" s="127">
        <f t="shared" si="40"/>
        <v>44</v>
      </c>
      <c r="H254" s="127" t="s">
        <v>1305</v>
      </c>
      <c r="J254" s="127">
        <f t="shared" si="34"/>
        <v>0</v>
      </c>
      <c r="K254" s="127" t="s">
        <v>1305</v>
      </c>
      <c r="M254" s="127">
        <f t="shared" si="35"/>
        <v>0</v>
      </c>
      <c r="N254" s="127" t="s">
        <v>1305</v>
      </c>
      <c r="P254" s="127">
        <f t="shared" si="36"/>
        <v>0</v>
      </c>
      <c r="Q254" s="127" t="s">
        <v>1305</v>
      </c>
      <c r="S254" s="127">
        <f t="shared" si="37"/>
        <v>0</v>
      </c>
      <c r="T254" s="127" t="s">
        <v>1305</v>
      </c>
      <c r="V254" s="127">
        <f t="shared" si="38"/>
        <v>0</v>
      </c>
    </row>
    <row r="255" spans="1:22" ht="15.75">
      <c r="A255" s="155" t="s">
        <v>1346</v>
      </c>
      <c r="B255" s="125" t="s">
        <v>788</v>
      </c>
      <c r="C255" s="130">
        <f t="shared" si="41"/>
        <v>264</v>
      </c>
      <c r="E255" s="127" t="s">
        <v>790</v>
      </c>
      <c r="F255">
        <v>6</v>
      </c>
      <c r="G255" s="127">
        <f t="shared" ref="G255:G318" si="42">VLOOKUP(E255,IDPOINTS,2,FALSE)</f>
        <v>44</v>
      </c>
      <c r="H255" s="127" t="s">
        <v>1305</v>
      </c>
      <c r="J255" s="127">
        <f t="shared" ref="J255:J317" si="43">VLOOKUP(H255,IDPOINTS,2,FALSE)</f>
        <v>0</v>
      </c>
      <c r="K255" s="127" t="s">
        <v>1305</v>
      </c>
      <c r="M255" s="127">
        <f t="shared" ref="M255:M317" si="44">VLOOKUP(K255,IDPOINTS,2,FALSE)</f>
        <v>0</v>
      </c>
      <c r="N255" s="127" t="s">
        <v>1305</v>
      </c>
      <c r="P255" s="127">
        <f t="shared" ref="P255:P317" si="45">VLOOKUP(N255,IDPOINTS,2,FALSE)</f>
        <v>0</v>
      </c>
      <c r="Q255" s="127" t="s">
        <v>1305</v>
      </c>
      <c r="S255" s="127">
        <f t="shared" ref="S255:S317" si="46">VLOOKUP(Q255,IDPOINTS,2,FALSE)</f>
        <v>0</v>
      </c>
      <c r="T255" s="127" t="s">
        <v>1305</v>
      </c>
      <c r="V255" s="127">
        <f t="shared" ref="V255:V317" si="47">VLOOKUP(T255,IDPOINTS,2,FALSE)</f>
        <v>0</v>
      </c>
    </row>
    <row r="256" spans="1:22" ht="15.75">
      <c r="A256" s="155" t="s">
        <v>1346</v>
      </c>
      <c r="B256" s="125" t="s">
        <v>789</v>
      </c>
      <c r="C256" s="130">
        <f t="shared" si="41"/>
        <v>264</v>
      </c>
      <c r="E256" s="127" t="s">
        <v>790</v>
      </c>
      <c r="F256">
        <v>6</v>
      </c>
      <c r="G256" s="127">
        <f t="shared" si="42"/>
        <v>44</v>
      </c>
      <c r="H256" s="127" t="s">
        <v>1305</v>
      </c>
      <c r="J256" s="127">
        <f t="shared" si="43"/>
        <v>0</v>
      </c>
      <c r="K256" s="127" t="s">
        <v>1305</v>
      </c>
      <c r="M256" s="127">
        <f t="shared" si="44"/>
        <v>0</v>
      </c>
      <c r="N256" s="127" t="s">
        <v>1305</v>
      </c>
      <c r="P256" s="127">
        <f t="shared" si="45"/>
        <v>0</v>
      </c>
      <c r="Q256" s="127" t="s">
        <v>1305</v>
      </c>
      <c r="S256" s="127">
        <f t="shared" si="46"/>
        <v>0</v>
      </c>
      <c r="T256" s="127" t="s">
        <v>1305</v>
      </c>
      <c r="V256" s="127">
        <f t="shared" si="47"/>
        <v>0</v>
      </c>
    </row>
    <row r="257" spans="1:22" ht="15.75">
      <c r="A257" s="155" t="s">
        <v>1346</v>
      </c>
      <c r="B257" s="125" t="s">
        <v>790</v>
      </c>
      <c r="C257" s="130">
        <f t="shared" si="41"/>
        <v>44</v>
      </c>
      <c r="E257" s="127" t="s">
        <v>786</v>
      </c>
      <c r="F257">
        <v>4</v>
      </c>
      <c r="G257" s="127">
        <f t="shared" si="42"/>
        <v>11</v>
      </c>
      <c r="H257" s="127" t="s">
        <v>1305</v>
      </c>
      <c r="J257" s="127">
        <f t="shared" si="43"/>
        <v>0</v>
      </c>
      <c r="K257" s="127" t="s">
        <v>1305</v>
      </c>
      <c r="M257" s="127">
        <f t="shared" si="44"/>
        <v>0</v>
      </c>
      <c r="N257" s="127" t="s">
        <v>1305</v>
      </c>
      <c r="P257" s="127">
        <f t="shared" si="45"/>
        <v>0</v>
      </c>
      <c r="Q257" s="127" t="s">
        <v>1305</v>
      </c>
      <c r="S257" s="127">
        <f t="shared" si="46"/>
        <v>0</v>
      </c>
      <c r="T257" s="127" t="s">
        <v>1305</v>
      </c>
      <c r="V257" s="127">
        <f t="shared" si="47"/>
        <v>0</v>
      </c>
    </row>
    <row r="258" spans="1:22" ht="15.75">
      <c r="A258" s="155" t="s">
        <v>1352</v>
      </c>
      <c r="B258" s="125" t="s">
        <v>791</v>
      </c>
      <c r="C258" s="130">
        <f t="shared" si="41"/>
        <v>97</v>
      </c>
      <c r="E258" s="127" t="s">
        <v>792</v>
      </c>
      <c r="F258">
        <v>1</v>
      </c>
      <c r="G258" s="127">
        <f t="shared" si="42"/>
        <v>9</v>
      </c>
      <c r="H258" s="127" t="s">
        <v>1034</v>
      </c>
      <c r="I258" s="127">
        <v>8</v>
      </c>
      <c r="J258" s="127">
        <f t="shared" si="43"/>
        <v>11</v>
      </c>
      <c r="K258" s="127" t="s">
        <v>1305</v>
      </c>
      <c r="M258" s="127">
        <f t="shared" si="44"/>
        <v>0</v>
      </c>
      <c r="N258" s="127" t="s">
        <v>1305</v>
      </c>
      <c r="P258" s="127">
        <f t="shared" si="45"/>
        <v>0</v>
      </c>
      <c r="Q258" s="127" t="s">
        <v>1305</v>
      </c>
      <c r="S258" s="127">
        <f t="shared" si="46"/>
        <v>0</v>
      </c>
      <c r="T258" s="127" t="s">
        <v>1305</v>
      </c>
      <c r="V258" s="127">
        <f t="shared" si="47"/>
        <v>0</v>
      </c>
    </row>
    <row r="259" spans="1:22" s="150" customFormat="1" ht="15.75">
      <c r="A259" s="138" t="s">
        <v>1341</v>
      </c>
      <c r="B259" s="148" t="s">
        <v>792</v>
      </c>
      <c r="C259" s="149">
        <f>'ECONOMIA &amp; PROFESIONES'!E63</f>
        <v>9</v>
      </c>
      <c r="E259" s="150" t="s">
        <v>1305</v>
      </c>
      <c r="G259" s="150">
        <f t="shared" si="42"/>
        <v>0</v>
      </c>
      <c r="H259" s="150" t="s">
        <v>1305</v>
      </c>
      <c r="J259" s="150">
        <f t="shared" si="43"/>
        <v>0</v>
      </c>
      <c r="K259" s="150" t="s">
        <v>1305</v>
      </c>
      <c r="M259" s="150">
        <f t="shared" si="44"/>
        <v>0</v>
      </c>
      <c r="N259" s="150" t="s">
        <v>1305</v>
      </c>
      <c r="P259" s="150">
        <f t="shared" si="45"/>
        <v>0</v>
      </c>
      <c r="Q259" s="150" t="s">
        <v>1305</v>
      </c>
      <c r="S259" s="150">
        <f t="shared" si="46"/>
        <v>0</v>
      </c>
      <c r="T259" s="150" t="s">
        <v>1305</v>
      </c>
      <c r="V259" s="150">
        <f t="shared" si="47"/>
        <v>0</v>
      </c>
    </row>
    <row r="260" spans="1:22" s="150" customFormat="1" ht="15.75">
      <c r="A260" s="138" t="s">
        <v>1341</v>
      </c>
      <c r="B260" s="148" t="s">
        <v>793</v>
      </c>
      <c r="C260" s="149">
        <f>'ECONOMIA &amp; PROFESIONES'!E63</f>
        <v>9</v>
      </c>
      <c r="E260" s="150" t="s">
        <v>1305</v>
      </c>
      <c r="G260" s="150">
        <f t="shared" si="42"/>
        <v>0</v>
      </c>
      <c r="H260" s="150" t="s">
        <v>1305</v>
      </c>
      <c r="J260" s="150">
        <f t="shared" si="43"/>
        <v>0</v>
      </c>
      <c r="K260" s="150" t="s">
        <v>1305</v>
      </c>
      <c r="M260" s="150">
        <f t="shared" si="44"/>
        <v>0</v>
      </c>
      <c r="N260" s="150" t="s">
        <v>1305</v>
      </c>
      <c r="P260" s="150">
        <f t="shared" si="45"/>
        <v>0</v>
      </c>
      <c r="Q260" s="150" t="s">
        <v>1305</v>
      </c>
      <c r="S260" s="150">
        <f t="shared" si="46"/>
        <v>0</v>
      </c>
      <c r="T260" s="150" t="s">
        <v>1305</v>
      </c>
      <c r="V260" s="150">
        <f t="shared" si="47"/>
        <v>0</v>
      </c>
    </row>
    <row r="261" spans="1:22" s="141" customFormat="1" ht="15.75">
      <c r="A261" s="155"/>
      <c r="B261" s="139" t="s">
        <v>794</v>
      </c>
      <c r="C261" s="140">
        <f t="shared" si="41"/>
        <v>0</v>
      </c>
      <c r="D261" s="133"/>
      <c r="E261" s="141" t="s">
        <v>1305</v>
      </c>
      <c r="G261" s="141">
        <f t="shared" si="42"/>
        <v>0</v>
      </c>
      <c r="H261" s="141" t="s">
        <v>1305</v>
      </c>
      <c r="J261" s="141">
        <f t="shared" si="43"/>
        <v>0</v>
      </c>
      <c r="K261" s="141" t="s">
        <v>1305</v>
      </c>
      <c r="M261" s="141">
        <f t="shared" si="44"/>
        <v>0</v>
      </c>
      <c r="N261" s="141" t="s">
        <v>1305</v>
      </c>
      <c r="P261" s="141">
        <f t="shared" si="45"/>
        <v>0</v>
      </c>
      <c r="Q261" s="141" t="s">
        <v>1305</v>
      </c>
      <c r="S261" s="141">
        <f t="shared" si="46"/>
        <v>0</v>
      </c>
      <c r="T261" s="141" t="s">
        <v>1305</v>
      </c>
      <c r="V261" s="141">
        <f t="shared" si="47"/>
        <v>0</v>
      </c>
    </row>
    <row r="262" spans="1:22" s="168" customFormat="1" ht="15.75">
      <c r="A262" s="155"/>
      <c r="B262" s="166" t="s">
        <v>795</v>
      </c>
      <c r="C262" s="167">
        <f t="shared" si="41"/>
        <v>0</v>
      </c>
      <c r="D262" s="133"/>
      <c r="E262" s="168" t="s">
        <v>1305</v>
      </c>
      <c r="G262" s="168">
        <f t="shared" si="42"/>
        <v>0</v>
      </c>
      <c r="H262" s="168" t="s">
        <v>1305</v>
      </c>
      <c r="J262" s="168">
        <f t="shared" si="43"/>
        <v>0</v>
      </c>
      <c r="K262" s="168" t="s">
        <v>1305</v>
      </c>
      <c r="M262" s="168">
        <f t="shared" si="44"/>
        <v>0</v>
      </c>
      <c r="N262" s="168" t="s">
        <v>1305</v>
      </c>
      <c r="P262" s="168">
        <f t="shared" si="45"/>
        <v>0</v>
      </c>
      <c r="Q262" s="168" t="s">
        <v>1305</v>
      </c>
      <c r="S262" s="168">
        <f t="shared" si="46"/>
        <v>0</v>
      </c>
      <c r="T262" s="168" t="s">
        <v>1305</v>
      </c>
      <c r="V262" s="168">
        <f t="shared" si="47"/>
        <v>0</v>
      </c>
    </row>
    <row r="263" spans="1:22" s="150" customFormat="1" ht="15.75">
      <c r="A263" s="138" t="s">
        <v>1341</v>
      </c>
      <c r="B263" s="148" t="s">
        <v>796</v>
      </c>
      <c r="C263" s="149">
        <f>'ECONOMIA &amp; PROFESIONES'!I55</f>
        <v>0.4</v>
      </c>
      <c r="D263" s="133"/>
      <c r="E263" s="150" t="s">
        <v>1305</v>
      </c>
      <c r="G263" s="150">
        <f t="shared" si="42"/>
        <v>0</v>
      </c>
      <c r="H263" s="150" t="s">
        <v>1305</v>
      </c>
      <c r="J263" s="150">
        <f t="shared" si="43"/>
        <v>0</v>
      </c>
      <c r="K263" s="150" t="s">
        <v>1305</v>
      </c>
      <c r="M263" s="150">
        <f t="shared" si="44"/>
        <v>0</v>
      </c>
      <c r="N263" s="150" t="s">
        <v>1305</v>
      </c>
      <c r="P263" s="150">
        <f t="shared" si="45"/>
        <v>0</v>
      </c>
      <c r="Q263" s="150" t="s">
        <v>1305</v>
      </c>
      <c r="S263" s="150">
        <f t="shared" si="46"/>
        <v>0</v>
      </c>
      <c r="T263" s="150" t="s">
        <v>1305</v>
      </c>
      <c r="V263" s="150">
        <f t="shared" si="47"/>
        <v>0</v>
      </c>
    </row>
    <row r="264" spans="1:22" s="150" customFormat="1" ht="15.75">
      <c r="A264" s="138" t="s">
        <v>1341</v>
      </c>
      <c r="B264" s="148" t="s">
        <v>797</v>
      </c>
      <c r="C264" s="149">
        <f>'ECONOMIA &amp; PROFESIONES'!E55</f>
        <v>1.5</v>
      </c>
      <c r="D264" s="133"/>
      <c r="E264" s="150" t="s">
        <v>1305</v>
      </c>
      <c r="G264" s="150">
        <f t="shared" si="42"/>
        <v>0</v>
      </c>
      <c r="H264" s="150" t="s">
        <v>1305</v>
      </c>
      <c r="J264" s="150">
        <f t="shared" si="43"/>
        <v>0</v>
      </c>
      <c r="K264" s="150" t="s">
        <v>1305</v>
      </c>
      <c r="M264" s="150">
        <f t="shared" si="44"/>
        <v>0</v>
      </c>
      <c r="N264" s="150" t="s">
        <v>1305</v>
      </c>
      <c r="P264" s="150">
        <f t="shared" si="45"/>
        <v>0</v>
      </c>
      <c r="Q264" s="150" t="s">
        <v>1305</v>
      </c>
      <c r="S264" s="150">
        <f t="shared" si="46"/>
        <v>0</v>
      </c>
      <c r="T264" s="150" t="s">
        <v>1305</v>
      </c>
      <c r="V264" s="150">
        <f t="shared" si="47"/>
        <v>0</v>
      </c>
    </row>
    <row r="265" spans="1:22" s="13" customFormat="1" ht="15.75">
      <c r="B265" s="145" t="s">
        <v>798</v>
      </c>
      <c r="C265" s="146">
        <v>0.1</v>
      </c>
      <c r="E265" s="13" t="s">
        <v>1305</v>
      </c>
      <c r="G265" s="13">
        <f t="shared" si="42"/>
        <v>0</v>
      </c>
      <c r="H265" s="13" t="s">
        <v>1305</v>
      </c>
      <c r="J265" s="13">
        <f t="shared" si="43"/>
        <v>0</v>
      </c>
      <c r="K265" s="13" t="s">
        <v>1305</v>
      </c>
      <c r="M265" s="13">
        <f t="shared" si="44"/>
        <v>0</v>
      </c>
      <c r="N265" s="13" t="s">
        <v>1305</v>
      </c>
      <c r="P265" s="13">
        <f t="shared" si="45"/>
        <v>0</v>
      </c>
      <c r="Q265" s="13" t="s">
        <v>1305</v>
      </c>
      <c r="S265" s="13">
        <f t="shared" si="46"/>
        <v>0</v>
      </c>
      <c r="T265" s="13" t="s">
        <v>1305</v>
      </c>
      <c r="V265" s="13">
        <f t="shared" si="47"/>
        <v>0</v>
      </c>
    </row>
    <row r="266" spans="1:22" ht="15.75">
      <c r="A266" s="155" t="s">
        <v>1352</v>
      </c>
      <c r="B266" s="125" t="s">
        <v>799</v>
      </c>
      <c r="C266" s="130">
        <f t="shared" si="41"/>
        <v>12.5</v>
      </c>
      <c r="E266" s="127" t="s">
        <v>672</v>
      </c>
      <c r="F266">
        <v>1</v>
      </c>
      <c r="G266" s="127">
        <f t="shared" si="42"/>
        <v>3</v>
      </c>
      <c r="H266" s="127" t="s">
        <v>870</v>
      </c>
      <c r="I266" s="127">
        <v>1</v>
      </c>
      <c r="J266" s="127">
        <f t="shared" si="43"/>
        <v>5</v>
      </c>
      <c r="K266" s="127" t="s">
        <v>596</v>
      </c>
      <c r="L266" s="127">
        <v>1</v>
      </c>
      <c r="M266" s="127">
        <f t="shared" si="44"/>
        <v>4.5</v>
      </c>
      <c r="N266" s="127" t="s">
        <v>1305</v>
      </c>
      <c r="P266" s="127">
        <f t="shared" si="45"/>
        <v>0</v>
      </c>
      <c r="Q266" s="127" t="s">
        <v>1305</v>
      </c>
      <c r="S266" s="127">
        <f t="shared" si="46"/>
        <v>0</v>
      </c>
      <c r="T266" s="127" t="s">
        <v>1305</v>
      </c>
      <c r="V266" s="127">
        <f t="shared" si="47"/>
        <v>0</v>
      </c>
    </row>
    <row r="267" spans="1:22" s="168" customFormat="1" ht="15.75">
      <c r="A267" s="155"/>
      <c r="B267" s="166" t="s">
        <v>800</v>
      </c>
      <c r="C267" s="167">
        <f t="shared" si="41"/>
        <v>0</v>
      </c>
      <c r="D267" s="133"/>
      <c r="E267" s="168" t="s">
        <v>1305</v>
      </c>
      <c r="G267" s="168">
        <f t="shared" si="42"/>
        <v>0</v>
      </c>
      <c r="H267" s="168" t="s">
        <v>1305</v>
      </c>
      <c r="J267" s="168">
        <f t="shared" si="43"/>
        <v>0</v>
      </c>
      <c r="K267" s="168" t="s">
        <v>1305</v>
      </c>
      <c r="M267" s="168">
        <f t="shared" si="44"/>
        <v>0</v>
      </c>
      <c r="N267" s="168" t="s">
        <v>1305</v>
      </c>
      <c r="P267" s="168">
        <f t="shared" si="45"/>
        <v>0</v>
      </c>
      <c r="Q267" s="168" t="s">
        <v>1305</v>
      </c>
      <c r="S267" s="168">
        <f t="shared" si="46"/>
        <v>0</v>
      </c>
      <c r="T267" s="168" t="s">
        <v>1305</v>
      </c>
      <c r="V267" s="168">
        <f t="shared" si="47"/>
        <v>0</v>
      </c>
    </row>
    <row r="268" spans="1:22" s="168" customFormat="1" ht="15.75">
      <c r="A268" s="155"/>
      <c r="B268" s="166" t="s">
        <v>801</v>
      </c>
      <c r="C268" s="167">
        <f t="shared" si="41"/>
        <v>0</v>
      </c>
      <c r="D268" s="133"/>
      <c r="E268" s="168" t="s">
        <v>1305</v>
      </c>
      <c r="G268" s="168">
        <f t="shared" si="42"/>
        <v>0</v>
      </c>
      <c r="H268" s="168" t="s">
        <v>1305</v>
      </c>
      <c r="J268" s="168">
        <f t="shared" si="43"/>
        <v>0</v>
      </c>
      <c r="K268" s="168" t="s">
        <v>1305</v>
      </c>
      <c r="M268" s="168">
        <f t="shared" si="44"/>
        <v>0</v>
      </c>
      <c r="N268" s="168" t="s">
        <v>1305</v>
      </c>
      <c r="P268" s="168">
        <f t="shared" si="45"/>
        <v>0</v>
      </c>
      <c r="Q268" s="168" t="s">
        <v>1305</v>
      </c>
      <c r="S268" s="168">
        <f t="shared" si="46"/>
        <v>0</v>
      </c>
      <c r="T268" s="168" t="s">
        <v>1305</v>
      </c>
      <c r="V268" s="168">
        <f t="shared" si="47"/>
        <v>0</v>
      </c>
    </row>
    <row r="269" spans="1:22" s="168" customFormat="1" ht="15.75">
      <c r="A269" s="155"/>
      <c r="B269" s="166" t="s">
        <v>802</v>
      </c>
      <c r="C269" s="167">
        <f t="shared" si="41"/>
        <v>0</v>
      </c>
      <c r="D269" s="133"/>
      <c r="E269" s="168" t="s">
        <v>1305</v>
      </c>
      <c r="G269" s="168">
        <f t="shared" si="42"/>
        <v>0</v>
      </c>
      <c r="H269" s="168" t="s">
        <v>1305</v>
      </c>
      <c r="J269" s="168">
        <f t="shared" si="43"/>
        <v>0</v>
      </c>
      <c r="K269" s="168" t="s">
        <v>1305</v>
      </c>
      <c r="M269" s="168">
        <f t="shared" si="44"/>
        <v>0</v>
      </c>
      <c r="N269" s="168" t="s">
        <v>1305</v>
      </c>
      <c r="P269" s="168">
        <f t="shared" si="45"/>
        <v>0</v>
      </c>
      <c r="Q269" s="168" t="s">
        <v>1305</v>
      </c>
      <c r="S269" s="168">
        <f t="shared" si="46"/>
        <v>0</v>
      </c>
      <c r="T269" s="168" t="s">
        <v>1305</v>
      </c>
      <c r="V269" s="168">
        <f t="shared" si="47"/>
        <v>0</v>
      </c>
    </row>
    <row r="270" spans="1:22" ht="15.75">
      <c r="A270" s="155" t="s">
        <v>1352</v>
      </c>
      <c r="B270" s="125" t="s">
        <v>803</v>
      </c>
      <c r="C270" s="130">
        <f t="shared" si="41"/>
        <v>20</v>
      </c>
      <c r="E270" s="127" t="s">
        <v>1051</v>
      </c>
      <c r="F270">
        <v>1</v>
      </c>
      <c r="G270" s="127">
        <f t="shared" si="42"/>
        <v>15</v>
      </c>
      <c r="H270" s="127" t="s">
        <v>870</v>
      </c>
      <c r="I270" s="127">
        <v>1</v>
      </c>
      <c r="J270" s="127">
        <f t="shared" si="43"/>
        <v>5</v>
      </c>
      <c r="K270" s="127" t="s">
        <v>1305</v>
      </c>
      <c r="M270" s="127">
        <f t="shared" si="44"/>
        <v>0</v>
      </c>
      <c r="N270" s="127" t="s">
        <v>1305</v>
      </c>
      <c r="P270" s="127">
        <f t="shared" si="45"/>
        <v>0</v>
      </c>
      <c r="Q270" s="127" t="s">
        <v>1305</v>
      </c>
      <c r="S270" s="127">
        <f t="shared" si="46"/>
        <v>0</v>
      </c>
      <c r="T270" s="127" t="s">
        <v>1305</v>
      </c>
      <c r="V270" s="127">
        <f t="shared" si="47"/>
        <v>0</v>
      </c>
    </row>
    <row r="271" spans="1:22" s="141" customFormat="1" ht="15.75">
      <c r="A271" s="155"/>
      <c r="B271" s="139" t="s">
        <v>804</v>
      </c>
      <c r="C271" s="140">
        <f t="shared" si="41"/>
        <v>0</v>
      </c>
      <c r="D271" s="133"/>
      <c r="E271" s="141" t="s">
        <v>1305</v>
      </c>
      <c r="G271" s="141">
        <f t="shared" si="42"/>
        <v>0</v>
      </c>
      <c r="H271" s="141" t="s">
        <v>1305</v>
      </c>
      <c r="J271" s="141">
        <f t="shared" si="43"/>
        <v>0</v>
      </c>
      <c r="K271" s="141" t="s">
        <v>1305</v>
      </c>
      <c r="M271" s="141">
        <f t="shared" si="44"/>
        <v>0</v>
      </c>
      <c r="N271" s="141" t="s">
        <v>1305</v>
      </c>
      <c r="P271" s="141">
        <f t="shared" si="45"/>
        <v>0</v>
      </c>
      <c r="Q271" s="141" t="s">
        <v>1305</v>
      </c>
      <c r="S271" s="141">
        <f t="shared" si="46"/>
        <v>0</v>
      </c>
      <c r="T271" s="141" t="s">
        <v>1305</v>
      </c>
      <c r="V271" s="141">
        <f t="shared" si="47"/>
        <v>0</v>
      </c>
    </row>
    <row r="272" spans="1:22" ht="15.75">
      <c r="A272" s="155" t="s">
        <v>1348</v>
      </c>
      <c r="B272" s="125" t="s">
        <v>805</v>
      </c>
      <c r="C272" s="130">
        <f t="shared" si="41"/>
        <v>9</v>
      </c>
      <c r="E272" s="127" t="s">
        <v>1208</v>
      </c>
      <c r="F272">
        <v>3</v>
      </c>
      <c r="G272" s="127">
        <f t="shared" si="42"/>
        <v>2</v>
      </c>
      <c r="H272" s="127" t="s">
        <v>1224</v>
      </c>
      <c r="I272" s="127">
        <v>2</v>
      </c>
      <c r="J272" s="127">
        <f t="shared" si="43"/>
        <v>1.5</v>
      </c>
      <c r="K272" s="127" t="s">
        <v>1305</v>
      </c>
      <c r="M272" s="127">
        <f t="shared" si="44"/>
        <v>0</v>
      </c>
      <c r="N272" s="127" t="s">
        <v>1305</v>
      </c>
      <c r="P272" s="127">
        <f t="shared" si="45"/>
        <v>0</v>
      </c>
      <c r="Q272" s="127" t="s">
        <v>1305</v>
      </c>
      <c r="S272" s="127">
        <f t="shared" si="46"/>
        <v>0</v>
      </c>
      <c r="T272" s="127" t="s">
        <v>1305</v>
      </c>
      <c r="V272" s="127">
        <f t="shared" si="47"/>
        <v>0</v>
      </c>
    </row>
    <row r="273" spans="1:22" ht="15.75">
      <c r="A273" s="155" t="s">
        <v>1344</v>
      </c>
      <c r="B273" s="125" t="s">
        <v>806</v>
      </c>
      <c r="C273" s="130">
        <f t="shared" si="41"/>
        <v>6</v>
      </c>
      <c r="E273" s="127" t="s">
        <v>1026</v>
      </c>
      <c r="F273">
        <v>4</v>
      </c>
      <c r="G273" s="127">
        <f t="shared" si="42"/>
        <v>1</v>
      </c>
      <c r="H273" s="127" t="s">
        <v>807</v>
      </c>
      <c r="I273" s="127">
        <v>2</v>
      </c>
      <c r="J273" s="127">
        <f t="shared" si="43"/>
        <v>1</v>
      </c>
      <c r="K273" s="127" t="s">
        <v>1305</v>
      </c>
      <c r="M273" s="127">
        <f t="shared" si="44"/>
        <v>0</v>
      </c>
      <c r="N273" s="127" t="s">
        <v>1305</v>
      </c>
      <c r="P273" s="127">
        <f t="shared" si="45"/>
        <v>0</v>
      </c>
      <c r="Q273" s="127" t="s">
        <v>1305</v>
      </c>
      <c r="S273" s="127">
        <f t="shared" si="46"/>
        <v>0</v>
      </c>
      <c r="T273" s="127" t="s">
        <v>1305</v>
      </c>
      <c r="V273" s="127">
        <f t="shared" si="47"/>
        <v>0</v>
      </c>
    </row>
    <row r="274" spans="1:22" ht="15.75">
      <c r="A274" s="155" t="s">
        <v>1346</v>
      </c>
      <c r="B274" s="125" t="s">
        <v>807</v>
      </c>
      <c r="C274" s="130">
        <f>'ECONOMIA &amp; PROFESIONES'!C32</f>
        <v>1</v>
      </c>
      <c r="E274" s="127" t="s">
        <v>1305</v>
      </c>
      <c r="G274" s="127">
        <f t="shared" si="42"/>
        <v>0</v>
      </c>
      <c r="H274" s="127" t="s">
        <v>1305</v>
      </c>
      <c r="J274" s="127">
        <f t="shared" si="43"/>
        <v>0</v>
      </c>
      <c r="K274" s="127" t="s">
        <v>1305</v>
      </c>
      <c r="M274" s="127">
        <f t="shared" si="44"/>
        <v>0</v>
      </c>
      <c r="N274" s="127" t="s">
        <v>1305</v>
      </c>
      <c r="P274" s="127">
        <f t="shared" si="45"/>
        <v>0</v>
      </c>
      <c r="Q274" s="127" t="s">
        <v>1305</v>
      </c>
      <c r="S274" s="127">
        <f t="shared" si="46"/>
        <v>0</v>
      </c>
      <c r="T274" s="127" t="s">
        <v>1305</v>
      </c>
      <c r="V274" s="127">
        <f t="shared" si="47"/>
        <v>0</v>
      </c>
    </row>
    <row r="275" spans="1:22" ht="15.75">
      <c r="A275" s="155" t="s">
        <v>1343</v>
      </c>
      <c r="B275" s="125" t="s">
        <v>808</v>
      </c>
      <c r="C275" s="130">
        <f t="shared" si="41"/>
        <v>5</v>
      </c>
      <c r="E275" s="127" t="s">
        <v>896</v>
      </c>
      <c r="F275">
        <v>1</v>
      </c>
      <c r="G275" s="127">
        <f t="shared" si="42"/>
        <v>4</v>
      </c>
      <c r="H275" s="127" t="s">
        <v>807</v>
      </c>
      <c r="I275" s="127">
        <v>1</v>
      </c>
      <c r="J275" s="127">
        <f t="shared" si="43"/>
        <v>1</v>
      </c>
      <c r="K275" s="127" t="s">
        <v>1305</v>
      </c>
      <c r="M275" s="127">
        <f t="shared" si="44"/>
        <v>0</v>
      </c>
      <c r="N275" s="127" t="s">
        <v>1305</v>
      </c>
      <c r="P275" s="127">
        <f t="shared" si="45"/>
        <v>0</v>
      </c>
      <c r="Q275" s="127" t="s">
        <v>1305</v>
      </c>
      <c r="S275" s="127">
        <f t="shared" si="46"/>
        <v>0</v>
      </c>
      <c r="T275" s="127" t="s">
        <v>1305</v>
      </c>
      <c r="V275" s="127">
        <f t="shared" si="47"/>
        <v>0</v>
      </c>
    </row>
    <row r="276" spans="1:22" ht="15.75">
      <c r="A276" s="155" t="s">
        <v>1351</v>
      </c>
      <c r="B276" s="125" t="s">
        <v>809</v>
      </c>
      <c r="C276" s="130">
        <f t="shared" si="41"/>
        <v>16</v>
      </c>
      <c r="E276" s="127" t="s">
        <v>1051</v>
      </c>
      <c r="F276">
        <v>1</v>
      </c>
      <c r="G276" s="127">
        <f t="shared" si="42"/>
        <v>15</v>
      </c>
      <c r="H276" s="127" t="s">
        <v>1048</v>
      </c>
      <c r="I276" s="127">
        <v>1</v>
      </c>
      <c r="J276" s="127">
        <f t="shared" si="43"/>
        <v>1</v>
      </c>
      <c r="K276" s="127" t="s">
        <v>1305</v>
      </c>
      <c r="M276" s="127">
        <f t="shared" si="44"/>
        <v>0</v>
      </c>
      <c r="N276" s="127" t="s">
        <v>1305</v>
      </c>
      <c r="P276" s="127">
        <f t="shared" si="45"/>
        <v>0</v>
      </c>
      <c r="Q276" s="127" t="s">
        <v>1305</v>
      </c>
      <c r="S276" s="127">
        <f t="shared" si="46"/>
        <v>0</v>
      </c>
      <c r="T276" s="127" t="s">
        <v>1305</v>
      </c>
      <c r="V276" s="127">
        <f t="shared" si="47"/>
        <v>0</v>
      </c>
    </row>
    <row r="277" spans="1:22" ht="15.75">
      <c r="A277" s="155" t="s">
        <v>1346</v>
      </c>
      <c r="B277" s="125" t="s">
        <v>810</v>
      </c>
      <c r="C277" s="130">
        <f t="shared" si="41"/>
        <v>93</v>
      </c>
      <c r="E277" s="127" t="s">
        <v>624</v>
      </c>
      <c r="F277">
        <v>3</v>
      </c>
      <c r="G277" s="127">
        <f t="shared" si="42"/>
        <v>31</v>
      </c>
      <c r="H277" s="127" t="s">
        <v>1305</v>
      </c>
      <c r="J277" s="127">
        <f t="shared" si="43"/>
        <v>0</v>
      </c>
      <c r="K277" s="127" t="s">
        <v>1305</v>
      </c>
      <c r="M277" s="127">
        <f t="shared" si="44"/>
        <v>0</v>
      </c>
      <c r="N277" s="127" t="s">
        <v>1305</v>
      </c>
      <c r="P277" s="127">
        <f t="shared" si="45"/>
        <v>0</v>
      </c>
      <c r="Q277" s="127" t="s">
        <v>1305</v>
      </c>
      <c r="S277" s="127">
        <f t="shared" si="46"/>
        <v>0</v>
      </c>
      <c r="T277" s="127" t="s">
        <v>1305</v>
      </c>
      <c r="V277" s="127">
        <f t="shared" si="47"/>
        <v>0</v>
      </c>
    </row>
    <row r="278" spans="1:22" ht="15.75">
      <c r="A278" s="155" t="s">
        <v>1343</v>
      </c>
      <c r="B278" s="125" t="s">
        <v>811</v>
      </c>
      <c r="C278" s="130">
        <f t="shared" si="41"/>
        <v>8</v>
      </c>
      <c r="E278" s="127" t="s">
        <v>676</v>
      </c>
      <c r="F278">
        <v>8</v>
      </c>
      <c r="G278" s="127">
        <f t="shared" si="42"/>
        <v>1</v>
      </c>
      <c r="H278" s="127" t="s">
        <v>1305</v>
      </c>
      <c r="J278" s="127">
        <f t="shared" si="43"/>
        <v>0</v>
      </c>
      <c r="K278" s="127" t="s">
        <v>1305</v>
      </c>
      <c r="M278" s="127">
        <f t="shared" si="44"/>
        <v>0</v>
      </c>
      <c r="N278" s="127" t="s">
        <v>1305</v>
      </c>
      <c r="P278" s="127">
        <f t="shared" si="45"/>
        <v>0</v>
      </c>
      <c r="Q278" s="127" t="s">
        <v>1305</v>
      </c>
      <c r="S278" s="127">
        <f t="shared" si="46"/>
        <v>0</v>
      </c>
      <c r="T278" s="127" t="s">
        <v>1305</v>
      </c>
      <c r="V278" s="127">
        <f t="shared" si="47"/>
        <v>0</v>
      </c>
    </row>
    <row r="279" spans="1:22" ht="15.75">
      <c r="A279" s="155" t="s">
        <v>595</v>
      </c>
      <c r="B279" s="125" t="s">
        <v>812</v>
      </c>
      <c r="C279" s="130">
        <f t="shared" si="41"/>
        <v>28</v>
      </c>
      <c r="E279" s="127" t="s">
        <v>811</v>
      </c>
      <c r="F279">
        <v>1</v>
      </c>
      <c r="G279" s="127">
        <f t="shared" si="42"/>
        <v>8</v>
      </c>
      <c r="H279" s="127" t="s">
        <v>994</v>
      </c>
      <c r="I279" s="127">
        <v>1</v>
      </c>
      <c r="J279" s="127">
        <f t="shared" si="43"/>
        <v>20</v>
      </c>
      <c r="K279" s="127" t="s">
        <v>1305</v>
      </c>
      <c r="M279" s="127">
        <f t="shared" si="44"/>
        <v>0</v>
      </c>
      <c r="N279" s="127" t="s">
        <v>1305</v>
      </c>
      <c r="P279" s="127">
        <f t="shared" si="45"/>
        <v>0</v>
      </c>
      <c r="Q279" s="127" t="s">
        <v>1305</v>
      </c>
      <c r="S279" s="127">
        <f t="shared" si="46"/>
        <v>0</v>
      </c>
      <c r="T279" s="127" t="s">
        <v>1305</v>
      </c>
      <c r="V279" s="127">
        <f t="shared" si="47"/>
        <v>0</v>
      </c>
    </row>
    <row r="280" spans="1:22" s="150" customFormat="1" ht="15.75">
      <c r="A280" s="138" t="s">
        <v>1341</v>
      </c>
      <c r="B280" s="148" t="s">
        <v>813</v>
      </c>
      <c r="C280" s="149">
        <f>'ECONOMIA &amp; PROFESIONES'!E61</f>
        <v>4.5</v>
      </c>
      <c r="E280" s="150" t="s">
        <v>1305</v>
      </c>
      <c r="G280" s="150">
        <f t="shared" si="42"/>
        <v>0</v>
      </c>
      <c r="H280" s="150" t="s">
        <v>1305</v>
      </c>
      <c r="J280" s="150">
        <f t="shared" si="43"/>
        <v>0</v>
      </c>
      <c r="K280" s="150" t="s">
        <v>1305</v>
      </c>
      <c r="M280" s="150">
        <f t="shared" si="44"/>
        <v>0</v>
      </c>
      <c r="N280" s="150" t="s">
        <v>1305</v>
      </c>
      <c r="P280" s="150">
        <f t="shared" si="45"/>
        <v>0</v>
      </c>
      <c r="Q280" s="150" t="s">
        <v>1305</v>
      </c>
      <c r="S280" s="150">
        <f t="shared" si="46"/>
        <v>0</v>
      </c>
      <c r="T280" s="150" t="s">
        <v>1305</v>
      </c>
      <c r="V280" s="150">
        <f t="shared" si="47"/>
        <v>0</v>
      </c>
    </row>
    <row r="281" spans="1:22" ht="15.75">
      <c r="A281" s="155" t="s">
        <v>1346</v>
      </c>
      <c r="B281" s="125" t="s">
        <v>814</v>
      </c>
      <c r="C281" s="130">
        <f t="shared" si="41"/>
        <v>8</v>
      </c>
      <c r="E281" s="127" t="s">
        <v>1158</v>
      </c>
      <c r="F281">
        <v>1</v>
      </c>
      <c r="G281" s="127">
        <f t="shared" si="42"/>
        <v>5</v>
      </c>
      <c r="H281" s="127" t="s">
        <v>672</v>
      </c>
      <c r="I281" s="127">
        <v>1</v>
      </c>
      <c r="J281" s="127">
        <f t="shared" si="43"/>
        <v>3</v>
      </c>
      <c r="K281" s="127" t="s">
        <v>1305</v>
      </c>
      <c r="M281" s="127">
        <f t="shared" si="44"/>
        <v>0</v>
      </c>
      <c r="N281" s="127" t="s">
        <v>1305</v>
      </c>
      <c r="P281" s="127">
        <f t="shared" si="45"/>
        <v>0</v>
      </c>
      <c r="Q281" s="127" t="s">
        <v>1305</v>
      </c>
      <c r="S281" s="127">
        <f t="shared" si="46"/>
        <v>0</v>
      </c>
      <c r="T281" s="127" t="s">
        <v>1305</v>
      </c>
      <c r="V281" s="127">
        <f t="shared" si="47"/>
        <v>0</v>
      </c>
    </row>
    <row r="282" spans="1:22" ht="15.75">
      <c r="A282" s="155" t="s">
        <v>1346</v>
      </c>
      <c r="B282" s="125" t="s">
        <v>815</v>
      </c>
      <c r="C282" s="130">
        <f t="shared" si="41"/>
        <v>24</v>
      </c>
      <c r="E282" s="127" t="s">
        <v>814</v>
      </c>
      <c r="F282">
        <v>3</v>
      </c>
      <c r="G282" s="127">
        <f t="shared" si="42"/>
        <v>8</v>
      </c>
      <c r="H282" s="127" t="s">
        <v>1305</v>
      </c>
      <c r="J282" s="127">
        <f t="shared" si="43"/>
        <v>0</v>
      </c>
      <c r="K282" s="127" t="s">
        <v>1305</v>
      </c>
      <c r="M282" s="127">
        <f t="shared" si="44"/>
        <v>0</v>
      </c>
      <c r="N282" s="127" t="s">
        <v>1305</v>
      </c>
      <c r="P282" s="127">
        <f t="shared" si="45"/>
        <v>0</v>
      </c>
      <c r="Q282" s="127" t="s">
        <v>1305</v>
      </c>
      <c r="S282" s="127">
        <f t="shared" si="46"/>
        <v>0</v>
      </c>
      <c r="T282" s="127" t="s">
        <v>1305</v>
      </c>
      <c r="V282" s="127">
        <f t="shared" si="47"/>
        <v>0</v>
      </c>
    </row>
    <row r="283" spans="1:22" ht="15.75">
      <c r="A283" s="155" t="s">
        <v>1346</v>
      </c>
      <c r="B283" s="125" t="s">
        <v>816</v>
      </c>
      <c r="C283" s="130">
        <f t="shared" si="41"/>
        <v>48</v>
      </c>
      <c r="E283" s="127" t="s">
        <v>814</v>
      </c>
      <c r="F283">
        <v>6</v>
      </c>
      <c r="G283" s="127">
        <f t="shared" si="42"/>
        <v>8</v>
      </c>
      <c r="H283" s="127" t="s">
        <v>1305</v>
      </c>
      <c r="J283" s="127">
        <f t="shared" si="43"/>
        <v>0</v>
      </c>
      <c r="K283" s="127" t="s">
        <v>1305</v>
      </c>
      <c r="M283" s="127">
        <f t="shared" si="44"/>
        <v>0</v>
      </c>
      <c r="N283" s="127" t="s">
        <v>1305</v>
      </c>
      <c r="P283" s="127">
        <f t="shared" si="45"/>
        <v>0</v>
      </c>
      <c r="Q283" s="127" t="s">
        <v>1305</v>
      </c>
      <c r="S283" s="127">
        <f t="shared" si="46"/>
        <v>0</v>
      </c>
      <c r="T283" s="127" t="s">
        <v>1305</v>
      </c>
      <c r="V283" s="127">
        <f t="shared" si="47"/>
        <v>0</v>
      </c>
    </row>
    <row r="284" spans="1:22" ht="15.75">
      <c r="A284" s="155" t="s">
        <v>1348</v>
      </c>
      <c r="B284" s="125" t="s">
        <v>817</v>
      </c>
      <c r="C284" s="130">
        <f t="shared" si="41"/>
        <v>1.2222222222222221</v>
      </c>
      <c r="E284" s="127" t="s">
        <v>993</v>
      </c>
      <c r="F284">
        <v>1</v>
      </c>
      <c r="G284" s="127">
        <f t="shared" si="42"/>
        <v>0.33333333333333331</v>
      </c>
      <c r="H284" s="127" t="s">
        <v>823</v>
      </c>
      <c r="I284" s="127">
        <v>1</v>
      </c>
      <c r="J284" s="127">
        <f t="shared" si="43"/>
        <v>0.88888888888888884</v>
      </c>
      <c r="K284" s="127" t="s">
        <v>1305</v>
      </c>
      <c r="M284" s="127">
        <f t="shared" si="44"/>
        <v>0</v>
      </c>
      <c r="N284" s="127" t="s">
        <v>1305</v>
      </c>
      <c r="P284" s="127">
        <f t="shared" si="45"/>
        <v>0</v>
      </c>
      <c r="Q284" s="127" t="s">
        <v>1305</v>
      </c>
      <c r="S284" s="127">
        <f t="shared" si="46"/>
        <v>0</v>
      </c>
      <c r="T284" s="127" t="s">
        <v>1305</v>
      </c>
      <c r="V284" s="127">
        <f t="shared" si="47"/>
        <v>0</v>
      </c>
    </row>
    <row r="285" spans="1:22" s="141" customFormat="1" ht="15.75">
      <c r="A285" s="155"/>
      <c r="B285" s="139" t="s">
        <v>818</v>
      </c>
      <c r="C285" s="140">
        <f t="shared" si="41"/>
        <v>0</v>
      </c>
      <c r="D285" s="133"/>
      <c r="E285" s="141" t="s">
        <v>1305</v>
      </c>
      <c r="G285" s="141">
        <f t="shared" si="42"/>
        <v>0</v>
      </c>
      <c r="H285" s="141" t="s">
        <v>1305</v>
      </c>
      <c r="J285" s="141">
        <f t="shared" si="43"/>
        <v>0</v>
      </c>
      <c r="K285" s="141" t="s">
        <v>1305</v>
      </c>
      <c r="M285" s="141">
        <f t="shared" si="44"/>
        <v>0</v>
      </c>
      <c r="N285" s="141" t="s">
        <v>1305</v>
      </c>
      <c r="P285" s="141">
        <f t="shared" si="45"/>
        <v>0</v>
      </c>
      <c r="Q285" s="141" t="s">
        <v>1305</v>
      </c>
      <c r="S285" s="141">
        <f t="shared" si="46"/>
        <v>0</v>
      </c>
      <c r="T285" s="141" t="s">
        <v>1305</v>
      </c>
      <c r="V285" s="141">
        <f t="shared" si="47"/>
        <v>0</v>
      </c>
    </row>
    <row r="286" spans="1:22" ht="15.75">
      <c r="A286" s="155" t="s">
        <v>1346</v>
      </c>
      <c r="B286" s="125" t="s">
        <v>819</v>
      </c>
      <c r="C286" s="130">
        <f t="shared" si="41"/>
        <v>36</v>
      </c>
      <c r="E286" s="127" t="s">
        <v>820</v>
      </c>
      <c r="F286">
        <v>4</v>
      </c>
      <c r="G286" s="127">
        <f t="shared" si="42"/>
        <v>9</v>
      </c>
      <c r="H286" s="127" t="s">
        <v>1305</v>
      </c>
      <c r="J286" s="127">
        <f t="shared" si="43"/>
        <v>0</v>
      </c>
      <c r="K286" s="127" t="s">
        <v>1305</v>
      </c>
      <c r="M286" s="127">
        <f t="shared" si="44"/>
        <v>0</v>
      </c>
      <c r="N286" s="127" t="s">
        <v>1305</v>
      </c>
      <c r="P286" s="127">
        <f t="shared" si="45"/>
        <v>0</v>
      </c>
      <c r="Q286" s="127" t="s">
        <v>1305</v>
      </c>
      <c r="S286" s="127">
        <f t="shared" si="46"/>
        <v>0</v>
      </c>
      <c r="T286" s="127" t="s">
        <v>1305</v>
      </c>
      <c r="V286" s="127">
        <f t="shared" si="47"/>
        <v>0</v>
      </c>
    </row>
    <row r="287" spans="1:22" s="138" customFormat="1" ht="15.75">
      <c r="A287" s="138" t="s">
        <v>1337</v>
      </c>
      <c r="B287" s="136" t="s">
        <v>820</v>
      </c>
      <c r="C287" s="137">
        <f>'ECONOMIA &amp; PROFESIONES'!C41</f>
        <v>9</v>
      </c>
      <c r="D287" s="133"/>
      <c r="E287" s="138" t="s">
        <v>1305</v>
      </c>
      <c r="G287" s="138">
        <f t="shared" si="42"/>
        <v>0</v>
      </c>
      <c r="H287" s="138" t="s">
        <v>1305</v>
      </c>
      <c r="J287" s="138">
        <f t="shared" si="43"/>
        <v>0</v>
      </c>
      <c r="K287" s="138" t="s">
        <v>1305</v>
      </c>
      <c r="M287" s="138">
        <f t="shared" si="44"/>
        <v>0</v>
      </c>
      <c r="N287" s="138" t="s">
        <v>1305</v>
      </c>
      <c r="P287" s="138">
        <f t="shared" si="45"/>
        <v>0</v>
      </c>
      <c r="Q287" s="138" t="s">
        <v>1305</v>
      </c>
      <c r="S287" s="138">
        <f t="shared" si="46"/>
        <v>0</v>
      </c>
      <c r="T287" s="138" t="s">
        <v>1305</v>
      </c>
      <c r="V287" s="138">
        <f t="shared" si="47"/>
        <v>0</v>
      </c>
    </row>
    <row r="288" spans="1:22" ht="15.75">
      <c r="A288" s="155" t="s">
        <v>1343</v>
      </c>
      <c r="B288" s="125" t="s">
        <v>821</v>
      </c>
      <c r="C288" s="130">
        <f t="shared" si="41"/>
        <v>72</v>
      </c>
      <c r="E288" s="127" t="s">
        <v>822</v>
      </c>
      <c r="F288">
        <v>9</v>
      </c>
      <c r="G288" s="127">
        <f t="shared" si="42"/>
        <v>8</v>
      </c>
      <c r="H288" s="127" t="s">
        <v>1305</v>
      </c>
      <c r="J288" s="127">
        <f t="shared" si="43"/>
        <v>0</v>
      </c>
      <c r="K288" s="127" t="s">
        <v>1305</v>
      </c>
      <c r="M288" s="127">
        <f t="shared" si="44"/>
        <v>0</v>
      </c>
      <c r="N288" s="127" t="s">
        <v>1305</v>
      </c>
      <c r="P288" s="127">
        <f t="shared" si="45"/>
        <v>0</v>
      </c>
      <c r="Q288" s="127" t="s">
        <v>1305</v>
      </c>
      <c r="S288" s="127">
        <f t="shared" si="46"/>
        <v>0</v>
      </c>
      <c r="T288" s="127" t="s">
        <v>1305</v>
      </c>
      <c r="V288" s="127">
        <f t="shared" si="47"/>
        <v>0</v>
      </c>
    </row>
    <row r="289" spans="1:22" ht="15.75">
      <c r="A289" s="155" t="s">
        <v>1343</v>
      </c>
      <c r="B289" s="125" t="s">
        <v>822</v>
      </c>
      <c r="C289" s="130">
        <f>'ECONOMIA &amp; PROFESIONES'!B19</f>
        <v>8</v>
      </c>
      <c r="E289" s="127" t="s">
        <v>1305</v>
      </c>
      <c r="G289" s="127">
        <f t="shared" si="42"/>
        <v>0</v>
      </c>
      <c r="H289" s="127" t="s">
        <v>1305</v>
      </c>
      <c r="J289" s="127">
        <f t="shared" si="43"/>
        <v>0</v>
      </c>
      <c r="K289" s="127" t="s">
        <v>1305</v>
      </c>
      <c r="M289" s="127">
        <f t="shared" si="44"/>
        <v>0</v>
      </c>
      <c r="N289" s="127" t="s">
        <v>1305</v>
      </c>
      <c r="P289" s="127">
        <f t="shared" si="45"/>
        <v>0</v>
      </c>
      <c r="Q289" s="127" t="s">
        <v>1305</v>
      </c>
      <c r="S289" s="127">
        <f t="shared" si="46"/>
        <v>0</v>
      </c>
      <c r="T289" s="127" t="s">
        <v>1305</v>
      </c>
      <c r="V289" s="127">
        <f t="shared" si="47"/>
        <v>0</v>
      </c>
    </row>
    <row r="290" spans="1:22" ht="15.75">
      <c r="A290" s="155" t="s">
        <v>1343</v>
      </c>
      <c r="B290" s="125" t="s">
        <v>823</v>
      </c>
      <c r="C290" s="130">
        <f>C289/9</f>
        <v>0.88888888888888884</v>
      </c>
      <c r="E290" s="127" t="s">
        <v>1305</v>
      </c>
      <c r="G290" s="127">
        <f t="shared" si="42"/>
        <v>0</v>
      </c>
      <c r="H290" s="127" t="s">
        <v>1305</v>
      </c>
      <c r="J290" s="127">
        <f t="shared" si="43"/>
        <v>0</v>
      </c>
      <c r="K290" s="127" t="s">
        <v>1305</v>
      </c>
      <c r="M290" s="127">
        <f t="shared" si="44"/>
        <v>0</v>
      </c>
      <c r="N290" s="127" t="s">
        <v>1305</v>
      </c>
      <c r="P290" s="127">
        <f t="shared" si="45"/>
        <v>0</v>
      </c>
      <c r="Q290" s="127" t="s">
        <v>1305</v>
      </c>
      <c r="S290" s="127">
        <f t="shared" si="46"/>
        <v>0</v>
      </c>
      <c r="T290" s="127" t="s">
        <v>1305</v>
      </c>
      <c r="V290" s="127">
        <f t="shared" si="47"/>
        <v>0</v>
      </c>
    </row>
    <row r="291" spans="1:22" ht="15.75">
      <c r="A291" s="155" t="s">
        <v>1343</v>
      </c>
      <c r="B291" s="125" t="s">
        <v>824</v>
      </c>
      <c r="C291" s="130">
        <f>'ECONOMIA &amp; PROFESIONES'!B19</f>
        <v>8</v>
      </c>
      <c r="E291" s="127" t="s">
        <v>1305</v>
      </c>
      <c r="G291" s="127">
        <f t="shared" si="42"/>
        <v>0</v>
      </c>
      <c r="H291" s="127" t="s">
        <v>1305</v>
      </c>
      <c r="J291" s="127">
        <f t="shared" si="43"/>
        <v>0</v>
      </c>
      <c r="K291" s="127" t="s">
        <v>1305</v>
      </c>
      <c r="M291" s="127">
        <f t="shared" si="44"/>
        <v>0</v>
      </c>
      <c r="N291" s="127" t="s">
        <v>1305</v>
      </c>
      <c r="P291" s="127">
        <f t="shared" si="45"/>
        <v>0</v>
      </c>
      <c r="Q291" s="127" t="s">
        <v>1305</v>
      </c>
      <c r="S291" s="127">
        <f t="shared" si="46"/>
        <v>0</v>
      </c>
      <c r="T291" s="127" t="s">
        <v>1305</v>
      </c>
      <c r="V291" s="127">
        <f t="shared" si="47"/>
        <v>0</v>
      </c>
    </row>
    <row r="292" spans="1:22" ht="15.75">
      <c r="A292" s="155" t="s">
        <v>1352</v>
      </c>
      <c r="B292" s="125" t="s">
        <v>825</v>
      </c>
      <c r="C292" s="130">
        <f t="shared" si="41"/>
        <v>65</v>
      </c>
      <c r="E292" s="127" t="s">
        <v>822</v>
      </c>
      <c r="F292">
        <v>8</v>
      </c>
      <c r="G292" s="127">
        <f t="shared" si="42"/>
        <v>8</v>
      </c>
      <c r="H292" s="127" t="s">
        <v>556</v>
      </c>
      <c r="I292" s="127">
        <v>1</v>
      </c>
      <c r="J292" s="127">
        <f t="shared" si="43"/>
        <v>1</v>
      </c>
      <c r="K292" s="127" t="s">
        <v>1305</v>
      </c>
      <c r="M292" s="127">
        <f t="shared" si="44"/>
        <v>0</v>
      </c>
      <c r="N292" s="127" t="s">
        <v>1305</v>
      </c>
      <c r="P292" s="127">
        <f t="shared" si="45"/>
        <v>0</v>
      </c>
      <c r="Q292" s="127" t="s">
        <v>1305</v>
      </c>
      <c r="S292" s="127">
        <f t="shared" si="46"/>
        <v>0</v>
      </c>
      <c r="T292" s="127" t="s">
        <v>1305</v>
      </c>
      <c r="V292" s="127">
        <f t="shared" si="47"/>
        <v>0</v>
      </c>
    </row>
    <row r="293" spans="1:22" ht="15.75">
      <c r="A293" s="155" t="s">
        <v>1343</v>
      </c>
      <c r="B293" s="125" t="s">
        <v>826</v>
      </c>
      <c r="C293" s="130">
        <f t="shared" si="41"/>
        <v>28</v>
      </c>
      <c r="E293" s="127" t="s">
        <v>822</v>
      </c>
      <c r="F293">
        <v>3</v>
      </c>
      <c r="G293" s="127">
        <f t="shared" si="42"/>
        <v>8</v>
      </c>
      <c r="H293" s="127" t="s">
        <v>1208</v>
      </c>
      <c r="I293" s="127">
        <v>2</v>
      </c>
      <c r="J293" s="127">
        <f t="shared" si="43"/>
        <v>2</v>
      </c>
      <c r="K293" s="127" t="s">
        <v>1305</v>
      </c>
      <c r="M293" s="127">
        <f t="shared" si="44"/>
        <v>0</v>
      </c>
      <c r="N293" s="127" t="s">
        <v>1305</v>
      </c>
      <c r="P293" s="127">
        <f t="shared" si="45"/>
        <v>0</v>
      </c>
      <c r="Q293" s="127" t="s">
        <v>1305</v>
      </c>
      <c r="S293" s="127">
        <f t="shared" si="46"/>
        <v>0</v>
      </c>
      <c r="T293" s="127" t="s">
        <v>1305</v>
      </c>
      <c r="V293" s="127">
        <f t="shared" si="47"/>
        <v>0</v>
      </c>
    </row>
    <row r="294" spans="1:22" ht="15.75">
      <c r="A294" s="155" t="s">
        <v>1344</v>
      </c>
      <c r="B294" s="125" t="s">
        <v>827</v>
      </c>
      <c r="C294" s="130">
        <f t="shared" si="41"/>
        <v>32</v>
      </c>
      <c r="E294" s="127" t="s">
        <v>822</v>
      </c>
      <c r="F294">
        <v>4</v>
      </c>
      <c r="G294" s="127">
        <f t="shared" si="42"/>
        <v>8</v>
      </c>
      <c r="H294" s="127" t="s">
        <v>1305</v>
      </c>
      <c r="J294" s="127">
        <f t="shared" si="43"/>
        <v>0</v>
      </c>
      <c r="K294" s="127" t="s">
        <v>1305</v>
      </c>
      <c r="M294" s="127">
        <f t="shared" si="44"/>
        <v>0</v>
      </c>
      <c r="N294" s="127" t="s">
        <v>1305</v>
      </c>
      <c r="P294" s="127">
        <f t="shared" si="45"/>
        <v>0</v>
      </c>
      <c r="Q294" s="127" t="s">
        <v>1305</v>
      </c>
      <c r="S294" s="127">
        <f t="shared" si="46"/>
        <v>0</v>
      </c>
      <c r="T294" s="127" t="s">
        <v>1305</v>
      </c>
      <c r="V294" s="127">
        <f t="shared" si="47"/>
        <v>0</v>
      </c>
    </row>
    <row r="295" spans="1:22" ht="15.75">
      <c r="A295" s="155" t="s">
        <v>1348</v>
      </c>
      <c r="B295" s="125" t="s">
        <v>828</v>
      </c>
      <c r="C295" s="130">
        <f t="shared" si="41"/>
        <v>12.111111111111111</v>
      </c>
      <c r="E295" s="127" t="s">
        <v>823</v>
      </c>
      <c r="F295">
        <v>8</v>
      </c>
      <c r="G295" s="127">
        <f t="shared" si="42"/>
        <v>0.88888888888888884</v>
      </c>
      <c r="H295" s="127" t="s">
        <v>649</v>
      </c>
      <c r="I295" s="127">
        <v>1</v>
      </c>
      <c r="J295" s="127">
        <f t="shared" si="43"/>
        <v>5</v>
      </c>
      <c r="K295" s="127" t="s">
        <v>1305</v>
      </c>
      <c r="M295" s="127">
        <f t="shared" si="44"/>
        <v>0</v>
      </c>
      <c r="N295" s="127" t="s">
        <v>1305</v>
      </c>
      <c r="P295" s="127">
        <f t="shared" si="45"/>
        <v>0</v>
      </c>
      <c r="Q295" s="127" t="s">
        <v>1305</v>
      </c>
      <c r="S295" s="127">
        <f t="shared" si="46"/>
        <v>0</v>
      </c>
      <c r="T295" s="127" t="s">
        <v>1305</v>
      </c>
      <c r="V295" s="127">
        <f t="shared" si="47"/>
        <v>0</v>
      </c>
    </row>
    <row r="296" spans="1:22" ht="15.75">
      <c r="A296" s="155" t="s">
        <v>1344</v>
      </c>
      <c r="B296" s="125" t="s">
        <v>829</v>
      </c>
      <c r="C296" s="130">
        <f t="shared" si="41"/>
        <v>64</v>
      </c>
      <c r="E296" s="127" t="s">
        <v>822</v>
      </c>
      <c r="F296">
        <v>8</v>
      </c>
      <c r="G296" s="127">
        <f t="shared" si="42"/>
        <v>8</v>
      </c>
      <c r="H296" s="127" t="s">
        <v>1305</v>
      </c>
      <c r="J296" s="127">
        <f t="shared" si="43"/>
        <v>0</v>
      </c>
      <c r="K296" s="127" t="s">
        <v>1305</v>
      </c>
      <c r="M296" s="127">
        <f t="shared" si="44"/>
        <v>0</v>
      </c>
      <c r="N296" s="127" t="s">
        <v>1305</v>
      </c>
      <c r="P296" s="127">
        <f t="shared" si="45"/>
        <v>0</v>
      </c>
      <c r="Q296" s="127" t="s">
        <v>1305</v>
      </c>
      <c r="S296" s="127">
        <f t="shared" si="46"/>
        <v>0</v>
      </c>
      <c r="T296" s="127" t="s">
        <v>1305</v>
      </c>
      <c r="V296" s="127">
        <f t="shared" si="47"/>
        <v>0</v>
      </c>
    </row>
    <row r="297" spans="1:22" ht="15.75">
      <c r="A297" s="155" t="s">
        <v>1344</v>
      </c>
      <c r="B297" s="125" t="s">
        <v>830</v>
      </c>
      <c r="C297" s="130">
        <f t="shared" si="41"/>
        <v>64</v>
      </c>
      <c r="E297" s="127" t="s">
        <v>822</v>
      </c>
      <c r="F297">
        <v>8</v>
      </c>
      <c r="G297" s="127">
        <f t="shared" si="42"/>
        <v>8</v>
      </c>
      <c r="H297" s="127" t="s">
        <v>1305</v>
      </c>
      <c r="J297" s="127">
        <f t="shared" si="43"/>
        <v>0</v>
      </c>
      <c r="K297" s="127" t="s">
        <v>1305</v>
      </c>
      <c r="M297" s="127">
        <f t="shared" si="44"/>
        <v>0</v>
      </c>
      <c r="N297" s="127" t="s">
        <v>1305</v>
      </c>
      <c r="P297" s="127">
        <f t="shared" si="45"/>
        <v>0</v>
      </c>
      <c r="Q297" s="127" t="s">
        <v>1305</v>
      </c>
      <c r="S297" s="127">
        <f t="shared" si="46"/>
        <v>0</v>
      </c>
      <c r="T297" s="127" t="s">
        <v>1305</v>
      </c>
      <c r="V297" s="127">
        <f t="shared" si="47"/>
        <v>0</v>
      </c>
    </row>
    <row r="298" spans="1:22" ht="15.75">
      <c r="A298" s="155" t="s">
        <v>1343</v>
      </c>
      <c r="B298" s="125" t="s">
        <v>831</v>
      </c>
      <c r="C298" s="130">
        <f t="shared" si="41"/>
        <v>12</v>
      </c>
      <c r="E298" s="127" t="s">
        <v>822</v>
      </c>
      <c r="F298">
        <v>1</v>
      </c>
      <c r="G298" s="127">
        <f t="shared" si="42"/>
        <v>8</v>
      </c>
      <c r="H298" s="127" t="s">
        <v>1208</v>
      </c>
      <c r="I298" s="127">
        <v>2</v>
      </c>
      <c r="J298" s="127">
        <f t="shared" si="43"/>
        <v>2</v>
      </c>
      <c r="K298" s="127" t="s">
        <v>1305</v>
      </c>
      <c r="M298" s="127">
        <f t="shared" si="44"/>
        <v>0</v>
      </c>
      <c r="N298" s="127" t="s">
        <v>1305</v>
      </c>
      <c r="P298" s="127">
        <f t="shared" si="45"/>
        <v>0</v>
      </c>
      <c r="Q298" s="127" t="s">
        <v>1305</v>
      </c>
      <c r="S298" s="127">
        <f t="shared" si="46"/>
        <v>0</v>
      </c>
      <c r="T298" s="127" t="s">
        <v>1305</v>
      </c>
      <c r="V298" s="127">
        <f t="shared" si="47"/>
        <v>0</v>
      </c>
    </row>
    <row r="299" spans="1:22" s="141" customFormat="1" ht="15.75">
      <c r="A299" s="155"/>
      <c r="B299" s="139" t="s">
        <v>832</v>
      </c>
      <c r="C299" s="140">
        <f t="shared" si="41"/>
        <v>0</v>
      </c>
      <c r="D299" s="133"/>
      <c r="E299" s="141" t="s">
        <v>1305</v>
      </c>
      <c r="G299" s="141">
        <f t="shared" si="42"/>
        <v>0</v>
      </c>
      <c r="H299" s="141" t="s">
        <v>1305</v>
      </c>
      <c r="J299" s="141">
        <f t="shared" si="43"/>
        <v>0</v>
      </c>
      <c r="K299" s="141" t="s">
        <v>1305</v>
      </c>
      <c r="M299" s="141">
        <f t="shared" si="44"/>
        <v>0</v>
      </c>
      <c r="N299" s="141" t="s">
        <v>1305</v>
      </c>
      <c r="P299" s="141">
        <f t="shared" si="45"/>
        <v>0</v>
      </c>
      <c r="Q299" s="141" t="s">
        <v>1305</v>
      </c>
      <c r="S299" s="141">
        <f t="shared" si="46"/>
        <v>0</v>
      </c>
      <c r="T299" s="141" t="s">
        <v>1305</v>
      </c>
      <c r="V299" s="141">
        <f t="shared" si="47"/>
        <v>0</v>
      </c>
    </row>
    <row r="300" spans="1:22" ht="15.75">
      <c r="A300" s="155" t="s">
        <v>1344</v>
      </c>
      <c r="B300" s="125" t="s">
        <v>833</v>
      </c>
      <c r="C300" s="130">
        <f t="shared" si="41"/>
        <v>56</v>
      </c>
      <c r="E300" s="127" t="s">
        <v>822</v>
      </c>
      <c r="F300">
        <v>7</v>
      </c>
      <c r="G300" s="127">
        <f t="shared" si="42"/>
        <v>8</v>
      </c>
      <c r="H300" s="127" t="s">
        <v>1305</v>
      </c>
      <c r="J300" s="127">
        <f t="shared" si="43"/>
        <v>0</v>
      </c>
      <c r="K300" s="127" t="s">
        <v>1305</v>
      </c>
      <c r="M300" s="127">
        <f t="shared" si="44"/>
        <v>0</v>
      </c>
      <c r="N300" s="127" t="s">
        <v>1305</v>
      </c>
      <c r="P300" s="127">
        <f t="shared" si="45"/>
        <v>0</v>
      </c>
      <c r="Q300" s="127" t="s">
        <v>1305</v>
      </c>
      <c r="S300" s="127">
        <f t="shared" si="46"/>
        <v>0</v>
      </c>
      <c r="T300" s="127" t="s">
        <v>1305</v>
      </c>
      <c r="V300" s="127">
        <f t="shared" si="47"/>
        <v>0</v>
      </c>
    </row>
    <row r="301" spans="1:22" ht="15.75">
      <c r="A301" s="155" t="s">
        <v>1343</v>
      </c>
      <c r="B301" s="125" t="s">
        <v>834</v>
      </c>
      <c r="C301" s="130">
        <f t="shared" si="41"/>
        <v>28</v>
      </c>
      <c r="E301" s="127" t="s">
        <v>822</v>
      </c>
      <c r="F301">
        <v>3</v>
      </c>
      <c r="G301" s="127">
        <f t="shared" si="42"/>
        <v>8</v>
      </c>
      <c r="H301" s="127" t="s">
        <v>1208</v>
      </c>
      <c r="I301" s="127">
        <v>2</v>
      </c>
      <c r="J301" s="127">
        <f t="shared" si="43"/>
        <v>2</v>
      </c>
      <c r="K301" s="127" t="s">
        <v>1305</v>
      </c>
      <c r="M301" s="127">
        <f t="shared" si="44"/>
        <v>0</v>
      </c>
      <c r="N301" s="127" t="s">
        <v>1305</v>
      </c>
      <c r="P301" s="127">
        <f t="shared" si="45"/>
        <v>0</v>
      </c>
      <c r="Q301" s="127" t="s">
        <v>1305</v>
      </c>
      <c r="S301" s="127">
        <f t="shared" si="46"/>
        <v>0</v>
      </c>
      <c r="T301" s="127" t="s">
        <v>1305</v>
      </c>
      <c r="V301" s="127">
        <f t="shared" si="47"/>
        <v>0</v>
      </c>
    </row>
    <row r="302" spans="1:22" ht="15.75">
      <c r="A302" s="155" t="s">
        <v>1343</v>
      </c>
      <c r="B302" s="125" t="s">
        <v>835</v>
      </c>
      <c r="C302" s="130">
        <f t="shared" si="41"/>
        <v>12</v>
      </c>
      <c r="E302" s="127" t="s">
        <v>822</v>
      </c>
      <c r="F302">
        <v>1</v>
      </c>
      <c r="G302" s="127">
        <f t="shared" si="42"/>
        <v>8</v>
      </c>
      <c r="H302" s="127" t="s">
        <v>1208</v>
      </c>
      <c r="I302" s="127">
        <v>2</v>
      </c>
      <c r="J302" s="127">
        <f t="shared" si="43"/>
        <v>2</v>
      </c>
      <c r="K302" s="127" t="s">
        <v>1305</v>
      </c>
      <c r="M302" s="127">
        <f t="shared" si="44"/>
        <v>0</v>
      </c>
      <c r="N302" s="127" t="s">
        <v>1305</v>
      </c>
      <c r="P302" s="127">
        <f t="shared" si="45"/>
        <v>0</v>
      </c>
      <c r="Q302" s="127" t="s">
        <v>1305</v>
      </c>
      <c r="S302" s="127">
        <f t="shared" si="46"/>
        <v>0</v>
      </c>
      <c r="T302" s="127" t="s">
        <v>1305</v>
      </c>
      <c r="V302" s="127">
        <f t="shared" si="47"/>
        <v>0</v>
      </c>
    </row>
    <row r="303" spans="1:22" ht="15.75">
      <c r="A303" s="155" t="s">
        <v>1344</v>
      </c>
      <c r="B303" s="125" t="s">
        <v>836</v>
      </c>
      <c r="C303" s="130">
        <f t="shared" si="41"/>
        <v>18</v>
      </c>
      <c r="E303" s="127" t="s">
        <v>822</v>
      </c>
      <c r="F303">
        <v>2</v>
      </c>
      <c r="G303" s="127">
        <f t="shared" si="42"/>
        <v>8</v>
      </c>
      <c r="H303" s="127" t="s">
        <v>1208</v>
      </c>
      <c r="I303" s="127">
        <v>1</v>
      </c>
      <c r="J303" s="127">
        <f t="shared" si="43"/>
        <v>2</v>
      </c>
      <c r="K303" s="127" t="s">
        <v>1305</v>
      </c>
      <c r="M303" s="127">
        <f t="shared" si="44"/>
        <v>0</v>
      </c>
      <c r="N303" s="127" t="s">
        <v>1305</v>
      </c>
      <c r="P303" s="127">
        <f t="shared" si="45"/>
        <v>0</v>
      </c>
      <c r="Q303" s="127" t="s">
        <v>1305</v>
      </c>
      <c r="S303" s="127">
        <f t="shared" si="46"/>
        <v>0</v>
      </c>
      <c r="T303" s="127" t="s">
        <v>1305</v>
      </c>
      <c r="V303" s="127">
        <f t="shared" si="47"/>
        <v>0</v>
      </c>
    </row>
    <row r="304" spans="1:22" ht="15.75">
      <c r="A304" s="155" t="s">
        <v>1346</v>
      </c>
      <c r="B304" s="125" t="s">
        <v>837</v>
      </c>
      <c r="C304" s="130">
        <f>'ECONOMIA &amp; PROFESIONES'!K34</f>
        <v>1.6</v>
      </c>
      <c r="E304" s="127" t="s">
        <v>1305</v>
      </c>
      <c r="G304" s="127">
        <f t="shared" si="42"/>
        <v>0</v>
      </c>
      <c r="H304" s="127" t="s">
        <v>1305</v>
      </c>
      <c r="J304" s="127">
        <f t="shared" si="43"/>
        <v>0</v>
      </c>
      <c r="K304" s="127" t="s">
        <v>1305</v>
      </c>
      <c r="M304" s="127">
        <f t="shared" si="44"/>
        <v>0</v>
      </c>
      <c r="N304" s="127" t="s">
        <v>1305</v>
      </c>
      <c r="P304" s="127">
        <f t="shared" si="45"/>
        <v>0</v>
      </c>
      <c r="Q304" s="127" t="s">
        <v>1305</v>
      </c>
      <c r="S304" s="127">
        <f t="shared" si="46"/>
        <v>0</v>
      </c>
      <c r="T304" s="127" t="s">
        <v>1305</v>
      </c>
      <c r="V304" s="127">
        <f t="shared" si="47"/>
        <v>0</v>
      </c>
    </row>
    <row r="305" spans="1:22" ht="15.75">
      <c r="A305" s="155" t="s">
        <v>1346</v>
      </c>
      <c r="B305" s="125" t="s">
        <v>838</v>
      </c>
      <c r="C305" s="130">
        <f t="shared" si="41"/>
        <v>4.8000000000000007</v>
      </c>
      <c r="E305" s="127" t="s">
        <v>837</v>
      </c>
      <c r="F305">
        <v>3</v>
      </c>
      <c r="G305" s="127">
        <f t="shared" si="42"/>
        <v>1.6</v>
      </c>
      <c r="H305" s="127" t="s">
        <v>1305</v>
      </c>
      <c r="J305" s="127">
        <f t="shared" si="43"/>
        <v>0</v>
      </c>
      <c r="K305" s="127" t="s">
        <v>1305</v>
      </c>
      <c r="M305" s="127">
        <f t="shared" si="44"/>
        <v>0</v>
      </c>
      <c r="N305" s="127" t="s">
        <v>1305</v>
      </c>
      <c r="P305" s="127">
        <f t="shared" si="45"/>
        <v>0</v>
      </c>
      <c r="Q305" s="127" t="s">
        <v>1305</v>
      </c>
      <c r="S305" s="127">
        <f t="shared" si="46"/>
        <v>0</v>
      </c>
      <c r="T305" s="127" t="s">
        <v>1305</v>
      </c>
      <c r="V305" s="127">
        <f t="shared" si="47"/>
        <v>0</v>
      </c>
    </row>
    <row r="306" spans="1:22" ht="15.75">
      <c r="A306" s="155" t="s">
        <v>1346</v>
      </c>
      <c r="B306" s="125" t="s">
        <v>839</v>
      </c>
      <c r="C306" s="130">
        <f t="shared" si="41"/>
        <v>9.6000000000000014</v>
      </c>
      <c r="E306" s="127" t="s">
        <v>837</v>
      </c>
      <c r="F306">
        <v>6</v>
      </c>
      <c r="G306" s="127">
        <f t="shared" si="42"/>
        <v>1.6</v>
      </c>
      <c r="H306" s="127" t="s">
        <v>1305</v>
      </c>
      <c r="J306" s="127">
        <f t="shared" si="43"/>
        <v>0</v>
      </c>
      <c r="K306" s="127" t="s">
        <v>1305</v>
      </c>
      <c r="M306" s="127">
        <f t="shared" si="44"/>
        <v>0</v>
      </c>
      <c r="N306" s="127" t="s">
        <v>1305</v>
      </c>
      <c r="P306" s="127">
        <f t="shared" si="45"/>
        <v>0</v>
      </c>
      <c r="Q306" s="127" t="s">
        <v>1305</v>
      </c>
      <c r="S306" s="127">
        <f t="shared" si="46"/>
        <v>0</v>
      </c>
      <c r="T306" s="127" t="s">
        <v>1305</v>
      </c>
      <c r="V306" s="127">
        <f t="shared" si="47"/>
        <v>0</v>
      </c>
    </row>
    <row r="307" spans="1:22" ht="15.75">
      <c r="A307" s="155" t="s">
        <v>1346</v>
      </c>
      <c r="B307" s="125" t="s">
        <v>840</v>
      </c>
      <c r="C307" s="130">
        <f t="shared" si="41"/>
        <v>9.6000000000000014</v>
      </c>
      <c r="E307" s="127" t="s">
        <v>837</v>
      </c>
      <c r="F307">
        <v>6</v>
      </c>
      <c r="G307" s="127">
        <f t="shared" si="42"/>
        <v>1.6</v>
      </c>
      <c r="H307" s="127" t="s">
        <v>1305</v>
      </c>
      <c r="J307" s="127">
        <f t="shared" si="43"/>
        <v>0</v>
      </c>
      <c r="K307" s="127" t="s">
        <v>1305</v>
      </c>
      <c r="M307" s="127">
        <f t="shared" si="44"/>
        <v>0</v>
      </c>
      <c r="N307" s="127" t="s">
        <v>1305</v>
      </c>
      <c r="P307" s="127">
        <f t="shared" si="45"/>
        <v>0</v>
      </c>
      <c r="Q307" s="127" t="s">
        <v>1305</v>
      </c>
      <c r="S307" s="127">
        <f t="shared" si="46"/>
        <v>0</v>
      </c>
      <c r="T307" s="127" t="s">
        <v>1305</v>
      </c>
      <c r="V307" s="127">
        <f t="shared" si="47"/>
        <v>0</v>
      </c>
    </row>
    <row r="308" spans="1:22" s="168" customFormat="1" ht="15.75">
      <c r="B308" s="166" t="s">
        <v>841</v>
      </c>
      <c r="C308" s="167">
        <v>0</v>
      </c>
      <c r="E308" s="168" t="s">
        <v>1305</v>
      </c>
      <c r="G308" s="168">
        <f t="shared" si="42"/>
        <v>0</v>
      </c>
      <c r="H308" s="168" t="s">
        <v>1305</v>
      </c>
      <c r="J308" s="168">
        <f t="shared" si="43"/>
        <v>0</v>
      </c>
      <c r="K308" s="168" t="s">
        <v>1305</v>
      </c>
      <c r="M308" s="168">
        <f t="shared" si="44"/>
        <v>0</v>
      </c>
      <c r="N308" s="168" t="s">
        <v>1305</v>
      </c>
      <c r="P308" s="168">
        <f t="shared" si="45"/>
        <v>0</v>
      </c>
      <c r="Q308" s="168" t="s">
        <v>1305</v>
      </c>
      <c r="S308" s="168">
        <f t="shared" si="46"/>
        <v>0</v>
      </c>
      <c r="T308" s="168" t="s">
        <v>1305</v>
      </c>
      <c r="V308" s="168">
        <f t="shared" si="47"/>
        <v>0</v>
      </c>
    </row>
    <row r="309" spans="1:22" s="168" customFormat="1" ht="15.75">
      <c r="B309" s="166" t="s">
        <v>842</v>
      </c>
      <c r="C309" s="167">
        <v>0.1</v>
      </c>
      <c r="E309" s="168" t="s">
        <v>1305</v>
      </c>
      <c r="G309" s="168">
        <f t="shared" si="42"/>
        <v>0</v>
      </c>
      <c r="H309" s="168" t="s">
        <v>1305</v>
      </c>
      <c r="J309" s="168">
        <f t="shared" si="43"/>
        <v>0</v>
      </c>
      <c r="K309" s="168" t="s">
        <v>1305</v>
      </c>
      <c r="M309" s="168">
        <f t="shared" si="44"/>
        <v>0</v>
      </c>
      <c r="N309" s="168" t="s">
        <v>1305</v>
      </c>
      <c r="P309" s="168">
        <f t="shared" si="45"/>
        <v>0</v>
      </c>
      <c r="Q309" s="168" t="s">
        <v>1305</v>
      </c>
      <c r="S309" s="168">
        <f t="shared" si="46"/>
        <v>0</v>
      </c>
      <c r="T309" s="168" t="s">
        <v>1305</v>
      </c>
      <c r="V309" s="168">
        <f t="shared" si="47"/>
        <v>0</v>
      </c>
    </row>
    <row r="310" spans="1:22" s="168" customFormat="1" ht="15.75">
      <c r="B310" s="166" t="s">
        <v>843</v>
      </c>
      <c r="C310" s="167">
        <f t="shared" si="41"/>
        <v>0</v>
      </c>
      <c r="E310" s="168" t="s">
        <v>1305</v>
      </c>
      <c r="G310" s="168">
        <f t="shared" si="42"/>
        <v>0</v>
      </c>
      <c r="H310" s="168" t="s">
        <v>1305</v>
      </c>
      <c r="J310" s="168">
        <f t="shared" si="43"/>
        <v>0</v>
      </c>
      <c r="K310" s="168" t="s">
        <v>1305</v>
      </c>
      <c r="M310" s="168">
        <f t="shared" si="44"/>
        <v>0</v>
      </c>
      <c r="N310" s="168" t="s">
        <v>1305</v>
      </c>
      <c r="P310" s="168">
        <f t="shared" si="45"/>
        <v>0</v>
      </c>
      <c r="Q310" s="168" t="s">
        <v>1305</v>
      </c>
      <c r="S310" s="168">
        <f t="shared" si="46"/>
        <v>0</v>
      </c>
      <c r="T310" s="168" t="s">
        <v>1305</v>
      </c>
      <c r="V310" s="168">
        <f t="shared" si="47"/>
        <v>0</v>
      </c>
    </row>
    <row r="311" spans="1:22" s="138" customFormat="1" ht="15.75">
      <c r="A311" s="138" t="s">
        <v>1339</v>
      </c>
      <c r="B311" s="136" t="s">
        <v>844</v>
      </c>
      <c r="C311" s="137">
        <f>'ECONOMIA &amp; PROFESIONES'!C32</f>
        <v>1</v>
      </c>
      <c r="E311" s="138" t="s">
        <v>1305</v>
      </c>
      <c r="G311" s="138">
        <f t="shared" si="42"/>
        <v>0</v>
      </c>
      <c r="H311" s="138" t="s">
        <v>1305</v>
      </c>
      <c r="J311" s="138">
        <f t="shared" si="43"/>
        <v>0</v>
      </c>
      <c r="K311" s="138" t="s">
        <v>1305</v>
      </c>
      <c r="M311" s="138">
        <f t="shared" si="44"/>
        <v>0</v>
      </c>
      <c r="N311" s="138" t="s">
        <v>1305</v>
      </c>
      <c r="P311" s="138">
        <f t="shared" si="45"/>
        <v>0</v>
      </c>
      <c r="Q311" s="138" t="s">
        <v>1305</v>
      </c>
      <c r="S311" s="138">
        <f t="shared" si="46"/>
        <v>0</v>
      </c>
      <c r="T311" s="138" t="s">
        <v>1305</v>
      </c>
      <c r="V311" s="138">
        <f t="shared" si="47"/>
        <v>0</v>
      </c>
    </row>
    <row r="312" spans="1:22" ht="15.75">
      <c r="A312" s="155" t="s">
        <v>1351</v>
      </c>
      <c r="B312" s="125" t="s">
        <v>845</v>
      </c>
      <c r="C312" s="130">
        <f t="shared" si="41"/>
        <v>68</v>
      </c>
      <c r="E312" s="144" t="s">
        <v>856</v>
      </c>
      <c r="F312" s="144">
        <v>6</v>
      </c>
      <c r="G312" s="144">
        <f t="shared" si="42"/>
        <v>11</v>
      </c>
      <c r="H312" s="144" t="s">
        <v>1208</v>
      </c>
      <c r="I312" s="144">
        <v>1</v>
      </c>
      <c r="J312" s="127">
        <f t="shared" si="43"/>
        <v>2</v>
      </c>
      <c r="K312" s="127" t="s">
        <v>1305</v>
      </c>
      <c r="M312" s="127">
        <f t="shared" si="44"/>
        <v>0</v>
      </c>
      <c r="N312" s="127" t="s">
        <v>1305</v>
      </c>
      <c r="P312" s="127">
        <f t="shared" si="45"/>
        <v>0</v>
      </c>
      <c r="Q312" s="127" t="s">
        <v>1305</v>
      </c>
      <c r="S312" s="127">
        <f t="shared" si="46"/>
        <v>0</v>
      </c>
      <c r="T312" s="127" t="s">
        <v>1305</v>
      </c>
      <c r="V312" s="127">
        <f t="shared" si="47"/>
        <v>0</v>
      </c>
    </row>
    <row r="313" spans="1:22" ht="15.75">
      <c r="A313" s="155" t="s">
        <v>1351</v>
      </c>
      <c r="B313" s="125" t="s">
        <v>846</v>
      </c>
      <c r="C313" s="130">
        <f t="shared" si="41"/>
        <v>36</v>
      </c>
      <c r="E313" s="144" t="s">
        <v>856</v>
      </c>
      <c r="F313" s="144">
        <v>3</v>
      </c>
      <c r="G313" s="144">
        <f t="shared" si="42"/>
        <v>11</v>
      </c>
      <c r="H313" s="144" t="s">
        <v>1026</v>
      </c>
      <c r="I313" s="144">
        <v>3</v>
      </c>
      <c r="J313" s="127">
        <f t="shared" si="43"/>
        <v>1</v>
      </c>
      <c r="K313" s="127" t="s">
        <v>1305</v>
      </c>
      <c r="M313" s="127">
        <f t="shared" si="44"/>
        <v>0</v>
      </c>
      <c r="N313" s="127" t="s">
        <v>1305</v>
      </c>
      <c r="P313" s="127">
        <f t="shared" si="45"/>
        <v>0</v>
      </c>
      <c r="Q313" s="127" t="s">
        <v>1305</v>
      </c>
      <c r="S313" s="127">
        <f t="shared" si="46"/>
        <v>0</v>
      </c>
      <c r="T313" s="127" t="s">
        <v>1305</v>
      </c>
      <c r="V313" s="127">
        <f t="shared" si="47"/>
        <v>0</v>
      </c>
    </row>
    <row r="314" spans="1:22" ht="15.75">
      <c r="A314" s="155" t="s">
        <v>1351</v>
      </c>
      <c r="B314" s="125" t="s">
        <v>847</v>
      </c>
      <c r="C314" s="130">
        <f t="shared" si="41"/>
        <v>22</v>
      </c>
      <c r="E314" s="144" t="s">
        <v>856</v>
      </c>
      <c r="F314" s="144">
        <v>2</v>
      </c>
      <c r="G314" s="144">
        <f t="shared" si="42"/>
        <v>11</v>
      </c>
      <c r="H314" s="144" t="s">
        <v>1305</v>
      </c>
      <c r="I314" s="144"/>
      <c r="J314" s="127">
        <f t="shared" si="43"/>
        <v>0</v>
      </c>
      <c r="K314" s="127" t="s">
        <v>1305</v>
      </c>
      <c r="M314" s="127">
        <f t="shared" si="44"/>
        <v>0</v>
      </c>
      <c r="N314" s="127" t="s">
        <v>1305</v>
      </c>
      <c r="P314" s="127">
        <f t="shared" si="45"/>
        <v>0</v>
      </c>
      <c r="Q314" s="127" t="s">
        <v>1305</v>
      </c>
      <c r="S314" s="127">
        <f t="shared" si="46"/>
        <v>0</v>
      </c>
      <c r="T314" s="127" t="s">
        <v>1305</v>
      </c>
      <c r="V314" s="127">
        <f t="shared" si="47"/>
        <v>0</v>
      </c>
    </row>
    <row r="315" spans="1:22" ht="15.75">
      <c r="A315" s="155" t="s">
        <v>1351</v>
      </c>
      <c r="B315" s="125" t="s">
        <v>848</v>
      </c>
      <c r="C315" s="130">
        <f t="shared" ref="C315:C378" si="48">(G315*F315)+(I315*J315)+(L315*M315)+(O315*P315)+(R315*S315)+(U315*V315)</f>
        <v>27.5</v>
      </c>
      <c r="E315" s="144" t="s">
        <v>849</v>
      </c>
      <c r="F315" s="144">
        <v>1</v>
      </c>
      <c r="G315" s="144">
        <f t="shared" si="42"/>
        <v>27.5</v>
      </c>
      <c r="H315" s="144" t="s">
        <v>1305</v>
      </c>
      <c r="I315" s="144"/>
      <c r="J315" s="127">
        <f t="shared" si="43"/>
        <v>0</v>
      </c>
      <c r="K315" s="127" t="s">
        <v>1305</v>
      </c>
      <c r="M315" s="127">
        <f t="shared" si="44"/>
        <v>0</v>
      </c>
      <c r="N315" s="127" t="s">
        <v>1305</v>
      </c>
      <c r="P315" s="127">
        <f t="shared" si="45"/>
        <v>0</v>
      </c>
      <c r="Q315" s="127" t="s">
        <v>1305</v>
      </c>
      <c r="S315" s="127">
        <f t="shared" si="46"/>
        <v>0</v>
      </c>
      <c r="T315" s="127" t="s">
        <v>1305</v>
      </c>
      <c r="V315" s="127">
        <f t="shared" si="47"/>
        <v>0</v>
      </c>
    </row>
    <row r="316" spans="1:22" ht="15.75">
      <c r="A316" s="155" t="s">
        <v>1351</v>
      </c>
      <c r="B316" s="125" t="s">
        <v>849</v>
      </c>
      <c r="C316" s="130">
        <f t="shared" si="48"/>
        <v>27.5</v>
      </c>
      <c r="E316" s="144" t="s">
        <v>1158</v>
      </c>
      <c r="F316" s="144">
        <v>4</v>
      </c>
      <c r="G316" s="144">
        <f t="shared" si="42"/>
        <v>5</v>
      </c>
      <c r="H316" s="144" t="s">
        <v>844</v>
      </c>
      <c r="I316" s="144">
        <v>4</v>
      </c>
      <c r="J316" s="127">
        <f t="shared" si="43"/>
        <v>1</v>
      </c>
      <c r="K316" s="144" t="s">
        <v>850</v>
      </c>
      <c r="L316" s="127">
        <v>1</v>
      </c>
      <c r="M316" s="127">
        <f t="shared" si="44"/>
        <v>3.5</v>
      </c>
      <c r="N316" s="127" t="s">
        <v>1305</v>
      </c>
      <c r="P316" s="127">
        <f t="shared" si="45"/>
        <v>0</v>
      </c>
      <c r="Q316" s="127" t="s">
        <v>1305</v>
      </c>
      <c r="S316" s="127">
        <f t="shared" si="46"/>
        <v>0</v>
      </c>
      <c r="T316" s="127" t="s">
        <v>1305</v>
      </c>
      <c r="V316" s="127">
        <f t="shared" si="47"/>
        <v>0</v>
      </c>
    </row>
    <row r="317" spans="1:22" s="13" customFormat="1" ht="15.75">
      <c r="A317" s="155" t="s">
        <v>1351</v>
      </c>
      <c r="B317" s="145" t="s">
        <v>850</v>
      </c>
      <c r="C317" s="146">
        <f t="shared" si="48"/>
        <v>3.5</v>
      </c>
      <c r="D317" s="133"/>
      <c r="E317" s="13" t="s">
        <v>587</v>
      </c>
      <c r="F317" s="13">
        <v>1</v>
      </c>
      <c r="G317" s="13">
        <f t="shared" si="42"/>
        <v>1</v>
      </c>
      <c r="H317" s="13" t="s">
        <v>1267</v>
      </c>
      <c r="I317" s="13">
        <v>1</v>
      </c>
      <c r="J317" s="13">
        <f t="shared" si="43"/>
        <v>2.5</v>
      </c>
      <c r="K317" s="13" t="s">
        <v>1305</v>
      </c>
      <c r="M317" s="13">
        <f t="shared" si="44"/>
        <v>0</v>
      </c>
      <c r="N317" s="13" t="s">
        <v>1305</v>
      </c>
      <c r="P317" s="13">
        <f t="shared" si="45"/>
        <v>0</v>
      </c>
      <c r="Q317" s="13" t="s">
        <v>1305</v>
      </c>
      <c r="S317" s="13">
        <f t="shared" si="46"/>
        <v>0</v>
      </c>
      <c r="T317" s="13" t="s">
        <v>1305</v>
      </c>
      <c r="V317" s="13">
        <f t="shared" si="47"/>
        <v>0</v>
      </c>
    </row>
    <row r="318" spans="1:22" ht="15.75">
      <c r="A318" s="155" t="s">
        <v>1351</v>
      </c>
      <c r="B318" s="125" t="s">
        <v>851</v>
      </c>
      <c r="C318" s="130">
        <f t="shared" si="48"/>
        <v>256</v>
      </c>
      <c r="E318" s="144" t="s">
        <v>855</v>
      </c>
      <c r="F318" s="144">
        <v>1</v>
      </c>
      <c r="G318" s="144">
        <f t="shared" si="42"/>
        <v>253</v>
      </c>
      <c r="H318" s="144" t="s">
        <v>672</v>
      </c>
      <c r="I318" s="144">
        <v>1</v>
      </c>
      <c r="J318" s="127">
        <f t="shared" ref="J318:J380" si="49">VLOOKUP(H318,IDPOINTS,2,FALSE)</f>
        <v>3</v>
      </c>
      <c r="K318" s="127" t="s">
        <v>1305</v>
      </c>
      <c r="M318" s="127">
        <f t="shared" ref="M318:M380" si="50">VLOOKUP(K318,IDPOINTS,2,FALSE)</f>
        <v>0</v>
      </c>
      <c r="N318" s="127" t="s">
        <v>1305</v>
      </c>
      <c r="P318" s="127">
        <f t="shared" ref="P318:P380" si="51">VLOOKUP(N318,IDPOINTS,2,FALSE)</f>
        <v>0</v>
      </c>
      <c r="Q318" s="127" t="s">
        <v>1305</v>
      </c>
      <c r="S318" s="127">
        <f t="shared" ref="S318:S380" si="52">VLOOKUP(Q318,IDPOINTS,2,FALSE)</f>
        <v>0</v>
      </c>
      <c r="T318" s="127" t="s">
        <v>1305</v>
      </c>
      <c r="V318" s="127">
        <f t="shared" ref="V318:V380" si="53">VLOOKUP(T318,IDPOINTS,2,FALSE)</f>
        <v>0</v>
      </c>
    </row>
    <row r="319" spans="1:22" ht="15.75">
      <c r="A319" s="155" t="s">
        <v>1351</v>
      </c>
      <c r="B319" s="125" t="s">
        <v>852</v>
      </c>
      <c r="C319" s="130">
        <f t="shared" si="48"/>
        <v>29.5</v>
      </c>
      <c r="E319" s="144" t="s">
        <v>850</v>
      </c>
      <c r="F319" s="144">
        <v>1</v>
      </c>
      <c r="G319" s="144">
        <f t="shared" ref="G319:G328" si="54">VLOOKUP(E319,IDPOINTS,2,FALSE)</f>
        <v>3.5</v>
      </c>
      <c r="H319" s="144" t="s">
        <v>1170</v>
      </c>
      <c r="I319" s="144">
        <v>1</v>
      </c>
      <c r="J319" s="127">
        <f t="shared" si="49"/>
        <v>26</v>
      </c>
      <c r="K319" s="127" t="s">
        <v>1305</v>
      </c>
      <c r="M319" s="127">
        <f t="shared" si="50"/>
        <v>0</v>
      </c>
      <c r="N319" s="127" t="s">
        <v>1305</v>
      </c>
      <c r="P319" s="127">
        <f t="shared" si="51"/>
        <v>0</v>
      </c>
      <c r="Q319" s="127" t="s">
        <v>1305</v>
      </c>
      <c r="S319" s="127">
        <f t="shared" si="52"/>
        <v>0</v>
      </c>
      <c r="T319" s="127" t="s">
        <v>1305</v>
      </c>
      <c r="V319" s="127">
        <f t="shared" si="53"/>
        <v>0</v>
      </c>
    </row>
    <row r="320" spans="1:22" ht="15.75">
      <c r="A320" s="155" t="s">
        <v>1351</v>
      </c>
      <c r="B320" s="125" t="s">
        <v>853</v>
      </c>
      <c r="C320" s="130">
        <f t="shared" si="48"/>
        <v>67.5</v>
      </c>
      <c r="E320" s="144" t="s">
        <v>814</v>
      </c>
      <c r="F320" s="144">
        <v>8</v>
      </c>
      <c r="G320" s="144">
        <f t="shared" si="54"/>
        <v>8</v>
      </c>
      <c r="H320" s="144" t="s">
        <v>850</v>
      </c>
      <c r="I320" s="144">
        <v>1</v>
      </c>
      <c r="J320" s="127">
        <f t="shared" si="49"/>
        <v>3.5</v>
      </c>
      <c r="K320" s="127" t="s">
        <v>1305</v>
      </c>
      <c r="M320" s="127">
        <f t="shared" si="50"/>
        <v>0</v>
      </c>
      <c r="N320" s="127" t="s">
        <v>1305</v>
      </c>
      <c r="P320" s="127">
        <f t="shared" si="51"/>
        <v>0</v>
      </c>
      <c r="Q320" s="127" t="s">
        <v>1305</v>
      </c>
      <c r="S320" s="127">
        <f t="shared" si="52"/>
        <v>0</v>
      </c>
      <c r="T320" s="127" t="s">
        <v>1305</v>
      </c>
      <c r="V320" s="127">
        <f t="shared" si="53"/>
        <v>0</v>
      </c>
    </row>
    <row r="321" spans="1:22" ht="15.75">
      <c r="A321" s="155" t="s">
        <v>1351</v>
      </c>
      <c r="B321" s="125" t="s">
        <v>854</v>
      </c>
      <c r="C321" s="130">
        <f t="shared" si="48"/>
        <v>405</v>
      </c>
      <c r="E321" s="144" t="s">
        <v>853</v>
      </c>
      <c r="F321" s="144">
        <v>6</v>
      </c>
      <c r="G321" s="144">
        <f t="shared" si="54"/>
        <v>67.5</v>
      </c>
      <c r="H321" s="144" t="s">
        <v>1305</v>
      </c>
      <c r="I321" s="144"/>
      <c r="J321" s="127">
        <f t="shared" si="49"/>
        <v>0</v>
      </c>
      <c r="K321" s="127" t="s">
        <v>1305</v>
      </c>
      <c r="M321" s="127">
        <f t="shared" si="50"/>
        <v>0</v>
      </c>
      <c r="N321" s="127" t="s">
        <v>1305</v>
      </c>
      <c r="P321" s="127">
        <f t="shared" si="51"/>
        <v>0</v>
      </c>
      <c r="Q321" s="127" t="s">
        <v>1305</v>
      </c>
      <c r="S321" s="127">
        <f t="shared" si="52"/>
        <v>0</v>
      </c>
      <c r="T321" s="127" t="s">
        <v>1305</v>
      </c>
      <c r="V321" s="127">
        <f t="shared" si="53"/>
        <v>0</v>
      </c>
    </row>
    <row r="322" spans="1:22" ht="15.75">
      <c r="A322" s="155" t="s">
        <v>1351</v>
      </c>
      <c r="B322" s="125" t="s">
        <v>855</v>
      </c>
      <c r="C322" s="130">
        <f t="shared" si="48"/>
        <v>253</v>
      </c>
      <c r="E322" s="144" t="s">
        <v>1245</v>
      </c>
      <c r="F322" s="144">
        <v>8</v>
      </c>
      <c r="G322" s="144">
        <f t="shared" si="54"/>
        <v>31</v>
      </c>
      <c r="H322" s="144" t="s">
        <v>862</v>
      </c>
      <c r="I322" s="144">
        <v>1</v>
      </c>
      <c r="J322" s="127">
        <f t="shared" si="49"/>
        <v>5</v>
      </c>
      <c r="K322" s="127" t="s">
        <v>1305</v>
      </c>
      <c r="M322" s="127">
        <f t="shared" si="50"/>
        <v>0</v>
      </c>
      <c r="N322" s="127" t="s">
        <v>1305</v>
      </c>
      <c r="P322" s="127">
        <f t="shared" si="51"/>
        <v>0</v>
      </c>
      <c r="Q322" s="127" t="s">
        <v>1305</v>
      </c>
      <c r="S322" s="127">
        <f t="shared" si="52"/>
        <v>0</v>
      </c>
      <c r="T322" s="127" t="s">
        <v>1305</v>
      </c>
      <c r="V322" s="127">
        <f t="shared" si="53"/>
        <v>0</v>
      </c>
    </row>
    <row r="323" spans="1:22" ht="15.75">
      <c r="A323" s="155" t="s">
        <v>1351</v>
      </c>
      <c r="B323" s="125" t="s">
        <v>856</v>
      </c>
      <c r="C323" s="130">
        <f t="shared" si="48"/>
        <v>11</v>
      </c>
      <c r="E323" s="144" t="s">
        <v>1274</v>
      </c>
      <c r="F323" s="144">
        <v>1</v>
      </c>
      <c r="G323" s="144">
        <f t="shared" si="54"/>
        <v>6</v>
      </c>
      <c r="H323" s="144" t="s">
        <v>862</v>
      </c>
      <c r="I323" s="144">
        <v>1</v>
      </c>
      <c r="J323" s="127">
        <f t="shared" si="49"/>
        <v>5</v>
      </c>
      <c r="K323" s="127" t="s">
        <v>1305</v>
      </c>
      <c r="M323" s="127">
        <f t="shared" si="50"/>
        <v>0</v>
      </c>
      <c r="N323" s="127" t="s">
        <v>1305</v>
      </c>
      <c r="P323" s="127">
        <f t="shared" si="51"/>
        <v>0</v>
      </c>
      <c r="Q323" s="127" t="s">
        <v>1305</v>
      </c>
      <c r="S323" s="127">
        <f t="shared" si="52"/>
        <v>0</v>
      </c>
      <c r="T323" s="127" t="s">
        <v>1305</v>
      </c>
      <c r="V323" s="127">
        <f t="shared" si="53"/>
        <v>0</v>
      </c>
    </row>
    <row r="324" spans="1:22" ht="15.75">
      <c r="A324" s="155" t="s">
        <v>1351</v>
      </c>
      <c r="B324" s="125" t="s">
        <v>857</v>
      </c>
      <c r="C324" s="130">
        <f t="shared" si="48"/>
        <v>68</v>
      </c>
      <c r="E324" s="144" t="s">
        <v>868</v>
      </c>
      <c r="F324" s="144">
        <v>6</v>
      </c>
      <c r="G324" s="144">
        <f t="shared" si="54"/>
        <v>11</v>
      </c>
      <c r="H324" s="144" t="s">
        <v>1208</v>
      </c>
      <c r="I324" s="144">
        <v>1</v>
      </c>
      <c r="J324" s="127">
        <f t="shared" si="49"/>
        <v>2</v>
      </c>
      <c r="K324" s="127" t="s">
        <v>1305</v>
      </c>
      <c r="M324" s="127">
        <f t="shared" si="50"/>
        <v>0</v>
      </c>
      <c r="N324" s="127" t="s">
        <v>1305</v>
      </c>
      <c r="P324" s="127">
        <f t="shared" si="51"/>
        <v>0</v>
      </c>
      <c r="Q324" s="127" t="s">
        <v>1305</v>
      </c>
      <c r="S324" s="127">
        <f t="shared" si="52"/>
        <v>0</v>
      </c>
      <c r="T324" s="127" t="s">
        <v>1305</v>
      </c>
      <c r="V324" s="127">
        <f t="shared" si="53"/>
        <v>0</v>
      </c>
    </row>
    <row r="325" spans="1:22" ht="15.75">
      <c r="A325" s="155" t="s">
        <v>1351</v>
      </c>
      <c r="B325" s="125" t="s">
        <v>858</v>
      </c>
      <c r="C325" s="130">
        <f t="shared" si="48"/>
        <v>36</v>
      </c>
      <c r="E325" s="144" t="s">
        <v>868</v>
      </c>
      <c r="F325" s="144">
        <v>3</v>
      </c>
      <c r="G325" s="144">
        <f t="shared" si="54"/>
        <v>11</v>
      </c>
      <c r="H325" s="144" t="s">
        <v>1026</v>
      </c>
      <c r="I325" s="144">
        <v>3</v>
      </c>
      <c r="J325" s="127">
        <f t="shared" si="49"/>
        <v>1</v>
      </c>
      <c r="K325" s="127" t="s">
        <v>1305</v>
      </c>
      <c r="M325" s="127">
        <f t="shared" si="50"/>
        <v>0</v>
      </c>
      <c r="N325" s="127" t="s">
        <v>1305</v>
      </c>
      <c r="P325" s="127">
        <f t="shared" si="51"/>
        <v>0</v>
      </c>
      <c r="Q325" s="127" t="s">
        <v>1305</v>
      </c>
      <c r="S325" s="127">
        <f t="shared" si="52"/>
        <v>0</v>
      </c>
      <c r="T325" s="127" t="s">
        <v>1305</v>
      </c>
      <c r="V325" s="127">
        <f t="shared" si="53"/>
        <v>0</v>
      </c>
    </row>
    <row r="326" spans="1:22" ht="15.75">
      <c r="A326" s="155" t="s">
        <v>1351</v>
      </c>
      <c r="B326" s="125" t="s">
        <v>859</v>
      </c>
      <c r="C326" s="130">
        <f t="shared" si="48"/>
        <v>22</v>
      </c>
      <c r="E326" s="144" t="s">
        <v>868</v>
      </c>
      <c r="F326" s="144">
        <v>2</v>
      </c>
      <c r="G326" s="144">
        <f t="shared" si="54"/>
        <v>11</v>
      </c>
      <c r="H326" s="144" t="s">
        <v>1305</v>
      </c>
      <c r="I326" s="144"/>
      <c r="J326" s="127">
        <f t="shared" si="49"/>
        <v>0</v>
      </c>
      <c r="K326" s="127" t="s">
        <v>1305</v>
      </c>
      <c r="M326" s="127">
        <f t="shared" si="50"/>
        <v>0</v>
      </c>
      <c r="N326" s="127" t="s">
        <v>1305</v>
      </c>
      <c r="P326" s="127">
        <f t="shared" si="51"/>
        <v>0</v>
      </c>
      <c r="Q326" s="127" t="s">
        <v>1305</v>
      </c>
      <c r="S326" s="127">
        <f t="shared" si="52"/>
        <v>0</v>
      </c>
      <c r="T326" s="127" t="s">
        <v>1305</v>
      </c>
      <c r="V326" s="127">
        <f t="shared" si="53"/>
        <v>0</v>
      </c>
    </row>
    <row r="327" spans="1:22" ht="15.75">
      <c r="A327" s="155" t="s">
        <v>1351</v>
      </c>
      <c r="B327" s="125" t="s">
        <v>860</v>
      </c>
      <c r="C327" s="130">
        <f t="shared" si="48"/>
        <v>24</v>
      </c>
      <c r="E327" s="144" t="s">
        <v>861</v>
      </c>
      <c r="F327" s="144">
        <v>1</v>
      </c>
      <c r="G327" s="144">
        <f t="shared" si="54"/>
        <v>24</v>
      </c>
      <c r="H327" s="144" t="s">
        <v>1305</v>
      </c>
      <c r="I327" s="144"/>
      <c r="J327" s="127">
        <f t="shared" si="49"/>
        <v>0</v>
      </c>
      <c r="K327" s="127" t="s">
        <v>1305</v>
      </c>
      <c r="M327" s="127">
        <f t="shared" si="50"/>
        <v>0</v>
      </c>
      <c r="N327" s="127" t="s">
        <v>1305</v>
      </c>
      <c r="P327" s="127">
        <f t="shared" si="51"/>
        <v>0</v>
      </c>
      <c r="Q327" s="127" t="s">
        <v>1305</v>
      </c>
      <c r="S327" s="127">
        <f t="shared" si="52"/>
        <v>0</v>
      </c>
      <c r="T327" s="127" t="s">
        <v>1305</v>
      </c>
      <c r="V327" s="127">
        <f t="shared" si="53"/>
        <v>0</v>
      </c>
    </row>
    <row r="328" spans="1:22" ht="15.75">
      <c r="A328" s="155" t="s">
        <v>1351</v>
      </c>
      <c r="B328" s="125" t="s">
        <v>861</v>
      </c>
      <c r="C328" s="130">
        <f t="shared" si="48"/>
        <v>24</v>
      </c>
      <c r="E328" s="144" t="s">
        <v>1158</v>
      </c>
      <c r="F328" s="144">
        <v>4</v>
      </c>
      <c r="G328" s="144">
        <f t="shared" si="54"/>
        <v>5</v>
      </c>
      <c r="H328" s="144" t="s">
        <v>844</v>
      </c>
      <c r="I328" s="144">
        <v>4</v>
      </c>
      <c r="J328" s="127">
        <f t="shared" si="49"/>
        <v>1</v>
      </c>
      <c r="K328" s="127" t="s">
        <v>1305</v>
      </c>
      <c r="M328" s="127">
        <f t="shared" si="50"/>
        <v>0</v>
      </c>
      <c r="N328" s="127" t="s">
        <v>1305</v>
      </c>
      <c r="P328" s="127">
        <f t="shared" si="51"/>
        <v>0</v>
      </c>
      <c r="Q328" s="127" t="s">
        <v>1305</v>
      </c>
      <c r="S328" s="127">
        <f t="shared" si="52"/>
        <v>0</v>
      </c>
      <c r="T328" s="127" t="s">
        <v>1305</v>
      </c>
      <c r="V328" s="127">
        <f t="shared" si="53"/>
        <v>0</v>
      </c>
    </row>
    <row r="329" spans="1:22" s="13" customFormat="1" ht="15.75">
      <c r="A329" s="155" t="s">
        <v>1351</v>
      </c>
      <c r="B329" s="145" t="s">
        <v>862</v>
      </c>
      <c r="C329" s="146">
        <f t="shared" si="48"/>
        <v>5</v>
      </c>
      <c r="D329" s="133"/>
      <c r="E329" s="13" t="s">
        <v>646</v>
      </c>
      <c r="F329" s="13">
        <v>1</v>
      </c>
      <c r="G329" s="13">
        <f t="shared" ref="G329:G386" si="55">VLOOKUP(E329,IDPOINTS,2,FALSE)</f>
        <v>5</v>
      </c>
      <c r="H329" s="13" t="s">
        <v>1305</v>
      </c>
      <c r="J329" s="13">
        <f t="shared" si="49"/>
        <v>0</v>
      </c>
      <c r="K329" s="13" t="s">
        <v>1305</v>
      </c>
      <c r="M329" s="13">
        <f t="shared" si="50"/>
        <v>0</v>
      </c>
      <c r="N329" s="13" t="s">
        <v>1305</v>
      </c>
      <c r="P329" s="13">
        <f t="shared" si="51"/>
        <v>0</v>
      </c>
      <c r="Q329" s="13" t="s">
        <v>1305</v>
      </c>
      <c r="S329" s="13">
        <f t="shared" si="52"/>
        <v>0</v>
      </c>
      <c r="T329" s="13" t="s">
        <v>1305</v>
      </c>
      <c r="V329" s="13">
        <f t="shared" si="53"/>
        <v>0</v>
      </c>
    </row>
    <row r="330" spans="1:22" ht="15.75">
      <c r="A330" s="155" t="s">
        <v>1351</v>
      </c>
      <c r="B330" s="125" t="s">
        <v>863</v>
      </c>
      <c r="C330" s="130">
        <f t="shared" si="48"/>
        <v>256</v>
      </c>
      <c r="E330" s="144" t="s">
        <v>867</v>
      </c>
      <c r="F330" s="144">
        <v>1</v>
      </c>
      <c r="G330" s="144">
        <f t="shared" si="55"/>
        <v>253</v>
      </c>
      <c r="H330" s="144" t="s">
        <v>672</v>
      </c>
      <c r="I330" s="144">
        <v>1</v>
      </c>
      <c r="J330" s="127">
        <f t="shared" si="49"/>
        <v>3</v>
      </c>
      <c r="K330" s="127" t="s">
        <v>1305</v>
      </c>
      <c r="M330" s="127">
        <f t="shared" si="50"/>
        <v>0</v>
      </c>
      <c r="N330" s="127" t="s">
        <v>1305</v>
      </c>
      <c r="P330" s="127">
        <f t="shared" si="51"/>
        <v>0</v>
      </c>
      <c r="Q330" s="127" t="s">
        <v>1305</v>
      </c>
      <c r="S330" s="127">
        <f t="shared" si="52"/>
        <v>0</v>
      </c>
      <c r="T330" s="127" t="s">
        <v>1305</v>
      </c>
      <c r="V330" s="127">
        <f t="shared" si="53"/>
        <v>0</v>
      </c>
    </row>
    <row r="331" spans="1:22" ht="15.75">
      <c r="A331" s="155" t="s">
        <v>1351</v>
      </c>
      <c r="B331" s="125" t="s">
        <v>864</v>
      </c>
      <c r="C331" s="130">
        <f t="shared" si="48"/>
        <v>31</v>
      </c>
      <c r="E331" s="144" t="s">
        <v>862</v>
      </c>
      <c r="F331" s="144">
        <v>1</v>
      </c>
      <c r="G331" s="144">
        <f t="shared" si="55"/>
        <v>5</v>
      </c>
      <c r="H331" s="144" t="s">
        <v>1170</v>
      </c>
      <c r="I331" s="144">
        <v>1</v>
      </c>
      <c r="J331" s="127">
        <f t="shared" si="49"/>
        <v>26</v>
      </c>
      <c r="K331" s="127" t="s">
        <v>1305</v>
      </c>
      <c r="M331" s="127">
        <f t="shared" si="50"/>
        <v>0</v>
      </c>
      <c r="N331" s="127" t="s">
        <v>1305</v>
      </c>
      <c r="P331" s="127">
        <f t="shared" si="51"/>
        <v>0</v>
      </c>
      <c r="Q331" s="127" t="s">
        <v>1305</v>
      </c>
      <c r="S331" s="127">
        <f t="shared" si="52"/>
        <v>0</v>
      </c>
      <c r="T331" s="127" t="s">
        <v>1305</v>
      </c>
      <c r="V331" s="127">
        <f t="shared" si="53"/>
        <v>0</v>
      </c>
    </row>
    <row r="332" spans="1:22" ht="15.75">
      <c r="A332" s="155" t="s">
        <v>1351</v>
      </c>
      <c r="B332" s="125" t="s">
        <v>865</v>
      </c>
      <c r="C332" s="130">
        <f t="shared" si="48"/>
        <v>69</v>
      </c>
      <c r="E332" s="144" t="s">
        <v>814</v>
      </c>
      <c r="F332" s="144">
        <v>8</v>
      </c>
      <c r="G332" s="144">
        <f t="shared" si="55"/>
        <v>8</v>
      </c>
      <c r="H332" s="144" t="s">
        <v>862</v>
      </c>
      <c r="I332" s="144">
        <v>1</v>
      </c>
      <c r="J332" s="127">
        <f t="shared" si="49"/>
        <v>5</v>
      </c>
      <c r="K332" s="127" t="s">
        <v>1305</v>
      </c>
      <c r="M332" s="127">
        <f t="shared" si="50"/>
        <v>0</v>
      </c>
      <c r="N332" s="127" t="s">
        <v>1305</v>
      </c>
      <c r="P332" s="127">
        <f t="shared" si="51"/>
        <v>0</v>
      </c>
      <c r="Q332" s="127" t="s">
        <v>1305</v>
      </c>
      <c r="S332" s="127">
        <f t="shared" si="52"/>
        <v>0</v>
      </c>
      <c r="T332" s="127" t="s">
        <v>1305</v>
      </c>
      <c r="V332" s="127">
        <f t="shared" si="53"/>
        <v>0</v>
      </c>
    </row>
    <row r="333" spans="1:22" ht="15.75">
      <c r="A333" s="155" t="s">
        <v>1351</v>
      </c>
      <c r="B333" s="125" t="s">
        <v>866</v>
      </c>
      <c r="C333" s="130">
        <f t="shared" si="48"/>
        <v>414</v>
      </c>
      <c r="E333" s="144" t="s">
        <v>865</v>
      </c>
      <c r="F333" s="144">
        <v>6</v>
      </c>
      <c r="G333" s="144">
        <f t="shared" si="55"/>
        <v>69</v>
      </c>
      <c r="H333" s="144" t="s">
        <v>1305</v>
      </c>
      <c r="I333" s="144"/>
      <c r="J333" s="127">
        <f t="shared" si="49"/>
        <v>0</v>
      </c>
      <c r="K333" s="127" t="s">
        <v>1305</v>
      </c>
      <c r="M333" s="127">
        <f t="shared" si="50"/>
        <v>0</v>
      </c>
      <c r="N333" s="127" t="s">
        <v>1305</v>
      </c>
      <c r="P333" s="127">
        <f t="shared" si="51"/>
        <v>0</v>
      </c>
      <c r="Q333" s="127" t="s">
        <v>1305</v>
      </c>
      <c r="S333" s="127">
        <f t="shared" si="52"/>
        <v>0</v>
      </c>
      <c r="T333" s="127" t="s">
        <v>1305</v>
      </c>
      <c r="V333" s="127">
        <f t="shared" si="53"/>
        <v>0</v>
      </c>
    </row>
    <row r="334" spans="1:22" ht="15.75">
      <c r="A334" s="155" t="s">
        <v>1351</v>
      </c>
      <c r="B334" s="125" t="s">
        <v>867</v>
      </c>
      <c r="C334" s="130">
        <f t="shared" si="48"/>
        <v>253</v>
      </c>
      <c r="E334" s="144" t="s">
        <v>1245</v>
      </c>
      <c r="F334" s="144">
        <v>8</v>
      </c>
      <c r="G334" s="144">
        <f t="shared" si="55"/>
        <v>31</v>
      </c>
      <c r="H334" s="144" t="s">
        <v>862</v>
      </c>
      <c r="I334" s="144">
        <v>1</v>
      </c>
      <c r="J334" s="127">
        <f t="shared" si="49"/>
        <v>5</v>
      </c>
      <c r="K334" s="127" t="s">
        <v>1305</v>
      </c>
      <c r="M334" s="127">
        <f t="shared" si="50"/>
        <v>0</v>
      </c>
      <c r="N334" s="127" t="s">
        <v>1305</v>
      </c>
      <c r="P334" s="127">
        <f t="shared" si="51"/>
        <v>0</v>
      </c>
      <c r="Q334" s="127" t="s">
        <v>1305</v>
      </c>
      <c r="S334" s="127">
        <f t="shared" si="52"/>
        <v>0</v>
      </c>
      <c r="T334" s="127" t="s">
        <v>1305</v>
      </c>
      <c r="V334" s="127">
        <f t="shared" si="53"/>
        <v>0</v>
      </c>
    </row>
    <row r="335" spans="1:22" ht="15.75">
      <c r="A335" s="155" t="s">
        <v>1351</v>
      </c>
      <c r="B335" s="125" t="s">
        <v>868</v>
      </c>
      <c r="C335" s="130">
        <f t="shared" si="48"/>
        <v>11</v>
      </c>
      <c r="E335" s="144" t="s">
        <v>1274</v>
      </c>
      <c r="F335" s="144">
        <v>1</v>
      </c>
      <c r="G335" s="144">
        <f t="shared" si="55"/>
        <v>6</v>
      </c>
      <c r="H335" s="144" t="s">
        <v>862</v>
      </c>
      <c r="I335" s="144">
        <v>1</v>
      </c>
      <c r="J335" s="127">
        <f t="shared" si="49"/>
        <v>5</v>
      </c>
      <c r="K335" s="127" t="s">
        <v>1305</v>
      </c>
      <c r="M335" s="127">
        <f t="shared" si="50"/>
        <v>0</v>
      </c>
      <c r="N335" s="127" t="s">
        <v>1305</v>
      </c>
      <c r="P335" s="127">
        <f t="shared" si="51"/>
        <v>0</v>
      </c>
      <c r="Q335" s="127" t="s">
        <v>1305</v>
      </c>
      <c r="S335" s="127">
        <f t="shared" si="52"/>
        <v>0</v>
      </c>
      <c r="T335" s="127" t="s">
        <v>1305</v>
      </c>
      <c r="V335" s="127">
        <f t="shared" si="53"/>
        <v>0</v>
      </c>
    </row>
    <row r="336" spans="1:22" ht="15.75">
      <c r="A336" s="155" t="s">
        <v>1343</v>
      </c>
      <c r="B336" s="125" t="s">
        <v>869</v>
      </c>
      <c r="C336" s="130">
        <f t="shared" si="48"/>
        <v>18</v>
      </c>
      <c r="E336" s="127" t="s">
        <v>1221</v>
      </c>
      <c r="F336">
        <v>1</v>
      </c>
      <c r="G336" s="127">
        <f t="shared" si="55"/>
        <v>12</v>
      </c>
      <c r="H336" s="127" t="s">
        <v>1208</v>
      </c>
      <c r="I336" s="127">
        <v>2</v>
      </c>
      <c r="J336" s="127">
        <f t="shared" si="49"/>
        <v>2</v>
      </c>
      <c r="K336" s="127" t="s">
        <v>1026</v>
      </c>
      <c r="L336" s="127">
        <v>2</v>
      </c>
      <c r="M336" s="127">
        <f t="shared" si="50"/>
        <v>1</v>
      </c>
      <c r="N336" s="127" t="s">
        <v>1305</v>
      </c>
      <c r="P336" s="127">
        <f t="shared" si="51"/>
        <v>0</v>
      </c>
      <c r="Q336" s="127" t="s">
        <v>1305</v>
      </c>
      <c r="S336" s="127">
        <f t="shared" si="52"/>
        <v>0</v>
      </c>
      <c r="T336" s="127" t="s">
        <v>1305</v>
      </c>
      <c r="V336" s="127">
        <f t="shared" si="53"/>
        <v>0</v>
      </c>
    </row>
    <row r="337" spans="1:22" s="150" customFormat="1" ht="15.75">
      <c r="A337" s="138" t="s">
        <v>1341</v>
      </c>
      <c r="B337" s="148" t="s">
        <v>870</v>
      </c>
      <c r="C337" s="149">
        <f>'ECONOMIA &amp; PROFESIONES'!E57</f>
        <v>5</v>
      </c>
      <c r="D337" s="133"/>
      <c r="E337" s="150" t="s">
        <v>1305</v>
      </c>
      <c r="G337" s="150">
        <f t="shared" si="55"/>
        <v>0</v>
      </c>
      <c r="H337" s="150" t="s">
        <v>1305</v>
      </c>
      <c r="J337" s="150">
        <f t="shared" si="49"/>
        <v>0</v>
      </c>
      <c r="K337" s="150" t="s">
        <v>1305</v>
      </c>
      <c r="M337" s="150">
        <f t="shared" si="50"/>
        <v>0</v>
      </c>
      <c r="N337" s="150" t="s">
        <v>1305</v>
      </c>
      <c r="P337" s="150">
        <f t="shared" si="51"/>
        <v>0</v>
      </c>
      <c r="Q337" s="150" t="s">
        <v>1305</v>
      </c>
      <c r="S337" s="150">
        <f t="shared" si="52"/>
        <v>0</v>
      </c>
      <c r="T337" s="150" t="s">
        <v>1305</v>
      </c>
      <c r="V337" s="150">
        <f t="shared" si="53"/>
        <v>0</v>
      </c>
    </row>
    <row r="338" spans="1:22" ht="15.75">
      <c r="A338" s="155" t="s">
        <v>1348</v>
      </c>
      <c r="B338" s="125" t="s">
        <v>871</v>
      </c>
      <c r="C338" s="130">
        <f t="shared" si="48"/>
        <v>63</v>
      </c>
      <c r="E338" s="127" t="s">
        <v>1260</v>
      </c>
      <c r="F338">
        <v>9</v>
      </c>
      <c r="G338" s="127">
        <f t="shared" si="55"/>
        <v>7</v>
      </c>
      <c r="H338" s="127" t="s">
        <v>1305</v>
      </c>
      <c r="J338" s="127">
        <f t="shared" si="49"/>
        <v>0</v>
      </c>
      <c r="K338" s="127" t="s">
        <v>1305</v>
      </c>
      <c r="M338" s="127">
        <f t="shared" si="50"/>
        <v>0</v>
      </c>
      <c r="N338" s="127" t="s">
        <v>1305</v>
      </c>
      <c r="P338" s="127">
        <f t="shared" si="51"/>
        <v>0</v>
      </c>
      <c r="Q338" s="127" t="s">
        <v>1305</v>
      </c>
      <c r="S338" s="127">
        <f t="shared" si="52"/>
        <v>0</v>
      </c>
      <c r="T338" s="127" t="s">
        <v>1305</v>
      </c>
      <c r="V338" s="127">
        <f t="shared" si="53"/>
        <v>0</v>
      </c>
    </row>
    <row r="339" spans="1:22" s="141" customFormat="1" ht="15.75">
      <c r="A339" s="155"/>
      <c r="B339" s="139" t="s">
        <v>872</v>
      </c>
      <c r="C339" s="140">
        <f t="shared" si="48"/>
        <v>0</v>
      </c>
      <c r="D339" s="133"/>
      <c r="E339" s="141" t="s">
        <v>1305</v>
      </c>
      <c r="G339" s="141">
        <f t="shared" si="55"/>
        <v>0</v>
      </c>
      <c r="H339" s="141" t="s">
        <v>1305</v>
      </c>
      <c r="J339" s="141">
        <f t="shared" si="49"/>
        <v>0</v>
      </c>
      <c r="K339" s="141" t="s">
        <v>1305</v>
      </c>
      <c r="M339" s="141">
        <f t="shared" si="50"/>
        <v>0</v>
      </c>
      <c r="N339" s="141" t="s">
        <v>1305</v>
      </c>
      <c r="P339" s="141">
        <f t="shared" si="51"/>
        <v>0</v>
      </c>
      <c r="Q339" s="141" t="s">
        <v>1305</v>
      </c>
      <c r="S339" s="141">
        <f t="shared" si="52"/>
        <v>0</v>
      </c>
      <c r="T339" s="141" t="s">
        <v>1305</v>
      </c>
      <c r="V339" s="141">
        <f t="shared" si="53"/>
        <v>0</v>
      </c>
    </row>
    <row r="340" spans="1:22" ht="15.75">
      <c r="A340" s="155" t="s">
        <v>1346</v>
      </c>
      <c r="B340" s="125" t="s">
        <v>873</v>
      </c>
      <c r="C340" s="130">
        <f t="shared" si="48"/>
        <v>8</v>
      </c>
      <c r="E340" s="127" t="s">
        <v>896</v>
      </c>
      <c r="F340">
        <v>2</v>
      </c>
      <c r="G340" s="127">
        <f t="shared" si="55"/>
        <v>4</v>
      </c>
      <c r="H340" s="127" t="s">
        <v>1305</v>
      </c>
      <c r="J340" s="127">
        <f t="shared" si="49"/>
        <v>0</v>
      </c>
      <c r="K340" s="127" t="s">
        <v>1305</v>
      </c>
      <c r="M340" s="127">
        <f t="shared" si="50"/>
        <v>0</v>
      </c>
      <c r="N340" s="127" t="s">
        <v>1305</v>
      </c>
      <c r="P340" s="127">
        <f t="shared" si="51"/>
        <v>0</v>
      </c>
      <c r="Q340" s="127" t="s">
        <v>1305</v>
      </c>
      <c r="S340" s="127">
        <f t="shared" si="52"/>
        <v>0</v>
      </c>
      <c r="T340" s="127" t="s">
        <v>1305</v>
      </c>
      <c r="V340" s="127">
        <f t="shared" si="53"/>
        <v>0</v>
      </c>
    </row>
    <row r="341" spans="1:22" ht="15.75">
      <c r="A341" s="155" t="s">
        <v>1353</v>
      </c>
      <c r="B341" s="125" t="s">
        <v>874</v>
      </c>
      <c r="C341" s="130">
        <f t="shared" si="48"/>
        <v>28</v>
      </c>
      <c r="E341" s="127" t="s">
        <v>659</v>
      </c>
      <c r="F341">
        <v>1</v>
      </c>
      <c r="G341" s="127">
        <f t="shared" si="55"/>
        <v>8</v>
      </c>
      <c r="H341" s="127" t="s">
        <v>896</v>
      </c>
      <c r="I341" s="127">
        <v>5</v>
      </c>
      <c r="J341" s="127">
        <f t="shared" si="49"/>
        <v>4</v>
      </c>
      <c r="K341" s="127" t="s">
        <v>1305</v>
      </c>
      <c r="M341" s="127">
        <f t="shared" si="50"/>
        <v>0</v>
      </c>
      <c r="N341" s="127" t="s">
        <v>1305</v>
      </c>
      <c r="P341" s="127">
        <f t="shared" si="51"/>
        <v>0</v>
      </c>
      <c r="Q341" s="127" t="s">
        <v>1305</v>
      </c>
      <c r="S341" s="127">
        <f t="shared" si="52"/>
        <v>0</v>
      </c>
      <c r="T341" s="127" t="s">
        <v>1305</v>
      </c>
      <c r="V341" s="127">
        <f t="shared" si="53"/>
        <v>0</v>
      </c>
    </row>
    <row r="342" spans="1:22" ht="15.75">
      <c r="A342" s="155" t="s">
        <v>595</v>
      </c>
      <c r="B342" s="125" t="s">
        <v>875</v>
      </c>
      <c r="C342" s="130">
        <f t="shared" si="48"/>
        <v>48</v>
      </c>
      <c r="E342" s="127" t="s">
        <v>994</v>
      </c>
      <c r="F342">
        <v>1</v>
      </c>
      <c r="G342" s="127">
        <f t="shared" si="55"/>
        <v>20</v>
      </c>
      <c r="H342" s="127" t="s">
        <v>874</v>
      </c>
      <c r="I342" s="127">
        <v>1</v>
      </c>
      <c r="J342" s="127">
        <f t="shared" si="49"/>
        <v>28</v>
      </c>
      <c r="K342" s="127" t="s">
        <v>1305</v>
      </c>
      <c r="M342" s="127">
        <f t="shared" si="50"/>
        <v>0</v>
      </c>
      <c r="N342" s="127" t="s">
        <v>1305</v>
      </c>
      <c r="P342" s="127">
        <f t="shared" si="51"/>
        <v>0</v>
      </c>
      <c r="Q342" s="127" t="s">
        <v>1305</v>
      </c>
      <c r="S342" s="127">
        <f t="shared" si="52"/>
        <v>0</v>
      </c>
      <c r="T342" s="127" t="s">
        <v>1305</v>
      </c>
      <c r="V342" s="127">
        <f t="shared" si="53"/>
        <v>0</v>
      </c>
    </row>
    <row r="343" spans="1:22" s="168" customFormat="1" ht="15.75">
      <c r="A343" s="155"/>
      <c r="B343" s="166" t="s">
        <v>876</v>
      </c>
      <c r="C343" s="167">
        <f t="shared" si="48"/>
        <v>0</v>
      </c>
      <c r="D343" s="133"/>
      <c r="E343" s="168" t="s">
        <v>1305</v>
      </c>
      <c r="G343" s="168">
        <f t="shared" si="55"/>
        <v>0</v>
      </c>
      <c r="H343" s="168" t="s">
        <v>1305</v>
      </c>
      <c r="J343" s="168">
        <f t="shared" si="49"/>
        <v>0</v>
      </c>
      <c r="K343" s="168" t="s">
        <v>1305</v>
      </c>
      <c r="M343" s="168">
        <f t="shared" si="50"/>
        <v>0</v>
      </c>
      <c r="N343" s="168" t="s">
        <v>1305</v>
      </c>
      <c r="P343" s="168">
        <f t="shared" si="51"/>
        <v>0</v>
      </c>
      <c r="Q343" s="168" t="s">
        <v>1305</v>
      </c>
      <c r="S343" s="168">
        <f t="shared" si="52"/>
        <v>0</v>
      </c>
      <c r="T343" s="168" t="s">
        <v>1305</v>
      </c>
      <c r="V343" s="168">
        <f t="shared" si="53"/>
        <v>0</v>
      </c>
    </row>
    <row r="344" spans="1:22" s="168" customFormat="1" ht="15.75">
      <c r="A344" s="155"/>
      <c r="B344" s="166" t="s">
        <v>877</v>
      </c>
      <c r="C344" s="167">
        <f t="shared" si="48"/>
        <v>0</v>
      </c>
      <c r="D344" s="133"/>
      <c r="E344" s="168" t="s">
        <v>1305</v>
      </c>
      <c r="G344" s="168">
        <f t="shared" si="55"/>
        <v>0</v>
      </c>
      <c r="H344" s="168" t="s">
        <v>1305</v>
      </c>
      <c r="J344" s="168">
        <f t="shared" si="49"/>
        <v>0</v>
      </c>
      <c r="K344" s="168" t="s">
        <v>1305</v>
      </c>
      <c r="M344" s="168">
        <f t="shared" si="50"/>
        <v>0</v>
      </c>
      <c r="N344" s="168" t="s">
        <v>1305</v>
      </c>
      <c r="P344" s="168">
        <f t="shared" si="51"/>
        <v>0</v>
      </c>
      <c r="Q344" s="168" t="s">
        <v>1305</v>
      </c>
      <c r="S344" s="168">
        <f t="shared" si="52"/>
        <v>0</v>
      </c>
      <c r="T344" s="168" t="s">
        <v>1305</v>
      </c>
      <c r="V344" s="168">
        <f t="shared" si="53"/>
        <v>0</v>
      </c>
    </row>
    <row r="345" spans="1:22" s="168" customFormat="1" ht="15.75">
      <c r="A345" s="155"/>
      <c r="B345" s="166" t="s">
        <v>878</v>
      </c>
      <c r="C345" s="167">
        <f t="shared" si="48"/>
        <v>0</v>
      </c>
      <c r="D345" s="133"/>
      <c r="E345" s="168" t="s">
        <v>1305</v>
      </c>
      <c r="G345" s="168">
        <f t="shared" si="55"/>
        <v>0</v>
      </c>
      <c r="H345" s="168" t="s">
        <v>1305</v>
      </c>
      <c r="J345" s="168">
        <f t="shared" si="49"/>
        <v>0</v>
      </c>
      <c r="K345" s="168" t="s">
        <v>1305</v>
      </c>
      <c r="M345" s="168">
        <f t="shared" si="50"/>
        <v>0</v>
      </c>
      <c r="N345" s="168" t="s">
        <v>1305</v>
      </c>
      <c r="P345" s="168">
        <f t="shared" si="51"/>
        <v>0</v>
      </c>
      <c r="Q345" s="168" t="s">
        <v>1305</v>
      </c>
      <c r="S345" s="168">
        <f t="shared" si="52"/>
        <v>0</v>
      </c>
      <c r="T345" s="168" t="s">
        <v>1305</v>
      </c>
      <c r="V345" s="168">
        <f t="shared" si="53"/>
        <v>0</v>
      </c>
    </row>
    <row r="346" spans="1:22" s="168" customFormat="1" ht="15.75">
      <c r="A346" s="155"/>
      <c r="B346" s="166" t="s">
        <v>879</v>
      </c>
      <c r="C346" s="167">
        <f t="shared" si="48"/>
        <v>0</v>
      </c>
      <c r="D346" s="133"/>
      <c r="E346" s="168" t="s">
        <v>1305</v>
      </c>
      <c r="G346" s="168">
        <f t="shared" si="55"/>
        <v>0</v>
      </c>
      <c r="H346" s="168" t="s">
        <v>1305</v>
      </c>
      <c r="J346" s="168">
        <f t="shared" si="49"/>
        <v>0</v>
      </c>
      <c r="K346" s="168" t="s">
        <v>1305</v>
      </c>
      <c r="M346" s="168">
        <f t="shared" si="50"/>
        <v>0</v>
      </c>
      <c r="N346" s="168" t="s">
        <v>1305</v>
      </c>
      <c r="P346" s="168">
        <f t="shared" si="51"/>
        <v>0</v>
      </c>
      <c r="Q346" s="168" t="s">
        <v>1305</v>
      </c>
      <c r="S346" s="168">
        <f t="shared" si="52"/>
        <v>0</v>
      </c>
      <c r="T346" s="168" t="s">
        <v>1305</v>
      </c>
      <c r="V346" s="168">
        <f t="shared" si="53"/>
        <v>0</v>
      </c>
    </row>
    <row r="347" spans="1:22" s="168" customFormat="1" ht="15.75">
      <c r="A347" s="155"/>
      <c r="B347" s="166" t="s">
        <v>880</v>
      </c>
      <c r="C347" s="167">
        <f t="shared" si="48"/>
        <v>0</v>
      </c>
      <c r="D347" s="133"/>
      <c r="E347" s="168" t="s">
        <v>1305</v>
      </c>
      <c r="G347" s="168">
        <f t="shared" si="55"/>
        <v>0</v>
      </c>
      <c r="H347" s="168" t="s">
        <v>1305</v>
      </c>
      <c r="J347" s="168">
        <f t="shared" si="49"/>
        <v>0</v>
      </c>
      <c r="K347" s="168" t="s">
        <v>1305</v>
      </c>
      <c r="M347" s="168">
        <f t="shared" si="50"/>
        <v>0</v>
      </c>
      <c r="N347" s="168" t="s">
        <v>1305</v>
      </c>
      <c r="P347" s="168">
        <f t="shared" si="51"/>
        <v>0</v>
      </c>
      <c r="Q347" s="168" t="s">
        <v>1305</v>
      </c>
      <c r="S347" s="168">
        <f t="shared" si="52"/>
        <v>0</v>
      </c>
      <c r="T347" s="168" t="s">
        <v>1305</v>
      </c>
      <c r="V347" s="168">
        <f t="shared" si="53"/>
        <v>0</v>
      </c>
    </row>
    <row r="348" spans="1:22" s="168" customFormat="1" ht="15.75">
      <c r="A348" s="155"/>
      <c r="B348" s="166" t="s">
        <v>881</v>
      </c>
      <c r="C348" s="167">
        <f t="shared" si="48"/>
        <v>0</v>
      </c>
      <c r="D348" s="133"/>
      <c r="E348" s="168" t="s">
        <v>1305</v>
      </c>
      <c r="G348" s="168">
        <f t="shared" si="55"/>
        <v>0</v>
      </c>
      <c r="H348" s="168" t="s">
        <v>1305</v>
      </c>
      <c r="J348" s="168">
        <f t="shared" si="49"/>
        <v>0</v>
      </c>
      <c r="K348" s="168" t="s">
        <v>1305</v>
      </c>
      <c r="M348" s="168">
        <f t="shared" si="50"/>
        <v>0</v>
      </c>
      <c r="N348" s="168" t="s">
        <v>1305</v>
      </c>
      <c r="P348" s="168">
        <f t="shared" si="51"/>
        <v>0</v>
      </c>
      <c r="Q348" s="168" t="s">
        <v>1305</v>
      </c>
      <c r="S348" s="168">
        <f t="shared" si="52"/>
        <v>0</v>
      </c>
      <c r="T348" s="168" t="s">
        <v>1305</v>
      </c>
      <c r="V348" s="168">
        <f t="shared" si="53"/>
        <v>0</v>
      </c>
    </row>
    <row r="349" spans="1:22" s="168" customFormat="1" ht="15.75">
      <c r="A349" s="155"/>
      <c r="B349" s="166" t="s">
        <v>882</v>
      </c>
      <c r="C349" s="167">
        <f t="shared" si="48"/>
        <v>0</v>
      </c>
      <c r="D349" s="133"/>
      <c r="E349" s="168" t="s">
        <v>1305</v>
      </c>
      <c r="G349" s="168">
        <f t="shared" si="55"/>
        <v>0</v>
      </c>
      <c r="H349" s="168" t="s">
        <v>1305</v>
      </c>
      <c r="J349" s="168">
        <f t="shared" si="49"/>
        <v>0</v>
      </c>
      <c r="K349" s="168" t="s">
        <v>1305</v>
      </c>
      <c r="M349" s="168">
        <f t="shared" si="50"/>
        <v>0</v>
      </c>
      <c r="N349" s="168" t="s">
        <v>1305</v>
      </c>
      <c r="P349" s="168">
        <f t="shared" si="51"/>
        <v>0</v>
      </c>
      <c r="Q349" s="168" t="s">
        <v>1305</v>
      </c>
      <c r="S349" s="168">
        <f t="shared" si="52"/>
        <v>0</v>
      </c>
      <c r="T349" s="168" t="s">
        <v>1305</v>
      </c>
      <c r="V349" s="168">
        <f t="shared" si="53"/>
        <v>0</v>
      </c>
    </row>
    <row r="350" spans="1:22" s="168" customFormat="1" ht="15.75">
      <c r="A350" s="155"/>
      <c r="B350" s="166" t="s">
        <v>883</v>
      </c>
      <c r="C350" s="167">
        <f t="shared" si="48"/>
        <v>0</v>
      </c>
      <c r="D350" s="133"/>
      <c r="E350" s="168" t="s">
        <v>1305</v>
      </c>
      <c r="G350" s="168">
        <f t="shared" si="55"/>
        <v>0</v>
      </c>
      <c r="H350" s="168" t="s">
        <v>1305</v>
      </c>
      <c r="J350" s="168">
        <f t="shared" si="49"/>
        <v>0</v>
      </c>
      <c r="K350" s="168" t="s">
        <v>1305</v>
      </c>
      <c r="M350" s="168">
        <f t="shared" si="50"/>
        <v>0</v>
      </c>
      <c r="N350" s="168" t="s">
        <v>1305</v>
      </c>
      <c r="P350" s="168">
        <f t="shared" si="51"/>
        <v>0</v>
      </c>
      <c r="Q350" s="168" t="s">
        <v>1305</v>
      </c>
      <c r="S350" s="168">
        <f t="shared" si="52"/>
        <v>0</v>
      </c>
      <c r="T350" s="168" t="s">
        <v>1305</v>
      </c>
      <c r="V350" s="168">
        <f t="shared" si="53"/>
        <v>0</v>
      </c>
    </row>
    <row r="351" spans="1:22" s="168" customFormat="1" ht="15.75">
      <c r="A351" s="155"/>
      <c r="B351" s="166" t="s">
        <v>884</v>
      </c>
      <c r="C351" s="167">
        <f t="shared" si="48"/>
        <v>0</v>
      </c>
      <c r="D351" s="133"/>
      <c r="E351" s="168" t="s">
        <v>1305</v>
      </c>
      <c r="G351" s="168">
        <f t="shared" si="55"/>
        <v>0</v>
      </c>
      <c r="H351" s="168" t="s">
        <v>1305</v>
      </c>
      <c r="J351" s="168">
        <f t="shared" si="49"/>
        <v>0</v>
      </c>
      <c r="K351" s="168" t="s">
        <v>1305</v>
      </c>
      <c r="M351" s="168">
        <f t="shared" si="50"/>
        <v>0</v>
      </c>
      <c r="N351" s="168" t="s">
        <v>1305</v>
      </c>
      <c r="P351" s="168">
        <f t="shared" si="51"/>
        <v>0</v>
      </c>
      <c r="Q351" s="168" t="s">
        <v>1305</v>
      </c>
      <c r="S351" s="168">
        <f t="shared" si="52"/>
        <v>0</v>
      </c>
      <c r="T351" s="168" t="s">
        <v>1305</v>
      </c>
      <c r="V351" s="168">
        <f t="shared" si="53"/>
        <v>0</v>
      </c>
    </row>
    <row r="352" spans="1:22" s="168" customFormat="1" ht="15.75">
      <c r="A352" s="155"/>
      <c r="B352" s="166" t="s">
        <v>885</v>
      </c>
      <c r="C352" s="167">
        <f t="shared" si="48"/>
        <v>0</v>
      </c>
      <c r="D352" s="133"/>
      <c r="E352" s="168" t="s">
        <v>1305</v>
      </c>
      <c r="G352" s="168">
        <f t="shared" si="55"/>
        <v>0</v>
      </c>
      <c r="H352" s="168" t="s">
        <v>1305</v>
      </c>
      <c r="J352" s="168">
        <f t="shared" si="49"/>
        <v>0</v>
      </c>
      <c r="K352" s="168" t="s">
        <v>1305</v>
      </c>
      <c r="M352" s="168">
        <f t="shared" si="50"/>
        <v>0</v>
      </c>
      <c r="N352" s="168" t="s">
        <v>1305</v>
      </c>
      <c r="P352" s="168">
        <f t="shared" si="51"/>
        <v>0</v>
      </c>
      <c r="Q352" s="168" t="s">
        <v>1305</v>
      </c>
      <c r="S352" s="168">
        <f t="shared" si="52"/>
        <v>0</v>
      </c>
      <c r="T352" s="168" t="s">
        <v>1305</v>
      </c>
      <c r="V352" s="168">
        <f t="shared" si="53"/>
        <v>0</v>
      </c>
    </row>
    <row r="353" spans="1:22" s="150" customFormat="1" ht="15.75">
      <c r="A353" s="138" t="s">
        <v>1340</v>
      </c>
      <c r="B353" s="148" t="s">
        <v>886</v>
      </c>
      <c r="C353" s="149">
        <f>'ECONOMIA &amp; PROFESIONES'!I54</f>
        <v>1</v>
      </c>
      <c r="D353" s="133"/>
      <c r="E353" s="150" t="s">
        <v>1305</v>
      </c>
      <c r="G353" s="150">
        <f t="shared" si="55"/>
        <v>0</v>
      </c>
      <c r="H353" s="150" t="s">
        <v>1305</v>
      </c>
      <c r="J353" s="150">
        <f t="shared" si="49"/>
        <v>0</v>
      </c>
      <c r="K353" s="150" t="s">
        <v>1305</v>
      </c>
      <c r="M353" s="150">
        <f t="shared" si="50"/>
        <v>0</v>
      </c>
      <c r="N353" s="150" t="s">
        <v>1305</v>
      </c>
      <c r="P353" s="150">
        <f t="shared" si="51"/>
        <v>0</v>
      </c>
      <c r="Q353" s="150" t="s">
        <v>1305</v>
      </c>
      <c r="S353" s="150">
        <f t="shared" si="52"/>
        <v>0</v>
      </c>
      <c r="T353" s="150" t="s">
        <v>1305</v>
      </c>
      <c r="V353" s="150">
        <f t="shared" si="53"/>
        <v>0</v>
      </c>
    </row>
    <row r="354" spans="1:22" ht="15.75">
      <c r="A354" s="155" t="s">
        <v>1343</v>
      </c>
      <c r="B354" s="125" t="s">
        <v>887</v>
      </c>
      <c r="C354" s="130">
        <f t="shared" si="48"/>
        <v>16</v>
      </c>
      <c r="E354" s="144" t="s">
        <v>896</v>
      </c>
      <c r="F354" s="144">
        <v>3</v>
      </c>
      <c r="G354" s="144">
        <f t="shared" si="55"/>
        <v>4</v>
      </c>
      <c r="H354" s="144" t="s">
        <v>1208</v>
      </c>
      <c r="I354" s="144">
        <v>2</v>
      </c>
      <c r="J354" s="127">
        <f t="shared" si="49"/>
        <v>2</v>
      </c>
      <c r="K354" s="127" t="s">
        <v>1305</v>
      </c>
      <c r="M354" s="127">
        <f t="shared" si="50"/>
        <v>0</v>
      </c>
      <c r="N354" s="127" t="s">
        <v>1305</v>
      </c>
      <c r="P354" s="127">
        <f t="shared" si="51"/>
        <v>0</v>
      </c>
      <c r="Q354" s="127" t="s">
        <v>1305</v>
      </c>
      <c r="S354" s="127">
        <f t="shared" si="52"/>
        <v>0</v>
      </c>
      <c r="T354" s="127" t="s">
        <v>1305</v>
      </c>
      <c r="V354" s="127">
        <f t="shared" si="53"/>
        <v>0</v>
      </c>
    </row>
    <row r="355" spans="1:22" ht="15.75">
      <c r="A355" s="155" t="s">
        <v>1343</v>
      </c>
      <c r="B355" s="125" t="s">
        <v>888</v>
      </c>
      <c r="C355" s="130">
        <f t="shared" si="48"/>
        <v>24</v>
      </c>
      <c r="E355" s="144" t="s">
        <v>896</v>
      </c>
      <c r="F355">
        <v>6</v>
      </c>
      <c r="G355" s="127">
        <f t="shared" si="55"/>
        <v>4</v>
      </c>
      <c r="H355" s="127" t="s">
        <v>1305</v>
      </c>
      <c r="J355" s="127">
        <f t="shared" si="49"/>
        <v>0</v>
      </c>
      <c r="K355" s="127" t="s">
        <v>1305</v>
      </c>
      <c r="M355" s="127">
        <f t="shared" si="50"/>
        <v>0</v>
      </c>
      <c r="N355" s="127" t="s">
        <v>1305</v>
      </c>
      <c r="P355" s="127">
        <f t="shared" si="51"/>
        <v>0</v>
      </c>
      <c r="Q355" s="127" t="s">
        <v>1305</v>
      </c>
      <c r="S355" s="127">
        <f t="shared" si="52"/>
        <v>0</v>
      </c>
      <c r="T355" s="127" t="s">
        <v>1305</v>
      </c>
      <c r="V355" s="127">
        <f t="shared" si="53"/>
        <v>0</v>
      </c>
    </row>
    <row r="356" spans="1:22" ht="15.75">
      <c r="A356" s="155" t="s">
        <v>1343</v>
      </c>
      <c r="B356" s="125" t="s">
        <v>889</v>
      </c>
      <c r="C356" s="130">
        <f t="shared" si="48"/>
        <v>36</v>
      </c>
      <c r="E356" s="127" t="s">
        <v>896</v>
      </c>
      <c r="F356">
        <v>9</v>
      </c>
      <c r="G356" s="127">
        <f t="shared" si="55"/>
        <v>4</v>
      </c>
      <c r="H356" s="127" t="s">
        <v>1305</v>
      </c>
      <c r="J356" s="127">
        <f t="shared" si="49"/>
        <v>0</v>
      </c>
      <c r="K356" s="127" t="s">
        <v>1305</v>
      </c>
      <c r="M356" s="127">
        <f t="shared" si="50"/>
        <v>0</v>
      </c>
      <c r="N356" s="127" t="s">
        <v>1305</v>
      </c>
      <c r="P356" s="127">
        <f t="shared" si="51"/>
        <v>0</v>
      </c>
      <c r="Q356" s="127" t="s">
        <v>1305</v>
      </c>
      <c r="S356" s="127">
        <f t="shared" si="52"/>
        <v>0</v>
      </c>
      <c r="T356" s="127" t="s">
        <v>1305</v>
      </c>
      <c r="V356" s="127">
        <f t="shared" si="53"/>
        <v>0</v>
      </c>
    </row>
    <row r="357" spans="1:22" ht="15.75">
      <c r="A357" s="155" t="s">
        <v>1344</v>
      </c>
      <c r="B357" s="125" t="s">
        <v>890</v>
      </c>
      <c r="C357" s="130">
        <f t="shared" si="48"/>
        <v>16</v>
      </c>
      <c r="E357" s="144" t="s">
        <v>896</v>
      </c>
      <c r="F357">
        <v>4</v>
      </c>
      <c r="G357" s="127">
        <f t="shared" si="55"/>
        <v>4</v>
      </c>
      <c r="H357" s="127" t="s">
        <v>1305</v>
      </c>
      <c r="J357" s="127">
        <f t="shared" si="49"/>
        <v>0</v>
      </c>
      <c r="K357" s="127" t="s">
        <v>1305</v>
      </c>
      <c r="M357" s="127">
        <f t="shared" si="50"/>
        <v>0</v>
      </c>
      <c r="N357" s="127" t="s">
        <v>1305</v>
      </c>
      <c r="P357" s="127">
        <f t="shared" si="51"/>
        <v>0</v>
      </c>
      <c r="Q357" s="127" t="s">
        <v>1305</v>
      </c>
      <c r="S357" s="127">
        <f t="shared" si="52"/>
        <v>0</v>
      </c>
      <c r="T357" s="127" t="s">
        <v>1305</v>
      </c>
      <c r="V357" s="127">
        <f t="shared" si="53"/>
        <v>0</v>
      </c>
    </row>
    <row r="358" spans="1:22" ht="15.75">
      <c r="A358" s="155" t="s">
        <v>1344</v>
      </c>
      <c r="B358" s="125" t="s">
        <v>891</v>
      </c>
      <c r="C358" s="130">
        <f t="shared" si="48"/>
        <v>32</v>
      </c>
      <c r="E358" s="144" t="s">
        <v>896</v>
      </c>
      <c r="F358">
        <v>8</v>
      </c>
      <c r="G358" s="127">
        <f t="shared" si="55"/>
        <v>4</v>
      </c>
      <c r="H358" s="127" t="s">
        <v>1305</v>
      </c>
      <c r="J358" s="127">
        <f t="shared" si="49"/>
        <v>0</v>
      </c>
      <c r="K358" s="127" t="s">
        <v>1305</v>
      </c>
      <c r="M358" s="127">
        <f t="shared" si="50"/>
        <v>0</v>
      </c>
      <c r="N358" s="127" t="s">
        <v>1305</v>
      </c>
      <c r="P358" s="127">
        <f t="shared" si="51"/>
        <v>0</v>
      </c>
      <c r="Q358" s="127" t="s">
        <v>1305</v>
      </c>
      <c r="S358" s="127">
        <f t="shared" si="52"/>
        <v>0</v>
      </c>
      <c r="T358" s="127" t="s">
        <v>1305</v>
      </c>
      <c r="V358" s="127">
        <f t="shared" si="53"/>
        <v>0</v>
      </c>
    </row>
    <row r="359" spans="1:22" ht="15.75">
      <c r="A359" s="155" t="s">
        <v>1343</v>
      </c>
      <c r="B359" s="125" t="s">
        <v>892</v>
      </c>
      <c r="C359" s="130">
        <f t="shared" si="48"/>
        <v>24</v>
      </c>
      <c r="E359" s="144" t="s">
        <v>896</v>
      </c>
      <c r="F359">
        <v>6</v>
      </c>
      <c r="G359" s="127">
        <f t="shared" si="55"/>
        <v>4</v>
      </c>
      <c r="H359" s="127" t="s">
        <v>1305</v>
      </c>
      <c r="J359" s="127">
        <f t="shared" si="49"/>
        <v>0</v>
      </c>
      <c r="K359" s="127" t="s">
        <v>1305</v>
      </c>
      <c r="M359" s="127">
        <f t="shared" si="50"/>
        <v>0</v>
      </c>
      <c r="N359" s="127" t="s">
        <v>1305</v>
      </c>
      <c r="P359" s="127">
        <f t="shared" si="51"/>
        <v>0</v>
      </c>
      <c r="Q359" s="127" t="s">
        <v>1305</v>
      </c>
      <c r="S359" s="127">
        <f t="shared" si="52"/>
        <v>0</v>
      </c>
      <c r="T359" s="127" t="s">
        <v>1305</v>
      </c>
      <c r="V359" s="127">
        <f t="shared" si="53"/>
        <v>0</v>
      </c>
    </row>
    <row r="360" spans="1:22" ht="15.75">
      <c r="A360" s="155" t="s">
        <v>1344</v>
      </c>
      <c r="B360" s="125" t="s">
        <v>893</v>
      </c>
      <c r="C360" s="130">
        <f t="shared" si="48"/>
        <v>32</v>
      </c>
      <c r="E360" s="144" t="s">
        <v>896</v>
      </c>
      <c r="F360">
        <v>8</v>
      </c>
      <c r="G360" s="127">
        <f t="shared" si="55"/>
        <v>4</v>
      </c>
      <c r="H360" s="127" t="s">
        <v>1305</v>
      </c>
      <c r="J360" s="127">
        <f t="shared" si="49"/>
        <v>0</v>
      </c>
      <c r="K360" s="127" t="s">
        <v>1305</v>
      </c>
      <c r="M360" s="127">
        <f t="shared" si="50"/>
        <v>0</v>
      </c>
      <c r="N360" s="127" t="s">
        <v>1305</v>
      </c>
      <c r="P360" s="127">
        <f t="shared" si="51"/>
        <v>0</v>
      </c>
      <c r="Q360" s="127" t="s">
        <v>1305</v>
      </c>
      <c r="S360" s="127">
        <f t="shared" si="52"/>
        <v>0</v>
      </c>
      <c r="T360" s="127" t="s">
        <v>1305</v>
      </c>
      <c r="V360" s="127">
        <f t="shared" si="53"/>
        <v>0</v>
      </c>
    </row>
    <row r="361" spans="1:22" ht="15.75">
      <c r="A361" s="155" t="s">
        <v>1343</v>
      </c>
      <c r="B361" s="125" t="s">
        <v>894</v>
      </c>
      <c r="C361" s="130">
        <f t="shared" si="48"/>
        <v>12</v>
      </c>
      <c r="E361" s="144" t="s">
        <v>896</v>
      </c>
      <c r="F361">
        <v>2</v>
      </c>
      <c r="G361" s="127">
        <f t="shared" si="55"/>
        <v>4</v>
      </c>
      <c r="H361" s="127" t="s">
        <v>1208</v>
      </c>
      <c r="I361" s="127">
        <v>2</v>
      </c>
      <c r="J361" s="127">
        <f t="shared" si="49"/>
        <v>2</v>
      </c>
      <c r="K361" s="127" t="s">
        <v>1305</v>
      </c>
      <c r="M361" s="127">
        <f t="shared" si="50"/>
        <v>0</v>
      </c>
      <c r="N361" s="127" t="s">
        <v>1305</v>
      </c>
      <c r="P361" s="127">
        <f t="shared" si="51"/>
        <v>0</v>
      </c>
      <c r="Q361" s="127" t="s">
        <v>1305</v>
      </c>
      <c r="S361" s="127">
        <f t="shared" si="52"/>
        <v>0</v>
      </c>
      <c r="T361" s="127" t="s">
        <v>1305</v>
      </c>
      <c r="V361" s="127">
        <f t="shared" si="53"/>
        <v>0</v>
      </c>
    </row>
    <row r="362" spans="1:22" s="141" customFormat="1" ht="15.75">
      <c r="A362" s="155"/>
      <c r="B362" s="139" t="s">
        <v>895</v>
      </c>
      <c r="C362" s="140">
        <f t="shared" si="48"/>
        <v>0</v>
      </c>
      <c r="D362" s="133"/>
      <c r="E362" s="141" t="s">
        <v>1305</v>
      </c>
      <c r="G362" s="141">
        <f t="shared" si="55"/>
        <v>0</v>
      </c>
      <c r="H362" s="141" t="s">
        <v>1305</v>
      </c>
      <c r="J362" s="141">
        <f t="shared" si="49"/>
        <v>0</v>
      </c>
      <c r="K362" s="141" t="s">
        <v>1305</v>
      </c>
      <c r="M362" s="141">
        <f t="shared" si="50"/>
        <v>0</v>
      </c>
      <c r="N362" s="141" t="s">
        <v>1305</v>
      </c>
      <c r="P362" s="141">
        <f t="shared" si="51"/>
        <v>0</v>
      </c>
      <c r="Q362" s="141" t="s">
        <v>1305</v>
      </c>
      <c r="S362" s="141">
        <f t="shared" si="52"/>
        <v>0</v>
      </c>
      <c r="T362" s="141" t="s">
        <v>1305</v>
      </c>
      <c r="V362" s="141">
        <f t="shared" si="53"/>
        <v>0</v>
      </c>
    </row>
    <row r="363" spans="1:22" s="138" customFormat="1" ht="15.75">
      <c r="A363" s="138" t="s">
        <v>1337</v>
      </c>
      <c r="B363" s="136" t="s">
        <v>896</v>
      </c>
      <c r="C363" s="137">
        <f>'ECONOMIA &amp; PROFESIONES'!B18</f>
        <v>4</v>
      </c>
      <c r="D363" s="133"/>
      <c r="E363" s="138" t="s">
        <v>1305</v>
      </c>
      <c r="G363" s="138">
        <f t="shared" si="55"/>
        <v>0</v>
      </c>
      <c r="H363" s="138" t="s">
        <v>1305</v>
      </c>
      <c r="J363" s="138">
        <f t="shared" si="49"/>
        <v>0</v>
      </c>
      <c r="K363" s="138" t="s">
        <v>1305</v>
      </c>
      <c r="M363" s="138">
        <f t="shared" si="50"/>
        <v>0</v>
      </c>
      <c r="N363" s="138" t="s">
        <v>1305</v>
      </c>
      <c r="P363" s="138">
        <f t="shared" si="51"/>
        <v>0</v>
      </c>
      <c r="Q363" s="138" t="s">
        <v>1305</v>
      </c>
      <c r="S363" s="138">
        <f t="shared" si="52"/>
        <v>0</v>
      </c>
      <c r="T363" s="138" t="s">
        <v>1305</v>
      </c>
      <c r="V363" s="138">
        <f t="shared" si="53"/>
        <v>0</v>
      </c>
    </row>
    <row r="364" spans="1:22" ht="15.75">
      <c r="A364" s="155" t="s">
        <v>1344</v>
      </c>
      <c r="B364" s="125" t="s">
        <v>897</v>
      </c>
      <c r="C364" s="130">
        <f t="shared" si="48"/>
        <v>20</v>
      </c>
      <c r="E364" s="127" t="s">
        <v>896</v>
      </c>
      <c r="F364">
        <v>5</v>
      </c>
      <c r="G364" s="127">
        <f t="shared" si="55"/>
        <v>4</v>
      </c>
      <c r="H364" s="127" t="s">
        <v>1305</v>
      </c>
      <c r="J364" s="127">
        <f t="shared" si="49"/>
        <v>0</v>
      </c>
      <c r="K364" s="127" t="s">
        <v>1305</v>
      </c>
      <c r="M364" s="127">
        <f t="shared" si="50"/>
        <v>0</v>
      </c>
      <c r="N364" s="127" t="s">
        <v>1305</v>
      </c>
      <c r="P364" s="127">
        <f t="shared" si="51"/>
        <v>0</v>
      </c>
      <c r="Q364" s="127" t="s">
        <v>1305</v>
      </c>
      <c r="S364" s="127">
        <f t="shared" si="52"/>
        <v>0</v>
      </c>
      <c r="T364" s="127" t="s">
        <v>1305</v>
      </c>
      <c r="V364" s="127">
        <f t="shared" si="53"/>
        <v>0</v>
      </c>
    </row>
    <row r="365" spans="1:22" ht="15.75">
      <c r="A365" s="155" t="s">
        <v>1343</v>
      </c>
      <c r="B365" s="125" t="s">
        <v>898</v>
      </c>
      <c r="C365" s="130">
        <f>'ECONOMIA &amp; PROFESIONES'!B18/9</f>
        <v>0.44444444444444442</v>
      </c>
      <c r="E365" s="127" t="s">
        <v>1305</v>
      </c>
      <c r="G365" s="127">
        <f t="shared" si="55"/>
        <v>0</v>
      </c>
      <c r="H365" s="127" t="s">
        <v>1305</v>
      </c>
      <c r="J365" s="127">
        <f t="shared" si="49"/>
        <v>0</v>
      </c>
      <c r="K365" s="127" t="s">
        <v>1305</v>
      </c>
      <c r="M365" s="127">
        <f t="shared" si="50"/>
        <v>0</v>
      </c>
      <c r="N365" s="127" t="s">
        <v>1305</v>
      </c>
      <c r="P365" s="127">
        <f t="shared" si="51"/>
        <v>0</v>
      </c>
      <c r="Q365" s="127" t="s">
        <v>1305</v>
      </c>
      <c r="S365" s="127">
        <f t="shared" si="52"/>
        <v>0</v>
      </c>
      <c r="T365" s="127" t="s">
        <v>1305</v>
      </c>
      <c r="V365" s="127">
        <f t="shared" si="53"/>
        <v>0</v>
      </c>
    </row>
    <row r="366" spans="1:22" s="138" customFormat="1" ht="15.75">
      <c r="A366" s="138" t="s">
        <v>1337</v>
      </c>
      <c r="B366" s="136" t="s">
        <v>899</v>
      </c>
      <c r="C366" s="137">
        <f>'ECONOMIA &amp; PROFESIONES'!B18</f>
        <v>4</v>
      </c>
      <c r="D366" s="133"/>
      <c r="E366" s="138" t="s">
        <v>1305</v>
      </c>
      <c r="G366" s="138">
        <f t="shared" si="55"/>
        <v>0</v>
      </c>
      <c r="H366" s="138" t="s">
        <v>1305</v>
      </c>
      <c r="J366" s="138">
        <f t="shared" si="49"/>
        <v>0</v>
      </c>
      <c r="K366" s="138" t="s">
        <v>1305</v>
      </c>
      <c r="M366" s="138">
        <f t="shared" si="50"/>
        <v>0</v>
      </c>
      <c r="N366" s="138" t="s">
        <v>1305</v>
      </c>
      <c r="P366" s="138">
        <f t="shared" si="51"/>
        <v>0</v>
      </c>
      <c r="Q366" s="138" t="s">
        <v>1305</v>
      </c>
      <c r="S366" s="138">
        <f t="shared" si="52"/>
        <v>0</v>
      </c>
      <c r="T366" s="138" t="s">
        <v>1305</v>
      </c>
      <c r="V366" s="138">
        <f t="shared" si="53"/>
        <v>0</v>
      </c>
    </row>
    <row r="367" spans="1:22" ht="15.75">
      <c r="A367" s="155" t="s">
        <v>1343</v>
      </c>
      <c r="B367" s="125" t="s">
        <v>900</v>
      </c>
      <c r="C367" s="130">
        <f t="shared" si="48"/>
        <v>16</v>
      </c>
      <c r="E367" s="127" t="s">
        <v>896</v>
      </c>
      <c r="F367">
        <v>3</v>
      </c>
      <c r="G367" s="127">
        <f t="shared" si="55"/>
        <v>4</v>
      </c>
      <c r="H367" s="127" t="s">
        <v>1208</v>
      </c>
      <c r="I367" s="127">
        <v>2</v>
      </c>
      <c r="J367" s="127">
        <f t="shared" si="49"/>
        <v>2</v>
      </c>
      <c r="K367" s="127" t="s">
        <v>1305</v>
      </c>
      <c r="M367" s="127">
        <f t="shared" si="50"/>
        <v>0</v>
      </c>
      <c r="N367" s="127" t="s">
        <v>1305</v>
      </c>
      <c r="P367" s="127">
        <f t="shared" si="51"/>
        <v>0</v>
      </c>
      <c r="Q367" s="127" t="s">
        <v>1305</v>
      </c>
      <c r="S367" s="127">
        <f t="shared" si="52"/>
        <v>0</v>
      </c>
      <c r="T367" s="127" t="s">
        <v>1305</v>
      </c>
      <c r="V367" s="127">
        <f t="shared" si="53"/>
        <v>0</v>
      </c>
    </row>
    <row r="368" spans="1:22" ht="15.75">
      <c r="A368" s="155" t="s">
        <v>1343</v>
      </c>
      <c r="B368" s="125" t="s">
        <v>901</v>
      </c>
      <c r="C368" s="130">
        <f t="shared" si="48"/>
        <v>8</v>
      </c>
      <c r="E368" s="144" t="s">
        <v>896</v>
      </c>
      <c r="F368">
        <v>1</v>
      </c>
      <c r="G368" s="127">
        <f t="shared" si="55"/>
        <v>4</v>
      </c>
      <c r="H368" s="127" t="s">
        <v>1208</v>
      </c>
      <c r="I368" s="127">
        <v>2</v>
      </c>
      <c r="J368" s="127">
        <f t="shared" si="49"/>
        <v>2</v>
      </c>
      <c r="K368" s="127" t="s">
        <v>1305</v>
      </c>
      <c r="M368" s="127">
        <f t="shared" si="50"/>
        <v>0</v>
      </c>
      <c r="N368" s="127" t="s">
        <v>1305</v>
      </c>
      <c r="P368" s="127">
        <f t="shared" si="51"/>
        <v>0</v>
      </c>
      <c r="Q368" s="127" t="s">
        <v>1305</v>
      </c>
      <c r="S368" s="127">
        <f t="shared" si="52"/>
        <v>0</v>
      </c>
      <c r="T368" s="127" t="s">
        <v>1305</v>
      </c>
      <c r="V368" s="127">
        <f t="shared" si="53"/>
        <v>0</v>
      </c>
    </row>
    <row r="369" spans="1:22" ht="15.75">
      <c r="A369" s="155" t="s">
        <v>1344</v>
      </c>
      <c r="B369" s="125" t="s">
        <v>902</v>
      </c>
      <c r="C369" s="130">
        <f t="shared" si="48"/>
        <v>10</v>
      </c>
      <c r="E369" s="144" t="s">
        <v>896</v>
      </c>
      <c r="F369">
        <v>2</v>
      </c>
      <c r="G369" s="127">
        <f t="shared" si="55"/>
        <v>4</v>
      </c>
      <c r="H369" s="127" t="s">
        <v>1208</v>
      </c>
      <c r="I369" s="127">
        <v>1</v>
      </c>
      <c r="J369" s="127">
        <f t="shared" si="49"/>
        <v>2</v>
      </c>
      <c r="K369" s="127" t="s">
        <v>1305</v>
      </c>
      <c r="M369" s="127">
        <f t="shared" si="50"/>
        <v>0</v>
      </c>
      <c r="N369" s="127" t="s">
        <v>1305</v>
      </c>
      <c r="P369" s="127">
        <f t="shared" si="51"/>
        <v>0</v>
      </c>
      <c r="Q369" s="127" t="s">
        <v>1305</v>
      </c>
      <c r="S369" s="127">
        <f t="shared" si="52"/>
        <v>0</v>
      </c>
      <c r="T369" s="127" t="s">
        <v>1305</v>
      </c>
      <c r="V369" s="127">
        <f t="shared" si="53"/>
        <v>0</v>
      </c>
    </row>
    <row r="370" spans="1:22" ht="15.75">
      <c r="A370" s="155" t="s">
        <v>1343</v>
      </c>
      <c r="B370" s="125" t="s">
        <v>903</v>
      </c>
      <c r="C370" s="130">
        <f t="shared" si="48"/>
        <v>16</v>
      </c>
      <c r="E370" s="144" t="s">
        <v>896</v>
      </c>
      <c r="F370">
        <v>4</v>
      </c>
      <c r="G370" s="127">
        <f t="shared" si="55"/>
        <v>4</v>
      </c>
      <c r="H370" s="127" t="s">
        <v>1305</v>
      </c>
      <c r="J370" s="127">
        <f t="shared" si="49"/>
        <v>0</v>
      </c>
      <c r="K370" s="127" t="s">
        <v>1305</v>
      </c>
      <c r="M370" s="127">
        <f t="shared" si="50"/>
        <v>0</v>
      </c>
      <c r="N370" s="127" t="s">
        <v>1305</v>
      </c>
      <c r="P370" s="127">
        <f t="shared" si="51"/>
        <v>0</v>
      </c>
      <c r="Q370" s="127" t="s">
        <v>1305</v>
      </c>
      <c r="S370" s="127">
        <f t="shared" si="52"/>
        <v>0</v>
      </c>
      <c r="T370" s="127" t="s">
        <v>1305</v>
      </c>
      <c r="V370" s="127">
        <f t="shared" si="53"/>
        <v>0</v>
      </c>
    </row>
    <row r="371" spans="1:22" ht="15.75">
      <c r="A371" s="155" t="s">
        <v>1345</v>
      </c>
      <c r="B371" s="125" t="s">
        <v>904</v>
      </c>
      <c r="C371" s="130">
        <f t="shared" si="48"/>
        <v>17</v>
      </c>
      <c r="E371" s="127" t="s">
        <v>1208</v>
      </c>
      <c r="F371">
        <v>8</v>
      </c>
      <c r="G371" s="127">
        <f t="shared" si="55"/>
        <v>2</v>
      </c>
      <c r="H371" s="127" t="s">
        <v>928</v>
      </c>
      <c r="I371" s="127">
        <v>1</v>
      </c>
      <c r="J371" s="127">
        <f t="shared" si="49"/>
        <v>1</v>
      </c>
      <c r="K371" s="127" t="s">
        <v>1305</v>
      </c>
      <c r="M371" s="127">
        <f t="shared" si="50"/>
        <v>0</v>
      </c>
      <c r="N371" s="127" t="s">
        <v>1305</v>
      </c>
      <c r="P371" s="127">
        <f t="shared" si="51"/>
        <v>0</v>
      </c>
      <c r="Q371" s="127" t="s">
        <v>1305</v>
      </c>
      <c r="S371" s="127">
        <f t="shared" si="52"/>
        <v>0</v>
      </c>
      <c r="T371" s="127" t="s">
        <v>1305</v>
      </c>
      <c r="V371" s="127">
        <f t="shared" si="53"/>
        <v>0</v>
      </c>
    </row>
    <row r="372" spans="1:22" ht="15.75">
      <c r="A372" s="155" t="s">
        <v>1348</v>
      </c>
      <c r="B372" s="125" t="s">
        <v>905</v>
      </c>
      <c r="C372" s="130">
        <f t="shared" si="48"/>
        <v>16</v>
      </c>
      <c r="E372" s="127" t="s">
        <v>1248</v>
      </c>
      <c r="F372">
        <v>1</v>
      </c>
      <c r="G372" s="127">
        <f t="shared" si="55"/>
        <v>5</v>
      </c>
      <c r="H372" s="144" t="s">
        <v>652</v>
      </c>
      <c r="I372" s="127">
        <v>1</v>
      </c>
      <c r="J372" s="127">
        <f t="shared" si="49"/>
        <v>11</v>
      </c>
      <c r="K372" s="127" t="s">
        <v>1305</v>
      </c>
      <c r="M372" s="127">
        <f t="shared" si="50"/>
        <v>0</v>
      </c>
      <c r="N372" s="127" t="s">
        <v>1305</v>
      </c>
      <c r="P372" s="127">
        <f t="shared" si="51"/>
        <v>0</v>
      </c>
      <c r="Q372" s="127" t="s">
        <v>1305</v>
      </c>
      <c r="S372" s="127">
        <f t="shared" si="52"/>
        <v>0</v>
      </c>
      <c r="T372" s="127" t="s">
        <v>1305</v>
      </c>
      <c r="V372" s="127">
        <f t="shared" si="53"/>
        <v>0</v>
      </c>
    </row>
    <row r="373" spans="1:22" ht="15.75">
      <c r="A373" s="155" t="s">
        <v>1353</v>
      </c>
      <c r="B373" s="125" t="s">
        <v>906</v>
      </c>
      <c r="C373" s="130">
        <f t="shared" si="48"/>
        <v>24</v>
      </c>
      <c r="E373" s="127" t="s">
        <v>1026</v>
      </c>
      <c r="F373">
        <v>8</v>
      </c>
      <c r="G373" s="127">
        <f t="shared" si="55"/>
        <v>1</v>
      </c>
      <c r="H373" s="127" t="s">
        <v>750</v>
      </c>
      <c r="I373" s="127">
        <v>1</v>
      </c>
      <c r="J373" s="127">
        <f t="shared" si="49"/>
        <v>16</v>
      </c>
      <c r="K373" s="127" t="s">
        <v>1305</v>
      </c>
      <c r="M373" s="127">
        <f t="shared" si="50"/>
        <v>0</v>
      </c>
      <c r="N373" s="127" t="s">
        <v>1305</v>
      </c>
      <c r="P373" s="127">
        <f t="shared" si="51"/>
        <v>0</v>
      </c>
      <c r="Q373" s="127" t="s">
        <v>1305</v>
      </c>
      <c r="S373" s="127">
        <f t="shared" si="52"/>
        <v>0</v>
      </c>
      <c r="T373" s="127" t="s">
        <v>1305</v>
      </c>
      <c r="V373" s="127">
        <f t="shared" si="53"/>
        <v>0</v>
      </c>
    </row>
    <row r="374" spans="1:22" ht="15.75">
      <c r="A374" s="155" t="s">
        <v>1345</v>
      </c>
      <c r="B374" s="125" t="s">
        <v>907</v>
      </c>
      <c r="C374" s="130">
        <f t="shared" si="48"/>
        <v>38</v>
      </c>
      <c r="E374" s="127" t="s">
        <v>913</v>
      </c>
      <c r="F374">
        <v>5</v>
      </c>
      <c r="G374" s="127">
        <f t="shared" si="55"/>
        <v>7</v>
      </c>
      <c r="H374" s="127" t="s">
        <v>1280</v>
      </c>
      <c r="I374" s="127">
        <v>1</v>
      </c>
      <c r="J374" s="127">
        <f t="shared" si="49"/>
        <v>3</v>
      </c>
      <c r="K374" s="127" t="s">
        <v>1305</v>
      </c>
      <c r="M374" s="127">
        <f t="shared" si="50"/>
        <v>0</v>
      </c>
      <c r="N374" s="127" t="s">
        <v>1305</v>
      </c>
      <c r="P374" s="127">
        <f t="shared" si="51"/>
        <v>0</v>
      </c>
      <c r="Q374" s="127" t="s">
        <v>1305</v>
      </c>
      <c r="S374" s="127">
        <f t="shared" si="52"/>
        <v>0</v>
      </c>
      <c r="T374" s="127" t="s">
        <v>1305</v>
      </c>
      <c r="V374" s="127">
        <f t="shared" si="53"/>
        <v>0</v>
      </c>
    </row>
    <row r="375" spans="1:22" ht="15.75">
      <c r="A375" s="155" t="s">
        <v>1345</v>
      </c>
      <c r="B375" s="125" t="s">
        <v>908</v>
      </c>
      <c r="C375" s="130">
        <f t="shared" si="48"/>
        <v>7</v>
      </c>
      <c r="E375" s="144" t="s">
        <v>913</v>
      </c>
      <c r="F375" s="144">
        <v>1</v>
      </c>
      <c r="G375" s="144">
        <f t="shared" si="55"/>
        <v>7</v>
      </c>
      <c r="H375" s="144" t="s">
        <v>1305</v>
      </c>
      <c r="I375" s="144"/>
      <c r="J375" s="127">
        <f t="shared" si="49"/>
        <v>0</v>
      </c>
      <c r="K375" s="127" t="s">
        <v>1305</v>
      </c>
      <c r="M375" s="127">
        <f t="shared" si="50"/>
        <v>0</v>
      </c>
      <c r="N375" s="127" t="s">
        <v>1305</v>
      </c>
      <c r="P375" s="127">
        <f t="shared" si="51"/>
        <v>0</v>
      </c>
      <c r="Q375" s="127" t="s">
        <v>1305</v>
      </c>
      <c r="S375" s="127">
        <f t="shared" si="52"/>
        <v>0</v>
      </c>
      <c r="T375" s="127" t="s">
        <v>1305</v>
      </c>
      <c r="V375" s="127">
        <f t="shared" si="53"/>
        <v>0</v>
      </c>
    </row>
    <row r="376" spans="1:22" ht="15.75">
      <c r="A376" s="155" t="s">
        <v>1345</v>
      </c>
      <c r="B376" s="125" t="s">
        <v>909</v>
      </c>
      <c r="C376" s="130">
        <f t="shared" si="48"/>
        <v>42</v>
      </c>
      <c r="E376" s="144" t="s">
        <v>913</v>
      </c>
      <c r="F376" s="144">
        <v>6</v>
      </c>
      <c r="G376" s="144">
        <f t="shared" si="55"/>
        <v>7</v>
      </c>
      <c r="H376" s="144" t="s">
        <v>1305</v>
      </c>
      <c r="I376" s="144"/>
      <c r="J376" s="127">
        <f t="shared" si="49"/>
        <v>0</v>
      </c>
      <c r="K376" s="127" t="s">
        <v>1305</v>
      </c>
      <c r="M376" s="127">
        <f t="shared" si="50"/>
        <v>0</v>
      </c>
      <c r="N376" s="127" t="s">
        <v>1305</v>
      </c>
      <c r="P376" s="127">
        <f t="shared" si="51"/>
        <v>0</v>
      </c>
      <c r="Q376" s="127" t="s">
        <v>1305</v>
      </c>
      <c r="S376" s="127">
        <f t="shared" si="52"/>
        <v>0</v>
      </c>
      <c r="T376" s="127" t="s">
        <v>1305</v>
      </c>
      <c r="V376" s="127">
        <f t="shared" si="53"/>
        <v>0</v>
      </c>
    </row>
    <row r="377" spans="1:22" ht="15.75">
      <c r="A377" s="155" t="s">
        <v>1345</v>
      </c>
      <c r="B377" s="125" t="s">
        <v>910</v>
      </c>
      <c r="C377" s="130">
        <f t="shared" si="48"/>
        <v>32</v>
      </c>
      <c r="E377" s="144" t="s">
        <v>913</v>
      </c>
      <c r="F377" s="144">
        <v>4</v>
      </c>
      <c r="G377" s="144">
        <f t="shared" si="55"/>
        <v>7</v>
      </c>
      <c r="H377" s="144" t="s">
        <v>1208</v>
      </c>
      <c r="I377" s="144">
        <v>2</v>
      </c>
      <c r="J377" s="127">
        <f t="shared" si="49"/>
        <v>2</v>
      </c>
      <c r="K377" s="127" t="s">
        <v>1305</v>
      </c>
      <c r="M377" s="127">
        <f t="shared" si="50"/>
        <v>0</v>
      </c>
      <c r="N377" s="127" t="s">
        <v>1305</v>
      </c>
      <c r="P377" s="127">
        <f t="shared" si="51"/>
        <v>0</v>
      </c>
      <c r="Q377" s="127" t="s">
        <v>1305</v>
      </c>
      <c r="S377" s="127">
        <f t="shared" si="52"/>
        <v>0</v>
      </c>
      <c r="T377" s="127" t="s">
        <v>1305</v>
      </c>
      <c r="V377" s="127">
        <f t="shared" si="53"/>
        <v>0</v>
      </c>
    </row>
    <row r="378" spans="1:22" ht="15.75">
      <c r="A378" s="155" t="s">
        <v>1345</v>
      </c>
      <c r="B378" s="125" t="s">
        <v>911</v>
      </c>
      <c r="C378" s="130">
        <f t="shared" si="48"/>
        <v>22</v>
      </c>
      <c r="E378" s="144" t="s">
        <v>913</v>
      </c>
      <c r="F378" s="144">
        <v>2</v>
      </c>
      <c r="G378" s="144">
        <f t="shared" si="55"/>
        <v>7</v>
      </c>
      <c r="H378" s="144" t="s">
        <v>1208</v>
      </c>
      <c r="I378" s="144">
        <v>4</v>
      </c>
      <c r="J378" s="127">
        <f t="shared" si="49"/>
        <v>2</v>
      </c>
      <c r="K378" s="127" t="s">
        <v>1305</v>
      </c>
      <c r="M378" s="127">
        <f t="shared" si="50"/>
        <v>0</v>
      </c>
      <c r="N378" s="127" t="s">
        <v>1305</v>
      </c>
      <c r="P378" s="127">
        <f t="shared" si="51"/>
        <v>0</v>
      </c>
      <c r="Q378" s="127" t="s">
        <v>1305</v>
      </c>
      <c r="S378" s="127">
        <f t="shared" si="52"/>
        <v>0</v>
      </c>
      <c r="T378" s="127" t="s">
        <v>1305</v>
      </c>
      <c r="V378" s="127">
        <f t="shared" si="53"/>
        <v>0</v>
      </c>
    </row>
    <row r="379" spans="1:22" s="138" customFormat="1" ht="15.75">
      <c r="A379" s="138" t="s">
        <v>1338</v>
      </c>
      <c r="B379" s="136" t="s">
        <v>912</v>
      </c>
      <c r="C379" s="137">
        <f>'ECONOMIA &amp; PROFESIONES'!E35</f>
        <v>7</v>
      </c>
      <c r="D379" s="133"/>
      <c r="E379" s="138" t="s">
        <v>1305</v>
      </c>
      <c r="G379" s="138">
        <f t="shared" si="55"/>
        <v>0</v>
      </c>
      <c r="H379" s="138" t="s">
        <v>1305</v>
      </c>
      <c r="J379" s="138">
        <f t="shared" si="49"/>
        <v>0</v>
      </c>
      <c r="K379" s="138" t="s">
        <v>1305</v>
      </c>
      <c r="M379" s="138">
        <f t="shared" si="50"/>
        <v>0</v>
      </c>
      <c r="N379" s="138" t="s">
        <v>1305</v>
      </c>
      <c r="P379" s="138">
        <f t="shared" si="51"/>
        <v>0</v>
      </c>
      <c r="Q379" s="138" t="s">
        <v>1305</v>
      </c>
      <c r="S379" s="138">
        <f t="shared" si="52"/>
        <v>0</v>
      </c>
      <c r="T379" s="138" t="s">
        <v>1305</v>
      </c>
      <c r="V379" s="138">
        <f t="shared" si="53"/>
        <v>0</v>
      </c>
    </row>
    <row r="380" spans="1:22" ht="15.75">
      <c r="A380" s="155" t="s">
        <v>1345</v>
      </c>
      <c r="B380" s="125" t="s">
        <v>913</v>
      </c>
      <c r="C380" s="130">
        <f t="shared" ref="C380:C440" si="56">(G380*F380)+(I380*J380)+(L380*M380)+(O380*P380)+(R380*S380)+(U380*V380)</f>
        <v>7</v>
      </c>
      <c r="E380" s="144" t="s">
        <v>912</v>
      </c>
      <c r="F380" s="144">
        <v>1</v>
      </c>
      <c r="G380" s="144">
        <f t="shared" si="55"/>
        <v>7</v>
      </c>
      <c r="H380" s="144" t="s">
        <v>1305</v>
      </c>
      <c r="I380" s="144"/>
      <c r="J380" s="127">
        <f t="shared" si="49"/>
        <v>0</v>
      </c>
      <c r="K380" s="127" t="s">
        <v>1305</v>
      </c>
      <c r="M380" s="127">
        <f t="shared" si="50"/>
        <v>0</v>
      </c>
      <c r="N380" s="127" t="s">
        <v>1305</v>
      </c>
      <c r="P380" s="127">
        <f t="shared" si="51"/>
        <v>0</v>
      </c>
      <c r="Q380" s="127" t="s">
        <v>1305</v>
      </c>
      <c r="S380" s="127">
        <f t="shared" si="52"/>
        <v>0</v>
      </c>
      <c r="T380" s="127" t="s">
        <v>1305</v>
      </c>
      <c r="V380" s="127">
        <f t="shared" si="53"/>
        <v>0</v>
      </c>
    </row>
    <row r="381" spans="1:22" ht="15.75">
      <c r="A381" s="155" t="s">
        <v>1345</v>
      </c>
      <c r="B381" s="125" t="s">
        <v>914</v>
      </c>
      <c r="C381" s="130">
        <f t="shared" si="56"/>
        <v>14</v>
      </c>
      <c r="E381" s="144" t="s">
        <v>913</v>
      </c>
      <c r="F381" s="144">
        <v>2</v>
      </c>
      <c r="G381" s="144">
        <f t="shared" si="55"/>
        <v>7</v>
      </c>
      <c r="H381" s="144" t="s">
        <v>1305</v>
      </c>
      <c r="I381" s="144"/>
      <c r="J381" s="127">
        <f t="shared" ref="J381:J443" si="57">VLOOKUP(H381,IDPOINTS,2,FALSE)</f>
        <v>0</v>
      </c>
      <c r="K381" s="127" t="s">
        <v>1305</v>
      </c>
      <c r="M381" s="127">
        <f t="shared" ref="M381:M443" si="58">VLOOKUP(K381,IDPOINTS,2,FALSE)</f>
        <v>0</v>
      </c>
      <c r="N381" s="127" t="s">
        <v>1305</v>
      </c>
      <c r="P381" s="127">
        <f t="shared" ref="P381:P443" si="59">VLOOKUP(N381,IDPOINTS,2,FALSE)</f>
        <v>0</v>
      </c>
      <c r="Q381" s="127" t="s">
        <v>1305</v>
      </c>
      <c r="S381" s="127">
        <f t="shared" ref="S381:S443" si="60">VLOOKUP(Q381,IDPOINTS,2,FALSE)</f>
        <v>0</v>
      </c>
      <c r="T381" s="127" t="s">
        <v>1305</v>
      </c>
      <c r="V381" s="127">
        <f t="shared" ref="V381:V443" si="61">VLOOKUP(T381,IDPOINTS,2,FALSE)</f>
        <v>0</v>
      </c>
    </row>
    <row r="382" spans="1:22" ht="15.75">
      <c r="A382" s="155" t="s">
        <v>1345</v>
      </c>
      <c r="B382" s="125" t="s">
        <v>915</v>
      </c>
      <c r="C382" s="130">
        <f t="shared" si="56"/>
        <v>44</v>
      </c>
      <c r="E382" s="144" t="s">
        <v>913</v>
      </c>
      <c r="F382" s="144">
        <v>6</v>
      </c>
      <c r="G382" s="144">
        <f t="shared" si="55"/>
        <v>7</v>
      </c>
      <c r="H382" s="144" t="s">
        <v>1208</v>
      </c>
      <c r="I382" s="144">
        <v>1</v>
      </c>
      <c r="J382" s="127">
        <f t="shared" si="57"/>
        <v>2</v>
      </c>
      <c r="K382" s="127" t="s">
        <v>1305</v>
      </c>
      <c r="M382" s="127">
        <f t="shared" si="58"/>
        <v>0</v>
      </c>
      <c r="N382" s="127" t="s">
        <v>1305</v>
      </c>
      <c r="P382" s="127">
        <f t="shared" si="59"/>
        <v>0</v>
      </c>
      <c r="Q382" s="127" t="s">
        <v>1305</v>
      </c>
      <c r="S382" s="127">
        <f t="shared" si="60"/>
        <v>0</v>
      </c>
      <c r="T382" s="127" t="s">
        <v>1305</v>
      </c>
      <c r="V382" s="127">
        <f t="shared" si="61"/>
        <v>0</v>
      </c>
    </row>
    <row r="383" spans="1:22" ht="15.75">
      <c r="A383" s="155" t="s">
        <v>1345</v>
      </c>
      <c r="B383" s="125" t="s">
        <v>916</v>
      </c>
      <c r="C383" s="130">
        <f t="shared" si="56"/>
        <v>21</v>
      </c>
      <c r="E383" s="144" t="s">
        <v>913</v>
      </c>
      <c r="F383" s="144">
        <v>3</v>
      </c>
      <c r="G383" s="144">
        <f t="shared" si="55"/>
        <v>7</v>
      </c>
      <c r="H383" s="144" t="s">
        <v>1305</v>
      </c>
      <c r="I383" s="144"/>
      <c r="J383" s="127">
        <f t="shared" si="57"/>
        <v>0</v>
      </c>
      <c r="K383" s="127" t="s">
        <v>1305</v>
      </c>
      <c r="M383" s="127">
        <f t="shared" si="58"/>
        <v>0</v>
      </c>
      <c r="N383" s="127" t="s">
        <v>1305</v>
      </c>
      <c r="P383" s="127">
        <f t="shared" si="59"/>
        <v>0</v>
      </c>
      <c r="Q383" s="127" t="s">
        <v>1305</v>
      </c>
      <c r="S383" s="127">
        <f t="shared" si="60"/>
        <v>0</v>
      </c>
      <c r="T383" s="127" t="s">
        <v>1305</v>
      </c>
      <c r="V383" s="127">
        <f t="shared" si="61"/>
        <v>0</v>
      </c>
    </row>
    <row r="384" spans="1:22" ht="15.75">
      <c r="A384" s="155" t="s">
        <v>1345</v>
      </c>
      <c r="B384" s="125" t="s">
        <v>917</v>
      </c>
      <c r="C384" s="130">
        <f t="shared" si="56"/>
        <v>42</v>
      </c>
      <c r="E384" s="144" t="s">
        <v>913</v>
      </c>
      <c r="F384" s="144">
        <v>6</v>
      </c>
      <c r="G384" s="144">
        <f t="shared" si="55"/>
        <v>7</v>
      </c>
      <c r="H384" s="144" t="s">
        <v>1305</v>
      </c>
      <c r="I384" s="144"/>
      <c r="J384" s="127">
        <f t="shared" si="57"/>
        <v>0</v>
      </c>
      <c r="K384" s="127" t="s">
        <v>1305</v>
      </c>
      <c r="M384" s="127">
        <f t="shared" si="58"/>
        <v>0</v>
      </c>
      <c r="N384" s="127" t="s">
        <v>1305</v>
      </c>
      <c r="P384" s="127">
        <f t="shared" si="59"/>
        <v>0</v>
      </c>
      <c r="Q384" s="127" t="s">
        <v>1305</v>
      </c>
      <c r="S384" s="127">
        <f t="shared" si="60"/>
        <v>0</v>
      </c>
      <c r="T384" s="127" t="s">
        <v>1305</v>
      </c>
      <c r="V384" s="127">
        <f t="shared" si="61"/>
        <v>0</v>
      </c>
    </row>
    <row r="385" spans="1:22" ht="15.75">
      <c r="A385" s="155" t="s">
        <v>1345</v>
      </c>
      <c r="B385" s="125" t="s">
        <v>918</v>
      </c>
      <c r="C385" s="130">
        <f t="shared" si="56"/>
        <v>42</v>
      </c>
      <c r="E385" s="144" t="s">
        <v>913</v>
      </c>
      <c r="F385" s="144">
        <v>6</v>
      </c>
      <c r="G385" s="144">
        <f t="shared" si="55"/>
        <v>7</v>
      </c>
      <c r="H385" s="144" t="s">
        <v>1305</v>
      </c>
      <c r="I385" s="144"/>
      <c r="J385" s="127">
        <f t="shared" si="57"/>
        <v>0</v>
      </c>
      <c r="K385" s="127" t="s">
        <v>1305</v>
      </c>
      <c r="M385" s="127">
        <f t="shared" si="58"/>
        <v>0</v>
      </c>
      <c r="N385" s="127" t="s">
        <v>1305</v>
      </c>
      <c r="P385" s="127">
        <f t="shared" si="59"/>
        <v>0</v>
      </c>
      <c r="Q385" s="127" t="s">
        <v>1305</v>
      </c>
      <c r="S385" s="127">
        <f t="shared" si="60"/>
        <v>0</v>
      </c>
      <c r="T385" s="127" t="s">
        <v>1305</v>
      </c>
      <c r="V385" s="127">
        <f t="shared" si="61"/>
        <v>0</v>
      </c>
    </row>
    <row r="386" spans="1:22" s="138" customFormat="1" ht="15.75">
      <c r="A386" s="138" t="s">
        <v>1338</v>
      </c>
      <c r="B386" s="136" t="s">
        <v>919</v>
      </c>
      <c r="C386" s="137">
        <f>'ECONOMIA &amp; PROFESIONES'!E35</f>
        <v>7</v>
      </c>
      <c r="D386" s="133"/>
      <c r="E386" s="138" t="s">
        <v>1305</v>
      </c>
      <c r="G386" s="138">
        <f t="shared" si="55"/>
        <v>0</v>
      </c>
      <c r="H386" s="138" t="s">
        <v>1305</v>
      </c>
      <c r="J386" s="138">
        <f t="shared" si="57"/>
        <v>0</v>
      </c>
      <c r="K386" s="138" t="s">
        <v>1305</v>
      </c>
      <c r="M386" s="138">
        <f t="shared" si="58"/>
        <v>0</v>
      </c>
      <c r="N386" s="138" t="s">
        <v>1305</v>
      </c>
      <c r="P386" s="138">
        <f t="shared" si="59"/>
        <v>0</v>
      </c>
      <c r="Q386" s="138" t="s">
        <v>1305</v>
      </c>
      <c r="S386" s="138">
        <f t="shared" si="60"/>
        <v>0</v>
      </c>
      <c r="T386" s="138" t="s">
        <v>1305</v>
      </c>
      <c r="V386" s="138">
        <f t="shared" si="61"/>
        <v>0</v>
      </c>
    </row>
    <row r="387" spans="1:22" s="138" customFormat="1" ht="15.75">
      <c r="A387" s="138" t="s">
        <v>560</v>
      </c>
      <c r="B387" s="136" t="s">
        <v>920</v>
      </c>
      <c r="C387" s="137">
        <f>'ECONOMIA &amp; PROFESIONES'!G37</f>
        <v>5</v>
      </c>
      <c r="D387" s="133"/>
      <c r="E387" s="138" t="s">
        <v>1305</v>
      </c>
      <c r="G387" s="138">
        <f t="shared" ref="G387:G444" si="62">VLOOKUP(E387,IDPOINTS,2,FALSE)</f>
        <v>0</v>
      </c>
      <c r="H387" s="138" t="s">
        <v>1305</v>
      </c>
      <c r="J387" s="138">
        <f t="shared" si="57"/>
        <v>0</v>
      </c>
      <c r="K387" s="138" t="s">
        <v>1305</v>
      </c>
      <c r="M387" s="138">
        <f t="shared" si="58"/>
        <v>0</v>
      </c>
      <c r="N387" s="138" t="s">
        <v>1305</v>
      </c>
      <c r="P387" s="138">
        <f t="shared" si="59"/>
        <v>0</v>
      </c>
      <c r="Q387" s="138" t="s">
        <v>1305</v>
      </c>
      <c r="S387" s="138">
        <f t="shared" si="60"/>
        <v>0</v>
      </c>
      <c r="T387" s="138" t="s">
        <v>1305</v>
      </c>
      <c r="V387" s="138">
        <f t="shared" si="61"/>
        <v>0</v>
      </c>
    </row>
    <row r="388" spans="1:22" ht="15.75">
      <c r="A388" s="155" t="s">
        <v>1345</v>
      </c>
      <c r="B388" s="125" t="s">
        <v>921</v>
      </c>
      <c r="C388" s="130">
        <f t="shared" si="56"/>
        <v>14</v>
      </c>
      <c r="E388" s="127" t="s">
        <v>1208</v>
      </c>
      <c r="F388">
        <v>7</v>
      </c>
      <c r="G388" s="127">
        <f t="shared" si="62"/>
        <v>2</v>
      </c>
      <c r="H388" s="127" t="s">
        <v>1305</v>
      </c>
      <c r="J388" s="127">
        <f t="shared" si="57"/>
        <v>0</v>
      </c>
      <c r="K388" s="127" t="s">
        <v>1305</v>
      </c>
      <c r="M388" s="127">
        <f t="shared" si="58"/>
        <v>0</v>
      </c>
      <c r="N388" s="127" t="s">
        <v>1305</v>
      </c>
      <c r="P388" s="127">
        <f t="shared" si="59"/>
        <v>0</v>
      </c>
      <c r="Q388" s="127" t="s">
        <v>1305</v>
      </c>
      <c r="S388" s="127">
        <f t="shared" si="60"/>
        <v>0</v>
      </c>
      <c r="T388" s="127" t="s">
        <v>1305</v>
      </c>
      <c r="V388" s="127">
        <f t="shared" si="61"/>
        <v>0</v>
      </c>
    </row>
    <row r="389" spans="1:22" ht="15.75">
      <c r="A389" s="155" t="s">
        <v>1343</v>
      </c>
      <c r="B389" s="125" t="s">
        <v>922</v>
      </c>
      <c r="C389" s="130">
        <f t="shared" si="56"/>
        <v>8.5555555555555554</v>
      </c>
      <c r="E389" s="127" t="s">
        <v>898</v>
      </c>
      <c r="F389">
        <v>8</v>
      </c>
      <c r="G389" s="127">
        <f t="shared" si="62"/>
        <v>0.44444444444444442</v>
      </c>
      <c r="H389" s="127" t="s">
        <v>1248</v>
      </c>
      <c r="I389" s="127">
        <v>1</v>
      </c>
      <c r="J389" s="127">
        <f t="shared" si="57"/>
        <v>5</v>
      </c>
      <c r="K389" s="127" t="s">
        <v>1305</v>
      </c>
      <c r="M389" s="127">
        <f t="shared" si="58"/>
        <v>0</v>
      </c>
      <c r="N389" s="127" t="s">
        <v>1305</v>
      </c>
      <c r="P389" s="127">
        <f t="shared" si="59"/>
        <v>0</v>
      </c>
      <c r="Q389" s="127" t="s">
        <v>1305</v>
      </c>
      <c r="S389" s="127">
        <f t="shared" si="60"/>
        <v>0</v>
      </c>
      <c r="T389" s="127" t="s">
        <v>1305</v>
      </c>
      <c r="V389" s="127">
        <f t="shared" si="61"/>
        <v>0</v>
      </c>
    </row>
    <row r="390" spans="1:22" ht="15.75">
      <c r="A390" s="155" t="s">
        <v>1346</v>
      </c>
      <c r="B390" s="125" t="s">
        <v>923</v>
      </c>
      <c r="C390" s="130">
        <f t="shared" si="56"/>
        <v>45</v>
      </c>
      <c r="E390" s="127" t="s">
        <v>924</v>
      </c>
      <c r="F390">
        <v>9</v>
      </c>
      <c r="G390" s="127">
        <f t="shared" si="62"/>
        <v>5</v>
      </c>
      <c r="H390" s="127" t="s">
        <v>1305</v>
      </c>
      <c r="J390" s="127">
        <f t="shared" si="57"/>
        <v>0</v>
      </c>
      <c r="K390" s="127" t="s">
        <v>1305</v>
      </c>
      <c r="M390" s="127">
        <f t="shared" si="58"/>
        <v>0</v>
      </c>
      <c r="N390" s="127" t="s">
        <v>1305</v>
      </c>
      <c r="P390" s="127">
        <f t="shared" si="59"/>
        <v>0</v>
      </c>
      <c r="Q390" s="127" t="s">
        <v>1305</v>
      </c>
      <c r="S390" s="127">
        <f t="shared" si="60"/>
        <v>0</v>
      </c>
      <c r="T390" s="127" t="s">
        <v>1305</v>
      </c>
      <c r="V390" s="127">
        <f t="shared" si="61"/>
        <v>0</v>
      </c>
    </row>
    <row r="391" spans="1:22" s="138" customFormat="1" ht="15.75">
      <c r="A391" s="138" t="s">
        <v>1337</v>
      </c>
      <c r="B391" s="136" t="s">
        <v>924</v>
      </c>
      <c r="C391" s="137">
        <f>'ECONOMIA &amp; PROFESIONES'!C34</f>
        <v>5</v>
      </c>
      <c r="D391" s="133"/>
      <c r="E391" s="138" t="s">
        <v>1305</v>
      </c>
      <c r="G391" s="138">
        <f t="shared" si="62"/>
        <v>0</v>
      </c>
      <c r="H391" s="138" t="s">
        <v>1305</v>
      </c>
      <c r="J391" s="138">
        <f t="shared" si="57"/>
        <v>0</v>
      </c>
      <c r="K391" s="138" t="s">
        <v>1305</v>
      </c>
      <c r="M391" s="138">
        <f t="shared" si="58"/>
        <v>0</v>
      </c>
      <c r="N391" s="138" t="s">
        <v>1305</v>
      </c>
      <c r="P391" s="138">
        <f t="shared" si="59"/>
        <v>0</v>
      </c>
      <c r="Q391" s="138" t="s">
        <v>1305</v>
      </c>
      <c r="S391" s="138">
        <f t="shared" si="60"/>
        <v>0</v>
      </c>
      <c r="T391" s="138" t="s">
        <v>1305</v>
      </c>
      <c r="V391" s="138">
        <f t="shared" si="61"/>
        <v>0</v>
      </c>
    </row>
    <row r="392" spans="1:22" s="138" customFormat="1" ht="15.75">
      <c r="A392" s="138" t="s">
        <v>1337</v>
      </c>
      <c r="B392" s="136" t="s">
        <v>925</v>
      </c>
      <c r="C392" s="137">
        <f>'ECONOMIA &amp; PROFESIONES'!C34</f>
        <v>5</v>
      </c>
      <c r="D392" s="133"/>
      <c r="E392" s="138" t="s">
        <v>1305</v>
      </c>
      <c r="G392" s="138">
        <f t="shared" si="62"/>
        <v>0</v>
      </c>
      <c r="H392" s="138" t="s">
        <v>1305</v>
      </c>
      <c r="J392" s="138">
        <f t="shared" si="57"/>
        <v>0</v>
      </c>
      <c r="K392" s="138" t="s">
        <v>1305</v>
      </c>
      <c r="M392" s="138">
        <f t="shared" si="58"/>
        <v>0</v>
      </c>
      <c r="N392" s="138" t="s">
        <v>1305</v>
      </c>
      <c r="P392" s="138">
        <f t="shared" si="59"/>
        <v>0</v>
      </c>
      <c r="Q392" s="138" t="s">
        <v>1305</v>
      </c>
      <c r="S392" s="138">
        <f t="shared" si="60"/>
        <v>0</v>
      </c>
      <c r="T392" s="138" t="s">
        <v>1305</v>
      </c>
      <c r="V392" s="138">
        <f t="shared" si="61"/>
        <v>0</v>
      </c>
    </row>
    <row r="393" spans="1:22" s="168" customFormat="1" ht="15.75">
      <c r="B393" s="166" t="s">
        <v>926</v>
      </c>
      <c r="C393" s="167">
        <v>0.2</v>
      </c>
      <c r="E393" s="168" t="s">
        <v>1305</v>
      </c>
      <c r="G393" s="168">
        <f t="shared" si="62"/>
        <v>0</v>
      </c>
      <c r="H393" s="168" t="s">
        <v>1305</v>
      </c>
      <c r="J393" s="168">
        <f t="shared" si="57"/>
        <v>0</v>
      </c>
      <c r="K393" s="168" t="s">
        <v>1305</v>
      </c>
      <c r="M393" s="168">
        <f t="shared" si="58"/>
        <v>0</v>
      </c>
      <c r="N393" s="168" t="s">
        <v>1305</v>
      </c>
      <c r="P393" s="168">
        <f t="shared" si="59"/>
        <v>0</v>
      </c>
      <c r="Q393" s="168" t="s">
        <v>1305</v>
      </c>
      <c r="S393" s="168">
        <f t="shared" si="60"/>
        <v>0</v>
      </c>
      <c r="T393" s="168" t="s">
        <v>1305</v>
      </c>
      <c r="V393" s="168">
        <f t="shared" si="61"/>
        <v>0</v>
      </c>
    </row>
    <row r="394" spans="1:22" ht="15.75">
      <c r="A394" s="155" t="s">
        <v>1347</v>
      </c>
      <c r="B394" s="125" t="s">
        <v>927</v>
      </c>
      <c r="C394" s="130">
        <f t="shared" si="56"/>
        <v>13</v>
      </c>
      <c r="E394" s="127" t="s">
        <v>1224</v>
      </c>
      <c r="F394">
        <v>4</v>
      </c>
      <c r="G394" s="127">
        <f t="shared" si="62"/>
        <v>1.5</v>
      </c>
      <c r="H394" s="127" t="s">
        <v>1173</v>
      </c>
      <c r="I394" s="127">
        <v>1</v>
      </c>
      <c r="J394" s="127">
        <f t="shared" si="57"/>
        <v>7</v>
      </c>
      <c r="K394" s="127" t="s">
        <v>1305</v>
      </c>
      <c r="M394" s="127">
        <f t="shared" si="58"/>
        <v>0</v>
      </c>
      <c r="N394" s="127" t="s">
        <v>1305</v>
      </c>
      <c r="P394" s="127">
        <f t="shared" si="59"/>
        <v>0</v>
      </c>
      <c r="Q394" s="127" t="s">
        <v>1305</v>
      </c>
      <c r="S394" s="127">
        <f t="shared" si="60"/>
        <v>0</v>
      </c>
      <c r="T394" s="127" t="s">
        <v>1305</v>
      </c>
      <c r="V394" s="127">
        <f t="shared" si="61"/>
        <v>0</v>
      </c>
    </row>
    <row r="395" spans="1:22" ht="15.75">
      <c r="A395" s="155" t="s">
        <v>1347</v>
      </c>
      <c r="B395" s="125" t="s">
        <v>928</v>
      </c>
      <c r="C395" s="130">
        <f>'ECONOMIA &amp; PROFESIONES'!B16</f>
        <v>1</v>
      </c>
      <c r="E395" s="127" t="s">
        <v>1305</v>
      </c>
      <c r="G395" s="127">
        <f t="shared" si="62"/>
        <v>0</v>
      </c>
      <c r="H395" s="127" t="s">
        <v>1305</v>
      </c>
      <c r="J395" s="127">
        <f t="shared" si="57"/>
        <v>0</v>
      </c>
      <c r="K395" s="127" t="s">
        <v>1305</v>
      </c>
      <c r="M395" s="127">
        <f t="shared" si="58"/>
        <v>0</v>
      </c>
      <c r="N395" s="127" t="s">
        <v>1305</v>
      </c>
      <c r="P395" s="127">
        <f t="shared" si="59"/>
        <v>0</v>
      </c>
      <c r="Q395" s="127" t="s">
        <v>1305</v>
      </c>
      <c r="S395" s="127">
        <f t="shared" si="60"/>
        <v>0</v>
      </c>
      <c r="T395" s="127" t="s">
        <v>1305</v>
      </c>
      <c r="V395" s="127">
        <f t="shared" si="61"/>
        <v>0</v>
      </c>
    </row>
    <row r="396" spans="1:22" ht="15.75">
      <c r="A396" s="155" t="s">
        <v>1347</v>
      </c>
      <c r="B396" s="125" t="s">
        <v>929</v>
      </c>
      <c r="C396" s="130">
        <f t="shared" si="56"/>
        <v>4</v>
      </c>
      <c r="E396" s="127" t="s">
        <v>928</v>
      </c>
      <c r="F396">
        <v>4</v>
      </c>
      <c r="G396" s="127">
        <f t="shared" si="62"/>
        <v>1</v>
      </c>
      <c r="H396" s="127" t="s">
        <v>1305</v>
      </c>
      <c r="J396" s="127">
        <f t="shared" si="57"/>
        <v>0</v>
      </c>
      <c r="K396" s="127" t="s">
        <v>1305</v>
      </c>
      <c r="M396" s="127">
        <f t="shared" si="58"/>
        <v>0</v>
      </c>
      <c r="N396" s="127" t="s">
        <v>1305</v>
      </c>
      <c r="P396" s="127">
        <f t="shared" si="59"/>
        <v>0</v>
      </c>
      <c r="Q396" s="127" t="s">
        <v>1305</v>
      </c>
      <c r="S396" s="127">
        <f t="shared" si="60"/>
        <v>0</v>
      </c>
      <c r="T396" s="127" t="s">
        <v>1305</v>
      </c>
      <c r="V396" s="127">
        <f t="shared" si="61"/>
        <v>0</v>
      </c>
    </row>
    <row r="397" spans="1:22" ht="15.75">
      <c r="A397" s="155" t="s">
        <v>1347</v>
      </c>
      <c r="B397" s="125" t="s">
        <v>930</v>
      </c>
      <c r="C397" s="130">
        <f t="shared" si="56"/>
        <v>8</v>
      </c>
      <c r="E397" s="144" t="s">
        <v>928</v>
      </c>
      <c r="F397">
        <v>8</v>
      </c>
      <c r="G397" s="127">
        <f t="shared" si="62"/>
        <v>1</v>
      </c>
      <c r="H397" s="127" t="s">
        <v>1305</v>
      </c>
      <c r="J397" s="127">
        <f t="shared" si="57"/>
        <v>0</v>
      </c>
      <c r="K397" s="127" t="s">
        <v>1305</v>
      </c>
      <c r="M397" s="127">
        <f t="shared" si="58"/>
        <v>0</v>
      </c>
      <c r="N397" s="127" t="s">
        <v>1305</v>
      </c>
      <c r="P397" s="127">
        <f t="shared" si="59"/>
        <v>0</v>
      </c>
      <c r="Q397" s="127" t="s">
        <v>1305</v>
      </c>
      <c r="S397" s="127">
        <f t="shared" si="60"/>
        <v>0</v>
      </c>
      <c r="T397" s="127" t="s">
        <v>1305</v>
      </c>
      <c r="V397" s="127">
        <f t="shared" si="61"/>
        <v>0</v>
      </c>
    </row>
    <row r="398" spans="1:22" ht="15.75">
      <c r="A398" s="155" t="s">
        <v>1347</v>
      </c>
      <c r="B398" s="125" t="s">
        <v>931</v>
      </c>
      <c r="C398" s="130">
        <f t="shared" si="56"/>
        <v>5</v>
      </c>
      <c r="E398" s="144" t="s">
        <v>928</v>
      </c>
      <c r="F398">
        <v>5</v>
      </c>
      <c r="G398" s="127">
        <f t="shared" si="62"/>
        <v>1</v>
      </c>
      <c r="H398" s="127" t="s">
        <v>1305</v>
      </c>
      <c r="J398" s="127">
        <f t="shared" si="57"/>
        <v>0</v>
      </c>
      <c r="K398" s="127" t="s">
        <v>1305</v>
      </c>
      <c r="M398" s="127">
        <f t="shared" si="58"/>
        <v>0</v>
      </c>
      <c r="N398" s="127" t="s">
        <v>1305</v>
      </c>
      <c r="P398" s="127">
        <f t="shared" si="59"/>
        <v>0</v>
      </c>
      <c r="Q398" s="127" t="s">
        <v>1305</v>
      </c>
      <c r="S398" s="127">
        <f t="shared" si="60"/>
        <v>0</v>
      </c>
      <c r="T398" s="127" t="s">
        <v>1305</v>
      </c>
      <c r="V398" s="127">
        <f t="shared" si="61"/>
        <v>0</v>
      </c>
    </row>
    <row r="399" spans="1:22" s="141" customFormat="1" ht="15.75">
      <c r="A399" s="155"/>
      <c r="B399" s="139" t="s">
        <v>932</v>
      </c>
      <c r="C399" s="140">
        <f t="shared" si="56"/>
        <v>0</v>
      </c>
      <c r="D399" s="133"/>
      <c r="E399" s="141" t="s">
        <v>928</v>
      </c>
      <c r="G399" s="141">
        <f t="shared" si="62"/>
        <v>1</v>
      </c>
      <c r="H399" s="141" t="s">
        <v>1305</v>
      </c>
      <c r="J399" s="141">
        <f t="shared" si="57"/>
        <v>0</v>
      </c>
      <c r="K399" s="141" t="s">
        <v>1305</v>
      </c>
      <c r="M399" s="141">
        <f t="shared" si="58"/>
        <v>0</v>
      </c>
      <c r="N399" s="141" t="s">
        <v>1305</v>
      </c>
      <c r="P399" s="141">
        <f t="shared" si="59"/>
        <v>0</v>
      </c>
      <c r="Q399" s="141" t="s">
        <v>1305</v>
      </c>
      <c r="S399" s="141">
        <f t="shared" si="60"/>
        <v>0</v>
      </c>
      <c r="T399" s="141" t="s">
        <v>1305</v>
      </c>
      <c r="V399" s="141">
        <f t="shared" si="61"/>
        <v>0</v>
      </c>
    </row>
    <row r="400" spans="1:22" ht="15.75">
      <c r="A400" s="155" t="s">
        <v>1347</v>
      </c>
      <c r="B400" s="125" t="s">
        <v>933</v>
      </c>
      <c r="C400" s="130">
        <f t="shared" si="56"/>
        <v>7</v>
      </c>
      <c r="E400" s="144" t="s">
        <v>928</v>
      </c>
      <c r="F400">
        <v>7</v>
      </c>
      <c r="G400" s="127">
        <f t="shared" si="62"/>
        <v>1</v>
      </c>
      <c r="H400" s="127" t="s">
        <v>1305</v>
      </c>
      <c r="J400" s="127">
        <f t="shared" si="57"/>
        <v>0</v>
      </c>
      <c r="K400" s="127" t="s">
        <v>1305</v>
      </c>
      <c r="M400" s="127">
        <f t="shared" si="58"/>
        <v>0</v>
      </c>
      <c r="N400" s="127" t="s">
        <v>1305</v>
      </c>
      <c r="P400" s="127">
        <f t="shared" si="59"/>
        <v>0</v>
      </c>
      <c r="Q400" s="127" t="s">
        <v>1305</v>
      </c>
      <c r="S400" s="127">
        <f t="shared" si="60"/>
        <v>0</v>
      </c>
      <c r="T400" s="127" t="s">
        <v>1305</v>
      </c>
      <c r="V400" s="127">
        <f t="shared" si="61"/>
        <v>0</v>
      </c>
    </row>
    <row r="401" spans="1:22" ht="15.75">
      <c r="A401" s="155" t="s">
        <v>1352</v>
      </c>
      <c r="B401" s="125" t="s">
        <v>934</v>
      </c>
      <c r="C401" s="130">
        <f t="shared" si="56"/>
        <v>145</v>
      </c>
      <c r="E401" s="127" t="s">
        <v>616</v>
      </c>
      <c r="F401">
        <v>1</v>
      </c>
      <c r="G401" s="127">
        <f t="shared" si="62"/>
        <v>144</v>
      </c>
      <c r="H401" s="127" t="s">
        <v>1026</v>
      </c>
      <c r="I401" s="127">
        <v>1</v>
      </c>
      <c r="J401" s="127">
        <f t="shared" si="57"/>
        <v>1</v>
      </c>
      <c r="K401" s="127" t="s">
        <v>1305</v>
      </c>
      <c r="M401" s="127">
        <f t="shared" si="58"/>
        <v>0</v>
      </c>
      <c r="N401" s="127" t="s">
        <v>1305</v>
      </c>
      <c r="P401" s="127">
        <f t="shared" si="59"/>
        <v>0</v>
      </c>
      <c r="Q401" s="127" t="s">
        <v>1305</v>
      </c>
      <c r="S401" s="127">
        <f t="shared" si="60"/>
        <v>0</v>
      </c>
      <c r="T401" s="127" t="s">
        <v>1305</v>
      </c>
      <c r="V401" s="127">
        <f t="shared" si="61"/>
        <v>0</v>
      </c>
    </row>
    <row r="402" spans="1:22" ht="15.75">
      <c r="A402" s="155" t="s">
        <v>1353</v>
      </c>
      <c r="B402" s="125" t="s">
        <v>935</v>
      </c>
      <c r="C402" s="130">
        <f t="shared" si="56"/>
        <v>3</v>
      </c>
      <c r="E402" s="127" t="s">
        <v>676</v>
      </c>
      <c r="F402">
        <v>1</v>
      </c>
      <c r="G402" s="127">
        <f t="shared" si="62"/>
        <v>1</v>
      </c>
      <c r="H402" s="127" t="s">
        <v>1208</v>
      </c>
      <c r="I402" s="127">
        <v>1</v>
      </c>
      <c r="J402" s="127">
        <f t="shared" si="57"/>
        <v>2</v>
      </c>
      <c r="K402" s="127" t="s">
        <v>1305</v>
      </c>
      <c r="M402" s="127">
        <f t="shared" si="58"/>
        <v>0</v>
      </c>
      <c r="N402" s="127" t="s">
        <v>1305</v>
      </c>
      <c r="P402" s="127">
        <f t="shared" si="59"/>
        <v>0</v>
      </c>
      <c r="Q402" s="127" t="s">
        <v>1305</v>
      </c>
      <c r="S402" s="127">
        <f t="shared" si="60"/>
        <v>0</v>
      </c>
      <c r="T402" s="127" t="s">
        <v>1305</v>
      </c>
      <c r="V402" s="127">
        <f t="shared" si="61"/>
        <v>0</v>
      </c>
    </row>
    <row r="403" spans="1:22" ht="15.75">
      <c r="A403" s="155" t="s">
        <v>1351</v>
      </c>
      <c r="B403" s="125" t="s">
        <v>936</v>
      </c>
      <c r="C403" s="130">
        <f t="shared" si="56"/>
        <v>44</v>
      </c>
      <c r="E403" s="144" t="s">
        <v>947</v>
      </c>
      <c r="F403" s="144">
        <v>6</v>
      </c>
      <c r="G403" s="144">
        <f t="shared" si="62"/>
        <v>7</v>
      </c>
      <c r="H403" s="144" t="s">
        <v>1208</v>
      </c>
      <c r="I403" s="144">
        <v>1</v>
      </c>
      <c r="J403" s="127">
        <f t="shared" si="57"/>
        <v>2</v>
      </c>
      <c r="K403" s="127" t="s">
        <v>1305</v>
      </c>
      <c r="M403" s="127">
        <f t="shared" si="58"/>
        <v>0</v>
      </c>
      <c r="N403" s="127" t="s">
        <v>1305</v>
      </c>
      <c r="P403" s="127">
        <f t="shared" si="59"/>
        <v>0</v>
      </c>
      <c r="Q403" s="127" t="s">
        <v>1305</v>
      </c>
      <c r="S403" s="127">
        <f t="shared" si="60"/>
        <v>0</v>
      </c>
      <c r="T403" s="127" t="s">
        <v>1305</v>
      </c>
      <c r="V403" s="127">
        <f t="shared" si="61"/>
        <v>0</v>
      </c>
    </row>
    <row r="404" spans="1:22" ht="15.75">
      <c r="A404" s="155" t="s">
        <v>1351</v>
      </c>
      <c r="B404" s="125" t="s">
        <v>937</v>
      </c>
      <c r="C404" s="130">
        <f t="shared" si="56"/>
        <v>24</v>
      </c>
      <c r="E404" s="144" t="s">
        <v>947</v>
      </c>
      <c r="F404" s="144">
        <v>3</v>
      </c>
      <c r="G404" s="144">
        <f t="shared" si="62"/>
        <v>7</v>
      </c>
      <c r="H404" s="144" t="s">
        <v>1026</v>
      </c>
      <c r="I404" s="144">
        <v>3</v>
      </c>
      <c r="J404" s="127">
        <f t="shared" si="57"/>
        <v>1</v>
      </c>
      <c r="K404" s="127" t="s">
        <v>1305</v>
      </c>
      <c r="M404" s="127">
        <f t="shared" si="58"/>
        <v>0</v>
      </c>
      <c r="N404" s="127" t="s">
        <v>1305</v>
      </c>
      <c r="P404" s="127">
        <f t="shared" si="59"/>
        <v>0</v>
      </c>
      <c r="Q404" s="127" t="s">
        <v>1305</v>
      </c>
      <c r="S404" s="127">
        <f t="shared" si="60"/>
        <v>0</v>
      </c>
      <c r="T404" s="127" t="s">
        <v>1305</v>
      </c>
      <c r="V404" s="127">
        <f t="shared" si="61"/>
        <v>0</v>
      </c>
    </row>
    <row r="405" spans="1:22" ht="15.75">
      <c r="A405" s="155" t="s">
        <v>1351</v>
      </c>
      <c r="B405" s="125" t="s">
        <v>938</v>
      </c>
      <c r="C405" s="130">
        <f t="shared" si="56"/>
        <v>14</v>
      </c>
      <c r="E405" s="144" t="s">
        <v>947</v>
      </c>
      <c r="F405" s="144">
        <v>2</v>
      </c>
      <c r="G405" s="144">
        <f t="shared" si="62"/>
        <v>7</v>
      </c>
      <c r="H405" s="144" t="s">
        <v>1305</v>
      </c>
      <c r="I405" s="144"/>
      <c r="J405" s="127">
        <f t="shared" si="57"/>
        <v>0</v>
      </c>
      <c r="K405" s="127" t="s">
        <v>1305</v>
      </c>
      <c r="M405" s="127">
        <f t="shared" si="58"/>
        <v>0</v>
      </c>
      <c r="N405" s="127" t="s">
        <v>1305</v>
      </c>
      <c r="P405" s="127">
        <f t="shared" si="59"/>
        <v>0</v>
      </c>
      <c r="Q405" s="127" t="s">
        <v>1305</v>
      </c>
      <c r="S405" s="127">
        <f t="shared" si="60"/>
        <v>0</v>
      </c>
      <c r="T405" s="127" t="s">
        <v>1305</v>
      </c>
      <c r="V405" s="127">
        <f t="shared" si="61"/>
        <v>0</v>
      </c>
    </row>
    <row r="406" spans="1:22" ht="15.75">
      <c r="A406" s="155" t="s">
        <v>1351</v>
      </c>
      <c r="B406" s="125" t="s">
        <v>939</v>
      </c>
      <c r="C406" s="130">
        <f t="shared" si="56"/>
        <v>24</v>
      </c>
      <c r="E406" s="144" t="s">
        <v>940</v>
      </c>
      <c r="F406" s="144">
        <v>1</v>
      </c>
      <c r="G406" s="144">
        <f t="shared" si="62"/>
        <v>24</v>
      </c>
      <c r="H406" s="144" t="s">
        <v>1305</v>
      </c>
      <c r="I406" s="144"/>
      <c r="J406" s="127">
        <f t="shared" si="57"/>
        <v>0</v>
      </c>
      <c r="K406" s="127" t="s">
        <v>1305</v>
      </c>
      <c r="M406" s="127">
        <f t="shared" si="58"/>
        <v>0</v>
      </c>
      <c r="N406" s="127" t="s">
        <v>1305</v>
      </c>
      <c r="P406" s="127">
        <f t="shared" si="59"/>
        <v>0</v>
      </c>
      <c r="Q406" s="127" t="s">
        <v>1305</v>
      </c>
      <c r="S406" s="127">
        <f t="shared" si="60"/>
        <v>0</v>
      </c>
      <c r="T406" s="127" t="s">
        <v>1305</v>
      </c>
      <c r="V406" s="127">
        <f t="shared" si="61"/>
        <v>0</v>
      </c>
    </row>
    <row r="407" spans="1:22" ht="15.75">
      <c r="A407" s="155" t="s">
        <v>1351</v>
      </c>
      <c r="B407" s="125" t="s">
        <v>940</v>
      </c>
      <c r="C407" s="130">
        <f t="shared" si="56"/>
        <v>24</v>
      </c>
      <c r="E407" s="144" t="s">
        <v>1158</v>
      </c>
      <c r="F407" s="144">
        <v>4</v>
      </c>
      <c r="G407" s="144">
        <f t="shared" si="62"/>
        <v>5</v>
      </c>
      <c r="H407" s="144" t="s">
        <v>844</v>
      </c>
      <c r="I407" s="144">
        <v>4</v>
      </c>
      <c r="J407" s="127">
        <f t="shared" si="57"/>
        <v>1</v>
      </c>
      <c r="K407" s="127" t="s">
        <v>1305</v>
      </c>
      <c r="M407" s="127">
        <f t="shared" si="58"/>
        <v>0</v>
      </c>
      <c r="N407" s="127" t="s">
        <v>1305</v>
      </c>
      <c r="P407" s="127">
        <f t="shared" si="59"/>
        <v>0</v>
      </c>
      <c r="Q407" s="127" t="s">
        <v>1305</v>
      </c>
      <c r="S407" s="127">
        <f t="shared" si="60"/>
        <v>0</v>
      </c>
      <c r="T407" s="127" t="s">
        <v>1305</v>
      </c>
      <c r="V407" s="127">
        <f t="shared" si="61"/>
        <v>0</v>
      </c>
    </row>
    <row r="408" spans="1:22" s="13" customFormat="1" ht="15.75">
      <c r="A408" s="155" t="s">
        <v>1351</v>
      </c>
      <c r="B408" s="145" t="s">
        <v>941</v>
      </c>
      <c r="C408" s="146">
        <f t="shared" si="56"/>
        <v>1</v>
      </c>
      <c r="D408" s="133"/>
      <c r="E408" s="13" t="s">
        <v>603</v>
      </c>
      <c r="G408" s="13">
        <f t="shared" si="62"/>
        <v>1</v>
      </c>
      <c r="H408" s="13" t="s">
        <v>1267</v>
      </c>
      <c r="J408" s="13">
        <f t="shared" si="57"/>
        <v>2.5</v>
      </c>
      <c r="K408" s="13" t="s">
        <v>606</v>
      </c>
      <c r="L408" s="13">
        <v>1</v>
      </c>
      <c r="M408" s="13">
        <f t="shared" si="58"/>
        <v>1</v>
      </c>
      <c r="N408" s="13" t="s">
        <v>1305</v>
      </c>
      <c r="P408" s="13">
        <f t="shared" si="59"/>
        <v>0</v>
      </c>
      <c r="Q408" s="13" t="s">
        <v>1305</v>
      </c>
      <c r="S408" s="13">
        <f t="shared" si="60"/>
        <v>0</v>
      </c>
      <c r="T408" s="13" t="s">
        <v>1305</v>
      </c>
      <c r="V408" s="13">
        <f t="shared" si="61"/>
        <v>0</v>
      </c>
    </row>
    <row r="409" spans="1:22" ht="15.75">
      <c r="A409" s="155" t="s">
        <v>1351</v>
      </c>
      <c r="B409" s="125" t="s">
        <v>942</v>
      </c>
      <c r="C409" s="130">
        <f t="shared" si="56"/>
        <v>252</v>
      </c>
      <c r="E409" s="144" t="s">
        <v>946</v>
      </c>
      <c r="F409" s="144">
        <v>1</v>
      </c>
      <c r="G409" s="144">
        <f t="shared" si="62"/>
        <v>249</v>
      </c>
      <c r="H409" s="144" t="s">
        <v>672</v>
      </c>
      <c r="I409" s="144">
        <v>1</v>
      </c>
      <c r="J409" s="127">
        <f t="shared" si="57"/>
        <v>3</v>
      </c>
      <c r="K409" s="127" t="s">
        <v>1305</v>
      </c>
      <c r="M409" s="127">
        <f t="shared" si="58"/>
        <v>0</v>
      </c>
      <c r="N409" s="127" t="s">
        <v>1305</v>
      </c>
      <c r="P409" s="127">
        <f t="shared" si="59"/>
        <v>0</v>
      </c>
      <c r="Q409" s="127" t="s">
        <v>1305</v>
      </c>
      <c r="S409" s="127">
        <f t="shared" si="60"/>
        <v>0</v>
      </c>
      <c r="T409" s="127" t="s">
        <v>1305</v>
      </c>
      <c r="V409" s="127">
        <f t="shared" si="61"/>
        <v>0</v>
      </c>
    </row>
    <row r="410" spans="1:22" ht="15.75">
      <c r="A410" s="155" t="s">
        <v>1351</v>
      </c>
      <c r="B410" s="125" t="s">
        <v>943</v>
      </c>
      <c r="C410" s="130">
        <f t="shared" si="56"/>
        <v>27</v>
      </c>
      <c r="E410" s="144" t="s">
        <v>941</v>
      </c>
      <c r="F410" s="144">
        <v>1</v>
      </c>
      <c r="G410" s="144">
        <f t="shared" si="62"/>
        <v>1</v>
      </c>
      <c r="H410" s="144" t="s">
        <v>1170</v>
      </c>
      <c r="I410" s="144">
        <v>1</v>
      </c>
      <c r="J410" s="127">
        <f t="shared" si="57"/>
        <v>26</v>
      </c>
      <c r="K410" s="127" t="s">
        <v>1305</v>
      </c>
      <c r="M410" s="127">
        <f t="shared" si="58"/>
        <v>0</v>
      </c>
      <c r="N410" s="127" t="s">
        <v>1305</v>
      </c>
      <c r="P410" s="127">
        <f t="shared" si="59"/>
        <v>0</v>
      </c>
      <c r="Q410" s="127" t="s">
        <v>1305</v>
      </c>
      <c r="S410" s="127">
        <f t="shared" si="60"/>
        <v>0</v>
      </c>
      <c r="T410" s="127" t="s">
        <v>1305</v>
      </c>
      <c r="V410" s="127">
        <f t="shared" si="61"/>
        <v>0</v>
      </c>
    </row>
    <row r="411" spans="1:22" ht="15.75">
      <c r="A411" s="155" t="s">
        <v>1351</v>
      </c>
      <c r="B411" s="125" t="s">
        <v>944</v>
      </c>
      <c r="C411" s="130">
        <f t="shared" si="56"/>
        <v>65</v>
      </c>
      <c r="E411" s="144" t="s">
        <v>814</v>
      </c>
      <c r="F411" s="144">
        <v>8</v>
      </c>
      <c r="G411" s="144">
        <f t="shared" si="62"/>
        <v>8</v>
      </c>
      <c r="H411" s="144" t="s">
        <v>953</v>
      </c>
      <c r="I411" s="144">
        <v>1</v>
      </c>
      <c r="J411" s="127">
        <f t="shared" si="57"/>
        <v>1</v>
      </c>
      <c r="K411" s="127" t="s">
        <v>1305</v>
      </c>
      <c r="M411" s="127">
        <f t="shared" si="58"/>
        <v>0</v>
      </c>
      <c r="N411" s="127" t="s">
        <v>1305</v>
      </c>
      <c r="P411" s="127">
        <f t="shared" si="59"/>
        <v>0</v>
      </c>
      <c r="Q411" s="127" t="s">
        <v>1305</v>
      </c>
      <c r="S411" s="127">
        <f t="shared" si="60"/>
        <v>0</v>
      </c>
      <c r="T411" s="127" t="s">
        <v>1305</v>
      </c>
      <c r="V411" s="127">
        <f t="shared" si="61"/>
        <v>0</v>
      </c>
    </row>
    <row r="412" spans="1:22" ht="15.75">
      <c r="A412" s="155" t="s">
        <v>1351</v>
      </c>
      <c r="B412" s="125" t="s">
        <v>945</v>
      </c>
      <c r="C412" s="130">
        <f t="shared" si="56"/>
        <v>390</v>
      </c>
      <c r="E412" s="144" t="s">
        <v>944</v>
      </c>
      <c r="F412" s="144">
        <v>6</v>
      </c>
      <c r="G412" s="144">
        <f t="shared" si="62"/>
        <v>65</v>
      </c>
      <c r="H412" s="144" t="s">
        <v>1305</v>
      </c>
      <c r="I412" s="144"/>
      <c r="J412" s="127">
        <f t="shared" si="57"/>
        <v>0</v>
      </c>
      <c r="K412" s="127" t="s">
        <v>1305</v>
      </c>
      <c r="M412" s="127">
        <f t="shared" si="58"/>
        <v>0</v>
      </c>
      <c r="N412" s="127" t="s">
        <v>1305</v>
      </c>
      <c r="P412" s="127">
        <f t="shared" si="59"/>
        <v>0</v>
      </c>
      <c r="Q412" s="127" t="s">
        <v>1305</v>
      </c>
      <c r="S412" s="127">
        <f t="shared" si="60"/>
        <v>0</v>
      </c>
      <c r="T412" s="127" t="s">
        <v>1305</v>
      </c>
      <c r="V412" s="127">
        <f t="shared" si="61"/>
        <v>0</v>
      </c>
    </row>
    <row r="413" spans="1:22" ht="15.75">
      <c r="A413" s="155" t="s">
        <v>1351</v>
      </c>
      <c r="B413" s="125" t="s">
        <v>946</v>
      </c>
      <c r="C413" s="130">
        <f t="shared" si="56"/>
        <v>249</v>
      </c>
      <c r="E413" s="144" t="s">
        <v>1245</v>
      </c>
      <c r="F413" s="144">
        <v>8</v>
      </c>
      <c r="G413" s="144">
        <f t="shared" si="62"/>
        <v>31</v>
      </c>
      <c r="H413" s="144" t="s">
        <v>953</v>
      </c>
      <c r="I413" s="144">
        <v>1</v>
      </c>
      <c r="J413" s="127">
        <f t="shared" si="57"/>
        <v>1</v>
      </c>
      <c r="K413" s="127" t="s">
        <v>1305</v>
      </c>
      <c r="M413" s="127">
        <f t="shared" si="58"/>
        <v>0</v>
      </c>
      <c r="N413" s="127" t="s">
        <v>1305</v>
      </c>
      <c r="P413" s="127">
        <f t="shared" si="59"/>
        <v>0</v>
      </c>
      <c r="Q413" s="127" t="s">
        <v>1305</v>
      </c>
      <c r="S413" s="127">
        <f t="shared" si="60"/>
        <v>0</v>
      </c>
      <c r="T413" s="127" t="s">
        <v>1305</v>
      </c>
      <c r="V413" s="127">
        <f t="shared" si="61"/>
        <v>0</v>
      </c>
    </row>
    <row r="414" spans="1:22" ht="15.75">
      <c r="A414" s="155" t="s">
        <v>1351</v>
      </c>
      <c r="B414" s="125" t="s">
        <v>947</v>
      </c>
      <c r="C414" s="130">
        <f t="shared" si="56"/>
        <v>7</v>
      </c>
      <c r="E414" s="144" t="s">
        <v>1274</v>
      </c>
      <c r="F414" s="144">
        <v>1</v>
      </c>
      <c r="G414" s="144">
        <f t="shared" si="62"/>
        <v>6</v>
      </c>
      <c r="H414" s="144" t="s">
        <v>953</v>
      </c>
      <c r="I414" s="144">
        <v>1</v>
      </c>
      <c r="J414" s="127">
        <f t="shared" si="57"/>
        <v>1</v>
      </c>
      <c r="K414" s="127" t="s">
        <v>1305</v>
      </c>
      <c r="M414" s="127">
        <f t="shared" si="58"/>
        <v>0</v>
      </c>
      <c r="N414" s="127" t="s">
        <v>1305</v>
      </c>
      <c r="P414" s="127">
        <f t="shared" si="59"/>
        <v>0</v>
      </c>
      <c r="Q414" s="127" t="s">
        <v>1305</v>
      </c>
      <c r="S414" s="127">
        <f t="shared" si="60"/>
        <v>0</v>
      </c>
      <c r="T414" s="127" t="s">
        <v>1305</v>
      </c>
      <c r="V414" s="127">
        <f t="shared" si="61"/>
        <v>0</v>
      </c>
    </row>
    <row r="415" spans="1:22" ht="15.75">
      <c r="A415" s="155" t="s">
        <v>1351</v>
      </c>
      <c r="B415" s="125" t="s">
        <v>948</v>
      </c>
      <c r="C415" s="130">
        <f t="shared" si="56"/>
        <v>44</v>
      </c>
      <c r="E415" s="144" t="s">
        <v>959</v>
      </c>
      <c r="F415" s="144">
        <v>6</v>
      </c>
      <c r="G415" s="144">
        <f t="shared" ref="G415:G419" si="63">VLOOKUP(E415,IDPOINTS,2,FALSE)</f>
        <v>7</v>
      </c>
      <c r="H415" s="144" t="s">
        <v>1208</v>
      </c>
      <c r="I415" s="144">
        <v>1</v>
      </c>
      <c r="J415" s="127">
        <f t="shared" si="57"/>
        <v>2</v>
      </c>
      <c r="K415" s="127" t="s">
        <v>1305</v>
      </c>
      <c r="M415" s="127">
        <f t="shared" si="58"/>
        <v>0</v>
      </c>
      <c r="N415" s="127" t="s">
        <v>1305</v>
      </c>
      <c r="P415" s="127">
        <f t="shared" si="59"/>
        <v>0</v>
      </c>
      <c r="Q415" s="127" t="s">
        <v>1305</v>
      </c>
      <c r="S415" s="127">
        <f t="shared" si="60"/>
        <v>0</v>
      </c>
      <c r="T415" s="127" t="s">
        <v>1305</v>
      </c>
      <c r="V415" s="127">
        <f t="shared" si="61"/>
        <v>0</v>
      </c>
    </row>
    <row r="416" spans="1:22" ht="15.75">
      <c r="A416" s="155" t="s">
        <v>1351</v>
      </c>
      <c r="B416" s="125" t="s">
        <v>949</v>
      </c>
      <c r="C416" s="130">
        <f t="shared" si="56"/>
        <v>24</v>
      </c>
      <c r="E416" s="144" t="s">
        <v>959</v>
      </c>
      <c r="F416" s="144">
        <v>3</v>
      </c>
      <c r="G416" s="144">
        <f t="shared" si="63"/>
        <v>7</v>
      </c>
      <c r="H416" s="144" t="s">
        <v>1026</v>
      </c>
      <c r="I416" s="144">
        <v>3</v>
      </c>
      <c r="J416" s="127">
        <f t="shared" si="57"/>
        <v>1</v>
      </c>
      <c r="K416" s="127" t="s">
        <v>1305</v>
      </c>
      <c r="M416" s="127">
        <f t="shared" si="58"/>
        <v>0</v>
      </c>
      <c r="N416" s="127" t="s">
        <v>1305</v>
      </c>
      <c r="P416" s="127">
        <f t="shared" si="59"/>
        <v>0</v>
      </c>
      <c r="Q416" s="127" t="s">
        <v>1305</v>
      </c>
      <c r="S416" s="127">
        <f t="shared" si="60"/>
        <v>0</v>
      </c>
      <c r="T416" s="127" t="s">
        <v>1305</v>
      </c>
      <c r="V416" s="127">
        <f t="shared" si="61"/>
        <v>0</v>
      </c>
    </row>
    <row r="417" spans="1:22" ht="15.75">
      <c r="A417" s="155" t="s">
        <v>1351</v>
      </c>
      <c r="B417" s="125" t="s">
        <v>950</v>
      </c>
      <c r="C417" s="130">
        <f t="shared" si="56"/>
        <v>14</v>
      </c>
      <c r="E417" s="144" t="s">
        <v>959</v>
      </c>
      <c r="F417" s="144">
        <v>2</v>
      </c>
      <c r="G417" s="144">
        <f t="shared" si="63"/>
        <v>7</v>
      </c>
      <c r="H417" s="144" t="s">
        <v>1305</v>
      </c>
      <c r="I417" s="144"/>
      <c r="J417" s="127">
        <f t="shared" si="57"/>
        <v>0</v>
      </c>
      <c r="K417" s="127" t="s">
        <v>1305</v>
      </c>
      <c r="M417" s="127">
        <f t="shared" si="58"/>
        <v>0</v>
      </c>
      <c r="N417" s="127" t="s">
        <v>1305</v>
      </c>
      <c r="P417" s="127">
        <f t="shared" si="59"/>
        <v>0</v>
      </c>
      <c r="Q417" s="127" t="s">
        <v>1305</v>
      </c>
      <c r="S417" s="127">
        <f t="shared" si="60"/>
        <v>0</v>
      </c>
      <c r="T417" s="127" t="s">
        <v>1305</v>
      </c>
      <c r="V417" s="127">
        <f t="shared" si="61"/>
        <v>0</v>
      </c>
    </row>
    <row r="418" spans="1:22" ht="15.75">
      <c r="A418" s="155" t="s">
        <v>1351</v>
      </c>
      <c r="B418" s="125" t="s">
        <v>951</v>
      </c>
      <c r="C418" s="130">
        <f t="shared" si="56"/>
        <v>25</v>
      </c>
      <c r="E418" s="144" t="s">
        <v>952</v>
      </c>
      <c r="F418" s="144">
        <v>1</v>
      </c>
      <c r="G418" s="144">
        <f t="shared" si="63"/>
        <v>25</v>
      </c>
      <c r="H418" s="144" t="s">
        <v>1305</v>
      </c>
      <c r="I418" s="144"/>
      <c r="J418" s="127">
        <f t="shared" si="57"/>
        <v>0</v>
      </c>
      <c r="K418" s="127" t="s">
        <v>1305</v>
      </c>
      <c r="M418" s="127">
        <f t="shared" si="58"/>
        <v>0</v>
      </c>
      <c r="N418" s="127" t="s">
        <v>1305</v>
      </c>
      <c r="P418" s="127">
        <f t="shared" si="59"/>
        <v>0</v>
      </c>
      <c r="Q418" s="127" t="s">
        <v>1305</v>
      </c>
      <c r="S418" s="127">
        <f t="shared" si="60"/>
        <v>0</v>
      </c>
      <c r="T418" s="127" t="s">
        <v>1305</v>
      </c>
      <c r="V418" s="127">
        <f t="shared" si="61"/>
        <v>0</v>
      </c>
    </row>
    <row r="419" spans="1:22" ht="15.75">
      <c r="A419" s="155" t="s">
        <v>1351</v>
      </c>
      <c r="B419" s="125" t="s">
        <v>952</v>
      </c>
      <c r="C419" s="130">
        <f t="shared" si="56"/>
        <v>25</v>
      </c>
      <c r="E419" s="144" t="s">
        <v>1158</v>
      </c>
      <c r="F419" s="144">
        <v>4</v>
      </c>
      <c r="G419" s="144">
        <f t="shared" si="63"/>
        <v>5</v>
      </c>
      <c r="H419" s="144" t="s">
        <v>844</v>
      </c>
      <c r="I419" s="144">
        <v>4</v>
      </c>
      <c r="J419" s="127">
        <f t="shared" si="57"/>
        <v>1</v>
      </c>
      <c r="K419" s="144" t="s">
        <v>953</v>
      </c>
      <c r="L419" s="127">
        <v>1</v>
      </c>
      <c r="M419" s="127">
        <f t="shared" si="58"/>
        <v>1</v>
      </c>
      <c r="N419" s="127" t="s">
        <v>1305</v>
      </c>
      <c r="P419" s="127">
        <f t="shared" si="59"/>
        <v>0</v>
      </c>
      <c r="Q419" s="127" t="s">
        <v>1305</v>
      </c>
      <c r="S419" s="127">
        <f t="shared" si="60"/>
        <v>0</v>
      </c>
      <c r="T419" s="127" t="s">
        <v>1305</v>
      </c>
      <c r="V419" s="127">
        <f t="shared" si="61"/>
        <v>0</v>
      </c>
    </row>
    <row r="420" spans="1:22" s="13" customFormat="1" ht="15.75">
      <c r="A420" s="155" t="s">
        <v>1351</v>
      </c>
      <c r="B420" s="145" t="s">
        <v>953</v>
      </c>
      <c r="C420" s="146">
        <f t="shared" si="56"/>
        <v>1</v>
      </c>
      <c r="D420" s="133"/>
      <c r="E420" s="13" t="s">
        <v>559</v>
      </c>
      <c r="F420" s="13">
        <v>1</v>
      </c>
      <c r="G420" s="13">
        <f t="shared" si="62"/>
        <v>1</v>
      </c>
      <c r="H420" s="13" t="s">
        <v>1273</v>
      </c>
      <c r="J420" s="13">
        <f t="shared" si="57"/>
        <v>1</v>
      </c>
      <c r="K420" s="13" t="s">
        <v>1048</v>
      </c>
      <c r="M420" s="13">
        <f t="shared" si="58"/>
        <v>1</v>
      </c>
      <c r="N420" s="13" t="s">
        <v>1305</v>
      </c>
      <c r="P420" s="13">
        <f t="shared" si="59"/>
        <v>0</v>
      </c>
      <c r="Q420" s="13" t="s">
        <v>1305</v>
      </c>
      <c r="S420" s="13">
        <f t="shared" si="60"/>
        <v>0</v>
      </c>
      <c r="T420" s="13" t="s">
        <v>1305</v>
      </c>
      <c r="V420" s="13">
        <f t="shared" si="61"/>
        <v>0</v>
      </c>
    </row>
    <row r="421" spans="1:22" ht="15.75">
      <c r="A421" s="155" t="s">
        <v>1351</v>
      </c>
      <c r="B421" s="125" t="s">
        <v>954</v>
      </c>
      <c r="C421" s="130">
        <f t="shared" si="56"/>
        <v>252</v>
      </c>
      <c r="E421" s="144" t="s">
        <v>958</v>
      </c>
      <c r="F421" s="144">
        <v>1</v>
      </c>
      <c r="G421" s="144">
        <f t="shared" ref="G421:G435" si="64">VLOOKUP(E421,IDPOINTS,2,FALSE)</f>
        <v>249</v>
      </c>
      <c r="H421" s="144" t="s">
        <v>672</v>
      </c>
      <c r="I421" s="144">
        <v>1</v>
      </c>
      <c r="J421" s="127">
        <f t="shared" si="57"/>
        <v>3</v>
      </c>
      <c r="K421" s="127" t="s">
        <v>1305</v>
      </c>
      <c r="M421" s="127">
        <f t="shared" si="58"/>
        <v>0</v>
      </c>
      <c r="N421" s="127" t="s">
        <v>1305</v>
      </c>
      <c r="P421" s="127">
        <f t="shared" si="59"/>
        <v>0</v>
      </c>
      <c r="Q421" s="127" t="s">
        <v>1305</v>
      </c>
      <c r="S421" s="127">
        <f t="shared" si="60"/>
        <v>0</v>
      </c>
      <c r="T421" s="127" t="s">
        <v>1305</v>
      </c>
      <c r="V421" s="127">
        <f t="shared" si="61"/>
        <v>0</v>
      </c>
    </row>
    <row r="422" spans="1:22" ht="15.75">
      <c r="A422" s="155" t="s">
        <v>1351</v>
      </c>
      <c r="B422" s="125" t="s">
        <v>955</v>
      </c>
      <c r="C422" s="130">
        <f t="shared" si="56"/>
        <v>27</v>
      </c>
      <c r="E422" s="144" t="s">
        <v>953</v>
      </c>
      <c r="F422" s="144">
        <v>1</v>
      </c>
      <c r="G422" s="144">
        <f t="shared" si="64"/>
        <v>1</v>
      </c>
      <c r="H422" s="144" t="s">
        <v>1170</v>
      </c>
      <c r="I422" s="144">
        <v>1</v>
      </c>
      <c r="J422" s="127">
        <f t="shared" si="57"/>
        <v>26</v>
      </c>
      <c r="K422" s="127" t="s">
        <v>1305</v>
      </c>
      <c r="M422" s="127">
        <f t="shared" si="58"/>
        <v>0</v>
      </c>
      <c r="N422" s="127" t="s">
        <v>1305</v>
      </c>
      <c r="P422" s="127">
        <f t="shared" si="59"/>
        <v>0</v>
      </c>
      <c r="Q422" s="127" t="s">
        <v>1305</v>
      </c>
      <c r="S422" s="127">
        <f t="shared" si="60"/>
        <v>0</v>
      </c>
      <c r="T422" s="127" t="s">
        <v>1305</v>
      </c>
      <c r="V422" s="127">
        <f t="shared" si="61"/>
        <v>0</v>
      </c>
    </row>
    <row r="423" spans="1:22" ht="15.75">
      <c r="A423" s="155" t="s">
        <v>1351</v>
      </c>
      <c r="B423" s="125" t="s">
        <v>956</v>
      </c>
      <c r="C423" s="130">
        <f t="shared" si="56"/>
        <v>65</v>
      </c>
      <c r="E423" s="144" t="s">
        <v>814</v>
      </c>
      <c r="F423" s="144">
        <v>8</v>
      </c>
      <c r="G423" s="144">
        <f t="shared" si="64"/>
        <v>8</v>
      </c>
      <c r="H423" s="144" t="s">
        <v>953</v>
      </c>
      <c r="I423" s="144">
        <v>1</v>
      </c>
      <c r="J423" s="127">
        <f t="shared" si="57"/>
        <v>1</v>
      </c>
      <c r="K423" s="127" t="s">
        <v>1305</v>
      </c>
      <c r="M423" s="127">
        <f t="shared" si="58"/>
        <v>0</v>
      </c>
      <c r="N423" s="127" t="s">
        <v>1305</v>
      </c>
      <c r="P423" s="127">
        <f t="shared" si="59"/>
        <v>0</v>
      </c>
      <c r="Q423" s="127" t="s">
        <v>1305</v>
      </c>
      <c r="S423" s="127">
        <f t="shared" si="60"/>
        <v>0</v>
      </c>
      <c r="T423" s="127" t="s">
        <v>1305</v>
      </c>
      <c r="V423" s="127">
        <f t="shared" si="61"/>
        <v>0</v>
      </c>
    </row>
    <row r="424" spans="1:22" ht="15.75">
      <c r="A424" s="155" t="s">
        <v>1351</v>
      </c>
      <c r="B424" s="125" t="s">
        <v>957</v>
      </c>
      <c r="C424" s="130">
        <f t="shared" si="56"/>
        <v>390</v>
      </c>
      <c r="E424" s="144" t="s">
        <v>956</v>
      </c>
      <c r="F424" s="144">
        <v>6</v>
      </c>
      <c r="G424" s="144">
        <f t="shared" si="64"/>
        <v>65</v>
      </c>
      <c r="H424" s="144" t="s">
        <v>1305</v>
      </c>
      <c r="I424" s="144"/>
      <c r="J424" s="127">
        <f t="shared" si="57"/>
        <v>0</v>
      </c>
      <c r="K424" s="127" t="s">
        <v>1305</v>
      </c>
      <c r="M424" s="127">
        <f t="shared" si="58"/>
        <v>0</v>
      </c>
      <c r="N424" s="127" t="s">
        <v>1305</v>
      </c>
      <c r="P424" s="127">
        <f t="shared" si="59"/>
        <v>0</v>
      </c>
      <c r="Q424" s="127" t="s">
        <v>1305</v>
      </c>
      <c r="S424" s="127">
        <f t="shared" si="60"/>
        <v>0</v>
      </c>
      <c r="T424" s="127" t="s">
        <v>1305</v>
      </c>
      <c r="V424" s="127">
        <f t="shared" si="61"/>
        <v>0</v>
      </c>
    </row>
    <row r="425" spans="1:22" ht="15.75">
      <c r="A425" s="155" t="s">
        <v>1351</v>
      </c>
      <c r="B425" s="125" t="s">
        <v>958</v>
      </c>
      <c r="C425" s="130">
        <f t="shared" si="56"/>
        <v>249</v>
      </c>
      <c r="E425" s="144" t="s">
        <v>1245</v>
      </c>
      <c r="F425" s="144">
        <v>8</v>
      </c>
      <c r="G425" s="144">
        <f t="shared" si="64"/>
        <v>31</v>
      </c>
      <c r="H425" s="144" t="s">
        <v>953</v>
      </c>
      <c r="I425" s="144">
        <v>1</v>
      </c>
      <c r="J425" s="127">
        <f t="shared" si="57"/>
        <v>1</v>
      </c>
      <c r="K425" s="127" t="s">
        <v>1305</v>
      </c>
      <c r="M425" s="127">
        <f t="shared" si="58"/>
        <v>0</v>
      </c>
      <c r="N425" s="127" t="s">
        <v>1305</v>
      </c>
      <c r="P425" s="127">
        <f t="shared" si="59"/>
        <v>0</v>
      </c>
      <c r="Q425" s="127" t="s">
        <v>1305</v>
      </c>
      <c r="S425" s="127">
        <f t="shared" si="60"/>
        <v>0</v>
      </c>
      <c r="T425" s="127" t="s">
        <v>1305</v>
      </c>
      <c r="V425" s="127">
        <f t="shared" si="61"/>
        <v>0</v>
      </c>
    </row>
    <row r="426" spans="1:22" ht="15.75">
      <c r="A426" s="155" t="s">
        <v>1351</v>
      </c>
      <c r="B426" s="125" t="s">
        <v>959</v>
      </c>
      <c r="C426" s="130">
        <f t="shared" si="56"/>
        <v>7</v>
      </c>
      <c r="E426" s="144" t="s">
        <v>1274</v>
      </c>
      <c r="F426" s="144">
        <v>1</v>
      </c>
      <c r="G426" s="144">
        <f t="shared" si="64"/>
        <v>6</v>
      </c>
      <c r="H426" s="144" t="s">
        <v>953</v>
      </c>
      <c r="I426" s="144">
        <v>1</v>
      </c>
      <c r="J426" s="127">
        <f t="shared" si="57"/>
        <v>1</v>
      </c>
      <c r="K426" s="127" t="s">
        <v>1305</v>
      </c>
      <c r="M426" s="127">
        <f t="shared" si="58"/>
        <v>0</v>
      </c>
      <c r="N426" s="127" t="s">
        <v>1305</v>
      </c>
      <c r="P426" s="127">
        <f t="shared" si="59"/>
        <v>0</v>
      </c>
      <c r="Q426" s="127" t="s">
        <v>1305</v>
      </c>
      <c r="S426" s="127">
        <f t="shared" si="60"/>
        <v>0</v>
      </c>
      <c r="T426" s="127" t="s">
        <v>1305</v>
      </c>
      <c r="V426" s="127">
        <f t="shared" si="61"/>
        <v>0</v>
      </c>
    </row>
    <row r="427" spans="1:22" ht="15.75">
      <c r="A427" s="155" t="s">
        <v>1343</v>
      </c>
      <c r="B427" s="125" t="s">
        <v>960</v>
      </c>
      <c r="C427" s="130">
        <f t="shared" si="56"/>
        <v>16</v>
      </c>
      <c r="E427" s="144" t="s">
        <v>822</v>
      </c>
      <c r="F427" s="144">
        <v>2</v>
      </c>
      <c r="G427" s="144">
        <f t="shared" si="64"/>
        <v>8</v>
      </c>
      <c r="H427" s="144" t="s">
        <v>202</v>
      </c>
      <c r="I427" s="144"/>
      <c r="J427" s="127">
        <f t="shared" si="57"/>
        <v>0</v>
      </c>
      <c r="K427" s="127" t="s">
        <v>1305</v>
      </c>
      <c r="M427" s="127">
        <f t="shared" si="58"/>
        <v>0</v>
      </c>
      <c r="N427" s="127" t="s">
        <v>1305</v>
      </c>
      <c r="P427" s="127">
        <f t="shared" si="59"/>
        <v>0</v>
      </c>
      <c r="Q427" s="127" t="s">
        <v>1305</v>
      </c>
      <c r="S427" s="127">
        <f t="shared" si="60"/>
        <v>0</v>
      </c>
      <c r="T427" s="127" t="s">
        <v>1305</v>
      </c>
      <c r="V427" s="127">
        <f t="shared" si="61"/>
        <v>0</v>
      </c>
    </row>
    <row r="428" spans="1:22" s="138" customFormat="1" ht="15.75">
      <c r="A428" s="138" t="s">
        <v>560</v>
      </c>
      <c r="B428" s="136" t="s">
        <v>961</v>
      </c>
      <c r="C428" s="137">
        <v>1</v>
      </c>
      <c r="D428" s="133"/>
      <c r="E428" s="138" t="s">
        <v>1305</v>
      </c>
      <c r="G428" s="138">
        <f t="shared" si="64"/>
        <v>0</v>
      </c>
      <c r="H428" s="138" t="s">
        <v>1305</v>
      </c>
      <c r="J428" s="138">
        <f t="shared" si="57"/>
        <v>0</v>
      </c>
      <c r="K428" s="138" t="s">
        <v>1305</v>
      </c>
      <c r="M428" s="138">
        <f t="shared" si="58"/>
        <v>0</v>
      </c>
      <c r="N428" s="138" t="s">
        <v>1305</v>
      </c>
      <c r="P428" s="138">
        <f t="shared" si="59"/>
        <v>0</v>
      </c>
      <c r="Q428" s="138" t="s">
        <v>1305</v>
      </c>
      <c r="S428" s="138">
        <f t="shared" si="60"/>
        <v>0</v>
      </c>
      <c r="T428" s="138" t="s">
        <v>1305</v>
      </c>
      <c r="V428" s="138">
        <f t="shared" si="61"/>
        <v>0</v>
      </c>
    </row>
    <row r="429" spans="1:22" s="138" customFormat="1" ht="15.75">
      <c r="A429" s="138" t="s">
        <v>560</v>
      </c>
      <c r="B429" s="136" t="s">
        <v>962</v>
      </c>
      <c r="C429" s="137">
        <f>'ECONOMIA &amp; PROFESIONES'!E56</f>
        <v>2.5</v>
      </c>
      <c r="D429" s="133"/>
      <c r="E429" s="138" t="s">
        <v>1305</v>
      </c>
      <c r="G429" s="138">
        <f t="shared" si="64"/>
        <v>0</v>
      </c>
      <c r="H429" s="138" t="s">
        <v>1305</v>
      </c>
      <c r="J429" s="138">
        <f t="shared" si="57"/>
        <v>0</v>
      </c>
      <c r="K429" s="138" t="s">
        <v>1305</v>
      </c>
      <c r="M429" s="138">
        <f t="shared" si="58"/>
        <v>0</v>
      </c>
      <c r="N429" s="138" t="s">
        <v>1305</v>
      </c>
      <c r="P429" s="138">
        <f t="shared" si="59"/>
        <v>0</v>
      </c>
      <c r="Q429" s="138" t="s">
        <v>1305</v>
      </c>
      <c r="S429" s="138">
        <f t="shared" si="60"/>
        <v>0</v>
      </c>
      <c r="T429" s="138" t="s">
        <v>1305</v>
      </c>
      <c r="V429" s="138">
        <f t="shared" si="61"/>
        <v>0</v>
      </c>
    </row>
    <row r="430" spans="1:22" s="138" customFormat="1" ht="15.75">
      <c r="A430" s="138" t="s">
        <v>560</v>
      </c>
      <c r="B430" s="136" t="s">
        <v>963</v>
      </c>
      <c r="C430" s="137">
        <f>'ECONOMIA &amp; PROFESIONES'!G32</f>
        <v>1</v>
      </c>
      <c r="D430" s="133"/>
      <c r="E430" s="138" t="s">
        <v>1305</v>
      </c>
      <c r="G430" s="138">
        <f t="shared" si="64"/>
        <v>0</v>
      </c>
      <c r="H430" s="138" t="s">
        <v>1305</v>
      </c>
      <c r="J430" s="138">
        <f t="shared" si="57"/>
        <v>0</v>
      </c>
      <c r="K430" s="138" t="s">
        <v>1305</v>
      </c>
      <c r="M430" s="138">
        <f t="shared" si="58"/>
        <v>0</v>
      </c>
      <c r="N430" s="138" t="s">
        <v>1305</v>
      </c>
      <c r="P430" s="138">
        <f t="shared" si="59"/>
        <v>0</v>
      </c>
      <c r="Q430" s="138" t="s">
        <v>1305</v>
      </c>
      <c r="S430" s="138">
        <f t="shared" si="60"/>
        <v>0</v>
      </c>
      <c r="T430" s="138" t="s">
        <v>1305</v>
      </c>
      <c r="V430" s="138">
        <f t="shared" si="61"/>
        <v>0</v>
      </c>
    </row>
    <row r="431" spans="1:22" ht="15.75">
      <c r="A431" s="155" t="s">
        <v>1351</v>
      </c>
      <c r="B431" s="125" t="s">
        <v>964</v>
      </c>
      <c r="C431" s="130">
        <f t="shared" si="56"/>
        <v>83</v>
      </c>
      <c r="E431" s="144" t="s">
        <v>975</v>
      </c>
      <c r="F431" s="144">
        <v>6</v>
      </c>
      <c r="G431" s="144">
        <f t="shared" si="64"/>
        <v>13.5</v>
      </c>
      <c r="H431" s="144" t="s">
        <v>1208</v>
      </c>
      <c r="I431" s="144">
        <v>1</v>
      </c>
      <c r="J431" s="127">
        <f t="shared" si="57"/>
        <v>2</v>
      </c>
      <c r="K431" s="127" t="s">
        <v>1305</v>
      </c>
      <c r="M431" s="127">
        <f t="shared" si="58"/>
        <v>0</v>
      </c>
      <c r="N431" s="127" t="s">
        <v>1305</v>
      </c>
      <c r="P431" s="127">
        <f t="shared" si="59"/>
        <v>0</v>
      </c>
      <c r="Q431" s="127" t="s">
        <v>1305</v>
      </c>
      <c r="S431" s="127">
        <f t="shared" si="60"/>
        <v>0</v>
      </c>
      <c r="T431" s="127" t="s">
        <v>1305</v>
      </c>
      <c r="V431" s="127">
        <f t="shared" si="61"/>
        <v>0</v>
      </c>
    </row>
    <row r="432" spans="1:22" ht="15.75">
      <c r="A432" s="155" t="s">
        <v>1351</v>
      </c>
      <c r="B432" s="125" t="s">
        <v>965</v>
      </c>
      <c r="C432" s="130">
        <f t="shared" si="56"/>
        <v>43.5</v>
      </c>
      <c r="E432" s="144" t="s">
        <v>975</v>
      </c>
      <c r="F432" s="144">
        <v>3</v>
      </c>
      <c r="G432" s="144">
        <f t="shared" si="64"/>
        <v>13.5</v>
      </c>
      <c r="H432" s="144" t="s">
        <v>1026</v>
      </c>
      <c r="I432" s="144">
        <v>3</v>
      </c>
      <c r="J432" s="127">
        <f t="shared" si="57"/>
        <v>1</v>
      </c>
      <c r="K432" s="127" t="s">
        <v>1305</v>
      </c>
      <c r="M432" s="127">
        <f t="shared" si="58"/>
        <v>0</v>
      </c>
      <c r="N432" s="127" t="s">
        <v>1305</v>
      </c>
      <c r="P432" s="127">
        <f t="shared" si="59"/>
        <v>0</v>
      </c>
      <c r="Q432" s="127" t="s">
        <v>1305</v>
      </c>
      <c r="S432" s="127">
        <f t="shared" si="60"/>
        <v>0</v>
      </c>
      <c r="T432" s="127" t="s">
        <v>1305</v>
      </c>
      <c r="V432" s="127">
        <f t="shared" si="61"/>
        <v>0</v>
      </c>
    </row>
    <row r="433" spans="1:22" ht="15.75">
      <c r="A433" s="155" t="s">
        <v>1351</v>
      </c>
      <c r="B433" s="125" t="s">
        <v>966</v>
      </c>
      <c r="C433" s="130">
        <f t="shared" si="56"/>
        <v>27</v>
      </c>
      <c r="E433" s="144" t="s">
        <v>975</v>
      </c>
      <c r="F433" s="144">
        <v>2</v>
      </c>
      <c r="G433" s="144">
        <f t="shared" si="64"/>
        <v>13.5</v>
      </c>
      <c r="H433" s="144" t="s">
        <v>1305</v>
      </c>
      <c r="I433" s="144"/>
      <c r="J433" s="127">
        <f t="shared" si="57"/>
        <v>0</v>
      </c>
      <c r="K433" s="127" t="s">
        <v>1305</v>
      </c>
      <c r="M433" s="127">
        <f t="shared" si="58"/>
        <v>0</v>
      </c>
      <c r="N433" s="127" t="s">
        <v>1305</v>
      </c>
      <c r="P433" s="127">
        <f t="shared" si="59"/>
        <v>0</v>
      </c>
      <c r="Q433" s="127" t="s">
        <v>1305</v>
      </c>
      <c r="S433" s="127">
        <f t="shared" si="60"/>
        <v>0</v>
      </c>
      <c r="T433" s="127" t="s">
        <v>1305</v>
      </c>
      <c r="V433" s="127">
        <f t="shared" si="61"/>
        <v>0</v>
      </c>
    </row>
    <row r="434" spans="1:22" ht="15.75">
      <c r="A434" s="155" t="s">
        <v>1351</v>
      </c>
      <c r="B434" s="125" t="s">
        <v>967</v>
      </c>
      <c r="C434" s="130">
        <f t="shared" si="56"/>
        <v>31.5</v>
      </c>
      <c r="E434" s="144" t="s">
        <v>968</v>
      </c>
      <c r="F434" s="144">
        <v>1</v>
      </c>
      <c r="G434" s="144">
        <f t="shared" si="64"/>
        <v>31.5</v>
      </c>
      <c r="H434" s="144" t="s">
        <v>1305</v>
      </c>
      <c r="I434" s="144"/>
      <c r="J434" s="127">
        <f t="shared" si="57"/>
        <v>0</v>
      </c>
      <c r="K434" s="127" t="s">
        <v>1305</v>
      </c>
      <c r="M434" s="127">
        <f t="shared" si="58"/>
        <v>0</v>
      </c>
      <c r="N434" s="127" t="s">
        <v>1305</v>
      </c>
      <c r="P434" s="127">
        <f t="shared" si="59"/>
        <v>0</v>
      </c>
      <c r="Q434" s="127" t="s">
        <v>1305</v>
      </c>
      <c r="S434" s="127">
        <f t="shared" si="60"/>
        <v>0</v>
      </c>
      <c r="T434" s="127" t="s">
        <v>1305</v>
      </c>
      <c r="V434" s="127">
        <f t="shared" si="61"/>
        <v>0</v>
      </c>
    </row>
    <row r="435" spans="1:22" ht="15.75">
      <c r="A435" s="155" t="s">
        <v>1351</v>
      </c>
      <c r="B435" s="125" t="s">
        <v>968</v>
      </c>
      <c r="C435" s="130">
        <f t="shared" si="56"/>
        <v>31.5</v>
      </c>
      <c r="E435" s="144" t="s">
        <v>1158</v>
      </c>
      <c r="F435" s="144">
        <v>4</v>
      </c>
      <c r="G435" s="144">
        <f t="shared" si="64"/>
        <v>5</v>
      </c>
      <c r="H435" s="144" t="s">
        <v>844</v>
      </c>
      <c r="I435" s="144">
        <v>4</v>
      </c>
      <c r="J435" s="127">
        <f t="shared" si="57"/>
        <v>1</v>
      </c>
      <c r="K435" s="127" t="s">
        <v>969</v>
      </c>
      <c r="L435" s="127">
        <v>1</v>
      </c>
      <c r="M435" s="127">
        <f t="shared" si="58"/>
        <v>7.5</v>
      </c>
      <c r="N435" s="127" t="s">
        <v>1305</v>
      </c>
      <c r="P435" s="127">
        <f t="shared" si="59"/>
        <v>0</v>
      </c>
      <c r="Q435" s="127" t="s">
        <v>1305</v>
      </c>
      <c r="S435" s="127">
        <f t="shared" si="60"/>
        <v>0</v>
      </c>
      <c r="T435" s="127" t="s">
        <v>1305</v>
      </c>
      <c r="V435" s="127">
        <f t="shared" si="61"/>
        <v>0</v>
      </c>
    </row>
    <row r="436" spans="1:22" s="13" customFormat="1" ht="15.75">
      <c r="A436" s="155" t="s">
        <v>1351</v>
      </c>
      <c r="B436" s="145" t="s">
        <v>969</v>
      </c>
      <c r="C436" s="146">
        <f t="shared" si="56"/>
        <v>7.5</v>
      </c>
      <c r="D436" s="133"/>
      <c r="E436" s="13" t="s">
        <v>862</v>
      </c>
      <c r="F436" s="13">
        <v>1</v>
      </c>
      <c r="G436" s="13">
        <f t="shared" si="62"/>
        <v>5</v>
      </c>
      <c r="H436" s="13" t="s">
        <v>1267</v>
      </c>
      <c r="I436" s="13">
        <v>1</v>
      </c>
      <c r="J436" s="13">
        <f t="shared" si="57"/>
        <v>2.5</v>
      </c>
      <c r="K436" s="13" t="s">
        <v>1305</v>
      </c>
      <c r="M436" s="13">
        <f t="shared" si="58"/>
        <v>0</v>
      </c>
      <c r="N436" s="13" t="s">
        <v>1305</v>
      </c>
      <c r="P436" s="13">
        <f t="shared" si="59"/>
        <v>0</v>
      </c>
      <c r="Q436" s="13" t="s">
        <v>1305</v>
      </c>
      <c r="S436" s="13">
        <f t="shared" si="60"/>
        <v>0</v>
      </c>
      <c r="T436" s="13" t="s">
        <v>1305</v>
      </c>
      <c r="V436" s="13">
        <f t="shared" si="61"/>
        <v>0</v>
      </c>
    </row>
    <row r="437" spans="1:22" ht="15.75">
      <c r="A437" s="155" t="s">
        <v>1351</v>
      </c>
      <c r="B437" s="125" t="s">
        <v>970</v>
      </c>
      <c r="C437" s="130">
        <f t="shared" si="56"/>
        <v>258.5</v>
      </c>
      <c r="E437" s="144" t="s">
        <v>974</v>
      </c>
      <c r="F437" s="144">
        <v>1</v>
      </c>
      <c r="G437" s="144">
        <f t="shared" si="62"/>
        <v>255.5</v>
      </c>
      <c r="H437" s="144" t="s">
        <v>672</v>
      </c>
      <c r="I437" s="144">
        <v>1</v>
      </c>
      <c r="J437" s="127">
        <f t="shared" si="57"/>
        <v>3</v>
      </c>
      <c r="K437" s="127" t="s">
        <v>1305</v>
      </c>
      <c r="M437" s="127">
        <f t="shared" si="58"/>
        <v>0</v>
      </c>
      <c r="N437" s="127" t="s">
        <v>1305</v>
      </c>
      <c r="P437" s="127">
        <f t="shared" si="59"/>
        <v>0</v>
      </c>
      <c r="Q437" s="127" t="s">
        <v>1305</v>
      </c>
      <c r="S437" s="127">
        <f t="shared" si="60"/>
        <v>0</v>
      </c>
      <c r="T437" s="127" t="s">
        <v>1305</v>
      </c>
      <c r="V437" s="127">
        <f t="shared" si="61"/>
        <v>0</v>
      </c>
    </row>
    <row r="438" spans="1:22" ht="15.75">
      <c r="A438" s="155" t="s">
        <v>1351</v>
      </c>
      <c r="B438" s="125" t="s">
        <v>971</v>
      </c>
      <c r="C438" s="130">
        <f t="shared" si="56"/>
        <v>33.5</v>
      </c>
      <c r="E438" s="144" t="s">
        <v>969</v>
      </c>
      <c r="F438" s="144">
        <v>1</v>
      </c>
      <c r="G438" s="144">
        <f t="shared" si="62"/>
        <v>7.5</v>
      </c>
      <c r="H438" s="144" t="s">
        <v>1170</v>
      </c>
      <c r="I438" s="144">
        <v>1</v>
      </c>
      <c r="J438" s="127">
        <f t="shared" si="57"/>
        <v>26</v>
      </c>
      <c r="K438" s="127" t="s">
        <v>1305</v>
      </c>
      <c r="M438" s="127">
        <f t="shared" si="58"/>
        <v>0</v>
      </c>
      <c r="N438" s="127" t="s">
        <v>1305</v>
      </c>
      <c r="P438" s="127">
        <f t="shared" si="59"/>
        <v>0</v>
      </c>
      <c r="Q438" s="127" t="s">
        <v>1305</v>
      </c>
      <c r="S438" s="127">
        <f t="shared" si="60"/>
        <v>0</v>
      </c>
      <c r="T438" s="127" t="s">
        <v>1305</v>
      </c>
      <c r="V438" s="127">
        <f t="shared" si="61"/>
        <v>0</v>
      </c>
    </row>
    <row r="439" spans="1:22" ht="15.75">
      <c r="A439" s="155" t="s">
        <v>1351</v>
      </c>
      <c r="B439" s="125" t="s">
        <v>972</v>
      </c>
      <c r="C439" s="130">
        <f t="shared" si="56"/>
        <v>71.5</v>
      </c>
      <c r="E439" s="144" t="s">
        <v>814</v>
      </c>
      <c r="F439" s="144">
        <v>8</v>
      </c>
      <c r="G439" s="144">
        <f t="shared" si="62"/>
        <v>8</v>
      </c>
      <c r="H439" s="144" t="s">
        <v>969</v>
      </c>
      <c r="I439" s="144">
        <v>1</v>
      </c>
      <c r="J439" s="127">
        <f t="shared" si="57"/>
        <v>7.5</v>
      </c>
      <c r="K439" s="127" t="s">
        <v>1305</v>
      </c>
      <c r="M439" s="127">
        <f t="shared" si="58"/>
        <v>0</v>
      </c>
      <c r="N439" s="127" t="s">
        <v>1305</v>
      </c>
      <c r="P439" s="127">
        <f t="shared" si="59"/>
        <v>0</v>
      </c>
      <c r="Q439" s="127" t="s">
        <v>1305</v>
      </c>
      <c r="S439" s="127">
        <f t="shared" si="60"/>
        <v>0</v>
      </c>
      <c r="T439" s="127" t="s">
        <v>1305</v>
      </c>
      <c r="V439" s="127">
        <f t="shared" si="61"/>
        <v>0</v>
      </c>
    </row>
    <row r="440" spans="1:22" ht="15.75">
      <c r="A440" s="155" t="s">
        <v>1351</v>
      </c>
      <c r="B440" s="125" t="s">
        <v>973</v>
      </c>
      <c r="C440" s="130">
        <f t="shared" si="56"/>
        <v>429</v>
      </c>
      <c r="E440" s="144" t="s">
        <v>972</v>
      </c>
      <c r="F440" s="144">
        <v>6</v>
      </c>
      <c r="G440" s="144">
        <f t="shared" si="62"/>
        <v>71.5</v>
      </c>
      <c r="H440" s="144" t="s">
        <v>1305</v>
      </c>
      <c r="I440" s="144"/>
      <c r="J440" s="127">
        <f t="shared" si="57"/>
        <v>0</v>
      </c>
      <c r="K440" s="127" t="s">
        <v>1305</v>
      </c>
      <c r="M440" s="127">
        <f t="shared" si="58"/>
        <v>0</v>
      </c>
      <c r="N440" s="127" t="s">
        <v>1305</v>
      </c>
      <c r="P440" s="127">
        <f t="shared" si="59"/>
        <v>0</v>
      </c>
      <c r="Q440" s="127" t="s">
        <v>1305</v>
      </c>
      <c r="S440" s="127">
        <f t="shared" si="60"/>
        <v>0</v>
      </c>
      <c r="T440" s="127" t="s">
        <v>1305</v>
      </c>
      <c r="V440" s="127">
        <f t="shared" si="61"/>
        <v>0</v>
      </c>
    </row>
    <row r="441" spans="1:22" ht="15.75">
      <c r="A441" s="155" t="s">
        <v>1351</v>
      </c>
      <c r="B441" s="125" t="s">
        <v>974</v>
      </c>
      <c r="C441" s="130">
        <f t="shared" ref="C441:C501" si="65">(G441*F441)+(I441*J441)+(L441*M441)+(O441*P441)+(R441*S441)+(U441*V441)</f>
        <v>255.5</v>
      </c>
      <c r="E441" s="144" t="s">
        <v>1245</v>
      </c>
      <c r="F441" s="144">
        <v>8</v>
      </c>
      <c r="G441" s="144">
        <f t="shared" si="62"/>
        <v>31</v>
      </c>
      <c r="H441" s="144" t="s">
        <v>969</v>
      </c>
      <c r="I441" s="144">
        <v>1</v>
      </c>
      <c r="J441" s="127">
        <f t="shared" si="57"/>
        <v>7.5</v>
      </c>
      <c r="K441" s="127" t="s">
        <v>1305</v>
      </c>
      <c r="M441" s="127">
        <f t="shared" si="58"/>
        <v>0</v>
      </c>
      <c r="N441" s="127" t="s">
        <v>1305</v>
      </c>
      <c r="P441" s="127">
        <f t="shared" si="59"/>
        <v>0</v>
      </c>
      <c r="Q441" s="127" t="s">
        <v>1305</v>
      </c>
      <c r="S441" s="127">
        <f t="shared" si="60"/>
        <v>0</v>
      </c>
      <c r="T441" s="127" t="s">
        <v>1305</v>
      </c>
      <c r="V441" s="127">
        <f t="shared" si="61"/>
        <v>0</v>
      </c>
    </row>
    <row r="442" spans="1:22" ht="15.75">
      <c r="A442" s="155" t="s">
        <v>1351</v>
      </c>
      <c r="B442" s="125" t="s">
        <v>975</v>
      </c>
      <c r="C442" s="130">
        <f t="shared" si="65"/>
        <v>13.5</v>
      </c>
      <c r="E442" s="144" t="s">
        <v>1274</v>
      </c>
      <c r="F442" s="144">
        <v>1</v>
      </c>
      <c r="G442" s="144">
        <f t="shared" si="62"/>
        <v>6</v>
      </c>
      <c r="H442" s="144" t="s">
        <v>969</v>
      </c>
      <c r="I442" s="144">
        <v>1</v>
      </c>
      <c r="J442" s="127">
        <f t="shared" si="57"/>
        <v>7.5</v>
      </c>
      <c r="K442" s="127" t="s">
        <v>1305</v>
      </c>
      <c r="M442" s="127">
        <f t="shared" si="58"/>
        <v>0</v>
      </c>
      <c r="N442" s="127" t="s">
        <v>1305</v>
      </c>
      <c r="P442" s="127">
        <f t="shared" si="59"/>
        <v>0</v>
      </c>
      <c r="Q442" s="127" t="s">
        <v>1305</v>
      </c>
      <c r="S442" s="127">
        <f t="shared" si="60"/>
        <v>0</v>
      </c>
      <c r="T442" s="127" t="s">
        <v>1305</v>
      </c>
      <c r="V442" s="127">
        <f t="shared" si="61"/>
        <v>0</v>
      </c>
    </row>
    <row r="443" spans="1:22" ht="15.75">
      <c r="A443" s="155" t="s">
        <v>1345</v>
      </c>
      <c r="B443" s="125" t="s">
        <v>976</v>
      </c>
      <c r="C443" s="130">
        <f t="shared" si="65"/>
        <v>5</v>
      </c>
      <c r="E443" s="127" t="s">
        <v>1026</v>
      </c>
      <c r="F443">
        <v>2</v>
      </c>
      <c r="G443" s="127">
        <f t="shared" si="62"/>
        <v>1</v>
      </c>
      <c r="H443" s="127" t="s">
        <v>1224</v>
      </c>
      <c r="I443" s="127">
        <v>2</v>
      </c>
      <c r="J443" s="127">
        <f t="shared" si="57"/>
        <v>1.5</v>
      </c>
      <c r="K443" s="127" t="s">
        <v>1305</v>
      </c>
      <c r="M443" s="127">
        <f t="shared" si="58"/>
        <v>0</v>
      </c>
      <c r="N443" s="127" t="s">
        <v>1305</v>
      </c>
      <c r="P443" s="127">
        <f t="shared" si="59"/>
        <v>0</v>
      </c>
      <c r="Q443" s="127" t="s">
        <v>1305</v>
      </c>
      <c r="S443" s="127">
        <f t="shared" si="60"/>
        <v>0</v>
      </c>
      <c r="T443" s="127" t="s">
        <v>1305</v>
      </c>
      <c r="V443" s="127">
        <f t="shared" si="61"/>
        <v>0</v>
      </c>
    </row>
    <row r="444" spans="1:22" ht="15.75">
      <c r="A444" s="155" t="s">
        <v>1351</v>
      </c>
      <c r="B444" s="125" t="s">
        <v>977</v>
      </c>
      <c r="C444" s="130">
        <f t="shared" si="65"/>
        <v>44</v>
      </c>
      <c r="E444" s="144" t="s">
        <v>988</v>
      </c>
      <c r="F444" s="144">
        <v>6</v>
      </c>
      <c r="G444" s="144">
        <f t="shared" si="62"/>
        <v>7</v>
      </c>
      <c r="H444" s="144" t="s">
        <v>1208</v>
      </c>
      <c r="I444" s="144">
        <v>1</v>
      </c>
      <c r="J444" s="127">
        <f t="shared" ref="J444:J502" si="66">VLOOKUP(H444,IDPOINTS,2,FALSE)</f>
        <v>2</v>
      </c>
      <c r="K444" s="127" t="s">
        <v>1305</v>
      </c>
      <c r="M444" s="127">
        <f t="shared" ref="M444:M504" si="67">VLOOKUP(K444,IDPOINTS,2,FALSE)</f>
        <v>0</v>
      </c>
      <c r="N444" s="127" t="s">
        <v>1305</v>
      </c>
      <c r="P444" s="127">
        <f t="shared" ref="P444:P504" si="68">VLOOKUP(N444,IDPOINTS,2,FALSE)</f>
        <v>0</v>
      </c>
      <c r="Q444" s="127" t="s">
        <v>1305</v>
      </c>
      <c r="S444" s="127">
        <f t="shared" ref="S444:S504" si="69">VLOOKUP(Q444,IDPOINTS,2,FALSE)</f>
        <v>0</v>
      </c>
      <c r="T444" s="127" t="s">
        <v>1305</v>
      </c>
      <c r="V444" s="127">
        <f t="shared" ref="V444:V504" si="70">VLOOKUP(T444,IDPOINTS,2,FALSE)</f>
        <v>0</v>
      </c>
    </row>
    <row r="445" spans="1:22" ht="15.75">
      <c r="A445" s="155" t="s">
        <v>1351</v>
      </c>
      <c r="B445" s="125" t="s">
        <v>978</v>
      </c>
      <c r="C445" s="130">
        <f t="shared" si="65"/>
        <v>24</v>
      </c>
      <c r="E445" s="144" t="s">
        <v>988</v>
      </c>
      <c r="F445" s="144">
        <v>3</v>
      </c>
      <c r="G445" s="144">
        <f t="shared" ref="G445:G448" si="71">VLOOKUP(E445,IDPOINTS,2,FALSE)</f>
        <v>7</v>
      </c>
      <c r="H445" s="144" t="s">
        <v>1026</v>
      </c>
      <c r="I445" s="144">
        <v>3</v>
      </c>
      <c r="J445" s="127">
        <f t="shared" si="66"/>
        <v>1</v>
      </c>
      <c r="K445" s="127" t="s">
        <v>1305</v>
      </c>
      <c r="M445" s="127">
        <f t="shared" si="67"/>
        <v>0</v>
      </c>
      <c r="N445" s="127" t="s">
        <v>1305</v>
      </c>
      <c r="P445" s="127">
        <f t="shared" si="68"/>
        <v>0</v>
      </c>
      <c r="Q445" s="127" t="s">
        <v>1305</v>
      </c>
      <c r="S445" s="127">
        <f t="shared" si="69"/>
        <v>0</v>
      </c>
      <c r="T445" s="127" t="s">
        <v>1305</v>
      </c>
      <c r="V445" s="127">
        <f t="shared" si="70"/>
        <v>0</v>
      </c>
    </row>
    <row r="446" spans="1:22" ht="15.75">
      <c r="A446" s="155" t="s">
        <v>1351</v>
      </c>
      <c r="B446" s="125" t="s">
        <v>979</v>
      </c>
      <c r="C446" s="130">
        <f t="shared" si="65"/>
        <v>14</v>
      </c>
      <c r="E446" s="144" t="s">
        <v>988</v>
      </c>
      <c r="F446" s="144">
        <v>2</v>
      </c>
      <c r="G446" s="144">
        <f t="shared" si="71"/>
        <v>7</v>
      </c>
      <c r="H446" s="144" t="s">
        <v>1305</v>
      </c>
      <c r="I446" s="144"/>
      <c r="J446" s="127">
        <f t="shared" si="66"/>
        <v>0</v>
      </c>
      <c r="K446" s="127" t="s">
        <v>1305</v>
      </c>
      <c r="M446" s="127">
        <f t="shared" si="67"/>
        <v>0</v>
      </c>
      <c r="N446" s="127" t="s">
        <v>1305</v>
      </c>
      <c r="P446" s="127">
        <f t="shared" si="68"/>
        <v>0</v>
      </c>
      <c r="Q446" s="127" t="s">
        <v>1305</v>
      </c>
      <c r="S446" s="127">
        <f t="shared" si="69"/>
        <v>0</v>
      </c>
      <c r="T446" s="127" t="s">
        <v>1305</v>
      </c>
      <c r="V446" s="127">
        <f t="shared" si="70"/>
        <v>0</v>
      </c>
    </row>
    <row r="447" spans="1:22" ht="15.75">
      <c r="A447" s="155" t="s">
        <v>1351</v>
      </c>
      <c r="B447" s="125" t="s">
        <v>980</v>
      </c>
      <c r="C447" s="130">
        <f t="shared" si="65"/>
        <v>25</v>
      </c>
      <c r="E447" s="144" t="s">
        <v>981</v>
      </c>
      <c r="F447" s="144">
        <v>1</v>
      </c>
      <c r="G447" s="144">
        <f t="shared" si="71"/>
        <v>25</v>
      </c>
      <c r="H447" s="144" t="s">
        <v>1305</v>
      </c>
      <c r="I447" s="144"/>
      <c r="J447" s="127">
        <f t="shared" si="66"/>
        <v>0</v>
      </c>
      <c r="K447" s="127" t="s">
        <v>1305</v>
      </c>
      <c r="M447" s="127">
        <f t="shared" si="67"/>
        <v>0</v>
      </c>
      <c r="N447" s="127" t="s">
        <v>1305</v>
      </c>
      <c r="P447" s="127">
        <f t="shared" si="68"/>
        <v>0</v>
      </c>
      <c r="Q447" s="127" t="s">
        <v>1305</v>
      </c>
      <c r="S447" s="127">
        <f t="shared" si="69"/>
        <v>0</v>
      </c>
      <c r="T447" s="127" t="s">
        <v>1305</v>
      </c>
      <c r="V447" s="127">
        <f t="shared" si="70"/>
        <v>0</v>
      </c>
    </row>
    <row r="448" spans="1:22" ht="15.75">
      <c r="A448" s="155" t="s">
        <v>1351</v>
      </c>
      <c r="B448" s="125" t="s">
        <v>981</v>
      </c>
      <c r="C448" s="130">
        <f t="shared" si="65"/>
        <v>25</v>
      </c>
      <c r="E448" s="144" t="s">
        <v>1158</v>
      </c>
      <c r="F448" s="144">
        <v>4</v>
      </c>
      <c r="G448" s="144">
        <f t="shared" si="71"/>
        <v>5</v>
      </c>
      <c r="H448" s="144" t="s">
        <v>844</v>
      </c>
      <c r="I448" s="144">
        <v>4</v>
      </c>
      <c r="J448" s="127">
        <f t="shared" si="66"/>
        <v>1</v>
      </c>
      <c r="K448" s="127" t="s">
        <v>982</v>
      </c>
      <c r="L448" s="127">
        <v>1</v>
      </c>
      <c r="M448" s="127">
        <f t="shared" si="67"/>
        <v>1</v>
      </c>
      <c r="N448" s="127" t="s">
        <v>1305</v>
      </c>
      <c r="P448" s="127">
        <f t="shared" si="68"/>
        <v>0</v>
      </c>
      <c r="Q448" s="127" t="s">
        <v>1305</v>
      </c>
      <c r="S448" s="127">
        <f t="shared" si="69"/>
        <v>0</v>
      </c>
      <c r="T448" s="127" t="s">
        <v>1305</v>
      </c>
      <c r="V448" s="127">
        <f t="shared" si="70"/>
        <v>0</v>
      </c>
    </row>
    <row r="449" spans="1:22" s="13" customFormat="1" ht="15.75">
      <c r="A449" s="155" t="s">
        <v>1351</v>
      </c>
      <c r="B449" s="145" t="s">
        <v>982</v>
      </c>
      <c r="C449" s="146">
        <f t="shared" si="65"/>
        <v>1</v>
      </c>
      <c r="D449" s="133"/>
      <c r="E449" s="13" t="s">
        <v>550</v>
      </c>
      <c r="F449" s="13">
        <v>1</v>
      </c>
      <c r="G449" s="13">
        <f t="shared" ref="G449:G507" si="72">VLOOKUP(E449,IDPOINTS,2,FALSE)</f>
        <v>1</v>
      </c>
      <c r="H449" s="13" t="s">
        <v>961</v>
      </c>
      <c r="J449" s="13">
        <f t="shared" si="66"/>
        <v>1</v>
      </c>
      <c r="K449" s="13" t="s">
        <v>1305</v>
      </c>
      <c r="M449" s="13">
        <f t="shared" si="67"/>
        <v>0</v>
      </c>
      <c r="N449" s="13" t="s">
        <v>1305</v>
      </c>
      <c r="P449" s="13">
        <f t="shared" si="68"/>
        <v>0</v>
      </c>
      <c r="Q449" s="13" t="s">
        <v>1305</v>
      </c>
      <c r="S449" s="13">
        <f t="shared" si="69"/>
        <v>0</v>
      </c>
      <c r="T449" s="13" t="s">
        <v>1305</v>
      </c>
      <c r="V449" s="13">
        <f t="shared" si="70"/>
        <v>0</v>
      </c>
    </row>
    <row r="450" spans="1:22" ht="15.75">
      <c r="A450" s="155" t="s">
        <v>1351</v>
      </c>
      <c r="B450" s="125" t="s">
        <v>983</v>
      </c>
      <c r="C450" s="130">
        <f t="shared" si="65"/>
        <v>252</v>
      </c>
      <c r="E450" s="144" t="s">
        <v>987</v>
      </c>
      <c r="F450" s="144">
        <v>1</v>
      </c>
      <c r="G450" s="144">
        <f t="shared" si="72"/>
        <v>249</v>
      </c>
      <c r="H450" s="144" t="s">
        <v>672</v>
      </c>
      <c r="I450" s="144">
        <v>1</v>
      </c>
      <c r="J450" s="127">
        <f t="shared" si="66"/>
        <v>3</v>
      </c>
      <c r="K450" s="127" t="s">
        <v>1305</v>
      </c>
      <c r="M450" s="127">
        <f t="shared" si="67"/>
        <v>0</v>
      </c>
      <c r="N450" s="127" t="s">
        <v>1305</v>
      </c>
      <c r="P450" s="127">
        <f t="shared" si="68"/>
        <v>0</v>
      </c>
      <c r="Q450" s="127" t="s">
        <v>1305</v>
      </c>
      <c r="S450" s="127">
        <f t="shared" si="69"/>
        <v>0</v>
      </c>
      <c r="T450" s="127" t="s">
        <v>1305</v>
      </c>
      <c r="V450" s="127">
        <f t="shared" si="70"/>
        <v>0</v>
      </c>
    </row>
    <row r="451" spans="1:22" ht="15.75">
      <c r="A451" s="155" t="s">
        <v>1351</v>
      </c>
      <c r="B451" s="125" t="s">
        <v>984</v>
      </c>
      <c r="C451" s="130">
        <f t="shared" si="65"/>
        <v>27</v>
      </c>
      <c r="E451" s="144" t="s">
        <v>982</v>
      </c>
      <c r="F451" s="144">
        <v>1</v>
      </c>
      <c r="G451" s="144">
        <f t="shared" si="72"/>
        <v>1</v>
      </c>
      <c r="H451" s="144" t="s">
        <v>1170</v>
      </c>
      <c r="I451" s="144">
        <v>1</v>
      </c>
      <c r="J451" s="127">
        <f t="shared" si="66"/>
        <v>26</v>
      </c>
      <c r="K451" s="127" t="s">
        <v>1305</v>
      </c>
      <c r="M451" s="127">
        <f t="shared" si="67"/>
        <v>0</v>
      </c>
      <c r="N451" s="127" t="s">
        <v>1305</v>
      </c>
      <c r="P451" s="127">
        <f t="shared" si="68"/>
        <v>0</v>
      </c>
      <c r="Q451" s="127" t="s">
        <v>1305</v>
      </c>
      <c r="S451" s="127">
        <f t="shared" si="69"/>
        <v>0</v>
      </c>
      <c r="T451" s="127" t="s">
        <v>1305</v>
      </c>
      <c r="V451" s="127">
        <f t="shared" si="70"/>
        <v>0</v>
      </c>
    </row>
    <row r="452" spans="1:22" ht="15.75">
      <c r="A452" s="155" t="s">
        <v>1351</v>
      </c>
      <c r="B452" s="125" t="s">
        <v>985</v>
      </c>
      <c r="C452" s="130">
        <f t="shared" si="65"/>
        <v>65</v>
      </c>
      <c r="E452" s="144" t="s">
        <v>814</v>
      </c>
      <c r="F452" s="144">
        <v>8</v>
      </c>
      <c r="G452" s="144">
        <f t="shared" si="72"/>
        <v>8</v>
      </c>
      <c r="H452" s="144" t="s">
        <v>982</v>
      </c>
      <c r="I452" s="144">
        <v>1</v>
      </c>
      <c r="J452" s="127">
        <f t="shared" si="66"/>
        <v>1</v>
      </c>
      <c r="K452" s="127" t="s">
        <v>1305</v>
      </c>
      <c r="M452" s="127">
        <f t="shared" si="67"/>
        <v>0</v>
      </c>
      <c r="N452" s="127" t="s">
        <v>1305</v>
      </c>
      <c r="P452" s="127">
        <f t="shared" si="68"/>
        <v>0</v>
      </c>
      <c r="Q452" s="127" t="s">
        <v>1305</v>
      </c>
      <c r="S452" s="127">
        <f t="shared" si="69"/>
        <v>0</v>
      </c>
      <c r="T452" s="127" t="s">
        <v>1305</v>
      </c>
      <c r="V452" s="127">
        <f t="shared" si="70"/>
        <v>0</v>
      </c>
    </row>
    <row r="453" spans="1:22" ht="15.75">
      <c r="A453" s="155" t="s">
        <v>1351</v>
      </c>
      <c r="B453" s="125" t="s">
        <v>986</v>
      </c>
      <c r="C453" s="130">
        <f t="shared" si="65"/>
        <v>390</v>
      </c>
      <c r="E453" s="144" t="s">
        <v>985</v>
      </c>
      <c r="F453" s="144">
        <v>6</v>
      </c>
      <c r="G453" s="144">
        <f t="shared" si="72"/>
        <v>65</v>
      </c>
      <c r="H453" s="144" t="s">
        <v>1305</v>
      </c>
      <c r="I453" s="144"/>
      <c r="J453" s="127">
        <f t="shared" si="66"/>
        <v>0</v>
      </c>
      <c r="K453" s="127" t="s">
        <v>1305</v>
      </c>
      <c r="M453" s="127">
        <f t="shared" si="67"/>
        <v>0</v>
      </c>
      <c r="N453" s="127" t="s">
        <v>1305</v>
      </c>
      <c r="P453" s="127">
        <f t="shared" si="68"/>
        <v>0</v>
      </c>
      <c r="Q453" s="127" t="s">
        <v>1305</v>
      </c>
      <c r="S453" s="127">
        <f t="shared" si="69"/>
        <v>0</v>
      </c>
      <c r="T453" s="127" t="s">
        <v>1305</v>
      </c>
      <c r="V453" s="127">
        <f t="shared" si="70"/>
        <v>0</v>
      </c>
    </row>
    <row r="454" spans="1:22" ht="15.75">
      <c r="A454" s="155" t="s">
        <v>1351</v>
      </c>
      <c r="B454" s="125" t="s">
        <v>987</v>
      </c>
      <c r="C454" s="130">
        <f t="shared" si="65"/>
        <v>249</v>
      </c>
      <c r="E454" s="144" t="s">
        <v>1245</v>
      </c>
      <c r="F454" s="144">
        <v>8</v>
      </c>
      <c r="G454" s="144">
        <f t="shared" si="72"/>
        <v>31</v>
      </c>
      <c r="H454" s="144" t="s">
        <v>982</v>
      </c>
      <c r="I454" s="144">
        <v>1</v>
      </c>
      <c r="J454" s="127">
        <f t="shared" si="66"/>
        <v>1</v>
      </c>
      <c r="K454" s="127" t="s">
        <v>1305</v>
      </c>
      <c r="M454" s="127">
        <f t="shared" si="67"/>
        <v>0</v>
      </c>
      <c r="N454" s="127" t="s">
        <v>1305</v>
      </c>
      <c r="P454" s="127">
        <f t="shared" si="68"/>
        <v>0</v>
      </c>
      <c r="Q454" s="127" t="s">
        <v>1305</v>
      </c>
      <c r="S454" s="127">
        <f t="shared" si="69"/>
        <v>0</v>
      </c>
      <c r="T454" s="127" t="s">
        <v>1305</v>
      </c>
      <c r="V454" s="127">
        <f t="shared" si="70"/>
        <v>0</v>
      </c>
    </row>
    <row r="455" spans="1:22" ht="15.75">
      <c r="A455" s="155" t="s">
        <v>1351</v>
      </c>
      <c r="B455" s="125" t="s">
        <v>988</v>
      </c>
      <c r="C455" s="130">
        <f t="shared" si="65"/>
        <v>7</v>
      </c>
      <c r="E455" s="144" t="s">
        <v>1274</v>
      </c>
      <c r="F455" s="144">
        <v>1</v>
      </c>
      <c r="G455" s="144">
        <f t="shared" si="72"/>
        <v>6</v>
      </c>
      <c r="H455" s="144" t="s">
        <v>982</v>
      </c>
      <c r="I455" s="144">
        <v>1</v>
      </c>
      <c r="J455" s="127">
        <f t="shared" si="66"/>
        <v>1</v>
      </c>
      <c r="K455" s="127" t="s">
        <v>1305</v>
      </c>
      <c r="M455" s="127">
        <f t="shared" si="67"/>
        <v>0</v>
      </c>
      <c r="N455" s="127" t="s">
        <v>1305</v>
      </c>
      <c r="P455" s="127">
        <f t="shared" si="68"/>
        <v>0</v>
      </c>
      <c r="Q455" s="127" t="s">
        <v>1305</v>
      </c>
      <c r="S455" s="127">
        <f t="shared" si="69"/>
        <v>0</v>
      </c>
      <c r="T455" s="127" t="s">
        <v>1305</v>
      </c>
      <c r="V455" s="127">
        <f t="shared" si="70"/>
        <v>0</v>
      </c>
    </row>
    <row r="456" spans="1:22" ht="15.75">
      <c r="A456" s="155" t="s">
        <v>1351</v>
      </c>
      <c r="B456" s="125" t="s">
        <v>989</v>
      </c>
      <c r="C456" s="130">
        <f t="shared" si="65"/>
        <v>46</v>
      </c>
      <c r="E456" s="127" t="s">
        <v>990</v>
      </c>
      <c r="F456">
        <v>4</v>
      </c>
      <c r="G456" s="127">
        <f t="shared" si="72"/>
        <v>11.5</v>
      </c>
      <c r="H456" s="127" t="s">
        <v>1305</v>
      </c>
      <c r="J456" s="127">
        <f t="shared" si="66"/>
        <v>0</v>
      </c>
      <c r="K456" s="127" t="s">
        <v>1305</v>
      </c>
      <c r="M456" s="127">
        <f t="shared" si="67"/>
        <v>0</v>
      </c>
      <c r="N456" s="127" t="s">
        <v>1305</v>
      </c>
      <c r="P456" s="127">
        <f t="shared" si="68"/>
        <v>0</v>
      </c>
      <c r="Q456" s="127" t="s">
        <v>1305</v>
      </c>
      <c r="S456" s="127">
        <f t="shared" si="69"/>
        <v>0</v>
      </c>
      <c r="T456" s="127" t="s">
        <v>1305</v>
      </c>
      <c r="V456" s="127">
        <f t="shared" si="70"/>
        <v>0</v>
      </c>
    </row>
    <row r="457" spans="1:22" ht="15.75">
      <c r="A457" s="155" t="s">
        <v>1351</v>
      </c>
      <c r="B457" s="125" t="s">
        <v>990</v>
      </c>
      <c r="C457" s="130">
        <f t="shared" si="65"/>
        <v>11.5</v>
      </c>
      <c r="E457" s="127" t="s">
        <v>1173</v>
      </c>
      <c r="F457">
        <v>1</v>
      </c>
      <c r="G457" s="127">
        <f t="shared" si="72"/>
        <v>7</v>
      </c>
      <c r="H457" s="127" t="s">
        <v>596</v>
      </c>
      <c r="I457" s="127">
        <v>1</v>
      </c>
      <c r="J457" s="127">
        <f t="shared" si="66"/>
        <v>4.5</v>
      </c>
      <c r="K457" s="127" t="s">
        <v>1305</v>
      </c>
      <c r="M457" s="127">
        <f t="shared" si="67"/>
        <v>0</v>
      </c>
      <c r="N457" s="127" t="s">
        <v>1305</v>
      </c>
      <c r="P457" s="127">
        <f t="shared" si="68"/>
        <v>0</v>
      </c>
      <c r="Q457" s="127" t="s">
        <v>1305</v>
      </c>
      <c r="S457" s="127">
        <f t="shared" si="69"/>
        <v>0</v>
      </c>
      <c r="T457" s="127" t="s">
        <v>1305</v>
      </c>
      <c r="V457" s="127">
        <f t="shared" si="70"/>
        <v>0</v>
      </c>
    </row>
    <row r="458" spans="1:22" ht="15.75">
      <c r="A458" s="155" t="s">
        <v>1350</v>
      </c>
      <c r="B458" s="125" t="s">
        <v>991</v>
      </c>
      <c r="C458" s="130">
        <f t="shared" si="65"/>
        <v>143</v>
      </c>
      <c r="E458" s="127" t="s">
        <v>1051</v>
      </c>
      <c r="F458">
        <v>8</v>
      </c>
      <c r="G458" s="127">
        <f t="shared" si="72"/>
        <v>15</v>
      </c>
      <c r="H458" s="127" t="s">
        <v>683</v>
      </c>
      <c r="I458" s="127">
        <v>1</v>
      </c>
      <c r="J458" s="127">
        <f t="shared" si="66"/>
        <v>23</v>
      </c>
      <c r="K458" s="127" t="s">
        <v>1305</v>
      </c>
      <c r="M458" s="127">
        <f t="shared" si="67"/>
        <v>0</v>
      </c>
      <c r="N458" s="127" t="s">
        <v>1305</v>
      </c>
      <c r="P458" s="127">
        <f t="shared" si="68"/>
        <v>0</v>
      </c>
      <c r="Q458" s="127" t="s">
        <v>1305</v>
      </c>
      <c r="S458" s="127">
        <f t="shared" si="69"/>
        <v>0</v>
      </c>
      <c r="T458" s="127" t="s">
        <v>1305</v>
      </c>
      <c r="V458" s="127">
        <f t="shared" si="70"/>
        <v>0</v>
      </c>
    </row>
    <row r="459" spans="1:22" s="138" customFormat="1" ht="15.75">
      <c r="A459" s="138" t="s">
        <v>560</v>
      </c>
      <c r="B459" s="136" t="s">
        <v>992</v>
      </c>
      <c r="C459" s="137">
        <f>'ECONOMIA &amp; PROFESIONES'!G33</f>
        <v>3</v>
      </c>
      <c r="D459" s="133"/>
      <c r="E459" s="138" t="s">
        <v>1305</v>
      </c>
      <c r="G459" s="138">
        <f t="shared" si="72"/>
        <v>0</v>
      </c>
      <c r="H459" s="138" t="s">
        <v>1305</v>
      </c>
      <c r="J459" s="138">
        <f t="shared" si="66"/>
        <v>0</v>
      </c>
      <c r="K459" s="138" t="s">
        <v>1305</v>
      </c>
      <c r="M459" s="138">
        <f t="shared" si="67"/>
        <v>0</v>
      </c>
      <c r="N459" s="138" t="s">
        <v>1305</v>
      </c>
      <c r="P459" s="138">
        <f t="shared" si="68"/>
        <v>0</v>
      </c>
      <c r="Q459" s="138" t="s">
        <v>1305</v>
      </c>
      <c r="S459" s="138">
        <f t="shared" si="69"/>
        <v>0</v>
      </c>
      <c r="T459" s="138" t="s">
        <v>1305</v>
      </c>
      <c r="V459" s="138">
        <f t="shared" si="70"/>
        <v>0</v>
      </c>
    </row>
    <row r="460" spans="1:22" ht="15.75">
      <c r="A460" s="155" t="s">
        <v>1348</v>
      </c>
      <c r="B460" s="125" t="s">
        <v>993</v>
      </c>
      <c r="C460" s="130">
        <f>C459/9</f>
        <v>0.33333333333333331</v>
      </c>
      <c r="E460" s="127" t="s">
        <v>1305</v>
      </c>
      <c r="G460" s="127">
        <f t="shared" si="72"/>
        <v>0</v>
      </c>
      <c r="H460" s="127" t="s">
        <v>1305</v>
      </c>
      <c r="J460" s="127">
        <f t="shared" si="66"/>
        <v>0</v>
      </c>
      <c r="K460" s="127" t="s">
        <v>1305</v>
      </c>
      <c r="M460" s="127">
        <f t="shared" si="67"/>
        <v>0</v>
      </c>
      <c r="N460" s="127" t="s">
        <v>1305</v>
      </c>
      <c r="P460" s="127">
        <f t="shared" si="68"/>
        <v>0</v>
      </c>
      <c r="Q460" s="127" t="s">
        <v>1305</v>
      </c>
      <c r="S460" s="127">
        <f t="shared" si="69"/>
        <v>0</v>
      </c>
      <c r="T460" s="127" t="s">
        <v>1305</v>
      </c>
      <c r="V460" s="127">
        <f t="shared" si="70"/>
        <v>0</v>
      </c>
    </row>
    <row r="461" spans="1:22" ht="15.75">
      <c r="A461" s="155" t="s">
        <v>595</v>
      </c>
      <c r="B461" s="125" t="s">
        <v>994</v>
      </c>
      <c r="C461" s="130">
        <f t="shared" si="65"/>
        <v>20</v>
      </c>
      <c r="E461" s="127" t="s">
        <v>896</v>
      </c>
      <c r="F461">
        <v>5</v>
      </c>
      <c r="G461" s="127">
        <f t="shared" si="72"/>
        <v>4</v>
      </c>
      <c r="H461" s="127" t="s">
        <v>1305</v>
      </c>
      <c r="J461" s="127">
        <f t="shared" si="66"/>
        <v>0</v>
      </c>
      <c r="K461" s="127" t="s">
        <v>1305</v>
      </c>
      <c r="M461" s="127">
        <f t="shared" si="67"/>
        <v>0</v>
      </c>
      <c r="N461" s="127" t="s">
        <v>1305</v>
      </c>
      <c r="P461" s="127">
        <f t="shared" si="68"/>
        <v>0</v>
      </c>
      <c r="Q461" s="127" t="s">
        <v>1305</v>
      </c>
      <c r="S461" s="127">
        <f t="shared" si="69"/>
        <v>0</v>
      </c>
      <c r="T461" s="127" t="s">
        <v>1305</v>
      </c>
      <c r="V461" s="127">
        <f t="shared" si="70"/>
        <v>0</v>
      </c>
    </row>
    <row r="462" spans="1:22" ht="15.75">
      <c r="A462" s="155" t="s">
        <v>1351</v>
      </c>
      <c r="B462" s="125" t="s">
        <v>995</v>
      </c>
      <c r="C462" s="130">
        <f t="shared" si="65"/>
        <v>592</v>
      </c>
      <c r="E462" s="127" t="s">
        <v>1051</v>
      </c>
      <c r="F462">
        <v>1</v>
      </c>
      <c r="G462" s="127">
        <f t="shared" si="72"/>
        <v>15</v>
      </c>
      <c r="H462" s="127" t="s">
        <v>781</v>
      </c>
      <c r="I462" s="127">
        <v>1</v>
      </c>
      <c r="J462" s="127">
        <f t="shared" si="66"/>
        <v>577</v>
      </c>
      <c r="K462" s="127" t="s">
        <v>1305</v>
      </c>
      <c r="M462" s="127">
        <f t="shared" si="67"/>
        <v>0</v>
      </c>
      <c r="N462" s="127" t="s">
        <v>1305</v>
      </c>
      <c r="P462" s="127">
        <f t="shared" si="68"/>
        <v>0</v>
      </c>
      <c r="Q462" s="127" t="s">
        <v>1305</v>
      </c>
      <c r="S462" s="127">
        <f t="shared" si="69"/>
        <v>0</v>
      </c>
      <c r="T462" s="127" t="s">
        <v>1305</v>
      </c>
      <c r="V462" s="127">
        <f t="shared" si="70"/>
        <v>0</v>
      </c>
    </row>
    <row r="463" spans="1:22" ht="15.75">
      <c r="A463" s="155" t="s">
        <v>1346</v>
      </c>
      <c r="B463" s="125" t="s">
        <v>996</v>
      </c>
      <c r="C463" s="130">
        <f t="shared" si="65"/>
        <v>1</v>
      </c>
      <c r="E463" s="127" t="s">
        <v>676</v>
      </c>
      <c r="F463">
        <v>1</v>
      </c>
      <c r="G463" s="127">
        <f t="shared" si="72"/>
        <v>1</v>
      </c>
      <c r="H463" s="127" t="s">
        <v>1258</v>
      </c>
      <c r="I463" s="127">
        <v>1</v>
      </c>
      <c r="J463" s="127">
        <f t="shared" si="66"/>
        <v>0</v>
      </c>
      <c r="K463" s="127" t="s">
        <v>1305</v>
      </c>
      <c r="M463" s="127">
        <f t="shared" si="67"/>
        <v>0</v>
      </c>
      <c r="N463" s="127" t="s">
        <v>1305</v>
      </c>
      <c r="P463" s="127">
        <f t="shared" si="68"/>
        <v>0</v>
      </c>
      <c r="Q463" s="127" t="s">
        <v>1305</v>
      </c>
      <c r="S463" s="127">
        <f t="shared" si="69"/>
        <v>0</v>
      </c>
      <c r="T463" s="127" t="s">
        <v>1305</v>
      </c>
      <c r="V463" s="127">
        <f t="shared" si="70"/>
        <v>0</v>
      </c>
    </row>
    <row r="464" spans="1:22" ht="15.75">
      <c r="A464" s="155" t="s">
        <v>1346</v>
      </c>
      <c r="B464" s="125" t="s">
        <v>997</v>
      </c>
      <c r="C464" s="130">
        <f t="shared" si="65"/>
        <v>3</v>
      </c>
      <c r="E464" s="127" t="s">
        <v>996</v>
      </c>
      <c r="F464">
        <v>3</v>
      </c>
      <c r="G464" s="127">
        <f t="shared" si="72"/>
        <v>1</v>
      </c>
      <c r="H464" s="127" t="s">
        <v>1305</v>
      </c>
      <c r="J464" s="127">
        <f t="shared" si="66"/>
        <v>0</v>
      </c>
      <c r="K464" s="127" t="s">
        <v>1305</v>
      </c>
      <c r="M464" s="127">
        <f t="shared" si="67"/>
        <v>0</v>
      </c>
      <c r="N464" s="127" t="s">
        <v>1305</v>
      </c>
      <c r="P464" s="127">
        <f t="shared" si="68"/>
        <v>0</v>
      </c>
      <c r="Q464" s="127" t="s">
        <v>1305</v>
      </c>
      <c r="S464" s="127">
        <f t="shared" si="69"/>
        <v>0</v>
      </c>
      <c r="T464" s="127" t="s">
        <v>1305</v>
      </c>
      <c r="V464" s="127">
        <f t="shared" si="70"/>
        <v>0</v>
      </c>
    </row>
    <row r="465" spans="1:22" ht="15.75">
      <c r="A465" s="155" t="s">
        <v>1346</v>
      </c>
      <c r="B465" s="125" t="s">
        <v>998</v>
      </c>
      <c r="C465" s="130">
        <f t="shared" si="65"/>
        <v>6</v>
      </c>
      <c r="E465" s="144" t="s">
        <v>996</v>
      </c>
      <c r="F465">
        <v>6</v>
      </c>
      <c r="G465" s="127">
        <f t="shared" si="72"/>
        <v>1</v>
      </c>
      <c r="H465" s="127" t="s">
        <v>1305</v>
      </c>
      <c r="J465" s="127">
        <f t="shared" si="66"/>
        <v>0</v>
      </c>
      <c r="K465" s="127" t="s">
        <v>1305</v>
      </c>
      <c r="M465" s="127">
        <f t="shared" si="67"/>
        <v>0</v>
      </c>
      <c r="N465" s="127" t="s">
        <v>1305</v>
      </c>
      <c r="P465" s="127">
        <f t="shared" si="68"/>
        <v>0</v>
      </c>
      <c r="Q465" s="127" t="s">
        <v>1305</v>
      </c>
      <c r="S465" s="127">
        <f t="shared" si="69"/>
        <v>0</v>
      </c>
      <c r="T465" s="127" t="s">
        <v>1305</v>
      </c>
      <c r="V465" s="127">
        <f t="shared" si="70"/>
        <v>0</v>
      </c>
    </row>
    <row r="466" spans="1:22" ht="15.75">
      <c r="A466" s="155" t="s">
        <v>1346</v>
      </c>
      <c r="B466" s="125" t="s">
        <v>999</v>
      </c>
      <c r="C466" s="130">
        <f t="shared" si="65"/>
        <v>6</v>
      </c>
      <c r="E466" s="144" t="s">
        <v>996</v>
      </c>
      <c r="F466">
        <v>6</v>
      </c>
      <c r="G466" s="127">
        <f t="shared" si="72"/>
        <v>1</v>
      </c>
      <c r="H466" s="127" t="s">
        <v>1305</v>
      </c>
      <c r="J466" s="127">
        <f t="shared" si="66"/>
        <v>0</v>
      </c>
      <c r="K466" s="127" t="s">
        <v>1305</v>
      </c>
      <c r="M466" s="127">
        <f t="shared" si="67"/>
        <v>0</v>
      </c>
      <c r="N466" s="127" t="s">
        <v>1305</v>
      </c>
      <c r="P466" s="127">
        <f t="shared" si="68"/>
        <v>0</v>
      </c>
      <c r="Q466" s="127" t="s">
        <v>1305</v>
      </c>
      <c r="S466" s="127">
        <f t="shared" si="69"/>
        <v>0</v>
      </c>
      <c r="T466" s="127" t="s">
        <v>1305</v>
      </c>
      <c r="V466" s="127">
        <f t="shared" si="70"/>
        <v>0</v>
      </c>
    </row>
    <row r="467" spans="1:22" ht="15.75">
      <c r="A467" s="155" t="s">
        <v>1346</v>
      </c>
      <c r="B467" s="125" t="s">
        <v>1000</v>
      </c>
      <c r="C467" s="130">
        <f t="shared" si="65"/>
        <v>48</v>
      </c>
      <c r="E467" s="127" t="s">
        <v>1003</v>
      </c>
      <c r="F467">
        <v>3</v>
      </c>
      <c r="G467" s="127">
        <f t="shared" si="72"/>
        <v>16</v>
      </c>
      <c r="H467" s="127" t="s">
        <v>1305</v>
      </c>
      <c r="J467" s="127">
        <f t="shared" si="66"/>
        <v>0</v>
      </c>
      <c r="K467" s="127" t="s">
        <v>1305</v>
      </c>
      <c r="M467" s="127">
        <f t="shared" si="67"/>
        <v>0</v>
      </c>
      <c r="N467" s="127" t="s">
        <v>1305</v>
      </c>
      <c r="P467" s="127">
        <f t="shared" si="68"/>
        <v>0</v>
      </c>
      <c r="Q467" s="127" t="s">
        <v>1305</v>
      </c>
      <c r="S467" s="127">
        <f t="shared" si="69"/>
        <v>0</v>
      </c>
      <c r="T467" s="127" t="s">
        <v>1305</v>
      </c>
      <c r="V467" s="127">
        <f t="shared" si="70"/>
        <v>0</v>
      </c>
    </row>
    <row r="468" spans="1:22" ht="15.75">
      <c r="A468" s="155" t="s">
        <v>1346</v>
      </c>
      <c r="B468" s="125" t="s">
        <v>1001</v>
      </c>
      <c r="C468" s="130">
        <f t="shared" si="65"/>
        <v>96</v>
      </c>
      <c r="E468" s="127" t="s">
        <v>1003</v>
      </c>
      <c r="F468">
        <v>6</v>
      </c>
      <c r="G468" s="127">
        <f t="shared" si="72"/>
        <v>16</v>
      </c>
      <c r="H468" s="127" t="s">
        <v>1305</v>
      </c>
      <c r="J468" s="127">
        <f t="shared" si="66"/>
        <v>0</v>
      </c>
      <c r="K468" s="127" t="s">
        <v>1305</v>
      </c>
      <c r="M468" s="127">
        <f t="shared" si="67"/>
        <v>0</v>
      </c>
      <c r="N468" s="127" t="s">
        <v>1305</v>
      </c>
      <c r="P468" s="127">
        <f t="shared" si="68"/>
        <v>0</v>
      </c>
      <c r="Q468" s="127" t="s">
        <v>1305</v>
      </c>
      <c r="S468" s="127">
        <f t="shared" si="69"/>
        <v>0</v>
      </c>
      <c r="T468" s="127" t="s">
        <v>1305</v>
      </c>
      <c r="V468" s="127">
        <f t="shared" si="70"/>
        <v>0</v>
      </c>
    </row>
    <row r="469" spans="1:22" ht="15.75">
      <c r="A469" s="155" t="s">
        <v>1346</v>
      </c>
      <c r="B469" s="125" t="s">
        <v>1002</v>
      </c>
      <c r="C469" s="130">
        <f t="shared" si="65"/>
        <v>96</v>
      </c>
      <c r="E469" s="127" t="s">
        <v>1003</v>
      </c>
      <c r="F469">
        <v>6</v>
      </c>
      <c r="G469" s="127">
        <f t="shared" si="72"/>
        <v>16</v>
      </c>
      <c r="H469" s="127" t="s">
        <v>1305</v>
      </c>
      <c r="J469" s="127">
        <f t="shared" si="66"/>
        <v>0</v>
      </c>
      <c r="K469" s="127" t="s">
        <v>1305</v>
      </c>
      <c r="M469" s="127">
        <f t="shared" si="67"/>
        <v>0</v>
      </c>
      <c r="N469" s="127" t="s">
        <v>1305</v>
      </c>
      <c r="P469" s="127">
        <f t="shared" si="68"/>
        <v>0</v>
      </c>
      <c r="Q469" s="127" t="s">
        <v>1305</v>
      </c>
      <c r="S469" s="127">
        <f t="shared" si="69"/>
        <v>0</v>
      </c>
      <c r="T469" s="127" t="s">
        <v>1305</v>
      </c>
      <c r="V469" s="127">
        <f t="shared" si="70"/>
        <v>0</v>
      </c>
    </row>
    <row r="470" spans="1:22" ht="15.75">
      <c r="A470" s="155" t="s">
        <v>1346</v>
      </c>
      <c r="B470" s="125" t="s">
        <v>1003</v>
      </c>
      <c r="C470" s="130">
        <f t="shared" si="65"/>
        <v>16</v>
      </c>
      <c r="E470" s="127" t="s">
        <v>1215</v>
      </c>
      <c r="F470">
        <v>1</v>
      </c>
      <c r="G470" s="127">
        <f t="shared" si="72"/>
        <v>16</v>
      </c>
      <c r="H470" s="127" t="s">
        <v>1258</v>
      </c>
      <c r="I470" s="127">
        <v>1</v>
      </c>
      <c r="J470" s="127">
        <f t="shared" si="66"/>
        <v>0</v>
      </c>
      <c r="K470" s="127" t="s">
        <v>1305</v>
      </c>
      <c r="M470" s="127">
        <f t="shared" si="67"/>
        <v>0</v>
      </c>
      <c r="N470" s="127" t="s">
        <v>1305</v>
      </c>
      <c r="P470" s="127">
        <f t="shared" si="68"/>
        <v>0</v>
      </c>
      <c r="Q470" s="127" t="s">
        <v>1305</v>
      </c>
      <c r="S470" s="127">
        <f t="shared" si="69"/>
        <v>0</v>
      </c>
      <c r="T470" s="127" t="s">
        <v>1305</v>
      </c>
      <c r="V470" s="127">
        <f t="shared" si="70"/>
        <v>0</v>
      </c>
    </row>
    <row r="471" spans="1:22" ht="15.75">
      <c r="A471" s="155" t="s">
        <v>1348</v>
      </c>
      <c r="B471" s="125" t="s">
        <v>1004</v>
      </c>
      <c r="C471" s="130">
        <f t="shared" si="65"/>
        <v>25</v>
      </c>
      <c r="E471" s="127" t="s">
        <v>618</v>
      </c>
      <c r="F471">
        <v>1</v>
      </c>
      <c r="G471" s="127">
        <f t="shared" si="72"/>
        <v>3</v>
      </c>
      <c r="H471" s="127" t="s">
        <v>1131</v>
      </c>
      <c r="I471" s="127">
        <v>1</v>
      </c>
      <c r="J471" s="127">
        <f t="shared" si="66"/>
        <v>11</v>
      </c>
      <c r="K471" s="127" t="s">
        <v>636</v>
      </c>
      <c r="L471" s="127">
        <v>1</v>
      </c>
      <c r="M471" s="127">
        <f t="shared" si="67"/>
        <v>11</v>
      </c>
      <c r="N471" s="127" t="s">
        <v>1305</v>
      </c>
      <c r="P471" s="127">
        <f t="shared" si="68"/>
        <v>0</v>
      </c>
      <c r="Q471" s="127" t="s">
        <v>1305</v>
      </c>
      <c r="S471" s="127">
        <f t="shared" si="69"/>
        <v>0</v>
      </c>
      <c r="T471" s="127" t="s">
        <v>1305</v>
      </c>
      <c r="V471" s="127">
        <f t="shared" si="70"/>
        <v>0</v>
      </c>
    </row>
    <row r="472" spans="1:22" s="138" customFormat="1" ht="15.75">
      <c r="A472" s="138" t="s">
        <v>1340</v>
      </c>
      <c r="B472" s="136" t="s">
        <v>1005</v>
      </c>
      <c r="C472" s="137">
        <f>'ECONOMIA &amp; PROFESIONES'!I37</f>
        <v>11</v>
      </c>
      <c r="D472" s="133"/>
      <c r="E472" s="138" t="s">
        <v>1305</v>
      </c>
      <c r="G472" s="138">
        <f t="shared" si="72"/>
        <v>0</v>
      </c>
      <c r="H472" s="138" t="s">
        <v>1305</v>
      </c>
      <c r="J472" s="138">
        <f t="shared" si="66"/>
        <v>0</v>
      </c>
      <c r="K472" s="138" t="s">
        <v>1305</v>
      </c>
      <c r="M472" s="138">
        <f t="shared" si="67"/>
        <v>0</v>
      </c>
      <c r="N472" s="138" t="s">
        <v>1305</v>
      </c>
      <c r="P472" s="138">
        <f t="shared" si="68"/>
        <v>0</v>
      </c>
      <c r="Q472" s="138" t="s">
        <v>1305</v>
      </c>
      <c r="S472" s="138">
        <f t="shared" si="69"/>
        <v>0</v>
      </c>
      <c r="T472" s="138" t="s">
        <v>1305</v>
      </c>
      <c r="V472" s="138">
        <f t="shared" si="70"/>
        <v>0</v>
      </c>
    </row>
    <row r="473" spans="1:22" s="138" customFormat="1" ht="15.75">
      <c r="A473" s="138" t="s">
        <v>1339</v>
      </c>
      <c r="B473" s="136" t="s">
        <v>1006</v>
      </c>
      <c r="C473" s="137">
        <f>'ECONOMIA &amp; PROFESIONES'!C46</f>
        <v>11</v>
      </c>
      <c r="D473" s="133"/>
      <c r="E473" s="138" t="s">
        <v>1305</v>
      </c>
      <c r="G473" s="138">
        <f t="shared" si="72"/>
        <v>0</v>
      </c>
      <c r="H473" s="138" t="s">
        <v>1305</v>
      </c>
      <c r="J473" s="138">
        <f t="shared" si="66"/>
        <v>0</v>
      </c>
      <c r="K473" s="138" t="s">
        <v>1305</v>
      </c>
      <c r="M473" s="138">
        <f t="shared" si="67"/>
        <v>0</v>
      </c>
      <c r="N473" s="138" t="s">
        <v>1305</v>
      </c>
      <c r="P473" s="138">
        <f t="shared" si="68"/>
        <v>0</v>
      </c>
      <c r="Q473" s="138" t="s">
        <v>1305</v>
      </c>
      <c r="S473" s="138">
        <f t="shared" si="69"/>
        <v>0</v>
      </c>
      <c r="T473" s="138" t="s">
        <v>1305</v>
      </c>
      <c r="V473" s="138">
        <f t="shared" si="70"/>
        <v>0</v>
      </c>
    </row>
    <row r="474" spans="1:22" s="141" customFormat="1" ht="15.75">
      <c r="A474" s="155"/>
      <c r="B474" s="139" t="s">
        <v>1007</v>
      </c>
      <c r="C474" s="140">
        <f t="shared" si="65"/>
        <v>0</v>
      </c>
      <c r="D474" s="133"/>
      <c r="E474" s="141" t="s">
        <v>1305</v>
      </c>
      <c r="G474" s="141">
        <f t="shared" si="72"/>
        <v>0</v>
      </c>
      <c r="H474" s="141" t="s">
        <v>1305</v>
      </c>
      <c r="J474" s="141">
        <f t="shared" si="66"/>
        <v>0</v>
      </c>
      <c r="K474" s="141" t="s">
        <v>1305</v>
      </c>
      <c r="M474" s="141">
        <f t="shared" si="67"/>
        <v>0</v>
      </c>
      <c r="N474" s="141" t="s">
        <v>1305</v>
      </c>
      <c r="P474" s="141">
        <f t="shared" si="68"/>
        <v>0</v>
      </c>
      <c r="Q474" s="141" t="s">
        <v>1305</v>
      </c>
      <c r="S474" s="141">
        <f t="shared" si="69"/>
        <v>0</v>
      </c>
      <c r="T474" s="141" t="s">
        <v>1305</v>
      </c>
      <c r="V474" s="141">
        <f t="shared" si="70"/>
        <v>0</v>
      </c>
    </row>
    <row r="475" spans="1:22" s="150" customFormat="1" ht="15.75">
      <c r="A475" s="155" t="s">
        <v>1350</v>
      </c>
      <c r="B475" s="148" t="s">
        <v>1008</v>
      </c>
      <c r="C475" s="149">
        <f>'ECONOMIA &amp; PROFESIONES'!I55</f>
        <v>0.4</v>
      </c>
      <c r="D475" s="133"/>
      <c r="E475" s="150" t="s">
        <v>1305</v>
      </c>
      <c r="G475" s="150">
        <f t="shared" si="72"/>
        <v>0</v>
      </c>
      <c r="H475" s="150" t="s">
        <v>1305</v>
      </c>
      <c r="J475" s="150">
        <f t="shared" si="66"/>
        <v>0</v>
      </c>
      <c r="K475" s="150" t="s">
        <v>1305</v>
      </c>
      <c r="M475" s="150">
        <f t="shared" si="67"/>
        <v>0</v>
      </c>
      <c r="N475" s="150" t="s">
        <v>1305</v>
      </c>
      <c r="P475" s="150">
        <f t="shared" si="68"/>
        <v>0</v>
      </c>
      <c r="Q475" s="150" t="s">
        <v>1305</v>
      </c>
      <c r="S475" s="150">
        <f t="shared" si="69"/>
        <v>0</v>
      </c>
      <c r="T475" s="150" t="s">
        <v>1305</v>
      </c>
      <c r="V475" s="150">
        <f t="shared" si="70"/>
        <v>0</v>
      </c>
    </row>
    <row r="476" spans="1:22" ht="15.75">
      <c r="A476" s="155" t="s">
        <v>1346</v>
      </c>
      <c r="B476" s="125" t="s">
        <v>1009</v>
      </c>
      <c r="C476" s="130">
        <f t="shared" si="65"/>
        <v>14</v>
      </c>
      <c r="E476" s="127" t="s">
        <v>1019</v>
      </c>
      <c r="F476">
        <v>1</v>
      </c>
      <c r="G476" s="127">
        <f t="shared" si="72"/>
        <v>11</v>
      </c>
      <c r="H476" s="127" t="s">
        <v>672</v>
      </c>
      <c r="I476" s="127">
        <v>1</v>
      </c>
      <c r="J476" s="127">
        <f t="shared" si="66"/>
        <v>3</v>
      </c>
      <c r="K476" s="127" t="s">
        <v>1305</v>
      </c>
      <c r="M476" s="127">
        <f t="shared" si="67"/>
        <v>0</v>
      </c>
      <c r="N476" s="127" t="s">
        <v>1305</v>
      </c>
      <c r="P476" s="127">
        <f t="shared" si="68"/>
        <v>0</v>
      </c>
      <c r="Q476" s="127" t="s">
        <v>1305</v>
      </c>
      <c r="S476" s="127">
        <f t="shared" si="69"/>
        <v>0</v>
      </c>
      <c r="T476" s="127" t="s">
        <v>1305</v>
      </c>
      <c r="V476" s="127">
        <f t="shared" si="70"/>
        <v>0</v>
      </c>
    </row>
    <row r="477" spans="1:22" ht="15.75">
      <c r="A477" s="155" t="s">
        <v>1346</v>
      </c>
      <c r="B477" s="125" t="s">
        <v>1010</v>
      </c>
      <c r="C477" s="130">
        <f t="shared" si="65"/>
        <v>252</v>
      </c>
      <c r="E477" s="127" t="s">
        <v>1014</v>
      </c>
      <c r="F477">
        <v>4</v>
      </c>
      <c r="G477" s="127">
        <f t="shared" si="72"/>
        <v>56</v>
      </c>
      <c r="H477" s="127" t="s">
        <v>1009</v>
      </c>
      <c r="I477" s="127">
        <v>2</v>
      </c>
      <c r="J477" s="127">
        <f t="shared" si="66"/>
        <v>14</v>
      </c>
      <c r="K477" s="127" t="s">
        <v>1305</v>
      </c>
      <c r="M477" s="127">
        <f t="shared" si="67"/>
        <v>0</v>
      </c>
      <c r="N477" s="127" t="s">
        <v>1305</v>
      </c>
      <c r="P477" s="127">
        <f t="shared" si="68"/>
        <v>0</v>
      </c>
      <c r="Q477" s="127" t="s">
        <v>1305</v>
      </c>
      <c r="S477" s="127">
        <f t="shared" si="69"/>
        <v>0</v>
      </c>
      <c r="T477" s="127" t="s">
        <v>1305</v>
      </c>
      <c r="V477" s="127">
        <f t="shared" si="70"/>
        <v>0</v>
      </c>
    </row>
    <row r="478" spans="1:22" ht="15.75">
      <c r="A478" s="155" t="s">
        <v>1346</v>
      </c>
      <c r="B478" s="125" t="s">
        <v>1011</v>
      </c>
      <c r="C478" s="130">
        <f t="shared" si="65"/>
        <v>168</v>
      </c>
      <c r="E478" s="144" t="s">
        <v>1014</v>
      </c>
      <c r="F478">
        <v>3</v>
      </c>
      <c r="G478" s="127">
        <f t="shared" si="72"/>
        <v>56</v>
      </c>
      <c r="H478" s="127" t="s">
        <v>1305</v>
      </c>
      <c r="J478" s="127">
        <f t="shared" si="66"/>
        <v>0</v>
      </c>
      <c r="K478" s="127" t="s">
        <v>1305</v>
      </c>
      <c r="M478" s="127">
        <f t="shared" si="67"/>
        <v>0</v>
      </c>
      <c r="N478" s="127" t="s">
        <v>1305</v>
      </c>
      <c r="P478" s="127">
        <f t="shared" si="68"/>
        <v>0</v>
      </c>
      <c r="Q478" s="127" t="s">
        <v>1305</v>
      </c>
      <c r="S478" s="127">
        <f t="shared" si="69"/>
        <v>0</v>
      </c>
      <c r="T478" s="127" t="s">
        <v>1305</v>
      </c>
      <c r="V478" s="127">
        <f t="shared" si="70"/>
        <v>0</v>
      </c>
    </row>
    <row r="479" spans="1:22" ht="15.75">
      <c r="A479" s="155" t="s">
        <v>1346</v>
      </c>
      <c r="B479" s="125" t="s">
        <v>1012</v>
      </c>
      <c r="C479" s="130">
        <f t="shared" si="65"/>
        <v>336</v>
      </c>
      <c r="E479" s="144" t="s">
        <v>1014</v>
      </c>
      <c r="F479">
        <v>6</v>
      </c>
      <c r="G479" s="127">
        <f t="shared" si="72"/>
        <v>56</v>
      </c>
      <c r="H479" s="127" t="s">
        <v>1305</v>
      </c>
      <c r="J479" s="127">
        <f t="shared" si="66"/>
        <v>0</v>
      </c>
      <c r="K479" s="127" t="s">
        <v>1305</v>
      </c>
      <c r="M479" s="127">
        <f t="shared" si="67"/>
        <v>0</v>
      </c>
      <c r="N479" s="127" t="s">
        <v>1305</v>
      </c>
      <c r="P479" s="127">
        <f t="shared" si="68"/>
        <v>0</v>
      </c>
      <c r="Q479" s="127" t="s">
        <v>1305</v>
      </c>
      <c r="S479" s="127">
        <f t="shared" si="69"/>
        <v>0</v>
      </c>
      <c r="T479" s="127" t="s">
        <v>1305</v>
      </c>
      <c r="V479" s="127">
        <f t="shared" si="70"/>
        <v>0</v>
      </c>
    </row>
    <row r="480" spans="1:22" ht="15.75">
      <c r="A480" s="155" t="s">
        <v>1346</v>
      </c>
      <c r="B480" s="125" t="s">
        <v>1013</v>
      </c>
      <c r="C480" s="130">
        <f t="shared" si="65"/>
        <v>336</v>
      </c>
      <c r="E480" s="144" t="s">
        <v>1014</v>
      </c>
      <c r="F480">
        <v>6</v>
      </c>
      <c r="G480" s="127">
        <f t="shared" si="72"/>
        <v>56</v>
      </c>
      <c r="H480" s="127" t="s">
        <v>1305</v>
      </c>
      <c r="J480" s="127">
        <f t="shared" si="66"/>
        <v>0</v>
      </c>
      <c r="K480" s="127" t="s">
        <v>1305</v>
      </c>
      <c r="M480" s="127">
        <f t="shared" si="67"/>
        <v>0</v>
      </c>
      <c r="N480" s="127" t="s">
        <v>1305</v>
      </c>
      <c r="P480" s="127">
        <f t="shared" si="68"/>
        <v>0</v>
      </c>
      <c r="Q480" s="127" t="s">
        <v>1305</v>
      </c>
      <c r="S480" s="127">
        <f t="shared" si="69"/>
        <v>0</v>
      </c>
      <c r="T480" s="127" t="s">
        <v>1305</v>
      </c>
      <c r="V480" s="127">
        <f t="shared" si="70"/>
        <v>0</v>
      </c>
    </row>
    <row r="481" spans="1:22" ht="15.75">
      <c r="A481" s="155" t="s">
        <v>1346</v>
      </c>
      <c r="B481" s="125" t="s">
        <v>1014</v>
      </c>
      <c r="C481" s="130">
        <f t="shared" si="65"/>
        <v>56</v>
      </c>
      <c r="E481" s="127" t="s">
        <v>1009</v>
      </c>
      <c r="F481">
        <v>4</v>
      </c>
      <c r="G481" s="127">
        <f t="shared" si="72"/>
        <v>14</v>
      </c>
      <c r="H481" s="127" t="s">
        <v>1305</v>
      </c>
      <c r="J481" s="127">
        <f t="shared" si="66"/>
        <v>0</v>
      </c>
      <c r="K481" s="127" t="s">
        <v>1305</v>
      </c>
      <c r="M481" s="127">
        <f t="shared" si="67"/>
        <v>0</v>
      </c>
      <c r="N481" s="127" t="s">
        <v>1305</v>
      </c>
      <c r="P481" s="127">
        <f t="shared" si="68"/>
        <v>0</v>
      </c>
      <c r="Q481" s="127" t="s">
        <v>1305</v>
      </c>
      <c r="S481" s="127">
        <f t="shared" si="69"/>
        <v>0</v>
      </c>
      <c r="T481" s="127" t="s">
        <v>1305</v>
      </c>
      <c r="V481" s="127">
        <f t="shared" si="70"/>
        <v>0</v>
      </c>
    </row>
    <row r="482" spans="1:22" s="138" customFormat="1" ht="15.75">
      <c r="A482" s="138" t="s">
        <v>1337</v>
      </c>
      <c r="B482" s="136" t="s">
        <v>1015</v>
      </c>
      <c r="C482" s="137">
        <f>'ECONOMIA &amp; PROFESIONES'!C40</f>
        <v>9</v>
      </c>
      <c r="D482" s="133"/>
      <c r="E482" s="138" t="s">
        <v>1305</v>
      </c>
      <c r="G482" s="138">
        <f t="shared" si="72"/>
        <v>0</v>
      </c>
      <c r="H482" s="138" t="s">
        <v>1305</v>
      </c>
      <c r="J482" s="138">
        <f t="shared" si="66"/>
        <v>0</v>
      </c>
      <c r="K482" s="138" t="s">
        <v>1305</v>
      </c>
      <c r="M482" s="138">
        <f t="shared" si="67"/>
        <v>0</v>
      </c>
      <c r="N482" s="138" t="s">
        <v>1305</v>
      </c>
      <c r="P482" s="138">
        <f t="shared" si="68"/>
        <v>0</v>
      </c>
      <c r="Q482" s="138" t="s">
        <v>1305</v>
      </c>
      <c r="S482" s="138">
        <f t="shared" si="69"/>
        <v>0</v>
      </c>
      <c r="T482" s="138" t="s">
        <v>1305</v>
      </c>
      <c r="V482" s="138">
        <f t="shared" si="70"/>
        <v>0</v>
      </c>
    </row>
    <row r="483" spans="1:22" s="150" customFormat="1" ht="15.75">
      <c r="A483" s="155" t="s">
        <v>1350</v>
      </c>
      <c r="B483" s="148" t="s">
        <v>1016</v>
      </c>
      <c r="C483" s="149">
        <f>'ECONOMIA &amp; PROFESIONES'!E66</f>
        <v>5.5</v>
      </c>
      <c r="D483" s="133"/>
      <c r="E483" s="150" t="s">
        <v>1305</v>
      </c>
      <c r="G483" s="150">
        <f t="shared" si="72"/>
        <v>0</v>
      </c>
      <c r="H483" s="150" t="s">
        <v>1305</v>
      </c>
      <c r="J483" s="150">
        <f t="shared" si="66"/>
        <v>0</v>
      </c>
      <c r="K483" s="150" t="s">
        <v>1305</v>
      </c>
      <c r="M483" s="150">
        <f t="shared" si="67"/>
        <v>0</v>
      </c>
      <c r="N483" s="150" t="s">
        <v>1305</v>
      </c>
      <c r="P483" s="150">
        <f t="shared" si="68"/>
        <v>0</v>
      </c>
      <c r="Q483" s="150" t="s">
        <v>1305</v>
      </c>
      <c r="S483" s="150">
        <f t="shared" si="69"/>
        <v>0</v>
      </c>
      <c r="T483" s="150" t="s">
        <v>1305</v>
      </c>
      <c r="V483" s="150">
        <f t="shared" si="70"/>
        <v>0</v>
      </c>
    </row>
    <row r="484" spans="1:22" ht="15.75">
      <c r="A484" s="155" t="s">
        <v>1346</v>
      </c>
      <c r="B484" s="125" t="s">
        <v>1017</v>
      </c>
      <c r="C484" s="130">
        <f>'ECONOMIA &amp; PROFESIONES'!G44</f>
        <v>11</v>
      </c>
      <c r="E484" s="127" t="s">
        <v>1305</v>
      </c>
      <c r="G484" s="127">
        <f t="shared" si="72"/>
        <v>0</v>
      </c>
      <c r="H484" s="127" t="s">
        <v>1305</v>
      </c>
      <c r="J484" s="127">
        <f t="shared" si="66"/>
        <v>0</v>
      </c>
      <c r="K484" s="127" t="s">
        <v>1305</v>
      </c>
      <c r="M484" s="127">
        <f t="shared" si="67"/>
        <v>0</v>
      </c>
      <c r="N484" s="127" t="s">
        <v>1305</v>
      </c>
      <c r="P484" s="127">
        <f t="shared" si="68"/>
        <v>0</v>
      </c>
      <c r="Q484" s="127" t="s">
        <v>1305</v>
      </c>
      <c r="S484" s="127">
        <f t="shared" si="69"/>
        <v>0</v>
      </c>
      <c r="T484" s="127" t="s">
        <v>1305</v>
      </c>
      <c r="V484" s="127">
        <f t="shared" si="70"/>
        <v>0</v>
      </c>
    </row>
    <row r="485" spans="1:22" ht="15.75">
      <c r="A485" s="155" t="s">
        <v>1346</v>
      </c>
      <c r="B485" s="125" t="s">
        <v>1018</v>
      </c>
      <c r="C485" s="130">
        <f t="shared" si="65"/>
        <v>99</v>
      </c>
      <c r="E485" s="127" t="s">
        <v>1017</v>
      </c>
      <c r="F485">
        <v>9</v>
      </c>
      <c r="G485" s="127">
        <f t="shared" si="72"/>
        <v>11</v>
      </c>
      <c r="H485" s="127" t="s">
        <v>1305</v>
      </c>
      <c r="J485" s="127">
        <f t="shared" si="66"/>
        <v>0</v>
      </c>
      <c r="K485" s="127" t="s">
        <v>1305</v>
      </c>
      <c r="M485" s="127">
        <f t="shared" si="67"/>
        <v>0</v>
      </c>
      <c r="N485" s="127" t="s">
        <v>1305</v>
      </c>
      <c r="P485" s="127">
        <f t="shared" si="68"/>
        <v>0</v>
      </c>
      <c r="Q485" s="127" t="s">
        <v>1305</v>
      </c>
      <c r="S485" s="127">
        <f t="shared" si="69"/>
        <v>0</v>
      </c>
      <c r="T485" s="127" t="s">
        <v>1305</v>
      </c>
      <c r="V485" s="127">
        <f t="shared" si="70"/>
        <v>0</v>
      </c>
    </row>
    <row r="486" spans="1:22" s="138" customFormat="1" ht="15.75">
      <c r="A486" s="138" t="s">
        <v>1337</v>
      </c>
      <c r="B486" s="136" t="s">
        <v>1019</v>
      </c>
      <c r="C486" s="137">
        <f>'ECONOMIA &amp; PROFESIONES'!C43</f>
        <v>11</v>
      </c>
      <c r="D486" s="133"/>
      <c r="E486" s="138" t="s">
        <v>1305</v>
      </c>
      <c r="G486" s="138">
        <f t="shared" si="72"/>
        <v>0</v>
      </c>
      <c r="H486" s="138" t="s">
        <v>1305</v>
      </c>
      <c r="J486" s="138">
        <f t="shared" si="66"/>
        <v>0</v>
      </c>
      <c r="K486" s="138" t="s">
        <v>1305</v>
      </c>
      <c r="M486" s="138">
        <f t="shared" si="67"/>
        <v>0</v>
      </c>
      <c r="N486" s="138" t="s">
        <v>1305</v>
      </c>
      <c r="P486" s="138">
        <f t="shared" si="68"/>
        <v>0</v>
      </c>
      <c r="Q486" s="138" t="s">
        <v>1305</v>
      </c>
      <c r="S486" s="138">
        <f t="shared" si="69"/>
        <v>0</v>
      </c>
      <c r="T486" s="138" t="s">
        <v>1305</v>
      </c>
      <c r="V486" s="138">
        <f t="shared" si="70"/>
        <v>0</v>
      </c>
    </row>
    <row r="487" spans="1:22" ht="15.75">
      <c r="A487" s="155" t="s">
        <v>1353</v>
      </c>
      <c r="B487" s="125" t="s">
        <v>1020</v>
      </c>
      <c r="C487" s="130">
        <f t="shared" si="65"/>
        <v>15</v>
      </c>
      <c r="E487" s="127" t="s">
        <v>1026</v>
      </c>
      <c r="F487">
        <v>8</v>
      </c>
      <c r="G487" s="127">
        <f t="shared" si="72"/>
        <v>1</v>
      </c>
      <c r="H487" s="127" t="s">
        <v>1147</v>
      </c>
      <c r="I487" s="127">
        <v>1</v>
      </c>
      <c r="J487" s="127">
        <f t="shared" si="66"/>
        <v>7</v>
      </c>
      <c r="K487" s="127" t="s">
        <v>1305</v>
      </c>
      <c r="M487" s="127">
        <f t="shared" si="67"/>
        <v>0</v>
      </c>
      <c r="N487" s="127" t="s">
        <v>1305</v>
      </c>
      <c r="P487" s="127">
        <f t="shared" si="68"/>
        <v>0</v>
      </c>
      <c r="Q487" s="127" t="s">
        <v>1305</v>
      </c>
      <c r="S487" s="127">
        <f t="shared" si="69"/>
        <v>0</v>
      </c>
      <c r="T487" s="127" t="s">
        <v>1305</v>
      </c>
      <c r="V487" s="127">
        <f t="shared" si="70"/>
        <v>0</v>
      </c>
    </row>
    <row r="488" spans="1:22" s="147" customFormat="1" ht="15.75">
      <c r="A488" s="155" t="s">
        <v>1345</v>
      </c>
      <c r="B488" s="153" t="s">
        <v>1314</v>
      </c>
      <c r="C488" s="130">
        <f t="shared" ref="C488" si="73">(G488*F488)+(I488*J488)+(L488*M488)+(O488*P488)+(R488*S488)+(U488*V488)</f>
        <v>4</v>
      </c>
      <c r="D488" s="133"/>
      <c r="E488" s="147" t="s">
        <v>1026</v>
      </c>
      <c r="F488" s="147">
        <v>4</v>
      </c>
      <c r="G488" s="147">
        <f t="shared" si="72"/>
        <v>1</v>
      </c>
      <c r="H488" s="147" t="s">
        <v>1305</v>
      </c>
      <c r="J488" s="147">
        <f t="shared" ref="J488" si="74">VLOOKUP(H488,IDPOINTS,2,FALSE)</f>
        <v>0</v>
      </c>
      <c r="K488" s="147" t="s">
        <v>1305</v>
      </c>
      <c r="M488" s="147">
        <f t="shared" ref="M488" si="75">VLOOKUP(K488,IDPOINTS,2,FALSE)</f>
        <v>0</v>
      </c>
      <c r="N488" s="147" t="s">
        <v>1305</v>
      </c>
      <c r="P488" s="147">
        <f t="shared" ref="P488" si="76">VLOOKUP(N488,IDPOINTS,2,FALSE)</f>
        <v>0</v>
      </c>
      <c r="Q488" s="147" t="s">
        <v>1305</v>
      </c>
      <c r="S488" s="147">
        <f t="shared" ref="S488" si="77">VLOOKUP(Q488,IDPOINTS,2,FALSE)</f>
        <v>0</v>
      </c>
      <c r="T488" s="147" t="s">
        <v>1305</v>
      </c>
      <c r="V488" s="147">
        <f t="shared" ref="V488" si="78">VLOOKUP(T488,IDPOINTS,2,FALSE)</f>
        <v>0</v>
      </c>
    </row>
    <row r="489" spans="1:22" ht="15.75">
      <c r="A489" s="155" t="s">
        <v>1345</v>
      </c>
      <c r="B489" s="125" t="s">
        <v>1021</v>
      </c>
      <c r="C489" s="130">
        <f t="shared" si="65"/>
        <v>1</v>
      </c>
      <c r="E489" s="147" t="s">
        <v>1026</v>
      </c>
      <c r="F489" s="147">
        <v>1</v>
      </c>
      <c r="G489" s="147">
        <f t="shared" si="72"/>
        <v>1</v>
      </c>
      <c r="H489" s="147" t="s">
        <v>1305</v>
      </c>
      <c r="I489" s="147"/>
      <c r="J489" s="127">
        <f t="shared" si="66"/>
        <v>0</v>
      </c>
      <c r="K489" s="127" t="s">
        <v>1305</v>
      </c>
      <c r="M489" s="127">
        <f t="shared" si="67"/>
        <v>0</v>
      </c>
      <c r="N489" s="127" t="s">
        <v>1305</v>
      </c>
      <c r="P489" s="127">
        <f t="shared" si="68"/>
        <v>0</v>
      </c>
      <c r="Q489" s="127" t="s">
        <v>1305</v>
      </c>
      <c r="S489" s="127">
        <f t="shared" si="69"/>
        <v>0</v>
      </c>
      <c r="T489" s="127" t="s">
        <v>1305</v>
      </c>
      <c r="V489" s="127">
        <f t="shared" si="70"/>
        <v>0</v>
      </c>
    </row>
    <row r="490" spans="1:22" ht="15.75">
      <c r="A490" s="155" t="s">
        <v>1345</v>
      </c>
      <c r="B490" s="125" t="s">
        <v>1022</v>
      </c>
      <c r="C490" s="130">
        <f t="shared" si="65"/>
        <v>6</v>
      </c>
      <c r="E490" s="147" t="s">
        <v>1026</v>
      </c>
      <c r="F490" s="147">
        <v>6</v>
      </c>
      <c r="G490" s="147">
        <f t="shared" si="72"/>
        <v>1</v>
      </c>
      <c r="H490" s="147" t="s">
        <v>1305</v>
      </c>
      <c r="I490" s="147"/>
      <c r="J490" s="127">
        <f t="shared" si="66"/>
        <v>0</v>
      </c>
      <c r="K490" s="127" t="s">
        <v>1305</v>
      </c>
      <c r="M490" s="127">
        <f t="shared" si="67"/>
        <v>0</v>
      </c>
      <c r="N490" s="127" t="s">
        <v>1305</v>
      </c>
      <c r="P490" s="127">
        <f t="shared" si="68"/>
        <v>0</v>
      </c>
      <c r="Q490" s="127" t="s">
        <v>1305</v>
      </c>
      <c r="S490" s="127">
        <f t="shared" si="69"/>
        <v>0</v>
      </c>
      <c r="T490" s="127" t="s">
        <v>1305</v>
      </c>
      <c r="V490" s="127">
        <f t="shared" si="70"/>
        <v>0</v>
      </c>
    </row>
    <row r="491" spans="1:22" ht="15.75">
      <c r="A491" s="155" t="s">
        <v>1345</v>
      </c>
      <c r="B491" s="125" t="s">
        <v>1023</v>
      </c>
      <c r="C491" s="130">
        <f t="shared" si="65"/>
        <v>8</v>
      </c>
      <c r="E491" s="147" t="s">
        <v>1026</v>
      </c>
      <c r="F491" s="147">
        <v>4</v>
      </c>
      <c r="G491" s="147">
        <f t="shared" si="72"/>
        <v>1</v>
      </c>
      <c r="H491" s="147" t="s">
        <v>1208</v>
      </c>
      <c r="I491" s="147">
        <v>2</v>
      </c>
      <c r="J491" s="127">
        <f t="shared" si="66"/>
        <v>2</v>
      </c>
      <c r="K491" s="127" t="s">
        <v>1305</v>
      </c>
      <c r="M491" s="127">
        <f t="shared" si="67"/>
        <v>0</v>
      </c>
      <c r="N491" s="127" t="s">
        <v>1305</v>
      </c>
      <c r="P491" s="127">
        <f t="shared" si="68"/>
        <v>0</v>
      </c>
      <c r="Q491" s="127" t="s">
        <v>1305</v>
      </c>
      <c r="S491" s="127">
        <f t="shared" si="69"/>
        <v>0</v>
      </c>
      <c r="T491" s="127" t="s">
        <v>1305</v>
      </c>
      <c r="V491" s="127">
        <f t="shared" si="70"/>
        <v>0</v>
      </c>
    </row>
    <row r="492" spans="1:22" ht="15.75">
      <c r="A492" s="155" t="s">
        <v>1345</v>
      </c>
      <c r="B492" s="125" t="s">
        <v>1024</v>
      </c>
      <c r="C492" s="130">
        <f t="shared" si="65"/>
        <v>10</v>
      </c>
      <c r="E492" s="147" t="s">
        <v>1026</v>
      </c>
      <c r="F492" s="147">
        <v>2</v>
      </c>
      <c r="G492" s="147">
        <f t="shared" si="72"/>
        <v>1</v>
      </c>
      <c r="H492" s="147" t="s">
        <v>1208</v>
      </c>
      <c r="I492" s="147">
        <v>4</v>
      </c>
      <c r="J492" s="127">
        <f t="shared" si="66"/>
        <v>2</v>
      </c>
      <c r="K492" s="127" t="s">
        <v>1305</v>
      </c>
      <c r="M492" s="127">
        <f t="shared" si="67"/>
        <v>0</v>
      </c>
      <c r="N492" s="127" t="s">
        <v>1305</v>
      </c>
      <c r="P492" s="127">
        <f t="shared" si="68"/>
        <v>0</v>
      </c>
      <c r="Q492" s="127" t="s">
        <v>1305</v>
      </c>
      <c r="S492" s="127">
        <f t="shared" si="69"/>
        <v>0</v>
      </c>
      <c r="T492" s="127" t="s">
        <v>1305</v>
      </c>
      <c r="V492" s="127">
        <f t="shared" si="70"/>
        <v>0</v>
      </c>
    </row>
    <row r="493" spans="1:22" s="138" customFormat="1" ht="15.75">
      <c r="A493" s="138" t="s">
        <v>1338</v>
      </c>
      <c r="B493" s="136" t="s">
        <v>1025</v>
      </c>
      <c r="C493" s="137">
        <f>'ECONOMIA &amp; PROFESIONES'!E32</f>
        <v>1</v>
      </c>
      <c r="D493" s="133"/>
      <c r="E493" s="138" t="s">
        <v>1305</v>
      </c>
      <c r="G493" s="138">
        <f t="shared" si="72"/>
        <v>0</v>
      </c>
      <c r="H493" s="138" t="s">
        <v>1305</v>
      </c>
      <c r="J493" s="138">
        <f t="shared" si="66"/>
        <v>0</v>
      </c>
      <c r="K493" s="138" t="s">
        <v>1305</v>
      </c>
      <c r="M493" s="138">
        <f t="shared" si="67"/>
        <v>0</v>
      </c>
      <c r="N493" s="138" t="s">
        <v>1305</v>
      </c>
      <c r="P493" s="138">
        <f t="shared" si="68"/>
        <v>0</v>
      </c>
      <c r="Q493" s="138" t="s">
        <v>1305</v>
      </c>
      <c r="S493" s="138">
        <f t="shared" si="69"/>
        <v>0</v>
      </c>
      <c r="T493" s="138" t="s">
        <v>1305</v>
      </c>
      <c r="V493" s="138">
        <f t="shared" si="70"/>
        <v>0</v>
      </c>
    </row>
    <row r="494" spans="1:22" ht="15.75">
      <c r="A494" s="155" t="s">
        <v>1345</v>
      </c>
      <c r="B494" s="125" t="s">
        <v>1026</v>
      </c>
      <c r="C494" s="130">
        <f t="shared" si="65"/>
        <v>1</v>
      </c>
      <c r="E494" s="147" t="s">
        <v>1025</v>
      </c>
      <c r="F494" s="147">
        <v>1</v>
      </c>
      <c r="G494" s="147">
        <f t="shared" si="72"/>
        <v>1</v>
      </c>
      <c r="H494" s="147" t="s">
        <v>1305</v>
      </c>
      <c r="I494" s="147"/>
      <c r="J494" s="127">
        <f t="shared" si="66"/>
        <v>0</v>
      </c>
      <c r="K494" s="127" t="s">
        <v>1305</v>
      </c>
      <c r="M494" s="127">
        <f t="shared" si="67"/>
        <v>0</v>
      </c>
      <c r="N494" s="127" t="s">
        <v>1305</v>
      </c>
      <c r="P494" s="127">
        <f t="shared" si="68"/>
        <v>0</v>
      </c>
      <c r="Q494" s="127" t="s">
        <v>1305</v>
      </c>
      <c r="S494" s="127">
        <f t="shared" si="69"/>
        <v>0</v>
      </c>
      <c r="T494" s="127" t="s">
        <v>1305</v>
      </c>
      <c r="V494" s="127">
        <f t="shared" si="70"/>
        <v>0</v>
      </c>
    </row>
    <row r="495" spans="1:22" ht="15.75">
      <c r="A495" s="155" t="s">
        <v>1345</v>
      </c>
      <c r="B495" s="125" t="s">
        <v>1027</v>
      </c>
      <c r="C495" s="130">
        <f t="shared" si="65"/>
        <v>2</v>
      </c>
      <c r="E495" s="147" t="s">
        <v>1026</v>
      </c>
      <c r="F495" s="147">
        <v>2</v>
      </c>
      <c r="G495" s="147">
        <f t="shared" si="72"/>
        <v>1</v>
      </c>
      <c r="H495" s="147" t="s">
        <v>1305</v>
      </c>
      <c r="I495" s="147"/>
      <c r="J495" s="127">
        <f t="shared" si="66"/>
        <v>0</v>
      </c>
      <c r="K495" s="127" t="s">
        <v>1305</v>
      </c>
      <c r="M495" s="127">
        <f t="shared" si="67"/>
        <v>0</v>
      </c>
      <c r="N495" s="127" t="s">
        <v>1305</v>
      </c>
      <c r="P495" s="127">
        <f t="shared" si="68"/>
        <v>0</v>
      </c>
      <c r="Q495" s="127" t="s">
        <v>1305</v>
      </c>
      <c r="S495" s="127">
        <f t="shared" si="69"/>
        <v>0</v>
      </c>
      <c r="T495" s="127" t="s">
        <v>1305</v>
      </c>
      <c r="V495" s="127">
        <f t="shared" si="70"/>
        <v>0</v>
      </c>
    </row>
    <row r="496" spans="1:22" ht="15.75">
      <c r="A496" s="155" t="s">
        <v>1345</v>
      </c>
      <c r="B496" s="125" t="s">
        <v>1028</v>
      </c>
      <c r="C496" s="130">
        <f t="shared" si="65"/>
        <v>8</v>
      </c>
      <c r="E496" s="147" t="s">
        <v>1026</v>
      </c>
      <c r="F496" s="147">
        <v>6</v>
      </c>
      <c r="G496" s="147">
        <f t="shared" si="72"/>
        <v>1</v>
      </c>
      <c r="H496" s="147" t="s">
        <v>1208</v>
      </c>
      <c r="I496" s="147">
        <v>1</v>
      </c>
      <c r="J496" s="127">
        <f t="shared" si="66"/>
        <v>2</v>
      </c>
      <c r="K496" s="127" t="s">
        <v>1305</v>
      </c>
      <c r="M496" s="127">
        <f t="shared" si="67"/>
        <v>0</v>
      </c>
      <c r="N496" s="127" t="s">
        <v>1305</v>
      </c>
      <c r="P496" s="127">
        <f t="shared" si="68"/>
        <v>0</v>
      </c>
      <c r="Q496" s="127" t="s">
        <v>1305</v>
      </c>
      <c r="S496" s="127">
        <f t="shared" si="69"/>
        <v>0</v>
      </c>
      <c r="T496" s="127" t="s">
        <v>1305</v>
      </c>
      <c r="V496" s="127">
        <f t="shared" si="70"/>
        <v>0</v>
      </c>
    </row>
    <row r="497" spans="1:22" ht="15.75">
      <c r="A497" s="155" t="s">
        <v>1345</v>
      </c>
      <c r="B497" s="125" t="s">
        <v>1029</v>
      </c>
      <c r="C497" s="130">
        <f t="shared" si="65"/>
        <v>3</v>
      </c>
      <c r="E497" s="147" t="s">
        <v>1026</v>
      </c>
      <c r="F497" s="147">
        <v>3</v>
      </c>
      <c r="G497" s="147">
        <f t="shared" si="72"/>
        <v>1</v>
      </c>
      <c r="H497" s="147" t="s">
        <v>1305</v>
      </c>
      <c r="I497" s="147"/>
      <c r="J497" s="127">
        <f t="shared" si="66"/>
        <v>0</v>
      </c>
      <c r="K497" s="127" t="s">
        <v>1305</v>
      </c>
      <c r="M497" s="127">
        <f t="shared" si="67"/>
        <v>0</v>
      </c>
      <c r="N497" s="127" t="s">
        <v>1305</v>
      </c>
      <c r="P497" s="127">
        <f t="shared" si="68"/>
        <v>0</v>
      </c>
      <c r="Q497" s="127" t="s">
        <v>1305</v>
      </c>
      <c r="S497" s="127">
        <f t="shared" si="69"/>
        <v>0</v>
      </c>
      <c r="T497" s="127" t="s">
        <v>1305</v>
      </c>
      <c r="V497" s="127">
        <f t="shared" si="70"/>
        <v>0</v>
      </c>
    </row>
    <row r="498" spans="1:22" ht="15.75">
      <c r="A498" s="155" t="s">
        <v>1345</v>
      </c>
      <c r="B498" s="125" t="s">
        <v>1030</v>
      </c>
      <c r="C498" s="130">
        <f t="shared" si="65"/>
        <v>6</v>
      </c>
      <c r="E498" s="147" t="s">
        <v>1026</v>
      </c>
      <c r="F498" s="147">
        <v>6</v>
      </c>
      <c r="G498" s="147">
        <f t="shared" si="72"/>
        <v>1</v>
      </c>
      <c r="H498" s="147" t="s">
        <v>1305</v>
      </c>
      <c r="I498" s="147"/>
      <c r="J498" s="127">
        <f t="shared" si="66"/>
        <v>0</v>
      </c>
      <c r="K498" s="127" t="s">
        <v>1305</v>
      </c>
      <c r="M498" s="127">
        <f t="shared" si="67"/>
        <v>0</v>
      </c>
      <c r="N498" s="127" t="s">
        <v>1305</v>
      </c>
      <c r="P498" s="127">
        <f t="shared" si="68"/>
        <v>0</v>
      </c>
      <c r="Q498" s="127" t="s">
        <v>1305</v>
      </c>
      <c r="S498" s="127">
        <f t="shared" si="69"/>
        <v>0</v>
      </c>
      <c r="T498" s="127" t="s">
        <v>1305</v>
      </c>
      <c r="V498" s="127">
        <f t="shared" si="70"/>
        <v>0</v>
      </c>
    </row>
    <row r="499" spans="1:22" ht="15.75">
      <c r="A499" s="155" t="s">
        <v>1345</v>
      </c>
      <c r="B499" s="125" t="s">
        <v>1031</v>
      </c>
      <c r="C499" s="130">
        <f t="shared" si="65"/>
        <v>6</v>
      </c>
      <c r="E499" s="147" t="s">
        <v>1026</v>
      </c>
      <c r="F499" s="147">
        <v>6</v>
      </c>
      <c r="G499" s="147">
        <f t="shared" si="72"/>
        <v>1</v>
      </c>
      <c r="H499" s="147" t="s">
        <v>1305</v>
      </c>
      <c r="I499" s="147"/>
      <c r="J499" s="127">
        <f t="shared" si="66"/>
        <v>0</v>
      </c>
      <c r="K499" s="127" t="s">
        <v>1305</v>
      </c>
      <c r="M499" s="127">
        <f t="shared" si="67"/>
        <v>0</v>
      </c>
      <c r="N499" s="127" t="s">
        <v>1305</v>
      </c>
      <c r="P499" s="127">
        <f t="shared" si="68"/>
        <v>0</v>
      </c>
      <c r="Q499" s="127" t="s">
        <v>1305</v>
      </c>
      <c r="S499" s="127">
        <f t="shared" si="69"/>
        <v>0</v>
      </c>
      <c r="T499" s="127" t="s">
        <v>1305</v>
      </c>
      <c r="V499" s="127">
        <f t="shared" si="70"/>
        <v>0</v>
      </c>
    </row>
    <row r="500" spans="1:22" s="138" customFormat="1" ht="15.75">
      <c r="A500" s="138" t="s">
        <v>1338</v>
      </c>
      <c r="B500" s="136" t="s">
        <v>1032</v>
      </c>
      <c r="C500" s="137">
        <f>'ECONOMIA &amp; PROFESIONES'!E32</f>
        <v>1</v>
      </c>
      <c r="D500" s="133"/>
      <c r="E500" s="138" t="s">
        <v>1305</v>
      </c>
      <c r="G500" s="138">
        <f t="shared" si="72"/>
        <v>0</v>
      </c>
      <c r="H500" s="138" t="s">
        <v>1305</v>
      </c>
      <c r="J500" s="138">
        <f t="shared" si="66"/>
        <v>0</v>
      </c>
      <c r="K500" s="138" t="s">
        <v>1305</v>
      </c>
      <c r="M500" s="138">
        <f t="shared" si="67"/>
        <v>0</v>
      </c>
      <c r="N500" s="138" t="s">
        <v>1305</v>
      </c>
      <c r="P500" s="138">
        <f t="shared" si="68"/>
        <v>0</v>
      </c>
      <c r="Q500" s="138" t="s">
        <v>1305</v>
      </c>
      <c r="S500" s="138">
        <f t="shared" si="69"/>
        <v>0</v>
      </c>
      <c r="T500" s="138" t="s">
        <v>1305</v>
      </c>
      <c r="V500" s="138">
        <f t="shared" si="70"/>
        <v>0</v>
      </c>
    </row>
    <row r="501" spans="1:22" ht="15.75">
      <c r="A501" s="155" t="s">
        <v>1353</v>
      </c>
      <c r="B501" s="125" t="s">
        <v>1033</v>
      </c>
      <c r="C501" s="130">
        <f t="shared" si="65"/>
        <v>29</v>
      </c>
      <c r="E501" s="127" t="s">
        <v>1147</v>
      </c>
      <c r="F501">
        <v>2</v>
      </c>
      <c r="G501" s="127">
        <f t="shared" si="72"/>
        <v>7</v>
      </c>
      <c r="H501" s="127" t="s">
        <v>1114</v>
      </c>
      <c r="I501" s="127">
        <v>1</v>
      </c>
      <c r="J501" s="127">
        <f t="shared" si="66"/>
        <v>9</v>
      </c>
      <c r="K501" s="127" t="s">
        <v>676</v>
      </c>
      <c r="L501" s="127">
        <v>6</v>
      </c>
      <c r="M501" s="127">
        <f t="shared" si="67"/>
        <v>1</v>
      </c>
      <c r="N501" s="127" t="s">
        <v>1305</v>
      </c>
      <c r="P501" s="127">
        <f t="shared" si="68"/>
        <v>0</v>
      </c>
      <c r="Q501" s="127" t="s">
        <v>1305</v>
      </c>
      <c r="S501" s="127">
        <f t="shared" si="69"/>
        <v>0</v>
      </c>
      <c r="T501" s="127" t="s">
        <v>1305</v>
      </c>
      <c r="V501" s="127">
        <f t="shared" si="70"/>
        <v>0</v>
      </c>
    </row>
    <row r="502" spans="1:22" s="138" customFormat="1" ht="15.75">
      <c r="A502" s="138" t="s">
        <v>1337</v>
      </c>
      <c r="B502" s="136" t="s">
        <v>1034</v>
      </c>
      <c r="C502" s="137">
        <f>'ECONOMIA &amp; PROFESIONES'!C44</f>
        <v>11</v>
      </c>
      <c r="D502" s="133"/>
      <c r="E502" s="138" t="s">
        <v>1305</v>
      </c>
      <c r="G502" s="138">
        <f t="shared" si="72"/>
        <v>0</v>
      </c>
      <c r="H502" s="138" t="s">
        <v>1305</v>
      </c>
      <c r="J502" s="138">
        <f t="shared" si="66"/>
        <v>0</v>
      </c>
      <c r="K502" s="138" t="s">
        <v>1305</v>
      </c>
      <c r="M502" s="138">
        <f t="shared" si="67"/>
        <v>0</v>
      </c>
      <c r="N502" s="138" t="s">
        <v>1305</v>
      </c>
      <c r="P502" s="138">
        <f t="shared" si="68"/>
        <v>0</v>
      </c>
      <c r="Q502" s="138" t="s">
        <v>1305</v>
      </c>
      <c r="S502" s="138">
        <f t="shared" si="69"/>
        <v>0</v>
      </c>
      <c r="T502" s="138" t="s">
        <v>1305</v>
      </c>
      <c r="V502" s="138">
        <f t="shared" si="70"/>
        <v>0</v>
      </c>
    </row>
    <row r="503" spans="1:22" ht="15.75">
      <c r="A503" s="155" t="s">
        <v>1351</v>
      </c>
      <c r="B503" s="125" t="s">
        <v>1035</v>
      </c>
      <c r="C503" s="130">
        <f t="shared" ref="C503:C564" si="79">(G503*F503)+(I503*J503)+(L503*M503)+(O503*P503)+(R503*S503)+(U503*V503)</f>
        <v>44</v>
      </c>
      <c r="E503" s="147" t="s">
        <v>1047</v>
      </c>
      <c r="F503" s="147">
        <v>6</v>
      </c>
      <c r="G503" s="147">
        <f t="shared" si="72"/>
        <v>7</v>
      </c>
      <c r="H503" s="147" t="s">
        <v>1208</v>
      </c>
      <c r="I503" s="147">
        <v>1</v>
      </c>
      <c r="J503" s="147">
        <f t="shared" ref="J503:J507" si="80">VLOOKUP(H503,IDPOINTS,2,FALSE)</f>
        <v>2</v>
      </c>
      <c r="K503" s="147" t="s">
        <v>1305</v>
      </c>
      <c r="L503" s="147"/>
      <c r="M503" s="127">
        <f t="shared" si="67"/>
        <v>0</v>
      </c>
      <c r="N503" s="127" t="s">
        <v>1305</v>
      </c>
      <c r="P503" s="127">
        <f t="shared" si="68"/>
        <v>0</v>
      </c>
      <c r="Q503" s="127" t="s">
        <v>1305</v>
      </c>
      <c r="S503" s="127">
        <f t="shared" si="69"/>
        <v>0</v>
      </c>
      <c r="T503" s="127" t="s">
        <v>1305</v>
      </c>
      <c r="V503" s="127">
        <f t="shared" si="70"/>
        <v>0</v>
      </c>
    </row>
    <row r="504" spans="1:22" ht="15.75">
      <c r="A504" s="155" t="s">
        <v>1351</v>
      </c>
      <c r="B504" s="125" t="s">
        <v>1036</v>
      </c>
      <c r="C504" s="130">
        <f t="shared" si="79"/>
        <v>24</v>
      </c>
      <c r="E504" s="147" t="s">
        <v>1047</v>
      </c>
      <c r="F504" s="147">
        <v>3</v>
      </c>
      <c r="G504" s="147">
        <f t="shared" si="72"/>
        <v>7</v>
      </c>
      <c r="H504" s="147" t="s">
        <v>1026</v>
      </c>
      <c r="I504" s="147">
        <v>3</v>
      </c>
      <c r="J504" s="147">
        <f t="shared" si="80"/>
        <v>1</v>
      </c>
      <c r="K504" s="147" t="s">
        <v>1305</v>
      </c>
      <c r="L504" s="147"/>
      <c r="M504" s="127">
        <f t="shared" si="67"/>
        <v>0</v>
      </c>
      <c r="N504" s="127" t="s">
        <v>1305</v>
      </c>
      <c r="P504" s="127">
        <f t="shared" si="68"/>
        <v>0</v>
      </c>
      <c r="Q504" s="127" t="s">
        <v>1305</v>
      </c>
      <c r="S504" s="127">
        <f t="shared" si="69"/>
        <v>0</v>
      </c>
      <c r="T504" s="127" t="s">
        <v>1305</v>
      </c>
      <c r="V504" s="127">
        <f t="shared" si="70"/>
        <v>0</v>
      </c>
    </row>
    <row r="505" spans="1:22" ht="15.75">
      <c r="A505" s="155" t="s">
        <v>1351</v>
      </c>
      <c r="B505" s="125" t="s">
        <v>1037</v>
      </c>
      <c r="C505" s="130">
        <f t="shared" si="79"/>
        <v>14</v>
      </c>
      <c r="E505" s="147" t="s">
        <v>1047</v>
      </c>
      <c r="F505" s="147">
        <v>2</v>
      </c>
      <c r="G505" s="147">
        <f t="shared" si="72"/>
        <v>7</v>
      </c>
      <c r="H505" s="147" t="s">
        <v>1305</v>
      </c>
      <c r="I505" s="147"/>
      <c r="J505" s="147">
        <f t="shared" si="80"/>
        <v>0</v>
      </c>
      <c r="K505" s="147" t="s">
        <v>1305</v>
      </c>
      <c r="L505" s="147"/>
      <c r="M505" s="127">
        <f t="shared" ref="M505:M567" si="81">VLOOKUP(K505,IDPOINTS,2,FALSE)</f>
        <v>0</v>
      </c>
      <c r="N505" s="127" t="s">
        <v>1305</v>
      </c>
      <c r="P505" s="127">
        <f t="shared" ref="P505:P567" si="82">VLOOKUP(N505,IDPOINTS,2,FALSE)</f>
        <v>0</v>
      </c>
      <c r="Q505" s="127" t="s">
        <v>1305</v>
      </c>
      <c r="S505" s="127">
        <f t="shared" ref="S505:S567" si="83">VLOOKUP(Q505,IDPOINTS,2,FALSE)</f>
        <v>0</v>
      </c>
      <c r="T505" s="127" t="s">
        <v>1305</v>
      </c>
      <c r="V505" s="127">
        <f t="shared" ref="V505:V567" si="84">VLOOKUP(T505,IDPOINTS,2,FALSE)</f>
        <v>0</v>
      </c>
    </row>
    <row r="506" spans="1:22" ht="15.75">
      <c r="A506" s="155" t="s">
        <v>1351</v>
      </c>
      <c r="B506" s="125" t="s">
        <v>1038</v>
      </c>
      <c r="C506" s="130">
        <f t="shared" si="79"/>
        <v>25</v>
      </c>
      <c r="E506" s="147" t="s">
        <v>1039</v>
      </c>
      <c r="F506" s="147">
        <v>1</v>
      </c>
      <c r="G506" s="147">
        <f t="shared" si="72"/>
        <v>25</v>
      </c>
      <c r="H506" s="147" t="s">
        <v>1305</v>
      </c>
      <c r="I506" s="147"/>
      <c r="J506" s="147">
        <f t="shared" si="80"/>
        <v>0</v>
      </c>
      <c r="K506" s="147" t="s">
        <v>1305</v>
      </c>
      <c r="L506" s="147"/>
      <c r="M506" s="127">
        <f t="shared" si="81"/>
        <v>0</v>
      </c>
      <c r="N506" s="127" t="s">
        <v>1305</v>
      </c>
      <c r="P506" s="127">
        <f t="shared" si="82"/>
        <v>0</v>
      </c>
      <c r="Q506" s="127" t="s">
        <v>1305</v>
      </c>
      <c r="S506" s="127">
        <f t="shared" si="83"/>
        <v>0</v>
      </c>
      <c r="T506" s="127" t="s">
        <v>1305</v>
      </c>
      <c r="V506" s="127">
        <f t="shared" si="84"/>
        <v>0</v>
      </c>
    </row>
    <row r="507" spans="1:22" ht="15.75">
      <c r="A507" s="155" t="s">
        <v>1351</v>
      </c>
      <c r="B507" s="125" t="s">
        <v>1039</v>
      </c>
      <c r="C507" s="130">
        <f t="shared" si="79"/>
        <v>25</v>
      </c>
      <c r="E507" s="147" t="s">
        <v>1158</v>
      </c>
      <c r="F507" s="147">
        <v>4</v>
      </c>
      <c r="G507" s="147">
        <f t="shared" si="72"/>
        <v>5</v>
      </c>
      <c r="H507" s="147" t="s">
        <v>844</v>
      </c>
      <c r="I507" s="147">
        <v>4</v>
      </c>
      <c r="J507" s="147">
        <f t="shared" si="80"/>
        <v>1</v>
      </c>
      <c r="K507" s="147" t="s">
        <v>1040</v>
      </c>
      <c r="L507" s="147">
        <v>1</v>
      </c>
      <c r="M507" s="127">
        <f t="shared" si="81"/>
        <v>1</v>
      </c>
      <c r="N507" s="127" t="s">
        <v>1305</v>
      </c>
      <c r="P507" s="127">
        <f t="shared" si="82"/>
        <v>0</v>
      </c>
      <c r="Q507" s="127" t="s">
        <v>1305</v>
      </c>
      <c r="S507" s="127">
        <f t="shared" si="83"/>
        <v>0</v>
      </c>
      <c r="T507" s="127" t="s">
        <v>1305</v>
      </c>
      <c r="V507" s="127">
        <f t="shared" si="84"/>
        <v>0</v>
      </c>
    </row>
    <row r="508" spans="1:22" s="13" customFormat="1" ht="15.75">
      <c r="A508" s="155" t="s">
        <v>1351</v>
      </c>
      <c r="B508" s="145" t="s">
        <v>1040</v>
      </c>
      <c r="C508" s="146">
        <f t="shared" si="79"/>
        <v>1</v>
      </c>
      <c r="D508" s="133"/>
      <c r="E508" s="13" t="s">
        <v>1046</v>
      </c>
      <c r="F508" s="13">
        <v>1</v>
      </c>
      <c r="G508" s="13">
        <f t="shared" ref="G508:G565" si="85">VLOOKUP(E508,IDPOINTS,2,FALSE)</f>
        <v>1</v>
      </c>
      <c r="H508" s="13" t="s">
        <v>1305</v>
      </c>
      <c r="J508" s="13">
        <f t="shared" ref="J508:J565" si="86">VLOOKUP(H508,IDPOINTS,2,FALSE)</f>
        <v>0</v>
      </c>
      <c r="K508" s="13" t="s">
        <v>1305</v>
      </c>
      <c r="M508" s="13">
        <f t="shared" si="81"/>
        <v>0</v>
      </c>
      <c r="N508" s="13" t="s">
        <v>1305</v>
      </c>
      <c r="P508" s="13">
        <f t="shared" si="82"/>
        <v>0</v>
      </c>
      <c r="Q508" s="13" t="s">
        <v>1305</v>
      </c>
      <c r="S508" s="13">
        <f t="shared" si="83"/>
        <v>0</v>
      </c>
      <c r="T508" s="13" t="s">
        <v>1305</v>
      </c>
      <c r="V508" s="13">
        <f t="shared" si="84"/>
        <v>0</v>
      </c>
    </row>
    <row r="509" spans="1:22" ht="15.75">
      <c r="A509" s="155" t="s">
        <v>1351</v>
      </c>
      <c r="B509" s="125" t="s">
        <v>1041</v>
      </c>
      <c r="C509" s="130">
        <f t="shared" si="79"/>
        <v>252</v>
      </c>
      <c r="E509" s="147" t="s">
        <v>1045</v>
      </c>
      <c r="F509" s="147">
        <v>1</v>
      </c>
      <c r="G509" s="147">
        <f t="shared" si="85"/>
        <v>249</v>
      </c>
      <c r="H509" s="147" t="s">
        <v>672</v>
      </c>
      <c r="I509" s="147">
        <v>1</v>
      </c>
      <c r="J509" s="127">
        <f t="shared" si="86"/>
        <v>3</v>
      </c>
      <c r="K509" s="127" t="s">
        <v>1305</v>
      </c>
      <c r="M509" s="127">
        <f t="shared" si="81"/>
        <v>0</v>
      </c>
      <c r="N509" s="127" t="s">
        <v>1305</v>
      </c>
      <c r="P509" s="127">
        <f t="shared" si="82"/>
        <v>0</v>
      </c>
      <c r="Q509" s="127" t="s">
        <v>1305</v>
      </c>
      <c r="S509" s="127">
        <f t="shared" si="83"/>
        <v>0</v>
      </c>
      <c r="T509" s="127" t="s">
        <v>1305</v>
      </c>
      <c r="V509" s="127">
        <f t="shared" si="84"/>
        <v>0</v>
      </c>
    </row>
    <row r="510" spans="1:22" ht="15.75">
      <c r="A510" s="155" t="s">
        <v>1351</v>
      </c>
      <c r="B510" s="125" t="s">
        <v>1042</v>
      </c>
      <c r="C510" s="130">
        <f t="shared" si="79"/>
        <v>27</v>
      </c>
      <c r="E510" s="147" t="s">
        <v>1040</v>
      </c>
      <c r="F510" s="147">
        <v>1</v>
      </c>
      <c r="G510" s="147">
        <f t="shared" si="85"/>
        <v>1</v>
      </c>
      <c r="H510" s="147" t="s">
        <v>1170</v>
      </c>
      <c r="I510" s="147">
        <v>1</v>
      </c>
      <c r="J510" s="127">
        <f t="shared" si="86"/>
        <v>26</v>
      </c>
      <c r="K510" s="127" t="s">
        <v>1305</v>
      </c>
      <c r="M510" s="127">
        <f t="shared" si="81"/>
        <v>0</v>
      </c>
      <c r="N510" s="127" t="s">
        <v>1305</v>
      </c>
      <c r="P510" s="127">
        <f t="shared" si="82"/>
        <v>0</v>
      </c>
      <c r="Q510" s="127" t="s">
        <v>1305</v>
      </c>
      <c r="S510" s="127">
        <f t="shared" si="83"/>
        <v>0</v>
      </c>
      <c r="T510" s="127" t="s">
        <v>1305</v>
      </c>
      <c r="V510" s="127">
        <f t="shared" si="84"/>
        <v>0</v>
      </c>
    </row>
    <row r="511" spans="1:22" ht="15.75">
      <c r="A511" s="155" t="s">
        <v>1351</v>
      </c>
      <c r="B511" s="125" t="s">
        <v>1043</v>
      </c>
      <c r="C511" s="130">
        <f t="shared" si="79"/>
        <v>65</v>
      </c>
      <c r="E511" s="147" t="s">
        <v>814</v>
      </c>
      <c r="F511" s="147">
        <v>8</v>
      </c>
      <c r="G511" s="147">
        <f t="shared" si="85"/>
        <v>8</v>
      </c>
      <c r="H511" s="147" t="s">
        <v>1040</v>
      </c>
      <c r="I511" s="147">
        <v>1</v>
      </c>
      <c r="J511" s="127">
        <f t="shared" si="86"/>
        <v>1</v>
      </c>
      <c r="K511" s="127" t="s">
        <v>1305</v>
      </c>
      <c r="M511" s="127">
        <f t="shared" si="81"/>
        <v>0</v>
      </c>
      <c r="N511" s="127" t="s">
        <v>1305</v>
      </c>
      <c r="P511" s="127">
        <f t="shared" si="82"/>
        <v>0</v>
      </c>
      <c r="Q511" s="127" t="s">
        <v>1305</v>
      </c>
      <c r="S511" s="127">
        <f t="shared" si="83"/>
        <v>0</v>
      </c>
      <c r="T511" s="127" t="s">
        <v>1305</v>
      </c>
      <c r="V511" s="127">
        <f t="shared" si="84"/>
        <v>0</v>
      </c>
    </row>
    <row r="512" spans="1:22" ht="15.75">
      <c r="A512" s="155" t="s">
        <v>1351</v>
      </c>
      <c r="B512" s="125" t="s">
        <v>1044</v>
      </c>
      <c r="C512" s="130">
        <f t="shared" si="79"/>
        <v>390</v>
      </c>
      <c r="E512" s="147" t="s">
        <v>1043</v>
      </c>
      <c r="F512" s="147">
        <v>6</v>
      </c>
      <c r="G512" s="147">
        <f t="shared" si="85"/>
        <v>65</v>
      </c>
      <c r="H512" s="147" t="s">
        <v>1305</v>
      </c>
      <c r="I512" s="147"/>
      <c r="J512" s="127">
        <f t="shared" si="86"/>
        <v>0</v>
      </c>
      <c r="K512" s="127" t="s">
        <v>1305</v>
      </c>
      <c r="M512" s="127">
        <f t="shared" si="81"/>
        <v>0</v>
      </c>
      <c r="N512" s="127" t="s">
        <v>1305</v>
      </c>
      <c r="P512" s="127">
        <f t="shared" si="82"/>
        <v>0</v>
      </c>
      <c r="Q512" s="127" t="s">
        <v>1305</v>
      </c>
      <c r="S512" s="127">
        <f t="shared" si="83"/>
        <v>0</v>
      </c>
      <c r="T512" s="127" t="s">
        <v>1305</v>
      </c>
      <c r="V512" s="127">
        <f t="shared" si="84"/>
        <v>0</v>
      </c>
    </row>
    <row r="513" spans="1:22" ht="15.75">
      <c r="A513" s="155" t="s">
        <v>1351</v>
      </c>
      <c r="B513" s="125" t="s">
        <v>1045</v>
      </c>
      <c r="C513" s="130">
        <f t="shared" si="79"/>
        <v>249</v>
      </c>
      <c r="E513" s="147" t="s">
        <v>1245</v>
      </c>
      <c r="F513" s="147">
        <v>8</v>
      </c>
      <c r="G513" s="147">
        <f t="shared" si="85"/>
        <v>31</v>
      </c>
      <c r="H513" s="147" t="s">
        <v>1040</v>
      </c>
      <c r="I513" s="147">
        <v>1</v>
      </c>
      <c r="J513" s="127">
        <f t="shared" si="86"/>
        <v>1</v>
      </c>
      <c r="K513" s="127" t="s">
        <v>1305</v>
      </c>
      <c r="M513" s="127">
        <f t="shared" si="81"/>
        <v>0</v>
      </c>
      <c r="N513" s="127" t="s">
        <v>1305</v>
      </c>
      <c r="P513" s="127">
        <f t="shared" si="82"/>
        <v>0</v>
      </c>
      <c r="Q513" s="127" t="s">
        <v>1305</v>
      </c>
      <c r="S513" s="127">
        <f t="shared" si="83"/>
        <v>0</v>
      </c>
      <c r="T513" s="127" t="s">
        <v>1305</v>
      </c>
      <c r="V513" s="127">
        <f t="shared" si="84"/>
        <v>0</v>
      </c>
    </row>
    <row r="514" spans="1:22" s="138" customFormat="1" ht="15.75">
      <c r="A514" s="138" t="s">
        <v>560</v>
      </c>
      <c r="B514" s="136" t="s">
        <v>1046</v>
      </c>
      <c r="C514" s="137">
        <v>1</v>
      </c>
      <c r="D514" s="133"/>
      <c r="E514" s="138" t="s">
        <v>1305</v>
      </c>
      <c r="G514" s="138">
        <f t="shared" si="85"/>
        <v>0</v>
      </c>
      <c r="H514" s="138" t="s">
        <v>1305</v>
      </c>
      <c r="J514" s="138">
        <f t="shared" si="86"/>
        <v>0</v>
      </c>
      <c r="K514" s="138" t="s">
        <v>1305</v>
      </c>
      <c r="M514" s="138">
        <f t="shared" si="81"/>
        <v>0</v>
      </c>
      <c r="N514" s="138" t="s">
        <v>1305</v>
      </c>
      <c r="P514" s="138">
        <f t="shared" si="82"/>
        <v>0</v>
      </c>
      <c r="Q514" s="138" t="s">
        <v>1305</v>
      </c>
      <c r="S514" s="138">
        <f t="shared" si="83"/>
        <v>0</v>
      </c>
      <c r="T514" s="138" t="s">
        <v>1305</v>
      </c>
      <c r="V514" s="138">
        <f t="shared" si="84"/>
        <v>0</v>
      </c>
    </row>
    <row r="515" spans="1:22" ht="15.75">
      <c r="A515" s="155" t="s">
        <v>1351</v>
      </c>
      <c r="B515" s="125" t="s">
        <v>1047</v>
      </c>
      <c r="C515" s="130">
        <f t="shared" si="79"/>
        <v>7</v>
      </c>
      <c r="E515" s="147" t="s">
        <v>1274</v>
      </c>
      <c r="F515" s="147">
        <v>1</v>
      </c>
      <c r="G515" s="147">
        <f t="shared" ref="G515" si="87">VLOOKUP(E515,IDPOINTS,2,FALSE)</f>
        <v>6</v>
      </c>
      <c r="H515" s="147" t="s">
        <v>1040</v>
      </c>
      <c r="I515" s="147">
        <v>1</v>
      </c>
      <c r="J515" s="127">
        <f t="shared" si="86"/>
        <v>1</v>
      </c>
      <c r="K515" s="127" t="s">
        <v>1305</v>
      </c>
      <c r="M515" s="127">
        <f t="shared" si="81"/>
        <v>0</v>
      </c>
      <c r="N515" s="127" t="s">
        <v>1305</v>
      </c>
      <c r="P515" s="127">
        <f t="shared" si="82"/>
        <v>0</v>
      </c>
      <c r="Q515" s="127" t="s">
        <v>1305</v>
      </c>
      <c r="S515" s="127">
        <f t="shared" si="83"/>
        <v>0</v>
      </c>
      <c r="T515" s="127" t="s">
        <v>1305</v>
      </c>
      <c r="V515" s="127">
        <f t="shared" si="84"/>
        <v>0</v>
      </c>
    </row>
    <row r="516" spans="1:22" s="138" customFormat="1" ht="15.75">
      <c r="A516" s="138" t="s">
        <v>560</v>
      </c>
      <c r="B516" s="136" t="s">
        <v>1048</v>
      </c>
      <c r="C516" s="137">
        <v>1</v>
      </c>
      <c r="D516" s="133"/>
      <c r="E516" s="138" t="s">
        <v>1305</v>
      </c>
      <c r="G516" s="138">
        <f t="shared" si="85"/>
        <v>0</v>
      </c>
      <c r="H516" s="138" t="s">
        <v>1305</v>
      </c>
      <c r="J516" s="138">
        <f t="shared" si="86"/>
        <v>0</v>
      </c>
      <c r="K516" s="138" t="s">
        <v>1305</v>
      </c>
      <c r="M516" s="138">
        <f t="shared" si="81"/>
        <v>0</v>
      </c>
      <c r="N516" s="138" t="s">
        <v>1305</v>
      </c>
      <c r="P516" s="138">
        <f t="shared" si="82"/>
        <v>0</v>
      </c>
      <c r="Q516" s="138" t="s">
        <v>1305</v>
      </c>
      <c r="S516" s="138">
        <f t="shared" si="83"/>
        <v>0</v>
      </c>
      <c r="T516" s="138" t="s">
        <v>1305</v>
      </c>
      <c r="V516" s="138">
        <f t="shared" si="84"/>
        <v>0</v>
      </c>
    </row>
    <row r="517" spans="1:22" s="168" customFormat="1" ht="15.75">
      <c r="A517" s="155"/>
      <c r="B517" s="166" t="s">
        <v>1049</v>
      </c>
      <c r="C517" s="167">
        <f t="shared" si="79"/>
        <v>0</v>
      </c>
      <c r="D517" s="133"/>
      <c r="E517" s="168" t="s">
        <v>1305</v>
      </c>
      <c r="G517" s="168">
        <f t="shared" si="85"/>
        <v>0</v>
      </c>
      <c r="H517" s="168" t="s">
        <v>1305</v>
      </c>
      <c r="J517" s="168">
        <f t="shared" si="86"/>
        <v>0</v>
      </c>
      <c r="K517" s="168" t="s">
        <v>1305</v>
      </c>
      <c r="M517" s="168">
        <f t="shared" si="81"/>
        <v>0</v>
      </c>
      <c r="N517" s="168" t="s">
        <v>1305</v>
      </c>
      <c r="P517" s="168">
        <f t="shared" si="82"/>
        <v>0</v>
      </c>
      <c r="Q517" s="168" t="s">
        <v>1305</v>
      </c>
      <c r="S517" s="168">
        <f t="shared" si="83"/>
        <v>0</v>
      </c>
      <c r="T517" s="168" t="s">
        <v>1305</v>
      </c>
      <c r="V517" s="168">
        <f t="shared" si="84"/>
        <v>0</v>
      </c>
    </row>
    <row r="518" spans="1:22" ht="15.75">
      <c r="A518" s="155" t="s">
        <v>1345</v>
      </c>
      <c r="B518" s="125" t="s">
        <v>1050</v>
      </c>
      <c r="C518" s="130">
        <f t="shared" si="79"/>
        <v>22</v>
      </c>
      <c r="E518" s="127" t="s">
        <v>1208</v>
      </c>
      <c r="F518">
        <v>8</v>
      </c>
      <c r="G518" s="127">
        <f t="shared" si="85"/>
        <v>2</v>
      </c>
      <c r="H518" s="127" t="s">
        <v>1274</v>
      </c>
      <c r="I518" s="127">
        <v>1</v>
      </c>
      <c r="J518" s="127">
        <f t="shared" si="86"/>
        <v>6</v>
      </c>
      <c r="K518" s="127" t="s">
        <v>1305</v>
      </c>
      <c r="M518" s="127">
        <f t="shared" si="81"/>
        <v>0</v>
      </c>
      <c r="N518" s="127" t="s">
        <v>1305</v>
      </c>
      <c r="P518" s="127">
        <f t="shared" si="82"/>
        <v>0</v>
      </c>
      <c r="Q518" s="127" t="s">
        <v>1305</v>
      </c>
      <c r="S518" s="127">
        <f t="shared" si="83"/>
        <v>0</v>
      </c>
      <c r="T518" s="127" t="s">
        <v>1305</v>
      </c>
      <c r="V518" s="127">
        <f t="shared" si="84"/>
        <v>0</v>
      </c>
    </row>
    <row r="519" spans="1:22" ht="15.75">
      <c r="A519" s="155" t="s">
        <v>1352</v>
      </c>
      <c r="B519" s="125" t="s">
        <v>1051</v>
      </c>
      <c r="C519" s="130">
        <f t="shared" si="79"/>
        <v>15</v>
      </c>
      <c r="E519" s="127" t="s">
        <v>1240</v>
      </c>
      <c r="F519">
        <v>3</v>
      </c>
      <c r="G519" s="127">
        <f t="shared" si="85"/>
        <v>5</v>
      </c>
      <c r="H519" s="127" t="s">
        <v>1305</v>
      </c>
      <c r="J519" s="127">
        <f t="shared" si="86"/>
        <v>0</v>
      </c>
      <c r="K519" s="127" t="s">
        <v>1305</v>
      </c>
      <c r="M519" s="127">
        <f t="shared" si="81"/>
        <v>0</v>
      </c>
      <c r="N519" s="127" t="s">
        <v>1305</v>
      </c>
      <c r="P519" s="127">
        <f t="shared" si="82"/>
        <v>0</v>
      </c>
      <c r="Q519" s="127" t="s">
        <v>1305</v>
      </c>
      <c r="S519" s="127">
        <f t="shared" si="83"/>
        <v>0</v>
      </c>
      <c r="T519" s="127" t="s">
        <v>1305</v>
      </c>
      <c r="V519" s="127">
        <f t="shared" si="84"/>
        <v>0</v>
      </c>
    </row>
    <row r="520" spans="1:22" s="138" customFormat="1" ht="15.75">
      <c r="A520" s="138" t="s">
        <v>560</v>
      </c>
      <c r="B520" s="136" t="s">
        <v>1052</v>
      </c>
      <c r="C520" s="137">
        <v>1</v>
      </c>
      <c r="D520" s="133"/>
      <c r="E520" s="138" t="s">
        <v>1305</v>
      </c>
      <c r="G520" s="138">
        <f t="shared" si="85"/>
        <v>0</v>
      </c>
      <c r="H520" s="138" t="s">
        <v>1305</v>
      </c>
      <c r="J520" s="138">
        <f t="shared" si="86"/>
        <v>0</v>
      </c>
      <c r="K520" s="138" t="s">
        <v>1305</v>
      </c>
      <c r="M520" s="138">
        <f t="shared" si="81"/>
        <v>0</v>
      </c>
      <c r="N520" s="138" t="s">
        <v>1305</v>
      </c>
      <c r="P520" s="138">
        <f t="shared" si="82"/>
        <v>0</v>
      </c>
      <c r="Q520" s="138" t="s">
        <v>1305</v>
      </c>
      <c r="S520" s="138">
        <f t="shared" si="83"/>
        <v>0</v>
      </c>
      <c r="T520" s="138" t="s">
        <v>1305</v>
      </c>
      <c r="V520" s="138">
        <f t="shared" si="84"/>
        <v>0</v>
      </c>
    </row>
    <row r="521" spans="1:22" s="168" customFormat="1" ht="15.75">
      <c r="A521" s="155"/>
      <c r="B521" s="166" t="s">
        <v>1053</v>
      </c>
      <c r="C521" s="167">
        <f t="shared" si="79"/>
        <v>0</v>
      </c>
      <c r="D521" s="133"/>
      <c r="E521" s="168" t="s">
        <v>1305</v>
      </c>
      <c r="G521" s="168">
        <f t="shared" si="85"/>
        <v>0</v>
      </c>
      <c r="H521" s="168" t="s">
        <v>1305</v>
      </c>
      <c r="J521" s="168">
        <f t="shared" si="86"/>
        <v>0</v>
      </c>
      <c r="K521" s="168" t="s">
        <v>1305</v>
      </c>
      <c r="M521" s="168">
        <f t="shared" si="81"/>
        <v>0</v>
      </c>
      <c r="N521" s="168" t="s">
        <v>1305</v>
      </c>
      <c r="P521" s="168">
        <f t="shared" si="82"/>
        <v>0</v>
      </c>
      <c r="Q521" s="168" t="s">
        <v>1305</v>
      </c>
      <c r="S521" s="168">
        <f t="shared" si="83"/>
        <v>0</v>
      </c>
      <c r="T521" s="168" t="s">
        <v>1305</v>
      </c>
      <c r="V521" s="168">
        <f t="shared" si="84"/>
        <v>0</v>
      </c>
    </row>
    <row r="522" spans="1:22" s="150" customFormat="1" ht="15.75">
      <c r="A522" s="155" t="s">
        <v>1350</v>
      </c>
      <c r="B522" s="148" t="s">
        <v>1054</v>
      </c>
      <c r="C522" s="149">
        <f t="shared" si="79"/>
        <v>0</v>
      </c>
      <c r="D522" s="133"/>
      <c r="E522" s="150" t="s">
        <v>1305</v>
      </c>
      <c r="G522" s="150">
        <f t="shared" si="85"/>
        <v>0</v>
      </c>
      <c r="H522" s="150" t="s">
        <v>1305</v>
      </c>
      <c r="J522" s="150">
        <f t="shared" si="86"/>
        <v>0</v>
      </c>
      <c r="K522" s="150" t="s">
        <v>1305</v>
      </c>
      <c r="M522" s="150">
        <f t="shared" si="81"/>
        <v>0</v>
      </c>
      <c r="N522" s="150" t="s">
        <v>1305</v>
      </c>
      <c r="P522" s="150">
        <f t="shared" si="82"/>
        <v>0</v>
      </c>
      <c r="Q522" s="150" t="s">
        <v>1305</v>
      </c>
      <c r="S522" s="150">
        <f t="shared" si="83"/>
        <v>0</v>
      </c>
      <c r="T522" s="150" t="s">
        <v>1305</v>
      </c>
      <c r="V522" s="150">
        <f t="shared" si="84"/>
        <v>0</v>
      </c>
    </row>
    <row r="523" spans="1:22" ht="15.75">
      <c r="A523" s="155" t="s">
        <v>1351</v>
      </c>
      <c r="B523" s="125" t="s">
        <v>1055</v>
      </c>
      <c r="C523" s="130">
        <f t="shared" si="79"/>
        <v>44</v>
      </c>
      <c r="E523" s="147" t="s">
        <v>1067</v>
      </c>
      <c r="F523" s="147">
        <v>6</v>
      </c>
      <c r="G523" s="147">
        <f t="shared" si="85"/>
        <v>7</v>
      </c>
      <c r="H523" s="147" t="s">
        <v>1208</v>
      </c>
      <c r="I523" s="147">
        <v>1</v>
      </c>
      <c r="J523" s="127">
        <f t="shared" si="86"/>
        <v>2</v>
      </c>
      <c r="K523" s="127" t="s">
        <v>1305</v>
      </c>
      <c r="M523" s="127">
        <f t="shared" si="81"/>
        <v>0</v>
      </c>
      <c r="N523" s="127" t="s">
        <v>1305</v>
      </c>
      <c r="P523" s="127">
        <f t="shared" si="82"/>
        <v>0</v>
      </c>
      <c r="Q523" s="127" t="s">
        <v>1305</v>
      </c>
      <c r="S523" s="127">
        <f t="shared" si="83"/>
        <v>0</v>
      </c>
      <c r="T523" s="127" t="s">
        <v>1305</v>
      </c>
      <c r="V523" s="127">
        <f t="shared" si="84"/>
        <v>0</v>
      </c>
    </row>
    <row r="524" spans="1:22" ht="15.75">
      <c r="A524" s="155" t="s">
        <v>1351</v>
      </c>
      <c r="B524" s="125" t="s">
        <v>1056</v>
      </c>
      <c r="C524" s="130">
        <f t="shared" si="79"/>
        <v>24</v>
      </c>
      <c r="E524" s="147" t="s">
        <v>1067</v>
      </c>
      <c r="F524" s="147">
        <v>3</v>
      </c>
      <c r="G524" s="147">
        <f t="shared" si="85"/>
        <v>7</v>
      </c>
      <c r="H524" s="147" t="s">
        <v>1026</v>
      </c>
      <c r="I524" s="147">
        <v>3</v>
      </c>
      <c r="J524" s="127">
        <f t="shared" si="86"/>
        <v>1</v>
      </c>
      <c r="K524" s="127" t="s">
        <v>1305</v>
      </c>
      <c r="M524" s="127">
        <f t="shared" si="81"/>
        <v>0</v>
      </c>
      <c r="N524" s="127" t="s">
        <v>1305</v>
      </c>
      <c r="P524" s="127">
        <f t="shared" si="82"/>
        <v>0</v>
      </c>
      <c r="Q524" s="127" t="s">
        <v>1305</v>
      </c>
      <c r="S524" s="127">
        <f t="shared" si="83"/>
        <v>0</v>
      </c>
      <c r="T524" s="127" t="s">
        <v>1305</v>
      </c>
      <c r="V524" s="127">
        <f t="shared" si="84"/>
        <v>0</v>
      </c>
    </row>
    <row r="525" spans="1:22" ht="15.75">
      <c r="A525" s="155" t="s">
        <v>1351</v>
      </c>
      <c r="B525" s="125" t="s">
        <v>1057</v>
      </c>
      <c r="C525" s="130">
        <f t="shared" si="79"/>
        <v>14</v>
      </c>
      <c r="E525" s="147" t="s">
        <v>1067</v>
      </c>
      <c r="F525" s="147">
        <v>2</v>
      </c>
      <c r="G525" s="147">
        <f t="shared" si="85"/>
        <v>7</v>
      </c>
      <c r="H525" s="147" t="s">
        <v>1305</v>
      </c>
      <c r="I525" s="147"/>
      <c r="J525" s="127">
        <f t="shared" si="86"/>
        <v>0</v>
      </c>
      <c r="K525" s="127" t="s">
        <v>1305</v>
      </c>
      <c r="M525" s="127">
        <f t="shared" si="81"/>
        <v>0</v>
      </c>
      <c r="N525" s="127" t="s">
        <v>1305</v>
      </c>
      <c r="P525" s="127">
        <f t="shared" si="82"/>
        <v>0</v>
      </c>
      <c r="Q525" s="127" t="s">
        <v>1305</v>
      </c>
      <c r="S525" s="127">
        <f t="shared" si="83"/>
        <v>0</v>
      </c>
      <c r="T525" s="127" t="s">
        <v>1305</v>
      </c>
      <c r="V525" s="127">
        <f t="shared" si="84"/>
        <v>0</v>
      </c>
    </row>
    <row r="526" spans="1:22" ht="15.75">
      <c r="A526" s="155" t="s">
        <v>1351</v>
      </c>
      <c r="B526" s="125" t="s">
        <v>1058</v>
      </c>
      <c r="C526" s="130">
        <f t="shared" si="79"/>
        <v>25</v>
      </c>
      <c r="E526" s="147" t="s">
        <v>1059</v>
      </c>
      <c r="F526" s="147">
        <v>1</v>
      </c>
      <c r="G526" s="147">
        <f t="shared" si="85"/>
        <v>25</v>
      </c>
      <c r="H526" s="147" t="s">
        <v>1305</v>
      </c>
      <c r="I526" s="147"/>
      <c r="J526" s="127">
        <f t="shared" si="86"/>
        <v>0</v>
      </c>
      <c r="K526" s="127" t="s">
        <v>1305</v>
      </c>
      <c r="M526" s="127">
        <f t="shared" si="81"/>
        <v>0</v>
      </c>
      <c r="N526" s="127" t="s">
        <v>1305</v>
      </c>
      <c r="P526" s="127">
        <f t="shared" si="82"/>
        <v>0</v>
      </c>
      <c r="Q526" s="127" t="s">
        <v>1305</v>
      </c>
      <c r="S526" s="127">
        <f t="shared" si="83"/>
        <v>0</v>
      </c>
      <c r="T526" s="127" t="s">
        <v>1305</v>
      </c>
      <c r="V526" s="127">
        <f t="shared" si="84"/>
        <v>0</v>
      </c>
    </row>
    <row r="527" spans="1:22" ht="15.75">
      <c r="A527" s="155" t="s">
        <v>1351</v>
      </c>
      <c r="B527" s="125" t="s">
        <v>1059</v>
      </c>
      <c r="C527" s="130">
        <f t="shared" si="79"/>
        <v>25</v>
      </c>
      <c r="E527" s="147" t="s">
        <v>1158</v>
      </c>
      <c r="F527" s="147">
        <v>4</v>
      </c>
      <c r="G527" s="147">
        <f t="shared" si="85"/>
        <v>5</v>
      </c>
      <c r="H527" s="147" t="s">
        <v>844</v>
      </c>
      <c r="I527" s="147">
        <v>4</v>
      </c>
      <c r="J527" s="127">
        <f t="shared" si="86"/>
        <v>1</v>
      </c>
      <c r="K527" s="127" t="s">
        <v>1060</v>
      </c>
      <c r="L527" s="127">
        <v>1</v>
      </c>
      <c r="M527" s="127">
        <f t="shared" si="81"/>
        <v>1</v>
      </c>
      <c r="N527" s="127" t="s">
        <v>1305</v>
      </c>
      <c r="P527" s="127">
        <f t="shared" si="82"/>
        <v>0</v>
      </c>
      <c r="Q527" s="127" t="s">
        <v>1305</v>
      </c>
      <c r="S527" s="127">
        <f t="shared" si="83"/>
        <v>0</v>
      </c>
      <c r="T527" s="127" t="s">
        <v>1305</v>
      </c>
      <c r="V527" s="127">
        <f t="shared" si="84"/>
        <v>0</v>
      </c>
    </row>
    <row r="528" spans="1:22" s="13" customFormat="1" ht="15.75">
      <c r="A528" s="155" t="s">
        <v>1351</v>
      </c>
      <c r="B528" s="145" t="s">
        <v>1060</v>
      </c>
      <c r="C528" s="146">
        <f t="shared" si="79"/>
        <v>1</v>
      </c>
      <c r="D528" s="133"/>
      <c r="E528" s="13" t="s">
        <v>1066</v>
      </c>
      <c r="F528" s="13">
        <v>1</v>
      </c>
      <c r="G528" s="13">
        <f t="shared" ref="G528:G533" si="88">VLOOKUP(E528,IDPOINTS,2,FALSE)</f>
        <v>1</v>
      </c>
      <c r="H528" s="13" t="s">
        <v>1052</v>
      </c>
      <c r="J528" s="13">
        <f t="shared" si="86"/>
        <v>1</v>
      </c>
      <c r="K528" s="13" t="s">
        <v>1305</v>
      </c>
      <c r="M528" s="13">
        <f t="shared" si="81"/>
        <v>0</v>
      </c>
      <c r="N528" s="13" t="s">
        <v>1305</v>
      </c>
      <c r="P528" s="13">
        <f t="shared" si="82"/>
        <v>0</v>
      </c>
      <c r="Q528" s="13" t="s">
        <v>1305</v>
      </c>
      <c r="S528" s="13">
        <f t="shared" si="83"/>
        <v>0</v>
      </c>
      <c r="T528" s="13" t="s">
        <v>1305</v>
      </c>
      <c r="V528" s="13">
        <f t="shared" si="84"/>
        <v>0</v>
      </c>
    </row>
    <row r="529" spans="1:22" ht="15.75">
      <c r="A529" s="155" t="s">
        <v>1351</v>
      </c>
      <c r="B529" s="125" t="s">
        <v>1061</v>
      </c>
      <c r="C529" s="130">
        <f t="shared" si="79"/>
        <v>252</v>
      </c>
      <c r="E529" s="147" t="s">
        <v>1065</v>
      </c>
      <c r="F529" s="147">
        <v>1</v>
      </c>
      <c r="G529" s="147">
        <f t="shared" si="88"/>
        <v>249</v>
      </c>
      <c r="H529" s="147" t="s">
        <v>672</v>
      </c>
      <c r="I529" s="147">
        <v>1</v>
      </c>
      <c r="J529" s="127">
        <f t="shared" si="86"/>
        <v>3</v>
      </c>
      <c r="K529" s="127" t="s">
        <v>1305</v>
      </c>
      <c r="M529" s="127">
        <f t="shared" si="81"/>
        <v>0</v>
      </c>
      <c r="N529" s="127" t="s">
        <v>1305</v>
      </c>
      <c r="P529" s="127">
        <f t="shared" si="82"/>
        <v>0</v>
      </c>
      <c r="Q529" s="127" t="s">
        <v>1305</v>
      </c>
      <c r="S529" s="127">
        <f t="shared" si="83"/>
        <v>0</v>
      </c>
      <c r="T529" s="127" t="s">
        <v>1305</v>
      </c>
      <c r="V529" s="127">
        <f t="shared" si="84"/>
        <v>0</v>
      </c>
    </row>
    <row r="530" spans="1:22" ht="15.75">
      <c r="A530" s="155" t="s">
        <v>1351</v>
      </c>
      <c r="B530" s="125" t="s">
        <v>1062</v>
      </c>
      <c r="C530" s="130">
        <f t="shared" si="79"/>
        <v>27</v>
      </c>
      <c r="E530" s="147" t="s">
        <v>1060</v>
      </c>
      <c r="F530" s="147">
        <v>1</v>
      </c>
      <c r="G530" s="147">
        <f t="shared" si="88"/>
        <v>1</v>
      </c>
      <c r="H530" s="147" t="s">
        <v>1170</v>
      </c>
      <c r="I530" s="147">
        <v>1</v>
      </c>
      <c r="J530" s="127">
        <f t="shared" si="86"/>
        <v>26</v>
      </c>
      <c r="K530" s="127" t="s">
        <v>1305</v>
      </c>
      <c r="M530" s="127">
        <f t="shared" si="81"/>
        <v>0</v>
      </c>
      <c r="N530" s="127" t="s">
        <v>1305</v>
      </c>
      <c r="P530" s="127">
        <f t="shared" si="82"/>
        <v>0</v>
      </c>
      <c r="Q530" s="127" t="s">
        <v>1305</v>
      </c>
      <c r="S530" s="127">
        <f t="shared" si="83"/>
        <v>0</v>
      </c>
      <c r="T530" s="127" t="s">
        <v>1305</v>
      </c>
      <c r="V530" s="127">
        <f t="shared" si="84"/>
        <v>0</v>
      </c>
    </row>
    <row r="531" spans="1:22" ht="15.75">
      <c r="A531" s="155" t="s">
        <v>1351</v>
      </c>
      <c r="B531" s="125" t="s">
        <v>1063</v>
      </c>
      <c r="C531" s="130">
        <f t="shared" si="79"/>
        <v>65</v>
      </c>
      <c r="E531" s="147" t="s">
        <v>814</v>
      </c>
      <c r="F531" s="147">
        <v>8</v>
      </c>
      <c r="G531" s="147">
        <f t="shared" si="88"/>
        <v>8</v>
      </c>
      <c r="H531" s="147" t="s">
        <v>1060</v>
      </c>
      <c r="I531" s="147">
        <v>1</v>
      </c>
      <c r="J531" s="127">
        <f t="shared" si="86"/>
        <v>1</v>
      </c>
      <c r="K531" s="127" t="s">
        <v>1305</v>
      </c>
      <c r="M531" s="127">
        <f t="shared" si="81"/>
        <v>0</v>
      </c>
      <c r="N531" s="127" t="s">
        <v>1305</v>
      </c>
      <c r="P531" s="127">
        <f t="shared" si="82"/>
        <v>0</v>
      </c>
      <c r="Q531" s="127" t="s">
        <v>1305</v>
      </c>
      <c r="S531" s="127">
        <f t="shared" si="83"/>
        <v>0</v>
      </c>
      <c r="T531" s="127" t="s">
        <v>1305</v>
      </c>
      <c r="V531" s="127">
        <f t="shared" si="84"/>
        <v>0</v>
      </c>
    </row>
    <row r="532" spans="1:22" ht="15.75">
      <c r="A532" s="155" t="s">
        <v>1351</v>
      </c>
      <c r="B532" s="125" t="s">
        <v>1064</v>
      </c>
      <c r="C532" s="130">
        <f t="shared" si="79"/>
        <v>390</v>
      </c>
      <c r="E532" s="147" t="s">
        <v>1063</v>
      </c>
      <c r="F532" s="147">
        <v>6</v>
      </c>
      <c r="G532" s="147">
        <f t="shared" si="88"/>
        <v>65</v>
      </c>
      <c r="H532" s="147" t="s">
        <v>1305</v>
      </c>
      <c r="I532" s="147"/>
      <c r="J532" s="127">
        <f t="shared" si="86"/>
        <v>0</v>
      </c>
      <c r="K532" s="127" t="s">
        <v>1305</v>
      </c>
      <c r="M532" s="127">
        <f t="shared" si="81"/>
        <v>0</v>
      </c>
      <c r="N532" s="127" t="s">
        <v>1305</v>
      </c>
      <c r="P532" s="127">
        <f t="shared" si="82"/>
        <v>0</v>
      </c>
      <c r="Q532" s="127" t="s">
        <v>1305</v>
      </c>
      <c r="S532" s="127">
        <f t="shared" si="83"/>
        <v>0</v>
      </c>
      <c r="T532" s="127" t="s">
        <v>1305</v>
      </c>
      <c r="V532" s="127">
        <f t="shared" si="84"/>
        <v>0</v>
      </c>
    </row>
    <row r="533" spans="1:22" ht="15.75">
      <c r="A533" s="155" t="s">
        <v>1351</v>
      </c>
      <c r="B533" s="125" t="s">
        <v>1065</v>
      </c>
      <c r="C533" s="130">
        <f t="shared" si="79"/>
        <v>249</v>
      </c>
      <c r="E533" s="147" t="s">
        <v>1245</v>
      </c>
      <c r="F533" s="147">
        <v>8</v>
      </c>
      <c r="G533" s="147">
        <f t="shared" si="88"/>
        <v>31</v>
      </c>
      <c r="H533" s="147" t="s">
        <v>1060</v>
      </c>
      <c r="I533" s="147">
        <v>1</v>
      </c>
      <c r="J533" s="127">
        <f t="shared" si="86"/>
        <v>1</v>
      </c>
      <c r="K533" s="127" t="s">
        <v>1305</v>
      </c>
      <c r="M533" s="127">
        <f t="shared" si="81"/>
        <v>0</v>
      </c>
      <c r="N533" s="127" t="s">
        <v>1305</v>
      </c>
      <c r="P533" s="127">
        <f t="shared" si="82"/>
        <v>0</v>
      </c>
      <c r="Q533" s="127" t="s">
        <v>1305</v>
      </c>
      <c r="S533" s="127">
        <f t="shared" si="83"/>
        <v>0</v>
      </c>
      <c r="T533" s="127" t="s">
        <v>1305</v>
      </c>
      <c r="V533" s="127">
        <f t="shared" si="84"/>
        <v>0</v>
      </c>
    </row>
    <row r="534" spans="1:22" s="138" customFormat="1" ht="15.75">
      <c r="A534" s="138" t="s">
        <v>560</v>
      </c>
      <c r="B534" s="136" t="s">
        <v>1066</v>
      </c>
      <c r="C534" s="137">
        <v>1</v>
      </c>
      <c r="D534" s="133"/>
      <c r="E534" s="138" t="s">
        <v>1305</v>
      </c>
      <c r="G534" s="138">
        <f t="shared" si="85"/>
        <v>0</v>
      </c>
      <c r="H534" s="138" t="s">
        <v>1305</v>
      </c>
      <c r="J534" s="138">
        <f t="shared" si="86"/>
        <v>0</v>
      </c>
      <c r="K534" s="138" t="s">
        <v>1305</v>
      </c>
      <c r="M534" s="138">
        <f t="shared" si="81"/>
        <v>0</v>
      </c>
      <c r="N534" s="138" t="s">
        <v>1305</v>
      </c>
      <c r="P534" s="138">
        <f t="shared" si="82"/>
        <v>0</v>
      </c>
      <c r="Q534" s="138" t="s">
        <v>1305</v>
      </c>
      <c r="S534" s="138">
        <f t="shared" si="83"/>
        <v>0</v>
      </c>
      <c r="T534" s="138" t="s">
        <v>1305</v>
      </c>
      <c r="V534" s="138">
        <f t="shared" si="84"/>
        <v>0</v>
      </c>
    </row>
    <row r="535" spans="1:22" ht="15.75">
      <c r="A535" s="155" t="s">
        <v>1351</v>
      </c>
      <c r="B535" s="125" t="s">
        <v>1067</v>
      </c>
      <c r="C535" s="130">
        <f t="shared" si="79"/>
        <v>7</v>
      </c>
      <c r="E535" s="147" t="s">
        <v>1274</v>
      </c>
      <c r="F535" s="147">
        <v>1</v>
      </c>
      <c r="G535" s="147">
        <f t="shared" si="85"/>
        <v>6</v>
      </c>
      <c r="H535" s="147" t="s">
        <v>1060</v>
      </c>
      <c r="I535" s="147">
        <v>1</v>
      </c>
      <c r="J535" s="127">
        <f t="shared" si="86"/>
        <v>1</v>
      </c>
      <c r="K535" s="127" t="s">
        <v>1305</v>
      </c>
      <c r="M535" s="127">
        <f t="shared" si="81"/>
        <v>0</v>
      </c>
      <c r="N535" s="127" t="s">
        <v>1305</v>
      </c>
      <c r="P535" s="127">
        <f t="shared" si="82"/>
        <v>0</v>
      </c>
      <c r="Q535" s="127" t="s">
        <v>1305</v>
      </c>
      <c r="S535" s="127">
        <f t="shared" si="83"/>
        <v>0</v>
      </c>
      <c r="T535" s="127" t="s">
        <v>1305</v>
      </c>
      <c r="V535" s="127">
        <f t="shared" si="84"/>
        <v>0</v>
      </c>
    </row>
    <row r="536" spans="1:22" ht="15.75">
      <c r="A536" s="155" t="s">
        <v>1353</v>
      </c>
      <c r="B536" s="125" t="s">
        <v>1068</v>
      </c>
      <c r="C536" s="130">
        <f t="shared" si="79"/>
        <v>18</v>
      </c>
      <c r="E536" s="127" t="s">
        <v>1026</v>
      </c>
      <c r="F536">
        <v>3</v>
      </c>
      <c r="G536" s="127">
        <f t="shared" si="85"/>
        <v>1</v>
      </c>
      <c r="H536" s="127" t="s">
        <v>676</v>
      </c>
      <c r="I536" s="127">
        <v>4</v>
      </c>
      <c r="J536" s="127">
        <f t="shared" si="86"/>
        <v>1</v>
      </c>
      <c r="K536" s="127" t="s">
        <v>1147</v>
      </c>
      <c r="L536" s="127">
        <v>1</v>
      </c>
      <c r="M536" s="127">
        <f t="shared" si="81"/>
        <v>7</v>
      </c>
      <c r="N536" s="127" t="s">
        <v>896</v>
      </c>
      <c r="O536" s="127">
        <v>1</v>
      </c>
      <c r="P536" s="127">
        <f t="shared" si="82"/>
        <v>4</v>
      </c>
      <c r="Q536" s="127" t="s">
        <v>1305</v>
      </c>
      <c r="S536" s="127">
        <f t="shared" si="83"/>
        <v>0</v>
      </c>
      <c r="T536" s="127" t="s">
        <v>1305</v>
      </c>
      <c r="V536" s="127">
        <f t="shared" si="84"/>
        <v>0</v>
      </c>
    </row>
    <row r="537" spans="1:22" s="138" customFormat="1" ht="15.75">
      <c r="A537" s="138" t="s">
        <v>1339</v>
      </c>
      <c r="B537" s="136" t="s">
        <v>1069</v>
      </c>
      <c r="C537" s="137">
        <f>'ECONOMIA &amp; PROFESIONES'!C33</f>
        <v>3</v>
      </c>
      <c r="D537" s="133"/>
      <c r="E537" s="138" t="s">
        <v>1305</v>
      </c>
      <c r="G537" s="138">
        <f t="shared" si="85"/>
        <v>0</v>
      </c>
      <c r="H537" s="138" t="s">
        <v>1305</v>
      </c>
      <c r="J537" s="138">
        <f t="shared" si="86"/>
        <v>0</v>
      </c>
      <c r="K537" s="138" t="s">
        <v>1305</v>
      </c>
      <c r="M537" s="138">
        <f t="shared" si="81"/>
        <v>0</v>
      </c>
      <c r="N537" s="138" t="s">
        <v>1305</v>
      </c>
      <c r="P537" s="138">
        <f t="shared" si="82"/>
        <v>0</v>
      </c>
      <c r="Q537" s="138" t="s">
        <v>1305</v>
      </c>
      <c r="S537" s="138">
        <f t="shared" si="83"/>
        <v>0</v>
      </c>
      <c r="T537" s="138" t="s">
        <v>1305</v>
      </c>
      <c r="V537" s="138">
        <f t="shared" si="84"/>
        <v>0</v>
      </c>
    </row>
    <row r="538" spans="1:22" s="138" customFormat="1" ht="15.75">
      <c r="A538" s="138" t="s">
        <v>560</v>
      </c>
      <c r="B538" s="136" t="s">
        <v>1070</v>
      </c>
      <c r="C538" s="137">
        <f>'ECONOMIA &amp; PROFESIONES'!G32</f>
        <v>1</v>
      </c>
      <c r="D538" s="133"/>
      <c r="E538" s="138" t="s">
        <v>1305</v>
      </c>
      <c r="G538" s="138">
        <f t="shared" si="85"/>
        <v>0</v>
      </c>
      <c r="H538" s="138" t="s">
        <v>1305</v>
      </c>
      <c r="J538" s="138">
        <f t="shared" si="86"/>
        <v>0</v>
      </c>
      <c r="K538" s="138" t="s">
        <v>1305</v>
      </c>
      <c r="M538" s="138">
        <f t="shared" si="81"/>
        <v>0</v>
      </c>
      <c r="N538" s="138" t="s">
        <v>1305</v>
      </c>
      <c r="P538" s="138">
        <f t="shared" si="82"/>
        <v>0</v>
      </c>
      <c r="Q538" s="138" t="s">
        <v>1305</v>
      </c>
      <c r="S538" s="138">
        <f t="shared" si="83"/>
        <v>0</v>
      </c>
      <c r="T538" s="138" t="s">
        <v>1305</v>
      </c>
      <c r="V538" s="138">
        <f t="shared" si="84"/>
        <v>0</v>
      </c>
    </row>
    <row r="539" spans="1:22" ht="15.75">
      <c r="A539" s="155" t="s">
        <v>1346</v>
      </c>
      <c r="B539" s="125" t="s">
        <v>1071</v>
      </c>
      <c r="C539" s="130">
        <f t="shared" si="79"/>
        <v>8</v>
      </c>
      <c r="E539" s="127" t="s">
        <v>551</v>
      </c>
      <c r="F539">
        <v>4</v>
      </c>
      <c r="G539" s="127">
        <f t="shared" si="85"/>
        <v>2</v>
      </c>
      <c r="H539" s="127" t="s">
        <v>1305</v>
      </c>
      <c r="J539" s="127">
        <f t="shared" si="86"/>
        <v>0</v>
      </c>
      <c r="K539" s="127" t="s">
        <v>1305</v>
      </c>
      <c r="M539" s="127">
        <f t="shared" si="81"/>
        <v>0</v>
      </c>
      <c r="N539" s="127" t="s">
        <v>1305</v>
      </c>
      <c r="P539" s="127">
        <f t="shared" si="82"/>
        <v>0</v>
      </c>
      <c r="Q539" s="127" t="s">
        <v>1305</v>
      </c>
      <c r="S539" s="127">
        <f t="shared" si="83"/>
        <v>0</v>
      </c>
      <c r="T539" s="127" t="s">
        <v>1305</v>
      </c>
      <c r="V539" s="127">
        <f t="shared" si="84"/>
        <v>0</v>
      </c>
    </row>
    <row r="540" spans="1:22" ht="15.75">
      <c r="A540" s="155" t="s">
        <v>1346</v>
      </c>
      <c r="B540" s="125" t="s">
        <v>1072</v>
      </c>
      <c r="C540" s="130">
        <f t="shared" si="79"/>
        <v>24</v>
      </c>
      <c r="E540" s="127" t="s">
        <v>1071</v>
      </c>
      <c r="F540">
        <v>3</v>
      </c>
      <c r="G540" s="127">
        <f t="shared" si="85"/>
        <v>8</v>
      </c>
      <c r="H540" s="127" t="s">
        <v>1305</v>
      </c>
      <c r="J540" s="127">
        <f t="shared" si="86"/>
        <v>0</v>
      </c>
      <c r="K540" s="127" t="s">
        <v>1305</v>
      </c>
      <c r="M540" s="127">
        <f t="shared" si="81"/>
        <v>0</v>
      </c>
      <c r="N540" s="127" t="s">
        <v>1305</v>
      </c>
      <c r="P540" s="127">
        <f t="shared" si="82"/>
        <v>0</v>
      </c>
      <c r="Q540" s="127" t="s">
        <v>1305</v>
      </c>
      <c r="S540" s="127">
        <f t="shared" si="83"/>
        <v>0</v>
      </c>
      <c r="T540" s="127" t="s">
        <v>1305</v>
      </c>
      <c r="V540" s="127">
        <f t="shared" si="84"/>
        <v>0</v>
      </c>
    </row>
    <row r="541" spans="1:22" ht="15.75">
      <c r="A541" s="155" t="s">
        <v>1346</v>
      </c>
      <c r="B541" s="125" t="s">
        <v>1073</v>
      </c>
      <c r="C541" s="130">
        <f t="shared" si="79"/>
        <v>48</v>
      </c>
      <c r="E541" s="152" t="s">
        <v>1071</v>
      </c>
      <c r="F541">
        <v>6</v>
      </c>
      <c r="G541" s="127">
        <f t="shared" si="85"/>
        <v>8</v>
      </c>
      <c r="H541" s="127" t="s">
        <v>1305</v>
      </c>
      <c r="J541" s="127">
        <f t="shared" si="86"/>
        <v>0</v>
      </c>
      <c r="K541" s="127" t="s">
        <v>1305</v>
      </c>
      <c r="M541" s="127">
        <f t="shared" si="81"/>
        <v>0</v>
      </c>
      <c r="N541" s="127" t="s">
        <v>1305</v>
      </c>
      <c r="P541" s="127">
        <f t="shared" si="82"/>
        <v>0</v>
      </c>
      <c r="Q541" s="127" t="s">
        <v>1305</v>
      </c>
      <c r="S541" s="127">
        <f t="shared" si="83"/>
        <v>0</v>
      </c>
      <c r="T541" s="127" t="s">
        <v>1305</v>
      </c>
      <c r="V541" s="127">
        <f t="shared" si="84"/>
        <v>0</v>
      </c>
    </row>
    <row r="542" spans="1:22" ht="15.75">
      <c r="A542" s="155" t="s">
        <v>1346</v>
      </c>
      <c r="B542" s="125" t="s">
        <v>1074</v>
      </c>
      <c r="C542" s="130">
        <f t="shared" si="79"/>
        <v>7.2</v>
      </c>
      <c r="E542" s="127" t="s">
        <v>763</v>
      </c>
      <c r="F542">
        <v>4</v>
      </c>
      <c r="G542" s="127">
        <f t="shared" si="85"/>
        <v>1.8</v>
      </c>
      <c r="H542" s="127" t="s">
        <v>1305</v>
      </c>
      <c r="J542" s="127">
        <f t="shared" si="86"/>
        <v>0</v>
      </c>
      <c r="K542" s="127" t="s">
        <v>1305</v>
      </c>
      <c r="M542" s="127">
        <f t="shared" si="81"/>
        <v>0</v>
      </c>
      <c r="N542" s="127" t="s">
        <v>1305</v>
      </c>
      <c r="P542" s="127">
        <f t="shared" si="82"/>
        <v>0</v>
      </c>
      <c r="Q542" s="127" t="s">
        <v>1305</v>
      </c>
      <c r="S542" s="127">
        <f t="shared" si="83"/>
        <v>0</v>
      </c>
      <c r="T542" s="127" t="s">
        <v>1305</v>
      </c>
      <c r="V542" s="127">
        <f t="shared" si="84"/>
        <v>0</v>
      </c>
    </row>
    <row r="543" spans="1:22" ht="15.75">
      <c r="A543" s="155" t="s">
        <v>1346</v>
      </c>
      <c r="B543" s="125" t="s">
        <v>1075</v>
      </c>
      <c r="C543" s="130">
        <f t="shared" si="79"/>
        <v>21.6</v>
      </c>
      <c r="E543" s="127" t="s">
        <v>1074</v>
      </c>
      <c r="F543">
        <v>3</v>
      </c>
      <c r="G543" s="127">
        <f t="shared" si="85"/>
        <v>7.2</v>
      </c>
      <c r="H543" s="127" t="s">
        <v>1305</v>
      </c>
      <c r="J543" s="127">
        <f t="shared" si="86"/>
        <v>0</v>
      </c>
      <c r="K543" s="127" t="s">
        <v>1305</v>
      </c>
      <c r="M543" s="127">
        <f t="shared" si="81"/>
        <v>0</v>
      </c>
      <c r="N543" s="127" t="s">
        <v>1305</v>
      </c>
      <c r="P543" s="127">
        <f t="shared" si="82"/>
        <v>0</v>
      </c>
      <c r="Q543" s="127" t="s">
        <v>1305</v>
      </c>
      <c r="S543" s="127">
        <f t="shared" si="83"/>
        <v>0</v>
      </c>
      <c r="T543" s="127" t="s">
        <v>1305</v>
      </c>
      <c r="V543" s="127">
        <f t="shared" si="84"/>
        <v>0</v>
      </c>
    </row>
    <row r="544" spans="1:22" ht="15.75">
      <c r="A544" s="155" t="s">
        <v>1346</v>
      </c>
      <c r="B544" s="125" t="s">
        <v>1076</v>
      </c>
      <c r="C544" s="130">
        <f t="shared" si="79"/>
        <v>43.2</v>
      </c>
      <c r="E544" s="152" t="s">
        <v>1074</v>
      </c>
      <c r="F544">
        <v>6</v>
      </c>
      <c r="G544" s="127">
        <f t="shared" si="85"/>
        <v>7.2</v>
      </c>
      <c r="H544" s="127" t="s">
        <v>1305</v>
      </c>
      <c r="J544" s="127">
        <f t="shared" si="86"/>
        <v>0</v>
      </c>
      <c r="K544" s="127" t="s">
        <v>1305</v>
      </c>
      <c r="M544" s="127">
        <f t="shared" si="81"/>
        <v>0</v>
      </c>
      <c r="N544" s="127" t="s">
        <v>1305</v>
      </c>
      <c r="P544" s="127">
        <f t="shared" si="82"/>
        <v>0</v>
      </c>
      <c r="Q544" s="127" t="s">
        <v>1305</v>
      </c>
      <c r="S544" s="127">
        <f t="shared" si="83"/>
        <v>0</v>
      </c>
      <c r="T544" s="127" t="s">
        <v>1305</v>
      </c>
      <c r="V544" s="127">
        <f t="shared" si="84"/>
        <v>0</v>
      </c>
    </row>
    <row r="545" spans="1:22" ht="15.75">
      <c r="A545" s="155" t="s">
        <v>1346</v>
      </c>
      <c r="B545" s="125" t="s">
        <v>1077</v>
      </c>
      <c r="C545" s="130">
        <f t="shared" si="79"/>
        <v>6.4</v>
      </c>
      <c r="E545" s="127" t="s">
        <v>837</v>
      </c>
      <c r="F545">
        <v>4</v>
      </c>
      <c r="G545" s="127">
        <f t="shared" si="85"/>
        <v>1.6</v>
      </c>
      <c r="H545" s="127" t="s">
        <v>1305</v>
      </c>
      <c r="J545" s="127">
        <f t="shared" si="86"/>
        <v>0</v>
      </c>
      <c r="K545" s="127" t="s">
        <v>1305</v>
      </c>
      <c r="M545" s="127">
        <f t="shared" si="81"/>
        <v>0</v>
      </c>
      <c r="N545" s="127" t="s">
        <v>1305</v>
      </c>
      <c r="P545" s="127">
        <f t="shared" si="82"/>
        <v>0</v>
      </c>
      <c r="Q545" s="127" t="s">
        <v>1305</v>
      </c>
      <c r="S545" s="127">
        <f t="shared" si="83"/>
        <v>0</v>
      </c>
      <c r="T545" s="127" t="s">
        <v>1305</v>
      </c>
      <c r="V545" s="127">
        <f t="shared" si="84"/>
        <v>0</v>
      </c>
    </row>
    <row r="546" spans="1:22" ht="15.75">
      <c r="A546" s="155" t="s">
        <v>1346</v>
      </c>
      <c r="B546" s="125" t="s">
        <v>1078</v>
      </c>
      <c r="C546" s="130">
        <f t="shared" si="79"/>
        <v>19.200000000000003</v>
      </c>
      <c r="E546" s="127" t="s">
        <v>1077</v>
      </c>
      <c r="F546">
        <v>3</v>
      </c>
      <c r="G546" s="127">
        <f t="shared" si="85"/>
        <v>6.4</v>
      </c>
      <c r="H546" s="127" t="s">
        <v>1305</v>
      </c>
      <c r="J546" s="127">
        <f t="shared" si="86"/>
        <v>0</v>
      </c>
      <c r="K546" s="127" t="s">
        <v>1305</v>
      </c>
      <c r="M546" s="127">
        <f t="shared" si="81"/>
        <v>0</v>
      </c>
      <c r="N546" s="127" t="s">
        <v>1305</v>
      </c>
      <c r="P546" s="127">
        <f t="shared" si="82"/>
        <v>0</v>
      </c>
      <c r="Q546" s="127" t="s">
        <v>1305</v>
      </c>
      <c r="S546" s="127">
        <f t="shared" si="83"/>
        <v>0</v>
      </c>
      <c r="T546" s="127" t="s">
        <v>1305</v>
      </c>
      <c r="V546" s="127">
        <f t="shared" si="84"/>
        <v>0</v>
      </c>
    </row>
    <row r="547" spans="1:22" ht="15.75">
      <c r="A547" s="155" t="s">
        <v>1346</v>
      </c>
      <c r="B547" s="125" t="s">
        <v>1079</v>
      </c>
      <c r="C547" s="130">
        <f t="shared" si="79"/>
        <v>38.400000000000006</v>
      </c>
      <c r="E547" s="152" t="s">
        <v>1077</v>
      </c>
      <c r="F547">
        <v>6</v>
      </c>
      <c r="G547" s="127">
        <f t="shared" si="85"/>
        <v>6.4</v>
      </c>
      <c r="H547" s="127" t="s">
        <v>1305</v>
      </c>
      <c r="J547" s="127">
        <f t="shared" si="86"/>
        <v>0</v>
      </c>
      <c r="K547" s="127" t="s">
        <v>1305</v>
      </c>
      <c r="M547" s="127">
        <f t="shared" si="81"/>
        <v>0</v>
      </c>
      <c r="N547" s="127" t="s">
        <v>1305</v>
      </c>
      <c r="P547" s="127">
        <f t="shared" si="82"/>
        <v>0</v>
      </c>
      <c r="Q547" s="127" t="s">
        <v>1305</v>
      </c>
      <c r="S547" s="127">
        <f t="shared" si="83"/>
        <v>0</v>
      </c>
      <c r="T547" s="127" t="s">
        <v>1305</v>
      </c>
      <c r="V547" s="127">
        <f t="shared" si="84"/>
        <v>0</v>
      </c>
    </row>
    <row r="548" spans="1:22" ht="15.75">
      <c r="A548" s="155" t="s">
        <v>1352</v>
      </c>
      <c r="B548" s="125" t="s">
        <v>1080</v>
      </c>
      <c r="C548" s="130">
        <f t="shared" si="79"/>
        <v>11</v>
      </c>
      <c r="E548" s="127" t="s">
        <v>667</v>
      </c>
      <c r="F548">
        <v>1</v>
      </c>
      <c r="G548" s="127">
        <f t="shared" si="85"/>
        <v>11</v>
      </c>
      <c r="H548" s="127" t="s">
        <v>1305</v>
      </c>
      <c r="J548" s="127">
        <f t="shared" si="86"/>
        <v>0</v>
      </c>
      <c r="K548" s="127" t="s">
        <v>1305</v>
      </c>
      <c r="M548" s="127">
        <f t="shared" si="81"/>
        <v>0</v>
      </c>
      <c r="N548" s="127" t="s">
        <v>1305</v>
      </c>
      <c r="P548" s="127">
        <f t="shared" si="82"/>
        <v>0</v>
      </c>
      <c r="Q548" s="127" t="s">
        <v>1305</v>
      </c>
      <c r="S548" s="127">
        <f t="shared" si="83"/>
        <v>0</v>
      </c>
      <c r="T548" s="127" t="s">
        <v>1305</v>
      </c>
      <c r="V548" s="127">
        <f t="shared" si="84"/>
        <v>0</v>
      </c>
    </row>
    <row r="549" spans="1:22" s="138" customFormat="1" ht="15.75">
      <c r="A549" s="138" t="s">
        <v>560</v>
      </c>
      <c r="B549" s="136" t="s">
        <v>1081</v>
      </c>
      <c r="C549" s="137">
        <v>1</v>
      </c>
      <c r="D549" s="133"/>
      <c r="E549" s="138" t="s">
        <v>1305</v>
      </c>
      <c r="G549" s="138">
        <f t="shared" si="85"/>
        <v>0</v>
      </c>
      <c r="H549" s="138" t="s">
        <v>1305</v>
      </c>
      <c r="J549" s="138">
        <f t="shared" si="86"/>
        <v>0</v>
      </c>
      <c r="K549" s="138" t="s">
        <v>1305</v>
      </c>
      <c r="M549" s="138">
        <f t="shared" si="81"/>
        <v>0</v>
      </c>
      <c r="N549" s="138" t="s">
        <v>1305</v>
      </c>
      <c r="P549" s="138">
        <f t="shared" si="82"/>
        <v>0</v>
      </c>
      <c r="Q549" s="138" t="s">
        <v>1305</v>
      </c>
      <c r="S549" s="138">
        <f t="shared" si="83"/>
        <v>0</v>
      </c>
      <c r="T549" s="138" t="s">
        <v>1305</v>
      </c>
      <c r="V549" s="138">
        <f t="shared" si="84"/>
        <v>0</v>
      </c>
    </row>
    <row r="550" spans="1:22" s="138" customFormat="1" ht="15.75">
      <c r="A550" s="138" t="s">
        <v>1340</v>
      </c>
      <c r="B550" s="136" t="s">
        <v>1082</v>
      </c>
      <c r="C550" s="137">
        <f>'ECONOMIA &amp; PROFESIONES'!I35</f>
        <v>7</v>
      </c>
      <c r="D550" s="133"/>
      <c r="E550" s="138" t="s">
        <v>1305</v>
      </c>
      <c r="G550" s="138">
        <f t="shared" si="85"/>
        <v>0</v>
      </c>
      <c r="H550" s="138" t="s">
        <v>1305</v>
      </c>
      <c r="J550" s="138">
        <f t="shared" si="86"/>
        <v>0</v>
      </c>
      <c r="K550" s="138" t="s">
        <v>1305</v>
      </c>
      <c r="M550" s="138">
        <f t="shared" si="81"/>
        <v>0</v>
      </c>
      <c r="N550" s="138" t="s">
        <v>1305</v>
      </c>
      <c r="P550" s="138">
        <f t="shared" si="82"/>
        <v>0</v>
      </c>
      <c r="Q550" s="138" t="s">
        <v>1305</v>
      </c>
      <c r="S550" s="138">
        <f t="shared" si="83"/>
        <v>0</v>
      </c>
      <c r="T550" s="138" t="s">
        <v>1305</v>
      </c>
      <c r="V550" s="138">
        <f t="shared" si="84"/>
        <v>0</v>
      </c>
    </row>
    <row r="551" spans="1:22" s="138" customFormat="1" ht="15.75">
      <c r="A551" s="138" t="s">
        <v>560</v>
      </c>
      <c r="B551" s="136" t="s">
        <v>1083</v>
      </c>
      <c r="C551" s="137">
        <f>'ECONOMIA &amp; PROFESIONES'!G32</f>
        <v>1</v>
      </c>
      <c r="D551" s="133"/>
      <c r="E551" s="138" t="s">
        <v>1305</v>
      </c>
      <c r="G551" s="138">
        <f t="shared" si="85"/>
        <v>0</v>
      </c>
      <c r="H551" s="138" t="s">
        <v>1305</v>
      </c>
      <c r="J551" s="138">
        <f t="shared" si="86"/>
        <v>0</v>
      </c>
      <c r="K551" s="138" t="s">
        <v>1305</v>
      </c>
      <c r="M551" s="138">
        <f t="shared" si="81"/>
        <v>0</v>
      </c>
      <c r="N551" s="138" t="s">
        <v>1305</v>
      </c>
      <c r="P551" s="138">
        <f t="shared" si="82"/>
        <v>0</v>
      </c>
      <c r="Q551" s="138" t="s">
        <v>1305</v>
      </c>
      <c r="S551" s="138">
        <f t="shared" si="83"/>
        <v>0</v>
      </c>
      <c r="T551" s="138" t="s">
        <v>1305</v>
      </c>
      <c r="V551" s="138">
        <f t="shared" si="84"/>
        <v>0</v>
      </c>
    </row>
    <row r="552" spans="1:22" ht="15.75">
      <c r="A552" s="155" t="s">
        <v>595</v>
      </c>
      <c r="B552" s="125" t="s">
        <v>1084</v>
      </c>
      <c r="C552" s="130">
        <f t="shared" si="79"/>
        <v>57</v>
      </c>
      <c r="E552" s="127" t="s">
        <v>822</v>
      </c>
      <c r="F552">
        <v>6</v>
      </c>
      <c r="G552" s="127">
        <f t="shared" si="85"/>
        <v>8</v>
      </c>
      <c r="H552" s="127" t="s">
        <v>1208</v>
      </c>
      <c r="I552" s="127">
        <v>1</v>
      </c>
      <c r="J552" s="127">
        <f t="shared" si="86"/>
        <v>2</v>
      </c>
      <c r="K552" s="127" t="s">
        <v>1147</v>
      </c>
      <c r="L552" s="127">
        <v>1</v>
      </c>
      <c r="M552" s="127">
        <f t="shared" si="81"/>
        <v>7</v>
      </c>
      <c r="N552" s="127" t="s">
        <v>1305</v>
      </c>
      <c r="P552" s="127">
        <f t="shared" si="82"/>
        <v>0</v>
      </c>
      <c r="Q552" s="127" t="s">
        <v>1305</v>
      </c>
      <c r="S552" s="127">
        <f t="shared" si="83"/>
        <v>0</v>
      </c>
      <c r="T552" s="127" t="s">
        <v>1305</v>
      </c>
      <c r="V552" s="127">
        <f t="shared" si="84"/>
        <v>0</v>
      </c>
    </row>
    <row r="553" spans="1:22" ht="15.75">
      <c r="A553" s="155" t="s">
        <v>1346</v>
      </c>
      <c r="B553" s="125" t="s">
        <v>1085</v>
      </c>
      <c r="C553" s="130">
        <f t="shared" si="79"/>
        <v>36</v>
      </c>
      <c r="E553" s="127" t="s">
        <v>1090</v>
      </c>
      <c r="F553">
        <v>4</v>
      </c>
      <c r="G553" s="127">
        <f t="shared" si="85"/>
        <v>9</v>
      </c>
      <c r="H553" s="127" t="s">
        <v>1305</v>
      </c>
      <c r="J553" s="127">
        <f t="shared" si="86"/>
        <v>0</v>
      </c>
      <c r="K553" s="127" t="s">
        <v>1305</v>
      </c>
      <c r="M553" s="127">
        <f t="shared" si="81"/>
        <v>0</v>
      </c>
      <c r="N553" s="127" t="s">
        <v>1305</v>
      </c>
      <c r="P553" s="127">
        <f t="shared" si="82"/>
        <v>0</v>
      </c>
      <c r="Q553" s="127" t="s">
        <v>1305</v>
      </c>
      <c r="S553" s="127">
        <f t="shared" si="83"/>
        <v>0</v>
      </c>
      <c r="T553" s="127" t="s">
        <v>1305</v>
      </c>
      <c r="V553" s="127">
        <f t="shared" si="84"/>
        <v>0</v>
      </c>
    </row>
    <row r="554" spans="1:22" ht="15.75">
      <c r="A554" s="155" t="s">
        <v>1346</v>
      </c>
      <c r="B554" s="125" t="s">
        <v>1086</v>
      </c>
      <c r="C554" s="130">
        <f t="shared" si="79"/>
        <v>243</v>
      </c>
      <c r="E554" s="127" t="s">
        <v>1088</v>
      </c>
      <c r="F554">
        <v>3</v>
      </c>
      <c r="G554" s="127">
        <f t="shared" si="85"/>
        <v>81</v>
      </c>
      <c r="H554" s="127" t="s">
        <v>1305</v>
      </c>
      <c r="J554" s="127">
        <f t="shared" si="86"/>
        <v>0</v>
      </c>
      <c r="K554" s="127" t="s">
        <v>1305</v>
      </c>
      <c r="M554" s="127">
        <f t="shared" si="81"/>
        <v>0</v>
      </c>
      <c r="N554" s="127" t="s">
        <v>1305</v>
      </c>
      <c r="P554" s="127">
        <f t="shared" si="82"/>
        <v>0</v>
      </c>
      <c r="Q554" s="127" t="s">
        <v>1305</v>
      </c>
      <c r="S554" s="127">
        <f t="shared" si="83"/>
        <v>0</v>
      </c>
      <c r="T554" s="127" t="s">
        <v>1305</v>
      </c>
      <c r="V554" s="127">
        <f t="shared" si="84"/>
        <v>0</v>
      </c>
    </row>
    <row r="555" spans="1:22" ht="15.75">
      <c r="A555" s="155" t="s">
        <v>1346</v>
      </c>
      <c r="B555" s="125" t="s">
        <v>1087</v>
      </c>
      <c r="C555" s="130">
        <f t="shared" si="79"/>
        <v>486</v>
      </c>
      <c r="E555" s="127" t="s">
        <v>1088</v>
      </c>
      <c r="F555">
        <v>6</v>
      </c>
      <c r="G555" s="127">
        <f t="shared" si="85"/>
        <v>81</v>
      </c>
      <c r="H555" s="127" t="s">
        <v>1305</v>
      </c>
      <c r="J555" s="127">
        <f t="shared" si="86"/>
        <v>0</v>
      </c>
      <c r="K555" s="127" t="s">
        <v>1305</v>
      </c>
      <c r="M555" s="127">
        <f t="shared" si="81"/>
        <v>0</v>
      </c>
      <c r="N555" s="127" t="s">
        <v>1305</v>
      </c>
      <c r="P555" s="127">
        <f t="shared" si="82"/>
        <v>0</v>
      </c>
      <c r="Q555" s="127" t="s">
        <v>1305</v>
      </c>
      <c r="S555" s="127">
        <f t="shared" si="83"/>
        <v>0</v>
      </c>
      <c r="T555" s="127" t="s">
        <v>1305</v>
      </c>
      <c r="V555" s="127">
        <f t="shared" si="84"/>
        <v>0</v>
      </c>
    </row>
    <row r="556" spans="1:22" ht="15.75">
      <c r="A556" s="155" t="s">
        <v>1346</v>
      </c>
      <c r="B556" s="125" t="s">
        <v>1088</v>
      </c>
      <c r="C556" s="130">
        <f t="shared" si="79"/>
        <v>81</v>
      </c>
      <c r="E556" s="127" t="s">
        <v>1090</v>
      </c>
      <c r="F556">
        <v>9</v>
      </c>
      <c r="G556" s="127">
        <f t="shared" si="85"/>
        <v>9</v>
      </c>
      <c r="H556" s="127" t="s">
        <v>1305</v>
      </c>
      <c r="J556" s="127">
        <f t="shared" si="86"/>
        <v>0</v>
      </c>
      <c r="K556" s="127" t="s">
        <v>1305</v>
      </c>
      <c r="M556" s="127">
        <f t="shared" si="81"/>
        <v>0</v>
      </c>
      <c r="N556" s="127" t="s">
        <v>1305</v>
      </c>
      <c r="P556" s="127">
        <f t="shared" si="82"/>
        <v>0</v>
      </c>
      <c r="Q556" s="127" t="s">
        <v>1305</v>
      </c>
      <c r="S556" s="127">
        <f t="shared" si="83"/>
        <v>0</v>
      </c>
      <c r="T556" s="127" t="s">
        <v>1305</v>
      </c>
      <c r="V556" s="127">
        <f t="shared" si="84"/>
        <v>0</v>
      </c>
    </row>
    <row r="557" spans="1:22" s="138" customFormat="1" ht="15.75">
      <c r="A557" s="138" t="s">
        <v>1337</v>
      </c>
      <c r="B557" s="136" t="s">
        <v>1089</v>
      </c>
      <c r="C557" s="137">
        <f>'ECONOMIA &amp; PROFESIONES'!C39</f>
        <v>9</v>
      </c>
      <c r="D557" s="133"/>
      <c r="E557" s="138" t="s">
        <v>1305</v>
      </c>
      <c r="G557" s="138">
        <f t="shared" si="85"/>
        <v>0</v>
      </c>
      <c r="H557" s="138" t="s">
        <v>1305</v>
      </c>
      <c r="J557" s="138">
        <f t="shared" si="86"/>
        <v>0</v>
      </c>
      <c r="K557" s="138" t="s">
        <v>1305</v>
      </c>
      <c r="M557" s="138">
        <f t="shared" si="81"/>
        <v>0</v>
      </c>
      <c r="N557" s="138" t="s">
        <v>1305</v>
      </c>
      <c r="P557" s="138">
        <f t="shared" si="82"/>
        <v>0</v>
      </c>
      <c r="Q557" s="138" t="s">
        <v>1305</v>
      </c>
      <c r="S557" s="138">
        <f t="shared" si="83"/>
        <v>0</v>
      </c>
      <c r="T557" s="138" t="s">
        <v>1305</v>
      </c>
      <c r="V557" s="138">
        <f t="shared" si="84"/>
        <v>0</v>
      </c>
    </row>
    <row r="558" spans="1:22" s="138" customFormat="1" ht="15.75">
      <c r="A558" s="138" t="s">
        <v>1337</v>
      </c>
      <c r="B558" s="136" t="s">
        <v>1090</v>
      </c>
      <c r="C558" s="137">
        <f>'ECONOMIA &amp; PROFESIONES'!C39</f>
        <v>9</v>
      </c>
      <c r="D558" s="133"/>
      <c r="E558" s="138" t="s">
        <v>1305</v>
      </c>
      <c r="G558" s="138">
        <f t="shared" si="85"/>
        <v>0</v>
      </c>
      <c r="H558" s="138" t="s">
        <v>1305</v>
      </c>
      <c r="J558" s="138">
        <f t="shared" si="86"/>
        <v>0</v>
      </c>
      <c r="K558" s="138" t="s">
        <v>1305</v>
      </c>
      <c r="M558" s="138">
        <f t="shared" si="81"/>
        <v>0</v>
      </c>
      <c r="N558" s="138" t="s">
        <v>1305</v>
      </c>
      <c r="P558" s="138">
        <f t="shared" si="82"/>
        <v>0</v>
      </c>
      <c r="Q558" s="138" t="s">
        <v>1305</v>
      </c>
      <c r="S558" s="138">
        <f t="shared" si="83"/>
        <v>0</v>
      </c>
      <c r="T558" s="138" t="s">
        <v>1305</v>
      </c>
      <c r="V558" s="138">
        <f t="shared" si="84"/>
        <v>0</v>
      </c>
    </row>
    <row r="559" spans="1:22" ht="15.75">
      <c r="A559" s="155" t="s">
        <v>1346</v>
      </c>
      <c r="B559" s="125" t="s">
        <v>1091</v>
      </c>
      <c r="C559" s="130">
        <f t="shared" si="79"/>
        <v>108</v>
      </c>
      <c r="E559" s="127" t="s">
        <v>1085</v>
      </c>
      <c r="F559">
        <v>3</v>
      </c>
      <c r="G559" s="127">
        <f t="shared" si="85"/>
        <v>36</v>
      </c>
      <c r="H559" s="127" t="s">
        <v>1305</v>
      </c>
      <c r="J559" s="127">
        <f t="shared" si="86"/>
        <v>0</v>
      </c>
      <c r="K559" s="127" t="s">
        <v>1305</v>
      </c>
      <c r="M559" s="127">
        <f t="shared" si="81"/>
        <v>0</v>
      </c>
      <c r="N559" s="127" t="s">
        <v>1305</v>
      </c>
      <c r="P559" s="127">
        <f t="shared" si="82"/>
        <v>0</v>
      </c>
      <c r="Q559" s="127" t="s">
        <v>1305</v>
      </c>
      <c r="S559" s="127">
        <f t="shared" si="83"/>
        <v>0</v>
      </c>
      <c r="T559" s="127" t="s">
        <v>1305</v>
      </c>
      <c r="V559" s="127">
        <f t="shared" si="84"/>
        <v>0</v>
      </c>
    </row>
    <row r="560" spans="1:22" ht="15.75">
      <c r="A560" s="155" t="s">
        <v>1346</v>
      </c>
      <c r="B560" s="125" t="s">
        <v>1092</v>
      </c>
      <c r="C560" s="130">
        <f t="shared" si="79"/>
        <v>216</v>
      </c>
      <c r="E560" s="127" t="s">
        <v>1085</v>
      </c>
      <c r="F560">
        <v>6</v>
      </c>
      <c r="G560" s="127">
        <f t="shared" si="85"/>
        <v>36</v>
      </c>
      <c r="H560" s="127" t="s">
        <v>1305</v>
      </c>
      <c r="J560" s="127">
        <f t="shared" si="86"/>
        <v>0</v>
      </c>
      <c r="K560" s="127" t="s">
        <v>1305</v>
      </c>
      <c r="M560" s="127">
        <f t="shared" si="81"/>
        <v>0</v>
      </c>
      <c r="N560" s="127" t="s">
        <v>1305</v>
      </c>
      <c r="P560" s="127">
        <f t="shared" si="82"/>
        <v>0</v>
      </c>
      <c r="Q560" s="127" t="s">
        <v>1305</v>
      </c>
      <c r="S560" s="127">
        <f t="shared" si="83"/>
        <v>0</v>
      </c>
      <c r="T560" s="127" t="s">
        <v>1305</v>
      </c>
      <c r="V560" s="127">
        <f t="shared" si="84"/>
        <v>0</v>
      </c>
    </row>
    <row r="561" spans="1:22" ht="15.75">
      <c r="A561" s="155" t="s">
        <v>1346</v>
      </c>
      <c r="B561" s="125" t="s">
        <v>1093</v>
      </c>
      <c r="C561" s="130">
        <f t="shared" si="79"/>
        <v>216</v>
      </c>
      <c r="E561" s="127" t="s">
        <v>1085</v>
      </c>
      <c r="F561">
        <v>6</v>
      </c>
      <c r="G561" s="127">
        <f t="shared" si="85"/>
        <v>36</v>
      </c>
      <c r="H561" s="127" t="s">
        <v>1305</v>
      </c>
      <c r="J561" s="127">
        <f t="shared" si="86"/>
        <v>0</v>
      </c>
      <c r="K561" s="127" t="s">
        <v>1305</v>
      </c>
      <c r="M561" s="127">
        <f t="shared" si="81"/>
        <v>0</v>
      </c>
      <c r="N561" s="127" t="s">
        <v>1305</v>
      </c>
      <c r="P561" s="127">
        <f t="shared" si="82"/>
        <v>0</v>
      </c>
      <c r="Q561" s="127" t="s">
        <v>1305</v>
      </c>
      <c r="S561" s="127">
        <f t="shared" si="83"/>
        <v>0</v>
      </c>
      <c r="T561" s="127" t="s">
        <v>1305</v>
      </c>
      <c r="V561" s="127">
        <f t="shared" si="84"/>
        <v>0</v>
      </c>
    </row>
    <row r="562" spans="1:22" ht="15.75">
      <c r="A562" s="155" t="s">
        <v>1349</v>
      </c>
      <c r="B562" s="125" t="s">
        <v>1094</v>
      </c>
      <c r="C562" s="130">
        <f>'ECONOMIA &amp; PROFESIONES'!I33</f>
        <v>3</v>
      </c>
      <c r="E562" s="127" t="s">
        <v>1305</v>
      </c>
      <c r="G562" s="127">
        <f t="shared" si="85"/>
        <v>0</v>
      </c>
      <c r="H562" s="127" t="s">
        <v>1305</v>
      </c>
      <c r="J562" s="127">
        <f t="shared" si="86"/>
        <v>0</v>
      </c>
      <c r="K562" s="127" t="s">
        <v>1305</v>
      </c>
      <c r="M562" s="127">
        <f t="shared" si="81"/>
        <v>0</v>
      </c>
      <c r="N562" s="127" t="s">
        <v>1305</v>
      </c>
      <c r="P562" s="127">
        <f t="shared" si="82"/>
        <v>0</v>
      </c>
      <c r="Q562" s="127" t="s">
        <v>1305</v>
      </c>
      <c r="S562" s="127">
        <f t="shared" si="83"/>
        <v>0</v>
      </c>
      <c r="T562" s="127" t="s">
        <v>1305</v>
      </c>
      <c r="V562" s="127">
        <f t="shared" si="84"/>
        <v>0</v>
      </c>
    </row>
    <row r="563" spans="1:22" s="138" customFormat="1" ht="15.75">
      <c r="A563" s="138" t="s">
        <v>560</v>
      </c>
      <c r="B563" s="136" t="s">
        <v>1095</v>
      </c>
      <c r="C563" s="137">
        <f>'ECONOMIA &amp; PROFESIONES'!G41</f>
        <v>11</v>
      </c>
      <c r="D563" s="133"/>
      <c r="E563" s="138" t="s">
        <v>1305</v>
      </c>
      <c r="G563" s="138">
        <f t="shared" si="85"/>
        <v>0</v>
      </c>
      <c r="H563" s="138" t="s">
        <v>1305</v>
      </c>
      <c r="J563" s="138">
        <f t="shared" si="86"/>
        <v>0</v>
      </c>
      <c r="K563" s="138" t="s">
        <v>1305</v>
      </c>
      <c r="M563" s="138">
        <f t="shared" si="81"/>
        <v>0</v>
      </c>
      <c r="N563" s="138" t="s">
        <v>1305</v>
      </c>
      <c r="P563" s="138">
        <f t="shared" si="82"/>
        <v>0</v>
      </c>
      <c r="Q563" s="138" t="s">
        <v>1305</v>
      </c>
      <c r="S563" s="138">
        <f t="shared" si="83"/>
        <v>0</v>
      </c>
      <c r="T563" s="138" t="s">
        <v>1305</v>
      </c>
      <c r="V563" s="138">
        <f t="shared" si="84"/>
        <v>0</v>
      </c>
    </row>
    <row r="564" spans="1:22" ht="15.75">
      <c r="A564" s="155" t="s">
        <v>1348</v>
      </c>
      <c r="B564" s="125" t="s">
        <v>1096</v>
      </c>
      <c r="C564" s="130">
        <f t="shared" si="79"/>
        <v>16.399999999999999</v>
      </c>
      <c r="E564" s="127" t="s">
        <v>1095</v>
      </c>
      <c r="F564">
        <v>1</v>
      </c>
      <c r="G564" s="127">
        <f t="shared" si="85"/>
        <v>11</v>
      </c>
      <c r="H564" s="127" t="s">
        <v>775</v>
      </c>
      <c r="I564" s="127">
        <v>1</v>
      </c>
      <c r="J564" s="127">
        <f t="shared" si="86"/>
        <v>0.4</v>
      </c>
      <c r="K564" s="127" t="s">
        <v>1239</v>
      </c>
      <c r="L564" s="127">
        <v>1</v>
      </c>
      <c r="M564" s="127">
        <f t="shared" si="81"/>
        <v>5</v>
      </c>
      <c r="N564" s="127" t="s">
        <v>1305</v>
      </c>
      <c r="P564" s="127">
        <f t="shared" si="82"/>
        <v>0</v>
      </c>
      <c r="Q564" s="127" t="s">
        <v>1305</v>
      </c>
      <c r="S564" s="127">
        <f t="shared" si="83"/>
        <v>0</v>
      </c>
      <c r="T564" s="127" t="s">
        <v>1305</v>
      </c>
      <c r="V564" s="127">
        <f t="shared" si="84"/>
        <v>0</v>
      </c>
    </row>
    <row r="565" spans="1:22" s="138" customFormat="1" ht="15.75">
      <c r="A565" s="138" t="s">
        <v>560</v>
      </c>
      <c r="B565" s="136" t="s">
        <v>1097</v>
      </c>
      <c r="C565" s="137">
        <f>'ECONOMIA &amp; PROFESIONES'!G41</f>
        <v>11</v>
      </c>
      <c r="D565" s="133"/>
      <c r="E565" s="138" t="s">
        <v>1305</v>
      </c>
      <c r="G565" s="138">
        <f t="shared" si="85"/>
        <v>0</v>
      </c>
      <c r="H565" s="138" t="s">
        <v>1305</v>
      </c>
      <c r="J565" s="138">
        <f t="shared" si="86"/>
        <v>0</v>
      </c>
      <c r="K565" s="138" t="s">
        <v>1305</v>
      </c>
      <c r="M565" s="138">
        <f t="shared" si="81"/>
        <v>0</v>
      </c>
      <c r="N565" s="138" t="s">
        <v>1305</v>
      </c>
      <c r="P565" s="138">
        <f t="shared" si="82"/>
        <v>0</v>
      </c>
      <c r="Q565" s="138" t="s">
        <v>1305</v>
      </c>
      <c r="S565" s="138">
        <f t="shared" si="83"/>
        <v>0</v>
      </c>
      <c r="T565" s="138" t="s">
        <v>1305</v>
      </c>
      <c r="V565" s="138">
        <f t="shared" si="84"/>
        <v>0</v>
      </c>
    </row>
    <row r="566" spans="1:22" ht="15.75">
      <c r="A566" s="155" t="s">
        <v>1351</v>
      </c>
      <c r="B566" s="125" t="s">
        <v>1098</v>
      </c>
      <c r="C566" s="130">
        <f t="shared" ref="C566:C627" si="89">(G566*F566)+(I566*J566)+(L566*M566)+(O566*P566)+(R566*S566)+(U566*V566)</f>
        <v>50</v>
      </c>
      <c r="E566" s="152" t="s">
        <v>1109</v>
      </c>
      <c r="F566" s="152">
        <v>6</v>
      </c>
      <c r="G566" s="152">
        <f t="shared" ref="G566:G570" si="90">VLOOKUP(E566,IDPOINTS,2,FALSE)</f>
        <v>8</v>
      </c>
      <c r="H566" s="152" t="s">
        <v>1208</v>
      </c>
      <c r="I566" s="152">
        <v>1</v>
      </c>
      <c r="J566" s="152">
        <f t="shared" ref="J566:J570" si="91">VLOOKUP(H566,IDPOINTS,2,FALSE)</f>
        <v>2</v>
      </c>
      <c r="K566" s="152" t="s">
        <v>1305</v>
      </c>
      <c r="L566" s="152"/>
      <c r="M566" s="127">
        <f t="shared" si="81"/>
        <v>0</v>
      </c>
      <c r="N566" s="127" t="s">
        <v>1305</v>
      </c>
      <c r="P566" s="127">
        <f t="shared" si="82"/>
        <v>0</v>
      </c>
      <c r="Q566" s="127" t="s">
        <v>1305</v>
      </c>
      <c r="S566" s="127">
        <f t="shared" si="83"/>
        <v>0</v>
      </c>
      <c r="T566" s="127" t="s">
        <v>1305</v>
      </c>
      <c r="V566" s="127">
        <f t="shared" si="84"/>
        <v>0</v>
      </c>
    </row>
    <row r="567" spans="1:22" ht="15.75">
      <c r="A567" s="155" t="s">
        <v>1351</v>
      </c>
      <c r="B567" s="125" t="s">
        <v>1099</v>
      </c>
      <c r="C567" s="130">
        <f t="shared" si="89"/>
        <v>27</v>
      </c>
      <c r="E567" s="152" t="s">
        <v>1109</v>
      </c>
      <c r="F567" s="152">
        <v>3</v>
      </c>
      <c r="G567" s="152">
        <f t="shared" si="90"/>
        <v>8</v>
      </c>
      <c r="H567" s="152" t="s">
        <v>1026</v>
      </c>
      <c r="I567" s="152">
        <v>3</v>
      </c>
      <c r="J567" s="152">
        <f t="shared" si="91"/>
        <v>1</v>
      </c>
      <c r="K567" s="152" t="s">
        <v>1305</v>
      </c>
      <c r="L567" s="152"/>
      <c r="M567" s="127">
        <f t="shared" si="81"/>
        <v>0</v>
      </c>
      <c r="N567" s="127" t="s">
        <v>1305</v>
      </c>
      <c r="P567" s="127">
        <f t="shared" si="82"/>
        <v>0</v>
      </c>
      <c r="Q567" s="127" t="s">
        <v>1305</v>
      </c>
      <c r="S567" s="127">
        <f t="shared" si="83"/>
        <v>0</v>
      </c>
      <c r="T567" s="127" t="s">
        <v>1305</v>
      </c>
      <c r="V567" s="127">
        <f t="shared" si="84"/>
        <v>0</v>
      </c>
    </row>
    <row r="568" spans="1:22" ht="15.75">
      <c r="A568" s="155" t="s">
        <v>1351</v>
      </c>
      <c r="B568" s="125" t="s">
        <v>1100</v>
      </c>
      <c r="C568" s="130">
        <f t="shared" si="89"/>
        <v>16</v>
      </c>
      <c r="E568" s="152" t="s">
        <v>1109</v>
      </c>
      <c r="F568" s="152">
        <v>2</v>
      </c>
      <c r="G568" s="152">
        <f t="shared" si="90"/>
        <v>8</v>
      </c>
      <c r="H568" s="152" t="s">
        <v>1305</v>
      </c>
      <c r="I568" s="152"/>
      <c r="J568" s="152">
        <f t="shared" si="91"/>
        <v>0</v>
      </c>
      <c r="K568" s="152" t="s">
        <v>1305</v>
      </c>
      <c r="L568" s="152"/>
      <c r="M568" s="127">
        <f t="shared" ref="M568:M629" si="92">VLOOKUP(K568,IDPOINTS,2,FALSE)</f>
        <v>0</v>
      </c>
      <c r="N568" s="127" t="s">
        <v>1305</v>
      </c>
      <c r="P568" s="127">
        <f t="shared" ref="P568:P629" si="93">VLOOKUP(N568,IDPOINTS,2,FALSE)</f>
        <v>0</v>
      </c>
      <c r="Q568" s="127" t="s">
        <v>1305</v>
      </c>
      <c r="S568" s="127">
        <f t="shared" ref="S568:S629" si="94">VLOOKUP(Q568,IDPOINTS,2,FALSE)</f>
        <v>0</v>
      </c>
      <c r="T568" s="127" t="s">
        <v>1305</v>
      </c>
      <c r="V568" s="127">
        <f t="shared" ref="V568:V629" si="95">VLOOKUP(T568,IDPOINTS,2,FALSE)</f>
        <v>0</v>
      </c>
    </row>
    <row r="569" spans="1:22" ht="15.75">
      <c r="A569" s="155" t="s">
        <v>1351</v>
      </c>
      <c r="B569" s="125" t="s">
        <v>1101</v>
      </c>
      <c r="C569" s="130">
        <f t="shared" si="89"/>
        <v>26</v>
      </c>
      <c r="E569" s="152" t="s">
        <v>1102</v>
      </c>
      <c r="F569" s="152">
        <v>1</v>
      </c>
      <c r="G569" s="152">
        <f t="shared" si="90"/>
        <v>26</v>
      </c>
      <c r="H569" s="152" t="s">
        <v>1305</v>
      </c>
      <c r="I569" s="152"/>
      <c r="J569" s="152">
        <f t="shared" si="91"/>
        <v>0</v>
      </c>
      <c r="K569" s="152" t="s">
        <v>1305</v>
      </c>
      <c r="L569" s="152"/>
      <c r="M569" s="127">
        <f t="shared" si="92"/>
        <v>0</v>
      </c>
      <c r="N569" s="127" t="s">
        <v>1305</v>
      </c>
      <c r="P569" s="127">
        <f t="shared" si="93"/>
        <v>0</v>
      </c>
      <c r="Q569" s="127" t="s">
        <v>1305</v>
      </c>
      <c r="S569" s="127">
        <f t="shared" si="94"/>
        <v>0</v>
      </c>
      <c r="T569" s="127" t="s">
        <v>1305</v>
      </c>
      <c r="V569" s="127">
        <f t="shared" si="95"/>
        <v>0</v>
      </c>
    </row>
    <row r="570" spans="1:22" ht="15.75">
      <c r="A570" s="155" t="s">
        <v>1351</v>
      </c>
      <c r="B570" s="125" t="s">
        <v>1102</v>
      </c>
      <c r="C570" s="130">
        <f t="shared" si="89"/>
        <v>26</v>
      </c>
      <c r="E570" s="152" t="s">
        <v>1158</v>
      </c>
      <c r="F570" s="152">
        <v>4</v>
      </c>
      <c r="G570" s="152">
        <f t="shared" si="90"/>
        <v>5</v>
      </c>
      <c r="H570" s="152" t="s">
        <v>844</v>
      </c>
      <c r="I570" s="152">
        <v>4</v>
      </c>
      <c r="J570" s="152">
        <f t="shared" si="91"/>
        <v>1</v>
      </c>
      <c r="K570" s="152" t="s">
        <v>1103</v>
      </c>
      <c r="L570" s="152">
        <v>1</v>
      </c>
      <c r="M570" s="127">
        <f t="shared" si="92"/>
        <v>2</v>
      </c>
      <c r="N570" s="127" t="s">
        <v>1305</v>
      </c>
      <c r="P570" s="127">
        <f t="shared" si="93"/>
        <v>0</v>
      </c>
      <c r="Q570" s="127" t="s">
        <v>1305</v>
      </c>
      <c r="S570" s="127">
        <f t="shared" si="94"/>
        <v>0</v>
      </c>
      <c r="T570" s="127" t="s">
        <v>1305</v>
      </c>
      <c r="V570" s="127">
        <f t="shared" si="95"/>
        <v>0</v>
      </c>
    </row>
    <row r="571" spans="1:22" s="13" customFormat="1" ht="15.75">
      <c r="A571" s="155" t="s">
        <v>1351</v>
      </c>
      <c r="B571" s="145" t="s">
        <v>1103</v>
      </c>
      <c r="C571" s="146">
        <f t="shared" si="89"/>
        <v>2</v>
      </c>
      <c r="D571" s="133"/>
      <c r="E571" s="13" t="s">
        <v>603</v>
      </c>
      <c r="F571" s="13">
        <v>1</v>
      </c>
      <c r="G571" s="13">
        <f t="shared" ref="G571:G629" si="96">VLOOKUP(E571,IDPOINTS,2,FALSE)</f>
        <v>1</v>
      </c>
      <c r="H571" s="13" t="s">
        <v>1129</v>
      </c>
      <c r="I571" s="13">
        <v>1</v>
      </c>
      <c r="J571" s="13">
        <f t="shared" ref="J571:J629" si="97">VLOOKUP(H571,IDPOINTS,2,FALSE)</f>
        <v>1</v>
      </c>
      <c r="K571" s="13" t="s">
        <v>1305</v>
      </c>
      <c r="M571" s="13">
        <f t="shared" si="92"/>
        <v>0</v>
      </c>
      <c r="N571" s="13" t="s">
        <v>1305</v>
      </c>
      <c r="P571" s="13">
        <f t="shared" si="93"/>
        <v>0</v>
      </c>
      <c r="Q571" s="13" t="s">
        <v>1305</v>
      </c>
      <c r="S571" s="13">
        <f t="shared" si="94"/>
        <v>0</v>
      </c>
      <c r="T571" s="13" t="s">
        <v>1305</v>
      </c>
      <c r="V571" s="13">
        <f t="shared" si="95"/>
        <v>0</v>
      </c>
    </row>
    <row r="572" spans="1:22" ht="15.75">
      <c r="A572" s="155" t="s">
        <v>1351</v>
      </c>
      <c r="B572" s="125" t="s">
        <v>1104</v>
      </c>
      <c r="C572" s="130">
        <f t="shared" si="89"/>
        <v>253</v>
      </c>
      <c r="E572" s="152" t="s">
        <v>1108</v>
      </c>
      <c r="F572" s="152">
        <v>1</v>
      </c>
      <c r="G572" s="152">
        <f t="shared" si="96"/>
        <v>250</v>
      </c>
      <c r="H572" s="152" t="s">
        <v>672</v>
      </c>
      <c r="I572" s="152">
        <v>1</v>
      </c>
      <c r="J572" s="127">
        <f t="shared" si="97"/>
        <v>3</v>
      </c>
      <c r="K572" s="127" t="s">
        <v>1305</v>
      </c>
      <c r="M572" s="127">
        <f t="shared" si="92"/>
        <v>0</v>
      </c>
      <c r="N572" s="127" t="s">
        <v>1305</v>
      </c>
      <c r="P572" s="127">
        <f t="shared" si="93"/>
        <v>0</v>
      </c>
      <c r="Q572" s="127" t="s">
        <v>1305</v>
      </c>
      <c r="S572" s="127">
        <f t="shared" si="94"/>
        <v>0</v>
      </c>
      <c r="T572" s="127" t="s">
        <v>1305</v>
      </c>
      <c r="V572" s="127">
        <f t="shared" si="95"/>
        <v>0</v>
      </c>
    </row>
    <row r="573" spans="1:22" ht="15.75">
      <c r="A573" s="155" t="s">
        <v>1351</v>
      </c>
      <c r="B573" s="125" t="s">
        <v>1105</v>
      </c>
      <c r="C573" s="130">
        <f t="shared" si="89"/>
        <v>28</v>
      </c>
      <c r="E573" s="152" t="s">
        <v>1103</v>
      </c>
      <c r="F573" s="152">
        <v>1</v>
      </c>
      <c r="G573" s="152">
        <f t="shared" si="96"/>
        <v>2</v>
      </c>
      <c r="H573" s="152" t="s">
        <v>1170</v>
      </c>
      <c r="I573" s="152">
        <v>1</v>
      </c>
      <c r="J573" s="127">
        <f t="shared" si="97"/>
        <v>26</v>
      </c>
      <c r="K573" s="127" t="s">
        <v>1305</v>
      </c>
      <c r="M573" s="127">
        <f t="shared" si="92"/>
        <v>0</v>
      </c>
      <c r="N573" s="127" t="s">
        <v>1305</v>
      </c>
      <c r="P573" s="127">
        <f t="shared" si="93"/>
        <v>0</v>
      </c>
      <c r="Q573" s="127" t="s">
        <v>1305</v>
      </c>
      <c r="S573" s="127">
        <f t="shared" si="94"/>
        <v>0</v>
      </c>
      <c r="T573" s="127" t="s">
        <v>1305</v>
      </c>
      <c r="V573" s="127">
        <f t="shared" si="95"/>
        <v>0</v>
      </c>
    </row>
    <row r="574" spans="1:22" ht="15.75">
      <c r="A574" s="155" t="s">
        <v>1351</v>
      </c>
      <c r="B574" s="125" t="s">
        <v>1106</v>
      </c>
      <c r="C574" s="130">
        <f t="shared" si="89"/>
        <v>66</v>
      </c>
      <c r="E574" s="152" t="s">
        <v>814</v>
      </c>
      <c r="F574" s="152">
        <v>8</v>
      </c>
      <c r="G574" s="152">
        <f t="shared" si="96"/>
        <v>8</v>
      </c>
      <c r="H574" s="152" t="s">
        <v>1103</v>
      </c>
      <c r="I574" s="152">
        <v>1</v>
      </c>
      <c r="J574" s="127">
        <f t="shared" si="97"/>
        <v>2</v>
      </c>
      <c r="K574" s="127" t="s">
        <v>1305</v>
      </c>
      <c r="M574" s="127">
        <f t="shared" si="92"/>
        <v>0</v>
      </c>
      <c r="N574" s="127" t="s">
        <v>1305</v>
      </c>
      <c r="P574" s="127">
        <f t="shared" si="93"/>
        <v>0</v>
      </c>
      <c r="Q574" s="127" t="s">
        <v>1305</v>
      </c>
      <c r="S574" s="127">
        <f t="shared" si="94"/>
        <v>0</v>
      </c>
      <c r="T574" s="127" t="s">
        <v>1305</v>
      </c>
      <c r="V574" s="127">
        <f t="shared" si="95"/>
        <v>0</v>
      </c>
    </row>
    <row r="575" spans="1:22" ht="15.75">
      <c r="A575" s="155" t="s">
        <v>1351</v>
      </c>
      <c r="B575" s="125" t="s">
        <v>1107</v>
      </c>
      <c r="C575" s="130">
        <f t="shared" si="89"/>
        <v>396</v>
      </c>
      <c r="E575" s="152" t="s">
        <v>1106</v>
      </c>
      <c r="F575" s="152">
        <v>6</v>
      </c>
      <c r="G575" s="152">
        <f t="shared" si="96"/>
        <v>66</v>
      </c>
      <c r="H575" s="152" t="s">
        <v>1305</v>
      </c>
      <c r="I575" s="152"/>
      <c r="J575" s="127">
        <f t="shared" si="97"/>
        <v>0</v>
      </c>
      <c r="K575" s="127" t="s">
        <v>1305</v>
      </c>
      <c r="M575" s="127">
        <f t="shared" si="92"/>
        <v>0</v>
      </c>
      <c r="N575" s="127" t="s">
        <v>1305</v>
      </c>
      <c r="P575" s="127">
        <f t="shared" si="93"/>
        <v>0</v>
      </c>
      <c r="Q575" s="127" t="s">
        <v>1305</v>
      </c>
      <c r="S575" s="127">
        <f t="shared" si="94"/>
        <v>0</v>
      </c>
      <c r="T575" s="127" t="s">
        <v>1305</v>
      </c>
      <c r="V575" s="127">
        <f t="shared" si="95"/>
        <v>0</v>
      </c>
    </row>
    <row r="576" spans="1:22" ht="15.75">
      <c r="A576" s="155" t="s">
        <v>1351</v>
      </c>
      <c r="B576" s="125" t="s">
        <v>1108</v>
      </c>
      <c r="C576" s="130">
        <f t="shared" si="89"/>
        <v>250</v>
      </c>
      <c r="E576" s="152" t="s">
        <v>1245</v>
      </c>
      <c r="F576" s="152">
        <v>8</v>
      </c>
      <c r="G576" s="152">
        <f t="shared" si="96"/>
        <v>31</v>
      </c>
      <c r="H576" s="152" t="s">
        <v>1103</v>
      </c>
      <c r="I576" s="152">
        <v>1</v>
      </c>
      <c r="J576" s="127">
        <f t="shared" si="97"/>
        <v>2</v>
      </c>
      <c r="K576" s="127" t="s">
        <v>1305</v>
      </c>
      <c r="M576" s="127">
        <f t="shared" si="92"/>
        <v>0</v>
      </c>
      <c r="N576" s="127" t="s">
        <v>1305</v>
      </c>
      <c r="P576" s="127">
        <f t="shared" si="93"/>
        <v>0</v>
      </c>
      <c r="Q576" s="127" t="s">
        <v>1305</v>
      </c>
      <c r="S576" s="127">
        <f t="shared" si="94"/>
        <v>0</v>
      </c>
      <c r="T576" s="127" t="s">
        <v>1305</v>
      </c>
      <c r="V576" s="127">
        <f t="shared" si="95"/>
        <v>0</v>
      </c>
    </row>
    <row r="577" spans="1:22" ht="15.75">
      <c r="A577" s="155" t="s">
        <v>1351</v>
      </c>
      <c r="B577" s="125" t="s">
        <v>1109</v>
      </c>
      <c r="C577" s="130">
        <f t="shared" si="89"/>
        <v>8</v>
      </c>
      <c r="E577" s="152" t="s">
        <v>1274</v>
      </c>
      <c r="F577" s="152">
        <v>1</v>
      </c>
      <c r="G577" s="152">
        <f t="shared" si="96"/>
        <v>6</v>
      </c>
      <c r="H577" s="152" t="s">
        <v>1103</v>
      </c>
      <c r="I577" s="152">
        <v>1</v>
      </c>
      <c r="J577" s="127">
        <f t="shared" si="97"/>
        <v>2</v>
      </c>
      <c r="K577" s="127" t="s">
        <v>1305</v>
      </c>
      <c r="M577" s="127">
        <f t="shared" si="92"/>
        <v>0</v>
      </c>
      <c r="N577" s="127" t="s">
        <v>1305</v>
      </c>
      <c r="P577" s="127">
        <f t="shared" si="93"/>
        <v>0</v>
      </c>
      <c r="Q577" s="127" t="s">
        <v>1305</v>
      </c>
      <c r="S577" s="127">
        <f t="shared" si="94"/>
        <v>0</v>
      </c>
      <c r="T577" s="127" t="s">
        <v>1305</v>
      </c>
      <c r="V577" s="127">
        <f t="shared" si="95"/>
        <v>0</v>
      </c>
    </row>
    <row r="578" spans="1:22" ht="15.75">
      <c r="A578" s="155" t="s">
        <v>1346</v>
      </c>
      <c r="B578" s="125" t="s">
        <v>1110</v>
      </c>
      <c r="C578" s="130">
        <f t="shared" si="89"/>
        <v>44</v>
      </c>
      <c r="E578" s="127" t="s">
        <v>1080</v>
      </c>
      <c r="F578">
        <v>4</v>
      </c>
      <c r="G578" s="127">
        <f t="shared" si="96"/>
        <v>11</v>
      </c>
      <c r="H578" s="127" t="s">
        <v>1305</v>
      </c>
      <c r="J578" s="127">
        <f t="shared" si="97"/>
        <v>0</v>
      </c>
      <c r="K578" s="127" t="s">
        <v>1305</v>
      </c>
      <c r="M578" s="127">
        <f t="shared" si="92"/>
        <v>0</v>
      </c>
      <c r="N578" s="127" t="s">
        <v>1305</v>
      </c>
      <c r="P578" s="127">
        <f t="shared" si="93"/>
        <v>0</v>
      </c>
      <c r="Q578" s="127" t="s">
        <v>1305</v>
      </c>
      <c r="S578" s="127">
        <f t="shared" si="94"/>
        <v>0</v>
      </c>
      <c r="T578" s="127" t="s">
        <v>1305</v>
      </c>
      <c r="V578" s="127">
        <f t="shared" si="95"/>
        <v>0</v>
      </c>
    </row>
    <row r="579" spans="1:22" ht="15.75">
      <c r="A579" s="155" t="s">
        <v>1346</v>
      </c>
      <c r="B579" s="125" t="s">
        <v>1111</v>
      </c>
      <c r="C579" s="130">
        <f t="shared" si="89"/>
        <v>264</v>
      </c>
      <c r="E579" s="127" t="s">
        <v>1112</v>
      </c>
      <c r="F579">
        <v>2</v>
      </c>
      <c r="G579" s="127">
        <f t="shared" si="96"/>
        <v>132</v>
      </c>
      <c r="H579" s="127" t="s">
        <v>1305</v>
      </c>
      <c r="J579" s="127">
        <f t="shared" si="97"/>
        <v>0</v>
      </c>
      <c r="K579" s="127" t="s">
        <v>1305</v>
      </c>
      <c r="M579" s="127">
        <f t="shared" si="92"/>
        <v>0</v>
      </c>
      <c r="N579" s="127" t="s">
        <v>1305</v>
      </c>
      <c r="P579" s="127">
        <f t="shared" si="93"/>
        <v>0</v>
      </c>
      <c r="Q579" s="127" t="s">
        <v>1305</v>
      </c>
      <c r="S579" s="127">
        <f t="shared" si="94"/>
        <v>0</v>
      </c>
      <c r="T579" s="127" t="s">
        <v>1305</v>
      </c>
      <c r="V579" s="127">
        <f t="shared" si="95"/>
        <v>0</v>
      </c>
    </row>
    <row r="580" spans="1:22" ht="15.75">
      <c r="A580" s="155" t="s">
        <v>1346</v>
      </c>
      <c r="B580" s="125" t="s">
        <v>1112</v>
      </c>
      <c r="C580" s="130">
        <f t="shared" si="89"/>
        <v>132</v>
      </c>
      <c r="E580" s="127" t="s">
        <v>1110</v>
      </c>
      <c r="F580">
        <v>3</v>
      </c>
      <c r="G580" s="127">
        <f t="shared" si="96"/>
        <v>44</v>
      </c>
      <c r="H580" s="127" t="s">
        <v>1305</v>
      </c>
      <c r="J580" s="127">
        <f t="shared" si="97"/>
        <v>0</v>
      </c>
      <c r="K580" s="127" t="s">
        <v>1305</v>
      </c>
      <c r="M580" s="127">
        <f t="shared" si="92"/>
        <v>0</v>
      </c>
      <c r="N580" s="127" t="s">
        <v>1305</v>
      </c>
      <c r="P580" s="127">
        <f t="shared" si="93"/>
        <v>0</v>
      </c>
      <c r="Q580" s="127" t="s">
        <v>1305</v>
      </c>
      <c r="S580" s="127">
        <f t="shared" si="94"/>
        <v>0</v>
      </c>
      <c r="T580" s="127" t="s">
        <v>1305</v>
      </c>
      <c r="V580" s="127">
        <f t="shared" si="95"/>
        <v>0</v>
      </c>
    </row>
    <row r="581" spans="1:22" ht="15.75">
      <c r="A581" s="155" t="s">
        <v>1346</v>
      </c>
      <c r="B581" s="125" t="s">
        <v>1113</v>
      </c>
      <c r="C581" s="130">
        <f t="shared" si="89"/>
        <v>264</v>
      </c>
      <c r="E581" s="127" t="s">
        <v>1110</v>
      </c>
      <c r="F581">
        <v>6</v>
      </c>
      <c r="G581" s="127">
        <f t="shared" si="96"/>
        <v>44</v>
      </c>
      <c r="H581" s="127" t="s">
        <v>1305</v>
      </c>
      <c r="J581" s="127">
        <f t="shared" si="97"/>
        <v>0</v>
      </c>
      <c r="K581" s="127" t="s">
        <v>1305</v>
      </c>
      <c r="M581" s="127">
        <f t="shared" si="92"/>
        <v>0</v>
      </c>
      <c r="N581" s="127" t="s">
        <v>1305</v>
      </c>
      <c r="P581" s="127">
        <f t="shared" si="93"/>
        <v>0</v>
      </c>
      <c r="Q581" s="127" t="s">
        <v>1305</v>
      </c>
      <c r="S581" s="127">
        <f t="shared" si="94"/>
        <v>0</v>
      </c>
      <c r="T581" s="127" t="s">
        <v>1305</v>
      </c>
      <c r="V581" s="127">
        <f t="shared" si="95"/>
        <v>0</v>
      </c>
    </row>
    <row r="582" spans="1:22" s="138" customFormat="1" ht="15.75">
      <c r="A582" s="138" t="s">
        <v>1337</v>
      </c>
      <c r="B582" s="136" t="s">
        <v>1114</v>
      </c>
      <c r="C582" s="137">
        <f>'ECONOMIA &amp; PROFESIONES'!C40</f>
        <v>9</v>
      </c>
      <c r="D582" s="133"/>
      <c r="E582" s="138" t="s">
        <v>1305</v>
      </c>
      <c r="G582" s="138">
        <f t="shared" si="96"/>
        <v>0</v>
      </c>
      <c r="H582" s="138" t="s">
        <v>1305</v>
      </c>
      <c r="J582" s="138">
        <f t="shared" si="97"/>
        <v>0</v>
      </c>
      <c r="K582" s="138" t="s">
        <v>1305</v>
      </c>
      <c r="M582" s="138">
        <f t="shared" si="92"/>
        <v>0</v>
      </c>
      <c r="N582" s="138" t="s">
        <v>1305</v>
      </c>
      <c r="P582" s="138">
        <f t="shared" si="93"/>
        <v>0</v>
      </c>
      <c r="Q582" s="138" t="s">
        <v>1305</v>
      </c>
      <c r="S582" s="138">
        <f t="shared" si="94"/>
        <v>0</v>
      </c>
      <c r="T582" s="138" t="s">
        <v>1305</v>
      </c>
      <c r="V582" s="138">
        <f t="shared" si="95"/>
        <v>0</v>
      </c>
    </row>
    <row r="583" spans="1:22" ht="15.75">
      <c r="A583" s="155" t="s">
        <v>1346</v>
      </c>
      <c r="B583" s="125" t="s">
        <v>1115</v>
      </c>
      <c r="C583" s="130">
        <f t="shared" si="89"/>
        <v>36</v>
      </c>
      <c r="E583" s="127" t="s">
        <v>1114</v>
      </c>
      <c r="F583">
        <v>4</v>
      </c>
      <c r="G583" s="127">
        <f t="shared" si="96"/>
        <v>9</v>
      </c>
      <c r="H583" s="127" t="s">
        <v>1305</v>
      </c>
      <c r="J583" s="127">
        <f t="shared" si="97"/>
        <v>0</v>
      </c>
      <c r="K583" s="127" t="s">
        <v>1305</v>
      </c>
      <c r="M583" s="127">
        <f t="shared" si="92"/>
        <v>0</v>
      </c>
      <c r="N583" s="127" t="s">
        <v>1305</v>
      </c>
      <c r="P583" s="127">
        <f t="shared" si="93"/>
        <v>0</v>
      </c>
      <c r="Q583" s="127" t="s">
        <v>1305</v>
      </c>
      <c r="S583" s="127">
        <f t="shared" si="94"/>
        <v>0</v>
      </c>
      <c r="T583" s="127" t="s">
        <v>1305</v>
      </c>
      <c r="V583" s="127">
        <f t="shared" si="95"/>
        <v>0</v>
      </c>
    </row>
    <row r="584" spans="1:22" ht="15.75">
      <c r="A584" s="155" t="s">
        <v>1346</v>
      </c>
      <c r="B584" s="125" t="s">
        <v>1116</v>
      </c>
      <c r="C584" s="130">
        <f t="shared" si="89"/>
        <v>216</v>
      </c>
      <c r="E584" s="127" t="s">
        <v>1117</v>
      </c>
      <c r="F584">
        <v>2</v>
      </c>
      <c r="G584" s="127">
        <f t="shared" si="96"/>
        <v>108</v>
      </c>
      <c r="H584" s="127" t="s">
        <v>1305</v>
      </c>
      <c r="J584" s="127">
        <f t="shared" si="97"/>
        <v>0</v>
      </c>
      <c r="K584" s="127" t="s">
        <v>1305</v>
      </c>
      <c r="M584" s="127">
        <f t="shared" si="92"/>
        <v>0</v>
      </c>
      <c r="N584" s="127" t="s">
        <v>1305</v>
      </c>
      <c r="P584" s="127">
        <f t="shared" si="93"/>
        <v>0</v>
      </c>
      <c r="Q584" s="127" t="s">
        <v>1305</v>
      </c>
      <c r="S584" s="127">
        <f t="shared" si="94"/>
        <v>0</v>
      </c>
      <c r="T584" s="127" t="s">
        <v>1305</v>
      </c>
      <c r="V584" s="127">
        <f t="shared" si="95"/>
        <v>0</v>
      </c>
    </row>
    <row r="585" spans="1:22" ht="15.75">
      <c r="A585" s="155" t="s">
        <v>1346</v>
      </c>
      <c r="B585" s="125" t="s">
        <v>1117</v>
      </c>
      <c r="C585" s="130">
        <f t="shared" si="89"/>
        <v>108</v>
      </c>
      <c r="E585" s="127" t="s">
        <v>1115</v>
      </c>
      <c r="F585">
        <v>3</v>
      </c>
      <c r="G585" s="127">
        <f t="shared" si="96"/>
        <v>36</v>
      </c>
      <c r="H585" s="127" t="s">
        <v>1305</v>
      </c>
      <c r="J585" s="127">
        <f t="shared" si="97"/>
        <v>0</v>
      </c>
      <c r="K585" s="127" t="s">
        <v>1305</v>
      </c>
      <c r="M585" s="127">
        <f t="shared" si="92"/>
        <v>0</v>
      </c>
      <c r="N585" s="127" t="s">
        <v>1305</v>
      </c>
      <c r="P585" s="127">
        <f t="shared" si="93"/>
        <v>0</v>
      </c>
      <c r="Q585" s="127" t="s">
        <v>1305</v>
      </c>
      <c r="S585" s="127">
        <f t="shared" si="94"/>
        <v>0</v>
      </c>
      <c r="T585" s="127" t="s">
        <v>1305</v>
      </c>
      <c r="V585" s="127">
        <f t="shared" si="95"/>
        <v>0</v>
      </c>
    </row>
    <row r="586" spans="1:22" ht="15.75">
      <c r="A586" s="155" t="s">
        <v>1346</v>
      </c>
      <c r="B586" s="125" t="s">
        <v>1118</v>
      </c>
      <c r="C586" s="130">
        <f t="shared" si="89"/>
        <v>216</v>
      </c>
      <c r="E586" s="127" t="s">
        <v>1115</v>
      </c>
      <c r="F586">
        <v>6</v>
      </c>
      <c r="G586" s="127">
        <f t="shared" si="96"/>
        <v>36</v>
      </c>
      <c r="H586" s="127" t="s">
        <v>1305</v>
      </c>
      <c r="J586" s="127">
        <f t="shared" si="97"/>
        <v>0</v>
      </c>
      <c r="K586" s="127" t="s">
        <v>1305</v>
      </c>
      <c r="M586" s="127">
        <f t="shared" si="92"/>
        <v>0</v>
      </c>
      <c r="N586" s="127" t="s">
        <v>1305</v>
      </c>
      <c r="P586" s="127">
        <f t="shared" si="93"/>
        <v>0</v>
      </c>
      <c r="Q586" s="127" t="s">
        <v>1305</v>
      </c>
      <c r="S586" s="127">
        <f t="shared" si="94"/>
        <v>0</v>
      </c>
      <c r="T586" s="127" t="s">
        <v>1305</v>
      </c>
      <c r="V586" s="127">
        <f t="shared" si="95"/>
        <v>0</v>
      </c>
    </row>
    <row r="587" spans="1:22" s="138" customFormat="1" ht="15.75">
      <c r="A587" s="138" t="s">
        <v>1340</v>
      </c>
      <c r="B587" s="136" t="s">
        <v>1119</v>
      </c>
      <c r="C587" s="137">
        <f>'ECONOMIA &amp; PROFESIONES'!I36</f>
        <v>9</v>
      </c>
      <c r="D587" s="133"/>
      <c r="E587" s="138" t="s">
        <v>1305</v>
      </c>
      <c r="G587" s="138">
        <f t="shared" si="96"/>
        <v>0</v>
      </c>
      <c r="H587" s="138" t="s">
        <v>1305</v>
      </c>
      <c r="J587" s="138">
        <f t="shared" si="97"/>
        <v>0</v>
      </c>
      <c r="K587" s="138" t="s">
        <v>1305</v>
      </c>
      <c r="M587" s="138">
        <f t="shared" si="92"/>
        <v>0</v>
      </c>
      <c r="N587" s="138" t="s">
        <v>1305</v>
      </c>
      <c r="P587" s="138">
        <f t="shared" si="93"/>
        <v>0</v>
      </c>
      <c r="Q587" s="138" t="s">
        <v>1305</v>
      </c>
      <c r="S587" s="138">
        <f t="shared" si="94"/>
        <v>0</v>
      </c>
      <c r="T587" s="138" t="s">
        <v>1305</v>
      </c>
      <c r="V587" s="138">
        <f t="shared" si="95"/>
        <v>0</v>
      </c>
    </row>
    <row r="588" spans="1:22" s="138" customFormat="1" ht="15.75">
      <c r="A588" s="138" t="s">
        <v>1340</v>
      </c>
      <c r="B588" s="136" t="s">
        <v>1120</v>
      </c>
      <c r="C588" s="137">
        <f>'ECONOMIA &amp; PROFESIONES'!I36</f>
        <v>9</v>
      </c>
      <c r="D588" s="133"/>
      <c r="E588" s="138" t="s">
        <v>1305</v>
      </c>
      <c r="G588" s="138">
        <f t="shared" si="96"/>
        <v>0</v>
      </c>
      <c r="H588" s="138" t="s">
        <v>1305</v>
      </c>
      <c r="J588" s="138">
        <f t="shared" si="97"/>
        <v>0</v>
      </c>
      <c r="K588" s="138" t="s">
        <v>1305</v>
      </c>
      <c r="M588" s="138">
        <f t="shared" si="92"/>
        <v>0</v>
      </c>
      <c r="N588" s="138" t="s">
        <v>1305</v>
      </c>
      <c r="P588" s="138">
        <f t="shared" si="93"/>
        <v>0</v>
      </c>
      <c r="Q588" s="138" t="s">
        <v>1305</v>
      </c>
      <c r="S588" s="138">
        <f t="shared" si="94"/>
        <v>0</v>
      </c>
      <c r="T588" s="138" t="s">
        <v>1305</v>
      </c>
      <c r="V588" s="138">
        <f t="shared" si="95"/>
        <v>0</v>
      </c>
    </row>
    <row r="589" spans="1:22" s="138" customFormat="1" ht="15.75">
      <c r="A589" s="138" t="s">
        <v>1340</v>
      </c>
      <c r="B589" s="136" t="s">
        <v>1121</v>
      </c>
      <c r="C589" s="137">
        <f>'ECONOMIA &amp; PROFESIONES'!I36</f>
        <v>9</v>
      </c>
      <c r="D589" s="133"/>
      <c r="E589" s="138" t="s">
        <v>1305</v>
      </c>
      <c r="G589" s="138">
        <f t="shared" si="96"/>
        <v>0</v>
      </c>
      <c r="H589" s="138" t="s">
        <v>1305</v>
      </c>
      <c r="J589" s="138">
        <f t="shared" si="97"/>
        <v>0</v>
      </c>
      <c r="K589" s="138" t="s">
        <v>1305</v>
      </c>
      <c r="M589" s="138">
        <f t="shared" si="92"/>
        <v>0</v>
      </c>
      <c r="N589" s="138" t="s">
        <v>1305</v>
      </c>
      <c r="P589" s="138">
        <f t="shared" si="93"/>
        <v>0</v>
      </c>
      <c r="Q589" s="138" t="s">
        <v>1305</v>
      </c>
      <c r="S589" s="138">
        <f t="shared" si="94"/>
        <v>0</v>
      </c>
      <c r="T589" s="138" t="s">
        <v>1305</v>
      </c>
      <c r="V589" s="138">
        <f t="shared" si="95"/>
        <v>0</v>
      </c>
    </row>
    <row r="590" spans="1:22" ht="15.75">
      <c r="A590" s="155" t="s">
        <v>1348</v>
      </c>
      <c r="B590" s="125" t="s">
        <v>1122</v>
      </c>
      <c r="C590" s="130">
        <f t="shared" si="89"/>
        <v>35</v>
      </c>
      <c r="E590" s="127" t="s">
        <v>649</v>
      </c>
      <c r="F590">
        <v>1</v>
      </c>
      <c r="G590" s="127">
        <f t="shared" si="96"/>
        <v>5</v>
      </c>
      <c r="H590" s="127" t="s">
        <v>636</v>
      </c>
      <c r="I590" s="127">
        <v>1</v>
      </c>
      <c r="J590" s="127">
        <f t="shared" si="97"/>
        <v>11</v>
      </c>
      <c r="K590" s="127" t="s">
        <v>618</v>
      </c>
      <c r="L590" s="127">
        <v>1</v>
      </c>
      <c r="M590" s="127">
        <f t="shared" si="92"/>
        <v>3</v>
      </c>
      <c r="N590" s="127" t="s">
        <v>561</v>
      </c>
      <c r="O590" s="127">
        <v>1</v>
      </c>
      <c r="P590" s="127">
        <f t="shared" si="93"/>
        <v>4</v>
      </c>
      <c r="Q590" s="127" t="s">
        <v>691</v>
      </c>
      <c r="R590" s="127">
        <v>1</v>
      </c>
      <c r="S590" s="127">
        <f t="shared" si="94"/>
        <v>12</v>
      </c>
      <c r="T590" s="127" t="s">
        <v>1305</v>
      </c>
      <c r="V590" s="127">
        <f t="shared" si="95"/>
        <v>0</v>
      </c>
    </row>
    <row r="591" spans="1:22" ht="15.75">
      <c r="A591" s="155" t="s">
        <v>595</v>
      </c>
      <c r="B591" s="125" t="s">
        <v>1123</v>
      </c>
      <c r="C591" s="130">
        <f t="shared" si="89"/>
        <v>26</v>
      </c>
      <c r="E591" s="127" t="s">
        <v>896</v>
      </c>
      <c r="F591">
        <v>6</v>
      </c>
      <c r="G591" s="127">
        <f t="shared" si="96"/>
        <v>4</v>
      </c>
      <c r="H591" s="127" t="s">
        <v>1208</v>
      </c>
      <c r="I591" s="127">
        <v>1</v>
      </c>
      <c r="J591" s="127">
        <f t="shared" si="97"/>
        <v>2</v>
      </c>
      <c r="K591" s="127" t="s">
        <v>1305</v>
      </c>
      <c r="M591" s="127">
        <f t="shared" si="92"/>
        <v>0</v>
      </c>
      <c r="N591" s="127" t="s">
        <v>1305</v>
      </c>
      <c r="P591" s="127">
        <f t="shared" si="93"/>
        <v>0</v>
      </c>
      <c r="Q591" s="127" t="s">
        <v>1305</v>
      </c>
      <c r="S591" s="127">
        <f t="shared" si="94"/>
        <v>0</v>
      </c>
      <c r="T591" s="127" t="s">
        <v>1305</v>
      </c>
      <c r="V591" s="127">
        <f t="shared" si="95"/>
        <v>0</v>
      </c>
    </row>
    <row r="592" spans="1:22" ht="15.75">
      <c r="A592" s="155" t="s">
        <v>1351</v>
      </c>
      <c r="B592" s="125" t="s">
        <v>1124</v>
      </c>
      <c r="C592" s="130">
        <f t="shared" si="89"/>
        <v>44</v>
      </c>
      <c r="E592" s="152" t="s">
        <v>1146</v>
      </c>
      <c r="F592" s="152">
        <v>6</v>
      </c>
      <c r="G592" s="152">
        <f t="shared" si="96"/>
        <v>7</v>
      </c>
      <c r="H592" s="152" t="s">
        <v>1208</v>
      </c>
      <c r="I592" s="152">
        <v>1</v>
      </c>
      <c r="J592" s="152">
        <f t="shared" si="97"/>
        <v>2</v>
      </c>
      <c r="K592" s="152" t="s">
        <v>1305</v>
      </c>
      <c r="L592" s="152"/>
      <c r="M592" s="127">
        <f t="shared" si="92"/>
        <v>0</v>
      </c>
      <c r="N592" s="127" t="s">
        <v>1305</v>
      </c>
      <c r="P592" s="127">
        <f t="shared" si="93"/>
        <v>0</v>
      </c>
      <c r="Q592" s="127" t="s">
        <v>1305</v>
      </c>
      <c r="S592" s="127">
        <f t="shared" si="94"/>
        <v>0</v>
      </c>
      <c r="T592" s="127" t="s">
        <v>1305</v>
      </c>
      <c r="V592" s="127">
        <f t="shared" si="95"/>
        <v>0</v>
      </c>
    </row>
    <row r="593" spans="1:22" ht="15.75">
      <c r="A593" s="155" t="s">
        <v>1351</v>
      </c>
      <c r="B593" s="125" t="s">
        <v>1125</v>
      </c>
      <c r="C593" s="130">
        <f t="shared" si="89"/>
        <v>24</v>
      </c>
      <c r="E593" s="152" t="s">
        <v>1146</v>
      </c>
      <c r="F593" s="152">
        <v>3</v>
      </c>
      <c r="G593" s="152">
        <f t="shared" si="96"/>
        <v>7</v>
      </c>
      <c r="H593" s="152" t="s">
        <v>1026</v>
      </c>
      <c r="I593" s="152">
        <v>3</v>
      </c>
      <c r="J593" s="152">
        <f t="shared" si="97"/>
        <v>1</v>
      </c>
      <c r="K593" s="152" t="s">
        <v>1305</v>
      </c>
      <c r="L593" s="152"/>
      <c r="M593" s="127">
        <f t="shared" si="92"/>
        <v>0</v>
      </c>
      <c r="N593" s="127" t="s">
        <v>1305</v>
      </c>
      <c r="P593" s="127">
        <f t="shared" si="93"/>
        <v>0</v>
      </c>
      <c r="Q593" s="127" t="s">
        <v>1305</v>
      </c>
      <c r="S593" s="127">
        <f t="shared" si="94"/>
        <v>0</v>
      </c>
      <c r="T593" s="127" t="s">
        <v>1305</v>
      </c>
      <c r="V593" s="127">
        <f t="shared" si="95"/>
        <v>0</v>
      </c>
    </row>
    <row r="594" spans="1:22" ht="15.75">
      <c r="A594" s="155" t="s">
        <v>1351</v>
      </c>
      <c r="B594" s="125" t="s">
        <v>1126</v>
      </c>
      <c r="C594" s="130">
        <f t="shared" si="89"/>
        <v>14</v>
      </c>
      <c r="E594" s="152" t="s">
        <v>1146</v>
      </c>
      <c r="F594" s="152">
        <v>2</v>
      </c>
      <c r="G594" s="152">
        <f t="shared" si="96"/>
        <v>7</v>
      </c>
      <c r="H594" s="152" t="s">
        <v>1305</v>
      </c>
      <c r="I594" s="152"/>
      <c r="J594" s="152">
        <f t="shared" si="97"/>
        <v>0</v>
      </c>
      <c r="K594" s="152" t="s">
        <v>1305</v>
      </c>
      <c r="L594" s="152"/>
      <c r="M594" s="127">
        <f t="shared" si="92"/>
        <v>0</v>
      </c>
      <c r="N594" s="127" t="s">
        <v>1305</v>
      </c>
      <c r="P594" s="127">
        <f t="shared" si="93"/>
        <v>0</v>
      </c>
      <c r="Q594" s="127" t="s">
        <v>1305</v>
      </c>
      <c r="S594" s="127">
        <f t="shared" si="94"/>
        <v>0</v>
      </c>
      <c r="T594" s="127" t="s">
        <v>1305</v>
      </c>
      <c r="V594" s="127">
        <f t="shared" si="95"/>
        <v>0</v>
      </c>
    </row>
    <row r="595" spans="1:22" ht="15.75">
      <c r="A595" s="155" t="s">
        <v>1351</v>
      </c>
      <c r="B595" s="125" t="s">
        <v>1127</v>
      </c>
      <c r="C595" s="130">
        <f t="shared" si="89"/>
        <v>25</v>
      </c>
      <c r="E595" s="152" t="s">
        <v>1128</v>
      </c>
      <c r="F595" s="152">
        <v>1</v>
      </c>
      <c r="G595" s="152">
        <f t="shared" si="96"/>
        <v>25</v>
      </c>
      <c r="H595" s="152" t="s">
        <v>1305</v>
      </c>
      <c r="I595" s="152"/>
      <c r="J595" s="152">
        <f t="shared" si="97"/>
        <v>0</v>
      </c>
      <c r="K595" s="152" t="s">
        <v>1305</v>
      </c>
      <c r="L595" s="152"/>
      <c r="M595" s="127">
        <f t="shared" si="92"/>
        <v>0</v>
      </c>
      <c r="N595" s="127" t="s">
        <v>1305</v>
      </c>
      <c r="P595" s="127">
        <f t="shared" si="93"/>
        <v>0</v>
      </c>
      <c r="Q595" s="127" t="s">
        <v>1305</v>
      </c>
      <c r="S595" s="127">
        <f t="shared" si="94"/>
        <v>0</v>
      </c>
      <c r="T595" s="127" t="s">
        <v>1305</v>
      </c>
      <c r="V595" s="127">
        <f t="shared" si="95"/>
        <v>0</v>
      </c>
    </row>
    <row r="596" spans="1:22" ht="15.75">
      <c r="A596" s="155" t="s">
        <v>1351</v>
      </c>
      <c r="B596" s="125" t="s">
        <v>1128</v>
      </c>
      <c r="C596" s="130">
        <f t="shared" si="89"/>
        <v>25</v>
      </c>
      <c r="E596" s="152" t="s">
        <v>1158</v>
      </c>
      <c r="F596" s="152">
        <v>4</v>
      </c>
      <c r="G596" s="152">
        <f t="shared" si="96"/>
        <v>5</v>
      </c>
      <c r="H596" s="152" t="s">
        <v>844</v>
      </c>
      <c r="I596" s="152">
        <v>4</v>
      </c>
      <c r="J596" s="152">
        <f t="shared" si="97"/>
        <v>1</v>
      </c>
      <c r="K596" s="152" t="s">
        <v>1129</v>
      </c>
      <c r="L596" s="152">
        <v>1</v>
      </c>
      <c r="M596" s="127">
        <f t="shared" si="92"/>
        <v>1</v>
      </c>
      <c r="N596" s="127" t="s">
        <v>1305</v>
      </c>
      <c r="P596" s="127">
        <f t="shared" si="93"/>
        <v>0</v>
      </c>
      <c r="Q596" s="127" t="s">
        <v>1305</v>
      </c>
      <c r="S596" s="127">
        <f t="shared" si="94"/>
        <v>0</v>
      </c>
      <c r="T596" s="127" t="s">
        <v>1305</v>
      </c>
      <c r="V596" s="127">
        <f t="shared" si="95"/>
        <v>0</v>
      </c>
    </row>
    <row r="597" spans="1:22" s="13" customFormat="1" ht="15.75">
      <c r="A597" s="155" t="s">
        <v>1351</v>
      </c>
      <c r="B597" s="145" t="s">
        <v>1129</v>
      </c>
      <c r="C597" s="146">
        <f t="shared" si="89"/>
        <v>1</v>
      </c>
      <c r="D597" s="133"/>
      <c r="E597" s="13" t="s">
        <v>1081</v>
      </c>
      <c r="F597" s="13">
        <v>1</v>
      </c>
      <c r="G597" s="13">
        <f t="shared" si="96"/>
        <v>1</v>
      </c>
      <c r="H597" s="13" t="s">
        <v>1145</v>
      </c>
      <c r="J597" s="13">
        <f t="shared" si="97"/>
        <v>1</v>
      </c>
      <c r="K597" s="13" t="s">
        <v>1305</v>
      </c>
      <c r="M597" s="13">
        <f t="shared" si="92"/>
        <v>0</v>
      </c>
      <c r="N597" s="13" t="s">
        <v>1305</v>
      </c>
      <c r="P597" s="13">
        <f t="shared" si="93"/>
        <v>0</v>
      </c>
      <c r="Q597" s="13" t="s">
        <v>1305</v>
      </c>
      <c r="S597" s="13">
        <f t="shared" si="94"/>
        <v>0</v>
      </c>
      <c r="T597" s="13" t="s">
        <v>1305</v>
      </c>
      <c r="V597" s="13">
        <f t="shared" si="95"/>
        <v>0</v>
      </c>
    </row>
    <row r="598" spans="1:22" ht="15.75">
      <c r="A598" s="155" t="s">
        <v>1351</v>
      </c>
      <c r="B598" s="125" t="s">
        <v>1130</v>
      </c>
      <c r="C598" s="130">
        <f t="shared" si="89"/>
        <v>252</v>
      </c>
      <c r="E598" s="152" t="s">
        <v>1144</v>
      </c>
      <c r="F598" s="152">
        <v>1</v>
      </c>
      <c r="G598" s="152">
        <f t="shared" ref="G598" si="98">VLOOKUP(E598,IDPOINTS,2,FALSE)</f>
        <v>249</v>
      </c>
      <c r="H598" s="152" t="s">
        <v>672</v>
      </c>
      <c r="I598" s="152">
        <v>1</v>
      </c>
      <c r="J598" s="127">
        <f t="shared" si="97"/>
        <v>3</v>
      </c>
      <c r="K598" s="127" t="s">
        <v>1305</v>
      </c>
      <c r="M598" s="127">
        <f t="shared" si="92"/>
        <v>0</v>
      </c>
      <c r="N598" s="127" t="s">
        <v>1305</v>
      </c>
      <c r="P598" s="127">
        <f t="shared" si="93"/>
        <v>0</v>
      </c>
      <c r="Q598" s="127" t="s">
        <v>1305</v>
      </c>
      <c r="S598" s="127">
        <f t="shared" si="94"/>
        <v>0</v>
      </c>
      <c r="T598" s="127" t="s">
        <v>1305</v>
      </c>
      <c r="V598" s="127">
        <f t="shared" si="95"/>
        <v>0</v>
      </c>
    </row>
    <row r="599" spans="1:22" s="138" customFormat="1" ht="15.75">
      <c r="A599" s="138" t="s">
        <v>560</v>
      </c>
      <c r="B599" s="136" t="s">
        <v>1131</v>
      </c>
      <c r="C599" s="137">
        <f>'ECONOMIA &amp; PROFESIONES'!G42</f>
        <v>11</v>
      </c>
      <c r="D599" s="133"/>
      <c r="E599" s="138" t="s">
        <v>1305</v>
      </c>
      <c r="G599" s="138">
        <f t="shared" si="96"/>
        <v>0</v>
      </c>
      <c r="H599" s="138" t="s">
        <v>1305</v>
      </c>
      <c r="J599" s="138">
        <f t="shared" si="97"/>
        <v>0</v>
      </c>
      <c r="K599" s="138" t="s">
        <v>1305</v>
      </c>
      <c r="M599" s="138">
        <f t="shared" si="92"/>
        <v>0</v>
      </c>
      <c r="N599" s="138" t="s">
        <v>1305</v>
      </c>
      <c r="P599" s="138">
        <f t="shared" si="93"/>
        <v>0</v>
      </c>
      <c r="Q599" s="138" t="s">
        <v>1305</v>
      </c>
      <c r="S599" s="138">
        <f t="shared" si="94"/>
        <v>0</v>
      </c>
      <c r="T599" s="138" t="s">
        <v>1305</v>
      </c>
      <c r="V599" s="138">
        <f t="shared" si="95"/>
        <v>0</v>
      </c>
    </row>
    <row r="600" spans="1:22" ht="15.75">
      <c r="A600" s="155" t="s">
        <v>1346</v>
      </c>
      <c r="B600" s="125" t="s">
        <v>1132</v>
      </c>
      <c r="C600" s="130">
        <f t="shared" si="89"/>
        <v>150</v>
      </c>
      <c r="E600" s="127" t="s">
        <v>1135</v>
      </c>
      <c r="F600">
        <v>3</v>
      </c>
      <c r="G600" s="127">
        <f t="shared" si="96"/>
        <v>50</v>
      </c>
      <c r="H600" s="127" t="s">
        <v>1305</v>
      </c>
      <c r="J600" s="127">
        <f t="shared" si="97"/>
        <v>0</v>
      </c>
      <c r="K600" s="127" t="s">
        <v>1305</v>
      </c>
      <c r="M600" s="127">
        <f t="shared" si="92"/>
        <v>0</v>
      </c>
      <c r="N600" s="127" t="s">
        <v>1305</v>
      </c>
      <c r="P600" s="127">
        <f t="shared" si="93"/>
        <v>0</v>
      </c>
      <c r="Q600" s="127" t="s">
        <v>1305</v>
      </c>
      <c r="S600" s="127">
        <f t="shared" si="94"/>
        <v>0</v>
      </c>
      <c r="T600" s="127" t="s">
        <v>1305</v>
      </c>
      <c r="V600" s="127">
        <f t="shared" si="95"/>
        <v>0</v>
      </c>
    </row>
    <row r="601" spans="1:22" ht="15.75">
      <c r="A601" s="155" t="s">
        <v>1346</v>
      </c>
      <c r="B601" s="125" t="s">
        <v>1133</v>
      </c>
      <c r="C601" s="130">
        <f t="shared" si="89"/>
        <v>300</v>
      </c>
      <c r="E601" s="127" t="s">
        <v>1135</v>
      </c>
      <c r="F601" s="13">
        <v>6</v>
      </c>
      <c r="G601" s="127">
        <f t="shared" si="96"/>
        <v>50</v>
      </c>
      <c r="H601" s="127" t="s">
        <v>1305</v>
      </c>
      <c r="J601" s="127">
        <f t="shared" si="97"/>
        <v>0</v>
      </c>
      <c r="K601" s="127" t="s">
        <v>1305</v>
      </c>
      <c r="M601" s="127">
        <f t="shared" si="92"/>
        <v>0</v>
      </c>
      <c r="N601" s="127" t="s">
        <v>1305</v>
      </c>
      <c r="P601" s="127">
        <f t="shared" si="93"/>
        <v>0</v>
      </c>
      <c r="Q601" s="127" t="s">
        <v>1305</v>
      </c>
      <c r="S601" s="127">
        <f t="shared" si="94"/>
        <v>0</v>
      </c>
      <c r="T601" s="127" t="s">
        <v>1305</v>
      </c>
      <c r="V601" s="127">
        <f t="shared" si="95"/>
        <v>0</v>
      </c>
    </row>
    <row r="602" spans="1:22" ht="15.75">
      <c r="A602" s="155" t="s">
        <v>1346</v>
      </c>
      <c r="B602" s="125" t="s">
        <v>1134</v>
      </c>
      <c r="C602" s="130">
        <f t="shared" si="89"/>
        <v>300</v>
      </c>
      <c r="E602" s="127" t="s">
        <v>1135</v>
      </c>
      <c r="F602">
        <v>6</v>
      </c>
      <c r="G602" s="127">
        <f t="shared" si="96"/>
        <v>50</v>
      </c>
      <c r="H602" s="127" t="s">
        <v>1305</v>
      </c>
      <c r="J602" s="127">
        <f t="shared" si="97"/>
        <v>0</v>
      </c>
      <c r="K602" s="127" t="s">
        <v>1305</v>
      </c>
      <c r="M602" s="127">
        <f t="shared" si="92"/>
        <v>0</v>
      </c>
      <c r="N602" s="127" t="s">
        <v>1305</v>
      </c>
      <c r="P602" s="127">
        <f t="shared" si="93"/>
        <v>0</v>
      </c>
      <c r="Q602" s="127" t="s">
        <v>1305</v>
      </c>
      <c r="S602" s="127">
        <f t="shared" si="94"/>
        <v>0</v>
      </c>
      <c r="T602" s="127" t="s">
        <v>1305</v>
      </c>
      <c r="V602" s="127">
        <f t="shared" si="95"/>
        <v>0</v>
      </c>
    </row>
    <row r="603" spans="1:22" ht="15.75">
      <c r="A603" s="155" t="s">
        <v>1346</v>
      </c>
      <c r="B603" s="125" t="s">
        <v>1135</v>
      </c>
      <c r="C603" s="130">
        <f t="shared" si="89"/>
        <v>50</v>
      </c>
      <c r="E603" s="127" t="s">
        <v>1017</v>
      </c>
      <c r="F603">
        <v>2</v>
      </c>
      <c r="G603" s="127">
        <f t="shared" si="96"/>
        <v>11</v>
      </c>
      <c r="H603" s="127" t="s">
        <v>1009</v>
      </c>
      <c r="I603" s="127">
        <v>2</v>
      </c>
      <c r="J603" s="127">
        <f t="shared" si="97"/>
        <v>14</v>
      </c>
      <c r="K603" s="127" t="s">
        <v>1305</v>
      </c>
      <c r="M603" s="127">
        <f t="shared" si="92"/>
        <v>0</v>
      </c>
      <c r="N603" s="127" t="s">
        <v>1305</v>
      </c>
      <c r="P603" s="127">
        <f t="shared" si="93"/>
        <v>0</v>
      </c>
      <c r="Q603" s="127" t="s">
        <v>1305</v>
      </c>
      <c r="S603" s="127">
        <f t="shared" si="94"/>
        <v>0</v>
      </c>
      <c r="T603" s="127" t="s">
        <v>1305</v>
      </c>
      <c r="V603" s="127">
        <f t="shared" si="95"/>
        <v>0</v>
      </c>
    </row>
    <row r="604" spans="1:22" s="138" customFormat="1" ht="15.75">
      <c r="A604" s="138" t="s">
        <v>560</v>
      </c>
      <c r="B604" s="136" t="s">
        <v>1136</v>
      </c>
      <c r="C604" s="137">
        <f>'ECONOMIA &amp; PROFESIONES'!C38</f>
        <v>7</v>
      </c>
      <c r="D604" s="133"/>
      <c r="E604" s="138" t="s">
        <v>1305</v>
      </c>
      <c r="G604" s="138">
        <f t="shared" si="96"/>
        <v>0</v>
      </c>
      <c r="H604" s="138" t="s">
        <v>1305</v>
      </c>
      <c r="J604" s="138">
        <f t="shared" si="97"/>
        <v>0</v>
      </c>
      <c r="K604" s="138" t="s">
        <v>1305</v>
      </c>
      <c r="M604" s="138">
        <f t="shared" si="92"/>
        <v>0</v>
      </c>
      <c r="N604" s="138" t="s">
        <v>1305</v>
      </c>
      <c r="P604" s="138">
        <f t="shared" si="93"/>
        <v>0</v>
      </c>
      <c r="Q604" s="138" t="s">
        <v>1305</v>
      </c>
      <c r="S604" s="138">
        <f t="shared" si="94"/>
        <v>0</v>
      </c>
      <c r="T604" s="138" t="s">
        <v>1305</v>
      </c>
      <c r="V604" s="138">
        <f t="shared" si="95"/>
        <v>0</v>
      </c>
    </row>
    <row r="605" spans="1:22" ht="15.75">
      <c r="A605" s="155" t="s">
        <v>1346</v>
      </c>
      <c r="B605" s="125" t="s">
        <v>1137</v>
      </c>
      <c r="C605" s="130">
        <f t="shared" si="89"/>
        <v>28</v>
      </c>
      <c r="E605" s="127" t="s">
        <v>1136</v>
      </c>
      <c r="F605">
        <v>4</v>
      </c>
      <c r="G605" s="127">
        <f t="shared" si="96"/>
        <v>7</v>
      </c>
      <c r="H605" s="127" t="s">
        <v>1305</v>
      </c>
      <c r="J605" s="127">
        <f t="shared" si="97"/>
        <v>0</v>
      </c>
      <c r="K605" s="127" t="s">
        <v>1305</v>
      </c>
      <c r="M605" s="127">
        <f t="shared" si="92"/>
        <v>0</v>
      </c>
      <c r="N605" s="127" t="s">
        <v>1305</v>
      </c>
      <c r="P605" s="127">
        <f t="shared" si="93"/>
        <v>0</v>
      </c>
      <c r="Q605" s="127" t="s">
        <v>1305</v>
      </c>
      <c r="S605" s="127">
        <f t="shared" si="94"/>
        <v>0</v>
      </c>
      <c r="T605" s="127" t="s">
        <v>1305</v>
      </c>
      <c r="V605" s="127">
        <f t="shared" si="95"/>
        <v>0</v>
      </c>
    </row>
    <row r="606" spans="1:22" ht="15.75">
      <c r="A606" s="155" t="s">
        <v>1346</v>
      </c>
      <c r="B606" s="125" t="s">
        <v>1138</v>
      </c>
      <c r="C606" s="130">
        <f t="shared" si="89"/>
        <v>84</v>
      </c>
      <c r="E606" s="127" t="s">
        <v>1137</v>
      </c>
      <c r="F606">
        <v>3</v>
      </c>
      <c r="G606" s="127">
        <f t="shared" si="96"/>
        <v>28</v>
      </c>
      <c r="H606" s="127" t="s">
        <v>1305</v>
      </c>
      <c r="J606" s="127">
        <f t="shared" si="97"/>
        <v>0</v>
      </c>
      <c r="K606" s="127" t="s">
        <v>1305</v>
      </c>
      <c r="M606" s="127">
        <f t="shared" si="92"/>
        <v>0</v>
      </c>
      <c r="N606" s="127" t="s">
        <v>1305</v>
      </c>
      <c r="P606" s="127">
        <f t="shared" si="93"/>
        <v>0</v>
      </c>
      <c r="Q606" s="127" t="s">
        <v>1305</v>
      </c>
      <c r="S606" s="127">
        <f t="shared" si="94"/>
        <v>0</v>
      </c>
      <c r="T606" s="127" t="s">
        <v>1305</v>
      </c>
      <c r="V606" s="127">
        <f t="shared" si="95"/>
        <v>0</v>
      </c>
    </row>
    <row r="607" spans="1:22" ht="15.75">
      <c r="A607" s="155" t="s">
        <v>1346</v>
      </c>
      <c r="B607" s="125" t="s">
        <v>1139</v>
      </c>
      <c r="C607" s="130">
        <f t="shared" si="89"/>
        <v>168</v>
      </c>
      <c r="E607" s="127" t="s">
        <v>1137</v>
      </c>
      <c r="F607">
        <v>6</v>
      </c>
      <c r="G607" s="127">
        <f t="shared" si="96"/>
        <v>28</v>
      </c>
      <c r="H607" s="127" t="s">
        <v>1305</v>
      </c>
      <c r="J607" s="127">
        <f t="shared" si="97"/>
        <v>0</v>
      </c>
      <c r="K607" s="127" t="s">
        <v>1305</v>
      </c>
      <c r="M607" s="127">
        <f t="shared" si="92"/>
        <v>0</v>
      </c>
      <c r="N607" s="127" t="s">
        <v>1305</v>
      </c>
      <c r="P607" s="127">
        <f t="shared" si="93"/>
        <v>0</v>
      </c>
      <c r="Q607" s="127" t="s">
        <v>1305</v>
      </c>
      <c r="S607" s="127">
        <f t="shared" si="94"/>
        <v>0</v>
      </c>
      <c r="T607" s="127" t="s">
        <v>1305</v>
      </c>
      <c r="V607" s="127">
        <f t="shared" si="95"/>
        <v>0</v>
      </c>
    </row>
    <row r="608" spans="1:22" ht="15.75">
      <c r="A608" s="155" t="s">
        <v>1346</v>
      </c>
      <c r="B608" s="125" t="s">
        <v>1140</v>
      </c>
      <c r="C608" s="130">
        <f t="shared" si="89"/>
        <v>168</v>
      </c>
      <c r="E608" s="127" t="s">
        <v>1137</v>
      </c>
      <c r="F608">
        <v>6</v>
      </c>
      <c r="G608" s="127">
        <f t="shared" si="96"/>
        <v>28</v>
      </c>
      <c r="H608" s="127" t="s">
        <v>1305</v>
      </c>
      <c r="J608" s="127">
        <f t="shared" si="97"/>
        <v>0</v>
      </c>
      <c r="K608" s="127" t="s">
        <v>1305</v>
      </c>
      <c r="M608" s="127">
        <f t="shared" si="92"/>
        <v>0</v>
      </c>
      <c r="N608" s="127" t="s">
        <v>1305</v>
      </c>
      <c r="P608" s="127">
        <f t="shared" si="93"/>
        <v>0</v>
      </c>
      <c r="Q608" s="127" t="s">
        <v>1305</v>
      </c>
      <c r="S608" s="127">
        <f t="shared" si="94"/>
        <v>0</v>
      </c>
      <c r="T608" s="127" t="s">
        <v>1305</v>
      </c>
      <c r="V608" s="127">
        <f t="shared" si="95"/>
        <v>0</v>
      </c>
    </row>
    <row r="609" spans="1:22" ht="15.75">
      <c r="A609" s="155" t="s">
        <v>1351</v>
      </c>
      <c r="B609" s="125" t="s">
        <v>1141</v>
      </c>
      <c r="C609" s="130">
        <f t="shared" si="89"/>
        <v>27</v>
      </c>
      <c r="E609" s="152" t="s">
        <v>1129</v>
      </c>
      <c r="F609" s="152">
        <v>1</v>
      </c>
      <c r="G609" s="152">
        <f t="shared" ref="G609:G613" si="99">VLOOKUP(E609,IDPOINTS,2,FALSE)</f>
        <v>1</v>
      </c>
      <c r="H609" s="152" t="s">
        <v>1170</v>
      </c>
      <c r="I609" s="152">
        <v>1</v>
      </c>
      <c r="J609" s="127">
        <f t="shared" si="97"/>
        <v>26</v>
      </c>
      <c r="K609" s="127" t="s">
        <v>1305</v>
      </c>
      <c r="M609" s="127">
        <f t="shared" si="92"/>
        <v>0</v>
      </c>
      <c r="N609" s="127" t="s">
        <v>1305</v>
      </c>
      <c r="P609" s="127">
        <f t="shared" si="93"/>
        <v>0</v>
      </c>
      <c r="Q609" s="127" t="s">
        <v>1305</v>
      </c>
      <c r="S609" s="127">
        <f t="shared" si="94"/>
        <v>0</v>
      </c>
      <c r="T609" s="127" t="s">
        <v>1305</v>
      </c>
      <c r="V609" s="127">
        <f t="shared" si="95"/>
        <v>0</v>
      </c>
    </row>
    <row r="610" spans="1:22" ht="15.75">
      <c r="A610" s="155" t="s">
        <v>1351</v>
      </c>
      <c r="B610" s="125" t="s">
        <v>1142</v>
      </c>
      <c r="C610" s="130">
        <f t="shared" si="89"/>
        <v>65</v>
      </c>
      <c r="E610" s="152" t="s">
        <v>814</v>
      </c>
      <c r="F610" s="152">
        <v>8</v>
      </c>
      <c r="G610" s="152">
        <f t="shared" si="99"/>
        <v>8</v>
      </c>
      <c r="H610" s="152" t="s">
        <v>1129</v>
      </c>
      <c r="I610" s="152">
        <v>1</v>
      </c>
      <c r="J610" s="127">
        <f t="shared" si="97"/>
        <v>1</v>
      </c>
      <c r="K610" s="127" t="s">
        <v>1305</v>
      </c>
      <c r="M610" s="127">
        <f t="shared" si="92"/>
        <v>0</v>
      </c>
      <c r="N610" s="127" t="s">
        <v>1305</v>
      </c>
      <c r="P610" s="127">
        <f t="shared" si="93"/>
        <v>0</v>
      </c>
      <c r="Q610" s="127" t="s">
        <v>1305</v>
      </c>
      <c r="S610" s="127">
        <f t="shared" si="94"/>
        <v>0</v>
      </c>
      <c r="T610" s="127" t="s">
        <v>1305</v>
      </c>
      <c r="V610" s="127">
        <f t="shared" si="95"/>
        <v>0</v>
      </c>
    </row>
    <row r="611" spans="1:22" ht="15.75">
      <c r="A611" s="155" t="s">
        <v>1351</v>
      </c>
      <c r="B611" s="125" t="s">
        <v>1143</v>
      </c>
      <c r="C611" s="130">
        <f t="shared" si="89"/>
        <v>390</v>
      </c>
      <c r="E611" s="152" t="s">
        <v>1142</v>
      </c>
      <c r="F611" s="152">
        <v>6</v>
      </c>
      <c r="G611" s="152">
        <f t="shared" si="99"/>
        <v>65</v>
      </c>
      <c r="H611" s="152" t="s">
        <v>1305</v>
      </c>
      <c r="I611" s="152"/>
      <c r="J611" s="127">
        <f t="shared" si="97"/>
        <v>0</v>
      </c>
      <c r="K611" s="127" t="s">
        <v>1305</v>
      </c>
      <c r="M611" s="127">
        <f t="shared" si="92"/>
        <v>0</v>
      </c>
      <c r="N611" s="127" t="s">
        <v>1305</v>
      </c>
      <c r="P611" s="127">
        <f t="shared" si="93"/>
        <v>0</v>
      </c>
      <c r="Q611" s="127" t="s">
        <v>1305</v>
      </c>
      <c r="S611" s="127">
        <f t="shared" si="94"/>
        <v>0</v>
      </c>
      <c r="T611" s="127" t="s">
        <v>1305</v>
      </c>
      <c r="V611" s="127">
        <f t="shared" si="95"/>
        <v>0</v>
      </c>
    </row>
    <row r="612" spans="1:22" ht="15.75">
      <c r="A612" s="155" t="s">
        <v>1351</v>
      </c>
      <c r="B612" s="125" t="s">
        <v>1144</v>
      </c>
      <c r="C612" s="130">
        <f t="shared" si="89"/>
        <v>249</v>
      </c>
      <c r="E612" s="152" t="s">
        <v>1245</v>
      </c>
      <c r="F612" s="152">
        <v>8</v>
      </c>
      <c r="G612" s="152">
        <f t="shared" si="99"/>
        <v>31</v>
      </c>
      <c r="H612" s="152" t="s">
        <v>1129</v>
      </c>
      <c r="I612" s="152">
        <v>1</v>
      </c>
      <c r="J612" s="127">
        <f t="shared" si="97"/>
        <v>1</v>
      </c>
      <c r="K612" s="127" t="s">
        <v>1305</v>
      </c>
      <c r="M612" s="127">
        <f t="shared" si="92"/>
        <v>0</v>
      </c>
      <c r="N612" s="127" t="s">
        <v>1305</v>
      </c>
      <c r="P612" s="127">
        <f t="shared" si="93"/>
        <v>0</v>
      </c>
      <c r="Q612" s="127" t="s">
        <v>1305</v>
      </c>
      <c r="S612" s="127">
        <f t="shared" si="94"/>
        <v>0</v>
      </c>
      <c r="T612" s="127" t="s">
        <v>1305</v>
      </c>
      <c r="V612" s="127">
        <f t="shared" si="95"/>
        <v>0</v>
      </c>
    </row>
    <row r="613" spans="1:22" s="138" customFormat="1" ht="15.75">
      <c r="A613" s="138" t="s">
        <v>560</v>
      </c>
      <c r="B613" s="136" t="s">
        <v>1145</v>
      </c>
      <c r="C613" s="137">
        <v>1</v>
      </c>
      <c r="D613" s="133"/>
      <c r="E613" s="138" t="s">
        <v>1305</v>
      </c>
      <c r="G613" s="138">
        <f t="shared" si="99"/>
        <v>0</v>
      </c>
      <c r="H613" s="138" t="s">
        <v>1305</v>
      </c>
      <c r="J613" s="138">
        <f t="shared" si="97"/>
        <v>0</v>
      </c>
      <c r="K613" s="138" t="s">
        <v>1305</v>
      </c>
      <c r="M613" s="138">
        <f t="shared" si="92"/>
        <v>0</v>
      </c>
      <c r="N613" s="138" t="s">
        <v>1305</v>
      </c>
      <c r="P613" s="138">
        <f t="shared" si="93"/>
        <v>0</v>
      </c>
      <c r="Q613" s="138" t="s">
        <v>1305</v>
      </c>
      <c r="S613" s="138">
        <f t="shared" si="94"/>
        <v>0</v>
      </c>
      <c r="T613" s="138" t="s">
        <v>1305</v>
      </c>
      <c r="V613" s="138">
        <f t="shared" si="95"/>
        <v>0</v>
      </c>
    </row>
    <row r="614" spans="1:22" ht="15.75">
      <c r="A614" s="155" t="s">
        <v>1351</v>
      </c>
      <c r="B614" s="125" t="s">
        <v>1146</v>
      </c>
      <c r="C614" s="130">
        <f t="shared" si="89"/>
        <v>7</v>
      </c>
      <c r="E614" s="152" t="s">
        <v>1274</v>
      </c>
      <c r="F614" s="152">
        <v>1</v>
      </c>
      <c r="G614" s="152">
        <f t="shared" ref="G614" si="100">VLOOKUP(E614,IDPOINTS,2,FALSE)</f>
        <v>6</v>
      </c>
      <c r="H614" s="152" t="s">
        <v>1129</v>
      </c>
      <c r="I614" s="152">
        <v>1</v>
      </c>
      <c r="J614" s="127">
        <f t="shared" si="97"/>
        <v>1</v>
      </c>
      <c r="K614" s="127" t="s">
        <v>1305</v>
      </c>
      <c r="M614" s="127">
        <f t="shared" si="92"/>
        <v>0</v>
      </c>
      <c r="N614" s="127" t="s">
        <v>1305</v>
      </c>
      <c r="P614" s="127">
        <f t="shared" si="93"/>
        <v>0</v>
      </c>
      <c r="Q614" s="127" t="s">
        <v>1305</v>
      </c>
      <c r="S614" s="127">
        <f t="shared" si="94"/>
        <v>0</v>
      </c>
      <c r="T614" s="127" t="s">
        <v>1305</v>
      </c>
      <c r="V614" s="127">
        <f t="shared" si="95"/>
        <v>0</v>
      </c>
    </row>
    <row r="615" spans="1:22" s="138" customFormat="1" ht="15.75">
      <c r="A615" s="138" t="s">
        <v>1337</v>
      </c>
      <c r="B615" s="136" t="s">
        <v>1147</v>
      </c>
      <c r="C615" s="137">
        <f>'ECONOMIA &amp; PROFESIONES'!C37</f>
        <v>7</v>
      </c>
      <c r="D615" s="133"/>
      <c r="E615" s="138" t="s">
        <v>1305</v>
      </c>
      <c r="G615" s="138">
        <f t="shared" si="96"/>
        <v>0</v>
      </c>
      <c r="H615" s="138" t="s">
        <v>1305</v>
      </c>
      <c r="J615" s="138">
        <f t="shared" si="97"/>
        <v>0</v>
      </c>
      <c r="K615" s="138" t="s">
        <v>1305</v>
      </c>
      <c r="M615" s="138">
        <f t="shared" si="92"/>
        <v>0</v>
      </c>
      <c r="N615" s="138" t="s">
        <v>1305</v>
      </c>
      <c r="P615" s="138">
        <f t="shared" si="93"/>
        <v>0</v>
      </c>
      <c r="Q615" s="138" t="s">
        <v>1305</v>
      </c>
      <c r="S615" s="138">
        <f t="shared" si="94"/>
        <v>0</v>
      </c>
      <c r="T615" s="138" t="s">
        <v>1305</v>
      </c>
      <c r="V615" s="138">
        <f t="shared" si="95"/>
        <v>0</v>
      </c>
    </row>
    <row r="616" spans="1:22" ht="15.75">
      <c r="A616" s="155" t="s">
        <v>1353</v>
      </c>
      <c r="B616" s="125" t="s">
        <v>1148</v>
      </c>
      <c r="C616" s="130">
        <f t="shared" si="89"/>
        <v>63</v>
      </c>
      <c r="E616" s="127" t="s">
        <v>1147</v>
      </c>
      <c r="F616">
        <v>9</v>
      </c>
      <c r="G616" s="127">
        <f t="shared" si="96"/>
        <v>7</v>
      </c>
      <c r="H616" s="127" t="s">
        <v>1305</v>
      </c>
      <c r="J616" s="127">
        <f t="shared" si="97"/>
        <v>0</v>
      </c>
      <c r="K616" s="127" t="s">
        <v>1305</v>
      </c>
      <c r="M616" s="127">
        <f t="shared" si="92"/>
        <v>0</v>
      </c>
      <c r="N616" s="127" t="s">
        <v>1305</v>
      </c>
      <c r="P616" s="127">
        <f t="shared" si="93"/>
        <v>0</v>
      </c>
      <c r="Q616" s="127" t="s">
        <v>1305</v>
      </c>
      <c r="S616" s="127">
        <f t="shared" si="94"/>
        <v>0</v>
      </c>
      <c r="T616" s="127" t="s">
        <v>1305</v>
      </c>
      <c r="V616" s="127">
        <f t="shared" si="95"/>
        <v>0</v>
      </c>
    </row>
    <row r="617" spans="1:22" ht="15.75">
      <c r="A617" s="155" t="s">
        <v>1353</v>
      </c>
      <c r="B617" s="125" t="s">
        <v>1149</v>
      </c>
      <c r="C617" s="130">
        <f t="shared" si="89"/>
        <v>64</v>
      </c>
      <c r="E617" s="127" t="s">
        <v>1147</v>
      </c>
      <c r="F617" s="13">
        <v>4</v>
      </c>
      <c r="G617" s="127">
        <f t="shared" si="96"/>
        <v>7</v>
      </c>
      <c r="H617" s="127" t="s">
        <v>819</v>
      </c>
      <c r="I617" s="127">
        <v>1</v>
      </c>
      <c r="J617" s="127">
        <f t="shared" si="97"/>
        <v>36</v>
      </c>
      <c r="K617" s="127" t="s">
        <v>1305</v>
      </c>
      <c r="M617" s="127">
        <f t="shared" si="92"/>
        <v>0</v>
      </c>
      <c r="N617" s="127" t="s">
        <v>1305</v>
      </c>
      <c r="P617" s="127">
        <f t="shared" si="93"/>
        <v>0</v>
      </c>
      <c r="Q617" s="127" t="s">
        <v>1305</v>
      </c>
      <c r="S617" s="127">
        <f t="shared" si="94"/>
        <v>0</v>
      </c>
      <c r="T617" s="127" t="s">
        <v>1305</v>
      </c>
      <c r="V617" s="127">
        <f t="shared" si="95"/>
        <v>0</v>
      </c>
    </row>
    <row r="618" spans="1:22" s="138" customFormat="1" ht="15.75">
      <c r="A618" s="138" t="s">
        <v>1337</v>
      </c>
      <c r="B618" s="136" t="s">
        <v>1150</v>
      </c>
      <c r="C618" s="137">
        <f>'ECONOMIA &amp; PROFESIONES'!C37</f>
        <v>7</v>
      </c>
      <c r="D618" s="133"/>
      <c r="E618" s="138" t="s">
        <v>1305</v>
      </c>
      <c r="G618" s="138">
        <f t="shared" si="96"/>
        <v>0</v>
      </c>
      <c r="H618" s="138" t="s">
        <v>1305</v>
      </c>
      <c r="J618" s="138">
        <f t="shared" si="97"/>
        <v>0</v>
      </c>
      <c r="K618" s="138" t="s">
        <v>1305</v>
      </c>
      <c r="M618" s="138">
        <f t="shared" si="92"/>
        <v>0</v>
      </c>
      <c r="N618" s="138" t="s">
        <v>1305</v>
      </c>
      <c r="P618" s="138">
        <f t="shared" si="93"/>
        <v>0</v>
      </c>
      <c r="Q618" s="138" t="s">
        <v>1305</v>
      </c>
      <c r="S618" s="138">
        <f t="shared" si="94"/>
        <v>0</v>
      </c>
      <c r="T618" s="138" t="s">
        <v>1305</v>
      </c>
      <c r="V618" s="138">
        <f t="shared" si="95"/>
        <v>0</v>
      </c>
    </row>
    <row r="619" spans="1:22" ht="15.75">
      <c r="A619" s="155" t="s">
        <v>1353</v>
      </c>
      <c r="B619" s="125" t="s">
        <v>1151</v>
      </c>
      <c r="C619" s="130">
        <f t="shared" si="89"/>
        <v>9</v>
      </c>
      <c r="E619" s="127" t="s">
        <v>1147</v>
      </c>
      <c r="F619" s="13">
        <v>1</v>
      </c>
      <c r="G619" s="127">
        <f t="shared" si="96"/>
        <v>7</v>
      </c>
      <c r="H619" s="127" t="s">
        <v>1208</v>
      </c>
      <c r="I619" s="127">
        <v>1</v>
      </c>
      <c r="J619" s="127">
        <f t="shared" si="97"/>
        <v>2</v>
      </c>
      <c r="K619" s="127" t="s">
        <v>1305</v>
      </c>
      <c r="M619" s="127">
        <f t="shared" si="92"/>
        <v>0</v>
      </c>
      <c r="N619" s="127" t="s">
        <v>1305</v>
      </c>
      <c r="P619" s="127">
        <f t="shared" si="93"/>
        <v>0</v>
      </c>
      <c r="Q619" s="127" t="s">
        <v>1305</v>
      </c>
      <c r="S619" s="127">
        <f t="shared" si="94"/>
        <v>0</v>
      </c>
      <c r="T619" s="127" t="s">
        <v>1305</v>
      </c>
      <c r="V619" s="127">
        <f t="shared" si="95"/>
        <v>0</v>
      </c>
    </row>
    <row r="620" spans="1:22" ht="15.75">
      <c r="A620" s="155" t="s">
        <v>1353</v>
      </c>
      <c r="B620" s="125" t="s">
        <v>1152</v>
      </c>
      <c r="C620" s="130">
        <f t="shared" si="89"/>
        <v>37</v>
      </c>
      <c r="E620" s="127" t="s">
        <v>1151</v>
      </c>
      <c r="F620" s="13">
        <v>2</v>
      </c>
      <c r="G620" s="127">
        <f t="shared" si="96"/>
        <v>9</v>
      </c>
      <c r="H620" s="127" t="s">
        <v>1147</v>
      </c>
      <c r="I620" s="127">
        <v>1</v>
      </c>
      <c r="J620" s="127">
        <f t="shared" si="97"/>
        <v>7</v>
      </c>
      <c r="K620" s="127" t="s">
        <v>1210</v>
      </c>
      <c r="L620" s="127">
        <v>3</v>
      </c>
      <c r="M620" s="127">
        <f t="shared" si="92"/>
        <v>4</v>
      </c>
      <c r="N620" s="127" t="s">
        <v>1305</v>
      </c>
      <c r="P620" s="127">
        <f t="shared" si="93"/>
        <v>0</v>
      </c>
      <c r="Q620" s="127" t="s">
        <v>1305</v>
      </c>
      <c r="S620" s="127">
        <f t="shared" si="94"/>
        <v>0</v>
      </c>
      <c r="T620" s="127" t="s">
        <v>1305</v>
      </c>
      <c r="V620" s="127">
        <f t="shared" si="95"/>
        <v>0</v>
      </c>
    </row>
    <row r="621" spans="1:22" s="141" customFormat="1" ht="15.75">
      <c r="B621" s="139" t="s">
        <v>1153</v>
      </c>
      <c r="C621" s="140">
        <f t="shared" si="89"/>
        <v>0</v>
      </c>
      <c r="E621" s="141" t="s">
        <v>1305</v>
      </c>
      <c r="G621" s="141">
        <f t="shared" si="96"/>
        <v>0</v>
      </c>
      <c r="H621" s="141" t="s">
        <v>1305</v>
      </c>
      <c r="J621" s="141">
        <f t="shared" si="97"/>
        <v>0</v>
      </c>
      <c r="K621" s="141" t="s">
        <v>1305</v>
      </c>
      <c r="M621" s="141">
        <f t="shared" si="92"/>
        <v>0</v>
      </c>
      <c r="N621" s="141" t="s">
        <v>1305</v>
      </c>
      <c r="P621" s="141">
        <f t="shared" si="93"/>
        <v>0</v>
      </c>
      <c r="Q621" s="141" t="s">
        <v>1305</v>
      </c>
      <c r="S621" s="141">
        <f t="shared" si="94"/>
        <v>0</v>
      </c>
      <c r="T621" s="141" t="s">
        <v>1305</v>
      </c>
      <c r="V621" s="141">
        <f t="shared" si="95"/>
        <v>0</v>
      </c>
    </row>
    <row r="622" spans="1:22" s="138" customFormat="1" ht="15.75">
      <c r="A622" s="138" t="s">
        <v>560</v>
      </c>
      <c r="B622" s="136" t="s">
        <v>1154</v>
      </c>
      <c r="C622" s="137">
        <f t="shared" si="89"/>
        <v>0</v>
      </c>
      <c r="D622" s="133"/>
      <c r="E622" s="138" t="s">
        <v>1305</v>
      </c>
      <c r="G622" s="138">
        <f t="shared" si="96"/>
        <v>0</v>
      </c>
      <c r="H622" s="138" t="s">
        <v>1305</v>
      </c>
      <c r="J622" s="138">
        <f t="shared" si="97"/>
        <v>0</v>
      </c>
      <c r="K622" s="138" t="s">
        <v>1305</v>
      </c>
      <c r="M622" s="138">
        <f t="shared" si="92"/>
        <v>0</v>
      </c>
      <c r="N622" s="138" t="s">
        <v>1305</v>
      </c>
      <c r="P622" s="138">
        <f t="shared" si="93"/>
        <v>0</v>
      </c>
      <c r="Q622" s="138" t="s">
        <v>1305</v>
      </c>
      <c r="S622" s="138">
        <f t="shared" si="94"/>
        <v>0</v>
      </c>
      <c r="T622" s="138" t="s">
        <v>1305</v>
      </c>
      <c r="V622" s="138">
        <f t="shared" si="95"/>
        <v>0</v>
      </c>
    </row>
    <row r="623" spans="1:22" s="150" customFormat="1" ht="15.75">
      <c r="A623" s="155" t="s">
        <v>1350</v>
      </c>
      <c r="B623" s="148" t="s">
        <v>1155</v>
      </c>
      <c r="C623" s="149">
        <f>'ECONOMIA &amp; PROFESIONES'!E54</f>
        <v>1</v>
      </c>
      <c r="D623" s="133"/>
      <c r="E623" s="150" t="s">
        <v>1305</v>
      </c>
      <c r="G623" s="150">
        <f t="shared" si="96"/>
        <v>0</v>
      </c>
      <c r="H623" s="150" t="s">
        <v>1305</v>
      </c>
      <c r="J623" s="150">
        <f t="shared" si="97"/>
        <v>0</v>
      </c>
      <c r="K623" s="150" t="s">
        <v>1305</v>
      </c>
      <c r="M623" s="150">
        <f t="shared" si="92"/>
        <v>0</v>
      </c>
      <c r="N623" s="150" t="s">
        <v>1305</v>
      </c>
      <c r="P623" s="150">
        <f t="shared" si="93"/>
        <v>0</v>
      </c>
      <c r="Q623" s="150" t="s">
        <v>1305</v>
      </c>
      <c r="S623" s="150">
        <f t="shared" si="94"/>
        <v>0</v>
      </c>
      <c r="T623" s="150" t="s">
        <v>1305</v>
      </c>
      <c r="V623" s="150">
        <f t="shared" si="95"/>
        <v>0</v>
      </c>
    </row>
    <row r="624" spans="1:22" s="141" customFormat="1" ht="15.75">
      <c r="A624" s="155"/>
      <c r="B624" s="139" t="s">
        <v>1156</v>
      </c>
      <c r="C624" s="140">
        <f t="shared" si="89"/>
        <v>0</v>
      </c>
      <c r="D624" s="133"/>
      <c r="E624" s="141" t="s">
        <v>1305</v>
      </c>
      <c r="G624" s="141">
        <f t="shared" si="96"/>
        <v>0</v>
      </c>
      <c r="H624" s="141" t="s">
        <v>1305</v>
      </c>
      <c r="J624" s="141">
        <f t="shared" si="97"/>
        <v>0</v>
      </c>
      <c r="K624" s="141" t="s">
        <v>1305</v>
      </c>
      <c r="M624" s="141">
        <f t="shared" si="92"/>
        <v>0</v>
      </c>
      <c r="N624" s="141" t="s">
        <v>1305</v>
      </c>
      <c r="P624" s="141">
        <f t="shared" si="93"/>
        <v>0</v>
      </c>
      <c r="Q624" s="141" t="s">
        <v>1305</v>
      </c>
      <c r="S624" s="141">
        <f t="shared" si="94"/>
        <v>0</v>
      </c>
      <c r="T624" s="141" t="s">
        <v>1305</v>
      </c>
      <c r="V624" s="141">
        <f t="shared" si="95"/>
        <v>0</v>
      </c>
    </row>
    <row r="625" spans="1:22" s="138" customFormat="1" ht="15.75">
      <c r="A625" s="138" t="s">
        <v>1342</v>
      </c>
      <c r="B625" s="136" t="s">
        <v>1157</v>
      </c>
      <c r="C625" s="137">
        <f>'ECONOMIA &amp; PROFESIONES'!I33</f>
        <v>3</v>
      </c>
      <c r="D625" s="133"/>
      <c r="E625" s="138" t="s">
        <v>1305</v>
      </c>
      <c r="G625" s="138">
        <f t="shared" si="96"/>
        <v>0</v>
      </c>
      <c r="H625" s="138" t="s">
        <v>1305</v>
      </c>
      <c r="J625" s="138">
        <f t="shared" si="97"/>
        <v>0</v>
      </c>
      <c r="K625" s="138" t="s">
        <v>1305</v>
      </c>
      <c r="M625" s="138">
        <f t="shared" si="92"/>
        <v>0</v>
      </c>
      <c r="N625" s="138" t="s">
        <v>1305</v>
      </c>
      <c r="P625" s="138">
        <f t="shared" si="93"/>
        <v>0</v>
      </c>
      <c r="Q625" s="138" t="s">
        <v>1305</v>
      </c>
      <c r="S625" s="138">
        <f t="shared" si="94"/>
        <v>0</v>
      </c>
      <c r="T625" s="138" t="s">
        <v>1305</v>
      </c>
      <c r="V625" s="138">
        <f t="shared" si="95"/>
        <v>0</v>
      </c>
    </row>
    <row r="626" spans="1:22" ht="15.75">
      <c r="A626" s="155" t="s">
        <v>1346</v>
      </c>
      <c r="B626" s="125" t="s">
        <v>1158</v>
      </c>
      <c r="C626" s="130">
        <f>'ECONOMIA &amp; PROFESIONES'!C35</f>
        <v>5</v>
      </c>
      <c r="E626" s="127" t="s">
        <v>1305</v>
      </c>
      <c r="G626" s="127">
        <f t="shared" si="96"/>
        <v>0</v>
      </c>
      <c r="H626" s="127" t="s">
        <v>1305</v>
      </c>
      <c r="J626" s="127">
        <f t="shared" si="97"/>
        <v>0</v>
      </c>
      <c r="K626" s="127" t="s">
        <v>1305</v>
      </c>
      <c r="M626" s="127">
        <f t="shared" si="92"/>
        <v>0</v>
      </c>
      <c r="N626" s="127" t="s">
        <v>1305</v>
      </c>
      <c r="P626" s="127">
        <f t="shared" si="93"/>
        <v>0</v>
      </c>
      <c r="Q626" s="127" t="s">
        <v>1305</v>
      </c>
      <c r="S626" s="127">
        <f t="shared" si="94"/>
        <v>0</v>
      </c>
      <c r="T626" s="127" t="s">
        <v>1305</v>
      </c>
      <c r="V626" s="127">
        <f t="shared" si="95"/>
        <v>0</v>
      </c>
    </row>
    <row r="627" spans="1:22" ht="15.75">
      <c r="A627" s="155" t="s">
        <v>1346</v>
      </c>
      <c r="B627" s="125" t="s">
        <v>1159</v>
      </c>
      <c r="C627" s="130">
        <f t="shared" si="89"/>
        <v>20</v>
      </c>
      <c r="E627" s="127" t="s">
        <v>1158</v>
      </c>
      <c r="F627">
        <v>4</v>
      </c>
      <c r="G627" s="127">
        <f t="shared" si="96"/>
        <v>5</v>
      </c>
      <c r="H627" s="127" t="s">
        <v>1305</v>
      </c>
      <c r="J627" s="127">
        <f t="shared" si="97"/>
        <v>0</v>
      </c>
      <c r="K627" s="127" t="s">
        <v>1305</v>
      </c>
      <c r="M627" s="127">
        <f t="shared" si="92"/>
        <v>0</v>
      </c>
      <c r="N627" s="127" t="s">
        <v>1305</v>
      </c>
      <c r="P627" s="127">
        <f t="shared" si="93"/>
        <v>0</v>
      </c>
      <c r="Q627" s="127" t="s">
        <v>1305</v>
      </c>
      <c r="S627" s="127">
        <f t="shared" si="94"/>
        <v>0</v>
      </c>
      <c r="T627" s="127" t="s">
        <v>1305</v>
      </c>
      <c r="V627" s="127">
        <f t="shared" si="95"/>
        <v>0</v>
      </c>
    </row>
    <row r="628" spans="1:22" ht="15.75">
      <c r="A628" s="155" t="s">
        <v>1346</v>
      </c>
      <c r="B628" s="125" t="s">
        <v>1160</v>
      </c>
      <c r="C628" s="130">
        <f t="shared" ref="C628:C689" si="101">(G628*F628)+(I628*J628)+(L628*M628)+(O628*P628)+(R628*S628)+(U628*V628)</f>
        <v>60</v>
      </c>
      <c r="E628" s="127" t="s">
        <v>1159</v>
      </c>
      <c r="F628">
        <v>3</v>
      </c>
      <c r="G628" s="127">
        <f t="shared" si="96"/>
        <v>20</v>
      </c>
      <c r="H628" s="127" t="s">
        <v>1305</v>
      </c>
      <c r="J628" s="127">
        <f t="shared" si="97"/>
        <v>0</v>
      </c>
      <c r="K628" s="127" t="s">
        <v>1305</v>
      </c>
      <c r="M628" s="127">
        <f t="shared" si="92"/>
        <v>0</v>
      </c>
      <c r="N628" s="127" t="s">
        <v>1305</v>
      </c>
      <c r="P628" s="127">
        <f t="shared" si="93"/>
        <v>0</v>
      </c>
      <c r="Q628" s="127" t="s">
        <v>1305</v>
      </c>
      <c r="S628" s="127">
        <f t="shared" si="94"/>
        <v>0</v>
      </c>
      <c r="T628" s="127" t="s">
        <v>1305</v>
      </c>
      <c r="V628" s="127">
        <f t="shared" si="95"/>
        <v>0</v>
      </c>
    </row>
    <row r="629" spans="1:22" ht="15.75">
      <c r="A629" s="155" t="s">
        <v>1346</v>
      </c>
      <c r="B629" s="125" t="s">
        <v>1161</v>
      </c>
      <c r="C629" s="130">
        <f t="shared" si="101"/>
        <v>120</v>
      </c>
      <c r="E629" s="152" t="s">
        <v>1159</v>
      </c>
      <c r="F629">
        <v>6</v>
      </c>
      <c r="G629" s="127">
        <f t="shared" si="96"/>
        <v>20</v>
      </c>
      <c r="H629" s="127" t="s">
        <v>1305</v>
      </c>
      <c r="J629" s="127">
        <f t="shared" si="97"/>
        <v>0</v>
      </c>
      <c r="K629" s="127" t="s">
        <v>1305</v>
      </c>
      <c r="M629" s="127">
        <f t="shared" si="92"/>
        <v>0</v>
      </c>
      <c r="N629" s="127" t="s">
        <v>1305</v>
      </c>
      <c r="P629" s="127">
        <f t="shared" si="93"/>
        <v>0</v>
      </c>
      <c r="Q629" s="127" t="s">
        <v>1305</v>
      </c>
      <c r="S629" s="127">
        <f t="shared" si="94"/>
        <v>0</v>
      </c>
      <c r="T629" s="127" t="s">
        <v>1305</v>
      </c>
      <c r="V629" s="127">
        <f t="shared" si="95"/>
        <v>0</v>
      </c>
    </row>
    <row r="630" spans="1:22" ht="15.75">
      <c r="A630" s="155" t="s">
        <v>1346</v>
      </c>
      <c r="B630" s="125" t="s">
        <v>1162</v>
      </c>
      <c r="C630" s="130">
        <f t="shared" si="101"/>
        <v>120</v>
      </c>
      <c r="E630" s="152" t="s">
        <v>1159</v>
      </c>
      <c r="F630">
        <v>6</v>
      </c>
      <c r="G630" s="127">
        <f t="shared" ref="G630:G691" si="102">VLOOKUP(E630,IDPOINTS,2,FALSE)</f>
        <v>20</v>
      </c>
      <c r="H630" s="127" t="s">
        <v>1305</v>
      </c>
      <c r="J630" s="127">
        <f t="shared" ref="J630:J691" si="103">VLOOKUP(H630,IDPOINTS,2,FALSE)</f>
        <v>0</v>
      </c>
      <c r="K630" s="127" t="s">
        <v>1305</v>
      </c>
      <c r="M630" s="127">
        <f t="shared" ref="M630:M691" si="104">VLOOKUP(K630,IDPOINTS,2,FALSE)</f>
        <v>0</v>
      </c>
      <c r="N630" s="127" t="s">
        <v>1305</v>
      </c>
      <c r="P630" s="127">
        <f t="shared" ref="P630:P691" si="105">VLOOKUP(N630,IDPOINTS,2,FALSE)</f>
        <v>0</v>
      </c>
      <c r="Q630" s="127" t="s">
        <v>1305</v>
      </c>
      <c r="S630" s="127">
        <f t="shared" ref="S630:S691" si="106">VLOOKUP(Q630,IDPOINTS,2,FALSE)</f>
        <v>0</v>
      </c>
      <c r="T630" s="127" t="s">
        <v>1305</v>
      </c>
      <c r="V630" s="127">
        <f t="shared" ref="V630:V691" si="107">VLOOKUP(T630,IDPOINTS,2,FALSE)</f>
        <v>0</v>
      </c>
    </row>
    <row r="631" spans="1:22" ht="15.75">
      <c r="A631" s="155" t="s">
        <v>1345</v>
      </c>
      <c r="B631" s="125" t="s">
        <v>1163</v>
      </c>
      <c r="C631" s="130">
        <f t="shared" si="101"/>
        <v>31.5</v>
      </c>
      <c r="E631" s="127" t="s">
        <v>1224</v>
      </c>
      <c r="F631">
        <v>1</v>
      </c>
      <c r="G631" s="127">
        <f t="shared" si="102"/>
        <v>1.5</v>
      </c>
      <c r="H631" s="127" t="s">
        <v>562</v>
      </c>
      <c r="I631" s="127">
        <v>6</v>
      </c>
      <c r="J631" s="127">
        <f t="shared" si="103"/>
        <v>5</v>
      </c>
      <c r="K631" s="127" t="s">
        <v>1305</v>
      </c>
      <c r="M631" s="127">
        <f t="shared" si="104"/>
        <v>0</v>
      </c>
      <c r="N631" s="127" t="s">
        <v>1305</v>
      </c>
      <c r="P631" s="127">
        <f t="shared" si="105"/>
        <v>0</v>
      </c>
      <c r="Q631" s="127" t="s">
        <v>1305</v>
      </c>
      <c r="S631" s="127">
        <f t="shared" si="106"/>
        <v>0</v>
      </c>
      <c r="T631" s="127" t="s">
        <v>1305</v>
      </c>
      <c r="V631" s="127">
        <f t="shared" si="107"/>
        <v>0</v>
      </c>
    </row>
    <row r="632" spans="1:22" ht="15.75">
      <c r="A632" s="155" t="s">
        <v>1352</v>
      </c>
      <c r="B632" s="125" t="s">
        <v>1164</v>
      </c>
      <c r="C632" s="130">
        <f t="shared" si="101"/>
        <v>20</v>
      </c>
      <c r="E632" s="127" t="s">
        <v>1167</v>
      </c>
      <c r="F632">
        <v>4</v>
      </c>
      <c r="G632" s="127">
        <f t="shared" si="102"/>
        <v>5</v>
      </c>
      <c r="H632" s="127" t="s">
        <v>1305</v>
      </c>
      <c r="J632" s="127">
        <f t="shared" si="103"/>
        <v>0</v>
      </c>
      <c r="K632" s="127" t="s">
        <v>1305</v>
      </c>
      <c r="M632" s="127">
        <f t="shared" si="104"/>
        <v>0</v>
      </c>
      <c r="N632" s="127" t="s">
        <v>1305</v>
      </c>
      <c r="P632" s="127">
        <f t="shared" si="105"/>
        <v>0</v>
      </c>
      <c r="Q632" s="127" t="s">
        <v>1305</v>
      </c>
      <c r="S632" s="127">
        <f t="shared" si="106"/>
        <v>0</v>
      </c>
      <c r="T632" s="127" t="s">
        <v>1305</v>
      </c>
      <c r="V632" s="127">
        <f t="shared" si="107"/>
        <v>0</v>
      </c>
    </row>
    <row r="633" spans="1:22" ht="15.75">
      <c r="A633" s="155" t="s">
        <v>1346</v>
      </c>
      <c r="B633" s="125" t="s">
        <v>1165</v>
      </c>
      <c r="C633" s="130">
        <f t="shared" si="101"/>
        <v>81</v>
      </c>
      <c r="E633" s="127" t="s">
        <v>1090</v>
      </c>
      <c r="F633">
        <v>4</v>
      </c>
      <c r="G633" s="127">
        <f t="shared" si="102"/>
        <v>9</v>
      </c>
      <c r="H633" s="127" t="s">
        <v>1089</v>
      </c>
      <c r="I633" s="127">
        <v>5</v>
      </c>
      <c r="J633" s="127">
        <f t="shared" si="103"/>
        <v>9</v>
      </c>
      <c r="K633" s="127" t="s">
        <v>1305</v>
      </c>
      <c r="M633" s="127">
        <f t="shared" si="104"/>
        <v>0</v>
      </c>
      <c r="N633" s="127" t="s">
        <v>1305</v>
      </c>
      <c r="P633" s="127">
        <f t="shared" si="105"/>
        <v>0</v>
      </c>
      <c r="Q633" s="127" t="s">
        <v>1305</v>
      </c>
      <c r="S633" s="127">
        <f t="shared" si="106"/>
        <v>0</v>
      </c>
      <c r="T633" s="127" t="s">
        <v>1305</v>
      </c>
      <c r="V633" s="127">
        <f t="shared" si="107"/>
        <v>0</v>
      </c>
    </row>
    <row r="634" spans="1:22" s="138" customFormat="1" ht="15.75">
      <c r="A634" s="138" t="s">
        <v>560</v>
      </c>
      <c r="B634" s="136" t="s">
        <v>1166</v>
      </c>
      <c r="C634" s="137">
        <f>'ECONOMIA &amp; PROFESIONES'!G36</f>
        <v>5</v>
      </c>
      <c r="D634" s="133"/>
      <c r="E634" s="138" t="s">
        <v>1305</v>
      </c>
      <c r="G634" s="138">
        <f t="shared" si="102"/>
        <v>0</v>
      </c>
      <c r="H634" s="138" t="s">
        <v>1305</v>
      </c>
      <c r="J634" s="138">
        <f t="shared" si="103"/>
        <v>0</v>
      </c>
      <c r="K634" s="138" t="s">
        <v>1305</v>
      </c>
      <c r="M634" s="138">
        <f t="shared" si="104"/>
        <v>0</v>
      </c>
      <c r="N634" s="138" t="s">
        <v>1305</v>
      </c>
      <c r="P634" s="138">
        <f t="shared" si="105"/>
        <v>0</v>
      </c>
      <c r="Q634" s="138" t="s">
        <v>1305</v>
      </c>
      <c r="S634" s="138">
        <f t="shared" si="106"/>
        <v>0</v>
      </c>
      <c r="T634" s="138" t="s">
        <v>1305</v>
      </c>
      <c r="V634" s="138">
        <f t="shared" si="107"/>
        <v>0</v>
      </c>
    </row>
    <row r="635" spans="1:22" s="138" customFormat="1" ht="15.75">
      <c r="A635" s="138" t="s">
        <v>560</v>
      </c>
      <c r="B635" s="136" t="s">
        <v>1167</v>
      </c>
      <c r="C635" s="137">
        <f>'ECONOMIA &amp; PROFESIONES'!G36</f>
        <v>5</v>
      </c>
      <c r="D635" s="133"/>
      <c r="E635" s="138" t="s">
        <v>1305</v>
      </c>
      <c r="G635" s="138">
        <f t="shared" si="102"/>
        <v>0</v>
      </c>
      <c r="H635" s="138" t="s">
        <v>1305</v>
      </c>
      <c r="J635" s="138">
        <f t="shared" si="103"/>
        <v>0</v>
      </c>
      <c r="K635" s="138" t="s">
        <v>1305</v>
      </c>
      <c r="M635" s="138">
        <f t="shared" si="104"/>
        <v>0</v>
      </c>
      <c r="N635" s="138" t="s">
        <v>1305</v>
      </c>
      <c r="P635" s="138">
        <f t="shared" si="105"/>
        <v>0</v>
      </c>
      <c r="Q635" s="138" t="s">
        <v>1305</v>
      </c>
      <c r="S635" s="138">
        <f t="shared" si="106"/>
        <v>0</v>
      </c>
      <c r="T635" s="138" t="s">
        <v>1305</v>
      </c>
      <c r="V635" s="138">
        <f t="shared" si="107"/>
        <v>0</v>
      </c>
    </row>
    <row r="636" spans="1:22" ht="15.75">
      <c r="A636" s="155" t="s">
        <v>1343</v>
      </c>
      <c r="B636" s="125" t="s">
        <v>1168</v>
      </c>
      <c r="C636" s="130">
        <f t="shared" si="101"/>
        <v>8</v>
      </c>
      <c r="E636" s="127" t="s">
        <v>896</v>
      </c>
      <c r="F636">
        <v>2</v>
      </c>
      <c r="G636" s="127">
        <f t="shared" si="102"/>
        <v>4</v>
      </c>
      <c r="H636" s="127" t="s">
        <v>1305</v>
      </c>
      <c r="J636" s="127">
        <f t="shared" si="103"/>
        <v>0</v>
      </c>
      <c r="K636" s="127" t="s">
        <v>1305</v>
      </c>
      <c r="M636" s="127">
        <f t="shared" si="104"/>
        <v>0</v>
      </c>
      <c r="N636" s="127" t="s">
        <v>1305</v>
      </c>
      <c r="P636" s="127">
        <f t="shared" si="105"/>
        <v>0</v>
      </c>
      <c r="Q636" s="127" t="s">
        <v>1305</v>
      </c>
      <c r="S636" s="127">
        <f t="shared" si="106"/>
        <v>0</v>
      </c>
      <c r="T636" s="127" t="s">
        <v>1305</v>
      </c>
      <c r="V636" s="127">
        <f t="shared" si="107"/>
        <v>0</v>
      </c>
    </row>
    <row r="637" spans="1:22" ht="15.75">
      <c r="A637" s="155" t="s">
        <v>1344</v>
      </c>
      <c r="B637" s="125" t="s">
        <v>1169</v>
      </c>
      <c r="C637" s="130">
        <f t="shared" si="101"/>
        <v>10</v>
      </c>
      <c r="E637" s="127" t="s">
        <v>896</v>
      </c>
      <c r="F637">
        <v>1</v>
      </c>
      <c r="G637" s="127">
        <f t="shared" si="102"/>
        <v>4</v>
      </c>
      <c r="H637" s="127" t="s">
        <v>1026</v>
      </c>
      <c r="I637" s="127">
        <v>6</v>
      </c>
      <c r="J637" s="127">
        <f t="shared" si="103"/>
        <v>1</v>
      </c>
      <c r="K637" s="127" t="s">
        <v>1305</v>
      </c>
      <c r="M637" s="127">
        <f t="shared" si="104"/>
        <v>0</v>
      </c>
      <c r="N637" s="127" t="s">
        <v>1305</v>
      </c>
      <c r="P637" s="127">
        <f t="shared" si="105"/>
        <v>0</v>
      </c>
      <c r="Q637" s="127" t="s">
        <v>1305</v>
      </c>
      <c r="S637" s="127">
        <f t="shared" si="106"/>
        <v>0</v>
      </c>
      <c r="T637" s="127" t="s">
        <v>1305</v>
      </c>
      <c r="V637" s="127">
        <f t="shared" si="107"/>
        <v>0</v>
      </c>
    </row>
    <row r="638" spans="1:22" ht="15.75">
      <c r="A638" s="155" t="s">
        <v>1345</v>
      </c>
      <c r="B638" s="125" t="s">
        <v>1170</v>
      </c>
      <c r="C638" s="130">
        <f t="shared" si="101"/>
        <v>26</v>
      </c>
      <c r="E638" s="127" t="s">
        <v>659</v>
      </c>
      <c r="F638">
        <v>1</v>
      </c>
      <c r="G638" s="127">
        <f t="shared" si="102"/>
        <v>8</v>
      </c>
      <c r="H638" s="127" t="s">
        <v>1171</v>
      </c>
      <c r="I638" s="127">
        <v>2</v>
      </c>
      <c r="J638" s="127">
        <f t="shared" si="103"/>
        <v>9</v>
      </c>
      <c r="K638" s="127" t="s">
        <v>1305</v>
      </c>
      <c r="M638" s="127">
        <f t="shared" si="104"/>
        <v>0</v>
      </c>
      <c r="N638" s="127" t="s">
        <v>1305</v>
      </c>
      <c r="P638" s="127">
        <f t="shared" si="105"/>
        <v>0</v>
      </c>
      <c r="Q638" s="127" t="s">
        <v>1305</v>
      </c>
      <c r="S638" s="127">
        <f t="shared" si="106"/>
        <v>0</v>
      </c>
      <c r="T638" s="127" t="s">
        <v>1305</v>
      </c>
      <c r="V638" s="127">
        <f t="shared" si="107"/>
        <v>0</v>
      </c>
    </row>
    <row r="639" spans="1:22" s="150" customFormat="1" ht="15.75">
      <c r="A639" s="138" t="s">
        <v>1341</v>
      </c>
      <c r="B639" s="148" t="s">
        <v>1171</v>
      </c>
      <c r="C639" s="149">
        <f>'ECONOMIA &amp; PROFESIONES'!C65</f>
        <v>9</v>
      </c>
      <c r="D639" s="133"/>
      <c r="E639" s="150" t="s">
        <v>1305</v>
      </c>
      <c r="G639" s="150">
        <f t="shared" si="102"/>
        <v>0</v>
      </c>
      <c r="H639" s="150" t="s">
        <v>1305</v>
      </c>
      <c r="J639" s="150">
        <f t="shared" si="103"/>
        <v>0</v>
      </c>
      <c r="K639" s="150" t="s">
        <v>1305</v>
      </c>
      <c r="M639" s="150">
        <f t="shared" si="104"/>
        <v>0</v>
      </c>
      <c r="N639" s="150" t="s">
        <v>1305</v>
      </c>
      <c r="P639" s="150">
        <f t="shared" si="105"/>
        <v>0</v>
      </c>
      <c r="Q639" s="150" t="s">
        <v>1305</v>
      </c>
      <c r="S639" s="150">
        <f t="shared" si="106"/>
        <v>0</v>
      </c>
      <c r="T639" s="150" t="s">
        <v>1305</v>
      </c>
      <c r="V639" s="150">
        <f t="shared" si="107"/>
        <v>0</v>
      </c>
    </row>
    <row r="640" spans="1:22" ht="15.75">
      <c r="A640" s="155" t="s">
        <v>1351</v>
      </c>
      <c r="B640" s="125" t="s">
        <v>1172</v>
      </c>
      <c r="C640" s="130">
        <f t="shared" si="101"/>
        <v>17.25</v>
      </c>
      <c r="E640" s="127" t="s">
        <v>1051</v>
      </c>
      <c r="F640">
        <v>1</v>
      </c>
      <c r="G640" s="127">
        <f t="shared" si="102"/>
        <v>15</v>
      </c>
      <c r="H640" s="127" t="s">
        <v>1276</v>
      </c>
      <c r="I640" s="127">
        <v>1</v>
      </c>
      <c r="J640" s="127">
        <f t="shared" si="103"/>
        <v>2.25</v>
      </c>
      <c r="K640" s="127" t="s">
        <v>1305</v>
      </c>
      <c r="M640" s="127">
        <f t="shared" si="104"/>
        <v>0</v>
      </c>
      <c r="N640" s="127" t="s">
        <v>1305</v>
      </c>
      <c r="P640" s="127">
        <f t="shared" si="105"/>
        <v>0</v>
      </c>
      <c r="Q640" s="127" t="s">
        <v>1305</v>
      </c>
      <c r="S640" s="127">
        <f t="shared" si="106"/>
        <v>0</v>
      </c>
      <c r="T640" s="127" t="s">
        <v>1305</v>
      </c>
      <c r="V640" s="127">
        <f t="shared" si="107"/>
        <v>0</v>
      </c>
    </row>
    <row r="641" spans="1:22" s="150" customFormat="1" ht="15.75">
      <c r="A641" s="138" t="s">
        <v>1341</v>
      </c>
      <c r="B641" s="148" t="s">
        <v>1173</v>
      </c>
      <c r="C641" s="149">
        <f>'ECONOMIA &amp; PROFESIONES'!E60</f>
        <v>7</v>
      </c>
      <c r="D641" s="133"/>
      <c r="E641" s="150" t="s">
        <v>1305</v>
      </c>
      <c r="G641" s="150">
        <f t="shared" si="102"/>
        <v>0</v>
      </c>
      <c r="H641" s="150" t="s">
        <v>1305</v>
      </c>
      <c r="J641" s="150">
        <f t="shared" si="103"/>
        <v>0</v>
      </c>
      <c r="K641" s="150" t="s">
        <v>1305</v>
      </c>
      <c r="M641" s="150">
        <f t="shared" si="104"/>
        <v>0</v>
      </c>
      <c r="N641" s="150" t="s">
        <v>1305</v>
      </c>
      <c r="P641" s="150">
        <f t="shared" si="105"/>
        <v>0</v>
      </c>
      <c r="Q641" s="150" t="s">
        <v>1305</v>
      </c>
      <c r="S641" s="150">
        <f t="shared" si="106"/>
        <v>0</v>
      </c>
      <c r="T641" s="150" t="s">
        <v>1305</v>
      </c>
      <c r="V641" s="150">
        <f t="shared" si="107"/>
        <v>0</v>
      </c>
    </row>
    <row r="642" spans="1:22" ht="15.75">
      <c r="A642" s="155" t="s">
        <v>1346</v>
      </c>
      <c r="B642" s="125" t="s">
        <v>1174</v>
      </c>
      <c r="C642" s="130">
        <f t="shared" si="101"/>
        <v>63</v>
      </c>
      <c r="E642" s="127" t="s">
        <v>1173</v>
      </c>
      <c r="F642">
        <v>9</v>
      </c>
      <c r="G642" s="127">
        <f t="shared" si="102"/>
        <v>7</v>
      </c>
      <c r="H642" s="127" t="s">
        <v>1305</v>
      </c>
      <c r="J642" s="127">
        <f t="shared" si="103"/>
        <v>0</v>
      </c>
      <c r="K642" s="127" t="s">
        <v>1305</v>
      </c>
      <c r="M642" s="127">
        <f t="shared" si="104"/>
        <v>0</v>
      </c>
      <c r="N642" s="127" t="s">
        <v>1305</v>
      </c>
      <c r="P642" s="127">
        <f t="shared" si="105"/>
        <v>0</v>
      </c>
      <c r="Q642" s="127" t="s">
        <v>1305</v>
      </c>
      <c r="S642" s="127">
        <f t="shared" si="106"/>
        <v>0</v>
      </c>
      <c r="T642" s="127" t="s">
        <v>1305</v>
      </c>
      <c r="V642" s="127">
        <f t="shared" si="107"/>
        <v>0</v>
      </c>
    </row>
    <row r="643" spans="1:22" ht="15.75">
      <c r="A643" s="155" t="s">
        <v>1343</v>
      </c>
      <c r="B643" s="125" t="s">
        <v>1175</v>
      </c>
      <c r="C643" s="130">
        <f t="shared" si="101"/>
        <v>12</v>
      </c>
      <c r="E643" s="127" t="s">
        <v>896</v>
      </c>
      <c r="F643" s="13">
        <v>2</v>
      </c>
      <c r="G643" s="127">
        <f t="shared" si="102"/>
        <v>4</v>
      </c>
      <c r="H643" s="127" t="s">
        <v>1026</v>
      </c>
      <c r="I643" s="127">
        <v>4</v>
      </c>
      <c r="J643" s="127">
        <f t="shared" si="103"/>
        <v>1</v>
      </c>
      <c r="K643" s="127" t="s">
        <v>1305</v>
      </c>
      <c r="M643" s="127">
        <f t="shared" si="104"/>
        <v>0</v>
      </c>
      <c r="N643" s="127" t="s">
        <v>1305</v>
      </c>
      <c r="P643" s="127">
        <f t="shared" si="105"/>
        <v>0</v>
      </c>
      <c r="Q643" s="127" t="s">
        <v>1305</v>
      </c>
      <c r="S643" s="127">
        <f t="shared" si="106"/>
        <v>0</v>
      </c>
      <c r="T643" s="127" t="s">
        <v>1305</v>
      </c>
      <c r="V643" s="127">
        <f t="shared" si="107"/>
        <v>0</v>
      </c>
    </row>
    <row r="644" spans="1:22" ht="15.75">
      <c r="A644" s="155" t="s">
        <v>1343</v>
      </c>
      <c r="B644" s="125" t="s">
        <v>1176</v>
      </c>
      <c r="C644" s="130">
        <f t="shared" si="101"/>
        <v>12</v>
      </c>
      <c r="E644" s="127" t="s">
        <v>811</v>
      </c>
      <c r="F644" s="13">
        <v>1</v>
      </c>
      <c r="G644" s="127">
        <f t="shared" si="102"/>
        <v>8</v>
      </c>
      <c r="H644" s="127" t="s">
        <v>1025</v>
      </c>
      <c r="I644" s="127">
        <v>4</v>
      </c>
      <c r="J644" s="127">
        <f t="shared" si="103"/>
        <v>1</v>
      </c>
      <c r="K644" s="127" t="s">
        <v>1305</v>
      </c>
      <c r="M644" s="127">
        <f t="shared" si="104"/>
        <v>0</v>
      </c>
      <c r="N644" s="127" t="s">
        <v>1305</v>
      </c>
      <c r="P644" s="127">
        <f t="shared" si="105"/>
        <v>0</v>
      </c>
      <c r="Q644" s="127" t="s">
        <v>1305</v>
      </c>
      <c r="S644" s="127">
        <f t="shared" si="106"/>
        <v>0</v>
      </c>
      <c r="T644" s="127" t="s">
        <v>1305</v>
      </c>
      <c r="V644" s="127">
        <f t="shared" si="107"/>
        <v>0</v>
      </c>
    </row>
    <row r="645" spans="1:22" ht="15.75">
      <c r="A645" s="155" t="s">
        <v>1346</v>
      </c>
      <c r="B645" s="125" t="s">
        <v>1177</v>
      </c>
      <c r="C645" s="130">
        <f t="shared" si="101"/>
        <v>39</v>
      </c>
      <c r="E645" s="127" t="s">
        <v>1115</v>
      </c>
      <c r="F645" s="13">
        <v>1</v>
      </c>
      <c r="G645" s="127">
        <f t="shared" si="102"/>
        <v>36</v>
      </c>
      <c r="H645" s="127" t="s">
        <v>672</v>
      </c>
      <c r="I645" s="127">
        <v>1</v>
      </c>
      <c r="J645" s="127">
        <f t="shared" si="103"/>
        <v>3</v>
      </c>
      <c r="K645" s="127" t="s">
        <v>1305</v>
      </c>
      <c r="M645" s="127">
        <f t="shared" si="104"/>
        <v>0</v>
      </c>
      <c r="N645" s="127" t="s">
        <v>1305</v>
      </c>
      <c r="P645" s="127">
        <f t="shared" si="105"/>
        <v>0</v>
      </c>
      <c r="Q645" s="127" t="s">
        <v>1305</v>
      </c>
      <c r="S645" s="127">
        <f t="shared" si="106"/>
        <v>0</v>
      </c>
      <c r="T645" s="127" t="s">
        <v>1305</v>
      </c>
      <c r="V645" s="127">
        <f t="shared" si="107"/>
        <v>0</v>
      </c>
    </row>
    <row r="646" spans="1:22" ht="15.75">
      <c r="A646" s="155" t="s">
        <v>1346</v>
      </c>
      <c r="B646" s="125" t="s">
        <v>1178</v>
      </c>
      <c r="C646" s="130">
        <f t="shared" si="101"/>
        <v>117</v>
      </c>
      <c r="E646" s="127" t="s">
        <v>1177</v>
      </c>
      <c r="F646" s="13">
        <v>3</v>
      </c>
      <c r="G646" s="127">
        <f t="shared" si="102"/>
        <v>39</v>
      </c>
      <c r="H646" s="127" t="s">
        <v>1305</v>
      </c>
      <c r="J646" s="127">
        <f t="shared" si="103"/>
        <v>0</v>
      </c>
      <c r="K646" s="127" t="s">
        <v>1305</v>
      </c>
      <c r="M646" s="127">
        <f t="shared" si="104"/>
        <v>0</v>
      </c>
      <c r="N646" s="127" t="s">
        <v>1305</v>
      </c>
      <c r="P646" s="127">
        <f t="shared" si="105"/>
        <v>0</v>
      </c>
      <c r="Q646" s="127" t="s">
        <v>1305</v>
      </c>
      <c r="S646" s="127">
        <f t="shared" si="106"/>
        <v>0</v>
      </c>
      <c r="T646" s="127" t="s">
        <v>1305</v>
      </c>
      <c r="V646" s="127">
        <f t="shared" si="107"/>
        <v>0</v>
      </c>
    </row>
    <row r="647" spans="1:22" ht="15.75">
      <c r="A647" s="155" t="s">
        <v>1346</v>
      </c>
      <c r="B647" s="125" t="s">
        <v>1179</v>
      </c>
      <c r="C647" s="130">
        <f t="shared" si="101"/>
        <v>234</v>
      </c>
      <c r="E647" s="127" t="s">
        <v>1177</v>
      </c>
      <c r="F647" s="13">
        <v>6</v>
      </c>
      <c r="G647" s="127">
        <f t="shared" si="102"/>
        <v>39</v>
      </c>
      <c r="H647" s="127" t="s">
        <v>1305</v>
      </c>
      <c r="J647" s="127">
        <f t="shared" si="103"/>
        <v>0</v>
      </c>
      <c r="K647" s="127" t="s">
        <v>1305</v>
      </c>
      <c r="M647" s="127">
        <f t="shared" si="104"/>
        <v>0</v>
      </c>
      <c r="N647" s="127" t="s">
        <v>1305</v>
      </c>
      <c r="P647" s="127">
        <f t="shared" si="105"/>
        <v>0</v>
      </c>
      <c r="Q647" s="127" t="s">
        <v>1305</v>
      </c>
      <c r="S647" s="127">
        <f t="shared" si="106"/>
        <v>0</v>
      </c>
      <c r="T647" s="127" t="s">
        <v>1305</v>
      </c>
      <c r="V647" s="127">
        <f t="shared" si="107"/>
        <v>0</v>
      </c>
    </row>
    <row r="648" spans="1:22" ht="15.75">
      <c r="A648" s="155" t="s">
        <v>1346</v>
      </c>
      <c r="B648" s="125" t="s">
        <v>1180</v>
      </c>
      <c r="C648" s="130">
        <f t="shared" si="101"/>
        <v>31</v>
      </c>
      <c r="E648" s="127" t="s">
        <v>1137</v>
      </c>
      <c r="F648" s="13">
        <v>1</v>
      </c>
      <c r="G648" s="127">
        <f t="shared" si="102"/>
        <v>28</v>
      </c>
      <c r="H648" s="127" t="s">
        <v>672</v>
      </c>
      <c r="I648" s="127">
        <v>1</v>
      </c>
      <c r="J648" s="127">
        <f t="shared" si="103"/>
        <v>3</v>
      </c>
      <c r="K648" s="127" t="s">
        <v>1305</v>
      </c>
      <c r="M648" s="127">
        <f t="shared" si="104"/>
        <v>0</v>
      </c>
      <c r="N648" s="127" t="s">
        <v>1305</v>
      </c>
      <c r="P648" s="127">
        <f t="shared" si="105"/>
        <v>0</v>
      </c>
      <c r="Q648" s="127" t="s">
        <v>1305</v>
      </c>
      <c r="S648" s="127">
        <f t="shared" si="106"/>
        <v>0</v>
      </c>
      <c r="T648" s="127" t="s">
        <v>1305</v>
      </c>
      <c r="V648" s="127">
        <f t="shared" si="107"/>
        <v>0</v>
      </c>
    </row>
    <row r="649" spans="1:22" ht="15.75">
      <c r="A649" s="155" t="s">
        <v>1346</v>
      </c>
      <c r="B649" s="125" t="s">
        <v>1181</v>
      </c>
      <c r="C649" s="130">
        <f t="shared" si="101"/>
        <v>93</v>
      </c>
      <c r="E649" s="127" t="s">
        <v>1180</v>
      </c>
      <c r="F649" s="13">
        <v>3</v>
      </c>
      <c r="G649" s="127">
        <f t="shared" si="102"/>
        <v>31</v>
      </c>
      <c r="H649" s="127" t="s">
        <v>1305</v>
      </c>
      <c r="J649" s="127">
        <f t="shared" si="103"/>
        <v>0</v>
      </c>
      <c r="K649" s="127" t="s">
        <v>1305</v>
      </c>
      <c r="M649" s="127">
        <f t="shared" si="104"/>
        <v>0</v>
      </c>
      <c r="N649" s="127" t="s">
        <v>1305</v>
      </c>
      <c r="P649" s="127">
        <f t="shared" si="105"/>
        <v>0</v>
      </c>
      <c r="Q649" s="127" t="s">
        <v>1305</v>
      </c>
      <c r="S649" s="127">
        <f t="shared" si="106"/>
        <v>0</v>
      </c>
      <c r="T649" s="127" t="s">
        <v>1305</v>
      </c>
      <c r="V649" s="127">
        <f t="shared" si="107"/>
        <v>0</v>
      </c>
    </row>
    <row r="650" spans="1:22" ht="15.75">
      <c r="A650" s="155" t="s">
        <v>1346</v>
      </c>
      <c r="B650" s="125" t="s">
        <v>1182</v>
      </c>
      <c r="C650" s="130">
        <f t="shared" si="101"/>
        <v>186</v>
      </c>
      <c r="E650" s="127" t="s">
        <v>1180</v>
      </c>
      <c r="F650" s="13">
        <v>6</v>
      </c>
      <c r="G650" s="127">
        <f t="shared" si="102"/>
        <v>31</v>
      </c>
      <c r="H650" s="127" t="s">
        <v>1305</v>
      </c>
      <c r="J650" s="127">
        <f t="shared" si="103"/>
        <v>0</v>
      </c>
      <c r="K650" s="127" t="s">
        <v>1305</v>
      </c>
      <c r="M650" s="127">
        <f t="shared" si="104"/>
        <v>0</v>
      </c>
      <c r="N650" s="127" t="s">
        <v>1305</v>
      </c>
      <c r="P650" s="127">
        <f t="shared" si="105"/>
        <v>0</v>
      </c>
      <c r="Q650" s="127" t="s">
        <v>1305</v>
      </c>
      <c r="S650" s="127">
        <f t="shared" si="106"/>
        <v>0</v>
      </c>
      <c r="T650" s="127" t="s">
        <v>1305</v>
      </c>
      <c r="V650" s="127">
        <f t="shared" si="107"/>
        <v>0</v>
      </c>
    </row>
    <row r="651" spans="1:22" ht="15.75">
      <c r="A651" s="155" t="s">
        <v>1346</v>
      </c>
      <c r="B651" s="125" t="s">
        <v>1183</v>
      </c>
      <c r="C651" s="130">
        <f t="shared" si="101"/>
        <v>23</v>
      </c>
      <c r="E651" s="127" t="s">
        <v>1159</v>
      </c>
      <c r="F651" s="13">
        <v>1</v>
      </c>
      <c r="G651" s="127">
        <f t="shared" si="102"/>
        <v>20</v>
      </c>
      <c r="H651" s="127" t="s">
        <v>672</v>
      </c>
      <c r="I651" s="127">
        <v>1</v>
      </c>
      <c r="J651" s="127">
        <f t="shared" si="103"/>
        <v>3</v>
      </c>
      <c r="K651" s="127" t="s">
        <v>1305</v>
      </c>
      <c r="M651" s="127">
        <f t="shared" si="104"/>
        <v>0</v>
      </c>
      <c r="N651" s="127" t="s">
        <v>1305</v>
      </c>
      <c r="P651" s="127">
        <f t="shared" si="105"/>
        <v>0</v>
      </c>
      <c r="Q651" s="127" t="s">
        <v>1305</v>
      </c>
      <c r="S651" s="127">
        <f t="shared" si="106"/>
        <v>0</v>
      </c>
      <c r="T651" s="127" t="s">
        <v>1305</v>
      </c>
      <c r="V651" s="127">
        <f t="shared" si="107"/>
        <v>0</v>
      </c>
    </row>
    <row r="652" spans="1:22" ht="15.75">
      <c r="A652" s="155" t="s">
        <v>1346</v>
      </c>
      <c r="B652" s="125" t="s">
        <v>1184</v>
      </c>
      <c r="C652" s="130">
        <f t="shared" si="101"/>
        <v>69</v>
      </c>
      <c r="E652" s="127" t="s">
        <v>1183</v>
      </c>
      <c r="F652" s="13">
        <v>3</v>
      </c>
      <c r="G652" s="127">
        <f t="shared" si="102"/>
        <v>23</v>
      </c>
      <c r="H652" s="127" t="s">
        <v>1305</v>
      </c>
      <c r="J652" s="127">
        <f t="shared" si="103"/>
        <v>0</v>
      </c>
      <c r="K652" s="127" t="s">
        <v>1305</v>
      </c>
      <c r="M652" s="127">
        <f t="shared" si="104"/>
        <v>0</v>
      </c>
      <c r="N652" s="127" t="s">
        <v>1305</v>
      </c>
      <c r="P652" s="127">
        <f t="shared" si="105"/>
        <v>0</v>
      </c>
      <c r="Q652" s="127" t="s">
        <v>1305</v>
      </c>
      <c r="S652" s="127">
        <f t="shared" si="106"/>
        <v>0</v>
      </c>
      <c r="T652" s="127" t="s">
        <v>1305</v>
      </c>
      <c r="V652" s="127">
        <f t="shared" si="107"/>
        <v>0</v>
      </c>
    </row>
    <row r="653" spans="1:22" ht="15.75">
      <c r="A653" s="155" t="s">
        <v>1346</v>
      </c>
      <c r="B653" s="125" t="s">
        <v>1185</v>
      </c>
      <c r="C653" s="130">
        <f t="shared" si="101"/>
        <v>138</v>
      </c>
      <c r="E653" s="127" t="s">
        <v>1183</v>
      </c>
      <c r="F653" s="13">
        <v>6</v>
      </c>
      <c r="G653" s="127">
        <f t="shared" si="102"/>
        <v>23</v>
      </c>
      <c r="H653" s="127" t="s">
        <v>1305</v>
      </c>
      <c r="J653" s="127">
        <f t="shared" si="103"/>
        <v>0</v>
      </c>
      <c r="K653" s="127" t="s">
        <v>1305</v>
      </c>
      <c r="M653" s="127">
        <f t="shared" si="104"/>
        <v>0</v>
      </c>
      <c r="N653" s="127" t="s">
        <v>1305</v>
      </c>
      <c r="P653" s="127">
        <f t="shared" si="105"/>
        <v>0</v>
      </c>
      <c r="Q653" s="127" t="s">
        <v>1305</v>
      </c>
      <c r="S653" s="127">
        <f t="shared" si="106"/>
        <v>0</v>
      </c>
      <c r="T653" s="127" t="s">
        <v>1305</v>
      </c>
      <c r="V653" s="127">
        <f t="shared" si="107"/>
        <v>0</v>
      </c>
    </row>
    <row r="654" spans="1:22" ht="15.75">
      <c r="A654" s="155" t="s">
        <v>1346</v>
      </c>
      <c r="B654" s="125" t="s">
        <v>1186</v>
      </c>
      <c r="C654" s="130">
        <f t="shared" si="101"/>
        <v>4</v>
      </c>
      <c r="E654" s="127" t="s">
        <v>1210</v>
      </c>
      <c r="F654" s="13">
        <v>1</v>
      </c>
      <c r="G654" s="127">
        <f t="shared" si="102"/>
        <v>4</v>
      </c>
      <c r="H654" s="127" t="s">
        <v>1305</v>
      </c>
      <c r="J654" s="127">
        <f t="shared" si="103"/>
        <v>0</v>
      </c>
      <c r="K654" s="127" t="s">
        <v>1305</v>
      </c>
      <c r="M654" s="127">
        <f t="shared" si="104"/>
        <v>0</v>
      </c>
      <c r="N654" s="127" t="s">
        <v>1305</v>
      </c>
      <c r="P654" s="127">
        <f t="shared" si="105"/>
        <v>0</v>
      </c>
      <c r="Q654" s="127" t="s">
        <v>1305</v>
      </c>
      <c r="S654" s="127">
        <f t="shared" si="106"/>
        <v>0</v>
      </c>
      <c r="T654" s="127" t="s">
        <v>1305</v>
      </c>
      <c r="V654" s="127">
        <f t="shared" si="107"/>
        <v>0</v>
      </c>
    </row>
    <row r="655" spans="1:22" ht="15.75">
      <c r="A655" s="155" t="s">
        <v>1346</v>
      </c>
      <c r="B655" s="125" t="s">
        <v>1187</v>
      </c>
      <c r="C655" s="130">
        <f t="shared" si="101"/>
        <v>12</v>
      </c>
      <c r="E655" s="127" t="s">
        <v>1186</v>
      </c>
      <c r="F655" s="13">
        <v>3</v>
      </c>
      <c r="G655" s="127">
        <f t="shared" si="102"/>
        <v>4</v>
      </c>
      <c r="H655" s="127" t="s">
        <v>1305</v>
      </c>
      <c r="J655" s="127">
        <f t="shared" si="103"/>
        <v>0</v>
      </c>
      <c r="K655" s="127" t="s">
        <v>1305</v>
      </c>
      <c r="M655" s="127">
        <f t="shared" si="104"/>
        <v>0</v>
      </c>
      <c r="N655" s="127" t="s">
        <v>1305</v>
      </c>
      <c r="P655" s="127">
        <f t="shared" si="105"/>
        <v>0</v>
      </c>
      <c r="Q655" s="127" t="s">
        <v>1305</v>
      </c>
      <c r="S655" s="127">
        <f t="shared" si="106"/>
        <v>0</v>
      </c>
      <c r="T655" s="127" t="s">
        <v>1305</v>
      </c>
      <c r="V655" s="127">
        <f t="shared" si="107"/>
        <v>0</v>
      </c>
    </row>
    <row r="656" spans="1:22" s="168" customFormat="1" ht="15.75">
      <c r="A656" s="155"/>
      <c r="B656" s="166" t="s">
        <v>1188</v>
      </c>
      <c r="C656" s="167">
        <f t="shared" si="101"/>
        <v>0</v>
      </c>
      <c r="D656" s="133"/>
      <c r="E656" s="168" t="s">
        <v>1305</v>
      </c>
      <c r="G656" s="168">
        <f t="shared" si="102"/>
        <v>0</v>
      </c>
      <c r="H656" s="168" t="s">
        <v>1305</v>
      </c>
      <c r="J656" s="168">
        <f t="shared" si="103"/>
        <v>0</v>
      </c>
      <c r="K656" s="168" t="s">
        <v>1305</v>
      </c>
      <c r="M656" s="168">
        <f t="shared" si="104"/>
        <v>0</v>
      </c>
      <c r="N656" s="168" t="s">
        <v>1305</v>
      </c>
      <c r="P656" s="168">
        <f t="shared" si="105"/>
        <v>0</v>
      </c>
      <c r="Q656" s="168" t="s">
        <v>1305</v>
      </c>
      <c r="S656" s="168">
        <f t="shared" si="106"/>
        <v>0</v>
      </c>
      <c r="T656" s="168" t="s">
        <v>1305</v>
      </c>
      <c r="V656" s="168">
        <f t="shared" si="107"/>
        <v>0</v>
      </c>
    </row>
    <row r="657" spans="1:22" s="168" customFormat="1" ht="15.75">
      <c r="A657" s="155"/>
      <c r="B657" s="166" t="s">
        <v>1189</v>
      </c>
      <c r="C657" s="167">
        <f t="shared" si="101"/>
        <v>0</v>
      </c>
      <c r="D657" s="133"/>
      <c r="E657" s="168" t="s">
        <v>1190</v>
      </c>
      <c r="F657" s="168">
        <v>4</v>
      </c>
      <c r="G657" s="168">
        <f t="shared" si="102"/>
        <v>0</v>
      </c>
      <c r="H657" s="168" t="s">
        <v>1305</v>
      </c>
      <c r="J657" s="168">
        <f t="shared" si="103"/>
        <v>0</v>
      </c>
      <c r="K657" s="168" t="s">
        <v>1305</v>
      </c>
      <c r="M657" s="168">
        <f t="shared" si="104"/>
        <v>0</v>
      </c>
      <c r="N657" s="168" t="s">
        <v>1305</v>
      </c>
      <c r="P657" s="168">
        <f t="shared" si="105"/>
        <v>0</v>
      </c>
      <c r="Q657" s="168" t="s">
        <v>1305</v>
      </c>
      <c r="S657" s="168">
        <f t="shared" si="106"/>
        <v>0</v>
      </c>
      <c r="T657" s="168" t="s">
        <v>1305</v>
      </c>
      <c r="V657" s="168">
        <f t="shared" si="107"/>
        <v>0</v>
      </c>
    </row>
    <row r="658" spans="1:22" s="141" customFormat="1" ht="15.75">
      <c r="A658" s="155"/>
      <c r="B658" s="139" t="s">
        <v>1190</v>
      </c>
      <c r="C658" s="140">
        <f t="shared" si="101"/>
        <v>0</v>
      </c>
      <c r="D658" s="133"/>
      <c r="E658" s="141" t="s">
        <v>1305</v>
      </c>
      <c r="G658" s="141">
        <f t="shared" si="102"/>
        <v>0</v>
      </c>
      <c r="H658" s="141" t="s">
        <v>1305</v>
      </c>
      <c r="J658" s="141">
        <f t="shared" si="103"/>
        <v>0</v>
      </c>
      <c r="K658" s="141" t="s">
        <v>1305</v>
      </c>
      <c r="M658" s="141">
        <f t="shared" si="104"/>
        <v>0</v>
      </c>
      <c r="N658" s="141" t="s">
        <v>1305</v>
      </c>
      <c r="P658" s="141">
        <f t="shared" si="105"/>
        <v>0</v>
      </c>
      <c r="Q658" s="141" t="s">
        <v>1305</v>
      </c>
      <c r="S658" s="141">
        <f t="shared" si="106"/>
        <v>0</v>
      </c>
      <c r="T658" s="141" t="s">
        <v>1305</v>
      </c>
      <c r="V658" s="141">
        <f t="shared" si="107"/>
        <v>0</v>
      </c>
    </row>
    <row r="659" spans="1:22" s="138" customFormat="1" ht="15.75">
      <c r="A659" s="138" t="s">
        <v>1339</v>
      </c>
      <c r="B659" s="136" t="s">
        <v>1191</v>
      </c>
      <c r="C659" s="137">
        <f>'ECONOMIA &amp; PROFESIONES'!C47</f>
        <v>11</v>
      </c>
      <c r="D659" s="133"/>
      <c r="E659" s="138" t="s">
        <v>1305</v>
      </c>
      <c r="G659" s="138">
        <f t="shared" si="102"/>
        <v>0</v>
      </c>
      <c r="H659" s="138" t="s">
        <v>1305</v>
      </c>
      <c r="J659" s="138">
        <f t="shared" si="103"/>
        <v>0</v>
      </c>
      <c r="K659" s="138" t="s">
        <v>1305</v>
      </c>
      <c r="M659" s="138">
        <f t="shared" si="104"/>
        <v>0</v>
      </c>
      <c r="N659" s="138" t="s">
        <v>1305</v>
      </c>
      <c r="P659" s="138">
        <f t="shared" si="105"/>
        <v>0</v>
      </c>
      <c r="Q659" s="138" t="s">
        <v>1305</v>
      </c>
      <c r="S659" s="138">
        <f t="shared" si="106"/>
        <v>0</v>
      </c>
      <c r="T659" s="138" t="s">
        <v>1305</v>
      </c>
      <c r="V659" s="138">
        <f t="shared" si="107"/>
        <v>0</v>
      </c>
    </row>
    <row r="660" spans="1:22" ht="15.75">
      <c r="A660" s="155" t="s">
        <v>1344</v>
      </c>
      <c r="B660" s="125" t="s">
        <v>1192</v>
      </c>
      <c r="C660" s="130">
        <f t="shared" si="101"/>
        <v>39.4</v>
      </c>
      <c r="E660" s="127" t="s">
        <v>820</v>
      </c>
      <c r="F660">
        <v>4</v>
      </c>
      <c r="G660" s="127">
        <f t="shared" si="102"/>
        <v>9</v>
      </c>
      <c r="H660" s="127" t="s">
        <v>558</v>
      </c>
      <c r="I660" s="127">
        <v>1</v>
      </c>
      <c r="J660" s="127">
        <f t="shared" si="103"/>
        <v>3.4</v>
      </c>
      <c r="K660" s="127" t="s">
        <v>1305</v>
      </c>
      <c r="M660" s="127">
        <f t="shared" si="104"/>
        <v>0</v>
      </c>
      <c r="N660" s="127" t="s">
        <v>1305</v>
      </c>
      <c r="P660" s="127">
        <f t="shared" si="105"/>
        <v>0</v>
      </c>
      <c r="Q660" s="127" t="s">
        <v>1305</v>
      </c>
      <c r="S660" s="127">
        <f t="shared" si="106"/>
        <v>0</v>
      </c>
      <c r="T660" s="127" t="s">
        <v>1305</v>
      </c>
      <c r="V660" s="127">
        <f t="shared" si="107"/>
        <v>0</v>
      </c>
    </row>
    <row r="661" spans="1:22" s="150" customFormat="1" ht="15.75">
      <c r="A661" s="138" t="s">
        <v>1341</v>
      </c>
      <c r="B661" s="148" t="s">
        <v>1193</v>
      </c>
      <c r="C661" s="149">
        <f>'ECONOMIA &amp; PROFESIONES'!E55</f>
        <v>1.5</v>
      </c>
      <c r="D661" s="133"/>
      <c r="E661" s="150" t="s">
        <v>1305</v>
      </c>
      <c r="G661" s="150">
        <f t="shared" si="102"/>
        <v>0</v>
      </c>
      <c r="H661" s="150" t="s">
        <v>1305</v>
      </c>
      <c r="J661" s="150">
        <f t="shared" si="103"/>
        <v>0</v>
      </c>
      <c r="K661" s="150" t="s">
        <v>1305</v>
      </c>
      <c r="M661" s="150">
        <f t="shared" si="104"/>
        <v>0</v>
      </c>
      <c r="N661" s="150" t="s">
        <v>1305</v>
      </c>
      <c r="P661" s="150">
        <f t="shared" si="105"/>
        <v>0</v>
      </c>
      <c r="Q661" s="150" t="s">
        <v>1305</v>
      </c>
      <c r="S661" s="150">
        <f t="shared" si="106"/>
        <v>0</v>
      </c>
      <c r="T661" s="150" t="s">
        <v>1305</v>
      </c>
      <c r="V661" s="150">
        <f t="shared" si="107"/>
        <v>0</v>
      </c>
    </row>
    <row r="662" spans="1:22" s="168" customFormat="1" ht="15.75">
      <c r="A662" s="155"/>
      <c r="B662" s="166" t="s">
        <v>1194</v>
      </c>
      <c r="C662" s="167">
        <f t="shared" si="101"/>
        <v>0</v>
      </c>
      <c r="D662" s="133"/>
      <c r="E662" s="168" t="s">
        <v>1259</v>
      </c>
      <c r="F662" s="168">
        <v>1</v>
      </c>
      <c r="G662" s="168">
        <f t="shared" si="102"/>
        <v>0</v>
      </c>
      <c r="H662" s="168" t="s">
        <v>1305</v>
      </c>
      <c r="J662" s="168">
        <f t="shared" si="103"/>
        <v>0</v>
      </c>
      <c r="K662" s="168" t="s">
        <v>1305</v>
      </c>
      <c r="M662" s="168">
        <f t="shared" si="104"/>
        <v>0</v>
      </c>
      <c r="N662" s="168" t="s">
        <v>1305</v>
      </c>
      <c r="P662" s="168">
        <f t="shared" si="105"/>
        <v>0</v>
      </c>
      <c r="Q662" s="168" t="s">
        <v>1305</v>
      </c>
      <c r="S662" s="168">
        <f t="shared" si="106"/>
        <v>0</v>
      </c>
      <c r="T662" s="168" t="s">
        <v>1305</v>
      </c>
      <c r="V662" s="168">
        <f t="shared" si="107"/>
        <v>0</v>
      </c>
    </row>
    <row r="663" spans="1:22" ht="15.75">
      <c r="A663" s="155" t="s">
        <v>1345</v>
      </c>
      <c r="B663" s="125" t="s">
        <v>1195</v>
      </c>
      <c r="C663" s="130">
        <f t="shared" si="101"/>
        <v>12</v>
      </c>
      <c r="E663" s="154" t="s">
        <v>1201</v>
      </c>
      <c r="F663" s="154">
        <v>4</v>
      </c>
      <c r="G663" s="154">
        <f t="shared" si="102"/>
        <v>3</v>
      </c>
      <c r="H663" s="154" t="s">
        <v>1305</v>
      </c>
      <c r="I663" s="154"/>
      <c r="J663" s="127">
        <f t="shared" si="103"/>
        <v>0</v>
      </c>
      <c r="K663" s="127" t="s">
        <v>1305</v>
      </c>
      <c r="M663" s="127">
        <f t="shared" si="104"/>
        <v>0</v>
      </c>
      <c r="N663" s="127" t="s">
        <v>1305</v>
      </c>
      <c r="P663" s="127">
        <f t="shared" si="105"/>
        <v>0</v>
      </c>
      <c r="Q663" s="127" t="s">
        <v>1305</v>
      </c>
      <c r="S663" s="127">
        <f t="shared" si="106"/>
        <v>0</v>
      </c>
      <c r="T663" s="127" t="s">
        <v>1305</v>
      </c>
      <c r="V663" s="127">
        <f t="shared" si="107"/>
        <v>0</v>
      </c>
    </row>
    <row r="664" spans="1:22" ht="15.75">
      <c r="A664" s="155" t="s">
        <v>1345</v>
      </c>
      <c r="B664" s="125" t="s">
        <v>1196</v>
      </c>
      <c r="C664" s="130">
        <f t="shared" si="101"/>
        <v>3</v>
      </c>
      <c r="E664" s="154" t="s">
        <v>1201</v>
      </c>
      <c r="F664" s="154">
        <v>1</v>
      </c>
      <c r="G664" s="154">
        <f t="shared" si="102"/>
        <v>3</v>
      </c>
      <c r="H664" s="154" t="s">
        <v>1305</v>
      </c>
      <c r="I664" s="154"/>
      <c r="J664" s="127">
        <f t="shared" si="103"/>
        <v>0</v>
      </c>
      <c r="K664" s="127" t="s">
        <v>1305</v>
      </c>
      <c r="M664" s="127">
        <f t="shared" si="104"/>
        <v>0</v>
      </c>
      <c r="N664" s="127" t="s">
        <v>1305</v>
      </c>
      <c r="P664" s="127">
        <f t="shared" si="105"/>
        <v>0</v>
      </c>
      <c r="Q664" s="127" t="s">
        <v>1305</v>
      </c>
      <c r="S664" s="127">
        <f t="shared" si="106"/>
        <v>0</v>
      </c>
      <c r="T664" s="127" t="s">
        <v>1305</v>
      </c>
      <c r="V664" s="127">
        <f t="shared" si="107"/>
        <v>0</v>
      </c>
    </row>
    <row r="665" spans="1:22" ht="15.75">
      <c r="A665" s="155" t="s">
        <v>1345</v>
      </c>
      <c r="B665" s="125" t="s">
        <v>1197</v>
      </c>
      <c r="C665" s="130">
        <f t="shared" si="101"/>
        <v>18</v>
      </c>
      <c r="E665" s="154" t="s">
        <v>1201</v>
      </c>
      <c r="F665" s="154">
        <v>6</v>
      </c>
      <c r="G665" s="154">
        <f t="shared" si="102"/>
        <v>3</v>
      </c>
      <c r="H665" s="154" t="s">
        <v>1305</v>
      </c>
      <c r="I665" s="154"/>
      <c r="J665" s="127">
        <f t="shared" si="103"/>
        <v>0</v>
      </c>
      <c r="K665" s="127" t="s">
        <v>1305</v>
      </c>
      <c r="M665" s="127">
        <f t="shared" si="104"/>
        <v>0</v>
      </c>
      <c r="N665" s="127" t="s">
        <v>1305</v>
      </c>
      <c r="P665" s="127">
        <f t="shared" si="105"/>
        <v>0</v>
      </c>
      <c r="Q665" s="127" t="s">
        <v>1305</v>
      </c>
      <c r="S665" s="127">
        <f t="shared" si="106"/>
        <v>0</v>
      </c>
      <c r="T665" s="127" t="s">
        <v>1305</v>
      </c>
      <c r="V665" s="127">
        <f t="shared" si="107"/>
        <v>0</v>
      </c>
    </row>
    <row r="666" spans="1:22" ht="15.75">
      <c r="A666" s="155" t="s">
        <v>1345</v>
      </c>
      <c r="B666" s="125" t="s">
        <v>1198</v>
      </c>
      <c r="C666" s="130">
        <f t="shared" si="101"/>
        <v>16</v>
      </c>
      <c r="E666" s="154" t="s">
        <v>1201</v>
      </c>
      <c r="F666" s="154">
        <v>4</v>
      </c>
      <c r="G666" s="154">
        <f t="shared" si="102"/>
        <v>3</v>
      </c>
      <c r="H666" s="154" t="s">
        <v>1208</v>
      </c>
      <c r="I666" s="154">
        <v>2</v>
      </c>
      <c r="J666" s="127">
        <f t="shared" si="103"/>
        <v>2</v>
      </c>
      <c r="K666" s="127" t="s">
        <v>1305</v>
      </c>
      <c r="M666" s="127">
        <f t="shared" si="104"/>
        <v>0</v>
      </c>
      <c r="N666" s="127" t="s">
        <v>1305</v>
      </c>
      <c r="P666" s="127">
        <f t="shared" si="105"/>
        <v>0</v>
      </c>
      <c r="Q666" s="127" t="s">
        <v>1305</v>
      </c>
      <c r="S666" s="127">
        <f t="shared" si="106"/>
        <v>0</v>
      </c>
      <c r="T666" s="127" t="s">
        <v>1305</v>
      </c>
      <c r="V666" s="127">
        <f t="shared" si="107"/>
        <v>0</v>
      </c>
    </row>
    <row r="667" spans="1:22" ht="15.75">
      <c r="A667" s="155" t="s">
        <v>1345</v>
      </c>
      <c r="B667" s="125" t="s">
        <v>1199</v>
      </c>
      <c r="C667" s="130">
        <f t="shared" si="101"/>
        <v>14</v>
      </c>
      <c r="E667" s="154" t="s">
        <v>1201</v>
      </c>
      <c r="F667" s="154">
        <v>2</v>
      </c>
      <c r="G667" s="154">
        <f t="shared" si="102"/>
        <v>3</v>
      </c>
      <c r="H667" s="154" t="s">
        <v>1208</v>
      </c>
      <c r="I667" s="154">
        <v>4</v>
      </c>
      <c r="J667" s="127">
        <f t="shared" si="103"/>
        <v>2</v>
      </c>
      <c r="K667" s="127" t="s">
        <v>1305</v>
      </c>
      <c r="M667" s="127">
        <f t="shared" si="104"/>
        <v>0</v>
      </c>
      <c r="N667" s="127" t="s">
        <v>1305</v>
      </c>
      <c r="P667" s="127">
        <f t="shared" si="105"/>
        <v>0</v>
      </c>
      <c r="Q667" s="127" t="s">
        <v>1305</v>
      </c>
      <c r="S667" s="127">
        <f t="shared" si="106"/>
        <v>0</v>
      </c>
      <c r="T667" s="127" t="s">
        <v>1305</v>
      </c>
      <c r="V667" s="127">
        <f t="shared" si="107"/>
        <v>0</v>
      </c>
    </row>
    <row r="668" spans="1:22" s="138" customFormat="1" ht="15.75">
      <c r="A668" s="138" t="s">
        <v>1338</v>
      </c>
      <c r="B668" s="136" t="s">
        <v>1200</v>
      </c>
      <c r="C668" s="137">
        <f>'ECONOMIA &amp; PROFESIONES'!E33</f>
        <v>3</v>
      </c>
      <c r="D668" s="133"/>
      <c r="E668" s="138" t="s">
        <v>1305</v>
      </c>
      <c r="G668" s="138">
        <f t="shared" si="102"/>
        <v>0</v>
      </c>
      <c r="H668" s="138" t="s">
        <v>1305</v>
      </c>
      <c r="J668" s="138">
        <f t="shared" si="103"/>
        <v>0</v>
      </c>
      <c r="K668" s="138" t="s">
        <v>1305</v>
      </c>
      <c r="M668" s="138">
        <f t="shared" si="104"/>
        <v>0</v>
      </c>
      <c r="N668" s="138" t="s">
        <v>1305</v>
      </c>
      <c r="P668" s="138">
        <f t="shared" si="105"/>
        <v>0</v>
      </c>
      <c r="Q668" s="138" t="s">
        <v>1305</v>
      </c>
      <c r="S668" s="138">
        <f t="shared" si="106"/>
        <v>0</v>
      </c>
      <c r="T668" s="138" t="s">
        <v>1305</v>
      </c>
      <c r="V668" s="138">
        <f t="shared" si="107"/>
        <v>0</v>
      </c>
    </row>
    <row r="669" spans="1:22" ht="15.75">
      <c r="A669" s="155" t="s">
        <v>1345</v>
      </c>
      <c r="B669" s="125" t="s">
        <v>1201</v>
      </c>
      <c r="C669" s="130">
        <f t="shared" si="101"/>
        <v>3</v>
      </c>
      <c r="E669" s="154" t="s">
        <v>1200</v>
      </c>
      <c r="F669" s="154">
        <v>1</v>
      </c>
      <c r="G669" s="154">
        <f t="shared" si="102"/>
        <v>3</v>
      </c>
      <c r="H669" s="154" t="s">
        <v>1305</v>
      </c>
      <c r="I669" s="154"/>
      <c r="J669" s="127">
        <f t="shared" si="103"/>
        <v>0</v>
      </c>
      <c r="K669" s="127" t="s">
        <v>1305</v>
      </c>
      <c r="M669" s="127">
        <f t="shared" si="104"/>
        <v>0</v>
      </c>
      <c r="N669" s="127" t="s">
        <v>1305</v>
      </c>
      <c r="P669" s="127">
        <f t="shared" si="105"/>
        <v>0</v>
      </c>
      <c r="Q669" s="127" t="s">
        <v>1305</v>
      </c>
      <c r="S669" s="127">
        <f t="shared" si="106"/>
        <v>0</v>
      </c>
      <c r="T669" s="127" t="s">
        <v>1305</v>
      </c>
      <c r="V669" s="127">
        <f t="shared" si="107"/>
        <v>0</v>
      </c>
    </row>
    <row r="670" spans="1:22" ht="15.75">
      <c r="A670" s="155" t="s">
        <v>1345</v>
      </c>
      <c r="B670" s="125" t="s">
        <v>1202</v>
      </c>
      <c r="C670" s="130">
        <f t="shared" si="101"/>
        <v>6</v>
      </c>
      <c r="E670" s="154" t="s">
        <v>1201</v>
      </c>
      <c r="F670" s="154">
        <v>2</v>
      </c>
      <c r="G670" s="154">
        <f t="shared" si="102"/>
        <v>3</v>
      </c>
      <c r="H670" s="154" t="s">
        <v>1305</v>
      </c>
      <c r="I670" s="154"/>
      <c r="J670" s="127">
        <f t="shared" si="103"/>
        <v>0</v>
      </c>
      <c r="K670" s="127" t="s">
        <v>1305</v>
      </c>
      <c r="M670" s="127">
        <f t="shared" si="104"/>
        <v>0</v>
      </c>
      <c r="N670" s="127" t="s">
        <v>1305</v>
      </c>
      <c r="P670" s="127">
        <f t="shared" si="105"/>
        <v>0</v>
      </c>
      <c r="Q670" s="127" t="s">
        <v>1305</v>
      </c>
      <c r="S670" s="127">
        <f t="shared" si="106"/>
        <v>0</v>
      </c>
      <c r="T670" s="127" t="s">
        <v>1305</v>
      </c>
      <c r="V670" s="127">
        <f t="shared" si="107"/>
        <v>0</v>
      </c>
    </row>
    <row r="671" spans="1:22" ht="15.75">
      <c r="A671" s="155" t="s">
        <v>1345</v>
      </c>
      <c r="B671" s="125" t="s">
        <v>1203</v>
      </c>
      <c r="C671" s="130">
        <f t="shared" si="101"/>
        <v>20</v>
      </c>
      <c r="E671" s="154" t="s">
        <v>1201</v>
      </c>
      <c r="F671" s="154">
        <v>6</v>
      </c>
      <c r="G671" s="154">
        <f t="shared" si="102"/>
        <v>3</v>
      </c>
      <c r="H671" s="154" t="s">
        <v>1208</v>
      </c>
      <c r="I671" s="154">
        <v>1</v>
      </c>
      <c r="J671" s="127">
        <f t="shared" si="103"/>
        <v>2</v>
      </c>
      <c r="K671" s="127" t="s">
        <v>1305</v>
      </c>
      <c r="M671" s="127">
        <f t="shared" si="104"/>
        <v>0</v>
      </c>
      <c r="N671" s="127" t="s">
        <v>1305</v>
      </c>
      <c r="P671" s="127">
        <f t="shared" si="105"/>
        <v>0</v>
      </c>
      <c r="Q671" s="127" t="s">
        <v>1305</v>
      </c>
      <c r="S671" s="127">
        <f t="shared" si="106"/>
        <v>0</v>
      </c>
      <c r="T671" s="127" t="s">
        <v>1305</v>
      </c>
      <c r="V671" s="127">
        <f t="shared" si="107"/>
        <v>0</v>
      </c>
    </row>
    <row r="672" spans="1:22" ht="15.75">
      <c r="A672" s="155" t="s">
        <v>1345</v>
      </c>
      <c r="B672" s="125" t="s">
        <v>1204</v>
      </c>
      <c r="C672" s="130">
        <f t="shared" si="101"/>
        <v>9</v>
      </c>
      <c r="E672" s="154" t="s">
        <v>1201</v>
      </c>
      <c r="F672" s="154">
        <v>3</v>
      </c>
      <c r="G672" s="154">
        <f t="shared" si="102"/>
        <v>3</v>
      </c>
      <c r="H672" s="154" t="s">
        <v>1305</v>
      </c>
      <c r="I672" s="154"/>
      <c r="J672" s="127">
        <f t="shared" si="103"/>
        <v>0</v>
      </c>
      <c r="K672" s="127" t="s">
        <v>1305</v>
      </c>
      <c r="M672" s="127">
        <f t="shared" si="104"/>
        <v>0</v>
      </c>
      <c r="N672" s="127" t="s">
        <v>1305</v>
      </c>
      <c r="P672" s="127">
        <f t="shared" si="105"/>
        <v>0</v>
      </c>
      <c r="Q672" s="127" t="s">
        <v>1305</v>
      </c>
      <c r="S672" s="127">
        <f t="shared" si="106"/>
        <v>0</v>
      </c>
      <c r="T672" s="127" t="s">
        <v>1305</v>
      </c>
      <c r="V672" s="127">
        <f t="shared" si="107"/>
        <v>0</v>
      </c>
    </row>
    <row r="673" spans="1:22" ht="15.75">
      <c r="A673" s="155" t="s">
        <v>1345</v>
      </c>
      <c r="B673" s="125" t="s">
        <v>1205</v>
      </c>
      <c r="C673" s="130">
        <f t="shared" si="101"/>
        <v>18</v>
      </c>
      <c r="E673" s="154" t="s">
        <v>1201</v>
      </c>
      <c r="F673" s="154">
        <v>6</v>
      </c>
      <c r="G673" s="154">
        <f t="shared" si="102"/>
        <v>3</v>
      </c>
      <c r="H673" s="154" t="s">
        <v>1305</v>
      </c>
      <c r="I673" s="154"/>
      <c r="J673" s="127">
        <f t="shared" si="103"/>
        <v>0</v>
      </c>
      <c r="K673" s="127" t="s">
        <v>1305</v>
      </c>
      <c r="M673" s="127">
        <f t="shared" si="104"/>
        <v>0</v>
      </c>
      <c r="N673" s="127" t="s">
        <v>1305</v>
      </c>
      <c r="P673" s="127">
        <f t="shared" si="105"/>
        <v>0</v>
      </c>
      <c r="Q673" s="127" t="s">
        <v>1305</v>
      </c>
      <c r="S673" s="127">
        <f t="shared" si="106"/>
        <v>0</v>
      </c>
      <c r="T673" s="127" t="s">
        <v>1305</v>
      </c>
      <c r="V673" s="127">
        <f t="shared" si="107"/>
        <v>0</v>
      </c>
    </row>
    <row r="674" spans="1:22" ht="15.75">
      <c r="A674" s="155" t="s">
        <v>1345</v>
      </c>
      <c r="B674" s="125" t="s">
        <v>1206</v>
      </c>
      <c r="C674" s="130">
        <f t="shared" si="101"/>
        <v>18</v>
      </c>
      <c r="E674" s="154" t="s">
        <v>1201</v>
      </c>
      <c r="F674" s="154">
        <v>6</v>
      </c>
      <c r="G674" s="154">
        <f t="shared" si="102"/>
        <v>3</v>
      </c>
      <c r="H674" s="154" t="s">
        <v>1305</v>
      </c>
      <c r="I674" s="154"/>
      <c r="J674" s="127">
        <f t="shared" si="103"/>
        <v>0</v>
      </c>
      <c r="K674" s="127" t="s">
        <v>1305</v>
      </c>
      <c r="M674" s="127">
        <f t="shared" si="104"/>
        <v>0</v>
      </c>
      <c r="N674" s="127" t="s">
        <v>1305</v>
      </c>
      <c r="P674" s="127">
        <f t="shared" si="105"/>
        <v>0</v>
      </c>
      <c r="Q674" s="127" t="s">
        <v>1305</v>
      </c>
      <c r="S674" s="127">
        <f t="shared" si="106"/>
        <v>0</v>
      </c>
      <c r="T674" s="127" t="s">
        <v>1305</v>
      </c>
      <c r="V674" s="127">
        <f t="shared" si="107"/>
        <v>0</v>
      </c>
    </row>
    <row r="675" spans="1:22" s="138" customFormat="1" ht="15.75">
      <c r="A675" s="138" t="s">
        <v>1338</v>
      </c>
      <c r="B675" s="136" t="s">
        <v>1207</v>
      </c>
      <c r="C675" s="137">
        <f>'ECONOMIA &amp; PROFESIONES'!E33</f>
        <v>3</v>
      </c>
      <c r="D675" s="133"/>
      <c r="E675" s="138" t="s">
        <v>1305</v>
      </c>
      <c r="G675" s="138">
        <f t="shared" si="102"/>
        <v>0</v>
      </c>
      <c r="H675" s="138" t="s">
        <v>1305</v>
      </c>
      <c r="J675" s="138">
        <f t="shared" si="103"/>
        <v>0</v>
      </c>
      <c r="K675" s="138" t="s">
        <v>1305</v>
      </c>
      <c r="M675" s="138">
        <f t="shared" si="104"/>
        <v>0</v>
      </c>
      <c r="N675" s="138" t="s">
        <v>1305</v>
      </c>
      <c r="P675" s="138">
        <f t="shared" si="105"/>
        <v>0</v>
      </c>
      <c r="Q675" s="138" t="s">
        <v>1305</v>
      </c>
      <c r="S675" s="138">
        <f t="shared" si="106"/>
        <v>0</v>
      </c>
      <c r="T675" s="138" t="s">
        <v>1305</v>
      </c>
      <c r="V675" s="138">
        <f t="shared" si="107"/>
        <v>0</v>
      </c>
    </row>
    <row r="676" spans="1:22" ht="15.75">
      <c r="A676" s="155" t="s">
        <v>1345</v>
      </c>
      <c r="B676" s="125" t="s">
        <v>1208</v>
      </c>
      <c r="C676" s="130">
        <f t="shared" si="101"/>
        <v>2</v>
      </c>
      <c r="E676" s="127" t="s">
        <v>1026</v>
      </c>
      <c r="F676">
        <v>2</v>
      </c>
      <c r="G676" s="127">
        <f t="shared" si="102"/>
        <v>1</v>
      </c>
      <c r="H676" s="127" t="s">
        <v>1305</v>
      </c>
      <c r="J676" s="127">
        <f t="shared" si="103"/>
        <v>0</v>
      </c>
      <c r="K676" s="127" t="s">
        <v>1305</v>
      </c>
      <c r="M676" s="127">
        <f t="shared" si="104"/>
        <v>0</v>
      </c>
      <c r="N676" s="127" t="s">
        <v>1305</v>
      </c>
      <c r="P676" s="127">
        <f t="shared" si="105"/>
        <v>0</v>
      </c>
      <c r="Q676" s="127" t="s">
        <v>1305</v>
      </c>
      <c r="S676" s="127">
        <f t="shared" si="106"/>
        <v>0</v>
      </c>
      <c r="T676" s="127" t="s">
        <v>1305</v>
      </c>
      <c r="V676" s="127">
        <f t="shared" si="107"/>
        <v>0</v>
      </c>
    </row>
    <row r="677" spans="1:22" ht="15.75">
      <c r="A677" s="155" t="s">
        <v>1353</v>
      </c>
      <c r="B677" s="125" t="s">
        <v>1209</v>
      </c>
      <c r="C677" s="130">
        <f t="shared" si="101"/>
        <v>25</v>
      </c>
      <c r="E677" s="127" t="s">
        <v>1068</v>
      </c>
      <c r="F677">
        <v>1</v>
      </c>
      <c r="G677" s="127">
        <f t="shared" si="102"/>
        <v>18</v>
      </c>
      <c r="H677" s="127" t="s">
        <v>1173</v>
      </c>
      <c r="I677" s="127">
        <v>1</v>
      </c>
      <c r="J677" s="127">
        <f t="shared" si="103"/>
        <v>7</v>
      </c>
      <c r="K677" s="127" t="s">
        <v>1305</v>
      </c>
      <c r="M677" s="127">
        <f t="shared" si="104"/>
        <v>0</v>
      </c>
      <c r="N677" s="127" t="s">
        <v>1305</v>
      </c>
      <c r="P677" s="127">
        <f t="shared" si="105"/>
        <v>0</v>
      </c>
      <c r="Q677" s="127" t="s">
        <v>1305</v>
      </c>
      <c r="S677" s="127">
        <f t="shared" si="106"/>
        <v>0</v>
      </c>
      <c r="T677" s="127" t="s">
        <v>1305</v>
      </c>
      <c r="V677" s="127">
        <f t="shared" si="107"/>
        <v>0</v>
      </c>
    </row>
    <row r="678" spans="1:22" ht="15.75">
      <c r="A678" s="155" t="s">
        <v>1346</v>
      </c>
      <c r="B678" s="125" t="s">
        <v>1210</v>
      </c>
      <c r="C678" s="130">
        <f t="shared" si="101"/>
        <v>4</v>
      </c>
      <c r="E678" s="127" t="s">
        <v>676</v>
      </c>
      <c r="F678">
        <v>1</v>
      </c>
      <c r="G678" s="127">
        <f t="shared" si="102"/>
        <v>1</v>
      </c>
      <c r="H678" s="127" t="s">
        <v>672</v>
      </c>
      <c r="I678" s="127">
        <v>1</v>
      </c>
      <c r="J678" s="127">
        <f t="shared" si="103"/>
        <v>3</v>
      </c>
      <c r="K678" s="127" t="s">
        <v>1305</v>
      </c>
      <c r="M678" s="127">
        <f t="shared" si="104"/>
        <v>0</v>
      </c>
      <c r="N678" s="127" t="s">
        <v>1305</v>
      </c>
      <c r="P678" s="127">
        <f t="shared" si="105"/>
        <v>0</v>
      </c>
      <c r="Q678" s="127" t="s">
        <v>1305</v>
      </c>
      <c r="S678" s="127">
        <f t="shared" si="106"/>
        <v>0</v>
      </c>
      <c r="T678" s="127" t="s">
        <v>1305</v>
      </c>
      <c r="V678" s="127">
        <f t="shared" si="107"/>
        <v>0</v>
      </c>
    </row>
    <row r="679" spans="1:22" ht="15.75">
      <c r="A679" s="155" t="s">
        <v>1346</v>
      </c>
      <c r="B679" s="125" t="s">
        <v>1211</v>
      </c>
      <c r="C679" s="130">
        <f t="shared" si="101"/>
        <v>7</v>
      </c>
      <c r="E679" s="127" t="s">
        <v>676</v>
      </c>
      <c r="F679">
        <v>3</v>
      </c>
      <c r="G679" s="127">
        <f t="shared" si="102"/>
        <v>1</v>
      </c>
      <c r="H679" s="127" t="s">
        <v>1208</v>
      </c>
      <c r="I679" s="127">
        <v>2</v>
      </c>
      <c r="J679" s="127">
        <f t="shared" si="103"/>
        <v>2</v>
      </c>
      <c r="K679" s="127" t="s">
        <v>1305</v>
      </c>
      <c r="M679" s="127">
        <f t="shared" si="104"/>
        <v>0</v>
      </c>
      <c r="N679" s="127" t="s">
        <v>1305</v>
      </c>
      <c r="P679" s="127">
        <f t="shared" si="105"/>
        <v>0</v>
      </c>
      <c r="Q679" s="127" t="s">
        <v>1305</v>
      </c>
      <c r="S679" s="127">
        <f t="shared" si="106"/>
        <v>0</v>
      </c>
      <c r="T679" s="127" t="s">
        <v>1305</v>
      </c>
      <c r="V679" s="127">
        <f t="shared" si="107"/>
        <v>0</v>
      </c>
    </row>
    <row r="680" spans="1:22" ht="15.75">
      <c r="A680" s="155" t="s">
        <v>1346</v>
      </c>
      <c r="B680" s="125" t="s">
        <v>1212</v>
      </c>
      <c r="C680" s="130">
        <f t="shared" si="101"/>
        <v>48</v>
      </c>
      <c r="E680" s="127" t="s">
        <v>1215</v>
      </c>
      <c r="F680">
        <v>3</v>
      </c>
      <c r="G680" s="127">
        <f t="shared" si="102"/>
        <v>16</v>
      </c>
      <c r="H680" s="127" t="s">
        <v>1305</v>
      </c>
      <c r="J680" s="127">
        <f t="shared" si="103"/>
        <v>0</v>
      </c>
      <c r="K680" s="127" t="s">
        <v>1305</v>
      </c>
      <c r="M680" s="127">
        <f t="shared" si="104"/>
        <v>0</v>
      </c>
      <c r="N680" s="127" t="s">
        <v>1305</v>
      </c>
      <c r="P680" s="127">
        <f t="shared" si="105"/>
        <v>0</v>
      </c>
      <c r="Q680" s="127" t="s">
        <v>1305</v>
      </c>
      <c r="S680" s="127">
        <f t="shared" si="106"/>
        <v>0</v>
      </c>
      <c r="T680" s="127" t="s">
        <v>1305</v>
      </c>
      <c r="V680" s="127">
        <f t="shared" si="107"/>
        <v>0</v>
      </c>
    </row>
    <row r="681" spans="1:22" ht="15.75">
      <c r="A681" s="155" t="s">
        <v>1346</v>
      </c>
      <c r="B681" s="125" t="s">
        <v>1213</v>
      </c>
      <c r="C681" s="130">
        <f t="shared" si="101"/>
        <v>96</v>
      </c>
      <c r="E681" s="127" t="s">
        <v>1215</v>
      </c>
      <c r="F681">
        <v>6</v>
      </c>
      <c r="G681" s="127">
        <f t="shared" si="102"/>
        <v>16</v>
      </c>
      <c r="H681" s="127" t="s">
        <v>1305</v>
      </c>
      <c r="J681" s="127">
        <f t="shared" si="103"/>
        <v>0</v>
      </c>
      <c r="K681" s="127" t="s">
        <v>1305</v>
      </c>
      <c r="M681" s="127">
        <f t="shared" si="104"/>
        <v>0</v>
      </c>
      <c r="N681" s="127" t="s">
        <v>1305</v>
      </c>
      <c r="P681" s="127">
        <f t="shared" si="105"/>
        <v>0</v>
      </c>
      <c r="Q681" s="127" t="s">
        <v>1305</v>
      </c>
      <c r="S681" s="127">
        <f t="shared" si="106"/>
        <v>0</v>
      </c>
      <c r="T681" s="127" t="s">
        <v>1305</v>
      </c>
      <c r="V681" s="127">
        <f t="shared" si="107"/>
        <v>0</v>
      </c>
    </row>
    <row r="682" spans="1:22" ht="15.75">
      <c r="A682" s="155" t="s">
        <v>1346</v>
      </c>
      <c r="B682" s="125" t="s">
        <v>1214</v>
      </c>
      <c r="C682" s="130">
        <f t="shared" si="101"/>
        <v>96</v>
      </c>
      <c r="E682" s="127" t="s">
        <v>1215</v>
      </c>
      <c r="F682">
        <v>6</v>
      </c>
      <c r="G682" s="127">
        <f t="shared" si="102"/>
        <v>16</v>
      </c>
      <c r="H682" s="127" t="s">
        <v>1305</v>
      </c>
      <c r="J682" s="127">
        <f t="shared" si="103"/>
        <v>0</v>
      </c>
      <c r="K682" s="127" t="s">
        <v>1305</v>
      </c>
      <c r="M682" s="127">
        <f t="shared" si="104"/>
        <v>0</v>
      </c>
      <c r="N682" s="127" t="s">
        <v>1305</v>
      </c>
      <c r="P682" s="127">
        <f t="shared" si="105"/>
        <v>0</v>
      </c>
      <c r="Q682" s="127" t="s">
        <v>1305</v>
      </c>
      <c r="S682" s="127">
        <f t="shared" si="106"/>
        <v>0</v>
      </c>
      <c r="T682" s="127" t="s">
        <v>1305</v>
      </c>
      <c r="V682" s="127">
        <f t="shared" si="107"/>
        <v>0</v>
      </c>
    </row>
    <row r="683" spans="1:22" ht="15.75">
      <c r="A683" s="155" t="s">
        <v>1346</v>
      </c>
      <c r="B683" s="125" t="s">
        <v>1215</v>
      </c>
      <c r="C683" s="130">
        <f t="shared" si="101"/>
        <v>16</v>
      </c>
      <c r="E683" s="127" t="s">
        <v>1210</v>
      </c>
      <c r="F683">
        <v>4</v>
      </c>
      <c r="G683" s="127">
        <f t="shared" si="102"/>
        <v>4</v>
      </c>
      <c r="H683" s="127" t="s">
        <v>1305</v>
      </c>
      <c r="J683" s="127">
        <f t="shared" si="103"/>
        <v>0</v>
      </c>
      <c r="K683" s="127" t="s">
        <v>1305</v>
      </c>
      <c r="M683" s="127">
        <f t="shared" si="104"/>
        <v>0</v>
      </c>
      <c r="N683" s="127" t="s">
        <v>1305</v>
      </c>
      <c r="P683" s="127">
        <f t="shared" si="105"/>
        <v>0</v>
      </c>
      <c r="Q683" s="127" t="s">
        <v>1305</v>
      </c>
      <c r="S683" s="127">
        <f t="shared" si="106"/>
        <v>0</v>
      </c>
      <c r="T683" s="127" t="s">
        <v>1305</v>
      </c>
      <c r="V683" s="127">
        <f t="shared" si="107"/>
        <v>0</v>
      </c>
    </row>
    <row r="684" spans="1:22" ht="15.75">
      <c r="A684" s="155" t="s">
        <v>1346</v>
      </c>
      <c r="B684" s="125" t="s">
        <v>1216</v>
      </c>
      <c r="C684" s="130">
        <f t="shared" si="101"/>
        <v>4</v>
      </c>
      <c r="E684" s="127" t="s">
        <v>1210</v>
      </c>
      <c r="F684">
        <v>1</v>
      </c>
      <c r="G684" s="127">
        <f t="shared" si="102"/>
        <v>4</v>
      </c>
      <c r="H684" s="127" t="s">
        <v>1305</v>
      </c>
      <c r="J684" s="127">
        <f t="shared" si="103"/>
        <v>0</v>
      </c>
      <c r="K684" s="127" t="s">
        <v>1305</v>
      </c>
      <c r="M684" s="127">
        <f t="shared" si="104"/>
        <v>0</v>
      </c>
      <c r="N684" s="127" t="s">
        <v>1305</v>
      </c>
      <c r="P684" s="127">
        <f t="shared" si="105"/>
        <v>0</v>
      </c>
      <c r="Q684" s="127" t="s">
        <v>1305</v>
      </c>
      <c r="S684" s="127">
        <f t="shared" si="106"/>
        <v>0</v>
      </c>
      <c r="T684" s="127" t="s">
        <v>1305</v>
      </c>
      <c r="V684" s="127">
        <f t="shared" si="107"/>
        <v>0</v>
      </c>
    </row>
    <row r="685" spans="1:22" ht="15.75">
      <c r="A685" s="155" t="s">
        <v>1346</v>
      </c>
      <c r="B685" s="125" t="s">
        <v>1217</v>
      </c>
      <c r="C685" s="130">
        <f t="shared" si="101"/>
        <v>12</v>
      </c>
      <c r="E685" s="127" t="s">
        <v>1210</v>
      </c>
      <c r="F685">
        <v>2</v>
      </c>
      <c r="G685" s="127">
        <f t="shared" si="102"/>
        <v>4</v>
      </c>
      <c r="H685" s="127" t="s">
        <v>1208</v>
      </c>
      <c r="I685" s="127">
        <v>2</v>
      </c>
      <c r="J685" s="127">
        <f t="shared" si="103"/>
        <v>2</v>
      </c>
      <c r="K685" s="127" t="s">
        <v>1305</v>
      </c>
      <c r="M685" s="127">
        <f t="shared" si="104"/>
        <v>0</v>
      </c>
      <c r="N685" s="127" t="s">
        <v>1305</v>
      </c>
      <c r="P685" s="127">
        <f t="shared" si="105"/>
        <v>0</v>
      </c>
      <c r="Q685" s="127" t="s">
        <v>1305</v>
      </c>
      <c r="S685" s="127">
        <f t="shared" si="106"/>
        <v>0</v>
      </c>
      <c r="T685" s="127" t="s">
        <v>1305</v>
      </c>
      <c r="V685" s="127">
        <f t="shared" si="107"/>
        <v>0</v>
      </c>
    </row>
    <row r="686" spans="1:22" ht="15.75">
      <c r="A686" s="155" t="s">
        <v>1346</v>
      </c>
      <c r="B686" s="125" t="s">
        <v>1218</v>
      </c>
      <c r="C686" s="130">
        <f t="shared" si="101"/>
        <v>16</v>
      </c>
      <c r="E686" s="127" t="s">
        <v>1210</v>
      </c>
      <c r="F686">
        <v>3</v>
      </c>
      <c r="G686" s="127">
        <f t="shared" si="102"/>
        <v>4</v>
      </c>
      <c r="H686" s="127" t="s">
        <v>1208</v>
      </c>
      <c r="I686" s="127">
        <v>2</v>
      </c>
      <c r="J686" s="127">
        <f t="shared" si="103"/>
        <v>2</v>
      </c>
      <c r="K686" s="127" t="s">
        <v>1305</v>
      </c>
      <c r="M686" s="127">
        <f t="shared" si="104"/>
        <v>0</v>
      </c>
      <c r="N686" s="127" t="s">
        <v>1305</v>
      </c>
      <c r="P686" s="127">
        <f t="shared" si="105"/>
        <v>0</v>
      </c>
      <c r="Q686" s="127" t="s">
        <v>1305</v>
      </c>
      <c r="S686" s="127">
        <f t="shared" si="106"/>
        <v>0</v>
      </c>
      <c r="T686" s="127" t="s">
        <v>1305</v>
      </c>
      <c r="V686" s="127">
        <f t="shared" si="107"/>
        <v>0</v>
      </c>
    </row>
    <row r="687" spans="1:22" ht="15.75">
      <c r="A687" s="155" t="s">
        <v>1346</v>
      </c>
      <c r="B687" s="125" t="s">
        <v>1219</v>
      </c>
      <c r="C687" s="130">
        <f t="shared" si="101"/>
        <v>8</v>
      </c>
      <c r="E687" s="127" t="s">
        <v>1210</v>
      </c>
      <c r="F687">
        <v>2</v>
      </c>
      <c r="G687" s="127">
        <f t="shared" si="102"/>
        <v>4</v>
      </c>
      <c r="H687" s="127" t="s">
        <v>1305</v>
      </c>
      <c r="J687" s="127">
        <f t="shared" si="103"/>
        <v>0</v>
      </c>
      <c r="K687" s="127" t="s">
        <v>1305</v>
      </c>
      <c r="M687" s="127">
        <f t="shared" si="104"/>
        <v>0</v>
      </c>
      <c r="N687" s="127" t="s">
        <v>1305</v>
      </c>
      <c r="P687" s="127">
        <f t="shared" si="105"/>
        <v>0</v>
      </c>
      <c r="Q687" s="127" t="s">
        <v>1305</v>
      </c>
      <c r="S687" s="127">
        <f t="shared" si="106"/>
        <v>0</v>
      </c>
      <c r="T687" s="127" t="s">
        <v>1305</v>
      </c>
      <c r="V687" s="127">
        <f t="shared" si="107"/>
        <v>0</v>
      </c>
    </row>
    <row r="688" spans="1:22" ht="15.75">
      <c r="A688" s="155" t="s">
        <v>1346</v>
      </c>
      <c r="B688" s="125" t="s">
        <v>1220</v>
      </c>
      <c r="C688" s="130">
        <f t="shared" si="101"/>
        <v>8</v>
      </c>
      <c r="E688" s="127" t="s">
        <v>1210</v>
      </c>
      <c r="F688">
        <v>1</v>
      </c>
      <c r="G688" s="127">
        <f t="shared" si="102"/>
        <v>4</v>
      </c>
      <c r="H688" s="127" t="s">
        <v>1208</v>
      </c>
      <c r="I688" s="127">
        <v>2</v>
      </c>
      <c r="J688" s="127">
        <f t="shared" si="103"/>
        <v>2</v>
      </c>
      <c r="K688" s="127" t="s">
        <v>1305</v>
      </c>
      <c r="M688" s="127">
        <f t="shared" si="104"/>
        <v>0</v>
      </c>
      <c r="N688" s="127" t="s">
        <v>1305</v>
      </c>
      <c r="P688" s="127">
        <f t="shared" si="105"/>
        <v>0</v>
      </c>
      <c r="Q688" s="127" t="s">
        <v>1305</v>
      </c>
      <c r="S688" s="127">
        <f t="shared" si="106"/>
        <v>0</v>
      </c>
      <c r="T688" s="127" t="s">
        <v>1305</v>
      </c>
      <c r="V688" s="127">
        <f t="shared" si="107"/>
        <v>0</v>
      </c>
    </row>
    <row r="689" spans="1:22" ht="15.75">
      <c r="A689" s="155" t="s">
        <v>1346</v>
      </c>
      <c r="B689" s="125" t="s">
        <v>1221</v>
      </c>
      <c r="C689" s="130">
        <f t="shared" si="101"/>
        <v>12</v>
      </c>
      <c r="E689" s="127" t="s">
        <v>1210</v>
      </c>
      <c r="F689">
        <v>3</v>
      </c>
      <c r="G689" s="127">
        <f t="shared" si="102"/>
        <v>4</v>
      </c>
      <c r="H689" s="127" t="s">
        <v>1305</v>
      </c>
      <c r="J689" s="127">
        <f t="shared" si="103"/>
        <v>0</v>
      </c>
      <c r="K689" s="127" t="s">
        <v>1305</v>
      </c>
      <c r="M689" s="127">
        <f t="shared" si="104"/>
        <v>0</v>
      </c>
      <c r="N689" s="127" t="s">
        <v>1305</v>
      </c>
      <c r="P689" s="127">
        <f t="shared" si="105"/>
        <v>0</v>
      </c>
      <c r="Q689" s="127" t="s">
        <v>1305</v>
      </c>
      <c r="S689" s="127">
        <f t="shared" si="106"/>
        <v>0</v>
      </c>
      <c r="T689" s="127" t="s">
        <v>1305</v>
      </c>
      <c r="V689" s="127">
        <f t="shared" si="107"/>
        <v>0</v>
      </c>
    </row>
    <row r="690" spans="1:22" ht="15.75">
      <c r="A690" s="155" t="s">
        <v>1346</v>
      </c>
      <c r="B690" s="125" t="s">
        <v>1222</v>
      </c>
      <c r="C690" s="130">
        <f t="shared" ref="C690:C752" si="108">(G690*F690)+(I690*J690)+(L690*M690)+(O690*P690)+(R690*S690)+(U690*V690)</f>
        <v>24</v>
      </c>
      <c r="E690" s="127" t="s">
        <v>1210</v>
      </c>
      <c r="F690">
        <v>6</v>
      </c>
      <c r="G690" s="127">
        <f t="shared" si="102"/>
        <v>4</v>
      </c>
      <c r="H690" s="127" t="s">
        <v>1305</v>
      </c>
      <c r="J690" s="127">
        <f t="shared" si="103"/>
        <v>0</v>
      </c>
      <c r="K690" s="127" t="s">
        <v>1305</v>
      </c>
      <c r="M690" s="127">
        <f t="shared" si="104"/>
        <v>0</v>
      </c>
      <c r="N690" s="127" t="s">
        <v>1305</v>
      </c>
      <c r="P690" s="127">
        <f t="shared" si="105"/>
        <v>0</v>
      </c>
      <c r="Q690" s="127" t="s">
        <v>1305</v>
      </c>
      <c r="S690" s="127">
        <f t="shared" si="106"/>
        <v>0</v>
      </c>
      <c r="T690" s="127" t="s">
        <v>1305</v>
      </c>
      <c r="V690" s="127">
        <f t="shared" si="107"/>
        <v>0</v>
      </c>
    </row>
    <row r="691" spans="1:22" ht="15.75">
      <c r="A691" s="155" t="s">
        <v>1344</v>
      </c>
      <c r="B691" s="125" t="s">
        <v>1223</v>
      </c>
      <c r="C691" s="130">
        <f t="shared" si="108"/>
        <v>24</v>
      </c>
      <c r="E691" s="127" t="s">
        <v>1210</v>
      </c>
      <c r="F691">
        <v>6</v>
      </c>
      <c r="G691" s="127">
        <f t="shared" si="102"/>
        <v>4</v>
      </c>
      <c r="H691" s="127" t="s">
        <v>1305</v>
      </c>
      <c r="J691" s="127">
        <f t="shared" si="103"/>
        <v>0</v>
      </c>
      <c r="K691" s="127" t="s">
        <v>1305</v>
      </c>
      <c r="M691" s="127">
        <f t="shared" si="104"/>
        <v>0</v>
      </c>
      <c r="N691" s="127" t="s">
        <v>1305</v>
      </c>
      <c r="P691" s="127">
        <f t="shared" si="105"/>
        <v>0</v>
      </c>
      <c r="Q691" s="127" t="s">
        <v>1305</v>
      </c>
      <c r="S691" s="127">
        <f t="shared" si="106"/>
        <v>0</v>
      </c>
      <c r="T691" s="127" t="s">
        <v>1305</v>
      </c>
      <c r="V691" s="127">
        <f t="shared" si="107"/>
        <v>0</v>
      </c>
    </row>
    <row r="692" spans="1:22" s="150" customFormat="1" ht="15.75">
      <c r="A692" s="138" t="s">
        <v>1341</v>
      </c>
      <c r="B692" s="148" t="s">
        <v>1224</v>
      </c>
      <c r="C692" s="149">
        <f>'ECONOMIA &amp; PROFESIONES'!E55</f>
        <v>1.5</v>
      </c>
      <c r="D692" s="133"/>
      <c r="E692" s="150" t="s">
        <v>1305</v>
      </c>
      <c r="G692" s="150">
        <f t="shared" ref="G692:G750" si="109">VLOOKUP(E692,IDPOINTS,2,FALSE)</f>
        <v>0</v>
      </c>
      <c r="H692" s="150" t="s">
        <v>1305</v>
      </c>
      <c r="J692" s="150">
        <f t="shared" ref="J692:J750" si="110">VLOOKUP(H692,IDPOINTS,2,FALSE)</f>
        <v>0</v>
      </c>
      <c r="K692" s="150" t="s">
        <v>1305</v>
      </c>
      <c r="M692" s="150">
        <f t="shared" ref="M692:M754" si="111">VLOOKUP(K692,IDPOINTS,2,FALSE)</f>
        <v>0</v>
      </c>
      <c r="N692" s="150" t="s">
        <v>1305</v>
      </c>
      <c r="P692" s="150">
        <f t="shared" ref="P692:P754" si="112">VLOOKUP(N692,IDPOINTS,2,FALSE)</f>
        <v>0</v>
      </c>
      <c r="Q692" s="150" t="s">
        <v>1305</v>
      </c>
      <c r="S692" s="150">
        <f t="shared" ref="S692:S754" si="113">VLOOKUP(Q692,IDPOINTS,2,FALSE)</f>
        <v>0</v>
      </c>
      <c r="T692" s="150" t="s">
        <v>1305</v>
      </c>
      <c r="V692" s="150">
        <f t="shared" ref="V692:V754" si="114">VLOOKUP(T692,IDPOINTS,2,FALSE)</f>
        <v>0</v>
      </c>
    </row>
    <row r="693" spans="1:22" s="138" customFormat="1" ht="15.75">
      <c r="A693" s="138" t="s">
        <v>1338</v>
      </c>
      <c r="B693" s="136" t="s">
        <v>1225</v>
      </c>
      <c r="C693" s="137">
        <f>'ECONOMIA &amp; PROFESIONES'!E36</f>
        <v>9</v>
      </c>
      <c r="D693" s="133"/>
      <c r="E693" s="138" t="s">
        <v>1305</v>
      </c>
      <c r="G693" s="138">
        <f t="shared" si="109"/>
        <v>0</v>
      </c>
      <c r="H693" s="138" t="s">
        <v>1305</v>
      </c>
      <c r="J693" s="138">
        <f t="shared" si="110"/>
        <v>0</v>
      </c>
      <c r="K693" s="138" t="s">
        <v>1305</v>
      </c>
      <c r="M693" s="138">
        <f t="shared" si="111"/>
        <v>0</v>
      </c>
      <c r="N693" s="138" t="s">
        <v>1305</v>
      </c>
      <c r="P693" s="138">
        <f t="shared" si="112"/>
        <v>0</v>
      </c>
      <c r="Q693" s="138" t="s">
        <v>1305</v>
      </c>
      <c r="S693" s="138">
        <f t="shared" si="113"/>
        <v>0</v>
      </c>
      <c r="T693" s="138" t="s">
        <v>1305</v>
      </c>
      <c r="V693" s="138">
        <f t="shared" si="114"/>
        <v>0</v>
      </c>
    </row>
    <row r="694" spans="1:22" s="138" customFormat="1" ht="15.75">
      <c r="A694" s="138" t="s">
        <v>1338</v>
      </c>
      <c r="B694" s="136" t="s">
        <v>1226</v>
      </c>
      <c r="C694" s="137">
        <f>'ECONOMIA &amp; PROFESIONES'!E36</f>
        <v>9</v>
      </c>
      <c r="D694" s="133"/>
      <c r="E694" s="138" t="s">
        <v>1305</v>
      </c>
      <c r="G694" s="138">
        <f t="shared" si="109"/>
        <v>0</v>
      </c>
      <c r="H694" s="138" t="s">
        <v>1305</v>
      </c>
      <c r="J694" s="138">
        <f t="shared" si="110"/>
        <v>0</v>
      </c>
      <c r="K694" s="138" t="s">
        <v>1305</v>
      </c>
      <c r="M694" s="138">
        <f t="shared" si="111"/>
        <v>0</v>
      </c>
      <c r="N694" s="138" t="s">
        <v>1305</v>
      </c>
      <c r="P694" s="138">
        <f t="shared" si="112"/>
        <v>0</v>
      </c>
      <c r="Q694" s="138" t="s">
        <v>1305</v>
      </c>
      <c r="S694" s="138">
        <f t="shared" si="113"/>
        <v>0</v>
      </c>
      <c r="T694" s="138" t="s">
        <v>1305</v>
      </c>
      <c r="V694" s="138">
        <f t="shared" si="114"/>
        <v>0</v>
      </c>
    </row>
    <row r="695" spans="1:22" s="138" customFormat="1" ht="15.75">
      <c r="A695" s="138" t="s">
        <v>1338</v>
      </c>
      <c r="B695" s="136" t="s">
        <v>1227</v>
      </c>
      <c r="C695" s="137">
        <f>'ECONOMIA &amp; PROFESIONES'!E34</f>
        <v>5</v>
      </c>
      <c r="D695" s="133"/>
      <c r="E695" s="138" t="s">
        <v>1305</v>
      </c>
      <c r="G695" s="138">
        <f t="shared" si="109"/>
        <v>0</v>
      </c>
      <c r="H695" s="138" t="s">
        <v>1305</v>
      </c>
      <c r="J695" s="138">
        <f t="shared" si="110"/>
        <v>0</v>
      </c>
      <c r="K695" s="138" t="s">
        <v>1305</v>
      </c>
      <c r="M695" s="138">
        <f t="shared" si="111"/>
        <v>0</v>
      </c>
      <c r="N695" s="138" t="s">
        <v>1305</v>
      </c>
      <c r="P695" s="138">
        <f t="shared" si="112"/>
        <v>0</v>
      </c>
      <c r="Q695" s="138" t="s">
        <v>1305</v>
      </c>
      <c r="S695" s="138">
        <f t="shared" si="113"/>
        <v>0</v>
      </c>
      <c r="T695" s="138" t="s">
        <v>1305</v>
      </c>
      <c r="V695" s="138">
        <f t="shared" si="114"/>
        <v>0</v>
      </c>
    </row>
    <row r="696" spans="1:22" s="138" customFormat="1" ht="15.75">
      <c r="A696" s="138" t="s">
        <v>1338</v>
      </c>
      <c r="B696" s="136" t="s">
        <v>1228</v>
      </c>
      <c r="C696" s="137">
        <f>'ECONOMIA &amp; PROFESIONES'!E34</f>
        <v>5</v>
      </c>
      <c r="D696" s="133"/>
      <c r="E696" s="138" t="s">
        <v>1305</v>
      </c>
      <c r="G696" s="138">
        <f t="shared" si="109"/>
        <v>0</v>
      </c>
      <c r="H696" s="138" t="s">
        <v>1305</v>
      </c>
      <c r="J696" s="138">
        <f t="shared" si="110"/>
        <v>0</v>
      </c>
      <c r="K696" s="138" t="s">
        <v>1305</v>
      </c>
      <c r="M696" s="138">
        <f t="shared" si="111"/>
        <v>0</v>
      </c>
      <c r="N696" s="138" t="s">
        <v>1305</v>
      </c>
      <c r="P696" s="138">
        <f t="shared" si="112"/>
        <v>0</v>
      </c>
      <c r="Q696" s="138" t="s">
        <v>1305</v>
      </c>
      <c r="S696" s="138">
        <f t="shared" si="113"/>
        <v>0</v>
      </c>
      <c r="T696" s="138" t="s">
        <v>1305</v>
      </c>
      <c r="V696" s="138">
        <f t="shared" si="114"/>
        <v>0</v>
      </c>
    </row>
    <row r="697" spans="1:22" s="138" customFormat="1" ht="15.75">
      <c r="A697" s="138" t="s">
        <v>1338</v>
      </c>
      <c r="B697" s="136" t="s">
        <v>1229</v>
      </c>
      <c r="C697" s="137">
        <f>'ECONOMIA &amp; PROFESIONES'!E37</f>
        <v>11</v>
      </c>
      <c r="D697" s="133"/>
      <c r="E697" s="138" t="s">
        <v>1305</v>
      </c>
      <c r="G697" s="138">
        <f t="shared" si="109"/>
        <v>0</v>
      </c>
      <c r="H697" s="138" t="s">
        <v>1305</v>
      </c>
      <c r="J697" s="138">
        <f t="shared" si="110"/>
        <v>0</v>
      </c>
      <c r="K697" s="138" t="s">
        <v>1305</v>
      </c>
      <c r="M697" s="138">
        <f t="shared" si="111"/>
        <v>0</v>
      </c>
      <c r="N697" s="138" t="s">
        <v>1305</v>
      </c>
      <c r="P697" s="138">
        <f t="shared" si="112"/>
        <v>0</v>
      </c>
      <c r="Q697" s="138" t="s">
        <v>1305</v>
      </c>
      <c r="S697" s="138">
        <f t="shared" si="113"/>
        <v>0</v>
      </c>
      <c r="T697" s="138" t="s">
        <v>1305</v>
      </c>
      <c r="V697" s="138">
        <f t="shared" si="114"/>
        <v>0</v>
      </c>
    </row>
    <row r="698" spans="1:22" s="138" customFormat="1" ht="15.75">
      <c r="A698" s="138" t="s">
        <v>1338</v>
      </c>
      <c r="B698" s="136" t="s">
        <v>1230</v>
      </c>
      <c r="C698" s="137">
        <f>'ECONOMIA &amp; PROFESIONES'!E37</f>
        <v>11</v>
      </c>
      <c r="D698" s="133"/>
      <c r="E698" s="138" t="s">
        <v>1305</v>
      </c>
      <c r="G698" s="138">
        <f t="shared" si="109"/>
        <v>0</v>
      </c>
      <c r="H698" s="138" t="s">
        <v>1305</v>
      </c>
      <c r="J698" s="138">
        <f t="shared" si="110"/>
        <v>0</v>
      </c>
      <c r="K698" s="138" t="s">
        <v>1305</v>
      </c>
      <c r="M698" s="138">
        <f t="shared" si="111"/>
        <v>0</v>
      </c>
      <c r="N698" s="138" t="s">
        <v>1305</v>
      </c>
      <c r="P698" s="138">
        <f t="shared" si="112"/>
        <v>0</v>
      </c>
      <c r="Q698" s="138" t="s">
        <v>1305</v>
      </c>
      <c r="S698" s="138">
        <f t="shared" si="113"/>
        <v>0</v>
      </c>
      <c r="T698" s="138" t="s">
        <v>1305</v>
      </c>
      <c r="V698" s="138">
        <f t="shared" si="114"/>
        <v>0</v>
      </c>
    </row>
    <row r="699" spans="1:22" s="138" customFormat="1" ht="15.75">
      <c r="A699" s="138" t="s">
        <v>1338</v>
      </c>
      <c r="B699" s="136" t="s">
        <v>1231</v>
      </c>
      <c r="C699" s="137">
        <f>'ECONOMIA &amp; PROFESIONES'!E35</f>
        <v>7</v>
      </c>
      <c r="D699" s="133"/>
      <c r="E699" s="138" t="s">
        <v>1305</v>
      </c>
      <c r="G699" s="138">
        <f t="shared" si="109"/>
        <v>0</v>
      </c>
      <c r="H699" s="138" t="s">
        <v>1305</v>
      </c>
      <c r="J699" s="138">
        <f t="shared" si="110"/>
        <v>0</v>
      </c>
      <c r="K699" s="138" t="s">
        <v>1305</v>
      </c>
      <c r="M699" s="138">
        <f t="shared" si="111"/>
        <v>0</v>
      </c>
      <c r="N699" s="138" t="s">
        <v>1305</v>
      </c>
      <c r="P699" s="138">
        <f t="shared" si="112"/>
        <v>0</v>
      </c>
      <c r="Q699" s="138" t="s">
        <v>1305</v>
      </c>
      <c r="S699" s="138">
        <f t="shared" si="113"/>
        <v>0</v>
      </c>
      <c r="T699" s="138" t="s">
        <v>1305</v>
      </c>
      <c r="V699" s="138">
        <f t="shared" si="114"/>
        <v>0</v>
      </c>
    </row>
    <row r="700" spans="1:22" s="138" customFormat="1" ht="15.75">
      <c r="A700" s="138" t="s">
        <v>1338</v>
      </c>
      <c r="B700" s="136" t="s">
        <v>1232</v>
      </c>
      <c r="C700" s="137">
        <f>'ECONOMIA &amp; PROFESIONES'!E35</f>
        <v>7</v>
      </c>
      <c r="D700" s="133"/>
      <c r="E700" s="138" t="s">
        <v>1305</v>
      </c>
      <c r="G700" s="138">
        <f t="shared" si="109"/>
        <v>0</v>
      </c>
      <c r="H700" s="138" t="s">
        <v>1305</v>
      </c>
      <c r="J700" s="138">
        <f t="shared" si="110"/>
        <v>0</v>
      </c>
      <c r="K700" s="138" t="s">
        <v>1305</v>
      </c>
      <c r="M700" s="138">
        <f t="shared" si="111"/>
        <v>0</v>
      </c>
      <c r="N700" s="138" t="s">
        <v>1305</v>
      </c>
      <c r="P700" s="138">
        <f t="shared" si="112"/>
        <v>0</v>
      </c>
      <c r="Q700" s="138" t="s">
        <v>1305</v>
      </c>
      <c r="S700" s="138">
        <f t="shared" si="113"/>
        <v>0</v>
      </c>
      <c r="T700" s="138" t="s">
        <v>1305</v>
      </c>
      <c r="V700" s="138">
        <f t="shared" si="114"/>
        <v>0</v>
      </c>
    </row>
    <row r="701" spans="1:22" s="138" customFormat="1" ht="15.75">
      <c r="A701" s="138" t="s">
        <v>1338</v>
      </c>
      <c r="B701" s="136" t="s">
        <v>1233</v>
      </c>
      <c r="C701" s="137">
        <f>'ECONOMIA &amp; PROFESIONES'!E32</f>
        <v>1</v>
      </c>
      <c r="D701" s="133"/>
      <c r="E701" s="138" t="s">
        <v>1305</v>
      </c>
      <c r="G701" s="138">
        <f t="shared" si="109"/>
        <v>0</v>
      </c>
      <c r="H701" s="138" t="s">
        <v>1305</v>
      </c>
      <c r="J701" s="138">
        <f t="shared" si="110"/>
        <v>0</v>
      </c>
      <c r="K701" s="138" t="s">
        <v>1305</v>
      </c>
      <c r="M701" s="138">
        <f t="shared" si="111"/>
        <v>0</v>
      </c>
      <c r="N701" s="138" t="s">
        <v>1305</v>
      </c>
      <c r="P701" s="138">
        <f t="shared" si="112"/>
        <v>0</v>
      </c>
      <c r="Q701" s="138" t="s">
        <v>1305</v>
      </c>
      <c r="S701" s="138">
        <f t="shared" si="113"/>
        <v>0</v>
      </c>
      <c r="T701" s="138" t="s">
        <v>1305</v>
      </c>
      <c r="V701" s="138">
        <f t="shared" si="114"/>
        <v>0</v>
      </c>
    </row>
    <row r="702" spans="1:22" s="138" customFormat="1" ht="15.75">
      <c r="A702" s="138" t="s">
        <v>1338</v>
      </c>
      <c r="B702" s="136" t="s">
        <v>1234</v>
      </c>
      <c r="C702" s="137">
        <f>'ECONOMIA &amp; PROFESIONES'!E32</f>
        <v>1</v>
      </c>
      <c r="D702" s="133"/>
      <c r="E702" s="138" t="s">
        <v>1305</v>
      </c>
      <c r="G702" s="138">
        <f t="shared" si="109"/>
        <v>0</v>
      </c>
      <c r="H702" s="138" t="s">
        <v>1305</v>
      </c>
      <c r="J702" s="138">
        <f t="shared" si="110"/>
        <v>0</v>
      </c>
      <c r="K702" s="138" t="s">
        <v>1305</v>
      </c>
      <c r="M702" s="138">
        <f t="shared" si="111"/>
        <v>0</v>
      </c>
      <c r="N702" s="138" t="s">
        <v>1305</v>
      </c>
      <c r="P702" s="138">
        <f t="shared" si="112"/>
        <v>0</v>
      </c>
      <c r="Q702" s="138" t="s">
        <v>1305</v>
      </c>
      <c r="S702" s="138">
        <f t="shared" si="113"/>
        <v>0</v>
      </c>
      <c r="T702" s="138" t="s">
        <v>1305</v>
      </c>
      <c r="V702" s="138">
        <f t="shared" si="114"/>
        <v>0</v>
      </c>
    </row>
    <row r="703" spans="1:22" s="138" customFormat="1" ht="15.75">
      <c r="A703" s="138" t="s">
        <v>1338</v>
      </c>
      <c r="B703" s="136" t="s">
        <v>1235</v>
      </c>
      <c r="C703" s="137">
        <f>'ECONOMIA &amp; PROFESIONES'!E33</f>
        <v>3</v>
      </c>
      <c r="D703" s="133"/>
      <c r="E703" s="138" t="s">
        <v>1305</v>
      </c>
      <c r="G703" s="138">
        <f t="shared" si="109"/>
        <v>0</v>
      </c>
      <c r="H703" s="138" t="s">
        <v>1305</v>
      </c>
      <c r="J703" s="138">
        <f t="shared" si="110"/>
        <v>0</v>
      </c>
      <c r="K703" s="138" t="s">
        <v>1305</v>
      </c>
      <c r="M703" s="138">
        <f t="shared" si="111"/>
        <v>0</v>
      </c>
      <c r="N703" s="138" t="s">
        <v>1305</v>
      </c>
      <c r="P703" s="138">
        <f t="shared" si="112"/>
        <v>0</v>
      </c>
      <c r="Q703" s="138" t="s">
        <v>1305</v>
      </c>
      <c r="S703" s="138">
        <f t="shared" si="113"/>
        <v>0</v>
      </c>
      <c r="T703" s="138" t="s">
        <v>1305</v>
      </c>
      <c r="V703" s="138">
        <f t="shared" si="114"/>
        <v>0</v>
      </c>
    </row>
    <row r="704" spans="1:22" s="138" customFormat="1" ht="15.75">
      <c r="A704" s="138" t="s">
        <v>1338</v>
      </c>
      <c r="B704" s="136" t="s">
        <v>1236</v>
      </c>
      <c r="C704" s="137">
        <f>'ECONOMIA &amp; PROFESIONES'!E33</f>
        <v>3</v>
      </c>
      <c r="D704" s="133"/>
      <c r="E704" s="138" t="s">
        <v>1305</v>
      </c>
      <c r="G704" s="138">
        <f t="shared" si="109"/>
        <v>0</v>
      </c>
      <c r="H704" s="138" t="s">
        <v>1305</v>
      </c>
      <c r="J704" s="138">
        <f t="shared" si="110"/>
        <v>0</v>
      </c>
      <c r="K704" s="138" t="s">
        <v>1305</v>
      </c>
      <c r="M704" s="138">
        <f t="shared" si="111"/>
        <v>0</v>
      </c>
      <c r="N704" s="138" t="s">
        <v>1305</v>
      </c>
      <c r="P704" s="138">
        <f t="shared" si="112"/>
        <v>0</v>
      </c>
      <c r="Q704" s="138" t="s">
        <v>1305</v>
      </c>
      <c r="S704" s="138">
        <f t="shared" si="113"/>
        <v>0</v>
      </c>
      <c r="T704" s="138" t="s">
        <v>1305</v>
      </c>
      <c r="V704" s="138">
        <f t="shared" si="114"/>
        <v>0</v>
      </c>
    </row>
    <row r="705" spans="1:22" s="168" customFormat="1" ht="15.75">
      <c r="A705" s="155"/>
      <c r="B705" s="166" t="s">
        <v>1237</v>
      </c>
      <c r="C705" s="167">
        <f t="shared" si="108"/>
        <v>0</v>
      </c>
      <c r="D705" s="133"/>
      <c r="E705" s="168" t="s">
        <v>1305</v>
      </c>
      <c r="G705" s="168">
        <f t="shared" si="109"/>
        <v>0</v>
      </c>
      <c r="H705" s="168" t="s">
        <v>1305</v>
      </c>
      <c r="J705" s="168">
        <f t="shared" si="110"/>
        <v>0</v>
      </c>
      <c r="K705" s="168" t="s">
        <v>1305</v>
      </c>
      <c r="M705" s="168">
        <f t="shared" si="111"/>
        <v>0</v>
      </c>
      <c r="N705" s="168" t="s">
        <v>1305</v>
      </c>
      <c r="P705" s="168">
        <f t="shared" si="112"/>
        <v>0</v>
      </c>
      <c r="Q705" s="168" t="s">
        <v>1305</v>
      </c>
      <c r="S705" s="168">
        <f t="shared" si="113"/>
        <v>0</v>
      </c>
      <c r="T705" s="168" t="s">
        <v>1305</v>
      </c>
      <c r="V705" s="168">
        <f t="shared" si="114"/>
        <v>0</v>
      </c>
    </row>
    <row r="706" spans="1:22" s="168" customFormat="1" ht="15.75">
      <c r="A706" s="155"/>
      <c r="B706" s="166" t="s">
        <v>1238</v>
      </c>
      <c r="C706" s="167">
        <f t="shared" si="108"/>
        <v>0</v>
      </c>
      <c r="D706" s="133"/>
      <c r="E706" s="168" t="s">
        <v>1305</v>
      </c>
      <c r="G706" s="168">
        <f t="shared" si="109"/>
        <v>0</v>
      </c>
      <c r="H706" s="168" t="s">
        <v>1305</v>
      </c>
      <c r="J706" s="168">
        <f t="shared" si="110"/>
        <v>0</v>
      </c>
      <c r="K706" s="168" t="s">
        <v>1305</v>
      </c>
      <c r="M706" s="168">
        <f t="shared" si="111"/>
        <v>0</v>
      </c>
      <c r="N706" s="168" t="s">
        <v>1305</v>
      </c>
      <c r="P706" s="168">
        <f t="shared" si="112"/>
        <v>0</v>
      </c>
      <c r="Q706" s="168" t="s">
        <v>1305</v>
      </c>
      <c r="S706" s="168">
        <f t="shared" si="113"/>
        <v>0</v>
      </c>
      <c r="T706" s="168" t="s">
        <v>1305</v>
      </c>
      <c r="V706" s="168">
        <f t="shared" si="114"/>
        <v>0</v>
      </c>
    </row>
    <row r="707" spans="1:22" ht="15.75">
      <c r="A707" s="155" t="s">
        <v>1348</v>
      </c>
      <c r="B707" s="125" t="s">
        <v>1239</v>
      </c>
      <c r="C707" s="130">
        <f t="shared" si="108"/>
        <v>5</v>
      </c>
      <c r="E707" s="127" t="s">
        <v>1240</v>
      </c>
      <c r="F707">
        <v>1</v>
      </c>
      <c r="G707" s="127">
        <f t="shared" si="109"/>
        <v>5</v>
      </c>
      <c r="H707" s="127" t="s">
        <v>1305</v>
      </c>
      <c r="J707" s="127">
        <f t="shared" si="110"/>
        <v>0</v>
      </c>
      <c r="K707" s="127" t="s">
        <v>1305</v>
      </c>
      <c r="M707" s="127">
        <f t="shared" si="111"/>
        <v>0</v>
      </c>
      <c r="N707" s="127" t="s">
        <v>1305</v>
      </c>
      <c r="P707" s="127">
        <f t="shared" si="112"/>
        <v>0</v>
      </c>
      <c r="Q707" s="127" t="s">
        <v>1305</v>
      </c>
      <c r="S707" s="127">
        <f t="shared" si="113"/>
        <v>0</v>
      </c>
      <c r="T707" s="127" t="s">
        <v>1305</v>
      </c>
      <c r="V707" s="127">
        <f t="shared" si="114"/>
        <v>0</v>
      </c>
    </row>
    <row r="708" spans="1:22" s="138" customFormat="1" ht="15.75">
      <c r="A708" s="138" t="s">
        <v>560</v>
      </c>
      <c r="B708" s="136" t="s">
        <v>1240</v>
      </c>
      <c r="C708" s="137">
        <f>'ECONOMIA &amp; PROFESIONES'!G38</f>
        <v>5</v>
      </c>
      <c r="D708" s="133"/>
      <c r="E708" s="138" t="s">
        <v>1305</v>
      </c>
      <c r="G708" s="138">
        <f t="shared" si="109"/>
        <v>0</v>
      </c>
      <c r="H708" s="138" t="s">
        <v>1305</v>
      </c>
      <c r="J708" s="138">
        <f t="shared" si="110"/>
        <v>0</v>
      </c>
      <c r="K708" s="138" t="s">
        <v>1305</v>
      </c>
      <c r="M708" s="138">
        <f t="shared" si="111"/>
        <v>0</v>
      </c>
      <c r="N708" s="138" t="s">
        <v>1305</v>
      </c>
      <c r="P708" s="138">
        <f t="shared" si="112"/>
        <v>0</v>
      </c>
      <c r="Q708" s="138" t="s">
        <v>1305</v>
      </c>
      <c r="S708" s="138">
        <f t="shared" si="113"/>
        <v>0</v>
      </c>
      <c r="T708" s="138" t="s">
        <v>1305</v>
      </c>
      <c r="V708" s="138">
        <f t="shared" si="114"/>
        <v>0</v>
      </c>
    </row>
    <row r="709" spans="1:22" s="138" customFormat="1" ht="15.75">
      <c r="A709" s="138" t="s">
        <v>560</v>
      </c>
      <c r="B709" s="136" t="s">
        <v>1241</v>
      </c>
      <c r="C709" s="137">
        <v>1</v>
      </c>
      <c r="D709" s="133"/>
      <c r="E709" s="138" t="s">
        <v>1305</v>
      </c>
      <c r="G709" s="138">
        <f t="shared" si="109"/>
        <v>0</v>
      </c>
      <c r="H709" s="138" t="s">
        <v>1305</v>
      </c>
      <c r="J709" s="138">
        <f t="shared" si="110"/>
        <v>0</v>
      </c>
      <c r="K709" s="138" t="s">
        <v>1305</v>
      </c>
      <c r="M709" s="138">
        <f t="shared" si="111"/>
        <v>0</v>
      </c>
      <c r="N709" s="138" t="s">
        <v>1305</v>
      </c>
      <c r="P709" s="138">
        <f t="shared" si="112"/>
        <v>0</v>
      </c>
      <c r="Q709" s="138" t="s">
        <v>1305</v>
      </c>
      <c r="S709" s="138">
        <f t="shared" si="113"/>
        <v>0</v>
      </c>
      <c r="T709" s="138" t="s">
        <v>1305</v>
      </c>
      <c r="V709" s="138">
        <f t="shared" si="114"/>
        <v>0</v>
      </c>
    </row>
    <row r="710" spans="1:22" ht="15.75">
      <c r="A710" s="155" t="s">
        <v>1348</v>
      </c>
      <c r="B710" s="125" t="s">
        <v>1242</v>
      </c>
      <c r="C710" s="130">
        <f t="shared" si="108"/>
        <v>33.5</v>
      </c>
      <c r="E710" s="127" t="s">
        <v>617</v>
      </c>
      <c r="F710">
        <v>1</v>
      </c>
      <c r="G710" s="127">
        <f t="shared" si="109"/>
        <v>10.5</v>
      </c>
      <c r="H710" s="127" t="s">
        <v>636</v>
      </c>
      <c r="I710" s="127">
        <v>1</v>
      </c>
      <c r="J710" s="127">
        <f t="shared" si="110"/>
        <v>11</v>
      </c>
      <c r="K710" s="127" t="s">
        <v>1131</v>
      </c>
      <c r="L710" s="127">
        <v>1</v>
      </c>
      <c r="M710" s="127">
        <f t="shared" si="111"/>
        <v>11</v>
      </c>
      <c r="N710" s="127" t="s">
        <v>1081</v>
      </c>
      <c r="O710" s="127">
        <v>1</v>
      </c>
      <c r="P710" s="127">
        <f t="shared" si="112"/>
        <v>1</v>
      </c>
      <c r="Q710" s="127" t="s">
        <v>1305</v>
      </c>
      <c r="S710" s="127">
        <f t="shared" si="113"/>
        <v>0</v>
      </c>
      <c r="T710" s="127" t="s">
        <v>1305</v>
      </c>
      <c r="V710" s="127">
        <f t="shared" si="114"/>
        <v>0</v>
      </c>
    </row>
    <row r="711" spans="1:22" s="138" customFormat="1" ht="15.75">
      <c r="A711" s="138" t="s">
        <v>560</v>
      </c>
      <c r="B711" s="136" t="s">
        <v>1243</v>
      </c>
      <c r="C711" s="137">
        <f>'ECONOMIA &amp; PROFESIONES'!G34</f>
        <v>3</v>
      </c>
      <c r="D711" s="133"/>
      <c r="E711" s="138" t="s">
        <v>1305</v>
      </c>
      <c r="G711" s="138">
        <f t="shared" si="109"/>
        <v>0</v>
      </c>
      <c r="H711" s="138" t="s">
        <v>1305</v>
      </c>
      <c r="J711" s="138">
        <f t="shared" si="110"/>
        <v>0</v>
      </c>
      <c r="K711" s="138" t="s">
        <v>1305</v>
      </c>
      <c r="M711" s="138">
        <f t="shared" si="111"/>
        <v>0</v>
      </c>
      <c r="N711" s="138" t="s">
        <v>1305</v>
      </c>
      <c r="P711" s="138">
        <f t="shared" si="112"/>
        <v>0</v>
      </c>
      <c r="Q711" s="138" t="s">
        <v>1305</v>
      </c>
      <c r="S711" s="138">
        <f t="shared" si="113"/>
        <v>0</v>
      </c>
      <c r="T711" s="138" t="s">
        <v>1305</v>
      </c>
      <c r="V711" s="138">
        <f t="shared" si="114"/>
        <v>0</v>
      </c>
    </row>
    <row r="712" spans="1:22" s="168" customFormat="1" ht="15.75">
      <c r="B712" s="166" t="s">
        <v>1244</v>
      </c>
      <c r="C712" s="167">
        <f t="shared" si="108"/>
        <v>0</v>
      </c>
      <c r="E712" s="168" t="s">
        <v>1305</v>
      </c>
      <c r="G712" s="168">
        <f t="shared" si="109"/>
        <v>0</v>
      </c>
      <c r="H712" s="168" t="s">
        <v>1305</v>
      </c>
      <c r="J712" s="168">
        <f t="shared" si="110"/>
        <v>0</v>
      </c>
      <c r="K712" s="168" t="s">
        <v>1305</v>
      </c>
      <c r="M712" s="168">
        <f t="shared" si="111"/>
        <v>0</v>
      </c>
      <c r="N712" s="168" t="s">
        <v>1305</v>
      </c>
      <c r="P712" s="168">
        <f t="shared" si="112"/>
        <v>0</v>
      </c>
      <c r="Q712" s="168" t="s">
        <v>1305</v>
      </c>
      <c r="S712" s="168">
        <f t="shared" si="113"/>
        <v>0</v>
      </c>
      <c r="T712" s="168" t="s">
        <v>1305</v>
      </c>
      <c r="V712" s="168">
        <f t="shared" si="114"/>
        <v>0</v>
      </c>
    </row>
    <row r="713" spans="1:22" ht="15.75">
      <c r="A713" s="155" t="s">
        <v>1346</v>
      </c>
      <c r="B713" s="125" t="s">
        <v>1245</v>
      </c>
      <c r="C713" s="130">
        <f t="shared" si="108"/>
        <v>31</v>
      </c>
      <c r="E713" s="127" t="s">
        <v>669</v>
      </c>
      <c r="F713">
        <v>1</v>
      </c>
      <c r="G713" s="127">
        <f t="shared" si="109"/>
        <v>28</v>
      </c>
      <c r="H713" s="127" t="s">
        <v>672</v>
      </c>
      <c r="I713" s="127">
        <v>1</v>
      </c>
      <c r="J713" s="127">
        <f t="shared" si="110"/>
        <v>3</v>
      </c>
      <c r="K713" s="127" t="s">
        <v>1305</v>
      </c>
      <c r="M713" s="127">
        <f t="shared" si="111"/>
        <v>0</v>
      </c>
      <c r="N713" s="127" t="s">
        <v>1305</v>
      </c>
      <c r="P713" s="127">
        <f t="shared" si="112"/>
        <v>0</v>
      </c>
      <c r="Q713" s="127" t="s">
        <v>1305</v>
      </c>
      <c r="S713" s="127">
        <f t="shared" si="113"/>
        <v>0</v>
      </c>
      <c r="T713" s="127" t="s">
        <v>1305</v>
      </c>
      <c r="V713" s="127">
        <f t="shared" si="114"/>
        <v>0</v>
      </c>
    </row>
    <row r="714" spans="1:22" ht="15.75">
      <c r="A714" s="155" t="s">
        <v>1353</v>
      </c>
      <c r="B714" s="125" t="s">
        <v>1247</v>
      </c>
      <c r="C714" s="130">
        <f t="shared" si="108"/>
        <v>45</v>
      </c>
      <c r="E714" s="127" t="s">
        <v>870</v>
      </c>
      <c r="F714">
        <v>5</v>
      </c>
      <c r="G714" s="127">
        <f t="shared" si="109"/>
        <v>5</v>
      </c>
      <c r="H714" s="127" t="s">
        <v>1158</v>
      </c>
      <c r="I714" s="127">
        <v>4</v>
      </c>
      <c r="J714" s="127">
        <f t="shared" si="110"/>
        <v>5</v>
      </c>
      <c r="K714" s="127" t="s">
        <v>1305</v>
      </c>
      <c r="M714" s="127">
        <f t="shared" si="111"/>
        <v>0</v>
      </c>
      <c r="N714" s="127" t="s">
        <v>1305</v>
      </c>
      <c r="P714" s="127">
        <f t="shared" si="112"/>
        <v>0</v>
      </c>
      <c r="Q714" s="127" t="s">
        <v>1305</v>
      </c>
      <c r="S714" s="127">
        <f t="shared" si="113"/>
        <v>0</v>
      </c>
      <c r="T714" s="127" t="s">
        <v>1305</v>
      </c>
      <c r="V714" s="127">
        <f t="shared" si="114"/>
        <v>0</v>
      </c>
    </row>
    <row r="715" spans="1:22" ht="15.75">
      <c r="A715" s="155" t="s">
        <v>595</v>
      </c>
      <c r="B715" s="125" t="s">
        <v>1246</v>
      </c>
      <c r="C715" s="130">
        <f t="shared" si="108"/>
        <v>65</v>
      </c>
      <c r="E715" s="127" t="s">
        <v>1247</v>
      </c>
      <c r="F715">
        <v>1</v>
      </c>
      <c r="G715" s="127">
        <f t="shared" si="109"/>
        <v>45</v>
      </c>
      <c r="H715" s="127" t="s">
        <v>994</v>
      </c>
      <c r="I715" s="127">
        <v>1</v>
      </c>
      <c r="J715" s="127">
        <f t="shared" si="110"/>
        <v>20</v>
      </c>
      <c r="K715" s="127" t="s">
        <v>1305</v>
      </c>
      <c r="M715" s="127">
        <f t="shared" si="111"/>
        <v>0</v>
      </c>
      <c r="N715" s="127" t="s">
        <v>1305</v>
      </c>
      <c r="P715" s="127">
        <f t="shared" si="112"/>
        <v>0</v>
      </c>
      <c r="Q715" s="127" t="s">
        <v>1305</v>
      </c>
      <c r="S715" s="127">
        <f t="shared" si="113"/>
        <v>0</v>
      </c>
      <c r="T715" s="127" t="s">
        <v>1305</v>
      </c>
      <c r="V715" s="127">
        <f t="shared" si="114"/>
        <v>0</v>
      </c>
    </row>
    <row r="716" spans="1:22" ht="15.75">
      <c r="A716" s="155"/>
      <c r="B716" s="125" t="s">
        <v>1248</v>
      </c>
      <c r="C716" s="130">
        <f t="shared" si="108"/>
        <v>5</v>
      </c>
      <c r="E716" s="127" t="s">
        <v>672</v>
      </c>
      <c r="F716">
        <v>1</v>
      </c>
      <c r="G716" s="127">
        <f t="shared" si="109"/>
        <v>3</v>
      </c>
      <c r="H716" s="127" t="s">
        <v>1208</v>
      </c>
      <c r="I716" s="127">
        <v>1</v>
      </c>
      <c r="J716" s="127">
        <f t="shared" si="110"/>
        <v>2</v>
      </c>
      <c r="K716" s="127" t="s">
        <v>1305</v>
      </c>
      <c r="M716" s="127">
        <f t="shared" si="111"/>
        <v>0</v>
      </c>
      <c r="N716" s="127" t="s">
        <v>1305</v>
      </c>
      <c r="P716" s="127">
        <f t="shared" si="112"/>
        <v>0</v>
      </c>
      <c r="Q716" s="127" t="s">
        <v>1305</v>
      </c>
      <c r="S716" s="127">
        <f t="shared" si="113"/>
        <v>0</v>
      </c>
      <c r="T716" s="127" t="s">
        <v>1305</v>
      </c>
      <c r="V716" s="127">
        <f t="shared" si="114"/>
        <v>0</v>
      </c>
    </row>
    <row r="717" spans="1:22" s="141" customFormat="1" ht="15.75">
      <c r="A717" s="155"/>
      <c r="B717" s="139" t="s">
        <v>1249</v>
      </c>
      <c r="C717" s="140">
        <f t="shared" si="108"/>
        <v>0</v>
      </c>
      <c r="D717" s="133"/>
      <c r="E717" s="141" t="s">
        <v>1305</v>
      </c>
      <c r="G717" s="141">
        <f t="shared" si="109"/>
        <v>0</v>
      </c>
      <c r="H717" s="141" t="s">
        <v>1305</v>
      </c>
      <c r="J717" s="141">
        <f t="shared" si="110"/>
        <v>0</v>
      </c>
      <c r="K717" s="141" t="s">
        <v>1305</v>
      </c>
      <c r="M717" s="141">
        <f t="shared" si="111"/>
        <v>0</v>
      </c>
      <c r="N717" s="141" t="s">
        <v>1305</v>
      </c>
      <c r="P717" s="141">
        <f t="shared" si="112"/>
        <v>0</v>
      </c>
      <c r="Q717" s="141" t="s">
        <v>1305</v>
      </c>
      <c r="S717" s="141">
        <f t="shared" si="113"/>
        <v>0</v>
      </c>
      <c r="T717" s="141" t="s">
        <v>1305</v>
      </c>
      <c r="V717" s="141">
        <f t="shared" si="114"/>
        <v>0</v>
      </c>
    </row>
    <row r="718" spans="1:22" ht="15.75">
      <c r="A718" s="155" t="s">
        <v>1353</v>
      </c>
      <c r="B718" s="125" t="s">
        <v>1250</v>
      </c>
      <c r="C718" s="130">
        <f t="shared" si="108"/>
        <v>15</v>
      </c>
      <c r="E718" s="127" t="s">
        <v>659</v>
      </c>
      <c r="F718">
        <v>1</v>
      </c>
      <c r="G718" s="127">
        <f t="shared" si="109"/>
        <v>8</v>
      </c>
      <c r="H718" s="127" t="s">
        <v>1252</v>
      </c>
      <c r="I718" s="127">
        <v>1</v>
      </c>
      <c r="J718" s="127">
        <f t="shared" si="110"/>
        <v>7</v>
      </c>
      <c r="K718" s="127" t="s">
        <v>1305</v>
      </c>
      <c r="M718" s="127">
        <f t="shared" si="111"/>
        <v>0</v>
      </c>
      <c r="N718" s="127" t="s">
        <v>1305</v>
      </c>
      <c r="P718" s="127">
        <f t="shared" si="112"/>
        <v>0</v>
      </c>
      <c r="Q718" s="127" t="s">
        <v>1305</v>
      </c>
      <c r="S718" s="127">
        <f t="shared" si="113"/>
        <v>0</v>
      </c>
      <c r="T718" s="127" t="s">
        <v>1305</v>
      </c>
      <c r="V718" s="127">
        <f t="shared" si="114"/>
        <v>0</v>
      </c>
    </row>
    <row r="719" spans="1:22" s="141" customFormat="1" ht="15.75">
      <c r="A719" s="155"/>
      <c r="B719" s="139" t="s">
        <v>1251</v>
      </c>
      <c r="C719" s="140">
        <f t="shared" si="108"/>
        <v>0</v>
      </c>
      <c r="D719" s="133"/>
      <c r="E719" s="141" t="s">
        <v>1305</v>
      </c>
      <c r="G719" s="141">
        <f t="shared" si="109"/>
        <v>0</v>
      </c>
      <c r="H719" s="141" t="s">
        <v>1305</v>
      </c>
      <c r="J719" s="141">
        <f t="shared" si="110"/>
        <v>0</v>
      </c>
      <c r="K719" s="141" t="s">
        <v>1305</v>
      </c>
      <c r="M719" s="141">
        <f t="shared" si="111"/>
        <v>0</v>
      </c>
      <c r="N719" s="141" t="s">
        <v>1305</v>
      </c>
      <c r="P719" s="141">
        <f t="shared" si="112"/>
        <v>0</v>
      </c>
      <c r="Q719" s="141" t="s">
        <v>1305</v>
      </c>
      <c r="S719" s="141">
        <f t="shared" si="113"/>
        <v>0</v>
      </c>
      <c r="T719" s="141" t="s">
        <v>1305</v>
      </c>
      <c r="V719" s="141">
        <f t="shared" si="114"/>
        <v>0</v>
      </c>
    </row>
    <row r="720" spans="1:22" ht="15.75">
      <c r="A720" s="155" t="s">
        <v>1353</v>
      </c>
      <c r="B720" s="125" t="s">
        <v>1252</v>
      </c>
      <c r="C720" s="130">
        <f t="shared" si="108"/>
        <v>7</v>
      </c>
      <c r="E720" s="127" t="s">
        <v>896</v>
      </c>
      <c r="F720">
        <v>1</v>
      </c>
      <c r="G720" s="127">
        <f t="shared" si="109"/>
        <v>4</v>
      </c>
      <c r="H720" s="127" t="s">
        <v>1208</v>
      </c>
      <c r="I720" s="127">
        <v>1</v>
      </c>
      <c r="J720" s="127">
        <f t="shared" si="110"/>
        <v>2</v>
      </c>
      <c r="K720" s="127" t="s">
        <v>1026</v>
      </c>
      <c r="L720" s="127">
        <v>1</v>
      </c>
      <c r="M720" s="127">
        <f t="shared" si="111"/>
        <v>1</v>
      </c>
      <c r="N720" s="127" t="s">
        <v>1305</v>
      </c>
      <c r="P720" s="127">
        <f t="shared" si="112"/>
        <v>0</v>
      </c>
      <c r="Q720" s="127" t="s">
        <v>1305</v>
      </c>
      <c r="S720" s="127">
        <f t="shared" si="113"/>
        <v>0</v>
      </c>
      <c r="T720" s="127" t="s">
        <v>1305</v>
      </c>
      <c r="V720" s="127">
        <f t="shared" si="114"/>
        <v>0</v>
      </c>
    </row>
    <row r="721" spans="1:22" s="138" customFormat="1" ht="15.75">
      <c r="A721" s="138" t="s">
        <v>1342</v>
      </c>
      <c r="B721" s="136" t="s">
        <v>1253</v>
      </c>
      <c r="C721" s="137">
        <f>'ECONOMIA &amp; PROFESIONES'!I33</f>
        <v>3</v>
      </c>
      <c r="D721" s="133"/>
      <c r="E721" s="138" t="s">
        <v>1305</v>
      </c>
      <c r="G721" s="138">
        <f t="shared" si="109"/>
        <v>0</v>
      </c>
      <c r="H721" s="138" t="s">
        <v>1305</v>
      </c>
      <c r="J721" s="138">
        <f t="shared" si="110"/>
        <v>0</v>
      </c>
      <c r="K721" s="138" t="s">
        <v>1305</v>
      </c>
      <c r="M721" s="138">
        <f t="shared" si="111"/>
        <v>0</v>
      </c>
      <c r="N721" s="138" t="s">
        <v>1305</v>
      </c>
      <c r="P721" s="138">
        <f t="shared" si="112"/>
        <v>0</v>
      </c>
      <c r="Q721" s="138" t="s">
        <v>1305</v>
      </c>
      <c r="S721" s="138">
        <f t="shared" si="113"/>
        <v>0</v>
      </c>
      <c r="T721" s="138" t="s">
        <v>1305</v>
      </c>
      <c r="V721" s="138">
        <f t="shared" si="114"/>
        <v>0</v>
      </c>
    </row>
    <row r="722" spans="1:22" s="168" customFormat="1" ht="15.75">
      <c r="A722" s="155"/>
      <c r="B722" s="166" t="s">
        <v>1254</v>
      </c>
      <c r="C722" s="167">
        <f t="shared" si="108"/>
        <v>0</v>
      </c>
      <c r="D722" s="133"/>
      <c r="E722" s="168" t="s">
        <v>1305</v>
      </c>
      <c r="G722" s="168">
        <f t="shared" si="109"/>
        <v>0</v>
      </c>
      <c r="H722" s="168" t="s">
        <v>1305</v>
      </c>
      <c r="J722" s="168">
        <f t="shared" si="110"/>
        <v>0</v>
      </c>
      <c r="K722" s="168" t="s">
        <v>1305</v>
      </c>
      <c r="M722" s="168">
        <f t="shared" si="111"/>
        <v>0</v>
      </c>
      <c r="N722" s="168" t="s">
        <v>1305</v>
      </c>
      <c r="P722" s="168">
        <f t="shared" si="112"/>
        <v>0</v>
      </c>
      <c r="Q722" s="168" t="s">
        <v>1305</v>
      </c>
      <c r="S722" s="168">
        <f t="shared" si="113"/>
        <v>0</v>
      </c>
      <c r="T722" s="168" t="s">
        <v>1305</v>
      </c>
      <c r="V722" s="168">
        <f t="shared" si="114"/>
        <v>0</v>
      </c>
    </row>
    <row r="723" spans="1:22" s="168" customFormat="1" ht="15.75">
      <c r="A723" s="155"/>
      <c r="B723" s="166" t="s">
        <v>1255</v>
      </c>
      <c r="C723" s="167">
        <f t="shared" si="108"/>
        <v>0</v>
      </c>
      <c r="D723" s="133"/>
      <c r="E723" s="168" t="s">
        <v>1305</v>
      </c>
      <c r="G723" s="168">
        <f t="shared" si="109"/>
        <v>0</v>
      </c>
      <c r="H723" s="168" t="s">
        <v>1305</v>
      </c>
      <c r="J723" s="168">
        <f t="shared" si="110"/>
        <v>0</v>
      </c>
      <c r="K723" s="168" t="s">
        <v>1305</v>
      </c>
      <c r="M723" s="168">
        <f t="shared" si="111"/>
        <v>0</v>
      </c>
      <c r="N723" s="168" t="s">
        <v>1305</v>
      </c>
      <c r="P723" s="168">
        <f t="shared" si="112"/>
        <v>0</v>
      </c>
      <c r="Q723" s="168" t="s">
        <v>1305</v>
      </c>
      <c r="S723" s="168">
        <f t="shared" si="113"/>
        <v>0</v>
      </c>
      <c r="T723" s="168" t="s">
        <v>1305</v>
      </c>
      <c r="V723" s="168">
        <f t="shared" si="114"/>
        <v>0</v>
      </c>
    </row>
    <row r="724" spans="1:22" s="168" customFormat="1" ht="15.75">
      <c r="A724" s="155"/>
      <c r="B724" s="166" t="s">
        <v>1256</v>
      </c>
      <c r="C724" s="167">
        <f t="shared" si="108"/>
        <v>0</v>
      </c>
      <c r="D724" s="133"/>
      <c r="E724" s="168" t="s">
        <v>1305</v>
      </c>
      <c r="G724" s="168">
        <f t="shared" si="109"/>
        <v>0</v>
      </c>
      <c r="H724" s="168" t="s">
        <v>1305</v>
      </c>
      <c r="J724" s="168">
        <f t="shared" si="110"/>
        <v>0</v>
      </c>
      <c r="K724" s="168" t="s">
        <v>1305</v>
      </c>
      <c r="M724" s="168">
        <f t="shared" si="111"/>
        <v>0</v>
      </c>
      <c r="N724" s="168" t="s">
        <v>1305</v>
      </c>
      <c r="P724" s="168">
        <f t="shared" si="112"/>
        <v>0</v>
      </c>
      <c r="Q724" s="168" t="s">
        <v>1305</v>
      </c>
      <c r="S724" s="168">
        <f t="shared" si="113"/>
        <v>0</v>
      </c>
      <c r="T724" s="168" t="s">
        <v>1305</v>
      </c>
      <c r="V724" s="168">
        <f t="shared" si="114"/>
        <v>0</v>
      </c>
    </row>
    <row r="725" spans="1:22" ht="15.75">
      <c r="A725" s="155" t="s">
        <v>1344</v>
      </c>
      <c r="B725" s="125" t="s">
        <v>1257</v>
      </c>
      <c r="C725" s="130">
        <f t="shared" si="108"/>
        <v>100</v>
      </c>
      <c r="E725" s="127" t="s">
        <v>1164</v>
      </c>
      <c r="F725">
        <v>5</v>
      </c>
      <c r="G725" s="127">
        <f t="shared" si="109"/>
        <v>20</v>
      </c>
      <c r="H725" s="127" t="s">
        <v>1305</v>
      </c>
      <c r="J725" s="127">
        <f t="shared" si="110"/>
        <v>0</v>
      </c>
      <c r="K725" s="127" t="s">
        <v>1305</v>
      </c>
      <c r="M725" s="127">
        <f t="shared" si="111"/>
        <v>0</v>
      </c>
      <c r="N725" s="127" t="s">
        <v>1305</v>
      </c>
      <c r="P725" s="127">
        <f t="shared" si="112"/>
        <v>0</v>
      </c>
      <c r="Q725" s="127" t="s">
        <v>1305</v>
      </c>
      <c r="S725" s="127">
        <f t="shared" si="113"/>
        <v>0</v>
      </c>
      <c r="T725" s="127" t="s">
        <v>1305</v>
      </c>
      <c r="V725" s="127">
        <f t="shared" si="114"/>
        <v>0</v>
      </c>
    </row>
    <row r="726" spans="1:22" s="141" customFormat="1" ht="15.75">
      <c r="A726" s="155"/>
      <c r="B726" s="139" t="s">
        <v>1258</v>
      </c>
      <c r="C726" s="140">
        <f t="shared" si="108"/>
        <v>0</v>
      </c>
      <c r="D726" s="133"/>
      <c r="E726" s="141" t="s">
        <v>1305</v>
      </c>
      <c r="G726" s="141">
        <f t="shared" si="109"/>
        <v>0</v>
      </c>
      <c r="H726" s="141" t="s">
        <v>1305</v>
      </c>
      <c r="J726" s="141">
        <f t="shared" si="110"/>
        <v>0</v>
      </c>
      <c r="K726" s="141" t="s">
        <v>1305</v>
      </c>
      <c r="M726" s="141">
        <f t="shared" si="111"/>
        <v>0</v>
      </c>
      <c r="N726" s="141" t="s">
        <v>1305</v>
      </c>
      <c r="P726" s="141">
        <f t="shared" si="112"/>
        <v>0</v>
      </c>
      <c r="Q726" s="141" t="s">
        <v>1305</v>
      </c>
      <c r="S726" s="141">
        <f t="shared" si="113"/>
        <v>0</v>
      </c>
      <c r="T726" s="141" t="s">
        <v>1305</v>
      </c>
      <c r="V726" s="141">
        <f t="shared" si="114"/>
        <v>0</v>
      </c>
    </row>
    <row r="727" spans="1:22" s="141" customFormat="1" ht="15.75">
      <c r="A727" s="155"/>
      <c r="B727" s="139" t="s">
        <v>1259</v>
      </c>
      <c r="C727" s="140">
        <f t="shared" si="108"/>
        <v>0</v>
      </c>
      <c r="D727" s="133"/>
      <c r="E727" s="141" t="s">
        <v>1305</v>
      </c>
      <c r="G727" s="141">
        <f t="shared" si="109"/>
        <v>0</v>
      </c>
      <c r="H727" s="141" t="s">
        <v>1305</v>
      </c>
      <c r="J727" s="141">
        <f t="shared" si="110"/>
        <v>0</v>
      </c>
      <c r="K727" s="141" t="s">
        <v>1305</v>
      </c>
      <c r="M727" s="141">
        <f t="shared" si="111"/>
        <v>0</v>
      </c>
      <c r="N727" s="141" t="s">
        <v>1305</v>
      </c>
      <c r="P727" s="141">
        <f t="shared" si="112"/>
        <v>0</v>
      </c>
      <c r="Q727" s="141" t="s">
        <v>1305</v>
      </c>
      <c r="S727" s="141">
        <f t="shared" si="113"/>
        <v>0</v>
      </c>
      <c r="T727" s="141" t="s">
        <v>1305</v>
      </c>
      <c r="V727" s="141">
        <f t="shared" si="114"/>
        <v>0</v>
      </c>
    </row>
    <row r="728" spans="1:22" s="138" customFormat="1" ht="15.75">
      <c r="A728" s="138" t="s">
        <v>560</v>
      </c>
      <c r="B728" s="136" t="s">
        <v>1260</v>
      </c>
      <c r="C728" s="137">
        <f>'ECONOMIA &amp; PROFESIONES'!G39</f>
        <v>7</v>
      </c>
      <c r="D728" s="133"/>
      <c r="E728" s="138" t="s">
        <v>1305</v>
      </c>
      <c r="G728" s="138">
        <f t="shared" si="109"/>
        <v>0</v>
      </c>
      <c r="H728" s="138" t="s">
        <v>1305</v>
      </c>
      <c r="J728" s="138">
        <f t="shared" si="110"/>
        <v>0</v>
      </c>
      <c r="K728" s="138" t="s">
        <v>1305</v>
      </c>
      <c r="M728" s="138">
        <f t="shared" si="111"/>
        <v>0</v>
      </c>
      <c r="N728" s="138" t="s">
        <v>1305</v>
      </c>
      <c r="P728" s="138">
        <f t="shared" si="112"/>
        <v>0</v>
      </c>
      <c r="Q728" s="138" t="s">
        <v>1305</v>
      </c>
      <c r="S728" s="138">
        <f t="shared" si="113"/>
        <v>0</v>
      </c>
      <c r="T728" s="138" t="s">
        <v>1305</v>
      </c>
      <c r="V728" s="138">
        <f t="shared" si="114"/>
        <v>0</v>
      </c>
    </row>
    <row r="729" spans="1:22" ht="15.75">
      <c r="A729" s="155"/>
      <c r="B729" s="125" t="s">
        <v>1261</v>
      </c>
      <c r="C729" s="130">
        <f t="shared" si="108"/>
        <v>0</v>
      </c>
      <c r="E729" s="127" t="s">
        <v>1305</v>
      </c>
      <c r="G729" s="127">
        <f t="shared" si="109"/>
        <v>0</v>
      </c>
      <c r="H729" s="127" t="s">
        <v>1305</v>
      </c>
      <c r="J729" s="127">
        <f t="shared" si="110"/>
        <v>0</v>
      </c>
      <c r="K729" s="127" t="s">
        <v>1305</v>
      </c>
      <c r="M729" s="127">
        <f t="shared" si="111"/>
        <v>0</v>
      </c>
      <c r="N729" s="127" t="s">
        <v>1305</v>
      </c>
      <c r="P729" s="127">
        <f t="shared" si="112"/>
        <v>0</v>
      </c>
      <c r="Q729" s="127" t="s">
        <v>1305</v>
      </c>
      <c r="S729" s="127">
        <f t="shared" si="113"/>
        <v>0</v>
      </c>
      <c r="T729" s="127" t="s">
        <v>1305</v>
      </c>
      <c r="V729" s="127">
        <f t="shared" si="114"/>
        <v>0</v>
      </c>
    </row>
    <row r="730" spans="1:22" ht="15.75">
      <c r="A730" s="155" t="s">
        <v>1351</v>
      </c>
      <c r="B730" s="125" t="s">
        <v>1262</v>
      </c>
      <c r="C730" s="130">
        <f t="shared" si="108"/>
        <v>38</v>
      </c>
      <c r="E730" s="154" t="s">
        <v>1274</v>
      </c>
      <c r="F730" s="154">
        <v>6</v>
      </c>
      <c r="G730" s="154">
        <f t="shared" si="109"/>
        <v>6</v>
      </c>
      <c r="H730" s="154" t="s">
        <v>1208</v>
      </c>
      <c r="I730" s="154">
        <v>1</v>
      </c>
      <c r="J730" s="154">
        <f t="shared" si="110"/>
        <v>2</v>
      </c>
      <c r="K730" s="154" t="s">
        <v>1305</v>
      </c>
      <c r="L730" s="154"/>
      <c r="M730" s="127">
        <f t="shared" si="111"/>
        <v>0</v>
      </c>
      <c r="N730" s="127" t="s">
        <v>1305</v>
      </c>
      <c r="P730" s="127">
        <f t="shared" si="112"/>
        <v>0</v>
      </c>
      <c r="Q730" s="127" t="s">
        <v>1305</v>
      </c>
      <c r="S730" s="127">
        <f t="shared" si="113"/>
        <v>0</v>
      </c>
      <c r="T730" s="127" t="s">
        <v>1305</v>
      </c>
      <c r="V730" s="127">
        <f t="shared" si="114"/>
        <v>0</v>
      </c>
    </row>
    <row r="731" spans="1:22" ht="15.75">
      <c r="A731" s="155" t="s">
        <v>1351</v>
      </c>
      <c r="B731" s="125" t="s">
        <v>1263</v>
      </c>
      <c r="C731" s="130">
        <f t="shared" si="108"/>
        <v>21</v>
      </c>
      <c r="E731" s="154" t="s">
        <v>1274</v>
      </c>
      <c r="F731" s="154">
        <v>3</v>
      </c>
      <c r="G731" s="154">
        <f t="shared" si="109"/>
        <v>6</v>
      </c>
      <c r="H731" s="154" t="s">
        <v>1026</v>
      </c>
      <c r="I731" s="154">
        <v>3</v>
      </c>
      <c r="J731" s="154">
        <f t="shared" si="110"/>
        <v>1</v>
      </c>
      <c r="K731" s="154" t="s">
        <v>1305</v>
      </c>
      <c r="L731" s="154"/>
      <c r="M731" s="127">
        <f t="shared" si="111"/>
        <v>0</v>
      </c>
      <c r="N731" s="127" t="s">
        <v>1305</v>
      </c>
      <c r="P731" s="127">
        <f t="shared" si="112"/>
        <v>0</v>
      </c>
      <c r="Q731" s="127" t="s">
        <v>1305</v>
      </c>
      <c r="S731" s="127">
        <f t="shared" si="113"/>
        <v>0</v>
      </c>
      <c r="T731" s="127" t="s">
        <v>1305</v>
      </c>
      <c r="V731" s="127">
        <f t="shared" si="114"/>
        <v>0</v>
      </c>
    </row>
    <row r="732" spans="1:22" ht="15.75">
      <c r="A732" s="155" t="s">
        <v>1351</v>
      </c>
      <c r="B732" s="125" t="s">
        <v>1264</v>
      </c>
      <c r="C732" s="130">
        <f t="shared" si="108"/>
        <v>12</v>
      </c>
      <c r="E732" s="154" t="s">
        <v>1274</v>
      </c>
      <c r="F732" s="154">
        <v>2</v>
      </c>
      <c r="G732" s="154">
        <f t="shared" si="109"/>
        <v>6</v>
      </c>
      <c r="H732" s="154" t="s">
        <v>1305</v>
      </c>
      <c r="I732" s="154"/>
      <c r="J732" s="154">
        <f t="shared" si="110"/>
        <v>0</v>
      </c>
      <c r="K732" s="154" t="s">
        <v>1305</v>
      </c>
      <c r="L732" s="154"/>
      <c r="M732" s="127">
        <f t="shared" si="111"/>
        <v>0</v>
      </c>
      <c r="N732" s="127" t="s">
        <v>1305</v>
      </c>
      <c r="P732" s="127">
        <f t="shared" si="112"/>
        <v>0</v>
      </c>
      <c r="Q732" s="127" t="s">
        <v>1305</v>
      </c>
      <c r="S732" s="127">
        <f t="shared" si="113"/>
        <v>0</v>
      </c>
      <c r="T732" s="127" t="s">
        <v>1305</v>
      </c>
      <c r="V732" s="127">
        <f t="shared" si="114"/>
        <v>0</v>
      </c>
    </row>
    <row r="733" spans="1:22" ht="15.75">
      <c r="A733" s="155" t="s">
        <v>1351</v>
      </c>
      <c r="B733" s="125" t="s">
        <v>1265</v>
      </c>
      <c r="C733" s="130">
        <f t="shared" si="108"/>
        <v>26.5</v>
      </c>
      <c r="E733" s="154" t="s">
        <v>1266</v>
      </c>
      <c r="F733" s="154">
        <v>1</v>
      </c>
      <c r="G733" s="154">
        <f t="shared" si="109"/>
        <v>26.5</v>
      </c>
      <c r="H733" s="154" t="s">
        <v>1305</v>
      </c>
      <c r="I733" s="154"/>
      <c r="J733" s="154">
        <f t="shared" si="110"/>
        <v>0</v>
      </c>
      <c r="K733" s="154" t="s">
        <v>1305</v>
      </c>
      <c r="L733" s="154"/>
      <c r="M733" s="127">
        <f t="shared" si="111"/>
        <v>0</v>
      </c>
      <c r="N733" s="127" t="s">
        <v>1305</v>
      </c>
      <c r="P733" s="127">
        <f t="shared" si="112"/>
        <v>0</v>
      </c>
      <c r="Q733" s="127" t="s">
        <v>1305</v>
      </c>
      <c r="S733" s="127">
        <f t="shared" si="113"/>
        <v>0</v>
      </c>
      <c r="T733" s="127" t="s">
        <v>1305</v>
      </c>
      <c r="V733" s="127">
        <f t="shared" si="114"/>
        <v>0</v>
      </c>
    </row>
    <row r="734" spans="1:22" ht="15.75">
      <c r="A734" s="155" t="s">
        <v>1351</v>
      </c>
      <c r="B734" s="125" t="s">
        <v>1266</v>
      </c>
      <c r="C734" s="130">
        <f t="shared" si="108"/>
        <v>26.5</v>
      </c>
      <c r="E734" s="154" t="s">
        <v>1158</v>
      </c>
      <c r="F734" s="154">
        <v>4</v>
      </c>
      <c r="G734" s="154">
        <f t="shared" si="109"/>
        <v>5</v>
      </c>
      <c r="H734" s="154" t="s">
        <v>844</v>
      </c>
      <c r="I734" s="154">
        <v>4</v>
      </c>
      <c r="J734" s="154">
        <f t="shared" si="110"/>
        <v>1</v>
      </c>
      <c r="K734" s="154" t="s">
        <v>1267</v>
      </c>
      <c r="L734" s="154">
        <v>1</v>
      </c>
      <c r="M734" s="127">
        <f t="shared" si="111"/>
        <v>2.5</v>
      </c>
      <c r="N734" s="127" t="s">
        <v>1305</v>
      </c>
      <c r="P734" s="127">
        <f t="shared" si="112"/>
        <v>0</v>
      </c>
      <c r="Q734" s="127" t="s">
        <v>1305</v>
      </c>
      <c r="S734" s="127">
        <f t="shared" si="113"/>
        <v>0</v>
      </c>
      <c r="T734" s="127" t="s">
        <v>1305</v>
      </c>
      <c r="V734" s="127">
        <f t="shared" si="114"/>
        <v>0</v>
      </c>
    </row>
    <row r="735" spans="1:22" s="13" customFormat="1" ht="15.75">
      <c r="A735" s="155" t="s">
        <v>1351</v>
      </c>
      <c r="B735" s="145" t="s">
        <v>1267</v>
      </c>
      <c r="C735" s="146">
        <f t="shared" si="108"/>
        <v>2.5</v>
      </c>
      <c r="D735" s="133"/>
      <c r="E735" s="13" t="s">
        <v>962</v>
      </c>
      <c r="F735" s="13">
        <v>1</v>
      </c>
      <c r="G735" s="13">
        <f t="shared" si="109"/>
        <v>2.5</v>
      </c>
      <c r="H735" s="13" t="s">
        <v>614</v>
      </c>
      <c r="J735" s="13">
        <f t="shared" si="110"/>
        <v>2.5</v>
      </c>
      <c r="K735" s="13" t="s">
        <v>1305</v>
      </c>
      <c r="M735" s="13">
        <f t="shared" si="111"/>
        <v>0</v>
      </c>
      <c r="N735" s="13" t="s">
        <v>1305</v>
      </c>
      <c r="P735" s="13">
        <f t="shared" si="112"/>
        <v>0</v>
      </c>
      <c r="Q735" s="13" t="s">
        <v>1305</v>
      </c>
      <c r="S735" s="13">
        <f t="shared" si="113"/>
        <v>0</v>
      </c>
      <c r="T735" s="13" t="s">
        <v>1305</v>
      </c>
      <c r="V735" s="13">
        <f t="shared" si="114"/>
        <v>0</v>
      </c>
    </row>
    <row r="736" spans="1:22" ht="15.75">
      <c r="A736" s="155" t="s">
        <v>1351</v>
      </c>
      <c r="B736" s="125" t="s">
        <v>1268</v>
      </c>
      <c r="C736" s="130">
        <f t="shared" si="108"/>
        <v>253.5</v>
      </c>
      <c r="E736" s="154" t="s">
        <v>1272</v>
      </c>
      <c r="F736" s="154">
        <v>1</v>
      </c>
      <c r="G736" s="154">
        <f t="shared" si="109"/>
        <v>250.5</v>
      </c>
      <c r="H736" s="154" t="s">
        <v>672</v>
      </c>
      <c r="I736" s="154">
        <v>1</v>
      </c>
      <c r="J736" s="127">
        <f t="shared" si="110"/>
        <v>3</v>
      </c>
      <c r="K736" s="127" t="s">
        <v>1305</v>
      </c>
      <c r="M736" s="127">
        <f t="shared" si="111"/>
        <v>0</v>
      </c>
      <c r="N736" s="127" t="s">
        <v>1305</v>
      </c>
      <c r="P736" s="127">
        <f t="shared" si="112"/>
        <v>0</v>
      </c>
      <c r="Q736" s="127" t="s">
        <v>1305</v>
      </c>
      <c r="S736" s="127">
        <f t="shared" si="113"/>
        <v>0</v>
      </c>
      <c r="T736" s="127" t="s">
        <v>1305</v>
      </c>
      <c r="V736" s="127">
        <f t="shared" si="114"/>
        <v>0</v>
      </c>
    </row>
    <row r="737" spans="1:22" ht="15.75">
      <c r="A737" s="155" t="s">
        <v>1351</v>
      </c>
      <c r="B737" s="125" t="s">
        <v>1269</v>
      </c>
      <c r="C737" s="130">
        <f t="shared" si="108"/>
        <v>28.5</v>
      </c>
      <c r="E737" s="154" t="s">
        <v>1267</v>
      </c>
      <c r="F737" s="154">
        <v>1</v>
      </c>
      <c r="G737" s="154">
        <f t="shared" si="109"/>
        <v>2.5</v>
      </c>
      <c r="H737" s="154" t="s">
        <v>1170</v>
      </c>
      <c r="I737" s="154">
        <v>1</v>
      </c>
      <c r="J737" s="127">
        <f t="shared" si="110"/>
        <v>26</v>
      </c>
      <c r="K737" s="127" t="s">
        <v>1305</v>
      </c>
      <c r="M737" s="127">
        <f t="shared" si="111"/>
        <v>0</v>
      </c>
      <c r="N737" s="127" t="s">
        <v>1305</v>
      </c>
      <c r="P737" s="127">
        <f t="shared" si="112"/>
        <v>0</v>
      </c>
      <c r="Q737" s="127" t="s">
        <v>1305</v>
      </c>
      <c r="S737" s="127">
        <f t="shared" si="113"/>
        <v>0</v>
      </c>
      <c r="T737" s="127" t="s">
        <v>1305</v>
      </c>
      <c r="V737" s="127">
        <f t="shared" si="114"/>
        <v>0</v>
      </c>
    </row>
    <row r="738" spans="1:22" ht="15.75">
      <c r="A738" s="155" t="s">
        <v>1351</v>
      </c>
      <c r="B738" s="125" t="s">
        <v>1270</v>
      </c>
      <c r="C738" s="130">
        <f t="shared" si="108"/>
        <v>66.5</v>
      </c>
      <c r="E738" s="154" t="s">
        <v>814</v>
      </c>
      <c r="F738" s="154">
        <v>8</v>
      </c>
      <c r="G738" s="154">
        <f t="shared" si="109"/>
        <v>8</v>
      </c>
      <c r="H738" s="154" t="s">
        <v>1267</v>
      </c>
      <c r="I738" s="154">
        <v>1</v>
      </c>
      <c r="J738" s="127">
        <f t="shared" si="110"/>
        <v>2.5</v>
      </c>
      <c r="K738" s="127" t="s">
        <v>1305</v>
      </c>
      <c r="M738" s="127">
        <f t="shared" si="111"/>
        <v>0</v>
      </c>
      <c r="N738" s="127" t="s">
        <v>1305</v>
      </c>
      <c r="P738" s="127">
        <f t="shared" si="112"/>
        <v>0</v>
      </c>
      <c r="Q738" s="127" t="s">
        <v>1305</v>
      </c>
      <c r="S738" s="127">
        <f t="shared" si="113"/>
        <v>0</v>
      </c>
      <c r="T738" s="127" t="s">
        <v>1305</v>
      </c>
      <c r="V738" s="127">
        <f t="shared" si="114"/>
        <v>0</v>
      </c>
    </row>
    <row r="739" spans="1:22" ht="15.75">
      <c r="A739" s="155" t="s">
        <v>1351</v>
      </c>
      <c r="B739" s="125" t="s">
        <v>1271</v>
      </c>
      <c r="C739" s="130">
        <f t="shared" si="108"/>
        <v>399</v>
      </c>
      <c r="E739" s="154" t="s">
        <v>1270</v>
      </c>
      <c r="F739" s="154">
        <v>6</v>
      </c>
      <c r="G739" s="154">
        <f t="shared" si="109"/>
        <v>66.5</v>
      </c>
      <c r="H739" s="154" t="s">
        <v>1305</v>
      </c>
      <c r="I739" s="154"/>
      <c r="J739" s="127">
        <f t="shared" si="110"/>
        <v>0</v>
      </c>
      <c r="K739" s="127" t="s">
        <v>1305</v>
      </c>
      <c r="M739" s="127">
        <f t="shared" si="111"/>
        <v>0</v>
      </c>
      <c r="N739" s="127" t="s">
        <v>1305</v>
      </c>
      <c r="P739" s="127">
        <f t="shared" si="112"/>
        <v>0</v>
      </c>
      <c r="Q739" s="127" t="s">
        <v>1305</v>
      </c>
      <c r="S739" s="127">
        <f t="shared" si="113"/>
        <v>0</v>
      </c>
      <c r="T739" s="127" t="s">
        <v>1305</v>
      </c>
      <c r="V739" s="127">
        <f t="shared" si="114"/>
        <v>0</v>
      </c>
    </row>
    <row r="740" spans="1:22" ht="15.75">
      <c r="A740" s="155" t="s">
        <v>1351</v>
      </c>
      <c r="B740" s="125" t="s">
        <v>1272</v>
      </c>
      <c r="C740" s="130">
        <f t="shared" si="108"/>
        <v>250.5</v>
      </c>
      <c r="E740" s="154" t="s">
        <v>1245</v>
      </c>
      <c r="F740" s="154">
        <v>8</v>
      </c>
      <c r="G740" s="154">
        <f t="shared" si="109"/>
        <v>31</v>
      </c>
      <c r="H740" s="154" t="s">
        <v>1267</v>
      </c>
      <c r="I740" s="154">
        <v>1</v>
      </c>
      <c r="J740" s="127">
        <f t="shared" si="110"/>
        <v>2.5</v>
      </c>
      <c r="K740" s="127" t="s">
        <v>1305</v>
      </c>
      <c r="M740" s="127">
        <f t="shared" si="111"/>
        <v>0</v>
      </c>
      <c r="N740" s="127" t="s">
        <v>1305</v>
      </c>
      <c r="P740" s="127">
        <f t="shared" si="112"/>
        <v>0</v>
      </c>
      <c r="Q740" s="127" t="s">
        <v>1305</v>
      </c>
      <c r="S740" s="127">
        <f t="shared" si="113"/>
        <v>0</v>
      </c>
      <c r="T740" s="127" t="s">
        <v>1305</v>
      </c>
      <c r="V740" s="127">
        <f t="shared" si="114"/>
        <v>0</v>
      </c>
    </row>
    <row r="741" spans="1:22" s="138" customFormat="1" ht="15.75">
      <c r="A741" s="138" t="s">
        <v>560</v>
      </c>
      <c r="B741" s="136" t="s">
        <v>1273</v>
      </c>
      <c r="C741" s="137">
        <v>1</v>
      </c>
      <c r="D741" s="133"/>
      <c r="E741" s="138" t="s">
        <v>202</v>
      </c>
      <c r="G741" s="138">
        <f t="shared" si="109"/>
        <v>0</v>
      </c>
      <c r="H741" s="138" t="s">
        <v>202</v>
      </c>
      <c r="J741" s="138">
        <f t="shared" si="110"/>
        <v>0</v>
      </c>
      <c r="K741" s="138" t="s">
        <v>1305</v>
      </c>
      <c r="M741" s="138">
        <f t="shared" si="111"/>
        <v>0</v>
      </c>
      <c r="N741" s="138" t="s">
        <v>1305</v>
      </c>
      <c r="P741" s="138">
        <f t="shared" si="112"/>
        <v>0</v>
      </c>
      <c r="Q741" s="138" t="s">
        <v>1305</v>
      </c>
      <c r="S741" s="138">
        <f t="shared" si="113"/>
        <v>0</v>
      </c>
      <c r="T741" s="138" t="s">
        <v>1305</v>
      </c>
      <c r="V741" s="138">
        <f t="shared" si="114"/>
        <v>0</v>
      </c>
    </row>
    <row r="742" spans="1:22" ht="15.75">
      <c r="A742" s="155" t="s">
        <v>1351</v>
      </c>
      <c r="B742" s="125" t="s">
        <v>1274</v>
      </c>
      <c r="C742" s="130">
        <f t="shared" si="108"/>
        <v>6</v>
      </c>
      <c r="E742" s="127" t="s">
        <v>1224</v>
      </c>
      <c r="F742">
        <v>4</v>
      </c>
      <c r="G742" s="127">
        <f t="shared" si="109"/>
        <v>1.5</v>
      </c>
      <c r="H742" s="127" t="s">
        <v>1305</v>
      </c>
      <c r="J742" s="127">
        <f t="shared" si="110"/>
        <v>0</v>
      </c>
      <c r="K742" s="127" t="s">
        <v>1305</v>
      </c>
      <c r="M742" s="127">
        <f t="shared" si="111"/>
        <v>0</v>
      </c>
      <c r="N742" s="127" t="s">
        <v>1305</v>
      </c>
      <c r="P742" s="127">
        <f t="shared" si="112"/>
        <v>0</v>
      </c>
      <c r="Q742" s="127" t="s">
        <v>1305</v>
      </c>
      <c r="S742" s="127">
        <f t="shared" si="113"/>
        <v>0</v>
      </c>
      <c r="T742" s="127" t="s">
        <v>1305</v>
      </c>
      <c r="V742" s="127">
        <f t="shared" si="114"/>
        <v>0</v>
      </c>
    </row>
    <row r="743" spans="1:22" s="150" customFormat="1" ht="15.75">
      <c r="A743" s="138" t="s">
        <v>1341</v>
      </c>
      <c r="B743" s="148" t="s">
        <v>1275</v>
      </c>
      <c r="C743" s="149">
        <f>'ECONOMIA &amp; PROFESIONES'!E66</f>
        <v>5.5</v>
      </c>
      <c r="D743" s="133"/>
      <c r="E743" s="150" t="s">
        <v>1305</v>
      </c>
      <c r="G743" s="150">
        <f t="shared" si="109"/>
        <v>0</v>
      </c>
      <c r="H743" s="150" t="s">
        <v>1305</v>
      </c>
      <c r="J743" s="150">
        <f t="shared" si="110"/>
        <v>0</v>
      </c>
      <c r="K743" s="150" t="s">
        <v>1305</v>
      </c>
      <c r="M743" s="150">
        <f t="shared" si="111"/>
        <v>0</v>
      </c>
      <c r="N743" s="150" t="s">
        <v>1305</v>
      </c>
      <c r="P743" s="150">
        <f t="shared" si="112"/>
        <v>0</v>
      </c>
      <c r="Q743" s="150" t="s">
        <v>1305</v>
      </c>
      <c r="S743" s="150">
        <f t="shared" si="113"/>
        <v>0</v>
      </c>
      <c r="T743" s="150" t="s">
        <v>1305</v>
      </c>
      <c r="V743" s="150">
        <f t="shared" si="114"/>
        <v>0</v>
      </c>
    </row>
    <row r="744" spans="1:22" s="150" customFormat="1" ht="15.75">
      <c r="A744" s="138" t="s">
        <v>1341</v>
      </c>
      <c r="B744" s="148" t="s">
        <v>1276</v>
      </c>
      <c r="C744" s="149">
        <f>'ECONOMIA &amp; PROFESIONES'!E64</f>
        <v>2.25</v>
      </c>
      <c r="D744" s="133"/>
      <c r="E744" s="150" t="s">
        <v>1305</v>
      </c>
      <c r="G744" s="150">
        <f t="shared" si="109"/>
        <v>0</v>
      </c>
      <c r="H744" s="150" t="s">
        <v>1305</v>
      </c>
      <c r="J744" s="150">
        <f t="shared" si="110"/>
        <v>0</v>
      </c>
      <c r="K744" s="150" t="s">
        <v>1305</v>
      </c>
      <c r="M744" s="150">
        <f t="shared" si="111"/>
        <v>0</v>
      </c>
      <c r="N744" s="150" t="s">
        <v>1305</v>
      </c>
      <c r="P744" s="150">
        <f t="shared" si="112"/>
        <v>0</v>
      </c>
      <c r="Q744" s="150" t="s">
        <v>1305</v>
      </c>
      <c r="S744" s="150">
        <f t="shared" si="113"/>
        <v>0</v>
      </c>
      <c r="T744" s="150" t="s">
        <v>1305</v>
      </c>
      <c r="V744" s="150">
        <f t="shared" si="114"/>
        <v>0</v>
      </c>
    </row>
    <row r="745" spans="1:22" ht="15.75">
      <c r="A745" s="155" t="s">
        <v>1345</v>
      </c>
      <c r="B745" s="125" t="s">
        <v>1277</v>
      </c>
      <c r="C745" s="130">
        <f t="shared" si="108"/>
        <v>5</v>
      </c>
      <c r="E745" s="127" t="s">
        <v>1026</v>
      </c>
      <c r="F745">
        <v>3</v>
      </c>
      <c r="G745" s="127">
        <f t="shared" si="109"/>
        <v>1</v>
      </c>
      <c r="H745" s="127" t="s">
        <v>1208</v>
      </c>
      <c r="I745" s="127">
        <v>1</v>
      </c>
      <c r="J745" s="127">
        <f t="shared" si="110"/>
        <v>2</v>
      </c>
      <c r="K745" s="127" t="s">
        <v>1305</v>
      </c>
      <c r="M745" s="127">
        <f t="shared" si="111"/>
        <v>0</v>
      </c>
      <c r="N745" s="127" t="s">
        <v>1305</v>
      </c>
      <c r="P745" s="127">
        <f t="shared" si="112"/>
        <v>0</v>
      </c>
      <c r="Q745" s="127" t="s">
        <v>1305</v>
      </c>
      <c r="S745" s="127">
        <f t="shared" si="113"/>
        <v>0</v>
      </c>
      <c r="T745" s="127" t="s">
        <v>1305</v>
      </c>
      <c r="V745" s="127">
        <f t="shared" si="114"/>
        <v>0</v>
      </c>
    </row>
    <row r="746" spans="1:22" ht="15.75">
      <c r="A746" s="155" t="s">
        <v>1345</v>
      </c>
      <c r="B746" s="125" t="s">
        <v>1278</v>
      </c>
      <c r="C746" s="130">
        <f t="shared" si="108"/>
        <v>4</v>
      </c>
      <c r="E746" s="154" t="s">
        <v>1026</v>
      </c>
      <c r="F746">
        <v>2</v>
      </c>
      <c r="G746" s="127">
        <f t="shared" si="109"/>
        <v>1</v>
      </c>
      <c r="H746" s="154" t="s">
        <v>1208</v>
      </c>
      <c r="I746" s="127">
        <v>1</v>
      </c>
      <c r="J746" s="127">
        <f t="shared" si="110"/>
        <v>2</v>
      </c>
      <c r="K746" s="127" t="s">
        <v>1305</v>
      </c>
      <c r="M746" s="127">
        <f t="shared" si="111"/>
        <v>0</v>
      </c>
      <c r="N746" s="127" t="s">
        <v>1305</v>
      </c>
      <c r="P746" s="127">
        <f t="shared" si="112"/>
        <v>0</v>
      </c>
      <c r="Q746" s="127" t="s">
        <v>1305</v>
      </c>
      <c r="S746" s="127">
        <f t="shared" si="113"/>
        <v>0</v>
      </c>
      <c r="T746" s="127" t="s">
        <v>1305</v>
      </c>
      <c r="V746" s="127">
        <f t="shared" si="114"/>
        <v>0</v>
      </c>
    </row>
    <row r="747" spans="1:22" ht="15.75">
      <c r="A747" s="155" t="s">
        <v>1345</v>
      </c>
      <c r="B747" s="125" t="s">
        <v>1279</v>
      </c>
      <c r="C747" s="130">
        <f t="shared" si="108"/>
        <v>5</v>
      </c>
      <c r="E747" s="154" t="s">
        <v>1026</v>
      </c>
      <c r="F747">
        <v>3</v>
      </c>
      <c r="G747" s="127">
        <f t="shared" si="109"/>
        <v>1</v>
      </c>
      <c r="H747" s="154" t="s">
        <v>1208</v>
      </c>
      <c r="I747" s="127">
        <v>1</v>
      </c>
      <c r="J747" s="127">
        <f t="shared" si="110"/>
        <v>2</v>
      </c>
      <c r="K747" s="127" t="s">
        <v>1305</v>
      </c>
      <c r="M747" s="127">
        <f t="shared" si="111"/>
        <v>0</v>
      </c>
      <c r="N747" s="127" t="s">
        <v>1305</v>
      </c>
      <c r="P747" s="127">
        <f t="shared" si="112"/>
        <v>0</v>
      </c>
      <c r="Q747" s="127" t="s">
        <v>1305</v>
      </c>
      <c r="S747" s="127">
        <f t="shared" si="113"/>
        <v>0</v>
      </c>
      <c r="T747" s="127" t="s">
        <v>1305</v>
      </c>
      <c r="V747" s="127">
        <f t="shared" si="114"/>
        <v>0</v>
      </c>
    </row>
    <row r="748" spans="1:22" ht="15.75">
      <c r="A748" s="155" t="s">
        <v>1345</v>
      </c>
      <c r="B748" s="125" t="s">
        <v>1280</v>
      </c>
      <c r="C748" s="130">
        <f t="shared" si="108"/>
        <v>3</v>
      </c>
      <c r="E748" s="154" t="s">
        <v>1026</v>
      </c>
      <c r="F748">
        <v>1</v>
      </c>
      <c r="G748" s="127">
        <f t="shared" si="109"/>
        <v>1</v>
      </c>
      <c r="H748" s="154" t="s">
        <v>1208</v>
      </c>
      <c r="I748" s="127">
        <v>1</v>
      </c>
      <c r="J748" s="127">
        <f t="shared" si="110"/>
        <v>2</v>
      </c>
      <c r="K748" s="127" t="s">
        <v>1305</v>
      </c>
      <c r="M748" s="127">
        <f t="shared" si="111"/>
        <v>0</v>
      </c>
      <c r="N748" s="127" t="s">
        <v>1305</v>
      </c>
      <c r="P748" s="127">
        <f t="shared" si="112"/>
        <v>0</v>
      </c>
      <c r="Q748" s="127" t="s">
        <v>1305</v>
      </c>
      <c r="S748" s="127">
        <f t="shared" si="113"/>
        <v>0</v>
      </c>
      <c r="T748" s="127" t="s">
        <v>1305</v>
      </c>
      <c r="V748" s="127">
        <f t="shared" si="114"/>
        <v>0</v>
      </c>
    </row>
    <row r="749" spans="1:22" ht="15.75">
      <c r="A749" s="155" t="s">
        <v>1345</v>
      </c>
      <c r="B749" s="125" t="s">
        <v>1281</v>
      </c>
      <c r="C749" s="130">
        <f t="shared" si="108"/>
        <v>6</v>
      </c>
      <c r="E749" s="154" t="s">
        <v>1026</v>
      </c>
      <c r="F749">
        <v>2</v>
      </c>
      <c r="G749" s="127">
        <f t="shared" si="109"/>
        <v>1</v>
      </c>
      <c r="H749" s="154" t="s">
        <v>1208</v>
      </c>
      <c r="I749" s="127">
        <v>2</v>
      </c>
      <c r="J749" s="127">
        <f t="shared" si="110"/>
        <v>2</v>
      </c>
      <c r="K749" s="127" t="s">
        <v>1305</v>
      </c>
      <c r="M749" s="127">
        <f t="shared" si="111"/>
        <v>0</v>
      </c>
      <c r="N749" s="127" t="s">
        <v>1305</v>
      </c>
      <c r="P749" s="127">
        <f t="shared" si="112"/>
        <v>0</v>
      </c>
      <c r="Q749" s="127" t="s">
        <v>1305</v>
      </c>
      <c r="S749" s="127">
        <f t="shared" si="113"/>
        <v>0</v>
      </c>
      <c r="T749" s="127" t="s">
        <v>1305</v>
      </c>
      <c r="V749" s="127">
        <f t="shared" si="114"/>
        <v>0</v>
      </c>
    </row>
    <row r="750" spans="1:22" ht="15.75">
      <c r="A750" s="155" t="s">
        <v>1352</v>
      </c>
      <c r="B750" s="125" t="s">
        <v>1282</v>
      </c>
      <c r="C750" s="130">
        <f t="shared" si="108"/>
        <v>47.4</v>
      </c>
      <c r="E750" s="127" t="s">
        <v>615</v>
      </c>
      <c r="F750">
        <v>1</v>
      </c>
      <c r="G750" s="127">
        <f t="shared" si="109"/>
        <v>46</v>
      </c>
      <c r="H750" s="127" t="s">
        <v>796</v>
      </c>
      <c r="I750" s="127">
        <v>1</v>
      </c>
      <c r="J750" s="127">
        <f t="shared" si="110"/>
        <v>0.4</v>
      </c>
      <c r="K750" s="127" t="s">
        <v>886</v>
      </c>
      <c r="L750" s="127">
        <v>1</v>
      </c>
      <c r="M750" s="127">
        <f t="shared" si="111"/>
        <v>1</v>
      </c>
      <c r="N750" s="127" t="s">
        <v>1305</v>
      </c>
      <c r="P750" s="127">
        <f t="shared" si="112"/>
        <v>0</v>
      </c>
      <c r="Q750" s="127" t="s">
        <v>1305</v>
      </c>
      <c r="S750" s="127">
        <f t="shared" si="113"/>
        <v>0</v>
      </c>
      <c r="T750" s="127" t="s">
        <v>1305</v>
      </c>
      <c r="V750" s="127">
        <f t="shared" si="114"/>
        <v>0</v>
      </c>
    </row>
    <row r="751" spans="1:22" ht="15.75">
      <c r="A751" s="155" t="s">
        <v>1351</v>
      </c>
      <c r="B751" s="125" t="s">
        <v>1283</v>
      </c>
      <c r="C751" s="130">
        <f t="shared" si="108"/>
        <v>44</v>
      </c>
      <c r="E751" s="154" t="s">
        <v>1294</v>
      </c>
      <c r="F751" s="154">
        <v>6</v>
      </c>
      <c r="G751" s="154">
        <f t="shared" ref="G751:G755" si="115">VLOOKUP(E751,IDPOINTS,2,FALSE)</f>
        <v>7</v>
      </c>
      <c r="H751" s="154" t="s">
        <v>1208</v>
      </c>
      <c r="I751" s="154">
        <v>1</v>
      </c>
      <c r="J751" s="154">
        <f t="shared" ref="J751:J755" si="116">VLOOKUP(H751,IDPOINTS,2,FALSE)</f>
        <v>2</v>
      </c>
      <c r="K751" s="154" t="s">
        <v>1305</v>
      </c>
      <c r="L751" s="154"/>
      <c r="M751" s="127">
        <f t="shared" si="111"/>
        <v>0</v>
      </c>
      <c r="N751" s="127" t="s">
        <v>1305</v>
      </c>
      <c r="P751" s="127">
        <f t="shared" si="112"/>
        <v>0</v>
      </c>
      <c r="Q751" s="127" t="s">
        <v>1305</v>
      </c>
      <c r="S751" s="127">
        <f t="shared" si="113"/>
        <v>0</v>
      </c>
      <c r="T751" s="127" t="s">
        <v>1305</v>
      </c>
      <c r="V751" s="127">
        <f t="shared" si="114"/>
        <v>0</v>
      </c>
    </row>
    <row r="752" spans="1:22" ht="15.75">
      <c r="A752" s="155" t="s">
        <v>1351</v>
      </c>
      <c r="B752" s="125" t="s">
        <v>1284</v>
      </c>
      <c r="C752" s="130">
        <f t="shared" si="108"/>
        <v>24</v>
      </c>
      <c r="E752" s="154" t="s">
        <v>1294</v>
      </c>
      <c r="F752" s="154">
        <v>3</v>
      </c>
      <c r="G752" s="154">
        <f t="shared" si="115"/>
        <v>7</v>
      </c>
      <c r="H752" s="154" t="s">
        <v>1026</v>
      </c>
      <c r="I752" s="154">
        <v>3</v>
      </c>
      <c r="J752" s="154">
        <f t="shared" si="116"/>
        <v>1</v>
      </c>
      <c r="K752" s="154" t="s">
        <v>1305</v>
      </c>
      <c r="L752" s="154"/>
      <c r="M752" s="127">
        <f t="shared" si="111"/>
        <v>0</v>
      </c>
      <c r="N752" s="127" t="s">
        <v>1305</v>
      </c>
      <c r="P752" s="127">
        <f t="shared" si="112"/>
        <v>0</v>
      </c>
      <c r="Q752" s="127" t="s">
        <v>1305</v>
      </c>
      <c r="S752" s="127">
        <f t="shared" si="113"/>
        <v>0</v>
      </c>
      <c r="T752" s="127" t="s">
        <v>1305</v>
      </c>
      <c r="V752" s="127">
        <f t="shared" si="114"/>
        <v>0</v>
      </c>
    </row>
    <row r="753" spans="1:22" ht="15.75">
      <c r="A753" s="155" t="s">
        <v>1351</v>
      </c>
      <c r="B753" s="125" t="s">
        <v>1285</v>
      </c>
      <c r="C753" s="130">
        <f t="shared" ref="C753:C762" si="117">(G753*F753)+(I753*J753)+(L753*M753)+(O753*P753)+(R753*S753)+(U753*V753)</f>
        <v>14</v>
      </c>
      <c r="E753" s="154" t="s">
        <v>1294</v>
      </c>
      <c r="F753" s="154">
        <v>2</v>
      </c>
      <c r="G753" s="154">
        <f t="shared" si="115"/>
        <v>7</v>
      </c>
      <c r="H753" s="154" t="s">
        <v>1305</v>
      </c>
      <c r="I753" s="154"/>
      <c r="J753" s="154">
        <f t="shared" si="116"/>
        <v>0</v>
      </c>
      <c r="K753" s="154" t="s">
        <v>1305</v>
      </c>
      <c r="L753" s="154"/>
      <c r="M753" s="127">
        <f t="shared" si="111"/>
        <v>0</v>
      </c>
      <c r="N753" s="127" t="s">
        <v>1305</v>
      </c>
      <c r="P753" s="127">
        <f t="shared" si="112"/>
        <v>0</v>
      </c>
      <c r="Q753" s="127" t="s">
        <v>1305</v>
      </c>
      <c r="S753" s="127">
        <f t="shared" si="113"/>
        <v>0</v>
      </c>
      <c r="T753" s="127" t="s">
        <v>1305</v>
      </c>
      <c r="V753" s="127">
        <f t="shared" si="114"/>
        <v>0</v>
      </c>
    </row>
    <row r="754" spans="1:22" ht="15.75">
      <c r="A754" s="155" t="s">
        <v>1351</v>
      </c>
      <c r="B754" s="125" t="s">
        <v>1286</v>
      </c>
      <c r="C754" s="130">
        <f t="shared" si="117"/>
        <v>26.5</v>
      </c>
      <c r="E754" s="154" t="s">
        <v>1266</v>
      </c>
      <c r="F754" s="154">
        <v>1</v>
      </c>
      <c r="G754" s="154">
        <f t="shared" si="115"/>
        <v>26.5</v>
      </c>
      <c r="H754" s="154" t="s">
        <v>1305</v>
      </c>
      <c r="I754" s="154"/>
      <c r="J754" s="154">
        <f t="shared" si="116"/>
        <v>0</v>
      </c>
      <c r="K754" s="154" t="s">
        <v>1305</v>
      </c>
      <c r="L754" s="154"/>
      <c r="M754" s="127">
        <f t="shared" si="111"/>
        <v>0</v>
      </c>
      <c r="N754" s="127" t="s">
        <v>1305</v>
      </c>
      <c r="P754" s="127">
        <f t="shared" si="112"/>
        <v>0</v>
      </c>
      <c r="Q754" s="127" t="s">
        <v>1305</v>
      </c>
      <c r="S754" s="127">
        <f t="shared" si="113"/>
        <v>0</v>
      </c>
      <c r="T754" s="127" t="s">
        <v>1305</v>
      </c>
      <c r="V754" s="127">
        <f t="shared" si="114"/>
        <v>0</v>
      </c>
    </row>
    <row r="755" spans="1:22" ht="15.75">
      <c r="A755" s="155" t="s">
        <v>1351</v>
      </c>
      <c r="B755" s="125" t="s">
        <v>1287</v>
      </c>
      <c r="C755" s="130">
        <f t="shared" si="117"/>
        <v>25</v>
      </c>
      <c r="E755" s="154" t="s">
        <v>1158</v>
      </c>
      <c r="F755" s="154">
        <v>4</v>
      </c>
      <c r="G755" s="154">
        <f t="shared" si="115"/>
        <v>5</v>
      </c>
      <c r="H755" s="154" t="s">
        <v>844</v>
      </c>
      <c r="I755" s="154">
        <v>4</v>
      </c>
      <c r="J755" s="154">
        <f t="shared" si="116"/>
        <v>1</v>
      </c>
      <c r="K755" s="154" t="s">
        <v>1288</v>
      </c>
      <c r="L755" s="154">
        <v>1</v>
      </c>
      <c r="M755" s="127">
        <f t="shared" ref="M755:M763" si="118">VLOOKUP(K755,IDPOINTS,2,FALSE)</f>
        <v>1</v>
      </c>
      <c r="N755" s="127" t="s">
        <v>1305</v>
      </c>
      <c r="P755" s="127">
        <f t="shared" ref="P755:P763" si="119">VLOOKUP(N755,IDPOINTS,2,FALSE)</f>
        <v>0</v>
      </c>
      <c r="Q755" s="127" t="s">
        <v>1305</v>
      </c>
      <c r="S755" s="127">
        <f t="shared" ref="S755:S763" si="120">VLOOKUP(Q755,IDPOINTS,2,FALSE)</f>
        <v>0</v>
      </c>
      <c r="T755" s="127" t="s">
        <v>1305</v>
      </c>
      <c r="V755" s="127">
        <f t="shared" ref="V755:V763" si="121">VLOOKUP(T755,IDPOINTS,2,FALSE)</f>
        <v>0</v>
      </c>
    </row>
    <row r="756" spans="1:22" s="13" customFormat="1" ht="15.75">
      <c r="A756" s="155" t="s">
        <v>1351</v>
      </c>
      <c r="B756" s="145" t="s">
        <v>1288</v>
      </c>
      <c r="C756" s="146">
        <f t="shared" si="117"/>
        <v>1</v>
      </c>
      <c r="D756" s="133"/>
      <c r="E756" s="13" t="s">
        <v>715</v>
      </c>
      <c r="F756" s="13">
        <v>1</v>
      </c>
      <c r="G756" s="13">
        <f t="shared" ref="G756:G763" si="122">VLOOKUP(E756,IDPOINTS,2,FALSE)</f>
        <v>1</v>
      </c>
      <c r="H756" s="13" t="s">
        <v>1241</v>
      </c>
      <c r="J756" s="13">
        <f t="shared" ref="J756:J763" si="123">VLOOKUP(H756,IDPOINTS,2,FALSE)</f>
        <v>1</v>
      </c>
      <c r="K756" s="13" t="s">
        <v>1305</v>
      </c>
      <c r="M756" s="13">
        <f t="shared" si="118"/>
        <v>0</v>
      </c>
      <c r="N756" s="13" t="s">
        <v>1305</v>
      </c>
      <c r="P756" s="13">
        <f t="shared" si="119"/>
        <v>0</v>
      </c>
      <c r="Q756" s="13" t="s">
        <v>1305</v>
      </c>
      <c r="S756" s="13">
        <f t="shared" si="120"/>
        <v>0</v>
      </c>
      <c r="T756" s="13" t="s">
        <v>1305</v>
      </c>
      <c r="V756" s="13">
        <f t="shared" si="121"/>
        <v>0</v>
      </c>
    </row>
    <row r="757" spans="1:22" ht="15.75">
      <c r="A757" s="155" t="s">
        <v>1351</v>
      </c>
      <c r="B757" s="125" t="s">
        <v>1289</v>
      </c>
      <c r="C757" s="130">
        <f t="shared" si="117"/>
        <v>252</v>
      </c>
      <c r="E757" s="154" t="s">
        <v>1293</v>
      </c>
      <c r="F757" s="154">
        <v>1</v>
      </c>
      <c r="G757" s="154">
        <f t="shared" si="122"/>
        <v>249</v>
      </c>
      <c r="H757" s="154" t="s">
        <v>672</v>
      </c>
      <c r="I757" s="154">
        <v>1</v>
      </c>
      <c r="J757" s="127">
        <f t="shared" si="123"/>
        <v>3</v>
      </c>
      <c r="K757" s="127" t="s">
        <v>1305</v>
      </c>
      <c r="M757" s="127">
        <f t="shared" si="118"/>
        <v>0</v>
      </c>
      <c r="N757" s="127" t="s">
        <v>1305</v>
      </c>
      <c r="P757" s="127">
        <f t="shared" si="119"/>
        <v>0</v>
      </c>
      <c r="Q757" s="127" t="s">
        <v>1305</v>
      </c>
      <c r="S757" s="127">
        <f t="shared" si="120"/>
        <v>0</v>
      </c>
      <c r="T757" s="127" t="s">
        <v>1305</v>
      </c>
      <c r="V757" s="127">
        <f t="shared" si="121"/>
        <v>0</v>
      </c>
    </row>
    <row r="758" spans="1:22" ht="15.75">
      <c r="A758" s="155" t="s">
        <v>1351</v>
      </c>
      <c r="B758" s="125" t="s">
        <v>1290</v>
      </c>
      <c r="C758" s="130">
        <f t="shared" si="117"/>
        <v>27</v>
      </c>
      <c r="E758" s="154" t="s">
        <v>1288</v>
      </c>
      <c r="F758" s="154">
        <v>1</v>
      </c>
      <c r="G758" s="154">
        <f t="shared" si="122"/>
        <v>1</v>
      </c>
      <c r="H758" s="154" t="s">
        <v>1170</v>
      </c>
      <c r="I758" s="154">
        <v>1</v>
      </c>
      <c r="J758" s="127">
        <f t="shared" si="123"/>
        <v>26</v>
      </c>
      <c r="K758" s="127" t="s">
        <v>1305</v>
      </c>
      <c r="M758" s="127">
        <f t="shared" si="118"/>
        <v>0</v>
      </c>
      <c r="N758" s="127" t="s">
        <v>1305</v>
      </c>
      <c r="P758" s="127">
        <f t="shared" si="119"/>
        <v>0</v>
      </c>
      <c r="Q758" s="127" t="s">
        <v>1305</v>
      </c>
      <c r="S758" s="127">
        <f t="shared" si="120"/>
        <v>0</v>
      </c>
      <c r="T758" s="127" t="s">
        <v>1305</v>
      </c>
      <c r="V758" s="127">
        <f t="shared" si="121"/>
        <v>0</v>
      </c>
    </row>
    <row r="759" spans="1:22" ht="15.75">
      <c r="A759" s="155" t="s">
        <v>1351</v>
      </c>
      <c r="B759" s="125" t="s">
        <v>1291</v>
      </c>
      <c r="C759" s="130">
        <f t="shared" si="117"/>
        <v>65</v>
      </c>
      <c r="E759" s="154" t="s">
        <v>814</v>
      </c>
      <c r="F759" s="154">
        <v>8</v>
      </c>
      <c r="G759" s="154">
        <f t="shared" si="122"/>
        <v>8</v>
      </c>
      <c r="H759" s="154" t="s">
        <v>1288</v>
      </c>
      <c r="I759" s="154">
        <v>1</v>
      </c>
      <c r="J759" s="127">
        <f t="shared" si="123"/>
        <v>1</v>
      </c>
      <c r="K759" s="127" t="s">
        <v>1305</v>
      </c>
      <c r="M759" s="127">
        <f t="shared" si="118"/>
        <v>0</v>
      </c>
      <c r="N759" s="127" t="s">
        <v>1305</v>
      </c>
      <c r="P759" s="127">
        <f t="shared" si="119"/>
        <v>0</v>
      </c>
      <c r="Q759" s="127" t="s">
        <v>1305</v>
      </c>
      <c r="S759" s="127">
        <f t="shared" si="120"/>
        <v>0</v>
      </c>
      <c r="T759" s="127" t="s">
        <v>1305</v>
      </c>
      <c r="V759" s="127">
        <f t="shared" si="121"/>
        <v>0</v>
      </c>
    </row>
    <row r="760" spans="1:22" ht="15.75">
      <c r="A760" s="155" t="s">
        <v>1351</v>
      </c>
      <c r="B760" s="125" t="s">
        <v>1292</v>
      </c>
      <c r="C760" s="130">
        <f t="shared" si="117"/>
        <v>390</v>
      </c>
      <c r="E760" s="154" t="s">
        <v>1291</v>
      </c>
      <c r="F760" s="154">
        <v>6</v>
      </c>
      <c r="G760" s="154">
        <f t="shared" si="122"/>
        <v>65</v>
      </c>
      <c r="H760" s="154" t="s">
        <v>1305</v>
      </c>
      <c r="I760" s="154"/>
      <c r="J760" s="127">
        <f t="shared" si="123"/>
        <v>0</v>
      </c>
      <c r="K760" s="127" t="s">
        <v>1305</v>
      </c>
      <c r="M760" s="127">
        <f t="shared" si="118"/>
        <v>0</v>
      </c>
      <c r="N760" s="127" t="s">
        <v>1305</v>
      </c>
      <c r="P760" s="127">
        <f t="shared" si="119"/>
        <v>0</v>
      </c>
      <c r="Q760" s="127" t="s">
        <v>1305</v>
      </c>
      <c r="S760" s="127">
        <f t="shared" si="120"/>
        <v>0</v>
      </c>
      <c r="T760" s="127" t="s">
        <v>1305</v>
      </c>
      <c r="V760" s="127">
        <f t="shared" si="121"/>
        <v>0</v>
      </c>
    </row>
    <row r="761" spans="1:22" ht="15.75">
      <c r="A761" s="155" t="s">
        <v>1351</v>
      </c>
      <c r="B761" s="125" t="s">
        <v>1293</v>
      </c>
      <c r="C761" s="130">
        <f t="shared" si="117"/>
        <v>249</v>
      </c>
      <c r="E761" s="154" t="s">
        <v>1245</v>
      </c>
      <c r="F761" s="154">
        <v>8</v>
      </c>
      <c r="G761" s="154">
        <f t="shared" si="122"/>
        <v>31</v>
      </c>
      <c r="H761" s="154" t="s">
        <v>1288</v>
      </c>
      <c r="I761" s="154">
        <v>1</v>
      </c>
      <c r="J761" s="127">
        <f t="shared" si="123"/>
        <v>1</v>
      </c>
      <c r="K761" s="127" t="s">
        <v>1305</v>
      </c>
      <c r="M761" s="127">
        <f t="shared" si="118"/>
        <v>0</v>
      </c>
      <c r="N761" s="127" t="s">
        <v>1305</v>
      </c>
      <c r="P761" s="127">
        <f t="shared" si="119"/>
        <v>0</v>
      </c>
      <c r="Q761" s="127" t="s">
        <v>1305</v>
      </c>
      <c r="S761" s="127">
        <f t="shared" si="120"/>
        <v>0</v>
      </c>
      <c r="T761" s="127" t="s">
        <v>1305</v>
      </c>
      <c r="V761" s="127">
        <f t="shared" si="121"/>
        <v>0</v>
      </c>
    </row>
    <row r="762" spans="1:22" ht="15.75">
      <c r="A762" s="155" t="s">
        <v>1351</v>
      </c>
      <c r="B762" s="125" t="s">
        <v>1294</v>
      </c>
      <c r="C762" s="130">
        <f t="shared" si="117"/>
        <v>7</v>
      </c>
      <c r="E762" s="127" t="s">
        <v>1274</v>
      </c>
      <c r="F762">
        <v>1</v>
      </c>
      <c r="G762" s="127">
        <f t="shared" si="122"/>
        <v>6</v>
      </c>
      <c r="H762" s="127" t="s">
        <v>1288</v>
      </c>
      <c r="I762" s="127">
        <v>1</v>
      </c>
      <c r="J762" s="127">
        <f t="shared" si="123"/>
        <v>1</v>
      </c>
      <c r="K762" s="127" t="s">
        <v>1305</v>
      </c>
      <c r="M762" s="127">
        <f t="shared" si="118"/>
        <v>0</v>
      </c>
      <c r="N762" s="127" t="s">
        <v>1305</v>
      </c>
      <c r="P762" s="127">
        <f t="shared" si="119"/>
        <v>0</v>
      </c>
      <c r="Q762" s="127" t="s">
        <v>1305</v>
      </c>
      <c r="S762" s="127">
        <f t="shared" si="120"/>
        <v>0</v>
      </c>
      <c r="T762" s="127" t="s">
        <v>1305</v>
      </c>
      <c r="V762" s="127">
        <f t="shared" si="121"/>
        <v>0</v>
      </c>
    </row>
    <row r="763" spans="1:22" s="150" customFormat="1" ht="15.75">
      <c r="A763" s="138" t="s">
        <v>1341</v>
      </c>
      <c r="B763" s="148" t="s">
        <v>1295</v>
      </c>
      <c r="C763" s="149">
        <f>'ECONOMIA &amp; PROFESIONES'!E54</f>
        <v>1</v>
      </c>
      <c r="D763" s="133"/>
      <c r="E763" s="150" t="s">
        <v>1305</v>
      </c>
      <c r="G763" s="150">
        <f t="shared" si="122"/>
        <v>0</v>
      </c>
      <c r="H763" s="150" t="s">
        <v>1305</v>
      </c>
      <c r="J763" s="150">
        <f t="shared" si="123"/>
        <v>0</v>
      </c>
      <c r="K763" s="150" t="s">
        <v>1305</v>
      </c>
      <c r="M763" s="150">
        <f t="shared" si="118"/>
        <v>0</v>
      </c>
      <c r="N763" s="150" t="s">
        <v>1305</v>
      </c>
      <c r="P763" s="150">
        <f t="shared" si="119"/>
        <v>0</v>
      </c>
      <c r="Q763" s="150" t="s">
        <v>1305</v>
      </c>
      <c r="S763" s="150">
        <f t="shared" si="120"/>
        <v>0</v>
      </c>
      <c r="T763" s="150" t="s">
        <v>1305</v>
      </c>
      <c r="V763" s="150">
        <f t="shared" si="121"/>
        <v>0</v>
      </c>
    </row>
  </sheetData>
  <dataValidations count="3">
    <dataValidation type="list" allowBlank="1" showInputMessage="1" showErrorMessage="1" sqref="H3:H763 E3:E763 K3:K763 T3:T763 Q3:Q763 N3:N763">
      <formula1>IDS</formula1>
    </dataValidation>
    <dataValidation type="list" allowBlank="1" showInputMessage="1" showErrorMessage="1" sqref="A231:A233 A3:A7 A16 A729:A740 A24:A25 A27 A29:A30 A19:A22 A33:A39 A41:A46 A48:A61 A63:A70 A72:A100 A112:A113 A102:A110 A115:A125 A134 A136 A138 A140 A127:A130 A142:A144 A148:A159 A165:A181 A183:A187 A189:A194 A196:A216 A218:A225 A227:A229 A9:A14 A243 A245 A239:A241 A247:A252 A254:A258 A161:A163 A288:A308 A281:A286 A261:A262 A338:A352 A312:A336 A354:A362 A364:A365 A367:A378 A388:A390 A380:A385 A393:A427 A431:A458 A460:A471 A474:A481 A483:A485 A487:A492 A501 A494:A499 A515 A517:A519 A503:A513 A535:A536 A521:A533 A539:A548 A552:A556 A564 A559:A562 A566:A581 A583:A586 A590:A598 A600:A603 A614 A616:A617 A605:A612 A623:A624 A619:A620 A636:A638 A640 A626:A633 A660 A642:A658 A662:A667 A669:A674 A705:A707 A710 A713:A720 A722:A727 A676:A691 A742 A235:A236 A310 A266:A279 A745:A762">
      <formula1>PROFESIONES</formula1>
    </dataValidation>
    <dataValidation type="list" allowBlank="1" showInputMessage="1" showErrorMessage="1" sqref="A8 A15 A17:A18 A23 A26 A28 A31:A32 A40 A47 A62 A71 A101 A111 A114 A126 A131:A133 A135 A137 A139 A141 A145:A147 A160 A164 A182 A195 A217 A226 A230 A234 A242 A244 A246 A253 A188 A259:A260 A287 A309 A337 A353 A363 A366 A379 A386:A387 A391:A392 A428:A430 A459 A472:A473 A482 A486 A493 A500 A502 A514 A516 A520 A534 A537:A538 A549:A551 A557:A558 A563 A565 A582 A237:A238 A599 A604 A613 A615 A618 A621:A622 A625 A634:A635 A639 A641 A659 A661 A668 A675 A587:A589 A708:A709 A711:A712 A721 A728 A741 A743:A744 A763 A692:A704 A263:A265 A311 A280">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63"/>
  <sheetViews>
    <sheetView tabSelected="1" topLeftCell="I35" workbookViewId="0">
      <selection activeCell="L52" sqref="L52"/>
    </sheetView>
  </sheetViews>
  <sheetFormatPr baseColWidth="10" defaultRowHeight="15"/>
  <cols>
    <col min="1" max="1" width="20.5703125" customWidth="1"/>
    <col min="2" max="2" width="21" customWidth="1"/>
    <col min="3" max="3" width="28.28515625" customWidth="1"/>
    <col min="4" max="4" width="8.85546875" style="155" customWidth="1"/>
    <col min="5" max="5" width="28" customWidth="1"/>
    <col min="6" max="6" width="8.28515625" customWidth="1"/>
    <col min="10" max="10" width="23" customWidth="1"/>
    <col min="11" max="11" width="17.5703125" customWidth="1"/>
  </cols>
  <sheetData>
    <row r="1" spans="1:13" s="169" customFormat="1">
      <c r="A1" s="169" t="s">
        <v>1336</v>
      </c>
      <c r="B1" s="169" t="s">
        <v>205</v>
      </c>
      <c r="C1" s="131" t="s">
        <v>1354</v>
      </c>
      <c r="D1" s="131">
        <f>LARGE(D3:D84,1)</f>
        <v>11</v>
      </c>
      <c r="E1" s="131" t="s">
        <v>1355</v>
      </c>
      <c r="F1" s="169">
        <f>LARGE(F3:F55,1)</f>
        <v>144</v>
      </c>
      <c r="J1" s="169" t="s">
        <v>1357</v>
      </c>
      <c r="K1" s="169" t="s">
        <v>1359</v>
      </c>
      <c r="L1" s="169" t="s">
        <v>1360</v>
      </c>
      <c r="M1" s="169" t="s">
        <v>1362</v>
      </c>
    </row>
    <row r="2" spans="1:13">
      <c r="A2" s="170" t="s">
        <v>1337</v>
      </c>
      <c r="B2" s="170" t="s">
        <v>1343</v>
      </c>
      <c r="C2" s="179" t="s">
        <v>1338</v>
      </c>
      <c r="D2" s="179" t="s">
        <v>1356</v>
      </c>
      <c r="E2" s="179" t="s">
        <v>1343</v>
      </c>
      <c r="F2" s="179" t="s">
        <v>1356</v>
      </c>
      <c r="G2" s="163">
        <v>1</v>
      </c>
      <c r="H2">
        <f>($F$1/12)*1</f>
        <v>12</v>
      </c>
      <c r="J2" t="s">
        <v>1358</v>
      </c>
      <c r="K2" t="s">
        <v>1361</v>
      </c>
      <c r="L2" t="s">
        <v>1364</v>
      </c>
      <c r="M2" t="s">
        <v>1363</v>
      </c>
    </row>
    <row r="3" spans="1:13">
      <c r="A3" s="21" t="s">
        <v>1338</v>
      </c>
      <c r="B3" s="170" t="s">
        <v>1344</v>
      </c>
      <c r="C3" t="str">
        <f t="array" ref="C3:C763">IFERROR(INDEX(ListItemsCraft!$B$1:$B$763,SMALL(IF(indexop=$C$2,ROW()),ROW()-1)),"")</f>
        <v>acacia_wood</v>
      </c>
      <c r="D3" s="155">
        <f t="shared" ref="D3:D34" si="0">IFERROR(VLOOKUP(C3,listitems,2,0),"")</f>
        <v>9</v>
      </c>
      <c r="E3" t="str">
        <f t="array" ref="E3:E763">IFERROR(INDEX(ListItemsCraft!$B$1:$B$763,SMALL(IF(indexop=$E$2,ROW()),ROW()-1)),"")</f>
        <v>bucket</v>
      </c>
      <c r="F3">
        <f t="shared" ref="F3:F34" si="1">IFERROR(VLOOKUP(E3,listitems,2,0),"")</f>
        <v>12</v>
      </c>
      <c r="G3" s="61">
        <v>3</v>
      </c>
      <c r="H3">
        <f>($F$1/12)*3</f>
        <v>36</v>
      </c>
      <c r="M3" t="s">
        <v>1365</v>
      </c>
    </row>
    <row r="4" spans="1:13">
      <c r="A4" s="171" t="s">
        <v>560</v>
      </c>
      <c r="B4" s="21" t="s">
        <v>1345</v>
      </c>
      <c r="C4" t="str">
        <v>birch_log</v>
      </c>
      <c r="D4" s="155">
        <f t="shared" si="0"/>
        <v>5</v>
      </c>
      <c r="E4" t="str">
        <v>cauldron</v>
      </c>
      <c r="F4" s="155">
        <f t="shared" si="1"/>
        <v>28</v>
      </c>
      <c r="G4" s="62">
        <v>5</v>
      </c>
      <c r="H4">
        <f>($F$1/12)*5</f>
        <v>60</v>
      </c>
    </row>
    <row r="5" spans="1:13">
      <c r="A5" s="172" t="s">
        <v>1339</v>
      </c>
      <c r="B5" s="172" t="s">
        <v>1346</v>
      </c>
      <c r="C5" t="str">
        <v>birch_wood</v>
      </c>
      <c r="D5" s="155">
        <f t="shared" si="0"/>
        <v>5</v>
      </c>
      <c r="E5" t="str">
        <v>clock</v>
      </c>
      <c r="F5" s="155">
        <f t="shared" si="1"/>
        <v>39</v>
      </c>
      <c r="G5" s="63">
        <v>7</v>
      </c>
      <c r="H5">
        <f>($F$1/12)*7</f>
        <v>84</v>
      </c>
    </row>
    <row r="6" spans="1:13">
      <c r="A6" s="173" t="s">
        <v>1340</v>
      </c>
      <c r="B6" s="173" t="s">
        <v>1347</v>
      </c>
      <c r="C6" t="str">
        <v>dark_oak_log</v>
      </c>
      <c r="D6" s="155">
        <f t="shared" si="0"/>
        <v>11</v>
      </c>
      <c r="E6" t="str">
        <v>compass</v>
      </c>
      <c r="F6" s="155">
        <f t="shared" si="1"/>
        <v>23</v>
      </c>
      <c r="G6" s="64">
        <v>9</v>
      </c>
      <c r="H6">
        <f>($F$1/12)*9</f>
        <v>108</v>
      </c>
    </row>
    <row r="7" spans="1:13">
      <c r="A7" s="141" t="s">
        <v>1341</v>
      </c>
      <c r="B7" s="171" t="s">
        <v>1348</v>
      </c>
      <c r="C7" t="str">
        <v>dark_oak_wood</v>
      </c>
      <c r="D7" s="155">
        <f t="shared" si="0"/>
        <v>11</v>
      </c>
      <c r="E7" t="str">
        <v>diamond_axe</v>
      </c>
      <c r="F7" s="155">
        <f t="shared" si="1"/>
        <v>100</v>
      </c>
      <c r="G7" s="65">
        <v>11</v>
      </c>
      <c r="H7">
        <f>($F$1/12)*12</f>
        <v>144</v>
      </c>
      <c r="J7" t="s">
        <v>1374</v>
      </c>
      <c r="K7" t="s">
        <v>1375</v>
      </c>
    </row>
    <row r="8" spans="1:13">
      <c r="A8" s="174" t="s">
        <v>1342</v>
      </c>
      <c r="B8" s="141" t="s">
        <v>1350</v>
      </c>
      <c r="C8" t="str">
        <v>jungle_log</v>
      </c>
      <c r="D8" s="155">
        <f t="shared" si="0"/>
        <v>7</v>
      </c>
      <c r="E8" t="str">
        <v>diamond_block</v>
      </c>
      <c r="F8" s="155">
        <f t="shared" si="1"/>
        <v>144</v>
      </c>
      <c r="K8" t="s">
        <v>1376</v>
      </c>
    </row>
    <row r="9" spans="1:13">
      <c r="B9" s="174" t="s">
        <v>1349</v>
      </c>
      <c r="C9" t="str">
        <v>jungle_wood</v>
      </c>
      <c r="D9" s="155">
        <f t="shared" si="0"/>
        <v>7</v>
      </c>
      <c r="E9" t="str">
        <v>diamond_hoe</v>
      </c>
      <c r="F9" s="155">
        <f t="shared" si="1"/>
        <v>36</v>
      </c>
      <c r="K9" t="s">
        <v>1377</v>
      </c>
    </row>
    <row r="10" spans="1:13">
      <c r="B10" s="170" t="s">
        <v>595</v>
      </c>
      <c r="C10" t="str">
        <v>oak_log</v>
      </c>
      <c r="D10" s="155">
        <f t="shared" si="0"/>
        <v>1</v>
      </c>
      <c r="E10" t="str">
        <v>diamond_pickaxe</v>
      </c>
      <c r="F10" s="155">
        <f t="shared" si="1"/>
        <v>52</v>
      </c>
    </row>
    <row r="11" spans="1:13">
      <c r="B11" s="171" t="s">
        <v>1351</v>
      </c>
      <c r="C11" t="str">
        <v>oak_wood</v>
      </c>
      <c r="D11" s="155">
        <f t="shared" si="0"/>
        <v>1</v>
      </c>
      <c r="E11" t="str">
        <v>diamond_shovel</v>
      </c>
      <c r="F11" s="155">
        <f t="shared" si="1"/>
        <v>20</v>
      </c>
    </row>
    <row r="12" spans="1:13">
      <c r="B12" s="171" t="s">
        <v>1352</v>
      </c>
      <c r="C12" t="str">
        <v>spruce_log</v>
      </c>
      <c r="D12" s="155">
        <f t="shared" si="0"/>
        <v>3</v>
      </c>
      <c r="E12" t="str">
        <v>flint_and_steel</v>
      </c>
      <c r="F12" s="155">
        <f t="shared" si="1"/>
        <v>5</v>
      </c>
      <c r="J12" t="s">
        <v>1366</v>
      </c>
      <c r="K12" t="s">
        <v>1367</v>
      </c>
      <c r="M12" t="s">
        <v>1369</v>
      </c>
    </row>
    <row r="13" spans="1:13">
      <c r="B13" s="175" t="s">
        <v>1353</v>
      </c>
      <c r="C13" t="str">
        <v>spruce_wood</v>
      </c>
      <c r="D13" s="155">
        <f t="shared" si="0"/>
        <v>3</v>
      </c>
      <c r="E13" t="str">
        <v>furnace</v>
      </c>
      <c r="F13" s="155">
        <f t="shared" si="1"/>
        <v>8</v>
      </c>
      <c r="K13" t="s">
        <v>1368</v>
      </c>
      <c r="M13" t="s">
        <v>1370</v>
      </c>
    </row>
    <row r="14" spans="1:13">
      <c r="C14" t="str">
        <v>stripped_acacia_log</v>
      </c>
      <c r="D14" s="155">
        <f t="shared" si="0"/>
        <v>9</v>
      </c>
      <c r="E14" t="str">
        <v>gold_block</v>
      </c>
      <c r="F14" s="155">
        <f t="shared" si="1"/>
        <v>72</v>
      </c>
    </row>
    <row r="15" spans="1:13">
      <c r="C15" t="str">
        <v>stripped_acacia_wood</v>
      </c>
      <c r="D15" s="155">
        <f t="shared" si="0"/>
        <v>9</v>
      </c>
      <c r="E15" t="str">
        <v>gold_ingot</v>
      </c>
      <c r="F15" s="155">
        <f t="shared" si="1"/>
        <v>8</v>
      </c>
      <c r="J15" t="s">
        <v>1371</v>
      </c>
      <c r="K15" t="s">
        <v>1372</v>
      </c>
    </row>
    <row r="16" spans="1:13">
      <c r="C16" t="str">
        <v>stripped_birch_log</v>
      </c>
      <c r="D16" s="155">
        <f t="shared" si="0"/>
        <v>5</v>
      </c>
      <c r="E16" t="str">
        <v>gold_nugget</v>
      </c>
      <c r="F16" s="155">
        <f t="shared" si="1"/>
        <v>0.88888888888888884</v>
      </c>
      <c r="K16" t="s">
        <v>1373</v>
      </c>
    </row>
    <row r="17" spans="1:13">
      <c r="C17" t="str">
        <v>stripped_birch_wood</v>
      </c>
      <c r="D17" s="155">
        <f t="shared" si="0"/>
        <v>5</v>
      </c>
      <c r="E17" t="str">
        <v>gold_ore</v>
      </c>
      <c r="F17" s="155">
        <f t="shared" si="1"/>
        <v>8</v>
      </c>
    </row>
    <row r="18" spans="1:13">
      <c r="C18" t="str">
        <v>stripped_dark_oak_log</v>
      </c>
      <c r="D18" s="155">
        <f t="shared" si="0"/>
        <v>11</v>
      </c>
      <c r="E18" t="str">
        <v>golden_axe</v>
      </c>
      <c r="F18" s="155">
        <f t="shared" si="1"/>
        <v>28</v>
      </c>
      <c r="J18" t="s">
        <v>1378</v>
      </c>
      <c r="K18" t="s">
        <v>1379</v>
      </c>
      <c r="L18" t="s">
        <v>1381</v>
      </c>
    </row>
    <row r="19" spans="1:13">
      <c r="C19" t="str">
        <v>stripped_dark_oak_wood</v>
      </c>
      <c r="D19" s="155">
        <f t="shared" si="0"/>
        <v>11</v>
      </c>
      <c r="E19" t="str">
        <v>golden_hoe</v>
      </c>
      <c r="F19" s="155">
        <f t="shared" si="1"/>
        <v>12</v>
      </c>
      <c r="K19" t="s">
        <v>1380</v>
      </c>
    </row>
    <row r="20" spans="1:13">
      <c r="C20" t="str">
        <v>stripped_jungle_log</v>
      </c>
      <c r="D20" s="155">
        <f t="shared" si="0"/>
        <v>7</v>
      </c>
      <c r="E20" t="str">
        <v>golden_pickaxe</v>
      </c>
      <c r="F20" s="155">
        <f t="shared" si="1"/>
        <v>28</v>
      </c>
    </row>
    <row r="21" spans="1:13">
      <c r="C21" t="str">
        <v>stripped_jungle_wood</v>
      </c>
      <c r="D21" s="155">
        <f t="shared" si="0"/>
        <v>7</v>
      </c>
      <c r="E21" t="str">
        <v>golden_shovel</v>
      </c>
      <c r="F21" s="155">
        <f t="shared" si="1"/>
        <v>12</v>
      </c>
      <c r="J21" t="s">
        <v>1382</v>
      </c>
      <c r="M21" t="s">
        <v>1383</v>
      </c>
    </row>
    <row r="22" spans="1:13">
      <c r="C22" t="str">
        <v>stripped_oak_log</v>
      </c>
      <c r="D22" s="155">
        <f t="shared" si="0"/>
        <v>1</v>
      </c>
      <c r="E22" t="str">
        <v>grindstone</v>
      </c>
      <c r="F22" s="155">
        <f t="shared" si="1"/>
        <v>18</v>
      </c>
      <c r="M22" t="s">
        <v>1384</v>
      </c>
    </row>
    <row r="23" spans="1:13">
      <c r="C23" t="str">
        <v>stripped_oak_wood</v>
      </c>
      <c r="D23" s="155">
        <f t="shared" si="0"/>
        <v>1</v>
      </c>
      <c r="E23" t="str">
        <v>iron_axe</v>
      </c>
      <c r="F23" s="155">
        <f t="shared" si="1"/>
        <v>16</v>
      </c>
    </row>
    <row r="24" spans="1:13" ht="15.75">
      <c r="A24" s="125" t="s">
        <v>658</v>
      </c>
      <c r="C24" t="str">
        <v>stripped_spruce_log</v>
      </c>
      <c r="D24" s="155">
        <f t="shared" si="0"/>
        <v>3</v>
      </c>
      <c r="E24" t="str">
        <v>iron_bars</v>
      </c>
      <c r="F24" s="155">
        <f t="shared" si="1"/>
        <v>24</v>
      </c>
      <c r="J24" t="s">
        <v>1385</v>
      </c>
      <c r="K24" t="s">
        <v>1386</v>
      </c>
      <c r="M24" t="s">
        <v>1388</v>
      </c>
    </row>
    <row r="25" spans="1:13">
      <c r="C25" t="str">
        <v>stripped_spruce_wood</v>
      </c>
      <c r="D25" s="155">
        <f t="shared" si="0"/>
        <v>3</v>
      </c>
      <c r="E25" t="str">
        <v>iron_block</v>
      </c>
      <c r="F25" s="155">
        <f t="shared" si="1"/>
        <v>36</v>
      </c>
      <c r="K25" t="s">
        <v>1387</v>
      </c>
    </row>
    <row r="26" spans="1:13">
      <c r="C26" t="str">
        <v/>
      </c>
      <c r="D26" s="155" t="str">
        <f t="shared" si="0"/>
        <v/>
      </c>
      <c r="E26" t="str">
        <v>iron_door</v>
      </c>
      <c r="F26" s="155">
        <f t="shared" si="1"/>
        <v>24</v>
      </c>
    </row>
    <row r="27" spans="1:13">
      <c r="C27" t="str">
        <v/>
      </c>
      <c r="D27" s="155" t="str">
        <f t="shared" si="0"/>
        <v/>
      </c>
      <c r="E27" t="str">
        <v>iron_hoe</v>
      </c>
      <c r="F27" s="155">
        <f t="shared" si="1"/>
        <v>12</v>
      </c>
    </row>
    <row r="28" spans="1:13">
      <c r="C28" t="str">
        <v/>
      </c>
      <c r="D28" s="155" t="str">
        <f t="shared" si="0"/>
        <v/>
      </c>
      <c r="E28" t="str">
        <v>iron_nugget</v>
      </c>
      <c r="F28" s="155">
        <f t="shared" si="1"/>
        <v>0.44444444444444442</v>
      </c>
    </row>
    <row r="29" spans="1:13">
      <c r="C29" t="str">
        <v/>
      </c>
      <c r="D29" s="155" t="str">
        <f t="shared" si="0"/>
        <v/>
      </c>
      <c r="E29" t="str">
        <v>iron_pickaxe</v>
      </c>
      <c r="F29" s="155">
        <f t="shared" si="1"/>
        <v>16</v>
      </c>
      <c r="J29" t="s">
        <v>1389</v>
      </c>
      <c r="K29" t="s">
        <v>1390</v>
      </c>
      <c r="L29" t="s">
        <v>1391</v>
      </c>
    </row>
    <row r="30" spans="1:13">
      <c r="C30" t="str">
        <v/>
      </c>
      <c r="D30" s="155" t="str">
        <f t="shared" si="0"/>
        <v/>
      </c>
      <c r="E30" t="str">
        <v>iron_shovel</v>
      </c>
      <c r="F30" s="155">
        <f t="shared" si="1"/>
        <v>8</v>
      </c>
      <c r="K30" t="s">
        <v>1392</v>
      </c>
      <c r="L30" t="s">
        <v>1394</v>
      </c>
    </row>
    <row r="31" spans="1:13">
      <c r="C31" t="str">
        <v/>
      </c>
      <c r="D31" s="155" t="str">
        <f t="shared" si="0"/>
        <v/>
      </c>
      <c r="E31" t="str">
        <v>iron_trapdoor</v>
      </c>
      <c r="F31" s="155">
        <f t="shared" si="1"/>
        <v>16</v>
      </c>
      <c r="K31" t="s">
        <v>1393</v>
      </c>
    </row>
    <row r="32" spans="1:13">
      <c r="C32" t="str">
        <v/>
      </c>
      <c r="D32" s="155" t="str">
        <f t="shared" si="0"/>
        <v/>
      </c>
      <c r="E32" t="str">
        <v>lantern</v>
      </c>
      <c r="F32" s="155">
        <f t="shared" si="1"/>
        <v>8.5555555555555554</v>
      </c>
      <c r="K32" t="s">
        <v>1395</v>
      </c>
    </row>
    <row r="33" spans="3:13">
      <c r="C33" t="str">
        <v/>
      </c>
      <c r="D33" s="155" t="str">
        <f t="shared" si="0"/>
        <v/>
      </c>
      <c r="E33" t="str">
        <v>light_weighted_pressure_plate</v>
      </c>
      <c r="F33" s="155">
        <f t="shared" si="1"/>
        <v>16</v>
      </c>
    </row>
    <row r="34" spans="3:13">
      <c r="C34" t="str">
        <v/>
      </c>
      <c r="D34" s="155" t="str">
        <f t="shared" si="0"/>
        <v/>
      </c>
      <c r="E34" t="str">
        <v>shears</v>
      </c>
      <c r="F34" s="155">
        <f t="shared" si="1"/>
        <v>8</v>
      </c>
      <c r="J34" t="s">
        <v>1396</v>
      </c>
      <c r="K34" t="s">
        <v>1397</v>
      </c>
    </row>
    <row r="35" spans="3:13">
      <c r="C35" t="str">
        <v/>
      </c>
      <c r="D35" s="155" t="str">
        <f t="shared" ref="D35:D66" si="2">IFERROR(VLOOKUP(C35,listitems,2,0),"")</f>
        <v/>
      </c>
      <c r="E35" t="str">
        <v>smithing_table</v>
      </c>
      <c r="F35" s="155">
        <f t="shared" ref="F35:F66" si="3">IFERROR(VLOOKUP(E35,listitems,2,0),"")</f>
        <v>12</v>
      </c>
    </row>
    <row r="36" spans="3:13">
      <c r="C36" t="str">
        <v/>
      </c>
      <c r="D36" s="155" t="str">
        <f t="shared" si="2"/>
        <v/>
      </c>
      <c r="E36" t="str">
        <v>smoker</v>
      </c>
      <c r="F36" s="155">
        <f t="shared" si="3"/>
        <v>12</v>
      </c>
      <c r="J36" t="s">
        <v>1398</v>
      </c>
      <c r="M36" t="s">
        <v>1399</v>
      </c>
    </row>
    <row r="37" spans="3:13">
      <c r="C37" t="str">
        <v/>
      </c>
      <c r="D37" s="155" t="str">
        <f t="shared" si="2"/>
        <v/>
      </c>
      <c r="E37" t="str">
        <v/>
      </c>
      <c r="F37" s="155" t="str">
        <f t="shared" si="3"/>
        <v/>
      </c>
      <c r="M37" t="s">
        <v>1400</v>
      </c>
    </row>
    <row r="38" spans="3:13">
      <c r="C38" t="str">
        <v/>
      </c>
      <c r="D38" s="155" t="str">
        <f t="shared" si="2"/>
        <v/>
      </c>
      <c r="E38" t="str">
        <v/>
      </c>
      <c r="F38" s="155" t="str">
        <f t="shared" si="3"/>
        <v/>
      </c>
      <c r="M38" t="s">
        <v>1401</v>
      </c>
    </row>
    <row r="39" spans="3:13">
      <c r="C39" t="str">
        <v/>
      </c>
      <c r="D39" s="155" t="str">
        <f t="shared" si="2"/>
        <v/>
      </c>
      <c r="E39" t="str">
        <v/>
      </c>
      <c r="F39" s="155" t="str">
        <f t="shared" si="3"/>
        <v/>
      </c>
    </row>
    <row r="40" spans="3:13">
      <c r="C40" t="str">
        <v/>
      </c>
      <c r="D40" s="155" t="str">
        <f t="shared" si="2"/>
        <v/>
      </c>
      <c r="E40" t="str">
        <v/>
      </c>
      <c r="F40" s="155" t="str">
        <f t="shared" si="3"/>
        <v/>
      </c>
    </row>
    <row r="41" spans="3:13">
      <c r="C41" t="str">
        <v/>
      </c>
      <c r="D41" s="155" t="str">
        <f t="shared" si="2"/>
        <v/>
      </c>
      <c r="E41" t="str">
        <v/>
      </c>
      <c r="F41" s="155" t="str">
        <f t="shared" si="3"/>
        <v/>
      </c>
      <c r="J41" t="s">
        <v>1402</v>
      </c>
      <c r="K41" t="s">
        <v>1403</v>
      </c>
    </row>
    <row r="42" spans="3:13">
      <c r="C42" t="str">
        <v/>
      </c>
      <c r="D42" s="155" t="str">
        <f t="shared" si="2"/>
        <v/>
      </c>
      <c r="E42" t="str">
        <v/>
      </c>
      <c r="F42" s="155" t="str">
        <f t="shared" si="3"/>
        <v/>
      </c>
      <c r="K42" t="s">
        <v>1404</v>
      </c>
    </row>
    <row r="43" spans="3:13">
      <c r="C43" t="str">
        <v/>
      </c>
      <c r="D43" s="155" t="str">
        <f t="shared" si="2"/>
        <v/>
      </c>
      <c r="E43" t="str">
        <v/>
      </c>
      <c r="F43" s="155" t="str">
        <f t="shared" si="3"/>
        <v/>
      </c>
    </row>
    <row r="44" spans="3:13">
      <c r="C44" t="str">
        <v/>
      </c>
      <c r="D44" s="155" t="str">
        <f t="shared" si="2"/>
        <v/>
      </c>
      <c r="E44" t="str">
        <v/>
      </c>
      <c r="F44" s="155" t="str">
        <f t="shared" si="3"/>
        <v/>
      </c>
    </row>
    <row r="45" spans="3:13">
      <c r="C45" t="str">
        <v/>
      </c>
      <c r="D45" s="155" t="str">
        <f t="shared" si="2"/>
        <v/>
      </c>
      <c r="E45" t="str">
        <v/>
      </c>
      <c r="F45" s="155" t="str">
        <f t="shared" si="3"/>
        <v/>
      </c>
    </row>
    <row r="46" spans="3:13">
      <c r="C46" t="str">
        <v/>
      </c>
      <c r="D46" s="155" t="str">
        <f t="shared" si="2"/>
        <v/>
      </c>
      <c r="E46" t="str">
        <v/>
      </c>
      <c r="F46" s="155" t="str">
        <f t="shared" si="3"/>
        <v/>
      </c>
      <c r="J46" t="s">
        <v>1405</v>
      </c>
      <c r="K46" t="s">
        <v>1406</v>
      </c>
    </row>
    <row r="47" spans="3:13">
      <c r="C47" t="str">
        <v/>
      </c>
      <c r="D47" s="155" t="str">
        <f t="shared" si="2"/>
        <v/>
      </c>
      <c r="E47" t="str">
        <v/>
      </c>
      <c r="F47" s="155" t="str">
        <f t="shared" si="3"/>
        <v/>
      </c>
      <c r="K47" t="s">
        <v>1407</v>
      </c>
    </row>
    <row r="48" spans="3:13">
      <c r="C48" t="str">
        <v/>
      </c>
      <c r="D48" s="155" t="str">
        <f t="shared" si="2"/>
        <v/>
      </c>
      <c r="E48" t="str">
        <v/>
      </c>
      <c r="F48" s="155" t="str">
        <f t="shared" si="3"/>
        <v/>
      </c>
      <c r="K48" t="s">
        <v>1408</v>
      </c>
    </row>
    <row r="49" spans="3:12">
      <c r="C49" t="str">
        <v/>
      </c>
      <c r="D49" s="155" t="str">
        <f t="shared" si="2"/>
        <v/>
      </c>
      <c r="E49" t="str">
        <v/>
      </c>
      <c r="F49" s="155" t="str">
        <f t="shared" si="3"/>
        <v/>
      </c>
      <c r="K49" t="s">
        <v>1409</v>
      </c>
    </row>
    <row r="50" spans="3:12">
      <c r="C50" t="str">
        <v/>
      </c>
      <c r="D50" s="155" t="str">
        <f t="shared" si="2"/>
        <v/>
      </c>
      <c r="E50" t="str">
        <v/>
      </c>
      <c r="F50" s="155" t="str">
        <f t="shared" si="3"/>
        <v/>
      </c>
    </row>
    <row r="51" spans="3:12">
      <c r="C51" t="str">
        <v/>
      </c>
      <c r="D51" s="155" t="str">
        <f t="shared" si="2"/>
        <v/>
      </c>
      <c r="E51" t="str">
        <v/>
      </c>
      <c r="F51" s="155" t="str">
        <f t="shared" si="3"/>
        <v/>
      </c>
      <c r="J51" t="s">
        <v>1410</v>
      </c>
      <c r="L51" t="s">
        <v>1411</v>
      </c>
    </row>
    <row r="52" spans="3:12">
      <c r="C52" t="str">
        <v/>
      </c>
      <c r="D52" s="155" t="str">
        <f t="shared" si="2"/>
        <v/>
      </c>
      <c r="E52" t="str">
        <v/>
      </c>
      <c r="F52" s="155" t="str">
        <f t="shared" si="3"/>
        <v/>
      </c>
    </row>
    <row r="53" spans="3:12">
      <c r="C53" t="str">
        <v/>
      </c>
      <c r="D53" s="155" t="str">
        <f t="shared" si="2"/>
        <v/>
      </c>
      <c r="E53" t="str">
        <v/>
      </c>
      <c r="F53" s="155" t="str">
        <f t="shared" si="3"/>
        <v/>
      </c>
    </row>
    <row r="54" spans="3:12">
      <c r="C54" t="str">
        <v/>
      </c>
      <c r="D54" s="155" t="str">
        <f t="shared" si="2"/>
        <v/>
      </c>
      <c r="E54" t="str">
        <v/>
      </c>
      <c r="F54" s="155" t="str">
        <f t="shared" si="3"/>
        <v/>
      </c>
    </row>
    <row r="55" spans="3:12">
      <c r="C55" t="str">
        <v/>
      </c>
      <c r="D55" s="155" t="str">
        <f t="shared" si="2"/>
        <v/>
      </c>
      <c r="E55" t="str">
        <v/>
      </c>
      <c r="F55" s="155" t="str">
        <f t="shared" si="3"/>
        <v/>
      </c>
    </row>
    <row r="56" spans="3:12">
      <c r="C56" t="str">
        <v/>
      </c>
      <c r="D56" s="155" t="str">
        <f t="shared" si="2"/>
        <v/>
      </c>
      <c r="E56" t="str">
        <v/>
      </c>
      <c r="F56" s="155" t="str">
        <f t="shared" si="3"/>
        <v/>
      </c>
    </row>
    <row r="57" spans="3:12">
      <c r="C57" t="str">
        <v/>
      </c>
      <c r="D57" s="155" t="str">
        <f t="shared" si="2"/>
        <v/>
      </c>
      <c r="E57" t="str">
        <v/>
      </c>
      <c r="F57" s="155" t="str">
        <f t="shared" si="3"/>
        <v/>
      </c>
    </row>
    <row r="58" spans="3:12">
      <c r="C58" t="str">
        <v/>
      </c>
      <c r="D58" s="155" t="str">
        <f t="shared" si="2"/>
        <v/>
      </c>
      <c r="E58" t="str">
        <v/>
      </c>
      <c r="F58" s="155" t="str">
        <f t="shared" si="3"/>
        <v/>
      </c>
    </row>
    <row r="59" spans="3:12">
      <c r="C59" t="str">
        <v/>
      </c>
      <c r="E59" t="str">
        <v/>
      </c>
      <c r="F59" s="155" t="str">
        <f t="shared" si="3"/>
        <v/>
      </c>
    </row>
    <row r="60" spans="3:12">
      <c r="C60" t="str">
        <v/>
      </c>
      <c r="E60" t="str">
        <v/>
      </c>
      <c r="F60" s="155" t="str">
        <f t="shared" si="3"/>
        <v/>
      </c>
    </row>
    <row r="61" spans="3:12">
      <c r="C61" t="str">
        <v/>
      </c>
      <c r="E61" t="str">
        <v/>
      </c>
      <c r="F61" s="155" t="str">
        <f t="shared" si="3"/>
        <v/>
      </c>
    </row>
    <row r="62" spans="3:12">
      <c r="C62" t="str">
        <v/>
      </c>
      <c r="E62" t="str">
        <v/>
      </c>
      <c r="F62" s="155" t="str">
        <f t="shared" si="3"/>
        <v/>
      </c>
    </row>
    <row r="63" spans="3:12">
      <c r="C63" t="str">
        <v/>
      </c>
      <c r="E63" t="str">
        <v/>
      </c>
      <c r="F63" s="155" t="str">
        <f t="shared" si="3"/>
        <v/>
      </c>
    </row>
    <row r="64" spans="3:12">
      <c r="C64" t="str">
        <v/>
      </c>
      <c r="E64" t="str">
        <v/>
      </c>
      <c r="F64" s="155" t="str">
        <f t="shared" si="3"/>
        <v/>
      </c>
    </row>
    <row r="65" spans="3:6">
      <c r="C65" t="str">
        <v/>
      </c>
      <c r="E65" t="str">
        <v/>
      </c>
      <c r="F65" s="155" t="str">
        <f t="shared" si="3"/>
        <v/>
      </c>
    </row>
    <row r="66" spans="3:6">
      <c r="C66" t="str">
        <v/>
      </c>
      <c r="E66" t="str">
        <v/>
      </c>
      <c r="F66" s="155" t="str">
        <f t="shared" si="3"/>
        <v/>
      </c>
    </row>
    <row r="67" spans="3:6">
      <c r="C67" t="str">
        <v/>
      </c>
      <c r="E67" t="str">
        <v/>
      </c>
      <c r="F67" s="155" t="str">
        <f t="shared" ref="F67:F98" si="4">IFERROR(VLOOKUP(E67,listitems,2,0),"")</f>
        <v/>
      </c>
    </row>
    <row r="68" spans="3:6">
      <c r="C68" t="str">
        <v/>
      </c>
      <c r="E68" t="str">
        <v/>
      </c>
      <c r="F68" s="155" t="str">
        <f t="shared" si="4"/>
        <v/>
      </c>
    </row>
    <row r="69" spans="3:6">
      <c r="C69" t="str">
        <v/>
      </c>
      <c r="E69" t="str">
        <v/>
      </c>
      <c r="F69" s="155" t="str">
        <f t="shared" si="4"/>
        <v/>
      </c>
    </row>
    <row r="70" spans="3:6">
      <c r="C70" t="str">
        <v/>
      </c>
      <c r="E70" t="str">
        <v/>
      </c>
      <c r="F70" s="155" t="str">
        <f t="shared" si="4"/>
        <v/>
      </c>
    </row>
    <row r="71" spans="3:6">
      <c r="C71" t="str">
        <v/>
      </c>
      <c r="E71" t="str">
        <v/>
      </c>
      <c r="F71" s="155" t="str">
        <f t="shared" si="4"/>
        <v/>
      </c>
    </row>
    <row r="72" spans="3:6">
      <c r="C72" t="str">
        <v/>
      </c>
      <c r="E72" t="str">
        <v/>
      </c>
      <c r="F72" s="155" t="str">
        <f t="shared" si="4"/>
        <v/>
      </c>
    </row>
    <row r="73" spans="3:6">
      <c r="C73" t="str">
        <v/>
      </c>
      <c r="E73" t="str">
        <v/>
      </c>
      <c r="F73" s="155" t="str">
        <f t="shared" si="4"/>
        <v/>
      </c>
    </row>
    <row r="74" spans="3:6">
      <c r="C74" t="str">
        <v/>
      </c>
      <c r="E74" t="str">
        <v/>
      </c>
      <c r="F74" s="155" t="str">
        <f t="shared" si="4"/>
        <v/>
      </c>
    </row>
    <row r="75" spans="3:6">
      <c r="C75" t="str">
        <v/>
      </c>
      <c r="E75" t="str">
        <v/>
      </c>
      <c r="F75" s="155" t="str">
        <f t="shared" si="4"/>
        <v/>
      </c>
    </row>
    <row r="76" spans="3:6">
      <c r="C76" t="str">
        <v/>
      </c>
      <c r="E76" t="str">
        <v/>
      </c>
      <c r="F76" s="155" t="str">
        <f t="shared" si="4"/>
        <v/>
      </c>
    </row>
    <row r="77" spans="3:6">
      <c r="C77" t="str">
        <v/>
      </c>
      <c r="E77" t="str">
        <v/>
      </c>
      <c r="F77" s="155" t="str">
        <f t="shared" si="4"/>
        <v/>
      </c>
    </row>
    <row r="78" spans="3:6">
      <c r="C78" t="str">
        <v/>
      </c>
      <c r="E78" t="str">
        <v/>
      </c>
      <c r="F78" s="155" t="str">
        <f t="shared" si="4"/>
        <v/>
      </c>
    </row>
    <row r="79" spans="3:6">
      <c r="C79" t="str">
        <v/>
      </c>
      <c r="E79" t="str">
        <v/>
      </c>
      <c r="F79" s="155" t="str">
        <f t="shared" si="4"/>
        <v/>
      </c>
    </row>
    <row r="80" spans="3:6">
      <c r="C80" t="str">
        <v/>
      </c>
      <c r="E80" t="str">
        <v/>
      </c>
      <c r="F80" s="155" t="str">
        <f t="shared" si="4"/>
        <v/>
      </c>
    </row>
    <row r="81" spans="3:6">
      <c r="C81" t="str">
        <v/>
      </c>
      <c r="E81" t="str">
        <v/>
      </c>
      <c r="F81" s="155" t="str">
        <f t="shared" si="4"/>
        <v/>
      </c>
    </row>
    <row r="82" spans="3:6">
      <c r="C82" t="str">
        <v/>
      </c>
      <c r="E82" t="str">
        <v/>
      </c>
      <c r="F82" s="155" t="str">
        <f t="shared" si="4"/>
        <v/>
      </c>
    </row>
    <row r="83" spans="3:6">
      <c r="C83" t="str">
        <v/>
      </c>
      <c r="E83" t="str">
        <v/>
      </c>
      <c r="F83" s="155" t="str">
        <f t="shared" si="4"/>
        <v/>
      </c>
    </row>
    <row r="84" spans="3:6">
      <c r="C84" t="str">
        <v/>
      </c>
      <c r="E84" t="str">
        <v/>
      </c>
      <c r="F84" s="155" t="str">
        <f t="shared" si="4"/>
        <v/>
      </c>
    </row>
    <row r="85" spans="3:6">
      <c r="C85" t="str">
        <v/>
      </c>
      <c r="E85" t="str">
        <v/>
      </c>
      <c r="F85" s="155" t="str">
        <f t="shared" si="4"/>
        <v/>
      </c>
    </row>
    <row r="86" spans="3:6">
      <c r="C86" t="str">
        <v/>
      </c>
      <c r="E86" t="str">
        <v/>
      </c>
      <c r="F86" s="155" t="str">
        <f t="shared" si="4"/>
        <v/>
      </c>
    </row>
    <row r="87" spans="3:6">
      <c r="C87" t="str">
        <v/>
      </c>
      <c r="E87" t="str">
        <v/>
      </c>
      <c r="F87" s="155" t="str">
        <f t="shared" si="4"/>
        <v/>
      </c>
    </row>
    <row r="88" spans="3:6">
      <c r="C88" t="str">
        <v/>
      </c>
      <c r="E88" t="str">
        <v/>
      </c>
      <c r="F88" s="155" t="str">
        <f t="shared" si="4"/>
        <v/>
      </c>
    </row>
    <row r="89" spans="3:6">
      <c r="C89" t="str">
        <v/>
      </c>
      <c r="E89" t="str">
        <v/>
      </c>
      <c r="F89" s="155" t="str">
        <f t="shared" si="4"/>
        <v/>
      </c>
    </row>
    <row r="90" spans="3:6">
      <c r="C90" t="str">
        <v/>
      </c>
      <c r="E90" t="str">
        <v/>
      </c>
      <c r="F90" s="155" t="str">
        <f t="shared" si="4"/>
        <v/>
      </c>
    </row>
    <row r="91" spans="3:6">
      <c r="C91" t="str">
        <v/>
      </c>
      <c r="E91" t="str">
        <v/>
      </c>
      <c r="F91" s="155" t="str">
        <f t="shared" si="4"/>
        <v/>
      </c>
    </row>
    <row r="92" spans="3:6">
      <c r="C92" t="str">
        <v/>
      </c>
      <c r="E92" t="str">
        <v/>
      </c>
      <c r="F92" s="155" t="str">
        <f t="shared" si="4"/>
        <v/>
      </c>
    </row>
    <row r="93" spans="3:6">
      <c r="C93" t="str">
        <v/>
      </c>
      <c r="E93" t="str">
        <v/>
      </c>
      <c r="F93" s="155" t="str">
        <f t="shared" si="4"/>
        <v/>
      </c>
    </row>
    <row r="94" spans="3:6">
      <c r="C94" t="str">
        <v/>
      </c>
      <c r="E94" t="str">
        <v/>
      </c>
      <c r="F94" s="155" t="str">
        <f t="shared" si="4"/>
        <v/>
      </c>
    </row>
    <row r="95" spans="3:6">
      <c r="C95" t="str">
        <v/>
      </c>
      <c r="E95" t="str">
        <v/>
      </c>
      <c r="F95" s="155" t="str">
        <f t="shared" si="4"/>
        <v/>
      </c>
    </row>
    <row r="96" spans="3:6">
      <c r="C96" t="str">
        <v/>
      </c>
      <c r="E96" t="str">
        <v/>
      </c>
      <c r="F96" s="155" t="str">
        <f t="shared" si="4"/>
        <v/>
      </c>
    </row>
    <row r="97" spans="3:6">
      <c r="C97" t="str">
        <v/>
      </c>
      <c r="E97" t="str">
        <v/>
      </c>
      <c r="F97" s="155" t="str">
        <f t="shared" si="4"/>
        <v/>
      </c>
    </row>
    <row r="98" spans="3:6">
      <c r="C98" t="str">
        <v/>
      </c>
      <c r="E98" t="str">
        <v/>
      </c>
      <c r="F98" s="155" t="str">
        <f t="shared" si="4"/>
        <v/>
      </c>
    </row>
    <row r="99" spans="3:6">
      <c r="C99" t="str">
        <v/>
      </c>
      <c r="E99" t="str">
        <v/>
      </c>
      <c r="F99" s="155" t="str">
        <f t="shared" ref="F99:F130" si="5">IFERROR(VLOOKUP(E99,listitems,2,0),"")</f>
        <v/>
      </c>
    </row>
    <row r="100" spans="3:6">
      <c r="C100" t="str">
        <v/>
      </c>
      <c r="E100" t="str">
        <v/>
      </c>
      <c r="F100" s="155" t="str">
        <f t="shared" si="5"/>
        <v/>
      </c>
    </row>
    <row r="101" spans="3:6">
      <c r="C101" t="str">
        <v/>
      </c>
      <c r="E101" t="str">
        <v/>
      </c>
      <c r="F101" s="155" t="str">
        <f t="shared" si="5"/>
        <v/>
      </c>
    </row>
    <row r="102" spans="3:6">
      <c r="C102" t="str">
        <v/>
      </c>
      <c r="E102" t="str">
        <v/>
      </c>
      <c r="F102" s="155" t="str">
        <f t="shared" si="5"/>
        <v/>
      </c>
    </row>
    <row r="103" spans="3:6">
      <c r="C103" t="str">
        <v/>
      </c>
      <c r="E103" t="str">
        <v/>
      </c>
      <c r="F103" s="155" t="str">
        <f t="shared" si="5"/>
        <v/>
      </c>
    </row>
    <row r="104" spans="3:6">
      <c r="C104" t="str">
        <v/>
      </c>
      <c r="E104" t="str">
        <v/>
      </c>
      <c r="F104" s="155" t="str">
        <f t="shared" si="5"/>
        <v/>
      </c>
    </row>
    <row r="105" spans="3:6">
      <c r="C105" t="str">
        <v/>
      </c>
      <c r="E105" t="str">
        <v/>
      </c>
      <c r="F105" s="155" t="str">
        <f t="shared" si="5"/>
        <v/>
      </c>
    </row>
    <row r="106" spans="3:6">
      <c r="C106" t="str">
        <v/>
      </c>
      <c r="E106" t="str">
        <v/>
      </c>
      <c r="F106" s="155" t="str">
        <f t="shared" si="5"/>
        <v/>
      </c>
    </row>
    <row r="107" spans="3:6">
      <c r="C107" t="str">
        <v/>
      </c>
      <c r="E107" t="str">
        <v/>
      </c>
      <c r="F107" s="155" t="str">
        <f t="shared" si="5"/>
        <v/>
      </c>
    </row>
    <row r="108" spans="3:6">
      <c r="C108" t="str">
        <v/>
      </c>
      <c r="E108" t="str">
        <v/>
      </c>
      <c r="F108" s="155" t="str">
        <f t="shared" si="5"/>
        <v/>
      </c>
    </row>
    <row r="109" spans="3:6">
      <c r="C109" t="str">
        <v/>
      </c>
      <c r="E109" t="str">
        <v/>
      </c>
      <c r="F109" s="155" t="str">
        <f t="shared" si="5"/>
        <v/>
      </c>
    </row>
    <row r="110" spans="3:6">
      <c r="C110" t="str">
        <v/>
      </c>
      <c r="E110" t="str">
        <v/>
      </c>
      <c r="F110" s="155" t="str">
        <f t="shared" si="5"/>
        <v/>
      </c>
    </row>
    <row r="111" spans="3:6">
      <c r="C111" t="str">
        <v/>
      </c>
      <c r="E111" t="str">
        <v/>
      </c>
      <c r="F111" s="155" t="str">
        <f t="shared" si="5"/>
        <v/>
      </c>
    </row>
    <row r="112" spans="3:6">
      <c r="C112" t="str">
        <v/>
      </c>
      <c r="E112" t="str">
        <v/>
      </c>
      <c r="F112" s="155" t="str">
        <f t="shared" si="5"/>
        <v/>
      </c>
    </row>
    <row r="113" spans="3:6">
      <c r="C113" t="str">
        <v/>
      </c>
      <c r="E113" t="str">
        <v/>
      </c>
      <c r="F113" s="155" t="str">
        <f t="shared" si="5"/>
        <v/>
      </c>
    </row>
    <row r="114" spans="3:6">
      <c r="C114" t="str">
        <v/>
      </c>
      <c r="E114" t="str">
        <v/>
      </c>
      <c r="F114" s="155" t="str">
        <f t="shared" si="5"/>
        <v/>
      </c>
    </row>
    <row r="115" spans="3:6">
      <c r="C115" t="str">
        <v/>
      </c>
      <c r="E115" t="str">
        <v/>
      </c>
      <c r="F115" s="155" t="str">
        <f t="shared" si="5"/>
        <v/>
      </c>
    </row>
    <row r="116" spans="3:6">
      <c r="C116" t="str">
        <v/>
      </c>
      <c r="E116" t="str">
        <v/>
      </c>
      <c r="F116" s="155" t="str">
        <f t="shared" si="5"/>
        <v/>
      </c>
    </row>
    <row r="117" spans="3:6">
      <c r="C117" t="str">
        <v/>
      </c>
      <c r="E117" t="str">
        <v/>
      </c>
      <c r="F117" s="155" t="str">
        <f t="shared" si="5"/>
        <v/>
      </c>
    </row>
    <row r="118" spans="3:6">
      <c r="C118" t="str">
        <v/>
      </c>
      <c r="E118" t="str">
        <v/>
      </c>
      <c r="F118" s="155" t="str">
        <f t="shared" si="5"/>
        <v/>
      </c>
    </row>
    <row r="119" spans="3:6">
      <c r="C119" t="str">
        <v/>
      </c>
      <c r="E119" t="str">
        <v/>
      </c>
      <c r="F119" s="155" t="str">
        <f t="shared" si="5"/>
        <v/>
      </c>
    </row>
    <row r="120" spans="3:6">
      <c r="C120" t="str">
        <v/>
      </c>
      <c r="E120" t="str">
        <v/>
      </c>
      <c r="F120" s="155" t="str">
        <f t="shared" si="5"/>
        <v/>
      </c>
    </row>
    <row r="121" spans="3:6">
      <c r="C121" t="str">
        <v/>
      </c>
      <c r="E121" t="str">
        <v/>
      </c>
      <c r="F121" s="155" t="str">
        <f t="shared" si="5"/>
        <v/>
      </c>
    </row>
    <row r="122" spans="3:6">
      <c r="C122" t="str">
        <v/>
      </c>
      <c r="E122" t="str">
        <v/>
      </c>
      <c r="F122" s="155" t="str">
        <f t="shared" si="5"/>
        <v/>
      </c>
    </row>
    <row r="123" spans="3:6">
      <c r="C123" t="str">
        <v/>
      </c>
      <c r="E123" t="str">
        <v/>
      </c>
      <c r="F123" s="155" t="str">
        <f t="shared" si="5"/>
        <v/>
      </c>
    </row>
    <row r="124" spans="3:6">
      <c r="C124" t="str">
        <v/>
      </c>
      <c r="E124" t="str">
        <v/>
      </c>
      <c r="F124" s="155" t="str">
        <f t="shared" si="5"/>
        <v/>
      </c>
    </row>
    <row r="125" spans="3:6">
      <c r="C125" t="str">
        <v/>
      </c>
      <c r="E125" t="str">
        <v/>
      </c>
      <c r="F125" s="155" t="str">
        <f t="shared" si="5"/>
        <v/>
      </c>
    </row>
    <row r="126" spans="3:6">
      <c r="C126" t="str">
        <v/>
      </c>
      <c r="E126" t="str">
        <v/>
      </c>
      <c r="F126" s="155" t="str">
        <f t="shared" si="5"/>
        <v/>
      </c>
    </row>
    <row r="127" spans="3:6">
      <c r="C127" t="str">
        <v/>
      </c>
      <c r="E127" t="str">
        <v/>
      </c>
      <c r="F127" s="155" t="str">
        <f t="shared" si="5"/>
        <v/>
      </c>
    </row>
    <row r="128" spans="3:6">
      <c r="C128" t="str">
        <v/>
      </c>
      <c r="E128" t="str">
        <v/>
      </c>
      <c r="F128" s="155" t="str">
        <f t="shared" si="5"/>
        <v/>
      </c>
    </row>
    <row r="129" spans="3:6">
      <c r="C129" t="str">
        <v/>
      </c>
      <c r="E129" t="str">
        <v/>
      </c>
      <c r="F129" s="155" t="str">
        <f t="shared" si="5"/>
        <v/>
      </c>
    </row>
    <row r="130" spans="3:6">
      <c r="C130" t="str">
        <v/>
      </c>
      <c r="E130" t="str">
        <v/>
      </c>
      <c r="F130" s="155" t="str">
        <f t="shared" si="5"/>
        <v/>
      </c>
    </row>
    <row r="131" spans="3:6">
      <c r="C131" t="str">
        <v/>
      </c>
      <c r="E131" t="str">
        <v/>
      </c>
      <c r="F131" s="155" t="str">
        <f t="shared" ref="F131:F162" si="6">IFERROR(VLOOKUP(E131,listitems,2,0),"")</f>
        <v/>
      </c>
    </row>
    <row r="132" spans="3:6">
      <c r="C132" t="str">
        <v/>
      </c>
      <c r="E132" t="str">
        <v/>
      </c>
      <c r="F132" s="155" t="str">
        <f t="shared" si="6"/>
        <v/>
      </c>
    </row>
    <row r="133" spans="3:6">
      <c r="C133" t="str">
        <v/>
      </c>
      <c r="E133" t="str">
        <v/>
      </c>
      <c r="F133" s="155" t="str">
        <f t="shared" si="6"/>
        <v/>
      </c>
    </row>
    <row r="134" spans="3:6">
      <c r="C134" t="str">
        <v/>
      </c>
      <c r="E134" t="str">
        <v/>
      </c>
      <c r="F134" s="155" t="str">
        <f t="shared" si="6"/>
        <v/>
      </c>
    </row>
    <row r="135" spans="3:6">
      <c r="C135" t="str">
        <v/>
      </c>
      <c r="E135" t="str">
        <v/>
      </c>
      <c r="F135" s="155" t="str">
        <f t="shared" si="6"/>
        <v/>
      </c>
    </row>
    <row r="136" spans="3:6">
      <c r="C136" t="str">
        <v/>
      </c>
      <c r="E136" t="str">
        <v/>
      </c>
      <c r="F136" s="155" t="str">
        <f t="shared" si="6"/>
        <v/>
      </c>
    </row>
    <row r="137" spans="3:6">
      <c r="C137" t="str">
        <v/>
      </c>
      <c r="E137" t="str">
        <v/>
      </c>
      <c r="F137" s="155" t="str">
        <f t="shared" si="6"/>
        <v/>
      </c>
    </row>
    <row r="138" spans="3:6">
      <c r="C138" t="str">
        <v/>
      </c>
      <c r="E138" t="str">
        <v/>
      </c>
      <c r="F138" s="155" t="str">
        <f t="shared" si="6"/>
        <v/>
      </c>
    </row>
    <row r="139" spans="3:6">
      <c r="C139" t="str">
        <v/>
      </c>
      <c r="E139" t="str">
        <v/>
      </c>
      <c r="F139" s="155" t="str">
        <f t="shared" si="6"/>
        <v/>
      </c>
    </row>
    <row r="140" spans="3:6">
      <c r="C140" t="str">
        <v/>
      </c>
      <c r="E140" t="str">
        <v/>
      </c>
      <c r="F140" s="155" t="str">
        <f t="shared" si="6"/>
        <v/>
      </c>
    </row>
    <row r="141" spans="3:6">
      <c r="C141" t="str">
        <v/>
      </c>
      <c r="E141" t="str">
        <v/>
      </c>
      <c r="F141" s="155" t="str">
        <f t="shared" si="6"/>
        <v/>
      </c>
    </row>
    <row r="142" spans="3:6">
      <c r="C142" t="str">
        <v/>
      </c>
      <c r="E142" t="str">
        <v/>
      </c>
      <c r="F142" s="155" t="str">
        <f t="shared" si="6"/>
        <v/>
      </c>
    </row>
    <row r="143" spans="3:6">
      <c r="C143" t="str">
        <v/>
      </c>
      <c r="E143" t="str">
        <v/>
      </c>
      <c r="F143" s="155" t="str">
        <f t="shared" si="6"/>
        <v/>
      </c>
    </row>
    <row r="144" spans="3:6">
      <c r="C144" t="str">
        <v/>
      </c>
      <c r="E144" t="str">
        <v/>
      </c>
      <c r="F144" s="155" t="str">
        <f t="shared" si="6"/>
        <v/>
      </c>
    </row>
    <row r="145" spans="3:6">
      <c r="C145" t="str">
        <v/>
      </c>
      <c r="E145" t="str">
        <v/>
      </c>
      <c r="F145" s="155" t="str">
        <f t="shared" si="6"/>
        <v/>
      </c>
    </row>
    <row r="146" spans="3:6">
      <c r="C146" t="str">
        <v/>
      </c>
      <c r="E146" t="str">
        <v/>
      </c>
      <c r="F146" s="155" t="str">
        <f t="shared" si="6"/>
        <v/>
      </c>
    </row>
    <row r="147" spans="3:6">
      <c r="C147" t="str">
        <v/>
      </c>
      <c r="E147" t="str">
        <v/>
      </c>
      <c r="F147" s="155" t="str">
        <f t="shared" si="6"/>
        <v/>
      </c>
    </row>
    <row r="148" spans="3:6">
      <c r="C148" t="str">
        <v/>
      </c>
      <c r="E148" t="str">
        <v/>
      </c>
      <c r="F148" s="155" t="str">
        <f t="shared" si="6"/>
        <v/>
      </c>
    </row>
    <row r="149" spans="3:6">
      <c r="C149" t="str">
        <v/>
      </c>
      <c r="E149" t="str">
        <v/>
      </c>
      <c r="F149" s="155" t="str">
        <f t="shared" si="6"/>
        <v/>
      </c>
    </row>
    <row r="150" spans="3:6">
      <c r="C150" t="str">
        <v/>
      </c>
      <c r="E150" t="str">
        <v/>
      </c>
      <c r="F150" s="155" t="str">
        <f t="shared" si="6"/>
        <v/>
      </c>
    </row>
    <row r="151" spans="3:6">
      <c r="C151" t="str">
        <v/>
      </c>
      <c r="E151" t="str">
        <v/>
      </c>
      <c r="F151" s="155" t="str">
        <f t="shared" si="6"/>
        <v/>
      </c>
    </row>
    <row r="152" spans="3:6">
      <c r="C152" t="str">
        <v/>
      </c>
      <c r="E152" t="str">
        <v/>
      </c>
      <c r="F152" s="155" t="str">
        <f t="shared" si="6"/>
        <v/>
      </c>
    </row>
    <row r="153" spans="3:6">
      <c r="C153" t="str">
        <v/>
      </c>
      <c r="E153" t="str">
        <v/>
      </c>
      <c r="F153" s="155" t="str">
        <f t="shared" si="6"/>
        <v/>
      </c>
    </row>
    <row r="154" spans="3:6">
      <c r="C154" t="str">
        <v/>
      </c>
      <c r="E154" t="str">
        <v/>
      </c>
      <c r="F154" s="155" t="str">
        <f t="shared" si="6"/>
        <v/>
      </c>
    </row>
    <row r="155" spans="3:6">
      <c r="C155" t="str">
        <v/>
      </c>
      <c r="E155" t="str">
        <v/>
      </c>
      <c r="F155" s="155" t="str">
        <f t="shared" si="6"/>
        <v/>
      </c>
    </row>
    <row r="156" spans="3:6">
      <c r="C156" t="str">
        <v/>
      </c>
      <c r="E156" t="str">
        <v/>
      </c>
      <c r="F156" s="155" t="str">
        <f t="shared" si="6"/>
        <v/>
      </c>
    </row>
    <row r="157" spans="3:6">
      <c r="C157" t="str">
        <v/>
      </c>
      <c r="E157" t="str">
        <v/>
      </c>
      <c r="F157" s="155" t="str">
        <f t="shared" si="6"/>
        <v/>
      </c>
    </row>
    <row r="158" spans="3:6">
      <c r="C158" t="str">
        <v/>
      </c>
      <c r="E158" t="str">
        <v/>
      </c>
      <c r="F158" s="155" t="str">
        <f t="shared" si="6"/>
        <v/>
      </c>
    </row>
    <row r="159" spans="3:6">
      <c r="C159" t="str">
        <v/>
      </c>
      <c r="E159" t="str">
        <v/>
      </c>
      <c r="F159" s="155" t="str">
        <f t="shared" si="6"/>
        <v/>
      </c>
    </row>
    <row r="160" spans="3:6">
      <c r="C160" t="str">
        <v/>
      </c>
      <c r="E160" t="str">
        <v/>
      </c>
      <c r="F160" s="155" t="str">
        <f t="shared" si="6"/>
        <v/>
      </c>
    </row>
    <row r="161" spans="3:6">
      <c r="C161" t="str">
        <v/>
      </c>
      <c r="E161" t="str">
        <v/>
      </c>
      <c r="F161" s="155" t="str">
        <f t="shared" si="6"/>
        <v/>
      </c>
    </row>
    <row r="162" spans="3:6">
      <c r="C162" t="str">
        <v/>
      </c>
      <c r="E162" t="str">
        <v/>
      </c>
      <c r="F162" s="155" t="str">
        <f t="shared" si="6"/>
        <v/>
      </c>
    </row>
    <row r="163" spans="3:6">
      <c r="C163" t="str">
        <v/>
      </c>
      <c r="E163" t="str">
        <v/>
      </c>
      <c r="F163" s="155" t="str">
        <f t="shared" ref="F163:F194" si="7">IFERROR(VLOOKUP(E163,listitems,2,0),"")</f>
        <v/>
      </c>
    </row>
    <row r="164" spans="3:6">
      <c r="C164" t="str">
        <v/>
      </c>
      <c r="E164" t="str">
        <v/>
      </c>
      <c r="F164" s="155" t="str">
        <f t="shared" si="7"/>
        <v/>
      </c>
    </row>
    <row r="165" spans="3:6">
      <c r="C165" t="str">
        <v/>
      </c>
      <c r="E165" t="str">
        <v/>
      </c>
      <c r="F165" s="155" t="str">
        <f t="shared" si="7"/>
        <v/>
      </c>
    </row>
    <row r="166" spans="3:6">
      <c r="C166" t="str">
        <v/>
      </c>
      <c r="E166" t="str">
        <v/>
      </c>
      <c r="F166" s="155" t="str">
        <f t="shared" si="7"/>
        <v/>
      </c>
    </row>
    <row r="167" spans="3:6">
      <c r="C167" t="str">
        <v/>
      </c>
      <c r="E167" t="str">
        <v/>
      </c>
      <c r="F167" s="155" t="str">
        <f t="shared" si="7"/>
        <v/>
      </c>
    </row>
    <row r="168" spans="3:6">
      <c r="C168" t="str">
        <v/>
      </c>
      <c r="E168" t="str">
        <v/>
      </c>
      <c r="F168" s="155" t="str">
        <f t="shared" si="7"/>
        <v/>
      </c>
    </row>
    <row r="169" spans="3:6">
      <c r="C169" t="str">
        <v/>
      </c>
      <c r="E169" t="str">
        <v/>
      </c>
      <c r="F169" s="155" t="str">
        <f t="shared" si="7"/>
        <v/>
      </c>
    </row>
    <row r="170" spans="3:6">
      <c r="C170" t="str">
        <v/>
      </c>
      <c r="E170" t="str">
        <v/>
      </c>
      <c r="F170" s="155" t="str">
        <f t="shared" si="7"/>
        <v/>
      </c>
    </row>
    <row r="171" spans="3:6">
      <c r="C171" t="str">
        <v/>
      </c>
      <c r="E171" t="str">
        <v/>
      </c>
      <c r="F171" s="155" t="str">
        <f t="shared" si="7"/>
        <v/>
      </c>
    </row>
    <row r="172" spans="3:6">
      <c r="C172" t="str">
        <v/>
      </c>
      <c r="E172" t="str">
        <v/>
      </c>
      <c r="F172" s="155" t="str">
        <f t="shared" si="7"/>
        <v/>
      </c>
    </row>
    <row r="173" spans="3:6">
      <c r="C173" t="str">
        <v/>
      </c>
      <c r="E173" t="str">
        <v/>
      </c>
      <c r="F173" s="155" t="str">
        <f t="shared" si="7"/>
        <v/>
      </c>
    </row>
    <row r="174" spans="3:6">
      <c r="C174" t="str">
        <v/>
      </c>
      <c r="E174" t="str">
        <v/>
      </c>
      <c r="F174" s="155" t="str">
        <f t="shared" si="7"/>
        <v/>
      </c>
    </row>
    <row r="175" spans="3:6">
      <c r="C175" t="str">
        <v/>
      </c>
      <c r="E175" t="str">
        <v/>
      </c>
      <c r="F175" s="155" t="str">
        <f t="shared" si="7"/>
        <v/>
      </c>
    </row>
    <row r="176" spans="3:6">
      <c r="C176" t="str">
        <v/>
      </c>
      <c r="E176" t="str">
        <v/>
      </c>
      <c r="F176" s="155" t="str">
        <f t="shared" si="7"/>
        <v/>
      </c>
    </row>
    <row r="177" spans="3:6">
      <c r="C177" t="str">
        <v/>
      </c>
      <c r="E177" t="str">
        <v/>
      </c>
      <c r="F177" s="155" t="str">
        <f t="shared" si="7"/>
        <v/>
      </c>
    </row>
    <row r="178" spans="3:6">
      <c r="C178" t="str">
        <v/>
      </c>
      <c r="E178" t="str">
        <v/>
      </c>
    </row>
    <row r="179" spans="3:6">
      <c r="C179" t="str">
        <v/>
      </c>
      <c r="E179" t="str">
        <v/>
      </c>
    </row>
    <row r="180" spans="3:6">
      <c r="C180" t="str">
        <v/>
      </c>
      <c r="E180" t="str">
        <v/>
      </c>
    </row>
    <row r="181" spans="3:6">
      <c r="C181" t="str">
        <v/>
      </c>
      <c r="E181" t="str">
        <v/>
      </c>
    </row>
    <row r="182" spans="3:6">
      <c r="C182" t="str">
        <v/>
      </c>
      <c r="E182" t="str">
        <v/>
      </c>
    </row>
    <row r="183" spans="3:6">
      <c r="C183" t="str">
        <v/>
      </c>
      <c r="E183" t="str">
        <v/>
      </c>
    </row>
    <row r="184" spans="3:6">
      <c r="C184" t="str">
        <v/>
      </c>
      <c r="E184" t="str">
        <v/>
      </c>
    </row>
    <row r="185" spans="3:6">
      <c r="C185" t="str">
        <v/>
      </c>
      <c r="E185" t="str">
        <v/>
      </c>
    </row>
    <row r="186" spans="3:6">
      <c r="C186" t="str">
        <v/>
      </c>
      <c r="E186" t="str">
        <v/>
      </c>
    </row>
    <row r="187" spans="3:6">
      <c r="C187" t="str">
        <v/>
      </c>
      <c r="E187" t="str">
        <v/>
      </c>
    </row>
    <row r="188" spans="3:6">
      <c r="C188" t="str">
        <v/>
      </c>
      <c r="E188" t="str">
        <v/>
      </c>
    </row>
    <row r="189" spans="3:6">
      <c r="C189" t="str">
        <v/>
      </c>
      <c r="E189" t="str">
        <v/>
      </c>
    </row>
    <row r="190" spans="3:6">
      <c r="C190" t="str">
        <v/>
      </c>
      <c r="E190" t="str">
        <v/>
      </c>
    </row>
    <row r="191" spans="3:6">
      <c r="C191" t="str">
        <v/>
      </c>
      <c r="E191" t="str">
        <v/>
      </c>
    </row>
    <row r="192" spans="3:6">
      <c r="C192" t="str">
        <v/>
      </c>
      <c r="E192" t="str">
        <v/>
      </c>
    </row>
    <row r="193" spans="3:5">
      <c r="C193" t="str">
        <v/>
      </c>
      <c r="E193" t="str">
        <v/>
      </c>
    </row>
    <row r="194" spans="3:5">
      <c r="C194" t="str">
        <v/>
      </c>
      <c r="E194" t="str">
        <v/>
      </c>
    </row>
    <row r="195" spans="3:5">
      <c r="C195" t="str">
        <v/>
      </c>
      <c r="E195" t="str">
        <v/>
      </c>
    </row>
    <row r="196" spans="3:5">
      <c r="C196" t="str">
        <v/>
      </c>
      <c r="E196" t="str">
        <v/>
      </c>
    </row>
    <row r="197" spans="3:5">
      <c r="C197" t="str">
        <v/>
      </c>
      <c r="E197" t="str">
        <v/>
      </c>
    </row>
    <row r="198" spans="3:5">
      <c r="C198" t="str">
        <v/>
      </c>
      <c r="E198" t="str">
        <v/>
      </c>
    </row>
    <row r="199" spans="3:5">
      <c r="C199" t="str">
        <v/>
      </c>
      <c r="E199" t="str">
        <v/>
      </c>
    </row>
    <row r="200" spans="3:5">
      <c r="C200" t="str">
        <v/>
      </c>
      <c r="E200" t="str">
        <v/>
      </c>
    </row>
    <row r="201" spans="3:5">
      <c r="C201" t="str">
        <v/>
      </c>
      <c r="E201" t="str">
        <v/>
      </c>
    </row>
    <row r="202" spans="3:5">
      <c r="C202" t="str">
        <v/>
      </c>
      <c r="E202" t="str">
        <v/>
      </c>
    </row>
    <row r="203" spans="3:5">
      <c r="C203" t="str">
        <v/>
      </c>
      <c r="E203" t="str">
        <v/>
      </c>
    </row>
    <row r="204" spans="3:5">
      <c r="C204" t="str">
        <v/>
      </c>
      <c r="E204" t="str">
        <v/>
      </c>
    </row>
    <row r="205" spans="3:5">
      <c r="C205" t="str">
        <v/>
      </c>
      <c r="E205" t="str">
        <v/>
      </c>
    </row>
    <row r="206" spans="3:5">
      <c r="C206" t="str">
        <v/>
      </c>
      <c r="E206" t="str">
        <v/>
      </c>
    </row>
    <row r="207" spans="3:5">
      <c r="C207" t="str">
        <v/>
      </c>
      <c r="E207" t="str">
        <v/>
      </c>
    </row>
    <row r="208" spans="3:5">
      <c r="C208" t="str">
        <v/>
      </c>
      <c r="E208" t="str">
        <v/>
      </c>
    </row>
    <row r="209" spans="3:5">
      <c r="C209" t="str">
        <v/>
      </c>
      <c r="E209" t="str">
        <v/>
      </c>
    </row>
    <row r="210" spans="3:5">
      <c r="C210" t="str">
        <v/>
      </c>
      <c r="E210" t="str">
        <v/>
      </c>
    </row>
    <row r="211" spans="3:5">
      <c r="C211" t="str">
        <v/>
      </c>
      <c r="E211" t="str">
        <v/>
      </c>
    </row>
    <row r="212" spans="3:5">
      <c r="C212" t="str">
        <v/>
      </c>
      <c r="E212" t="str">
        <v/>
      </c>
    </row>
    <row r="213" spans="3:5">
      <c r="C213" t="str">
        <v/>
      </c>
      <c r="E213" t="str">
        <v/>
      </c>
    </row>
    <row r="214" spans="3:5">
      <c r="C214" t="str">
        <v/>
      </c>
      <c r="E214" t="str">
        <v/>
      </c>
    </row>
    <row r="215" spans="3:5">
      <c r="C215" t="str">
        <v/>
      </c>
      <c r="E215" t="str">
        <v/>
      </c>
    </row>
    <row r="216" spans="3:5">
      <c r="C216" t="str">
        <v/>
      </c>
      <c r="E216" t="str">
        <v/>
      </c>
    </row>
    <row r="217" spans="3:5">
      <c r="C217" t="str">
        <v/>
      </c>
      <c r="E217" t="str">
        <v/>
      </c>
    </row>
    <row r="218" spans="3:5">
      <c r="C218" t="str">
        <v/>
      </c>
      <c r="E218" t="str">
        <v/>
      </c>
    </row>
    <row r="219" spans="3:5">
      <c r="C219" t="str">
        <v/>
      </c>
      <c r="E219" t="str">
        <v/>
      </c>
    </row>
    <row r="220" spans="3:5">
      <c r="C220" t="str">
        <v/>
      </c>
      <c r="E220" t="str">
        <v/>
      </c>
    </row>
    <row r="221" spans="3:5">
      <c r="C221" t="str">
        <v/>
      </c>
      <c r="E221" t="str">
        <v/>
      </c>
    </row>
    <row r="222" spans="3:5">
      <c r="C222" t="str">
        <v/>
      </c>
      <c r="E222" t="str">
        <v/>
      </c>
    </row>
    <row r="223" spans="3:5">
      <c r="C223" t="str">
        <v/>
      </c>
      <c r="E223" t="str">
        <v/>
      </c>
    </row>
    <row r="224" spans="3:5">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7</formula>
    </cfRule>
    <cfRule type="cellIs" dxfId="10" priority="8" operator="between">
      <formula>11</formula>
      <formula>11</formula>
    </cfRule>
    <cfRule type="cellIs" dxfId="9" priority="9" operator="between">
      <formula>9</formula>
      <formula>9</formula>
    </cfRule>
    <cfRule type="cellIs" dxfId="8" priority="10" operator="between">
      <formula>3</formula>
      <formula>3</formula>
    </cfRule>
    <cfRule type="cellIs" dxfId="7" priority="11" operator="between">
      <formula>5</formula>
      <formula>5</formula>
    </cfRule>
    <cfRule type="cellIs" dxfId="6" priority="12" operator="between">
      <formula>1</formula>
      <formula>1</formula>
    </cfRule>
  </conditionalFormatting>
  <conditionalFormatting sqref="F3:F56">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formula1>EXTRACCIONES</formula1>
    </dataValidation>
    <dataValidation type="list" allowBlank="1" showInputMessage="1" showErrorMessage="1" sqref="E2">
      <formula1>PROFESIONES</formula1>
    </dataValidation>
  </dataValidations>
  <pageMargins left="0.7" right="0.7" top="0.75" bottom="0.75" header="0.3" footer="0.3"/>
  <pageSetup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196"/>
  <sheetViews>
    <sheetView topLeftCell="A13"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18" t="s">
        <v>148</v>
      </c>
      <c r="B1" s="218"/>
      <c r="C1" s="218"/>
      <c r="D1" s="218"/>
      <c r="E1" s="219" t="s">
        <v>157</v>
      </c>
      <c r="F1" s="219"/>
      <c r="G1" s="219"/>
      <c r="H1" s="219"/>
      <c r="I1" s="218" t="s">
        <v>149</v>
      </c>
      <c r="J1" s="218"/>
      <c r="K1" s="218"/>
      <c r="L1" s="218"/>
      <c r="M1" s="219" t="s">
        <v>147</v>
      </c>
      <c r="N1" s="219"/>
      <c r="O1" s="219"/>
      <c r="P1" s="219"/>
    </row>
    <row r="2" spans="1:16" ht="15" customHeight="1">
      <c r="A2" s="217" t="s">
        <v>238</v>
      </c>
      <c r="B2" s="217"/>
      <c r="C2" s="217" t="s">
        <v>239</v>
      </c>
      <c r="D2" s="217"/>
      <c r="E2" s="202" t="s">
        <v>249</v>
      </c>
      <c r="F2" s="202"/>
      <c r="G2" s="202" t="s">
        <v>252</v>
      </c>
      <c r="H2" s="202"/>
      <c r="I2" s="217" t="s">
        <v>291</v>
      </c>
      <c r="J2" s="217"/>
      <c r="K2" s="217" t="s">
        <v>254</v>
      </c>
      <c r="L2" s="217"/>
      <c r="M2" s="202" t="s">
        <v>256</v>
      </c>
      <c r="N2" s="202"/>
      <c r="O2" s="202" t="s">
        <v>257</v>
      </c>
      <c r="P2" s="202"/>
    </row>
    <row r="3" spans="1:16" ht="15" customHeight="1">
      <c r="A3" s="215" t="s">
        <v>240</v>
      </c>
      <c r="B3" s="215"/>
      <c r="C3" s="215" t="s">
        <v>244</v>
      </c>
      <c r="D3" s="215"/>
      <c r="E3" s="215" t="s">
        <v>296</v>
      </c>
      <c r="F3" s="215"/>
      <c r="G3" s="215" t="s">
        <v>371</v>
      </c>
      <c r="H3" s="215"/>
      <c r="I3" s="215" t="s">
        <v>308</v>
      </c>
      <c r="J3" s="215"/>
      <c r="K3" s="215" t="s">
        <v>322</v>
      </c>
      <c r="L3" s="215"/>
      <c r="M3" s="215" t="s">
        <v>316</v>
      </c>
      <c r="N3" s="215"/>
      <c r="O3" s="215" t="s">
        <v>258</v>
      </c>
      <c r="P3" s="215"/>
    </row>
    <row r="4" spans="1:16" ht="15" customHeight="1">
      <c r="A4" s="215" t="s">
        <v>242</v>
      </c>
      <c r="B4" s="215"/>
      <c r="C4" s="215" t="s">
        <v>306</v>
      </c>
      <c r="D4" s="215"/>
      <c r="E4" s="215" t="s">
        <v>250</v>
      </c>
      <c r="F4" s="215"/>
      <c r="G4" s="215" t="s">
        <v>298</v>
      </c>
      <c r="H4" s="215"/>
      <c r="I4" s="215" t="s">
        <v>269</v>
      </c>
      <c r="J4" s="215"/>
      <c r="K4" s="215" t="s">
        <v>321</v>
      </c>
      <c r="L4" s="215"/>
      <c r="M4" s="215" t="s">
        <v>312</v>
      </c>
      <c r="N4" s="215"/>
      <c r="O4" s="215" t="s">
        <v>324</v>
      </c>
      <c r="P4" s="215"/>
    </row>
    <row r="5" spans="1:16" ht="15" customHeight="1">
      <c r="A5" s="215" t="s">
        <v>305</v>
      </c>
      <c r="B5" s="215"/>
      <c r="C5" s="215" t="s">
        <v>245</v>
      </c>
      <c r="D5" s="215"/>
      <c r="E5" s="215" t="s">
        <v>297</v>
      </c>
      <c r="F5" s="215"/>
      <c r="G5" s="220" t="s">
        <v>299</v>
      </c>
      <c r="H5" s="220"/>
      <c r="I5" s="220" t="s">
        <v>270</v>
      </c>
      <c r="J5" s="220"/>
      <c r="K5" s="220" t="s">
        <v>315</v>
      </c>
      <c r="L5" s="220"/>
      <c r="M5" s="215" t="s">
        <v>259</v>
      </c>
      <c r="N5" s="215"/>
      <c r="O5" s="220" t="s">
        <v>319</v>
      </c>
      <c r="P5" s="220"/>
    </row>
    <row r="6" spans="1:16" ht="15" customHeight="1">
      <c r="A6" s="215" t="s">
        <v>265</v>
      </c>
      <c r="B6" s="215"/>
      <c r="C6" s="215" t="s">
        <v>246</v>
      </c>
      <c r="D6" s="215"/>
      <c r="E6" s="215" t="s">
        <v>303</v>
      </c>
      <c r="F6" s="215"/>
      <c r="G6" s="215" t="s">
        <v>300</v>
      </c>
      <c r="H6" s="215"/>
      <c r="I6" s="215" t="s">
        <v>346</v>
      </c>
      <c r="J6" s="215"/>
      <c r="K6" s="215" t="s">
        <v>326</v>
      </c>
      <c r="L6" s="215"/>
      <c r="M6" s="215" t="s">
        <v>313</v>
      </c>
      <c r="N6" s="215"/>
      <c r="O6" s="215" t="s">
        <v>318</v>
      </c>
      <c r="P6" s="215"/>
    </row>
    <row r="7" spans="1:16" ht="15" customHeight="1">
      <c r="A7" s="215" t="s">
        <v>267</v>
      </c>
      <c r="B7" s="215"/>
      <c r="C7" s="215" t="s">
        <v>247</v>
      </c>
      <c r="D7" s="215"/>
      <c r="E7" s="215" t="s">
        <v>251</v>
      </c>
      <c r="F7" s="215"/>
      <c r="G7" s="215" t="s">
        <v>301</v>
      </c>
      <c r="H7" s="215"/>
      <c r="I7" s="215" t="s">
        <v>310</v>
      </c>
      <c r="J7" s="215"/>
      <c r="K7" s="215" t="s">
        <v>325</v>
      </c>
      <c r="L7" s="215"/>
      <c r="M7" s="215" t="s">
        <v>314</v>
      </c>
      <c r="N7" s="215"/>
      <c r="O7" s="215" t="s">
        <v>320</v>
      </c>
      <c r="P7" s="215"/>
    </row>
    <row r="8" spans="1:16" ht="15" customHeight="1">
      <c r="A8" s="215" t="s">
        <v>243</v>
      </c>
      <c r="B8" s="215"/>
      <c r="C8" s="215" t="s">
        <v>248</v>
      </c>
      <c r="D8" s="215"/>
      <c r="E8" s="215" t="s">
        <v>304</v>
      </c>
      <c r="F8" s="215"/>
      <c r="G8" s="215" t="s">
        <v>302</v>
      </c>
      <c r="H8" s="215"/>
      <c r="I8" s="215" t="s">
        <v>311</v>
      </c>
      <c r="J8" s="215"/>
      <c r="K8" s="215" t="s">
        <v>323</v>
      </c>
      <c r="L8" s="215"/>
      <c r="M8" s="215" t="s">
        <v>260</v>
      </c>
      <c r="N8" s="215"/>
      <c r="O8" s="215" t="s">
        <v>317</v>
      </c>
      <c r="P8" s="215"/>
    </row>
    <row r="9" spans="1:16">
      <c r="A9" s="221" t="s">
        <v>327</v>
      </c>
      <c r="B9" s="221"/>
      <c r="C9" s="221" t="s">
        <v>328</v>
      </c>
      <c r="D9" s="221"/>
      <c r="E9" s="221" t="s">
        <v>307</v>
      </c>
      <c r="F9" s="221"/>
      <c r="G9" s="221" t="s">
        <v>253</v>
      </c>
      <c r="H9" s="221"/>
      <c r="I9" s="221" t="s">
        <v>255</v>
      </c>
      <c r="J9" s="221"/>
      <c r="K9" s="221" t="s">
        <v>38</v>
      </c>
      <c r="L9" s="221"/>
      <c r="M9" s="221" t="s">
        <v>261</v>
      </c>
      <c r="N9" s="221"/>
      <c r="O9" s="221" t="s">
        <v>263</v>
      </c>
      <c r="P9" s="221"/>
    </row>
    <row r="10" spans="1:16" ht="15" customHeight="1">
      <c r="A10" s="216" t="s">
        <v>288</v>
      </c>
      <c r="B10" s="216"/>
      <c r="C10" s="216" t="s">
        <v>244</v>
      </c>
      <c r="D10" s="216"/>
      <c r="E10" s="216" t="s">
        <v>296</v>
      </c>
      <c r="F10" s="216"/>
      <c r="G10" s="216" t="s">
        <v>372</v>
      </c>
      <c r="H10" s="216"/>
      <c r="I10" s="216" t="s">
        <v>308</v>
      </c>
      <c r="J10" s="216"/>
      <c r="K10" s="216" t="s">
        <v>322</v>
      </c>
      <c r="L10" s="216"/>
      <c r="M10" s="216" t="s">
        <v>316</v>
      </c>
      <c r="N10" s="216"/>
      <c r="O10" s="216" t="s">
        <v>258</v>
      </c>
      <c r="P10" s="21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16" t="s">
        <v>289</v>
      </c>
      <c r="B15" s="216"/>
      <c r="C15" s="216" t="s">
        <v>306</v>
      </c>
      <c r="D15" s="216"/>
      <c r="E15" s="216" t="s">
        <v>268</v>
      </c>
      <c r="F15" s="216"/>
      <c r="G15" s="216" t="s">
        <v>333</v>
      </c>
      <c r="H15" s="216"/>
      <c r="I15" s="216" t="s">
        <v>269</v>
      </c>
      <c r="J15" s="216"/>
      <c r="K15" s="216" t="s">
        <v>321</v>
      </c>
      <c r="L15" s="216"/>
      <c r="M15" s="216" t="s">
        <v>312</v>
      </c>
      <c r="N15" s="216"/>
      <c r="O15" s="216" t="s">
        <v>324</v>
      </c>
      <c r="P15" s="21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16" t="s">
        <v>329</v>
      </c>
      <c r="B20" s="216"/>
      <c r="C20" s="216" t="s">
        <v>245</v>
      </c>
      <c r="D20" s="216"/>
      <c r="E20" s="216" t="s">
        <v>297</v>
      </c>
      <c r="F20" s="216"/>
      <c r="G20" s="216" t="s">
        <v>334</v>
      </c>
      <c r="H20" s="216"/>
      <c r="I20" s="216" t="s">
        <v>270</v>
      </c>
      <c r="J20" s="216"/>
      <c r="K20" s="216" t="s">
        <v>315</v>
      </c>
      <c r="L20" s="216"/>
      <c r="M20" s="216" t="s">
        <v>259</v>
      </c>
      <c r="N20" s="216"/>
      <c r="O20" s="216" t="s">
        <v>319</v>
      </c>
      <c r="P20" s="21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16" t="s">
        <v>330</v>
      </c>
      <c r="B25" s="216"/>
      <c r="C25" s="216" t="s">
        <v>246</v>
      </c>
      <c r="D25" s="216"/>
      <c r="E25" s="216" t="s">
        <v>303</v>
      </c>
      <c r="F25" s="216"/>
      <c r="G25" s="216" t="s">
        <v>335</v>
      </c>
      <c r="H25" s="216"/>
      <c r="I25" s="216" t="s">
        <v>346</v>
      </c>
      <c r="J25" s="216"/>
      <c r="K25" s="216" t="s">
        <v>326</v>
      </c>
      <c r="L25" s="216"/>
      <c r="M25" s="216" t="s">
        <v>313</v>
      </c>
      <c r="N25" s="216"/>
      <c r="O25" s="216" t="s">
        <v>318</v>
      </c>
      <c r="P25" s="21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16" t="s">
        <v>331</v>
      </c>
      <c r="B30" s="216"/>
      <c r="C30" s="216" t="s">
        <v>247</v>
      </c>
      <c r="D30" s="216"/>
      <c r="E30" s="216" t="s">
        <v>251</v>
      </c>
      <c r="F30" s="216"/>
      <c r="G30" s="216" t="s">
        <v>336</v>
      </c>
      <c r="H30" s="216"/>
      <c r="I30" s="216" t="s">
        <v>310</v>
      </c>
      <c r="J30" s="216"/>
      <c r="K30" s="216" t="s">
        <v>338</v>
      </c>
      <c r="L30" s="216"/>
      <c r="M30" s="216" t="s">
        <v>314</v>
      </c>
      <c r="N30" s="216"/>
      <c r="O30" s="216" t="s">
        <v>320</v>
      </c>
      <c r="P30" s="21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16" t="s">
        <v>332</v>
      </c>
      <c r="B35" s="216"/>
      <c r="C35" s="216" t="s">
        <v>248</v>
      </c>
      <c r="D35" s="216"/>
      <c r="E35" s="216" t="s">
        <v>304</v>
      </c>
      <c r="F35" s="216"/>
      <c r="G35" s="216" t="s">
        <v>337</v>
      </c>
      <c r="H35" s="216"/>
      <c r="I35" s="216" t="s">
        <v>311</v>
      </c>
      <c r="J35" s="216"/>
      <c r="K35" s="216" t="s">
        <v>323</v>
      </c>
      <c r="L35" s="216"/>
      <c r="M35" s="216" t="s">
        <v>260</v>
      </c>
      <c r="N35" s="216"/>
      <c r="O35" s="216" t="s">
        <v>317</v>
      </c>
      <c r="P35" s="21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formula1>IDS</formula1>
    </dataValidation>
    <dataValidation type="list" allowBlank="1" showInputMessage="1" showErrorMessage="1" sqref="E77 E83 I83 I77 I54 I50 E87 I87 E46">
      <formula1>craftspar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2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22"/>
      <c r="B2" s="22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22"/>
      <c r="B3" s="22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22"/>
      <c r="B4" s="22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22"/>
      <c r="B5" s="22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22"/>
      <c r="B6" s="22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22"/>
      <c r="B7" s="226"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22"/>
      <c r="B8" s="227"/>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22"/>
      <c r="B9" s="227"/>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22"/>
      <c r="B10" s="227"/>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22"/>
      <c r="B11" s="228"/>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22"/>
      <c r="B12" s="229"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22"/>
      <c r="B13" s="230"/>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22"/>
      <c r="B14" s="230"/>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22"/>
      <c r="B15" s="229"/>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22"/>
      <c r="B16" s="229"/>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22"/>
      <c r="B17" s="231"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22"/>
      <c r="B18" s="232"/>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22"/>
      <c r="B19" s="232"/>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22"/>
      <c r="B20" s="227"/>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22"/>
      <c r="B21" s="233"/>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22"/>
      <c r="B22" s="229"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22"/>
      <c r="B23" s="229"/>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22"/>
      <c r="B24" s="229"/>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22"/>
      <c r="B25" s="229"/>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22"/>
      <c r="B26" s="229"/>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2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22"/>
      <c r="B28" s="223" t="s">
        <v>286</v>
      </c>
      <c r="C28" s="31" t="s">
        <v>6</v>
      </c>
      <c r="D28" s="35">
        <f>'ECONOMIA &amp; PROFESIONES'!$O$5</f>
        <v>504</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22"/>
      <c r="B29" s="224"/>
      <c r="C29" s="32" t="s">
        <v>113</v>
      </c>
      <c r="D29" s="35">
        <f>'ECONOMIA &amp; PROFESIONES'!$O$6</f>
        <v>510</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22"/>
      <c r="B30" s="224"/>
      <c r="C30" s="31" t="s">
        <v>114</v>
      </c>
      <c r="D30" s="35">
        <f>'ECONOMIA &amp; PROFESIONES'!$O$7</f>
        <v>516</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22"/>
      <c r="B31" s="224"/>
      <c r="C31" s="32" t="s">
        <v>115</v>
      </c>
      <c r="D31" s="35">
        <f>'ECONOMIA &amp; PROFESIONES'!$O$8</f>
        <v>514</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22"/>
      <c r="B32" s="225"/>
      <c r="C32" s="31" t="s">
        <v>116</v>
      </c>
      <c r="D32" s="35">
        <f>'ECONOMIA &amp; PROFESIONES'!$O$9</f>
        <v>508</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22"/>
      <c r="B33" s="226" t="s">
        <v>287</v>
      </c>
      <c r="C33" s="32" t="s">
        <v>6</v>
      </c>
      <c r="D33" s="35">
        <f>'ECONOMIA &amp; PROFESIONES'!$O$10</f>
        <v>2054</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22"/>
      <c r="B34" s="227"/>
      <c r="C34" s="31" t="s">
        <v>113</v>
      </c>
      <c r="D34" s="35">
        <f>'ECONOMIA &amp; PROFESIONES'!$O$11</f>
        <v>2135</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22"/>
      <c r="B35" s="227"/>
      <c r="C35" s="32" t="s">
        <v>114</v>
      </c>
      <c r="D35" s="35">
        <f>'ECONOMIA &amp; PROFESIONES'!$O$12</f>
        <v>2216</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22"/>
      <c r="B36" s="227"/>
      <c r="C36" s="31" t="s">
        <v>115</v>
      </c>
      <c r="D36" s="35">
        <f>'ECONOMIA &amp; PROFESIONES'!$O$13</f>
        <v>2189</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22"/>
      <c r="B37" s="228"/>
      <c r="C37" s="32" t="s">
        <v>116</v>
      </c>
      <c r="D37" s="35">
        <f>'ECONOMIA &amp; PROFESIONES'!$O$14</f>
        <v>2108</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22"/>
      <c r="B38" s="229" t="s">
        <v>353</v>
      </c>
      <c r="C38" s="31" t="s">
        <v>6</v>
      </c>
      <c r="D38" s="35">
        <f>'ECONOMIA &amp; PROFESIONES'!$O$15</f>
        <v>3654</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22"/>
      <c r="B39" s="230"/>
      <c r="C39" s="32" t="s">
        <v>113</v>
      </c>
      <c r="D39" s="35">
        <f>'ECONOMIA &amp; PROFESIONES'!$O$16</f>
        <v>3885</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22"/>
      <c r="B40" s="230"/>
      <c r="C40" s="31" t="s">
        <v>114</v>
      </c>
      <c r="D40" s="35">
        <f>'ECONOMIA &amp; PROFESIONES'!$O$17</f>
        <v>4116</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22"/>
      <c r="B41" s="229"/>
      <c r="C41" s="32" t="s">
        <v>115</v>
      </c>
      <c r="D41" s="35">
        <f>'ECONOMIA &amp; PROFESIONES'!$O$18</f>
        <v>4039</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22"/>
      <c r="B42" s="229"/>
      <c r="C42" s="31" t="s">
        <v>116</v>
      </c>
      <c r="D42" s="35">
        <f>'ECONOMIA &amp; PROFESIONES'!$O$19</f>
        <v>3808</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22"/>
      <c r="B43" s="231" t="s">
        <v>354</v>
      </c>
      <c r="C43" s="32" t="s">
        <v>6</v>
      </c>
      <c r="D43" s="35">
        <f>'ECONOMIA &amp; PROFESIONES'!$O$20</f>
        <v>5254</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22"/>
      <c r="B44" s="232"/>
      <c r="C44" s="31" t="s">
        <v>113</v>
      </c>
      <c r="D44" s="35">
        <f>'ECONOMIA &amp; PROFESIONES'!$O$21</f>
        <v>5635</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22"/>
      <c r="B45" s="232"/>
      <c r="C45" s="32" t="s">
        <v>114</v>
      </c>
      <c r="D45" s="35">
        <f>'ECONOMIA &amp; PROFESIONES'!$O$22</f>
        <v>6016</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22"/>
      <c r="B46" s="227"/>
      <c r="C46" s="31" t="s">
        <v>115</v>
      </c>
      <c r="D46" s="35">
        <f>'ECONOMIA &amp; PROFESIONES'!$O$23</f>
        <v>5889</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22"/>
      <c r="B47" s="233"/>
      <c r="C47" s="32" t="s">
        <v>116</v>
      </c>
      <c r="D47" s="35">
        <f>'ECONOMIA &amp; PROFESIONES'!$O$24</f>
        <v>5508</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22"/>
      <c r="B48" s="229" t="s">
        <v>352</v>
      </c>
      <c r="C48" s="31" t="s">
        <v>6</v>
      </c>
      <c r="D48" s="35">
        <f>'ECONOMIA &amp; PROFESIONES'!$O$25</f>
        <v>6854</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22"/>
      <c r="B49" s="229"/>
      <c r="C49" s="32" t="s">
        <v>113</v>
      </c>
      <c r="D49" s="35">
        <f>'ECONOMIA &amp; PROFESIONES'!$O$26</f>
        <v>7385</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22"/>
      <c r="B50" s="229"/>
      <c r="C50" s="31" t="s">
        <v>114</v>
      </c>
      <c r="D50" s="35">
        <f>'ECONOMIA &amp; PROFESIONES'!$O$27</f>
        <v>7916</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22"/>
      <c r="B51" s="229"/>
      <c r="C51" s="32" t="s">
        <v>115</v>
      </c>
      <c r="D51" s="35">
        <f>'ECONOMIA &amp; PROFESIONES'!$O$28</f>
        <v>7739</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22"/>
      <c r="B52" s="229"/>
      <c r="C52" s="31" t="s">
        <v>116</v>
      </c>
      <c r="D52" s="35">
        <f>'ECONOMIA &amp; PROFESIONES'!$O$29</f>
        <v>7208</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2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22"/>
      <c r="B54" s="223" t="s">
        <v>286</v>
      </c>
      <c r="C54" s="31" t="s">
        <v>6</v>
      </c>
      <c r="D54" s="34">
        <f>'ECONOMIA &amp; PROFESIONES'!$P$5</f>
        <v>508</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22"/>
      <c r="B55" s="224"/>
      <c r="C55" s="32" t="s">
        <v>113</v>
      </c>
      <c r="D55" s="34">
        <f>'ECONOMIA &amp; PROFESIONES'!$P$6</f>
        <v>520</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22"/>
      <c r="B56" s="224"/>
      <c r="C56" s="31" t="s">
        <v>114</v>
      </c>
      <c r="D56" s="34">
        <f>'ECONOMIA &amp; PROFESIONES'!$P$7</f>
        <v>532</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22"/>
      <c r="B57" s="224"/>
      <c r="C57" s="32" t="s">
        <v>115</v>
      </c>
      <c r="D57" s="34">
        <f>'ECONOMIA &amp; PROFESIONES'!$P$8</f>
        <v>528</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22"/>
      <c r="B58" s="225"/>
      <c r="C58" s="31" t="s">
        <v>116</v>
      </c>
      <c r="D58" s="34">
        <f>'ECONOMIA &amp; PROFESIONES'!$P$9</f>
        <v>516</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22"/>
      <c r="B59" s="226" t="s">
        <v>287</v>
      </c>
      <c r="C59" s="32" t="s">
        <v>6</v>
      </c>
      <c r="D59" s="34">
        <f>'ECONOMIA &amp; PROFESIONES'!$P$10</f>
        <v>2058</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22"/>
      <c r="B60" s="227"/>
      <c r="C60" s="31" t="s">
        <v>113</v>
      </c>
      <c r="D60" s="34">
        <f>'ECONOMIA &amp; PROFESIONES'!$P$11</f>
        <v>2145</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22"/>
      <c r="B61" s="227"/>
      <c r="C61" s="32" t="s">
        <v>114</v>
      </c>
      <c r="D61" s="34">
        <f>'ECONOMIA &amp; PROFESIONES'!$P$12</f>
        <v>2232</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22"/>
      <c r="B62" s="227"/>
      <c r="C62" s="31" t="s">
        <v>115</v>
      </c>
      <c r="D62" s="34">
        <f>'ECONOMIA &amp; PROFESIONES'!$P$13</f>
        <v>2203</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22"/>
      <c r="B63" s="228"/>
      <c r="C63" s="32" t="s">
        <v>116</v>
      </c>
      <c r="D63" s="34">
        <f>'ECONOMIA &amp; PROFESIONES'!$P$14</f>
        <v>2116</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22"/>
      <c r="B64" s="229" t="s">
        <v>353</v>
      </c>
      <c r="C64" s="31" t="s">
        <v>6</v>
      </c>
      <c r="D64" s="34">
        <f>'ECONOMIA &amp; PROFESIONES'!$P$15</f>
        <v>3658</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22"/>
      <c r="B65" s="230"/>
      <c r="C65" s="32" t="s">
        <v>113</v>
      </c>
      <c r="D65" s="34">
        <f>'ECONOMIA &amp; PROFESIONES'!$P$16</f>
        <v>3895</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22"/>
      <c r="B66" s="230"/>
      <c r="C66" s="31" t="s">
        <v>114</v>
      </c>
      <c r="D66" s="34">
        <f>'ECONOMIA &amp; PROFESIONES'!$P$17</f>
        <v>4132</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22"/>
      <c r="B67" s="229"/>
      <c r="C67" s="32" t="s">
        <v>115</v>
      </c>
      <c r="D67" s="34">
        <f>'ECONOMIA &amp; PROFESIONES'!$P$18</f>
        <v>4053</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22"/>
      <c r="B68" s="229"/>
      <c r="C68" s="31" t="s">
        <v>116</v>
      </c>
      <c r="D68" s="34">
        <f>'ECONOMIA &amp; PROFESIONES'!$P$19</f>
        <v>3816</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22"/>
      <c r="B69" s="231" t="s">
        <v>354</v>
      </c>
      <c r="C69" s="32" t="s">
        <v>6</v>
      </c>
      <c r="D69" s="34">
        <f>'ECONOMIA &amp; PROFESIONES'!$P$20</f>
        <v>5258</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22"/>
      <c r="B70" s="232"/>
      <c r="C70" s="31" t="s">
        <v>113</v>
      </c>
      <c r="D70" s="34">
        <f>'ECONOMIA &amp; PROFESIONES'!$P$21</f>
        <v>5645</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22"/>
      <c r="B71" s="232"/>
      <c r="C71" s="32" t="s">
        <v>114</v>
      </c>
      <c r="D71" s="34">
        <f>'ECONOMIA &amp; PROFESIONES'!$P$22</f>
        <v>6032</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22"/>
      <c r="B72" s="227"/>
      <c r="C72" s="31" t="s">
        <v>115</v>
      </c>
      <c r="D72" s="34">
        <f>'ECONOMIA &amp; PROFESIONES'!$P$23</f>
        <v>5903</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22"/>
      <c r="B73" s="233"/>
      <c r="C73" s="32" t="s">
        <v>116</v>
      </c>
      <c r="D73" s="34">
        <f>'ECONOMIA &amp; PROFESIONES'!$P$24</f>
        <v>5516</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22"/>
      <c r="B74" s="229" t="s">
        <v>352</v>
      </c>
      <c r="C74" s="31" t="s">
        <v>6</v>
      </c>
      <c r="D74" s="34">
        <f>'ECONOMIA &amp; PROFESIONES'!$P$25</f>
        <v>6858</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22"/>
      <c r="B75" s="229"/>
      <c r="C75" s="32" t="s">
        <v>113</v>
      </c>
      <c r="D75" s="34">
        <f>'ECONOMIA &amp; PROFESIONES'!$P$26</f>
        <v>7395</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22"/>
      <c r="B76" s="229"/>
      <c r="C76" s="31" t="s">
        <v>114</v>
      </c>
      <c r="D76" s="34">
        <f>'ECONOMIA &amp; PROFESIONES'!$P$27</f>
        <v>7932</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22"/>
      <c r="B77" s="229"/>
      <c r="C77" s="32" t="s">
        <v>115</v>
      </c>
      <c r="D77" s="34">
        <f>'ECONOMIA &amp; PROFESIONES'!$P$28</f>
        <v>7753</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22"/>
      <c r="B78" s="229"/>
      <c r="C78" s="31" t="s">
        <v>116</v>
      </c>
      <c r="D78" s="34">
        <f>'ECONOMIA &amp; PROFESIONES'!$P$29</f>
        <v>7216</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2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22"/>
      <c r="B80" s="223" t="s">
        <v>286</v>
      </c>
      <c r="C80" s="31" t="s">
        <v>6</v>
      </c>
      <c r="D80" s="35">
        <f>'ECONOMIA &amp; PROFESIONES'!$Q$5</f>
        <v>516</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22"/>
      <c r="B81" s="224"/>
      <c r="C81" s="32" t="s">
        <v>113</v>
      </c>
      <c r="D81" s="35">
        <f>'ECONOMIA &amp; PROFESIONES'!$Q$6</f>
        <v>540</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22"/>
      <c r="B82" s="224"/>
      <c r="C82" s="31" t="s">
        <v>114</v>
      </c>
      <c r="D82" s="35">
        <f>'ECONOMIA &amp; PROFESIONES'!$Q$7</f>
        <v>564</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22"/>
      <c r="B83" s="224"/>
      <c r="C83" s="32" t="s">
        <v>115</v>
      </c>
      <c r="D83" s="35">
        <f>'ECONOMIA &amp; PROFESIONES'!$Q$8</f>
        <v>556</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22"/>
      <c r="B84" s="225"/>
      <c r="C84" s="31" t="s">
        <v>116</v>
      </c>
      <c r="D84" s="35">
        <f>'ECONOMIA &amp; PROFESIONES'!$Q$9</f>
        <v>532</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22"/>
      <c r="B85" s="226" t="s">
        <v>287</v>
      </c>
      <c r="C85" s="32" t="s">
        <v>6</v>
      </c>
      <c r="D85" s="35">
        <f>'ECONOMIA &amp; PROFESIONES'!$Q$10</f>
        <v>2066</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22"/>
      <c r="B86" s="227"/>
      <c r="C86" s="31" t="s">
        <v>113</v>
      </c>
      <c r="D86" s="35">
        <f>'ECONOMIA &amp; PROFESIONES'!$Q$11</f>
        <v>2165</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22"/>
      <c r="B87" s="227"/>
      <c r="C87" s="32" t="s">
        <v>114</v>
      </c>
      <c r="D87" s="35">
        <f>'ECONOMIA &amp; PROFESIONES'!$Q$12</f>
        <v>2264</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22"/>
      <c r="B88" s="227"/>
      <c r="C88" s="31" t="s">
        <v>115</v>
      </c>
      <c r="D88" s="35">
        <f>'ECONOMIA &amp; PROFESIONES'!$Q$13</f>
        <v>2231</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22"/>
      <c r="B89" s="228"/>
      <c r="C89" s="32" t="s">
        <v>116</v>
      </c>
      <c r="D89" s="35">
        <f>'ECONOMIA &amp; PROFESIONES'!$Q$14</f>
        <v>2132</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22"/>
      <c r="B90" s="229" t="s">
        <v>353</v>
      </c>
      <c r="C90" s="31" t="s">
        <v>6</v>
      </c>
      <c r="D90" s="35">
        <f>'ECONOMIA &amp; PROFESIONES'!$Q$15</f>
        <v>3666</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22"/>
      <c r="B91" s="230"/>
      <c r="C91" s="32" t="s">
        <v>113</v>
      </c>
      <c r="D91" s="35">
        <f>'ECONOMIA &amp; PROFESIONES'!$Q$16</f>
        <v>3915</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22"/>
      <c r="B92" s="230"/>
      <c r="C92" s="31" t="s">
        <v>114</v>
      </c>
      <c r="D92" s="35">
        <f>'ECONOMIA &amp; PROFESIONES'!$Q$17</f>
        <v>4164</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22"/>
      <c r="B93" s="229"/>
      <c r="C93" s="32" t="s">
        <v>115</v>
      </c>
      <c r="D93" s="35">
        <f>'ECONOMIA &amp; PROFESIONES'!$Q$18</f>
        <v>4081</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22"/>
      <c r="B94" s="229"/>
      <c r="C94" s="31" t="s">
        <v>116</v>
      </c>
      <c r="D94" s="35">
        <f>'ECONOMIA &amp; PROFESIONES'!$Q$19</f>
        <v>3832</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22"/>
      <c r="B95" s="231" t="s">
        <v>354</v>
      </c>
      <c r="C95" s="32" t="s">
        <v>6</v>
      </c>
      <c r="D95" s="35">
        <f>'ECONOMIA &amp; PROFESIONES'!$Q$20</f>
        <v>5266</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22"/>
      <c r="B96" s="232"/>
      <c r="C96" s="31" t="s">
        <v>113</v>
      </c>
      <c r="D96" s="35">
        <f>'ECONOMIA &amp; PROFESIONES'!$Q$21</f>
        <v>5665</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22"/>
      <c r="B97" s="232"/>
      <c r="C97" s="32" t="s">
        <v>114</v>
      </c>
      <c r="D97" s="35">
        <f>'ECONOMIA &amp; PROFESIONES'!$Q$22</f>
        <v>6064</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22"/>
      <c r="B98" s="227"/>
      <c r="C98" s="31" t="s">
        <v>115</v>
      </c>
      <c r="D98" s="35">
        <f>'ECONOMIA &amp; PROFESIONES'!$Q$23</f>
        <v>5931</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22"/>
      <c r="B99" s="233"/>
      <c r="C99" s="32" t="s">
        <v>116</v>
      </c>
      <c r="D99" s="35">
        <f>'ECONOMIA &amp; PROFESIONES'!$Q$24</f>
        <v>5532</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22"/>
      <c r="B100" s="229" t="s">
        <v>352</v>
      </c>
      <c r="C100" s="31" t="s">
        <v>6</v>
      </c>
      <c r="D100" s="35">
        <f>'ECONOMIA &amp; PROFESIONES'!$Q$25</f>
        <v>6866</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22"/>
      <c r="B101" s="229"/>
      <c r="C101" s="32" t="s">
        <v>113</v>
      </c>
      <c r="D101" s="35">
        <f>'ECONOMIA &amp; PROFESIONES'!$Q$26</f>
        <v>7415</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22"/>
      <c r="B102" s="229"/>
      <c r="C102" s="31" t="s">
        <v>114</v>
      </c>
      <c r="D102" s="35">
        <f>'ECONOMIA &amp; PROFESIONES'!$Q$27</f>
        <v>7964</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22"/>
      <c r="B103" s="229"/>
      <c r="C103" s="32" t="s">
        <v>115</v>
      </c>
      <c r="D103" s="35">
        <f>'ECONOMIA &amp; PROFESIONES'!$Q$28</f>
        <v>7781</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22"/>
      <c r="B104" s="229"/>
      <c r="C104" s="31" t="s">
        <v>116</v>
      </c>
      <c r="D104" s="35">
        <f>'ECONOMIA &amp; PROFESIONES'!$Q$29</f>
        <v>7232</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2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22"/>
      <c r="B106" s="223" t="s">
        <v>286</v>
      </c>
      <c r="C106" s="31" t="s">
        <v>6</v>
      </c>
      <c r="D106" s="34">
        <f>'ECONOMIA &amp; PROFESIONES'!$R$5</f>
        <v>532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22"/>
      <c r="B107" s="224"/>
      <c r="C107" s="32" t="s">
        <v>113</v>
      </c>
      <c r="D107" s="34">
        <f>'ECONOMIA &amp; PROFESIONES'!$R$6</f>
        <v>580</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22"/>
      <c r="B108" s="224"/>
      <c r="C108" s="31" t="s">
        <v>114</v>
      </c>
      <c r="D108" s="34">
        <f>'ECONOMIA &amp; PROFESIONES'!$R$7</f>
        <v>628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22"/>
      <c r="B109" s="224"/>
      <c r="C109" s="32" t="s">
        <v>115</v>
      </c>
      <c r="D109" s="34">
        <f>'ECONOMIA &amp; PROFESIONES'!$R$8</f>
        <v>612</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22"/>
      <c r="B110" s="225"/>
      <c r="C110" s="31" t="s">
        <v>116</v>
      </c>
      <c r="D110" s="34">
        <f>'ECONOMIA &amp; PROFESIONES'!$R$9</f>
        <v>564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22"/>
      <c r="B111" s="226" t="s">
        <v>287</v>
      </c>
      <c r="C111" s="32" t="s">
        <v>6</v>
      </c>
      <c r="D111" s="34">
        <f>'ECONOMIA &amp; PROFESIONES'!$R$10</f>
        <v>2082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22"/>
      <c r="B112" s="227"/>
      <c r="C112" s="31" t="s">
        <v>113</v>
      </c>
      <c r="D112" s="34">
        <f>'ECONOMIA &amp; PROFESIONES'!$R$11</f>
        <v>2205</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22"/>
      <c r="B113" s="227"/>
      <c r="C113" s="32" t="s">
        <v>114</v>
      </c>
      <c r="D113" s="34">
        <f>'ECONOMIA &amp; PROFESIONES'!$R$12</f>
        <v>2328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22"/>
      <c r="B114" s="227"/>
      <c r="C114" s="31" t="s">
        <v>115</v>
      </c>
      <c r="D114" s="34">
        <f>'ECONOMIA &amp; PROFESIONES'!$R$13</f>
        <v>2287</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22"/>
      <c r="B115" s="228"/>
      <c r="C115" s="32" t="s">
        <v>116</v>
      </c>
      <c r="D115" s="34">
        <f>'ECONOMIA &amp; PROFESIONES'!$R$14</f>
        <v>2164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22"/>
      <c r="B116" s="229" t="s">
        <v>353</v>
      </c>
      <c r="C116" s="31" t="s">
        <v>6</v>
      </c>
      <c r="D116" s="34">
        <f>'ECONOMIA &amp; PROFESIONES'!$R$15</f>
        <v>3682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22"/>
      <c r="B117" s="230"/>
      <c r="C117" s="32" t="s">
        <v>113</v>
      </c>
      <c r="D117" s="34">
        <f>'ECONOMIA &amp; PROFESIONES'!$R$16</f>
        <v>3955</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22"/>
      <c r="B118" s="230"/>
      <c r="C118" s="31" t="s">
        <v>114</v>
      </c>
      <c r="D118" s="34">
        <f>'ECONOMIA &amp; PROFESIONES'!$R$17</f>
        <v>4228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22"/>
      <c r="B119" s="229"/>
      <c r="C119" s="32" t="s">
        <v>115</v>
      </c>
      <c r="D119" s="34">
        <f>'ECONOMIA &amp; PROFESIONES'!$R$18</f>
        <v>4137</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22"/>
      <c r="B120" s="229"/>
      <c r="C120" s="31" t="s">
        <v>116</v>
      </c>
      <c r="D120" s="34">
        <f>'ECONOMIA &amp; PROFESIONES'!$R$19</f>
        <v>3864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22"/>
      <c r="B121" s="231" t="s">
        <v>354</v>
      </c>
      <c r="C121" s="32" t="s">
        <v>6</v>
      </c>
      <c r="D121" s="34">
        <f>'ECONOMIA &amp; PROFESIONES'!$R$20</f>
        <v>5282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22"/>
      <c r="B122" s="232"/>
      <c r="C122" s="31" t="s">
        <v>113</v>
      </c>
      <c r="D122" s="34">
        <f>'ECONOMIA &amp; PROFESIONES'!$R$21</f>
        <v>5705</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22"/>
      <c r="B123" s="232"/>
      <c r="C123" s="32" t="s">
        <v>114</v>
      </c>
      <c r="D123" s="34">
        <f>'ECONOMIA &amp; PROFESIONES'!$R$22</f>
        <v>6128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22"/>
      <c r="B124" s="227"/>
      <c r="C124" s="31" t="s">
        <v>115</v>
      </c>
      <c r="D124" s="34">
        <f>'ECONOMIA &amp; PROFESIONES'!$R$23</f>
        <v>5987</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22"/>
      <c r="B125" s="233"/>
      <c r="C125" s="32" t="s">
        <v>116</v>
      </c>
      <c r="D125" s="34">
        <f>'ECONOMIA &amp; PROFESIONES'!$R$24</f>
        <v>5564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22"/>
      <c r="B126" s="229" t="s">
        <v>352</v>
      </c>
      <c r="C126" s="31" t="s">
        <v>6</v>
      </c>
      <c r="D126" s="34">
        <f>'ECONOMIA &amp; PROFESIONES'!$R$25</f>
        <v>6882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22"/>
      <c r="B127" s="229"/>
      <c r="C127" s="32" t="s">
        <v>113</v>
      </c>
      <c r="D127" s="34">
        <f>'ECONOMIA &amp; PROFESIONES'!$R$26</f>
        <v>7455</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22"/>
      <c r="B128" s="229"/>
      <c r="C128" s="31" t="s">
        <v>114</v>
      </c>
      <c r="D128" s="34">
        <f>'ECONOMIA &amp; PROFESIONES'!$R$27</f>
        <v>8028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22"/>
      <c r="B129" s="229"/>
      <c r="C129" s="32" t="s">
        <v>115</v>
      </c>
      <c r="D129" s="34">
        <f>'ECONOMIA &amp; PROFESIONES'!$R$28</f>
        <v>7837</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22"/>
      <c r="B130" s="229"/>
      <c r="C130" s="31" t="s">
        <v>116</v>
      </c>
      <c r="D130" s="34">
        <f>'ECONOMIA &amp; PROFESIONES'!$R$29</f>
        <v>7264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formula1>craftspar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2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22"/>
      <c r="B2" s="223" t="s">
        <v>286</v>
      </c>
      <c r="C2" s="31" t="s">
        <v>6</v>
      </c>
      <c r="D2" s="34">
        <f>'ECONOMIA &amp; PROFESIONES'!$P$7</f>
        <v>532</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22"/>
      <c r="B3" s="224"/>
      <c r="C3" s="32" t="s">
        <v>113</v>
      </c>
      <c r="D3" s="34">
        <f>'ECONOMIA &amp; PROFESIONES'!$P$7</f>
        <v>532</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22"/>
      <c r="B4" s="224"/>
      <c r="C4" s="31" t="s">
        <v>366</v>
      </c>
      <c r="D4" s="34">
        <f>'ECONOMIA &amp; PROFESIONES'!$P$7</f>
        <v>532</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22"/>
      <c r="B5" s="224"/>
      <c r="C5" s="32" t="s">
        <v>115</v>
      </c>
      <c r="D5" s="34">
        <f>'ECONOMIA &amp; PROFESIONES'!$P$7</f>
        <v>532</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22"/>
      <c r="B6" s="225"/>
      <c r="C6" s="31" t="s">
        <v>116</v>
      </c>
      <c r="D6" s="34">
        <f>'ECONOMIA &amp; PROFESIONES'!$P$7</f>
        <v>532</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22"/>
      <c r="B7" s="226" t="s">
        <v>287</v>
      </c>
      <c r="C7" s="32" t="s">
        <v>6</v>
      </c>
      <c r="D7" s="34">
        <f>'ECONOMIA &amp; PROFESIONES'!$P$12</f>
        <v>2232</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22"/>
      <c r="B8" s="227"/>
      <c r="C8" s="31" t="s">
        <v>113</v>
      </c>
      <c r="D8" s="34">
        <f>'ECONOMIA &amp; PROFESIONES'!$P$12</f>
        <v>2232</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22"/>
      <c r="B9" s="227"/>
      <c r="C9" s="32" t="s">
        <v>114</v>
      </c>
      <c r="D9" s="34">
        <f>'ECONOMIA &amp; PROFESIONES'!$P$12</f>
        <v>2232</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22"/>
      <c r="B10" s="227"/>
      <c r="C10" s="31" t="s">
        <v>115</v>
      </c>
      <c r="D10" s="34">
        <f>'ECONOMIA &amp; PROFESIONES'!$P$12</f>
        <v>2232</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22"/>
      <c r="B11" s="228"/>
      <c r="C11" s="32" t="s">
        <v>116</v>
      </c>
      <c r="D11" s="34">
        <f>'ECONOMIA &amp; PROFESIONES'!$P$12</f>
        <v>2232</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22"/>
      <c r="B12" s="229" t="s">
        <v>353</v>
      </c>
      <c r="C12" s="31" t="s">
        <v>6</v>
      </c>
      <c r="D12" s="34">
        <f>'ECONOMIA &amp; PROFESIONES'!$P$17</f>
        <v>4132</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22"/>
      <c r="B13" s="230"/>
      <c r="C13" s="32" t="s">
        <v>113</v>
      </c>
      <c r="D13" s="34">
        <f>'ECONOMIA &amp; PROFESIONES'!$P$17</f>
        <v>4132</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22"/>
      <c r="B14" s="230"/>
      <c r="C14" s="31" t="s">
        <v>114</v>
      </c>
      <c r="D14" s="34">
        <f>'ECONOMIA &amp; PROFESIONES'!$P$17</f>
        <v>4132</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22"/>
      <c r="B15" s="229"/>
      <c r="C15" s="32" t="s">
        <v>115</v>
      </c>
      <c r="D15" s="34">
        <f>'ECONOMIA &amp; PROFESIONES'!$P$17</f>
        <v>4132</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22"/>
      <c r="B16" s="229"/>
      <c r="C16" s="31" t="s">
        <v>116</v>
      </c>
      <c r="D16" s="34">
        <f>'ECONOMIA &amp; PROFESIONES'!$P$17</f>
        <v>4132</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22"/>
      <c r="B17" s="231" t="s">
        <v>354</v>
      </c>
      <c r="C17" s="32" t="s">
        <v>6</v>
      </c>
      <c r="D17" s="34">
        <f>'ECONOMIA &amp; PROFESIONES'!$P$22</f>
        <v>6032</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22"/>
      <c r="B18" s="232"/>
      <c r="C18" s="31" t="s">
        <v>113</v>
      </c>
      <c r="D18" s="34">
        <f>'ECONOMIA &amp; PROFESIONES'!$P$22</f>
        <v>6032</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22"/>
      <c r="B19" s="232"/>
      <c r="C19" s="32" t="s">
        <v>114</v>
      </c>
      <c r="D19" s="34">
        <f>'ECONOMIA &amp; PROFESIONES'!$P$22</f>
        <v>6032</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22"/>
      <c r="B20" s="227"/>
      <c r="C20" s="31" t="s">
        <v>115</v>
      </c>
      <c r="D20" s="34">
        <f>'ECONOMIA &amp; PROFESIONES'!$P$22</f>
        <v>6032</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22"/>
      <c r="B21" s="233"/>
      <c r="C21" s="32" t="s">
        <v>116</v>
      </c>
      <c r="D21" s="34">
        <f>'ECONOMIA &amp; PROFESIONES'!$P$22</f>
        <v>6032</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22"/>
      <c r="B22" s="229" t="s">
        <v>352</v>
      </c>
      <c r="C22" s="31" t="s">
        <v>6</v>
      </c>
      <c r="D22" s="34">
        <f>'ECONOMIA &amp; PROFESIONES'!$P$27</f>
        <v>7932</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22"/>
      <c r="B23" s="229"/>
      <c r="C23" s="32" t="s">
        <v>113</v>
      </c>
      <c r="D23" s="34">
        <f>'ECONOMIA &amp; PROFESIONES'!$P$27</f>
        <v>7932</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22"/>
      <c r="B24" s="229"/>
      <c r="C24" s="31" t="s">
        <v>114</v>
      </c>
      <c r="D24" s="34">
        <f>'ECONOMIA &amp; PROFESIONES'!$P$27</f>
        <v>7932</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22"/>
      <c r="B25" s="229"/>
      <c r="C25" s="32" t="s">
        <v>115</v>
      </c>
      <c r="D25" s="34">
        <f>'ECONOMIA &amp; PROFESIONES'!$P$27</f>
        <v>7932</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22"/>
      <c r="B26" s="229"/>
      <c r="C26" s="31" t="s">
        <v>116</v>
      </c>
      <c r="D26" s="34">
        <f>'ECONOMIA &amp; PROFESIONES'!$P$27</f>
        <v>7932</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10</v>
      </c>
      <c r="H2">
        <f>$B$4*5</f>
        <v>20</v>
      </c>
      <c r="I2">
        <f>$B$5*5</f>
        <v>40</v>
      </c>
      <c r="J2">
        <f>$B$6*5</f>
        <v>80</v>
      </c>
    </row>
    <row r="3" spans="1:10">
      <c r="A3" t="s">
        <v>88</v>
      </c>
      <c r="B3" s="2">
        <f>'ECONOMIA &amp; PROFESIONES'!$B$17</f>
        <v>2</v>
      </c>
      <c r="C3" t="s">
        <v>8</v>
      </c>
      <c r="D3">
        <f>$B$3*2</f>
        <v>4</v>
      </c>
      <c r="E3" t="s">
        <v>10</v>
      </c>
      <c r="F3">
        <f>$B$2*8</f>
        <v>8</v>
      </c>
      <c r="G3">
        <f>$B$3*8</f>
        <v>16</v>
      </c>
      <c r="H3">
        <f>$B$4*8</f>
        <v>32</v>
      </c>
      <c r="I3">
        <f>$B$5*8</f>
        <v>64</v>
      </c>
      <c r="J3">
        <f>$B$6*8</f>
        <v>128</v>
      </c>
    </row>
    <row r="4" spans="1:10">
      <c r="A4" t="s">
        <v>2</v>
      </c>
      <c r="B4" s="2">
        <f>'ECONOMIA &amp; PROFESIONES'!$B$18</f>
        <v>4</v>
      </c>
      <c r="C4" t="s">
        <v>2</v>
      </c>
      <c r="D4">
        <f>$B$4*2</f>
        <v>8</v>
      </c>
      <c r="E4" t="s">
        <v>11</v>
      </c>
      <c r="F4">
        <f>$B$2*7</f>
        <v>7</v>
      </c>
      <c r="G4">
        <f>$B$3*7</f>
        <v>14</v>
      </c>
      <c r="H4">
        <f>$B$4*7</f>
        <v>28</v>
      </c>
      <c r="I4">
        <f>$B$5*7</f>
        <v>56</v>
      </c>
      <c r="J4">
        <f>$B$6*7</f>
        <v>112</v>
      </c>
    </row>
    <row r="5" spans="1:10">
      <c r="A5" t="s">
        <v>3</v>
      </c>
      <c r="B5" s="2">
        <f>'ECONOMIA &amp; PROFESIONES'!$B$19</f>
        <v>8</v>
      </c>
      <c r="C5" t="s">
        <v>3</v>
      </c>
      <c r="D5">
        <f>$B$5*2</f>
        <v>16</v>
      </c>
      <c r="E5" t="s">
        <v>12</v>
      </c>
      <c r="F5">
        <f>$B$2*4</f>
        <v>4</v>
      </c>
      <c r="G5">
        <f>$B$3*4</f>
        <v>8</v>
      </c>
      <c r="H5">
        <f>$B$4*4</f>
        <v>16</v>
      </c>
      <c r="I5">
        <f>$B$5*4</f>
        <v>32</v>
      </c>
      <c r="J5">
        <f>$B$6*4</f>
        <v>64</v>
      </c>
    </row>
    <row r="6" spans="1:10">
      <c r="A6" t="s">
        <v>4</v>
      </c>
      <c r="B6" s="2">
        <f>'ECONOMIA &amp; PROFESIONES'!$B$20</f>
        <v>16</v>
      </c>
      <c r="C6" t="s">
        <v>4</v>
      </c>
      <c r="D6">
        <f>$B$6*2</f>
        <v>32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35" t="s">
        <v>39</v>
      </c>
      <c r="B17" s="235"/>
      <c r="C17" s="3" t="s">
        <v>35</v>
      </c>
      <c r="D17" s="3" t="s">
        <v>51</v>
      </c>
      <c r="E17" s="3" t="s">
        <v>52</v>
      </c>
      <c r="F17" s="3" t="s">
        <v>53</v>
      </c>
      <c r="G17" s="3" t="s">
        <v>54</v>
      </c>
    </row>
    <row r="18" spans="1:9">
      <c r="A18" s="215" t="s">
        <v>73</v>
      </c>
      <c r="B18" s="215"/>
      <c r="C18" s="37">
        <v>0</v>
      </c>
      <c r="D18" s="28">
        <f>$C$18+1</f>
        <v>1</v>
      </c>
      <c r="E18" s="28">
        <f>$D$18+1</f>
        <v>2</v>
      </c>
      <c r="F18" s="28">
        <f>$E$18+1</f>
        <v>3</v>
      </c>
      <c r="G18" s="28">
        <f>$F$18+1</f>
        <v>4</v>
      </c>
    </row>
    <row r="19" spans="1:9">
      <c r="A19" s="215" t="s">
        <v>74</v>
      </c>
      <c r="B19" s="215"/>
      <c r="C19" s="37">
        <v>0</v>
      </c>
      <c r="D19" s="28">
        <f>$C$19+1</f>
        <v>1</v>
      </c>
      <c r="E19" s="28">
        <f>$D$19+2</f>
        <v>3</v>
      </c>
      <c r="F19" s="28">
        <f>$E$19+2</f>
        <v>5</v>
      </c>
      <c r="G19" s="28">
        <f>$F$19+2</f>
        <v>7</v>
      </c>
    </row>
    <row r="20" spans="1:9">
      <c r="A20" s="215" t="s">
        <v>40</v>
      </c>
      <c r="B20" s="215"/>
      <c r="C20" s="37">
        <v>0</v>
      </c>
      <c r="D20" s="28">
        <f>$C$20+1</f>
        <v>1</v>
      </c>
      <c r="E20" s="28">
        <f>$D$20+1</f>
        <v>2</v>
      </c>
      <c r="F20" s="28">
        <f>$E$20+1</f>
        <v>3</v>
      </c>
      <c r="G20" s="28">
        <f>$F$20+1</f>
        <v>4</v>
      </c>
    </row>
    <row r="21" spans="1:9">
      <c r="A21" s="215" t="s">
        <v>41</v>
      </c>
      <c r="B21" s="215"/>
      <c r="C21" s="37">
        <v>0</v>
      </c>
      <c r="D21" s="28">
        <f>$C$21+2</f>
        <v>2</v>
      </c>
      <c r="E21" s="28">
        <f>$D$21+1</f>
        <v>3</v>
      </c>
      <c r="F21" s="28">
        <f>$E$21+1</f>
        <v>4</v>
      </c>
      <c r="G21" s="28">
        <f>$F$21+1</f>
        <v>5</v>
      </c>
    </row>
    <row r="22" spans="1:9">
      <c r="A22" s="215" t="s">
        <v>44</v>
      </c>
      <c r="B22" s="215"/>
      <c r="C22" s="37">
        <v>0</v>
      </c>
      <c r="D22" s="28">
        <f>$C$22+1</f>
        <v>1</v>
      </c>
      <c r="E22" s="28">
        <f>$D$22+1</f>
        <v>2</v>
      </c>
      <c r="F22" s="28">
        <f>$E$22+1</f>
        <v>3</v>
      </c>
      <c r="G22" s="28">
        <f>$F$22+1</f>
        <v>4</v>
      </c>
    </row>
    <row r="23" spans="1:9">
      <c r="A23" s="215" t="s">
        <v>42</v>
      </c>
      <c r="B23" s="215"/>
      <c r="C23" s="37">
        <v>0</v>
      </c>
      <c r="D23" s="28">
        <f>C23</f>
        <v>0</v>
      </c>
      <c r="E23" s="28">
        <f>$D$23+1</f>
        <v>1</v>
      </c>
      <c r="F23" s="28">
        <f>$E$23+1</f>
        <v>2</v>
      </c>
      <c r="G23" s="28">
        <f>$F$23+1</f>
        <v>3</v>
      </c>
    </row>
    <row r="24" spans="1:9">
      <c r="A24" s="215" t="s">
        <v>43</v>
      </c>
      <c r="B24" s="215"/>
      <c r="C24" s="37">
        <v>0</v>
      </c>
      <c r="D24" s="28">
        <f>$C$24+1</f>
        <v>1</v>
      </c>
      <c r="E24" s="28">
        <f>$D$24+1</f>
        <v>2</v>
      </c>
      <c r="F24" s="28">
        <f>$E$24+1</f>
        <v>3</v>
      </c>
      <c r="G24" s="28">
        <f>$F$24+1</f>
        <v>4</v>
      </c>
    </row>
    <row r="25" spans="1:9">
      <c r="A25" s="215" t="s">
        <v>45</v>
      </c>
      <c r="B25" s="215"/>
      <c r="C25" s="37">
        <v>5</v>
      </c>
      <c r="D25" s="28">
        <f>$C$25+1</f>
        <v>6</v>
      </c>
      <c r="E25" s="28">
        <f>$D$25+1</f>
        <v>7</v>
      </c>
      <c r="F25" s="28">
        <f>$E$25+1</f>
        <v>8</v>
      </c>
      <c r="G25" s="28">
        <f>$F$25+1</f>
        <v>9</v>
      </c>
    </row>
    <row r="26" spans="1:9">
      <c r="A26" s="215" t="s">
        <v>46</v>
      </c>
      <c r="B26" s="215"/>
      <c r="C26" s="37">
        <v>6</v>
      </c>
      <c r="D26" s="28">
        <f>$C$26+1</f>
        <v>7</v>
      </c>
      <c r="E26" s="28">
        <f>$D$26+1</f>
        <v>8</v>
      </c>
      <c r="F26" s="28">
        <f>$E$26+1</f>
        <v>9</v>
      </c>
      <c r="G26" s="28">
        <f>$F$26+1</f>
        <v>10</v>
      </c>
      <c r="I26" s="15" t="s">
        <v>99</v>
      </c>
    </row>
    <row r="27" spans="1:9">
      <c r="A27" s="215" t="s">
        <v>47</v>
      </c>
      <c r="B27" s="215"/>
      <c r="C27" s="38">
        <v>0.7</v>
      </c>
      <c r="D27" s="28">
        <f>$C$27/2</f>
        <v>0.35</v>
      </c>
      <c r="E27" s="28">
        <f>$D$27/2</f>
        <v>0.17499999999999999</v>
      </c>
      <c r="F27" s="28">
        <f>$E$27/2</f>
        <v>8.7499999999999994E-2</v>
      </c>
      <c r="G27" s="28">
        <f>$F$27/2</f>
        <v>4.3749999999999997E-2</v>
      </c>
      <c r="I27" s="37">
        <v>5</v>
      </c>
    </row>
    <row r="28" spans="1:9">
      <c r="A28" s="215" t="s">
        <v>48</v>
      </c>
      <c r="B28" s="215"/>
      <c r="C28" s="37">
        <f>C27/2</f>
        <v>0.35</v>
      </c>
      <c r="D28" s="28">
        <f>$D$27/2</f>
        <v>0.17499999999999999</v>
      </c>
      <c r="E28" s="28">
        <f>$E$27/2</f>
        <v>8.7499999999999994E-2</v>
      </c>
      <c r="F28" s="28">
        <f>$F$27/2</f>
        <v>4.3749999999999997E-2</v>
      </c>
      <c r="G28" s="28">
        <f>$G$27/2</f>
        <v>2.1874999999999999E-2</v>
      </c>
    </row>
    <row r="29" spans="1:9">
      <c r="A29" s="215" t="s">
        <v>75</v>
      </c>
      <c r="B29" s="215"/>
      <c r="C29" s="37">
        <v>0</v>
      </c>
      <c r="D29" s="67">
        <v>1</v>
      </c>
      <c r="E29" s="67">
        <v>1</v>
      </c>
      <c r="F29" s="67">
        <v>2</v>
      </c>
      <c r="G29" s="67">
        <v>2</v>
      </c>
    </row>
    <row r="30" spans="1:9">
      <c r="A30" s="215" t="s">
        <v>76</v>
      </c>
      <c r="B30" s="215"/>
      <c r="C30" s="37">
        <v>0</v>
      </c>
      <c r="D30" s="67">
        <v>1</v>
      </c>
      <c r="E30" s="67">
        <v>2</v>
      </c>
      <c r="F30" s="67">
        <v>3</v>
      </c>
      <c r="G30" s="67">
        <v>4</v>
      </c>
    </row>
    <row r="31" spans="1:9">
      <c r="A31" s="236" t="s">
        <v>49</v>
      </c>
      <c r="B31" s="236"/>
      <c r="C31" s="236"/>
      <c r="D31" s="236"/>
      <c r="E31" s="236"/>
      <c r="F31" s="236"/>
      <c r="G31" s="236"/>
      <c r="H31" s="1" t="s">
        <v>65</v>
      </c>
      <c r="I31" s="15" t="s">
        <v>98</v>
      </c>
    </row>
    <row r="32" spans="1:9">
      <c r="A32" s="215" t="s">
        <v>50</v>
      </c>
      <c r="B32" s="215"/>
      <c r="C32" s="37">
        <v>8.9</v>
      </c>
      <c r="D32" s="28">
        <f>C32*3</f>
        <v>26.700000000000003</v>
      </c>
      <c r="E32" s="28">
        <f>D32*3</f>
        <v>80.100000000000009</v>
      </c>
      <c r="F32" s="28">
        <f>E32*3</f>
        <v>240.3</v>
      </c>
      <c r="G32" s="28">
        <f>F32*2</f>
        <v>480.6</v>
      </c>
      <c r="H32" s="28">
        <f>ROUNDDOWN(G32/5*H64,0)</f>
        <v>768</v>
      </c>
      <c r="I32" s="28">
        <f>H32+(5*I27)</f>
        <v>793</v>
      </c>
    </row>
    <row r="33" spans="1:17">
      <c r="A33" s="215" t="str">
        <f>C12</f>
        <v>Esencia</v>
      </c>
      <c r="B33" s="215"/>
      <c r="C33" s="37">
        <f>ROUNDDOWN(C32/2,0)</f>
        <v>4</v>
      </c>
      <c r="D33" s="28">
        <f>ROUNDDOWN(D32/2,0)</f>
        <v>13</v>
      </c>
      <c r="E33" s="28">
        <f t="shared" ref="D33:G35" si="0">ROUNDDOWN(E32/2,0)</f>
        <v>40</v>
      </c>
      <c r="F33" s="28">
        <f t="shared" si="0"/>
        <v>120</v>
      </c>
      <c r="G33" s="28">
        <f t="shared" si="0"/>
        <v>240</v>
      </c>
      <c r="H33" s="28"/>
      <c r="I33" s="28"/>
    </row>
    <row r="34" spans="1:17">
      <c r="A34" s="215" t="str">
        <f>C12</f>
        <v>Esencia</v>
      </c>
      <c r="B34" s="215"/>
      <c r="C34" s="37">
        <f>ROUNDDOWN(C33/2,0)</f>
        <v>2</v>
      </c>
      <c r="D34" s="28">
        <f t="shared" si="0"/>
        <v>6</v>
      </c>
      <c r="E34" s="28">
        <f t="shared" si="0"/>
        <v>20</v>
      </c>
      <c r="F34" s="28">
        <f t="shared" si="0"/>
        <v>60</v>
      </c>
      <c r="G34" s="28">
        <f t="shared" si="0"/>
        <v>120</v>
      </c>
      <c r="H34" s="28"/>
      <c r="I34" s="28"/>
    </row>
    <row r="35" spans="1:17">
      <c r="A35" s="220" t="str">
        <f>C11</f>
        <v>Inteligencia</v>
      </c>
      <c r="B35" s="220"/>
      <c r="C35" s="37">
        <f t="shared" ref="C35" si="1">ROUNDDOWN(C34/2,0)</f>
        <v>1</v>
      </c>
      <c r="D35" s="28">
        <f t="shared" si="0"/>
        <v>3</v>
      </c>
      <c r="E35" s="28">
        <f t="shared" si="0"/>
        <v>10</v>
      </c>
      <c r="F35" s="28">
        <f t="shared" si="0"/>
        <v>30</v>
      </c>
      <c r="G35" s="28">
        <f t="shared" si="0"/>
        <v>60</v>
      </c>
      <c r="H35" s="28"/>
      <c r="I35" s="28"/>
    </row>
    <row r="36" spans="1:17">
      <c r="A36" s="236" t="s">
        <v>21</v>
      </c>
      <c r="B36" s="236"/>
      <c r="C36" s="236"/>
      <c r="D36" s="236"/>
      <c r="E36" s="236"/>
      <c r="F36" s="236"/>
      <c r="G36" s="236"/>
    </row>
    <row r="37" spans="1:17">
      <c r="A37" s="237" t="s">
        <v>61</v>
      </c>
      <c r="B37" s="237"/>
      <c r="C37" s="237"/>
      <c r="D37" s="237"/>
      <c r="E37" s="237"/>
      <c r="F37" s="237"/>
      <c r="G37" s="237"/>
      <c r="H37" s="4" t="s">
        <v>82</v>
      </c>
    </row>
    <row r="38" spans="1:17">
      <c r="A38" s="215" t="s">
        <v>69</v>
      </c>
      <c r="B38" s="215"/>
      <c r="C38" s="39"/>
      <c r="D38" s="28"/>
      <c r="E38" s="28"/>
      <c r="F38" s="28"/>
      <c r="G38" s="28"/>
      <c r="H38" s="28">
        <v>300</v>
      </c>
    </row>
    <row r="39" spans="1:17">
      <c r="A39" s="215" t="s">
        <v>67</v>
      </c>
      <c r="B39" s="215"/>
      <c r="C39" s="67">
        <v>1800</v>
      </c>
      <c r="D39" s="28">
        <f>C39+$H$38</f>
        <v>2100</v>
      </c>
      <c r="E39" s="68">
        <f t="shared" ref="E39:G39" si="2">D39+$H$38</f>
        <v>2400</v>
      </c>
      <c r="F39" s="68">
        <f t="shared" si="2"/>
        <v>2700</v>
      </c>
      <c r="G39" s="68">
        <f t="shared" si="2"/>
        <v>3000</v>
      </c>
      <c r="H39" s="28"/>
    </row>
    <row r="40" spans="1:17">
      <c r="A40" s="239" t="s">
        <v>68</v>
      </c>
      <c r="B40" s="239"/>
      <c r="C40" s="39">
        <v>1800</v>
      </c>
      <c r="D40" s="39">
        <v>1800</v>
      </c>
      <c r="E40" s="39">
        <v>1800</v>
      </c>
      <c r="F40" s="39">
        <v>1800</v>
      </c>
      <c r="G40" s="39">
        <v>1800</v>
      </c>
      <c r="H40" s="28"/>
    </row>
    <row r="41" spans="1:17" ht="27.75" customHeight="1">
      <c r="A41" s="235" t="s">
        <v>38</v>
      </c>
      <c r="B41" s="235"/>
      <c r="C41" s="3" t="s">
        <v>7</v>
      </c>
      <c r="D41" s="3" t="s">
        <v>8</v>
      </c>
      <c r="E41" s="3" t="s">
        <v>83</v>
      </c>
      <c r="F41" s="3" t="s">
        <v>84</v>
      </c>
      <c r="G41" s="3" t="s">
        <v>85</v>
      </c>
      <c r="H41" s="3" t="s">
        <v>62</v>
      </c>
      <c r="I41" s="23" t="s">
        <v>119</v>
      </c>
      <c r="J41" s="235" t="s">
        <v>283</v>
      </c>
      <c r="K41" s="235"/>
      <c r="L41" s="235" t="s">
        <v>285</v>
      </c>
      <c r="M41" s="235"/>
      <c r="N41" s="235" t="s">
        <v>380</v>
      </c>
      <c r="O41" s="235"/>
      <c r="P41" s="235"/>
      <c r="Q41" s="235"/>
    </row>
    <row r="42" spans="1:17">
      <c r="A42" s="237" t="s">
        <v>20</v>
      </c>
      <c r="B42" s="237"/>
      <c r="C42" s="237"/>
      <c r="D42" s="237"/>
      <c r="E42" s="237"/>
      <c r="F42" s="237"/>
      <c r="G42" s="237"/>
      <c r="H42" s="6">
        <v>2</v>
      </c>
      <c r="I42" s="41">
        <v>1</v>
      </c>
      <c r="J42" s="182" t="s">
        <v>379</v>
      </c>
      <c r="K42" s="182"/>
      <c r="L42" s="182">
        <v>2</v>
      </c>
      <c r="M42" s="182"/>
      <c r="N42" s="215" t="s">
        <v>381</v>
      </c>
      <c r="O42" s="215"/>
      <c r="P42" s="113" t="s">
        <v>386</v>
      </c>
      <c r="Q42" s="113"/>
    </row>
    <row r="43" spans="1:17">
      <c r="A43" s="215" t="str">
        <f>C8</f>
        <v>Vitalidad</v>
      </c>
      <c r="B43" s="215"/>
      <c r="C43" s="28">
        <f>D8*H42</f>
        <v>2</v>
      </c>
      <c r="D43" s="28">
        <f>C43*3</f>
        <v>6</v>
      </c>
      <c r="E43" s="28">
        <f>D43*3</f>
        <v>18</v>
      </c>
      <c r="F43" s="28">
        <f>E43*3</f>
        <v>54</v>
      </c>
      <c r="G43" s="28">
        <f>F43*3</f>
        <v>162</v>
      </c>
      <c r="H43" s="26" t="s">
        <v>120</v>
      </c>
      <c r="N43" s="215" t="s">
        <v>382</v>
      </c>
      <c r="O43" s="215"/>
      <c r="P43" s="113" t="s">
        <v>387</v>
      </c>
      <c r="Q43" s="113"/>
    </row>
    <row r="44" spans="1:17">
      <c r="A44" s="215" t="str">
        <f>C9</f>
        <v>Fuerza</v>
      </c>
      <c r="B44" s="215"/>
      <c r="C44" s="28">
        <f>D9*H42</f>
        <v>2</v>
      </c>
      <c r="D44" s="68">
        <f t="shared" ref="D44:G46" si="3">C44*3</f>
        <v>6</v>
      </c>
      <c r="E44" s="68">
        <f t="shared" si="3"/>
        <v>18</v>
      </c>
      <c r="F44" s="68">
        <f t="shared" si="3"/>
        <v>54</v>
      </c>
      <c r="G44" s="68">
        <f t="shared" si="3"/>
        <v>162</v>
      </c>
      <c r="H44" s="6">
        <v>2</v>
      </c>
      <c r="N44" s="215" t="s">
        <v>383</v>
      </c>
      <c r="O44" s="215"/>
      <c r="P44" s="113" t="s">
        <v>388</v>
      </c>
      <c r="Q44" s="113"/>
    </row>
    <row r="45" spans="1:17">
      <c r="A45" s="215" t="str">
        <f>C10</f>
        <v>Agilidad</v>
      </c>
      <c r="B45" s="215"/>
      <c r="C45" s="28">
        <f>D10*H42</f>
        <v>2</v>
      </c>
      <c r="D45" s="68">
        <f t="shared" si="3"/>
        <v>6</v>
      </c>
      <c r="E45" s="68">
        <f t="shared" si="3"/>
        <v>18</v>
      </c>
      <c r="F45" s="68">
        <f t="shared" si="3"/>
        <v>54</v>
      </c>
      <c r="G45" s="68">
        <f t="shared" si="3"/>
        <v>162</v>
      </c>
      <c r="N45" s="215" t="s">
        <v>384</v>
      </c>
      <c r="O45" s="215"/>
      <c r="P45" s="113" t="s">
        <v>389</v>
      </c>
      <c r="Q45" s="113"/>
    </row>
    <row r="46" spans="1:17">
      <c r="A46" s="215" t="str">
        <f>C11</f>
        <v>Inteligencia</v>
      </c>
      <c r="B46" s="215"/>
      <c r="C46" s="28">
        <f>D11*H42</f>
        <v>2</v>
      </c>
      <c r="D46" s="68">
        <f t="shared" si="3"/>
        <v>6</v>
      </c>
      <c r="E46" s="68">
        <f t="shared" si="3"/>
        <v>18</v>
      </c>
      <c r="F46" s="68">
        <f t="shared" si="3"/>
        <v>54</v>
      </c>
      <c r="G46" s="68">
        <f t="shared" si="3"/>
        <v>162</v>
      </c>
      <c r="N46" s="215" t="s">
        <v>385</v>
      </c>
      <c r="O46" s="215"/>
      <c r="P46" s="113" t="s">
        <v>390</v>
      </c>
      <c r="Q46" s="113"/>
    </row>
    <row r="47" spans="1:17">
      <c r="A47" s="215" t="s">
        <v>77</v>
      </c>
      <c r="B47" s="215"/>
      <c r="C47" s="28">
        <f>(C$23+C$24)/2*$H$42</f>
        <v>0</v>
      </c>
      <c r="D47" s="28">
        <f>($D$23+$D$24)/2*$H$42</f>
        <v>1</v>
      </c>
      <c r="E47" s="28">
        <f>($E$23+$E$24)/2*$H$42</f>
        <v>3</v>
      </c>
      <c r="F47" s="28">
        <f>($F$23+$F$24)/2*$H$42</f>
        <v>5</v>
      </c>
      <c r="G47" s="28">
        <f>($G$23+$G$24)/2*$H$42</f>
        <v>7</v>
      </c>
      <c r="N47" s="113"/>
      <c r="O47" s="113"/>
      <c r="P47" s="234"/>
      <c r="Q47" s="234"/>
    </row>
    <row r="48" spans="1:17">
      <c r="A48" s="237" t="s">
        <v>49</v>
      </c>
      <c r="B48" s="237"/>
      <c r="C48" s="237"/>
      <c r="D48" s="237"/>
      <c r="E48" s="237"/>
      <c r="F48" s="237"/>
      <c r="G48" s="237"/>
      <c r="N48" s="113"/>
      <c r="O48" s="113"/>
      <c r="P48" s="234"/>
      <c r="Q48" s="234"/>
    </row>
    <row r="49" spans="1:17">
      <c r="A49" s="215" t="s">
        <v>50</v>
      </c>
      <c r="B49" s="215"/>
      <c r="C49" s="40">
        <f>ROUNDDOWN(C32/5*H42,0)</f>
        <v>3</v>
      </c>
      <c r="D49" s="40">
        <f>ROUNDDOWN(D32/5*H42,0)</f>
        <v>10</v>
      </c>
      <c r="E49" s="40">
        <f>ROUNDDOWN(E32/5*H42,0)</f>
        <v>32</v>
      </c>
      <c r="F49" s="40">
        <f>ROUNDDOWN(F32/5*H42,0)</f>
        <v>96</v>
      </c>
      <c r="G49" s="40">
        <f>ROUNDDOWN(G32/5*H42,0)</f>
        <v>192</v>
      </c>
      <c r="N49" s="113"/>
      <c r="O49" s="113"/>
      <c r="P49" s="234"/>
      <c r="Q49" s="234"/>
    </row>
    <row r="50" spans="1:17">
      <c r="A50" s="215" t="str">
        <f>C12</f>
        <v>Esencia</v>
      </c>
      <c r="B50" s="215"/>
      <c r="C50" s="40">
        <f>ROUNDDOWN(C49/3,0)</f>
        <v>1</v>
      </c>
      <c r="D50" s="40">
        <f>ROUNDDOWN(D49/3,0)</f>
        <v>3</v>
      </c>
      <c r="E50" s="40">
        <f>ROUNDDOWN(E49/3,0)</f>
        <v>10</v>
      </c>
      <c r="F50" s="40">
        <f>ROUNDDOWN(F49/3,0)</f>
        <v>32</v>
      </c>
      <c r="G50" s="40">
        <f>ROUNDDOWN(G49/3,0)</f>
        <v>64</v>
      </c>
      <c r="N50" s="113"/>
      <c r="O50" s="113"/>
      <c r="P50" s="234"/>
      <c r="Q50" s="234"/>
    </row>
    <row r="51" spans="1:17">
      <c r="A51" s="215"/>
      <c r="B51" s="215"/>
      <c r="N51" s="113"/>
      <c r="O51" s="113"/>
      <c r="P51" s="234"/>
      <c r="Q51" s="234"/>
    </row>
    <row r="52" spans="1:17" ht="27.75" customHeight="1">
      <c r="A52" s="235" t="s">
        <v>63</v>
      </c>
      <c r="B52" s="235"/>
      <c r="C52" s="3" t="s">
        <v>0</v>
      </c>
      <c r="D52" s="3" t="s">
        <v>86</v>
      </c>
      <c r="E52" s="3" t="s">
        <v>83</v>
      </c>
      <c r="F52" s="3" t="s">
        <v>84</v>
      </c>
      <c r="G52" s="3" t="s">
        <v>85</v>
      </c>
      <c r="H52" s="3" t="s">
        <v>62</v>
      </c>
      <c r="J52" s="235" t="s">
        <v>283</v>
      </c>
      <c r="K52" s="235"/>
      <c r="L52" s="235" t="s">
        <v>285</v>
      </c>
      <c r="M52" s="235"/>
    </row>
    <row r="53" spans="1:17">
      <c r="A53" s="237" t="s">
        <v>20</v>
      </c>
      <c r="B53" s="237"/>
      <c r="C53" s="237"/>
      <c r="D53" s="237"/>
      <c r="E53" s="237"/>
      <c r="F53" s="237"/>
      <c r="G53" s="237"/>
      <c r="H53" s="6">
        <f>$H$55*$I$42</f>
        <v>5</v>
      </c>
      <c r="J53" s="182" t="s">
        <v>284</v>
      </c>
      <c r="K53" s="182"/>
      <c r="L53" s="182">
        <v>1</v>
      </c>
      <c r="M53" s="182"/>
    </row>
    <row r="54" spans="1:17">
      <c r="A54" s="215" t="str">
        <f>C8</f>
        <v>Vitalidad</v>
      </c>
      <c r="B54" s="215"/>
      <c r="C54">
        <f>D8*H53</f>
        <v>5</v>
      </c>
      <c r="D54" s="101">
        <f>ROUNDDOWN(C54*1.7,0)</f>
        <v>8</v>
      </c>
      <c r="E54" s="101">
        <f>ROUNDDOWN(D54*1.7,0)</f>
        <v>13</v>
      </c>
      <c r="F54" s="101">
        <f>ROUNDDOWN(E54*1.7,0)</f>
        <v>22</v>
      </c>
      <c r="G54" s="101">
        <f>ROUNDDOWN(F54*1.7,0)</f>
        <v>37</v>
      </c>
      <c r="H54" s="26" t="s">
        <v>120</v>
      </c>
    </row>
    <row r="55" spans="1:17">
      <c r="A55" s="215" t="str">
        <f>C9</f>
        <v>Fuerza</v>
      </c>
      <c r="B55" s="215"/>
      <c r="C55">
        <f>D9*H53</f>
        <v>5</v>
      </c>
      <c r="D55" s="101">
        <f t="shared" ref="D55:G55" si="4">ROUNDDOWN(C55*1.7,0)</f>
        <v>8</v>
      </c>
      <c r="E55" s="101">
        <f t="shared" si="4"/>
        <v>13</v>
      </c>
      <c r="F55" s="101">
        <f t="shared" si="4"/>
        <v>22</v>
      </c>
      <c r="G55" s="101">
        <f t="shared" si="4"/>
        <v>37</v>
      </c>
      <c r="H55" s="6">
        <v>5</v>
      </c>
    </row>
    <row r="56" spans="1:17">
      <c r="A56" s="215" t="str">
        <f>C10</f>
        <v>Agilidad</v>
      </c>
      <c r="B56" s="215"/>
      <c r="C56">
        <f>D10*H53</f>
        <v>5</v>
      </c>
      <c r="D56" s="101">
        <f t="shared" ref="D56:G56" si="5">ROUNDDOWN(C56*1.7,0)</f>
        <v>8</v>
      </c>
      <c r="E56" s="101">
        <f t="shared" si="5"/>
        <v>13</v>
      </c>
      <c r="F56" s="101">
        <f t="shared" si="5"/>
        <v>22</v>
      </c>
      <c r="G56" s="101">
        <f t="shared" si="5"/>
        <v>37</v>
      </c>
    </row>
    <row r="57" spans="1:17">
      <c r="A57" s="215" t="str">
        <f>C11</f>
        <v>Inteligencia</v>
      </c>
      <c r="B57" s="215"/>
      <c r="C57">
        <f>D11*H53</f>
        <v>5</v>
      </c>
      <c r="D57" s="101">
        <f t="shared" ref="D57:G57" si="6">ROUNDDOWN(C57*1.7,0)</f>
        <v>8</v>
      </c>
      <c r="E57" s="101">
        <f t="shared" si="6"/>
        <v>13</v>
      </c>
      <c r="F57" s="101">
        <f t="shared" si="6"/>
        <v>22</v>
      </c>
      <c r="G57" s="101">
        <f t="shared" si="6"/>
        <v>37</v>
      </c>
    </row>
    <row r="58" spans="1:17">
      <c r="A58" s="215" t="s">
        <v>77</v>
      </c>
      <c r="B58" s="215"/>
      <c r="C58">
        <f>(C$23+C$24)/2*$H$53</f>
        <v>0</v>
      </c>
      <c r="D58">
        <f>(D$23+D$24)/2*$H$53</f>
        <v>2.5</v>
      </c>
      <c r="E58">
        <f>(E$23+E$24)/2*$H$53</f>
        <v>7.5</v>
      </c>
      <c r="F58">
        <f>(F$23+F$24)/2*$H$53</f>
        <v>12.5</v>
      </c>
      <c r="G58">
        <f>(G$23+G$24)/2*$H$53</f>
        <v>17.5</v>
      </c>
    </row>
    <row r="59" spans="1:17">
      <c r="A59" s="237" t="s">
        <v>49</v>
      </c>
      <c r="B59" s="237"/>
      <c r="C59" s="237"/>
      <c r="D59" s="237"/>
      <c r="E59" s="237"/>
      <c r="F59" s="237"/>
      <c r="G59" s="237"/>
    </row>
    <row r="60" spans="1:17">
      <c r="A60" s="215" t="s">
        <v>50</v>
      </c>
      <c r="B60" s="215"/>
      <c r="C60" s="5">
        <f>ROUNDDOWN(C32/5*H53,0)</f>
        <v>8</v>
      </c>
      <c r="D60" s="5">
        <f>ROUNDDOWN(D32/5*H53,0)</f>
        <v>26</v>
      </c>
      <c r="E60" s="5">
        <f>ROUNDDOWN(E32/5*H53,0)</f>
        <v>80</v>
      </c>
      <c r="F60" s="5">
        <f>ROUNDDOWN(F32/5*H53,0)</f>
        <v>240</v>
      </c>
      <c r="G60" s="5">
        <f>ROUNDDOWN(G32/5*H53,0)</f>
        <v>480</v>
      </c>
    </row>
    <row r="61" spans="1:17">
      <c r="A61" s="215" t="str">
        <f>C12</f>
        <v>Esencia</v>
      </c>
      <c r="B61" s="215"/>
      <c r="C61" s="5">
        <f>ROUNDDOWN(C60/3,0)</f>
        <v>2</v>
      </c>
      <c r="D61" s="5">
        <f>ROUNDDOWN(D60/3,0)</f>
        <v>8</v>
      </c>
      <c r="E61" s="5">
        <f>ROUNDDOWN(E60/3,0)</f>
        <v>26</v>
      </c>
      <c r="F61" s="5">
        <f>ROUNDDOWN(F60/3,0)</f>
        <v>80</v>
      </c>
      <c r="G61" s="5">
        <f>ROUNDDOWN(G60/3,0)</f>
        <v>160</v>
      </c>
    </row>
    <row r="62" spans="1:17">
      <c r="A62" s="238"/>
      <c r="B62" s="238"/>
    </row>
    <row r="63" spans="1:17" ht="27.75" customHeight="1">
      <c r="A63" s="235" t="s">
        <v>64</v>
      </c>
      <c r="B63" s="235"/>
      <c r="C63" s="3" t="s">
        <v>0</v>
      </c>
      <c r="D63" s="3" t="s">
        <v>86</v>
      </c>
      <c r="E63" s="3" t="s">
        <v>83</v>
      </c>
      <c r="F63" s="3" t="s">
        <v>84</v>
      </c>
      <c r="G63" s="3" t="s">
        <v>85</v>
      </c>
      <c r="H63" s="3" t="s">
        <v>62</v>
      </c>
    </row>
    <row r="64" spans="1:17">
      <c r="A64" s="237" t="s">
        <v>20</v>
      </c>
      <c r="B64" s="237"/>
      <c r="C64" s="237"/>
      <c r="D64" s="237"/>
      <c r="E64" s="237"/>
      <c r="F64" s="237"/>
      <c r="G64" s="237"/>
      <c r="H64" s="6">
        <f>$H$66*$I$42</f>
        <v>8</v>
      </c>
    </row>
    <row r="65" spans="1:8">
      <c r="A65" s="215" t="str">
        <f>C8</f>
        <v>Vitalidad</v>
      </c>
      <c r="B65" s="215"/>
      <c r="C65">
        <f>D8*H64</f>
        <v>8</v>
      </c>
      <c r="D65">
        <f>ROUNDDOWN(C65*1.7,0)</f>
        <v>13</v>
      </c>
      <c r="E65">
        <f>ROUNDDOWN(D65*1.7,0)</f>
        <v>22</v>
      </c>
      <c r="F65">
        <f>ROUNDDOWN(E65*1.7,0)</f>
        <v>37</v>
      </c>
      <c r="G65">
        <f>ROUNDDOWN(F65*1.7,0)</f>
        <v>62</v>
      </c>
      <c r="H65" s="26" t="s">
        <v>120</v>
      </c>
    </row>
    <row r="66" spans="1:8">
      <c r="A66" s="215" t="str">
        <f>C9</f>
        <v>Fuerza</v>
      </c>
      <c r="B66" s="215"/>
      <c r="C66">
        <f>D9*H64</f>
        <v>8</v>
      </c>
      <c r="D66" s="101">
        <f t="shared" ref="D66:G68" si="7">ROUNDDOWN(C66*1.7,0)</f>
        <v>13</v>
      </c>
      <c r="E66" s="101">
        <f t="shared" si="7"/>
        <v>22</v>
      </c>
      <c r="F66" s="101">
        <f t="shared" si="7"/>
        <v>37</v>
      </c>
      <c r="G66" s="101">
        <f t="shared" si="7"/>
        <v>62</v>
      </c>
      <c r="H66" s="6">
        <v>8</v>
      </c>
    </row>
    <row r="67" spans="1:8">
      <c r="A67" s="215" t="str">
        <f>C10</f>
        <v>Agilidad</v>
      </c>
      <c r="B67" s="215"/>
      <c r="C67">
        <f>D9*H64</f>
        <v>8</v>
      </c>
      <c r="D67" s="101">
        <f t="shared" si="7"/>
        <v>13</v>
      </c>
      <c r="E67" s="101">
        <f t="shared" si="7"/>
        <v>22</v>
      </c>
      <c r="F67" s="101">
        <f t="shared" si="7"/>
        <v>37</v>
      </c>
      <c r="G67" s="101">
        <f t="shared" si="7"/>
        <v>62</v>
      </c>
    </row>
    <row r="68" spans="1:8">
      <c r="A68" s="215" t="str">
        <f>C11</f>
        <v>Inteligencia</v>
      </c>
      <c r="B68" s="215"/>
      <c r="C68">
        <f>D9*H64</f>
        <v>8</v>
      </c>
      <c r="D68" s="101">
        <f t="shared" si="7"/>
        <v>13</v>
      </c>
      <c r="E68" s="101">
        <f t="shared" si="7"/>
        <v>22</v>
      </c>
      <c r="F68" s="101">
        <f t="shared" si="7"/>
        <v>37</v>
      </c>
      <c r="G68" s="101">
        <f t="shared" si="7"/>
        <v>62</v>
      </c>
    </row>
    <row r="69" spans="1:8">
      <c r="A69" s="215" t="s">
        <v>77</v>
      </c>
      <c r="B69" s="215"/>
      <c r="C69">
        <f>(C$23+C$24)/2*$H$64</f>
        <v>0</v>
      </c>
      <c r="D69">
        <f>(D$23+D$24)/2*$H$64</f>
        <v>4</v>
      </c>
      <c r="E69">
        <f>(E$23+E$24)/2*$H$64</f>
        <v>12</v>
      </c>
      <c r="F69">
        <f>(F$23+F$24)/2*$H$64</f>
        <v>20</v>
      </c>
      <c r="G69">
        <f>(G$23+G$24)/2*$H$64</f>
        <v>28</v>
      </c>
    </row>
    <row r="70" spans="1:8">
      <c r="A70" s="237" t="s">
        <v>49</v>
      </c>
      <c r="B70" s="237"/>
      <c r="C70" s="237"/>
      <c r="D70" s="237"/>
      <c r="E70" s="237"/>
      <c r="F70" s="237"/>
      <c r="G70" s="237"/>
    </row>
    <row r="71" spans="1:8">
      <c r="A71" s="215" t="s">
        <v>50</v>
      </c>
      <c r="B71" s="215"/>
      <c r="C71" s="5">
        <f>ROUNDDOWN(C32/5*H64,0)</f>
        <v>14</v>
      </c>
      <c r="D71" s="5">
        <f>ROUNDDOWN(D32/5*H64,0)</f>
        <v>42</v>
      </c>
      <c r="E71" s="5">
        <f>ROUNDDOWN(E32/5*H64,0)</f>
        <v>128</v>
      </c>
      <c r="F71" s="5">
        <f>ROUNDDOWN(F32/5*H64,0)</f>
        <v>384</v>
      </c>
      <c r="G71" s="5">
        <f>ROUNDDOWN(G32/5*H64,0)</f>
        <v>768</v>
      </c>
    </row>
    <row r="72" spans="1:8">
      <c r="A72" s="215" t="str">
        <f>C12</f>
        <v>Esencia</v>
      </c>
      <c r="B72" s="215"/>
      <c r="C72" s="5">
        <f>ROUNDDOWN(C71/3,0)</f>
        <v>4</v>
      </c>
      <c r="D72" s="5">
        <f>ROUNDDOWN(D71/3,0)</f>
        <v>14</v>
      </c>
      <c r="E72" s="5">
        <f>ROUNDDOWN(E71/3,0)</f>
        <v>42</v>
      </c>
      <c r="F72" s="5">
        <f>ROUNDDOWN(F71/3,0)</f>
        <v>128</v>
      </c>
      <c r="G72" s="5">
        <f>ROUNDDOWN(G71/3,0)</f>
        <v>256</v>
      </c>
    </row>
    <row r="73" spans="1:8">
      <c r="A73" s="234"/>
      <c r="B73" s="234"/>
    </row>
    <row r="74" spans="1:8" ht="27.75" customHeight="1">
      <c r="A74" s="235" t="s">
        <v>11</v>
      </c>
      <c r="B74" s="235"/>
      <c r="C74" s="3" t="s">
        <v>0</v>
      </c>
      <c r="D74" s="3" t="s">
        <v>86</v>
      </c>
      <c r="E74" s="3" t="s">
        <v>83</v>
      </c>
      <c r="F74" s="3" t="s">
        <v>84</v>
      </c>
      <c r="G74" s="3" t="s">
        <v>85</v>
      </c>
      <c r="H74" s="3" t="s">
        <v>62</v>
      </c>
    </row>
    <row r="75" spans="1:8">
      <c r="A75" s="237" t="s">
        <v>20</v>
      </c>
      <c r="B75" s="237"/>
      <c r="C75" s="237"/>
      <c r="D75" s="237"/>
      <c r="E75" s="237"/>
      <c r="F75" s="237"/>
      <c r="G75" s="237"/>
      <c r="H75" s="6">
        <f>$H$77*$I$42</f>
        <v>7</v>
      </c>
    </row>
    <row r="76" spans="1:8">
      <c r="A76" s="215" t="str">
        <f>C8</f>
        <v>Vitalidad</v>
      </c>
      <c r="B76" s="215"/>
      <c r="C76">
        <f>D8*H75</f>
        <v>7</v>
      </c>
      <c r="D76" s="101">
        <f>ROUNDDOWN(C76*1.7,0)</f>
        <v>11</v>
      </c>
      <c r="E76" s="101">
        <f>ROUNDDOWN(D76*1.7,0)</f>
        <v>18</v>
      </c>
      <c r="F76" s="101">
        <f>ROUNDDOWN(E76*1.7,0)</f>
        <v>30</v>
      </c>
      <c r="G76" s="101">
        <f>ROUNDDOWN(F76*1.7,0)</f>
        <v>51</v>
      </c>
      <c r="H76" s="26" t="s">
        <v>120</v>
      </c>
    </row>
    <row r="77" spans="1:8">
      <c r="A77" s="215" t="str">
        <f>C9</f>
        <v>Fuerza</v>
      </c>
      <c r="B77" s="215"/>
      <c r="C77">
        <f>D9*H75</f>
        <v>7</v>
      </c>
      <c r="D77" s="101">
        <f t="shared" ref="D77:G77" si="8">ROUNDDOWN(C77*1.7,0)</f>
        <v>11</v>
      </c>
      <c r="E77" s="101">
        <f t="shared" si="8"/>
        <v>18</v>
      </c>
      <c r="F77" s="101">
        <f t="shared" si="8"/>
        <v>30</v>
      </c>
      <c r="G77" s="101">
        <f t="shared" si="8"/>
        <v>51</v>
      </c>
      <c r="H77" s="6">
        <v>7</v>
      </c>
    </row>
    <row r="78" spans="1:8">
      <c r="A78" s="215" t="str">
        <f>C10</f>
        <v>Agilidad</v>
      </c>
      <c r="B78" s="215"/>
      <c r="C78">
        <f>D10*H75</f>
        <v>7</v>
      </c>
      <c r="D78" s="101">
        <f t="shared" ref="D78:G78" si="9">ROUNDDOWN(C78*1.7,0)</f>
        <v>11</v>
      </c>
      <c r="E78" s="101">
        <f t="shared" si="9"/>
        <v>18</v>
      </c>
      <c r="F78" s="101">
        <f t="shared" si="9"/>
        <v>30</v>
      </c>
      <c r="G78" s="101">
        <f t="shared" si="9"/>
        <v>51</v>
      </c>
    </row>
    <row r="79" spans="1:8">
      <c r="A79" s="215" t="str">
        <f>C11</f>
        <v>Inteligencia</v>
      </c>
      <c r="B79" s="215"/>
      <c r="C79">
        <f>D11*H75</f>
        <v>7</v>
      </c>
      <c r="D79" s="101">
        <f t="shared" ref="D79:G79" si="10">ROUNDDOWN(C79*1.7,0)</f>
        <v>11</v>
      </c>
      <c r="E79" s="101">
        <f t="shared" si="10"/>
        <v>18</v>
      </c>
      <c r="F79" s="101">
        <f t="shared" si="10"/>
        <v>30</v>
      </c>
      <c r="G79" s="101">
        <f t="shared" si="10"/>
        <v>51</v>
      </c>
    </row>
    <row r="80" spans="1:8">
      <c r="A80" s="215" t="s">
        <v>77</v>
      </c>
      <c r="B80" s="215"/>
      <c r="C80">
        <f>(C$23+C$24)/2*$H$75</f>
        <v>0</v>
      </c>
      <c r="D80">
        <f>(D$23+D$24)/2*$H$75</f>
        <v>3.5</v>
      </c>
      <c r="E80">
        <f>(E$23+E$24)/2*$H$75</f>
        <v>10.5</v>
      </c>
      <c r="F80">
        <f>(F$23+F$24)/2*$H$75</f>
        <v>17.5</v>
      </c>
      <c r="G80">
        <f>(G$23+G$24)/2*$H$75</f>
        <v>24.5</v>
      </c>
    </row>
    <row r="81" spans="1:8">
      <c r="A81" s="237" t="s">
        <v>49</v>
      </c>
      <c r="B81" s="237"/>
      <c r="C81" s="237"/>
      <c r="D81" s="237"/>
      <c r="E81" s="237"/>
      <c r="F81" s="237"/>
      <c r="G81" s="237"/>
    </row>
    <row r="82" spans="1:8">
      <c r="A82" s="215" t="s">
        <v>50</v>
      </c>
      <c r="B82" s="215"/>
      <c r="C82" s="5">
        <f>ROUNDDOWN(C32/5*H75,0)</f>
        <v>12</v>
      </c>
      <c r="D82" s="5">
        <f>ROUNDDOWN(D32/5*H75,0)</f>
        <v>37</v>
      </c>
      <c r="E82" s="5">
        <f>ROUNDDOWN(E32/5*H75,0)</f>
        <v>112</v>
      </c>
      <c r="F82" s="5">
        <f>ROUNDDOWN(F32/5*H75,0)</f>
        <v>336</v>
      </c>
      <c r="G82" s="5">
        <f>ROUNDDOWN(G32/5*H75,0)</f>
        <v>672</v>
      </c>
    </row>
    <row r="83" spans="1:8">
      <c r="A83" s="215" t="str">
        <f>C12</f>
        <v>Esencia</v>
      </c>
      <c r="B83" s="215"/>
      <c r="C83" s="5">
        <f>ROUNDDOWN(C82/3,0)</f>
        <v>4</v>
      </c>
      <c r="D83" s="5">
        <f t="shared" ref="D83:G83" si="11">ROUNDDOWN(D82/3,0)</f>
        <v>12</v>
      </c>
      <c r="E83" s="5">
        <f t="shared" si="11"/>
        <v>37</v>
      </c>
      <c r="F83" s="5">
        <f t="shared" si="11"/>
        <v>112</v>
      </c>
      <c r="G83" s="5">
        <f t="shared" si="11"/>
        <v>224</v>
      </c>
    </row>
    <row r="84" spans="1:8">
      <c r="A84" s="234"/>
      <c r="B84" s="234"/>
    </row>
    <row r="85" spans="1:8" ht="27.75" customHeight="1">
      <c r="A85" s="235" t="s">
        <v>66</v>
      </c>
      <c r="B85" s="235"/>
      <c r="C85" s="3" t="s">
        <v>0</v>
      </c>
      <c r="D85" s="3" t="s">
        <v>86</v>
      </c>
      <c r="E85" s="3" t="s">
        <v>83</v>
      </c>
      <c r="F85" s="3" t="s">
        <v>84</v>
      </c>
      <c r="G85" s="3" t="s">
        <v>85</v>
      </c>
      <c r="H85" s="3" t="s">
        <v>62</v>
      </c>
    </row>
    <row r="86" spans="1:8">
      <c r="A86" s="237" t="s">
        <v>20</v>
      </c>
      <c r="B86" s="237"/>
      <c r="C86" s="237"/>
      <c r="D86" s="237"/>
      <c r="E86" s="237"/>
      <c r="F86" s="237"/>
      <c r="G86" s="237"/>
      <c r="H86" s="6">
        <v>4</v>
      </c>
    </row>
    <row r="87" spans="1:8">
      <c r="A87" s="215" t="str">
        <f>C8</f>
        <v>Vitalidad</v>
      </c>
      <c r="B87" s="215"/>
      <c r="C87">
        <f>D9*H86</f>
        <v>4</v>
      </c>
      <c r="D87" s="101">
        <f>ROUNDDOWN(C87*1.7,0)</f>
        <v>6</v>
      </c>
      <c r="E87" s="101">
        <f>ROUNDDOWN(D87*1.7,0)</f>
        <v>10</v>
      </c>
      <c r="F87" s="101">
        <f>ROUNDDOWN(E87*1.7,0)</f>
        <v>17</v>
      </c>
      <c r="G87" s="101">
        <f>ROUNDDOWN(F87*1.7,0)</f>
        <v>28</v>
      </c>
      <c r="H87" s="26" t="s">
        <v>120</v>
      </c>
    </row>
    <row r="88" spans="1:8">
      <c r="A88" s="215" t="str">
        <f>C9</f>
        <v>Fuerza</v>
      </c>
      <c r="B88" s="215"/>
      <c r="C88">
        <f>D10*H86</f>
        <v>4</v>
      </c>
      <c r="D88" s="101">
        <f t="shared" ref="D88:G88" si="12">ROUNDDOWN(C88*1.7,0)</f>
        <v>6</v>
      </c>
      <c r="E88" s="101">
        <f t="shared" si="12"/>
        <v>10</v>
      </c>
      <c r="F88" s="101">
        <f t="shared" si="12"/>
        <v>17</v>
      </c>
      <c r="G88" s="101">
        <f t="shared" si="12"/>
        <v>28</v>
      </c>
      <c r="H88" s="6">
        <v>4</v>
      </c>
    </row>
    <row r="89" spans="1:8">
      <c r="A89" s="215" t="str">
        <f>C10</f>
        <v>Agilidad</v>
      </c>
      <c r="B89" s="215"/>
      <c r="C89">
        <f>D11*H86</f>
        <v>4</v>
      </c>
      <c r="D89" s="101">
        <f t="shared" ref="D89:G89" si="13">ROUNDDOWN(C89*1.7,0)</f>
        <v>6</v>
      </c>
      <c r="E89" s="101">
        <f t="shared" si="13"/>
        <v>10</v>
      </c>
      <c r="F89" s="101">
        <f t="shared" si="13"/>
        <v>17</v>
      </c>
      <c r="G89" s="101">
        <f t="shared" si="13"/>
        <v>28</v>
      </c>
    </row>
    <row r="90" spans="1:8">
      <c r="A90" s="215" t="str">
        <f>C11</f>
        <v>Inteligencia</v>
      </c>
      <c r="B90" s="215"/>
      <c r="C90">
        <f>D12*H86</f>
        <v>4</v>
      </c>
      <c r="D90" s="101">
        <f t="shared" ref="D90:G90" si="14">ROUNDDOWN(C90*1.7,0)</f>
        <v>6</v>
      </c>
      <c r="E90" s="101">
        <f t="shared" si="14"/>
        <v>10</v>
      </c>
      <c r="F90" s="101">
        <f t="shared" si="14"/>
        <v>17</v>
      </c>
      <c r="G90" s="101">
        <f t="shared" si="14"/>
        <v>28</v>
      </c>
    </row>
    <row r="91" spans="1:8">
      <c r="A91" s="215" t="s">
        <v>77</v>
      </c>
      <c r="B91" s="215"/>
      <c r="C91">
        <f>(C$23+C$24)/2*$H$86</f>
        <v>0</v>
      </c>
      <c r="D91">
        <f>(D$23+D$24)/2*$H$86</f>
        <v>2</v>
      </c>
      <c r="E91">
        <f>(E$23+E$24)/2*$H$86</f>
        <v>6</v>
      </c>
      <c r="F91">
        <f>(F$23+F$24)/2*$H$86</f>
        <v>10</v>
      </c>
      <c r="G91">
        <f>(G$23+G$24)/2*$H$86</f>
        <v>14</v>
      </c>
    </row>
    <row r="92" spans="1:8">
      <c r="A92" s="237" t="s">
        <v>49</v>
      </c>
      <c r="B92" s="237"/>
      <c r="C92" s="237"/>
      <c r="D92" s="237"/>
      <c r="E92" s="237"/>
      <c r="F92" s="237"/>
      <c r="G92" s="237"/>
    </row>
    <row r="93" spans="1:8">
      <c r="A93" s="215" t="s">
        <v>50</v>
      </c>
      <c r="B93" s="215"/>
      <c r="C93" s="5">
        <f>ROUNDDOWN(C32/5*H86,0)</f>
        <v>7</v>
      </c>
      <c r="D93" s="5">
        <f>ROUNDDOWN(D32/5*H86,0)</f>
        <v>21</v>
      </c>
      <c r="E93" s="5">
        <f>ROUNDDOWN(E32/5*H86,0)</f>
        <v>64</v>
      </c>
      <c r="F93" s="5">
        <f>ROUNDDOWN(F32/5*H86,0)</f>
        <v>192</v>
      </c>
      <c r="G93" s="5">
        <f>ROUNDDOWN(G32/5*H86,0)</f>
        <v>384</v>
      </c>
    </row>
    <row r="94" spans="1:8">
      <c r="A94" s="215" t="str">
        <f>C12</f>
        <v>Esencia</v>
      </c>
      <c r="B94" s="215"/>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36</v>
      </c>
      <c r="B2" s="182"/>
      <c r="C2" s="182">
        <f>'ECONOMIA &amp; PROFESIONES'!$N$3</f>
        <v>1</v>
      </c>
      <c r="D2" s="182"/>
      <c r="E2" s="182" t="s">
        <v>81</v>
      </c>
      <c r="F2" s="182"/>
      <c r="G2" s="182" t="s">
        <v>90</v>
      </c>
      <c r="H2" s="182"/>
      <c r="I2" s="182" t="str">
        <f>MAIN!$J$42</f>
        <v>&amp;4Poder de Arma:</v>
      </c>
      <c r="J2" s="182"/>
      <c r="K2" s="182">
        <f>MAIN!$L$42</f>
        <v>2</v>
      </c>
      <c r="L2" s="182"/>
    </row>
    <row r="3" spans="1:26" ht="29.25" customHeight="1">
      <c r="A3" s="240" t="s">
        <v>7</v>
      </c>
      <c r="B3" s="240"/>
      <c r="C3" s="240"/>
      <c r="D3" s="240"/>
      <c r="E3" s="240" t="s">
        <v>8</v>
      </c>
      <c r="F3" s="240"/>
      <c r="G3" s="240"/>
      <c r="H3" s="240"/>
      <c r="I3" s="240" t="s">
        <v>83</v>
      </c>
      <c r="J3" s="240"/>
      <c r="K3" s="240"/>
      <c r="L3" s="240"/>
      <c r="M3" s="240" t="s">
        <v>84</v>
      </c>
      <c r="N3" s="240"/>
      <c r="O3" s="240"/>
      <c r="P3" s="240"/>
      <c r="Q3" s="240" t="s">
        <v>85</v>
      </c>
      <c r="R3" s="240"/>
      <c r="S3" s="240"/>
      <c r="T3" s="24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&amp;650.4 &amp;aAlmakos'</v>
      </c>
      <c r="F21" s="20"/>
      <c r="G21" s="20"/>
      <c r="H21" s="20"/>
      <c r="I21" s="20" t="str">
        <f>"  - '&amp;aVenta: &amp;6"&amp;(MAIN!$D$4+(MAIN!$C$18+MAIN!$C$19)/2*MAIN!$B$9+(MAIN!$C$20+MAIN!$C$21)/2*MAIN!$B$8+(MAIN!$C$47*MAIN!$B$11)+($C$2*MAIN!$B$10))/10&amp;" &amp;aAlmakos'"</f>
        <v xml:space="preserve">  - '&amp;aVenta: &amp;650.8 &amp;aAlmakos'</v>
      </c>
      <c r="J21" s="20"/>
      <c r="K21" s="20"/>
      <c r="L21" s="20"/>
      <c r="M21" s="20" t="str">
        <f>"  - '&amp;aVenta: &amp;6"&amp;(MAIN!$D$5+(MAIN!$C$18+MAIN!$C$19)/2*MAIN!$B$9+(MAIN!$C$20+MAIN!$C$21)/2*MAIN!$B$8+(MAIN!$C$47*MAIN!$B$11)+($C$2*MAIN!$B$10))/10&amp;" &amp;aAlmakos'"</f>
        <v xml:space="preserve">  - '&amp;aVenta: &amp;651.6 &amp;aAlmakos'</v>
      </c>
      <c r="N21" s="20"/>
      <c r="O21" s="20"/>
      <c r="P21" s="20"/>
      <c r="Q21" s="20" t="str">
        <f>"  - '&amp;aVenta: &amp;6"&amp;(MAIN!$D$6+(MAIN!$C$18+MAIN!$C$19)/2*MAIN!$B$9+(MAIN!$C$20+MAIN!$C$21)/2*MAIN!$B$8+(MAIN!$C$47*MAIN!$B$11)+($C$2*MAIN!$B$10))/10&amp;" &amp;aAlmakos'"</f>
        <v xml:space="preserve">  - '&amp;aVenta: &amp;653.2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Z147"/>
  <sheetViews>
    <sheetView topLeftCell="A28" workbookViewId="0">
      <selection activeCell="A38" sqref="A38:XFD40"/>
    </sheetView>
  </sheetViews>
  <sheetFormatPr baseColWidth="10" defaultRowHeight="15"/>
  <sheetData>
    <row r="1" spans="1:26" ht="30.75" customHeight="1">
      <c r="A1" s="235" t="s">
        <v>19</v>
      </c>
      <c r="B1" s="235"/>
      <c r="C1" s="235" t="s">
        <v>70</v>
      </c>
      <c r="D1" s="235"/>
      <c r="E1" s="235" t="s">
        <v>80</v>
      </c>
      <c r="F1" s="235"/>
      <c r="G1" s="235" t="s">
        <v>89</v>
      </c>
      <c r="H1" s="235"/>
      <c r="I1" s="235" t="s">
        <v>283</v>
      </c>
      <c r="J1" s="235"/>
      <c r="K1" s="235" t="s">
        <v>285</v>
      </c>
      <c r="L1" s="235"/>
    </row>
    <row r="2" spans="1:26">
      <c r="A2" s="182" t="s">
        <v>36</v>
      </c>
      <c r="B2" s="182"/>
      <c r="C2" s="182">
        <f>'ECONOMIA &amp; PROFESIONES'!$N$3</f>
        <v>1</v>
      </c>
      <c r="D2" s="182"/>
      <c r="E2" s="182" t="s">
        <v>81</v>
      </c>
      <c r="F2" s="182"/>
      <c r="G2" s="182" t="s">
        <v>90</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 &amp;aAlmakos'</v>
      </c>
      <c r="F21" s="20"/>
      <c r="G21" s="20"/>
      <c r="H21" s="20"/>
      <c r="I21" s="20" t="str">
        <f>"  - '&amp;aVenta: &amp;6"&amp;(MAIN!$H$2+(MAIN!$C$18+MAIN!$C$19)/2*MAIN!$B$9+(MAIN!$C$20+MAIN!$C$21)/2*MAIN!$B$8+(MAIN!$C$58*MAIN!$B$11)+($C$2*MAIN!$B$10))/10&amp;" &amp;aAlmakos'"</f>
        <v xml:space="preserve">  - '&amp;aVenta: &amp;652 &amp;aAlmakos'</v>
      </c>
      <c r="J21" s="20"/>
      <c r="K21" s="20"/>
      <c r="L21" s="20"/>
      <c r="M21" s="20" t="str">
        <f>"  - '&amp;aVenta: &amp;6"&amp;(MAIN!$I$2+(MAIN!$C$18+MAIN!$C$19)/2*MAIN!$B$9+(MAIN!$C$20+MAIN!$C$21)/2*MAIN!$B$8+(MAIN!$C$58*MAIN!$B$11)+($C$2*MAIN!$B$10))/10&amp;" &amp;aAlmakos'"</f>
        <v xml:space="preserve">  - '&amp;aVenta: &amp;654 &amp;aAlmakos'</v>
      </c>
      <c r="N21" s="20"/>
      <c r="O21" s="20"/>
      <c r="P21" s="20"/>
      <c r="Q21" s="20" t="str">
        <f>"  - '&amp;aVenta: &amp;6"&amp;(MAIN!$J$2+(MAIN!$C$18+MAIN!$C$19)/2*MAIN!$B$9+(MAIN!$C$20+MAIN!$C$21)/2*MAIN!$B$8+(MAIN!$C$58*MAIN!$B$11)+($C$2*MAIN!$B$10))/10&amp;" &amp;aAlmakos'"</f>
        <v xml:space="preserve">  - '&amp;aVenta: &amp;658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Z148"/>
  <sheetViews>
    <sheetView workbookViewId="0">
      <selection activeCell="A35" sqref="A35"/>
    </sheetView>
  </sheetViews>
  <sheetFormatPr baseColWidth="10" defaultRowHeight="15"/>
  <sheetData>
    <row r="1" spans="1:26" ht="30.75" customHeight="1">
      <c r="A1" s="235" t="s">
        <v>19</v>
      </c>
      <c r="B1" s="235"/>
      <c r="C1" s="235" t="s">
        <v>70</v>
      </c>
      <c r="D1" s="235"/>
      <c r="E1" s="235" t="s">
        <v>80</v>
      </c>
      <c r="F1" s="235"/>
      <c r="G1" s="235" t="s">
        <v>89</v>
      </c>
      <c r="H1" s="235"/>
      <c r="I1" s="235" t="s">
        <v>283</v>
      </c>
      <c r="J1" s="235"/>
      <c r="K1" s="235" t="s">
        <v>285</v>
      </c>
      <c r="L1" s="235"/>
    </row>
    <row r="2" spans="1:26">
      <c r="A2" s="182" t="s">
        <v>36</v>
      </c>
      <c r="B2" s="182"/>
      <c r="C2" s="182">
        <f>'ECONOMIA &amp; PROFESIONES'!$N$3</f>
        <v>1</v>
      </c>
      <c r="D2" s="182"/>
      <c r="E2" s="182" t="s">
        <v>81</v>
      </c>
      <c r="F2" s="182"/>
      <c r="G2" s="182" t="s">
        <v>90</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&amp;651.6 &amp;aAlmakos'</v>
      </c>
      <c r="F21" s="20"/>
      <c r="G21" s="20"/>
      <c r="H21" s="20"/>
      <c r="I21" s="20" t="str">
        <f>"  - '&amp;aVenta: &amp;6"&amp;(MAIN!$H$3+(MAIN!$C$18+MAIN!$C$19)/2*MAIN!$B$9+(MAIN!$C$20+MAIN!$C$21)/2*MAIN!$B$8+(MAIN!$C$69*MAIN!$B$11)+($C$2*MAIN!$B$10))/10&amp;" &amp;aAlmakos'"</f>
        <v xml:space="preserve">  - '&amp;aVenta: &amp;653.2 &amp;aAlmakos'</v>
      </c>
      <c r="J21" s="20"/>
      <c r="K21" s="20"/>
      <c r="L21" s="20"/>
      <c r="M21" s="20" t="str">
        <f>"  - '&amp;aVenta: &amp;6"&amp;(MAIN!$I$3+(MAIN!$C$18+MAIN!$C$19)/2*MAIN!$B$9+(MAIN!$C$20+MAIN!$C$21)/2*MAIN!$B$8+(MAIN!$C$69*MAIN!$B$11)+($C$2*MAIN!$B$10))/10&amp;" &amp;aAlmakos'"</f>
        <v xml:space="preserve">  - '&amp;aVenta: &amp;656.4 &amp;aAlmakos'</v>
      </c>
      <c r="N21" s="20"/>
      <c r="O21" s="20"/>
      <c r="P21" s="20"/>
      <c r="Q21" s="20" t="str">
        <f>"  - '&amp;aVenta: &amp;6"&amp;(MAIN!$J$3+(MAIN!$C$18+MAIN!$C$19)/2*MAIN!$B$9+(MAIN!$C$20+MAIN!$C$21)/2*MAIN!$B$8+(MAIN!$C$69*MAIN!$B$11)+($C$2*MAIN!$B$10))/10&amp;" &amp;aAlmakos'"</f>
        <v xml:space="preserve">  - '&amp;aVenta: &amp;662.8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Z148"/>
  <sheetViews>
    <sheetView topLeftCell="A22" workbookViewId="0">
      <selection activeCell="A38" sqref="A38:XFD40"/>
    </sheetView>
  </sheetViews>
  <sheetFormatPr baseColWidth="10" defaultRowHeight="15"/>
  <sheetData>
    <row r="1" spans="1:26" ht="30.75" customHeight="1">
      <c r="A1" s="235" t="s">
        <v>19</v>
      </c>
      <c r="B1" s="235"/>
      <c r="C1" s="235" t="s">
        <v>70</v>
      </c>
      <c r="D1" s="235"/>
      <c r="E1" s="235" t="s">
        <v>80</v>
      </c>
      <c r="F1" s="235"/>
      <c r="G1" s="235" t="s">
        <v>89</v>
      </c>
      <c r="H1" s="235"/>
      <c r="I1" s="235" t="s">
        <v>283</v>
      </c>
      <c r="J1" s="235"/>
      <c r="K1" s="235" t="s">
        <v>285</v>
      </c>
      <c r="L1" s="235"/>
    </row>
    <row r="2" spans="1:26">
      <c r="A2" s="182" t="s">
        <v>36</v>
      </c>
      <c r="B2" s="182"/>
      <c r="C2" s="182">
        <f>'ECONOMIA &amp; PROFESIONES'!$N$3</f>
        <v>1</v>
      </c>
      <c r="D2" s="182"/>
      <c r="E2" s="182" t="s">
        <v>81</v>
      </c>
      <c r="F2" s="182"/>
      <c r="G2" s="182" t="s">
        <v>90</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&amp;651.4 &amp;aAlmakos'</v>
      </c>
      <c r="F21" s="20"/>
      <c r="G21" s="20"/>
      <c r="H21" s="20"/>
      <c r="I21" s="20" t="str">
        <f>"  - '&amp;aVenta: &amp;6"&amp;(MAIN!$H$4+(MAIN!$C$18+MAIN!$C$19)/2*MAIN!$B$9+(MAIN!$C$20+MAIN!$C$21)/2*MAIN!$B$8+(MAIN!$C$80*MAIN!$B$11)+($C$2*MAIN!$B$10))/10&amp;" &amp;aAlmakos'"</f>
        <v xml:space="preserve">  - '&amp;aVenta: &amp;652.8 &amp;aAlmakos'</v>
      </c>
      <c r="J21" s="20"/>
      <c r="K21" s="20"/>
      <c r="L21" s="20"/>
      <c r="M21" s="20" t="str">
        <f>"  - '&amp;aVenta: &amp;6"&amp;(MAIN!$I$4+(MAIN!$C$18+MAIN!$C$19)/2*MAIN!$B$9+(MAIN!$C$20+MAIN!$C$21)/2*MAIN!$B$8+(MAIN!$C$80*MAIN!$B$11)+($C$2*MAIN!$B$10))/10&amp;" &amp;aAlmakos'"</f>
        <v xml:space="preserve">  - '&amp;aVenta: &amp;655.6 &amp;aAlmakos'</v>
      </c>
      <c r="N21" s="20"/>
      <c r="O21" s="20"/>
      <c r="P21" s="20"/>
      <c r="Q21" s="20" t="str">
        <f>"  - '&amp;aVenta: &amp;6"&amp;(MAIN!$J$4+(MAIN!$C$18+MAIN!$C$19)/2*MAIN!$B$9+(MAIN!$C$20+MAIN!$C$21)/2*MAIN!$B$8+(MAIN!$C$80*MAIN!$B$11)+($C$2*MAIN!$B$10))/10&amp;" &amp;aAlmakos'"</f>
        <v xml:space="preserve">  - '&amp;aVenta: &amp;661.2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Z148"/>
  <sheetViews>
    <sheetView topLeftCell="A22" workbookViewId="0">
      <selection activeCell="A38" sqref="A38:XFD40"/>
    </sheetView>
  </sheetViews>
  <sheetFormatPr baseColWidth="10" defaultRowHeight="15"/>
  <sheetData>
    <row r="1" spans="1:26" ht="30.75" customHeight="1">
      <c r="A1" s="235" t="s">
        <v>19</v>
      </c>
      <c r="B1" s="235"/>
      <c r="C1" s="235" t="s">
        <v>70</v>
      </c>
      <c r="D1" s="235"/>
      <c r="E1" s="235" t="s">
        <v>80</v>
      </c>
      <c r="F1" s="235"/>
      <c r="G1" s="235" t="s">
        <v>89</v>
      </c>
      <c r="H1" s="235"/>
      <c r="I1" s="235" t="s">
        <v>283</v>
      </c>
      <c r="J1" s="235"/>
      <c r="K1" s="235" t="s">
        <v>285</v>
      </c>
      <c r="L1" s="235"/>
    </row>
    <row r="2" spans="1:26">
      <c r="A2" s="182" t="s">
        <v>36</v>
      </c>
      <c r="B2" s="182"/>
      <c r="C2" s="182">
        <f>'ECONOMIA &amp; PROFESIONES'!$N$3</f>
        <v>1</v>
      </c>
      <c r="D2" s="182"/>
      <c r="E2" s="182" t="s">
        <v>81</v>
      </c>
      <c r="F2" s="182"/>
      <c r="G2" s="182" t="s">
        <v>90</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&amp;650.8 &amp;aAlmakos'</v>
      </c>
      <c r="F21" s="20"/>
      <c r="G21" s="20"/>
      <c r="H21" s="20"/>
      <c r="I21" s="20" t="str">
        <f>"  - '&amp;aVenta: &amp;6"&amp;(MAIN!$H$5+(MAIN!$C$18+MAIN!$C$19)/2*MAIN!$B$9+(MAIN!$C$20+MAIN!$C$21)/2*MAIN!$B$8+(MAIN!$C$91*MAIN!$B$11)+($C$2*MAIN!$B$10))/10&amp;" &amp;aAlmakos'"</f>
        <v xml:space="preserve">  - '&amp;aVenta: &amp;651.6 &amp;aAlmakos'</v>
      </c>
      <c r="J21" s="20"/>
      <c r="K21" s="20"/>
      <c r="L21" s="20"/>
      <c r="M21" s="20" t="str">
        <f>"  - '&amp;aVenta: &amp;6"&amp;(MAIN!$I$5+(MAIN!$C$18+MAIN!$C$19)/2*MAIN!$B$9+(MAIN!$C$20+MAIN!$C$21)/2*MAIN!$B$8+(MAIN!$C$91*MAIN!$B$11)+($C$2*MAIN!$B$10))/10&amp;" &amp;aAlmakos'"</f>
        <v xml:space="preserve">  - '&amp;aVenta: &amp;653.2 &amp;aAlmakos'</v>
      </c>
      <c r="N21" s="20"/>
      <c r="O21" s="20"/>
      <c r="P21" s="20"/>
      <c r="Q21" s="20" t="str">
        <f>"  - '&amp;aVenta: &amp;6"&amp;(MAIN!$J$5+(MAIN!$C$18+MAIN!$C$19)/2*MAIN!$B$9+(MAIN!$C$20+MAIN!$C$21)/2*MAIN!$B$8+(MAIN!$C$91*MAIN!$B$11)+($C$2*MAIN!$B$10))/10&amp;" &amp;aAlmakos'"</f>
        <v xml:space="preserve">  - '&amp;aVenta: &amp;656.4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100</v>
      </c>
      <c r="B2" s="182"/>
      <c r="C2" s="182">
        <f>'ECONOMIA &amp; PROFESIONES'!$O$3</f>
        <v>3</v>
      </c>
      <c r="D2" s="182"/>
      <c r="E2" s="182" t="s">
        <v>81</v>
      </c>
      <c r="F2" s="182"/>
      <c r="G2" s="182" t="s">
        <v>97</v>
      </c>
      <c r="H2" s="182"/>
      <c r="I2" s="182" t="str">
        <f>MAIN!$J$42</f>
        <v>&amp;4Poder de Arma:</v>
      </c>
      <c r="J2" s="182"/>
      <c r="K2" s="182">
        <f>MAIN!$L$42</f>
        <v>2</v>
      </c>
      <c r="L2" s="182"/>
    </row>
    <row r="3" spans="1:26" ht="29.25" customHeight="1">
      <c r="A3" s="240" t="s">
        <v>7</v>
      </c>
      <c r="B3" s="240"/>
      <c r="C3" s="240"/>
      <c r="D3" s="240"/>
      <c r="E3" s="240" t="s">
        <v>8</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&amp;6205.4 &amp;aAlmakos'</v>
      </c>
      <c r="F43" s="20"/>
      <c r="G43" s="20"/>
      <c r="H43" s="20"/>
      <c r="I43" s="20" t="str">
        <f>"  - '&amp;aVenta: &amp;6"&amp;(MAIN!$D$4+(MAIN!$D$18+MAIN!$D$19)/2*MAIN!$B$9+(MAIN!$D$20+MAIN!$D$21)/2*MAIN!$B$8+(MAIN!$D$47*MAIN!$B$11)+($C$2*MAIN!$B$10))/10&amp;" &amp;aAlmakos'"</f>
        <v xml:space="preserve">  - '&amp;aVenta: &amp;6205.8 &amp;aAlmakos'</v>
      </c>
      <c r="J43" s="20"/>
      <c r="K43" s="20"/>
      <c r="L43" s="20"/>
      <c r="M43" s="20" t="str">
        <f>"  - '&amp;aVenta: &amp;6"&amp;(MAIN!$D$5+(MAIN!$D$18+MAIN!$D$19)/2*MAIN!$B$9+(MAIN!$D$20+MAIN!$D$21)/2*MAIN!$B$8+(MAIN!$D$47*MAIN!$B$11)+($C$2*MAIN!$B$10))/10&amp;" &amp;aAlmakos'"</f>
        <v xml:space="preserve">  - '&amp;aVenta: &amp;6206.6 &amp;aAlmakos'</v>
      </c>
      <c r="N43" s="20"/>
      <c r="O43" s="20"/>
      <c r="P43" s="20"/>
      <c r="Q43" s="20" t="str">
        <f>"  - '&amp;aVenta: &amp;6"&amp;(MAIN!$D$6+(MAIN!$D$18+MAIN!$D$19)/2*MAIN!$B$9+(MAIN!$D$20+MAIN!$D$21)/2*MAIN!$B$8+(MAIN!$D$47*MAIN!$B$11)+($C$2*MAIN!$B$10))/10&amp;" &amp;aAlmakos'"</f>
        <v xml:space="preserve">  - '&amp;aVenta: &amp;6208.2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100</v>
      </c>
      <c r="B2" s="182"/>
      <c r="C2" s="182">
        <f>'ECONOMIA &amp; PROFESIONES'!$O$3</f>
        <v>3</v>
      </c>
      <c r="D2" s="182"/>
      <c r="E2" s="182" t="s">
        <v>81</v>
      </c>
      <c r="F2" s="182"/>
      <c r="G2" s="182" t="s">
        <v>97</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&amp;6213.5 &amp;aAlmakos'</v>
      </c>
      <c r="F42" s="20"/>
      <c r="G42" s="20"/>
      <c r="H42" s="20"/>
      <c r="I42" s="20" t="str">
        <f>"  - '&amp;aVenta: &amp;6"&amp;(MAIN!$H$2+(MAIN!$D$18+MAIN!$D$19)/2*MAIN!$B$9+(MAIN!$D$20+MAIN!$D$21)/2*MAIN!$B$8+(MAIN!$D$58*MAIN!$B$11)+($C$2*MAIN!$B$10))/10&amp;" &amp;aAlmakos'"</f>
        <v xml:space="preserve">  - '&amp;aVenta: &amp;6214.5 &amp;aAlmakos'</v>
      </c>
      <c r="J42" s="20"/>
      <c r="K42" s="20"/>
      <c r="L42" s="20"/>
      <c r="M42" s="20" t="str">
        <f>"  - '&amp;aVenta: &amp;6"&amp;(MAIN!$I$2+(MAIN!$D$18+MAIN!$D$19)/2*MAIN!$B$9+(MAIN!$D$20+MAIN!$D$21)/2*MAIN!$B$8+(MAIN!$D$58*MAIN!$B$11)+($C$2*MAIN!$B$10))/10&amp;" &amp;aAlmakos'"</f>
        <v xml:space="preserve">  - '&amp;aVenta: &amp;6216.5 &amp;aAlmakos'</v>
      </c>
      <c r="N42" s="20"/>
      <c r="O42" s="20"/>
      <c r="P42" s="20"/>
      <c r="Q42" s="20" t="str">
        <f>"  - '&amp;aVenta: &amp;6"&amp;(MAIN!$J$2+(MAIN!$D$18+MAIN!$D$19)/2*MAIN!$B$9+(MAIN!$D$20+MAIN!$D$21)/2*MAIN!$B$8+(MAIN!$D$58*MAIN!$B$11)+($C$2*MAIN!$B$10))/10&amp;" &amp;aAlmakos'"</f>
        <v xml:space="preserve">  - '&amp;aVenta: &amp;6220.5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100</v>
      </c>
      <c r="B2" s="182"/>
      <c r="C2" s="182">
        <f>'ECONOMIA &amp; PROFESIONES'!$O$3</f>
        <v>3</v>
      </c>
      <c r="D2" s="182"/>
      <c r="E2" s="182" t="s">
        <v>81</v>
      </c>
      <c r="F2" s="182"/>
      <c r="G2" s="182" t="s">
        <v>97</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&amp;6221.6 &amp;aAlmakos'</v>
      </c>
      <c r="F42" s="20"/>
      <c r="G42" s="20"/>
      <c r="H42" s="20"/>
      <c r="I42" s="20" t="str">
        <f>"  - '&amp;aVenta: &amp;6"&amp;(MAIN!$H$3+(MAIN!$D$18+MAIN!$D$19)/2*MAIN!$B$9+(MAIN!$D$20+MAIN!$D$21)/2*MAIN!$B$8+(MAIN!$D$69*MAIN!$B$11)+($C$2*MAIN!$B$10))/10&amp;" &amp;aAlmakos'"</f>
        <v xml:space="preserve">  - '&amp;aVenta: &amp;6223.2 &amp;aAlmakos'</v>
      </c>
      <c r="J42" s="20"/>
      <c r="K42" s="20"/>
      <c r="L42" s="20"/>
      <c r="M42" s="20" t="str">
        <f>"  - '&amp;aVenta: &amp;6"&amp;(MAIN!$I$3+(MAIN!$D$18+MAIN!$D$19)/2*MAIN!$B$9+(MAIN!$D$20+MAIN!$D$21)/2*MAIN!$B$8+(MAIN!$D$69*MAIN!$B$11)+($C$2*MAIN!$B$10))/10&amp;" &amp;aAlmakos'"</f>
        <v xml:space="preserve">  - '&amp;aVenta: &amp;6226.4 &amp;aAlmakos'</v>
      </c>
      <c r="N42" s="20"/>
      <c r="O42" s="20"/>
      <c r="P42" s="20"/>
      <c r="Q42" s="20" t="str">
        <f>"  - '&amp;aVenta: &amp;6"&amp;(MAIN!$J$3+(MAIN!$D$18+MAIN!$D$19)/2*MAIN!$B$9+(MAIN!$D$20+MAIN!$D$21)/2*MAIN!$B$8+(MAIN!$D$69*MAIN!$B$11)+($C$2*MAIN!$B$10))/10&amp;" &amp;aAlmakos'"</f>
        <v xml:space="preserve">  - '&amp;aVenta: &amp;6232.8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100</v>
      </c>
      <c r="B2" s="182"/>
      <c r="C2" s="182">
        <f>'ECONOMIA &amp; PROFESIONES'!$O$3</f>
        <v>3</v>
      </c>
      <c r="D2" s="182"/>
      <c r="E2" s="182" t="s">
        <v>81</v>
      </c>
      <c r="F2" s="182"/>
      <c r="G2" s="182" t="s">
        <v>97</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&amp;6218.9 &amp;aAlmakos'</v>
      </c>
      <c r="F42" s="20"/>
      <c r="G42" s="20"/>
      <c r="H42" s="20"/>
      <c r="I42" s="20" t="str">
        <f>"  - '&amp;aVenta: &amp;6"&amp;(MAIN!$H$4+(MAIN!$D$18+MAIN!$D$19)/2*MAIN!$B$9+(MAIN!$D$20+MAIN!$D$21)/2*MAIN!$B$8+(MAIN!$D$80*MAIN!$B$11)+($C$2*MAIN!$B$10))/10&amp;" &amp;aAlmakos'"</f>
        <v xml:space="preserve">  - '&amp;aVenta: &amp;6220.3 &amp;aAlmakos'</v>
      </c>
      <c r="J42" s="20"/>
      <c r="K42" s="20"/>
      <c r="L42" s="20"/>
      <c r="M42" s="20" t="str">
        <f>"  - '&amp;aVenta: &amp;6"&amp;(MAIN!$I$4+(MAIN!$D$18+MAIN!$D$19)/2*MAIN!$B$9+(MAIN!$D$20+MAIN!$D$21)/2*MAIN!$B$8+(MAIN!$D$80*MAIN!$B$11)+($C$2*MAIN!$B$10))/10&amp;" &amp;aAlmakos'"</f>
        <v xml:space="preserve">  - '&amp;aVenta: &amp;6223.1 &amp;aAlmakos'</v>
      </c>
      <c r="N42" s="20"/>
      <c r="O42" s="20"/>
      <c r="P42" s="20"/>
      <c r="Q42" s="20" t="str">
        <f>"  - '&amp;aVenta: &amp;6"&amp;(MAIN!$J$4+(MAIN!$D$18+MAIN!$D$19)/2*MAIN!$B$9+(MAIN!$D$20+MAIN!$D$21)/2*MAIN!$B$8+(MAIN!$D$80*MAIN!$B$11)+($C$2*MAIN!$B$10))/10&amp;" &amp;aAlmakos'"</f>
        <v xml:space="preserve">  - '&amp;aVenta: &amp;6228.7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100</v>
      </c>
      <c r="B2" s="182"/>
      <c r="C2" s="182">
        <f>'ECONOMIA &amp; PROFESIONES'!$O$3</f>
        <v>3</v>
      </c>
      <c r="D2" s="182"/>
      <c r="E2" s="182" t="s">
        <v>81</v>
      </c>
      <c r="F2" s="182"/>
      <c r="G2" s="182" t="s">
        <v>97</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&amp;6210.8 &amp;aAlmakos'</v>
      </c>
      <c r="F42" s="20"/>
      <c r="G42" s="20"/>
      <c r="H42" s="20"/>
      <c r="I42" s="20" t="str">
        <f>"  - '&amp;aVenta: &amp;6"&amp;(MAIN!$H$5+(MAIN!$D$18+MAIN!$D$19)/2*MAIN!$B$9+(MAIN!$D$20+MAIN!$D$21)/2*MAIN!$B$8+(MAIN!$D$91*MAIN!$B$11)+($C$2*MAIN!$B$10))/10&amp;" &amp;aAlmakos'"</f>
        <v xml:space="preserve">  - '&amp;aVenta: &amp;6211.6 &amp;aAlmakos'</v>
      </c>
      <c r="J42" s="20"/>
      <c r="K42" s="20"/>
      <c r="L42" s="20"/>
      <c r="M42" s="20" t="str">
        <f>"  - '&amp;aVenta: &amp;6"&amp;(MAIN!$I$5+(MAIN!$D$18+MAIN!$D$19)/2*MAIN!$B$9+(MAIN!$D$20+MAIN!$D$21)/2*MAIN!$B$8+(MAIN!$D$91*MAIN!$B$11)+($C$2*MAIN!$B$10))/10&amp;" &amp;aAlmakos'"</f>
        <v xml:space="preserve">  - '&amp;aVenta: &amp;6213.2 &amp;aAlmakos'</v>
      </c>
      <c r="N42" s="20"/>
      <c r="O42" s="20"/>
      <c r="P42" s="20"/>
      <c r="Q42" s="20" t="str">
        <f>"  - '&amp;aVenta: &amp;6"&amp;(MAIN!$J$5+(MAIN!$D$18+MAIN!$D$19)/2*MAIN!$B$9+(MAIN!$D$20+MAIN!$D$21)/2*MAIN!$B$8+(MAIN!$D$91*MAIN!$B$11)+($C$2*MAIN!$B$10))/10&amp;" &amp;aAlmakos'"</f>
        <v xml:space="preserve">  - '&amp;aVenta: &amp;6216.4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102</v>
      </c>
      <c r="B2" s="182"/>
      <c r="C2" s="182">
        <f>'ECONOMIA &amp; PROFESIONES'!$P$3</f>
        <v>5</v>
      </c>
      <c r="D2" s="182"/>
      <c r="E2" s="182" t="s">
        <v>81</v>
      </c>
      <c r="F2" s="182"/>
      <c r="G2" s="182" t="s">
        <v>103</v>
      </c>
      <c r="H2" s="182"/>
      <c r="I2" s="182" t="str">
        <f>MAIN!$J$42</f>
        <v>&amp;4Poder de Arma:</v>
      </c>
      <c r="J2" s="182"/>
      <c r="K2" s="182">
        <f>MAIN!$L$42</f>
        <v>2</v>
      </c>
      <c r="L2" s="182"/>
    </row>
    <row r="3" spans="1:26" ht="29.25" customHeight="1">
      <c r="A3" s="240" t="s">
        <v>7</v>
      </c>
      <c r="B3" s="240"/>
      <c r="C3" s="240"/>
      <c r="D3" s="240"/>
      <c r="E3" s="240" t="s">
        <v>8</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&amp;6365.4 &amp;aAlmakos'</v>
      </c>
      <c r="F62" s="20"/>
      <c r="G62" s="20"/>
      <c r="H62" s="20"/>
      <c r="I62" s="20" t="str">
        <f>"  - '&amp;aVenta: &amp;6"&amp;(MAIN!$D$4+(MAIN!$E$18+MAIN!$E$19)/2*MAIN!$B$9+(MAIN!$E$20+MAIN!$E$21)/2*MAIN!$B$8+(MAIN!$E$47*MAIN!$B$11)+($C$2*MAIN!$B$10))/10&amp;" &amp;aAlmakos'"</f>
        <v xml:space="preserve">  - '&amp;aVenta: &amp;6365.8 &amp;aAlmakos'</v>
      </c>
      <c r="J62" s="20"/>
      <c r="K62" s="20"/>
      <c r="L62" s="20"/>
      <c r="M62" s="20" t="str">
        <f>"  - '&amp;aVenta: &amp;6"&amp;(MAIN!$D$5+(MAIN!$E$18+MAIN!$E$19)/2*MAIN!$B$9+(MAIN!$E$20+MAIN!$E$21)/2*MAIN!$B$8+(MAIN!$E$47*MAIN!$B$11)+($C$2*MAIN!$B$10))/10&amp;" &amp;aAlmakos'"</f>
        <v xml:space="preserve">  - '&amp;aVenta: &amp;6366.6 &amp;aAlmakos'</v>
      </c>
      <c r="N62" s="20"/>
      <c r="O62" s="20"/>
      <c r="P62" s="20"/>
      <c r="Q62" s="20" t="str">
        <f>"  - '&amp;aVenta: &amp;6"&amp;(MAIN!$D$6+(MAIN!$E$18+MAIN!$E$19)/2*MAIN!$B$9+(MAIN!$E$20+MAIN!$E$21)/2*MAIN!$B$8+(MAIN!$E$47*MAIN!$B$11)+($C$2*MAIN!$B$10))/10&amp;" &amp;aAlmakos'"</f>
        <v xml:space="preserve">  - '&amp;aVenta: &amp;6368.2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102</v>
      </c>
      <c r="B2" s="182"/>
      <c r="C2" s="182">
        <f>'ECONOMIA &amp; PROFESIONES'!$P$3</f>
        <v>5</v>
      </c>
      <c r="D2" s="182"/>
      <c r="E2" s="182" t="s">
        <v>81</v>
      </c>
      <c r="F2" s="182"/>
      <c r="G2" s="182" t="s">
        <v>103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&amp;6388.5 &amp;aAlmakos'</v>
      </c>
      <c r="F62" s="20"/>
      <c r="G62" s="20"/>
      <c r="H62" s="20"/>
      <c r="I62" s="20" t="str">
        <f>"  - '&amp;aVenta: &amp;6"&amp;(MAIN!$H$2+(MAIN!$E$18+MAIN!$E$19)/2*MAIN!$B$9+(MAIN!$E$20+MAIN!$E$21)/2*MAIN!$B$8+(MAIN!$E$58*MAIN!$B$11)+($C$2*MAIN!$B$10))/10&amp;" &amp;aAlmakos'"</f>
        <v xml:space="preserve">  - '&amp;aVenta: &amp;6389.5 &amp;aAlmakos'</v>
      </c>
      <c r="J62" s="20"/>
      <c r="K62" s="20"/>
      <c r="L62" s="20"/>
      <c r="M62" s="20" t="str">
        <f>"  - '&amp;aVenta: &amp;6"&amp;(MAIN!$I$2+(MAIN!$E$18+MAIN!$E$19)/2*MAIN!$B$9+(MAIN!$E$20+MAIN!$E$21)/2*MAIN!$B$8+(MAIN!$E$58*MAIN!$B$11)+($C$2*MAIN!$B$10))/10&amp;" &amp;aAlmakos'"</f>
        <v xml:space="preserve">  - '&amp;aVenta: &amp;6391.5 &amp;aAlmakos'</v>
      </c>
      <c r="N62" s="20"/>
      <c r="O62" s="20"/>
      <c r="P62" s="20"/>
      <c r="Q62" s="20" t="str">
        <f>"  - '&amp;aVenta: &amp;6"&amp;(MAIN!$J$2+(MAIN!$E$18+MAIN!$E$19)/2*MAIN!$B$9+(MAIN!$E$20+MAIN!$E$21)/2*MAIN!$B$8+(MAIN!$E$58*MAIN!$B$11)+($C$2*MAIN!$B$10))/10&amp;" &amp;aAlmakos'"</f>
        <v xml:space="preserve">  - '&amp;aVenta: &amp;6395.5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102</v>
      </c>
      <c r="B2" s="182"/>
      <c r="C2" s="182">
        <f>'ECONOMIA &amp; PROFESIONES'!$P$3</f>
        <v>5</v>
      </c>
      <c r="D2" s="182"/>
      <c r="E2" s="182" t="s">
        <v>81</v>
      </c>
      <c r="F2" s="182"/>
      <c r="G2" s="182" t="s">
        <v>103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&amp;6411.6 &amp;aAlmakos'</v>
      </c>
      <c r="F62" s="20"/>
      <c r="G62" s="20"/>
      <c r="H62" s="20"/>
      <c r="I62" s="20" t="str">
        <f>"  - '&amp;aVenta: &amp;6"&amp;(MAIN!$H$3+(MAIN!$E$18+MAIN!$E$19)/2*MAIN!$B$9+(MAIN!$E$20+MAIN!$E$21)/2*MAIN!$B$8+(MAIN!$E$69*MAIN!$B$11)+($C$2*MAIN!$B$10))/10&amp;" &amp;aAlmakos'"</f>
        <v xml:space="preserve">  - '&amp;aVenta: &amp;6413.2 &amp;aAlmakos'</v>
      </c>
      <c r="J62" s="20"/>
      <c r="K62" s="20"/>
      <c r="L62" s="20"/>
      <c r="M62" s="20" t="str">
        <f>"  - '&amp;aVenta: &amp;6"&amp;(MAIN!$I$3+(MAIN!$E$18+MAIN!$E$19)/2*MAIN!$B$9+(MAIN!$E$20+MAIN!$E$21)/2*MAIN!$B$8+(MAIN!$E$69*MAIN!$B$11)+($C$2*MAIN!$B$10))/10&amp;" &amp;aAlmakos'"</f>
        <v xml:space="preserve">  - '&amp;aVenta: &amp;6416.4 &amp;aAlmakos'</v>
      </c>
      <c r="N62" s="20"/>
      <c r="O62" s="20"/>
      <c r="P62" s="20"/>
      <c r="Q62" s="20" t="str">
        <f>"  - '&amp;aVenta: &amp;6"&amp;(MAIN!$J$3+(MAIN!$E$18+MAIN!$E$19)/2*MAIN!$B$9+(MAIN!$E$20+MAIN!$E$21)/2*MAIN!$B$8+(MAIN!$E$69*MAIN!$B$11)+($C$2*MAIN!$B$10))/10&amp;" &amp;aAlmakos'"</f>
        <v xml:space="preserve">  - '&amp;aVenta: &amp;6422.8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102</v>
      </c>
      <c r="B2" s="182"/>
      <c r="C2" s="182">
        <f>'ECONOMIA &amp; PROFESIONES'!$P$3</f>
        <v>5</v>
      </c>
      <c r="D2" s="182"/>
      <c r="E2" s="182" t="s">
        <v>81</v>
      </c>
      <c r="F2" s="182"/>
      <c r="G2" s="182" t="s">
        <v>103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&amp;6403.9 &amp;aAlmakos'</v>
      </c>
      <c r="F62" s="20"/>
      <c r="G62" s="20"/>
      <c r="H62" s="20"/>
      <c r="I62" s="20" t="str">
        <f>"  - '&amp;aVenta: &amp;6"&amp;(MAIN!$H$4+(MAIN!$E$18+MAIN!$E$19)/2*MAIN!$B$9+(MAIN!$E$20+MAIN!$E$21)/2*MAIN!$B$8+(MAIN!$E$80*MAIN!$B$11)+($C$2*MAIN!$B$10))/10&amp;" &amp;aAlmakos'"</f>
        <v xml:space="preserve">  - '&amp;aVenta: &amp;6405.3 &amp;aAlmakos'</v>
      </c>
      <c r="J62" s="20"/>
      <c r="K62" s="20"/>
      <c r="L62" s="20"/>
      <c r="M62" s="20" t="str">
        <f>"  - '&amp;aVenta: &amp;6"&amp;(MAIN!$I$4+(MAIN!$E$18+MAIN!$E$19)/2*MAIN!$B$9+(MAIN!$E$20+MAIN!$E$21)/2*MAIN!$B$8+(MAIN!$E$80*MAIN!$B$11)+($C$2*MAIN!$B$10))/10&amp;" &amp;aAlmakos'"</f>
        <v xml:space="preserve">  - '&amp;aVenta: &amp;6408.1 &amp;aAlmakos'</v>
      </c>
      <c r="N62" s="20"/>
      <c r="O62" s="20"/>
      <c r="P62" s="20"/>
      <c r="Q62" s="20" t="str">
        <f>"  - '&amp;aVenta: &amp;6"&amp;(MAIN!$J$4+(MAIN!$E$18+MAIN!$E$19)/2*MAIN!$B$9+(MAIN!$E$20+MAIN!$E$21)/2*MAIN!$B$8+(MAIN!$E$80*MAIN!$B$11)+($C$2*MAIN!$B$10))/10&amp;" &amp;aAlmakos'"</f>
        <v xml:space="preserve">  - '&amp;aVenta: &amp;6413.7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102</v>
      </c>
      <c r="B2" s="182"/>
      <c r="C2" s="182">
        <f>'ECONOMIA &amp; PROFESIONES'!$P$3</f>
        <v>5</v>
      </c>
      <c r="D2" s="182"/>
      <c r="E2" s="182" t="s">
        <v>81</v>
      </c>
      <c r="F2" s="182"/>
      <c r="G2" s="182" t="s">
        <v>103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&amp;6380.8 &amp;aAlmakos'</v>
      </c>
      <c r="F62" s="20"/>
      <c r="G62" s="20"/>
      <c r="H62" s="20"/>
      <c r="I62" s="20" t="str">
        <f>"  - '&amp;aVenta: &amp;6"&amp;(MAIN!$H$5+(MAIN!$E$18+MAIN!$E$19)/2*MAIN!$B$9+(MAIN!$E$20+MAIN!$E$21)/2*MAIN!$B$8+(MAIN!$E$91*MAIN!$B$11)+($C$2*MAIN!$B$10))/10&amp;" &amp;aAlmakos'"</f>
        <v xml:space="preserve">  - '&amp;aVenta: &amp;6381.6 &amp;aAlmakos'</v>
      </c>
      <c r="J62" s="20"/>
      <c r="K62" s="20"/>
      <c r="L62" s="20"/>
      <c r="M62" s="20" t="str">
        <f>"  - '&amp;aVenta: &amp;6"&amp;(MAIN!$I$5+(MAIN!$E$18+MAIN!$E$19)/2*MAIN!$B$9+(MAIN!$E$20+MAIN!$E$21)/2*MAIN!$B$8+(MAIN!$E$91*MAIN!$B$11)+($C$2*MAIN!$B$10))/10&amp;" &amp;aAlmakos'"</f>
        <v xml:space="preserve">  - '&amp;aVenta: &amp;6383.2 &amp;aAlmakos'</v>
      </c>
      <c r="N62" s="20"/>
      <c r="O62" s="20"/>
      <c r="P62" s="20"/>
      <c r="Q62" s="20" t="str">
        <f>"  - '&amp;aVenta: &amp;6"&amp;(MAIN!$J$5+(MAIN!$E$18+MAIN!$E$19)/2*MAIN!$B$9+(MAIN!$E$20+MAIN!$E$21)/2*MAIN!$B$8+(MAIN!$E$91*MAIN!$B$11)+($C$2*MAIN!$B$10))/10&amp;" &amp;aAlmakos'"</f>
        <v xml:space="preserve">  - '&amp;aVenta: &amp;6386.4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104</v>
      </c>
      <c r="B2" s="182"/>
      <c r="C2" s="182">
        <f>'ECONOMIA &amp; PROFESIONES'!$Q$3</f>
        <v>7</v>
      </c>
      <c r="D2" s="182"/>
      <c r="E2" s="182" t="s">
        <v>81</v>
      </c>
      <c r="F2" s="182"/>
      <c r="G2" s="182" t="s">
        <v>3</v>
      </c>
      <c r="H2" s="182"/>
      <c r="I2" s="182" t="str">
        <f>MAIN!$J$42</f>
        <v>&amp;4Poder de Arma:</v>
      </c>
      <c r="J2" s="182"/>
      <c r="K2" s="182">
        <f>MAIN!$L$42</f>
        <v>2</v>
      </c>
      <c r="L2" s="182"/>
    </row>
    <row r="3" spans="1:26" ht="29.25" customHeight="1">
      <c r="A3" s="240" t="s">
        <v>7</v>
      </c>
      <c r="B3" s="240"/>
      <c r="C3" s="240"/>
      <c r="D3" s="240"/>
      <c r="E3" s="240" t="s">
        <v>8</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&amp;6525.4 &amp;aAlmakos'</v>
      </c>
      <c r="F62" s="20"/>
      <c r="G62" s="20"/>
      <c r="H62" s="20"/>
      <c r="I62" s="20" t="str">
        <f>"  - '&amp;aVenta: &amp;6"&amp;(MAIN!$D$4+(MAIN!$F$18+MAIN!$F$19)/2*MAIN!$B$9+(MAIN!$F$20+MAIN!$F$21)/2*MAIN!$B$8+(MAIN!$F$47*MAIN!$B$11)+($C$2*MAIN!$B$10))/10&amp;" &amp;aAlmakos'"</f>
        <v xml:space="preserve">  - '&amp;aVenta: &amp;6525.8 &amp;aAlmakos'</v>
      </c>
      <c r="J62" s="20"/>
      <c r="K62" s="20"/>
      <c r="L62" s="20"/>
      <c r="M62" s="20" t="str">
        <f>"  - '&amp;aVenta: &amp;6"&amp;(MAIN!$D$5+(MAIN!$F$18+MAIN!$F$19)/2*MAIN!$B$9+(MAIN!$F$20+MAIN!$F$21)/2*MAIN!$B$8+(MAIN!$F$47*MAIN!$B$11)+($C$2*MAIN!$B$10))/10&amp;" &amp;aAlmakos'"</f>
        <v xml:space="preserve">  - '&amp;aVenta: &amp;6526.6 &amp;aAlmakos'</v>
      </c>
      <c r="N62" s="20"/>
      <c r="O62" s="20"/>
      <c r="P62" s="20"/>
      <c r="Q62" s="20" t="str">
        <f>"  - '&amp;aVenta: &amp;6"&amp;(MAIN!$D$6+(MAIN!$F$18+MAIN!$F$19)/2*MAIN!$B$9+(MAIN!$F$20+MAIN!$F$21)/2*MAIN!$B$8+(MAIN!$F$47*MAIN!$B$11)+($C$2*MAIN!$B$10))/10&amp;" &amp;aAlmakos'"</f>
        <v xml:space="preserve">  - '&amp;aVenta: &amp;6528.2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104</v>
      </c>
      <c r="B2" s="182"/>
      <c r="C2" s="182">
        <f>'ECONOMIA &amp; PROFESIONES'!$Q$3</f>
        <v>7</v>
      </c>
      <c r="D2" s="182"/>
      <c r="E2" s="182" t="s">
        <v>81</v>
      </c>
      <c r="F2" s="182"/>
      <c r="G2" s="182" t="s">
        <v>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&amp;6563.5 &amp;aAlmakos'</v>
      </c>
      <c r="F62" s="20"/>
      <c r="G62" s="20"/>
      <c r="H62" s="20"/>
      <c r="I62" s="20" t="str">
        <f>"  - '&amp;aVenta: &amp;6"&amp;(MAIN!$H$2+(MAIN!$F$18+MAIN!$F$19)/2*MAIN!$B$9+(MAIN!$F$20+MAIN!$F$21)/2*MAIN!$B$8+(MAIN!$F$58*MAIN!$B$11)+($C$2*MAIN!$B$10))/10&amp;" &amp;aAlmakos'"</f>
        <v xml:space="preserve">  - '&amp;aVenta: &amp;6564.5 &amp;aAlmakos'</v>
      </c>
      <c r="J62" s="20"/>
      <c r="K62" s="20"/>
      <c r="L62" s="20"/>
      <c r="M62" s="20" t="str">
        <f>"  - '&amp;aVenta: &amp;6"&amp;(MAIN!$I$2+(MAIN!$F$18+MAIN!$F$19)/2*MAIN!$B$9+(MAIN!$F$20+MAIN!$F$21)/2*MAIN!$B$8+(MAIN!$F$58*MAIN!$B$11)+($C$2*MAIN!$B$10))/10&amp;" &amp;aAlmakos'"</f>
        <v xml:space="preserve">  - '&amp;aVenta: &amp;6566.5 &amp;aAlmakos'</v>
      </c>
      <c r="N62" s="20"/>
      <c r="O62" s="20"/>
      <c r="P62" s="20"/>
      <c r="Q62" s="20" t="str">
        <f>"  - '&amp;aVenta: &amp;6"&amp;(MAIN!$J$2+(MAIN!$F$18+MAIN!$F$19)/2*MAIN!$B$9+(MAIN!$F$20+MAIN!$F$21)/2*MAIN!$B$8+(MAIN!$F$58*MAIN!$B$11)+($C$2*MAIN!$B$10))/10&amp;" &amp;aAlmakos'"</f>
        <v xml:space="preserve">  - '&amp;aVenta: &amp;6570.5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104</v>
      </c>
      <c r="B2" s="182"/>
      <c r="C2" s="182">
        <f>'ECONOMIA &amp; PROFESIONES'!$Q$3</f>
        <v>7</v>
      </c>
      <c r="D2" s="182"/>
      <c r="E2" s="182" t="s">
        <v>81</v>
      </c>
      <c r="F2" s="182"/>
      <c r="G2" s="182" t="s">
        <v>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&amp;6601.6 &amp;aAlmakos'</v>
      </c>
      <c r="F62" s="20"/>
      <c r="G62" s="20"/>
      <c r="H62" s="20"/>
      <c r="I62" s="20" t="str">
        <f>"  - '&amp;aVenta: &amp;6"&amp;(MAIN!$H$3+(MAIN!$F$18+MAIN!$F$19)/2*MAIN!$B$9+(MAIN!$F$20+MAIN!$F$21)/2*MAIN!$B$8+(MAIN!$F$69*MAIN!$B$11)+($C$2*MAIN!$B$10))/10&amp;" &amp;aAlmakos'"</f>
        <v xml:space="preserve">  - '&amp;aVenta: &amp;6603.2 &amp;aAlmakos'</v>
      </c>
      <c r="J62" s="20"/>
      <c r="K62" s="20"/>
      <c r="L62" s="20"/>
      <c r="M62" s="20" t="str">
        <f>"  - '&amp;aVenta: &amp;6"&amp;(MAIN!$I$3+(MAIN!$F$18+MAIN!$F$19)/2*MAIN!$B$9+(MAIN!$F$20+MAIN!$F$21)/2*MAIN!$B$8+(MAIN!$F$69*MAIN!$B$11)+($C$2*MAIN!$B$10))/10&amp;" &amp;aAlmakos'"</f>
        <v xml:space="preserve">  - '&amp;aVenta: &amp;6606.4 &amp;aAlmakos'</v>
      </c>
      <c r="N62" s="20"/>
      <c r="O62" s="20"/>
      <c r="P62" s="20"/>
      <c r="Q62" s="20" t="str">
        <f>"  - '&amp;aVenta: &amp;6"&amp;(MAIN!$J$3+(MAIN!$F$18+MAIN!$F$19)/2*MAIN!$B$9+(MAIN!$F$20+MAIN!$F$21)/2*MAIN!$B$8+(MAIN!$F$69*MAIN!$B$11)+($C$2*MAIN!$B$10))/10&amp;" &amp;aAlmakos'"</f>
        <v xml:space="preserve">  - '&amp;aVenta: &amp;6612.8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104</v>
      </c>
      <c r="B2" s="182"/>
      <c r="C2" s="182">
        <f>'ECONOMIA &amp; PROFESIONES'!$Q$3</f>
        <v>7</v>
      </c>
      <c r="D2" s="182"/>
      <c r="E2" s="182" t="s">
        <v>81</v>
      </c>
      <c r="F2" s="182"/>
      <c r="G2" s="182" t="s">
        <v>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&amp;6588.9 &amp;aAlmakos'</v>
      </c>
      <c r="F62" s="20"/>
      <c r="G62" s="20"/>
      <c r="H62" s="20"/>
      <c r="I62" s="20" t="str">
        <f>"  - '&amp;aVenta: &amp;6"&amp;(MAIN!$H$4+(MAIN!$F$18+MAIN!$F$19)/2*MAIN!$B$9+(MAIN!$F$20+MAIN!$F$21)/2*MAIN!$B$8+(MAIN!$F$80*MAIN!$B$11)+($C$2*MAIN!$B$10))/10&amp;" &amp;aAlmakos'"</f>
        <v xml:space="preserve">  - '&amp;aVenta: &amp;6590.3 &amp;aAlmakos'</v>
      </c>
      <c r="J62" s="20"/>
      <c r="K62" s="20"/>
      <c r="L62" s="20"/>
      <c r="M62" s="20" t="str">
        <f>"  - '&amp;aVenta: &amp;6"&amp;(MAIN!$I$4+(MAIN!$F$18+MAIN!$F$19)/2*MAIN!$B$9+(MAIN!$F$20+MAIN!$F$21)/2*MAIN!$B$8+(MAIN!$F$80*MAIN!$B$11)+($C$2*MAIN!$B$10))/10&amp;" &amp;aAlmakos'"</f>
        <v xml:space="preserve">  - '&amp;aVenta: &amp;6593.1 &amp;aAlmakos'</v>
      </c>
      <c r="N62" s="20"/>
      <c r="O62" s="20"/>
      <c r="P62" s="20"/>
      <c r="Q62" s="20" t="str">
        <f>"  - '&amp;aVenta: &amp;6"&amp;(MAIN!$J$4+(MAIN!$F$18+MAIN!$F$19)/2*MAIN!$B$9+(MAIN!$F$20+MAIN!$F$21)/2*MAIN!$B$8+(MAIN!$F$80*MAIN!$B$11)+($C$2*MAIN!$B$10))/10&amp;" &amp;aAlmakos'"</f>
        <v xml:space="preserve">  - '&amp;aVenta: &amp;6598.7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104</v>
      </c>
      <c r="B2" s="182"/>
      <c r="C2" s="182">
        <f>'ECONOMIA &amp; PROFESIONES'!$Q$3</f>
        <v>7</v>
      </c>
      <c r="D2" s="182"/>
      <c r="E2" s="182" t="s">
        <v>81</v>
      </c>
      <c r="F2" s="182"/>
      <c r="G2" s="182" t="s">
        <v>3</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&amp;6550.8 &amp;aAlmakos'</v>
      </c>
      <c r="F62" s="20"/>
      <c r="G62" s="20"/>
      <c r="H62" s="20"/>
      <c r="I62" s="20" t="str">
        <f>"  - '&amp;aVenta: &amp;6"&amp;(MAIN!$H$5+(MAIN!$F$18+MAIN!$F$19)/2*MAIN!$B$9+(MAIN!$F$20+MAIN!$F$21)/2*MAIN!$B$8+(MAIN!$F$91*MAIN!$B$11)+($C$2*MAIN!$B$10))/10&amp;" &amp;aAlmakos'"</f>
        <v xml:space="preserve">  - '&amp;aVenta: &amp;6551.6 &amp;aAlmakos'</v>
      </c>
      <c r="J62" s="20"/>
      <c r="K62" s="20"/>
      <c r="L62" s="20"/>
      <c r="M62" s="20" t="str">
        <f>"  - '&amp;aVenta: &amp;6"&amp;(MAIN!$I$5+(MAIN!$F$18+MAIN!$F$19)/2*MAIN!$B$9+(MAIN!$F$20+MAIN!$F$21)/2*MAIN!$B$8+(MAIN!$F$91*MAIN!$B$11)+($C$2*MAIN!$B$10))/10&amp;" &amp;aAlmakos'"</f>
        <v xml:space="preserve">  - '&amp;aVenta: &amp;6553.2 &amp;aAlmakos'</v>
      </c>
      <c r="N62" s="20"/>
      <c r="O62" s="20"/>
      <c r="P62" s="20"/>
      <c r="Q62" s="20" t="str">
        <f>"  - '&amp;aVenta: &amp;6"&amp;(MAIN!$J$5+(MAIN!$F$18+MAIN!$F$19)/2*MAIN!$B$9+(MAIN!$F$20+MAIN!$F$21)/2*MAIN!$B$8+(MAIN!$F$91*MAIN!$B$11)+($C$2*MAIN!$B$10))/10&amp;" &amp;aAlmakos'"</f>
        <v xml:space="preserve">  - '&amp;aVenta: &amp;6556.4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105</v>
      </c>
      <c r="B2" s="182"/>
      <c r="C2" s="182">
        <f>'ECONOMIA &amp; PROFESIONES'!$R$3</f>
        <v>9</v>
      </c>
      <c r="D2" s="182"/>
      <c r="E2" s="182" t="s">
        <v>107</v>
      </c>
      <c r="F2" s="182"/>
      <c r="G2" s="182" t="s">
        <v>106</v>
      </c>
      <c r="H2" s="182"/>
      <c r="I2" s="182" t="str">
        <f>MAIN!$J$42</f>
        <v>&amp;4Poder de Arma:</v>
      </c>
      <c r="J2" s="182"/>
      <c r="K2" s="182">
        <f>MAIN!$L$42</f>
        <v>2</v>
      </c>
      <c r="L2" s="182"/>
    </row>
    <row r="3" spans="1:26" ht="29.25" customHeight="1">
      <c r="A3" s="240" t="s">
        <v>7</v>
      </c>
      <c r="B3" s="240"/>
      <c r="C3" s="240"/>
      <c r="D3" s="240"/>
      <c r="E3" s="240" t="s">
        <v>8</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&amp;6685.4 &amp;aAlmakos'</v>
      </c>
      <c r="F62" s="20"/>
      <c r="G62" s="20"/>
      <c r="H62" s="20"/>
      <c r="I62" s="20" t="str">
        <f>"  - '&amp;aVenta: &amp;6"&amp;(MAIN!$D$4+(MAIN!$G$18+MAIN!$G$19)/2*MAIN!$B$9+(MAIN!$G$20+MAIN!$G$21)/2*MAIN!$B$8+(MAIN!$G$47*MAIN!$B$11)+($C$2*MAIN!$B$10))/10&amp;" &amp;aAlmakos'"</f>
        <v xml:space="preserve">  - '&amp;aVenta: &amp;6685.8 &amp;aAlmakos'</v>
      </c>
      <c r="J62" s="20"/>
      <c r="K62" s="20"/>
      <c r="L62" s="20"/>
      <c r="M62" s="20" t="str">
        <f>"  - '&amp;aVenta: &amp;6"&amp;(MAIN!$D$5+(MAIN!$G$18+MAIN!$G$19)/2*MAIN!$B$9+(MAIN!$G$20+MAIN!$G$21)/2*MAIN!$B$8+(MAIN!$G$47*MAIN!$B$11)+($C$2*MAIN!$B$10))/10&amp;" &amp;aAlmakos'"</f>
        <v xml:space="preserve">  - '&amp;aVenta: &amp;6686.6 &amp;aAlmakos'</v>
      </c>
      <c r="N62" s="20"/>
      <c r="O62" s="20"/>
      <c r="P62" s="20"/>
      <c r="Q62" s="20" t="str">
        <f>"  - '&amp;aVenta: &amp;6"&amp;(MAIN!$D$6+(MAIN!$G$18+MAIN!$G$19)/2*MAIN!$B$9+(MAIN!$G$20+MAIN!$G$21)/2*MAIN!$B$8+(MAIN!$G$47*MAIN!$B$11)+($C$2*MAIN!$B$10))/10&amp;" &amp;aAlmakos'"</f>
        <v xml:space="preserve">  - '&amp;aVenta: &amp;6688.2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105</v>
      </c>
      <c r="B2" s="182"/>
      <c r="C2" s="182">
        <f>'ECONOMIA &amp; PROFESIONES'!$R$3</f>
        <v>9</v>
      </c>
      <c r="D2" s="182"/>
      <c r="E2" s="182" t="s">
        <v>107</v>
      </c>
      <c r="F2" s="182"/>
      <c r="G2" s="182" t="s">
        <v>106</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&amp;6738.5 &amp;aAlmakos'</v>
      </c>
      <c r="F62" s="20"/>
      <c r="G62" s="20"/>
      <c r="H62" s="20"/>
      <c r="I62" s="20" t="str">
        <f>"  - '&amp;aVenta: &amp;6"&amp;(MAIN!$H$2+(MAIN!$G$18+MAIN!$G$19)/2*MAIN!$B$9+(MAIN!$G$20+MAIN!$G$21)/2*MAIN!$B$8+(MAIN!$G$58*MAIN!$B$11)+($C$2*MAIN!$B$10))/10&amp;" &amp;aAlmakos'"</f>
        <v xml:space="preserve">  - '&amp;aVenta: &amp;6739.5 &amp;aAlmakos'</v>
      </c>
      <c r="J62" s="20"/>
      <c r="K62" s="20"/>
      <c r="L62" s="20"/>
      <c r="M62" s="20" t="str">
        <f>"  - '&amp;aVenta: &amp;6"&amp;(MAIN!$I$2+(MAIN!$G$18+MAIN!$G$19)/2*MAIN!$B$9+(MAIN!$G$20+MAIN!$G$21)/2*MAIN!$B$8+(MAIN!$G$58*MAIN!$B$11)+($C$2*MAIN!$B$10))/10&amp;" &amp;aAlmakos'"</f>
        <v xml:space="preserve">  - '&amp;aVenta: &amp;6741.5 &amp;aAlmakos'</v>
      </c>
      <c r="N62" s="20"/>
      <c r="O62" s="20"/>
      <c r="P62" s="20"/>
      <c r="Q62" s="20" t="str">
        <f>"  - '&amp;aVenta: &amp;6"&amp;(MAIN!$J$2+(MAIN!$G$18+MAIN!$G$19)/2*MAIN!$B$9+(MAIN!$G$20+MAIN!$G$21)/2*MAIN!$B$8+(MAIN!$G$58*MAIN!$B$11)+($C$2*MAIN!$B$10))/10&amp;" &amp;aAlmakos'"</f>
        <v xml:space="preserve">  - '&amp;aVenta: &amp;6745.5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105</v>
      </c>
      <c r="B2" s="182"/>
      <c r="C2" s="182">
        <f>'ECONOMIA &amp; PROFESIONES'!$R$3</f>
        <v>9</v>
      </c>
      <c r="D2" s="182"/>
      <c r="E2" s="182" t="s">
        <v>107</v>
      </c>
      <c r="F2" s="182"/>
      <c r="G2" s="182" t="s">
        <v>106</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&amp;6791.6 &amp;aAlmakos'</v>
      </c>
      <c r="F62" s="20"/>
      <c r="G62" s="20"/>
      <c r="H62" s="20"/>
      <c r="I62" s="20" t="str">
        <f>"  - '&amp;aVenta: &amp;6"&amp;(MAIN!$H$3+(MAIN!$G$18+MAIN!$G$19)/2*MAIN!$B$9+(MAIN!$G$20+MAIN!$G$21)/2*MAIN!$B$8+(MAIN!$G$69*MAIN!$B$11)+($C$2*MAIN!$B$10))/10&amp;" &amp;aAlmakos'"</f>
        <v xml:space="preserve">  - '&amp;aVenta: &amp;6793.2 &amp;aAlmakos'</v>
      </c>
      <c r="J62" s="20"/>
      <c r="K62" s="20"/>
      <c r="L62" s="20"/>
      <c r="M62" s="20" t="str">
        <f>"  - '&amp;aVenta: &amp;6"&amp;(MAIN!$I$3+(MAIN!$G$18+MAIN!$G$19)/2*MAIN!$B$9+(MAIN!$G$20+MAIN!$G$21)/2*MAIN!$B$8+(MAIN!$G$69*MAIN!$B$11)+($C$2*MAIN!$B$10))/10&amp;" &amp;aAlmakos'"</f>
        <v xml:space="preserve">  - '&amp;aVenta: &amp;6796.4 &amp;aAlmakos'</v>
      </c>
      <c r="N62" s="20"/>
      <c r="O62" s="20"/>
      <c r="P62" s="20"/>
      <c r="Q62" s="20" t="str">
        <f>"  - '&amp;aVenta: &amp;6"&amp;(MAIN!$J$3+(MAIN!$G$18+MAIN!$G$19)/2*MAIN!$B$9+(MAIN!$G$20+MAIN!$G$21)/2*MAIN!$B$8+(MAIN!$G$69*MAIN!$B$11)+($C$2*MAIN!$B$10))/10&amp;" &amp;aAlmakos'"</f>
        <v xml:space="preserve">  - '&amp;aVenta: &amp;6802.8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105</v>
      </c>
      <c r="B2" s="182"/>
      <c r="C2" s="182">
        <f>'ECONOMIA &amp; PROFESIONES'!$R$3</f>
        <v>9</v>
      </c>
      <c r="D2" s="182"/>
      <c r="E2" s="182" t="s">
        <v>107</v>
      </c>
      <c r="F2" s="182"/>
      <c r="G2" s="182" t="s">
        <v>106</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&amp;6773.9 &amp;aAlmakos'</v>
      </c>
      <c r="F62" s="20"/>
      <c r="G62" s="20"/>
      <c r="H62" s="20"/>
      <c r="I62" s="20" t="str">
        <f>"  - '&amp;aVenta: &amp;6"&amp;(MAIN!$H$4+(MAIN!$G$18+MAIN!$G$19)/2*MAIN!$B$9+(MAIN!$G$20+MAIN!$G$21)/2*MAIN!$B$8+(MAIN!$G$80*MAIN!$B$11)+($C$2*MAIN!$B$10))/10&amp;" &amp;aAlmakos'"</f>
        <v xml:space="preserve">  - '&amp;aVenta: &amp;6775.3 &amp;aAlmakos'</v>
      </c>
      <c r="J62" s="20"/>
      <c r="K62" s="20"/>
      <c r="L62" s="20"/>
      <c r="M62" s="20" t="str">
        <f>"  - '&amp;aVenta: &amp;6"&amp;(MAIN!$I$4+(MAIN!$G$18+MAIN!$G$19)/2*MAIN!$B$9+(MAIN!$G$20+MAIN!$G$21)/2*MAIN!$B$8+(MAIN!$G$80*MAIN!$B$11)+($C$2*MAIN!$B$10))/10&amp;" &amp;aAlmakos'"</f>
        <v xml:space="preserve">  - '&amp;aVenta: &amp;6778.1 &amp;aAlmakos'</v>
      </c>
      <c r="N62" s="20"/>
      <c r="O62" s="20"/>
      <c r="P62" s="20"/>
      <c r="Q62" s="20" t="str">
        <f>"  - '&amp;aVenta: &amp;6"&amp;(MAIN!$J$4+(MAIN!$G$18+MAIN!$G$19)/2*MAIN!$B$9+(MAIN!$G$20+MAIN!$G$21)/2*MAIN!$B$8+(MAIN!$G$80*MAIN!$B$11)+($C$2*MAIN!$B$10))/10&amp;" &amp;aAlmakos'"</f>
        <v xml:space="preserve">  - '&amp;aVenta: &amp;6783.7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35" t="s">
        <v>19</v>
      </c>
      <c r="B1" s="235"/>
      <c r="C1" s="235" t="s">
        <v>70</v>
      </c>
      <c r="D1" s="235"/>
      <c r="E1" s="235" t="s">
        <v>80</v>
      </c>
      <c r="F1" s="235"/>
      <c r="G1" s="235" t="s">
        <v>89</v>
      </c>
      <c r="H1" s="235"/>
      <c r="I1" s="235" t="s">
        <v>283</v>
      </c>
      <c r="J1" s="235"/>
      <c r="K1" s="235" t="s">
        <v>285</v>
      </c>
      <c r="L1" s="235"/>
    </row>
    <row r="2" spans="1:26">
      <c r="A2" s="182" t="s">
        <v>105</v>
      </c>
      <c r="B2" s="182"/>
      <c r="C2" s="182">
        <f>'ECONOMIA &amp; PROFESIONES'!$R$3</f>
        <v>9</v>
      </c>
      <c r="D2" s="182"/>
      <c r="E2" s="182" t="s">
        <v>107</v>
      </c>
      <c r="F2" s="182"/>
      <c r="G2" s="182" t="s">
        <v>106</v>
      </c>
      <c r="H2" s="182"/>
      <c r="I2" s="182" t="str">
        <f>MAIN!$J$53</f>
        <v>Armor</v>
      </c>
      <c r="J2" s="182"/>
      <c r="K2" s="182">
        <f>MAIN!$L$53</f>
        <v>1</v>
      </c>
      <c r="L2" s="182"/>
    </row>
    <row r="3" spans="1:26" ht="29.25" customHeight="1">
      <c r="A3" s="240" t="s">
        <v>0</v>
      </c>
      <c r="B3" s="240"/>
      <c r="C3" s="240"/>
      <c r="D3" s="240"/>
      <c r="E3" s="240" t="s">
        <v>86</v>
      </c>
      <c r="F3" s="240"/>
      <c r="G3" s="240"/>
      <c r="H3" s="240"/>
      <c r="I3" s="240" t="s">
        <v>83</v>
      </c>
      <c r="J3" s="240"/>
      <c r="K3" s="240"/>
      <c r="L3" s="240"/>
      <c r="M3" s="240" t="s">
        <v>84</v>
      </c>
      <c r="N3" s="240"/>
      <c r="O3" s="240"/>
      <c r="P3" s="240"/>
      <c r="Q3" s="240" t="s">
        <v>85</v>
      </c>
      <c r="R3" s="240"/>
      <c r="S3" s="240"/>
      <c r="T3" s="24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&amp;6720.8 &amp;aAlmakos'</v>
      </c>
      <c r="F62" s="20"/>
      <c r="G62" s="20"/>
      <c r="H62" s="20"/>
      <c r="I62" s="20" t="str">
        <f>"  - '&amp;aVenta: &amp;6"&amp;(MAIN!$H$5+(MAIN!$G$18+MAIN!$G$19)/2*MAIN!$B$9+(MAIN!$G$20+MAIN!$G$21)/2*MAIN!$B$8+(MAIN!$G$91*MAIN!$B$11)+($C$2*MAIN!$B$10))/10&amp;" &amp;aAlmakos'"</f>
        <v xml:space="preserve">  - '&amp;aVenta: &amp;6721.6 &amp;aAlmakos'</v>
      </c>
      <c r="J62" s="20"/>
      <c r="K62" s="20"/>
      <c r="L62" s="20"/>
      <c r="M62" s="20" t="str">
        <f>"  - '&amp;aVenta: &amp;6"&amp;(MAIN!$I$5+(MAIN!$G$18+MAIN!$G$19)/2*MAIN!$B$9+(MAIN!$G$20+MAIN!$G$21)/2*MAIN!$B$8+(MAIN!$G$91*MAIN!$B$11)+($C$2*MAIN!$B$10))/10&amp;" &amp;aAlmakos'"</f>
        <v xml:space="preserve">  - '&amp;aVenta: &amp;6723.2 &amp;aAlmakos'</v>
      </c>
      <c r="N62" s="20"/>
      <c r="O62" s="20"/>
      <c r="P62" s="20"/>
      <c r="Q62" s="20" t="str">
        <f>"  - '&amp;aVenta: &amp;6"&amp;(MAIN!$J$5+(MAIN!$G$18+MAIN!$G$19)/2*MAIN!$B$9+(MAIN!$G$20+MAIN!$G$21)/2*MAIN!$B$8+(MAIN!$G$91*MAIN!$B$11)+($C$2*MAIN!$B$10))/10&amp;" &amp;aAlmakos'"</f>
        <v xml:space="preserve">  - '&amp;aVenta: &amp;6726.4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36</vt:i4>
      </vt:variant>
      <vt:variant>
        <vt:lpstr>Rangos con nombre</vt:lpstr>
      </vt:variant>
      <vt:variant>
        <vt:i4>15</vt:i4>
      </vt:variant>
    </vt:vector>
  </HeadingPairs>
  <TitlesOfParts>
    <vt:vector size="51" baseType="lpstr">
      <vt:lpstr>Historia</vt:lpstr>
      <vt:lpstr>Skills Humanos</vt:lpstr>
      <vt:lpstr>Skills Licantropo</vt:lpstr>
      <vt:lpstr>Skills Vampiro</vt:lpstr>
      <vt:lpstr>ECONOMIA &amp; PROFESIONES</vt:lpstr>
      <vt:lpstr>ListItemsCraft</vt:lpstr>
      <vt:lpstr>ItemsCore</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Dr Brain</cp:lastModifiedBy>
  <cp:lastPrinted>2018-03-18T20:50:32Z</cp:lastPrinted>
  <dcterms:created xsi:type="dcterms:W3CDTF">2017-03-19T06:56:32Z</dcterms:created>
  <dcterms:modified xsi:type="dcterms:W3CDTF">2019-09-26T07:26:50Z</dcterms:modified>
</cp:coreProperties>
</file>