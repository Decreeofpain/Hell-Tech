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616EFB81-D73B-4AB5-8A3A-7D6C9E6455DA}" xr6:coauthVersionLast="45" xr6:coauthVersionMax="45" xr10:uidLastSave="{00000000-0000-0000-0000-000000000000}"/>
  <bookViews>
    <workbookView xWindow="-120" yWindow="330" windowWidth="38640" windowHeight="21390" tabRatio="893" firstSheet="1" activeTab="5"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744" i="45" l="1"/>
  <c r="C743" i="45"/>
  <c r="C692" i="45"/>
  <c r="C661" i="45"/>
  <c r="C558" i="45"/>
  <c r="C557" i="45"/>
  <c r="C475" i="45"/>
  <c r="C337" i="45"/>
  <c r="C280" i="45"/>
  <c r="C264" i="45"/>
  <c r="C263" i="45"/>
  <c r="C260" i="45"/>
  <c r="C259" i="45"/>
  <c r="C242" i="45"/>
  <c r="C238" i="45"/>
  <c r="C237" i="45"/>
  <c r="C164" i="45"/>
  <c r="C77" i="45"/>
  <c r="C62" i="45"/>
  <c r="C484" i="45"/>
  <c r="C395"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D14" i="46"/>
  <c r="C486" i="45" l="1"/>
  <c r="D15" i="46" s="1"/>
  <c r="C473" i="45"/>
  <c r="C472" i="45"/>
  <c r="C101" i="45"/>
  <c r="C459"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C274" i="45"/>
  <c r="J275" i="45" s="1"/>
  <c r="C257" i="45"/>
  <c r="G256" i="45" s="1"/>
  <c r="C256" i="45" s="1"/>
  <c r="C245" i="45"/>
  <c r="C232" i="45"/>
  <c r="C233" i="45"/>
  <c r="C231" i="45"/>
  <c r="C189" i="45"/>
  <c r="C154" i="45"/>
  <c r="C142" i="45"/>
  <c r="C144" i="45"/>
  <c r="C143" i="45"/>
  <c r="C138" i="45"/>
  <c r="C134" i="45"/>
  <c r="C99" i="45"/>
  <c r="K54" i="32" s="1"/>
  <c r="C19" i="45"/>
  <c r="F3" i="46" s="1"/>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22" i="45"/>
  <c r="C108" i="45"/>
  <c r="C621" i="45"/>
  <c r="J501" i="45"/>
  <c r="G27" i="45"/>
  <c r="C86" i="45"/>
  <c r="C85" i="45"/>
  <c r="C706" i="45"/>
  <c r="C656" i="45"/>
  <c r="G158" i="45"/>
  <c r="C158" i="45" s="1"/>
  <c r="C262"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43" i="45"/>
  <c r="C211" i="45"/>
  <c r="C207" i="45"/>
  <c r="C203" i="45"/>
  <c r="C120" i="45"/>
  <c r="C119"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G683" i="45"/>
  <c r="C683" i="45" s="1"/>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363" i="45" l="1"/>
  <c r="G365" i="45" s="1"/>
  <c r="C365" i="45" s="1"/>
  <c r="C196" i="45"/>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G167" i="45"/>
  <c r="C167" i="45" s="1"/>
  <c r="G169" i="45"/>
  <c r="C169" i="45" s="1"/>
  <c r="P590" i="45"/>
  <c r="F194" i="46"/>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C640" i="45" s="1"/>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C513" i="45"/>
  <c r="G509" i="45" s="1"/>
  <c r="C509" i="45" s="1"/>
  <c r="C322" i="45"/>
  <c r="G318" i="45" s="1"/>
  <c r="C318" i="45" s="1"/>
  <c r="C334" i="45"/>
  <c r="G330" i="45" s="1"/>
  <c r="C330" i="45" s="1"/>
  <c r="C332" i="45"/>
  <c r="G333" i="45" s="1"/>
  <c r="C333" i="45" s="1"/>
  <c r="F69" i="46"/>
  <c r="C327" i="45"/>
  <c r="C282" i="45"/>
  <c r="G236" i="45" s="1"/>
  <c r="C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512" i="45"/>
  <c r="C512" i="45" s="1"/>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389"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G620" i="45" l="1"/>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C340" i="45" l="1"/>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165" i="45" l="1"/>
  <c r="G715" i="45"/>
  <c r="C715" i="45" s="1"/>
  <c r="G342" i="45"/>
  <c r="C342" i="45" s="1"/>
  <c r="J125" i="45"/>
  <c r="C125" i="45" s="1"/>
  <c r="J279" i="45"/>
  <c r="C279" i="45" s="1"/>
  <c r="F33" i="46"/>
  <c r="F34" i="46"/>
  <c r="F19" i="46"/>
  <c r="J115" i="45"/>
  <c r="C115" i="45" s="1"/>
  <c r="J248" i="45"/>
  <c r="C248" i="45" s="1"/>
  <c r="J373" i="45"/>
  <c r="C373" i="45" s="1"/>
  <c r="D5" i="46"/>
  <c r="D1" i="46" s="1"/>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J250" i="45" s="1"/>
  <c r="J4" i="1"/>
  <c r="D6" i="1"/>
  <c r="J3" i="1"/>
  <c r="K43" i="36"/>
  <c r="C8" i="32"/>
  <c r="C67" i="32" s="1"/>
  <c r="E67" i="32" s="1"/>
  <c r="J53" i="45" s="1"/>
  <c r="C53" i="45" s="1"/>
  <c r="C62" i="32"/>
  <c r="E62"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32" i="46" l="1"/>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F10" i="46"/>
  <c r="C55" i="45"/>
  <c r="C56" i="45"/>
  <c r="G74" i="45" s="1"/>
  <c r="C74" i="45" s="1"/>
  <c r="C58" i="45"/>
  <c r="G54" i="45" s="1"/>
  <c r="C54" i="45" s="1"/>
  <c r="K58" i="32"/>
  <c r="F81" i="46"/>
  <c r="F183" i="46"/>
  <c r="G410" i="45"/>
  <c r="C410" i="45" s="1"/>
  <c r="F8" i="46"/>
  <c r="F11" i="46"/>
  <c r="F195" i="46"/>
  <c r="F196" i="46"/>
  <c r="F193" i="46"/>
  <c r="F24" i="46"/>
  <c r="F25" i="46"/>
  <c r="F181" i="46"/>
  <c r="F21" i="46"/>
  <c r="F22"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F6" i="46"/>
  <c r="C51" i="45"/>
  <c r="G69" i="45"/>
  <c r="C69" i="45"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G50" i="45"/>
  <c r="C50" i="45" s="1"/>
  <c r="G49" i="45"/>
  <c r="C49" i="45" s="1"/>
  <c r="G523" i="45" l="1"/>
  <c r="C523" i="45" s="1"/>
  <c r="G525" i="45"/>
  <c r="C525" i="45" s="1"/>
  <c r="F109" i="46"/>
  <c r="C440" i="45"/>
  <c r="F82" i="46"/>
  <c r="C409" i="45"/>
  <c r="G592" i="45"/>
  <c r="C592" i="45" s="1"/>
  <c r="G753" i="45"/>
  <c r="G752" i="45"/>
  <c r="G751" i="45"/>
  <c r="C751" i="45" s="1"/>
  <c r="F139" i="46"/>
  <c r="G566" i="45"/>
  <c r="C566" i="45" s="1"/>
  <c r="F161" i="46"/>
  <c r="G324" i="45"/>
  <c r="C324" i="45" s="1"/>
  <c r="F75" i="46"/>
  <c r="F125" i="46"/>
  <c r="F123" i="46"/>
  <c r="F140" i="46"/>
  <c r="F138" i="46"/>
  <c r="G505" i="45"/>
  <c r="C505" i="45"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F128" i="46"/>
  <c r="G418" i="45"/>
  <c r="F113" i="46"/>
  <c r="F98" i="46"/>
  <c r="F95" i="46"/>
  <c r="F96" i="46"/>
  <c r="F86" i="46"/>
  <c r="G313" i="45"/>
  <c r="G314" i="45"/>
  <c r="F65" i="46"/>
  <c r="F53" i="46"/>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F187" i="46"/>
  <c r="C752" i="45"/>
  <c r="F163" i="46"/>
  <c r="C593" i="45"/>
  <c r="F155" i="46"/>
  <c r="C568" i="45"/>
  <c r="F115" i="46"/>
  <c r="C445" i="45"/>
  <c r="F116" i="46"/>
  <c r="C446" i="45"/>
  <c r="F93" i="46"/>
  <c r="C418" i="45"/>
  <c r="F55" i="46"/>
  <c r="C313" i="45"/>
  <c r="F68" i="46"/>
  <c r="C326" i="45"/>
  <c r="F67" i="46"/>
  <c r="C325" i="45"/>
  <c r="F56" i="46"/>
  <c r="C314" i="45"/>
  <c r="F18" i="46"/>
  <c r="C65" i="45"/>
  <c r="F16" i="46"/>
  <c r="C63" i="45"/>
  <c r="F130" i="46"/>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F76" i="46"/>
  <c r="F91" i="46"/>
  <c r="F89" i="46"/>
  <c r="F79" i="46"/>
  <c r="F80" i="46"/>
  <c r="F78" i="46"/>
  <c r="F90" i="46" l="1"/>
  <c r="F88" i="46"/>
  <c r="G460" i="45" l="1"/>
  <c r="C460" i="45" s="1"/>
  <c r="G284" i="45" l="1"/>
  <c r="F27" i="46"/>
  <c r="F23" i="46" l="1"/>
  <c r="F1" i="46" s="1"/>
  <c r="H5" i="46" s="1"/>
  <c r="C284" i="45"/>
  <c r="H3" i="46" l="1"/>
  <c r="H7" i="46"/>
  <c r="H4" i="46"/>
  <c r="H6" i="46"/>
  <c r="H2"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<sst xmlns="http://schemas.openxmlformats.org/spreadsheetml/2006/main" count="11801" uniqueCount="1430">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</sst>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60">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fgColor theme="0"/>
          <bgColor theme="9" tint="-0.24994659260841701"/>
        </patternFill>
      </fill>
    </dxf>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6" workbookViewId="0">
      <selection activeCell="D4" sqref="D4:E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5" t="s">
        <v>143</v>
      </c>
      <c r="E1" s="215"/>
      <c r="F1" s="215"/>
      <c r="G1" s="215"/>
      <c r="H1" s="215"/>
      <c r="I1" s="215"/>
      <c r="J1" s="215"/>
      <c r="K1" s="216"/>
      <c r="L1" s="203" t="s">
        <v>193</v>
      </c>
      <c r="M1" s="204"/>
      <c r="N1" s="202" t="s">
        <v>161</v>
      </c>
      <c r="O1" s="202"/>
      <c r="P1" s="202"/>
      <c r="Q1" s="202"/>
      <c r="R1" s="202"/>
      <c r="S1" s="25"/>
    </row>
    <row r="2" spans="1:24">
      <c r="B2" s="50" t="s">
        <v>144</v>
      </c>
      <c r="C2" s="50" t="s">
        <v>62</v>
      </c>
      <c r="D2" s="198" t="s">
        <v>149</v>
      </c>
      <c r="E2" s="198"/>
      <c r="F2" s="198" t="s">
        <v>147</v>
      </c>
      <c r="G2" s="198"/>
      <c r="H2" s="198" t="s">
        <v>148</v>
      </c>
      <c r="I2" s="198"/>
      <c r="J2" s="198" t="s">
        <v>157</v>
      </c>
      <c r="K2" s="199"/>
      <c r="L2" s="205"/>
      <c r="M2" s="206"/>
      <c r="N2" s="29" t="s">
        <v>35</v>
      </c>
      <c r="O2" s="30" t="s">
        <v>51</v>
      </c>
      <c r="P2" s="29" t="s">
        <v>52</v>
      </c>
      <c r="Q2" s="30" t="s">
        <v>53</v>
      </c>
      <c r="R2" s="29" t="s">
        <v>54</v>
      </c>
    </row>
    <row r="3" spans="1:24">
      <c r="B3" s="28">
        <v>1</v>
      </c>
      <c r="C3" s="53">
        <v>1</v>
      </c>
      <c r="D3" s="200" t="s">
        <v>1429</v>
      </c>
      <c r="E3" s="200"/>
      <c r="F3" s="196" t="s">
        <v>126</v>
      </c>
      <c r="G3" s="196"/>
      <c r="H3" s="200" t="s">
        <v>132</v>
      </c>
      <c r="I3" s="200"/>
      <c r="J3" s="200" t="s">
        <v>133</v>
      </c>
      <c r="K3" s="201"/>
      <c r="L3" s="205"/>
      <c r="M3" s="206"/>
      <c r="N3" s="33">
        <v>1</v>
      </c>
      <c r="O3" s="33">
        <v>3</v>
      </c>
      <c r="P3" s="33">
        <v>5</v>
      </c>
      <c r="Q3" s="33">
        <v>7</v>
      </c>
      <c r="R3" s="33">
        <v>9</v>
      </c>
      <c r="S3" s="193" t="s">
        <v>162</v>
      </c>
      <c r="T3" s="194"/>
      <c r="U3" s="194"/>
      <c r="V3" s="194"/>
      <c r="W3" s="194"/>
      <c r="X3" s="194"/>
    </row>
    <row r="4" spans="1:24" s="24" customFormat="1">
      <c r="B4" s="28">
        <v>2</v>
      </c>
      <c r="C4" s="54">
        <f>$C$3+2</f>
        <v>3</v>
      </c>
      <c r="D4" s="200" t="s">
        <v>1316</v>
      </c>
      <c r="E4" s="200"/>
      <c r="F4" s="196" t="s">
        <v>127</v>
      </c>
      <c r="G4" s="196"/>
      <c r="H4" s="200" t="s">
        <v>1330</v>
      </c>
      <c r="I4" s="200"/>
      <c r="J4" s="200" t="s">
        <v>134</v>
      </c>
      <c r="K4" s="201"/>
      <c r="L4" s="207"/>
      <c r="M4" s="20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0" t="s">
        <v>123</v>
      </c>
      <c r="E5" s="200"/>
      <c r="F5" s="196" t="s">
        <v>128</v>
      </c>
      <c r="G5" s="196"/>
      <c r="H5" s="200" t="s">
        <v>136</v>
      </c>
      <c r="I5" s="200"/>
      <c r="J5" s="200" t="s">
        <v>135</v>
      </c>
      <c r="K5" s="201"/>
      <c r="L5" s="209"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0" t="s">
        <v>125</v>
      </c>
      <c r="E6" s="200"/>
      <c r="F6" s="196" t="s">
        <v>129</v>
      </c>
      <c r="G6" s="196"/>
      <c r="H6" s="200" t="s">
        <v>137</v>
      </c>
      <c r="I6" s="200"/>
      <c r="J6" s="200" t="s">
        <v>138</v>
      </c>
      <c r="K6" s="201"/>
      <c r="L6" s="210"/>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0" t="s">
        <v>124</v>
      </c>
      <c r="E7" s="200"/>
      <c r="F7" s="196" t="s">
        <v>130</v>
      </c>
      <c r="G7" s="196"/>
      <c r="H7" s="200" t="s">
        <v>139</v>
      </c>
      <c r="I7" s="200"/>
      <c r="J7" s="200" t="s">
        <v>140</v>
      </c>
      <c r="K7" s="201"/>
      <c r="L7" s="210"/>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0" t="s">
        <v>535</v>
      </c>
      <c r="E8" s="200"/>
      <c r="F8" s="196" t="s">
        <v>131</v>
      </c>
      <c r="G8" s="196"/>
      <c r="H8" s="200" t="s">
        <v>141</v>
      </c>
      <c r="I8" s="200"/>
      <c r="J8" s="200" t="s">
        <v>142</v>
      </c>
      <c r="K8" s="201"/>
      <c r="L8" s="210"/>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5" t="s">
        <v>160</v>
      </c>
      <c r="E9" s="215"/>
      <c r="F9" s="215"/>
      <c r="G9" s="215"/>
      <c r="H9" s="215"/>
      <c r="I9" s="215"/>
      <c r="J9" s="215"/>
      <c r="K9" s="216"/>
      <c r="L9" s="211"/>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6">
        <v>1.5</v>
      </c>
      <c r="E10" s="196"/>
      <c r="F10" s="196">
        <v>2.5</v>
      </c>
      <c r="G10" s="196"/>
      <c r="H10" s="196">
        <v>64</v>
      </c>
      <c r="I10" s="196"/>
      <c r="J10" s="196">
        <v>64</v>
      </c>
      <c r="K10" s="197"/>
      <c r="L10" s="212"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6">
        <v>64</v>
      </c>
      <c r="E11" s="196"/>
      <c r="F11" s="196">
        <v>64</v>
      </c>
      <c r="G11" s="196"/>
      <c r="H11" s="196">
        <v>64</v>
      </c>
      <c r="I11" s="196"/>
      <c r="J11" s="196">
        <v>64</v>
      </c>
      <c r="K11" s="197"/>
      <c r="L11" s="213"/>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5" t="s">
        <v>166</v>
      </c>
      <c r="B12" s="215"/>
      <c r="C12" s="27"/>
      <c r="D12" s="215" t="s">
        <v>164</v>
      </c>
      <c r="E12" s="215"/>
      <c r="F12" s="215"/>
      <c r="G12" s="215"/>
      <c r="H12" s="215"/>
      <c r="I12" s="215"/>
      <c r="J12" s="215"/>
      <c r="K12" s="216"/>
      <c r="L12" s="213"/>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98" t="s">
        <v>149</v>
      </c>
      <c r="E13" s="198"/>
      <c r="F13" s="198" t="s">
        <v>147</v>
      </c>
      <c r="G13" s="198"/>
      <c r="H13" s="198" t="s">
        <v>148</v>
      </c>
      <c r="I13" s="198"/>
      <c r="J13" s="198" t="s">
        <v>157</v>
      </c>
      <c r="K13" s="199"/>
      <c r="L13" s="213"/>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5">
        <f>ROUND((D10*$B$13)/$B$14,2)</f>
        <v>42.1</v>
      </c>
      <c r="E14" s="195"/>
      <c r="F14" s="195">
        <f>ROUND((F10*$B$13)/$B$14,2)</f>
        <v>70.17</v>
      </c>
      <c r="G14" s="195"/>
      <c r="H14" s="195">
        <f>ROUND((H10*$B$13)/$B$14,2)</f>
        <v>1796.27</v>
      </c>
      <c r="I14" s="195"/>
      <c r="J14" s="195">
        <f>ROUND((J10*$B$13)/$B$14,2)</f>
        <v>1796.27</v>
      </c>
      <c r="K14" s="195"/>
      <c r="L14" s="214"/>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5" t="s">
        <v>168</v>
      </c>
      <c r="B15" s="215"/>
      <c r="C15" s="51" t="s">
        <v>159</v>
      </c>
      <c r="D15" s="195">
        <f>ROUND($D$14/$D$11,2)</f>
        <v>0.66</v>
      </c>
      <c r="E15" s="195"/>
      <c r="F15" s="195">
        <f>ROUND($F$14/$F$11,2)</f>
        <v>1.1000000000000001</v>
      </c>
      <c r="G15" s="195"/>
      <c r="H15" s="195">
        <f>ROUND($H$14/$H$11,2)</f>
        <v>28.07</v>
      </c>
      <c r="I15" s="195"/>
      <c r="J15" s="195">
        <f>ROUND($J$14/$J$11,2)</f>
        <v>28.07</v>
      </c>
      <c r="K15" s="195"/>
      <c r="L15" s="219"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3"/>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3"/>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19"/>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19"/>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20"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1"/>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1"/>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3"/>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2"/>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19"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19"/>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19"/>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19"/>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5" t="s">
        <v>192</v>
      </c>
      <c r="C29" s="215"/>
      <c r="D29" s="215"/>
      <c r="E29" s="215"/>
      <c r="F29" s="215"/>
      <c r="G29" s="215"/>
      <c r="H29" s="215"/>
      <c r="I29" s="216"/>
      <c r="L29" s="219"/>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7" t="s">
        <v>149</v>
      </c>
      <c r="C30" s="217"/>
      <c r="D30" s="217" t="s">
        <v>147</v>
      </c>
      <c r="E30" s="217"/>
      <c r="F30" s="217" t="s">
        <v>148</v>
      </c>
      <c r="G30" s="217"/>
      <c r="H30" s="217" t="s">
        <v>157</v>
      </c>
      <c r="I30" s="217"/>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218" t="s">
        <v>1321</v>
      </c>
      <c r="N51" s="218"/>
      <c r="O51" s="218"/>
      <c r="P51" s="42"/>
      <c r="Q51" s="157"/>
      <c r="Z51" s="24"/>
      <c r="AA51" s="24"/>
    </row>
    <row r="52" spans="1:27" ht="15.75">
      <c r="A52" s="75"/>
      <c r="B52" s="190" t="s">
        <v>214</v>
      </c>
      <c r="C52" s="191"/>
      <c r="D52" s="191"/>
      <c r="E52" s="191"/>
      <c r="F52" s="190" t="s">
        <v>216</v>
      </c>
      <c r="G52" s="191"/>
      <c r="H52" s="191"/>
      <c r="I52" s="191"/>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abSelected="1" topLeftCell="A715" workbookViewId="0">
      <selection activeCell="C745" sqref="C745"/>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0</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22"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 t="shared" si="13"/>
        <v>0</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 t="shared" si="13"/>
        <v>0</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 t="shared" si="13"/>
        <v>0</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 t="shared" si="13"/>
        <v>0</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 t="shared" si="40"/>
        <v>0</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0</v>
      </c>
      <c r="K273" s="127" t="s">
        <v>1305</v>
      </c>
      <c r="M273" s="127">
        <f t="shared" si="43"/>
        <v>0</v>
      </c>
      <c r="N273" s="127" t="s">
        <v>1305</v>
      </c>
      <c r="P273" s="127">
        <f t="shared" si="44"/>
        <v>0</v>
      </c>
      <c r="Q273" s="127" t="s">
        <v>1305</v>
      </c>
      <c r="S273" s="127">
        <f t="shared" si="45"/>
        <v>0</v>
      </c>
      <c r="T273" s="127" t="s">
        <v>1305</v>
      </c>
      <c r="V273" s="127">
        <f t="shared" si="46"/>
        <v>0</v>
      </c>
    </row>
    <row r="274" spans="1:22" ht="15.75">
      <c r="A274" s="153" t="s">
        <v>1346</v>
      </c>
      <c r="B274" s="125" t="s">
        <v>807</v>
      </c>
      <c r="C274" s="130">
        <f>LARGE((G274,J274,M274,P274,S274,V274),1)</f>
        <v>0</v>
      </c>
      <c r="D274" s="180">
        <v>1</v>
      </c>
      <c r="E274" s="127" t="s">
        <v>1305</v>
      </c>
      <c r="G274" s="127">
        <f t="shared" si="41"/>
        <v>0</v>
      </c>
      <c r="H274" s="127" t="s">
        <v>1305</v>
      </c>
      <c r="J274" s="127">
        <f t="shared" si="42"/>
        <v>0</v>
      </c>
      <c r="K274" s="127" t="s">
        <v>1305</v>
      </c>
      <c r="M274" s="127">
        <f t="shared" si="43"/>
        <v>0</v>
      </c>
      <c r="N274" s="127" t="s">
        <v>1305</v>
      </c>
      <c r="P274" s="127">
        <f t="shared" si="44"/>
        <v>0</v>
      </c>
      <c r="Q274" s="127" t="s">
        <v>1305</v>
      </c>
      <c r="S274" s="127">
        <f t="shared" si="45"/>
        <v>0</v>
      </c>
      <c r="T274" s="127" t="s">
        <v>1305</v>
      </c>
      <c r="V274" s="12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0</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1346</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 t="shared" si="100"/>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1346</v>
      </c>
      <c r="B685" s="125" t="s">
        <v>1217</v>
      </c>
      <c r="C685" s="130">
        <f>LARGE((G685,J685,M685,P685,S685,V685),1)</f>
        <v>3</v>
      </c>
      <c r="D685" s="180">
        <v>1</v>
      </c>
      <c r="E685" s="127" t="s">
        <v>1210</v>
      </c>
      <c r="F685">
        <v>2</v>
      </c>
      <c r="G685" s="127">
        <f t="shared" si="100"/>
        <v>3</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1346</v>
      </c>
      <c r="B686" s="125" t="s">
        <v>1218</v>
      </c>
      <c r="C686" s="130">
        <f>LARGE((G686,J686,M686,P686,S686,V686),1)</f>
        <v>3</v>
      </c>
      <c r="D686" s="180">
        <v>1</v>
      </c>
      <c r="E686" s="127" t="s">
        <v>1210</v>
      </c>
      <c r="F686">
        <v>3</v>
      </c>
      <c r="G686" s="127">
        <f t="shared" si="100"/>
        <v>3</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1346</v>
      </c>
      <c r="B688" s="125" t="s">
        <v>1220</v>
      </c>
      <c r="C688" s="130">
        <f>LARGE((G688,J688,M688,P688,S688,V688),1)</f>
        <v>3</v>
      </c>
      <c r="D688" s="180">
        <v>1</v>
      </c>
      <c r="E688" s="127" t="s">
        <v>1210</v>
      </c>
      <c r="F688">
        <v>1</v>
      </c>
      <c r="G688" s="127">
        <f t="shared" si="100"/>
        <v>3</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3</v>
      </c>
      <c r="D691" s="180">
        <v>1</v>
      </c>
      <c r="E691" s="127" t="s">
        <v>1210</v>
      </c>
      <c r="F691">
        <v>6</v>
      </c>
      <c r="G691" s="127">
        <f t="shared" si="100"/>
        <v>3</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1345</v>
      </c>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t="s">
        <v>1345</v>
      </c>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t="s">
        <v>1345</v>
      </c>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t="s">
        <v>1345</v>
      </c>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t="s">
        <v>1345</v>
      </c>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workbookViewId="0">
      <selection activeCell="C3" sqref="C3"/>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11</v>
      </c>
      <c r="E1" s="131" t="s">
        <v>1355</v>
      </c>
      <c r="F1" s="168">
        <f>LARGE(F3:F260,1)</f>
        <v>11</v>
      </c>
    </row>
    <row r="2" spans="1:8">
      <c r="A2" s="169" t="s">
        <v>1337</v>
      </c>
      <c r="B2" s="169" t="s">
        <v>1343</v>
      </c>
      <c r="C2" s="178" t="s">
        <v>1341</v>
      </c>
      <c r="D2" s="178" t="s">
        <v>1356</v>
      </c>
      <c r="E2" s="178" t="s">
        <v>1346</v>
      </c>
      <c r="F2" s="178" t="s">
        <v>1356</v>
      </c>
      <c r="G2" s="162">
        <v>1</v>
      </c>
      <c r="H2">
        <f>($F$1/12)*1</f>
        <v>0.91666666666666663</v>
      </c>
    </row>
    <row r="3" spans="1:8">
      <c r="A3" s="21" t="s">
        <v>1338</v>
      </c>
      <c r="B3" s="169" t="s">
        <v>1344</v>
      </c>
      <c r="C3" t="str">
        <f t="array" ref="C3:C763">IFERROR(INDEX(ListItemsCraft!$B$1:$B$763,SMALL(IF(indexop=$C$2,ROW()),ROW()-2)),"")</f>
        <v>blaze_rod</v>
      </c>
      <c r="D3" s="153">
        <f t="shared" ref="D3:D34" si="0">IFERROR(VLOOKUP(C3,listitems,2,0),"")</f>
        <v>9</v>
      </c>
      <c r="E3" t="str">
        <f t="array" ref="E3:E763">IFERROR(INDEX(ListItemsCraft!$B$1:$B$763,SMALL(IF(indexop=$E$2,ROW()),ROW()-2)),"")</f>
        <v>andesite_slab</v>
      </c>
      <c r="F3">
        <f>IFERROR(VLOOKUP(E3,listitems,2,0),"")</f>
        <v>2</v>
      </c>
      <c r="G3" s="61">
        <v>3</v>
      </c>
      <c r="H3">
        <f>($F$1/12)*3</f>
        <v>2.75</v>
      </c>
    </row>
    <row r="4" spans="1:8">
      <c r="A4" s="170" t="s">
        <v>560</v>
      </c>
      <c r="B4" s="21" t="s">
        <v>1345</v>
      </c>
      <c r="C4" t="str">
        <v>bone</v>
      </c>
      <c r="D4" s="153">
        <f t="shared" si="0"/>
        <v>5</v>
      </c>
      <c r="E4" t="str">
        <v>andesite_stairs</v>
      </c>
      <c r="F4" s="153">
        <f t="shared" ref="F4:F34" si="1">IFERROR(VLOOKUP(E4,listitems,2,0),"")</f>
        <v>2</v>
      </c>
      <c r="G4" s="62">
        <v>5</v>
      </c>
      <c r="H4">
        <f>($F$1/12)*5</f>
        <v>4.583333333333333</v>
      </c>
    </row>
    <row r="5" spans="1:8">
      <c r="A5" s="171" t="s">
        <v>1339</v>
      </c>
      <c r="B5" s="171" t="s">
        <v>1346</v>
      </c>
      <c r="C5" t="str">
        <v>creeper_head</v>
      </c>
      <c r="D5" s="153">
        <f t="shared" si="0"/>
        <v>5</v>
      </c>
      <c r="E5" t="str">
        <v>andesite_wall</v>
      </c>
      <c r="F5" s="153">
        <f t="shared" si="1"/>
        <v>2</v>
      </c>
      <c r="G5" s="63">
        <v>7</v>
      </c>
      <c r="H5">
        <f>($F$1/12)*7</f>
        <v>6.4166666666666661</v>
      </c>
    </row>
    <row r="6" spans="1:8">
      <c r="A6" s="172" t="s">
        <v>1340</v>
      </c>
      <c r="B6" s="172" t="s">
        <v>1347</v>
      </c>
      <c r="C6" t="str">
        <v>dragon_egg</v>
      </c>
      <c r="D6" s="153">
        <f t="shared" si="0"/>
        <v>11</v>
      </c>
      <c r="E6" t="str">
        <v>brick</v>
      </c>
      <c r="F6" s="153">
        <f t="shared" si="1"/>
        <v>7</v>
      </c>
      <c r="G6" s="64">
        <v>9</v>
      </c>
      <c r="H6">
        <f>($F$1/12)*9</f>
        <v>8.25</v>
      </c>
    </row>
    <row r="7" spans="1:8">
      <c r="A7" s="140" t="s">
        <v>1341</v>
      </c>
      <c r="B7" s="170" t="s">
        <v>1348</v>
      </c>
      <c r="C7" t="str">
        <v>dragon_head</v>
      </c>
      <c r="D7" s="153">
        <f t="shared" si="0"/>
        <v>11</v>
      </c>
      <c r="E7" t="str">
        <v>brick_slab</v>
      </c>
      <c r="F7" s="153">
        <f t="shared" si="1"/>
        <v>7</v>
      </c>
      <c r="G7" s="65">
        <v>11</v>
      </c>
      <c r="H7">
        <f>($F$1/12)*12</f>
        <v>11</v>
      </c>
    </row>
    <row r="8" spans="1:8">
      <c r="A8" s="173" t="s">
        <v>1342</v>
      </c>
      <c r="B8" s="140" t="s">
        <v>1350</v>
      </c>
      <c r="C8" t="str">
        <v>ender_eye</v>
      </c>
      <c r="D8" s="153">
        <f t="shared" si="0"/>
        <v>9</v>
      </c>
      <c r="E8" t="str">
        <v>brick_stairs</v>
      </c>
      <c r="F8" s="153">
        <f t="shared" si="1"/>
        <v>7</v>
      </c>
    </row>
    <row r="9" spans="1:8">
      <c r="B9" s="173" t="s">
        <v>1349</v>
      </c>
      <c r="C9" t="str">
        <v>ender_pearl</v>
      </c>
      <c r="D9" s="153">
        <f t="shared" si="0"/>
        <v>9</v>
      </c>
      <c r="E9" t="str">
        <v>brick_wall</v>
      </c>
      <c r="F9" s="153">
        <f t="shared" si="1"/>
        <v>7</v>
      </c>
    </row>
    <row r="10" spans="1:8">
      <c r="B10" s="169" t="s">
        <v>595</v>
      </c>
      <c r="C10" t="str">
        <v>feather</v>
      </c>
      <c r="D10" s="153">
        <f t="shared" si="0"/>
        <v>1</v>
      </c>
      <c r="E10" t="str">
        <v>bricks</v>
      </c>
      <c r="F10" s="153">
        <f t="shared" si="1"/>
        <v>7</v>
      </c>
    </row>
    <row r="11" spans="1:8">
      <c r="B11" s="170" t="s">
        <v>1351</v>
      </c>
      <c r="C11" t="str">
        <v>fermented_spider_eye</v>
      </c>
      <c r="D11" s="153">
        <f t="shared" si="0"/>
        <v>3</v>
      </c>
      <c r="E11" t="str">
        <v>chiseled_quartz_block</v>
      </c>
      <c r="F11" s="153">
        <f t="shared" si="1"/>
        <v>9</v>
      </c>
    </row>
    <row r="12" spans="1:8">
      <c r="B12" s="170" t="s">
        <v>1352</v>
      </c>
      <c r="C12" t="str">
        <v>ghast_tear</v>
      </c>
      <c r="D12" s="153">
        <f t="shared" si="0"/>
        <v>9</v>
      </c>
      <c r="E12" t="str">
        <v>chiseled_red_sandstone</v>
      </c>
      <c r="F12" s="153">
        <f t="shared" si="1"/>
        <v>7</v>
      </c>
    </row>
    <row r="13" spans="1:8">
      <c r="B13" s="174" t="s">
        <v>1353</v>
      </c>
      <c r="C13" t="str">
        <v>gunpowder</v>
      </c>
      <c r="D13" s="153">
        <f t="shared" si="0"/>
        <v>5</v>
      </c>
      <c r="E13" t="str">
        <v>chiseled_sandstone</v>
      </c>
      <c r="F13" s="153">
        <f t="shared" si="1"/>
        <v>5</v>
      </c>
    </row>
    <row r="14" spans="1:8">
      <c r="C14" t="str">
        <v>prismarine_crystals</v>
      </c>
      <c r="D14" s="153">
        <f t="shared" si="0"/>
        <v>9</v>
      </c>
      <c r="E14" t="str">
        <v>chiseled_stone_bricks</v>
      </c>
      <c r="F14" s="153">
        <f t="shared" si="1"/>
        <v>3</v>
      </c>
    </row>
    <row r="15" spans="1:8">
      <c r="C15" t="str">
        <v>prismarine_shard</v>
      </c>
      <c r="D15" s="153">
        <f t="shared" si="0"/>
        <v>9</v>
      </c>
      <c r="E15" t="str">
        <v>clay</v>
      </c>
      <c r="F15" s="153">
        <f t="shared" si="1"/>
        <v>7</v>
      </c>
    </row>
    <row r="16" spans="1:8">
      <c r="C16" t="str">
        <v>shulker_shell</v>
      </c>
      <c r="D16" s="153">
        <f t="shared" si="0"/>
        <v>9</v>
      </c>
      <c r="E16" t="str">
        <v>coal_block</v>
      </c>
      <c r="F16" s="153">
        <f t="shared" si="1"/>
        <v>3</v>
      </c>
    </row>
    <row r="17" spans="1:6">
      <c r="C17" t="str">
        <v>slime_ball</v>
      </c>
      <c r="D17" s="153">
        <f t="shared" si="0"/>
        <v>7</v>
      </c>
      <c r="E17" t="str">
        <v>coarse_dirt</v>
      </c>
      <c r="F17" s="153">
        <f t="shared" si="1"/>
        <v>1</v>
      </c>
    </row>
    <row r="18" spans="1:6">
      <c r="C18" t="str">
        <v>spider_eye</v>
      </c>
      <c r="D18" s="153">
        <f t="shared" si="0"/>
        <v>3</v>
      </c>
      <c r="E18" t="str">
        <v>cobblestone_slab</v>
      </c>
      <c r="F18" s="153">
        <f t="shared" si="1"/>
        <v>1</v>
      </c>
    </row>
    <row r="19" spans="1:6">
      <c r="C19" t="str">
        <v>string</v>
      </c>
      <c r="D19" s="153">
        <f t="shared" si="0"/>
        <v>3</v>
      </c>
      <c r="E19" t="str">
        <v>cobblestone_stairs</v>
      </c>
      <c r="F19" s="153">
        <f t="shared" si="1"/>
        <v>1</v>
      </c>
    </row>
    <row r="20" spans="1:6">
      <c r="C20" t="str">
        <v>wither_rose</v>
      </c>
      <c r="D20" s="153">
        <f t="shared" si="0"/>
        <v>11</v>
      </c>
      <c r="E20" t="str">
        <v>cobblestone_wall</v>
      </c>
      <c r="F20" s="153">
        <f t="shared" si="1"/>
        <v>1</v>
      </c>
    </row>
    <row r="21" spans="1:6">
      <c r="C21" t="str">
        <v>wither_skeleton_skull</v>
      </c>
      <c r="D21" s="153">
        <f t="shared" si="0"/>
        <v>11</v>
      </c>
      <c r="E21" t="str">
        <v>cracked_stone_bricks</v>
      </c>
      <c r="F21" s="153">
        <f t="shared" si="1"/>
        <v>3</v>
      </c>
    </row>
    <row r="22" spans="1:6">
      <c r="C22" t="str">
        <v>zombie_head</v>
      </c>
      <c r="D22" s="153">
        <f t="shared" si="0"/>
        <v>1</v>
      </c>
      <c r="E22" t="str">
        <v>cut_red_sandstone</v>
      </c>
      <c r="F22" s="153">
        <f t="shared" si="1"/>
        <v>7</v>
      </c>
    </row>
    <row r="23" spans="1:6">
      <c r="C23" t="str">
        <v/>
      </c>
      <c r="D23" s="153" t="str">
        <f t="shared" si="0"/>
        <v/>
      </c>
      <c r="E23" t="str">
        <v>cut_red_sandstone_slab</v>
      </c>
      <c r="F23" s="153">
        <f t="shared" si="1"/>
        <v>7</v>
      </c>
    </row>
    <row r="24" spans="1:6" ht="15.75">
      <c r="A24" s="125" t="s">
        <v>658</v>
      </c>
      <c r="C24" t="str">
        <v/>
      </c>
      <c r="D24" s="153" t="str">
        <f t="shared" si="0"/>
        <v/>
      </c>
      <c r="E24" t="str">
        <v>cut_sandstone</v>
      </c>
      <c r="F24" s="153">
        <f t="shared" si="1"/>
        <v>5</v>
      </c>
    </row>
    <row r="25" spans="1:6">
      <c r="C25" t="str">
        <v/>
      </c>
      <c r="D25" s="153" t="str">
        <f t="shared" si="0"/>
        <v/>
      </c>
      <c r="E25" t="str">
        <v>cut_sandstone_slab</v>
      </c>
      <c r="F25" s="153">
        <f t="shared" si="1"/>
        <v>5</v>
      </c>
    </row>
    <row r="26" spans="1:6">
      <c r="C26" t="str">
        <v/>
      </c>
      <c r="D26" s="153" t="str">
        <f t="shared" si="0"/>
        <v/>
      </c>
      <c r="E26" t="str">
        <v>dark_prismarine</v>
      </c>
      <c r="F26" s="153">
        <f t="shared" si="1"/>
        <v>9</v>
      </c>
    </row>
    <row r="27" spans="1:6">
      <c r="C27" t="str">
        <v/>
      </c>
      <c r="D27" s="153" t="str">
        <f t="shared" si="0"/>
        <v/>
      </c>
      <c r="E27" t="str">
        <v>dark_prismarine_slab</v>
      </c>
      <c r="F27" s="153">
        <f t="shared" si="1"/>
        <v>9</v>
      </c>
    </row>
    <row r="28" spans="1:6">
      <c r="C28" t="str">
        <v/>
      </c>
      <c r="D28" s="153" t="str">
        <f t="shared" si="0"/>
        <v/>
      </c>
      <c r="E28" t="str">
        <v>dark_prismarine_stairs</v>
      </c>
      <c r="F28" s="153">
        <f t="shared" si="1"/>
        <v>9</v>
      </c>
    </row>
    <row r="29" spans="1:6">
      <c r="C29" t="str">
        <v/>
      </c>
      <c r="D29" s="153" t="str">
        <f t="shared" si="0"/>
        <v/>
      </c>
      <c r="E29" t="str">
        <v>diorite_slab</v>
      </c>
      <c r="F29" s="153">
        <f t="shared" si="1"/>
        <v>1.8</v>
      </c>
    </row>
    <row r="30" spans="1:6">
      <c r="C30" t="str">
        <v/>
      </c>
      <c r="D30" s="153" t="str">
        <f t="shared" si="0"/>
        <v/>
      </c>
      <c r="E30" t="str">
        <v>diorite_stairs</v>
      </c>
      <c r="F30" s="153">
        <f t="shared" si="1"/>
        <v>1.8</v>
      </c>
    </row>
    <row r="31" spans="1:6">
      <c r="C31" t="str">
        <v/>
      </c>
      <c r="D31" s="153" t="str">
        <f t="shared" si="0"/>
        <v/>
      </c>
      <c r="E31" t="str">
        <v>diorite_wall</v>
      </c>
      <c r="F31" s="153">
        <f t="shared" si="1"/>
        <v>1.8</v>
      </c>
    </row>
    <row r="32" spans="1:6">
      <c r="C32" t="str">
        <v/>
      </c>
      <c r="D32" s="153" t="str">
        <f t="shared" si="0"/>
        <v/>
      </c>
      <c r="E32" t="str">
        <v>emerald_block</v>
      </c>
      <c r="F32" s="153">
        <f t="shared" si="1"/>
        <v>9</v>
      </c>
    </row>
    <row r="33" spans="3:6">
      <c r="C33" t="str">
        <v/>
      </c>
      <c r="D33" s="153" t="str">
        <f t="shared" si="0"/>
        <v/>
      </c>
      <c r="E33" t="str">
        <v>end_stone_brick_slab</v>
      </c>
      <c r="F33" s="153">
        <f t="shared" si="1"/>
        <v>11</v>
      </c>
    </row>
    <row r="34" spans="3:6">
      <c r="C34" t="str">
        <v/>
      </c>
      <c r="D34" s="153" t="str">
        <f t="shared" si="0"/>
        <v/>
      </c>
      <c r="E34" t="str">
        <v>end_stone_brick_stairs</v>
      </c>
      <c r="F34" s="153">
        <f t="shared" si="1"/>
        <v>11</v>
      </c>
    </row>
    <row r="35" spans="3:6">
      <c r="C35" t="str">
        <v/>
      </c>
      <c r="D35" s="153" t="str">
        <f t="shared" ref="D35:D58" si="2">IFERROR(VLOOKUP(C35,listitems,2,0),"")</f>
        <v/>
      </c>
      <c r="E35" t="str">
        <v>end_stone_brick_wall</v>
      </c>
      <c r="F35" s="153">
        <f t="shared" ref="F35:F98" si="3">IFERROR(VLOOKUP(E35,listitems,2,0),"")</f>
        <v>11</v>
      </c>
    </row>
    <row r="36" spans="3:6">
      <c r="C36" t="str">
        <v/>
      </c>
      <c r="D36" s="153" t="str">
        <f t="shared" si="2"/>
        <v/>
      </c>
      <c r="E36" t="str">
        <v>end_stone_bricks</v>
      </c>
      <c r="F36" s="153">
        <f t="shared" si="3"/>
        <v>11</v>
      </c>
    </row>
    <row r="37" spans="3:6">
      <c r="C37" t="str">
        <v/>
      </c>
      <c r="D37" s="153" t="str">
        <f t="shared" si="2"/>
        <v/>
      </c>
      <c r="E37" t="str">
        <v>flint</v>
      </c>
      <c r="F37" s="153">
        <f t="shared" si="3"/>
        <v>0</v>
      </c>
    </row>
    <row r="38" spans="3:6">
      <c r="C38" t="str">
        <v/>
      </c>
      <c r="D38" s="153" t="str">
        <f t="shared" si="2"/>
        <v/>
      </c>
      <c r="E38" t="str">
        <v>flower_pot</v>
      </c>
      <c r="F38" s="153">
        <f t="shared" si="3"/>
        <v>7</v>
      </c>
    </row>
    <row r="39" spans="3:6">
      <c r="C39" t="str">
        <v/>
      </c>
      <c r="D39" s="153" t="str">
        <f t="shared" si="2"/>
        <v/>
      </c>
      <c r="E39" t="str">
        <v>glass</v>
      </c>
      <c r="F39" s="153">
        <f t="shared" si="3"/>
        <v>5</v>
      </c>
    </row>
    <row r="40" spans="3:6">
      <c r="C40" t="str">
        <v/>
      </c>
      <c r="D40" s="153" t="str">
        <f t="shared" si="2"/>
        <v/>
      </c>
      <c r="E40" t="str">
        <v>glass_bottle</v>
      </c>
      <c r="F40" s="153">
        <f t="shared" si="3"/>
        <v>5</v>
      </c>
    </row>
    <row r="41" spans="3:6">
      <c r="C41" t="str">
        <v/>
      </c>
      <c r="D41" s="153" t="str">
        <f t="shared" si="2"/>
        <v/>
      </c>
      <c r="E41" t="str">
        <v>glass_pane</v>
      </c>
      <c r="F41" s="153">
        <f t="shared" si="3"/>
        <v>5</v>
      </c>
    </row>
    <row r="42" spans="3:6">
      <c r="C42" t="str">
        <v/>
      </c>
      <c r="D42" s="153" t="str">
        <f t="shared" si="2"/>
        <v/>
      </c>
      <c r="E42" t="str">
        <v>glowstone</v>
      </c>
      <c r="F42" s="153">
        <f t="shared" si="3"/>
        <v>9</v>
      </c>
    </row>
    <row r="43" spans="3:6">
      <c r="C43" t="str">
        <v/>
      </c>
      <c r="D43" s="153" t="str">
        <f t="shared" si="2"/>
        <v/>
      </c>
      <c r="E43" t="str">
        <v>granite_slab</v>
      </c>
      <c r="F43" s="153">
        <f t="shared" si="3"/>
        <v>1.6</v>
      </c>
    </row>
    <row r="44" spans="3:6">
      <c r="C44" t="str">
        <v/>
      </c>
      <c r="D44" s="153" t="str">
        <f t="shared" si="2"/>
        <v/>
      </c>
      <c r="E44" t="str">
        <v>granite_stairs</v>
      </c>
      <c r="F44" s="153">
        <f t="shared" si="3"/>
        <v>1.6</v>
      </c>
    </row>
    <row r="45" spans="3:6">
      <c r="C45" t="str">
        <v/>
      </c>
      <c r="D45" s="153" t="str">
        <f t="shared" si="2"/>
        <v/>
      </c>
      <c r="E45" t="str">
        <v>granite_wall</v>
      </c>
      <c r="F45" s="153">
        <f t="shared" si="3"/>
        <v>1.6</v>
      </c>
    </row>
    <row r="46" spans="3:6">
      <c r="C46" t="str">
        <v/>
      </c>
      <c r="D46" s="153" t="str">
        <f t="shared" si="2"/>
        <v/>
      </c>
      <c r="E46" t="str">
        <v>heavy_weighted_pressure_plate</v>
      </c>
      <c r="F46" s="153">
        <f t="shared" si="3"/>
        <v>5</v>
      </c>
    </row>
    <row r="47" spans="3:6">
      <c r="C47" t="str">
        <v/>
      </c>
      <c r="D47" s="153" t="str">
        <f t="shared" si="2"/>
        <v/>
      </c>
      <c r="E47" t="str">
        <v>lapis_block</v>
      </c>
      <c r="F47" s="153">
        <f t="shared" si="3"/>
        <v>5</v>
      </c>
    </row>
    <row r="48" spans="3:6">
      <c r="C48" t="str">
        <v/>
      </c>
      <c r="D48" s="153" t="str">
        <f t="shared" si="2"/>
        <v/>
      </c>
      <c r="E48" t="str">
        <v>mossy_cobblestone</v>
      </c>
      <c r="F48" s="153">
        <f t="shared" si="3"/>
        <v>1</v>
      </c>
    </row>
    <row r="49" spans="3:6">
      <c r="C49" t="str">
        <v/>
      </c>
      <c r="D49" s="153" t="str">
        <f t="shared" si="2"/>
        <v/>
      </c>
      <c r="E49" t="str">
        <v>mossy_cobblestone_slab</v>
      </c>
      <c r="F49" s="153">
        <f t="shared" si="3"/>
        <v>1</v>
      </c>
    </row>
    <row r="50" spans="3:6">
      <c r="C50" t="str">
        <v/>
      </c>
      <c r="D50" s="153" t="str">
        <f t="shared" si="2"/>
        <v/>
      </c>
      <c r="E50" t="str">
        <v>mossy_cobblestone_stairs</v>
      </c>
      <c r="F50" s="153">
        <f t="shared" si="3"/>
        <v>1</v>
      </c>
    </row>
    <row r="51" spans="3:6">
      <c r="C51" t="str">
        <v/>
      </c>
      <c r="D51" s="153" t="str">
        <f t="shared" si="2"/>
        <v/>
      </c>
      <c r="E51" t="str">
        <v>mossy_cobblestone_wall</v>
      </c>
      <c r="F51" s="153">
        <f t="shared" si="3"/>
        <v>1</v>
      </c>
    </row>
    <row r="52" spans="3:6">
      <c r="C52" t="str">
        <v/>
      </c>
      <c r="D52" s="153" t="str">
        <f t="shared" si="2"/>
        <v/>
      </c>
      <c r="E52" t="str">
        <v>mossy_stone_brick_slab</v>
      </c>
      <c r="F52" s="153">
        <f t="shared" si="3"/>
        <v>3</v>
      </c>
    </row>
    <row r="53" spans="3:6">
      <c r="C53" t="str">
        <v/>
      </c>
      <c r="D53" s="153" t="str">
        <f t="shared" si="2"/>
        <v/>
      </c>
      <c r="E53" t="str">
        <v>mossy_stone_brick_stairs</v>
      </c>
      <c r="F53" s="153">
        <f t="shared" si="3"/>
        <v>3</v>
      </c>
    </row>
    <row r="54" spans="3:6">
      <c r="C54" t="str">
        <v/>
      </c>
      <c r="D54" s="153" t="str">
        <f t="shared" si="2"/>
        <v/>
      </c>
      <c r="E54" t="str">
        <v>mossy_stone_brick_wall</v>
      </c>
      <c r="F54" s="153">
        <f t="shared" si="3"/>
        <v>3</v>
      </c>
    </row>
    <row r="55" spans="3:6">
      <c r="C55" t="str">
        <v/>
      </c>
      <c r="D55" s="153" t="str">
        <f t="shared" si="2"/>
        <v/>
      </c>
      <c r="E55" t="str">
        <v>mossy_stone_bricks</v>
      </c>
      <c r="F55" s="153">
        <f t="shared" si="3"/>
        <v>3</v>
      </c>
    </row>
    <row r="56" spans="3:6">
      <c r="C56" t="str">
        <v/>
      </c>
      <c r="D56" s="153" t="str">
        <f t="shared" si="2"/>
        <v/>
      </c>
      <c r="E56" t="str">
        <v>nether_brick</v>
      </c>
      <c r="F56" s="153">
        <f t="shared" si="3"/>
        <v>11</v>
      </c>
    </row>
    <row r="57" spans="3:6">
      <c r="C57" t="str">
        <v/>
      </c>
      <c r="D57" s="153" t="str">
        <f t="shared" si="2"/>
        <v/>
      </c>
      <c r="E57" t="str">
        <v>nether_brick_fence</v>
      </c>
      <c r="F57" s="158">
        <f t="shared" si="3"/>
        <v>11</v>
      </c>
    </row>
    <row r="58" spans="3:6">
      <c r="C58" t="str">
        <v/>
      </c>
      <c r="D58" s="153" t="str">
        <f t="shared" si="2"/>
        <v/>
      </c>
      <c r="E58" t="str">
        <v>nether_brick_slab</v>
      </c>
      <c r="F58" s="158">
        <f t="shared" si="3"/>
        <v>11</v>
      </c>
    </row>
    <row r="59" spans="3:6">
      <c r="C59" t="str">
        <v/>
      </c>
      <c r="E59" t="str">
        <v>nether_brick_stairs</v>
      </c>
      <c r="F59" s="158">
        <f t="shared" si="3"/>
        <v>11</v>
      </c>
    </row>
    <row r="60" spans="3:6">
      <c r="C60" t="str">
        <v/>
      </c>
      <c r="E60" t="str">
        <v>nether_brick_wall</v>
      </c>
      <c r="F60" s="158">
        <f t="shared" si="3"/>
        <v>11</v>
      </c>
    </row>
    <row r="61" spans="3:6">
      <c r="C61" t="str">
        <v/>
      </c>
      <c r="E61" t="str">
        <v>nether_bricks</v>
      </c>
      <c r="F61" s="158">
        <f t="shared" si="3"/>
        <v>11</v>
      </c>
    </row>
    <row r="62" spans="3:6">
      <c r="C62" t="str">
        <v/>
      </c>
      <c r="E62" t="str">
        <v>nether_wart_block</v>
      </c>
      <c r="F62" s="158">
        <f t="shared" si="3"/>
        <v>11</v>
      </c>
    </row>
    <row r="63" spans="3:6">
      <c r="C63" t="str">
        <v/>
      </c>
      <c r="E63" t="str">
        <v>polished_andesite</v>
      </c>
      <c r="F63" s="158">
        <f t="shared" si="3"/>
        <v>2</v>
      </c>
    </row>
    <row r="64" spans="3:6">
      <c r="C64" t="str">
        <v/>
      </c>
      <c r="E64" t="str">
        <v>polished_andesite_slab</v>
      </c>
      <c r="F64" s="158">
        <f t="shared" si="3"/>
        <v>2</v>
      </c>
    </row>
    <row r="65" spans="3:6">
      <c r="C65" t="str">
        <v/>
      </c>
      <c r="E65" t="str">
        <v>polished_andesite_stairs</v>
      </c>
      <c r="F65" s="158">
        <f t="shared" si="3"/>
        <v>2</v>
      </c>
    </row>
    <row r="66" spans="3:6">
      <c r="C66" t="str">
        <v/>
      </c>
      <c r="E66" t="str">
        <v>polished_diorite</v>
      </c>
      <c r="F66" s="158">
        <f t="shared" si="3"/>
        <v>1.8</v>
      </c>
    </row>
    <row r="67" spans="3:6">
      <c r="C67" t="str">
        <v/>
      </c>
      <c r="E67" t="str">
        <v>polished_diorite_slab</v>
      </c>
      <c r="F67" s="158">
        <f t="shared" si="3"/>
        <v>1.8</v>
      </c>
    </row>
    <row r="68" spans="3:6">
      <c r="C68" t="str">
        <v/>
      </c>
      <c r="E68" t="str">
        <v>polished_diorite_stairs</v>
      </c>
      <c r="F68" s="158">
        <f t="shared" si="3"/>
        <v>1.8</v>
      </c>
    </row>
    <row r="69" spans="3:6">
      <c r="C69" t="str">
        <v/>
      </c>
      <c r="E69" t="str">
        <v>polished_granite</v>
      </c>
      <c r="F69" s="158">
        <f t="shared" si="3"/>
        <v>1.6</v>
      </c>
    </row>
    <row r="70" spans="3:6">
      <c r="C70" t="str">
        <v/>
      </c>
      <c r="E70" t="str">
        <v>polished_granite_slab</v>
      </c>
      <c r="F70" s="158">
        <f t="shared" si="3"/>
        <v>1.6</v>
      </c>
    </row>
    <row r="71" spans="3:6">
      <c r="C71" t="str">
        <v/>
      </c>
      <c r="E71" t="str">
        <v>polished_granite_stairs</v>
      </c>
      <c r="F71" s="158">
        <f t="shared" si="3"/>
        <v>1.6</v>
      </c>
    </row>
    <row r="72" spans="3:6">
      <c r="C72" t="str">
        <v/>
      </c>
      <c r="E72" t="str">
        <v>prismarine</v>
      </c>
      <c r="F72" s="158">
        <f t="shared" si="3"/>
        <v>9</v>
      </c>
    </row>
    <row r="73" spans="3:6">
      <c r="C73" t="str">
        <v/>
      </c>
      <c r="E73" t="str">
        <v>prismarine_brick_slab</v>
      </c>
      <c r="F73" s="158">
        <f t="shared" si="3"/>
        <v>9</v>
      </c>
    </row>
    <row r="74" spans="3:6">
      <c r="C74" t="str">
        <v/>
      </c>
      <c r="E74" t="str">
        <v>prismarine_brick_stairs</v>
      </c>
      <c r="F74" s="158">
        <f t="shared" si="3"/>
        <v>9</v>
      </c>
    </row>
    <row r="75" spans="3:6">
      <c r="C75" t="str">
        <v/>
      </c>
      <c r="E75" t="str">
        <v>prismarine_bricks</v>
      </c>
      <c r="F75" s="158">
        <f t="shared" si="3"/>
        <v>9</v>
      </c>
    </row>
    <row r="76" spans="3:6">
      <c r="C76" t="str">
        <v/>
      </c>
      <c r="E76" t="str">
        <v>prismarine_slab</v>
      </c>
      <c r="F76" s="158">
        <f t="shared" si="3"/>
        <v>9</v>
      </c>
    </row>
    <row r="77" spans="3:6">
      <c r="C77" t="str">
        <v/>
      </c>
      <c r="E77" t="str">
        <v>prismarine_stairs</v>
      </c>
      <c r="F77" s="158">
        <f t="shared" si="3"/>
        <v>9</v>
      </c>
    </row>
    <row r="78" spans="3:6">
      <c r="C78" t="str">
        <v/>
      </c>
      <c r="E78" t="str">
        <v>prismarine_wall</v>
      </c>
      <c r="F78" s="158">
        <f t="shared" si="3"/>
        <v>9</v>
      </c>
    </row>
    <row r="79" spans="3:6">
      <c r="C79" t="str">
        <v/>
      </c>
      <c r="E79" t="str">
        <v>purpur_block</v>
      </c>
      <c r="F79" s="158">
        <f t="shared" si="3"/>
        <v>11</v>
      </c>
    </row>
    <row r="80" spans="3:6">
      <c r="C80" t="str">
        <v/>
      </c>
      <c r="E80" t="str">
        <v>purpur_pillar</v>
      </c>
      <c r="F80" s="158">
        <f t="shared" si="3"/>
        <v>11</v>
      </c>
    </row>
    <row r="81" spans="3:6">
      <c r="C81" t="str">
        <v/>
      </c>
      <c r="E81" t="str">
        <v>purpur_slab</v>
      </c>
      <c r="F81" s="158">
        <f t="shared" si="3"/>
        <v>11</v>
      </c>
    </row>
    <row r="82" spans="3:6">
      <c r="C82" t="str">
        <v/>
      </c>
      <c r="E82" t="str">
        <v>purpur_stairs</v>
      </c>
      <c r="F82" s="158">
        <f t="shared" si="3"/>
        <v>11</v>
      </c>
    </row>
    <row r="83" spans="3:6">
      <c r="C83" t="str">
        <v/>
      </c>
      <c r="E83" t="str">
        <v>quartz_block</v>
      </c>
      <c r="F83" s="158">
        <f t="shared" si="3"/>
        <v>9</v>
      </c>
    </row>
    <row r="84" spans="3:6">
      <c r="C84" t="str">
        <v/>
      </c>
      <c r="E84" t="str">
        <v>quartz_pillar</v>
      </c>
      <c r="F84" s="158">
        <f t="shared" si="3"/>
        <v>9</v>
      </c>
    </row>
    <row r="85" spans="3:6">
      <c r="C85" t="str">
        <v/>
      </c>
      <c r="E85" t="str">
        <v>quartz_slab</v>
      </c>
      <c r="F85" s="158">
        <f t="shared" si="3"/>
        <v>9</v>
      </c>
    </row>
    <row r="86" spans="3:6">
      <c r="C86" t="str">
        <v/>
      </c>
      <c r="E86" t="str">
        <v>quartz_stairs</v>
      </c>
      <c r="F86" s="158">
        <f t="shared" si="3"/>
        <v>9</v>
      </c>
    </row>
    <row r="87" spans="3:6">
      <c r="C87" t="str">
        <v/>
      </c>
      <c r="E87" t="str">
        <v>red_nether_brick_slab</v>
      </c>
      <c r="F87" s="158">
        <f t="shared" si="3"/>
        <v>11</v>
      </c>
    </row>
    <row r="88" spans="3:6">
      <c r="C88" t="str">
        <v/>
      </c>
      <c r="E88" t="str">
        <v>red_nether_brick_stairs</v>
      </c>
      <c r="F88" s="158">
        <f t="shared" si="3"/>
        <v>11</v>
      </c>
    </row>
    <row r="89" spans="3:6">
      <c r="C89" t="str">
        <v/>
      </c>
      <c r="E89" t="str">
        <v>red_nether_brick_wall</v>
      </c>
      <c r="F89" s="158">
        <f t="shared" si="3"/>
        <v>11</v>
      </c>
    </row>
    <row r="90" spans="3:6">
      <c r="C90" t="str">
        <v/>
      </c>
      <c r="E90" t="str">
        <v>red_nether_bricks</v>
      </c>
      <c r="F90" s="158">
        <f t="shared" si="3"/>
        <v>11</v>
      </c>
    </row>
    <row r="91" spans="3:6">
      <c r="C91" t="str">
        <v/>
      </c>
      <c r="E91" t="str">
        <v>red_sandstone</v>
      </c>
      <c r="F91" s="158">
        <f t="shared" si="3"/>
        <v>7</v>
      </c>
    </row>
    <row r="92" spans="3:6">
      <c r="C92" t="str">
        <v/>
      </c>
      <c r="E92" t="str">
        <v>red_sandstone_slab</v>
      </c>
      <c r="F92" s="158">
        <f t="shared" si="3"/>
        <v>7</v>
      </c>
    </row>
    <row r="93" spans="3:6">
      <c r="C93" t="str">
        <v/>
      </c>
      <c r="E93" t="str">
        <v>red_sandstone_stairs</v>
      </c>
      <c r="F93" s="158">
        <f t="shared" si="3"/>
        <v>7</v>
      </c>
    </row>
    <row r="94" spans="3:6">
      <c r="C94" t="str">
        <v/>
      </c>
      <c r="E94" t="str">
        <v>red_sandstone_wall</v>
      </c>
      <c r="F94" s="158">
        <f t="shared" si="3"/>
        <v>7</v>
      </c>
    </row>
    <row r="95" spans="3:6">
      <c r="C95" t="str">
        <v/>
      </c>
      <c r="E95" t="str">
        <v>sandstone</v>
      </c>
      <c r="F95" s="158">
        <f t="shared" si="3"/>
        <v>5</v>
      </c>
    </row>
    <row r="96" spans="3:6">
      <c r="C96" t="str">
        <v/>
      </c>
      <c r="E96" t="str">
        <v>sandstone_slab</v>
      </c>
      <c r="F96" s="158">
        <f t="shared" si="3"/>
        <v>5</v>
      </c>
    </row>
    <row r="97" spans="3:6">
      <c r="C97" t="str">
        <v/>
      </c>
      <c r="E97" t="str">
        <v>sandstone_stairs</v>
      </c>
      <c r="F97" s="158">
        <f t="shared" si="3"/>
        <v>5</v>
      </c>
    </row>
    <row r="98" spans="3:6">
      <c r="C98" t="str">
        <v/>
      </c>
      <c r="E98" t="str">
        <v>sandstone_wall</v>
      </c>
      <c r="F98" s="158">
        <f t="shared" si="3"/>
        <v>5</v>
      </c>
    </row>
    <row r="99" spans="3:6">
      <c r="C99" t="str">
        <v/>
      </c>
      <c r="E99" t="str">
        <v>sea_lantern</v>
      </c>
      <c r="F99" s="158">
        <f t="shared" ref="F99:F162" si="4">IFERROR(VLOOKUP(E99,listitems,2,0),"")</f>
        <v>9</v>
      </c>
    </row>
    <row r="100" spans="3:6">
      <c r="C100" t="str">
        <v/>
      </c>
      <c r="E100" t="str">
        <v>slime_block</v>
      </c>
      <c r="F100" s="158">
        <f t="shared" si="4"/>
        <v>7</v>
      </c>
    </row>
    <row r="101" spans="3:6">
      <c r="C101" t="str">
        <v/>
      </c>
      <c r="E101" t="str">
        <v>smooth_quartz</v>
      </c>
      <c r="F101" s="158">
        <f t="shared" si="4"/>
        <v>9</v>
      </c>
    </row>
    <row r="102" spans="3:6">
      <c r="C102" t="str">
        <v/>
      </c>
      <c r="E102" t="str">
        <v>smooth_quartz_slab</v>
      </c>
      <c r="F102" s="158">
        <f t="shared" si="4"/>
        <v>9</v>
      </c>
    </row>
    <row r="103" spans="3:6">
      <c r="C103" t="str">
        <v/>
      </c>
      <c r="E103" t="str">
        <v>smooth_quartz_stairs</v>
      </c>
      <c r="F103" s="158">
        <f t="shared" si="4"/>
        <v>9</v>
      </c>
    </row>
    <row r="104" spans="3:6">
      <c r="C104" t="str">
        <v/>
      </c>
      <c r="E104" t="str">
        <v>smooth_red_sandstone</v>
      </c>
      <c r="F104" s="158">
        <f t="shared" si="4"/>
        <v>7</v>
      </c>
    </row>
    <row r="105" spans="3:6">
      <c r="C105" t="str">
        <v/>
      </c>
      <c r="E105" t="str">
        <v>smooth_red_sandstone_slab</v>
      </c>
      <c r="F105" s="158">
        <f t="shared" si="4"/>
        <v>7</v>
      </c>
    </row>
    <row r="106" spans="3:6">
      <c r="C106" t="str">
        <v/>
      </c>
      <c r="E106" t="str">
        <v>smooth_red_sandstone_stairs</v>
      </c>
      <c r="F106" s="158">
        <f t="shared" si="4"/>
        <v>7</v>
      </c>
    </row>
    <row r="107" spans="3:6">
      <c r="C107" t="str">
        <v/>
      </c>
      <c r="E107" t="str">
        <v>smooth_sandstone</v>
      </c>
      <c r="F107" s="158">
        <f t="shared" si="4"/>
        <v>5</v>
      </c>
    </row>
    <row r="108" spans="3:6">
      <c r="C108" t="str">
        <v/>
      </c>
      <c r="E108" t="str">
        <v>smooth_sandstone_slab</v>
      </c>
      <c r="F108" s="158">
        <f t="shared" si="4"/>
        <v>5</v>
      </c>
    </row>
    <row r="109" spans="3:6">
      <c r="C109" t="str">
        <v/>
      </c>
      <c r="E109" t="str">
        <v>smooth_sandstone_stairs</v>
      </c>
      <c r="F109" s="158">
        <f t="shared" si="4"/>
        <v>5</v>
      </c>
    </row>
    <row r="110" spans="3:6">
      <c r="C110" t="str">
        <v/>
      </c>
      <c r="E110" t="str">
        <v>smooth_stone</v>
      </c>
      <c r="F110" s="158">
        <f t="shared" si="4"/>
        <v>3</v>
      </c>
    </row>
    <row r="111" spans="3:6">
      <c r="C111" t="str">
        <v/>
      </c>
      <c r="E111" t="str">
        <v>smooth_stone_slab</v>
      </c>
      <c r="F111" s="158">
        <f t="shared" si="4"/>
        <v>3</v>
      </c>
    </row>
    <row r="112" spans="3:6">
      <c r="C112" t="str">
        <v/>
      </c>
      <c r="E112" t="str">
        <v>stone</v>
      </c>
      <c r="F112" s="158">
        <f t="shared" si="4"/>
        <v>3</v>
      </c>
    </row>
    <row r="113" spans="3:6">
      <c r="C113" t="str">
        <v/>
      </c>
      <c r="E113" t="str">
        <v>stone_axe</v>
      </c>
      <c r="F113" s="158">
        <f t="shared" si="4"/>
        <v>1</v>
      </c>
    </row>
    <row r="114" spans="3:6">
      <c r="C114" t="str">
        <v/>
      </c>
      <c r="E114" t="str">
        <v>stone_brick_slab</v>
      </c>
      <c r="F114" s="158">
        <f t="shared" si="4"/>
        <v>3</v>
      </c>
    </row>
    <row r="115" spans="3:6">
      <c r="C115" t="str">
        <v/>
      </c>
      <c r="E115" t="str">
        <v>stone_brick_stairs</v>
      </c>
      <c r="F115" s="158">
        <f t="shared" si="4"/>
        <v>3</v>
      </c>
    </row>
    <row r="116" spans="3:6">
      <c r="C116" t="str">
        <v/>
      </c>
      <c r="E116" t="str">
        <v>stone_brick_wall</v>
      </c>
      <c r="F116" s="158">
        <f t="shared" si="4"/>
        <v>3</v>
      </c>
    </row>
    <row r="117" spans="3:6">
      <c r="C117" t="str">
        <v/>
      </c>
      <c r="E117" t="str">
        <v>stone_bricks</v>
      </c>
      <c r="F117" s="158">
        <f t="shared" si="4"/>
        <v>3</v>
      </c>
    </row>
    <row r="118" spans="3:6">
      <c r="C118" t="str">
        <v/>
      </c>
      <c r="E118" t="str">
        <v>stone_button</v>
      </c>
      <c r="F118" s="158">
        <f t="shared" si="4"/>
        <v>3</v>
      </c>
    </row>
    <row r="119" spans="3:6">
      <c r="C119" t="str">
        <v/>
      </c>
      <c r="E119" t="str">
        <v>stone_hoe</v>
      </c>
      <c r="F119" s="158">
        <f t="shared" si="4"/>
        <v>3</v>
      </c>
    </row>
    <row r="120" spans="3:6">
      <c r="C120" t="str">
        <v/>
      </c>
      <c r="E120" t="str">
        <v>stone_pickaxe</v>
      </c>
      <c r="F120" s="158">
        <f t="shared" si="4"/>
        <v>3</v>
      </c>
    </row>
    <row r="121" spans="3:6">
      <c r="C121" t="str">
        <v/>
      </c>
      <c r="E121" t="str">
        <v>stone_pressure_plate</v>
      </c>
      <c r="F121" s="158">
        <f t="shared" si="4"/>
        <v>3</v>
      </c>
    </row>
    <row r="122" spans="3:6">
      <c r="C122" t="str">
        <v/>
      </c>
      <c r="E122" t="str">
        <v>stone_shovel</v>
      </c>
      <c r="F122" s="158">
        <f t="shared" si="4"/>
        <v>3</v>
      </c>
    </row>
    <row r="123" spans="3:6">
      <c r="C123" t="str">
        <v/>
      </c>
      <c r="E123" t="str">
        <v>stone_slab</v>
      </c>
      <c r="F123" s="158">
        <f t="shared" si="4"/>
        <v>3</v>
      </c>
    </row>
    <row r="124" spans="3:6">
      <c r="C124" t="str">
        <v/>
      </c>
      <c r="E124" t="str">
        <v>stone_stairs</v>
      </c>
      <c r="F124" s="158">
        <f t="shared" si="4"/>
        <v>3</v>
      </c>
    </row>
    <row r="125" spans="3:6">
      <c r="C125" t="str">
        <v/>
      </c>
      <c r="E125" t="str">
        <v>terracotta</v>
      </c>
      <c r="F125" s="158">
        <f t="shared" si="4"/>
        <v>7</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23" priority="7" operator="between">
      <formula>7</formula>
      <formula>8.99</formula>
    </cfRule>
    <cfRule type="cellIs" dxfId="22" priority="8" operator="between">
      <formula>11</formula>
      <formula>11000000</formula>
    </cfRule>
    <cfRule type="cellIs" dxfId="21" priority="9" operator="between">
      <formula>9</formula>
      <formula>10.99</formula>
    </cfRule>
    <cfRule type="cellIs" dxfId="20" priority="10" operator="between">
      <formula>3</formula>
      <formula>4.99</formula>
    </cfRule>
    <cfRule type="cellIs" dxfId="19" priority="11" operator="between">
      <formula>5</formula>
      <formula>6.99</formula>
    </cfRule>
    <cfRule type="cellIs" dxfId="12" priority="12" operator="between">
      <formula>0</formula>
      <formula>2.99</formula>
    </cfRule>
  </conditionalFormatting>
  <conditionalFormatting sqref="F3:F221">
    <cfRule type="cellIs" dxfId="18" priority="1" operator="between">
      <formula>11</formula>
      <formula>2555</formula>
    </cfRule>
    <cfRule type="cellIs" dxfId="17" priority="2" operator="between">
      <formula>9</formula>
      <formula>10.99</formula>
    </cfRule>
    <cfRule type="cellIs" dxfId="16" priority="3" operator="between">
      <formula>7</formula>
      <formula>8.99</formula>
    </cfRule>
    <cfRule type="cellIs" dxfId="15" priority="4" operator="between">
      <formula>5</formula>
      <formula>6.99</formula>
    </cfRule>
    <cfRule type="cellIs" dxfId="14" priority="5" operator="between">
      <formula>3</formula>
      <formula>4.99</formula>
    </cfRule>
    <cfRule type="cellIs" dxfId="13"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30" t="s">
        <v>148</v>
      </c>
      <c r="B1" s="230"/>
      <c r="C1" s="230"/>
      <c r="D1" s="230"/>
      <c r="E1" s="228" t="s">
        <v>157</v>
      </c>
      <c r="F1" s="228"/>
      <c r="G1" s="228"/>
      <c r="H1" s="228"/>
      <c r="I1" s="230" t="s">
        <v>149</v>
      </c>
      <c r="J1" s="230"/>
      <c r="K1" s="230"/>
      <c r="L1" s="230"/>
      <c r="M1" s="228" t="s">
        <v>147</v>
      </c>
      <c r="N1" s="228"/>
      <c r="O1" s="228"/>
      <c r="P1" s="228"/>
    </row>
    <row r="2" spans="1:16" ht="15" customHeight="1">
      <c r="A2" s="231" t="s">
        <v>238</v>
      </c>
      <c r="B2" s="231"/>
      <c r="C2" s="231" t="s">
        <v>239</v>
      </c>
      <c r="D2" s="231"/>
      <c r="E2" s="215" t="s">
        <v>249</v>
      </c>
      <c r="F2" s="215"/>
      <c r="G2" s="215" t="s">
        <v>252</v>
      </c>
      <c r="H2" s="215"/>
      <c r="I2" s="231" t="s">
        <v>291</v>
      </c>
      <c r="J2" s="231"/>
      <c r="K2" s="231" t="s">
        <v>254</v>
      </c>
      <c r="L2" s="231"/>
      <c r="M2" s="215" t="s">
        <v>256</v>
      </c>
      <c r="N2" s="215"/>
      <c r="O2" s="215" t="s">
        <v>257</v>
      </c>
      <c r="P2" s="21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29" t="s">
        <v>299</v>
      </c>
      <c r="H5" s="229"/>
      <c r="I5" s="229" t="s">
        <v>270</v>
      </c>
      <c r="J5" s="229"/>
      <c r="K5" s="229" t="s">
        <v>315</v>
      </c>
      <c r="L5" s="229"/>
      <c r="M5" s="225" t="s">
        <v>259</v>
      </c>
      <c r="N5" s="225"/>
      <c r="O5" s="229" t="s">
        <v>319</v>
      </c>
      <c r="P5" s="229"/>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26" t="s">
        <v>327</v>
      </c>
      <c r="B9" s="226"/>
      <c r="C9" s="226" t="s">
        <v>328</v>
      </c>
      <c r="D9" s="226"/>
      <c r="E9" s="226" t="s">
        <v>307</v>
      </c>
      <c r="F9" s="226"/>
      <c r="G9" s="226" t="s">
        <v>253</v>
      </c>
      <c r="H9" s="226"/>
      <c r="I9" s="226" t="s">
        <v>255</v>
      </c>
      <c r="J9" s="226"/>
      <c r="K9" s="226" t="s">
        <v>38</v>
      </c>
      <c r="L9" s="226"/>
      <c r="M9" s="226" t="s">
        <v>261</v>
      </c>
      <c r="N9" s="226"/>
      <c r="O9" s="226" t="s">
        <v>263</v>
      </c>
      <c r="P9" s="226"/>
    </row>
    <row r="10" spans="1:16" ht="15" customHeight="1">
      <c r="A10" s="227" t="s">
        <v>288</v>
      </c>
      <c r="B10" s="227"/>
      <c r="C10" s="227" t="s">
        <v>244</v>
      </c>
      <c r="D10" s="227"/>
      <c r="E10" s="227" t="s">
        <v>296</v>
      </c>
      <c r="F10" s="227"/>
      <c r="G10" s="227" t="s">
        <v>372</v>
      </c>
      <c r="H10" s="227"/>
      <c r="I10" s="227" t="s">
        <v>308</v>
      </c>
      <c r="J10" s="227"/>
      <c r="K10" s="227" t="s">
        <v>322</v>
      </c>
      <c r="L10" s="227"/>
      <c r="M10" s="227" t="s">
        <v>316</v>
      </c>
      <c r="N10" s="227"/>
      <c r="O10" s="227" t="s">
        <v>258</v>
      </c>
      <c r="P10" s="227"/>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7" t="s">
        <v>289</v>
      </c>
      <c r="B15" s="227"/>
      <c r="C15" s="227" t="s">
        <v>306</v>
      </c>
      <c r="D15" s="227"/>
      <c r="E15" s="227" t="s">
        <v>268</v>
      </c>
      <c r="F15" s="227"/>
      <c r="G15" s="227" t="s">
        <v>333</v>
      </c>
      <c r="H15" s="227"/>
      <c r="I15" s="227" t="s">
        <v>269</v>
      </c>
      <c r="J15" s="227"/>
      <c r="K15" s="227" t="s">
        <v>321</v>
      </c>
      <c r="L15" s="227"/>
      <c r="M15" s="227" t="s">
        <v>312</v>
      </c>
      <c r="N15" s="227"/>
      <c r="O15" s="227" t="s">
        <v>324</v>
      </c>
      <c r="P15" s="227"/>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7" t="s">
        <v>329</v>
      </c>
      <c r="B20" s="227"/>
      <c r="C20" s="227" t="s">
        <v>245</v>
      </c>
      <c r="D20" s="227"/>
      <c r="E20" s="227" t="s">
        <v>297</v>
      </c>
      <c r="F20" s="227"/>
      <c r="G20" s="227" t="s">
        <v>334</v>
      </c>
      <c r="H20" s="227"/>
      <c r="I20" s="227" t="s">
        <v>270</v>
      </c>
      <c r="J20" s="227"/>
      <c r="K20" s="227" t="s">
        <v>315</v>
      </c>
      <c r="L20" s="227"/>
      <c r="M20" s="227" t="s">
        <v>259</v>
      </c>
      <c r="N20" s="227"/>
      <c r="O20" s="227" t="s">
        <v>319</v>
      </c>
      <c r="P20" s="227"/>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7" t="s">
        <v>330</v>
      </c>
      <c r="B25" s="227"/>
      <c r="C25" s="227" t="s">
        <v>246</v>
      </c>
      <c r="D25" s="227"/>
      <c r="E25" s="227" t="s">
        <v>303</v>
      </c>
      <c r="F25" s="227"/>
      <c r="G25" s="227" t="s">
        <v>335</v>
      </c>
      <c r="H25" s="227"/>
      <c r="I25" s="227" t="s">
        <v>346</v>
      </c>
      <c r="J25" s="227"/>
      <c r="K25" s="227" t="s">
        <v>326</v>
      </c>
      <c r="L25" s="227"/>
      <c r="M25" s="227" t="s">
        <v>313</v>
      </c>
      <c r="N25" s="227"/>
      <c r="O25" s="227" t="s">
        <v>318</v>
      </c>
      <c r="P25" s="227"/>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7" t="s">
        <v>331</v>
      </c>
      <c r="B30" s="227"/>
      <c r="C30" s="227" t="s">
        <v>247</v>
      </c>
      <c r="D30" s="227"/>
      <c r="E30" s="227" t="s">
        <v>251</v>
      </c>
      <c r="F30" s="227"/>
      <c r="G30" s="227" t="s">
        <v>336</v>
      </c>
      <c r="H30" s="227"/>
      <c r="I30" s="227" t="s">
        <v>310</v>
      </c>
      <c r="J30" s="227"/>
      <c r="K30" s="227" t="s">
        <v>338</v>
      </c>
      <c r="L30" s="227"/>
      <c r="M30" s="227" t="s">
        <v>314</v>
      </c>
      <c r="N30" s="227"/>
      <c r="O30" s="227" t="s">
        <v>320</v>
      </c>
      <c r="P30" s="227"/>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7" t="s">
        <v>332</v>
      </c>
      <c r="B35" s="227"/>
      <c r="C35" s="227" t="s">
        <v>248</v>
      </c>
      <c r="D35" s="227"/>
      <c r="E35" s="227" t="s">
        <v>304</v>
      </c>
      <c r="F35" s="227"/>
      <c r="G35" s="227" t="s">
        <v>337</v>
      </c>
      <c r="H35" s="227"/>
      <c r="I35" s="227" t="s">
        <v>311</v>
      </c>
      <c r="J35" s="227"/>
      <c r="K35" s="227" t="s">
        <v>323</v>
      </c>
      <c r="L35" s="227"/>
      <c r="M35" s="227" t="s">
        <v>260</v>
      </c>
      <c r="N35" s="227"/>
      <c r="O35" s="227" t="s">
        <v>317</v>
      </c>
      <c r="P35" s="227"/>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42"/>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42"/>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42"/>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43"/>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3"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4"/>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4"/>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4"/>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5"/>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6"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37"/>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37"/>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6"/>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6"/>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38"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39"/>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39"/>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4"/>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0"/>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6"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6"/>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6"/>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6"/>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6"/>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41"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42"/>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42"/>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42"/>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43"/>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3"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4"/>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4"/>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4"/>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5"/>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6"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37"/>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37"/>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6"/>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6"/>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38"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39"/>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39"/>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4"/>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0"/>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6"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6"/>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6"/>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6"/>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6"/>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41"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42"/>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42"/>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42"/>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43"/>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3"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4"/>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4"/>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4"/>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5"/>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6"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37"/>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37"/>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6"/>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6"/>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38"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39"/>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39"/>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4"/>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0"/>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6"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6"/>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6"/>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6"/>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6"/>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41"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42"/>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42"/>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42"/>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43"/>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3"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4"/>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4"/>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4"/>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5"/>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6"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37"/>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37"/>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6"/>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6"/>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38"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39"/>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39"/>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4"/>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0"/>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6"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6"/>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6"/>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6"/>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6"/>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41"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42"/>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42"/>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42"/>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43"/>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3"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4"/>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4"/>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4"/>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5"/>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6"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37"/>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37"/>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6"/>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6"/>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38"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39"/>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39"/>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4"/>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0"/>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6"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6"/>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6"/>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6"/>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6"/>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42"/>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42"/>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42"/>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43"/>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3"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4"/>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4"/>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4"/>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5"/>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6"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37"/>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37"/>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6"/>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6"/>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38"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39"/>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39"/>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4"/>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0"/>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6"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6"/>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6"/>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6"/>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6"/>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4" t="s">
        <v>39</v>
      </c>
      <c r="B17" s="244"/>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9" t="s">
        <v>49</v>
      </c>
      <c r="B31" s="249"/>
      <c r="C31" s="249"/>
      <c r="D31" s="249"/>
      <c r="E31" s="249"/>
      <c r="F31" s="249"/>
      <c r="G31" s="249"/>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29" t="str">
        <f>C11</f>
        <v>Inteligencia</v>
      </c>
      <c r="B35" s="229"/>
      <c r="C35" s="37">
        <f t="shared" ref="C35" si="1">ROUNDDOWN(C34/2,0)</f>
        <v>1</v>
      </c>
      <c r="D35" s="28">
        <f t="shared" si="0"/>
        <v>3</v>
      </c>
      <c r="E35" s="28">
        <f t="shared" si="0"/>
        <v>10</v>
      </c>
      <c r="F35" s="28">
        <f t="shared" si="0"/>
        <v>30</v>
      </c>
      <c r="G35" s="28">
        <f t="shared" si="0"/>
        <v>60</v>
      </c>
      <c r="H35" s="28"/>
      <c r="I35" s="28"/>
    </row>
    <row r="36" spans="1:17">
      <c r="A36" s="249" t="s">
        <v>21</v>
      </c>
      <c r="B36" s="249"/>
      <c r="C36" s="249"/>
      <c r="D36" s="249"/>
      <c r="E36" s="249"/>
      <c r="F36" s="249"/>
      <c r="G36" s="249"/>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6" t="s">
        <v>68</v>
      </c>
      <c r="B40" s="246"/>
      <c r="C40" s="39">
        <v>1800</v>
      </c>
      <c r="D40" s="39">
        <v>1800</v>
      </c>
      <c r="E40" s="39">
        <v>1800</v>
      </c>
      <c r="F40" s="39">
        <v>1800</v>
      </c>
      <c r="G40" s="39">
        <v>1800</v>
      </c>
      <c r="H40" s="28"/>
    </row>
    <row r="41" spans="1:17" ht="27.75" customHeight="1">
      <c r="A41" s="244" t="s">
        <v>38</v>
      </c>
      <c r="B41" s="244"/>
      <c r="C41" s="3" t="s">
        <v>7</v>
      </c>
      <c r="D41" s="3" t="s">
        <v>8</v>
      </c>
      <c r="E41" s="3" t="s">
        <v>83</v>
      </c>
      <c r="F41" s="3" t="s">
        <v>84</v>
      </c>
      <c r="G41" s="3" t="s">
        <v>85</v>
      </c>
      <c r="H41" s="3" t="s">
        <v>62</v>
      </c>
      <c r="I41" s="23" t="s">
        <v>119</v>
      </c>
      <c r="J41" s="244" t="s">
        <v>283</v>
      </c>
      <c r="K41" s="244"/>
      <c r="L41" s="244" t="s">
        <v>285</v>
      </c>
      <c r="M41" s="244"/>
      <c r="N41" s="244" t="s">
        <v>380</v>
      </c>
      <c r="O41" s="244"/>
      <c r="P41" s="244"/>
      <c r="Q41" s="244"/>
    </row>
    <row r="42" spans="1:17">
      <c r="A42" s="247" t="s">
        <v>20</v>
      </c>
      <c r="B42" s="247"/>
      <c r="C42" s="247"/>
      <c r="D42" s="247"/>
      <c r="E42" s="247"/>
      <c r="F42" s="247"/>
      <c r="G42" s="247"/>
      <c r="H42" s="6">
        <v>2</v>
      </c>
      <c r="I42" s="41">
        <v>1</v>
      </c>
      <c r="J42" s="196" t="s">
        <v>379</v>
      </c>
      <c r="K42" s="196"/>
      <c r="L42" s="196">
        <v>2</v>
      </c>
      <c r="M42" s="196"/>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5"/>
      <c r="Q47" s="245"/>
    </row>
    <row r="48" spans="1:17">
      <c r="A48" s="247" t="s">
        <v>49</v>
      </c>
      <c r="B48" s="247"/>
      <c r="C48" s="247"/>
      <c r="D48" s="247"/>
      <c r="E48" s="247"/>
      <c r="F48" s="247"/>
      <c r="G48" s="247"/>
      <c r="N48" s="113"/>
      <c r="O48" s="113"/>
      <c r="P48" s="245"/>
      <c r="Q48" s="245"/>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5"/>
      <c r="Q49" s="245"/>
    </row>
    <row r="50" spans="1:17">
      <c r="A50" s="225" t="str">
        <f>C12</f>
        <v>Esencia</v>
      </c>
      <c r="B50" s="225"/>
      <c r="C50" s="40">
        <f>ROUNDDOWN(C49/3,0)</f>
        <v>1</v>
      </c>
      <c r="D50" s="40">
        <f>ROUNDDOWN(D49/3,0)</f>
        <v>3</v>
      </c>
      <c r="E50" s="40">
        <f>ROUNDDOWN(E49/3,0)</f>
        <v>10</v>
      </c>
      <c r="F50" s="40">
        <f>ROUNDDOWN(F49/3,0)</f>
        <v>32</v>
      </c>
      <c r="G50" s="40">
        <f>ROUNDDOWN(G49/3,0)</f>
        <v>64</v>
      </c>
      <c r="N50" s="113"/>
      <c r="O50" s="113"/>
      <c r="P50" s="245"/>
      <c r="Q50" s="245"/>
    </row>
    <row r="51" spans="1:17">
      <c r="A51" s="225"/>
      <c r="B51" s="225"/>
      <c r="N51" s="113"/>
      <c r="O51" s="113"/>
      <c r="P51" s="245"/>
      <c r="Q51" s="245"/>
    </row>
    <row r="52" spans="1:17" ht="27.75" customHeight="1">
      <c r="A52" s="244" t="s">
        <v>63</v>
      </c>
      <c r="B52" s="244"/>
      <c r="C52" s="3" t="s">
        <v>0</v>
      </c>
      <c r="D52" s="3" t="s">
        <v>86</v>
      </c>
      <c r="E52" s="3" t="s">
        <v>83</v>
      </c>
      <c r="F52" s="3" t="s">
        <v>84</v>
      </c>
      <c r="G52" s="3" t="s">
        <v>85</v>
      </c>
      <c r="H52" s="3" t="s">
        <v>62</v>
      </c>
      <c r="J52" s="244" t="s">
        <v>283</v>
      </c>
      <c r="K52" s="244"/>
      <c r="L52" s="244" t="s">
        <v>285</v>
      </c>
      <c r="M52" s="244"/>
    </row>
    <row r="53" spans="1:17">
      <c r="A53" s="247" t="s">
        <v>20</v>
      </c>
      <c r="B53" s="247"/>
      <c r="C53" s="247"/>
      <c r="D53" s="247"/>
      <c r="E53" s="247"/>
      <c r="F53" s="247"/>
      <c r="G53" s="247"/>
      <c r="H53" s="6">
        <f>$H$55*$I$42</f>
        <v>5</v>
      </c>
      <c r="J53" s="196" t="s">
        <v>284</v>
      </c>
      <c r="K53" s="196"/>
      <c r="L53" s="196">
        <v>1</v>
      </c>
      <c r="M53" s="196"/>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4" t="s">
        <v>64</v>
      </c>
      <c r="B63" s="244"/>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5"/>
      <c r="B73" s="245"/>
    </row>
    <row r="74" spans="1:8" ht="27.75" customHeight="1">
      <c r="A74" s="244" t="s">
        <v>11</v>
      </c>
      <c r="B74" s="244"/>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5"/>
      <c r="B84" s="245"/>
    </row>
    <row r="85" spans="1:8" ht="27.75" customHeight="1">
      <c r="A85" s="244" t="s">
        <v>66</v>
      </c>
      <c r="B85" s="244"/>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2019-10-18T06:24:41Z</dcterms:modified>
</cp:coreProperties>
</file>