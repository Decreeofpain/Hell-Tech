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ThisWorkbook"/>
  <mc:AlternateContent xmlns:mc="http://schemas.openxmlformats.org/markup-compatibility/2006">
    <mc:Choice Requires="x15">
      <x15ac:absPath xmlns:x15ac="http://schemas.microsoft.com/office/spreadsheetml/2010/11/ac" url="J:\Proyecto Esparcraft\Destinity\"/>
    </mc:Choice>
  </mc:AlternateContent>
  <xr:revisionPtr revIDLastSave="0" documentId="13_ncr:1_{7AD28F46-4DF7-4AE6-8548-410D8C35D905}" xr6:coauthVersionLast="28" xr6:coauthVersionMax="28" xr10:uidLastSave="{00000000-0000-0000-0000-000000000000}"/>
  <bookViews>
    <workbookView xWindow="0" yWindow="0" windowWidth="20400" windowHeight="7680" tabRatio="893" firstSheet="29" activeTab="31" xr2:uid="{00000000-000D-0000-FFFF-FFFF00000000}"/>
  </bookViews>
  <sheets>
    <sheet name="Clases" sheetId="37" r:id="rId1"/>
    <sheet name="ECONOMIA &amp; PROFESIONES" sheetId="32" r:id="rId2"/>
    <sheet name="ITEM CRAFT" sheetId="33" r:id="rId3"/>
    <sheet name="ITEM CORE" sheetId="34" r:id="rId4"/>
    <sheet name="PROFESION CORE" sheetId="35" r:id="rId5"/>
    <sheet name="Crafteos ESP" sheetId="36" r:id="rId6"/>
    <sheet name="MAIN" sheetId="1" r:id="rId7"/>
    <sheet name="armas comun" sheetId="4" r:id="rId8"/>
    <sheet name="helmet comun" sheetId="5" r:id="rId9"/>
    <sheet name="chestplate comun" sheetId="6" r:id="rId10"/>
    <sheet name="leggins comun" sheetId="7" r:id="rId11"/>
    <sheet name="boots comun" sheetId="9" r:id="rId12"/>
    <sheet name="armas magico" sheetId="10" r:id="rId13"/>
    <sheet name="helmet magico" sheetId="12" r:id="rId14"/>
    <sheet name="chestplate magico" sheetId="13" r:id="rId15"/>
    <sheet name="leggins magico" sheetId="14" r:id="rId16"/>
    <sheet name="boots magico" sheetId="15" r:id="rId17"/>
    <sheet name="armas raro" sheetId="16" r:id="rId18"/>
    <sheet name="helmet raro" sheetId="17" r:id="rId19"/>
    <sheet name="chestplate raro" sheetId="18" r:id="rId20"/>
    <sheet name="leggins raro" sheetId="19" r:id="rId21"/>
    <sheet name="boots raro" sheetId="20" r:id="rId22"/>
    <sheet name="armas legendario" sheetId="21" r:id="rId23"/>
    <sheet name="helmet legendario" sheetId="22" r:id="rId24"/>
    <sheet name="chestplate legendario" sheetId="23" r:id="rId25"/>
    <sheet name="leggins legendario" sheetId="24" r:id="rId26"/>
    <sheet name="boots legendario" sheetId="25" r:id="rId27"/>
    <sheet name="armas ancestral" sheetId="26" r:id="rId28"/>
    <sheet name="helmet ancestral" sheetId="27" r:id="rId29"/>
    <sheet name="chestplate ancestral" sheetId="28" r:id="rId30"/>
    <sheet name="leggins ancestral" sheetId="29" r:id="rId31"/>
    <sheet name="boots ancestral" sheetId="31" r:id="rId32"/>
  </sheets>
  <definedNames>
    <definedName name="ACCIONES">'ECONOMIA &amp; PROFESIONES'!$C$18:$C$23</definedName>
    <definedName name="craftedesp">'Crafteos ESP'!$A$38:$C$449</definedName>
    <definedName name="craftspar">'Crafteos ESP'!$A$38:$A$434</definedName>
    <definedName name="ECONLIST">'ITEM CRAFT'!$A$4:$F$796</definedName>
    <definedName name="IDALQUIMIA">'PROFESION CORE'!$I$8:$I$187</definedName>
    <definedName name="IDCARPINTERIA">'PROFESION CORE'!$E$8:$E$187</definedName>
    <definedName name="IDCORE">'ITEM CORE'!$A$4:$A$521</definedName>
    <definedName name="IDGANADERIA">'PROFESION CORE'!$M$8:$M$187</definedName>
    <definedName name="IDMINERIA">'PROFESION CORE'!$A$8:$A$187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CORE'!$A$8:$D$187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71027"/>
  <fileRecoveryPr autoRecover="0"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8" i="31" l="1"/>
  <c r="Y8" i="31"/>
  <c r="X8" i="31"/>
  <c r="W8" i="31"/>
  <c r="V8" i="31"/>
  <c r="Z7" i="31"/>
  <c r="Y7" i="31"/>
  <c r="X7" i="31"/>
  <c r="W7" i="31"/>
  <c r="V7" i="31"/>
  <c r="Z6" i="31"/>
  <c r="Y6" i="31"/>
  <c r="X6" i="31"/>
  <c r="W6" i="31"/>
  <c r="V6" i="31"/>
  <c r="Z5" i="31"/>
  <c r="Y5" i="31"/>
  <c r="X5" i="31"/>
  <c r="W5" i="31"/>
  <c r="V5" i="31"/>
  <c r="Z4" i="31"/>
  <c r="Y4" i="31"/>
  <c r="X4" i="31"/>
  <c r="W4" i="31"/>
  <c r="V4" i="31"/>
  <c r="Z8" i="25"/>
  <c r="Y8" i="25"/>
  <c r="X8" i="25"/>
  <c r="W8" i="25"/>
  <c r="V8" i="25"/>
  <c r="Z7" i="25"/>
  <c r="Y7" i="25"/>
  <c r="X7" i="25"/>
  <c r="W7" i="25"/>
  <c r="V7" i="25"/>
  <c r="Z6" i="25"/>
  <c r="Y6" i="25"/>
  <c r="X6" i="25"/>
  <c r="W6" i="25"/>
  <c r="V6" i="25"/>
  <c r="Z5" i="25"/>
  <c r="Y5" i="25"/>
  <c r="X5" i="25"/>
  <c r="W5" i="25"/>
  <c r="V5" i="25"/>
  <c r="Z4" i="25"/>
  <c r="Y4" i="25"/>
  <c r="X4" i="25"/>
  <c r="W4" i="25"/>
  <c r="V4" i="25"/>
  <c r="Z8" i="20"/>
  <c r="Y8" i="20"/>
  <c r="X8" i="20"/>
  <c r="W8" i="20"/>
  <c r="V8" i="20"/>
  <c r="Z7" i="20"/>
  <c r="Y7" i="20"/>
  <c r="X7" i="20"/>
  <c r="W7" i="20"/>
  <c r="V7" i="20"/>
  <c r="Z6" i="20"/>
  <c r="Y6" i="20"/>
  <c r="X6" i="20"/>
  <c r="W6" i="20"/>
  <c r="V6" i="20"/>
  <c r="Z5" i="20"/>
  <c r="Y5" i="20"/>
  <c r="X5" i="20"/>
  <c r="W5" i="20"/>
  <c r="V5" i="20"/>
  <c r="Z4" i="20"/>
  <c r="Y4" i="20"/>
  <c r="X4" i="20"/>
  <c r="W4" i="20"/>
  <c r="V4" i="20"/>
  <c r="Z8" i="15"/>
  <c r="Y8" i="15"/>
  <c r="X8" i="15"/>
  <c r="W8" i="15"/>
  <c r="V8" i="15"/>
  <c r="Z7" i="15"/>
  <c r="Y7" i="15"/>
  <c r="X7" i="15"/>
  <c r="W7" i="15"/>
  <c r="V7" i="15"/>
  <c r="Z6" i="15"/>
  <c r="Y6" i="15"/>
  <c r="X6" i="15"/>
  <c r="W6" i="15"/>
  <c r="V6" i="15"/>
  <c r="Z5" i="15"/>
  <c r="Y5" i="15"/>
  <c r="X5" i="15"/>
  <c r="W5" i="15"/>
  <c r="V5" i="15"/>
  <c r="Z4" i="15"/>
  <c r="Y4" i="15"/>
  <c r="X4" i="15"/>
  <c r="W4" i="15"/>
  <c r="V4" i="15"/>
  <c r="Z8" i="9"/>
  <c r="Z7" i="9"/>
  <c r="Z6" i="9"/>
  <c r="Z5" i="9"/>
  <c r="Z4" i="9"/>
  <c r="Y8" i="9"/>
  <c r="Y7" i="9"/>
  <c r="Y6" i="9"/>
  <c r="Y5" i="9"/>
  <c r="Y4" i="9"/>
  <c r="X8" i="9"/>
  <c r="X7" i="9"/>
  <c r="X6" i="9"/>
  <c r="X5" i="9"/>
  <c r="X4" i="9"/>
  <c r="W8" i="9"/>
  <c r="W7" i="9"/>
  <c r="W6" i="9"/>
  <c r="W5" i="9"/>
  <c r="W4" i="9"/>
  <c r="V8" i="9"/>
  <c r="V7" i="9"/>
  <c r="V6" i="9"/>
  <c r="V5" i="9"/>
  <c r="V4" i="9"/>
  <c r="Z8" i="29"/>
  <c r="Y8" i="29"/>
  <c r="X8" i="29"/>
  <c r="W8" i="29"/>
  <c r="V8" i="29"/>
  <c r="Z7" i="29"/>
  <c r="Y7" i="29"/>
  <c r="X7" i="29"/>
  <c r="W7" i="29"/>
  <c r="V7" i="29"/>
  <c r="Z6" i="29"/>
  <c r="Y6" i="29"/>
  <c r="X6" i="29"/>
  <c r="W6" i="29"/>
  <c r="V6" i="29"/>
  <c r="Z5" i="29"/>
  <c r="Y5" i="29"/>
  <c r="X5" i="29"/>
  <c r="W5" i="29"/>
  <c r="V5" i="29"/>
  <c r="Z4" i="29"/>
  <c r="Y4" i="29"/>
  <c r="X4" i="29"/>
  <c r="W4" i="29"/>
  <c r="V4" i="29"/>
  <c r="Z8" i="24"/>
  <c r="Y8" i="24"/>
  <c r="X8" i="24"/>
  <c r="W8" i="24"/>
  <c r="V8" i="24"/>
  <c r="Z7" i="24"/>
  <c r="Y7" i="24"/>
  <c r="X7" i="24"/>
  <c r="W7" i="24"/>
  <c r="V7" i="24"/>
  <c r="Z6" i="24"/>
  <c r="Y6" i="24"/>
  <c r="X6" i="24"/>
  <c r="W6" i="24"/>
  <c r="V6" i="24"/>
  <c r="Z5" i="24"/>
  <c r="Y5" i="24"/>
  <c r="X5" i="24"/>
  <c r="W5" i="24"/>
  <c r="V5" i="24"/>
  <c r="Z4" i="24"/>
  <c r="Y4" i="24"/>
  <c r="X4" i="24"/>
  <c r="W4" i="24"/>
  <c r="V4" i="24"/>
  <c r="Z8" i="19"/>
  <c r="Y8" i="19"/>
  <c r="X8" i="19"/>
  <c r="W8" i="19"/>
  <c r="V8" i="19"/>
  <c r="Z7" i="19"/>
  <c r="Y7" i="19"/>
  <c r="X7" i="19"/>
  <c r="W7" i="19"/>
  <c r="V7" i="19"/>
  <c r="Z6" i="19"/>
  <c r="Y6" i="19"/>
  <c r="X6" i="19"/>
  <c r="W6" i="19"/>
  <c r="V6" i="19"/>
  <c r="Z5" i="19"/>
  <c r="Y5" i="19"/>
  <c r="X5" i="19"/>
  <c r="W5" i="19"/>
  <c r="V5" i="19"/>
  <c r="Z4" i="19"/>
  <c r="Y4" i="19"/>
  <c r="X4" i="19"/>
  <c r="W4" i="19"/>
  <c r="V4" i="19"/>
  <c r="Z8" i="14"/>
  <c r="Y8" i="14"/>
  <c r="X8" i="14"/>
  <c r="W8" i="14"/>
  <c r="V8" i="14"/>
  <c r="Z7" i="14"/>
  <c r="Y7" i="14"/>
  <c r="X7" i="14"/>
  <c r="W7" i="14"/>
  <c r="V7" i="14"/>
  <c r="Z6" i="14"/>
  <c r="Y6" i="14"/>
  <c r="X6" i="14"/>
  <c r="W6" i="14"/>
  <c r="V6" i="14"/>
  <c r="Z5" i="14"/>
  <c r="Y5" i="14"/>
  <c r="X5" i="14"/>
  <c r="W5" i="14"/>
  <c r="V5" i="14"/>
  <c r="Z4" i="14"/>
  <c r="Y4" i="14"/>
  <c r="X4" i="14"/>
  <c r="W4" i="14"/>
  <c r="V4" i="14"/>
  <c r="Z8" i="7"/>
  <c r="Z7" i="7"/>
  <c r="Z6" i="7"/>
  <c r="Z5" i="7"/>
  <c r="Z4" i="7"/>
  <c r="Y8" i="7"/>
  <c r="Y7" i="7"/>
  <c r="Y6" i="7"/>
  <c r="Y5" i="7"/>
  <c r="Y4" i="7"/>
  <c r="X8" i="7"/>
  <c r="X7" i="7"/>
  <c r="X6" i="7"/>
  <c r="X5" i="7"/>
  <c r="X4" i="7"/>
  <c r="W8" i="7"/>
  <c r="W7" i="7"/>
  <c r="W6" i="7"/>
  <c r="W5" i="7"/>
  <c r="W4" i="7"/>
  <c r="V8" i="7"/>
  <c r="V7" i="7"/>
  <c r="V6" i="7"/>
  <c r="V5" i="7"/>
  <c r="V4" i="7"/>
  <c r="Z8" i="28"/>
  <c r="Y8" i="28"/>
  <c r="X8" i="28"/>
  <c r="W8" i="28"/>
  <c r="V8" i="28"/>
  <c r="Z7" i="28"/>
  <c r="Y7" i="28"/>
  <c r="X7" i="28"/>
  <c r="W7" i="28"/>
  <c r="V7" i="28"/>
  <c r="Z6" i="28"/>
  <c r="Y6" i="28"/>
  <c r="X6" i="28"/>
  <c r="W6" i="28"/>
  <c r="V6" i="28"/>
  <c r="Z5" i="28"/>
  <c r="Y5" i="28"/>
  <c r="X5" i="28"/>
  <c r="W5" i="28"/>
  <c r="V5" i="28"/>
  <c r="Z4" i="28"/>
  <c r="Y4" i="28"/>
  <c r="X4" i="28"/>
  <c r="W4" i="28"/>
  <c r="V4" i="28"/>
  <c r="Z8" i="23"/>
  <c r="Y8" i="23"/>
  <c r="X8" i="23"/>
  <c r="W8" i="23"/>
  <c r="V8" i="23"/>
  <c r="Z7" i="23"/>
  <c r="Y7" i="23"/>
  <c r="X7" i="23"/>
  <c r="W7" i="23"/>
  <c r="V7" i="23"/>
  <c r="Z6" i="23"/>
  <c r="Y6" i="23"/>
  <c r="X6" i="23"/>
  <c r="W6" i="23"/>
  <c r="V6" i="23"/>
  <c r="Z5" i="23"/>
  <c r="Y5" i="23"/>
  <c r="X5" i="23"/>
  <c r="W5" i="23"/>
  <c r="V5" i="23"/>
  <c r="Z4" i="23"/>
  <c r="Y4" i="23"/>
  <c r="X4" i="23"/>
  <c r="W4" i="23"/>
  <c r="V4" i="23"/>
  <c r="Z8" i="18"/>
  <c r="Y8" i="18"/>
  <c r="X8" i="18"/>
  <c r="W8" i="18"/>
  <c r="V8" i="18"/>
  <c r="Z7" i="18"/>
  <c r="Y7" i="18"/>
  <c r="X7" i="18"/>
  <c r="W7" i="18"/>
  <c r="V7" i="18"/>
  <c r="Z6" i="18"/>
  <c r="Y6" i="18"/>
  <c r="X6" i="18"/>
  <c r="W6" i="18"/>
  <c r="V6" i="18"/>
  <c r="Z5" i="18"/>
  <c r="Y5" i="18"/>
  <c r="X5" i="18"/>
  <c r="W5" i="18"/>
  <c r="V5" i="18"/>
  <c r="Z4" i="18"/>
  <c r="Y4" i="18"/>
  <c r="X4" i="18"/>
  <c r="W4" i="18"/>
  <c r="V4" i="18"/>
  <c r="Z8" i="13"/>
  <c r="Y8" i="13"/>
  <c r="X8" i="13"/>
  <c r="W8" i="13"/>
  <c r="V8" i="13"/>
  <c r="Z7" i="13"/>
  <c r="Y7" i="13"/>
  <c r="X7" i="13"/>
  <c r="W7" i="13"/>
  <c r="V7" i="13"/>
  <c r="Z6" i="13"/>
  <c r="Y6" i="13"/>
  <c r="X6" i="13"/>
  <c r="W6" i="13"/>
  <c r="V6" i="13"/>
  <c r="Z5" i="13"/>
  <c r="Y5" i="13"/>
  <c r="X5" i="13"/>
  <c r="W5" i="13"/>
  <c r="V5" i="13"/>
  <c r="Z4" i="13"/>
  <c r="Y4" i="13"/>
  <c r="X4" i="13"/>
  <c r="W4" i="13"/>
  <c r="V4" i="13"/>
  <c r="Z8" i="6"/>
  <c r="Z7" i="6"/>
  <c r="Z6" i="6"/>
  <c r="Z5" i="6"/>
  <c r="Z4" i="6"/>
  <c r="Y8" i="6"/>
  <c r="Y7" i="6"/>
  <c r="Y6" i="6"/>
  <c r="Y5" i="6"/>
  <c r="Y4" i="6"/>
  <c r="X8" i="6"/>
  <c r="X7" i="6"/>
  <c r="X6" i="6"/>
  <c r="X5" i="6"/>
  <c r="X4" i="6"/>
  <c r="W8" i="6"/>
  <c r="W7" i="6"/>
  <c r="W6" i="6"/>
  <c r="W5" i="6"/>
  <c r="W4" i="6"/>
  <c r="V8" i="6"/>
  <c r="V7" i="6"/>
  <c r="V6" i="6"/>
  <c r="V5" i="6"/>
  <c r="V4" i="6"/>
  <c r="Z8" i="27"/>
  <c r="Y8" i="27"/>
  <c r="X8" i="27"/>
  <c r="W8" i="27"/>
  <c r="V8" i="27"/>
  <c r="Z7" i="27"/>
  <c r="Y7" i="27"/>
  <c r="X7" i="27"/>
  <c r="W7" i="27"/>
  <c r="V7" i="27"/>
  <c r="Z6" i="27"/>
  <c r="Y6" i="27"/>
  <c r="X6" i="27"/>
  <c r="W6" i="27"/>
  <c r="V6" i="27"/>
  <c r="Z5" i="27"/>
  <c r="Y5" i="27"/>
  <c r="X5" i="27"/>
  <c r="W5" i="27"/>
  <c r="V5" i="27"/>
  <c r="Z4" i="27"/>
  <c r="Y4" i="27"/>
  <c r="X4" i="27"/>
  <c r="W4" i="27"/>
  <c r="V4" i="27"/>
  <c r="Z8" i="22"/>
  <c r="Y8" i="22"/>
  <c r="X8" i="22"/>
  <c r="W8" i="22"/>
  <c r="V8" i="22"/>
  <c r="Z7" i="22"/>
  <c r="Y7" i="22"/>
  <c r="X7" i="22"/>
  <c r="W7" i="22"/>
  <c r="V7" i="22"/>
  <c r="Z6" i="22"/>
  <c r="Y6" i="22"/>
  <c r="X6" i="22"/>
  <c r="W6" i="22"/>
  <c r="V6" i="22"/>
  <c r="Z5" i="22"/>
  <c r="Y5" i="22"/>
  <c r="X5" i="22"/>
  <c r="W5" i="22"/>
  <c r="V5" i="22"/>
  <c r="Z4" i="22"/>
  <c r="Y4" i="22"/>
  <c r="X4" i="22"/>
  <c r="W4" i="22"/>
  <c r="V4" i="22"/>
  <c r="Z8" i="17"/>
  <c r="Y8" i="17"/>
  <c r="X8" i="17"/>
  <c r="W8" i="17"/>
  <c r="V8" i="17"/>
  <c r="Z7" i="17"/>
  <c r="Y7" i="17"/>
  <c r="X7" i="17"/>
  <c r="W7" i="17"/>
  <c r="V7" i="17"/>
  <c r="Z6" i="17"/>
  <c r="Y6" i="17"/>
  <c r="X6" i="17"/>
  <c r="W6" i="17"/>
  <c r="V6" i="17"/>
  <c r="Z5" i="17"/>
  <c r="Y5" i="17"/>
  <c r="X5" i="17"/>
  <c r="W5" i="17"/>
  <c r="V5" i="17"/>
  <c r="Z4" i="17"/>
  <c r="Y4" i="17"/>
  <c r="X4" i="17"/>
  <c r="W4" i="17"/>
  <c r="V4" i="17"/>
  <c r="Z8" i="12"/>
  <c r="Y8" i="12"/>
  <c r="X8" i="12"/>
  <c r="W8" i="12"/>
  <c r="V8" i="12"/>
  <c r="Z7" i="12"/>
  <c r="Y7" i="12"/>
  <c r="X7" i="12"/>
  <c r="W7" i="12"/>
  <c r="V7" i="12"/>
  <c r="Z6" i="12"/>
  <c r="Y6" i="12"/>
  <c r="X6" i="12"/>
  <c r="W6" i="12"/>
  <c r="V6" i="12"/>
  <c r="Z5" i="12"/>
  <c r="Y5" i="12"/>
  <c r="X5" i="12"/>
  <c r="W5" i="12"/>
  <c r="V5" i="12"/>
  <c r="Z4" i="12"/>
  <c r="Y4" i="12"/>
  <c r="X4" i="12"/>
  <c r="W4" i="12"/>
  <c r="V4" i="12"/>
  <c r="Y7" i="26"/>
  <c r="Z6" i="26"/>
  <c r="V6" i="26"/>
  <c r="W5" i="26"/>
  <c r="X4" i="26"/>
  <c r="Y8" i="21"/>
  <c r="Z7" i="21"/>
  <c r="V7" i="21"/>
  <c r="W6" i="21"/>
  <c r="X5" i="21"/>
  <c r="Y4" i="21"/>
  <c r="Z8" i="16"/>
  <c r="V8" i="16"/>
  <c r="W7" i="16"/>
  <c r="X6" i="16"/>
  <c r="Y5" i="16"/>
  <c r="Z4" i="16"/>
  <c r="V4" i="16"/>
  <c r="W8" i="10"/>
  <c r="X7" i="10"/>
  <c r="Y6" i="10"/>
  <c r="Z5" i="10"/>
  <c r="V5" i="10"/>
  <c r="W4" i="10"/>
  <c r="K2" i="3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W8" i="26" s="1"/>
  <c r="I2" i="26"/>
  <c r="K2" i="21"/>
  <c r="X8" i="21" s="1"/>
  <c r="I2" i="21"/>
  <c r="K2" i="16"/>
  <c r="Y8" i="16" s="1"/>
  <c r="I2" i="16"/>
  <c r="K2" i="10"/>
  <c r="V4" i="10" s="1"/>
  <c r="I2" i="10"/>
  <c r="K2" i="4"/>
  <c r="Z8" i="4" s="1"/>
  <c r="I2" i="4"/>
  <c r="Z7" i="4"/>
  <c r="Z6" i="4"/>
  <c r="Z5" i="4"/>
  <c r="Z4" i="4"/>
  <c r="Y8" i="4"/>
  <c r="Y7" i="4"/>
  <c r="Y5" i="4"/>
  <c r="Y4" i="4"/>
  <c r="X7" i="4"/>
  <c r="X5" i="4"/>
  <c r="X8" i="4"/>
  <c r="X4" i="4"/>
  <c r="W7" i="4"/>
  <c r="W6" i="4"/>
  <c r="W5" i="4"/>
  <c r="V8" i="4"/>
  <c r="V7" i="4"/>
  <c r="V6" i="4"/>
  <c r="V4" i="4"/>
  <c r="Q30" i="4"/>
  <c r="E71" i="29"/>
  <c r="I71" i="29" s="1"/>
  <c r="M71" i="29" s="1"/>
  <c r="Q71" i="29" s="1"/>
  <c r="E71" i="28"/>
  <c r="I71" i="28" s="1"/>
  <c r="M71" i="28" s="1"/>
  <c r="Q71" i="28" s="1"/>
  <c r="E71" i="27"/>
  <c r="I71" i="27" s="1"/>
  <c r="M71" i="27" s="1"/>
  <c r="Q71" i="27" s="1"/>
  <c r="E71" i="26"/>
  <c r="I71" i="26" s="1"/>
  <c r="M71" i="26" s="1"/>
  <c r="Q71" i="26" s="1"/>
  <c r="E71" i="25"/>
  <c r="I71" i="25" s="1"/>
  <c r="M71" i="25" s="1"/>
  <c r="Q71" i="25" s="1"/>
  <c r="E71" i="24"/>
  <c r="I71" i="24" s="1"/>
  <c r="M71" i="24" s="1"/>
  <c r="Q71" i="24" s="1"/>
  <c r="E71" i="23"/>
  <c r="I71" i="23" s="1"/>
  <c r="M71" i="23" s="1"/>
  <c r="Q71" i="23" s="1"/>
  <c r="E71" i="22"/>
  <c r="I71" i="22" s="1"/>
  <c r="M71" i="22" s="1"/>
  <c r="Q71" i="22" s="1"/>
  <c r="E71" i="21"/>
  <c r="I71" i="21" s="1"/>
  <c r="M71" i="21" s="1"/>
  <c r="Q71" i="21" s="1"/>
  <c r="E71" i="20"/>
  <c r="I71" i="20" s="1"/>
  <c r="M71" i="20" s="1"/>
  <c r="Q71" i="20" s="1"/>
  <c r="E71" i="19"/>
  <c r="I71" i="19" s="1"/>
  <c r="M71" i="19" s="1"/>
  <c r="Q71" i="19" s="1"/>
  <c r="E71" i="18"/>
  <c r="I71" i="18" s="1"/>
  <c r="M71" i="18" s="1"/>
  <c r="Q71" i="18" s="1"/>
  <c r="E71" i="17"/>
  <c r="I71" i="17" s="1"/>
  <c r="M71" i="17" s="1"/>
  <c r="Q71" i="17" s="1"/>
  <c r="E71" i="16"/>
  <c r="I71" i="16" s="1"/>
  <c r="M71" i="16" s="1"/>
  <c r="Q71" i="16" s="1"/>
  <c r="E50" i="15"/>
  <c r="I50" i="15" s="1"/>
  <c r="M50" i="15" s="1"/>
  <c r="Q50" i="15" s="1"/>
  <c r="E50" i="14"/>
  <c r="I50" i="14" s="1"/>
  <c r="M50" i="14" s="1"/>
  <c r="Q50" i="14" s="1"/>
  <c r="E50" i="13"/>
  <c r="I50" i="13" s="1"/>
  <c r="M50" i="13" s="1"/>
  <c r="Q50" i="13" s="1"/>
  <c r="E50" i="12"/>
  <c r="I50" i="12" s="1"/>
  <c r="M50" i="12" s="1"/>
  <c r="Q50"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71" i="31"/>
  <c r="I71" i="31" s="1"/>
  <c r="M71" i="31" s="1"/>
  <c r="Q71" i="31" s="1"/>
  <c r="Q74" i="31"/>
  <c r="M74" i="31"/>
  <c r="I74" i="31"/>
  <c r="E74" i="31"/>
  <c r="A74" i="31"/>
  <c r="Q74" i="29"/>
  <c r="M74" i="29"/>
  <c r="I74" i="29"/>
  <c r="E74" i="29"/>
  <c r="A74" i="29"/>
  <c r="Q74" i="28"/>
  <c r="M74" i="28"/>
  <c r="I74" i="28"/>
  <c r="E74" i="28"/>
  <c r="A74" i="28"/>
  <c r="Q74" i="27"/>
  <c r="M74" i="27"/>
  <c r="I74" i="27"/>
  <c r="E74" i="27"/>
  <c r="A74" i="27"/>
  <c r="Q75" i="26"/>
  <c r="M75" i="26"/>
  <c r="I75" i="26"/>
  <c r="E75" i="26"/>
  <c r="A75" i="26"/>
  <c r="Q74" i="25"/>
  <c r="M74" i="25"/>
  <c r="I74" i="25"/>
  <c r="E74" i="25"/>
  <c r="A74" i="25"/>
  <c r="Q74" i="24"/>
  <c r="M74" i="24"/>
  <c r="I74" i="24"/>
  <c r="E74" i="24"/>
  <c r="A74" i="24"/>
  <c r="Q74" i="23"/>
  <c r="M74" i="23"/>
  <c r="I74" i="23"/>
  <c r="E74" i="23"/>
  <c r="A74" i="23"/>
  <c r="Q74" i="22"/>
  <c r="M74" i="22"/>
  <c r="I74" i="22"/>
  <c r="E74" i="22"/>
  <c r="A74" i="22"/>
  <c r="Q75" i="21"/>
  <c r="M75" i="21"/>
  <c r="I75" i="21"/>
  <c r="E75" i="21"/>
  <c r="A75" i="21"/>
  <c r="Q74" i="20"/>
  <c r="M74" i="20"/>
  <c r="I74" i="20"/>
  <c r="E74" i="20"/>
  <c r="A74" i="20"/>
  <c r="Q74" i="19"/>
  <c r="M74" i="19"/>
  <c r="I74" i="19"/>
  <c r="E74" i="19"/>
  <c r="A74" i="19"/>
  <c r="Q74" i="17"/>
  <c r="M74" i="17"/>
  <c r="I74" i="17"/>
  <c r="E74" i="17"/>
  <c r="A74" i="17"/>
  <c r="Q53" i="15"/>
  <c r="M53" i="15"/>
  <c r="I53" i="15"/>
  <c r="E53" i="15"/>
  <c r="A53" i="15"/>
  <c r="Q53" i="14"/>
  <c r="M53" i="14"/>
  <c r="I53" i="14"/>
  <c r="E53" i="14"/>
  <c r="A53" i="14"/>
  <c r="Q53" i="13"/>
  <c r="M53" i="13"/>
  <c r="I53" i="13"/>
  <c r="E53" i="13"/>
  <c r="A53" i="13"/>
  <c r="D23" i="1"/>
  <c r="D24" i="1"/>
  <c r="Q53" i="12"/>
  <c r="M53" i="12"/>
  <c r="I53" i="12"/>
  <c r="E53" i="12"/>
  <c r="A53" i="12"/>
  <c r="Q54" i="10"/>
  <c r="M54" i="10"/>
  <c r="I54" i="10"/>
  <c r="E54" i="10"/>
  <c r="A54" i="10"/>
  <c r="Q31" i="9"/>
  <c r="M31" i="9"/>
  <c r="I31" i="9"/>
  <c r="E31" i="9"/>
  <c r="A31" i="9"/>
  <c r="D90" i="1"/>
  <c r="E90" i="1" s="1"/>
  <c r="F90" i="1" s="1"/>
  <c r="G90" i="1" s="1"/>
  <c r="D89" i="1"/>
  <c r="E89" i="1" s="1"/>
  <c r="F89" i="1" s="1"/>
  <c r="G89" i="1" s="1"/>
  <c r="D88" i="1"/>
  <c r="E88" i="1" s="1"/>
  <c r="F88" i="1" s="1"/>
  <c r="G88" i="1" s="1"/>
  <c r="D87" i="1"/>
  <c r="E87" i="1" s="1"/>
  <c r="F87" i="1" s="1"/>
  <c r="G87" i="1" s="1"/>
  <c r="D79" i="1"/>
  <c r="E79" i="1" s="1"/>
  <c r="F79" i="1" s="1"/>
  <c r="G79" i="1" s="1"/>
  <c r="D78" i="1"/>
  <c r="E78" i="1" s="1"/>
  <c r="F78" i="1" s="1"/>
  <c r="G78" i="1" s="1"/>
  <c r="D77" i="1"/>
  <c r="E77" i="1" s="1"/>
  <c r="F77" i="1" s="1"/>
  <c r="G77" i="1" s="1"/>
  <c r="D76" i="1"/>
  <c r="E76" i="1" s="1"/>
  <c r="F76" i="1" s="1"/>
  <c r="G76" i="1" s="1"/>
  <c r="D54" i="1"/>
  <c r="D57" i="1"/>
  <c r="E57" i="1" s="1"/>
  <c r="F57" i="1" s="1"/>
  <c r="G57" i="1" s="1"/>
  <c r="D56" i="1"/>
  <c r="E56" i="1" s="1"/>
  <c r="F56" i="1" s="1"/>
  <c r="G56" i="1" s="1"/>
  <c r="D55" i="1"/>
  <c r="E55" i="1" s="1"/>
  <c r="F55" i="1" s="1"/>
  <c r="G55" i="1" s="1"/>
  <c r="E54" i="1"/>
  <c r="F54" i="1" s="1"/>
  <c r="G54" i="1" s="1"/>
  <c r="G66" i="1"/>
  <c r="G67" i="1"/>
  <c r="G68" i="1"/>
  <c r="F66" i="1"/>
  <c r="F67" i="1"/>
  <c r="F68" i="1"/>
  <c r="E66" i="1"/>
  <c r="E67" i="1"/>
  <c r="E68" i="1"/>
  <c r="D66" i="1"/>
  <c r="D67" i="1"/>
  <c r="D68" i="1"/>
  <c r="G65" i="1"/>
  <c r="F65" i="1"/>
  <c r="E65" i="1"/>
  <c r="D65" i="1"/>
  <c r="G44" i="1"/>
  <c r="G45" i="1"/>
  <c r="G46" i="1"/>
  <c r="F44" i="1"/>
  <c r="F45" i="1"/>
  <c r="F46" i="1"/>
  <c r="E44" i="1"/>
  <c r="E45" i="1"/>
  <c r="E46" i="1"/>
  <c r="D44" i="1"/>
  <c r="D45" i="1"/>
  <c r="D46" i="1"/>
  <c r="D47" i="1"/>
  <c r="G43" i="1"/>
  <c r="F43" i="1"/>
  <c r="E43" i="1"/>
  <c r="D43" i="1"/>
  <c r="M31" i="6"/>
  <c r="E31" i="6"/>
  <c r="A31" i="6"/>
  <c r="I31" i="6"/>
  <c r="C61" i="1"/>
  <c r="C65" i="1"/>
  <c r="C47" i="1"/>
  <c r="C43" i="1"/>
  <c r="H64" i="1"/>
  <c r="X8" i="26" l="1"/>
  <c r="X4" i="10"/>
  <c r="W5" i="10"/>
  <c r="V6" i="10"/>
  <c r="Z6" i="10"/>
  <c r="Y7" i="10"/>
  <c r="X8" i="10"/>
  <c r="W4" i="16"/>
  <c r="V5" i="16"/>
  <c r="Z5" i="16"/>
  <c r="Y6" i="16"/>
  <c r="X7" i="16"/>
  <c r="W8" i="16"/>
  <c r="V4" i="21"/>
  <c r="Z4" i="21"/>
  <c r="Y5" i="21"/>
  <c r="X6" i="21"/>
  <c r="W7" i="21"/>
  <c r="V8" i="21"/>
  <c r="Z8" i="21"/>
  <c r="Y4" i="26"/>
  <c r="X5" i="26"/>
  <c r="W6" i="26"/>
  <c r="V7" i="26"/>
  <c r="Z7" i="26"/>
  <c r="Y8" i="26"/>
  <c r="V5" i="4"/>
  <c r="W4" i="4"/>
  <c r="W8" i="4"/>
  <c r="X6" i="4"/>
  <c r="Y6" i="4"/>
  <c r="Y4" i="10"/>
  <c r="X5" i="10"/>
  <c r="W6" i="10"/>
  <c r="V7" i="10"/>
  <c r="Z7" i="10"/>
  <c r="Y8" i="10"/>
  <c r="X4" i="16"/>
  <c r="W5" i="16"/>
  <c r="V6" i="16"/>
  <c r="Z6" i="16"/>
  <c r="Y7" i="16"/>
  <c r="X8" i="16"/>
  <c r="W4" i="21"/>
  <c r="V5" i="21"/>
  <c r="Z5" i="21"/>
  <c r="Y6" i="21"/>
  <c r="X7" i="21"/>
  <c r="W8" i="21"/>
  <c r="V4" i="26"/>
  <c r="Z4" i="26"/>
  <c r="Y5" i="26"/>
  <c r="X6" i="26"/>
  <c r="W7" i="26"/>
  <c r="V8" i="26"/>
  <c r="Z8" i="26"/>
  <c r="Z4" i="10"/>
  <c r="Y5" i="10"/>
  <c r="X6" i="10"/>
  <c r="W7" i="10"/>
  <c r="V8" i="10"/>
  <c r="Z8" i="10"/>
  <c r="Y4" i="16"/>
  <c r="X5" i="16"/>
  <c r="W6" i="16"/>
  <c r="V7" i="16"/>
  <c r="Z7" i="16"/>
  <c r="X4" i="21"/>
  <c r="W5" i="21"/>
  <c r="V6" i="21"/>
  <c r="Z6" i="21"/>
  <c r="Y7" i="21"/>
  <c r="W4" i="26"/>
  <c r="V5" i="26"/>
  <c r="Z5" i="26"/>
  <c r="Y6" i="26"/>
  <c r="X7" i="26"/>
  <c r="Q31" i="6"/>
  <c r="A72" i="1"/>
  <c r="A94" i="1"/>
  <c r="A83" i="1"/>
  <c r="A61" i="1"/>
  <c r="A50" i="1"/>
  <c r="C91" i="1"/>
  <c r="C2" i="5" l="1"/>
  <c r="C2" i="4"/>
  <c r="Z7" i="5" l="1"/>
  <c r="Y8" i="5"/>
  <c r="Y4" i="5"/>
  <c r="X5" i="5"/>
  <c r="W6" i="5"/>
  <c r="V7" i="5"/>
  <c r="Z6" i="5"/>
  <c r="Y7" i="5"/>
  <c r="X8" i="5"/>
  <c r="X4" i="5"/>
  <c r="W5" i="5"/>
  <c r="V6" i="5"/>
  <c r="Z5" i="5"/>
  <c r="Y6" i="5"/>
  <c r="X7" i="5"/>
  <c r="W8" i="5"/>
  <c r="W4" i="5"/>
  <c r="V5" i="5"/>
  <c r="Z8" i="5"/>
  <c r="Z4" i="5"/>
  <c r="Y5" i="5"/>
  <c r="X6" i="5"/>
  <c r="W7" i="5"/>
  <c r="V8" i="5"/>
  <c r="V4" i="5"/>
  <c r="A32" i="4"/>
  <c r="A34" i="1"/>
  <c r="A35" i="1"/>
  <c r="A33" i="1"/>
  <c r="H53" i="1"/>
  <c r="C60" i="1" s="1"/>
  <c r="D32" i="1"/>
  <c r="E32" i="1" s="1"/>
  <c r="C33" i="1"/>
  <c r="C34" i="1" s="1"/>
  <c r="C35" i="1" s="1"/>
  <c r="A25" i="5" l="1"/>
  <c r="D33" i="1"/>
  <c r="D34" i="1" s="1"/>
  <c r="D35" i="1" s="1"/>
  <c r="W196" i="36"/>
  <c r="V196" i="36"/>
  <c r="S196" i="36"/>
  <c r="R196" i="36"/>
  <c r="O196" i="36"/>
  <c r="N196" i="36"/>
  <c r="K196" i="36"/>
  <c r="J196" i="36"/>
  <c r="F196" i="36"/>
  <c r="R57" i="36"/>
  <c r="O57" i="36"/>
  <c r="L57" i="36"/>
  <c r="W43" i="36"/>
  <c r="V43" i="36"/>
  <c r="S43" i="36"/>
  <c r="R43" i="36"/>
  <c r="N43" i="36"/>
  <c r="J43" i="36"/>
  <c r="F43" i="36"/>
  <c r="X2" i="36"/>
  <c r="X7" i="36"/>
  <c r="X12" i="36"/>
  <c r="B2" i="1"/>
  <c r="R56" i="36"/>
  <c r="O56" i="36"/>
  <c r="L56" i="36"/>
  <c r="W190" i="36"/>
  <c r="V190" i="36"/>
  <c r="S190" i="36"/>
  <c r="R190" i="36"/>
  <c r="O190" i="36"/>
  <c r="N190" i="36"/>
  <c r="K190" i="36"/>
  <c r="J190" i="36"/>
  <c r="F190" i="36"/>
  <c r="W187" i="36"/>
  <c r="V187" i="36"/>
  <c r="S187" i="36"/>
  <c r="R187" i="36"/>
  <c r="O187" i="36"/>
  <c r="N187" i="36"/>
  <c r="K187" i="36"/>
  <c r="J187" i="36"/>
  <c r="F187" i="36"/>
  <c r="W184" i="36"/>
  <c r="V184" i="36"/>
  <c r="S184" i="36"/>
  <c r="R184" i="36"/>
  <c r="O184" i="36"/>
  <c r="N184" i="36"/>
  <c r="K184" i="36"/>
  <c r="J184" i="36"/>
  <c r="F184" i="36"/>
  <c r="W181" i="36"/>
  <c r="V181" i="36"/>
  <c r="S181" i="36"/>
  <c r="R181" i="36"/>
  <c r="O181" i="36"/>
  <c r="N181" i="36"/>
  <c r="K181" i="36"/>
  <c r="J181" i="36"/>
  <c r="F181" i="36"/>
  <c r="W178" i="36"/>
  <c r="V178" i="36"/>
  <c r="S178" i="36"/>
  <c r="R178" i="36"/>
  <c r="O178" i="36"/>
  <c r="N178" i="36"/>
  <c r="K178" i="36"/>
  <c r="J178" i="36"/>
  <c r="F178" i="36"/>
  <c r="W331" i="36"/>
  <c r="V331" i="36"/>
  <c r="S331" i="36"/>
  <c r="R331" i="36"/>
  <c r="O331" i="36"/>
  <c r="N331" i="36"/>
  <c r="K331" i="36"/>
  <c r="J331" i="36"/>
  <c r="G331" i="36"/>
  <c r="F331" i="36"/>
  <c r="W321" i="36"/>
  <c r="V321" i="36"/>
  <c r="S321" i="36"/>
  <c r="R321" i="36"/>
  <c r="O321" i="36"/>
  <c r="N321" i="36"/>
  <c r="K321" i="36"/>
  <c r="J321" i="36"/>
  <c r="G321" i="36"/>
  <c r="F321" i="36"/>
  <c r="W312" i="36"/>
  <c r="V312" i="36"/>
  <c r="S312" i="36"/>
  <c r="R312" i="36"/>
  <c r="O312" i="36"/>
  <c r="N312" i="36"/>
  <c r="K312" i="36"/>
  <c r="J312" i="36"/>
  <c r="G312" i="36"/>
  <c r="F312" i="36"/>
  <c r="W304" i="36"/>
  <c r="V304" i="36"/>
  <c r="S304" i="36"/>
  <c r="R304" i="36"/>
  <c r="O304" i="36"/>
  <c r="N304" i="36"/>
  <c r="K304" i="36"/>
  <c r="J304" i="36"/>
  <c r="G304" i="36"/>
  <c r="F304" i="36"/>
  <c r="W296" i="36"/>
  <c r="V296" i="36"/>
  <c r="S296" i="36"/>
  <c r="R296" i="36"/>
  <c r="O296" i="36"/>
  <c r="N296" i="36"/>
  <c r="K296" i="36"/>
  <c r="J296" i="36"/>
  <c r="G296" i="36"/>
  <c r="F296" i="36"/>
  <c r="W289" i="36"/>
  <c r="V289" i="36"/>
  <c r="S289" i="36"/>
  <c r="R289" i="36"/>
  <c r="O289" i="36"/>
  <c r="N289" i="36"/>
  <c r="K289" i="36"/>
  <c r="J289" i="36"/>
  <c r="G289" i="36"/>
  <c r="F289" i="36"/>
  <c r="W274" i="36"/>
  <c r="V274" i="36"/>
  <c r="S274" i="36"/>
  <c r="R274" i="36"/>
  <c r="O274" i="36"/>
  <c r="N274" i="36"/>
  <c r="K274" i="36"/>
  <c r="J274" i="36"/>
  <c r="G274" i="36"/>
  <c r="F274" i="36"/>
  <c r="W281" i="36"/>
  <c r="V281" i="36"/>
  <c r="S281" i="36"/>
  <c r="R281" i="36"/>
  <c r="O281" i="36"/>
  <c r="N281" i="36"/>
  <c r="K281" i="36"/>
  <c r="J281" i="36"/>
  <c r="G281" i="36"/>
  <c r="F281" i="36"/>
  <c r="W267" i="36"/>
  <c r="V267" i="36"/>
  <c r="S267" i="36"/>
  <c r="R267" i="36"/>
  <c r="O267" i="36"/>
  <c r="N267" i="36"/>
  <c r="K267" i="36"/>
  <c r="J267" i="36"/>
  <c r="G267" i="36"/>
  <c r="F267" i="36"/>
  <c r="W259" i="36"/>
  <c r="V259" i="36"/>
  <c r="S259" i="36"/>
  <c r="R259" i="36"/>
  <c r="O259" i="36"/>
  <c r="N259" i="36"/>
  <c r="K259" i="36"/>
  <c r="J259" i="36"/>
  <c r="G259" i="36"/>
  <c r="F259" i="36"/>
  <c r="W251" i="36"/>
  <c r="V251" i="36"/>
  <c r="S251" i="36"/>
  <c r="R251" i="36"/>
  <c r="O251" i="36"/>
  <c r="N251" i="36"/>
  <c r="K251" i="36"/>
  <c r="J251" i="36"/>
  <c r="G251" i="36"/>
  <c r="F251" i="36"/>
  <c r="W240" i="36"/>
  <c r="V240" i="36"/>
  <c r="S240" i="36"/>
  <c r="R240" i="36"/>
  <c r="O240" i="36"/>
  <c r="N240" i="36"/>
  <c r="K240" i="36"/>
  <c r="J240" i="36"/>
  <c r="G240" i="36"/>
  <c r="F240" i="36"/>
  <c r="W229" i="36"/>
  <c r="V229" i="36"/>
  <c r="S229" i="36"/>
  <c r="R229" i="36"/>
  <c r="O229" i="36"/>
  <c r="N229" i="36"/>
  <c r="K229" i="36"/>
  <c r="J229" i="36"/>
  <c r="G229" i="36"/>
  <c r="F229" i="36"/>
  <c r="W218" i="36"/>
  <c r="V218" i="36"/>
  <c r="S218" i="36"/>
  <c r="R218" i="36"/>
  <c r="O218" i="36"/>
  <c r="N218" i="36"/>
  <c r="K218" i="36"/>
  <c r="J218" i="36"/>
  <c r="G218" i="36"/>
  <c r="F218" i="36"/>
  <c r="W208" i="36"/>
  <c r="V208" i="36"/>
  <c r="S208" i="36"/>
  <c r="R208" i="36"/>
  <c r="O208" i="36"/>
  <c r="N208" i="36"/>
  <c r="K208" i="36"/>
  <c r="J208" i="36"/>
  <c r="G208" i="36"/>
  <c r="F208" i="36"/>
  <c r="W195" i="36"/>
  <c r="V195" i="36"/>
  <c r="S195" i="36"/>
  <c r="R195" i="36"/>
  <c r="O195" i="36"/>
  <c r="N195" i="36"/>
  <c r="K195" i="36"/>
  <c r="J195" i="36"/>
  <c r="F195" i="36"/>
  <c r="W175" i="36"/>
  <c r="V175" i="36"/>
  <c r="S175" i="36"/>
  <c r="R175" i="36"/>
  <c r="O175" i="36"/>
  <c r="N175" i="36"/>
  <c r="K175" i="36"/>
  <c r="J175" i="36"/>
  <c r="F175" i="36"/>
  <c r="W163" i="36"/>
  <c r="V163" i="36"/>
  <c r="S163" i="36"/>
  <c r="R163" i="36"/>
  <c r="O163" i="36"/>
  <c r="N163" i="36"/>
  <c r="K163" i="36"/>
  <c r="J163" i="36"/>
  <c r="G163" i="36"/>
  <c r="F163" i="36"/>
  <c r="W150" i="36"/>
  <c r="V150" i="36"/>
  <c r="S150" i="36"/>
  <c r="R150" i="36"/>
  <c r="O150" i="36"/>
  <c r="N150" i="36"/>
  <c r="K150" i="36"/>
  <c r="J150" i="36"/>
  <c r="G150" i="36"/>
  <c r="F150" i="36"/>
  <c r="W138" i="36"/>
  <c r="V138" i="36"/>
  <c r="S138" i="36"/>
  <c r="R138" i="36"/>
  <c r="O138" i="36"/>
  <c r="N138" i="36"/>
  <c r="K138" i="36"/>
  <c r="J138" i="36"/>
  <c r="G138" i="36"/>
  <c r="F138" i="36"/>
  <c r="W124" i="36"/>
  <c r="V124" i="36"/>
  <c r="S124" i="36"/>
  <c r="R124" i="36"/>
  <c r="O124" i="36"/>
  <c r="N124" i="36"/>
  <c r="K124" i="36"/>
  <c r="J124" i="36"/>
  <c r="G124" i="36"/>
  <c r="F124" i="36"/>
  <c r="W111" i="36"/>
  <c r="V111" i="36"/>
  <c r="S111" i="36"/>
  <c r="R111" i="36"/>
  <c r="O111" i="36"/>
  <c r="N111" i="36"/>
  <c r="K111" i="36"/>
  <c r="J111" i="36"/>
  <c r="G111" i="36"/>
  <c r="F111" i="36"/>
  <c r="W96" i="36"/>
  <c r="V96" i="36"/>
  <c r="S96" i="36"/>
  <c r="R96" i="36"/>
  <c r="O96" i="36"/>
  <c r="N96" i="36"/>
  <c r="K96" i="36"/>
  <c r="J96" i="36"/>
  <c r="G96" i="36"/>
  <c r="F96" i="36"/>
  <c r="W83" i="36"/>
  <c r="V83" i="36"/>
  <c r="S83" i="36"/>
  <c r="R83" i="36"/>
  <c r="O83" i="36"/>
  <c r="N83" i="36"/>
  <c r="K83" i="36"/>
  <c r="J83" i="36"/>
  <c r="G83" i="36"/>
  <c r="F83" i="36"/>
  <c r="W69" i="36"/>
  <c r="V69" i="36"/>
  <c r="S69" i="36"/>
  <c r="R69" i="36"/>
  <c r="O69" i="36"/>
  <c r="N69" i="36"/>
  <c r="K69" i="36"/>
  <c r="J69" i="36"/>
  <c r="G69" i="36"/>
  <c r="F69" i="36"/>
  <c r="W42" i="36"/>
  <c r="V42" i="36"/>
  <c r="S42" i="36"/>
  <c r="R42" i="36"/>
  <c r="O42" i="36"/>
  <c r="N42" i="36"/>
  <c r="J42" i="36"/>
  <c r="F42" i="36"/>
  <c r="C331" i="36" l="1"/>
  <c r="C312" i="36"/>
  <c r="C321" i="36"/>
  <c r="C274" i="36"/>
  <c r="C289" i="36"/>
  <c r="C304" i="36"/>
  <c r="C296" i="36"/>
  <c r="C163" i="36"/>
  <c r="C83" i="36"/>
  <c r="C150" i="36"/>
  <c r="C229" i="36"/>
  <c r="C259" i="36"/>
  <c r="C240" i="36"/>
  <c r="C111" i="36"/>
  <c r="C124" i="36"/>
  <c r="C138" i="36"/>
  <c r="C208" i="36"/>
  <c r="C218" i="36"/>
  <c r="C281" i="36"/>
  <c r="C69" i="36"/>
  <c r="C251" i="36"/>
  <c r="C96" i="36"/>
  <c r="C267" i="36"/>
  <c r="K280" i="34"/>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K370" i="34" l="1"/>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E27" i="1" s="1"/>
  <c r="D26" i="1"/>
  <c r="E26" i="1" s="1"/>
  <c r="F26" i="1" s="1"/>
  <c r="G26" i="1" s="1"/>
  <c r="D25" i="1"/>
  <c r="E25" i="1" s="1"/>
  <c r="F25" i="1" s="1"/>
  <c r="G25" i="1" s="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F24" i="1" l="1"/>
  <c r="E47" i="1"/>
  <c r="A25" i="4"/>
  <c r="A26" i="4"/>
  <c r="E23" i="1"/>
  <c r="F23" i="1" s="1"/>
  <c r="E28" i="1"/>
  <c r="F27" i="1"/>
  <c r="D28" i="1"/>
  <c r="G24" i="1" l="1"/>
  <c r="F47" i="1"/>
  <c r="G23" i="1"/>
  <c r="G47" i="1" s="1"/>
  <c r="G27" i="1"/>
  <c r="G28" i="1" s="1"/>
  <c r="F28" i="1"/>
  <c r="C4" i="32"/>
  <c r="B17" i="32"/>
  <c r="B18" i="32" s="1"/>
  <c r="D21" i="34" s="1"/>
  <c r="C21" i="34" s="1"/>
  <c r="G69" i="1" l="1"/>
  <c r="F2" i="1"/>
  <c r="D2" i="1"/>
  <c r="N5" i="32" s="1"/>
  <c r="T2" i="36"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A75" i="16" s="1"/>
  <c r="C2" i="15"/>
  <c r="C2" i="14"/>
  <c r="C2" i="13"/>
  <c r="C2" i="12"/>
  <c r="C2" i="10"/>
  <c r="C2" i="9"/>
  <c r="C2" i="7"/>
  <c r="C2" i="6"/>
  <c r="A74" i="18" l="1"/>
  <c r="E74" i="18"/>
  <c r="D20" i="34"/>
  <c r="C20" i="34" s="1"/>
  <c r="B20" i="32"/>
  <c r="B6" i="1" s="1"/>
  <c r="E329" i="33"/>
  <c r="F329" i="33" s="1"/>
  <c r="E514" i="33"/>
  <c r="A69" i="26"/>
  <c r="A69" i="27"/>
  <c r="A69" i="21"/>
  <c r="A69" i="22"/>
  <c r="A69" i="17"/>
  <c r="A69" i="16"/>
  <c r="A48" i="10"/>
  <c r="A48" i="12"/>
  <c r="M302" i="33"/>
  <c r="M381" i="33"/>
  <c r="I556" i="33"/>
  <c r="I36" i="33"/>
  <c r="E36" i="33" s="1"/>
  <c r="C6" i="32"/>
  <c r="E46" i="32"/>
  <c r="G46" i="32" s="1"/>
  <c r="E408" i="33" s="1"/>
  <c r="K43" i="36" s="1"/>
  <c r="E47" i="32"/>
  <c r="G47" i="32" s="1"/>
  <c r="E331" i="33" s="1"/>
  <c r="E308" i="33"/>
  <c r="F308" i="33" s="1"/>
  <c r="J20" i="34"/>
  <c r="G4" i="1"/>
  <c r="G3" i="1"/>
  <c r="G2" i="1"/>
  <c r="D3" i="1"/>
  <c r="G5" i="1"/>
  <c r="A68"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80" i="26"/>
  <c r="A79" i="26"/>
  <c r="A79" i="31" s="1"/>
  <c r="A85" i="26"/>
  <c r="A85" i="29" s="1"/>
  <c r="A5" i="26"/>
  <c r="M5" i="26" s="1"/>
  <c r="A4" i="26"/>
  <c r="Q4" i="26" s="1"/>
  <c r="A5" i="25"/>
  <c r="Q5" i="25" s="1"/>
  <c r="A4" i="25"/>
  <c r="E4" i="25" s="1"/>
  <c r="A5" i="24"/>
  <c r="E5" i="24" s="1"/>
  <c r="A4" i="24"/>
  <c r="I4" i="24" s="1"/>
  <c r="A5" i="23"/>
  <c r="Q5" i="23" s="1"/>
  <c r="A4" i="23"/>
  <c r="A5" i="22"/>
  <c r="A4" i="22"/>
  <c r="A80" i="21"/>
  <c r="A80" i="23" s="1"/>
  <c r="A79" i="21"/>
  <c r="A79" i="25" s="1"/>
  <c r="A85" i="21"/>
  <c r="A85" i="25" s="1"/>
  <c r="A5" i="21"/>
  <c r="M5" i="21" s="1"/>
  <c r="A4" i="21"/>
  <c r="Q4" i="21" s="1"/>
  <c r="A5" i="20"/>
  <c r="M5" i="20" s="1"/>
  <c r="A4" i="20"/>
  <c r="Q4" i="20" s="1"/>
  <c r="A5" i="19"/>
  <c r="Q5" i="19" s="1"/>
  <c r="A4" i="19"/>
  <c r="E4" i="19" s="1"/>
  <c r="A5" i="18"/>
  <c r="Q5" i="18" s="1"/>
  <c r="A4" i="18"/>
  <c r="E4" i="18" s="1"/>
  <c r="A5" i="17"/>
  <c r="Q5" i="17" s="1"/>
  <c r="A4" i="17"/>
  <c r="Q4" i="17" s="1"/>
  <c r="A38" i="10"/>
  <c r="A38" i="12" s="1"/>
  <c r="A37" i="10"/>
  <c r="A37" i="12" s="1"/>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80" i="16"/>
  <c r="Q80" i="16" s="1"/>
  <c r="A79" i="16"/>
  <c r="M79" i="16" s="1"/>
  <c r="A12" i="16"/>
  <c r="E12" i="16" s="1"/>
  <c r="A85" i="16"/>
  <c r="E85" i="16" s="1"/>
  <c r="I85" i="16" s="1"/>
  <c r="M85" i="16" s="1"/>
  <c r="Q85"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O43" i="36" s="1"/>
  <c r="E58" i="33"/>
  <c r="E52" i="33"/>
  <c r="K42"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80" i="19"/>
  <c r="Q80" i="19" s="1"/>
  <c r="M4" i="31"/>
  <c r="M5" i="25"/>
  <c r="M4" i="27"/>
  <c r="M5" i="27"/>
  <c r="A79" i="29"/>
  <c r="Q79" i="29" s="1"/>
  <c r="A79" i="28"/>
  <c r="M79" i="28" s="1"/>
  <c r="Q85" i="29"/>
  <c r="I85" i="29"/>
  <c r="E85" i="29"/>
  <c r="M85" i="29"/>
  <c r="Q79" i="31"/>
  <c r="M79" i="31"/>
  <c r="I79" i="31"/>
  <c r="E79" i="31"/>
  <c r="Q80" i="26"/>
  <c r="M80" i="26"/>
  <c r="I80" i="26"/>
  <c r="A80" i="27"/>
  <c r="A85" i="28"/>
  <c r="A85" i="27"/>
  <c r="A80" i="29"/>
  <c r="A80" i="31"/>
  <c r="E85" i="26"/>
  <c r="M85" i="26"/>
  <c r="Q85" i="26"/>
  <c r="I85" i="26"/>
  <c r="A85" i="31"/>
  <c r="Q79" i="26"/>
  <c r="M79" i="26"/>
  <c r="I79" i="26"/>
  <c r="A79" i="27"/>
  <c r="A80" i="28"/>
  <c r="E80" i="21"/>
  <c r="A80" i="18"/>
  <c r="M80" i="18" s="1"/>
  <c r="A79" i="17"/>
  <c r="E79" i="17" s="1"/>
  <c r="A85" i="17"/>
  <c r="E85" i="17" s="1"/>
  <c r="A12" i="19"/>
  <c r="Q12" i="19" s="1"/>
  <c r="Q79" i="25"/>
  <c r="M79" i="25"/>
  <c r="I79" i="25"/>
  <c r="E79" i="25"/>
  <c r="Q85" i="25"/>
  <c r="M85" i="25"/>
  <c r="I85" i="25"/>
  <c r="E85" i="25"/>
  <c r="M80" i="21"/>
  <c r="I80" i="21"/>
  <c r="Q80" i="21"/>
  <c r="E80" i="23"/>
  <c r="M80" i="23"/>
  <c r="I80" i="23"/>
  <c r="Q80" i="23"/>
  <c r="A79" i="22"/>
  <c r="A85" i="22"/>
  <c r="A79" i="24"/>
  <c r="A85" i="24"/>
  <c r="Q79" i="21"/>
  <c r="M79" i="21"/>
  <c r="I79" i="21"/>
  <c r="Q85" i="21"/>
  <c r="I85" i="21"/>
  <c r="E85" i="21"/>
  <c r="M85" i="21"/>
  <c r="A80" i="22"/>
  <c r="A79" i="23"/>
  <c r="A85" i="23"/>
  <c r="A80" i="24"/>
  <c r="A80" i="25"/>
  <c r="A12" i="18"/>
  <c r="I12" i="18" s="1"/>
  <c r="A80" i="17"/>
  <c r="I80" i="17" s="1"/>
  <c r="A12" i="20"/>
  <c r="M12" i="20" s="1"/>
  <c r="A79" i="20"/>
  <c r="E79" i="20" s="1"/>
  <c r="A85" i="20"/>
  <c r="A12" i="17"/>
  <c r="I12" i="17" s="1"/>
  <c r="A79" i="18"/>
  <c r="A85" i="18"/>
  <c r="A79" i="19"/>
  <c r="A85" i="19"/>
  <c r="A80" i="20"/>
  <c r="E80" i="20" s="1"/>
  <c r="I5" i="31"/>
  <c r="M5" i="31"/>
  <c r="Q4" i="31"/>
  <c r="E4" i="31"/>
  <c r="Q5" i="31"/>
  <c r="E5" i="29"/>
  <c r="I5" i="29"/>
  <c r="M5" i="29"/>
  <c r="M4" i="29"/>
  <c r="Q4" i="29"/>
  <c r="E4" i="29"/>
  <c r="M5" i="28"/>
  <c r="I5" i="28"/>
  <c r="E5" i="28"/>
  <c r="M4" i="28"/>
  <c r="I4" i="28"/>
  <c r="E5" i="27"/>
  <c r="I5" i="27"/>
  <c r="Q4" i="27"/>
  <c r="E4" i="27"/>
  <c r="E4" i="26"/>
  <c r="I4" i="26"/>
  <c r="M4" i="26"/>
  <c r="E5" i="26"/>
  <c r="E80" i="26"/>
  <c r="I5" i="26"/>
  <c r="Q5" i="26"/>
  <c r="E79"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9" i="21"/>
  <c r="I4" i="20"/>
  <c r="M4" i="20"/>
  <c r="E4" i="20"/>
  <c r="E5" i="20"/>
  <c r="I5" i="20"/>
  <c r="Q5" i="20"/>
  <c r="I4" i="19"/>
  <c r="E5" i="19"/>
  <c r="I5" i="19"/>
  <c r="M4" i="19"/>
  <c r="M5" i="19"/>
  <c r="Q4" i="19"/>
  <c r="M4" i="18"/>
  <c r="M5" i="18"/>
  <c r="E5" i="18"/>
  <c r="I5" i="18"/>
  <c r="I4" i="18"/>
  <c r="Q4" i="18"/>
  <c r="E5" i="17"/>
  <c r="I5" i="17"/>
  <c r="M4" i="17"/>
  <c r="E4" i="17"/>
  <c r="I4" i="17"/>
  <c r="M5" i="17"/>
  <c r="M12" i="16"/>
  <c r="I12" i="16"/>
  <c r="E80" i="16"/>
  <c r="Q12" i="16"/>
  <c r="M80" i="16"/>
  <c r="E4" i="16"/>
  <c r="Q4" i="16"/>
  <c r="M5" i="16"/>
  <c r="Q79" i="16"/>
  <c r="Q5" i="16"/>
  <c r="I4" i="16"/>
  <c r="E5" i="16"/>
  <c r="I79" i="16"/>
  <c r="I80" i="16"/>
  <c r="E79" i="16"/>
  <c r="A34" i="15"/>
  <c r="M34" i="15" s="1"/>
  <c r="A30" i="14"/>
  <c r="Q30" i="14" s="1"/>
  <c r="M36" i="12"/>
  <c r="I38" i="10"/>
  <c r="I26" i="10"/>
  <c r="E18" i="10"/>
  <c r="A38" i="14"/>
  <c r="Q38" i="14" s="1"/>
  <c r="E37" i="12"/>
  <c r="I36" i="10"/>
  <c r="A34" i="13"/>
  <c r="Q34" i="13" s="1"/>
  <c r="E33" i="10"/>
  <c r="E32" i="10"/>
  <c r="A30" i="13"/>
  <c r="I30" i="13" s="1"/>
  <c r="A29" i="13"/>
  <c r="A26" i="13"/>
  <c r="Q26" i="13" s="1"/>
  <c r="Q24" i="10"/>
  <c r="A22" i="15"/>
  <c r="M22" i="15" s="1"/>
  <c r="E21" i="12"/>
  <c r="A18" i="15"/>
  <c r="M18" i="15" s="1"/>
  <c r="A17" i="14"/>
  <c r="A40" i="10"/>
  <c r="A40" i="12" s="1"/>
  <c r="A41" i="10"/>
  <c r="A41" i="12" s="1"/>
  <c r="A58" i="10"/>
  <c r="A59" i="10"/>
  <c r="A59" i="12" s="1"/>
  <c r="E59" i="12" s="1"/>
  <c r="A60" i="10"/>
  <c r="A5" i="15"/>
  <c r="E5" i="15" s="1"/>
  <c r="A4" i="15"/>
  <c r="I4" i="15" s="1"/>
  <c r="A5" i="14"/>
  <c r="E5" i="14" s="1"/>
  <c r="A4" i="14"/>
  <c r="I4" i="14" s="1"/>
  <c r="G43" i="36" l="1"/>
  <c r="C43" i="36" s="1"/>
  <c r="F57" i="36" s="1"/>
  <c r="G42" i="36"/>
  <c r="C42" i="36" s="1"/>
  <c r="F56" i="36" s="1"/>
  <c r="F439" i="33"/>
  <c r="M445" i="33"/>
  <c r="E79" i="28"/>
  <c r="I80" i="19"/>
  <c r="E80" i="19"/>
  <c r="M80"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M452" i="33" s="1"/>
  <c r="I518" i="33"/>
  <c r="I520" i="33"/>
  <c r="M79" i="17"/>
  <c r="Q79" i="28"/>
  <c r="I79" i="28"/>
  <c r="E79" i="29"/>
  <c r="M79" i="29"/>
  <c r="I79" i="29"/>
  <c r="M85" i="27"/>
  <c r="I85" i="27"/>
  <c r="E85" i="27"/>
  <c r="Q85" i="27"/>
  <c r="Q79" i="27"/>
  <c r="M79" i="27"/>
  <c r="I79" i="27"/>
  <c r="E79" i="27"/>
  <c r="I85" i="28"/>
  <c r="Q85" i="28"/>
  <c r="E85" i="28"/>
  <c r="M85" i="28"/>
  <c r="E85" i="31"/>
  <c r="M85" i="31"/>
  <c r="Q85" i="31"/>
  <c r="I85" i="31"/>
  <c r="Q80" i="31"/>
  <c r="M80" i="31"/>
  <c r="I80" i="31"/>
  <c r="E80" i="31"/>
  <c r="M80" i="27"/>
  <c r="I80" i="27"/>
  <c r="Q80" i="27"/>
  <c r="E80" i="27"/>
  <c r="E80" i="29"/>
  <c r="I80" i="29"/>
  <c r="Q80" i="29"/>
  <c r="M80" i="29"/>
  <c r="I80" i="28"/>
  <c r="Q80" i="28"/>
  <c r="M80" i="28"/>
  <c r="E80" i="28"/>
  <c r="I80" i="18"/>
  <c r="E12" i="19"/>
  <c r="Q79" i="17"/>
  <c r="E80" i="18"/>
  <c r="I12" i="19"/>
  <c r="Q12" i="20"/>
  <c r="Q80" i="18"/>
  <c r="I79" i="17"/>
  <c r="M12" i="18"/>
  <c r="Q12" i="18"/>
  <c r="E12" i="18"/>
  <c r="M80" i="25"/>
  <c r="I80" i="25"/>
  <c r="Q80" i="25"/>
  <c r="E80" i="25"/>
  <c r="M80" i="22"/>
  <c r="I80" i="22"/>
  <c r="Q80" i="22"/>
  <c r="E80" i="22"/>
  <c r="E79" i="23"/>
  <c r="Q79" i="23"/>
  <c r="M79" i="23"/>
  <c r="I79" i="23"/>
  <c r="Q79" i="22"/>
  <c r="M79" i="22"/>
  <c r="I79" i="22"/>
  <c r="E79" i="22"/>
  <c r="Q79" i="24"/>
  <c r="M79" i="24"/>
  <c r="I79" i="24"/>
  <c r="E79" i="24"/>
  <c r="M80" i="24"/>
  <c r="Q80" i="24"/>
  <c r="I80" i="24"/>
  <c r="E80" i="24"/>
  <c r="Q85" i="23"/>
  <c r="M85" i="23"/>
  <c r="E85" i="23"/>
  <c r="I85" i="23"/>
  <c r="Q85" i="24"/>
  <c r="E85" i="24"/>
  <c r="M85" i="24"/>
  <c r="I85" i="24"/>
  <c r="Q85" i="22"/>
  <c r="M85" i="22"/>
  <c r="I85" i="22"/>
  <c r="E85" i="22"/>
  <c r="Q12" i="17"/>
  <c r="Q85" i="19"/>
  <c r="M85" i="19"/>
  <c r="I85" i="19"/>
  <c r="E85" i="19"/>
  <c r="E12" i="17"/>
  <c r="M12" i="17"/>
  <c r="Q85" i="20"/>
  <c r="E85" i="20"/>
  <c r="M85" i="20"/>
  <c r="I85" i="20"/>
  <c r="E12" i="20"/>
  <c r="M80" i="20"/>
  <c r="I80" i="20"/>
  <c r="Q80" i="20"/>
  <c r="E79" i="19"/>
  <c r="Q79" i="19"/>
  <c r="M79" i="19"/>
  <c r="I79" i="19"/>
  <c r="Q85" i="18"/>
  <c r="M85" i="18"/>
  <c r="E85" i="18"/>
  <c r="I85" i="18"/>
  <c r="Q79" i="20"/>
  <c r="M79" i="20"/>
  <c r="I79" i="20"/>
  <c r="E80" i="17"/>
  <c r="Q80" i="17"/>
  <c r="M80" i="17"/>
  <c r="I12" i="20"/>
  <c r="Q79" i="18"/>
  <c r="M79" i="18"/>
  <c r="I79" i="18"/>
  <c r="E79" i="18"/>
  <c r="A60" i="14"/>
  <c r="Q60" i="14" s="1"/>
  <c r="A60" i="12"/>
  <c r="E60" i="12" s="1"/>
  <c r="A58" i="15"/>
  <c r="Q58" i="15" s="1"/>
  <c r="A58" i="12"/>
  <c r="E58"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8" i="15"/>
  <c r="M38" i="15" s="1"/>
  <c r="E22" i="10"/>
  <c r="I18" i="10"/>
  <c r="I34" i="10"/>
  <c r="M21" i="10"/>
  <c r="M30" i="10"/>
  <c r="Q18" i="10"/>
  <c r="Q30" i="10"/>
  <c r="Q30" i="12"/>
  <c r="Q38" i="12"/>
  <c r="A22" i="13"/>
  <c r="I22" i="13" s="1"/>
  <c r="A38" i="13"/>
  <c r="I38" i="13" s="1"/>
  <c r="A26" i="14"/>
  <c r="A34" i="14"/>
  <c r="Q34" i="14" s="1"/>
  <c r="A26" i="15"/>
  <c r="M26" i="15" s="1"/>
  <c r="E17" i="10"/>
  <c r="E26" i="10"/>
  <c r="E34" i="10"/>
  <c r="I22" i="10"/>
  <c r="M22" i="10"/>
  <c r="M34" i="10"/>
  <c r="Q22" i="10"/>
  <c r="Q34" i="10"/>
  <c r="Q22" i="12"/>
  <c r="A30" i="15"/>
  <c r="M30" i="15" s="1"/>
  <c r="A41" i="15"/>
  <c r="E41" i="15" s="1"/>
  <c r="A41"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9" i="15"/>
  <c r="I59" i="15" s="1"/>
  <c r="A59" i="13"/>
  <c r="Q59" i="13" s="1"/>
  <c r="E40" i="10"/>
  <c r="A40" i="13"/>
  <c r="I40"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A37" i="14"/>
  <c r="E37" i="14" s="1"/>
  <c r="Q37" i="10"/>
  <c r="I37" i="10"/>
  <c r="A37" i="15"/>
  <c r="A37" i="13"/>
  <c r="E29" i="10"/>
  <c r="M17" i="10"/>
  <c r="M33" i="10"/>
  <c r="Q33" i="12"/>
  <c r="A25" i="13"/>
  <c r="E25" i="13" s="1"/>
  <c r="I29" i="13"/>
  <c r="A29" i="14"/>
  <c r="E29" i="14" s="1"/>
  <c r="A33" i="15"/>
  <c r="E33" i="15" s="1"/>
  <c r="Q30" i="13"/>
  <c r="M30" i="13"/>
  <c r="E25" i="10"/>
  <c r="M29" i="10"/>
  <c r="E29" i="12"/>
  <c r="A58" i="13"/>
  <c r="E58" i="13" s="1"/>
  <c r="A21" i="13"/>
  <c r="E30" i="13"/>
  <c r="A29" i="15"/>
  <c r="A18" i="13"/>
  <c r="Q18" i="13" s="1"/>
  <c r="E26" i="13"/>
  <c r="E34" i="13"/>
  <c r="I26" i="13"/>
  <c r="I34" i="13"/>
  <c r="M26" i="13"/>
  <c r="M34" i="13"/>
  <c r="E30" i="14"/>
  <c r="E38" i="14"/>
  <c r="I30" i="14"/>
  <c r="I38" i="14"/>
  <c r="M30" i="14"/>
  <c r="Q22" i="15"/>
  <c r="Q34" i="15"/>
  <c r="E18" i="15"/>
  <c r="E22" i="15"/>
  <c r="E34" i="15"/>
  <c r="Q18" i="15"/>
  <c r="I18" i="15"/>
  <c r="I22" i="15"/>
  <c r="I30" i="15"/>
  <c r="I34" i="15"/>
  <c r="Q17" i="14"/>
  <c r="M38" i="14"/>
  <c r="M4" i="14"/>
  <c r="Q29" i="13"/>
  <c r="I21" i="12"/>
  <c r="M32" i="12"/>
  <c r="I37" i="12"/>
  <c r="I38" i="12"/>
  <c r="E38" i="12"/>
  <c r="M21" i="12"/>
  <c r="M30" i="12"/>
  <c r="M37" i="12"/>
  <c r="M38" i="12"/>
  <c r="Q19" i="12"/>
  <c r="Q27" i="12"/>
  <c r="Q31" i="12"/>
  <c r="E19" i="12"/>
  <c r="Q24" i="12"/>
  <c r="E31" i="12"/>
  <c r="Q32" i="12"/>
  <c r="Q36" i="12"/>
  <c r="Q21" i="12"/>
  <c r="E24" i="12"/>
  <c r="Q25" i="12"/>
  <c r="I27" i="12"/>
  <c r="E32" i="12"/>
  <c r="E36" i="12"/>
  <c r="Q37" i="12"/>
  <c r="M58" i="10"/>
  <c r="M41" i="10"/>
  <c r="M40" i="10"/>
  <c r="E40" i="12"/>
  <c r="A40" i="14"/>
  <c r="M40" i="14" s="1"/>
  <c r="A40" i="15"/>
  <c r="E40" i="15" s="1"/>
  <c r="A60" i="15"/>
  <c r="Q60" i="15" s="1"/>
  <c r="A60" i="13"/>
  <c r="M60" i="13" s="1"/>
  <c r="E41" i="12"/>
  <c r="A41" i="14"/>
  <c r="E41" i="14" s="1"/>
  <c r="A59" i="14"/>
  <c r="M59" i="14" s="1"/>
  <c r="E41" i="10"/>
  <c r="E58" i="10"/>
  <c r="A58" i="14"/>
  <c r="Q58" i="14" s="1"/>
  <c r="M60" i="14"/>
  <c r="I5" i="15"/>
  <c r="M5" i="15"/>
  <c r="M4" i="15"/>
  <c r="Q5" i="15"/>
  <c r="Q4" i="15"/>
  <c r="E4" i="15"/>
  <c r="I5" i="14"/>
  <c r="M5" i="14"/>
  <c r="E4" i="14"/>
  <c r="Q4" i="14"/>
  <c r="Q5" i="14"/>
  <c r="A15" i="10"/>
  <c r="A15" i="12" s="1"/>
  <c r="A15" i="4"/>
  <c r="A15" i="6" s="1"/>
  <c r="A5" i="13"/>
  <c r="E5" i="13" s="1"/>
  <c r="A4" i="13"/>
  <c r="Q4" i="13" s="1"/>
  <c r="C350" i="34" l="1"/>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60" i="14"/>
  <c r="E60" i="14"/>
  <c r="I58" i="15"/>
  <c r="Q36" i="13"/>
  <c r="E40" i="13"/>
  <c r="M40" i="13"/>
  <c r="Q19" i="14"/>
  <c r="Q28" i="15"/>
  <c r="M31" i="15"/>
  <c r="I23" i="13"/>
  <c r="I38" i="15"/>
  <c r="E30" i="15"/>
  <c r="I28" i="15"/>
  <c r="I35" i="14"/>
  <c r="M28" i="15"/>
  <c r="Q30" i="15"/>
  <c r="E31" i="15"/>
  <c r="E27" i="15"/>
  <c r="Q27" i="15"/>
  <c r="E23" i="14"/>
  <c r="Q36" i="14"/>
  <c r="E19" i="14"/>
  <c r="E32" i="14"/>
  <c r="E35" i="14"/>
  <c r="Q23" i="14"/>
  <c r="I19" i="14"/>
  <c r="Q32" i="14"/>
  <c r="Q23" i="13"/>
  <c r="Q40" i="13"/>
  <c r="Q32" i="13"/>
  <c r="Q27" i="13"/>
  <c r="E34" i="14"/>
  <c r="I22" i="14"/>
  <c r="I34" i="14"/>
  <c r="E58" i="15"/>
  <c r="M34" i="14"/>
  <c r="E22" i="14"/>
  <c r="M58"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1" i="15"/>
  <c r="Q59" i="15"/>
  <c r="Q29" i="12"/>
  <c r="Q33" i="13"/>
  <c r="Q28" i="13"/>
  <c r="Q33" i="14"/>
  <c r="E18" i="14"/>
  <c r="I29" i="14"/>
  <c r="M18" i="13"/>
  <c r="M33" i="14"/>
  <c r="Q38" i="13"/>
  <c r="M34" i="12"/>
  <c r="I34" i="12"/>
  <c r="Q34" i="12"/>
  <c r="Q26" i="14"/>
  <c r="M26" i="14"/>
  <c r="I19" i="12"/>
  <c r="Q35" i="12"/>
  <c r="Q17" i="13"/>
  <c r="E31" i="13"/>
  <c r="M17" i="13"/>
  <c r="I17" i="13"/>
  <c r="E26" i="12"/>
  <c r="I30" i="12"/>
  <c r="E30" i="12"/>
  <c r="I27" i="13"/>
  <c r="Q31" i="14"/>
  <c r="Q37" i="14"/>
  <c r="Q24" i="15"/>
  <c r="Q38" i="15"/>
  <c r="I33" i="15"/>
  <c r="E26" i="14"/>
  <c r="E18" i="13"/>
  <c r="M38" i="13"/>
  <c r="E38" i="13"/>
  <c r="I26" i="12"/>
  <c r="Q21" i="15"/>
  <c r="M18" i="12"/>
  <c r="I18" i="12"/>
  <c r="Q18" i="12"/>
  <c r="E59" i="15"/>
  <c r="I35" i="12"/>
  <c r="E35" i="12"/>
  <c r="E34" i="12"/>
  <c r="M22" i="12"/>
  <c r="E22" i="12"/>
  <c r="I31" i="13"/>
  <c r="E27" i="13"/>
  <c r="Q31" i="13"/>
  <c r="E31" i="14"/>
  <c r="Q27" i="14"/>
  <c r="I31" i="14"/>
  <c r="E38" i="15"/>
  <c r="M37" i="14"/>
  <c r="Q58" i="13"/>
  <c r="I26" i="14"/>
  <c r="E22" i="13"/>
  <c r="Q29" i="15"/>
  <c r="I29" i="15"/>
  <c r="E29" i="15"/>
  <c r="E21" i="13"/>
  <c r="I21" i="13"/>
  <c r="M21" i="13"/>
  <c r="M17" i="12"/>
  <c r="E17" i="12"/>
  <c r="I17" i="12"/>
  <c r="E37" i="13"/>
  <c r="I37" i="13"/>
  <c r="M37" i="13"/>
  <c r="E25" i="14"/>
  <c r="M25" i="14"/>
  <c r="I25" i="14"/>
  <c r="I28" i="14"/>
  <c r="M28" i="14"/>
  <c r="I35" i="15"/>
  <c r="M35" i="15"/>
  <c r="E41" i="13"/>
  <c r="Q41" i="13"/>
  <c r="I23" i="12"/>
  <c r="Q17" i="12"/>
  <c r="E23" i="12"/>
  <c r="Q37" i="13"/>
  <c r="Q21" i="13"/>
  <c r="E35" i="13"/>
  <c r="Q20" i="14"/>
  <c r="Q25" i="14"/>
  <c r="E20" i="14"/>
  <c r="Q23" i="15"/>
  <c r="I37" i="14"/>
  <c r="M24" i="14"/>
  <c r="Q37" i="15"/>
  <c r="E37" i="15"/>
  <c r="I37" i="15"/>
  <c r="Q25" i="15"/>
  <c r="M25" i="15"/>
  <c r="E32" i="15"/>
  <c r="I32" i="15"/>
  <c r="I28" i="12"/>
  <c r="M28" i="12"/>
  <c r="I41" i="15"/>
  <c r="Q41" i="15"/>
  <c r="Q28" i="12"/>
  <c r="Q25" i="13"/>
  <c r="I41" i="13"/>
  <c r="M41" i="13"/>
  <c r="Q28" i="14"/>
  <c r="Q29" i="14"/>
  <c r="E24" i="14"/>
  <c r="Q36" i="15"/>
  <c r="Q20" i="15"/>
  <c r="M32" i="15"/>
  <c r="E35" i="15"/>
  <c r="M23" i="15"/>
  <c r="M21" i="14"/>
  <c r="M25" i="13"/>
  <c r="M58" i="13"/>
  <c r="M28" i="13"/>
  <c r="I24" i="13"/>
  <c r="M24" i="13"/>
  <c r="M59" i="15"/>
  <c r="I31" i="12"/>
  <c r="E27" i="12"/>
  <c r="Q23" i="12"/>
  <c r="I29" i="12"/>
  <c r="I35" i="13"/>
  <c r="E24" i="13"/>
  <c r="I19" i="13"/>
  <c r="I58" i="13"/>
  <c r="E23" i="13"/>
  <c r="Q35" i="13"/>
  <c r="Q19" i="13"/>
  <c r="Q24" i="14"/>
  <c r="Q35" i="14"/>
  <c r="E28" i="14"/>
  <c r="I23" i="14"/>
  <c r="E27" i="14"/>
  <c r="M36" i="15"/>
  <c r="Q31" i="15"/>
  <c r="M20" i="15"/>
  <c r="M37"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1" i="14"/>
  <c r="Q40" i="14"/>
  <c r="E40" i="14"/>
  <c r="I40" i="15"/>
  <c r="Q40" i="15"/>
  <c r="I40" i="14"/>
  <c r="M40" i="15"/>
  <c r="E60" i="15"/>
  <c r="I60" i="15"/>
  <c r="M60" i="15"/>
  <c r="I58" i="14"/>
  <c r="I59" i="14"/>
  <c r="E59" i="14"/>
  <c r="Q59" i="14"/>
  <c r="I41" i="14"/>
  <c r="Q41" i="14"/>
  <c r="M58" i="14"/>
  <c r="E58" i="14"/>
  <c r="A15" i="14"/>
  <c r="A15" i="15"/>
  <c r="A15" i="13"/>
  <c r="Q15" i="13" s="1"/>
  <c r="E15" i="12"/>
  <c r="I4" i="13"/>
  <c r="E4" i="13"/>
  <c r="M4" i="13"/>
  <c r="I5" i="13"/>
  <c r="E59" i="13"/>
  <c r="Q60" i="13"/>
  <c r="M5" i="13"/>
  <c r="I59" i="13"/>
  <c r="E60" i="13"/>
  <c r="M59" i="13"/>
  <c r="I60"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Q60" i="10"/>
  <c r="I59" i="12"/>
  <c r="Q58" i="12"/>
  <c r="Q40" i="12"/>
  <c r="A5" i="12"/>
  <c r="Q5" i="12" s="1"/>
  <c r="A4" i="12"/>
  <c r="E4" i="12" s="1"/>
  <c r="I59" i="10"/>
  <c r="Q58" i="10"/>
  <c r="Q41" i="10"/>
  <c r="A13" i="10"/>
  <c r="A13" i="12" s="1"/>
  <c r="I13" i="12" s="1"/>
  <c r="A12" i="10"/>
  <c r="A12" i="12" s="1"/>
  <c r="A64" i="10"/>
  <c r="A64"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8" i="16"/>
  <c r="A68" i="26"/>
  <c r="A68" i="21"/>
  <c r="A47" i="10"/>
  <c r="Q64" i="12"/>
  <c r="M64" i="12"/>
  <c r="I64" i="12"/>
  <c r="E64" i="12"/>
  <c r="E64" i="10"/>
  <c r="I64" i="10" s="1"/>
  <c r="M64" i="10" s="1"/>
  <c r="Q64" i="10" s="1"/>
  <c r="A64" i="13"/>
  <c r="E64" i="13" s="1"/>
  <c r="I64" i="13" s="1"/>
  <c r="M64" i="13" s="1"/>
  <c r="Q64" i="13" s="1"/>
  <c r="A64" i="14"/>
  <c r="E64" i="14" s="1"/>
  <c r="I64" i="14" s="1"/>
  <c r="M64" i="14" s="1"/>
  <c r="Q64" i="14" s="1"/>
  <c r="A64" i="15"/>
  <c r="E64" i="15" s="1"/>
  <c r="I64" i="15" s="1"/>
  <c r="M64" i="15" s="1"/>
  <c r="Q64" i="15" s="1"/>
  <c r="Q13" i="10"/>
  <c r="A13" i="15"/>
  <c r="A13" i="14"/>
  <c r="E13" i="12"/>
  <c r="A13" i="13"/>
  <c r="M12" i="10"/>
  <c r="E12" i="12"/>
  <c r="A12" i="15"/>
  <c r="A12" i="13"/>
  <c r="A12" i="14"/>
  <c r="I15" i="12"/>
  <c r="M15" i="12"/>
  <c r="Q15" i="12"/>
  <c r="Q60" i="12"/>
  <c r="M41" i="12"/>
  <c r="Q41" i="12"/>
  <c r="I41" i="12"/>
  <c r="M12" i="12"/>
  <c r="I12" i="12"/>
  <c r="Q12" i="12"/>
  <c r="I5" i="12"/>
  <c r="E5" i="12"/>
  <c r="M5" i="12"/>
  <c r="M59" i="12"/>
  <c r="I4" i="12"/>
  <c r="M13" i="12"/>
  <c r="Q59" i="12"/>
  <c r="M4" i="12"/>
  <c r="Q13" i="12"/>
  <c r="I40" i="12"/>
  <c r="Q4" i="12"/>
  <c r="M40" i="12"/>
  <c r="I58" i="12"/>
  <c r="I60" i="12"/>
  <c r="M58" i="12"/>
  <c r="M60" i="12"/>
  <c r="M15" i="10"/>
  <c r="Q15" i="10"/>
  <c r="E15" i="10"/>
  <c r="I58" i="10"/>
  <c r="Q40" i="10"/>
  <c r="I12" i="10"/>
  <c r="Q12" i="10"/>
  <c r="I5" i="10"/>
  <c r="M59" i="10"/>
  <c r="E59" i="10"/>
  <c r="Q59" i="10"/>
  <c r="M5" i="10"/>
  <c r="E13" i="10"/>
  <c r="I41" i="10"/>
  <c r="E4" i="10"/>
  <c r="Q5" i="10"/>
  <c r="I13" i="10"/>
  <c r="I4" i="10"/>
  <c r="M13" i="10"/>
  <c r="M4" i="10"/>
  <c r="E12" i="10"/>
  <c r="I40" i="10"/>
  <c r="E60" i="10"/>
  <c r="I60" i="10"/>
  <c r="M6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7" i="26"/>
  <c r="A87" i="21"/>
  <c r="A87" i="16"/>
  <c r="A66" i="10"/>
  <c r="A66" i="12" s="1"/>
  <c r="A42" i="4"/>
  <c r="A42" i="6" s="1"/>
  <c r="E42" i="6" s="1"/>
  <c r="A38" i="4"/>
  <c r="A38" i="6" s="1"/>
  <c r="E38" i="6" s="1"/>
  <c r="A37" i="4"/>
  <c r="A37" i="6" s="1"/>
  <c r="E37" i="6" s="1"/>
  <c r="A36" i="4"/>
  <c r="A36" i="6" s="1"/>
  <c r="E36" i="6" s="1"/>
  <c r="C80" i="1"/>
  <c r="C69" i="1"/>
  <c r="Q21" i="4"/>
  <c r="A36" i="16" l="1"/>
  <c r="A32" i="16"/>
  <c r="A28" i="16"/>
  <c r="A24" i="16"/>
  <c r="A19" i="16"/>
  <c r="A15" i="16"/>
  <c r="A23" i="16"/>
  <c r="A25" i="16"/>
  <c r="A16" i="16"/>
  <c r="A35" i="16"/>
  <c r="A31" i="16"/>
  <c r="A27" i="16"/>
  <c r="A22" i="16"/>
  <c r="A18" i="16"/>
  <c r="A33" i="16"/>
  <c r="A20" i="16"/>
  <c r="A34" i="16"/>
  <c r="A30" i="16"/>
  <c r="A26" i="16"/>
  <c r="A21" i="16"/>
  <c r="A17" i="16"/>
  <c r="A29" i="16"/>
  <c r="I87" i="16"/>
  <c r="A87" i="20"/>
  <c r="A87" i="17"/>
  <c r="A87" i="19"/>
  <c r="A87" i="18"/>
  <c r="E87" i="16"/>
  <c r="M87" i="16"/>
  <c r="Q87" i="16"/>
  <c r="Q87" i="26"/>
  <c r="I87" i="26"/>
  <c r="M87" i="26"/>
  <c r="A87" i="28"/>
  <c r="A87" i="27"/>
  <c r="A87" i="31"/>
  <c r="A87" i="29"/>
  <c r="E87" i="26"/>
  <c r="Q87" i="21"/>
  <c r="I87" i="21"/>
  <c r="M87" i="21"/>
  <c r="A87" i="22"/>
  <c r="A87" i="23"/>
  <c r="A87" i="24"/>
  <c r="E87" i="21"/>
  <c r="A87" i="25"/>
  <c r="E66" i="12"/>
  <c r="Q66" i="12"/>
  <c r="I66" i="12"/>
  <c r="M66" i="12"/>
  <c r="I38" i="6"/>
  <c r="I36" i="6"/>
  <c r="I37" i="6"/>
  <c r="M38" i="6"/>
  <c r="Q38" i="4"/>
  <c r="A38" i="5"/>
  <c r="M38" i="5" s="1"/>
  <c r="A38" i="9"/>
  <c r="A38" i="7"/>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6" i="14"/>
  <c r="A66" i="15"/>
  <c r="A66" i="13"/>
  <c r="A44" i="4"/>
  <c r="Q66" i="10"/>
  <c r="I66" i="10"/>
  <c r="M66" i="10"/>
  <c r="E66" i="10"/>
  <c r="Q37" i="6"/>
  <c r="M36" i="6"/>
  <c r="M4" i="6"/>
  <c r="Q36" i="6"/>
  <c r="M37" i="6"/>
  <c r="Q4" i="6"/>
  <c r="Q38" i="6"/>
  <c r="E4" i="6"/>
  <c r="E4" i="5"/>
  <c r="I4" i="5"/>
  <c r="M4" i="5"/>
  <c r="M37" i="4"/>
  <c r="I38" i="4"/>
  <c r="M38" i="4"/>
  <c r="I36" i="4"/>
  <c r="M36" i="4"/>
  <c r="Q37" i="4"/>
  <c r="E36" i="4"/>
  <c r="E38" i="4"/>
  <c r="E37" i="4"/>
  <c r="A19" i="4"/>
  <c r="A19" i="6" s="1"/>
  <c r="I19" i="6" s="1"/>
  <c r="A18" i="4"/>
  <c r="A18" i="6" s="1"/>
  <c r="M18" i="6" s="1"/>
  <c r="A13" i="4"/>
  <c r="A13" i="6" s="1"/>
  <c r="Q13" i="6" s="1"/>
  <c r="A12" i="4"/>
  <c r="A12" i="6" s="1"/>
  <c r="Q12" i="6" s="1"/>
  <c r="C93" i="1"/>
  <c r="C94" i="1" s="1"/>
  <c r="C90" i="1"/>
  <c r="A32" i="9" s="1"/>
  <c r="C89" i="1"/>
  <c r="C88" i="1"/>
  <c r="A88" i="1"/>
  <c r="A89" i="1"/>
  <c r="A90" i="1"/>
  <c r="C87" i="1"/>
  <c r="A87" i="1"/>
  <c r="C82" i="1"/>
  <c r="C83" i="1" s="1"/>
  <c r="C79" i="1"/>
  <c r="C78" i="1"/>
  <c r="C77" i="1"/>
  <c r="C76" i="1"/>
  <c r="A31" i="7" s="1"/>
  <c r="A79" i="1"/>
  <c r="A78" i="1"/>
  <c r="A77" i="1"/>
  <c r="A76" i="1"/>
  <c r="C71" i="1"/>
  <c r="C72" i="1" s="1"/>
  <c r="C68" i="1"/>
  <c r="C67" i="1"/>
  <c r="C66" i="1"/>
  <c r="A68" i="1"/>
  <c r="A67" i="1"/>
  <c r="A66" i="1"/>
  <c r="A65" i="1"/>
  <c r="A57" i="1"/>
  <c r="A56" i="1"/>
  <c r="A55" i="1"/>
  <c r="C46" i="1"/>
  <c r="C45" i="1"/>
  <c r="C44" i="1"/>
  <c r="A45" i="1"/>
  <c r="A44" i="1"/>
  <c r="A43" i="1"/>
  <c r="A40" i="4"/>
  <c r="A40" i="6" s="1"/>
  <c r="E40" i="6" s="1"/>
  <c r="A81" i="16"/>
  <c r="A12" i="21"/>
  <c r="A30" i="4" l="1"/>
  <c r="A73" i="16"/>
  <c r="A74" i="5"/>
  <c r="A53" i="5"/>
  <c r="A69" i="29"/>
  <c r="A26" i="7"/>
  <c r="A69" i="19"/>
  <c r="A48" i="14"/>
  <c r="A69" i="24"/>
  <c r="A65" i="5"/>
  <c r="A26" i="5"/>
  <c r="A69" i="20"/>
  <c r="A69" i="31"/>
  <c r="A48" i="15"/>
  <c r="A69" i="25"/>
  <c r="A26" i="9"/>
  <c r="A75" i="23"/>
  <c r="A75" i="18"/>
  <c r="A54" i="13"/>
  <c r="A75" i="28"/>
  <c r="A32" i="6"/>
  <c r="A75" i="20"/>
  <c r="A54" i="15"/>
  <c r="A75" i="31"/>
  <c r="A75" i="25"/>
  <c r="A69" i="18"/>
  <c r="A69" i="28"/>
  <c r="A26" i="6"/>
  <c r="A69" i="23"/>
  <c r="A48" i="13"/>
  <c r="A55" i="13"/>
  <c r="A76" i="23"/>
  <c r="A76" i="18"/>
  <c r="A33" i="6"/>
  <c r="A76" i="28"/>
  <c r="A75" i="29"/>
  <c r="A32" i="7"/>
  <c r="A75" i="24"/>
  <c r="A75" i="19"/>
  <c r="A54" i="14"/>
  <c r="A73" i="31"/>
  <c r="A73" i="20"/>
  <c r="A73" i="25"/>
  <c r="A52" i="15"/>
  <c r="A30" i="9"/>
  <c r="E40" i="4"/>
  <c r="A40" i="9"/>
  <c r="I40" i="9" s="1"/>
  <c r="I40" i="6"/>
  <c r="Q40" i="6"/>
  <c r="A76" i="25"/>
  <c r="A76" i="31"/>
  <c r="A76" i="20"/>
  <c r="A55" i="15"/>
  <c r="A33" i="9"/>
  <c r="M40" i="6"/>
  <c r="A40" i="5"/>
  <c r="M40" i="5" s="1"/>
  <c r="Q40" i="4"/>
  <c r="A40" i="7"/>
  <c r="I40" i="7" s="1"/>
  <c r="M40" i="4"/>
  <c r="I40" i="4"/>
  <c r="E81" i="16"/>
  <c r="A81" i="20"/>
  <c r="A81" i="19"/>
  <c r="M81" i="16"/>
  <c r="Q81" i="16"/>
  <c r="A81" i="17"/>
  <c r="I81" i="16"/>
  <c r="A81" i="18"/>
  <c r="A62" i="16"/>
  <c r="A13" i="16"/>
  <c r="A12" i="24"/>
  <c r="A12" i="25"/>
  <c r="I12" i="21"/>
  <c r="A12" i="22"/>
  <c r="M12" i="21"/>
  <c r="A12" i="23"/>
  <c r="Q12" i="21"/>
  <c r="E12" i="21"/>
  <c r="E20" i="16"/>
  <c r="A20" i="17"/>
  <c r="A20" i="19"/>
  <c r="A20" i="18"/>
  <c r="A20" i="20"/>
  <c r="A43" i="16"/>
  <c r="E24" i="16"/>
  <c r="A24" i="17"/>
  <c r="A24" i="19"/>
  <c r="A24" i="18"/>
  <c r="A24" i="20"/>
  <c r="A47" i="16"/>
  <c r="E26" i="16"/>
  <c r="A26" i="18"/>
  <c r="A26" i="19"/>
  <c r="A26" i="20"/>
  <c r="A26" i="17"/>
  <c r="A49" i="16"/>
  <c r="E33" i="16"/>
  <c r="A33" i="20"/>
  <c r="A33" i="19"/>
  <c r="A33" i="17"/>
  <c r="A33" i="18"/>
  <c r="A56" i="16"/>
  <c r="E31" i="16"/>
  <c r="A31" i="20"/>
  <c r="A54" i="16"/>
  <c r="A31" i="17"/>
  <c r="A31" i="19"/>
  <c r="A31" i="18"/>
  <c r="E23" i="16"/>
  <c r="A23" i="18"/>
  <c r="A23" i="20"/>
  <c r="A46" i="16"/>
  <c r="A23" i="19"/>
  <c r="A23" i="17"/>
  <c r="E28" i="16"/>
  <c r="A28" i="20"/>
  <c r="A28" i="17"/>
  <c r="A28" i="19"/>
  <c r="A28" i="18"/>
  <c r="A51" i="16"/>
  <c r="E21" i="16"/>
  <c r="A21" i="19"/>
  <c r="A21" i="18"/>
  <c r="A21" i="20"/>
  <c r="A21" i="17"/>
  <c r="A44" i="16"/>
  <c r="E27" i="16"/>
  <c r="A27" i="17"/>
  <c r="A27" i="20"/>
  <c r="A27" i="18"/>
  <c r="A50" i="16"/>
  <c r="A27" i="19"/>
  <c r="E29" i="16"/>
  <c r="A29" i="17"/>
  <c r="A29" i="18"/>
  <c r="A29" i="19"/>
  <c r="A29" i="20"/>
  <c r="A52" i="16"/>
  <c r="E30" i="16"/>
  <c r="A30" i="18"/>
  <c r="A30" i="17"/>
  <c r="A30" i="19"/>
  <c r="A30" i="20"/>
  <c r="A53" i="16"/>
  <c r="E18" i="16"/>
  <c r="A18" i="18"/>
  <c r="A18" i="20"/>
  <c r="A18" i="17"/>
  <c r="A18" i="19"/>
  <c r="A41" i="16"/>
  <c r="E35" i="16"/>
  <c r="A35" i="20"/>
  <c r="A58" i="16"/>
  <c r="A35" i="17"/>
  <c r="A35" i="19"/>
  <c r="A35" i="18"/>
  <c r="E15" i="16"/>
  <c r="A15" i="17"/>
  <c r="A15" i="20"/>
  <c r="A15" i="19"/>
  <c r="A15" i="18"/>
  <c r="A38" i="16"/>
  <c r="E32" i="16"/>
  <c r="A32" i="18"/>
  <c r="A32" i="20"/>
  <c r="A32" i="17"/>
  <c r="A32" i="19"/>
  <c r="A55" i="16"/>
  <c r="E25" i="16"/>
  <c r="A25" i="19"/>
  <c r="A25" i="17"/>
  <c r="A25" i="18"/>
  <c r="A25" i="20"/>
  <c r="A48" i="16"/>
  <c r="A33" i="21"/>
  <c r="A29" i="21"/>
  <c r="A25" i="21"/>
  <c r="A21" i="21"/>
  <c r="A17" i="21"/>
  <c r="A36" i="21"/>
  <c r="A31" i="21"/>
  <c r="A26" i="21"/>
  <c r="A20" i="21"/>
  <c r="A15" i="21"/>
  <c r="A32" i="21"/>
  <c r="A16" i="21"/>
  <c r="A35" i="21"/>
  <c r="A30" i="21"/>
  <c r="A24" i="21"/>
  <c r="A19" i="21"/>
  <c r="A22" i="21"/>
  <c r="A34" i="21"/>
  <c r="A28" i="21"/>
  <c r="A23" i="21"/>
  <c r="A18" i="21"/>
  <c r="A27" i="21"/>
  <c r="E17" i="16"/>
  <c r="A17" i="19"/>
  <c r="A17" i="20"/>
  <c r="A17" i="17"/>
  <c r="A17" i="18"/>
  <c r="A40" i="16"/>
  <c r="E34" i="16"/>
  <c r="A34" i="18"/>
  <c r="A34" i="20"/>
  <c r="A34" i="17"/>
  <c r="A34" i="19"/>
  <c r="A57" i="16"/>
  <c r="E22" i="16"/>
  <c r="A22" i="18"/>
  <c r="A22" i="19"/>
  <c r="A22" i="20"/>
  <c r="A22" i="17"/>
  <c r="A45" i="16"/>
  <c r="E16" i="16"/>
  <c r="A16" i="18"/>
  <c r="A16" i="20"/>
  <c r="A16" i="17"/>
  <c r="A16" i="19"/>
  <c r="A39" i="16"/>
  <c r="E19" i="16"/>
  <c r="A19" i="20"/>
  <c r="A19" i="17"/>
  <c r="A19" i="19"/>
  <c r="A19" i="18"/>
  <c r="A42" i="16"/>
  <c r="E36" i="16"/>
  <c r="A36" i="17"/>
  <c r="A36" i="19"/>
  <c r="A36" i="18"/>
  <c r="A36" i="20"/>
  <c r="A59" i="16"/>
  <c r="D49" i="1"/>
  <c r="D50" i="1" s="1"/>
  <c r="D60" i="1"/>
  <c r="D61" i="1" s="1"/>
  <c r="Q18" i="6"/>
  <c r="A68" i="20"/>
  <c r="A68" i="31"/>
  <c r="A68" i="25"/>
  <c r="A47" i="15"/>
  <c r="A25" i="9"/>
  <c r="M87" i="22"/>
  <c r="I87" i="22"/>
  <c r="Q87" i="22"/>
  <c r="E87" i="22"/>
  <c r="M87" i="28"/>
  <c r="I87" i="28"/>
  <c r="Q87" i="28"/>
  <c r="E87" i="28"/>
  <c r="I87" i="29"/>
  <c r="M87" i="29"/>
  <c r="Q87" i="29"/>
  <c r="E87" i="29"/>
  <c r="I87" i="17"/>
  <c r="E87" i="17"/>
  <c r="M87" i="17"/>
  <c r="Q87" i="17"/>
  <c r="M87" i="25"/>
  <c r="I87" i="25"/>
  <c r="Q87" i="25"/>
  <c r="E87" i="25"/>
  <c r="M87" i="24"/>
  <c r="Q87" i="24"/>
  <c r="I87" i="24"/>
  <c r="E87" i="24"/>
  <c r="Q87" i="31"/>
  <c r="I87" i="31"/>
  <c r="M87" i="31"/>
  <c r="E87" i="31"/>
  <c r="I87" i="20"/>
  <c r="M87" i="20"/>
  <c r="Q87" i="20"/>
  <c r="E87" i="20"/>
  <c r="Q87" i="19"/>
  <c r="I87" i="19"/>
  <c r="M87" i="19"/>
  <c r="E87" i="19"/>
  <c r="M87" i="23"/>
  <c r="Q87" i="23"/>
  <c r="I87" i="23"/>
  <c r="E87" i="23"/>
  <c r="Q87" i="27"/>
  <c r="I87" i="27"/>
  <c r="M87" i="27"/>
  <c r="E87" i="27"/>
  <c r="I87" i="18"/>
  <c r="M87" i="18"/>
  <c r="Q87" i="18"/>
  <c r="E87" i="18"/>
  <c r="N7" i="32"/>
  <c r="T4" i="36" s="1"/>
  <c r="A21" i="6"/>
  <c r="A21" i="4"/>
  <c r="N8" i="32"/>
  <c r="T5" i="36" s="1"/>
  <c r="A21" i="7"/>
  <c r="N9" i="32"/>
  <c r="T6" i="36" s="1"/>
  <c r="A21" i="9"/>
  <c r="M21" i="4"/>
  <c r="O7" i="32"/>
  <c r="AC4" i="36" s="1"/>
  <c r="E21" i="6"/>
  <c r="I21" i="6"/>
  <c r="M21" i="6"/>
  <c r="Q21" i="6"/>
  <c r="I21" i="4"/>
  <c r="O8" i="32"/>
  <c r="AC5" i="36" s="1"/>
  <c r="E21" i="7"/>
  <c r="I21" i="7"/>
  <c r="M21" i="7"/>
  <c r="Q21" i="7"/>
  <c r="E21" i="4"/>
  <c r="E21" i="9"/>
  <c r="I21" i="9"/>
  <c r="M21" i="9"/>
  <c r="Q21" i="9"/>
  <c r="R8" i="32"/>
  <c r="AF5" i="36" s="1"/>
  <c r="R7" i="32"/>
  <c r="AF4" i="36" s="1"/>
  <c r="R9" i="32"/>
  <c r="AF6" i="36" s="1"/>
  <c r="R5" i="32"/>
  <c r="AF2" i="36" s="1"/>
  <c r="Q7" i="32"/>
  <c r="AE4" i="36" s="1"/>
  <c r="Q9" i="32"/>
  <c r="AE6" i="36" s="1"/>
  <c r="Q5" i="32"/>
  <c r="AE2" i="36" s="1"/>
  <c r="Q8" i="32"/>
  <c r="AE5" i="36" s="1"/>
  <c r="P9" i="32"/>
  <c r="AD6" i="36" s="1"/>
  <c r="P5" i="32"/>
  <c r="AD2" i="36" s="1"/>
  <c r="P7" i="32"/>
  <c r="AD4" i="36" s="1"/>
  <c r="P8" i="32"/>
  <c r="AD5" i="36" s="1"/>
  <c r="O9" i="32"/>
  <c r="AC6" i="36" s="1"/>
  <c r="O5" i="32"/>
  <c r="AC2" i="36" s="1"/>
  <c r="E31" i="7"/>
  <c r="A73" i="24"/>
  <c r="A73" i="19"/>
  <c r="A73" i="29"/>
  <c r="A52" i="14"/>
  <c r="A30" i="7"/>
  <c r="A68" i="24"/>
  <c r="A68" i="19"/>
  <c r="A68" i="29"/>
  <c r="A47" i="14"/>
  <c r="A25" i="7"/>
  <c r="A76" i="24"/>
  <c r="A76" i="19"/>
  <c r="A76" i="29"/>
  <c r="A55" i="14"/>
  <c r="A33" i="7"/>
  <c r="A25" i="6"/>
  <c r="A68" i="18"/>
  <c r="A68" i="28"/>
  <c r="A68" i="23"/>
  <c r="A47" i="13"/>
  <c r="A73" i="18"/>
  <c r="A73" i="23"/>
  <c r="A73" i="28"/>
  <c r="A52" i="13"/>
  <c r="A30" i="6"/>
  <c r="A73" i="26"/>
  <c r="A73" i="21"/>
  <c r="A52" i="10"/>
  <c r="A74" i="21"/>
  <c r="A74" i="16"/>
  <c r="A74" i="26"/>
  <c r="A53" i="10"/>
  <c r="A76" i="26"/>
  <c r="A76" i="16"/>
  <c r="A76" i="21"/>
  <c r="A55" i="10"/>
  <c r="M36" i="5"/>
  <c r="Q38" i="5"/>
  <c r="I13" i="6"/>
  <c r="I18" i="6"/>
  <c r="Q19" i="6"/>
  <c r="I12" i="6"/>
  <c r="I44" i="4"/>
  <c r="A44" i="6"/>
  <c r="Q44" i="6" s="1"/>
  <c r="M13" i="6"/>
  <c r="M12" i="6"/>
  <c r="M19" i="6"/>
  <c r="I40" i="5"/>
  <c r="E40" i="5"/>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M38" i="7"/>
  <c r="E38" i="7"/>
  <c r="Q38" i="7"/>
  <c r="I38" i="7"/>
  <c r="A13" i="9"/>
  <c r="A13" i="7"/>
  <c r="E13" i="6"/>
  <c r="A13" i="5"/>
  <c r="Q36" i="5"/>
  <c r="I38" i="5"/>
  <c r="E38" i="5"/>
  <c r="M37" i="7"/>
  <c r="I37" i="7"/>
  <c r="E37" i="7"/>
  <c r="Q37" i="7"/>
  <c r="Q36" i="7"/>
  <c r="I36" i="7"/>
  <c r="M36" i="7"/>
  <c r="E36" i="7"/>
  <c r="E38" i="9"/>
  <c r="M38" i="9"/>
  <c r="Q38" i="9"/>
  <c r="I38" i="9"/>
  <c r="I66" i="15"/>
  <c r="Q66" i="15"/>
  <c r="E66" i="15"/>
  <c r="M66" i="15"/>
  <c r="Q66" i="13"/>
  <c r="M66" i="13"/>
  <c r="E66" i="13"/>
  <c r="I66" i="13"/>
  <c r="I66" i="14"/>
  <c r="Q66" i="14"/>
  <c r="E66" i="14"/>
  <c r="M66" i="14"/>
  <c r="A31" i="4"/>
  <c r="A33" i="4"/>
  <c r="Q44" i="4"/>
  <c r="E44" i="4"/>
  <c r="Q12" i="4"/>
  <c r="E12" i="4"/>
  <c r="M12" i="4"/>
  <c r="I12" i="4"/>
  <c r="M19" i="4"/>
  <c r="I19" i="4"/>
  <c r="E19" i="4"/>
  <c r="Q19" i="4"/>
  <c r="I4" i="4"/>
  <c r="E4" i="4"/>
  <c r="Q4" i="4"/>
  <c r="M4" i="4"/>
  <c r="I13" i="4"/>
  <c r="E13" i="4"/>
  <c r="Q13" i="4"/>
  <c r="M13" i="4"/>
  <c r="I18" i="4"/>
  <c r="E18" i="4"/>
  <c r="Q18" i="4"/>
  <c r="M18" i="4"/>
  <c r="A61" i="16"/>
  <c r="D91" i="1"/>
  <c r="A43" i="15" s="1"/>
  <c r="D80" i="1"/>
  <c r="E43" i="14" s="1"/>
  <c r="D69" i="1"/>
  <c r="Q12" i="32" s="1"/>
  <c r="AE9" i="36" s="1"/>
  <c r="M43" i="10"/>
  <c r="D82" i="1"/>
  <c r="D83" i="1" s="1"/>
  <c r="D93" i="1"/>
  <c r="D94" i="1" s="1"/>
  <c r="A12" i="26"/>
  <c r="D71" i="1"/>
  <c r="D72" i="1" s="1"/>
  <c r="A83" i="16"/>
  <c r="A81" i="21"/>
  <c r="A62" i="10"/>
  <c r="E31" i="4" l="1"/>
  <c r="E75" i="16"/>
  <c r="E32" i="4"/>
  <c r="Q40" i="5"/>
  <c r="E75" i="24"/>
  <c r="E75" i="19"/>
  <c r="E54" i="14"/>
  <c r="E75" i="29"/>
  <c r="E32" i="7"/>
  <c r="E69" i="24"/>
  <c r="E69" i="19"/>
  <c r="E26" i="7"/>
  <c r="E69" i="29"/>
  <c r="E48" i="14"/>
  <c r="E75" i="18"/>
  <c r="E75" i="23"/>
  <c r="E54" i="13"/>
  <c r="E75" i="28"/>
  <c r="E32" i="6"/>
  <c r="E69" i="28"/>
  <c r="E48" i="13"/>
  <c r="E69" i="23"/>
  <c r="E69" i="18"/>
  <c r="E26" i="6"/>
  <c r="E48" i="12"/>
  <c r="E69" i="22"/>
  <c r="E69" i="17"/>
  <c r="E69" i="27"/>
  <c r="E75" i="25"/>
  <c r="E32" i="9"/>
  <c r="E75" i="20"/>
  <c r="E75" i="31"/>
  <c r="E54" i="15"/>
  <c r="E53" i="5"/>
  <c r="E74" i="5"/>
  <c r="E26" i="5"/>
  <c r="E65" i="5"/>
  <c r="E69" i="31"/>
  <c r="E69" i="25"/>
  <c r="E26" i="9"/>
  <c r="E69" i="20"/>
  <c r="E48" i="15"/>
  <c r="E26" i="4"/>
  <c r="E48" i="10"/>
  <c r="E69" i="16"/>
  <c r="E69" i="26"/>
  <c r="E69" i="21"/>
  <c r="E40" i="9"/>
  <c r="Q40" i="9"/>
  <c r="M40" i="9"/>
  <c r="Q40" i="7"/>
  <c r="E40" i="7"/>
  <c r="M40" i="7"/>
  <c r="E76" i="31"/>
  <c r="E76" i="20"/>
  <c r="E76" i="25"/>
  <c r="E55" i="15"/>
  <c r="E33" i="9"/>
  <c r="E68" i="27"/>
  <c r="E73" i="25"/>
  <c r="E73" i="31"/>
  <c r="E73" i="20"/>
  <c r="E52" i="15"/>
  <c r="E30" i="9"/>
  <c r="I83" i="16"/>
  <c r="A83" i="19"/>
  <c r="A83" i="17"/>
  <c r="E83" i="16"/>
  <c r="Q83" i="16"/>
  <c r="A83" i="20"/>
  <c r="A83" i="18"/>
  <c r="M83" i="16"/>
  <c r="I81" i="19"/>
  <c r="M81" i="19"/>
  <c r="E81" i="19"/>
  <c r="Q81" i="19"/>
  <c r="A81" i="23"/>
  <c r="A81" i="22"/>
  <c r="E81" i="21"/>
  <c r="A81" i="24"/>
  <c r="A81" i="25"/>
  <c r="M81" i="21"/>
  <c r="Q81" i="21"/>
  <c r="I81" i="21"/>
  <c r="M81" i="17"/>
  <c r="E81" i="17"/>
  <c r="I81" i="17"/>
  <c r="Q81" i="17"/>
  <c r="M81" i="20"/>
  <c r="Q81" i="20"/>
  <c r="E81" i="20"/>
  <c r="I81" i="20"/>
  <c r="E81" i="18"/>
  <c r="I81" i="18"/>
  <c r="M81" i="18"/>
  <c r="Q81" i="18"/>
  <c r="A62" i="12"/>
  <c r="A62" i="13"/>
  <c r="M62" i="10"/>
  <c r="E62" i="10"/>
  <c r="A62" i="15"/>
  <c r="A62" i="14"/>
  <c r="Q62" i="10"/>
  <c r="I62" i="10"/>
  <c r="A62" i="26"/>
  <c r="A62" i="21"/>
  <c r="Q14" i="32"/>
  <c r="AE11" i="36" s="1"/>
  <c r="P14" i="32"/>
  <c r="AD11" i="36" s="1"/>
  <c r="R14" i="32"/>
  <c r="AF11" i="36" s="1"/>
  <c r="M43" i="15"/>
  <c r="E43" i="15"/>
  <c r="N14" i="32"/>
  <c r="T11" i="36" s="1"/>
  <c r="O14" i="32"/>
  <c r="AC11" i="36" s="1"/>
  <c r="I43" i="15"/>
  <c r="Q43"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2" i="18"/>
  <c r="E19" i="18"/>
  <c r="A45" i="17"/>
  <c r="E22" i="17"/>
  <c r="E17" i="18"/>
  <c r="A40" i="18"/>
  <c r="A47" i="21"/>
  <c r="E24" i="21"/>
  <c r="A24" i="23"/>
  <c r="A24" i="24"/>
  <c r="A24" i="22"/>
  <c r="A24" i="25"/>
  <c r="A25" i="25"/>
  <c r="A25" i="22"/>
  <c r="A25" i="24"/>
  <c r="A48" i="21"/>
  <c r="A25" i="23"/>
  <c r="E25" i="21"/>
  <c r="A55" i="17"/>
  <c r="E32" i="17"/>
  <c r="E15" i="17"/>
  <c r="A38" i="17"/>
  <c r="Q18" i="16"/>
  <c r="M18" i="16"/>
  <c r="Q41" i="16"/>
  <c r="I41" i="16"/>
  <c r="M41" i="16"/>
  <c r="E41" i="16"/>
  <c r="I18" i="16"/>
  <c r="A53" i="19"/>
  <c r="E30" i="19"/>
  <c r="E29" i="17"/>
  <c r="A52" i="17"/>
  <c r="A50" i="18"/>
  <c r="E27" i="18"/>
  <c r="E21" i="19"/>
  <c r="A44" i="19"/>
  <c r="A46" i="17"/>
  <c r="E23" i="17"/>
  <c r="A54" i="17"/>
  <c r="E31" i="17"/>
  <c r="A56" i="20"/>
  <c r="E33" i="20"/>
  <c r="A49" i="20"/>
  <c r="E26" i="20"/>
  <c r="Q47" i="16"/>
  <c r="Q24" i="16"/>
  <c r="M24" i="16"/>
  <c r="M47" i="16"/>
  <c r="I47" i="16"/>
  <c r="E47" i="16"/>
  <c r="I24" i="16"/>
  <c r="A43" i="18"/>
  <c r="E20" i="18"/>
  <c r="Q36" i="16"/>
  <c r="Q59" i="16"/>
  <c r="I36" i="16"/>
  <c r="M59" i="16"/>
  <c r="I59" i="16"/>
  <c r="E59" i="16"/>
  <c r="M36" i="16"/>
  <c r="E36" i="17"/>
  <c r="A59" i="17"/>
  <c r="E19" i="19"/>
  <c r="A42" i="19"/>
  <c r="Q39" i="16"/>
  <c r="M39" i="16"/>
  <c r="Q16" i="16"/>
  <c r="I16" i="16"/>
  <c r="I39" i="16"/>
  <c r="M16" i="16"/>
  <c r="E39" i="16"/>
  <c r="A39" i="18"/>
  <c r="E16" i="18"/>
  <c r="A45" i="20"/>
  <c r="E22" i="20"/>
  <c r="M57" i="16"/>
  <c r="I57" i="16"/>
  <c r="I34" i="16"/>
  <c r="Q34" i="16"/>
  <c r="E57" i="16"/>
  <c r="M34" i="16"/>
  <c r="Q57" i="16"/>
  <c r="A57" i="18"/>
  <c r="E34" i="18"/>
  <c r="E17" i="17"/>
  <c r="A40" i="17"/>
  <c r="A27" i="23"/>
  <c r="E27" i="21"/>
  <c r="A50" i="21"/>
  <c r="A27" i="22"/>
  <c r="A27" i="24"/>
  <c r="A27" i="25"/>
  <c r="E34" i="21"/>
  <c r="A57" i="21"/>
  <c r="A34" i="25"/>
  <c r="A34" i="22"/>
  <c r="A34" i="24"/>
  <c r="A34" i="23"/>
  <c r="A53" i="21"/>
  <c r="E30" i="21"/>
  <c r="A30" i="22"/>
  <c r="A30" i="24"/>
  <c r="A30" i="23"/>
  <c r="A30" i="25"/>
  <c r="A15" i="23"/>
  <c r="E15" i="21"/>
  <c r="A38" i="21"/>
  <c r="A15" i="22"/>
  <c r="A15" i="24"/>
  <c r="A15" i="25"/>
  <c r="E36" i="21"/>
  <c r="A59" i="21"/>
  <c r="A36" i="23"/>
  <c r="A36" i="22"/>
  <c r="A36" i="25"/>
  <c r="A36" i="24"/>
  <c r="A52" i="21"/>
  <c r="A29" i="23"/>
  <c r="A29" i="22"/>
  <c r="A29" i="24"/>
  <c r="A29" i="25"/>
  <c r="E29" i="21"/>
  <c r="A48" i="20"/>
  <c r="E25" i="20"/>
  <c r="A55" i="20"/>
  <c r="E32" i="20"/>
  <c r="A38" i="18"/>
  <c r="E15" i="18"/>
  <c r="I58" i="16"/>
  <c r="I35" i="16"/>
  <c r="M58" i="16"/>
  <c r="M35" i="16"/>
  <c r="E58" i="16"/>
  <c r="Q58" i="16"/>
  <c r="Q35" i="16"/>
  <c r="A41" i="19"/>
  <c r="E18" i="19"/>
  <c r="E30" i="17"/>
  <c r="A53" i="17"/>
  <c r="A52" i="20"/>
  <c r="E29" i="20"/>
  <c r="E27" i="20"/>
  <c r="A50" i="20"/>
  <c r="E21" i="17"/>
  <c r="A44" i="17"/>
  <c r="A51" i="17"/>
  <c r="E28" i="17"/>
  <c r="E23" i="19"/>
  <c r="A46" i="19"/>
  <c r="M54" i="16"/>
  <c r="Q31" i="16"/>
  <c r="I54" i="16"/>
  <c r="E54" i="16"/>
  <c r="M31" i="16"/>
  <c r="I31" i="16"/>
  <c r="Q54" i="16"/>
  <c r="E33" i="18"/>
  <c r="A56" i="18"/>
  <c r="A49" i="19"/>
  <c r="E26" i="19"/>
  <c r="A47" i="20"/>
  <c r="E24" i="20"/>
  <c r="E20" i="19"/>
  <c r="A43" i="19"/>
  <c r="E36" i="19"/>
  <c r="A59" i="19"/>
  <c r="A57" i="20"/>
  <c r="E34" i="20"/>
  <c r="E28" i="21"/>
  <c r="A28" i="23"/>
  <c r="A51" i="21"/>
  <c r="A28" i="25"/>
  <c r="A28" i="24"/>
  <c r="A28" i="22"/>
  <c r="A31" i="23"/>
  <c r="A54" i="21"/>
  <c r="E31" i="21"/>
  <c r="A31" i="22"/>
  <c r="A31" i="24"/>
  <c r="A31" i="25"/>
  <c r="Q48" i="16"/>
  <c r="Q25" i="16"/>
  <c r="I48" i="16"/>
  <c r="I25" i="16"/>
  <c r="M25" i="16"/>
  <c r="E48" i="16"/>
  <c r="M48" i="16"/>
  <c r="M38" i="16"/>
  <c r="E38" i="16"/>
  <c r="Q15" i="16"/>
  <c r="I38" i="16"/>
  <c r="M15" i="16"/>
  <c r="Q38" i="16"/>
  <c r="I15" i="16"/>
  <c r="A58" i="17"/>
  <c r="E35" i="17"/>
  <c r="E18" i="18"/>
  <c r="A41" i="18"/>
  <c r="I52" i="16"/>
  <c r="Q29" i="16"/>
  <c r="I29" i="16"/>
  <c r="M52" i="16"/>
  <c r="M29" i="16"/>
  <c r="E52" i="16"/>
  <c r="Q52" i="16"/>
  <c r="I44" i="16"/>
  <c r="Q44" i="16"/>
  <c r="E44" i="16"/>
  <c r="M21" i="16"/>
  <c r="Q21" i="16"/>
  <c r="I21" i="16"/>
  <c r="M44" i="16"/>
  <c r="A51" i="19"/>
  <c r="E28" i="19"/>
  <c r="Q56" i="16"/>
  <c r="M33" i="16"/>
  <c r="Q33" i="16"/>
  <c r="E56" i="16"/>
  <c r="M56" i="16"/>
  <c r="I33" i="16"/>
  <c r="I56" i="16"/>
  <c r="A47" i="17"/>
  <c r="E24" i="17"/>
  <c r="A59" i="20"/>
  <c r="E36" i="20"/>
  <c r="A42" i="17"/>
  <c r="E19" i="17"/>
  <c r="E16" i="19"/>
  <c r="A39" i="19"/>
  <c r="A45" i="19"/>
  <c r="E22" i="19"/>
  <c r="A57" i="19"/>
  <c r="E34" i="19"/>
  <c r="A40" i="20"/>
  <c r="E17" i="20"/>
  <c r="A18" i="23"/>
  <c r="A41" i="21"/>
  <c r="E18" i="21"/>
  <c r="A18" i="25"/>
  <c r="A18" i="22"/>
  <c r="A18" i="24"/>
  <c r="A22" i="23"/>
  <c r="A45" i="21"/>
  <c r="E22" i="21"/>
  <c r="A22" i="22"/>
  <c r="A22" i="24"/>
  <c r="A22" i="25"/>
  <c r="A58" i="21"/>
  <c r="A35" i="22"/>
  <c r="A35" i="24"/>
  <c r="A35" i="23"/>
  <c r="A35" i="25"/>
  <c r="E35" i="21"/>
  <c r="A20" i="25"/>
  <c r="A43" i="21"/>
  <c r="E20" i="21"/>
  <c r="A20" i="23"/>
  <c r="A20" i="22"/>
  <c r="A20" i="24"/>
  <c r="A17" i="25"/>
  <c r="A17" i="24"/>
  <c r="A40" i="21"/>
  <c r="A17" i="23"/>
  <c r="A17" i="22"/>
  <c r="E17" i="21"/>
  <c r="A56" i="21"/>
  <c r="A33" i="23"/>
  <c r="A33" i="22"/>
  <c r="A33" i="24"/>
  <c r="A33" i="25"/>
  <c r="E33" i="21"/>
  <c r="E25" i="18"/>
  <c r="A48" i="18"/>
  <c r="Q55" i="16"/>
  <c r="I55" i="16"/>
  <c r="Q32" i="16"/>
  <c r="E55" i="16"/>
  <c r="I32" i="16"/>
  <c r="M32" i="16"/>
  <c r="M55" i="16"/>
  <c r="E32" i="18"/>
  <c r="A55" i="18"/>
  <c r="E15" i="19"/>
  <c r="A38" i="19"/>
  <c r="A58" i="18"/>
  <c r="E35" i="18"/>
  <c r="E35" i="20"/>
  <c r="A58" i="20"/>
  <c r="E18" i="17"/>
  <c r="A41" i="17"/>
  <c r="I53" i="16"/>
  <c r="Q53" i="16"/>
  <c r="E53" i="16"/>
  <c r="M30" i="16"/>
  <c r="Q30" i="16"/>
  <c r="I30" i="16"/>
  <c r="M53" i="16"/>
  <c r="E30" i="18"/>
  <c r="A53" i="18"/>
  <c r="A52" i="19"/>
  <c r="E29" i="19"/>
  <c r="E27" i="19"/>
  <c r="A50" i="19"/>
  <c r="E27" i="17"/>
  <c r="A50" i="17"/>
  <c r="A44" i="20"/>
  <c r="E21" i="20"/>
  <c r="Q51" i="16"/>
  <c r="I51" i="16"/>
  <c r="Q28" i="16"/>
  <c r="I28" i="16"/>
  <c r="M51" i="16"/>
  <c r="E51" i="16"/>
  <c r="M28" i="16"/>
  <c r="A51" i="20"/>
  <c r="E28" i="20"/>
  <c r="M23" i="16"/>
  <c r="I23" i="16"/>
  <c r="I46" i="16"/>
  <c r="Q23" i="16"/>
  <c r="Q46" i="16"/>
  <c r="E46" i="16"/>
  <c r="M46" i="16"/>
  <c r="A54" i="18"/>
  <c r="E31" i="18"/>
  <c r="E31" i="20"/>
  <c r="A54" i="20"/>
  <c r="A56" i="17"/>
  <c r="E33" i="17"/>
  <c r="Q26" i="16"/>
  <c r="M26" i="16"/>
  <c r="Q49" i="16"/>
  <c r="M49" i="16"/>
  <c r="E49" i="16"/>
  <c r="I26" i="16"/>
  <c r="I49" i="16"/>
  <c r="E26" i="18"/>
  <c r="A49" i="18"/>
  <c r="A47" i="18"/>
  <c r="E24" i="18"/>
  <c r="Q43" i="16"/>
  <c r="Q20" i="16"/>
  <c r="M20" i="16"/>
  <c r="I20" i="16"/>
  <c r="I43" i="16"/>
  <c r="M43" i="16"/>
  <c r="E43" i="16"/>
  <c r="E20" i="17"/>
  <c r="A43" i="17"/>
  <c r="A39" i="20"/>
  <c r="E16" i="20"/>
  <c r="A32" i="25"/>
  <c r="E32" i="21"/>
  <c r="A32" i="23"/>
  <c r="A55" i="21"/>
  <c r="A32" i="22"/>
  <c r="A32" i="24"/>
  <c r="E25" i="19"/>
  <c r="A48" i="19"/>
  <c r="A46" i="18"/>
  <c r="E23" i="18"/>
  <c r="A59" i="18"/>
  <c r="E36" i="18"/>
  <c r="M42" i="16"/>
  <c r="Q19" i="16"/>
  <c r="I42" i="16"/>
  <c r="E42" i="16"/>
  <c r="M19" i="16"/>
  <c r="Q42" i="16"/>
  <c r="I19" i="16"/>
  <c r="E19" i="20"/>
  <c r="A42" i="20"/>
  <c r="A39" i="17"/>
  <c r="E16" i="17"/>
  <c r="M22" i="16"/>
  <c r="M45" i="16"/>
  <c r="Q45" i="16"/>
  <c r="Q22" i="16"/>
  <c r="I22" i="16"/>
  <c r="E45" i="16"/>
  <c r="I45" i="16"/>
  <c r="E22" i="18"/>
  <c r="A45" i="18"/>
  <c r="E34" i="17"/>
  <c r="A57" i="17"/>
  <c r="Q17" i="16"/>
  <c r="I17" i="16"/>
  <c r="Q40" i="16"/>
  <c r="I40" i="16"/>
  <c r="E40" i="16"/>
  <c r="M17" i="16"/>
  <c r="M40" i="16"/>
  <c r="A40" i="19"/>
  <c r="E17" i="19"/>
  <c r="A46" i="21"/>
  <c r="E23" i="21"/>
  <c r="A23" i="25"/>
  <c r="A23" i="23"/>
  <c r="A23" i="22"/>
  <c r="A23" i="24"/>
  <c r="A42" i="21"/>
  <c r="E19" i="21"/>
  <c r="A19" i="23"/>
  <c r="A19" i="22"/>
  <c r="A19" i="24"/>
  <c r="A19" i="25"/>
  <c r="A39" i="21"/>
  <c r="E16" i="21"/>
  <c r="A16" i="23"/>
  <c r="A16" i="22"/>
  <c r="A16" i="24"/>
  <c r="A16" i="25"/>
  <c r="A26" i="23"/>
  <c r="A49" i="21"/>
  <c r="E26" i="21"/>
  <c r="A26" i="22"/>
  <c r="A26" i="24"/>
  <c r="A26" i="25"/>
  <c r="A21" i="25"/>
  <c r="A21" i="24"/>
  <c r="A44" i="21"/>
  <c r="A21" i="23"/>
  <c r="A21" i="22"/>
  <c r="E21" i="21"/>
  <c r="A33" i="26"/>
  <c r="A29" i="26"/>
  <c r="A25" i="26"/>
  <c r="A21" i="26"/>
  <c r="A17" i="26"/>
  <c r="A36" i="26"/>
  <c r="A32" i="26"/>
  <c r="A28" i="26"/>
  <c r="A24" i="26"/>
  <c r="A20" i="26"/>
  <c r="A16" i="26"/>
  <c r="A34" i="26"/>
  <c r="A26" i="26"/>
  <c r="A18" i="26"/>
  <c r="A35" i="26"/>
  <c r="A31" i="26"/>
  <c r="A23" i="26"/>
  <c r="A15" i="26"/>
  <c r="A27" i="26"/>
  <c r="A30" i="26"/>
  <c r="A22" i="26"/>
  <c r="A19" i="26"/>
  <c r="E25" i="17"/>
  <c r="A48" i="17"/>
  <c r="A55" i="19"/>
  <c r="E32" i="19"/>
  <c r="E15" i="20"/>
  <c r="A38" i="20"/>
  <c r="E35" i="19"/>
  <c r="A58" i="19"/>
  <c r="A41" i="20"/>
  <c r="E18" i="20"/>
  <c r="A53" i="20"/>
  <c r="E30" i="20"/>
  <c r="E29" i="18"/>
  <c r="A52" i="18"/>
  <c r="M50" i="16"/>
  <c r="M27" i="16"/>
  <c r="I50" i="16"/>
  <c r="I27" i="16"/>
  <c r="Q27" i="16"/>
  <c r="E50" i="16"/>
  <c r="Q50" i="16"/>
  <c r="E21" i="18"/>
  <c r="A44" i="18"/>
  <c r="A51" i="18"/>
  <c r="E28" i="18"/>
  <c r="E23" i="20"/>
  <c r="A46" i="20"/>
  <c r="E31" i="19"/>
  <c r="A54" i="19"/>
  <c r="E33" i="19"/>
  <c r="A56" i="19"/>
  <c r="E26" i="17"/>
  <c r="A49" i="17"/>
  <c r="E24" i="19"/>
  <c r="A47" i="19"/>
  <c r="A43" i="20"/>
  <c r="E20" i="20"/>
  <c r="E33" i="1"/>
  <c r="E34" i="1" s="1"/>
  <c r="E35" i="1" s="1"/>
  <c r="E60" i="1"/>
  <c r="E61" i="1" s="1"/>
  <c r="E49" i="1"/>
  <c r="E50" i="1" s="1"/>
  <c r="Q43" i="14"/>
  <c r="M43" i="14"/>
  <c r="I43" i="14"/>
  <c r="Q43" i="13"/>
  <c r="M43" i="13"/>
  <c r="I43" i="13"/>
  <c r="A43" i="10"/>
  <c r="N10" i="32"/>
  <c r="T7" i="36" s="1"/>
  <c r="A43" i="13"/>
  <c r="R10" i="32"/>
  <c r="AF7" i="36" s="1"/>
  <c r="O10" i="32"/>
  <c r="AC7" i="36" s="1"/>
  <c r="Q13" i="32"/>
  <c r="AE10" i="36" s="1"/>
  <c r="R12" i="32"/>
  <c r="AF9" i="36" s="1"/>
  <c r="P12" i="32"/>
  <c r="AD9" i="36" s="1"/>
  <c r="N13" i="32"/>
  <c r="T10" i="36" s="1"/>
  <c r="N12" i="32"/>
  <c r="T9" i="36" s="1"/>
  <c r="Q10" i="32"/>
  <c r="AE7" i="36" s="1"/>
  <c r="I43" i="10"/>
  <c r="E43" i="13"/>
  <c r="Q43" i="10"/>
  <c r="A43" i="14"/>
  <c r="E43" i="10"/>
  <c r="R13" i="32"/>
  <c r="AF10" i="36" s="1"/>
  <c r="P13" i="32"/>
  <c r="AD10" i="36" s="1"/>
  <c r="P10" i="32"/>
  <c r="AD7" i="36" s="1"/>
  <c r="E68" i="31"/>
  <c r="E68" i="25"/>
  <c r="E68" i="20"/>
  <c r="E47" i="15"/>
  <c r="E25" i="9"/>
  <c r="I31" i="7"/>
  <c r="E76" i="24"/>
  <c r="E76" i="29"/>
  <c r="E76" i="19"/>
  <c r="E55" i="14"/>
  <c r="E33" i="7"/>
  <c r="E68" i="29"/>
  <c r="E68" i="19"/>
  <c r="E68" i="24"/>
  <c r="E25" i="7"/>
  <c r="E47" i="14"/>
  <c r="O13" i="32"/>
  <c r="AC10" i="36" s="1"/>
  <c r="E73" i="29"/>
  <c r="E73" i="19"/>
  <c r="E73" i="24"/>
  <c r="E52" i="14"/>
  <c r="E30" i="7"/>
  <c r="O12" i="32"/>
  <c r="AC9" i="36" s="1"/>
  <c r="E25" i="6"/>
  <c r="E68" i="28"/>
  <c r="E68" i="23"/>
  <c r="E68" i="18"/>
  <c r="E47" i="13"/>
  <c r="E76" i="28"/>
  <c r="E76" i="18"/>
  <c r="E76" i="23"/>
  <c r="E55" i="13"/>
  <c r="E33" i="6"/>
  <c r="I74" i="18"/>
  <c r="E73" i="28"/>
  <c r="E73" i="23"/>
  <c r="E73" i="18"/>
  <c r="E52" i="13"/>
  <c r="E30" i="6"/>
  <c r="E73" i="16"/>
  <c r="E73" i="21"/>
  <c r="E73" i="26"/>
  <c r="E52" i="10"/>
  <c r="E74" i="26"/>
  <c r="E74" i="16"/>
  <c r="E74" i="21"/>
  <c r="E53" i="10"/>
  <c r="E68" i="21"/>
  <c r="E68" i="16"/>
  <c r="E68" i="26"/>
  <c r="E47" i="10"/>
  <c r="E76" i="16"/>
  <c r="E76" i="26"/>
  <c r="E76"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5" i="12" s="1"/>
  <c r="E33" i="4"/>
  <c r="E30" i="4"/>
  <c r="A61" i="21"/>
  <c r="E91" i="1"/>
  <c r="E80" i="1"/>
  <c r="E69" i="1"/>
  <c r="E93" i="1"/>
  <c r="E94" i="1" s="1"/>
  <c r="E82" i="1"/>
  <c r="E83" i="1" s="1"/>
  <c r="E71" i="1"/>
  <c r="E72" i="1" s="1"/>
  <c r="F32" i="1"/>
  <c r="G32" i="1" s="1"/>
  <c r="H32" i="1" s="1"/>
  <c r="I32" i="1" s="1"/>
  <c r="A83" i="21"/>
  <c r="I31" i="4" l="1"/>
  <c r="I75" i="16"/>
  <c r="I32" i="4"/>
  <c r="I75" i="23"/>
  <c r="I75" i="18"/>
  <c r="I54" i="13"/>
  <c r="I75" i="28"/>
  <c r="I32" i="6"/>
  <c r="I65" i="5"/>
  <c r="I26" i="5"/>
  <c r="I48" i="15"/>
  <c r="I69" i="20"/>
  <c r="I69" i="31"/>
  <c r="I69" i="25"/>
  <c r="I26" i="9"/>
  <c r="I48" i="12"/>
  <c r="I69" i="22"/>
  <c r="I69" i="27"/>
  <c r="I69" i="17"/>
  <c r="I54" i="15"/>
  <c r="I75" i="31"/>
  <c r="I75" i="25"/>
  <c r="I32" i="9"/>
  <c r="I75" i="20"/>
  <c r="I26" i="6"/>
  <c r="I69" i="23"/>
  <c r="I69" i="18"/>
  <c r="I48" i="13"/>
  <c r="I69" i="28"/>
  <c r="I75" i="24"/>
  <c r="I75" i="19"/>
  <c r="I54" i="14"/>
  <c r="I32" i="7"/>
  <c r="I75" i="29"/>
  <c r="M32" i="6"/>
  <c r="M75" i="23"/>
  <c r="M75" i="18"/>
  <c r="M54" i="13"/>
  <c r="M75" i="28"/>
  <c r="I69" i="24"/>
  <c r="I48" i="14"/>
  <c r="I69" i="29"/>
  <c r="I26" i="7"/>
  <c r="I69" i="19"/>
  <c r="I26" i="4"/>
  <c r="I69" i="26"/>
  <c r="I69" i="21"/>
  <c r="I69" i="16"/>
  <c r="I48" i="10"/>
  <c r="I74" i="5"/>
  <c r="I53" i="5"/>
  <c r="I68" i="27"/>
  <c r="I73" i="31"/>
  <c r="I73" i="20"/>
  <c r="I73" i="25"/>
  <c r="I52" i="15"/>
  <c r="I30" i="9"/>
  <c r="I76" i="20"/>
  <c r="I76" i="25"/>
  <c r="I76" i="31"/>
  <c r="I55" i="15"/>
  <c r="I33" i="9"/>
  <c r="E83" i="18"/>
  <c r="M83" i="18"/>
  <c r="Q83" i="18"/>
  <c r="I83" i="18"/>
  <c r="Q83" i="17"/>
  <c r="I83" i="17"/>
  <c r="M83" i="17"/>
  <c r="E83" i="17"/>
  <c r="A83" i="26"/>
  <c r="A81" i="26"/>
  <c r="I81" i="24"/>
  <c r="E81" i="24"/>
  <c r="M81" i="24"/>
  <c r="Q81" i="24"/>
  <c r="I62" i="14"/>
  <c r="E62" i="14"/>
  <c r="Q62" i="14"/>
  <c r="M62" i="14"/>
  <c r="Q62" i="13"/>
  <c r="M62" i="13"/>
  <c r="E62" i="13"/>
  <c r="I62" i="13"/>
  <c r="I81" i="22"/>
  <c r="E81" i="22"/>
  <c r="Q81" i="22"/>
  <c r="M81" i="22"/>
  <c r="I83" i="20"/>
  <c r="M83" i="20"/>
  <c r="E83" i="20"/>
  <c r="Q83" i="20"/>
  <c r="E83" i="19"/>
  <c r="I83" i="19"/>
  <c r="M83" i="19"/>
  <c r="Q83" i="19"/>
  <c r="A83" i="23"/>
  <c r="A83" i="25"/>
  <c r="E83" i="21"/>
  <c r="Q83" i="21"/>
  <c r="A83" i="22"/>
  <c r="M83" i="21"/>
  <c r="A83" i="24"/>
  <c r="I83" i="21"/>
  <c r="I62" i="15"/>
  <c r="M62" i="15"/>
  <c r="Q62" i="15"/>
  <c r="E62" i="15"/>
  <c r="E62" i="12"/>
  <c r="Q62" i="12"/>
  <c r="M62" i="12"/>
  <c r="I62" i="12"/>
  <c r="I81" i="25"/>
  <c r="M81" i="25"/>
  <c r="Q81" i="25"/>
  <c r="E81" i="25"/>
  <c r="E81" i="23"/>
  <c r="I81" i="23"/>
  <c r="M81" i="23"/>
  <c r="Q81" i="23"/>
  <c r="A62" i="23"/>
  <c r="A62" i="22"/>
  <c r="A62" i="25"/>
  <c r="A62" i="24"/>
  <c r="M62" i="26"/>
  <c r="A62" i="28"/>
  <c r="A62" i="27"/>
  <c r="A62" i="31"/>
  <c r="A62" i="29"/>
  <c r="Q62" i="26"/>
  <c r="E62" i="26"/>
  <c r="I62" i="26"/>
  <c r="Q19" i="32"/>
  <c r="AE16" i="36" s="1"/>
  <c r="M64" i="20"/>
  <c r="Q64" i="20"/>
  <c r="R19" i="32"/>
  <c r="AF16" i="36" s="1"/>
  <c r="N19" i="32"/>
  <c r="T16" i="36" s="1"/>
  <c r="A64" i="20"/>
  <c r="E64" i="20"/>
  <c r="I64" i="20"/>
  <c r="O19" i="32"/>
  <c r="AC16" i="36" s="1"/>
  <c r="P19" i="32"/>
  <c r="AD16" i="36" s="1"/>
  <c r="A61" i="23"/>
  <c r="A61" i="24"/>
  <c r="A61" i="25"/>
  <c r="A61"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9" i="17"/>
  <c r="I49" i="17"/>
  <c r="M49" i="17"/>
  <c r="M26" i="17"/>
  <c r="Q49" i="17"/>
  <c r="I26" i="17"/>
  <c r="M41" i="20"/>
  <c r="Q41" i="20"/>
  <c r="M18" i="20"/>
  <c r="I18" i="20"/>
  <c r="I41" i="20"/>
  <c r="E41" i="20"/>
  <c r="Q18" i="20"/>
  <c r="A16" i="31"/>
  <c r="A16" i="29"/>
  <c r="A16" i="28"/>
  <c r="A16" i="27"/>
  <c r="A39" i="26"/>
  <c r="E16" i="26"/>
  <c r="A44" i="25"/>
  <c r="E21" i="25"/>
  <c r="E39" i="21"/>
  <c r="I16" i="21"/>
  <c r="M16" i="21"/>
  <c r="I39" i="21"/>
  <c r="M39" i="21"/>
  <c r="Q16" i="21"/>
  <c r="Q39" i="21"/>
  <c r="E46" i="21"/>
  <c r="Q23" i="21"/>
  <c r="I46" i="21"/>
  <c r="M46" i="21"/>
  <c r="Q46" i="21"/>
  <c r="I23" i="21"/>
  <c r="M23" i="21"/>
  <c r="Q45" i="18"/>
  <c r="I45" i="18"/>
  <c r="M22" i="18"/>
  <c r="Q22" i="18"/>
  <c r="E45" i="18"/>
  <c r="M45" i="18"/>
  <c r="I22" i="18"/>
  <c r="E47" i="18"/>
  <c r="Q47" i="18"/>
  <c r="I47" i="18"/>
  <c r="M24" i="18"/>
  <c r="I24" i="18"/>
  <c r="Q24" i="18"/>
  <c r="M47" i="18"/>
  <c r="Q54" i="20"/>
  <c r="M31" i="20"/>
  <c r="E54" i="20"/>
  <c r="Q31" i="20"/>
  <c r="I54" i="20"/>
  <c r="I31" i="20"/>
  <c r="M54" i="20"/>
  <c r="E51" i="20"/>
  <c r="I28" i="20"/>
  <c r="M28" i="20"/>
  <c r="I51" i="20"/>
  <c r="M51" i="20"/>
  <c r="Q51" i="20"/>
  <c r="Q28" i="20"/>
  <c r="M53" i="18"/>
  <c r="I53" i="18"/>
  <c r="M30" i="18"/>
  <c r="Q30" i="18"/>
  <c r="E53" i="18"/>
  <c r="Q53" i="18"/>
  <c r="I30" i="18"/>
  <c r="A56" i="23"/>
  <c r="E33" i="23"/>
  <c r="Q43" i="21"/>
  <c r="Q20" i="21"/>
  <c r="I20" i="21"/>
  <c r="E43" i="21"/>
  <c r="M43" i="21"/>
  <c r="M20" i="21"/>
  <c r="I43" i="21"/>
  <c r="M45" i="21"/>
  <c r="E45" i="21"/>
  <c r="Q45" i="21"/>
  <c r="M22" i="21"/>
  <c r="Q22" i="21"/>
  <c r="I22" i="21"/>
  <c r="I45" i="21"/>
  <c r="A54" i="24"/>
  <c r="E31" i="24"/>
  <c r="Q57" i="20"/>
  <c r="I57" i="20"/>
  <c r="I34" i="20"/>
  <c r="Q34" i="20"/>
  <c r="E57" i="20"/>
  <c r="M34" i="20"/>
  <c r="M57" i="20"/>
  <c r="E49" i="19"/>
  <c r="Q49" i="19"/>
  <c r="I49" i="19"/>
  <c r="I26" i="19"/>
  <c r="M26" i="19"/>
  <c r="Q26" i="19"/>
  <c r="M49" i="19"/>
  <c r="M27" i="20"/>
  <c r="E50" i="20"/>
  <c r="Q27" i="20"/>
  <c r="I50" i="20"/>
  <c r="Q50" i="20"/>
  <c r="I27" i="20"/>
  <c r="M50" i="20"/>
  <c r="I38" i="18"/>
  <c r="I15" i="18"/>
  <c r="E38" i="18"/>
  <c r="M38" i="18"/>
  <c r="Q15" i="18"/>
  <c r="M15" i="18"/>
  <c r="Q38" i="18"/>
  <c r="M25" i="20"/>
  <c r="M48" i="20"/>
  <c r="I48" i="20"/>
  <c r="Q25" i="20"/>
  <c r="Q48" i="20"/>
  <c r="E48" i="20"/>
  <c r="I25" i="20"/>
  <c r="E29" i="22"/>
  <c r="A52" i="22"/>
  <c r="E36" i="25"/>
  <c r="A59" i="25"/>
  <c r="I38" i="21"/>
  <c r="I15" i="21"/>
  <c r="M15" i="21"/>
  <c r="E38" i="21"/>
  <c r="M38" i="21"/>
  <c r="Q15" i="21"/>
  <c r="Q38" i="21"/>
  <c r="E30" i="23"/>
  <c r="A53" i="23"/>
  <c r="I30" i="21"/>
  <c r="Q53" i="21"/>
  <c r="M30" i="21"/>
  <c r="M53" i="21"/>
  <c r="I53" i="21"/>
  <c r="Q30" i="21"/>
  <c r="E53" i="21"/>
  <c r="A57" i="25"/>
  <c r="E34" i="25"/>
  <c r="A50" i="24"/>
  <c r="E27" i="24"/>
  <c r="E57" i="18"/>
  <c r="Q57" i="18"/>
  <c r="M34" i="18"/>
  <c r="M57" i="18"/>
  <c r="I34" i="18"/>
  <c r="I57" i="18"/>
  <c r="Q34" i="18"/>
  <c r="E49" i="20"/>
  <c r="Q49" i="20"/>
  <c r="M26" i="20"/>
  <c r="I26" i="20"/>
  <c r="I49" i="20"/>
  <c r="M49" i="20"/>
  <c r="Q26" i="20"/>
  <c r="I54" i="17"/>
  <c r="Q54" i="17"/>
  <c r="I31" i="17"/>
  <c r="M54" i="17"/>
  <c r="Q31" i="17"/>
  <c r="E54" i="17"/>
  <c r="M31" i="17"/>
  <c r="I48" i="21"/>
  <c r="Q48" i="21"/>
  <c r="Q25" i="21"/>
  <c r="I25" i="21"/>
  <c r="E48" i="21"/>
  <c r="M25" i="21"/>
  <c r="M48" i="21"/>
  <c r="A47" i="25"/>
  <c r="E24" i="25"/>
  <c r="I43" i="20"/>
  <c r="M20" i="20"/>
  <c r="Q20" i="20"/>
  <c r="Q43" i="20"/>
  <c r="M43" i="20"/>
  <c r="I20" i="20"/>
  <c r="E43" i="20"/>
  <c r="E51" i="18"/>
  <c r="M28" i="18"/>
  <c r="M51" i="18"/>
  <c r="I28" i="18"/>
  <c r="Q28" i="18"/>
  <c r="I51" i="18"/>
  <c r="Q51" i="18"/>
  <c r="Q58" i="19"/>
  <c r="I35" i="19"/>
  <c r="Q35" i="19"/>
  <c r="E58" i="19"/>
  <c r="I58" i="19"/>
  <c r="M35" i="19"/>
  <c r="M58" i="19"/>
  <c r="A42" i="26"/>
  <c r="A19" i="31"/>
  <c r="A19" i="29"/>
  <c r="E19" i="26"/>
  <c r="A19" i="28"/>
  <c r="A19" i="27"/>
  <c r="A15" i="31"/>
  <c r="A15" i="29"/>
  <c r="E15" i="26"/>
  <c r="A15" i="28"/>
  <c r="A15" i="27"/>
  <c r="A38" i="26"/>
  <c r="A41" i="26"/>
  <c r="A18" i="31"/>
  <c r="A18" i="28"/>
  <c r="A18" i="27"/>
  <c r="E18" i="26"/>
  <c r="A18" i="29"/>
  <c r="A20" i="31"/>
  <c r="A20" i="29"/>
  <c r="A20" i="28"/>
  <c r="A20" i="27"/>
  <c r="A43" i="26"/>
  <c r="E20" i="26"/>
  <c r="A36" i="31"/>
  <c r="A36" i="29"/>
  <c r="A36" i="28"/>
  <c r="A36" i="27"/>
  <c r="A59" i="26"/>
  <c r="E36" i="26"/>
  <c r="A29" i="28"/>
  <c r="A29" i="27"/>
  <c r="A52" i="26"/>
  <c r="A29" i="31"/>
  <c r="A29" i="29"/>
  <c r="E29" i="26"/>
  <c r="E21" i="23"/>
  <c r="A44" i="23"/>
  <c r="A49" i="25"/>
  <c r="E26" i="25"/>
  <c r="M49" i="21"/>
  <c r="E49" i="21"/>
  <c r="M26" i="21"/>
  <c r="Q26" i="21"/>
  <c r="I49" i="21"/>
  <c r="Q49" i="21"/>
  <c r="I26" i="21"/>
  <c r="E16" i="22"/>
  <c r="A39" i="22"/>
  <c r="E19" i="25"/>
  <c r="A42" i="25"/>
  <c r="A46" i="23"/>
  <c r="E23" i="23"/>
  <c r="Q59" i="18"/>
  <c r="E59" i="18"/>
  <c r="I36" i="18"/>
  <c r="Q36" i="18"/>
  <c r="M59" i="18"/>
  <c r="M36" i="18"/>
  <c r="I59" i="18"/>
  <c r="A55" i="23"/>
  <c r="E32" i="23"/>
  <c r="Q16" i="20"/>
  <c r="Q39" i="20"/>
  <c r="M39" i="20"/>
  <c r="I16" i="20"/>
  <c r="E39" i="20"/>
  <c r="M16" i="20"/>
  <c r="I39" i="20"/>
  <c r="I26" i="18"/>
  <c r="Q49" i="18"/>
  <c r="I49" i="18"/>
  <c r="M26" i="18"/>
  <c r="Q26" i="18"/>
  <c r="E49" i="18"/>
  <c r="M49" i="18"/>
  <c r="I44" i="20"/>
  <c r="M44" i="20"/>
  <c r="Q44" i="20"/>
  <c r="E44" i="20"/>
  <c r="I21" i="20"/>
  <c r="M21" i="20"/>
  <c r="Q21" i="20"/>
  <c r="Q18" i="17"/>
  <c r="M18" i="17"/>
  <c r="I18" i="17"/>
  <c r="E41" i="17"/>
  <c r="I41" i="17"/>
  <c r="M41" i="17"/>
  <c r="Q41" i="17"/>
  <c r="M55" i="18"/>
  <c r="E55" i="18"/>
  <c r="M32" i="18"/>
  <c r="Q55" i="18"/>
  <c r="I55" i="18"/>
  <c r="Q32" i="18"/>
  <c r="I32" i="18"/>
  <c r="A56" i="25"/>
  <c r="E33" i="25"/>
  <c r="Q56" i="21"/>
  <c r="E56" i="21"/>
  <c r="I33" i="21"/>
  <c r="M33" i="21"/>
  <c r="M56" i="21"/>
  <c r="I56" i="21"/>
  <c r="Q33" i="21"/>
  <c r="I40" i="21"/>
  <c r="M17" i="21"/>
  <c r="M40" i="21"/>
  <c r="Q40" i="21"/>
  <c r="Q17" i="21"/>
  <c r="I17" i="21"/>
  <c r="E40" i="21"/>
  <c r="A43" i="22"/>
  <c r="E20" i="22"/>
  <c r="A43" i="25"/>
  <c r="E20" i="25"/>
  <c r="A58" i="24"/>
  <c r="E35" i="24"/>
  <c r="A45" i="24"/>
  <c r="E22" i="24"/>
  <c r="A45" i="23"/>
  <c r="E22" i="23"/>
  <c r="M17" i="20"/>
  <c r="M40" i="20"/>
  <c r="Q17" i="20"/>
  <c r="I40" i="20"/>
  <c r="Q40" i="20"/>
  <c r="E40" i="20"/>
  <c r="I17" i="20"/>
  <c r="M45" i="19"/>
  <c r="Q45" i="19"/>
  <c r="I45" i="19"/>
  <c r="I22" i="19"/>
  <c r="Q22" i="19"/>
  <c r="M22" i="19"/>
  <c r="E45" i="19"/>
  <c r="M42" i="17"/>
  <c r="E42" i="17"/>
  <c r="Q19" i="17"/>
  <c r="M19" i="17"/>
  <c r="I42" i="17"/>
  <c r="I19" i="17"/>
  <c r="Q42" i="17"/>
  <c r="I47" i="17"/>
  <c r="M24" i="17"/>
  <c r="M47" i="17"/>
  <c r="Q24" i="17"/>
  <c r="E47" i="17"/>
  <c r="I24" i="17"/>
  <c r="Q47" i="17"/>
  <c r="I18" i="18"/>
  <c r="Q18" i="18"/>
  <c r="E41" i="18"/>
  <c r="M18" i="18"/>
  <c r="I41" i="18"/>
  <c r="M41" i="18"/>
  <c r="Q41" i="18"/>
  <c r="A54" i="22"/>
  <c r="E31" i="22"/>
  <c r="A51" i="22"/>
  <c r="E28" i="22"/>
  <c r="E28" i="23"/>
  <c r="A51" i="23"/>
  <c r="Q59" i="19"/>
  <c r="M36" i="19"/>
  <c r="Q36" i="19"/>
  <c r="I59" i="19"/>
  <c r="M59" i="19"/>
  <c r="E59" i="19"/>
  <c r="I36" i="19"/>
  <c r="I56" i="18"/>
  <c r="M56" i="18"/>
  <c r="E56" i="18"/>
  <c r="Q33" i="18"/>
  <c r="I33" i="18"/>
  <c r="Q56" i="18"/>
  <c r="M33" i="18"/>
  <c r="Q51" i="17"/>
  <c r="M51" i="17"/>
  <c r="I28" i="17"/>
  <c r="M28" i="17"/>
  <c r="I51" i="17"/>
  <c r="Q28" i="17"/>
  <c r="E51" i="17"/>
  <c r="A52" i="23"/>
  <c r="E29" i="23"/>
  <c r="A59" i="22"/>
  <c r="E36" i="22"/>
  <c r="E15" i="25"/>
  <c r="A38" i="25"/>
  <c r="A53" i="24"/>
  <c r="E30" i="24"/>
  <c r="A57" i="23"/>
  <c r="E34" i="23"/>
  <c r="M57" i="21"/>
  <c r="M34" i="21"/>
  <c r="E57" i="21"/>
  <c r="I34" i="21"/>
  <c r="I57" i="21"/>
  <c r="Q57" i="21"/>
  <c r="Q34" i="21"/>
  <c r="E27" i="22"/>
  <c r="A50" i="22"/>
  <c r="Q40" i="17"/>
  <c r="I17" i="17"/>
  <c r="M40" i="17"/>
  <c r="E40" i="17"/>
  <c r="Q17" i="17"/>
  <c r="I40" i="17"/>
  <c r="M17" i="17"/>
  <c r="Q45" i="20"/>
  <c r="M45" i="20"/>
  <c r="I22" i="20"/>
  <c r="I45" i="20"/>
  <c r="E45" i="20"/>
  <c r="Q22" i="20"/>
  <c r="M22" i="20"/>
  <c r="I59" i="17"/>
  <c r="M59" i="17"/>
  <c r="E59" i="17"/>
  <c r="M36" i="17"/>
  <c r="Q59" i="17"/>
  <c r="I36" i="17"/>
  <c r="Q36" i="17"/>
  <c r="E55" i="17"/>
  <c r="Q32" i="17"/>
  <c r="Q55" i="17"/>
  <c r="M55" i="17"/>
  <c r="I32" i="17"/>
  <c r="M32" i="17"/>
  <c r="I55" i="17"/>
  <c r="E25" i="24"/>
  <c r="A48" i="24"/>
  <c r="A47" i="22"/>
  <c r="E24" i="22"/>
  <c r="Q47" i="21"/>
  <c r="Q24" i="21"/>
  <c r="I24" i="21"/>
  <c r="E47" i="21"/>
  <c r="M47" i="21"/>
  <c r="I47" i="21"/>
  <c r="M24" i="21"/>
  <c r="I45" i="17"/>
  <c r="Q45" i="17"/>
  <c r="M22" i="17"/>
  <c r="I22" i="17"/>
  <c r="Q22" i="17"/>
  <c r="M45" i="17"/>
  <c r="E45" i="17"/>
  <c r="Q54" i="19"/>
  <c r="M31" i="19"/>
  <c r="Q31" i="19"/>
  <c r="I54" i="19"/>
  <c r="M54" i="19"/>
  <c r="E54" i="19"/>
  <c r="I31" i="19"/>
  <c r="A35" i="31"/>
  <c r="A35" i="29"/>
  <c r="A58" i="26"/>
  <c r="E35" i="26"/>
  <c r="A35" i="28"/>
  <c r="A35" i="27"/>
  <c r="A25" i="28"/>
  <c r="A25" i="27"/>
  <c r="A48" i="26"/>
  <c r="A25" i="31"/>
  <c r="A25" i="29"/>
  <c r="E25" i="26"/>
  <c r="A42" i="23"/>
  <c r="E19" i="23"/>
  <c r="I25" i="19"/>
  <c r="E48" i="19"/>
  <c r="M48" i="19"/>
  <c r="M25" i="19"/>
  <c r="I48" i="19"/>
  <c r="Q48" i="19"/>
  <c r="Q25" i="19"/>
  <c r="E17" i="23"/>
  <c r="A40" i="23"/>
  <c r="A58" i="23"/>
  <c r="E35" i="23"/>
  <c r="A41" i="25"/>
  <c r="E18" i="25"/>
  <c r="Q51" i="21"/>
  <c r="E51" i="21"/>
  <c r="I28" i="21"/>
  <c r="M28" i="21"/>
  <c r="I51" i="21"/>
  <c r="M51" i="21"/>
  <c r="Q28" i="21"/>
  <c r="Q53" i="17"/>
  <c r="M53" i="17"/>
  <c r="I53" i="17"/>
  <c r="Q30" i="17"/>
  <c r="M30" i="17"/>
  <c r="E53" i="17"/>
  <c r="I30" i="17"/>
  <c r="I47" i="19"/>
  <c r="E47" i="19"/>
  <c r="Q47" i="19"/>
  <c r="I24" i="19"/>
  <c r="Q24" i="19"/>
  <c r="M47" i="19"/>
  <c r="M24" i="19"/>
  <c r="E56" i="19"/>
  <c r="M56" i="19"/>
  <c r="M33" i="19"/>
  <c r="I56" i="19"/>
  <c r="Q56" i="19"/>
  <c r="Q33" i="19"/>
  <c r="I33" i="19"/>
  <c r="E46" i="20"/>
  <c r="I46" i="20"/>
  <c r="M23" i="20"/>
  <c r="Q46" i="20"/>
  <c r="Q23" i="20"/>
  <c r="M46" i="20"/>
  <c r="I23" i="20"/>
  <c r="E44" i="18"/>
  <c r="M44" i="18"/>
  <c r="M21" i="18"/>
  <c r="Q44" i="18"/>
  <c r="I21" i="18"/>
  <c r="I44" i="18"/>
  <c r="Q21" i="18"/>
  <c r="E53" i="20"/>
  <c r="M30" i="20"/>
  <c r="M53" i="20"/>
  <c r="Q30" i="20"/>
  <c r="I30" i="20"/>
  <c r="I53" i="20"/>
  <c r="Q53" i="20"/>
  <c r="M55" i="19"/>
  <c r="I32" i="19"/>
  <c r="Q32" i="19"/>
  <c r="I55" i="19"/>
  <c r="Q55" i="19"/>
  <c r="E55" i="19"/>
  <c r="M32" i="19"/>
  <c r="A22" i="31"/>
  <c r="A22" i="29"/>
  <c r="A45" i="26"/>
  <c r="E22" i="26"/>
  <c r="A22" i="28"/>
  <c r="A22" i="27"/>
  <c r="A23" i="31"/>
  <c r="A23" i="29"/>
  <c r="A23" i="28"/>
  <c r="A23" i="27"/>
  <c r="A46" i="26"/>
  <c r="E23" i="26"/>
  <c r="A49" i="26"/>
  <c r="E26" i="26"/>
  <c r="A26" i="31"/>
  <c r="A26" i="29"/>
  <c r="A26" i="28"/>
  <c r="A26" i="27"/>
  <c r="A47" i="26"/>
  <c r="A24" i="31"/>
  <c r="A24" i="29"/>
  <c r="A24" i="28"/>
  <c r="A24" i="27"/>
  <c r="E24" i="26"/>
  <c r="A17" i="28"/>
  <c r="A17" i="27"/>
  <c r="A17" i="31"/>
  <c r="A40" i="26"/>
  <c r="A17" i="29"/>
  <c r="E17" i="26"/>
  <c r="A56" i="26"/>
  <c r="A33" i="28"/>
  <c r="A33" i="27"/>
  <c r="A33" i="31"/>
  <c r="A33" i="29"/>
  <c r="E33" i="26"/>
  <c r="I21" i="21"/>
  <c r="I44" i="21"/>
  <c r="M44" i="21"/>
  <c r="Q21" i="21"/>
  <c r="E44" i="21"/>
  <c r="Q44" i="21"/>
  <c r="M21" i="21"/>
  <c r="A49" i="24"/>
  <c r="E26" i="24"/>
  <c r="A49" i="23"/>
  <c r="E26" i="23"/>
  <c r="E16" i="23"/>
  <c r="A39" i="23"/>
  <c r="A42" i="24"/>
  <c r="E19" i="24"/>
  <c r="Q42" i="21"/>
  <c r="I42" i="21"/>
  <c r="E42" i="21"/>
  <c r="I19" i="21"/>
  <c r="M42" i="21"/>
  <c r="Q19" i="21"/>
  <c r="M19" i="21"/>
  <c r="E23" i="25"/>
  <c r="A46" i="25"/>
  <c r="M17" i="19"/>
  <c r="Q17" i="19"/>
  <c r="Q40" i="19"/>
  <c r="I40" i="19"/>
  <c r="I17" i="19"/>
  <c r="E40" i="19"/>
  <c r="M40" i="19"/>
  <c r="Q34" i="17"/>
  <c r="I34" i="17"/>
  <c r="E57" i="17"/>
  <c r="I57" i="17"/>
  <c r="Q57" i="17"/>
  <c r="M57" i="17"/>
  <c r="M34" i="17"/>
  <c r="E39" i="17"/>
  <c r="M39" i="17"/>
  <c r="M16" i="17"/>
  <c r="Q16" i="17"/>
  <c r="I39" i="17"/>
  <c r="I16" i="17"/>
  <c r="Q39" i="17"/>
  <c r="A55" i="24"/>
  <c r="E32" i="24"/>
  <c r="Q43" i="17"/>
  <c r="Q20" i="17"/>
  <c r="E43" i="17"/>
  <c r="I20" i="17"/>
  <c r="M20" i="17"/>
  <c r="M43" i="17"/>
  <c r="I43" i="17"/>
  <c r="E50" i="17"/>
  <c r="I27" i="17"/>
  <c r="M27" i="17"/>
  <c r="M50" i="17"/>
  <c r="Q50" i="17"/>
  <c r="Q27" i="17"/>
  <c r="I50" i="17"/>
  <c r="Q58" i="18"/>
  <c r="Q35" i="18"/>
  <c r="M35" i="18"/>
  <c r="M58" i="18"/>
  <c r="E58" i="18"/>
  <c r="I58" i="18"/>
  <c r="I35" i="18"/>
  <c r="I48" i="18"/>
  <c r="Q48" i="18"/>
  <c r="E48" i="18"/>
  <c r="I25" i="18"/>
  <c r="M25" i="18"/>
  <c r="M48" i="18"/>
  <c r="Q25" i="18"/>
  <c r="A56" i="24"/>
  <c r="E33" i="24"/>
  <c r="A40" i="24"/>
  <c r="E17" i="24"/>
  <c r="A43" i="23"/>
  <c r="E20" i="23"/>
  <c r="A58" i="22"/>
  <c r="E35" i="22"/>
  <c r="A45" i="22"/>
  <c r="E22" i="22"/>
  <c r="A41" i="24"/>
  <c r="E18" i="24"/>
  <c r="M41" i="21"/>
  <c r="I18" i="21"/>
  <c r="M18" i="21"/>
  <c r="I41" i="21"/>
  <c r="E41" i="21"/>
  <c r="Q41" i="21"/>
  <c r="Q18" i="21"/>
  <c r="Q16" i="19"/>
  <c r="E39" i="19"/>
  <c r="Q39" i="19"/>
  <c r="I39" i="19"/>
  <c r="M16" i="19"/>
  <c r="M39" i="19"/>
  <c r="I16" i="19"/>
  <c r="I28" i="19"/>
  <c r="Q28" i="19"/>
  <c r="M28" i="19"/>
  <c r="E51" i="19"/>
  <c r="I51" i="19"/>
  <c r="M51" i="19"/>
  <c r="Q51" i="19"/>
  <c r="A51" i="24"/>
  <c r="E28" i="24"/>
  <c r="I47" i="20"/>
  <c r="M24" i="20"/>
  <c r="E47" i="20"/>
  <c r="M47" i="20"/>
  <c r="Q47" i="20"/>
  <c r="Q24" i="20"/>
  <c r="I24" i="20"/>
  <c r="E46" i="19"/>
  <c r="Q46" i="19"/>
  <c r="I23" i="19"/>
  <c r="M23" i="19"/>
  <c r="M46" i="19"/>
  <c r="I46" i="19"/>
  <c r="Q23" i="19"/>
  <c r="E44" i="17"/>
  <c r="Q44" i="17"/>
  <c r="M44" i="17"/>
  <c r="I44" i="17"/>
  <c r="I21" i="17"/>
  <c r="M21" i="17"/>
  <c r="Q21" i="17"/>
  <c r="I55" i="20"/>
  <c r="M32" i="20"/>
  <c r="Q32" i="20"/>
  <c r="Q55" i="20"/>
  <c r="M55" i="20"/>
  <c r="I32" i="20"/>
  <c r="E55" i="20"/>
  <c r="A52" i="25"/>
  <c r="E29" i="25"/>
  <c r="M52" i="21"/>
  <c r="Q52" i="21"/>
  <c r="E52" i="21"/>
  <c r="I29" i="21"/>
  <c r="M29" i="21"/>
  <c r="I52" i="21"/>
  <c r="Q29" i="21"/>
  <c r="E36" i="23"/>
  <c r="A59" i="23"/>
  <c r="A38" i="24"/>
  <c r="E15" i="24"/>
  <c r="A38" i="23"/>
  <c r="E15" i="23"/>
  <c r="E30" i="22"/>
  <c r="A53" i="22"/>
  <c r="A57" i="24"/>
  <c r="E34" i="24"/>
  <c r="I50" i="21"/>
  <c r="Q50" i="21"/>
  <c r="M27" i="21"/>
  <c r="Q27" i="21"/>
  <c r="I27" i="21"/>
  <c r="E50" i="21"/>
  <c r="M50" i="21"/>
  <c r="Q56" i="20"/>
  <c r="E56" i="20"/>
  <c r="I33" i="20"/>
  <c r="M33" i="20"/>
  <c r="Q33" i="20"/>
  <c r="I56" i="20"/>
  <c r="M56" i="20"/>
  <c r="E46" i="17"/>
  <c r="M46" i="17"/>
  <c r="Q46" i="17"/>
  <c r="I23" i="17"/>
  <c r="I46" i="17"/>
  <c r="M23" i="17"/>
  <c r="Q23" i="17"/>
  <c r="M50" i="18"/>
  <c r="E50" i="18"/>
  <c r="M27" i="18"/>
  <c r="Q50" i="18"/>
  <c r="Q27" i="18"/>
  <c r="I50" i="18"/>
  <c r="I27" i="18"/>
  <c r="M30" i="19"/>
  <c r="M53" i="19"/>
  <c r="E53" i="19"/>
  <c r="Q53" i="19"/>
  <c r="Q30" i="19"/>
  <c r="I30" i="19"/>
  <c r="I53" i="19"/>
  <c r="M38" i="17"/>
  <c r="E38" i="17"/>
  <c r="M15" i="17"/>
  <c r="Q38" i="17"/>
  <c r="I38" i="17"/>
  <c r="Q15" i="17"/>
  <c r="I15" i="17"/>
  <c r="E25" i="22"/>
  <c r="A48" i="22"/>
  <c r="A47" i="24"/>
  <c r="E24" i="24"/>
  <c r="M17" i="18"/>
  <c r="M40" i="18"/>
  <c r="Q40" i="18"/>
  <c r="I40" i="18"/>
  <c r="Q17" i="18"/>
  <c r="E40" i="18"/>
  <c r="I17" i="18"/>
  <c r="A50" i="26"/>
  <c r="A27" i="31"/>
  <c r="A27" i="29"/>
  <c r="A27" i="27"/>
  <c r="A27" i="28"/>
  <c r="E27" i="26"/>
  <c r="A55" i="26"/>
  <c r="A32" i="31"/>
  <c r="A32" i="29"/>
  <c r="A32" i="28"/>
  <c r="A32" i="27"/>
  <c r="E32" i="26"/>
  <c r="A44" i="22"/>
  <c r="E21" i="22"/>
  <c r="A39" i="24"/>
  <c r="E16" i="24"/>
  <c r="A46" i="22"/>
  <c r="E23" i="22"/>
  <c r="E55" i="21"/>
  <c r="I32" i="21"/>
  <c r="M32" i="21"/>
  <c r="I55" i="21"/>
  <c r="M55" i="21"/>
  <c r="Q32" i="21"/>
  <c r="Q55" i="21"/>
  <c r="I27" i="19"/>
  <c r="M50" i="19"/>
  <c r="Q27" i="19"/>
  <c r="I50" i="19"/>
  <c r="Q50" i="19"/>
  <c r="E50" i="19"/>
  <c r="M27" i="19"/>
  <c r="E20" i="24"/>
  <c r="A43" i="24"/>
  <c r="A45" i="25"/>
  <c r="E22" i="25"/>
  <c r="I35" i="17"/>
  <c r="M35" i="17"/>
  <c r="I58" i="17"/>
  <c r="E58" i="17"/>
  <c r="Q35" i="17"/>
  <c r="M58" i="17"/>
  <c r="Q58" i="17"/>
  <c r="A54" i="23"/>
  <c r="E31" i="23"/>
  <c r="A50" i="23"/>
  <c r="E27" i="23"/>
  <c r="Q52" i="18"/>
  <c r="I29" i="18"/>
  <c r="M29" i="18"/>
  <c r="Q29" i="18"/>
  <c r="I52" i="18"/>
  <c r="M52" i="18"/>
  <c r="E52" i="18"/>
  <c r="Q38" i="20"/>
  <c r="M15" i="20"/>
  <c r="Q15" i="20"/>
  <c r="I38" i="20"/>
  <c r="I15" i="20"/>
  <c r="E38" i="20"/>
  <c r="M38" i="20"/>
  <c r="M48" i="17"/>
  <c r="E48" i="17"/>
  <c r="I48" i="17"/>
  <c r="Q48" i="17"/>
  <c r="M25" i="17"/>
  <c r="I25" i="17"/>
  <c r="Q25" i="17"/>
  <c r="A30" i="31"/>
  <c r="A30" i="29"/>
  <c r="E30" i="26"/>
  <c r="A53" i="26"/>
  <c r="A30" i="28"/>
  <c r="A30" i="27"/>
  <c r="A31" i="31"/>
  <c r="A31" i="29"/>
  <c r="A54" i="26"/>
  <c r="E31" i="26"/>
  <c r="A31" i="28"/>
  <c r="A31" i="27"/>
  <c r="A57" i="26"/>
  <c r="A34" i="31"/>
  <c r="A34" i="29"/>
  <c r="A34" i="28"/>
  <c r="A34" i="27"/>
  <c r="E34" i="26"/>
  <c r="A28" i="31"/>
  <c r="A28" i="29"/>
  <c r="A28" i="28"/>
  <c r="A28" i="27"/>
  <c r="A51" i="26"/>
  <c r="E28" i="26"/>
  <c r="A21" i="28"/>
  <c r="A21" i="27"/>
  <c r="A21" i="29"/>
  <c r="A44" i="26"/>
  <c r="A21" i="31"/>
  <c r="E21" i="26"/>
  <c r="E21" i="24"/>
  <c r="A44" i="24"/>
  <c r="E26" i="22"/>
  <c r="A49" i="22"/>
  <c r="E16" i="25"/>
  <c r="A39" i="25"/>
  <c r="E19" i="22"/>
  <c r="A42" i="22"/>
  <c r="A46" i="24"/>
  <c r="E23" i="24"/>
  <c r="M19" i="20"/>
  <c r="I42" i="20"/>
  <c r="Q19" i="20"/>
  <c r="Q42" i="20"/>
  <c r="E42" i="20"/>
  <c r="M42" i="20"/>
  <c r="I19" i="20"/>
  <c r="I46" i="18"/>
  <c r="Q46" i="18"/>
  <c r="I23" i="18"/>
  <c r="Q23" i="18"/>
  <c r="E46" i="18"/>
  <c r="M23" i="18"/>
  <c r="M46" i="18"/>
  <c r="E32" i="22"/>
  <c r="A55" i="22"/>
  <c r="A55" i="25"/>
  <c r="E32" i="25"/>
  <c r="M56" i="17"/>
  <c r="I33" i="17"/>
  <c r="E56" i="17"/>
  <c r="Q56" i="17"/>
  <c r="I56" i="17"/>
  <c r="Q33" i="17"/>
  <c r="M33" i="17"/>
  <c r="I31" i="18"/>
  <c r="E54" i="18"/>
  <c r="M31" i="18"/>
  <c r="Q31" i="18"/>
  <c r="Q54" i="18"/>
  <c r="I54" i="18"/>
  <c r="M54" i="18"/>
  <c r="M52" i="19"/>
  <c r="I52" i="19"/>
  <c r="Q52" i="19"/>
  <c r="E52" i="19"/>
  <c r="I29" i="19"/>
  <c r="Q29" i="19"/>
  <c r="M29" i="19"/>
  <c r="Q35" i="20"/>
  <c r="E58" i="20"/>
  <c r="M58" i="20"/>
  <c r="I35" i="20"/>
  <c r="Q58" i="20"/>
  <c r="M35" i="20"/>
  <c r="I58" i="20"/>
  <c r="Q38" i="19"/>
  <c r="M38" i="19"/>
  <c r="I38" i="19"/>
  <c r="Q15" i="19"/>
  <c r="I15" i="19"/>
  <c r="E38" i="19"/>
  <c r="M15" i="19"/>
  <c r="A56" i="22"/>
  <c r="E33" i="22"/>
  <c r="E17" i="22"/>
  <c r="A40" i="22"/>
  <c r="A40" i="25"/>
  <c r="E17" i="25"/>
  <c r="A58" i="25"/>
  <c r="E35" i="25"/>
  <c r="I58" i="21"/>
  <c r="I35" i="21"/>
  <c r="E58" i="21"/>
  <c r="M58" i="21"/>
  <c r="Q58" i="21"/>
  <c r="M35" i="21"/>
  <c r="Q35" i="21"/>
  <c r="A41" i="22"/>
  <c r="E18" i="22"/>
  <c r="A41" i="23"/>
  <c r="E18" i="23"/>
  <c r="M57" i="19"/>
  <c r="I34" i="19"/>
  <c r="E57" i="19"/>
  <c r="M34" i="19"/>
  <c r="Q34" i="19"/>
  <c r="Q57" i="19"/>
  <c r="I57" i="19"/>
  <c r="E59" i="20"/>
  <c r="M59" i="20"/>
  <c r="M36" i="20"/>
  <c r="I59" i="20"/>
  <c r="Q59" i="20"/>
  <c r="Q36" i="20"/>
  <c r="I36" i="20"/>
  <c r="A54" i="25"/>
  <c r="E31" i="25"/>
  <c r="I54" i="21"/>
  <c r="I31" i="21"/>
  <c r="M31" i="21"/>
  <c r="E54" i="21"/>
  <c r="M54" i="21"/>
  <c r="Q54" i="21"/>
  <c r="Q31" i="21"/>
  <c r="A51" i="25"/>
  <c r="E28" i="25"/>
  <c r="M43" i="19"/>
  <c r="Q20" i="19"/>
  <c r="M20" i="19"/>
  <c r="Q43" i="19"/>
  <c r="E43" i="19"/>
  <c r="I43" i="19"/>
  <c r="I20" i="19"/>
  <c r="M29" i="20"/>
  <c r="E52" i="20"/>
  <c r="I52" i="20"/>
  <c r="Q52" i="20"/>
  <c r="I29" i="20"/>
  <c r="M52" i="20"/>
  <c r="Q29" i="20"/>
  <c r="M18" i="19"/>
  <c r="Q18" i="19"/>
  <c r="Q41" i="19"/>
  <c r="M41" i="19"/>
  <c r="E41" i="19"/>
  <c r="I41" i="19"/>
  <c r="I18" i="19"/>
  <c r="A52" i="24"/>
  <c r="E29" i="24"/>
  <c r="A59" i="24"/>
  <c r="E36" i="24"/>
  <c r="M36" i="21"/>
  <c r="I59" i="21"/>
  <c r="M59" i="21"/>
  <c r="Q36" i="21"/>
  <c r="Q59" i="21"/>
  <c r="E59" i="21"/>
  <c r="I36" i="21"/>
  <c r="E15" i="22"/>
  <c r="A38" i="22"/>
  <c r="A53" i="25"/>
  <c r="E30" i="25"/>
  <c r="E34" i="22"/>
  <c r="A57" i="22"/>
  <c r="E27" i="25"/>
  <c r="A50" i="25"/>
  <c r="I39" i="18"/>
  <c r="Q16" i="18"/>
  <c r="I16" i="18"/>
  <c r="E39" i="18"/>
  <c r="M16" i="18"/>
  <c r="M39" i="18"/>
  <c r="Q39" i="18"/>
  <c r="M42" i="19"/>
  <c r="Q19" i="19"/>
  <c r="I19" i="19"/>
  <c r="E42" i="19"/>
  <c r="I42" i="19"/>
  <c r="Q42" i="19"/>
  <c r="M19" i="19"/>
  <c r="E43" i="18"/>
  <c r="M20" i="18"/>
  <c r="I20" i="18"/>
  <c r="M43" i="18"/>
  <c r="I43" i="18"/>
  <c r="Q20" i="18"/>
  <c r="Q43" i="18"/>
  <c r="E44" i="19"/>
  <c r="M44" i="19"/>
  <c r="M21" i="19"/>
  <c r="Q21" i="19"/>
  <c r="Q44" i="19"/>
  <c r="I44" i="19"/>
  <c r="I21" i="19"/>
  <c r="I52" i="17"/>
  <c r="Q52" i="17"/>
  <c r="M29" i="17"/>
  <c r="Q29" i="17"/>
  <c r="I29" i="17"/>
  <c r="E52" i="17"/>
  <c r="M52" i="17"/>
  <c r="A48" i="23"/>
  <c r="E25" i="23"/>
  <c r="A48" i="25"/>
  <c r="E25" i="25"/>
  <c r="A47" i="23"/>
  <c r="E24" i="23"/>
  <c r="I42" i="18"/>
  <c r="M19" i="18"/>
  <c r="Q42" i="18"/>
  <c r="Q19" i="18"/>
  <c r="I19" i="18"/>
  <c r="E42" i="18"/>
  <c r="M42" i="18"/>
  <c r="F60" i="1"/>
  <c r="F61" i="1" s="1"/>
  <c r="F49" i="1"/>
  <c r="F50" i="1" s="1"/>
  <c r="N15" i="32"/>
  <c r="T12" i="36" s="1"/>
  <c r="A64" i="16"/>
  <c r="R15" i="32"/>
  <c r="AF12" i="36" s="1"/>
  <c r="Q64" i="16"/>
  <c r="M64" i="16"/>
  <c r="I64" i="16"/>
  <c r="E64" i="16"/>
  <c r="N17" i="32"/>
  <c r="T14" i="36" s="1"/>
  <c r="A64" i="18"/>
  <c r="M64" i="18"/>
  <c r="Q64" i="18"/>
  <c r="E64" i="18"/>
  <c r="I64" i="18"/>
  <c r="N18" i="32"/>
  <c r="T15" i="36" s="1"/>
  <c r="I64" i="19"/>
  <c r="Q64" i="19"/>
  <c r="A64" i="19"/>
  <c r="E64" i="19"/>
  <c r="M64" i="19"/>
  <c r="A86" i="16"/>
  <c r="A86" i="18" s="1"/>
  <c r="F33" i="1"/>
  <c r="F34" i="1" s="1"/>
  <c r="F35" i="1" s="1"/>
  <c r="I68" i="20"/>
  <c r="I68" i="31"/>
  <c r="I68" i="25"/>
  <c r="I47" i="15"/>
  <c r="I25" i="9"/>
  <c r="M31" i="7"/>
  <c r="I73" i="19"/>
  <c r="I73" i="29"/>
  <c r="I73" i="24"/>
  <c r="I52" i="14"/>
  <c r="I30" i="7"/>
  <c r="I68" i="29"/>
  <c r="I68" i="19"/>
  <c r="I68" i="24"/>
  <c r="I47" i="14"/>
  <c r="I25" i="7"/>
  <c r="P18" i="32"/>
  <c r="AD15" i="36" s="1"/>
  <c r="O18" i="32"/>
  <c r="AC15" i="36" s="1"/>
  <c r="R18" i="32"/>
  <c r="AF15" i="36" s="1"/>
  <c r="Q18" i="32"/>
  <c r="AE15" i="36" s="1"/>
  <c r="I76" i="29"/>
  <c r="I76" i="19"/>
  <c r="I76" i="24"/>
  <c r="I55" i="14"/>
  <c r="I33" i="7"/>
  <c r="P17" i="32"/>
  <c r="AD14" i="36" s="1"/>
  <c r="O17" i="32"/>
  <c r="AC14" i="36" s="1"/>
  <c r="R17" i="32"/>
  <c r="AF14" i="36" s="1"/>
  <c r="Q17" i="32"/>
  <c r="AE14" i="36" s="1"/>
  <c r="I76" i="23"/>
  <c r="I76" i="28"/>
  <c r="I76" i="18"/>
  <c r="I55" i="13"/>
  <c r="I33" i="6"/>
  <c r="M74" i="18"/>
  <c r="I73" i="23"/>
  <c r="I73" i="18"/>
  <c r="I73" i="28"/>
  <c r="I52" i="13"/>
  <c r="I30" i="6"/>
  <c r="I25" i="6"/>
  <c r="I68" i="28"/>
  <c r="I68" i="23"/>
  <c r="I68" i="18"/>
  <c r="I47" i="13"/>
  <c r="P15" i="32"/>
  <c r="AD12" i="36" s="1"/>
  <c r="O15" i="32"/>
  <c r="AC12" i="36" s="1"/>
  <c r="Q15" i="32"/>
  <c r="AE12" i="36" s="1"/>
  <c r="I73" i="26"/>
  <c r="I73" i="16"/>
  <c r="I73" i="21"/>
  <c r="I76" i="16"/>
  <c r="I76" i="21"/>
  <c r="I76" i="26"/>
  <c r="I68" i="26"/>
  <c r="I68" i="16"/>
  <c r="I68" i="21"/>
  <c r="I25" i="4"/>
  <c r="I74" i="21"/>
  <c r="I74" i="26"/>
  <c r="I74" i="16"/>
  <c r="E65" i="12"/>
  <c r="I65" i="12"/>
  <c r="M65" i="12"/>
  <c r="Q65" i="12"/>
  <c r="A43" i="5"/>
  <c r="I43" i="5" s="1"/>
  <c r="A43" i="9"/>
  <c r="E43" i="9" s="1"/>
  <c r="A43" i="7"/>
  <c r="M43" i="7" s="1"/>
  <c r="A65" i="13"/>
  <c r="A65" i="15"/>
  <c r="A65" i="14"/>
  <c r="I47" i="10"/>
  <c r="E65" i="10"/>
  <c r="Q65" i="10"/>
  <c r="M65" i="10"/>
  <c r="I65" i="10"/>
  <c r="Q43" i="4"/>
  <c r="M43" i="4"/>
  <c r="I43" i="4"/>
  <c r="E43" i="4"/>
  <c r="Q43" i="6"/>
  <c r="M43" i="6"/>
  <c r="I43" i="6"/>
  <c r="I53" i="10"/>
  <c r="I52" i="10"/>
  <c r="I30" i="4"/>
  <c r="I55" i="10"/>
  <c r="I33" i="4"/>
  <c r="A61" i="26"/>
  <c r="F69" i="1"/>
  <c r="F91" i="1"/>
  <c r="F80" i="1"/>
  <c r="F93" i="1"/>
  <c r="F94" i="1" s="1"/>
  <c r="F82" i="1"/>
  <c r="F83" i="1" s="1"/>
  <c r="F71" i="1"/>
  <c r="F72" i="1" s="1"/>
  <c r="M31" i="4" l="1"/>
  <c r="M75" i="16"/>
  <c r="M32" i="4"/>
  <c r="M65" i="5"/>
  <c r="M26" i="5"/>
  <c r="M48" i="15"/>
  <c r="M26" i="9"/>
  <c r="M69" i="25"/>
  <c r="M69" i="20"/>
  <c r="M69" i="31"/>
  <c r="Q75" i="28"/>
  <c r="Q54" i="13"/>
  <c r="Q32" i="6"/>
  <c r="Q75" i="23"/>
  <c r="Q75" i="18"/>
  <c r="M32" i="9"/>
  <c r="M54" i="15"/>
  <c r="M75" i="20"/>
  <c r="M75" i="31"/>
  <c r="M75" i="25"/>
  <c r="M53" i="5"/>
  <c r="M74" i="5"/>
  <c r="M26" i="4"/>
  <c r="M69" i="26"/>
  <c r="M69" i="21"/>
  <c r="M48" i="10"/>
  <c r="M69" i="16"/>
  <c r="M26" i="7"/>
  <c r="M69" i="24"/>
  <c r="M69" i="19"/>
  <c r="M48" i="14"/>
  <c r="M69" i="29"/>
  <c r="M48" i="13"/>
  <c r="M69" i="23"/>
  <c r="M69" i="18"/>
  <c r="M69" i="28"/>
  <c r="M26" i="6"/>
  <c r="M75" i="29"/>
  <c r="M75" i="19"/>
  <c r="M75" i="24"/>
  <c r="M54" i="14"/>
  <c r="M32" i="7"/>
  <c r="M69" i="22"/>
  <c r="M69" i="27"/>
  <c r="M69" i="17"/>
  <c r="M48" i="12"/>
  <c r="A86" i="20"/>
  <c r="M76" i="25"/>
  <c r="M76" i="31"/>
  <c r="M76" i="20"/>
  <c r="M55" i="15"/>
  <c r="M33" i="9"/>
  <c r="M73" i="31"/>
  <c r="M73" i="20"/>
  <c r="M73" i="25"/>
  <c r="M52" i="15"/>
  <c r="M30" i="9"/>
  <c r="M68" i="26"/>
  <c r="M68" i="27"/>
  <c r="A86" i="19"/>
  <c r="E86" i="19" s="1"/>
  <c r="Q86" i="16"/>
  <c r="M86" i="16"/>
  <c r="E86" i="16"/>
  <c r="I86" i="16"/>
  <c r="A86" i="17"/>
  <c r="I86" i="17" s="1"/>
  <c r="E83" i="25"/>
  <c r="M83" i="25"/>
  <c r="I83" i="25"/>
  <c r="Q83" i="25"/>
  <c r="Q83" i="22"/>
  <c r="I83" i="22"/>
  <c r="M83" i="22"/>
  <c r="E83" i="22"/>
  <c r="E83" i="23"/>
  <c r="I83" i="23"/>
  <c r="M83" i="23"/>
  <c r="Q83" i="23"/>
  <c r="I81" i="26"/>
  <c r="Q81" i="26"/>
  <c r="M81" i="26"/>
  <c r="A81" i="27"/>
  <c r="A81" i="31"/>
  <c r="A81" i="28"/>
  <c r="A81" i="29"/>
  <c r="E81" i="26"/>
  <c r="E83" i="24"/>
  <c r="Q83" i="24"/>
  <c r="I83" i="24"/>
  <c r="M83" i="24"/>
  <c r="Q83" i="26"/>
  <c r="M83" i="26"/>
  <c r="I83" i="26"/>
  <c r="A83" i="27"/>
  <c r="A83" i="31"/>
  <c r="A83" i="29"/>
  <c r="A83" i="28"/>
  <c r="E83" i="26"/>
  <c r="I62" i="31"/>
  <c r="E62" i="31"/>
  <c r="M62" i="31"/>
  <c r="Q62" i="31"/>
  <c r="I62" i="24"/>
  <c r="Q62" i="24"/>
  <c r="M62" i="24"/>
  <c r="E62" i="24"/>
  <c r="M62" i="27"/>
  <c r="Q62" i="27"/>
  <c r="E62" i="27"/>
  <c r="I62" i="27"/>
  <c r="E62" i="25"/>
  <c r="I62" i="25"/>
  <c r="M62" i="25"/>
  <c r="Q62" i="25"/>
  <c r="I62" i="28"/>
  <c r="M62" i="28"/>
  <c r="Q62" i="28"/>
  <c r="E62" i="28"/>
  <c r="E62" i="22"/>
  <c r="M62" i="22"/>
  <c r="I62" i="22"/>
  <c r="Q62" i="22"/>
  <c r="M62" i="29"/>
  <c r="I62" i="29"/>
  <c r="Q62" i="29"/>
  <c r="E62" i="29"/>
  <c r="I62" i="23"/>
  <c r="E62" i="23"/>
  <c r="M62" i="23"/>
  <c r="Q62" i="23"/>
  <c r="E64" i="25"/>
  <c r="M64" i="25"/>
  <c r="R24" i="32"/>
  <c r="AF21" i="36" s="1"/>
  <c r="O24" i="32"/>
  <c r="AC21" i="36" s="1"/>
  <c r="N24" i="32"/>
  <c r="T21" i="36" s="1"/>
  <c r="P24" i="32"/>
  <c r="AD21" i="36" s="1"/>
  <c r="Q64" i="25"/>
  <c r="Q24" i="32"/>
  <c r="AE21" i="36" s="1"/>
  <c r="A64" i="25"/>
  <c r="I64" i="25"/>
  <c r="E61" i="22"/>
  <c r="M61" i="22"/>
  <c r="I61" i="22"/>
  <c r="Q61" i="22"/>
  <c r="M61" i="24"/>
  <c r="Q61" i="24"/>
  <c r="E61" i="24"/>
  <c r="I61" i="24"/>
  <c r="M61" i="26"/>
  <c r="A61" i="31"/>
  <c r="A61" i="29"/>
  <c r="A61" i="28"/>
  <c r="E61" i="26"/>
  <c r="Q61" i="26"/>
  <c r="A61" i="27"/>
  <c r="I61" i="26"/>
  <c r="E61" i="23"/>
  <c r="M61" i="23"/>
  <c r="I61" i="23"/>
  <c r="Q61" i="23"/>
  <c r="M61" i="25"/>
  <c r="E61" i="25"/>
  <c r="I61" i="25"/>
  <c r="Q61" i="25"/>
  <c r="E13" i="25"/>
  <c r="Q13" i="25"/>
  <c r="M13" i="25"/>
  <c r="I13" i="25"/>
  <c r="Q13" i="22"/>
  <c r="M13" i="22"/>
  <c r="E13" i="22"/>
  <c r="I13" i="22"/>
  <c r="M13" i="24"/>
  <c r="I13" i="24"/>
  <c r="Q13" i="24"/>
  <c r="E13" i="24"/>
  <c r="I13" i="26"/>
  <c r="A13" i="31"/>
  <c r="E13" i="26"/>
  <c r="A13" i="27"/>
  <c r="M13" i="26"/>
  <c r="A13" i="29"/>
  <c r="A13" i="28"/>
  <c r="Q13" i="26"/>
  <c r="Q13" i="23"/>
  <c r="E13" i="23"/>
  <c r="M13" i="23"/>
  <c r="I13" i="23"/>
  <c r="M46" i="24"/>
  <c r="I46" i="24"/>
  <c r="M23" i="24"/>
  <c r="E46" i="24"/>
  <c r="I23" i="24"/>
  <c r="Q46" i="24"/>
  <c r="Q23" i="24"/>
  <c r="E21" i="29"/>
  <c r="A44" i="29"/>
  <c r="A57" i="29"/>
  <c r="E34" i="29"/>
  <c r="I45" i="25"/>
  <c r="Q45" i="25"/>
  <c r="Q22" i="25"/>
  <c r="I22" i="25"/>
  <c r="E45" i="25"/>
  <c r="M45" i="25"/>
  <c r="M22" i="25"/>
  <c r="Q39" i="24"/>
  <c r="Q16" i="24"/>
  <c r="E39" i="24"/>
  <c r="M16" i="24"/>
  <c r="M39" i="24"/>
  <c r="I39" i="24"/>
  <c r="I16" i="24"/>
  <c r="A50" i="29"/>
  <c r="E27" i="29"/>
  <c r="I48" i="22"/>
  <c r="E48" i="22"/>
  <c r="M25" i="22"/>
  <c r="Q25" i="22"/>
  <c r="I25" i="22"/>
  <c r="M48" i="22"/>
  <c r="Q48" i="22"/>
  <c r="Q36" i="23"/>
  <c r="M36" i="23"/>
  <c r="E59" i="23"/>
  <c r="I36" i="23"/>
  <c r="M59" i="23"/>
  <c r="I59" i="23"/>
  <c r="Q59" i="23"/>
  <c r="I28" i="24"/>
  <c r="M28" i="24"/>
  <c r="I51" i="24"/>
  <c r="Q51" i="24"/>
  <c r="E51" i="24"/>
  <c r="Q28" i="24"/>
  <c r="M51" i="24"/>
  <c r="A56" i="27"/>
  <c r="E33" i="27"/>
  <c r="A47" i="29"/>
  <c r="E24" i="29"/>
  <c r="E22" i="28"/>
  <c r="A45" i="28"/>
  <c r="A48" i="27"/>
  <c r="E25" i="27"/>
  <c r="I28" i="22"/>
  <c r="Q28" i="22"/>
  <c r="M51" i="22"/>
  <c r="I51" i="22"/>
  <c r="E51" i="22"/>
  <c r="Q51" i="22"/>
  <c r="M28" i="22"/>
  <c r="I32" i="23"/>
  <c r="M55" i="23"/>
  <c r="Q32" i="23"/>
  <c r="E55" i="23"/>
  <c r="M32" i="23"/>
  <c r="Q55" i="23"/>
  <c r="I55" i="23"/>
  <c r="M16" i="22"/>
  <c r="Q39" i="22"/>
  <c r="I39" i="22"/>
  <c r="I16" i="22"/>
  <c r="E39" i="22"/>
  <c r="Q16" i="22"/>
  <c r="M39" i="22"/>
  <c r="I29" i="26"/>
  <c r="Q29" i="26"/>
  <c r="M52" i="26"/>
  <c r="E52" i="26"/>
  <c r="M29" i="26"/>
  <c r="Q52" i="26"/>
  <c r="I52" i="26"/>
  <c r="M36" i="26"/>
  <c r="M59" i="26"/>
  <c r="Q36" i="26"/>
  <c r="I59" i="26"/>
  <c r="Q59" i="26"/>
  <c r="E59" i="26"/>
  <c r="I36" i="26"/>
  <c r="E36" i="31"/>
  <c r="A59" i="31"/>
  <c r="A43" i="28"/>
  <c r="E20" i="28"/>
  <c r="Q18" i="26"/>
  <c r="E41" i="26"/>
  <c r="I41" i="26"/>
  <c r="M41" i="26"/>
  <c r="Q41" i="26"/>
  <c r="I18" i="26"/>
  <c r="M18" i="26"/>
  <c r="A42" i="28"/>
  <c r="E19" i="28"/>
  <c r="E42" i="26"/>
  <c r="I19" i="26"/>
  <c r="M19" i="26"/>
  <c r="I42" i="26"/>
  <c r="M42" i="26"/>
  <c r="Q42" i="26"/>
  <c r="Q19" i="26"/>
  <c r="I59" i="25"/>
  <c r="M36" i="25"/>
  <c r="I36" i="25"/>
  <c r="Q59" i="25"/>
  <c r="E59" i="25"/>
  <c r="Q36" i="25"/>
  <c r="M59" i="25"/>
  <c r="I31" i="24"/>
  <c r="Q31" i="24"/>
  <c r="M54" i="24"/>
  <c r="E54" i="24"/>
  <c r="M31" i="24"/>
  <c r="Q54" i="24"/>
  <c r="I54" i="24"/>
  <c r="Q33" i="23"/>
  <c r="E56" i="23"/>
  <c r="I56" i="23"/>
  <c r="I33" i="23"/>
  <c r="M56" i="23"/>
  <c r="M33" i="23"/>
  <c r="Q56" i="23"/>
  <c r="A39" i="29"/>
  <c r="E16" i="29"/>
  <c r="E40" i="25"/>
  <c r="I17" i="25"/>
  <c r="M17" i="25"/>
  <c r="I40" i="25"/>
  <c r="Q17" i="25"/>
  <c r="M40" i="25"/>
  <c r="Q40" i="25"/>
  <c r="M33" i="22"/>
  <c r="E56" i="22"/>
  <c r="I33" i="22"/>
  <c r="M56" i="22"/>
  <c r="Q56" i="22"/>
  <c r="I56" i="22"/>
  <c r="Q33" i="22"/>
  <c r="M42" i="22"/>
  <c r="Q42" i="22"/>
  <c r="I42" i="22"/>
  <c r="I19" i="22"/>
  <c r="Q19" i="22"/>
  <c r="M19" i="22"/>
  <c r="E42" i="22"/>
  <c r="M49" i="22"/>
  <c r="E49" i="22"/>
  <c r="M26" i="22"/>
  <c r="Q26" i="22"/>
  <c r="I49" i="22"/>
  <c r="Q49" i="22"/>
  <c r="I26" i="22"/>
  <c r="A44" i="27"/>
  <c r="E21" i="27"/>
  <c r="A51" i="27"/>
  <c r="E28" i="27"/>
  <c r="A57" i="31"/>
  <c r="E34" i="31"/>
  <c r="A53" i="27"/>
  <c r="E30" i="27"/>
  <c r="A53" i="29"/>
  <c r="E30" i="29"/>
  <c r="Q50" i="23"/>
  <c r="E50" i="23"/>
  <c r="I27" i="23"/>
  <c r="M27" i="23"/>
  <c r="Q27" i="23"/>
  <c r="M50" i="23"/>
  <c r="I50" i="23"/>
  <c r="I20" i="24"/>
  <c r="Q20" i="24"/>
  <c r="M43" i="24"/>
  <c r="E43" i="24"/>
  <c r="Q43" i="24"/>
  <c r="M20" i="24"/>
  <c r="I43" i="24"/>
  <c r="A55" i="28"/>
  <c r="E32" i="28"/>
  <c r="A50" i="31"/>
  <c r="E27" i="31"/>
  <c r="I34" i="24"/>
  <c r="I57" i="24"/>
  <c r="M57" i="24"/>
  <c r="Q34" i="24"/>
  <c r="M34" i="24"/>
  <c r="E57" i="24"/>
  <c r="Q57" i="24"/>
  <c r="I15" i="23"/>
  <c r="M15" i="23"/>
  <c r="I38" i="23"/>
  <c r="E38" i="23"/>
  <c r="M38" i="23"/>
  <c r="Q38" i="23"/>
  <c r="Q15" i="23"/>
  <c r="I22" i="22"/>
  <c r="I45" i="22"/>
  <c r="Q22" i="22"/>
  <c r="M45" i="22"/>
  <c r="E45" i="22"/>
  <c r="Q45" i="22"/>
  <c r="M22" i="22"/>
  <c r="Q43" i="23"/>
  <c r="I20" i="23"/>
  <c r="I43" i="23"/>
  <c r="M20" i="23"/>
  <c r="Q20" i="23"/>
  <c r="M43" i="23"/>
  <c r="E43" i="23"/>
  <c r="M56" i="24"/>
  <c r="I56" i="24"/>
  <c r="Q33" i="24"/>
  <c r="I33" i="24"/>
  <c r="Q56" i="24"/>
  <c r="M33" i="24"/>
  <c r="E56" i="24"/>
  <c r="Q46" i="25"/>
  <c r="I23" i="25"/>
  <c r="E46" i="25"/>
  <c r="M46" i="25"/>
  <c r="Q23" i="25"/>
  <c r="I46" i="25"/>
  <c r="M23" i="25"/>
  <c r="E49" i="24"/>
  <c r="M49" i="24"/>
  <c r="M26" i="24"/>
  <c r="I49" i="24"/>
  <c r="Q49" i="24"/>
  <c r="Q26" i="24"/>
  <c r="I26" i="24"/>
  <c r="A56" i="28"/>
  <c r="E33" i="28"/>
  <c r="I17" i="26"/>
  <c r="Q17" i="26"/>
  <c r="M40" i="26"/>
  <c r="M17" i="26"/>
  <c r="E40" i="26"/>
  <c r="I40" i="26"/>
  <c r="Q40" i="26"/>
  <c r="A47" i="31"/>
  <c r="E24" i="31"/>
  <c r="A49" i="29"/>
  <c r="E26" i="29"/>
  <c r="A46" i="29"/>
  <c r="E23" i="29"/>
  <c r="I40" i="23"/>
  <c r="E40" i="23"/>
  <c r="I17" i="23"/>
  <c r="M40" i="23"/>
  <c r="Q17" i="23"/>
  <c r="Q40" i="23"/>
  <c r="M17" i="23"/>
  <c r="A48" i="29"/>
  <c r="E25" i="29"/>
  <c r="A48" i="28"/>
  <c r="E25" i="28"/>
  <c r="I58" i="26"/>
  <c r="M58" i="26"/>
  <c r="Q35" i="26"/>
  <c r="Q58" i="26"/>
  <c r="E58" i="26"/>
  <c r="I35" i="26"/>
  <c r="M35" i="26"/>
  <c r="I27" i="22"/>
  <c r="E50" i="22"/>
  <c r="M50" i="22"/>
  <c r="M27" i="22"/>
  <c r="I50" i="22"/>
  <c r="Q50" i="22"/>
  <c r="Q27" i="22"/>
  <c r="Q30" i="24"/>
  <c r="E53" i="24"/>
  <c r="Q53" i="24"/>
  <c r="M30" i="24"/>
  <c r="I30" i="24"/>
  <c r="I53" i="24"/>
  <c r="M53" i="24"/>
  <c r="M59" i="22"/>
  <c r="I59" i="22"/>
  <c r="E59" i="22"/>
  <c r="Q59" i="22"/>
  <c r="M36" i="22"/>
  <c r="Q36" i="22"/>
  <c r="I36" i="22"/>
  <c r="Q51" i="23"/>
  <c r="I28" i="23"/>
  <c r="I51" i="23"/>
  <c r="M28" i="23"/>
  <c r="M51" i="23"/>
  <c r="Q28" i="23"/>
  <c r="E51" i="23"/>
  <c r="Q45" i="24"/>
  <c r="Q22" i="24"/>
  <c r="I22" i="24"/>
  <c r="E45" i="24"/>
  <c r="I45" i="24"/>
  <c r="M45" i="24"/>
  <c r="M22" i="24"/>
  <c r="Q20" i="25"/>
  <c r="Q43" i="25"/>
  <c r="M43" i="25"/>
  <c r="I20" i="25"/>
  <c r="E43" i="25"/>
  <c r="I43" i="25"/>
  <c r="M20" i="25"/>
  <c r="I46" i="23"/>
  <c r="Q46" i="23"/>
  <c r="E46" i="23"/>
  <c r="I23" i="23"/>
  <c r="M23" i="23"/>
  <c r="M46" i="23"/>
  <c r="Q23" i="23"/>
  <c r="A52" i="27"/>
  <c r="E29" i="27"/>
  <c r="E36" i="27"/>
  <c r="A59" i="27"/>
  <c r="A43" i="29"/>
  <c r="E20" i="29"/>
  <c r="A41" i="27"/>
  <c r="E18" i="27"/>
  <c r="I38" i="26"/>
  <c r="M38" i="26"/>
  <c r="Q15" i="26"/>
  <c r="Q38" i="26"/>
  <c r="E38" i="26"/>
  <c r="I15" i="26"/>
  <c r="M15" i="26"/>
  <c r="A38" i="29"/>
  <c r="E15" i="29"/>
  <c r="M50" i="24"/>
  <c r="Q50" i="24"/>
  <c r="E50" i="24"/>
  <c r="I27" i="24"/>
  <c r="I50" i="24"/>
  <c r="M27" i="24"/>
  <c r="Q27" i="24"/>
  <c r="M16" i="26"/>
  <c r="I39" i="26"/>
  <c r="Q16" i="26"/>
  <c r="M39" i="26"/>
  <c r="Q39" i="26"/>
  <c r="E39" i="26"/>
  <c r="I16" i="26"/>
  <c r="E16" i="31"/>
  <c r="A39" i="31"/>
  <c r="Q25" i="25"/>
  <c r="M48" i="25"/>
  <c r="Q48" i="25"/>
  <c r="E48" i="25"/>
  <c r="I25" i="25"/>
  <c r="M25" i="25"/>
  <c r="I48" i="25"/>
  <c r="I34" i="22"/>
  <c r="M34" i="22"/>
  <c r="E57" i="22"/>
  <c r="Q34" i="22"/>
  <c r="M57" i="22"/>
  <c r="I57" i="22"/>
  <c r="Q57" i="22"/>
  <c r="Q54" i="25"/>
  <c r="M31" i="25"/>
  <c r="Q31" i="25"/>
  <c r="M54" i="25"/>
  <c r="E54" i="25"/>
  <c r="I31" i="25"/>
  <c r="I54" i="25"/>
  <c r="E28" i="31"/>
  <c r="A51" i="31"/>
  <c r="A54" i="31"/>
  <c r="E31" i="31"/>
  <c r="Q55" i="26"/>
  <c r="E55" i="26"/>
  <c r="I32" i="26"/>
  <c r="M32" i="26"/>
  <c r="M55" i="26"/>
  <c r="Q32" i="26"/>
  <c r="I55" i="26"/>
  <c r="E17" i="29"/>
  <c r="A40" i="29"/>
  <c r="A49" i="28"/>
  <c r="E26" i="28"/>
  <c r="A46" i="28"/>
  <c r="E23" i="28"/>
  <c r="I24" i="23"/>
  <c r="M24" i="23"/>
  <c r="M47" i="23"/>
  <c r="I47" i="23"/>
  <c r="Q47" i="23"/>
  <c r="Q24" i="23"/>
  <c r="E47" i="23"/>
  <c r="I25" i="23"/>
  <c r="Q25" i="23"/>
  <c r="M48" i="23"/>
  <c r="Q48" i="23"/>
  <c r="I48" i="23"/>
  <c r="M25" i="23"/>
  <c r="E48" i="23"/>
  <c r="Q50" i="25"/>
  <c r="M27" i="25"/>
  <c r="E50" i="25"/>
  <c r="I50" i="25"/>
  <c r="Q27" i="25"/>
  <c r="M50" i="25"/>
  <c r="I27" i="25"/>
  <c r="E59" i="24"/>
  <c r="M36" i="24"/>
  <c r="I36" i="24"/>
  <c r="M59" i="24"/>
  <c r="Q59" i="24"/>
  <c r="Q36" i="24"/>
  <c r="I59" i="24"/>
  <c r="Q41" i="22"/>
  <c r="Q18" i="22"/>
  <c r="M41" i="22"/>
  <c r="I41" i="22"/>
  <c r="E41" i="22"/>
  <c r="M18" i="22"/>
  <c r="I18" i="22"/>
  <c r="M17" i="22"/>
  <c r="Q17" i="22"/>
  <c r="I40" i="22"/>
  <c r="M40" i="22"/>
  <c r="I17" i="22"/>
  <c r="E40" i="22"/>
  <c r="Q40" i="22"/>
  <c r="Q32" i="25"/>
  <c r="Q55" i="25"/>
  <c r="E55" i="25"/>
  <c r="I32" i="25"/>
  <c r="M32" i="25"/>
  <c r="I55" i="25"/>
  <c r="M55" i="25"/>
  <c r="A44" i="31"/>
  <c r="E21" i="31"/>
  <c r="A44" i="28"/>
  <c r="E21" i="28"/>
  <c r="A51" i="28"/>
  <c r="E28" i="28"/>
  <c r="A57" i="27"/>
  <c r="E34" i="27"/>
  <c r="Q34" i="26"/>
  <c r="E57" i="26"/>
  <c r="I57" i="26"/>
  <c r="M57" i="26"/>
  <c r="Q57" i="26"/>
  <c r="I34" i="26"/>
  <c r="M34" i="26"/>
  <c r="I54" i="26"/>
  <c r="Q54" i="26"/>
  <c r="Q31" i="26"/>
  <c r="I31" i="26"/>
  <c r="E54" i="26"/>
  <c r="M54" i="26"/>
  <c r="M31" i="26"/>
  <c r="A53" i="28"/>
  <c r="E30" i="28"/>
  <c r="A53" i="31"/>
  <c r="E30" i="31"/>
  <c r="Q46" i="22"/>
  <c r="Q23" i="22"/>
  <c r="I46" i="22"/>
  <c r="E46" i="22"/>
  <c r="I23" i="22"/>
  <c r="M23" i="22"/>
  <c r="M46" i="22"/>
  <c r="Q21" i="22"/>
  <c r="I44" i="22"/>
  <c r="I21" i="22"/>
  <c r="M21" i="22"/>
  <c r="Q44" i="22"/>
  <c r="M44" i="22"/>
  <c r="E44" i="22"/>
  <c r="A55" i="29"/>
  <c r="E32" i="29"/>
  <c r="A50" i="28"/>
  <c r="E27" i="28"/>
  <c r="M27" i="26"/>
  <c r="I50" i="26"/>
  <c r="Q50" i="26"/>
  <c r="Q27" i="26"/>
  <c r="I27" i="26"/>
  <c r="E50" i="26"/>
  <c r="M50" i="26"/>
  <c r="Q30" i="22"/>
  <c r="I30" i="22"/>
  <c r="M30" i="22"/>
  <c r="M53" i="22"/>
  <c r="Q53" i="22"/>
  <c r="E53" i="22"/>
  <c r="I53" i="22"/>
  <c r="E52" i="25"/>
  <c r="I29" i="25"/>
  <c r="M29" i="25"/>
  <c r="Q29" i="25"/>
  <c r="I52" i="25"/>
  <c r="M52" i="25"/>
  <c r="Q52" i="25"/>
  <c r="A56" i="29"/>
  <c r="E33" i="29"/>
  <c r="M56" i="26"/>
  <c r="Q56" i="26"/>
  <c r="I56" i="26"/>
  <c r="I33" i="26"/>
  <c r="Q33" i="26"/>
  <c r="M33" i="26"/>
  <c r="E56" i="26"/>
  <c r="E17" i="31"/>
  <c r="A40" i="31"/>
  <c r="E24" i="27"/>
  <c r="A47" i="27"/>
  <c r="Q47" i="26"/>
  <c r="M47" i="26"/>
  <c r="I24" i="26"/>
  <c r="E47" i="26"/>
  <c r="I47" i="26"/>
  <c r="M24" i="26"/>
  <c r="Q24" i="26"/>
  <c r="A49" i="31"/>
  <c r="E26" i="31"/>
  <c r="M46" i="26"/>
  <c r="I23" i="26"/>
  <c r="E46" i="26"/>
  <c r="I46" i="26"/>
  <c r="M23" i="26"/>
  <c r="Q23" i="26"/>
  <c r="Q46" i="26"/>
  <c r="A46" i="31"/>
  <c r="E23" i="31"/>
  <c r="M45" i="26"/>
  <c r="I22" i="26"/>
  <c r="M22" i="26"/>
  <c r="E45" i="26"/>
  <c r="Q22" i="26"/>
  <c r="I45" i="26"/>
  <c r="Q45" i="26"/>
  <c r="I18" i="25"/>
  <c r="Q18" i="25"/>
  <c r="M18" i="25"/>
  <c r="E41" i="25"/>
  <c r="M41" i="25"/>
  <c r="Q41" i="25"/>
  <c r="I41" i="25"/>
  <c r="A48" i="31"/>
  <c r="E25" i="31"/>
  <c r="A58" i="27"/>
  <c r="E35" i="27"/>
  <c r="A58" i="29"/>
  <c r="E35" i="29"/>
  <c r="Q47" i="22"/>
  <c r="I47" i="22"/>
  <c r="I24" i="22"/>
  <c r="Q24" i="22"/>
  <c r="M47" i="22"/>
  <c r="E47" i="22"/>
  <c r="M24" i="22"/>
  <c r="E38" i="25"/>
  <c r="Q38" i="25"/>
  <c r="Q15" i="25"/>
  <c r="I15" i="25"/>
  <c r="I38" i="25"/>
  <c r="M15" i="25"/>
  <c r="M38" i="25"/>
  <c r="I54" i="22"/>
  <c r="E54" i="22"/>
  <c r="I31" i="22"/>
  <c r="M31" i="22"/>
  <c r="Q31" i="22"/>
  <c r="Q54" i="22"/>
  <c r="M54" i="22"/>
  <c r="Q42" i="25"/>
  <c r="I42" i="25"/>
  <c r="Q19" i="25"/>
  <c r="M19" i="25"/>
  <c r="I19" i="25"/>
  <c r="M42" i="25"/>
  <c r="E42" i="25"/>
  <c r="M49" i="25"/>
  <c r="M26" i="25"/>
  <c r="I49" i="25"/>
  <c r="Q49" i="25"/>
  <c r="Q26" i="25"/>
  <c r="I26" i="25"/>
  <c r="E49" i="25"/>
  <c r="A52" i="29"/>
  <c r="E29" i="29"/>
  <c r="E29" i="28"/>
  <c r="A52" i="28"/>
  <c r="A59" i="28"/>
  <c r="E36" i="28"/>
  <c r="M20" i="26"/>
  <c r="I43" i="26"/>
  <c r="Q43" i="26"/>
  <c r="Q20" i="26"/>
  <c r="I20" i="26"/>
  <c r="E43" i="26"/>
  <c r="M43" i="26"/>
  <c r="E20" i="31"/>
  <c r="A43" i="31"/>
  <c r="A41" i="28"/>
  <c r="E18" i="28"/>
  <c r="A38" i="27"/>
  <c r="E15" i="27"/>
  <c r="A38" i="31"/>
  <c r="E15" i="31"/>
  <c r="A42" i="29"/>
  <c r="E19" i="29"/>
  <c r="M52" i="22"/>
  <c r="E52" i="22"/>
  <c r="I52" i="22"/>
  <c r="I29" i="22"/>
  <c r="Q52" i="22"/>
  <c r="Q29" i="22"/>
  <c r="M29" i="22"/>
  <c r="A39" i="27"/>
  <c r="E16" i="27"/>
  <c r="E38" i="22"/>
  <c r="I38" i="22"/>
  <c r="M15" i="22"/>
  <c r="Q38" i="22"/>
  <c r="M38" i="22"/>
  <c r="Q15" i="22"/>
  <c r="I15" i="22"/>
  <c r="E52" i="24"/>
  <c r="M29" i="24"/>
  <c r="M52" i="24"/>
  <c r="I52" i="24"/>
  <c r="Q29" i="24"/>
  <c r="Q52" i="24"/>
  <c r="I29" i="24"/>
  <c r="I18" i="23"/>
  <c r="Q18" i="23"/>
  <c r="E41" i="23"/>
  <c r="M41" i="23"/>
  <c r="I41" i="23"/>
  <c r="M18" i="23"/>
  <c r="Q41" i="23"/>
  <c r="Q51" i="26"/>
  <c r="E51" i="26"/>
  <c r="I28" i="26"/>
  <c r="M28" i="26"/>
  <c r="Q28" i="26"/>
  <c r="I51" i="26"/>
  <c r="M51" i="26"/>
  <c r="A54" i="28"/>
  <c r="E31" i="28"/>
  <c r="E32" i="27"/>
  <c r="A55" i="27"/>
  <c r="M39" i="23"/>
  <c r="I16" i="23"/>
  <c r="Q39" i="23"/>
  <c r="M16" i="23"/>
  <c r="E39" i="23"/>
  <c r="I39" i="23"/>
  <c r="Q16" i="23"/>
  <c r="A40" i="28"/>
  <c r="E17" i="28"/>
  <c r="M49" i="26"/>
  <c r="I26" i="26"/>
  <c r="Q26" i="26"/>
  <c r="Q49" i="26"/>
  <c r="E49" i="26"/>
  <c r="I49" i="26"/>
  <c r="M26" i="26"/>
  <c r="A45" i="31"/>
  <c r="E22" i="31"/>
  <c r="M35" i="23"/>
  <c r="M58" i="23"/>
  <c r="I58" i="23"/>
  <c r="I35" i="23"/>
  <c r="Q35" i="23"/>
  <c r="E58" i="23"/>
  <c r="Q58" i="23"/>
  <c r="Q53" i="25"/>
  <c r="E53" i="25"/>
  <c r="M53" i="25"/>
  <c r="I30" i="25"/>
  <c r="I53" i="25"/>
  <c r="M30" i="25"/>
  <c r="Q30" i="25"/>
  <c r="Q28" i="25"/>
  <c r="M51" i="25"/>
  <c r="M28" i="25"/>
  <c r="E51" i="25"/>
  <c r="Q51" i="25"/>
  <c r="I28" i="25"/>
  <c r="I51" i="25"/>
  <c r="M35" i="25"/>
  <c r="I58" i="25"/>
  <c r="Q58" i="25"/>
  <c r="I35" i="25"/>
  <c r="E58" i="25"/>
  <c r="Q35" i="25"/>
  <c r="M58" i="25"/>
  <c r="I32" i="22"/>
  <c r="E55" i="22"/>
  <c r="M55" i="22"/>
  <c r="Q32" i="22"/>
  <c r="M32" i="22"/>
  <c r="I55" i="22"/>
  <c r="Q55" i="22"/>
  <c r="E39" i="25"/>
  <c r="Q16" i="25"/>
  <c r="M39" i="25"/>
  <c r="I16" i="25"/>
  <c r="Q39" i="25"/>
  <c r="I39" i="25"/>
  <c r="M16" i="25"/>
  <c r="E44" i="24"/>
  <c r="I21" i="24"/>
  <c r="M21" i="24"/>
  <c r="Q21" i="24"/>
  <c r="I44" i="24"/>
  <c r="Q44" i="24"/>
  <c r="M44" i="24"/>
  <c r="Q44" i="26"/>
  <c r="M21" i="26"/>
  <c r="I21" i="26"/>
  <c r="I44" i="26"/>
  <c r="M44" i="26"/>
  <c r="Q21" i="26"/>
  <c r="E44" i="26"/>
  <c r="A51" i="29"/>
  <c r="E28" i="29"/>
  <c r="A57" i="28"/>
  <c r="E34" i="28"/>
  <c r="A54" i="27"/>
  <c r="E31" i="27"/>
  <c r="A54" i="29"/>
  <c r="E31" i="29"/>
  <c r="M53" i="26"/>
  <c r="E53" i="26"/>
  <c r="I53" i="26"/>
  <c r="I30" i="26"/>
  <c r="M30" i="26"/>
  <c r="Q53" i="26"/>
  <c r="Q30" i="26"/>
  <c r="E54" i="23"/>
  <c r="I31" i="23"/>
  <c r="I54" i="23"/>
  <c r="Q31" i="23"/>
  <c r="M54" i="23"/>
  <c r="Q54" i="23"/>
  <c r="M31" i="23"/>
  <c r="E32" i="31"/>
  <c r="A55" i="31"/>
  <c r="A50" i="27"/>
  <c r="E27" i="27"/>
  <c r="I24" i="24"/>
  <c r="E47" i="24"/>
  <c r="I47" i="24"/>
  <c r="M24" i="24"/>
  <c r="Q24" i="24"/>
  <c r="Q47" i="24"/>
  <c r="M47" i="24"/>
  <c r="I15" i="24"/>
  <c r="Q15" i="24"/>
  <c r="M38" i="24"/>
  <c r="M15" i="24"/>
  <c r="E38" i="24"/>
  <c r="Q38" i="24"/>
  <c r="I38" i="24"/>
  <c r="Q41" i="24"/>
  <c r="Q18" i="24"/>
  <c r="M41" i="24"/>
  <c r="I18" i="24"/>
  <c r="I41" i="24"/>
  <c r="M18" i="24"/>
  <c r="E41" i="24"/>
  <c r="E58" i="22"/>
  <c r="M58" i="22"/>
  <c r="M35" i="22"/>
  <c r="I58" i="22"/>
  <c r="Q58" i="22"/>
  <c r="Q35" i="22"/>
  <c r="I35" i="22"/>
  <c r="M40" i="24"/>
  <c r="I40" i="24"/>
  <c r="Q17" i="24"/>
  <c r="I17" i="24"/>
  <c r="Q40" i="24"/>
  <c r="M17" i="24"/>
  <c r="E40" i="24"/>
  <c r="E55" i="24"/>
  <c r="I32" i="24"/>
  <c r="M55" i="24"/>
  <c r="Q55" i="24"/>
  <c r="Q32" i="24"/>
  <c r="M32" i="24"/>
  <c r="I55" i="24"/>
  <c r="E42" i="24"/>
  <c r="Q19" i="24"/>
  <c r="M19" i="24"/>
  <c r="Q42" i="24"/>
  <c r="M42" i="24"/>
  <c r="I19" i="24"/>
  <c r="I42" i="24"/>
  <c r="Q49" i="23"/>
  <c r="Q26" i="23"/>
  <c r="I26" i="23"/>
  <c r="E49" i="23"/>
  <c r="M49" i="23"/>
  <c r="I49" i="23"/>
  <c r="M26" i="23"/>
  <c r="E33" i="31"/>
  <c r="A56" i="31"/>
  <c r="E17" i="27"/>
  <c r="A40" i="27"/>
  <c r="A47" i="28"/>
  <c r="E24" i="28"/>
  <c r="A49" i="27"/>
  <c r="E26" i="27"/>
  <c r="A46" i="27"/>
  <c r="E23" i="27"/>
  <c r="A45" i="27"/>
  <c r="E22" i="27"/>
  <c r="A45" i="29"/>
  <c r="E22" i="29"/>
  <c r="I19" i="23"/>
  <c r="E42" i="23"/>
  <c r="M42" i="23"/>
  <c r="Q19" i="23"/>
  <c r="I42" i="23"/>
  <c r="Q42" i="23"/>
  <c r="M19" i="23"/>
  <c r="E48" i="26"/>
  <c r="Q25" i="26"/>
  <c r="M48" i="26"/>
  <c r="Q48" i="26"/>
  <c r="M25" i="26"/>
  <c r="I25" i="26"/>
  <c r="I48" i="26"/>
  <c r="A58" i="28"/>
  <c r="E35" i="28"/>
  <c r="A58" i="31"/>
  <c r="E35" i="31"/>
  <c r="M25" i="24"/>
  <c r="Q25" i="24"/>
  <c r="M48" i="24"/>
  <c r="I48" i="24"/>
  <c r="I25" i="24"/>
  <c r="Q48" i="24"/>
  <c r="E48" i="24"/>
  <c r="E57" i="23"/>
  <c r="M57" i="23"/>
  <c r="M34" i="23"/>
  <c r="Q34" i="23"/>
  <c r="Q57" i="23"/>
  <c r="I57" i="23"/>
  <c r="I34" i="23"/>
  <c r="I52" i="23"/>
  <c r="E52" i="23"/>
  <c r="M29" i="23"/>
  <c r="I29" i="23"/>
  <c r="Q29" i="23"/>
  <c r="M52" i="23"/>
  <c r="Q52" i="23"/>
  <c r="Q22" i="23"/>
  <c r="E45" i="23"/>
  <c r="M45" i="23"/>
  <c r="M22" i="23"/>
  <c r="Q45" i="23"/>
  <c r="I45" i="23"/>
  <c r="I22" i="23"/>
  <c r="Q58" i="24"/>
  <c r="I58" i="24"/>
  <c r="I35" i="24"/>
  <c r="Q35" i="24"/>
  <c r="M58" i="24"/>
  <c r="E58" i="24"/>
  <c r="M35" i="24"/>
  <c r="E43" i="22"/>
  <c r="Q43" i="22"/>
  <c r="M20" i="22"/>
  <c r="I20" i="22"/>
  <c r="I43" i="22"/>
  <c r="Q20" i="22"/>
  <c r="M43" i="22"/>
  <c r="Q56" i="25"/>
  <c r="Q33" i="25"/>
  <c r="I56" i="25"/>
  <c r="M56" i="25"/>
  <c r="I33" i="25"/>
  <c r="M33" i="25"/>
  <c r="E56" i="25"/>
  <c r="M44" i="23"/>
  <c r="I21" i="23"/>
  <c r="M21" i="23"/>
  <c r="Q44" i="23"/>
  <c r="E44" i="23"/>
  <c r="I44" i="23"/>
  <c r="Q21" i="23"/>
  <c r="E29" i="31"/>
  <c r="A52" i="31"/>
  <c r="A59" i="29"/>
  <c r="E36" i="29"/>
  <c r="A43" i="27"/>
  <c r="E20" i="27"/>
  <c r="A41" i="29"/>
  <c r="E18" i="29"/>
  <c r="A41" i="31"/>
  <c r="E18" i="31"/>
  <c r="A38" i="28"/>
  <c r="E15" i="28"/>
  <c r="A42" i="27"/>
  <c r="E19" i="27"/>
  <c r="A42" i="31"/>
  <c r="E19" i="31"/>
  <c r="I24" i="25"/>
  <c r="Q47" i="25"/>
  <c r="Q24" i="25"/>
  <c r="I47" i="25"/>
  <c r="M24" i="25"/>
  <c r="M47" i="25"/>
  <c r="E47" i="25"/>
  <c r="M34" i="25"/>
  <c r="Q57" i="25"/>
  <c r="I57" i="25"/>
  <c r="I34" i="25"/>
  <c r="Q34" i="25"/>
  <c r="M57" i="25"/>
  <c r="E57" i="25"/>
  <c r="M53" i="23"/>
  <c r="Q30" i="23"/>
  <c r="Q53" i="23"/>
  <c r="E53" i="23"/>
  <c r="I30" i="23"/>
  <c r="I53" i="23"/>
  <c r="M30" i="23"/>
  <c r="I21" i="25"/>
  <c r="E44" i="25"/>
  <c r="M44" i="25"/>
  <c r="M21" i="25"/>
  <c r="I44" i="25"/>
  <c r="Q44" i="25"/>
  <c r="Q21" i="25"/>
  <c r="A39" i="28"/>
  <c r="E16" i="28"/>
  <c r="G49" i="1"/>
  <c r="G50" i="1" s="1"/>
  <c r="G60" i="1"/>
  <c r="G61" i="1" s="1"/>
  <c r="N20" i="32"/>
  <c r="T17" i="36" s="1"/>
  <c r="A64" i="21"/>
  <c r="Q64" i="21"/>
  <c r="I64" i="21"/>
  <c r="E64" i="21"/>
  <c r="M64" i="21"/>
  <c r="R20" i="32"/>
  <c r="AF17" i="36" s="1"/>
  <c r="E64" i="23"/>
  <c r="N22" i="32"/>
  <c r="T19" i="36" s="1"/>
  <c r="A64" i="23"/>
  <c r="I64" i="23"/>
  <c r="M64" i="23"/>
  <c r="Q64" i="23"/>
  <c r="M64" i="24"/>
  <c r="N23" i="32"/>
  <c r="T20" i="36" s="1"/>
  <c r="E64" i="24"/>
  <c r="I64" i="24"/>
  <c r="Q64" i="24"/>
  <c r="A64" i="24"/>
  <c r="M68" i="25"/>
  <c r="M68" i="20"/>
  <c r="M68" i="31"/>
  <c r="M47" i="15"/>
  <c r="M25" i="9"/>
  <c r="G33" i="1"/>
  <c r="G34" i="1" s="1"/>
  <c r="G35" i="1" s="1"/>
  <c r="M86" i="18"/>
  <c r="I86" i="18"/>
  <c r="Q86" i="18"/>
  <c r="E86" i="18"/>
  <c r="M43" i="5"/>
  <c r="I86" i="20"/>
  <c r="M86" i="20"/>
  <c r="Q86" i="20"/>
  <c r="E86" i="20"/>
  <c r="Q43" i="5"/>
  <c r="I85" i="17"/>
  <c r="M85" i="17" s="1"/>
  <c r="Q85" i="17" s="1"/>
  <c r="M73" i="24"/>
  <c r="M73" i="19"/>
  <c r="M73" i="29"/>
  <c r="M52" i="14"/>
  <c r="M30" i="7"/>
  <c r="P23" i="32"/>
  <c r="AD20" i="36" s="1"/>
  <c r="Q23" i="32"/>
  <c r="AE20" i="36" s="1"/>
  <c r="O23" i="32"/>
  <c r="AC20" i="36" s="1"/>
  <c r="R23" i="32"/>
  <c r="AF20" i="36" s="1"/>
  <c r="M68" i="19"/>
  <c r="M68" i="29"/>
  <c r="M68" i="24"/>
  <c r="M47" i="14"/>
  <c r="M25" i="7"/>
  <c r="M76" i="19"/>
  <c r="M76" i="24"/>
  <c r="M76" i="29"/>
  <c r="M55" i="14"/>
  <c r="M33" i="7"/>
  <c r="Q31" i="7"/>
  <c r="M25" i="6"/>
  <c r="M68" i="28"/>
  <c r="M68" i="23"/>
  <c r="M68" i="18"/>
  <c r="M47" i="13"/>
  <c r="M76" i="28"/>
  <c r="M76" i="18"/>
  <c r="M76" i="23"/>
  <c r="M55" i="13"/>
  <c r="M33" i="6"/>
  <c r="Q74" i="18"/>
  <c r="M73" i="18"/>
  <c r="M73" i="28"/>
  <c r="M73" i="23"/>
  <c r="M52" i="13"/>
  <c r="M30" i="6"/>
  <c r="R22" i="32"/>
  <c r="AF19" i="36" s="1"/>
  <c r="Q22" i="32"/>
  <c r="AE19" i="36" s="1"/>
  <c r="P22" i="32"/>
  <c r="AD19" i="36" s="1"/>
  <c r="O22" i="32"/>
  <c r="AC19" i="36" s="1"/>
  <c r="M73" i="16"/>
  <c r="M73" i="26"/>
  <c r="M73" i="21"/>
  <c r="M52" i="10"/>
  <c r="M68" i="16"/>
  <c r="M68" i="21"/>
  <c r="M47" i="10"/>
  <c r="M76" i="21"/>
  <c r="M76" i="16"/>
  <c r="M76" i="26"/>
  <c r="M55" i="10"/>
  <c r="M74" i="26"/>
  <c r="M74" i="16"/>
  <c r="M74" i="21"/>
  <c r="M53" i="10"/>
  <c r="O20" i="32"/>
  <c r="AC17" i="36" s="1"/>
  <c r="P20" i="32"/>
  <c r="AD17" i="36" s="1"/>
  <c r="Q20" i="32"/>
  <c r="AE17" i="36" s="1"/>
  <c r="Q43" i="9"/>
  <c r="I43" i="9"/>
  <c r="E43" i="5"/>
  <c r="M43" i="9"/>
  <c r="E43" i="7"/>
  <c r="I43" i="7"/>
  <c r="Q43" i="7"/>
  <c r="E65" i="15"/>
  <c r="I65" i="15"/>
  <c r="Q65" i="15"/>
  <c r="M65" i="15"/>
  <c r="I65" i="14"/>
  <c r="E65" i="14"/>
  <c r="Q65" i="14"/>
  <c r="M65" i="14"/>
  <c r="Q65" i="13"/>
  <c r="E65" i="13"/>
  <c r="I65" i="13"/>
  <c r="M65" i="13"/>
  <c r="M25" i="4"/>
  <c r="A86" i="26"/>
  <c r="A86" i="21"/>
  <c r="M33" i="4"/>
  <c r="M30" i="4"/>
  <c r="G80" i="1"/>
  <c r="G91" i="1"/>
  <c r="G82" i="1"/>
  <c r="G83" i="1" s="1"/>
  <c r="G93" i="1"/>
  <c r="G94" i="1" s="1"/>
  <c r="G71" i="1"/>
  <c r="G72" i="1" s="1"/>
  <c r="Q31" i="4" l="1"/>
  <c r="Q75" i="16"/>
  <c r="Q32" i="4"/>
  <c r="I86" i="19"/>
  <c r="Q86" i="19"/>
  <c r="M86" i="19"/>
  <c r="Q53" i="5"/>
  <c r="Q74" i="5"/>
  <c r="Q69" i="27"/>
  <c r="Q69" i="17"/>
  <c r="Q48" i="12"/>
  <c r="Q69" i="22"/>
  <c r="Q75" i="31"/>
  <c r="Q75" i="25"/>
  <c r="Q54" i="15"/>
  <c r="Q75" i="20"/>
  <c r="Q32" i="9"/>
  <c r="Q69" i="28"/>
  <c r="Q26" i="6"/>
  <c r="Q69" i="23"/>
  <c r="Q48" i="13"/>
  <c r="Q69" i="18"/>
  <c r="Q65" i="5"/>
  <c r="Q26" i="5"/>
  <c r="Q69" i="31"/>
  <c r="Q48" i="15"/>
  <c r="Q69" i="25"/>
  <c r="Q26" i="9"/>
  <c r="Q69" i="20"/>
  <c r="Q26" i="7"/>
  <c r="Q69" i="24"/>
  <c r="Q69" i="19"/>
  <c r="Q48" i="14"/>
  <c r="Q69" i="29"/>
  <c r="Q32" i="7"/>
  <c r="Q75" i="19"/>
  <c r="Q75" i="24"/>
  <c r="Q75" i="29"/>
  <c r="Q54" i="14"/>
  <c r="Q26" i="4"/>
  <c r="Q69" i="21"/>
  <c r="Q69" i="16"/>
  <c r="Q69" i="26"/>
  <c r="Q48" i="10"/>
  <c r="Q86" i="17"/>
  <c r="M86" i="17"/>
  <c r="E86" i="17"/>
  <c r="Q68" i="27"/>
  <c r="Q47" i="10"/>
  <c r="Q73" i="31"/>
  <c r="Q73" i="25"/>
  <c r="Q73" i="20"/>
  <c r="Q52" i="15"/>
  <c r="Q30" i="9"/>
  <c r="Q76" i="25"/>
  <c r="Q76" i="31"/>
  <c r="Q76" i="20"/>
  <c r="Q55" i="15"/>
  <c r="Q33" i="9"/>
  <c r="Q83" i="28"/>
  <c r="M83" i="28"/>
  <c r="I83" i="28"/>
  <c r="E83" i="28"/>
  <c r="I81" i="29"/>
  <c r="Q81" i="29"/>
  <c r="M81" i="29"/>
  <c r="E81" i="29"/>
  <c r="M83" i="29"/>
  <c r="I83" i="29"/>
  <c r="Q83" i="29"/>
  <c r="E83" i="29"/>
  <c r="I81" i="28"/>
  <c r="Q81" i="28"/>
  <c r="M81" i="28"/>
  <c r="E81" i="28"/>
  <c r="Q83" i="27"/>
  <c r="M83" i="27"/>
  <c r="I83" i="27"/>
  <c r="E83" i="27"/>
  <c r="I81" i="27"/>
  <c r="Q81" i="27"/>
  <c r="M81" i="27"/>
  <c r="E81" i="27"/>
  <c r="M83" i="31"/>
  <c r="I83" i="31"/>
  <c r="Q83" i="31"/>
  <c r="E83" i="31"/>
  <c r="I81" i="31"/>
  <c r="Q81" i="31"/>
  <c r="M81" i="31"/>
  <c r="E81" i="31"/>
  <c r="Q64" i="31"/>
  <c r="Q29" i="32"/>
  <c r="AE26" i="36" s="1"/>
  <c r="A64" i="31"/>
  <c r="E64" i="31"/>
  <c r="P29" i="32"/>
  <c r="AD26" i="36" s="1"/>
  <c r="N29" i="32"/>
  <c r="T26" i="36" s="1"/>
  <c r="I64" i="31"/>
  <c r="M64" i="31"/>
  <c r="R29" i="32"/>
  <c r="AF26" i="36" s="1"/>
  <c r="O29" i="32"/>
  <c r="AC26" i="36" s="1"/>
  <c r="M61" i="28"/>
  <c r="I61" i="28"/>
  <c r="Q61" i="28"/>
  <c r="E61" i="28"/>
  <c r="M61" i="31"/>
  <c r="I61" i="31"/>
  <c r="Q61" i="31"/>
  <c r="E61" i="31"/>
  <c r="M61" i="27"/>
  <c r="I61" i="27"/>
  <c r="E61" i="27"/>
  <c r="Q61" i="27"/>
  <c r="I61" i="29"/>
  <c r="M61" i="29"/>
  <c r="E61" i="29"/>
  <c r="Q61" i="29"/>
  <c r="I13" i="28"/>
  <c r="E13" i="28"/>
  <c r="Q13" i="28"/>
  <c r="M13" i="28"/>
  <c r="M13" i="29"/>
  <c r="Q13" i="29"/>
  <c r="E13" i="29"/>
  <c r="I13" i="29"/>
  <c r="M13" i="31"/>
  <c r="E13" i="31"/>
  <c r="Q13" i="31"/>
  <c r="I13" i="31"/>
  <c r="M13" i="27"/>
  <c r="E13" i="27"/>
  <c r="I13" i="27"/>
  <c r="Q13" i="27"/>
  <c r="I40" i="27"/>
  <c r="I17" i="27"/>
  <c r="M40" i="27"/>
  <c r="Q17" i="27"/>
  <c r="M17" i="27"/>
  <c r="E40" i="27"/>
  <c r="Q40" i="27"/>
  <c r="Q40" i="28"/>
  <c r="I17" i="28"/>
  <c r="E40" i="28"/>
  <c r="Q17" i="28"/>
  <c r="M40" i="28"/>
  <c r="M17" i="28"/>
  <c r="I40" i="28"/>
  <c r="M38" i="31"/>
  <c r="M15" i="31"/>
  <c r="E38" i="31"/>
  <c r="Q38" i="31"/>
  <c r="I38" i="31"/>
  <c r="I15" i="31"/>
  <c r="Q15" i="31"/>
  <c r="I29" i="28"/>
  <c r="M52" i="28"/>
  <c r="M29" i="28"/>
  <c r="E52" i="28"/>
  <c r="I52" i="28"/>
  <c r="Q52" i="28"/>
  <c r="Q29" i="28"/>
  <c r="Q58" i="29"/>
  <c r="M35" i="29"/>
  <c r="I35" i="29"/>
  <c r="I58" i="29"/>
  <c r="E58" i="29"/>
  <c r="Q35" i="29"/>
  <c r="M58" i="29"/>
  <c r="M50" i="28"/>
  <c r="Q27" i="28"/>
  <c r="Q50" i="28"/>
  <c r="E50" i="28"/>
  <c r="I27" i="28"/>
  <c r="I50" i="28"/>
  <c r="M27" i="28"/>
  <c r="M34" i="27"/>
  <c r="I34" i="27"/>
  <c r="I57" i="27"/>
  <c r="M57" i="27"/>
  <c r="Q34" i="27"/>
  <c r="E57" i="27"/>
  <c r="Q57" i="27"/>
  <c r="Q42" i="31"/>
  <c r="Q19" i="31"/>
  <c r="I19" i="31"/>
  <c r="E42" i="31"/>
  <c r="M42" i="31"/>
  <c r="M19" i="31"/>
  <c r="I42" i="31"/>
  <c r="E38" i="28"/>
  <c r="I15" i="28"/>
  <c r="M15" i="28"/>
  <c r="I38" i="28"/>
  <c r="M38" i="28"/>
  <c r="Q15" i="28"/>
  <c r="Q38" i="28"/>
  <c r="E41" i="29"/>
  <c r="I18" i="29"/>
  <c r="M18" i="29"/>
  <c r="I41" i="29"/>
  <c r="Q18" i="29"/>
  <c r="M41" i="29"/>
  <c r="Q41" i="29"/>
  <c r="M59" i="29"/>
  <c r="I36" i="29"/>
  <c r="M36" i="29"/>
  <c r="Q36" i="29"/>
  <c r="Q59" i="29"/>
  <c r="I59" i="29"/>
  <c r="E59" i="29"/>
  <c r="M58" i="31"/>
  <c r="E58" i="31"/>
  <c r="M35" i="31"/>
  <c r="Q58" i="31"/>
  <c r="I58" i="31"/>
  <c r="Q35" i="31"/>
  <c r="I35" i="31"/>
  <c r="Q45" i="27"/>
  <c r="Q22" i="27"/>
  <c r="I22" i="27"/>
  <c r="E45" i="27"/>
  <c r="I45" i="27"/>
  <c r="M22" i="27"/>
  <c r="M45" i="27"/>
  <c r="I26" i="27"/>
  <c r="E49" i="27"/>
  <c r="I49" i="27"/>
  <c r="M26" i="27"/>
  <c r="M49" i="27"/>
  <c r="Q49" i="27"/>
  <c r="Q26" i="27"/>
  <c r="I27" i="27"/>
  <c r="I50" i="27"/>
  <c r="M50" i="27"/>
  <c r="Q27" i="27"/>
  <c r="E50" i="27"/>
  <c r="Q50" i="27"/>
  <c r="M27" i="27"/>
  <c r="E54" i="27"/>
  <c r="Q31" i="27"/>
  <c r="M31" i="27"/>
  <c r="Q54" i="27"/>
  <c r="M54" i="27"/>
  <c r="I31" i="27"/>
  <c r="I54" i="27"/>
  <c r="M51" i="29"/>
  <c r="M28" i="29"/>
  <c r="E51" i="29"/>
  <c r="Q28" i="29"/>
  <c r="I51" i="29"/>
  <c r="I28" i="29"/>
  <c r="Q51" i="29"/>
  <c r="M39" i="27"/>
  <c r="I16" i="27"/>
  <c r="Q16" i="27"/>
  <c r="I39" i="27"/>
  <c r="Q39" i="27"/>
  <c r="E39" i="27"/>
  <c r="M16" i="27"/>
  <c r="M43" i="31"/>
  <c r="I20" i="31"/>
  <c r="I43" i="31"/>
  <c r="M20" i="31"/>
  <c r="Q43" i="31"/>
  <c r="Q20" i="31"/>
  <c r="E43" i="31"/>
  <c r="M26" i="31"/>
  <c r="M49" i="31"/>
  <c r="Q49" i="31"/>
  <c r="Q26" i="31"/>
  <c r="I26" i="31"/>
  <c r="E49" i="31"/>
  <c r="I49" i="31"/>
  <c r="M47" i="27"/>
  <c r="I47" i="27"/>
  <c r="E47" i="27"/>
  <c r="M24" i="27"/>
  <c r="Q24" i="27"/>
  <c r="Q47" i="27"/>
  <c r="I24" i="27"/>
  <c r="I56" i="29"/>
  <c r="Q56" i="29"/>
  <c r="Q33" i="29"/>
  <c r="I33" i="29"/>
  <c r="E56" i="29"/>
  <c r="M56" i="29"/>
  <c r="M33" i="29"/>
  <c r="M23" i="28"/>
  <c r="Q23" i="28"/>
  <c r="M46" i="28"/>
  <c r="I46" i="28"/>
  <c r="Q46" i="28"/>
  <c r="E46" i="28"/>
  <c r="I23" i="28"/>
  <c r="I49" i="29"/>
  <c r="M49" i="29"/>
  <c r="Q49" i="29"/>
  <c r="E49" i="29"/>
  <c r="I26" i="29"/>
  <c r="Q26" i="29"/>
  <c r="M26" i="29"/>
  <c r="M32" i="28"/>
  <c r="M55" i="28"/>
  <c r="I32" i="28"/>
  <c r="I55" i="28"/>
  <c r="E55" i="28"/>
  <c r="Q32" i="28"/>
  <c r="Q55" i="28"/>
  <c r="I30" i="29"/>
  <c r="E53" i="29"/>
  <c r="M53" i="29"/>
  <c r="M30" i="29"/>
  <c r="I53" i="29"/>
  <c r="Q30" i="29"/>
  <c r="Q53" i="29"/>
  <c r="I34" i="31"/>
  <c r="E57" i="31"/>
  <c r="I57" i="31"/>
  <c r="M34" i="31"/>
  <c r="Q34" i="31"/>
  <c r="Q57" i="31"/>
  <c r="M57" i="31"/>
  <c r="I44" i="27"/>
  <c r="M44" i="27"/>
  <c r="I21" i="27"/>
  <c r="Q44" i="27"/>
  <c r="M21" i="27"/>
  <c r="Q21" i="27"/>
  <c r="E44" i="27"/>
  <c r="Q42" i="28"/>
  <c r="Q19" i="28"/>
  <c r="I19" i="28"/>
  <c r="E42" i="28"/>
  <c r="M42" i="28"/>
  <c r="I42" i="28"/>
  <c r="M19" i="28"/>
  <c r="I48" i="27"/>
  <c r="I25" i="27"/>
  <c r="M48" i="27"/>
  <c r="E48" i="27"/>
  <c r="Q48" i="27"/>
  <c r="Q25" i="27"/>
  <c r="M25" i="27"/>
  <c r="M47" i="29"/>
  <c r="I24" i="29"/>
  <c r="Q47" i="29"/>
  <c r="E47" i="29"/>
  <c r="I47" i="29"/>
  <c r="Q24" i="29"/>
  <c r="M24" i="29"/>
  <c r="M55" i="27"/>
  <c r="I32" i="27"/>
  <c r="Q32" i="27"/>
  <c r="I55" i="27"/>
  <c r="E55" i="27"/>
  <c r="M32" i="27"/>
  <c r="Q55" i="27"/>
  <c r="I41" i="28"/>
  <c r="I18" i="28"/>
  <c r="M41" i="28"/>
  <c r="Q41" i="28"/>
  <c r="M18" i="28"/>
  <c r="E41" i="28"/>
  <c r="Q18" i="28"/>
  <c r="I53" i="28"/>
  <c r="I30" i="28"/>
  <c r="E53" i="28"/>
  <c r="Q53" i="28"/>
  <c r="M30" i="28"/>
  <c r="Q30" i="28"/>
  <c r="M53" i="28"/>
  <c r="I33" i="28"/>
  <c r="Q56" i="28"/>
  <c r="I56" i="28"/>
  <c r="M56" i="28"/>
  <c r="E56" i="28"/>
  <c r="M33" i="28"/>
  <c r="Q33" i="28"/>
  <c r="E52" i="31"/>
  <c r="M52" i="31"/>
  <c r="M29" i="31"/>
  <c r="I52" i="31"/>
  <c r="Q52" i="31"/>
  <c r="Q29" i="31"/>
  <c r="I29" i="31"/>
  <c r="Q33" i="31"/>
  <c r="I33" i="31"/>
  <c r="E56" i="31"/>
  <c r="M56" i="31"/>
  <c r="M33" i="31"/>
  <c r="I56" i="31"/>
  <c r="Q56" i="31"/>
  <c r="M55" i="31"/>
  <c r="Q32" i="31"/>
  <c r="I32" i="31"/>
  <c r="M32" i="31"/>
  <c r="Q55" i="31"/>
  <c r="I55" i="31"/>
  <c r="E55" i="31"/>
  <c r="M42" i="29"/>
  <c r="M19" i="29"/>
  <c r="E42" i="29"/>
  <c r="Q42" i="29"/>
  <c r="I42" i="29"/>
  <c r="I19" i="29"/>
  <c r="Q19" i="29"/>
  <c r="M15" i="27"/>
  <c r="Q15" i="27"/>
  <c r="M38" i="27"/>
  <c r="Q38" i="27"/>
  <c r="E38" i="27"/>
  <c r="I38" i="27"/>
  <c r="I15" i="27"/>
  <c r="M35" i="27"/>
  <c r="Q58" i="27"/>
  <c r="M58" i="27"/>
  <c r="I35" i="27"/>
  <c r="I58" i="27"/>
  <c r="E58" i="27"/>
  <c r="Q35" i="27"/>
  <c r="M55" i="29"/>
  <c r="Q55" i="29"/>
  <c r="E55" i="29"/>
  <c r="I55" i="29"/>
  <c r="M32" i="29"/>
  <c r="I32" i="29"/>
  <c r="Q32" i="29"/>
  <c r="E53" i="31"/>
  <c r="I30" i="31"/>
  <c r="M30" i="31"/>
  <c r="Q30" i="31"/>
  <c r="I53" i="31"/>
  <c r="M53" i="31"/>
  <c r="Q53" i="31"/>
  <c r="E51" i="28"/>
  <c r="Q51" i="28"/>
  <c r="M51" i="28"/>
  <c r="I28" i="28"/>
  <c r="I51" i="28"/>
  <c r="M28" i="28"/>
  <c r="Q28" i="28"/>
  <c r="I44" i="31"/>
  <c r="Q44" i="31"/>
  <c r="Q21" i="31"/>
  <c r="I21" i="31"/>
  <c r="E44" i="31"/>
  <c r="M44" i="31"/>
  <c r="M21" i="31"/>
  <c r="Q54" i="31"/>
  <c r="Q31" i="31"/>
  <c r="I31" i="31"/>
  <c r="E54" i="31"/>
  <c r="M54" i="31"/>
  <c r="M31" i="31"/>
  <c r="I54" i="31"/>
  <c r="M39" i="31"/>
  <c r="Q16" i="31"/>
  <c r="I16" i="31"/>
  <c r="Q39" i="31"/>
  <c r="M16" i="31"/>
  <c r="E39" i="31"/>
  <c r="I39" i="31"/>
  <c r="M43" i="29"/>
  <c r="I20" i="29"/>
  <c r="M20" i="29"/>
  <c r="Q20" i="29"/>
  <c r="E43" i="29"/>
  <c r="I43" i="29"/>
  <c r="Q43" i="29"/>
  <c r="I52" i="27"/>
  <c r="I29" i="27"/>
  <c r="Q52" i="27"/>
  <c r="M29" i="27"/>
  <c r="M52" i="27"/>
  <c r="Q29" i="27"/>
  <c r="E52" i="27"/>
  <c r="M48" i="29"/>
  <c r="I25" i="29"/>
  <c r="E48" i="29"/>
  <c r="I48" i="29"/>
  <c r="M25" i="29"/>
  <c r="Q25" i="29"/>
  <c r="Q48" i="29"/>
  <c r="M20" i="28"/>
  <c r="E43" i="28"/>
  <c r="I20" i="28"/>
  <c r="Q43" i="28"/>
  <c r="M43" i="28"/>
  <c r="I43" i="28"/>
  <c r="Q20" i="28"/>
  <c r="I45" i="28"/>
  <c r="I22" i="28"/>
  <c r="M45" i="28"/>
  <c r="Q22" i="28"/>
  <c r="E45" i="28"/>
  <c r="Q45" i="28"/>
  <c r="M22" i="28"/>
  <c r="M27" i="29"/>
  <c r="Q50" i="29"/>
  <c r="I50" i="29"/>
  <c r="I27" i="29"/>
  <c r="Q27" i="29"/>
  <c r="M50" i="29"/>
  <c r="E50" i="29"/>
  <c r="E57" i="29"/>
  <c r="I34" i="29"/>
  <c r="M34" i="29"/>
  <c r="Q34" i="29"/>
  <c r="I57" i="29"/>
  <c r="M57" i="29"/>
  <c r="Q57" i="29"/>
  <c r="E48" i="31"/>
  <c r="M48" i="31"/>
  <c r="M25" i="31"/>
  <c r="I48" i="31"/>
  <c r="Q48" i="31"/>
  <c r="Q25" i="31"/>
  <c r="I25" i="31"/>
  <c r="M46" i="31"/>
  <c r="Q46" i="31"/>
  <c r="I46" i="31"/>
  <c r="I23" i="31"/>
  <c r="Q23" i="31"/>
  <c r="M23" i="31"/>
  <c r="E46" i="31"/>
  <c r="M21" i="28"/>
  <c r="I44" i="28"/>
  <c r="Q21" i="28"/>
  <c r="I21" i="28"/>
  <c r="Q44" i="28"/>
  <c r="M44" i="28"/>
  <c r="E44" i="28"/>
  <c r="Q17" i="29"/>
  <c r="Q40" i="29"/>
  <c r="M40" i="29"/>
  <c r="I17" i="29"/>
  <c r="E40" i="29"/>
  <c r="I40" i="29"/>
  <c r="M17" i="29"/>
  <c r="M18" i="27"/>
  <c r="Q18" i="27"/>
  <c r="Q41" i="27"/>
  <c r="M41" i="27"/>
  <c r="I18" i="27"/>
  <c r="E41" i="27"/>
  <c r="I41" i="27"/>
  <c r="Q48" i="28"/>
  <c r="I25" i="28"/>
  <c r="M48" i="28"/>
  <c r="M25" i="28"/>
  <c r="I48" i="28"/>
  <c r="Q25" i="28"/>
  <c r="E48" i="28"/>
  <c r="M16" i="28"/>
  <c r="I39" i="28"/>
  <c r="Q39" i="28"/>
  <c r="Q16" i="28"/>
  <c r="I16" i="28"/>
  <c r="E39" i="28"/>
  <c r="M39" i="28"/>
  <c r="M42" i="27"/>
  <c r="Q42" i="27"/>
  <c r="E42" i="27"/>
  <c r="I19" i="27"/>
  <c r="I42" i="27"/>
  <c r="M19" i="27"/>
  <c r="Q19" i="27"/>
  <c r="Q41" i="31"/>
  <c r="E41" i="31"/>
  <c r="I18" i="31"/>
  <c r="M18" i="31"/>
  <c r="M41" i="31"/>
  <c r="I41" i="31"/>
  <c r="Q18" i="31"/>
  <c r="M43" i="27"/>
  <c r="I20" i="27"/>
  <c r="M20" i="27"/>
  <c r="Q43" i="27"/>
  <c r="I43" i="27"/>
  <c r="Q20" i="27"/>
  <c r="E43" i="27"/>
  <c r="M35" i="28"/>
  <c r="I58" i="28"/>
  <c r="Q58" i="28"/>
  <c r="Q35" i="28"/>
  <c r="I35" i="28"/>
  <c r="E58" i="28"/>
  <c r="M58" i="28"/>
  <c r="I22" i="29"/>
  <c r="E45" i="29"/>
  <c r="M45" i="29"/>
  <c r="M22" i="29"/>
  <c r="I45" i="29"/>
  <c r="Q45" i="29"/>
  <c r="Q22" i="29"/>
  <c r="Q46" i="27"/>
  <c r="M23" i="27"/>
  <c r="I23" i="27"/>
  <c r="I46" i="27"/>
  <c r="M46" i="27"/>
  <c r="Q23" i="27"/>
  <c r="E46" i="27"/>
  <c r="E47" i="28"/>
  <c r="M47" i="28"/>
  <c r="M24" i="28"/>
  <c r="Q24" i="28"/>
  <c r="Q47" i="28"/>
  <c r="I24" i="28"/>
  <c r="I47" i="28"/>
  <c r="E54" i="29"/>
  <c r="Q31" i="29"/>
  <c r="M54" i="29"/>
  <c r="Q54" i="29"/>
  <c r="M31" i="29"/>
  <c r="I31" i="29"/>
  <c r="I54" i="29"/>
  <c r="I57" i="28"/>
  <c r="M57" i="28"/>
  <c r="I34" i="28"/>
  <c r="Q57" i="28"/>
  <c r="M34" i="28"/>
  <c r="E57" i="28"/>
  <c r="Q34" i="28"/>
  <c r="Q45" i="31"/>
  <c r="E45" i="31"/>
  <c r="I22" i="31"/>
  <c r="M22" i="31"/>
  <c r="Q22" i="31"/>
  <c r="I45" i="31"/>
  <c r="M45" i="31"/>
  <c r="Q54" i="28"/>
  <c r="E54" i="28"/>
  <c r="I31" i="28"/>
  <c r="M31" i="28"/>
  <c r="I54" i="28"/>
  <c r="M54" i="28"/>
  <c r="Q31" i="28"/>
  <c r="M36" i="28"/>
  <c r="I59" i="28"/>
  <c r="Q36" i="28"/>
  <c r="E59" i="28"/>
  <c r="Q59" i="28"/>
  <c r="I36" i="28"/>
  <c r="M59" i="28"/>
  <c r="E52" i="29"/>
  <c r="I52" i="29"/>
  <c r="M29" i="29"/>
  <c r="Q29" i="29"/>
  <c r="Q52" i="29"/>
  <c r="M52" i="29"/>
  <c r="I29" i="29"/>
  <c r="Q17" i="31"/>
  <c r="Q40" i="31"/>
  <c r="E40" i="31"/>
  <c r="I17" i="31"/>
  <c r="M17" i="31"/>
  <c r="M40" i="31"/>
  <c r="I40" i="31"/>
  <c r="I49" i="28"/>
  <c r="I26" i="28"/>
  <c r="M49" i="28"/>
  <c r="Q49" i="28"/>
  <c r="Q26" i="28"/>
  <c r="E49" i="28"/>
  <c r="M26" i="28"/>
  <c r="M51" i="31"/>
  <c r="I28" i="31"/>
  <c r="Q51" i="31"/>
  <c r="M28" i="31"/>
  <c r="E51" i="31"/>
  <c r="I51" i="31"/>
  <c r="Q28" i="31"/>
  <c r="I15" i="29"/>
  <c r="Q15" i="29"/>
  <c r="I38" i="29"/>
  <c r="Q38" i="29"/>
  <c r="M15" i="29"/>
  <c r="M38" i="29"/>
  <c r="E38" i="29"/>
  <c r="M59" i="27"/>
  <c r="I36" i="27"/>
  <c r="M36" i="27"/>
  <c r="I59" i="27"/>
  <c r="Q36" i="27"/>
  <c r="Q59" i="27"/>
  <c r="E59" i="27"/>
  <c r="I23" i="29"/>
  <c r="I46" i="29"/>
  <c r="M23" i="29"/>
  <c r="Q23" i="29"/>
  <c r="M46" i="29"/>
  <c r="Q46" i="29"/>
  <c r="E46" i="29"/>
  <c r="E47" i="31"/>
  <c r="Q24" i="31"/>
  <c r="M47" i="31"/>
  <c r="I24" i="31"/>
  <c r="Q47" i="31"/>
  <c r="M24" i="31"/>
  <c r="I47" i="31"/>
  <c r="I27" i="31"/>
  <c r="Q27" i="31"/>
  <c r="M27" i="31"/>
  <c r="E50" i="31"/>
  <c r="M50" i="31"/>
  <c r="Q50" i="31"/>
  <c r="I50" i="31"/>
  <c r="E53" i="27"/>
  <c r="I30" i="27"/>
  <c r="M30" i="27"/>
  <c r="Q30" i="27"/>
  <c r="I53" i="27"/>
  <c r="M53" i="27"/>
  <c r="Q53" i="27"/>
  <c r="M51" i="27"/>
  <c r="I28" i="27"/>
  <c r="M28" i="27"/>
  <c r="Q28" i="27"/>
  <c r="Q51" i="27"/>
  <c r="I51" i="27"/>
  <c r="E51" i="27"/>
  <c r="M39" i="29"/>
  <c r="I16" i="29"/>
  <c r="E39" i="29"/>
  <c r="Q39" i="29"/>
  <c r="I39" i="29"/>
  <c r="Q16" i="29"/>
  <c r="M16" i="29"/>
  <c r="M59" i="31"/>
  <c r="I36" i="31"/>
  <c r="I59" i="31"/>
  <c r="Q59" i="31"/>
  <c r="M36" i="31"/>
  <c r="E59" i="31"/>
  <c r="Q36" i="31"/>
  <c r="I56" i="27"/>
  <c r="M56" i="27"/>
  <c r="I33" i="27"/>
  <c r="Q33" i="27"/>
  <c r="M33" i="27"/>
  <c r="E56" i="27"/>
  <c r="Q56" i="27"/>
  <c r="Q21" i="29"/>
  <c r="Q44" i="29"/>
  <c r="E44" i="29"/>
  <c r="I21" i="29"/>
  <c r="M21" i="29"/>
  <c r="I44" i="29"/>
  <c r="M44" i="29"/>
  <c r="A64" i="26"/>
  <c r="M64" i="26"/>
  <c r="I64" i="26"/>
  <c r="N25" i="32"/>
  <c r="T22" i="36" s="1"/>
  <c r="Q64" i="26"/>
  <c r="E64" i="26"/>
  <c r="M64" i="29"/>
  <c r="A64" i="29"/>
  <c r="E64" i="29"/>
  <c r="I64" i="29"/>
  <c r="Q64" i="29"/>
  <c r="N28" i="32"/>
  <c r="T25" i="36" s="1"/>
  <c r="I64" i="28"/>
  <c r="M64" i="28"/>
  <c r="Q64" i="28"/>
  <c r="N27" i="32"/>
  <c r="T24" i="36" s="1"/>
  <c r="E64" i="28"/>
  <c r="A64" i="28"/>
  <c r="Q68" i="31"/>
  <c r="Q68" i="20"/>
  <c r="Q68" i="25"/>
  <c r="Q47" i="15"/>
  <c r="Q25" i="9"/>
  <c r="M86" i="21"/>
  <c r="Q86" i="21"/>
  <c r="I86" i="21"/>
  <c r="A86" i="24"/>
  <c r="E86" i="21"/>
  <c r="A86" i="23"/>
  <c r="A86" i="22"/>
  <c r="A86" i="25"/>
  <c r="R28" i="32"/>
  <c r="AF25" i="36" s="1"/>
  <c r="Q28" i="32"/>
  <c r="AE25" i="36" s="1"/>
  <c r="P28" i="32"/>
  <c r="AD25" i="36" s="1"/>
  <c r="O28" i="32"/>
  <c r="AC25" i="36" s="1"/>
  <c r="Q76" i="24"/>
  <c r="Q76" i="19"/>
  <c r="Q76" i="29"/>
  <c r="Q55" i="14"/>
  <c r="Q33" i="7"/>
  <c r="Q68" i="24"/>
  <c r="Q68" i="19"/>
  <c r="Q68" i="29"/>
  <c r="Q47" i="14"/>
  <c r="Q25" i="7"/>
  <c r="Q73" i="29"/>
  <c r="Q73" i="24"/>
  <c r="Q73" i="19"/>
  <c r="Q52" i="14"/>
  <c r="Q30" i="7"/>
  <c r="Q73" i="18"/>
  <c r="Q73" i="28"/>
  <c r="Q73" i="23"/>
  <c r="Q52" i="13"/>
  <c r="Q30" i="6"/>
  <c r="Q25" i="6"/>
  <c r="Q68" i="18"/>
  <c r="Q68" i="28"/>
  <c r="Q68" i="23"/>
  <c r="Q47" i="13"/>
  <c r="Q76" i="18"/>
  <c r="Q76" i="23"/>
  <c r="Q76" i="28"/>
  <c r="Q55" i="13"/>
  <c r="Q33" i="6"/>
  <c r="M86" i="26"/>
  <c r="Q86" i="26"/>
  <c r="I86" i="26"/>
  <c r="A86" i="31"/>
  <c r="A86" i="28"/>
  <c r="A86" i="29"/>
  <c r="A86" i="27"/>
  <c r="E86" i="26"/>
  <c r="O27" i="32"/>
  <c r="AC24" i="36" s="1"/>
  <c r="R27" i="32"/>
  <c r="AF24" i="36" s="1"/>
  <c r="Q27" i="32"/>
  <c r="AE24" i="36" s="1"/>
  <c r="P27" i="32"/>
  <c r="AD24" i="36" s="1"/>
  <c r="Q68" i="16"/>
  <c r="Q68" i="21"/>
  <c r="Q68" i="26"/>
  <c r="Q76" i="26"/>
  <c r="Q76" i="21"/>
  <c r="Q76" i="16"/>
  <c r="Q73" i="21"/>
  <c r="Q73" i="16"/>
  <c r="Q73" i="26"/>
  <c r="Q74" i="26"/>
  <c r="Q74" i="16"/>
  <c r="Q74" i="21"/>
  <c r="P25" i="32"/>
  <c r="AD22" i="36" s="1"/>
  <c r="R25" i="32"/>
  <c r="AF22" i="36" s="1"/>
  <c r="O25" i="32"/>
  <c r="AC22" i="36" s="1"/>
  <c r="Q25" i="32"/>
  <c r="AE22" i="36" s="1"/>
  <c r="Q25" i="4"/>
  <c r="Q53" i="10"/>
  <c r="Q55" i="10"/>
  <c r="Q33" i="4"/>
  <c r="Q52" i="10"/>
  <c r="I86" i="22" l="1"/>
  <c r="M86" i="22"/>
  <c r="Q86" i="22"/>
  <c r="E86" i="22"/>
  <c r="Q86" i="25"/>
  <c r="I86" i="25"/>
  <c r="M86" i="25"/>
  <c r="E86" i="25"/>
  <c r="I86" i="24"/>
  <c r="M86" i="24"/>
  <c r="Q86" i="24"/>
  <c r="E86" i="24"/>
  <c r="E86" i="23"/>
  <c r="Q86" i="23"/>
  <c r="I86" i="23"/>
  <c r="M86" i="23"/>
  <c r="I86" i="27"/>
  <c r="M86" i="27"/>
  <c r="Q86" i="27"/>
  <c r="E86" i="27"/>
  <c r="I86" i="29"/>
  <c r="M86" i="29"/>
  <c r="Q86" i="29"/>
  <c r="E86" i="29"/>
  <c r="M86" i="31"/>
  <c r="Q86" i="31"/>
  <c r="I86" i="31"/>
  <c r="E86" i="31"/>
  <c r="M86" i="28"/>
  <c r="Q86" i="28"/>
  <c r="I86" i="28"/>
  <c r="E86" i="28"/>
  <c r="Q62" i="16" l="1"/>
  <c r="E62" i="16"/>
  <c r="I62" i="16"/>
  <c r="A62" i="20"/>
  <c r="Q62" i="20" s="1"/>
  <c r="M62" i="16"/>
  <c r="I61" i="16"/>
  <c r="E61" i="16"/>
  <c r="M61" i="16"/>
  <c r="A61" i="20"/>
  <c r="Q61" i="20" s="1"/>
  <c r="Q61" i="16"/>
  <c r="A61" i="18"/>
  <c r="E61" i="18" s="1"/>
  <c r="A61" i="17"/>
  <c r="A62" i="17"/>
  <c r="A62" i="19"/>
  <c r="Q62" i="19" s="1"/>
  <c r="A61" i="19"/>
  <c r="Q61" i="19" s="1"/>
  <c r="A62" i="18"/>
  <c r="M62" i="18" s="1"/>
  <c r="I61" i="17" l="1"/>
  <c r="E61" i="17"/>
  <c r="Q62" i="17"/>
  <c r="E62" i="17"/>
  <c r="E62" i="18"/>
  <c r="I62" i="19"/>
  <c r="E61" i="19"/>
  <c r="E62" i="19"/>
  <c r="M62" i="19"/>
  <c r="Q62" i="18"/>
  <c r="E62" i="20"/>
  <c r="E61" i="20"/>
  <c r="M61" i="19"/>
  <c r="I61" i="19"/>
  <c r="M61" i="17"/>
  <c r="I61" i="20"/>
  <c r="M62" i="20"/>
  <c r="I62" i="18"/>
  <c r="M62" i="17"/>
  <c r="Q61" i="17"/>
  <c r="M61" i="18"/>
  <c r="M61" i="20"/>
  <c r="I62" i="20"/>
  <c r="I62" i="17"/>
  <c r="I61" i="18"/>
  <c r="Q61" i="18"/>
  <c r="Q62" i="21"/>
  <c r="I62" i="21"/>
  <c r="M62" i="21"/>
  <c r="E62" i="21"/>
  <c r="Q61" i="21"/>
  <c r="E61" i="21"/>
  <c r="I61" i="21"/>
  <c r="M61" i="21"/>
  <c r="E58" i="1"/>
  <c r="C58" i="1"/>
  <c r="D58" i="1"/>
  <c r="F58" i="1"/>
  <c r="C56" i="1"/>
  <c r="A76" i="27" s="1"/>
  <c r="G58" i="1"/>
  <c r="C57" i="1"/>
  <c r="A32" i="5" s="1"/>
  <c r="C54" i="1"/>
  <c r="A31" i="5" s="1"/>
  <c r="C55" i="1"/>
  <c r="A73" i="17" s="1"/>
  <c r="Q68" i="17"/>
  <c r="A75" i="22" l="1"/>
  <c r="A75" i="17"/>
  <c r="A54" i="12"/>
  <c r="A75" i="27"/>
  <c r="N16" i="32"/>
  <c r="T13" i="36" s="1"/>
  <c r="Q64" i="17"/>
  <c r="E64" i="17"/>
  <c r="I64" i="17"/>
  <c r="A64" i="17"/>
  <c r="M64" i="17"/>
  <c r="Q6" i="32"/>
  <c r="N6" i="32"/>
  <c r="T3" i="36" s="1"/>
  <c r="E21" i="5"/>
  <c r="M21" i="5"/>
  <c r="A21" i="5"/>
  <c r="I21" i="5"/>
  <c r="Q21" i="5"/>
  <c r="E64" i="27"/>
  <c r="I64" i="27"/>
  <c r="M64" i="27"/>
  <c r="N26" i="32"/>
  <c r="Q64" i="27"/>
  <c r="A64" i="27"/>
  <c r="P21" i="32"/>
  <c r="A64" i="22"/>
  <c r="M64" i="22"/>
  <c r="Q64" i="22"/>
  <c r="N21" i="32"/>
  <c r="E64" i="22"/>
  <c r="I64" i="22"/>
  <c r="A43" i="12"/>
  <c r="E43" i="12"/>
  <c r="P11" i="32"/>
  <c r="R11" i="32"/>
  <c r="N11" i="32"/>
  <c r="I43" i="12"/>
  <c r="M43" i="12"/>
  <c r="Q11" i="32"/>
  <c r="Q43" i="12"/>
  <c r="Q21" i="32"/>
  <c r="I76" i="22"/>
  <c r="Q47" i="12"/>
  <c r="A73" i="22"/>
  <c r="P26" i="32"/>
  <c r="E68" i="22"/>
  <c r="I47" i="12"/>
  <c r="E25" i="5"/>
  <c r="R21" i="32"/>
  <c r="O6" i="32"/>
  <c r="R26" i="32"/>
  <c r="A33" i="5"/>
  <c r="M47" i="12"/>
  <c r="M25" i="5"/>
  <c r="M68" i="17"/>
  <c r="E31" i="5"/>
  <c r="M68" i="22"/>
  <c r="E32" i="5"/>
  <c r="A47" i="12"/>
  <c r="A68" i="22"/>
  <c r="A68" i="17"/>
  <c r="Q25" i="5"/>
  <c r="Q68" i="22"/>
  <c r="O26" i="32"/>
  <c r="R16" i="32"/>
  <c r="Q16" i="32"/>
  <c r="O16" i="32"/>
  <c r="I68" i="22"/>
  <c r="O11" i="32"/>
  <c r="E47" i="12"/>
  <c r="A55" i="12"/>
  <c r="A76" i="17"/>
  <c r="A30" i="5"/>
  <c r="P6" i="32"/>
  <c r="Q26" i="32"/>
  <c r="O21" i="32"/>
  <c r="P16" i="32"/>
  <c r="I68" i="17"/>
  <c r="I25" i="5"/>
  <c r="E68" i="17"/>
  <c r="A76" i="22"/>
  <c r="A52" i="12"/>
  <c r="A73" i="27"/>
  <c r="R6" i="32"/>
  <c r="T7" i="32" l="1"/>
  <c r="E75" i="22"/>
  <c r="E75" i="17"/>
  <c r="E54" i="12"/>
  <c r="E75" i="27"/>
  <c r="W9" i="32"/>
  <c r="AE23" i="36"/>
  <c r="U9" i="32"/>
  <c r="AC23" i="36"/>
  <c r="V5" i="32"/>
  <c r="AD3" i="36"/>
  <c r="U6" i="32"/>
  <c r="AC8" i="36"/>
  <c r="V9" i="32"/>
  <c r="AD23" i="36"/>
  <c r="X6" i="32"/>
  <c r="AF8" i="36"/>
  <c r="U7" i="32"/>
  <c r="AC13" i="36"/>
  <c r="X9" i="32"/>
  <c r="AF23" i="36"/>
  <c r="V8" i="32"/>
  <c r="AD18" i="36"/>
  <c r="W7" i="32"/>
  <c r="AE13" i="36"/>
  <c r="U5" i="32"/>
  <c r="AC3" i="36"/>
  <c r="W5" i="32"/>
  <c r="AE3" i="36"/>
  <c r="V7" i="32"/>
  <c r="AD13" i="36"/>
  <c r="X7" i="32"/>
  <c r="AF13" i="36"/>
  <c r="X8" i="32"/>
  <c r="AF18" i="36"/>
  <c r="W6" i="32"/>
  <c r="AE8" i="36"/>
  <c r="X5" i="32"/>
  <c r="AF3" i="36"/>
  <c r="U8" i="32"/>
  <c r="AC18" i="36"/>
  <c r="W8" i="32"/>
  <c r="AE18" i="36"/>
  <c r="V6" i="32"/>
  <c r="AD8" i="36"/>
  <c r="T6" i="32"/>
  <c r="T8" i="36"/>
  <c r="T8" i="32"/>
  <c r="T18" i="36"/>
  <c r="T9" i="32"/>
  <c r="T23" i="36"/>
  <c r="T5" i="32"/>
  <c r="B13" i="32" s="1"/>
  <c r="E73" i="17"/>
  <c r="I52" i="12"/>
  <c r="I76" i="27"/>
  <c r="E33" i="5"/>
  <c r="E55" i="12"/>
  <c r="I55" i="12"/>
  <c r="I33" i="5"/>
  <c r="E76" i="17"/>
  <c r="I76" i="17"/>
  <c r="I73" i="17"/>
  <c r="E73" i="27"/>
  <c r="E52" i="12"/>
  <c r="E30" i="5"/>
  <c r="I30" i="5"/>
  <c r="E76" i="27"/>
  <c r="M33" i="5"/>
  <c r="I73" i="27"/>
  <c r="I73" i="22"/>
  <c r="E73" i="22"/>
  <c r="E76" i="22"/>
  <c r="M73" i="17"/>
  <c r="M73" i="27"/>
  <c r="M30" i="5"/>
  <c r="M52" i="12"/>
  <c r="M73" i="22"/>
  <c r="I32" i="5"/>
  <c r="I31" i="5"/>
  <c r="I75" i="22" l="1"/>
  <c r="I75" i="17"/>
  <c r="I54" i="12"/>
  <c r="I75" i="27"/>
  <c r="H14" i="32"/>
  <c r="H15" i="32" s="1"/>
  <c r="I36" i="32" s="1"/>
  <c r="E441" i="33" s="1"/>
  <c r="F14" i="32"/>
  <c r="F15" i="32" s="1"/>
  <c r="G32" i="32" s="1"/>
  <c r="D14" i="32"/>
  <c r="D15" i="32" s="1"/>
  <c r="E35" i="32" s="1"/>
  <c r="E383" i="33" s="1"/>
  <c r="J14" i="32"/>
  <c r="J15" i="32" s="1"/>
  <c r="K27" i="32" s="1"/>
  <c r="Q33" i="5"/>
  <c r="M76" i="22"/>
  <c r="M76" i="27"/>
  <c r="M55" i="12"/>
  <c r="M76" i="17"/>
  <c r="M31" i="5"/>
  <c r="M32" i="5"/>
  <c r="Q73" i="17"/>
  <c r="Q73" i="27"/>
  <c r="Q73" i="22"/>
  <c r="Q30" i="5"/>
  <c r="Q52" i="12"/>
  <c r="M75" i="17" l="1"/>
  <c r="M54" i="12"/>
  <c r="M75" i="27"/>
  <c r="M75" i="22"/>
  <c r="K30" i="32"/>
  <c r="G27" i="32"/>
  <c r="E301" i="33" s="1"/>
  <c r="G31" i="32"/>
  <c r="E195" i="33" s="1"/>
  <c r="D194" i="34" s="1"/>
  <c r="G29" i="32"/>
  <c r="E23" i="33"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30" i="32"/>
  <c r="E24" i="33" s="1"/>
  <c r="E27" i="32"/>
  <c r="E11" i="33" s="1"/>
  <c r="E38" i="32"/>
  <c r="E78" i="33" s="1"/>
  <c r="F78" i="33" s="1"/>
  <c r="K31" i="32"/>
  <c r="I48" i="32" s="1"/>
  <c r="K48" i="32" s="1"/>
  <c r="E547" i="33" s="1"/>
  <c r="K28" i="32"/>
  <c r="I45" i="32" s="1"/>
  <c r="K45" i="32" s="1"/>
  <c r="K32" i="32"/>
  <c r="I49" i="32" s="1"/>
  <c r="K49" i="32" s="1"/>
  <c r="E559" i="33" s="1"/>
  <c r="G190" i="36" s="1"/>
  <c r="C190" i="36"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356" i="33"/>
  <c r="G184" i="36" s="1"/>
  <c r="C184" i="36" s="1"/>
  <c r="I47" i="32"/>
  <c r="K47" i="32" s="1"/>
  <c r="E434" i="33"/>
  <c r="G175" i="36" s="1"/>
  <c r="C175" i="36" s="1"/>
  <c r="I44" i="32"/>
  <c r="K44" i="32" s="1"/>
  <c r="E21" i="33"/>
  <c r="E196" i="33"/>
  <c r="M540" i="33"/>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6" i="17"/>
  <c r="Q76" i="27"/>
  <c r="Q55" i="12"/>
  <c r="Q76" i="22"/>
  <c r="Q32" i="5"/>
  <c r="Q31" i="5"/>
  <c r="I142" i="33" l="1"/>
  <c r="E142" i="33" s="1"/>
  <c r="C194" i="34"/>
  <c r="J194" i="34" s="1"/>
  <c r="F195" i="33"/>
  <c r="I534" i="33"/>
  <c r="E63" i="33"/>
  <c r="I560" i="33"/>
  <c r="E560" i="33" s="1"/>
  <c r="F560" i="33" s="1"/>
  <c r="F559" i="33"/>
  <c r="I428" i="33"/>
  <c r="E428" i="33" s="1"/>
  <c r="F428" i="33" s="1"/>
  <c r="Q549" i="33"/>
  <c r="E545" i="33"/>
  <c r="I204" i="33" s="1"/>
  <c r="D496" i="34"/>
  <c r="M533" i="33"/>
  <c r="E533" i="33" s="1"/>
  <c r="M450" i="33" s="1"/>
  <c r="E529" i="33"/>
  <c r="C496" i="34"/>
  <c r="J496" i="34" s="1"/>
  <c r="Q54" i="12"/>
  <c r="Q75" i="27"/>
  <c r="Q75" i="22"/>
  <c r="Q75" i="17"/>
  <c r="I56" i="36"/>
  <c r="C56" i="36" s="1"/>
  <c r="AA26" i="36" s="1"/>
  <c r="I57" i="36"/>
  <c r="C57" i="36" s="1"/>
  <c r="AA10" i="36" s="1"/>
  <c r="AA2" i="36"/>
  <c r="U2" i="36" s="1"/>
  <c r="AA12" i="36"/>
  <c r="U12" i="36" s="1"/>
  <c r="AA7" i="36"/>
  <c r="U7" i="36" s="1"/>
  <c r="M7" i="33"/>
  <c r="E7" i="33" s="1"/>
  <c r="M5" i="33" s="1"/>
  <c r="E5" i="33" s="1"/>
  <c r="C484" i="34"/>
  <c r="J484" i="34" s="1"/>
  <c r="D95" i="34"/>
  <c r="I157" i="33"/>
  <c r="E157" i="33" s="1"/>
  <c r="F157" i="33" s="1"/>
  <c r="E122" i="33"/>
  <c r="F122" i="33" s="1"/>
  <c r="I5" i="33"/>
  <c r="Q154" i="33"/>
  <c r="M536" i="33"/>
  <c r="Q248" i="33"/>
  <c r="C95" i="34"/>
  <c r="J95" i="34" s="1"/>
  <c r="I99" i="33"/>
  <c r="E304" i="33"/>
  <c r="M265" i="33" s="1"/>
  <c r="E432" i="33"/>
  <c r="G181" i="36" s="1"/>
  <c r="C181" i="36" s="1"/>
  <c r="I371" i="33"/>
  <c r="E371" i="33" s="1"/>
  <c r="F371" i="33" s="1"/>
  <c r="I548" i="33"/>
  <c r="E548" i="33" s="1"/>
  <c r="F548" i="33" s="1"/>
  <c r="G187" i="36"/>
  <c r="C187" i="36"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C475" i="34"/>
  <c r="J475" i="34" s="1"/>
  <c r="D475" i="34"/>
  <c r="C327" i="34"/>
  <c r="J327" i="34" s="1"/>
  <c r="D327" i="34"/>
  <c r="F360" i="33"/>
  <c r="F63" i="33"/>
  <c r="C64" i="34"/>
  <c r="J64" i="34" s="1"/>
  <c r="D64" i="34"/>
  <c r="C195" i="34"/>
  <c r="J195" i="34" s="1"/>
  <c r="D195" i="34"/>
  <c r="C24" i="34"/>
  <c r="J24" i="34" s="1"/>
  <c r="D24" i="34"/>
  <c r="F386" i="33"/>
  <c r="C346" i="34"/>
  <c r="J346" i="34" s="1"/>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F205" i="33"/>
  <c r="C204" i="34"/>
  <c r="J204" i="34" s="1"/>
  <c r="F352" i="33"/>
  <c r="F25" i="33"/>
  <c r="D27" i="34"/>
  <c r="C27" i="34"/>
  <c r="J27" i="34" s="1"/>
  <c r="F142" i="33"/>
  <c r="D141" i="34"/>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I426" i="33" s="1"/>
  <c r="E426"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M238" i="33"/>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Q324" i="33"/>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D386" i="34" l="1"/>
  <c r="C386" i="34"/>
  <c r="J386" i="34" s="1"/>
  <c r="F545" i="33"/>
  <c r="D490" i="34"/>
  <c r="I201" i="33"/>
  <c r="E201" i="33" s="1"/>
  <c r="D200" i="34" s="1"/>
  <c r="I203" i="33"/>
  <c r="E203" i="33" s="1"/>
  <c r="C202" i="34" s="1"/>
  <c r="J202" i="34" s="1"/>
  <c r="F385" i="33"/>
  <c r="D487" i="34"/>
  <c r="D121" i="34"/>
  <c r="AA5" i="36"/>
  <c r="I433" i="33"/>
  <c r="E433" i="33" s="1"/>
  <c r="F433" i="33" s="1"/>
  <c r="AA4" i="36"/>
  <c r="AA24" i="36"/>
  <c r="D7" i="34"/>
  <c r="C7" i="34"/>
  <c r="J7" i="34" s="1"/>
  <c r="D477" i="34"/>
  <c r="AA8" i="36"/>
  <c r="M9" i="33"/>
  <c r="D389" i="34"/>
  <c r="C121" i="34"/>
  <c r="J121" i="34" s="1"/>
  <c r="I8" i="33"/>
  <c r="E8" i="33" s="1"/>
  <c r="F8" i="33" s="1"/>
  <c r="F7" i="33"/>
  <c r="C477" i="34"/>
  <c r="J477" i="34" s="1"/>
  <c r="E450" i="33"/>
  <c r="D399" i="34" s="1"/>
  <c r="AA15" i="36"/>
  <c r="AA21" i="36"/>
  <c r="F533" i="33"/>
  <c r="AA23" i="36"/>
  <c r="AA16" i="36"/>
  <c r="AA20" i="36"/>
  <c r="AA25" i="36"/>
  <c r="AA9" i="36"/>
  <c r="AA11" i="36"/>
  <c r="AA13" i="36"/>
  <c r="AA17" i="36"/>
  <c r="AA14" i="36"/>
  <c r="AA19" i="36"/>
  <c r="AA18" i="36"/>
  <c r="AA3" i="36"/>
  <c r="AA6" i="36"/>
  <c r="AA22" i="36"/>
  <c r="G195" i="36"/>
  <c r="C195" i="36" s="1"/>
  <c r="G196" i="36"/>
  <c r="C196" i="36" s="1"/>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G178" i="36"/>
  <c r="C178" i="36"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C8" i="34"/>
  <c r="J8" i="34" s="1"/>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M123"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D202" i="34" l="1"/>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X4" i="36"/>
  <c r="U4" i="36" s="1"/>
  <c r="X8" i="36"/>
  <c r="U8" i="36" s="1"/>
  <c r="X16" i="36"/>
  <c r="U16" i="36" s="1"/>
  <c r="X20" i="36"/>
  <c r="U20" i="36" s="1"/>
  <c r="X24" i="36"/>
  <c r="U24" i="36" s="1"/>
  <c r="X5" i="36"/>
  <c r="U5" i="36" s="1"/>
  <c r="X9" i="36"/>
  <c r="U9" i="36" s="1"/>
  <c r="X13" i="36"/>
  <c r="U13" i="36" s="1"/>
  <c r="X17" i="36"/>
  <c r="U17" i="36" s="1"/>
  <c r="X21" i="36"/>
  <c r="U21" i="36" s="1"/>
  <c r="X25" i="36"/>
  <c r="U25" i="36" s="1"/>
  <c r="X6" i="36"/>
  <c r="U6" i="36" s="1"/>
  <c r="X10" i="36"/>
  <c r="U10" i="36" s="1"/>
  <c r="X14" i="36"/>
  <c r="U14" i="36" s="1"/>
  <c r="X18" i="36"/>
  <c r="U18" i="36" s="1"/>
  <c r="X22" i="36"/>
  <c r="U22" i="36" s="1"/>
  <c r="X26" i="36"/>
  <c r="U26" i="36" s="1"/>
  <c r="X3" i="36"/>
  <c r="U3" i="36" s="1"/>
  <c r="X11" i="36"/>
  <c r="U11" i="36" s="1"/>
  <c r="X15" i="36"/>
  <c r="U15" i="36" s="1"/>
  <c r="X19" i="36"/>
  <c r="U19" i="36" s="1"/>
  <c r="X23" i="36"/>
  <c r="U23" i="36"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C422" i="34" l="1"/>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F502" i="33"/>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I265" i="33" l="1"/>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F276" i="33" l="1"/>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F294" i="33" l="1"/>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sharedStrings.xml><?xml version="1.0" encoding="utf-8"?>
<sst xmlns="http://schemas.openxmlformats.org/spreadsheetml/2006/main" count="9376" uniqueCount="1201">
  <si>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</si>
  <si>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</si>
  <si>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</si>
  <si>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</si>
  <si>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</si>
  <si>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</si>
  <si>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</si>
  <si>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</si>
  <si>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</si>
  <si>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</si>
  <si>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</si>
  <si>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</si>
  <si>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</si>
  <si>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</si>
  <si>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</si>
  <si>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</si>
  <si>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</si>
  <si>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</si>
  <si>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</si>
  <si>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</si>
  <si>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</si>
  <si>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</si>
  <si>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</si>
  <si>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</si>
  <si>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</si>
  <si>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</si>
  <si>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</si>
  <si>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</si>
  <si>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</si>
  <si>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</si>
  <si>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</si>
  <si>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</si>
  <si>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</si>
  <si>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</si>
  <si>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</si>
  <si>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</si>
  <si>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</si>
  <si>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</si>
  <si>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</si>
  <si>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</si>
  <si>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</si>
  <si>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</si>
  <si>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</si>
  <si>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</si>
  <si>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</si>
  <si>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</si>
  <si>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</si>
  <si>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</si>
  <si>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</si>
  <si>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</si>
  <si>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</si>
  <si>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</si>
  <si>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</si>
  <si>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</si>
  <si>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</si>
  <si>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</si>
  <si>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</si>
  <si>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</si>
  <si>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</si>
  <si>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</si>
  <si>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</si>
  <si>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</si>
  <si>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</si>
  <si>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</si>
  <si>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</si>
  <si>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</si>
  <si>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</si>
  <si>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</si>
  <si>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</si>
  <si>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</si>
  <si>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</si>
  <si>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</si>
  <si>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</si>
  <si>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</si>
  <si>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</si>
  <si>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</si>
  <si>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</si>
  <si>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</si>
  <si>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</si>
  <si>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</si>
  <si>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</si>
  <si>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</si>
  <si>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</si>
  <si>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</si>
  <si>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</si>
  <si>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</si>
  <si>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</si>
  <si>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</si>
  <si>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</si>
  <si>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</si>
  <si>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</si>
  <si>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</si>
  <si>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</si>
  <si>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</si>
  <si>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</si>
  <si>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</si>
  <si>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</si>
  <si>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</si>
  <si>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</si>
  <si>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</si>
  <si>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</si>
  <si>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</si>
  <si>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</si>
  <si>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</si>
  <si>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</si>
  <si>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</si>
  <si>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</si>
  <si>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</si>
  <si>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</si>
  <si>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</si>
  <si>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</si>
  <si>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</si>
  <si>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</si>
  <si>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</si>
  <si>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</si>
  <si>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</si>
  <si>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</si>
  <si>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</si>
  <si>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</si>
  <si>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</si>
  <si>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</si>
  <si>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</si>
  <si>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</si>
  <si>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</si>
  <si>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</si>
  <si>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</si>
  <si>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</si>
  <si>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</si>
  <si>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</si>
  <si>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</si>
  <si>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</si>
  <si>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</si>
  <si>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</si>
  <si>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</si>
  <si>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</si>
  <si>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</si>
  <si>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</si>
  <si>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</si>
  <si>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</si>
  <si>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</si>
  <si>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</si>
  <si>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</si>
  <si>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</si>
  <si>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</si>
  <si>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</si>
  <si>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</si>
  <si>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</si>
  <si>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</si>
  <si>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</si>
  <si>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</si>
  <si>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</si>
  <si>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</si>
  <si>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</si>
  <si>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</si>
  <si>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</si>
  <si>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</si>
  <si>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</si>
  <si>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</si>
  <si>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</si>
  <si>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</si>
  <si>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</si>
  <si>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</si>
  <si>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</si>
  <si>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</si>
  <si>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</si>
  <si>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</si>
  <si>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</si>
  <si>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</si>
  <si>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</si>
  <si>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</si>
  <si>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</si>
  <si>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</si>
  <si>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</si>
  <si>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</si>
  <si>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</si>
  <si>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</si>
  <si>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</si>
  <si>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</si>
  <si>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</si>
  <si>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</si>
  <si>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</si>
  <si>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</si>
  <si>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</si>
  <si>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</si>
  <si>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</si>
  <si>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</si>
  <si>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</si>
  <si>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</si>
  <si>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</si>
  <si>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</si>
  <si>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</si>
  <si>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</si>
  <si>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</si>
  <si>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</si>
  <si>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</si>
  <si>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</si>
  <si>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</si>
  <si>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</si>
  <si>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</si>
  <si>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</si>
  <si>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</si>
  <si>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</si>
  <si>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</si>
  <si>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</si>
  <si>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</si>
  <si>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</si>
  <si>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</si>
  <si>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</si>
  <si>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</si>
  <si>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</si>
  <si>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</si>
  <si>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</si>
  <si>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</si>
  <si>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</si>
  <si>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</si>
  <si>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</si>
  <si>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</si>
  <si>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</si>
  <si>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</si>
  <si>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</si>
  <si>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</si>
  <si>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</si>
  <si>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</si>
  <si>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</si>
  <si>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</si>
  <si>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</si>
  <si>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</si>
  <si>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</si>
  <si>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</si>
  <si>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</si>
  <si>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</si>
  <si>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</si>
  <si>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</si>
  <si>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</si>
  <si>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</si>
  <si>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</si>
  <si>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</si>
  <si>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</si>
  <si>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</si>
  <si>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</si>
  <si>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</si>
  <si>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</si>
  <si>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</si>
  <si>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</si>
  <si>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</si>
  <si>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</si>
  <si>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</si>
  <si>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</si>
  <si>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</si>
  <si>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</si>
  <si>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</si>
  <si>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</si>
  <si>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</si>
  <si>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</si>
  <si>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</si>
  <si>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</si>
  <si>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</si>
  <si>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</si>
  <si>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</si>
  <si>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</si>
  <si>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</si>
  <si>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</si>
  <si>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</si>
  <si>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</si>
  <si>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</si>
  <si>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</si>
  <si>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</si>
  <si>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</si>
  <si>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</si>
  <si>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</si>
  <si>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</si>
  <si>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</si>
  <si>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</si>
  <si>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</si>
  <si>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</si>
  <si>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</si>
  <si>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</si>
  <si>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</si>
  <si>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</si>
  <si>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</si>
  <si>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</si>
  <si>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</si>
  <si>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</si>
  <si>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</si>
  <si>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</si>
  <si>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</si>
  <si>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</si>
  <si>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</si>
  <si>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</si>
  <si>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</si>
  <si>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</si>
  <si>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</si>
  <si>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</si>
  <si>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</si>
  <si>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</si>
  <si>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</si>
  <si>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</si>
  <si>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</si>
  <si>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</si>
  <si>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</si>
  <si>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</si>
  <si>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</si>
  <si>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</si>
  <si>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</si>
  <si>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</si>
  <si>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</si>
  <si>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</si>
  <si>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</si>
  <si>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</si>
  <si>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</si>
  <si>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</si>
  <si>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</si>
  <si>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</si>
  <si>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</si>
  <si>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</si>
  <si>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</si>
  <si>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</si>
  <si>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</si>
  <si>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</si>
  <si>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</si>
  <si>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</si>
  <si>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</si>
  <si>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</si>
  <si>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</si>
  <si>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</si>
  <si>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</si>
  <si>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</si>
  <si>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</si>
  <si>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</si>
  <si>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</si>
  <si>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</si>
  <si>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</si>
  <si>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</si>
  <si>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</si>
  <si>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</si>
  <si>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</si>
  <si>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</si>
  <si>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</si>
  <si>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</si>
  <si>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</si>
  <si>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</si>
  <si>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</si>
  <si>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</si>
  <si>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</si>
  <si>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</si>
  <si>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</si>
  <si>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</si>
  <si>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</si>
  <si>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</si>
  <si>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</si>
  <si>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</si>
  <si>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</si>
  <si>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</si>
  <si>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</si>
  <si>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</si>
  <si>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</si>
  <si>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</si>
  <si>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</si>
  <si>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</si>
  <si>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</si>
  <si>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</si>
  <si>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</si>
  <si>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</si>
  <si>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</si>
  <si>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</si>
  <si>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</si>
  <si>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</si>
  <si>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</si>
  <si>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</si>
  <si>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</si>
  <si>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</si>
  <si>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</si>
  <si>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</si>
  <si>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</si>
  <si>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</si>
  <si>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</si>
  <si>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</si>
  <si>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</si>
  <si>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</si>
  <si>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</si>
  <si>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</si>
  <si>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</si>
  <si>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</si>
  <si>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</si>
  <si>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</si>
  <si>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</si>
  <si>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</si>
  <si>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</si>
  <si>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</si>
  <si>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</si>
  <si>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</si>
  <si>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</si>
  <si>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</si>
  <si>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</si>
  <si>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</si>
  <si>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</si>
  <si>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</si>
  <si>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</si>
  <si>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</si>
  <si>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</si>
  <si>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</si>
  <si>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</si>
  <si>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</si>
  <si>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</si>
  <si>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</si>
  <si>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</si>
  <si>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</si>
  <si>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</si>
  <si>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</si>
  <si>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</si>
  <si>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</si>
  <si>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</si>
  <si>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</si>
  <si>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</si>
  <si>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</si>
  <si>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</si>
  <si>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</si>
  <si>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</si>
  <si>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</si>
  <si>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</si>
  <si>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</si>
  <si>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</si>
  <si>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</si>
  <si>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</si>
  <si>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</si>
  <si>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</si>
  <si>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</si>
  <si>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</si>
  <si>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</si>
  <si>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</si>
  <si>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</si>
  <si>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</si>
  <si>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</si>
  <si>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</si>
  <si>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</si>
  <si>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</si>
  <si>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</si>
  <si>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</si>
  <si>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</si>
  <si>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</si>
  <si>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</si>
  <si>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</si>
  <si>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</si>
  <si>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</si>
  <si>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</si>
  <si>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</si>
  <si>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</si>
  <si>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</si>
  <si>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</si>
  <si>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</si>
  <si>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</si>
  <si>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</si>
  <si>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</si>
  <si>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</si>
  <si>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</si>
  <si>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</si>
  <si>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</si>
  <si>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</si>
  <si>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</si>
  <si>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</si>
  <si>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</si>
  <si>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</si>
  <si>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</si>
  <si>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</si>
  <si>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</si>
  <si>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</si>
  <si>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</si>
  <si>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</si>
  <si>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</si>
  <si>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</si>
  <si>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</si>
  <si>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</si>
  <si>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</si>
  <si>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</si>
  <si>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</si>
  <si>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</si>
  <si>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</si>
  <si>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</si>
  <si>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</si>
  <si>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</si>
  <si>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</si>
  <si>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</si>
  <si>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</si>
  <si>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</si>
  <si>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</si>
  <si>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</si>
  <si>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</si>
  <si>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</si>
  <si>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</si>
  <si>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</si>
  <si>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</si>
  <si>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</si>
  <si>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</si>
  <si>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</si>
  <si>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</si>
  <si>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</si>
  <si>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</si>
  <si>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</si>
  <si>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</si>
  <si>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</si>
  <si>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</si>
  <si>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</si>
  <si>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</si>
  <si>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</si>
  <si>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</si>
  <si>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</si>
  <si>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</si>
  <si>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</si>
  <si>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</si>
  <si>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</si>
  <si>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</si>
  <si>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</si>
  <si>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</si>
  <si>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</si>
  <si>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</si>
  <si>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</si>
  <si>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</si>
  <si>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</si>
  <si>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</si>
  <si>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</si>
  <si>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</si>
  <si>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</si>
  <si>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</si>
  <si>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</si>
  <si>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</si>
  <si>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</si>
  <si>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</si>
  <si>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</si>
  <si>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</si>
  <si>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</si>
  <si>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</si>
  <si>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</si>
  <si>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</si>
  <si>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</si>
  <si>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</si>
  <si>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</si>
  <si>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</si>
  <si>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</si>
  <si>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</si>
  <si>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</si>
  <si>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</si>
  <si>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</si>
  <si>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</si>
  <si>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</si>
  <si>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</si>
  <si>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</si>
  <si>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</si>
  <si>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</si>
  <si>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</si>
  <si>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</si>
  <si>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</si>
  <si>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</si>
  <si>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</si>
  <si>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</si>
  <si>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</si>
  <si>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</si>
  <si>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</si>
  <si>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</si>
  <si>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</si>
  <si>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</si>
  <si>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</si>
  <si>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</si>
  <si>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</si>
  <si>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</si>
  <si>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</si>
  <si>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</si>
  <si>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</si>
  <si>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</si>
  <si>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</si>
  <si>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</si>
  <si>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</si>
  <si>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</si>
  <si>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</si>
  <si>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</si>
  <si>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</si>
  <si>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</si>
  <si>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</si>
  <si>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</si>
  <si>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</si>
  <si>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</si>
  <si>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</si>
  <si>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</si>
  <si>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</si>
  <si>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</si>
  <si>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</si>
  <si>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</si>
  <si>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</si>
  <si>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</si>
  <si>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</si>
  <si>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</si>
  <si>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</si>
  <si>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</si>
  <si>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</si>
  <si>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</si>
  <si>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</si>
  <si>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</si>
  <si>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</si>
  <si>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</si>
  <si>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</si>
  <si>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</si>
  <si>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</si>
  <si>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</si>
  <si>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</si>
  <si>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</si>
  <si>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</si>
  <si>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</si>
  <si>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</si>
  <si>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</si>
  <si>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</si>
  <si>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</si>
  <si>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</si>
  <si>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</si>
  <si>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</si>
  <si>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</si>
  <si>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</si>
  <si>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</si>
  <si>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</si>
  <si>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</si>
  <si>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</si>
  <si>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</si>
  <si>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</si>
  <si>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</si>
  <si>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</si>
  <si>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</si>
  <si>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</si>
  <si>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</si>
  <si>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</si>
  <si>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</si>
  <si>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</si>
  <si>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</si>
  <si>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</si>
  <si>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</si>
  <si>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</si>
  <si>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</si>
  <si>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</si>
  <si>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</si>
  <si>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</si>
  <si>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</si>
  <si>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</si>
  <si>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</si>
  <si>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</si>
  <si>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</si>
  <si>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</si>
  <si>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</si>
  <si>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</si>
  <si>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</si>
  <si>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</si>
  <si>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</si>
  <si>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</si>
  <si>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</si>
  <si>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</si>
  <si>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</si>
  <si>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</si>
  <si>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</si>
  <si>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</si>
  <si>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</si>
  <si>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</si>
  <si>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</si>
  <si>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</si>
  <si>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</si>
  <si>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</si>
  <si>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</si>
  <si>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</si>
  <si>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</si>
  <si>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</si>
  <si>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</si>
  <si>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</si>
  <si>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</si>
  <si>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</si>
  <si>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</si>
  <si>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</si>
  <si>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</si>
  <si>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</si>
  <si>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</si>
  <si>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</si>
  <si>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</si>
  <si>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</si>
  <si>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</si>
  <si>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</si>
  <si>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</si>
  <si>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</si>
  <si>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</si>
  <si>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</si>
  <si>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</si>
  <si>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</si>
  <si>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</si>
  <si>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</si>
  <si>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</si>
  <si>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</si>
  <si>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</si>
  <si>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</si>
  <si>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</si>
  <si>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</si>
  <si>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</si>
  <si>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</si>
  <si>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</si>
  <si>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</si>
  <si>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</si>
  <si>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</si>
  <si>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</si>
  <si>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</si>
  <si>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</si>
  <si>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</si>
  <si>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</si>
  <si>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</si>
  <si>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</si>
  <si>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</si>
  <si>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</si>
  <si>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</si>
  <si>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</si>
  <si>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</si>
  <si>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</si>
  <si>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</si>
  <si>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</si>
  <si>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</si>
  <si>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</si>
  <si>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</si>
  <si>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</si>
  <si>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</si>
  <si>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</si>
  <si>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</si>
  <si>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</si>
  <si>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</si>
  <si>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</si>
  <si>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</si>
  <si>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</si>
  <si>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</si>
  <si>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</si>
  <si>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</si>
  <si>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</si>
  <si>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</si>
  <si>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</si>
  <si>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</si>
  <si>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</si>
  <si>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</si>
  <si>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</si>
  <si>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</si>
  <si>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</si>
  <si>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</si>
  <si>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</si>
  <si>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</si>
  <si>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</si>
  <si>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</si>
  <si>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</si>
  <si>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</si>
  <si>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</si>
  <si>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</si>
  <si>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</si>
  <si>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</si>
  <si>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</si>
  <si>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</si>
  <si>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</si>
  <si>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</si>
  <si>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</si>
  <si>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</si>
  <si>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</si>
  <si>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</si>
  <si>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</si>
  <si>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</si>
  <si>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</si>
  <si>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</si>
  <si>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</si>
  <si>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</si>
  <si>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</si>
  <si>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</si>
  <si>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</si>
  <si>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</si>
  <si>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</si>
  <si>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</si>
  <si>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</si>
  <si>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</si>
  <si>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</si>
  <si>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</si>
  <si>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</si>
  <si>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</si>
  <si>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</si>
  <si>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</si>
  <si>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</si>
  <si>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</si>
  <si>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</si>
  <si>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</si>
  <si>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</si>
  <si>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</si>
  <si>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</si>
  <si>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</si>
  <si>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</si>
  <si>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</si>
  <si>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</si>
  <si>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</si>
  <si>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</si>
  <si>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</si>
  <si>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</si>
  <si>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</si>
  <si>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</si>
  <si>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</si>
  <si>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</si>
  <si>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</si>
  <si>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</si>
  <si>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</si>
  <si>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</si>
  <si>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</si>
  <si>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</si>
  <si>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</si>
  <si>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</si>
  <si>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</si>
  <si>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</si>
  <si>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</si>
  <si>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</si>
  <si>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</si>
  <si>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</si>
  <si>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</si>
  <si>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</si>
  <si>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</si>
  <si>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</si>
  <si>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</si>
  <si>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</si>
  <si>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</si>
  <si>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</si>
  <si>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</si>
  <si>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</si>
  <si>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</si>
  <si>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</si>
  <si>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</si>
  <si>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</si>
  <si>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</si>
  <si>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</si>
  <si>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</si>
  <si>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</si>
  <si>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</si>
  <si>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</si>
  <si>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</si>
  <si>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</si>
  <si>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</si>
  <si>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</si>
  <si>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</si>
  <si>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</si>
  <si>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</si>
  <si>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</si>
  <si>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</si>
  <si>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</si>
  <si>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</si>
  <si>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</si>
  <si>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</si>
  <si>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</si>
  <si>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</si>
  <si>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</si>
  <si>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</si>
  <si>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</si>
  <si>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</si>
  <si>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</si>
  <si>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</si>
  <si>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</si>
  <si>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</si>
  <si>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</si>
  <si>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</si>
  <si>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</si>
  <si>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</si>
  <si>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</si>
  <si>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</si>
  <si>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</si>
  <si>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</si>
  <si>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</si>
  <si>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</si>
  <si>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</si>
  <si>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</si>
  <si>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</si>
  <si>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</si>
  <si>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</si>
  <si>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</si>
  <si>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</si>
  <si>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</si>
  <si>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</si>
  <si>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</si>
  <si>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</si>
  <si>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</si>
  <si>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</si>
  <si>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</si>
  <si>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</si>
  <si>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</si>
  <si>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</si>
  <si>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</si>
  <si>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</si>
  <si>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</si>
  <si>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</si>
  <si>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</si>
  <si>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</si>
  <si>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</si>
  <si>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</si>
  <si>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</si>
  <si>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</si>
  <si>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</si>
  <si>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</si>
  <si>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</si>
  <si>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</si>
  <si>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</si>
  <si>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</si>
  <si>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</si>
  <si>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</si>
  <si>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</si>
  <si>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</si>
  <si>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</si>
  <si>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</si>
  <si>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</si>
  <si>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</si>
  <si>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</si>
  <si>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</si>
  <si>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</si>
  <si>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</si>
  <si>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</si>
  <si>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</si>
  <si>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</si>
  <si>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</si>
  <si>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</si>
  <si>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</si>
  <si>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</si>
  <si>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</si>
  <si>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</si>
  <si>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</si>
  <si>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</si>
  <si>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</si>
  <si>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</si>
  <si>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</si>
  <si>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</si>
  <si>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</si>
  <si>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</si>
  <si>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</si>
  <si>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</si>
  <si>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</si>
  <si>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</si>
  <si>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</si>
  <si>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</si>
  <si>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</si>
  <si>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</si>
  <si>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</si>
  <si>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</si>
  <si>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</si>
  <si>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</si>
  <si>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</si>
  <si>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</si>
  <si>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</si>
  <si>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</si>
  <si>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</si>
  <si>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</si>
  <si>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</si>
  <si>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</si>
  <si>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</si>
  <si>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</si>
  <si>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</si>
  <si>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</si>
  <si>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</si>
  <si>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</si>
  <si>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</si>
  <si>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</si>
  <si>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</si>
  <si>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</si>
  <si>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</si>
  <si>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</si>
  <si>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</si>
  <si>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</si>
  <si>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</si>
  <si>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</si>
  <si>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</si>
  <si>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</si>
  <si>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</si>
  <si>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</si>
  <si>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</si>
  <si>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</si>
  <si>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</si>
  <si>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</si>
  <si>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</si>
  <si>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</si>
  <si>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</si>
  <si>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</si>
  <si>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</si>
  <si>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</si>
  <si>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</si>
  <si>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</si>
  <si>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</si>
  <si>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</si>
  <si>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</si>
  <si>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</si>
  <si>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</si>
  <si>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</si>
  <si>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</si>
  <si>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</si>
  <si>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</si>
  <si>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</si>
  <si>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</si>
  <si>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</si>
  <si>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</si>
  <si>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</si>
  <si>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</si>
  <si>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</si>
  <si>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</si>
  <si>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</si>
  <si>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</si>
  <si>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</si>
  <si>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</si>
  <si>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</si>
  <si>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</si>
  <si>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</si>
  <si>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</si>
  <si>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</si>
  <si>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</si>
  <si>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</si>
  <si>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</si>
  <si>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</si>
  <si>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</si>
  <si>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</si>
  <si>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</si>
  <si>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</si>
  <si>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</si>
  <si>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</si>
  <si>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</si>
  <si>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</si>
  <si>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</si>
  <si>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</si>
  <si>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</si>
  <si>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</si>
  <si>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</si>
  <si>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</si>
  <si>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</si>
  <si>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</si>
  <si>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</si>
  <si>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</si>
  <si>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</si>
  <si>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</si>
  <si>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</si>
  <si>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</si>
  <si>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</si>
  <si>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</si>
  <si>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</si>
  <si>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</si>
  <si>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</si>
  <si>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</si>
  <si>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</si>
  <si>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</si>
  <si>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</si>
  <si>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</si>
  <si>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</si>
  <si>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</si>
  <si>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</si>
  <si>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</si>
  <si>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</si>
  <si>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</si>
  <si>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</si>
  <si>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</si>
  <si>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</si>
  <si>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</si>
  <si>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</si>
  <si>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</si>
  <si>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</si>
  <si>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</si>
  <si>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</si>
  <si>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</si>
  <si>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</si>
  <si>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</si>
  <si>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</si>
  <si>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</si>
  <si>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</si>
  <si>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</si>
  <si>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</si>
  <si>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</si>
  <si>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</si>
  <si>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</si>
  <si>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</si>
  <si>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</si>
  <si>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</si>
  <si>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</si>
  <si>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</si>
  <si>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</si>
  <si>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</si>
  <si>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</si>
  <si>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</si>
  <si>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</si>
  <si>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</si>
  <si>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</si>
  <si>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</si>
  <si>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</si>
  <si>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</si>
  <si>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</si>
  <si>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</si>
  <si>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</si>
  <si>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</si>
  <si>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</si>
  <si>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</si>
  <si>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</si>
  <si>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</si>
  <si>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</si>
  <si>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</si>
  <si>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</si>
  <si>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</si>
  <si>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</si>
  <si>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</si>
  <si>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</si>
  <si>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</si>
  <si>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</si>
  <si>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</si>
  <si>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</si>
  <si>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</si>
  <si>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</si>
  <si>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</si>
  <si>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</si>
  <si>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</si>
  <si>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</si>
  <si>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</si>
  <si>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</si>
  <si>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</si>
  <si>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</si>
  <si>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</si>
  <si>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</si>
  <si>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</si>
  <si>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</si>
  <si>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</si>
  <si>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</si>
  <si>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</si>
  <si>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</si>
  <si>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</si>
  <si>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</si>
  <si>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</si>
  <si>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</si>
  <si>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</si>
  <si>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</si>
  <si>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</si>
  <si>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</si>
  <si>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ARMADURAS PIEL</t>
  </si>
  <si>
    <t>CARNICERIA</t>
  </si>
  <si>
    <t>PIEZAS DE ANIMALES</t>
  </si>
  <si>
    <t>MASCOTAS</t>
  </si>
  <si>
    <t>HERRERIA</t>
  </si>
  <si>
    <t>ARMERIA</t>
  </si>
  <si>
    <t>ARMADURAS</t>
  </si>
  <si>
    <t>ESCRIBA</t>
  </si>
  <si>
    <t>ARTESANO</t>
  </si>
  <si>
    <t>CORTEZAS</t>
  </si>
  <si>
    <t>TINTAS</t>
  </si>
  <si>
    <t>PERGAMINOS</t>
  </si>
  <si>
    <t>TOMOS</t>
  </si>
  <si>
    <t>PIEDRAS</t>
  </si>
  <si>
    <t>GEMAS</t>
  </si>
  <si>
    <t>JOYAS</t>
  </si>
  <si>
    <t>PLANTAS</t>
  </si>
  <si>
    <t>INFUCIONES</t>
  </si>
  <si>
    <t>MADERAS</t>
  </si>
  <si>
    <t>POCIMAS</t>
  </si>
  <si>
    <t>POSIMAS</t>
  </si>
  <si>
    <t>ELIXIR</t>
  </si>
  <si>
    <t>METALES</t>
  </si>
  <si>
    <t>TRASMUTACIONES</t>
  </si>
  <si>
    <t>CARNES</t>
  </si>
  <si>
    <t>ANIMALITOS</t>
  </si>
  <si>
    <t>PIEZAS COMPUESTAS</t>
  </si>
  <si>
    <t>CEBOS</t>
  </si>
  <si>
    <t>PZS ANIM</t>
  </si>
  <si>
    <t>ARMADURAS COMUN</t>
  </si>
  <si>
    <t>AMULETOS</t>
  </si>
  <si>
    <t>ANILLOS</t>
  </si>
  <si>
    <t>PZS COMP</t>
  </si>
  <si>
    <t>ARTILIJIOS</t>
  </si>
  <si>
    <t>PIEZAS REFINADAS</t>
  </si>
  <si>
    <t>PZS REFN</t>
  </si>
  <si>
    <t>PIEZAS MAGICAS</t>
  </si>
  <si>
    <t>PZS EPICAS</t>
  </si>
  <si>
    <t>PZS MGCS</t>
  </si>
  <si>
    <t>ELIEXIRS</t>
  </si>
  <si>
    <t>EMPLASTO 1</t>
  </si>
  <si>
    <t>ID 1</t>
  </si>
  <si>
    <t>ID 2</t>
  </si>
  <si>
    <t>ID 3</t>
  </si>
  <si>
    <t>ID 4</t>
  </si>
  <si>
    <t>ID 5</t>
  </si>
  <si>
    <t>PRECIO UNI</t>
  </si>
  <si>
    <t>PIEZAS EPICAS</t>
  </si>
  <si>
    <t>PRECIO TOTAL</t>
  </si>
  <si>
    <t>ITEM 1</t>
  </si>
  <si>
    <t>Aceite Oseo</t>
  </si>
  <si>
    <t>Emplasto Solar</t>
  </si>
  <si>
    <t>Aceite Solar</t>
  </si>
  <si>
    <t>Cebo de Pollo</t>
  </si>
  <si>
    <t>Cebo de Pescado</t>
  </si>
  <si>
    <t>Cebo de Res</t>
  </si>
  <si>
    <t>Cebo de Puerco</t>
  </si>
  <si>
    <t>Cebo de Conejo</t>
  </si>
  <si>
    <t>Cebo de Obeja</t>
  </si>
  <si>
    <t>item 1</t>
  </si>
  <si>
    <t>item 2</t>
  </si>
  <si>
    <t>item 3</t>
  </si>
  <si>
    <t>item 4</t>
  </si>
  <si>
    <t>item 5</t>
  </si>
  <si>
    <t>Piel curtida</t>
  </si>
  <si>
    <t>ITEM 2</t>
  </si>
  <si>
    <t>Emplasto Oseo</t>
  </si>
  <si>
    <t>Piel refinada</t>
  </si>
  <si>
    <t>Mendigo</t>
  </si>
  <si>
    <t>Esencia</t>
  </si>
  <si>
    <t>Inteligencia</t>
  </si>
  <si>
    <t xml:space="preserve">  - '%tierlore%'</t>
  </si>
  <si>
    <t>ATRIBUTO ESPECIAL</t>
  </si>
  <si>
    <t>Armor</t>
  </si>
  <si>
    <t>Damage</t>
  </si>
  <si>
    <t>Multiplo de atributo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</si>
</sst>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4"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u/>
      <sz val="11"/>
      <color theme="1"/>
      <name val="Calibri"/>
      <family val="2"/>
      <scheme val="minor"/>
    </font>
  </fonts>
  <fills count="33">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rgb="FFFFFF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5">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cellStyleXfs>
  <cellXfs count="356">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13" fillId="0" borderId="0" xfId="0" applyFont="1"/>
    <xf numFmtId="0" fontId="7" fillId="2" borderId="0" xfId="0" applyFont="1" applyFill="1" applyAlignment="1">
      <alignment vertical="center"/>
    </xf>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 borderId="0" xfId="0" applyFont="1" applyFill="1" applyBorder="1" applyAlignment="1"/>
    <xf numFmtId="0" fontId="7" fillId="31" borderId="0" xfId="0" applyFont="1" applyFill="1" applyAlignment="1">
      <alignment horizontal="center" vertical="center"/>
    </xf>
    <xf numFmtId="0" fontId="6" fillId="30" borderId="0" xfId="0" applyFont="1" applyFill="1" applyAlignment="1">
      <alignment horizontal="center" vertical="center"/>
    </xf>
    <xf numFmtId="0" fontId="0" fillId="32" borderId="0" xfId="0" applyFill="1" applyAlignment="1">
      <alignment horizontal="center" vertical="center"/>
    </xf>
    <xf numFmtId="0" fontId="7" fillId="15" borderId="0" xfId="0" applyFont="1" applyFill="1" applyAlignment="1">
      <alignment horizontal="center" vertical="center"/>
    </xf>
    <xf numFmtId="0" fontId="0" fillId="0" borderId="0" xfId="0"/>
    <xf numFmtId="0" fontId="7" fillId="15" borderId="0" xfId="0" applyFont="1" applyFill="1"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5" fillId="2" borderId="12" xfId="0" applyFont="1" applyFill="1" applyBorder="1" applyAlignment="1">
      <alignment horizontal="center" vertical="center"/>
    </xf>
    <xf numFmtId="0" fontId="0" fillId="0" borderId="0" xfId="0" applyBorder="1" applyAlignment="1">
      <alignment horizont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9" borderId="7" xfId="0" applyFont="1" applyFill="1" applyBorder="1" applyAlignment="1">
      <alignment horizontal="center" vertical="center"/>
    </xf>
    <xf numFmtId="0" fontId="0" fillId="0" borderId="0" xfId="0" applyAlignment="1">
      <alignment horizontal="left"/>
    </xf>
    <xf numFmtId="0" fontId="7" fillId="3" borderId="0" xfId="0" applyFont="1" applyFill="1" applyAlignment="1">
      <alignment horizontal="center"/>
    </xf>
    <xf numFmtId="0" fontId="7" fillId="27" borderId="0" xfId="0" applyFont="1" applyFill="1" applyAlignment="1">
      <alignment horizontal="center"/>
    </xf>
    <xf numFmtId="0" fontId="13" fillId="0" borderId="0" xfId="0" applyFont="1" applyAlignment="1">
      <alignment horizontal="left"/>
    </xf>
    <xf numFmtId="0" fontId="0" fillId="0" borderId="0" xfId="0" applyFont="1" applyAlignment="1">
      <alignment horizontal="left"/>
    </xf>
    <xf numFmtId="0" fontId="7" fillId="2" borderId="0" xfId="0" applyFont="1" applyFill="1" applyAlignment="1">
      <alignment horizontal="center" vertical="center"/>
    </xf>
    <xf numFmtId="0" fontId="2" fillId="3" borderId="0" xfId="0" applyFont="1" applyFill="1" applyAlignment="1">
      <alignment horizontal="center"/>
    </xf>
    <xf numFmtId="0" fontId="3" fillId="2" borderId="0" xfId="0" applyFont="1" applyFill="1" applyAlignment="1">
      <alignment horizontal="center" vertical="center"/>
    </xf>
    <xf numFmtId="0" fontId="2" fillId="2" borderId="0" xfId="0" applyFont="1" applyFill="1" applyAlignment="1">
      <alignment horizontal="center"/>
    </xf>
    <xf numFmtId="0" fontId="0" fillId="0" borderId="0" xfId="0"/>
    <xf numFmtId="0" fontId="0" fillId="0" borderId="0" xfId="0" applyAlignment="1">
      <alignment horizontal="center"/>
    </xf>
    <xf numFmtId="0" fontId="0" fillId="0" borderId="0" xfId="0" applyAlignment="1"/>
    <xf numFmtId="0" fontId="3" fillId="3" borderId="0" xfId="0" applyFont="1" applyFill="1" applyAlignment="1">
      <alignment horizontal="center" vertical="center"/>
    </xf>
  </cellXfs>
  <cellStyles count="5">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1"/>
  <sheetViews>
    <sheetView workbookViewId="0">
      <selection activeCell="A2" sqref="A2"/>
    </sheetView>
  </sheetViews>
  <sheetFormatPr baseColWidth="10" defaultRowHeight="15" x14ac:dyDescent="0.25"/>
  <cols>
    <col min="1" max="4" width="18" customWidth="1"/>
    <col min="5" max="5" width="16.7109375" customWidth="1"/>
  </cols>
  <sheetData>
    <row r="1" spans="1:4" ht="26.25" customHeight="1" x14ac:dyDescent="0.25">
      <c r="A1" s="292" t="s">
        <v>1193</v>
      </c>
      <c r="B1" s="292"/>
      <c r="C1" s="289"/>
      <c r="D1" s="289"/>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topLeftCell="J1" workbookViewId="0">
      <selection activeCell="R3" sqref="R3"/>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13" t="s">
        <v>146</v>
      </c>
      <c r="E1" s="313"/>
      <c r="F1" s="313"/>
      <c r="G1" s="313"/>
      <c r="H1" s="313"/>
      <c r="I1" s="313"/>
      <c r="J1" s="313"/>
      <c r="K1" s="314"/>
      <c r="L1" s="300" t="s">
        <v>199</v>
      </c>
      <c r="M1" s="301"/>
      <c r="N1" s="299" t="s">
        <v>164</v>
      </c>
      <c r="O1" s="299"/>
      <c r="P1" s="299"/>
      <c r="Q1" s="299"/>
      <c r="R1" s="299"/>
      <c r="S1" s="25"/>
    </row>
    <row r="2" spans="1:24" x14ac:dyDescent="0.25">
      <c r="B2" s="50" t="s">
        <v>147</v>
      </c>
      <c r="C2" s="50" t="s">
        <v>62</v>
      </c>
      <c r="D2" s="297" t="s">
        <v>152</v>
      </c>
      <c r="E2" s="297"/>
      <c r="F2" s="297" t="s">
        <v>150</v>
      </c>
      <c r="G2" s="297"/>
      <c r="H2" s="297" t="s">
        <v>151</v>
      </c>
      <c r="I2" s="297"/>
      <c r="J2" s="297" t="s">
        <v>160</v>
      </c>
      <c r="K2" s="312"/>
      <c r="L2" s="302"/>
      <c r="M2" s="303"/>
      <c r="N2" s="29" t="s">
        <v>35</v>
      </c>
      <c r="O2" s="30" t="s">
        <v>51</v>
      </c>
      <c r="P2" s="29" t="s">
        <v>52</v>
      </c>
      <c r="Q2" s="30" t="s">
        <v>53</v>
      </c>
      <c r="R2" s="29" t="s">
        <v>54</v>
      </c>
    </row>
    <row r="3" spans="1:24" x14ac:dyDescent="0.25">
      <c r="B3" s="28">
        <v>1</v>
      </c>
      <c r="C3" s="53">
        <v>1</v>
      </c>
      <c r="D3" s="298" t="s">
        <v>122</v>
      </c>
      <c r="E3" s="298"/>
      <c r="F3" s="293" t="s">
        <v>128</v>
      </c>
      <c r="G3" s="293"/>
      <c r="H3" s="298" t="s">
        <v>134</v>
      </c>
      <c r="I3" s="298"/>
      <c r="J3" s="298" t="s">
        <v>135</v>
      </c>
      <c r="K3" s="322"/>
      <c r="L3" s="302"/>
      <c r="M3" s="303"/>
      <c r="N3" s="33">
        <v>1</v>
      </c>
      <c r="O3" s="33">
        <v>3</v>
      </c>
      <c r="P3" s="33">
        <v>5</v>
      </c>
      <c r="Q3" s="33">
        <v>7</v>
      </c>
      <c r="R3" s="33">
        <v>9</v>
      </c>
      <c r="S3" s="323" t="s">
        <v>165</v>
      </c>
      <c r="T3" s="324"/>
      <c r="U3" s="324"/>
      <c r="V3" s="324"/>
      <c r="W3" s="324"/>
      <c r="X3" s="324"/>
    </row>
    <row r="4" spans="1:24" s="24" customFormat="1" x14ac:dyDescent="0.25">
      <c r="B4" s="28">
        <v>2</v>
      </c>
      <c r="C4" s="54">
        <f>$C$3+2</f>
        <v>3</v>
      </c>
      <c r="D4" s="298" t="s">
        <v>123</v>
      </c>
      <c r="E4" s="298"/>
      <c r="F4" s="293" t="s">
        <v>129</v>
      </c>
      <c r="G4" s="293"/>
      <c r="H4" s="298" t="s">
        <v>136</v>
      </c>
      <c r="I4" s="298"/>
      <c r="J4" s="298" t="s">
        <v>137</v>
      </c>
      <c r="K4" s="322"/>
      <c r="L4" s="304"/>
      <c r="M4" s="305"/>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298" t="s">
        <v>124</v>
      </c>
      <c r="E5" s="298"/>
      <c r="F5" s="293" t="s">
        <v>130</v>
      </c>
      <c r="G5" s="293"/>
      <c r="H5" s="298" t="s">
        <v>139</v>
      </c>
      <c r="I5" s="298"/>
      <c r="J5" s="298" t="s">
        <v>138</v>
      </c>
      <c r="K5" s="322"/>
      <c r="L5" s="306"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298" t="s">
        <v>127</v>
      </c>
      <c r="E6" s="298"/>
      <c r="F6" s="293" t="s">
        <v>131</v>
      </c>
      <c r="G6" s="293"/>
      <c r="H6" s="298" t="s">
        <v>140</v>
      </c>
      <c r="I6" s="298"/>
      <c r="J6" s="298" t="s">
        <v>141</v>
      </c>
      <c r="K6" s="322"/>
      <c r="L6" s="307"/>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298" t="s">
        <v>126</v>
      </c>
      <c r="E7" s="298"/>
      <c r="F7" s="293" t="s">
        <v>132</v>
      </c>
      <c r="G7" s="293"/>
      <c r="H7" s="298" t="s">
        <v>142</v>
      </c>
      <c r="I7" s="298"/>
      <c r="J7" s="298" t="s">
        <v>143</v>
      </c>
      <c r="K7" s="322"/>
      <c r="L7" s="307"/>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298" t="s">
        <v>125</v>
      </c>
      <c r="E8" s="298"/>
      <c r="F8" s="293" t="s">
        <v>133</v>
      </c>
      <c r="G8" s="293"/>
      <c r="H8" s="298" t="s">
        <v>144</v>
      </c>
      <c r="I8" s="298"/>
      <c r="J8" s="298" t="s">
        <v>145</v>
      </c>
      <c r="K8" s="322"/>
      <c r="L8" s="307"/>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13" t="s">
        <v>163</v>
      </c>
      <c r="E9" s="313"/>
      <c r="F9" s="313"/>
      <c r="G9" s="313"/>
      <c r="H9" s="313"/>
      <c r="I9" s="313"/>
      <c r="J9" s="313"/>
      <c r="K9" s="314"/>
      <c r="L9" s="308"/>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293">
        <v>1.5</v>
      </c>
      <c r="E10" s="293"/>
      <c r="F10" s="293">
        <v>2.5</v>
      </c>
      <c r="G10" s="293"/>
      <c r="H10" s="293">
        <v>64</v>
      </c>
      <c r="I10" s="293"/>
      <c r="J10" s="293">
        <v>64</v>
      </c>
      <c r="K10" s="325"/>
      <c r="L10" s="309"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293">
        <v>64</v>
      </c>
      <c r="E11" s="293"/>
      <c r="F11" s="293">
        <v>64</v>
      </c>
      <c r="G11" s="293"/>
      <c r="H11" s="293">
        <v>64</v>
      </c>
      <c r="I11" s="293"/>
      <c r="J11" s="293">
        <v>64</v>
      </c>
      <c r="K11" s="325"/>
      <c r="L11" s="310"/>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13" t="s">
        <v>169</v>
      </c>
      <c r="B12" s="313"/>
      <c r="C12" s="27"/>
      <c r="D12" s="313" t="s">
        <v>167</v>
      </c>
      <c r="E12" s="313"/>
      <c r="F12" s="313"/>
      <c r="G12" s="313"/>
      <c r="H12" s="313"/>
      <c r="I12" s="313"/>
      <c r="J12" s="313"/>
      <c r="K12" s="314"/>
      <c r="L12" s="310"/>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297" t="s">
        <v>152</v>
      </c>
      <c r="E13" s="297"/>
      <c r="F13" s="297" t="s">
        <v>150</v>
      </c>
      <c r="G13" s="297"/>
      <c r="H13" s="297" t="s">
        <v>151</v>
      </c>
      <c r="I13" s="297"/>
      <c r="J13" s="297" t="s">
        <v>160</v>
      </c>
      <c r="K13" s="312"/>
      <c r="L13" s="310"/>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16">
        <f>ROUND((D10*$B$13)/$B$14,2)</f>
        <v>128.33000000000001</v>
      </c>
      <c r="E14" s="316"/>
      <c r="F14" s="316">
        <f>ROUND((F10*$B$13)/$B$14,2)</f>
        <v>213.89</v>
      </c>
      <c r="G14" s="316"/>
      <c r="H14" s="316">
        <f>ROUND((H10*$B$13)/$B$14,2)</f>
        <v>5475.56</v>
      </c>
      <c r="I14" s="316"/>
      <c r="J14" s="316">
        <f>ROUND((J10*$B$13)/$B$14,2)</f>
        <v>5475.56</v>
      </c>
      <c r="K14" s="316"/>
      <c r="L14" s="311"/>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13" t="s">
        <v>171</v>
      </c>
      <c r="B15" s="313"/>
      <c r="C15" s="51" t="s">
        <v>162</v>
      </c>
      <c r="D15" s="316">
        <f>ROUND($D$14/$D$11,2)</f>
        <v>2.0099999999999998</v>
      </c>
      <c r="E15" s="316"/>
      <c r="F15" s="316">
        <f>ROUND($F$14/$F$11,2)</f>
        <v>3.34</v>
      </c>
      <c r="G15" s="316"/>
      <c r="H15" s="316">
        <f>ROUND($H$14/$H$11,2)</f>
        <v>85.56</v>
      </c>
      <c r="I15" s="316"/>
      <c r="J15" s="316">
        <f>ROUND($J$14/$J$11,2)</f>
        <v>85.56</v>
      </c>
      <c r="K15" s="316"/>
      <c r="L15" s="315"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21"/>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21"/>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15"/>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15"/>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18"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19"/>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19"/>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10"/>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13" t="s">
        <v>198</v>
      </c>
      <c r="E24" s="313"/>
      <c r="F24" s="313"/>
      <c r="G24" s="313"/>
      <c r="H24" s="313"/>
      <c r="I24" s="313"/>
      <c r="J24" s="313"/>
      <c r="K24" s="314"/>
      <c r="L24" s="320"/>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17" t="s">
        <v>152</v>
      </c>
      <c r="E25" s="317"/>
      <c r="F25" s="317" t="s">
        <v>150</v>
      </c>
      <c r="G25" s="317"/>
      <c r="H25" s="317" t="s">
        <v>151</v>
      </c>
      <c r="I25" s="317"/>
      <c r="J25" s="317" t="s">
        <v>160</v>
      </c>
      <c r="K25" s="317"/>
      <c r="L25" s="315"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15"/>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15"/>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15"/>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15"/>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294" t="s">
        <v>985</v>
      </c>
      <c r="E41" s="294"/>
      <c r="F41" s="294"/>
      <c r="G41" s="294"/>
      <c r="H41" s="294" t="s">
        <v>1005</v>
      </c>
      <c r="I41" s="294"/>
      <c r="J41" s="294"/>
      <c r="K41" s="294"/>
    </row>
    <row r="42" spans="1:23" x14ac:dyDescent="0.25">
      <c r="B42" s="166"/>
      <c r="C42" s="165"/>
      <c r="D42" s="295" t="s">
        <v>986</v>
      </c>
      <c r="E42" s="296"/>
      <c r="F42" s="296"/>
      <c r="G42" s="296"/>
      <c r="H42" s="295" t="s">
        <v>988</v>
      </c>
      <c r="I42" s="296"/>
      <c r="J42" s="296"/>
      <c r="K42" s="296"/>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L25:L29"/>
    <mergeCell ref="A12:B12"/>
    <mergeCell ref="D14:E14"/>
    <mergeCell ref="F14:G14"/>
    <mergeCell ref="J25:K25"/>
    <mergeCell ref="A15:B15"/>
    <mergeCell ref="D24:K24"/>
    <mergeCell ref="D25:E25"/>
    <mergeCell ref="F25:G25"/>
    <mergeCell ref="H25:I25"/>
    <mergeCell ref="L20:L24"/>
    <mergeCell ref="L15:L19"/>
    <mergeCell ref="J14:K14"/>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F2:G2"/>
    <mergeCell ref="D2:E2"/>
    <mergeCell ref="F3:G3"/>
    <mergeCell ref="F4:G4"/>
    <mergeCell ref="D10:E10"/>
    <mergeCell ref="D7:E7"/>
    <mergeCell ref="F7:G7"/>
    <mergeCell ref="F8:G8"/>
    <mergeCell ref="D11:E11"/>
    <mergeCell ref="F10:G10"/>
    <mergeCell ref="D41:G41"/>
    <mergeCell ref="F11:G11"/>
    <mergeCell ref="D42:G42"/>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361" activePane="bottomLeft" state="frozen"/>
      <selection pane="bottomLeft" activeCell="E369" sqref="E369"/>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27" t="s">
        <v>925</v>
      </c>
      <c r="H1" s="328"/>
      <c r="I1" s="328"/>
      <c r="J1" s="328"/>
      <c r="K1" s="326" t="s">
        <v>927</v>
      </c>
      <c r="L1" s="326"/>
      <c r="M1" s="326"/>
      <c r="N1" s="326"/>
      <c r="O1" s="329" t="s">
        <v>928</v>
      </c>
      <c r="P1" s="329"/>
      <c r="Q1" s="329"/>
      <c r="R1" s="329"/>
      <c r="S1" s="326" t="s">
        <v>929</v>
      </c>
      <c r="T1" s="326"/>
      <c r="U1" s="326"/>
      <c r="V1" s="326"/>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229" activePane="bottomLeft" state="frozen"/>
      <selection pane="bottomLeft" activeCell="B246" sqref="B246"/>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topLeftCell="I1" workbookViewId="0">
      <selection activeCell="J9" sqref="J9"/>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34" t="s">
        <v>152</v>
      </c>
      <c r="B1" s="334"/>
      <c r="C1" s="334"/>
      <c r="D1" s="334"/>
      <c r="E1" s="334" t="s">
        <v>150</v>
      </c>
      <c r="F1" s="334"/>
      <c r="G1" s="334"/>
      <c r="H1" s="334"/>
      <c r="I1" s="334" t="s">
        <v>151</v>
      </c>
      <c r="J1" s="334"/>
      <c r="K1" s="334"/>
      <c r="L1" s="334"/>
      <c r="M1" s="334" t="s">
        <v>160</v>
      </c>
      <c r="N1" s="334"/>
      <c r="O1" s="334"/>
      <c r="P1" s="334"/>
      <c r="Q1" s="187"/>
      <c r="R1" s="187"/>
    </row>
    <row r="2" spans="1:18" x14ac:dyDescent="0.25">
      <c r="A2" s="335" t="s">
        <v>1010</v>
      </c>
      <c r="B2" s="336"/>
      <c r="C2" s="336"/>
      <c r="D2" s="336"/>
      <c r="E2" s="335" t="s">
        <v>1010</v>
      </c>
      <c r="F2" s="336"/>
      <c r="G2" s="336"/>
      <c r="H2" s="336"/>
      <c r="I2" s="335" t="s">
        <v>1010</v>
      </c>
      <c r="J2" s="336"/>
      <c r="K2" s="336"/>
      <c r="L2" s="336"/>
      <c r="M2" s="335" t="s">
        <v>1010</v>
      </c>
      <c r="N2" s="336"/>
      <c r="O2" s="336"/>
      <c r="P2" s="336"/>
    </row>
    <row r="3" spans="1:18" x14ac:dyDescent="0.25">
      <c r="A3" s="330" t="s">
        <v>1008</v>
      </c>
      <c r="B3" s="331"/>
      <c r="C3" s="332">
        <f>COUNTA(A8:A30)</f>
        <v>16</v>
      </c>
      <c r="D3" s="333"/>
      <c r="E3" s="330" t="s">
        <v>1008</v>
      </c>
      <c r="F3" s="331"/>
      <c r="G3" s="332">
        <f>COUNTA(E8:E30)</f>
        <v>16</v>
      </c>
      <c r="H3" s="333"/>
      <c r="I3" s="330" t="s">
        <v>1008</v>
      </c>
      <c r="J3" s="331"/>
      <c r="K3" s="332">
        <f>COUNTA(I8:I30)</f>
        <v>19</v>
      </c>
      <c r="L3" s="333"/>
      <c r="M3" s="330" t="s">
        <v>1008</v>
      </c>
      <c r="N3" s="331"/>
      <c r="O3" s="332">
        <f>COUNTA(M8:M30)</f>
        <v>2</v>
      </c>
      <c r="P3" s="333"/>
    </row>
    <row r="4" spans="1:18" s="181" customFormat="1" x14ac:dyDescent="0.25">
      <c r="A4" s="330" t="s">
        <v>1009</v>
      </c>
      <c r="B4" s="331"/>
      <c r="C4" s="332">
        <f>ROUNDDOWN((C5+C6)/C3,1)</f>
        <v>3.1</v>
      </c>
      <c r="D4" s="333"/>
      <c r="E4" s="330" t="s">
        <v>1009</v>
      </c>
      <c r="F4" s="331"/>
      <c r="G4" s="332">
        <f>ROUNDDOWN((G5+G6)/G3,1)</f>
        <v>3.1</v>
      </c>
      <c r="H4" s="333"/>
      <c r="I4" s="330" t="s">
        <v>1009</v>
      </c>
      <c r="J4" s="331"/>
      <c r="K4" s="332">
        <f>ROUNDDOWN((K5+K6)/K3,1)</f>
        <v>2.6</v>
      </c>
      <c r="L4" s="333"/>
      <c r="M4" s="330" t="s">
        <v>1009</v>
      </c>
      <c r="N4" s="331"/>
      <c r="O4" s="332">
        <f>ROUNDDOWN((O5+O6)/O3,1)</f>
        <v>25</v>
      </c>
      <c r="P4" s="333"/>
    </row>
    <row r="5" spans="1:18" x14ac:dyDescent="0.25">
      <c r="A5" s="330" t="s">
        <v>1007</v>
      </c>
      <c r="B5" s="331"/>
      <c r="C5" s="332">
        <v>0</v>
      </c>
      <c r="D5" s="333"/>
      <c r="E5" s="330" t="s">
        <v>1007</v>
      </c>
      <c r="F5" s="331"/>
      <c r="G5" s="332">
        <v>0</v>
      </c>
      <c r="H5" s="333"/>
      <c r="I5" s="330" t="s">
        <v>1007</v>
      </c>
      <c r="J5" s="331"/>
      <c r="K5" s="332">
        <v>0</v>
      </c>
      <c r="L5" s="333"/>
      <c r="M5" s="330" t="s">
        <v>1007</v>
      </c>
      <c r="N5" s="331"/>
      <c r="O5" s="332">
        <v>0</v>
      </c>
      <c r="P5" s="333"/>
    </row>
    <row r="6" spans="1:18" x14ac:dyDescent="0.25">
      <c r="A6" s="330" t="s">
        <v>1016</v>
      </c>
      <c r="B6" s="331"/>
      <c r="C6" s="339">
        <v>50</v>
      </c>
      <c r="D6" s="340"/>
      <c r="E6" s="330" t="s">
        <v>1016</v>
      </c>
      <c r="F6" s="331"/>
      <c r="G6" s="339">
        <v>50</v>
      </c>
      <c r="H6" s="340"/>
      <c r="I6" s="330" t="s">
        <v>1016</v>
      </c>
      <c r="J6" s="331"/>
      <c r="K6" s="339">
        <v>50</v>
      </c>
      <c r="L6" s="340"/>
      <c r="M6" s="330" t="s">
        <v>1016</v>
      </c>
      <c r="N6" s="331"/>
      <c r="O6" s="339">
        <v>50</v>
      </c>
      <c r="P6" s="340"/>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37" t="s">
        <v>1011</v>
      </c>
      <c r="C31" s="337"/>
      <c r="D31" s="338"/>
      <c r="E31" s="257"/>
      <c r="F31" s="337" t="s">
        <v>1011</v>
      </c>
      <c r="G31" s="337"/>
      <c r="H31" s="338"/>
      <c r="I31" s="257"/>
      <c r="J31" s="337" t="s">
        <v>1011</v>
      </c>
      <c r="K31" s="337"/>
      <c r="L31" s="338"/>
      <c r="M31" s="257"/>
      <c r="N31" s="337" t="s">
        <v>1011</v>
      </c>
      <c r="O31" s="337"/>
      <c r="P31" s="338"/>
    </row>
    <row r="32" spans="1:16" x14ac:dyDescent="0.25">
      <c r="A32" s="258"/>
      <c r="B32" s="258" t="s">
        <v>1008</v>
      </c>
      <c r="C32" s="332">
        <f>COUNTA(A37:A59)</f>
        <v>5</v>
      </c>
      <c r="D32" s="333"/>
      <c r="E32" s="258"/>
      <c r="F32" s="258" t="s">
        <v>1008</v>
      </c>
      <c r="G32" s="332">
        <f>COUNTA(E37:E59)</f>
        <v>10</v>
      </c>
      <c r="H32" s="333"/>
      <c r="I32" s="258"/>
      <c r="J32" s="258" t="s">
        <v>1008</v>
      </c>
      <c r="K32" s="332">
        <f>COUNTA(I37:I59)</f>
        <v>13</v>
      </c>
      <c r="L32" s="333"/>
      <c r="M32" s="258"/>
      <c r="N32" s="258" t="s">
        <v>1008</v>
      </c>
      <c r="O32" s="332">
        <f>COUNTA(M37:M59)</f>
        <v>3</v>
      </c>
      <c r="P32" s="333"/>
    </row>
    <row r="33" spans="1:16" x14ac:dyDescent="0.25">
      <c r="A33" s="258"/>
      <c r="B33" s="258" t="s">
        <v>1009</v>
      </c>
      <c r="C33" s="332">
        <f>ROUNDDOWN(C34/C32,1)</f>
        <v>10</v>
      </c>
      <c r="D33" s="333"/>
      <c r="E33" s="258"/>
      <c r="F33" s="258" t="s">
        <v>1009</v>
      </c>
      <c r="G33" s="332">
        <f>ROUNDDOWN(G34/G32,1)</f>
        <v>5</v>
      </c>
      <c r="H33" s="333"/>
      <c r="I33" s="258"/>
      <c r="J33" s="258" t="s">
        <v>1009</v>
      </c>
      <c r="K33" s="332">
        <f>ROUNDDOWN(K34/K32,1)</f>
        <v>3.8</v>
      </c>
      <c r="L33" s="333"/>
      <c r="M33" s="258"/>
      <c r="N33" s="258" t="s">
        <v>1009</v>
      </c>
      <c r="O33" s="332">
        <f>ROUNDDOWN(O34/O32,1)</f>
        <v>16.600000000000001</v>
      </c>
      <c r="P33" s="333"/>
    </row>
    <row r="34" spans="1:16" x14ac:dyDescent="0.25">
      <c r="A34" s="258"/>
      <c r="B34" s="258" t="s">
        <v>1007</v>
      </c>
      <c r="C34" s="332">
        <v>50</v>
      </c>
      <c r="D34" s="333"/>
      <c r="E34" s="258"/>
      <c r="F34" s="258" t="s">
        <v>1007</v>
      </c>
      <c r="G34" s="332">
        <v>50</v>
      </c>
      <c r="H34" s="333"/>
      <c r="I34" s="258"/>
      <c r="J34" s="258" t="s">
        <v>1007</v>
      </c>
      <c r="K34" s="332">
        <v>50</v>
      </c>
      <c r="L34" s="333"/>
      <c r="M34" s="258"/>
      <c r="N34" s="258" t="s">
        <v>1007</v>
      </c>
      <c r="O34" s="332">
        <v>50</v>
      </c>
      <c r="P34" s="333"/>
    </row>
    <row r="35" spans="1:16" x14ac:dyDescent="0.25">
      <c r="A35" s="258"/>
      <c r="B35" s="258" t="s">
        <v>1016</v>
      </c>
      <c r="C35" s="339">
        <v>50</v>
      </c>
      <c r="D35" s="340"/>
      <c r="E35" s="258"/>
      <c r="F35" s="258" t="s">
        <v>1016</v>
      </c>
      <c r="G35" s="339">
        <v>50</v>
      </c>
      <c r="H35" s="340"/>
      <c r="I35" s="258"/>
      <c r="J35" s="258" t="s">
        <v>1016</v>
      </c>
      <c r="K35" s="339">
        <v>50</v>
      </c>
      <c r="L35" s="340"/>
      <c r="M35" s="258"/>
      <c r="N35" s="258" t="s">
        <v>1016</v>
      </c>
      <c r="O35" s="339">
        <v>50</v>
      </c>
      <c r="P35" s="340"/>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37" t="s">
        <v>1012</v>
      </c>
      <c r="C60" s="337"/>
      <c r="D60" s="338"/>
      <c r="E60" s="259"/>
      <c r="F60" s="337" t="s">
        <v>1012</v>
      </c>
      <c r="G60" s="337"/>
      <c r="H60" s="338"/>
      <c r="I60" s="259"/>
      <c r="J60" s="337" t="s">
        <v>1012</v>
      </c>
      <c r="K60" s="337"/>
      <c r="L60" s="338"/>
      <c r="M60" s="259"/>
      <c r="N60" s="337" t="s">
        <v>1012</v>
      </c>
      <c r="O60" s="337"/>
      <c r="P60" s="338"/>
    </row>
    <row r="61" spans="1:16" x14ac:dyDescent="0.25">
      <c r="A61" s="258"/>
      <c r="B61" s="258" t="s">
        <v>1008</v>
      </c>
      <c r="C61" s="332">
        <f>COUNTA(A66:A88)</f>
        <v>18</v>
      </c>
      <c r="D61" s="312"/>
      <c r="E61" s="258"/>
      <c r="F61" s="258" t="s">
        <v>1008</v>
      </c>
      <c r="G61" s="332">
        <f>COUNTA(E66:E88)</f>
        <v>14</v>
      </c>
      <c r="H61" s="312"/>
      <c r="I61" s="258"/>
      <c r="J61" s="258" t="s">
        <v>1008</v>
      </c>
      <c r="K61" s="332">
        <f>COUNTA(I66:I88)</f>
        <v>12</v>
      </c>
      <c r="L61" s="312"/>
      <c r="M61" s="258"/>
      <c r="N61" s="258" t="s">
        <v>1008</v>
      </c>
      <c r="O61" s="332">
        <f>COUNTA(M66:M88)</f>
        <v>1</v>
      </c>
      <c r="P61" s="312"/>
    </row>
    <row r="62" spans="1:16" x14ac:dyDescent="0.25">
      <c r="A62" s="258"/>
      <c r="B62" s="258" t="s">
        <v>1009</v>
      </c>
      <c r="C62" s="332">
        <f>ROUNDDOWN(C64/C61,1)</f>
        <v>2.7</v>
      </c>
      <c r="D62" s="312"/>
      <c r="E62" s="258"/>
      <c r="F62" s="258" t="s">
        <v>1009</v>
      </c>
      <c r="G62" s="332">
        <f>ROUNDDOWN(G64/G61,1)</f>
        <v>3.5</v>
      </c>
      <c r="H62" s="312"/>
      <c r="I62" s="258"/>
      <c r="J62" s="258" t="s">
        <v>1009</v>
      </c>
      <c r="K62" s="332">
        <f>ROUNDDOWN(K64/K61,1)</f>
        <v>4.0999999999999996</v>
      </c>
      <c r="L62" s="312"/>
      <c r="M62" s="258"/>
      <c r="N62" s="258" t="s">
        <v>1009</v>
      </c>
      <c r="O62" s="332">
        <f>ROUNDDOWN(O64/O61,1)</f>
        <v>50</v>
      </c>
      <c r="P62" s="312"/>
    </row>
    <row r="63" spans="1:16" x14ac:dyDescent="0.25">
      <c r="A63" s="258"/>
      <c r="B63" s="258" t="s">
        <v>1007</v>
      </c>
      <c r="C63" s="332">
        <v>100</v>
      </c>
      <c r="D63" s="312"/>
      <c r="E63" s="258"/>
      <c r="F63" s="258" t="s">
        <v>1007</v>
      </c>
      <c r="G63" s="332">
        <v>100</v>
      </c>
      <c r="H63" s="312"/>
      <c r="I63" s="258"/>
      <c r="J63" s="258" t="s">
        <v>1007</v>
      </c>
      <c r="K63" s="332">
        <v>100</v>
      </c>
      <c r="L63" s="312"/>
      <c r="M63" s="258"/>
      <c r="N63" s="258" t="s">
        <v>1007</v>
      </c>
      <c r="O63" s="332">
        <v>100</v>
      </c>
      <c r="P63" s="312"/>
    </row>
    <row r="64" spans="1:16" x14ac:dyDescent="0.25">
      <c r="A64" s="258"/>
      <c r="B64" s="258" t="s">
        <v>1016</v>
      </c>
      <c r="C64" s="339">
        <v>50</v>
      </c>
      <c r="D64" s="342"/>
      <c r="E64" s="258"/>
      <c r="F64" s="258" t="s">
        <v>1016</v>
      </c>
      <c r="G64" s="339">
        <v>50</v>
      </c>
      <c r="H64" s="342"/>
      <c r="I64" s="258"/>
      <c r="J64" s="258" t="s">
        <v>1016</v>
      </c>
      <c r="K64" s="339">
        <v>50</v>
      </c>
      <c r="L64" s="342"/>
      <c r="M64" s="258"/>
      <c r="N64" s="258" t="s">
        <v>1016</v>
      </c>
      <c r="O64" s="339">
        <v>50</v>
      </c>
      <c r="P64" s="342"/>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37" t="s">
        <v>1013</v>
      </c>
      <c r="C89" s="337"/>
      <c r="D89" s="338"/>
      <c r="E89" s="259"/>
      <c r="F89" s="337" t="s">
        <v>1013</v>
      </c>
      <c r="G89" s="337"/>
      <c r="H89" s="338"/>
      <c r="I89" s="259"/>
      <c r="J89" s="337" t="s">
        <v>1013</v>
      </c>
      <c r="K89" s="337"/>
      <c r="L89" s="338"/>
      <c r="M89" s="259"/>
      <c r="N89" s="337" t="s">
        <v>1013</v>
      </c>
      <c r="O89" s="337"/>
      <c r="P89" s="338"/>
    </row>
    <row r="90" spans="1:16" x14ac:dyDescent="0.25">
      <c r="A90" s="258"/>
      <c r="B90" s="258" t="s">
        <v>1008</v>
      </c>
      <c r="C90" s="332">
        <f>COUNTA(A95:A129)</f>
        <v>35</v>
      </c>
      <c r="D90" s="312"/>
      <c r="E90" s="258"/>
      <c r="F90" s="258" t="s">
        <v>1008</v>
      </c>
      <c r="G90" s="332">
        <f>COUNTA(E95:E129)</f>
        <v>7</v>
      </c>
      <c r="H90" s="312"/>
      <c r="I90" s="258"/>
      <c r="J90" s="258" t="s">
        <v>1008</v>
      </c>
      <c r="K90" s="332">
        <f>COUNTA(I95:I129)</f>
        <v>17</v>
      </c>
      <c r="L90" s="312"/>
      <c r="M90" s="258"/>
      <c r="N90" s="258" t="s">
        <v>1008</v>
      </c>
      <c r="O90" s="332">
        <f>COUNTA(M95:M129)</f>
        <v>4</v>
      </c>
      <c r="P90" s="312"/>
    </row>
    <row r="91" spans="1:16" x14ac:dyDescent="0.25">
      <c r="A91" s="258"/>
      <c r="B91" s="258" t="s">
        <v>1009</v>
      </c>
      <c r="C91" s="332">
        <f>ROUNDDOWN(C93/C90,1)</f>
        <v>1.4</v>
      </c>
      <c r="D91" s="333"/>
      <c r="E91" s="258"/>
      <c r="F91" s="258" t="s">
        <v>1009</v>
      </c>
      <c r="G91" s="332">
        <f>ROUNDDOWN(G93/G90,1)</f>
        <v>7.1</v>
      </c>
      <c r="H91" s="333"/>
      <c r="I91" s="258"/>
      <c r="J91" s="258" t="s">
        <v>1009</v>
      </c>
      <c r="K91" s="332">
        <f>ROUNDDOWN(K93/K90,1)</f>
        <v>2.9</v>
      </c>
      <c r="L91" s="333"/>
      <c r="M91" s="258"/>
      <c r="N91" s="258" t="s">
        <v>1009</v>
      </c>
      <c r="O91" s="332">
        <f>ROUNDDOWN(O93/O90,1)</f>
        <v>12.5</v>
      </c>
      <c r="P91" s="333"/>
    </row>
    <row r="92" spans="1:16" x14ac:dyDescent="0.25">
      <c r="A92" s="258"/>
      <c r="B92" s="258" t="s">
        <v>1007</v>
      </c>
      <c r="C92" s="332">
        <v>150</v>
      </c>
      <c r="D92" s="333"/>
      <c r="E92" s="258"/>
      <c r="F92" s="258" t="s">
        <v>1007</v>
      </c>
      <c r="G92" s="332">
        <v>150</v>
      </c>
      <c r="H92" s="333"/>
      <c r="I92" s="258"/>
      <c r="J92" s="258" t="s">
        <v>1007</v>
      </c>
      <c r="K92" s="332">
        <v>150</v>
      </c>
      <c r="L92" s="333"/>
      <c r="M92" s="258"/>
      <c r="N92" s="258" t="s">
        <v>1007</v>
      </c>
      <c r="O92" s="332">
        <v>150</v>
      </c>
      <c r="P92" s="333"/>
    </row>
    <row r="93" spans="1:16" x14ac:dyDescent="0.25">
      <c r="A93" s="258"/>
      <c r="B93" s="258" t="s">
        <v>1016</v>
      </c>
      <c r="C93" s="339">
        <v>50</v>
      </c>
      <c r="D93" s="340"/>
      <c r="E93" s="258"/>
      <c r="F93" s="258" t="s">
        <v>1016</v>
      </c>
      <c r="G93" s="339">
        <v>50</v>
      </c>
      <c r="H93" s="340"/>
      <c r="I93" s="258"/>
      <c r="J93" s="258" t="s">
        <v>1016</v>
      </c>
      <c r="K93" s="339">
        <v>50</v>
      </c>
      <c r="L93" s="340"/>
      <c r="M93" s="258"/>
      <c r="N93" s="258" t="s">
        <v>1016</v>
      </c>
      <c r="O93" s="339">
        <v>50</v>
      </c>
      <c r="P93" s="340"/>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37" t="s">
        <v>1014</v>
      </c>
      <c r="C130" s="337"/>
      <c r="D130" s="338"/>
      <c r="E130" s="257"/>
      <c r="F130" s="337" t="s">
        <v>1014</v>
      </c>
      <c r="G130" s="337"/>
      <c r="H130" s="338"/>
      <c r="I130" s="257"/>
      <c r="J130" s="337" t="s">
        <v>1014</v>
      </c>
      <c r="K130" s="337"/>
      <c r="L130" s="338"/>
      <c r="M130" s="257"/>
      <c r="N130" s="337" t="s">
        <v>1014</v>
      </c>
      <c r="O130" s="337"/>
      <c r="P130" s="338"/>
    </row>
    <row r="131" spans="1:16" x14ac:dyDescent="0.25">
      <c r="A131" s="258"/>
      <c r="B131" s="258" t="s">
        <v>1008</v>
      </c>
      <c r="C131" s="332">
        <f>COUNTA(A136:A158)</f>
        <v>20</v>
      </c>
      <c r="D131" s="312"/>
      <c r="E131" s="258"/>
      <c r="F131" s="258" t="s">
        <v>1008</v>
      </c>
      <c r="G131" s="332">
        <f>COUNTA(E136:E158)</f>
        <v>7</v>
      </c>
      <c r="H131" s="312"/>
      <c r="I131" s="258"/>
      <c r="J131" s="258" t="s">
        <v>1008</v>
      </c>
      <c r="K131" s="332">
        <f>COUNTA(I136:I158)</f>
        <v>21</v>
      </c>
      <c r="L131" s="312"/>
      <c r="M131" s="258"/>
      <c r="N131" s="258" t="s">
        <v>1008</v>
      </c>
      <c r="O131" s="332">
        <f>COUNTA(M136:M158)</f>
        <v>2</v>
      </c>
      <c r="P131" s="312"/>
    </row>
    <row r="132" spans="1:16" x14ac:dyDescent="0.25">
      <c r="A132" s="258"/>
      <c r="B132" s="258" t="s">
        <v>1009</v>
      </c>
      <c r="C132" s="332">
        <f>ROUNDDOWN(C134/C131,1)</f>
        <v>2.5</v>
      </c>
      <c r="D132" s="312"/>
      <c r="E132" s="258"/>
      <c r="F132" s="258" t="s">
        <v>1009</v>
      </c>
      <c r="G132" s="332">
        <f>ROUNDDOWN(G134/G131,1)</f>
        <v>7.1</v>
      </c>
      <c r="H132" s="312"/>
      <c r="I132" s="258"/>
      <c r="J132" s="258" t="s">
        <v>1009</v>
      </c>
      <c r="K132" s="332">
        <f>ROUNDDOWN(K134/K131,1)</f>
        <v>2.2999999999999998</v>
      </c>
      <c r="L132" s="312"/>
      <c r="M132" s="258"/>
      <c r="N132" s="258" t="s">
        <v>1009</v>
      </c>
      <c r="O132" s="332">
        <f>ROUNDDOWN(O134/O131,1)</f>
        <v>25</v>
      </c>
      <c r="P132" s="312"/>
    </row>
    <row r="133" spans="1:16" x14ac:dyDescent="0.25">
      <c r="A133" s="258"/>
      <c r="B133" s="258" t="s">
        <v>1007</v>
      </c>
      <c r="C133" s="332">
        <v>200</v>
      </c>
      <c r="D133" s="312"/>
      <c r="E133" s="258"/>
      <c r="F133" s="258" t="s">
        <v>1007</v>
      </c>
      <c r="G133" s="332">
        <v>200</v>
      </c>
      <c r="H133" s="312"/>
      <c r="I133" s="258"/>
      <c r="J133" s="258" t="s">
        <v>1007</v>
      </c>
      <c r="K133" s="332">
        <v>200</v>
      </c>
      <c r="L133" s="312"/>
      <c r="M133" s="258"/>
      <c r="N133" s="258" t="s">
        <v>1007</v>
      </c>
      <c r="O133" s="332">
        <v>200</v>
      </c>
      <c r="P133" s="312"/>
    </row>
    <row r="134" spans="1:16" x14ac:dyDescent="0.25">
      <c r="A134" s="258"/>
      <c r="B134" s="258" t="s">
        <v>1016</v>
      </c>
      <c r="C134" s="339">
        <v>50</v>
      </c>
      <c r="D134" s="342"/>
      <c r="E134" s="258"/>
      <c r="F134" s="258" t="s">
        <v>1016</v>
      </c>
      <c r="G134" s="339">
        <v>50</v>
      </c>
      <c r="H134" s="342"/>
      <c r="I134" s="258"/>
      <c r="J134" s="258" t="s">
        <v>1016</v>
      </c>
      <c r="K134" s="339">
        <v>50</v>
      </c>
      <c r="L134" s="342"/>
      <c r="M134" s="258"/>
      <c r="N134" s="258" t="s">
        <v>1016</v>
      </c>
      <c r="O134" s="339">
        <v>50</v>
      </c>
      <c r="P134" s="342"/>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41" t="s">
        <v>1015</v>
      </c>
      <c r="C159" s="337"/>
      <c r="D159" s="338"/>
      <c r="E159" s="257"/>
      <c r="F159" s="341" t="s">
        <v>1015</v>
      </c>
      <c r="G159" s="337"/>
      <c r="H159" s="338"/>
      <c r="I159" s="257"/>
      <c r="J159" s="341" t="s">
        <v>1015</v>
      </c>
      <c r="K159" s="337"/>
      <c r="L159" s="338"/>
      <c r="M159" s="257"/>
      <c r="N159" s="341" t="s">
        <v>1015</v>
      </c>
      <c r="O159" s="337"/>
      <c r="P159" s="338"/>
    </row>
    <row r="160" spans="1:16" x14ac:dyDescent="0.25">
      <c r="A160" s="258"/>
      <c r="B160" s="258" t="s">
        <v>1008</v>
      </c>
      <c r="C160" s="332">
        <f>COUNTA(A165:A187)</f>
        <v>12</v>
      </c>
      <c r="D160" s="333"/>
      <c r="E160" s="258"/>
      <c r="F160" s="258" t="s">
        <v>1008</v>
      </c>
      <c r="G160" s="332">
        <f>COUNTA(E165:E187)</f>
        <v>7</v>
      </c>
      <c r="H160" s="333"/>
      <c r="I160" s="258"/>
      <c r="J160" s="258" t="s">
        <v>1008</v>
      </c>
      <c r="K160" s="332">
        <f>COUNTA(I165:I187)</f>
        <v>22</v>
      </c>
      <c r="L160" s="333"/>
      <c r="M160" s="258"/>
      <c r="N160" s="258" t="s">
        <v>1008</v>
      </c>
      <c r="O160" s="332">
        <f>COUNTA(M165:M187)</f>
        <v>4</v>
      </c>
      <c r="P160" s="333"/>
    </row>
    <row r="161" spans="1:16" x14ac:dyDescent="0.25">
      <c r="A161" s="258"/>
      <c r="B161" s="258" t="s">
        <v>1009</v>
      </c>
      <c r="C161" s="332">
        <f>ROUNDDOWN(C163/C160,1)</f>
        <v>4.0999999999999996</v>
      </c>
      <c r="D161" s="333"/>
      <c r="E161" s="258"/>
      <c r="F161" s="258" t="s">
        <v>1009</v>
      </c>
      <c r="G161" s="332">
        <f>ROUNDDOWN(G163/G160,1)</f>
        <v>7.1</v>
      </c>
      <c r="H161" s="333"/>
      <c r="I161" s="258"/>
      <c r="J161" s="258" t="s">
        <v>1009</v>
      </c>
      <c r="K161" s="332">
        <f>ROUNDDOWN(K163/K160,1)</f>
        <v>2.2000000000000002</v>
      </c>
      <c r="L161" s="333"/>
      <c r="M161" s="258"/>
      <c r="N161" s="258" t="s">
        <v>1009</v>
      </c>
      <c r="O161" s="332">
        <f>ROUNDDOWN(O163/O160,1)</f>
        <v>12.5</v>
      </c>
      <c r="P161" s="333"/>
    </row>
    <row r="162" spans="1:16" x14ac:dyDescent="0.25">
      <c r="A162" s="258"/>
      <c r="B162" s="258" t="s">
        <v>1007</v>
      </c>
      <c r="C162" s="332">
        <v>250</v>
      </c>
      <c r="D162" s="333"/>
      <c r="E162" s="258"/>
      <c r="F162" s="258" t="s">
        <v>1007</v>
      </c>
      <c r="G162" s="332">
        <v>250</v>
      </c>
      <c r="H162" s="333"/>
      <c r="I162" s="258"/>
      <c r="J162" s="258" t="s">
        <v>1007</v>
      </c>
      <c r="K162" s="332">
        <v>250</v>
      </c>
      <c r="L162" s="333"/>
      <c r="M162" s="258"/>
      <c r="N162" s="258" t="s">
        <v>1007</v>
      </c>
      <c r="O162" s="332">
        <v>250</v>
      </c>
      <c r="P162" s="333"/>
    </row>
    <row r="163" spans="1:16" x14ac:dyDescent="0.25">
      <c r="A163" s="258"/>
      <c r="B163" s="258" t="s">
        <v>1016</v>
      </c>
      <c r="C163" s="339">
        <v>50</v>
      </c>
      <c r="D163" s="340"/>
      <c r="E163" s="258"/>
      <c r="F163" s="258" t="s">
        <v>1016</v>
      </c>
      <c r="G163" s="339">
        <v>50</v>
      </c>
      <c r="H163" s="340"/>
      <c r="I163" s="258"/>
      <c r="J163" s="258" t="s">
        <v>1016</v>
      </c>
      <c r="K163" s="339">
        <v>50</v>
      </c>
      <c r="L163" s="340"/>
      <c r="M163" s="258"/>
      <c r="N163" s="258" t="s">
        <v>1016</v>
      </c>
      <c r="O163" s="339">
        <v>50</v>
      </c>
      <c r="P163" s="340"/>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B89:D89"/>
    <mergeCell ref="F89:H89"/>
    <mergeCell ref="J89:L89"/>
    <mergeCell ref="N89:P89"/>
    <mergeCell ref="O64:P64"/>
    <mergeCell ref="O90:P90"/>
    <mergeCell ref="O91:P91"/>
    <mergeCell ref="O61:P61"/>
    <mergeCell ref="O62:P62"/>
    <mergeCell ref="K64:L64"/>
    <mergeCell ref="O63:P63"/>
    <mergeCell ref="O163:P163"/>
    <mergeCell ref="O160:P160"/>
    <mergeCell ref="O161:P161"/>
    <mergeCell ref="O162:P162"/>
    <mergeCell ref="O132:P132"/>
    <mergeCell ref="O133:P133"/>
    <mergeCell ref="O134:P134"/>
    <mergeCell ref="O92:P92"/>
    <mergeCell ref="O93:P93"/>
    <mergeCell ref="O131:P131"/>
    <mergeCell ref="N130:P130"/>
    <mergeCell ref="N159:P159"/>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F331"/>
  <sheetViews>
    <sheetView topLeftCell="A181" workbookViewId="0">
      <selection activeCell="D196" sqref="D196"/>
    </sheetView>
  </sheetViews>
  <sheetFormatPr baseColWidth="10" defaultRowHeight="15" x14ac:dyDescent="0.25"/>
  <cols>
    <col min="1" max="16" width="14.7109375" customWidth="1"/>
    <col min="20" max="20" width="15.85546875" customWidth="1"/>
    <col min="21" max="21" width="14.28515625" customWidth="1"/>
    <col min="22" max="24" width="15.28515625" customWidth="1"/>
  </cols>
  <sheetData>
    <row r="1" spans="1:32" ht="15" customHeight="1" x14ac:dyDescent="0.25">
      <c r="A1" s="345" t="s">
        <v>151</v>
      </c>
      <c r="B1" s="345"/>
      <c r="C1" s="345"/>
      <c r="D1" s="345"/>
      <c r="E1" s="345" t="s">
        <v>160</v>
      </c>
      <c r="F1" s="345"/>
      <c r="G1" s="345"/>
      <c r="H1" s="345"/>
      <c r="I1" s="345" t="s">
        <v>152</v>
      </c>
      <c r="J1" s="345"/>
      <c r="K1" s="345"/>
      <c r="L1" s="345"/>
      <c r="M1" s="345" t="s">
        <v>150</v>
      </c>
      <c r="N1" s="345"/>
      <c r="O1" s="345"/>
      <c r="P1" s="345"/>
      <c r="R1" s="275"/>
      <c r="S1" s="275"/>
      <c r="T1" s="29" t="s">
        <v>117</v>
      </c>
      <c r="U1" s="287" t="s">
        <v>1173</v>
      </c>
      <c r="V1" s="287" t="s">
        <v>1174</v>
      </c>
      <c r="W1" s="287" t="s">
        <v>149</v>
      </c>
      <c r="X1" s="287" t="s">
        <v>202</v>
      </c>
      <c r="Y1" s="287" t="s">
        <v>1190</v>
      </c>
      <c r="Z1" s="287" t="s">
        <v>149</v>
      </c>
      <c r="AA1" s="287" t="s">
        <v>202</v>
      </c>
      <c r="AC1" s="30" t="s">
        <v>118</v>
      </c>
      <c r="AD1" s="29" t="s">
        <v>83</v>
      </c>
      <c r="AE1" s="30" t="s">
        <v>84</v>
      </c>
      <c r="AF1" s="29" t="s">
        <v>85</v>
      </c>
    </row>
    <row r="2" spans="1:32" ht="15" customHeight="1" x14ac:dyDescent="0.25">
      <c r="A2" s="344" t="s">
        <v>1111</v>
      </c>
      <c r="B2" s="344"/>
      <c r="C2" s="344" t="s">
        <v>1112</v>
      </c>
      <c r="D2" s="344"/>
      <c r="E2" s="344" t="s">
        <v>1122</v>
      </c>
      <c r="F2" s="344"/>
      <c r="G2" s="344" t="s">
        <v>1126</v>
      </c>
      <c r="H2" s="344"/>
      <c r="I2" s="344" t="s">
        <v>1129</v>
      </c>
      <c r="J2" s="344"/>
      <c r="K2" s="344" t="s">
        <v>1130</v>
      </c>
      <c r="L2" s="344"/>
      <c r="M2" s="344" t="s">
        <v>1132</v>
      </c>
      <c r="N2" s="344"/>
      <c r="O2" s="344" t="s">
        <v>1133</v>
      </c>
      <c r="P2" s="344"/>
      <c r="R2" s="306" t="s">
        <v>108</v>
      </c>
      <c r="S2" s="31" t="s">
        <v>6</v>
      </c>
      <c r="T2" s="34">
        <f>'ECONOMIA &amp; PROFESIONES'!$N$5</f>
        <v>900</v>
      </c>
      <c r="U2" s="53">
        <f>(X2*W2)+(AA2*Z2)</f>
        <v>0</v>
      </c>
      <c r="V2" s="283" t="s">
        <v>926</v>
      </c>
      <c r="W2" s="288">
        <v>0</v>
      </c>
      <c r="X2" s="280">
        <f t="shared" ref="X2:X26" si="0">VLOOKUP(V2,craftedesp,3,FALSE)</f>
        <v>0</v>
      </c>
      <c r="Y2" s="283" t="s">
        <v>926</v>
      </c>
      <c r="Z2" s="288">
        <v>0</v>
      </c>
      <c r="AA2" s="280">
        <f t="shared" ref="AA2:AA26" si="1">VLOOKUP(Y2,craftedesp,3,FALSE)</f>
        <v>0</v>
      </c>
      <c r="AC2" s="35">
        <f>'ECONOMIA &amp; PROFESIONES'!$O$5</f>
        <v>1300</v>
      </c>
      <c r="AD2" s="34">
        <f>'ECONOMIA &amp; PROFESIONES'!$P$5</f>
        <v>2100</v>
      </c>
      <c r="AE2" s="35">
        <f>'ECONOMIA &amp; PROFESIONES'!$Q$5</f>
        <v>3700</v>
      </c>
      <c r="AF2" s="34">
        <f>'ECONOMIA &amp; PROFESIONES'!$R$5</f>
        <v>6900</v>
      </c>
    </row>
    <row r="3" spans="1:32" ht="15" customHeight="1" x14ac:dyDescent="0.25">
      <c r="A3" s="343" t="s">
        <v>1113</v>
      </c>
      <c r="B3" s="343"/>
      <c r="C3" s="343" t="s">
        <v>1118</v>
      </c>
      <c r="D3" s="343"/>
      <c r="E3" s="343" t="s">
        <v>1123</v>
      </c>
      <c r="F3" s="343"/>
      <c r="G3" s="343" t="s">
        <v>1127</v>
      </c>
      <c r="H3" s="343"/>
      <c r="I3" s="343" t="s">
        <v>1131</v>
      </c>
      <c r="J3" s="343"/>
      <c r="K3" s="343" t="s">
        <v>38</v>
      </c>
      <c r="L3" s="343"/>
      <c r="M3" s="343" t="s">
        <v>1134</v>
      </c>
      <c r="N3" s="343"/>
      <c r="O3" s="343" t="s">
        <v>1138</v>
      </c>
      <c r="P3" s="343"/>
      <c r="R3" s="307"/>
      <c r="S3" s="32" t="s">
        <v>113</v>
      </c>
      <c r="T3" s="34">
        <f>'ECONOMIA &amp; PROFESIONES'!$N$6</f>
        <v>1500</v>
      </c>
      <c r="U3" s="53">
        <f>(X3*W3)+(AA3*Z3)</f>
        <v>1403.5</v>
      </c>
      <c r="V3" s="283" t="s">
        <v>1189</v>
      </c>
      <c r="W3" s="288">
        <v>1</v>
      </c>
      <c r="X3" s="280">
        <f t="shared" si="0"/>
        <v>385.5</v>
      </c>
      <c r="Y3" s="283" t="s">
        <v>1177</v>
      </c>
      <c r="Z3" s="288">
        <v>2</v>
      </c>
      <c r="AA3" s="280">
        <f t="shared" si="1"/>
        <v>509</v>
      </c>
      <c r="AC3" s="35">
        <f>'ECONOMIA &amp; PROFESIONES'!$O$6</f>
        <v>2500</v>
      </c>
      <c r="AD3" s="34">
        <f>'ECONOMIA &amp; PROFESIONES'!$P$6</f>
        <v>4500</v>
      </c>
      <c r="AE3" s="35">
        <f>'ECONOMIA &amp; PROFESIONES'!$Q$6</f>
        <v>8500</v>
      </c>
      <c r="AF3" s="34">
        <f>'ECONOMIA &amp; PROFESIONES'!$R$6</f>
        <v>16500</v>
      </c>
    </row>
    <row r="4" spans="1:32" ht="15" customHeight="1" x14ac:dyDescent="0.25">
      <c r="A4" s="343" t="s">
        <v>1114</v>
      </c>
      <c r="B4" s="343"/>
      <c r="C4" s="343" t="s">
        <v>1117</v>
      </c>
      <c r="D4" s="343"/>
      <c r="E4" s="343" t="s">
        <v>1124</v>
      </c>
      <c r="F4" s="343"/>
      <c r="G4" s="343" t="s">
        <v>1128</v>
      </c>
      <c r="H4" s="343"/>
      <c r="I4" s="343"/>
      <c r="J4" s="343"/>
      <c r="K4" s="343"/>
      <c r="L4" s="343"/>
      <c r="M4" s="343" t="s">
        <v>7</v>
      </c>
      <c r="N4" s="343"/>
      <c r="O4" s="343" t="s">
        <v>1155</v>
      </c>
      <c r="P4" s="343"/>
      <c r="R4" s="307"/>
      <c r="S4" s="31" t="s">
        <v>114</v>
      </c>
      <c r="T4" s="34">
        <f>'ECONOMIA &amp; PROFESIONES'!$N$7</f>
        <v>2100</v>
      </c>
      <c r="U4" s="53">
        <f t="shared" ref="U4:U26" si="2">(X4*W4)+(AA4*Z4)</f>
        <v>2051</v>
      </c>
      <c r="V4" s="283" t="s">
        <v>1189</v>
      </c>
      <c r="W4" s="288">
        <v>4</v>
      </c>
      <c r="X4" s="280">
        <f t="shared" si="0"/>
        <v>385.5</v>
      </c>
      <c r="Y4" s="283" t="s">
        <v>1177</v>
      </c>
      <c r="Z4" s="288">
        <v>1</v>
      </c>
      <c r="AA4" s="280">
        <f t="shared" si="1"/>
        <v>509</v>
      </c>
      <c r="AC4" s="35">
        <f>'ECONOMIA &amp; PROFESIONES'!$O$7</f>
        <v>3700</v>
      </c>
      <c r="AD4" s="34">
        <f>'ECONOMIA &amp; PROFESIONES'!$P$7</f>
        <v>6900</v>
      </c>
      <c r="AE4" s="35">
        <f>'ECONOMIA &amp; PROFESIONES'!$Q$7</f>
        <v>13300</v>
      </c>
      <c r="AF4" s="34">
        <f>'ECONOMIA &amp; PROFESIONES'!$R$7</f>
        <v>26100</v>
      </c>
    </row>
    <row r="5" spans="1:32" ht="15" customHeight="1" x14ac:dyDescent="0.25">
      <c r="A5" s="343" t="s">
        <v>1115</v>
      </c>
      <c r="B5" s="343"/>
      <c r="C5" s="343" t="s">
        <v>1119</v>
      </c>
      <c r="D5" s="343"/>
      <c r="E5" s="343" t="s">
        <v>1125</v>
      </c>
      <c r="F5" s="343"/>
      <c r="G5" s="346"/>
      <c r="H5" s="346"/>
      <c r="I5" s="343"/>
      <c r="J5" s="343"/>
      <c r="K5" s="346"/>
      <c r="L5" s="346"/>
      <c r="M5" s="343" t="s">
        <v>1135</v>
      </c>
      <c r="N5" s="343"/>
      <c r="O5" s="347" t="s">
        <v>1140</v>
      </c>
      <c r="P5" s="347"/>
      <c r="R5" s="307"/>
      <c r="S5" s="32" t="s">
        <v>115</v>
      </c>
      <c r="T5" s="34">
        <f>'ECONOMIA &amp; PROFESIONES'!$N$8</f>
        <v>1900</v>
      </c>
      <c r="U5" s="53">
        <f t="shared" si="2"/>
        <v>2174.5</v>
      </c>
      <c r="V5" s="283" t="s">
        <v>1189</v>
      </c>
      <c r="W5" s="288">
        <v>3</v>
      </c>
      <c r="X5" s="280">
        <f t="shared" si="0"/>
        <v>385.5</v>
      </c>
      <c r="Y5" s="283" t="s">
        <v>1177</v>
      </c>
      <c r="Z5" s="288">
        <v>2</v>
      </c>
      <c r="AA5" s="280">
        <f t="shared" si="1"/>
        <v>509</v>
      </c>
      <c r="AC5" s="35">
        <f>'ECONOMIA &amp; PROFESIONES'!$O$8</f>
        <v>3300</v>
      </c>
      <c r="AD5" s="34">
        <f>'ECONOMIA &amp; PROFESIONES'!$P$8</f>
        <v>6100</v>
      </c>
      <c r="AE5" s="35">
        <f>'ECONOMIA &amp; PROFESIONES'!$Q$8</f>
        <v>11700</v>
      </c>
      <c r="AF5" s="34">
        <f>'ECONOMIA &amp; PROFESIONES'!$R$8</f>
        <v>22900</v>
      </c>
    </row>
    <row r="6" spans="1:32" ht="15" customHeight="1" x14ac:dyDescent="0.25">
      <c r="A6" s="343" t="s">
        <v>1145</v>
      </c>
      <c r="B6" s="343"/>
      <c r="C6" s="343" t="s">
        <v>1120</v>
      </c>
      <c r="D6" s="343"/>
      <c r="E6" s="343"/>
      <c r="F6" s="343"/>
      <c r="G6" s="343"/>
      <c r="H6" s="343"/>
      <c r="I6" s="343"/>
      <c r="J6" s="343"/>
      <c r="K6" s="343"/>
      <c r="L6" s="343"/>
      <c r="M6" s="343" t="s">
        <v>1136</v>
      </c>
      <c r="N6" s="343"/>
      <c r="O6" s="343" t="s">
        <v>1156</v>
      </c>
      <c r="P6" s="343"/>
      <c r="R6" s="308"/>
      <c r="S6" s="31" t="s">
        <v>116</v>
      </c>
      <c r="T6" s="34">
        <f>'ECONOMIA &amp; PROFESIONES'!$N$9</f>
        <v>1300</v>
      </c>
      <c r="U6" s="53">
        <f t="shared" si="2"/>
        <v>1280</v>
      </c>
      <c r="V6" s="283" t="s">
        <v>1189</v>
      </c>
      <c r="W6" s="288">
        <v>2</v>
      </c>
      <c r="X6" s="280">
        <f t="shared" si="0"/>
        <v>385.5</v>
      </c>
      <c r="Y6" s="283" t="s">
        <v>1177</v>
      </c>
      <c r="Z6" s="288">
        <v>1</v>
      </c>
      <c r="AA6" s="280">
        <f t="shared" si="1"/>
        <v>509</v>
      </c>
      <c r="AC6" s="35">
        <f>'ECONOMIA &amp; PROFESIONES'!$O$9</f>
        <v>2100</v>
      </c>
      <c r="AD6" s="34">
        <f>'ECONOMIA &amp; PROFESIONES'!$P$9</f>
        <v>3700</v>
      </c>
      <c r="AE6" s="35">
        <f>'ECONOMIA &amp; PROFESIONES'!$Q$9</f>
        <v>6900</v>
      </c>
      <c r="AF6" s="34">
        <f>'ECONOMIA &amp; PROFESIONES'!$R$9</f>
        <v>13300</v>
      </c>
    </row>
    <row r="7" spans="1:32" ht="15" customHeight="1" x14ac:dyDescent="0.25">
      <c r="A7" s="343" t="s">
        <v>1116</v>
      </c>
      <c r="B7" s="343"/>
      <c r="C7" s="343" t="s">
        <v>1121</v>
      </c>
      <c r="D7" s="343"/>
      <c r="E7" s="343"/>
      <c r="F7" s="343"/>
      <c r="G7" s="343"/>
      <c r="H7" s="343"/>
      <c r="I7" s="343"/>
      <c r="J7" s="343"/>
      <c r="K7" s="343"/>
      <c r="L7" s="343"/>
      <c r="M7" s="343" t="s">
        <v>1137</v>
      </c>
      <c r="N7" s="343"/>
      <c r="O7" s="343" t="s">
        <v>1139</v>
      </c>
      <c r="P7" s="343"/>
      <c r="R7" s="309" t="s">
        <v>109</v>
      </c>
      <c r="S7" s="32" t="s">
        <v>6</v>
      </c>
      <c r="T7" s="34">
        <f>'ECONOMIA &amp; PROFESIONES'!$N$10</f>
        <v>2450</v>
      </c>
      <c r="U7" s="53">
        <f t="shared" si="2"/>
        <v>0</v>
      </c>
      <c r="V7" s="283" t="s">
        <v>926</v>
      </c>
      <c r="W7" s="288">
        <v>0</v>
      </c>
      <c r="X7" s="280">
        <f t="shared" si="0"/>
        <v>0</v>
      </c>
      <c r="Y7" s="283" t="s">
        <v>926</v>
      </c>
      <c r="Z7" s="288">
        <v>0</v>
      </c>
      <c r="AA7" s="280">
        <f t="shared" si="1"/>
        <v>0</v>
      </c>
      <c r="AC7" s="35">
        <f>'ECONOMIA &amp; PROFESIONES'!$O$10</f>
        <v>2850</v>
      </c>
      <c r="AD7" s="34">
        <f>'ECONOMIA &amp; PROFESIONES'!$P$10</f>
        <v>3650</v>
      </c>
      <c r="AE7" s="35">
        <f>'ECONOMIA &amp; PROFESIONES'!$Q$10</f>
        <v>5250</v>
      </c>
      <c r="AF7" s="34">
        <f>'ECONOMIA &amp; PROFESIONES'!$R$10</f>
        <v>8450</v>
      </c>
    </row>
    <row r="8" spans="1:32" ht="15" customHeight="1" x14ac:dyDescent="0.25">
      <c r="O8" s="275"/>
      <c r="P8" s="275"/>
      <c r="R8" s="310"/>
      <c r="S8" s="31" t="s">
        <v>113</v>
      </c>
      <c r="T8" s="34">
        <f>'ECONOMIA &amp; PROFESIONES'!$N$11</f>
        <v>3125</v>
      </c>
      <c r="U8" s="53">
        <f t="shared" si="2"/>
        <v>2725</v>
      </c>
      <c r="V8" s="283" t="s">
        <v>1189</v>
      </c>
      <c r="W8" s="288">
        <v>4</v>
      </c>
      <c r="X8" s="280">
        <f t="shared" si="0"/>
        <v>385.5</v>
      </c>
      <c r="Y8" s="283" t="s">
        <v>1175</v>
      </c>
      <c r="Z8" s="288">
        <v>2</v>
      </c>
      <c r="AA8" s="280">
        <f t="shared" si="1"/>
        <v>591.5</v>
      </c>
      <c r="AC8" s="35">
        <f>'ECONOMIA &amp; PROFESIONES'!$O$11</f>
        <v>4125</v>
      </c>
      <c r="AD8" s="34">
        <f>'ECONOMIA &amp; PROFESIONES'!$P$11</f>
        <v>6125</v>
      </c>
      <c r="AE8" s="35">
        <f>'ECONOMIA &amp; PROFESIONES'!$Q$11</f>
        <v>10125</v>
      </c>
      <c r="AF8" s="34">
        <f>'ECONOMIA &amp; PROFESIONES'!$R$11</f>
        <v>18125</v>
      </c>
    </row>
    <row r="9" spans="1:32" x14ac:dyDescent="0.25">
      <c r="R9" s="310"/>
      <c r="S9" s="32" t="s">
        <v>114</v>
      </c>
      <c r="T9" s="34">
        <f>'ECONOMIA &amp; PROFESIONES'!$N$12</f>
        <v>3800</v>
      </c>
      <c r="U9" s="53">
        <f t="shared" si="2"/>
        <v>3702</v>
      </c>
      <c r="V9" s="283" t="s">
        <v>1189</v>
      </c>
      <c r="W9" s="288">
        <v>5</v>
      </c>
      <c r="X9" s="280">
        <f t="shared" si="0"/>
        <v>385.5</v>
      </c>
      <c r="Y9" s="283" t="s">
        <v>1175</v>
      </c>
      <c r="Z9" s="288">
        <v>3</v>
      </c>
      <c r="AA9" s="280">
        <f t="shared" si="1"/>
        <v>591.5</v>
      </c>
      <c r="AC9" s="35">
        <f>'ECONOMIA &amp; PROFESIONES'!$O$12</f>
        <v>5400</v>
      </c>
      <c r="AD9" s="34">
        <f>'ECONOMIA &amp; PROFESIONES'!$P$12</f>
        <v>8600</v>
      </c>
      <c r="AE9" s="35">
        <f>'ECONOMIA &amp; PROFESIONES'!$Q$12</f>
        <v>15000</v>
      </c>
      <c r="AF9" s="34">
        <f>'ECONOMIA &amp; PROFESIONES'!$R$12</f>
        <v>27800</v>
      </c>
    </row>
    <row r="10" spans="1:32" ht="15" customHeight="1" x14ac:dyDescent="0.25">
      <c r="A10" s="348" t="s">
        <v>1113</v>
      </c>
      <c r="B10" s="348"/>
      <c r="C10" s="348" t="s">
        <v>1118</v>
      </c>
      <c r="D10" s="348"/>
      <c r="E10" s="348" t="s">
        <v>1123</v>
      </c>
      <c r="F10" s="348"/>
      <c r="G10" s="348" t="s">
        <v>1127</v>
      </c>
      <c r="H10" s="348"/>
      <c r="I10" s="348" t="s">
        <v>35</v>
      </c>
      <c r="J10" s="348"/>
      <c r="K10" s="348" t="s">
        <v>35</v>
      </c>
      <c r="L10" s="348"/>
      <c r="M10" s="348" t="s">
        <v>1134</v>
      </c>
      <c r="N10" s="348"/>
      <c r="O10" s="348" t="s">
        <v>1138</v>
      </c>
      <c r="P10" s="348"/>
      <c r="R10" s="310"/>
      <c r="S10" s="31" t="s">
        <v>115</v>
      </c>
      <c r="T10" s="34">
        <f>'ECONOMIA &amp; PROFESIONES'!$N$13</f>
        <v>3575</v>
      </c>
      <c r="U10" s="53">
        <f t="shared" si="2"/>
        <v>3316.5</v>
      </c>
      <c r="V10" s="283" t="s">
        <v>1189</v>
      </c>
      <c r="W10" s="288">
        <v>4</v>
      </c>
      <c r="X10" s="280">
        <f t="shared" si="0"/>
        <v>385.5</v>
      </c>
      <c r="Y10" s="283" t="s">
        <v>1175</v>
      </c>
      <c r="Z10" s="288">
        <v>3</v>
      </c>
      <c r="AA10" s="280">
        <f t="shared" si="1"/>
        <v>591.5</v>
      </c>
      <c r="AC10" s="35">
        <f>'ECONOMIA &amp; PROFESIONES'!$O$13</f>
        <v>4975</v>
      </c>
      <c r="AD10" s="34">
        <f>'ECONOMIA &amp; PROFESIONES'!$P$13</f>
        <v>7775</v>
      </c>
      <c r="AE10" s="35">
        <f>'ECONOMIA &amp; PROFESIONES'!$Q$13</f>
        <v>13375</v>
      </c>
      <c r="AF10" s="34">
        <f>'ECONOMIA &amp; PROFESIONES'!$R$13</f>
        <v>24575</v>
      </c>
    </row>
    <row r="11" spans="1:32" ht="15" customHeight="1" x14ac:dyDescent="0.25">
      <c r="A11" t="s">
        <v>1141</v>
      </c>
      <c r="C11" s="275" t="s">
        <v>1147</v>
      </c>
      <c r="D11" s="275"/>
      <c r="E11" s="275" t="s">
        <v>1149</v>
      </c>
      <c r="F11" s="275"/>
      <c r="G11" s="275" t="s">
        <v>1150</v>
      </c>
      <c r="H11" s="275"/>
      <c r="I11" s="348" t="s">
        <v>51</v>
      </c>
      <c r="J11" s="348"/>
      <c r="K11" s="348" t="s">
        <v>51</v>
      </c>
      <c r="L11" s="348"/>
      <c r="M11" s="275" t="s">
        <v>7</v>
      </c>
      <c r="N11" s="275"/>
      <c r="O11" s="275" t="s">
        <v>1138</v>
      </c>
      <c r="P11" s="275"/>
      <c r="R11" s="311"/>
      <c r="S11" s="32" t="s">
        <v>116</v>
      </c>
      <c r="T11" s="34">
        <f>'ECONOMIA &amp; PROFESIONES'!$N$14</f>
        <v>2900</v>
      </c>
      <c r="U11" s="53">
        <f t="shared" si="2"/>
        <v>2339.5</v>
      </c>
      <c r="V11" s="283" t="s">
        <v>1189</v>
      </c>
      <c r="W11" s="288">
        <v>3</v>
      </c>
      <c r="X11" s="280">
        <f t="shared" si="0"/>
        <v>385.5</v>
      </c>
      <c r="Y11" s="283" t="s">
        <v>1175</v>
      </c>
      <c r="Z11" s="288">
        <v>2</v>
      </c>
      <c r="AA11" s="280">
        <f t="shared" si="1"/>
        <v>591.5</v>
      </c>
      <c r="AC11" s="35">
        <f>'ECONOMIA &amp; PROFESIONES'!$O$14</f>
        <v>3700</v>
      </c>
      <c r="AD11" s="34">
        <f>'ECONOMIA &amp; PROFESIONES'!$P$14</f>
        <v>5300</v>
      </c>
      <c r="AE11" s="35">
        <f>'ECONOMIA &amp; PROFESIONES'!$Q$14</f>
        <v>8500</v>
      </c>
      <c r="AF11" s="34">
        <f>'ECONOMIA &amp; PROFESIONES'!$R$14</f>
        <v>14900</v>
      </c>
    </row>
    <row r="12" spans="1:32" ht="15" customHeight="1" x14ac:dyDescent="0.25">
      <c r="C12" s="275"/>
      <c r="D12" s="275"/>
      <c r="E12" s="275"/>
      <c r="F12" s="275"/>
      <c r="G12" s="275"/>
      <c r="H12" s="275"/>
      <c r="I12" s="348" t="s">
        <v>52</v>
      </c>
      <c r="J12" s="348"/>
      <c r="K12" s="348" t="s">
        <v>52</v>
      </c>
      <c r="L12" s="348"/>
      <c r="M12" s="275" t="s">
        <v>1113</v>
      </c>
      <c r="N12" s="275"/>
      <c r="O12" s="275" t="s">
        <v>1147</v>
      </c>
      <c r="P12" s="275"/>
      <c r="R12" s="315" t="s">
        <v>110</v>
      </c>
      <c r="S12" s="31" t="s">
        <v>6</v>
      </c>
      <c r="T12" s="34">
        <f>'ECONOMIA &amp; PROFESIONES'!$N$15</f>
        <v>4050</v>
      </c>
      <c r="U12" s="53">
        <f t="shared" si="2"/>
        <v>0</v>
      </c>
      <c r="V12" s="283" t="s">
        <v>926</v>
      </c>
      <c r="W12" s="288">
        <v>0</v>
      </c>
      <c r="X12" s="280">
        <f t="shared" si="0"/>
        <v>0</v>
      </c>
      <c r="Y12" s="283" t="s">
        <v>926</v>
      </c>
      <c r="Z12" s="288">
        <v>0</v>
      </c>
      <c r="AA12" s="280">
        <f t="shared" si="1"/>
        <v>0</v>
      </c>
      <c r="AC12" s="35">
        <f>'ECONOMIA &amp; PROFESIONES'!$O$15</f>
        <v>4450</v>
      </c>
      <c r="AD12" s="34">
        <f>'ECONOMIA &amp; PROFESIONES'!$P$15</f>
        <v>5250</v>
      </c>
      <c r="AE12" s="35">
        <f>'ECONOMIA &amp; PROFESIONES'!$Q$15</f>
        <v>6850</v>
      </c>
      <c r="AF12" s="34">
        <f>'ECONOMIA &amp; PROFESIONES'!$R$15</f>
        <v>10050</v>
      </c>
    </row>
    <row r="13" spans="1:32" ht="15" customHeight="1" x14ac:dyDescent="0.25">
      <c r="C13" s="275"/>
      <c r="D13" s="275"/>
      <c r="E13" s="275"/>
      <c r="F13" s="275"/>
      <c r="G13" s="275"/>
      <c r="H13" s="275"/>
      <c r="I13" s="348" t="s">
        <v>53</v>
      </c>
      <c r="J13" s="348"/>
      <c r="K13" s="348" t="s">
        <v>53</v>
      </c>
      <c r="L13" s="348"/>
      <c r="M13" s="275" t="s">
        <v>1152</v>
      </c>
      <c r="N13" s="275"/>
      <c r="O13" s="275" t="s">
        <v>1124</v>
      </c>
      <c r="P13" s="275"/>
      <c r="R13" s="321"/>
      <c r="S13" s="32" t="s">
        <v>113</v>
      </c>
      <c r="T13" s="34">
        <f>'ECONOMIA &amp; PROFESIONES'!$N$16</f>
        <v>4875</v>
      </c>
      <c r="U13" s="53">
        <f t="shared" si="2"/>
        <v>0</v>
      </c>
      <c r="V13" s="283" t="s">
        <v>1189</v>
      </c>
      <c r="W13" s="288">
        <v>0</v>
      </c>
      <c r="X13" s="280">
        <f t="shared" si="0"/>
        <v>385.5</v>
      </c>
      <c r="Y13" s="283" t="s">
        <v>1177</v>
      </c>
      <c r="Z13" s="288">
        <v>0</v>
      </c>
      <c r="AA13" s="280">
        <f t="shared" si="1"/>
        <v>509</v>
      </c>
      <c r="AC13" s="35">
        <f>'ECONOMIA &amp; PROFESIONES'!$O$16</f>
        <v>5875</v>
      </c>
      <c r="AD13" s="34">
        <f>'ECONOMIA &amp; PROFESIONES'!$P$16</f>
        <v>7875</v>
      </c>
      <c r="AE13" s="35">
        <f>'ECONOMIA &amp; PROFESIONES'!$Q$16</f>
        <v>11875</v>
      </c>
      <c r="AF13" s="34">
        <f>'ECONOMIA &amp; PROFESIONES'!$R$16</f>
        <v>19875</v>
      </c>
    </row>
    <row r="14" spans="1:32" ht="15" customHeight="1" x14ac:dyDescent="0.25">
      <c r="C14" s="275"/>
      <c r="D14" s="275"/>
      <c r="E14" s="275"/>
      <c r="F14" s="275"/>
      <c r="G14" s="275"/>
      <c r="H14" s="275"/>
      <c r="I14" s="348" t="s">
        <v>54</v>
      </c>
      <c r="J14" s="348"/>
      <c r="K14" s="348" t="s">
        <v>54</v>
      </c>
      <c r="L14" s="348"/>
      <c r="M14" s="275"/>
      <c r="N14" s="275"/>
      <c r="O14" s="275"/>
      <c r="P14" s="275"/>
      <c r="R14" s="321"/>
      <c r="S14" s="31" t="s">
        <v>114</v>
      </c>
      <c r="T14" s="34">
        <f>'ECONOMIA &amp; PROFESIONES'!$N$17</f>
        <v>5700</v>
      </c>
      <c r="U14" s="53">
        <f t="shared" si="2"/>
        <v>0</v>
      </c>
      <c r="V14" s="283" t="s">
        <v>1189</v>
      </c>
      <c r="W14" s="288">
        <v>0</v>
      </c>
      <c r="X14" s="280">
        <f t="shared" si="0"/>
        <v>385.5</v>
      </c>
      <c r="Y14" s="283" t="s">
        <v>1177</v>
      </c>
      <c r="Z14" s="288">
        <v>0</v>
      </c>
      <c r="AA14" s="280">
        <f t="shared" si="1"/>
        <v>509</v>
      </c>
      <c r="AC14" s="35">
        <f>'ECONOMIA &amp; PROFESIONES'!$O$17</f>
        <v>7300</v>
      </c>
      <c r="AD14" s="34">
        <f>'ECONOMIA &amp; PROFESIONES'!$P$17</f>
        <v>10500</v>
      </c>
      <c r="AE14" s="35">
        <f>'ECONOMIA &amp; PROFESIONES'!$Q$17</f>
        <v>16900</v>
      </c>
      <c r="AF14" s="34">
        <f>'ECONOMIA &amp; PROFESIONES'!$R$17</f>
        <v>29700</v>
      </c>
    </row>
    <row r="15" spans="1:32" ht="15" customHeight="1" x14ac:dyDescent="0.25">
      <c r="A15" s="348" t="s">
        <v>1115</v>
      </c>
      <c r="B15" s="348"/>
      <c r="C15" s="348" t="s">
        <v>1117</v>
      </c>
      <c r="D15" s="348"/>
      <c r="E15" s="348" t="s">
        <v>1124</v>
      </c>
      <c r="F15" s="348"/>
      <c r="G15" s="348" t="s">
        <v>1151</v>
      </c>
      <c r="H15" s="348"/>
      <c r="I15" s="275"/>
      <c r="J15" s="275"/>
      <c r="K15" s="275"/>
      <c r="L15" s="275"/>
      <c r="M15" s="348" t="s">
        <v>7</v>
      </c>
      <c r="N15" s="348"/>
      <c r="O15" s="348" t="s">
        <v>1155</v>
      </c>
      <c r="P15" s="348"/>
      <c r="R15" s="315"/>
      <c r="S15" s="32" t="s">
        <v>115</v>
      </c>
      <c r="T15" s="34">
        <f>'ECONOMIA &amp; PROFESIONES'!$N$18</f>
        <v>5425</v>
      </c>
      <c r="U15" s="53">
        <f t="shared" si="2"/>
        <v>0</v>
      </c>
      <c r="V15" s="283" t="s">
        <v>1189</v>
      </c>
      <c r="W15" s="288">
        <v>0</v>
      </c>
      <c r="X15" s="280">
        <f t="shared" si="0"/>
        <v>385.5</v>
      </c>
      <c r="Y15" s="283" t="s">
        <v>1177</v>
      </c>
      <c r="Z15" s="288">
        <v>0</v>
      </c>
      <c r="AA15" s="280">
        <f t="shared" si="1"/>
        <v>509</v>
      </c>
      <c r="AC15" s="35">
        <f>'ECONOMIA &amp; PROFESIONES'!$O$18</f>
        <v>6825</v>
      </c>
      <c r="AD15" s="34">
        <f>'ECONOMIA &amp; PROFESIONES'!$P$18</f>
        <v>9625</v>
      </c>
      <c r="AE15" s="35">
        <f>'ECONOMIA &amp; PROFESIONES'!$Q$18</f>
        <v>15225</v>
      </c>
      <c r="AF15" s="34">
        <f>'ECONOMIA &amp; PROFESIONES'!$R$18</f>
        <v>26425</v>
      </c>
    </row>
    <row r="16" spans="1:32" ht="15" customHeight="1" x14ac:dyDescent="0.25">
      <c r="A16" s="275" t="s">
        <v>1113</v>
      </c>
      <c r="B16" s="2" t="s">
        <v>1152</v>
      </c>
      <c r="C16" s="275" t="s">
        <v>1147</v>
      </c>
      <c r="D16" s="275" t="s">
        <v>1138</v>
      </c>
      <c r="E16" s="275" t="s">
        <v>1124</v>
      </c>
      <c r="F16" s="275"/>
      <c r="G16" s="275" t="s">
        <v>1115</v>
      </c>
      <c r="H16" s="275" t="s">
        <v>1143</v>
      </c>
      <c r="I16" s="275"/>
      <c r="J16" s="275"/>
      <c r="K16" s="275"/>
      <c r="L16" s="275"/>
      <c r="M16" s="275" t="s">
        <v>1134</v>
      </c>
      <c r="N16" s="275"/>
      <c r="O16" s="275" t="s">
        <v>1138</v>
      </c>
      <c r="P16" s="275" t="s">
        <v>1157</v>
      </c>
      <c r="R16" s="315"/>
      <c r="S16" s="31" t="s">
        <v>116</v>
      </c>
      <c r="T16" s="34">
        <f>'ECONOMIA &amp; PROFESIONES'!$N$19</f>
        <v>4600</v>
      </c>
      <c r="U16" s="53">
        <f t="shared" si="2"/>
        <v>0</v>
      </c>
      <c r="V16" s="283" t="s">
        <v>1189</v>
      </c>
      <c r="W16" s="288">
        <v>0</v>
      </c>
      <c r="X16" s="280">
        <f t="shared" si="0"/>
        <v>385.5</v>
      </c>
      <c r="Y16" s="283" t="s">
        <v>1177</v>
      </c>
      <c r="Z16" s="288">
        <v>0</v>
      </c>
      <c r="AA16" s="280">
        <f t="shared" si="1"/>
        <v>509</v>
      </c>
      <c r="AC16" s="35">
        <f>'ECONOMIA &amp; PROFESIONES'!$O$19</f>
        <v>5400</v>
      </c>
      <c r="AD16" s="34">
        <f>'ECONOMIA &amp; PROFESIONES'!$P$19</f>
        <v>7000</v>
      </c>
      <c r="AE16" s="35">
        <f>'ECONOMIA &amp; PROFESIONES'!$Q$19</f>
        <v>10200</v>
      </c>
      <c r="AF16" s="34">
        <f>'ECONOMIA &amp; PROFESIONES'!$R$19</f>
        <v>16600</v>
      </c>
    </row>
    <row r="17" spans="1:32" ht="15" customHeight="1" x14ac:dyDescent="0.25">
      <c r="A17" s="275" t="s">
        <v>1143</v>
      </c>
      <c r="C17" s="275" t="s">
        <v>1118</v>
      </c>
      <c r="D17" s="276"/>
      <c r="E17" s="275" t="s">
        <v>1115</v>
      </c>
      <c r="F17" s="275"/>
      <c r="G17" s="275" t="s">
        <v>1113</v>
      </c>
      <c r="H17" s="275"/>
      <c r="I17" s="275"/>
      <c r="J17" s="275"/>
      <c r="K17" s="275"/>
      <c r="L17" s="275"/>
      <c r="M17" s="275" t="s">
        <v>1124</v>
      </c>
      <c r="N17" s="275"/>
      <c r="O17" s="275" t="s">
        <v>1147</v>
      </c>
      <c r="P17" s="275" t="s">
        <v>1158</v>
      </c>
      <c r="R17" s="318" t="s">
        <v>111</v>
      </c>
      <c r="S17" s="32" t="s">
        <v>6</v>
      </c>
      <c r="T17" s="34">
        <f>'ECONOMIA &amp; PROFESIONES'!$N$20</f>
        <v>5650</v>
      </c>
      <c r="U17" s="53">
        <f t="shared" si="2"/>
        <v>0</v>
      </c>
      <c r="V17" s="283" t="s">
        <v>1189</v>
      </c>
      <c r="W17" s="288">
        <v>0</v>
      </c>
      <c r="X17" s="280">
        <f t="shared" si="0"/>
        <v>385.5</v>
      </c>
      <c r="Y17" s="283" t="s">
        <v>1177</v>
      </c>
      <c r="Z17" s="288">
        <v>0</v>
      </c>
      <c r="AA17" s="280">
        <f t="shared" si="1"/>
        <v>509</v>
      </c>
      <c r="AC17" s="35">
        <f>'ECONOMIA &amp; PROFESIONES'!$O$20</f>
        <v>6050</v>
      </c>
      <c r="AD17" s="34">
        <f>'ECONOMIA &amp; PROFESIONES'!$P$20</f>
        <v>6850</v>
      </c>
      <c r="AE17" s="35">
        <f>'ECONOMIA &amp; PROFESIONES'!$Q$20</f>
        <v>8450</v>
      </c>
      <c r="AF17" s="34">
        <f>'ECONOMIA &amp; PROFESIONES'!$R$20</f>
        <v>11650</v>
      </c>
    </row>
    <row r="18" spans="1:32" ht="15" customHeight="1" x14ac:dyDescent="0.25">
      <c r="A18" s="275" t="s">
        <v>1134</v>
      </c>
      <c r="C18" s="275" t="s">
        <v>1143</v>
      </c>
      <c r="D18" s="275"/>
      <c r="E18" s="275" t="s">
        <v>1147</v>
      </c>
      <c r="F18" s="275"/>
      <c r="G18" s="275" t="s">
        <v>1118</v>
      </c>
      <c r="H18" s="275"/>
      <c r="M18" s="275" t="s">
        <v>1115</v>
      </c>
      <c r="N18" s="275"/>
      <c r="O18" s="275" t="s">
        <v>1124</v>
      </c>
      <c r="P18" s="275" t="s">
        <v>1115</v>
      </c>
      <c r="R18" s="319"/>
      <c r="S18" s="31" t="s">
        <v>113</v>
      </c>
      <c r="T18" s="34">
        <f>'ECONOMIA &amp; PROFESIONES'!$N$21</f>
        <v>6625</v>
      </c>
      <c r="U18" s="53">
        <f t="shared" si="2"/>
        <v>0</v>
      </c>
      <c r="V18" s="283" t="s">
        <v>1189</v>
      </c>
      <c r="W18" s="288">
        <v>0</v>
      </c>
      <c r="X18" s="280">
        <f t="shared" si="0"/>
        <v>385.5</v>
      </c>
      <c r="Y18" s="283" t="s">
        <v>1177</v>
      </c>
      <c r="Z18" s="288">
        <v>0</v>
      </c>
      <c r="AA18" s="280">
        <f t="shared" si="1"/>
        <v>509</v>
      </c>
      <c r="AC18" s="35">
        <f>'ECONOMIA &amp; PROFESIONES'!$O$21</f>
        <v>7625</v>
      </c>
      <c r="AD18" s="34">
        <f>'ECONOMIA &amp; PROFESIONES'!$P$21</f>
        <v>9625</v>
      </c>
      <c r="AE18" s="35">
        <f>'ECONOMIA &amp; PROFESIONES'!$Q$21</f>
        <v>13625</v>
      </c>
      <c r="AF18" s="34">
        <f>'ECONOMIA &amp; PROFESIONES'!$R$21</f>
        <v>21625</v>
      </c>
    </row>
    <row r="19" spans="1:32" ht="15" customHeight="1" x14ac:dyDescent="0.25">
      <c r="A19" s="2" t="s">
        <v>1153</v>
      </c>
      <c r="B19" s="275"/>
      <c r="C19" s="275"/>
      <c r="D19" s="275"/>
      <c r="E19" s="275" t="s">
        <v>1143</v>
      </c>
      <c r="F19" s="275"/>
      <c r="G19" s="275" t="s">
        <v>1138</v>
      </c>
      <c r="H19" s="275"/>
      <c r="M19" s="275" t="s">
        <v>1117</v>
      </c>
      <c r="N19" s="275"/>
      <c r="O19" s="275" t="s">
        <v>1143</v>
      </c>
      <c r="P19" s="275"/>
      <c r="R19" s="319"/>
      <c r="S19" s="32" t="s">
        <v>114</v>
      </c>
      <c r="T19" s="34">
        <f>'ECONOMIA &amp; PROFESIONES'!$N$22</f>
        <v>7600</v>
      </c>
      <c r="U19" s="53">
        <f t="shared" si="2"/>
        <v>0</v>
      </c>
      <c r="V19" s="283" t="s">
        <v>1189</v>
      </c>
      <c r="W19" s="288">
        <v>0</v>
      </c>
      <c r="X19" s="280">
        <f t="shared" si="0"/>
        <v>385.5</v>
      </c>
      <c r="Y19" s="283" t="s">
        <v>1177</v>
      </c>
      <c r="Z19" s="288">
        <v>0</v>
      </c>
      <c r="AA19" s="280">
        <f t="shared" si="1"/>
        <v>509</v>
      </c>
      <c r="AC19" s="35">
        <f>'ECONOMIA &amp; PROFESIONES'!$O$22</f>
        <v>9200</v>
      </c>
      <c r="AD19" s="34">
        <f>'ECONOMIA &amp; PROFESIONES'!$P$22</f>
        <v>12400</v>
      </c>
      <c r="AE19" s="35">
        <f>'ECONOMIA &amp; PROFESIONES'!$Q$22</f>
        <v>18800</v>
      </c>
      <c r="AF19" s="34">
        <f>'ECONOMIA &amp; PROFESIONES'!$R$22</f>
        <v>31600</v>
      </c>
    </row>
    <row r="20" spans="1:32" ht="15" customHeight="1" x14ac:dyDescent="0.25">
      <c r="A20" s="348" t="s">
        <v>1142</v>
      </c>
      <c r="B20" s="348"/>
      <c r="C20" s="348" t="s">
        <v>1119</v>
      </c>
      <c r="D20" s="348"/>
      <c r="E20" s="348" t="s">
        <v>1154</v>
      </c>
      <c r="F20" s="348"/>
      <c r="G20" s="348" t="s">
        <v>1159</v>
      </c>
      <c r="H20" s="348"/>
      <c r="M20" s="348" t="s">
        <v>1135</v>
      </c>
      <c r="N20" s="348"/>
      <c r="O20" s="348" t="s">
        <v>1156</v>
      </c>
      <c r="P20" s="348"/>
      <c r="R20" s="310"/>
      <c r="S20" s="31" t="s">
        <v>115</v>
      </c>
      <c r="T20" s="34">
        <f>'ECONOMIA &amp; PROFESIONES'!$N$23</f>
        <v>7275</v>
      </c>
      <c r="U20" s="53">
        <f t="shared" si="2"/>
        <v>0</v>
      </c>
      <c r="V20" s="283" t="s">
        <v>1189</v>
      </c>
      <c r="W20" s="288">
        <v>0</v>
      </c>
      <c r="X20" s="280">
        <f t="shared" si="0"/>
        <v>385.5</v>
      </c>
      <c r="Y20" s="283" t="s">
        <v>1177</v>
      </c>
      <c r="Z20" s="288">
        <v>0</v>
      </c>
      <c r="AA20" s="280">
        <f t="shared" si="1"/>
        <v>509</v>
      </c>
      <c r="AC20" s="35">
        <f>'ECONOMIA &amp; PROFESIONES'!$O$23</f>
        <v>8675</v>
      </c>
      <c r="AD20" s="34">
        <f>'ECONOMIA &amp; PROFESIONES'!$P$23</f>
        <v>11475</v>
      </c>
      <c r="AE20" s="35">
        <f>'ECONOMIA &amp; PROFESIONES'!$Q$23</f>
        <v>17075</v>
      </c>
      <c r="AF20" s="34">
        <f>'ECONOMIA &amp; PROFESIONES'!$R$23</f>
        <v>28275</v>
      </c>
    </row>
    <row r="21" spans="1:32" ht="15" customHeight="1" x14ac:dyDescent="0.25">
      <c r="A21" s="275" t="s">
        <v>1115</v>
      </c>
      <c r="B21" s="275"/>
      <c r="C21" s="275" t="s">
        <v>1147</v>
      </c>
      <c r="D21" s="275"/>
      <c r="E21" s="348" t="s">
        <v>51</v>
      </c>
      <c r="F21" s="348"/>
      <c r="G21" s="275" t="s">
        <v>1157</v>
      </c>
      <c r="H21" s="275" t="s">
        <v>1156</v>
      </c>
      <c r="M21" s="275" t="s">
        <v>1115</v>
      </c>
      <c r="N21" s="275"/>
      <c r="O21" s="275" t="s">
        <v>1119</v>
      </c>
      <c r="P21" s="275"/>
      <c r="R21" s="320"/>
      <c r="S21" s="32" t="s">
        <v>116</v>
      </c>
      <c r="T21" s="34">
        <f>'ECONOMIA &amp; PROFESIONES'!$N$24</f>
        <v>6300</v>
      </c>
      <c r="U21" s="53">
        <f t="shared" si="2"/>
        <v>0</v>
      </c>
      <c r="V21" s="283" t="s">
        <v>1189</v>
      </c>
      <c r="W21" s="288">
        <v>0</v>
      </c>
      <c r="X21" s="280">
        <f t="shared" si="0"/>
        <v>385.5</v>
      </c>
      <c r="Y21" s="283" t="s">
        <v>1177</v>
      </c>
      <c r="Z21" s="288">
        <v>0</v>
      </c>
      <c r="AA21" s="280">
        <f t="shared" si="1"/>
        <v>509</v>
      </c>
      <c r="AC21" s="35">
        <f>'ECONOMIA &amp; PROFESIONES'!$O$24</f>
        <v>7100</v>
      </c>
      <c r="AD21" s="34">
        <f>'ECONOMIA &amp; PROFESIONES'!$P$24</f>
        <v>8700</v>
      </c>
      <c r="AE21" s="35">
        <f>'ECONOMIA &amp; PROFESIONES'!$Q$24</f>
        <v>11900</v>
      </c>
      <c r="AF21" s="34">
        <f>'ECONOMIA &amp; PROFESIONES'!$R$24</f>
        <v>18300</v>
      </c>
    </row>
    <row r="22" spans="1:32" ht="15" customHeight="1" x14ac:dyDescent="0.25">
      <c r="A22" s="275" t="s">
        <v>1113</v>
      </c>
      <c r="B22" s="275"/>
      <c r="C22" s="275" t="s">
        <v>1118</v>
      </c>
      <c r="D22" s="275"/>
      <c r="E22" s="348" t="s">
        <v>52</v>
      </c>
      <c r="F22" s="348"/>
      <c r="G22" s="275" t="s">
        <v>1119</v>
      </c>
      <c r="H22" s="275"/>
      <c r="M22" s="275" t="s">
        <v>1142</v>
      </c>
      <c r="N22" s="275"/>
      <c r="O22" s="275" t="s">
        <v>1160</v>
      </c>
      <c r="P22" s="275"/>
      <c r="R22" s="315" t="s">
        <v>112</v>
      </c>
      <c r="S22" s="31" t="s">
        <v>6</v>
      </c>
      <c r="T22" s="34">
        <f>'ECONOMIA &amp; PROFESIONES'!$N$25</f>
        <v>7250</v>
      </c>
      <c r="U22" s="53">
        <f t="shared" si="2"/>
        <v>0</v>
      </c>
      <c r="V22" s="283" t="s">
        <v>1189</v>
      </c>
      <c r="W22" s="288">
        <v>0</v>
      </c>
      <c r="X22" s="280">
        <f t="shared" si="0"/>
        <v>385.5</v>
      </c>
      <c r="Y22" s="283" t="s">
        <v>1177</v>
      </c>
      <c r="Z22" s="288">
        <v>0</v>
      </c>
      <c r="AA22" s="280">
        <f t="shared" si="1"/>
        <v>509</v>
      </c>
      <c r="AC22" s="35">
        <f>'ECONOMIA &amp; PROFESIONES'!$O$25</f>
        <v>7650</v>
      </c>
      <c r="AD22" s="34">
        <f>'ECONOMIA &amp; PROFESIONES'!$P$25</f>
        <v>8450</v>
      </c>
      <c r="AE22" s="35">
        <f>'ECONOMIA &amp; PROFESIONES'!$Q$25</f>
        <v>10050</v>
      </c>
      <c r="AF22" s="34">
        <f>'ECONOMIA &amp; PROFESIONES'!$R$25</f>
        <v>13250</v>
      </c>
    </row>
    <row r="23" spans="1:32" ht="15" customHeight="1" x14ac:dyDescent="0.25">
      <c r="A23" s="275" t="s">
        <v>1157</v>
      </c>
      <c r="B23" s="275"/>
      <c r="C23" s="275" t="s">
        <v>1117</v>
      </c>
      <c r="D23" s="275"/>
      <c r="E23" s="348" t="s">
        <v>53</v>
      </c>
      <c r="F23" s="348"/>
      <c r="G23" s="275" t="s">
        <v>1142</v>
      </c>
      <c r="H23" s="275"/>
      <c r="M23" s="275" t="s">
        <v>1113</v>
      </c>
      <c r="N23" s="275"/>
      <c r="O23" s="275" t="s">
        <v>1155</v>
      </c>
      <c r="P23" s="275"/>
      <c r="R23" s="315"/>
      <c r="S23" s="32" t="s">
        <v>113</v>
      </c>
      <c r="T23" s="34">
        <f>'ECONOMIA &amp; PROFESIONES'!$N$26</f>
        <v>8375</v>
      </c>
      <c r="U23" s="53">
        <f t="shared" si="2"/>
        <v>0</v>
      </c>
      <c r="V23" s="283" t="s">
        <v>1189</v>
      </c>
      <c r="W23" s="288">
        <v>0</v>
      </c>
      <c r="X23" s="280">
        <f t="shared" si="0"/>
        <v>385.5</v>
      </c>
      <c r="Y23" s="283" t="s">
        <v>1177</v>
      </c>
      <c r="Z23" s="288">
        <v>0</v>
      </c>
      <c r="AA23" s="280">
        <f t="shared" si="1"/>
        <v>509</v>
      </c>
      <c r="AC23" s="35">
        <f>'ECONOMIA &amp; PROFESIONES'!$O$26</f>
        <v>9375</v>
      </c>
      <c r="AD23" s="34">
        <f>'ECONOMIA &amp; PROFESIONES'!$P$26</f>
        <v>11375</v>
      </c>
      <c r="AE23" s="35">
        <f>'ECONOMIA &amp; PROFESIONES'!$Q$26</f>
        <v>15375</v>
      </c>
      <c r="AF23" s="34">
        <f>'ECONOMIA &amp; PROFESIONES'!$R$26</f>
        <v>23375</v>
      </c>
    </row>
    <row r="24" spans="1:32" ht="15" customHeight="1" x14ac:dyDescent="0.25">
      <c r="A24" s="275" t="s">
        <v>1134</v>
      </c>
      <c r="B24" s="275"/>
      <c r="C24" s="275" t="s">
        <v>1155</v>
      </c>
      <c r="D24" s="275"/>
      <c r="E24" s="348" t="s">
        <v>54</v>
      </c>
      <c r="F24" s="348"/>
      <c r="G24" s="275" t="s">
        <v>1135</v>
      </c>
      <c r="H24" s="275"/>
      <c r="M24" s="275" t="s">
        <v>1160</v>
      </c>
      <c r="N24" s="275"/>
      <c r="O24" s="275" t="s">
        <v>1138</v>
      </c>
      <c r="P24" s="275"/>
      <c r="R24" s="315"/>
      <c r="S24" s="31" t="s">
        <v>114</v>
      </c>
      <c r="T24" s="34">
        <f>'ECONOMIA &amp; PROFESIONES'!$N$27</f>
        <v>9500</v>
      </c>
      <c r="U24" s="53">
        <f t="shared" si="2"/>
        <v>0</v>
      </c>
      <c r="V24" s="283" t="s">
        <v>1189</v>
      </c>
      <c r="W24" s="288">
        <v>0</v>
      </c>
      <c r="X24" s="280">
        <f t="shared" si="0"/>
        <v>385.5</v>
      </c>
      <c r="Y24" s="283" t="s">
        <v>1177</v>
      </c>
      <c r="Z24" s="288">
        <v>0</v>
      </c>
      <c r="AA24" s="280">
        <f t="shared" si="1"/>
        <v>509</v>
      </c>
      <c r="AC24" s="35">
        <f>'ECONOMIA &amp; PROFESIONES'!$O$27</f>
        <v>11100</v>
      </c>
      <c r="AD24" s="34">
        <f>'ECONOMIA &amp; PROFESIONES'!$P$27</f>
        <v>14300</v>
      </c>
      <c r="AE24" s="35">
        <f>'ECONOMIA &amp; PROFESIONES'!$Q$27</f>
        <v>20700</v>
      </c>
      <c r="AF24" s="34">
        <f>'ECONOMIA &amp; PROFESIONES'!$R$27</f>
        <v>33500</v>
      </c>
    </row>
    <row r="25" spans="1:32" ht="15" customHeight="1" x14ac:dyDescent="0.25">
      <c r="A25" s="348" t="s">
        <v>1145</v>
      </c>
      <c r="B25" s="348"/>
      <c r="C25" s="348" t="s">
        <v>1120</v>
      </c>
      <c r="D25" s="348"/>
      <c r="G25" s="348" t="s">
        <v>1161</v>
      </c>
      <c r="H25" s="348"/>
      <c r="M25" s="348" t="s">
        <v>1136</v>
      </c>
      <c r="N25" s="348"/>
      <c r="O25" s="348" t="s">
        <v>1140</v>
      </c>
      <c r="P25" s="348"/>
      <c r="R25" s="315"/>
      <c r="S25" s="32" t="s">
        <v>115</v>
      </c>
      <c r="T25" s="34">
        <f>'ECONOMIA &amp; PROFESIONES'!$N$28</f>
        <v>9125</v>
      </c>
      <c r="U25" s="53">
        <f t="shared" si="2"/>
        <v>0</v>
      </c>
      <c r="V25" s="283" t="s">
        <v>1189</v>
      </c>
      <c r="W25" s="288">
        <v>0</v>
      </c>
      <c r="X25" s="280">
        <f t="shared" si="0"/>
        <v>385.5</v>
      </c>
      <c r="Y25" s="283" t="s">
        <v>1177</v>
      </c>
      <c r="Z25" s="288">
        <v>0</v>
      </c>
      <c r="AA25" s="280">
        <f t="shared" si="1"/>
        <v>509</v>
      </c>
      <c r="AC25" s="35">
        <f>'ECONOMIA &amp; PROFESIONES'!$O$28</f>
        <v>10525</v>
      </c>
      <c r="AD25" s="34">
        <f>'ECONOMIA &amp; PROFESIONES'!$P$28</f>
        <v>13325</v>
      </c>
      <c r="AE25" s="35">
        <f>'ECONOMIA &amp; PROFESIONES'!$Q$28</f>
        <v>18925</v>
      </c>
      <c r="AF25" s="34">
        <f>'ECONOMIA &amp; PROFESIONES'!$R$28</f>
        <v>30125</v>
      </c>
    </row>
    <row r="26" spans="1:32" x14ac:dyDescent="0.25">
      <c r="A26" s="275" t="s">
        <v>1115</v>
      </c>
      <c r="B26" s="275" t="s">
        <v>1135</v>
      </c>
      <c r="C26" s="275" t="s">
        <v>1119</v>
      </c>
      <c r="D26" s="275"/>
      <c r="G26" s="275" t="s">
        <v>1145</v>
      </c>
      <c r="H26" s="275" t="s">
        <v>1155</v>
      </c>
      <c r="M26" s="275" t="s">
        <v>1124</v>
      </c>
      <c r="N26" s="275" t="s">
        <v>1143</v>
      </c>
      <c r="O26" s="275" t="s">
        <v>1156</v>
      </c>
      <c r="P26" s="275" t="s">
        <v>1119</v>
      </c>
      <c r="R26" s="315"/>
      <c r="S26" s="31" t="s">
        <v>116</v>
      </c>
      <c r="T26" s="34">
        <f>'ECONOMIA &amp; PROFESIONES'!$N$29</f>
        <v>8000</v>
      </c>
      <c r="U26" s="53">
        <f t="shared" si="2"/>
        <v>0</v>
      </c>
      <c r="V26" s="283" t="s">
        <v>1189</v>
      </c>
      <c r="W26" s="288">
        <v>0</v>
      </c>
      <c r="X26" s="280">
        <f t="shared" si="0"/>
        <v>385.5</v>
      </c>
      <c r="Y26" s="283" t="s">
        <v>1177</v>
      </c>
      <c r="Z26" s="288">
        <v>0</v>
      </c>
      <c r="AA26" s="280">
        <f t="shared" si="1"/>
        <v>509</v>
      </c>
      <c r="AC26" s="35">
        <f>'ECONOMIA &amp; PROFESIONES'!$O$29</f>
        <v>8800</v>
      </c>
      <c r="AD26" s="34">
        <f>'ECONOMIA &amp; PROFESIONES'!$P$29</f>
        <v>10400</v>
      </c>
      <c r="AE26" s="35">
        <f>'ECONOMIA &amp; PROFESIONES'!$Q$29</f>
        <v>13600</v>
      </c>
      <c r="AF26" s="34">
        <f>'ECONOMIA &amp; PROFESIONES'!$R$29</f>
        <v>20000</v>
      </c>
    </row>
    <row r="27" spans="1:32" x14ac:dyDescent="0.25">
      <c r="A27" s="275" t="s">
        <v>1142</v>
      </c>
      <c r="B27" s="275"/>
      <c r="C27" s="275" t="s">
        <v>1147</v>
      </c>
      <c r="D27" s="275"/>
      <c r="G27" s="275" t="s">
        <v>1120</v>
      </c>
      <c r="H27" s="275"/>
      <c r="M27" s="275" t="s">
        <v>1135</v>
      </c>
      <c r="N27" s="275"/>
      <c r="O27" s="275" t="s">
        <v>1155</v>
      </c>
      <c r="P27" s="275"/>
    </row>
    <row r="28" spans="1:32" x14ac:dyDescent="0.25">
      <c r="A28" s="275" t="s">
        <v>1143</v>
      </c>
      <c r="B28" s="275"/>
      <c r="C28" s="275" t="s">
        <v>1136</v>
      </c>
      <c r="D28" s="275"/>
      <c r="G28" s="275" t="s">
        <v>1136</v>
      </c>
      <c r="H28" s="275"/>
      <c r="M28" s="275" t="s">
        <v>1115</v>
      </c>
      <c r="N28" s="275"/>
      <c r="O28" s="275" t="s">
        <v>1136</v>
      </c>
      <c r="P28" s="275"/>
    </row>
    <row r="29" spans="1:32" x14ac:dyDescent="0.25">
      <c r="A29" t="s">
        <v>1160</v>
      </c>
      <c r="C29" s="275" t="s">
        <v>1140</v>
      </c>
      <c r="D29" s="275"/>
      <c r="G29" s="275" t="s">
        <v>1140</v>
      </c>
      <c r="H29" s="275"/>
      <c r="M29" s="275" t="s">
        <v>1145</v>
      </c>
      <c r="N29" s="275"/>
      <c r="O29" s="275" t="s">
        <v>1120</v>
      </c>
      <c r="P29" s="275"/>
    </row>
    <row r="30" spans="1:32" x14ac:dyDescent="0.25">
      <c r="A30" s="348" t="s">
        <v>1146</v>
      </c>
      <c r="B30" s="348"/>
      <c r="C30" s="348" t="s">
        <v>1148</v>
      </c>
      <c r="D30" s="348"/>
      <c r="G30" s="348" t="s">
        <v>1162</v>
      </c>
      <c r="H30" s="348"/>
      <c r="M30" s="348" t="s">
        <v>1137</v>
      </c>
      <c r="N30" s="348"/>
      <c r="O30" s="348" t="s">
        <v>1139</v>
      </c>
      <c r="P30" s="348"/>
    </row>
    <row r="31" spans="1:32" x14ac:dyDescent="0.25">
      <c r="A31" s="275" t="s">
        <v>1145</v>
      </c>
      <c r="B31" s="275" t="s">
        <v>1136</v>
      </c>
      <c r="C31" s="275" t="s">
        <v>1120</v>
      </c>
      <c r="D31" s="275" t="s">
        <v>1136</v>
      </c>
      <c r="G31" s="275" t="s">
        <v>1163</v>
      </c>
      <c r="H31" s="275" t="s">
        <v>1140</v>
      </c>
      <c r="M31" s="275" t="s">
        <v>1124</v>
      </c>
      <c r="N31" s="275" t="s">
        <v>1136</v>
      </c>
      <c r="O31" s="275" t="s">
        <v>1137</v>
      </c>
      <c r="P31" s="275" t="s">
        <v>1162</v>
      </c>
    </row>
    <row r="32" spans="1:32" x14ac:dyDescent="0.25">
      <c r="A32" s="275" t="s">
        <v>1142</v>
      </c>
      <c r="B32" s="275" t="s">
        <v>1137</v>
      </c>
      <c r="C32" s="275" t="s">
        <v>1156</v>
      </c>
      <c r="D32" s="275"/>
      <c r="G32" s="275" t="s">
        <v>1121</v>
      </c>
      <c r="H32" s="275" t="s">
        <v>1156</v>
      </c>
      <c r="M32" s="275" t="s">
        <v>1135</v>
      </c>
      <c r="N32" s="275" t="s">
        <v>1140</v>
      </c>
      <c r="O32" s="275" t="s">
        <v>1140</v>
      </c>
      <c r="P32" s="275" t="s">
        <v>1121</v>
      </c>
    </row>
    <row r="33" spans="1:23" x14ac:dyDescent="0.25">
      <c r="A33" s="275" t="s">
        <v>1156</v>
      </c>
      <c r="B33" s="275" t="s">
        <v>1162</v>
      </c>
      <c r="C33" s="275" t="s">
        <v>1140</v>
      </c>
      <c r="D33" s="275"/>
      <c r="G33" s="275" t="s">
        <v>1116</v>
      </c>
      <c r="H33" s="275" t="s">
        <v>1155</v>
      </c>
      <c r="M33" s="275" t="s">
        <v>1116</v>
      </c>
      <c r="N33" s="275" t="s">
        <v>1155</v>
      </c>
      <c r="O33" s="275" t="s">
        <v>1156</v>
      </c>
      <c r="P33" s="275" t="s">
        <v>1164</v>
      </c>
    </row>
    <row r="34" spans="1:23" x14ac:dyDescent="0.25">
      <c r="A34" t="s">
        <v>1155</v>
      </c>
      <c r="B34" s="275"/>
      <c r="C34" s="275" t="s">
        <v>1137</v>
      </c>
      <c r="G34" t="s">
        <v>1137</v>
      </c>
      <c r="O34" t="s">
        <v>1155</v>
      </c>
    </row>
    <row r="35" spans="1:23" x14ac:dyDescent="0.25">
      <c r="B35" s="275"/>
      <c r="C35" s="275"/>
    </row>
    <row r="38" spans="1:23" x14ac:dyDescent="0.25">
      <c r="A38" s="277"/>
      <c r="B38" s="277" t="s">
        <v>1113</v>
      </c>
      <c r="C38" s="277"/>
      <c r="D38" s="277"/>
      <c r="E38" s="277"/>
      <c r="F38" s="277"/>
      <c r="G38" s="277"/>
      <c r="H38" s="277"/>
      <c r="I38" s="277"/>
      <c r="J38" s="277"/>
      <c r="K38" s="277"/>
      <c r="L38" s="277"/>
      <c r="M38" s="277"/>
      <c r="N38" s="277"/>
      <c r="O38" s="277"/>
      <c r="P38" s="277"/>
      <c r="Q38" s="277"/>
      <c r="R38" s="277"/>
      <c r="S38" s="277"/>
      <c r="T38" s="277"/>
      <c r="U38" s="277"/>
      <c r="V38" s="277"/>
      <c r="W38" s="277"/>
    </row>
    <row r="39" spans="1:23" x14ac:dyDescent="0.25">
      <c r="A39" s="277" t="s">
        <v>926</v>
      </c>
      <c r="B39" s="277"/>
      <c r="C39" s="277">
        <v>0</v>
      </c>
      <c r="D39" s="277"/>
      <c r="E39" s="277"/>
      <c r="F39" s="277"/>
      <c r="G39" s="277"/>
      <c r="H39" s="277"/>
      <c r="I39" s="277"/>
      <c r="J39" s="277"/>
      <c r="K39" s="277"/>
      <c r="L39" s="277"/>
      <c r="M39" s="277"/>
      <c r="N39" s="277"/>
      <c r="O39" s="277"/>
      <c r="P39" s="277"/>
      <c r="Q39" s="277"/>
      <c r="R39" s="277"/>
      <c r="S39" s="277"/>
      <c r="T39" s="277"/>
      <c r="U39" s="277"/>
      <c r="V39" s="277"/>
      <c r="W39" s="277"/>
    </row>
    <row r="40" spans="1:23" x14ac:dyDescent="0.25">
      <c r="A40" s="286"/>
      <c r="B40" s="286" t="s">
        <v>1010</v>
      </c>
      <c r="C40" s="286"/>
      <c r="D40" s="286"/>
      <c r="E40" s="286"/>
      <c r="F40" s="286"/>
      <c r="G40" s="286"/>
      <c r="H40" s="286"/>
      <c r="I40" s="286"/>
      <c r="J40" s="286"/>
      <c r="K40" s="286"/>
      <c r="L40" s="286"/>
      <c r="M40" s="286"/>
      <c r="N40" s="286"/>
      <c r="O40" s="286"/>
      <c r="P40" s="286"/>
      <c r="Q40" s="286"/>
      <c r="R40" s="286"/>
      <c r="S40" s="286"/>
      <c r="T40" s="286"/>
      <c r="U40" s="286"/>
      <c r="V40" s="286"/>
      <c r="W40" s="286"/>
    </row>
    <row r="41" spans="1:23" x14ac:dyDescent="0.25">
      <c r="A41" s="278"/>
      <c r="B41" s="278" t="s">
        <v>203</v>
      </c>
      <c r="C41" s="281" t="s">
        <v>202</v>
      </c>
      <c r="D41" s="285" t="s">
        <v>149</v>
      </c>
      <c r="E41" s="285" t="s">
        <v>1166</v>
      </c>
      <c r="F41" s="281" t="s">
        <v>203</v>
      </c>
      <c r="G41" s="285" t="s">
        <v>1171</v>
      </c>
      <c r="H41" s="285" t="s">
        <v>149</v>
      </c>
      <c r="I41" s="285" t="s">
        <v>1167</v>
      </c>
      <c r="J41" s="281" t="s">
        <v>203</v>
      </c>
      <c r="K41" s="285" t="s">
        <v>1171</v>
      </c>
      <c r="L41" s="285" t="s">
        <v>149</v>
      </c>
      <c r="M41" s="285" t="s">
        <v>1168</v>
      </c>
      <c r="N41" s="281" t="s">
        <v>203</v>
      </c>
      <c r="O41" s="285" t="s">
        <v>1171</v>
      </c>
      <c r="P41" s="285" t="s">
        <v>149</v>
      </c>
      <c r="Q41" s="285" t="s">
        <v>1169</v>
      </c>
      <c r="R41" s="281" t="s">
        <v>203</v>
      </c>
      <c r="S41" s="285" t="s">
        <v>1171</v>
      </c>
      <c r="T41" s="285" t="s">
        <v>149</v>
      </c>
      <c r="U41" s="285" t="s">
        <v>1170</v>
      </c>
      <c r="V41" s="281" t="s">
        <v>203</v>
      </c>
      <c r="W41" s="285" t="s">
        <v>1171</v>
      </c>
    </row>
    <row r="42" spans="1:23" x14ac:dyDescent="0.25">
      <c r="A42" s="284" t="s">
        <v>1176</v>
      </c>
      <c r="B42" s="284"/>
      <c r="C42" s="279">
        <f>((D42*G42)+(K42*H42)+(O42*L42)+(S42*P42)+(W42*T42))</f>
        <v>165</v>
      </c>
      <c r="D42" s="282">
        <v>11</v>
      </c>
      <c r="E42" s="283">
        <v>38</v>
      </c>
      <c r="F42" s="59" t="str">
        <f t="shared" ref="F42" si="3">VLOOKUP(E42,LISTAITEMS,2,FALSE)</f>
        <v>Poppy</v>
      </c>
      <c r="G42" s="280">
        <f>VLOOKUP(E42,LISTAITEMS,5,FALSE)</f>
        <v>7.5</v>
      </c>
      <c r="H42" s="282">
        <v>11</v>
      </c>
      <c r="I42" s="283">
        <v>37</v>
      </c>
      <c r="J42" s="59" t="str">
        <f t="shared" ref="J42" si="4">VLOOKUP(I42,LISTAITEMS,2,FALSE)</f>
        <v>Dandilion</v>
      </c>
      <c r="K42" s="280">
        <f>VLOOKUP(I42,LISTAITEMS,5,FALSE)</f>
        <v>7.5</v>
      </c>
      <c r="L42" s="282">
        <v>0</v>
      </c>
      <c r="M42" s="283" t="s">
        <v>926</v>
      </c>
      <c r="N42" s="59" t="str">
        <f t="shared" ref="N42" si="5">VLOOKUP(M42,LISTAITEMS,2,FALSE)</f>
        <v>ninguno</v>
      </c>
      <c r="O42" s="280">
        <f>VLOOKUP(M42,LISTAITEMS,5,FALSE)</f>
        <v>0</v>
      </c>
      <c r="P42" s="282">
        <v>0</v>
      </c>
      <c r="Q42" s="283" t="s">
        <v>926</v>
      </c>
      <c r="R42" s="59" t="str">
        <f t="shared" ref="R42" si="6">VLOOKUP(Q42,LISTAITEMS,2,FALSE)</f>
        <v>ninguno</v>
      </c>
      <c r="S42" s="280">
        <f>VLOOKUP(Q42,LISTAITEMS,5,FALSE)</f>
        <v>0</v>
      </c>
      <c r="T42" s="282">
        <v>0</v>
      </c>
      <c r="U42" s="283" t="s">
        <v>926</v>
      </c>
      <c r="V42" s="59" t="str">
        <f t="shared" ref="V42" si="7">VLOOKUP(U42,LISTAITEMS,2,FALSE)</f>
        <v>ninguno</v>
      </c>
      <c r="W42" s="280">
        <f>VLOOKUP(U42,LISTAITEMS,5,FALSE)</f>
        <v>0</v>
      </c>
    </row>
    <row r="43" spans="1:23" s="275" customFormat="1" x14ac:dyDescent="0.25">
      <c r="A43" s="284" t="s">
        <v>1191</v>
      </c>
      <c r="B43" s="284"/>
      <c r="C43" s="279">
        <f>((D43*G43)+(K43*H43)+(O43*L43)+(S43*P43)+(W43*T43))</f>
        <v>247.5</v>
      </c>
      <c r="D43" s="282">
        <v>11</v>
      </c>
      <c r="E43" s="283">
        <v>38</v>
      </c>
      <c r="F43" s="59" t="str">
        <f t="shared" ref="F43" si="8">VLOOKUP(E43,LISTAITEMS,2,FALSE)</f>
        <v>Poppy</v>
      </c>
      <c r="G43" s="280">
        <f>VLOOKUP(E43,LISTAITEMS,5,FALSE)</f>
        <v>7.5</v>
      </c>
      <c r="H43" s="282">
        <v>11</v>
      </c>
      <c r="I43" s="283">
        <v>352</v>
      </c>
      <c r="J43" s="59" t="str">
        <f t="shared" ref="J43" si="9">VLOOKUP(I43,LISTAITEMS,2,FALSE)</f>
        <v xml:space="preserve">Bone  </v>
      </c>
      <c r="K43" s="280">
        <f>VLOOKUP(I43,LISTAITEMS,5,FALSE)</f>
        <v>7.5</v>
      </c>
      <c r="L43" s="282">
        <v>11</v>
      </c>
      <c r="M43" s="283" t="s">
        <v>287</v>
      </c>
      <c r="N43" s="59" t="str">
        <f t="shared" ref="N43" si="10">VLOOKUP(M43,LISTAITEMS,2,FALSE)</f>
        <v>Blue Orchid</v>
      </c>
      <c r="O43" s="280">
        <f>VLOOKUP(M43,LISTAITEMS,5,FALSE)</f>
        <v>7.5</v>
      </c>
      <c r="P43" s="282">
        <v>0</v>
      </c>
      <c r="Q43" s="283" t="s">
        <v>926</v>
      </c>
      <c r="R43" s="59" t="str">
        <f t="shared" ref="R43" si="11">VLOOKUP(Q43,LISTAITEMS,2,FALSE)</f>
        <v>ninguno</v>
      </c>
      <c r="S43" s="280">
        <f>VLOOKUP(Q43,LISTAITEMS,5,FALSE)</f>
        <v>0</v>
      </c>
      <c r="T43" s="282">
        <v>0</v>
      </c>
      <c r="U43" s="283" t="s">
        <v>926</v>
      </c>
      <c r="V43" s="59" t="str">
        <f t="shared" ref="V43" si="12">VLOOKUP(U43,LISTAITEMS,2,FALSE)</f>
        <v>ninguno</v>
      </c>
      <c r="W43" s="280">
        <f>VLOOKUP(U43,LISTAITEMS,5,FALSE)</f>
        <v>0</v>
      </c>
    </row>
    <row r="52" spans="1:23" s="275" customFormat="1" x14ac:dyDescent="0.25">
      <c r="A52" s="277"/>
      <c r="B52" s="277" t="s">
        <v>1115</v>
      </c>
      <c r="C52" s="277"/>
      <c r="D52" s="277"/>
      <c r="E52" s="277"/>
      <c r="F52" s="277"/>
      <c r="G52" s="277"/>
      <c r="H52" s="277"/>
      <c r="I52" s="277"/>
      <c r="J52" s="277"/>
      <c r="K52" s="277"/>
      <c r="L52" s="277"/>
      <c r="M52" s="277"/>
      <c r="N52" s="277"/>
      <c r="O52" s="277"/>
      <c r="P52" s="277"/>
      <c r="Q52" s="277"/>
      <c r="R52" s="277"/>
      <c r="S52" s="277"/>
      <c r="T52" s="277"/>
      <c r="U52" s="277"/>
      <c r="V52" s="277"/>
      <c r="W52" s="277"/>
    </row>
    <row r="53" spans="1:23" x14ac:dyDescent="0.25">
      <c r="A53" s="277"/>
      <c r="B53" s="277"/>
      <c r="C53" s="277"/>
      <c r="D53" s="277"/>
      <c r="E53" s="277"/>
      <c r="F53" s="277"/>
      <c r="G53" s="277"/>
      <c r="H53" s="277"/>
      <c r="I53" s="277"/>
      <c r="J53" s="277"/>
      <c r="K53" s="277"/>
      <c r="L53" s="277"/>
      <c r="M53" s="277"/>
      <c r="N53" s="277"/>
      <c r="O53" s="277"/>
      <c r="P53" s="277"/>
      <c r="Q53" s="277"/>
      <c r="R53" s="277"/>
      <c r="S53" s="277"/>
      <c r="T53" s="277"/>
      <c r="U53" s="277"/>
      <c r="V53" s="277"/>
      <c r="W53" s="277"/>
    </row>
    <row r="54" spans="1:23" x14ac:dyDescent="0.25">
      <c r="A54" s="286"/>
      <c r="B54" s="286" t="s">
        <v>1010</v>
      </c>
      <c r="C54" s="286"/>
      <c r="D54" s="286"/>
      <c r="E54" s="286"/>
      <c r="F54" s="286"/>
      <c r="G54" s="286"/>
      <c r="H54" s="286"/>
      <c r="I54" s="286"/>
      <c r="J54" s="286"/>
      <c r="K54" s="286"/>
      <c r="L54" s="286"/>
      <c r="M54" s="286"/>
      <c r="N54" s="286"/>
      <c r="O54" s="286"/>
      <c r="P54" s="286"/>
      <c r="Q54" s="286"/>
      <c r="R54" s="286"/>
      <c r="S54" s="286"/>
      <c r="T54" s="286"/>
      <c r="U54" s="286"/>
      <c r="V54" s="286"/>
      <c r="W54" s="286"/>
    </row>
    <row r="55" spans="1:23" x14ac:dyDescent="0.25">
      <c r="A55" s="278"/>
      <c r="B55" s="278" t="s">
        <v>203</v>
      </c>
      <c r="C55" s="281" t="s">
        <v>202</v>
      </c>
      <c r="D55" s="285" t="s">
        <v>149</v>
      </c>
      <c r="E55" s="285" t="s">
        <v>1184</v>
      </c>
      <c r="F55" s="285" t="s">
        <v>1171</v>
      </c>
      <c r="G55" s="285" t="s">
        <v>149</v>
      </c>
      <c r="H55" s="285" t="s">
        <v>1185</v>
      </c>
      <c r="I55" s="285" t="s">
        <v>1171</v>
      </c>
      <c r="J55" s="285" t="s">
        <v>149</v>
      </c>
      <c r="K55" s="285" t="s">
        <v>1186</v>
      </c>
      <c r="L55" s="285" t="s">
        <v>1171</v>
      </c>
      <c r="M55" s="285" t="s">
        <v>149</v>
      </c>
      <c r="N55" s="285" t="s">
        <v>1187</v>
      </c>
      <c r="O55" s="285" t="s">
        <v>1171</v>
      </c>
      <c r="P55" s="285" t="s">
        <v>149</v>
      </c>
      <c r="Q55" s="285" t="s">
        <v>1188</v>
      </c>
      <c r="R55" s="285" t="s">
        <v>1171</v>
      </c>
    </row>
    <row r="56" spans="1:23" x14ac:dyDescent="0.25">
      <c r="A56" s="284" t="s">
        <v>1177</v>
      </c>
      <c r="B56" s="284"/>
      <c r="C56" s="279">
        <f>((F56*D56)+(I56*G56)+(L56*J56)+(O56*M56)+(R56*P56))</f>
        <v>509</v>
      </c>
      <c r="D56" s="282">
        <v>1</v>
      </c>
      <c r="E56" s="283" t="s">
        <v>1176</v>
      </c>
      <c r="F56" s="280">
        <f>VLOOKUP(E56,craftedesp,3,FALSE)</f>
        <v>165</v>
      </c>
      <c r="G56" s="282">
        <v>1</v>
      </c>
      <c r="H56" s="283" t="s">
        <v>1178</v>
      </c>
      <c r="I56" s="280">
        <f>VLOOKUP(H56,craftedesp,3,FALSE)</f>
        <v>344</v>
      </c>
      <c r="J56" s="282">
        <v>1</v>
      </c>
      <c r="K56" s="283" t="s">
        <v>926</v>
      </c>
      <c r="L56" s="280">
        <f>VLOOKUP(K56,craftedesp,3,FALSE)</f>
        <v>0</v>
      </c>
      <c r="M56" s="282">
        <v>1</v>
      </c>
      <c r="N56" s="283" t="s">
        <v>926</v>
      </c>
      <c r="O56" s="280">
        <f>VLOOKUP(N56,craftedesp,3,FALSE)</f>
        <v>0</v>
      </c>
      <c r="P56" s="282">
        <v>1</v>
      </c>
      <c r="Q56" s="283" t="s">
        <v>926</v>
      </c>
      <c r="R56" s="280">
        <f>VLOOKUP(Q56,craftedesp,3,FALSE)</f>
        <v>0</v>
      </c>
    </row>
    <row r="57" spans="1:23" s="275" customFormat="1" x14ac:dyDescent="0.25">
      <c r="A57" s="284" t="s">
        <v>1175</v>
      </c>
      <c r="B57" s="284"/>
      <c r="C57" s="279">
        <f>((F57*D57)+(I57*G57)+(L57*J57)+(O57*M57)+(R57*P57))</f>
        <v>591.5</v>
      </c>
      <c r="D57" s="282">
        <v>1</v>
      </c>
      <c r="E57" s="283" t="s">
        <v>1191</v>
      </c>
      <c r="F57" s="280">
        <f>VLOOKUP(E57,craftedesp,3,FALSE)</f>
        <v>247.5</v>
      </c>
      <c r="G57" s="282">
        <v>1</v>
      </c>
      <c r="H57" s="283" t="s">
        <v>1178</v>
      </c>
      <c r="I57" s="280">
        <f>VLOOKUP(H57,craftedesp,3,FALSE)</f>
        <v>344</v>
      </c>
      <c r="J57" s="282">
        <v>1</v>
      </c>
      <c r="K57" s="283" t="s">
        <v>926</v>
      </c>
      <c r="L57" s="280">
        <f>VLOOKUP(K57,craftedesp,3,FALSE)</f>
        <v>0</v>
      </c>
      <c r="M57" s="282">
        <v>1</v>
      </c>
      <c r="N57" s="283" t="s">
        <v>926</v>
      </c>
      <c r="O57" s="280">
        <f>VLOOKUP(N57,craftedesp,3,FALSE)</f>
        <v>0</v>
      </c>
      <c r="P57" s="282">
        <v>1</v>
      </c>
      <c r="Q57" s="283" t="s">
        <v>926</v>
      </c>
      <c r="R57" s="280">
        <f>VLOOKUP(Q57,craftedesp,3,FALSE)</f>
        <v>0</v>
      </c>
    </row>
    <row r="65" spans="1:23" x14ac:dyDescent="0.25">
      <c r="A65" s="277"/>
      <c r="B65" s="277" t="s">
        <v>1114</v>
      </c>
      <c r="C65" s="277"/>
      <c r="D65" s="277"/>
      <c r="E65" s="277"/>
      <c r="F65" s="277"/>
      <c r="G65" s="277"/>
      <c r="H65" s="277"/>
      <c r="I65" s="277"/>
      <c r="J65" s="277"/>
      <c r="K65" s="277"/>
      <c r="L65" s="277"/>
      <c r="M65" s="277"/>
      <c r="N65" s="277"/>
      <c r="O65" s="277"/>
      <c r="P65" s="277"/>
      <c r="Q65" s="277"/>
      <c r="R65" s="277"/>
      <c r="S65" s="277"/>
      <c r="T65" s="277"/>
      <c r="U65" s="277"/>
      <c r="V65" s="277"/>
      <c r="W65" s="277"/>
    </row>
    <row r="66" spans="1:23" x14ac:dyDescent="0.25">
      <c r="A66" s="277"/>
      <c r="B66" s="277"/>
      <c r="C66" s="277"/>
      <c r="D66" s="277"/>
      <c r="E66" s="277"/>
      <c r="F66" s="277"/>
      <c r="G66" s="277"/>
      <c r="H66" s="277"/>
      <c r="I66" s="277"/>
      <c r="J66" s="277"/>
      <c r="K66" s="277"/>
      <c r="L66" s="277"/>
      <c r="M66" s="277"/>
      <c r="N66" s="277"/>
      <c r="O66" s="277"/>
      <c r="P66" s="277"/>
      <c r="Q66" s="277"/>
      <c r="R66" s="277"/>
      <c r="S66" s="277"/>
      <c r="T66" s="277"/>
      <c r="U66" s="277"/>
      <c r="V66" s="277"/>
      <c r="W66" s="277"/>
    </row>
    <row r="67" spans="1:23" x14ac:dyDescent="0.25">
      <c r="A67" s="286"/>
      <c r="B67" s="286" t="s">
        <v>1010</v>
      </c>
      <c r="C67" s="286"/>
      <c r="D67" s="286"/>
      <c r="E67" s="286"/>
      <c r="F67" s="286"/>
      <c r="G67" s="286"/>
      <c r="H67" s="286"/>
      <c r="I67" s="286"/>
      <c r="J67" s="286"/>
      <c r="K67" s="286"/>
      <c r="L67" s="286"/>
      <c r="M67" s="286"/>
      <c r="N67" s="286"/>
      <c r="O67" s="286"/>
      <c r="P67" s="286"/>
      <c r="Q67" s="286"/>
      <c r="R67" s="286"/>
      <c r="S67" s="286"/>
      <c r="T67" s="286"/>
      <c r="U67" s="286"/>
      <c r="V67" s="286"/>
      <c r="W67" s="286"/>
    </row>
    <row r="68" spans="1:23" x14ac:dyDescent="0.25">
      <c r="A68" s="278"/>
      <c r="B68" s="278" t="s">
        <v>203</v>
      </c>
      <c r="C68" s="281" t="s">
        <v>202</v>
      </c>
      <c r="D68" s="285" t="s">
        <v>149</v>
      </c>
      <c r="E68" s="285" t="s">
        <v>1166</v>
      </c>
      <c r="F68" s="281" t="s">
        <v>203</v>
      </c>
      <c r="G68" s="285" t="s">
        <v>1171</v>
      </c>
      <c r="H68" s="285" t="s">
        <v>149</v>
      </c>
      <c r="I68" s="285" t="s">
        <v>1167</v>
      </c>
      <c r="J68" s="281" t="s">
        <v>203</v>
      </c>
      <c r="K68" s="285" t="s">
        <v>1171</v>
      </c>
      <c r="L68" s="285" t="s">
        <v>149</v>
      </c>
      <c r="M68" s="285" t="s">
        <v>1168</v>
      </c>
      <c r="N68" s="281" t="s">
        <v>203</v>
      </c>
      <c r="O68" s="285" t="s">
        <v>1171</v>
      </c>
      <c r="P68" s="285" t="s">
        <v>149</v>
      </c>
      <c r="Q68" s="285" t="s">
        <v>1169</v>
      </c>
      <c r="R68" s="281" t="s">
        <v>203</v>
      </c>
      <c r="S68" s="285" t="s">
        <v>1171</v>
      </c>
      <c r="T68" s="285" t="s">
        <v>149</v>
      </c>
      <c r="U68" s="285" t="s">
        <v>1170</v>
      </c>
      <c r="V68" s="281" t="s">
        <v>203</v>
      </c>
      <c r="W68" s="285" t="s">
        <v>1171</v>
      </c>
    </row>
    <row r="69" spans="1:23" x14ac:dyDescent="0.25">
      <c r="A69" s="284" t="s">
        <v>1165</v>
      </c>
      <c r="B69" s="284"/>
      <c r="C69" s="279">
        <f>((D69*G69)+(K69*H69)+(O69*L69)+(S69*P69)+(W69*T69))</f>
        <v>0</v>
      </c>
      <c r="D69" s="282">
        <v>0</v>
      </c>
      <c r="E69" s="283" t="s">
        <v>926</v>
      </c>
      <c r="F69" s="59" t="str">
        <f t="shared" ref="F69" si="13">VLOOKUP(E69,LISTAITEMS,2,FALSE)</f>
        <v>ninguno</v>
      </c>
      <c r="G69" s="280">
        <f>VLOOKUP(E69,LISTAITEMS,5,FALSE)</f>
        <v>0</v>
      </c>
      <c r="H69" s="282">
        <v>0</v>
      </c>
      <c r="I69" s="283" t="s">
        <v>926</v>
      </c>
      <c r="J69" s="59" t="str">
        <f t="shared" ref="J69" si="14">VLOOKUP(I69,LISTAITEMS,2,FALSE)</f>
        <v>ninguno</v>
      </c>
      <c r="K69" s="280">
        <f>VLOOKUP(I69,LISTAITEMS,5,FALSE)</f>
        <v>0</v>
      </c>
      <c r="L69" s="282">
        <v>0</v>
      </c>
      <c r="M69" s="283" t="s">
        <v>926</v>
      </c>
      <c r="N69" s="59" t="str">
        <f t="shared" ref="N69" si="15">VLOOKUP(M69,LISTAITEMS,2,FALSE)</f>
        <v>ninguno</v>
      </c>
      <c r="O69" s="280">
        <f>VLOOKUP(M69,LISTAITEMS,5,FALSE)</f>
        <v>0</v>
      </c>
      <c r="P69" s="282">
        <v>0</v>
      </c>
      <c r="Q69" s="283" t="s">
        <v>926</v>
      </c>
      <c r="R69" s="59" t="str">
        <f t="shared" ref="R69" si="16">VLOOKUP(Q69,LISTAITEMS,2,FALSE)</f>
        <v>ninguno</v>
      </c>
      <c r="S69" s="280">
        <f>VLOOKUP(Q69,LISTAITEMS,5,FALSE)</f>
        <v>0</v>
      </c>
      <c r="T69" s="282">
        <v>0</v>
      </c>
      <c r="U69" s="283" t="s">
        <v>926</v>
      </c>
      <c r="V69" s="59" t="str">
        <f t="shared" ref="V69" si="17">VLOOKUP(U69,LISTAITEMS,2,FALSE)</f>
        <v>ninguno</v>
      </c>
      <c r="W69" s="280">
        <f>VLOOKUP(U69,LISTAITEMS,5,FALSE)</f>
        <v>0</v>
      </c>
    </row>
    <row r="79" spans="1:23" x14ac:dyDescent="0.25">
      <c r="A79" s="277"/>
      <c r="B79" s="277" t="s">
        <v>1144</v>
      </c>
      <c r="C79" s="277"/>
      <c r="D79" s="277"/>
      <c r="E79" s="277"/>
      <c r="F79" s="277"/>
      <c r="G79" s="277"/>
      <c r="H79" s="277"/>
      <c r="I79" s="277"/>
      <c r="J79" s="277"/>
      <c r="K79" s="277"/>
      <c r="L79" s="277"/>
      <c r="M79" s="277"/>
      <c r="N79" s="277"/>
      <c r="O79" s="277"/>
      <c r="P79" s="277"/>
      <c r="Q79" s="277"/>
      <c r="R79" s="277"/>
      <c r="S79" s="277"/>
      <c r="T79" s="277"/>
      <c r="U79" s="277"/>
      <c r="V79" s="277"/>
      <c r="W79" s="277"/>
    </row>
    <row r="80" spans="1:23" x14ac:dyDescent="0.25">
      <c r="A80" s="277"/>
      <c r="B80" s="277"/>
      <c r="C80" s="277"/>
      <c r="D80" s="277"/>
      <c r="E80" s="277"/>
      <c r="F80" s="277"/>
      <c r="G80" s="277"/>
      <c r="H80" s="277"/>
      <c r="I80" s="277"/>
      <c r="J80" s="277"/>
      <c r="K80" s="277"/>
      <c r="L80" s="277"/>
      <c r="M80" s="277"/>
      <c r="N80" s="277"/>
      <c r="O80" s="277"/>
      <c r="P80" s="277"/>
      <c r="Q80" s="277"/>
      <c r="R80" s="277"/>
      <c r="S80" s="277"/>
      <c r="T80" s="277"/>
      <c r="U80" s="277"/>
      <c r="V80" s="277"/>
      <c r="W80" s="277"/>
    </row>
    <row r="81" spans="1:23" x14ac:dyDescent="0.25">
      <c r="A81" s="286"/>
      <c r="B81" s="286" t="s">
        <v>1010</v>
      </c>
      <c r="C81" s="286"/>
      <c r="D81" s="286"/>
      <c r="E81" s="286"/>
      <c r="F81" s="286"/>
      <c r="G81" s="286"/>
      <c r="H81" s="286"/>
      <c r="I81" s="286"/>
      <c r="J81" s="286"/>
      <c r="K81" s="286"/>
      <c r="L81" s="286"/>
      <c r="M81" s="286"/>
      <c r="N81" s="286"/>
      <c r="O81" s="286"/>
      <c r="P81" s="286"/>
      <c r="Q81" s="286"/>
      <c r="R81" s="286"/>
      <c r="S81" s="286"/>
      <c r="T81" s="286"/>
      <c r="U81" s="286"/>
      <c r="V81" s="286"/>
      <c r="W81" s="286"/>
    </row>
    <row r="82" spans="1:23" x14ac:dyDescent="0.25">
      <c r="A82" s="278"/>
      <c r="B82" s="278" t="s">
        <v>203</v>
      </c>
      <c r="C82" s="281" t="s">
        <v>202</v>
      </c>
      <c r="D82" s="285" t="s">
        <v>149</v>
      </c>
      <c r="E82" s="285" t="s">
        <v>1166</v>
      </c>
      <c r="F82" s="281" t="s">
        <v>203</v>
      </c>
      <c r="G82" s="285" t="s">
        <v>1171</v>
      </c>
      <c r="H82" s="285" t="s">
        <v>149</v>
      </c>
      <c r="I82" s="285" t="s">
        <v>1167</v>
      </c>
      <c r="J82" s="281" t="s">
        <v>203</v>
      </c>
      <c r="K82" s="285" t="s">
        <v>1171</v>
      </c>
      <c r="L82" s="285" t="s">
        <v>149</v>
      </c>
      <c r="M82" s="285" t="s">
        <v>1168</v>
      </c>
      <c r="N82" s="281" t="s">
        <v>203</v>
      </c>
      <c r="O82" s="285" t="s">
        <v>1171</v>
      </c>
      <c r="P82" s="285" t="s">
        <v>149</v>
      </c>
      <c r="Q82" s="285" t="s">
        <v>1169</v>
      </c>
      <c r="R82" s="281" t="s">
        <v>203</v>
      </c>
      <c r="S82" s="285" t="s">
        <v>1171</v>
      </c>
      <c r="T82" s="285" t="s">
        <v>149</v>
      </c>
      <c r="U82" s="285" t="s">
        <v>1170</v>
      </c>
      <c r="V82" s="281" t="s">
        <v>203</v>
      </c>
      <c r="W82" s="285" t="s">
        <v>1171</v>
      </c>
    </row>
    <row r="83" spans="1:23" x14ac:dyDescent="0.25">
      <c r="A83" s="284" t="s">
        <v>1165</v>
      </c>
      <c r="B83" s="284"/>
      <c r="C83" s="279">
        <f>((D83*G83)+(K83*H83)+(O83*L83)+(S83*P83)+(W83*T83))</f>
        <v>0</v>
      </c>
      <c r="D83" s="282">
        <v>0</v>
      </c>
      <c r="E83" s="283" t="s">
        <v>926</v>
      </c>
      <c r="F83" s="59" t="str">
        <f t="shared" ref="F83" si="18">VLOOKUP(E83,LISTAITEMS,2,FALSE)</f>
        <v>ninguno</v>
      </c>
      <c r="G83" s="280">
        <f>VLOOKUP(E83,LISTAITEMS,5,FALSE)</f>
        <v>0</v>
      </c>
      <c r="H83" s="282">
        <v>0</v>
      </c>
      <c r="I83" s="283" t="s">
        <v>926</v>
      </c>
      <c r="J83" s="59" t="str">
        <f t="shared" ref="J83" si="19">VLOOKUP(I83,LISTAITEMS,2,FALSE)</f>
        <v>ninguno</v>
      </c>
      <c r="K83" s="280">
        <f>VLOOKUP(I83,LISTAITEMS,5,FALSE)</f>
        <v>0</v>
      </c>
      <c r="L83" s="282">
        <v>0</v>
      </c>
      <c r="M83" s="283" t="s">
        <v>926</v>
      </c>
      <c r="N83" s="59" t="str">
        <f t="shared" ref="N83" si="20">VLOOKUP(M83,LISTAITEMS,2,FALSE)</f>
        <v>ninguno</v>
      </c>
      <c r="O83" s="280">
        <f>VLOOKUP(M83,LISTAITEMS,5,FALSE)</f>
        <v>0</v>
      </c>
      <c r="P83" s="282">
        <v>0</v>
      </c>
      <c r="Q83" s="283" t="s">
        <v>926</v>
      </c>
      <c r="R83" s="59" t="str">
        <f t="shared" ref="R83" si="21">VLOOKUP(Q83,LISTAITEMS,2,FALSE)</f>
        <v>ninguno</v>
      </c>
      <c r="S83" s="280">
        <f>VLOOKUP(Q83,LISTAITEMS,5,FALSE)</f>
        <v>0</v>
      </c>
      <c r="T83" s="282">
        <v>0</v>
      </c>
      <c r="U83" s="283" t="s">
        <v>926</v>
      </c>
      <c r="V83" s="59" t="str">
        <f t="shared" ref="V83" si="22">VLOOKUP(U83,LISTAITEMS,2,FALSE)</f>
        <v>ninguno</v>
      </c>
      <c r="W83" s="280">
        <f>VLOOKUP(U83,LISTAITEMS,5,FALSE)</f>
        <v>0</v>
      </c>
    </row>
    <row r="92" spans="1:23" x14ac:dyDescent="0.25">
      <c r="A92" s="277" t="s">
        <v>1116</v>
      </c>
      <c r="B92" s="277"/>
      <c r="C92" s="277"/>
      <c r="D92" s="277"/>
      <c r="E92" s="277"/>
      <c r="F92" s="277"/>
      <c r="G92" s="277"/>
      <c r="H92" s="277"/>
      <c r="I92" s="277"/>
      <c r="J92" s="277"/>
      <c r="K92" s="277"/>
      <c r="L92" s="277"/>
      <c r="M92" s="277"/>
      <c r="N92" s="277"/>
      <c r="O92" s="277"/>
      <c r="P92" s="277"/>
      <c r="Q92" s="277"/>
      <c r="R92" s="277"/>
      <c r="S92" s="277"/>
      <c r="T92" s="277"/>
      <c r="U92" s="277"/>
      <c r="V92" s="277"/>
      <c r="W92" s="277"/>
    </row>
    <row r="93" spans="1:23" x14ac:dyDescent="0.25">
      <c r="A93" s="277"/>
      <c r="B93" s="277"/>
      <c r="C93" s="277"/>
      <c r="D93" s="277"/>
      <c r="E93" s="277"/>
      <c r="F93" s="277"/>
      <c r="G93" s="277"/>
      <c r="H93" s="277"/>
      <c r="I93" s="277"/>
      <c r="J93" s="277"/>
      <c r="K93" s="277"/>
      <c r="L93" s="277"/>
      <c r="M93" s="277"/>
      <c r="N93" s="277"/>
      <c r="O93" s="277"/>
      <c r="P93" s="277"/>
      <c r="Q93" s="277"/>
      <c r="R93" s="277"/>
      <c r="S93" s="277"/>
      <c r="T93" s="277"/>
      <c r="U93" s="277"/>
      <c r="V93" s="277"/>
      <c r="W93" s="277"/>
    </row>
    <row r="94" spans="1:23" x14ac:dyDescent="0.25">
      <c r="A94" s="286"/>
      <c r="B94" s="286" t="s">
        <v>1010</v>
      </c>
      <c r="C94" s="286"/>
      <c r="D94" s="286"/>
      <c r="E94" s="286"/>
      <c r="F94" s="286"/>
      <c r="G94" s="286"/>
      <c r="H94" s="286"/>
      <c r="I94" s="286"/>
      <c r="J94" s="286"/>
      <c r="K94" s="286"/>
      <c r="L94" s="286"/>
      <c r="M94" s="286"/>
      <c r="N94" s="286"/>
      <c r="O94" s="286"/>
      <c r="P94" s="286"/>
      <c r="Q94" s="286"/>
      <c r="R94" s="286"/>
      <c r="S94" s="286"/>
      <c r="T94" s="286"/>
      <c r="U94" s="286"/>
      <c r="V94" s="286"/>
      <c r="W94" s="286"/>
    </row>
    <row r="95" spans="1:23" x14ac:dyDescent="0.25">
      <c r="A95" s="278"/>
      <c r="B95" s="278" t="s">
        <v>203</v>
      </c>
      <c r="C95" s="281" t="s">
        <v>202</v>
      </c>
      <c r="D95" s="285" t="s">
        <v>149</v>
      </c>
      <c r="E95" s="285" t="s">
        <v>1166</v>
      </c>
      <c r="F95" s="281" t="s">
        <v>203</v>
      </c>
      <c r="G95" s="285" t="s">
        <v>1171</v>
      </c>
      <c r="H95" s="285" t="s">
        <v>149</v>
      </c>
      <c r="I95" s="285" t="s">
        <v>1167</v>
      </c>
      <c r="J95" s="281" t="s">
        <v>203</v>
      </c>
      <c r="K95" s="285" t="s">
        <v>1171</v>
      </c>
      <c r="L95" s="285" t="s">
        <v>149</v>
      </c>
      <c r="M95" s="285" t="s">
        <v>1168</v>
      </c>
      <c r="N95" s="281" t="s">
        <v>203</v>
      </c>
      <c r="O95" s="285" t="s">
        <v>1171</v>
      </c>
      <c r="P95" s="285" t="s">
        <v>149</v>
      </c>
      <c r="Q95" s="285" t="s">
        <v>1169</v>
      </c>
      <c r="R95" s="281" t="s">
        <v>203</v>
      </c>
      <c r="S95" s="285" t="s">
        <v>1171</v>
      </c>
      <c r="T95" s="285" t="s">
        <v>149</v>
      </c>
      <c r="U95" s="285" t="s">
        <v>1170</v>
      </c>
      <c r="V95" s="281" t="s">
        <v>203</v>
      </c>
      <c r="W95" s="285" t="s">
        <v>1171</v>
      </c>
    </row>
    <row r="96" spans="1:23" x14ac:dyDescent="0.25">
      <c r="A96" s="284" t="s">
        <v>1165</v>
      </c>
      <c r="B96" s="284"/>
      <c r="C96" s="279">
        <f>((D96*G96)+(K96*H96)+(O96*L96)+(S96*P96)+(W96*T96))</f>
        <v>0</v>
      </c>
      <c r="D96" s="282">
        <v>0</v>
      </c>
      <c r="E96" s="283" t="s">
        <v>926</v>
      </c>
      <c r="F96" s="59" t="str">
        <f t="shared" ref="F96" si="23">VLOOKUP(E96,LISTAITEMS,2,FALSE)</f>
        <v>ninguno</v>
      </c>
      <c r="G96" s="280">
        <f>VLOOKUP(E96,LISTAITEMS,5,FALSE)</f>
        <v>0</v>
      </c>
      <c r="H96" s="282">
        <v>0</v>
      </c>
      <c r="I96" s="283" t="s">
        <v>926</v>
      </c>
      <c r="J96" s="59" t="str">
        <f t="shared" ref="J96" si="24">VLOOKUP(I96,LISTAITEMS,2,FALSE)</f>
        <v>ninguno</v>
      </c>
      <c r="K96" s="280">
        <f>VLOOKUP(I96,LISTAITEMS,5,FALSE)</f>
        <v>0</v>
      </c>
      <c r="L96" s="282">
        <v>0</v>
      </c>
      <c r="M96" s="283" t="s">
        <v>926</v>
      </c>
      <c r="N96" s="59" t="str">
        <f t="shared" ref="N96" si="25">VLOOKUP(M96,LISTAITEMS,2,FALSE)</f>
        <v>ninguno</v>
      </c>
      <c r="O96" s="280">
        <f>VLOOKUP(M96,LISTAITEMS,5,FALSE)</f>
        <v>0</v>
      </c>
      <c r="P96" s="282">
        <v>0</v>
      </c>
      <c r="Q96" s="283" t="s">
        <v>926</v>
      </c>
      <c r="R96" s="59" t="str">
        <f t="shared" ref="R96" si="26">VLOOKUP(Q96,LISTAITEMS,2,FALSE)</f>
        <v>ninguno</v>
      </c>
      <c r="S96" s="280">
        <f>VLOOKUP(Q96,LISTAITEMS,5,FALSE)</f>
        <v>0</v>
      </c>
      <c r="T96" s="282">
        <v>0</v>
      </c>
      <c r="U96" s="283" t="s">
        <v>926</v>
      </c>
      <c r="V96" s="59" t="str">
        <f t="shared" ref="V96" si="27">VLOOKUP(U96,LISTAITEMS,2,FALSE)</f>
        <v>ninguno</v>
      </c>
      <c r="W96" s="280">
        <f>VLOOKUP(U96,LISTAITEMS,5,FALSE)</f>
        <v>0</v>
      </c>
    </row>
    <row r="107" spans="1:23" x14ac:dyDescent="0.25">
      <c r="A107" s="277" t="s">
        <v>1118</v>
      </c>
      <c r="B107" s="277"/>
      <c r="C107" s="277"/>
      <c r="D107" s="277"/>
      <c r="E107" s="277"/>
      <c r="F107" s="277"/>
      <c r="G107" s="277"/>
      <c r="H107" s="277"/>
      <c r="I107" s="277"/>
      <c r="J107" s="277"/>
      <c r="K107" s="277"/>
      <c r="L107" s="277"/>
      <c r="M107" s="277"/>
      <c r="N107" s="277"/>
      <c r="O107" s="277"/>
      <c r="P107" s="277"/>
      <c r="Q107" s="277"/>
      <c r="R107" s="277"/>
      <c r="S107" s="277"/>
      <c r="T107" s="277"/>
      <c r="U107" s="277"/>
      <c r="V107" s="277"/>
      <c r="W107" s="277"/>
    </row>
    <row r="108" spans="1:23" x14ac:dyDescent="0.25">
      <c r="A108" s="277"/>
      <c r="B108" s="277"/>
      <c r="C108" s="277"/>
      <c r="D108" s="277"/>
      <c r="E108" s="277"/>
      <c r="F108" s="277"/>
      <c r="G108" s="277"/>
      <c r="H108" s="277"/>
      <c r="I108" s="277"/>
      <c r="J108" s="277"/>
      <c r="K108" s="277"/>
      <c r="L108" s="277"/>
      <c r="M108" s="277"/>
      <c r="N108" s="277"/>
      <c r="O108" s="277"/>
      <c r="P108" s="277"/>
      <c r="Q108" s="277"/>
      <c r="R108" s="277"/>
      <c r="S108" s="277"/>
      <c r="T108" s="277"/>
      <c r="U108" s="277"/>
      <c r="V108" s="277"/>
      <c r="W108" s="277"/>
    </row>
    <row r="109" spans="1:23" x14ac:dyDescent="0.25">
      <c r="A109" s="286"/>
      <c r="B109" s="286" t="s">
        <v>1010</v>
      </c>
      <c r="C109" s="286"/>
      <c r="D109" s="286"/>
      <c r="E109" s="286"/>
      <c r="F109" s="286"/>
      <c r="G109" s="286"/>
      <c r="H109" s="286"/>
      <c r="I109" s="286"/>
      <c r="J109" s="286"/>
      <c r="K109" s="286"/>
      <c r="L109" s="286"/>
      <c r="M109" s="286"/>
      <c r="N109" s="286"/>
      <c r="O109" s="286"/>
      <c r="P109" s="286"/>
      <c r="Q109" s="286"/>
      <c r="R109" s="286"/>
      <c r="S109" s="286"/>
      <c r="T109" s="286"/>
      <c r="U109" s="286"/>
      <c r="V109" s="286"/>
      <c r="W109" s="286"/>
    </row>
    <row r="110" spans="1:23" x14ac:dyDescent="0.25">
      <c r="A110" s="278"/>
      <c r="B110" s="278" t="s">
        <v>203</v>
      </c>
      <c r="C110" s="281" t="s">
        <v>202</v>
      </c>
      <c r="D110" s="285" t="s">
        <v>149</v>
      </c>
      <c r="E110" s="285" t="s">
        <v>1166</v>
      </c>
      <c r="F110" s="281" t="s">
        <v>203</v>
      </c>
      <c r="G110" s="285" t="s">
        <v>1171</v>
      </c>
      <c r="H110" s="285" t="s">
        <v>149</v>
      </c>
      <c r="I110" s="285" t="s">
        <v>1167</v>
      </c>
      <c r="J110" s="281" t="s">
        <v>203</v>
      </c>
      <c r="K110" s="285" t="s">
        <v>1171</v>
      </c>
      <c r="L110" s="285" t="s">
        <v>149</v>
      </c>
      <c r="M110" s="285" t="s">
        <v>1168</v>
      </c>
      <c r="N110" s="281" t="s">
        <v>203</v>
      </c>
      <c r="O110" s="285" t="s">
        <v>1171</v>
      </c>
      <c r="P110" s="285" t="s">
        <v>149</v>
      </c>
      <c r="Q110" s="285" t="s">
        <v>1169</v>
      </c>
      <c r="R110" s="281" t="s">
        <v>203</v>
      </c>
      <c r="S110" s="285" t="s">
        <v>1171</v>
      </c>
      <c r="T110" s="285" t="s">
        <v>149</v>
      </c>
      <c r="U110" s="285" t="s">
        <v>1170</v>
      </c>
      <c r="V110" s="281" t="s">
        <v>203</v>
      </c>
      <c r="W110" s="285" t="s">
        <v>1171</v>
      </c>
    </row>
    <row r="111" spans="1:23" x14ac:dyDescent="0.25">
      <c r="A111" s="284" t="s">
        <v>1165</v>
      </c>
      <c r="B111" s="284"/>
      <c r="C111" s="279">
        <f>((D111*G111)+(K111*H111)+(O111*L111)+(S111*P111)+(W111*T111))</f>
        <v>0</v>
      </c>
      <c r="D111" s="282">
        <v>0</v>
      </c>
      <c r="E111" s="283" t="s">
        <v>926</v>
      </c>
      <c r="F111" s="59" t="str">
        <f t="shared" ref="F111" si="28">VLOOKUP(E111,LISTAITEMS,2,FALSE)</f>
        <v>ninguno</v>
      </c>
      <c r="G111" s="280">
        <f>VLOOKUP(E111,LISTAITEMS,5,FALSE)</f>
        <v>0</v>
      </c>
      <c r="H111" s="282">
        <v>0</v>
      </c>
      <c r="I111" s="283" t="s">
        <v>926</v>
      </c>
      <c r="J111" s="59" t="str">
        <f t="shared" ref="J111" si="29">VLOOKUP(I111,LISTAITEMS,2,FALSE)</f>
        <v>ninguno</v>
      </c>
      <c r="K111" s="280">
        <f>VLOOKUP(I111,LISTAITEMS,5,FALSE)</f>
        <v>0</v>
      </c>
      <c r="L111" s="282">
        <v>0</v>
      </c>
      <c r="M111" s="283" t="s">
        <v>926</v>
      </c>
      <c r="N111" s="59" t="str">
        <f t="shared" ref="N111" si="30">VLOOKUP(M111,LISTAITEMS,2,FALSE)</f>
        <v>ninguno</v>
      </c>
      <c r="O111" s="280">
        <f>VLOOKUP(M111,LISTAITEMS,5,FALSE)</f>
        <v>0</v>
      </c>
      <c r="P111" s="282">
        <v>0</v>
      </c>
      <c r="Q111" s="283" t="s">
        <v>926</v>
      </c>
      <c r="R111" s="59" t="str">
        <f t="shared" ref="R111" si="31">VLOOKUP(Q111,LISTAITEMS,2,FALSE)</f>
        <v>ninguno</v>
      </c>
      <c r="S111" s="280">
        <f>VLOOKUP(Q111,LISTAITEMS,5,FALSE)</f>
        <v>0</v>
      </c>
      <c r="T111" s="282">
        <v>0</v>
      </c>
      <c r="U111" s="283" t="s">
        <v>926</v>
      </c>
      <c r="V111" s="59" t="str">
        <f t="shared" ref="V111" si="32">VLOOKUP(U111,LISTAITEMS,2,FALSE)</f>
        <v>ninguno</v>
      </c>
      <c r="W111" s="280">
        <f>VLOOKUP(U111,LISTAITEMS,5,FALSE)</f>
        <v>0</v>
      </c>
    </row>
    <row r="120" spans="1:23" x14ac:dyDescent="0.25">
      <c r="A120" s="277" t="s">
        <v>1117</v>
      </c>
      <c r="B120" s="277"/>
      <c r="C120" s="277"/>
      <c r="D120" s="277"/>
      <c r="E120" s="277"/>
      <c r="F120" s="277"/>
      <c r="G120" s="277"/>
      <c r="H120" s="277"/>
      <c r="I120" s="277"/>
      <c r="J120" s="277"/>
      <c r="K120" s="277"/>
      <c r="L120" s="277"/>
      <c r="M120" s="277"/>
      <c r="N120" s="277"/>
      <c r="O120" s="277"/>
      <c r="P120" s="277"/>
      <c r="Q120" s="277"/>
      <c r="R120" s="277"/>
      <c r="S120" s="277"/>
      <c r="T120" s="277"/>
      <c r="U120" s="277"/>
      <c r="V120" s="277"/>
      <c r="W120" s="277"/>
    </row>
    <row r="121" spans="1:23" x14ac:dyDescent="0.25">
      <c r="A121" s="277"/>
      <c r="B121" s="277"/>
      <c r="C121" s="277"/>
      <c r="D121" s="277"/>
      <c r="E121" s="277"/>
      <c r="F121" s="277"/>
      <c r="G121" s="277"/>
      <c r="H121" s="277"/>
      <c r="I121" s="277"/>
      <c r="J121" s="277"/>
      <c r="K121" s="277"/>
      <c r="L121" s="277"/>
      <c r="M121" s="277"/>
      <c r="N121" s="277"/>
      <c r="O121" s="277"/>
      <c r="P121" s="277"/>
      <c r="Q121" s="277"/>
      <c r="R121" s="277"/>
      <c r="S121" s="277"/>
      <c r="T121" s="277"/>
      <c r="U121" s="277"/>
      <c r="V121" s="277"/>
      <c r="W121" s="277"/>
    </row>
    <row r="122" spans="1:23" x14ac:dyDescent="0.25">
      <c r="A122" s="286"/>
      <c r="B122" s="286" t="s">
        <v>1010</v>
      </c>
      <c r="C122" s="286"/>
      <c r="D122" s="286"/>
      <c r="E122" s="286"/>
      <c r="F122" s="286"/>
      <c r="G122" s="286"/>
      <c r="H122" s="286"/>
      <c r="I122" s="286"/>
      <c r="J122" s="286"/>
      <c r="K122" s="286"/>
      <c r="L122" s="286"/>
      <c r="M122" s="286"/>
      <c r="N122" s="286"/>
      <c r="O122" s="286"/>
      <c r="P122" s="286"/>
      <c r="Q122" s="286"/>
      <c r="R122" s="286"/>
      <c r="S122" s="286"/>
      <c r="T122" s="286"/>
      <c r="U122" s="286"/>
      <c r="V122" s="286"/>
      <c r="W122" s="286"/>
    </row>
    <row r="123" spans="1:23" x14ac:dyDescent="0.25">
      <c r="A123" s="278"/>
      <c r="B123" s="278" t="s">
        <v>203</v>
      </c>
      <c r="C123" s="281" t="s">
        <v>202</v>
      </c>
      <c r="D123" s="285" t="s">
        <v>149</v>
      </c>
      <c r="E123" s="285" t="s">
        <v>1166</v>
      </c>
      <c r="F123" s="281" t="s">
        <v>203</v>
      </c>
      <c r="G123" s="285" t="s">
        <v>1171</v>
      </c>
      <c r="H123" s="285" t="s">
        <v>149</v>
      </c>
      <c r="I123" s="285" t="s">
        <v>1167</v>
      </c>
      <c r="J123" s="281" t="s">
        <v>203</v>
      </c>
      <c r="K123" s="285" t="s">
        <v>1171</v>
      </c>
      <c r="L123" s="285" t="s">
        <v>149</v>
      </c>
      <c r="M123" s="285" t="s">
        <v>1168</v>
      </c>
      <c r="N123" s="281" t="s">
        <v>203</v>
      </c>
      <c r="O123" s="285" t="s">
        <v>1171</v>
      </c>
      <c r="P123" s="285" t="s">
        <v>149</v>
      </c>
      <c r="Q123" s="285" t="s">
        <v>1169</v>
      </c>
      <c r="R123" s="281" t="s">
        <v>203</v>
      </c>
      <c r="S123" s="285" t="s">
        <v>1171</v>
      </c>
      <c r="T123" s="285" t="s">
        <v>149</v>
      </c>
      <c r="U123" s="285" t="s">
        <v>1170</v>
      </c>
      <c r="V123" s="281" t="s">
        <v>203</v>
      </c>
      <c r="W123" s="285" t="s">
        <v>1171</v>
      </c>
    </row>
    <row r="124" spans="1:23" x14ac:dyDescent="0.25">
      <c r="A124" s="284" t="s">
        <v>1165</v>
      </c>
      <c r="B124" s="284"/>
      <c r="C124" s="279">
        <f>((D124*G124)+(K124*H124)+(O124*L124)+(S124*P124)+(W124*T124))</f>
        <v>0</v>
      </c>
      <c r="D124" s="282">
        <v>0</v>
      </c>
      <c r="E124" s="283" t="s">
        <v>926</v>
      </c>
      <c r="F124" s="59" t="str">
        <f t="shared" ref="F124" si="33">VLOOKUP(E124,LISTAITEMS,2,FALSE)</f>
        <v>ninguno</v>
      </c>
      <c r="G124" s="280">
        <f>VLOOKUP(E124,LISTAITEMS,5,FALSE)</f>
        <v>0</v>
      </c>
      <c r="H124" s="282">
        <v>0</v>
      </c>
      <c r="I124" s="283" t="s">
        <v>926</v>
      </c>
      <c r="J124" s="59" t="str">
        <f t="shared" ref="J124" si="34">VLOOKUP(I124,LISTAITEMS,2,FALSE)</f>
        <v>ninguno</v>
      </c>
      <c r="K124" s="280">
        <f>VLOOKUP(I124,LISTAITEMS,5,FALSE)</f>
        <v>0</v>
      </c>
      <c r="L124" s="282">
        <v>0</v>
      </c>
      <c r="M124" s="283" t="s">
        <v>926</v>
      </c>
      <c r="N124" s="59" t="str">
        <f t="shared" ref="N124" si="35">VLOOKUP(M124,LISTAITEMS,2,FALSE)</f>
        <v>ninguno</v>
      </c>
      <c r="O124" s="280">
        <f>VLOOKUP(M124,LISTAITEMS,5,FALSE)</f>
        <v>0</v>
      </c>
      <c r="P124" s="282">
        <v>0</v>
      </c>
      <c r="Q124" s="283" t="s">
        <v>926</v>
      </c>
      <c r="R124" s="59" t="str">
        <f t="shared" ref="R124" si="36">VLOOKUP(Q124,LISTAITEMS,2,FALSE)</f>
        <v>ninguno</v>
      </c>
      <c r="S124" s="280">
        <f>VLOOKUP(Q124,LISTAITEMS,5,FALSE)</f>
        <v>0</v>
      </c>
      <c r="T124" s="282">
        <v>0</v>
      </c>
      <c r="U124" s="283" t="s">
        <v>926</v>
      </c>
      <c r="V124" s="59" t="str">
        <f t="shared" ref="V124" si="37">VLOOKUP(U124,LISTAITEMS,2,FALSE)</f>
        <v>ninguno</v>
      </c>
      <c r="W124" s="280">
        <f>VLOOKUP(U124,LISTAITEMS,5,FALSE)</f>
        <v>0</v>
      </c>
    </row>
    <row r="134" spans="1:23" x14ac:dyDescent="0.25">
      <c r="A134" s="277" t="s">
        <v>1119</v>
      </c>
      <c r="B134" s="277"/>
      <c r="C134" s="277"/>
      <c r="D134" s="277"/>
      <c r="E134" s="277"/>
      <c r="F134" s="277"/>
      <c r="G134" s="277"/>
      <c r="H134" s="277"/>
      <c r="I134" s="277"/>
      <c r="J134" s="277"/>
      <c r="K134" s="277"/>
      <c r="L134" s="277"/>
      <c r="M134" s="277"/>
      <c r="N134" s="277"/>
      <c r="O134" s="277"/>
      <c r="P134" s="277"/>
      <c r="Q134" s="277"/>
      <c r="R134" s="277"/>
      <c r="S134" s="277"/>
      <c r="T134" s="277"/>
      <c r="U134" s="277"/>
      <c r="V134" s="277"/>
      <c r="W134" s="277"/>
    </row>
    <row r="135" spans="1:23" x14ac:dyDescent="0.25">
      <c r="A135" s="277"/>
      <c r="B135" s="277"/>
      <c r="C135" s="277"/>
      <c r="D135" s="277"/>
      <c r="E135" s="277"/>
      <c r="F135" s="277"/>
      <c r="G135" s="277"/>
      <c r="H135" s="277"/>
      <c r="I135" s="277"/>
      <c r="J135" s="277"/>
      <c r="K135" s="277"/>
      <c r="L135" s="277"/>
      <c r="M135" s="277"/>
      <c r="N135" s="277"/>
      <c r="O135" s="277"/>
      <c r="P135" s="277"/>
      <c r="Q135" s="277"/>
      <c r="R135" s="277"/>
      <c r="S135" s="277"/>
      <c r="T135" s="277"/>
      <c r="U135" s="277"/>
      <c r="V135" s="277"/>
      <c r="W135" s="277"/>
    </row>
    <row r="136" spans="1:23" x14ac:dyDescent="0.25">
      <c r="A136" s="286"/>
      <c r="B136" s="286" t="s">
        <v>1010</v>
      </c>
      <c r="C136" s="286"/>
      <c r="D136" s="286"/>
      <c r="E136" s="286"/>
      <c r="F136" s="286"/>
      <c r="G136" s="286"/>
      <c r="H136" s="286"/>
      <c r="I136" s="286"/>
      <c r="J136" s="286"/>
      <c r="K136" s="286"/>
      <c r="L136" s="286"/>
      <c r="M136" s="286"/>
      <c r="N136" s="286"/>
      <c r="O136" s="286"/>
      <c r="P136" s="286"/>
      <c r="Q136" s="286"/>
      <c r="R136" s="286"/>
      <c r="S136" s="286"/>
      <c r="T136" s="286"/>
      <c r="U136" s="286"/>
      <c r="V136" s="286"/>
      <c r="W136" s="286"/>
    </row>
    <row r="137" spans="1:23" x14ac:dyDescent="0.25">
      <c r="A137" s="278"/>
      <c r="B137" s="278" t="s">
        <v>203</v>
      </c>
      <c r="C137" s="281" t="s">
        <v>202</v>
      </c>
      <c r="D137" s="285" t="s">
        <v>149</v>
      </c>
      <c r="E137" s="285" t="s">
        <v>1166</v>
      </c>
      <c r="F137" s="281" t="s">
        <v>203</v>
      </c>
      <c r="G137" s="285" t="s">
        <v>1171</v>
      </c>
      <c r="H137" s="285" t="s">
        <v>149</v>
      </c>
      <c r="I137" s="285" t="s">
        <v>1167</v>
      </c>
      <c r="J137" s="281" t="s">
        <v>203</v>
      </c>
      <c r="K137" s="285" t="s">
        <v>1171</v>
      </c>
      <c r="L137" s="285" t="s">
        <v>149</v>
      </c>
      <c r="M137" s="285" t="s">
        <v>1168</v>
      </c>
      <c r="N137" s="281" t="s">
        <v>203</v>
      </c>
      <c r="O137" s="285" t="s">
        <v>1171</v>
      </c>
      <c r="P137" s="285" t="s">
        <v>149</v>
      </c>
      <c r="Q137" s="285" t="s">
        <v>1169</v>
      </c>
      <c r="R137" s="281" t="s">
        <v>203</v>
      </c>
      <c r="S137" s="285" t="s">
        <v>1171</v>
      </c>
      <c r="T137" s="285" t="s">
        <v>149</v>
      </c>
      <c r="U137" s="285" t="s">
        <v>1170</v>
      </c>
      <c r="V137" s="281" t="s">
        <v>203</v>
      </c>
      <c r="W137" s="285" t="s">
        <v>1171</v>
      </c>
    </row>
    <row r="138" spans="1:23" x14ac:dyDescent="0.25">
      <c r="A138" s="284" t="s">
        <v>1165</v>
      </c>
      <c r="B138" s="284"/>
      <c r="C138" s="279">
        <f>((D138*G138)+(K138*H138)+(O138*L138)+(S138*P138)+(W138*T138))</f>
        <v>0</v>
      </c>
      <c r="D138" s="282">
        <v>0</v>
      </c>
      <c r="E138" s="283" t="s">
        <v>926</v>
      </c>
      <c r="F138" s="59" t="str">
        <f t="shared" ref="F138" si="38">VLOOKUP(E138,LISTAITEMS,2,FALSE)</f>
        <v>ninguno</v>
      </c>
      <c r="G138" s="280">
        <f>VLOOKUP(E138,LISTAITEMS,5,FALSE)</f>
        <v>0</v>
      </c>
      <c r="H138" s="282">
        <v>0</v>
      </c>
      <c r="I138" s="283" t="s">
        <v>926</v>
      </c>
      <c r="J138" s="59" t="str">
        <f t="shared" ref="J138" si="39">VLOOKUP(I138,LISTAITEMS,2,FALSE)</f>
        <v>ninguno</v>
      </c>
      <c r="K138" s="280">
        <f>VLOOKUP(I138,LISTAITEMS,5,FALSE)</f>
        <v>0</v>
      </c>
      <c r="L138" s="282">
        <v>0</v>
      </c>
      <c r="M138" s="283" t="s">
        <v>926</v>
      </c>
      <c r="N138" s="59" t="str">
        <f t="shared" ref="N138" si="40">VLOOKUP(M138,LISTAITEMS,2,FALSE)</f>
        <v>ninguno</v>
      </c>
      <c r="O138" s="280">
        <f>VLOOKUP(M138,LISTAITEMS,5,FALSE)</f>
        <v>0</v>
      </c>
      <c r="P138" s="282">
        <v>0</v>
      </c>
      <c r="Q138" s="283" t="s">
        <v>926</v>
      </c>
      <c r="R138" s="59" t="str">
        <f t="shared" ref="R138" si="41">VLOOKUP(Q138,LISTAITEMS,2,FALSE)</f>
        <v>ninguno</v>
      </c>
      <c r="S138" s="280">
        <f>VLOOKUP(Q138,LISTAITEMS,5,FALSE)</f>
        <v>0</v>
      </c>
      <c r="T138" s="282">
        <v>0</v>
      </c>
      <c r="U138" s="283" t="s">
        <v>926</v>
      </c>
      <c r="V138" s="59" t="str">
        <f t="shared" ref="V138" si="42">VLOOKUP(U138,LISTAITEMS,2,FALSE)</f>
        <v>ninguno</v>
      </c>
      <c r="W138" s="280">
        <f>VLOOKUP(U138,LISTAITEMS,5,FALSE)</f>
        <v>0</v>
      </c>
    </row>
    <row r="146" spans="1:23" x14ac:dyDescent="0.25">
      <c r="A146" s="277" t="s">
        <v>1120</v>
      </c>
      <c r="B146" s="277"/>
      <c r="C146" s="277"/>
      <c r="D146" s="277"/>
      <c r="E146" s="277"/>
      <c r="F146" s="277"/>
      <c r="G146" s="277"/>
      <c r="H146" s="277"/>
      <c r="I146" s="277"/>
      <c r="J146" s="277"/>
      <c r="K146" s="277"/>
      <c r="L146" s="277"/>
      <c r="M146" s="277"/>
      <c r="N146" s="277"/>
      <c r="O146" s="277"/>
      <c r="P146" s="277"/>
      <c r="Q146" s="277"/>
      <c r="R146" s="277"/>
      <c r="S146" s="277"/>
      <c r="T146" s="277"/>
      <c r="U146" s="277"/>
      <c r="V146" s="277"/>
      <c r="W146" s="277"/>
    </row>
    <row r="147" spans="1:23" x14ac:dyDescent="0.25">
      <c r="A147" s="277"/>
      <c r="B147" s="277"/>
      <c r="C147" s="277"/>
      <c r="D147" s="277"/>
      <c r="E147" s="277"/>
      <c r="F147" s="277"/>
      <c r="G147" s="277"/>
      <c r="H147" s="277"/>
      <c r="I147" s="277"/>
      <c r="J147" s="277"/>
      <c r="K147" s="277"/>
      <c r="L147" s="277"/>
      <c r="M147" s="277"/>
      <c r="N147" s="277"/>
      <c r="O147" s="277"/>
      <c r="P147" s="277"/>
      <c r="Q147" s="277"/>
      <c r="R147" s="277"/>
      <c r="S147" s="277"/>
      <c r="T147" s="277"/>
      <c r="U147" s="277"/>
      <c r="V147" s="277"/>
      <c r="W147" s="277"/>
    </row>
    <row r="148" spans="1:23" x14ac:dyDescent="0.25">
      <c r="A148" s="286"/>
      <c r="B148" s="286" t="s">
        <v>1010</v>
      </c>
      <c r="C148" s="286"/>
      <c r="D148" s="286"/>
      <c r="E148" s="286"/>
      <c r="F148" s="286"/>
      <c r="G148" s="286"/>
      <c r="H148" s="286"/>
      <c r="I148" s="286"/>
      <c r="J148" s="286"/>
      <c r="K148" s="286"/>
      <c r="L148" s="286"/>
      <c r="M148" s="286"/>
      <c r="N148" s="286"/>
      <c r="O148" s="286"/>
      <c r="P148" s="286"/>
      <c r="Q148" s="286"/>
      <c r="R148" s="286"/>
      <c r="S148" s="286"/>
      <c r="T148" s="286"/>
      <c r="U148" s="286"/>
      <c r="V148" s="286"/>
      <c r="W148" s="286"/>
    </row>
    <row r="149" spans="1:23" x14ac:dyDescent="0.25">
      <c r="A149" s="278"/>
      <c r="B149" s="278" t="s">
        <v>203</v>
      </c>
      <c r="C149" s="281" t="s">
        <v>202</v>
      </c>
      <c r="D149" s="285" t="s">
        <v>149</v>
      </c>
      <c r="E149" s="285" t="s">
        <v>1166</v>
      </c>
      <c r="F149" s="281" t="s">
        <v>203</v>
      </c>
      <c r="G149" s="285" t="s">
        <v>1171</v>
      </c>
      <c r="H149" s="285" t="s">
        <v>149</v>
      </c>
      <c r="I149" s="285" t="s">
        <v>1167</v>
      </c>
      <c r="J149" s="281" t="s">
        <v>203</v>
      </c>
      <c r="K149" s="285" t="s">
        <v>1171</v>
      </c>
      <c r="L149" s="285" t="s">
        <v>149</v>
      </c>
      <c r="M149" s="285" t="s">
        <v>1168</v>
      </c>
      <c r="N149" s="281" t="s">
        <v>203</v>
      </c>
      <c r="O149" s="285" t="s">
        <v>1171</v>
      </c>
      <c r="P149" s="285" t="s">
        <v>149</v>
      </c>
      <c r="Q149" s="285" t="s">
        <v>1169</v>
      </c>
      <c r="R149" s="281" t="s">
        <v>203</v>
      </c>
      <c r="S149" s="285" t="s">
        <v>1171</v>
      </c>
      <c r="T149" s="285" t="s">
        <v>149</v>
      </c>
      <c r="U149" s="285" t="s">
        <v>1170</v>
      </c>
      <c r="V149" s="281" t="s">
        <v>203</v>
      </c>
      <c r="W149" s="285" t="s">
        <v>1171</v>
      </c>
    </row>
    <row r="150" spans="1:23" x14ac:dyDescent="0.25">
      <c r="A150" s="284" t="s">
        <v>1165</v>
      </c>
      <c r="B150" s="284"/>
      <c r="C150" s="279">
        <f>((D150*G150)+(K150*H150)+(O150*L150)+(S150*P150)+(W150*T150))</f>
        <v>0</v>
      </c>
      <c r="D150" s="282">
        <v>0</v>
      </c>
      <c r="E150" s="283" t="s">
        <v>926</v>
      </c>
      <c r="F150" s="59" t="str">
        <f t="shared" ref="F150" si="43">VLOOKUP(E150,LISTAITEMS,2,FALSE)</f>
        <v>ninguno</v>
      </c>
      <c r="G150" s="280">
        <f>VLOOKUP(E150,LISTAITEMS,5,FALSE)</f>
        <v>0</v>
      </c>
      <c r="H150" s="282">
        <v>0</v>
      </c>
      <c r="I150" s="283" t="s">
        <v>926</v>
      </c>
      <c r="J150" s="59" t="str">
        <f t="shared" ref="J150" si="44">VLOOKUP(I150,LISTAITEMS,2,FALSE)</f>
        <v>ninguno</v>
      </c>
      <c r="K150" s="280">
        <f>VLOOKUP(I150,LISTAITEMS,5,FALSE)</f>
        <v>0</v>
      </c>
      <c r="L150" s="282">
        <v>0</v>
      </c>
      <c r="M150" s="283" t="s">
        <v>926</v>
      </c>
      <c r="N150" s="59" t="str">
        <f t="shared" ref="N150" si="45">VLOOKUP(M150,LISTAITEMS,2,FALSE)</f>
        <v>ninguno</v>
      </c>
      <c r="O150" s="280">
        <f>VLOOKUP(M150,LISTAITEMS,5,FALSE)</f>
        <v>0</v>
      </c>
      <c r="P150" s="282">
        <v>0</v>
      </c>
      <c r="Q150" s="283" t="s">
        <v>926</v>
      </c>
      <c r="R150" s="59" t="str">
        <f t="shared" ref="R150" si="46">VLOOKUP(Q150,LISTAITEMS,2,FALSE)</f>
        <v>ninguno</v>
      </c>
      <c r="S150" s="280">
        <f>VLOOKUP(Q150,LISTAITEMS,5,FALSE)</f>
        <v>0</v>
      </c>
      <c r="T150" s="282">
        <v>0</v>
      </c>
      <c r="U150" s="283" t="s">
        <v>926</v>
      </c>
      <c r="V150" s="59" t="str">
        <f t="shared" ref="V150" si="47">VLOOKUP(U150,LISTAITEMS,2,FALSE)</f>
        <v>ninguno</v>
      </c>
      <c r="W150" s="280">
        <f>VLOOKUP(U150,LISTAITEMS,5,FALSE)</f>
        <v>0</v>
      </c>
    </row>
    <row r="159" spans="1:23" x14ac:dyDescent="0.25">
      <c r="A159" s="277" t="s">
        <v>1121</v>
      </c>
      <c r="B159" s="277"/>
      <c r="C159" s="277"/>
      <c r="D159" s="277"/>
      <c r="E159" s="277"/>
      <c r="F159" s="277"/>
      <c r="G159" s="277"/>
      <c r="H159" s="277"/>
      <c r="I159" s="277"/>
      <c r="J159" s="277"/>
      <c r="K159" s="277"/>
      <c r="L159" s="277"/>
      <c r="M159" s="277"/>
      <c r="N159" s="277"/>
      <c r="O159" s="277"/>
      <c r="P159" s="277"/>
      <c r="Q159" s="277"/>
      <c r="R159" s="277"/>
      <c r="S159" s="277"/>
      <c r="T159" s="277"/>
      <c r="U159" s="277"/>
      <c r="V159" s="277"/>
      <c r="W159" s="277"/>
    </row>
    <row r="160" spans="1:23" x14ac:dyDescent="0.25">
      <c r="A160" s="277"/>
      <c r="B160" s="277"/>
      <c r="C160" s="277"/>
      <c r="D160" s="277"/>
      <c r="E160" s="277"/>
      <c r="F160" s="277"/>
      <c r="G160" s="277"/>
      <c r="H160" s="277"/>
      <c r="I160" s="277"/>
      <c r="J160" s="277"/>
      <c r="K160" s="277"/>
      <c r="L160" s="277"/>
      <c r="M160" s="277"/>
      <c r="N160" s="277"/>
      <c r="O160" s="277"/>
      <c r="P160" s="277"/>
      <c r="Q160" s="277"/>
      <c r="R160" s="277"/>
      <c r="S160" s="277"/>
      <c r="T160" s="277"/>
      <c r="U160" s="277"/>
      <c r="V160" s="277"/>
      <c r="W160" s="277"/>
    </row>
    <row r="161" spans="1:23" x14ac:dyDescent="0.25">
      <c r="A161" s="286"/>
      <c r="B161" s="286" t="s">
        <v>1010</v>
      </c>
      <c r="C161" s="286"/>
      <c r="D161" s="286"/>
      <c r="E161" s="286"/>
      <c r="F161" s="286"/>
      <c r="G161" s="286"/>
      <c r="H161" s="286"/>
      <c r="I161" s="286"/>
      <c r="J161" s="286"/>
      <c r="K161" s="286"/>
      <c r="L161" s="286"/>
      <c r="M161" s="286"/>
      <c r="N161" s="286"/>
      <c r="O161" s="286"/>
      <c r="P161" s="286"/>
      <c r="Q161" s="286"/>
      <c r="R161" s="286"/>
      <c r="S161" s="286"/>
      <c r="T161" s="286"/>
      <c r="U161" s="286"/>
      <c r="V161" s="286"/>
      <c r="W161" s="286"/>
    </row>
    <row r="162" spans="1:23" x14ac:dyDescent="0.25">
      <c r="A162" s="278"/>
      <c r="B162" s="278" t="s">
        <v>203</v>
      </c>
      <c r="C162" s="281" t="s">
        <v>202</v>
      </c>
      <c r="D162" s="285" t="s">
        <v>149</v>
      </c>
      <c r="E162" s="285" t="s">
        <v>1166</v>
      </c>
      <c r="F162" s="281" t="s">
        <v>203</v>
      </c>
      <c r="G162" s="285" t="s">
        <v>1171</v>
      </c>
      <c r="H162" s="285" t="s">
        <v>149</v>
      </c>
      <c r="I162" s="285" t="s">
        <v>1167</v>
      </c>
      <c r="J162" s="281" t="s">
        <v>203</v>
      </c>
      <c r="K162" s="285" t="s">
        <v>1171</v>
      </c>
      <c r="L162" s="285" t="s">
        <v>149</v>
      </c>
      <c r="M162" s="285" t="s">
        <v>1168</v>
      </c>
      <c r="N162" s="281" t="s">
        <v>203</v>
      </c>
      <c r="O162" s="285" t="s">
        <v>1171</v>
      </c>
      <c r="P162" s="285" t="s">
        <v>149</v>
      </c>
      <c r="Q162" s="285" t="s">
        <v>1169</v>
      </c>
      <c r="R162" s="281" t="s">
        <v>203</v>
      </c>
      <c r="S162" s="285" t="s">
        <v>1171</v>
      </c>
      <c r="T162" s="285" t="s">
        <v>149</v>
      </c>
      <c r="U162" s="285" t="s">
        <v>1170</v>
      </c>
      <c r="V162" s="281" t="s">
        <v>203</v>
      </c>
      <c r="W162" s="285" t="s">
        <v>1171</v>
      </c>
    </row>
    <row r="163" spans="1:23" x14ac:dyDescent="0.25">
      <c r="A163" s="284" t="s">
        <v>1165</v>
      </c>
      <c r="B163" s="284"/>
      <c r="C163" s="279">
        <f>((D163*G163)+(K163*H163)+(O163*L163)+(S163*P163)+(W163*T163))</f>
        <v>0</v>
      </c>
      <c r="D163" s="282">
        <v>0</v>
      </c>
      <c r="E163" s="283" t="s">
        <v>926</v>
      </c>
      <c r="F163" s="59" t="str">
        <f t="shared" ref="F163" si="48">VLOOKUP(E163,LISTAITEMS,2,FALSE)</f>
        <v>ninguno</v>
      </c>
      <c r="G163" s="280">
        <f>VLOOKUP(E163,LISTAITEMS,5,FALSE)</f>
        <v>0</v>
      </c>
      <c r="H163" s="282">
        <v>0</v>
      </c>
      <c r="I163" s="283" t="s">
        <v>926</v>
      </c>
      <c r="J163" s="59" t="str">
        <f t="shared" ref="J163" si="49">VLOOKUP(I163,LISTAITEMS,2,FALSE)</f>
        <v>ninguno</v>
      </c>
      <c r="K163" s="280">
        <f>VLOOKUP(I163,LISTAITEMS,5,FALSE)</f>
        <v>0</v>
      </c>
      <c r="L163" s="282">
        <v>0</v>
      </c>
      <c r="M163" s="283" t="s">
        <v>926</v>
      </c>
      <c r="N163" s="59" t="str">
        <f t="shared" ref="N163" si="50">VLOOKUP(M163,LISTAITEMS,2,FALSE)</f>
        <v>ninguno</v>
      </c>
      <c r="O163" s="280">
        <f>VLOOKUP(M163,LISTAITEMS,5,FALSE)</f>
        <v>0</v>
      </c>
      <c r="P163" s="282">
        <v>0</v>
      </c>
      <c r="Q163" s="283" t="s">
        <v>926</v>
      </c>
      <c r="R163" s="59" t="str">
        <f t="shared" ref="R163" si="51">VLOOKUP(Q163,LISTAITEMS,2,FALSE)</f>
        <v>ninguno</v>
      </c>
      <c r="S163" s="280">
        <f>VLOOKUP(Q163,LISTAITEMS,5,FALSE)</f>
        <v>0</v>
      </c>
      <c r="T163" s="282">
        <v>0</v>
      </c>
      <c r="U163" s="283" t="s">
        <v>926</v>
      </c>
      <c r="V163" s="59" t="str">
        <f t="shared" ref="V163" si="52">VLOOKUP(U163,LISTAITEMS,2,FALSE)</f>
        <v>ninguno</v>
      </c>
      <c r="W163" s="280">
        <f>VLOOKUP(U163,LISTAITEMS,5,FALSE)</f>
        <v>0</v>
      </c>
    </row>
    <row r="171" spans="1:23" x14ac:dyDescent="0.25">
      <c r="A171" s="277"/>
      <c r="B171" s="277" t="s">
        <v>1152</v>
      </c>
      <c r="C171" s="277"/>
      <c r="D171" s="277"/>
      <c r="E171" s="277"/>
      <c r="F171" s="277"/>
      <c r="G171" s="277"/>
      <c r="H171" s="277"/>
      <c r="I171" s="277"/>
      <c r="J171" s="277"/>
      <c r="K171" s="277"/>
      <c r="L171" s="277"/>
      <c r="M171" s="277"/>
      <c r="N171" s="277"/>
      <c r="O171" s="277"/>
      <c r="P171" s="277"/>
      <c r="Q171" s="277"/>
      <c r="R171" s="277"/>
      <c r="S171" s="277"/>
      <c r="T171" s="277"/>
      <c r="U171" s="277"/>
      <c r="V171" s="277"/>
      <c r="W171" s="277"/>
    </row>
    <row r="172" spans="1:23" x14ac:dyDescent="0.25">
      <c r="A172" s="277"/>
      <c r="B172" s="277"/>
      <c r="C172" s="277"/>
      <c r="D172" s="277"/>
      <c r="E172" s="277"/>
      <c r="F172" s="277"/>
      <c r="G172" s="277"/>
      <c r="H172" s="277"/>
      <c r="I172" s="277"/>
      <c r="J172" s="277"/>
      <c r="K172" s="277"/>
      <c r="L172" s="277"/>
      <c r="M172" s="277"/>
      <c r="N172" s="277"/>
      <c r="O172" s="277"/>
      <c r="P172" s="277"/>
      <c r="Q172" s="277"/>
      <c r="R172" s="277"/>
      <c r="S172" s="277"/>
      <c r="T172" s="277"/>
      <c r="U172" s="277"/>
      <c r="V172" s="277"/>
      <c r="W172" s="277"/>
    </row>
    <row r="173" spans="1:23" x14ac:dyDescent="0.25">
      <c r="A173" s="286"/>
      <c r="B173" s="286" t="s">
        <v>1010</v>
      </c>
      <c r="C173" s="286"/>
      <c r="D173" s="286"/>
      <c r="E173" s="286"/>
      <c r="F173" s="286"/>
      <c r="G173" s="286"/>
      <c r="H173" s="286"/>
      <c r="I173" s="286"/>
      <c r="J173" s="286"/>
      <c r="K173" s="286"/>
      <c r="L173" s="286"/>
      <c r="M173" s="286"/>
      <c r="N173" s="286"/>
      <c r="O173" s="286"/>
      <c r="P173" s="286"/>
      <c r="Q173" s="286"/>
      <c r="R173" s="286"/>
      <c r="S173" s="286"/>
      <c r="T173" s="286"/>
      <c r="U173" s="286"/>
      <c r="V173" s="286"/>
      <c r="W173" s="286"/>
    </row>
    <row r="174" spans="1:23" x14ac:dyDescent="0.25">
      <c r="A174" s="278"/>
      <c r="B174" s="278" t="s">
        <v>203</v>
      </c>
      <c r="C174" s="281" t="s">
        <v>202</v>
      </c>
      <c r="D174" s="285" t="s">
        <v>149</v>
      </c>
      <c r="E174" s="285" t="s">
        <v>1166</v>
      </c>
      <c r="F174" s="281" t="s">
        <v>203</v>
      </c>
      <c r="G174" s="285" t="s">
        <v>1171</v>
      </c>
      <c r="H174" s="285" t="s">
        <v>149</v>
      </c>
      <c r="I174" s="285" t="s">
        <v>1167</v>
      </c>
      <c r="J174" s="281" t="s">
        <v>203</v>
      </c>
      <c r="K174" s="285" t="s">
        <v>1171</v>
      </c>
      <c r="L174" s="285" t="s">
        <v>149</v>
      </c>
      <c r="M174" s="285" t="s">
        <v>1168</v>
      </c>
      <c r="N174" s="281" t="s">
        <v>203</v>
      </c>
      <c r="O174" s="285" t="s">
        <v>1171</v>
      </c>
      <c r="P174" s="285" t="s">
        <v>149</v>
      </c>
      <c r="Q174" s="285" t="s">
        <v>1169</v>
      </c>
      <c r="R174" s="281" t="s">
        <v>203</v>
      </c>
      <c r="S174" s="285" t="s">
        <v>1171</v>
      </c>
      <c r="T174" s="285" t="s">
        <v>149</v>
      </c>
      <c r="U174" s="285" t="s">
        <v>1170</v>
      </c>
      <c r="V174" s="281" t="s">
        <v>203</v>
      </c>
      <c r="W174" s="285" t="s">
        <v>1171</v>
      </c>
    </row>
    <row r="175" spans="1:23" x14ac:dyDescent="0.25">
      <c r="A175" s="284" t="s">
        <v>1178</v>
      </c>
      <c r="B175" s="284"/>
      <c r="C175" s="279">
        <f>((D175*G175)+(K175*H175)+(O175*L175)+(S175*P175)+(W175*T175))</f>
        <v>344</v>
      </c>
      <c r="D175" s="282">
        <v>4</v>
      </c>
      <c r="E175" s="283">
        <v>365</v>
      </c>
      <c r="F175" s="59" t="str">
        <f t="shared" ref="F175" si="53">VLOOKUP(E175,LISTAITEMS,2,FALSE)</f>
        <v>Raw Chicken</v>
      </c>
      <c r="G175" s="280">
        <f>VLOOKUP(E175,LISTAITEMS,5,FALSE)</f>
        <v>86</v>
      </c>
      <c r="H175" s="282">
        <v>0</v>
      </c>
      <c r="I175" s="283" t="s">
        <v>926</v>
      </c>
      <c r="J175" s="59" t="str">
        <f t="shared" ref="J175" si="54">VLOOKUP(I175,LISTAITEMS,2,FALSE)</f>
        <v>ninguno</v>
      </c>
      <c r="K175" s="280">
        <f>VLOOKUP(I175,LISTAITEMS,5,FALSE)</f>
        <v>0</v>
      </c>
      <c r="L175" s="282">
        <v>0</v>
      </c>
      <c r="M175" s="283" t="s">
        <v>926</v>
      </c>
      <c r="N175" s="59" t="str">
        <f t="shared" ref="N175" si="55">VLOOKUP(M175,LISTAITEMS,2,FALSE)</f>
        <v>ninguno</v>
      </c>
      <c r="O175" s="280">
        <f>VLOOKUP(M175,LISTAITEMS,5,FALSE)</f>
        <v>0</v>
      </c>
      <c r="P175" s="282">
        <v>0</v>
      </c>
      <c r="Q175" s="283" t="s">
        <v>926</v>
      </c>
      <c r="R175" s="59" t="str">
        <f t="shared" ref="R175" si="56">VLOOKUP(Q175,LISTAITEMS,2,FALSE)</f>
        <v>ninguno</v>
      </c>
      <c r="S175" s="280">
        <f>VLOOKUP(Q175,LISTAITEMS,5,FALSE)</f>
        <v>0</v>
      </c>
      <c r="T175" s="282">
        <v>0</v>
      </c>
      <c r="U175" s="283" t="s">
        <v>926</v>
      </c>
      <c r="V175" s="59" t="str">
        <f t="shared" ref="V175" si="57">VLOOKUP(U175,LISTAITEMS,2,FALSE)</f>
        <v>ninguno</v>
      </c>
      <c r="W175" s="280">
        <f>VLOOKUP(U175,LISTAITEMS,5,FALSE)</f>
        <v>0</v>
      </c>
    </row>
    <row r="176" spans="1:23" s="275" customFormat="1" x14ac:dyDescent="0.25">
      <c r="A176" s="286"/>
      <c r="B176" s="286" t="s">
        <v>1011</v>
      </c>
      <c r="C176" s="286"/>
      <c r="D176" s="286"/>
      <c r="E176" s="286"/>
      <c r="F176" s="286"/>
      <c r="G176" s="286"/>
      <c r="H176" s="286"/>
      <c r="I176" s="286"/>
      <c r="J176" s="286"/>
      <c r="K176" s="286"/>
      <c r="L176" s="286"/>
      <c r="M176" s="286"/>
      <c r="N176" s="286"/>
      <c r="O176" s="286"/>
      <c r="P176" s="286"/>
      <c r="Q176" s="286"/>
      <c r="R176" s="286"/>
      <c r="S176" s="286"/>
      <c r="T176" s="286"/>
      <c r="U176" s="286"/>
      <c r="V176" s="286"/>
      <c r="W176" s="286"/>
    </row>
    <row r="177" spans="1:23" s="275" customFormat="1" x14ac:dyDescent="0.25">
      <c r="A177" s="278"/>
      <c r="B177" s="278" t="s">
        <v>203</v>
      </c>
      <c r="C177" s="281" t="s">
        <v>202</v>
      </c>
      <c r="D177" s="285" t="s">
        <v>149</v>
      </c>
      <c r="E177" s="285" t="s">
        <v>1166</v>
      </c>
      <c r="F177" s="281" t="s">
        <v>203</v>
      </c>
      <c r="G177" s="285" t="s">
        <v>1171</v>
      </c>
      <c r="H177" s="285" t="s">
        <v>149</v>
      </c>
      <c r="I177" s="285" t="s">
        <v>1167</v>
      </c>
      <c r="J177" s="281" t="s">
        <v>203</v>
      </c>
      <c r="K177" s="285" t="s">
        <v>1171</v>
      </c>
      <c r="L177" s="285" t="s">
        <v>149</v>
      </c>
      <c r="M177" s="285" t="s">
        <v>1168</v>
      </c>
      <c r="N177" s="281" t="s">
        <v>203</v>
      </c>
      <c r="O177" s="285" t="s">
        <v>1171</v>
      </c>
      <c r="P177" s="285" t="s">
        <v>149</v>
      </c>
      <c r="Q177" s="285" t="s">
        <v>1169</v>
      </c>
      <c r="R177" s="281" t="s">
        <v>203</v>
      </c>
      <c r="S177" s="285" t="s">
        <v>1171</v>
      </c>
      <c r="T177" s="285" t="s">
        <v>149</v>
      </c>
      <c r="U177" s="285" t="s">
        <v>1170</v>
      </c>
      <c r="V177" s="281" t="s">
        <v>203</v>
      </c>
      <c r="W177" s="285" t="s">
        <v>1171</v>
      </c>
    </row>
    <row r="178" spans="1:23" s="275" customFormat="1" x14ac:dyDescent="0.25">
      <c r="A178" s="284" t="s">
        <v>1179</v>
      </c>
      <c r="B178" s="284"/>
      <c r="C178" s="279">
        <f>((D178*G178)+(K178*H178)+(O178*L178)+(S178*P178)+(W178*T178))</f>
        <v>1028</v>
      </c>
      <c r="D178" s="282">
        <v>4</v>
      </c>
      <c r="E178" s="283">
        <v>349</v>
      </c>
      <c r="F178" s="59" t="str">
        <f t="shared" ref="F178" si="58">VLOOKUP(E178,LISTAITEMS,2,FALSE)</f>
        <v>Raw Fish</v>
      </c>
      <c r="G178" s="280">
        <f>VLOOKUP(E178,LISTAITEMS,5,FALSE)</f>
        <v>257</v>
      </c>
      <c r="H178" s="282">
        <v>0</v>
      </c>
      <c r="I178" s="283" t="s">
        <v>926</v>
      </c>
      <c r="J178" s="59" t="str">
        <f t="shared" ref="J178" si="59">VLOOKUP(I178,LISTAITEMS,2,FALSE)</f>
        <v>ninguno</v>
      </c>
      <c r="K178" s="280">
        <f>VLOOKUP(I178,LISTAITEMS,5,FALSE)</f>
        <v>0</v>
      </c>
      <c r="L178" s="282">
        <v>0</v>
      </c>
      <c r="M178" s="283" t="s">
        <v>926</v>
      </c>
      <c r="N178" s="59" t="str">
        <f t="shared" ref="N178" si="60">VLOOKUP(M178,LISTAITEMS,2,FALSE)</f>
        <v>ninguno</v>
      </c>
      <c r="O178" s="280">
        <f>VLOOKUP(M178,LISTAITEMS,5,FALSE)</f>
        <v>0</v>
      </c>
      <c r="P178" s="282">
        <v>0</v>
      </c>
      <c r="Q178" s="283" t="s">
        <v>926</v>
      </c>
      <c r="R178" s="59" t="str">
        <f t="shared" ref="R178" si="61">VLOOKUP(Q178,LISTAITEMS,2,FALSE)</f>
        <v>ninguno</v>
      </c>
      <c r="S178" s="280">
        <f>VLOOKUP(Q178,LISTAITEMS,5,FALSE)</f>
        <v>0</v>
      </c>
      <c r="T178" s="282">
        <v>0</v>
      </c>
      <c r="U178" s="283" t="s">
        <v>926</v>
      </c>
      <c r="V178" s="59" t="str">
        <f t="shared" ref="V178" si="62">VLOOKUP(U178,LISTAITEMS,2,FALSE)</f>
        <v>ninguno</v>
      </c>
      <c r="W178" s="280">
        <f>VLOOKUP(U178,LISTAITEMS,5,FALSE)</f>
        <v>0</v>
      </c>
    </row>
    <row r="179" spans="1:23" s="275" customFormat="1" x14ac:dyDescent="0.25">
      <c r="A179" s="286"/>
      <c r="B179" s="286" t="s">
        <v>1012</v>
      </c>
      <c r="C179" s="286"/>
      <c r="D179" s="286"/>
      <c r="E179" s="286"/>
      <c r="F179" s="286"/>
      <c r="G179" s="286"/>
      <c r="H179" s="286"/>
      <c r="I179" s="286"/>
      <c r="J179" s="286"/>
      <c r="K179" s="286"/>
      <c r="L179" s="286"/>
      <c r="M179" s="286"/>
      <c r="N179" s="286"/>
      <c r="O179" s="286"/>
      <c r="P179" s="286"/>
      <c r="Q179" s="286"/>
      <c r="R179" s="286"/>
      <c r="S179" s="286"/>
      <c r="T179" s="286"/>
      <c r="U179" s="286"/>
      <c r="V179" s="286"/>
      <c r="W179" s="286"/>
    </row>
    <row r="180" spans="1:23" s="275" customFormat="1" x14ac:dyDescent="0.25">
      <c r="A180" s="278"/>
      <c r="B180" s="278" t="s">
        <v>203</v>
      </c>
      <c r="C180" s="281" t="s">
        <v>202</v>
      </c>
      <c r="D180" s="285" t="s">
        <v>149</v>
      </c>
      <c r="E180" s="285" t="s">
        <v>1166</v>
      </c>
      <c r="F180" s="281" t="s">
        <v>203</v>
      </c>
      <c r="G180" s="285" t="s">
        <v>1171</v>
      </c>
      <c r="H180" s="285" t="s">
        <v>149</v>
      </c>
      <c r="I180" s="285" t="s">
        <v>1167</v>
      </c>
      <c r="J180" s="281" t="s">
        <v>203</v>
      </c>
      <c r="K180" s="285" t="s">
        <v>1171</v>
      </c>
      <c r="L180" s="285" t="s">
        <v>149</v>
      </c>
      <c r="M180" s="285" t="s">
        <v>1168</v>
      </c>
      <c r="N180" s="281" t="s">
        <v>203</v>
      </c>
      <c r="O180" s="285" t="s">
        <v>1171</v>
      </c>
      <c r="P180" s="285" t="s">
        <v>149</v>
      </c>
      <c r="Q180" s="285" t="s">
        <v>1169</v>
      </c>
      <c r="R180" s="281" t="s">
        <v>203</v>
      </c>
      <c r="S180" s="285" t="s">
        <v>1171</v>
      </c>
      <c r="T180" s="285" t="s">
        <v>149</v>
      </c>
      <c r="U180" s="285" t="s">
        <v>1170</v>
      </c>
      <c r="V180" s="281" t="s">
        <v>203</v>
      </c>
      <c r="W180" s="285" t="s">
        <v>1171</v>
      </c>
    </row>
    <row r="181" spans="1:23" s="275" customFormat="1" x14ac:dyDescent="0.25">
      <c r="A181" s="284" t="s">
        <v>1180</v>
      </c>
      <c r="B181" s="284"/>
      <c r="C181" s="279">
        <f>((D181*G181)+(K181*H181)+(O181*L181)+(S181*P181)+(W181*T181))</f>
        <v>1712</v>
      </c>
      <c r="D181" s="282">
        <v>4</v>
      </c>
      <c r="E181" s="283">
        <v>363</v>
      </c>
      <c r="F181" s="59" t="str">
        <f t="shared" ref="F181" si="63">VLOOKUP(E181,LISTAITEMS,2,FALSE)</f>
        <v>Raw Beef</v>
      </c>
      <c r="G181" s="280">
        <f>VLOOKUP(E181,LISTAITEMS,5,FALSE)</f>
        <v>428</v>
      </c>
      <c r="H181" s="282">
        <v>0</v>
      </c>
      <c r="I181" s="283" t="s">
        <v>926</v>
      </c>
      <c r="J181" s="59" t="str">
        <f t="shared" ref="J181" si="64">VLOOKUP(I181,LISTAITEMS,2,FALSE)</f>
        <v>ninguno</v>
      </c>
      <c r="K181" s="280">
        <f>VLOOKUP(I181,LISTAITEMS,5,FALSE)</f>
        <v>0</v>
      </c>
      <c r="L181" s="282">
        <v>0</v>
      </c>
      <c r="M181" s="283" t="s">
        <v>926</v>
      </c>
      <c r="N181" s="59" t="str">
        <f t="shared" ref="N181" si="65">VLOOKUP(M181,LISTAITEMS,2,FALSE)</f>
        <v>ninguno</v>
      </c>
      <c r="O181" s="280">
        <f>VLOOKUP(M181,LISTAITEMS,5,FALSE)</f>
        <v>0</v>
      </c>
      <c r="P181" s="282">
        <v>0</v>
      </c>
      <c r="Q181" s="283" t="s">
        <v>926</v>
      </c>
      <c r="R181" s="59" t="str">
        <f t="shared" ref="R181" si="66">VLOOKUP(Q181,LISTAITEMS,2,FALSE)</f>
        <v>ninguno</v>
      </c>
      <c r="S181" s="280">
        <f>VLOOKUP(Q181,LISTAITEMS,5,FALSE)</f>
        <v>0</v>
      </c>
      <c r="T181" s="282">
        <v>0</v>
      </c>
      <c r="U181" s="283" t="s">
        <v>926</v>
      </c>
      <c r="V181" s="59" t="str">
        <f t="shared" ref="V181" si="67">VLOOKUP(U181,LISTAITEMS,2,FALSE)</f>
        <v>ninguno</v>
      </c>
      <c r="W181" s="280">
        <f>VLOOKUP(U181,LISTAITEMS,5,FALSE)</f>
        <v>0</v>
      </c>
    </row>
    <row r="182" spans="1:23" s="275" customFormat="1" x14ac:dyDescent="0.25">
      <c r="A182" s="286"/>
      <c r="B182" s="286" t="s">
        <v>1013</v>
      </c>
      <c r="C182" s="286"/>
      <c r="D182" s="286"/>
      <c r="E182" s="286"/>
      <c r="F182" s="286"/>
      <c r="G182" s="286"/>
      <c r="H182" s="286"/>
      <c r="I182" s="286"/>
      <c r="J182" s="286"/>
      <c r="K182" s="286"/>
      <c r="L182" s="286"/>
      <c r="M182" s="286"/>
      <c r="N182" s="286"/>
      <c r="O182" s="286"/>
      <c r="P182" s="286"/>
      <c r="Q182" s="286"/>
      <c r="R182" s="286"/>
      <c r="S182" s="286"/>
      <c r="T182" s="286"/>
      <c r="U182" s="286"/>
      <c r="V182" s="286"/>
      <c r="W182" s="286"/>
    </row>
    <row r="183" spans="1:23" s="275" customFormat="1" x14ac:dyDescent="0.25">
      <c r="A183" s="278"/>
      <c r="B183" s="278" t="s">
        <v>203</v>
      </c>
      <c r="C183" s="281" t="s">
        <v>202</v>
      </c>
      <c r="D183" s="285" t="s">
        <v>149</v>
      </c>
      <c r="E183" s="285" t="s">
        <v>1166</v>
      </c>
      <c r="F183" s="281" t="s">
        <v>203</v>
      </c>
      <c r="G183" s="285" t="s">
        <v>1171</v>
      </c>
      <c r="H183" s="285" t="s">
        <v>149</v>
      </c>
      <c r="I183" s="285" t="s">
        <v>1167</v>
      </c>
      <c r="J183" s="281" t="s">
        <v>203</v>
      </c>
      <c r="K183" s="285" t="s">
        <v>1171</v>
      </c>
      <c r="L183" s="285" t="s">
        <v>149</v>
      </c>
      <c r="M183" s="285" t="s">
        <v>1168</v>
      </c>
      <c r="N183" s="281" t="s">
        <v>203</v>
      </c>
      <c r="O183" s="285" t="s">
        <v>1171</v>
      </c>
      <c r="P183" s="285" t="s">
        <v>149</v>
      </c>
      <c r="Q183" s="285" t="s">
        <v>1169</v>
      </c>
      <c r="R183" s="281" t="s">
        <v>203</v>
      </c>
      <c r="S183" s="285" t="s">
        <v>1171</v>
      </c>
      <c r="T183" s="285" t="s">
        <v>149</v>
      </c>
      <c r="U183" s="285" t="s">
        <v>1170</v>
      </c>
      <c r="V183" s="281" t="s">
        <v>203</v>
      </c>
      <c r="W183" s="285" t="s">
        <v>1171</v>
      </c>
    </row>
    <row r="184" spans="1:23" s="275" customFormat="1" x14ac:dyDescent="0.25">
      <c r="A184" s="284" t="s">
        <v>1181</v>
      </c>
      <c r="B184" s="284"/>
      <c r="C184" s="279">
        <f>((D184*G184)+(K184*H184)+(O184*L184)+(S184*P184)+(W184*T184))</f>
        <v>2396</v>
      </c>
      <c r="D184" s="282">
        <v>4</v>
      </c>
      <c r="E184" s="283">
        <v>319</v>
      </c>
      <c r="F184" s="59" t="str">
        <f t="shared" ref="F184" si="68">VLOOKUP(E184,LISTAITEMS,2,FALSE)</f>
        <v>Raw Porkchop</v>
      </c>
      <c r="G184" s="280">
        <f>VLOOKUP(E184,LISTAITEMS,5,FALSE)</f>
        <v>599</v>
      </c>
      <c r="H184" s="282">
        <v>0</v>
      </c>
      <c r="I184" s="283" t="s">
        <v>926</v>
      </c>
      <c r="J184" s="59" t="str">
        <f t="shared" ref="J184" si="69">VLOOKUP(I184,LISTAITEMS,2,FALSE)</f>
        <v>ninguno</v>
      </c>
      <c r="K184" s="280">
        <f>VLOOKUP(I184,LISTAITEMS,5,FALSE)</f>
        <v>0</v>
      </c>
      <c r="L184" s="282">
        <v>0</v>
      </c>
      <c r="M184" s="283" t="s">
        <v>926</v>
      </c>
      <c r="N184" s="59" t="str">
        <f t="shared" ref="N184" si="70">VLOOKUP(M184,LISTAITEMS,2,FALSE)</f>
        <v>ninguno</v>
      </c>
      <c r="O184" s="280">
        <f>VLOOKUP(M184,LISTAITEMS,5,FALSE)</f>
        <v>0</v>
      </c>
      <c r="P184" s="282">
        <v>0</v>
      </c>
      <c r="Q184" s="283" t="s">
        <v>926</v>
      </c>
      <c r="R184" s="59" t="str">
        <f t="shared" ref="R184" si="71">VLOOKUP(Q184,LISTAITEMS,2,FALSE)</f>
        <v>ninguno</v>
      </c>
      <c r="S184" s="280">
        <f>VLOOKUP(Q184,LISTAITEMS,5,FALSE)</f>
        <v>0</v>
      </c>
      <c r="T184" s="282">
        <v>0</v>
      </c>
      <c r="U184" s="283" t="s">
        <v>926</v>
      </c>
      <c r="V184" s="59" t="str">
        <f t="shared" ref="V184" si="72">VLOOKUP(U184,LISTAITEMS,2,FALSE)</f>
        <v>ninguno</v>
      </c>
      <c r="W184" s="280">
        <f>VLOOKUP(U184,LISTAITEMS,5,FALSE)</f>
        <v>0</v>
      </c>
    </row>
    <row r="185" spans="1:23" s="275" customFormat="1" x14ac:dyDescent="0.25">
      <c r="A185" s="286"/>
      <c r="B185" s="286" t="s">
        <v>1014</v>
      </c>
      <c r="C185" s="286"/>
      <c r="D185" s="286"/>
      <c r="E185" s="286"/>
      <c r="F185" s="286"/>
      <c r="G185" s="286"/>
      <c r="H185" s="286"/>
      <c r="I185" s="286"/>
      <c r="J185" s="286"/>
      <c r="K185" s="286"/>
      <c r="L185" s="286"/>
      <c r="M185" s="286"/>
      <c r="N185" s="286"/>
      <c r="O185" s="286"/>
      <c r="P185" s="286"/>
      <c r="Q185" s="286"/>
      <c r="R185" s="286"/>
      <c r="S185" s="286"/>
      <c r="T185" s="286"/>
      <c r="U185" s="286"/>
      <c r="V185" s="286"/>
      <c r="W185" s="286"/>
    </row>
    <row r="186" spans="1:23" s="275" customFormat="1" x14ac:dyDescent="0.25">
      <c r="A186" s="278"/>
      <c r="B186" s="278" t="s">
        <v>203</v>
      </c>
      <c r="C186" s="281" t="s">
        <v>202</v>
      </c>
      <c r="D186" s="285" t="s">
        <v>149</v>
      </c>
      <c r="E186" s="285" t="s">
        <v>1166</v>
      </c>
      <c r="F186" s="281" t="s">
        <v>203</v>
      </c>
      <c r="G186" s="285" t="s">
        <v>1171</v>
      </c>
      <c r="H186" s="285" t="s">
        <v>149</v>
      </c>
      <c r="I186" s="285" t="s">
        <v>1167</v>
      </c>
      <c r="J186" s="281" t="s">
        <v>203</v>
      </c>
      <c r="K186" s="285" t="s">
        <v>1171</v>
      </c>
      <c r="L186" s="285" t="s">
        <v>149</v>
      </c>
      <c r="M186" s="285" t="s">
        <v>1168</v>
      </c>
      <c r="N186" s="281" t="s">
        <v>203</v>
      </c>
      <c r="O186" s="285" t="s">
        <v>1171</v>
      </c>
      <c r="P186" s="285" t="s">
        <v>149</v>
      </c>
      <c r="Q186" s="285" t="s">
        <v>1169</v>
      </c>
      <c r="R186" s="281" t="s">
        <v>203</v>
      </c>
      <c r="S186" s="285" t="s">
        <v>1171</v>
      </c>
      <c r="T186" s="285" t="s">
        <v>149</v>
      </c>
      <c r="U186" s="285" t="s">
        <v>1170</v>
      </c>
      <c r="V186" s="281" t="s">
        <v>203</v>
      </c>
      <c r="W186" s="285" t="s">
        <v>1171</v>
      </c>
    </row>
    <row r="187" spans="1:23" s="275" customFormat="1" x14ac:dyDescent="0.25">
      <c r="A187" s="284" t="s">
        <v>1182</v>
      </c>
      <c r="B187" s="284"/>
      <c r="C187" s="279">
        <f>((D187*G187)+(K187*H187)+(O187*L187)+(S187*P187)+(W187*T187))</f>
        <v>1542</v>
      </c>
      <c r="D187" s="282">
        <v>4</v>
      </c>
      <c r="E187" s="283">
        <v>411</v>
      </c>
      <c r="F187" s="59" t="str">
        <f t="shared" ref="F187" si="73">VLOOKUP(E187,LISTAITEMS,2,FALSE)</f>
        <v>Raw Rabbit</v>
      </c>
      <c r="G187" s="280">
        <f>VLOOKUP(E187,LISTAITEMS,5,FALSE)</f>
        <v>385.5</v>
      </c>
      <c r="H187" s="282">
        <v>0</v>
      </c>
      <c r="I187" s="283" t="s">
        <v>926</v>
      </c>
      <c r="J187" s="59" t="str">
        <f t="shared" ref="J187" si="74">VLOOKUP(I187,LISTAITEMS,2,FALSE)</f>
        <v>ninguno</v>
      </c>
      <c r="K187" s="280">
        <f>VLOOKUP(I187,LISTAITEMS,5,FALSE)</f>
        <v>0</v>
      </c>
      <c r="L187" s="282">
        <v>0</v>
      </c>
      <c r="M187" s="283" t="s">
        <v>926</v>
      </c>
      <c r="N187" s="59" t="str">
        <f t="shared" ref="N187" si="75">VLOOKUP(M187,LISTAITEMS,2,FALSE)</f>
        <v>ninguno</v>
      </c>
      <c r="O187" s="280">
        <f>VLOOKUP(M187,LISTAITEMS,5,FALSE)</f>
        <v>0</v>
      </c>
      <c r="P187" s="282">
        <v>0</v>
      </c>
      <c r="Q187" s="283" t="s">
        <v>926</v>
      </c>
      <c r="R187" s="59" t="str">
        <f t="shared" ref="R187" si="76">VLOOKUP(Q187,LISTAITEMS,2,FALSE)</f>
        <v>ninguno</v>
      </c>
      <c r="S187" s="280">
        <f>VLOOKUP(Q187,LISTAITEMS,5,FALSE)</f>
        <v>0</v>
      </c>
      <c r="T187" s="282">
        <v>0</v>
      </c>
      <c r="U187" s="283" t="s">
        <v>926</v>
      </c>
      <c r="V187" s="59" t="str">
        <f t="shared" ref="V187" si="77">VLOOKUP(U187,LISTAITEMS,2,FALSE)</f>
        <v>ninguno</v>
      </c>
      <c r="W187" s="280">
        <f>VLOOKUP(U187,LISTAITEMS,5,FALSE)</f>
        <v>0</v>
      </c>
    </row>
    <row r="188" spans="1:23" s="275" customFormat="1" x14ac:dyDescent="0.25">
      <c r="A188" s="286"/>
      <c r="B188" s="286" t="s">
        <v>1015</v>
      </c>
      <c r="C188" s="286"/>
      <c r="D188" s="286"/>
      <c r="E188" s="286"/>
      <c r="F188" s="286"/>
      <c r="G188" s="286"/>
      <c r="H188" s="286"/>
      <c r="I188" s="286"/>
      <c r="J188" s="286"/>
      <c r="K188" s="286"/>
      <c r="L188" s="286"/>
      <c r="M188" s="286"/>
      <c r="N188" s="286"/>
      <c r="O188" s="286"/>
      <c r="P188" s="286"/>
      <c r="Q188" s="286"/>
      <c r="R188" s="286"/>
      <c r="S188" s="286"/>
      <c r="T188" s="286"/>
      <c r="U188" s="286"/>
      <c r="V188" s="286"/>
      <c r="W188" s="286"/>
    </row>
    <row r="189" spans="1:23" s="275" customFormat="1" x14ac:dyDescent="0.25">
      <c r="A189" s="278"/>
      <c r="B189" s="278" t="s">
        <v>203</v>
      </c>
      <c r="C189" s="281" t="s">
        <v>202</v>
      </c>
      <c r="D189" s="285" t="s">
        <v>149</v>
      </c>
      <c r="E189" s="285" t="s">
        <v>1166</v>
      </c>
      <c r="F189" s="281" t="s">
        <v>203</v>
      </c>
      <c r="G189" s="285" t="s">
        <v>1171</v>
      </c>
      <c r="H189" s="285" t="s">
        <v>149</v>
      </c>
      <c r="I189" s="285" t="s">
        <v>1167</v>
      </c>
      <c r="J189" s="281" t="s">
        <v>203</v>
      </c>
      <c r="K189" s="285" t="s">
        <v>1171</v>
      </c>
      <c r="L189" s="285" t="s">
        <v>149</v>
      </c>
      <c r="M189" s="285" t="s">
        <v>1168</v>
      </c>
      <c r="N189" s="281" t="s">
        <v>203</v>
      </c>
      <c r="O189" s="285" t="s">
        <v>1171</v>
      </c>
      <c r="P189" s="285" t="s">
        <v>149</v>
      </c>
      <c r="Q189" s="285" t="s">
        <v>1169</v>
      </c>
      <c r="R189" s="281" t="s">
        <v>203</v>
      </c>
      <c r="S189" s="285" t="s">
        <v>1171</v>
      </c>
      <c r="T189" s="285" t="s">
        <v>149</v>
      </c>
      <c r="U189" s="285" t="s">
        <v>1170</v>
      </c>
      <c r="V189" s="281" t="s">
        <v>203</v>
      </c>
      <c r="W189" s="285" t="s">
        <v>1171</v>
      </c>
    </row>
    <row r="190" spans="1:23" s="275" customFormat="1" x14ac:dyDescent="0.25">
      <c r="A190" s="284" t="s">
        <v>1183</v>
      </c>
      <c r="B190" s="284"/>
      <c r="C190" s="279">
        <f>((D190*G190)+(K190*H190)+(O190*L190)+(S190*P190)+(W190*T190))</f>
        <v>1884</v>
      </c>
      <c r="D190" s="282">
        <v>4</v>
      </c>
      <c r="E190" s="283">
        <v>423</v>
      </c>
      <c r="F190" s="59" t="str">
        <f t="shared" ref="F190" si="78">VLOOKUP(E190,LISTAITEMS,2,FALSE)</f>
        <v>Raw Mutton</v>
      </c>
      <c r="G190" s="280">
        <f>VLOOKUP(E190,LISTAITEMS,5,FALSE)</f>
        <v>471</v>
      </c>
      <c r="H190" s="282">
        <v>0</v>
      </c>
      <c r="I190" s="283" t="s">
        <v>926</v>
      </c>
      <c r="J190" s="59" t="str">
        <f t="shared" ref="J190" si="79">VLOOKUP(I190,LISTAITEMS,2,FALSE)</f>
        <v>ninguno</v>
      </c>
      <c r="K190" s="280">
        <f>VLOOKUP(I190,LISTAITEMS,5,FALSE)</f>
        <v>0</v>
      </c>
      <c r="L190" s="282">
        <v>0</v>
      </c>
      <c r="M190" s="283" t="s">
        <v>926</v>
      </c>
      <c r="N190" s="59" t="str">
        <f t="shared" ref="N190" si="80">VLOOKUP(M190,LISTAITEMS,2,FALSE)</f>
        <v>ninguno</v>
      </c>
      <c r="O190" s="280">
        <f>VLOOKUP(M190,LISTAITEMS,5,FALSE)</f>
        <v>0</v>
      </c>
      <c r="P190" s="282">
        <v>0</v>
      </c>
      <c r="Q190" s="283" t="s">
        <v>926</v>
      </c>
      <c r="R190" s="59" t="str">
        <f t="shared" ref="R190" si="81">VLOOKUP(Q190,LISTAITEMS,2,FALSE)</f>
        <v>ninguno</v>
      </c>
      <c r="S190" s="280">
        <f>VLOOKUP(Q190,LISTAITEMS,5,FALSE)</f>
        <v>0</v>
      </c>
      <c r="T190" s="282">
        <v>0</v>
      </c>
      <c r="U190" s="283" t="s">
        <v>926</v>
      </c>
      <c r="V190" s="59" t="str">
        <f t="shared" ref="V190" si="82">VLOOKUP(U190,LISTAITEMS,2,FALSE)</f>
        <v>ninguno</v>
      </c>
      <c r="W190" s="280">
        <f>VLOOKUP(U190,LISTAITEMS,5,FALSE)</f>
        <v>0</v>
      </c>
    </row>
    <row r="191" spans="1:23" x14ac:dyDescent="0.25">
      <c r="A191" s="277"/>
      <c r="B191" s="277" t="s">
        <v>1124</v>
      </c>
      <c r="C191" s="277"/>
      <c r="D191" s="277"/>
      <c r="E191" s="277"/>
      <c r="F191" s="277"/>
      <c r="G191" s="277"/>
      <c r="H191" s="277"/>
      <c r="I191" s="277"/>
      <c r="J191" s="277"/>
      <c r="K191" s="277"/>
      <c r="L191" s="277"/>
      <c r="M191" s="277"/>
      <c r="N191" s="277"/>
      <c r="O191" s="277"/>
      <c r="P191" s="277"/>
      <c r="Q191" s="277"/>
      <c r="R191" s="277"/>
      <c r="S191" s="277"/>
      <c r="T191" s="277"/>
      <c r="U191" s="277"/>
      <c r="V191" s="277"/>
      <c r="W191" s="277"/>
    </row>
    <row r="192" spans="1:23" x14ac:dyDescent="0.25">
      <c r="A192" s="277"/>
      <c r="B192" s="277"/>
      <c r="C192" s="277"/>
      <c r="D192" s="277"/>
      <c r="E192" s="277"/>
      <c r="F192" s="277"/>
      <c r="G192" s="277"/>
      <c r="H192" s="277"/>
      <c r="I192" s="277"/>
      <c r="J192" s="277"/>
      <c r="K192" s="277"/>
      <c r="L192" s="277"/>
      <c r="M192" s="277"/>
      <c r="N192" s="277"/>
      <c r="O192" s="277"/>
      <c r="P192" s="277"/>
      <c r="Q192" s="277"/>
      <c r="R192" s="277"/>
      <c r="S192" s="277"/>
      <c r="T192" s="277"/>
      <c r="U192" s="277"/>
      <c r="V192" s="277"/>
      <c r="W192" s="277"/>
    </row>
    <row r="193" spans="1:23" x14ac:dyDescent="0.25">
      <c r="A193" s="286"/>
      <c r="B193" s="286" t="s">
        <v>1010</v>
      </c>
      <c r="C193" s="286"/>
      <c r="D193" s="286"/>
      <c r="E193" s="286"/>
      <c r="F193" s="286"/>
      <c r="G193" s="286"/>
      <c r="H193" s="286"/>
      <c r="I193" s="286"/>
      <c r="J193" s="286"/>
      <c r="K193" s="286"/>
      <c r="L193" s="286"/>
      <c r="M193" s="286"/>
      <c r="N193" s="286"/>
      <c r="O193" s="286"/>
      <c r="P193" s="286"/>
      <c r="Q193" s="286"/>
      <c r="R193" s="286"/>
      <c r="S193" s="286"/>
      <c r="T193" s="286"/>
      <c r="U193" s="286"/>
      <c r="V193" s="286"/>
      <c r="W193" s="286"/>
    </row>
    <row r="194" spans="1:23" x14ac:dyDescent="0.25">
      <c r="A194" s="278"/>
      <c r="B194" s="278" t="s">
        <v>203</v>
      </c>
      <c r="C194" s="281" t="s">
        <v>202</v>
      </c>
      <c r="D194" s="285" t="s">
        <v>149</v>
      </c>
      <c r="E194" s="285" t="s">
        <v>1166</v>
      </c>
      <c r="F194" s="281" t="s">
        <v>203</v>
      </c>
      <c r="G194" s="285" t="s">
        <v>1171</v>
      </c>
      <c r="H194" s="285" t="s">
        <v>149</v>
      </c>
      <c r="I194" s="285" t="s">
        <v>1167</v>
      </c>
      <c r="J194" s="281" t="s">
        <v>203</v>
      </c>
      <c r="K194" s="285" t="s">
        <v>1171</v>
      </c>
      <c r="L194" s="285" t="s">
        <v>149</v>
      </c>
      <c r="M194" s="285" t="s">
        <v>1168</v>
      </c>
      <c r="N194" s="281" t="s">
        <v>203</v>
      </c>
      <c r="O194" s="285" t="s">
        <v>1171</v>
      </c>
      <c r="P194" s="285" t="s">
        <v>149</v>
      </c>
      <c r="Q194" s="285" t="s">
        <v>1169</v>
      </c>
      <c r="R194" s="281" t="s">
        <v>203</v>
      </c>
      <c r="S194" s="285" t="s">
        <v>1171</v>
      </c>
      <c r="T194" s="285" t="s">
        <v>149</v>
      </c>
      <c r="U194" s="285" t="s">
        <v>1170</v>
      </c>
      <c r="V194" s="281" t="s">
        <v>203</v>
      </c>
      <c r="W194" s="285" t="s">
        <v>1171</v>
      </c>
    </row>
    <row r="195" spans="1:23" x14ac:dyDescent="0.25">
      <c r="A195" s="284" t="s">
        <v>1189</v>
      </c>
      <c r="B195" s="284"/>
      <c r="C195" s="279">
        <f>((D195*G195)+(K195*H195)+(O195*L195)+(S195*P195)+(W195*T195))</f>
        <v>385.5</v>
      </c>
      <c r="D195" s="282">
        <v>1</v>
      </c>
      <c r="E195" s="283">
        <v>415</v>
      </c>
      <c r="F195" s="59" t="str">
        <f t="shared" ref="F195" si="83">VLOOKUP(E195,LISTAITEMS,2,FALSE)</f>
        <v>Rabbit Hide</v>
      </c>
      <c r="G195" s="280">
        <f>VLOOKUP(E195,LISTAITEMS,5,FALSE)</f>
        <v>385.5</v>
      </c>
      <c r="H195" s="282">
        <v>0</v>
      </c>
      <c r="I195" s="283" t="s">
        <v>926</v>
      </c>
      <c r="J195" s="59" t="str">
        <f t="shared" ref="J195" si="84">VLOOKUP(I195,LISTAITEMS,2,FALSE)</f>
        <v>ninguno</v>
      </c>
      <c r="K195" s="280">
        <f>VLOOKUP(I195,LISTAITEMS,5,FALSE)</f>
        <v>0</v>
      </c>
      <c r="L195" s="282">
        <v>0</v>
      </c>
      <c r="M195" s="283" t="s">
        <v>926</v>
      </c>
      <c r="N195" s="59" t="str">
        <f t="shared" ref="N195" si="85">VLOOKUP(M195,LISTAITEMS,2,FALSE)</f>
        <v>ninguno</v>
      </c>
      <c r="O195" s="280">
        <f>VLOOKUP(M195,LISTAITEMS,5,FALSE)</f>
        <v>0</v>
      </c>
      <c r="P195" s="282">
        <v>0</v>
      </c>
      <c r="Q195" s="283" t="s">
        <v>926</v>
      </c>
      <c r="R195" s="59" t="str">
        <f t="shared" ref="R195" si="86">VLOOKUP(Q195,LISTAITEMS,2,FALSE)</f>
        <v>ninguno</v>
      </c>
      <c r="S195" s="280">
        <f>VLOOKUP(Q195,LISTAITEMS,5,FALSE)</f>
        <v>0</v>
      </c>
      <c r="T195" s="282">
        <v>0</v>
      </c>
      <c r="U195" s="283" t="s">
        <v>926</v>
      </c>
      <c r="V195" s="59" t="str">
        <f t="shared" ref="V195" si="87">VLOOKUP(U195,LISTAITEMS,2,FALSE)</f>
        <v>ninguno</v>
      </c>
      <c r="W195" s="280">
        <f>VLOOKUP(U195,LISTAITEMS,5,FALSE)</f>
        <v>0</v>
      </c>
    </row>
    <row r="196" spans="1:23" s="275" customFormat="1" x14ac:dyDescent="0.25">
      <c r="A196" s="284" t="s">
        <v>1192</v>
      </c>
      <c r="B196" s="284"/>
      <c r="C196" s="279">
        <f>((D196*G196)+(K196*H196)+(O196*L196)+(S196*P196)+(W196*T196))</f>
        <v>1850.3999999999999</v>
      </c>
      <c r="D196" s="282">
        <v>1</v>
      </c>
      <c r="E196" s="283">
        <v>334</v>
      </c>
      <c r="F196" s="59" t="str">
        <f t="shared" ref="F196" si="88">VLOOKUP(E196,LISTAITEMS,2,FALSE)</f>
        <v>Leather</v>
      </c>
      <c r="G196" s="280">
        <f>VLOOKUP(E196,LISTAITEMS,5,FALSE)</f>
        <v>1850.3999999999999</v>
      </c>
      <c r="H196" s="282">
        <v>0</v>
      </c>
      <c r="I196" s="283" t="s">
        <v>926</v>
      </c>
      <c r="J196" s="59" t="str">
        <f t="shared" ref="J196" si="89">VLOOKUP(I196,LISTAITEMS,2,FALSE)</f>
        <v>ninguno</v>
      </c>
      <c r="K196" s="280">
        <f>VLOOKUP(I196,LISTAITEMS,5,FALSE)</f>
        <v>0</v>
      </c>
      <c r="L196" s="282">
        <v>0</v>
      </c>
      <c r="M196" s="283" t="s">
        <v>926</v>
      </c>
      <c r="N196" s="59" t="str">
        <f t="shared" ref="N196" si="90">VLOOKUP(M196,LISTAITEMS,2,FALSE)</f>
        <v>ninguno</v>
      </c>
      <c r="O196" s="280">
        <f>VLOOKUP(M196,LISTAITEMS,5,FALSE)</f>
        <v>0</v>
      </c>
      <c r="P196" s="282">
        <v>0</v>
      </c>
      <c r="Q196" s="283" t="s">
        <v>926</v>
      </c>
      <c r="R196" s="59" t="str">
        <f t="shared" ref="R196" si="91">VLOOKUP(Q196,LISTAITEMS,2,FALSE)</f>
        <v>ninguno</v>
      </c>
      <c r="S196" s="280">
        <f>VLOOKUP(Q196,LISTAITEMS,5,FALSE)</f>
        <v>0</v>
      </c>
      <c r="T196" s="282">
        <v>0</v>
      </c>
      <c r="U196" s="283" t="s">
        <v>926</v>
      </c>
      <c r="V196" s="59" t="str">
        <f t="shared" ref="V196" si="92">VLOOKUP(U196,LISTAITEMS,2,FALSE)</f>
        <v>ninguno</v>
      </c>
      <c r="W196" s="280">
        <f>VLOOKUP(U196,LISTAITEMS,5,FALSE)</f>
        <v>0</v>
      </c>
    </row>
    <row r="204" spans="1:23" x14ac:dyDescent="0.25">
      <c r="A204" s="277" t="s">
        <v>1127</v>
      </c>
      <c r="B204" s="277"/>
      <c r="C204" s="277"/>
      <c r="D204" s="277"/>
      <c r="E204" s="277"/>
      <c r="F204" s="277"/>
      <c r="G204" s="277"/>
      <c r="H204" s="277"/>
      <c r="I204" s="277"/>
      <c r="J204" s="277"/>
      <c r="K204" s="277"/>
      <c r="L204" s="277"/>
      <c r="M204" s="277"/>
      <c r="N204" s="277"/>
      <c r="O204" s="277"/>
      <c r="P204" s="277"/>
      <c r="Q204" s="277"/>
      <c r="R204" s="277"/>
      <c r="S204" s="277"/>
      <c r="T204" s="277"/>
      <c r="U204" s="277"/>
      <c r="V204" s="277"/>
      <c r="W204" s="277"/>
    </row>
    <row r="205" spans="1:23" x14ac:dyDescent="0.25">
      <c r="A205" s="277"/>
      <c r="B205" s="277"/>
      <c r="C205" s="277"/>
      <c r="D205" s="277"/>
      <c r="E205" s="277"/>
      <c r="F205" s="277"/>
      <c r="G205" s="277"/>
      <c r="H205" s="277"/>
      <c r="I205" s="277"/>
      <c r="J205" s="277"/>
      <c r="K205" s="277"/>
      <c r="L205" s="277"/>
      <c r="M205" s="277"/>
      <c r="N205" s="277"/>
      <c r="O205" s="277"/>
      <c r="P205" s="277"/>
      <c r="Q205" s="277"/>
      <c r="R205" s="277"/>
      <c r="S205" s="277"/>
      <c r="T205" s="277"/>
      <c r="U205" s="277"/>
      <c r="V205" s="277"/>
      <c r="W205" s="277"/>
    </row>
    <row r="206" spans="1:23" x14ac:dyDescent="0.25">
      <c r="A206" s="286"/>
      <c r="B206" s="286" t="s">
        <v>1010</v>
      </c>
      <c r="C206" s="286"/>
      <c r="D206" s="286"/>
      <c r="E206" s="286"/>
      <c r="F206" s="286"/>
      <c r="G206" s="286"/>
      <c r="H206" s="286"/>
      <c r="I206" s="286"/>
      <c r="J206" s="286"/>
      <c r="K206" s="286"/>
      <c r="L206" s="286"/>
      <c r="M206" s="286"/>
      <c r="N206" s="286"/>
      <c r="O206" s="286"/>
      <c r="P206" s="286"/>
      <c r="Q206" s="286"/>
      <c r="R206" s="286"/>
      <c r="S206" s="286"/>
      <c r="T206" s="286"/>
      <c r="U206" s="286"/>
      <c r="V206" s="286"/>
      <c r="W206" s="286"/>
    </row>
    <row r="207" spans="1:23" x14ac:dyDescent="0.25">
      <c r="A207" s="278"/>
      <c r="B207" s="278" t="s">
        <v>203</v>
      </c>
      <c r="C207" s="281" t="s">
        <v>202</v>
      </c>
      <c r="D207" s="285" t="s">
        <v>149</v>
      </c>
      <c r="E207" s="285" t="s">
        <v>1166</v>
      </c>
      <c r="F207" s="281" t="s">
        <v>203</v>
      </c>
      <c r="G207" s="285" t="s">
        <v>1171</v>
      </c>
      <c r="H207" s="285" t="s">
        <v>149</v>
      </c>
      <c r="I207" s="285" t="s">
        <v>1167</v>
      </c>
      <c r="J207" s="281" t="s">
        <v>203</v>
      </c>
      <c r="K207" s="285" t="s">
        <v>1171</v>
      </c>
      <c r="L207" s="285" t="s">
        <v>149</v>
      </c>
      <c r="M207" s="285" t="s">
        <v>1168</v>
      </c>
      <c r="N207" s="281" t="s">
        <v>203</v>
      </c>
      <c r="O207" s="285" t="s">
        <v>1171</v>
      </c>
      <c r="P207" s="285" t="s">
        <v>149</v>
      </c>
      <c r="Q207" s="285" t="s">
        <v>1169</v>
      </c>
      <c r="R207" s="281" t="s">
        <v>203</v>
      </c>
      <c r="S207" s="285" t="s">
        <v>1171</v>
      </c>
      <c r="T207" s="285" t="s">
        <v>149</v>
      </c>
      <c r="U207" s="285" t="s">
        <v>1170</v>
      </c>
      <c r="V207" s="281" t="s">
        <v>203</v>
      </c>
      <c r="W207" s="285" t="s">
        <v>1171</v>
      </c>
    </row>
    <row r="208" spans="1:23" x14ac:dyDescent="0.25">
      <c r="A208" s="284" t="s">
        <v>1165</v>
      </c>
      <c r="B208" s="284"/>
      <c r="C208" s="279">
        <f>((D208*G208)+(K208*H208)+(O208*L208)+(S208*P208)+(W208*T208))</f>
        <v>0</v>
      </c>
      <c r="D208" s="282">
        <v>0</v>
      </c>
      <c r="E208" s="283" t="s">
        <v>926</v>
      </c>
      <c r="F208" s="59" t="str">
        <f t="shared" ref="F208" si="93">VLOOKUP(E208,LISTAITEMS,2,FALSE)</f>
        <v>ninguno</v>
      </c>
      <c r="G208" s="280">
        <f>VLOOKUP(E208,LISTAITEMS,5,FALSE)</f>
        <v>0</v>
      </c>
      <c r="H208" s="282">
        <v>0</v>
      </c>
      <c r="I208" s="283" t="s">
        <v>926</v>
      </c>
      <c r="J208" s="59" t="str">
        <f t="shared" ref="J208" si="94">VLOOKUP(I208,LISTAITEMS,2,FALSE)</f>
        <v>ninguno</v>
      </c>
      <c r="K208" s="280">
        <f>VLOOKUP(I208,LISTAITEMS,5,FALSE)</f>
        <v>0</v>
      </c>
      <c r="L208" s="282">
        <v>0</v>
      </c>
      <c r="M208" s="283" t="s">
        <v>926</v>
      </c>
      <c r="N208" s="59" t="str">
        <f t="shared" ref="N208" si="95">VLOOKUP(M208,LISTAITEMS,2,FALSE)</f>
        <v>ninguno</v>
      </c>
      <c r="O208" s="280">
        <f>VLOOKUP(M208,LISTAITEMS,5,FALSE)</f>
        <v>0</v>
      </c>
      <c r="P208" s="282">
        <v>0</v>
      </c>
      <c r="Q208" s="283" t="s">
        <v>926</v>
      </c>
      <c r="R208" s="59" t="str">
        <f t="shared" ref="R208" si="96">VLOOKUP(Q208,LISTAITEMS,2,FALSE)</f>
        <v>ninguno</v>
      </c>
      <c r="S208" s="280">
        <f>VLOOKUP(Q208,LISTAITEMS,5,FALSE)</f>
        <v>0</v>
      </c>
      <c r="T208" s="282">
        <v>0</v>
      </c>
      <c r="U208" s="283" t="s">
        <v>926</v>
      </c>
      <c r="V208" s="59" t="str">
        <f t="shared" ref="V208" si="97">VLOOKUP(U208,LISTAITEMS,2,FALSE)</f>
        <v>ninguno</v>
      </c>
      <c r="W208" s="280">
        <f>VLOOKUP(U208,LISTAITEMS,5,FALSE)</f>
        <v>0</v>
      </c>
    </row>
    <row r="214" spans="1:23" x14ac:dyDescent="0.25">
      <c r="A214" s="277" t="s">
        <v>1151</v>
      </c>
      <c r="B214" s="277"/>
      <c r="C214" s="277"/>
      <c r="D214" s="277"/>
      <c r="E214" s="277"/>
      <c r="F214" s="277"/>
      <c r="G214" s="277"/>
      <c r="H214" s="277"/>
      <c r="I214" s="277"/>
      <c r="J214" s="277"/>
      <c r="K214" s="277"/>
      <c r="L214" s="277"/>
      <c r="M214" s="277"/>
      <c r="N214" s="277"/>
      <c r="O214" s="277"/>
      <c r="P214" s="277"/>
      <c r="Q214" s="277"/>
      <c r="R214" s="277"/>
      <c r="S214" s="277"/>
      <c r="T214" s="277"/>
      <c r="U214" s="277"/>
      <c r="V214" s="277"/>
      <c r="W214" s="277"/>
    </row>
    <row r="215" spans="1:23" x14ac:dyDescent="0.25">
      <c r="A215" s="277"/>
      <c r="B215" s="277"/>
      <c r="C215" s="277"/>
      <c r="D215" s="277"/>
      <c r="E215" s="277"/>
      <c r="F215" s="277"/>
      <c r="G215" s="277"/>
      <c r="H215" s="277"/>
      <c r="I215" s="277"/>
      <c r="J215" s="277"/>
      <c r="K215" s="277"/>
      <c r="L215" s="277"/>
      <c r="M215" s="277"/>
      <c r="N215" s="277"/>
      <c r="O215" s="277"/>
      <c r="P215" s="277"/>
      <c r="Q215" s="277"/>
      <c r="R215" s="277"/>
      <c r="S215" s="277"/>
      <c r="T215" s="277"/>
      <c r="U215" s="277"/>
      <c r="V215" s="277"/>
      <c r="W215" s="277"/>
    </row>
    <row r="216" spans="1:23" x14ac:dyDescent="0.25">
      <c r="A216" s="286"/>
      <c r="B216" s="286" t="s">
        <v>1010</v>
      </c>
      <c r="C216" s="286"/>
      <c r="D216" s="286"/>
      <c r="E216" s="286"/>
      <c r="F216" s="286"/>
      <c r="G216" s="286"/>
      <c r="H216" s="286"/>
      <c r="I216" s="286"/>
      <c r="J216" s="286"/>
      <c r="K216" s="286"/>
      <c r="L216" s="286"/>
      <c r="M216" s="286"/>
      <c r="N216" s="286"/>
      <c r="O216" s="286"/>
      <c r="P216" s="286"/>
      <c r="Q216" s="286"/>
      <c r="R216" s="286"/>
      <c r="S216" s="286"/>
      <c r="T216" s="286"/>
      <c r="U216" s="286"/>
      <c r="V216" s="286"/>
      <c r="W216" s="286"/>
    </row>
    <row r="217" spans="1:23" x14ac:dyDescent="0.25">
      <c r="A217" s="278"/>
      <c r="B217" s="278" t="s">
        <v>203</v>
      </c>
      <c r="C217" s="281" t="s">
        <v>202</v>
      </c>
      <c r="D217" s="285" t="s">
        <v>149</v>
      </c>
      <c r="E217" s="285" t="s">
        <v>1166</v>
      </c>
      <c r="F217" s="281" t="s">
        <v>203</v>
      </c>
      <c r="G217" s="285" t="s">
        <v>1171</v>
      </c>
      <c r="H217" s="285" t="s">
        <v>149</v>
      </c>
      <c r="I217" s="285" t="s">
        <v>1167</v>
      </c>
      <c r="J217" s="281" t="s">
        <v>203</v>
      </c>
      <c r="K217" s="285" t="s">
        <v>1171</v>
      </c>
      <c r="L217" s="285" t="s">
        <v>149</v>
      </c>
      <c r="M217" s="285" t="s">
        <v>1168</v>
      </c>
      <c r="N217" s="281" t="s">
        <v>203</v>
      </c>
      <c r="O217" s="285" t="s">
        <v>1171</v>
      </c>
      <c r="P217" s="285" t="s">
        <v>149</v>
      </c>
      <c r="Q217" s="285" t="s">
        <v>1169</v>
      </c>
      <c r="R217" s="281" t="s">
        <v>203</v>
      </c>
      <c r="S217" s="285" t="s">
        <v>1171</v>
      </c>
      <c r="T217" s="285" t="s">
        <v>149</v>
      </c>
      <c r="U217" s="285" t="s">
        <v>1170</v>
      </c>
      <c r="V217" s="281" t="s">
        <v>203</v>
      </c>
      <c r="W217" s="285" t="s">
        <v>1171</v>
      </c>
    </row>
    <row r="218" spans="1:23" x14ac:dyDescent="0.25">
      <c r="A218" s="284" t="s">
        <v>1165</v>
      </c>
      <c r="B218" s="284"/>
      <c r="C218" s="279">
        <f>((D218*G218)+(K218*H218)+(O218*L218)+(S218*P218)+(W218*T218))</f>
        <v>0</v>
      </c>
      <c r="D218" s="282">
        <v>0</v>
      </c>
      <c r="E218" s="283" t="s">
        <v>926</v>
      </c>
      <c r="F218" s="59" t="str">
        <f t="shared" ref="F218" si="98">VLOOKUP(E218,LISTAITEMS,2,FALSE)</f>
        <v>ninguno</v>
      </c>
      <c r="G218" s="280">
        <f>VLOOKUP(E218,LISTAITEMS,5,FALSE)</f>
        <v>0</v>
      </c>
      <c r="H218" s="282">
        <v>0</v>
      </c>
      <c r="I218" s="283" t="s">
        <v>926</v>
      </c>
      <c r="J218" s="59" t="str">
        <f t="shared" ref="J218" si="99">VLOOKUP(I218,LISTAITEMS,2,FALSE)</f>
        <v>ninguno</v>
      </c>
      <c r="K218" s="280">
        <f>VLOOKUP(I218,LISTAITEMS,5,FALSE)</f>
        <v>0</v>
      </c>
      <c r="L218" s="282">
        <v>0</v>
      </c>
      <c r="M218" s="283" t="s">
        <v>926</v>
      </c>
      <c r="N218" s="59" t="str">
        <f t="shared" ref="N218" si="100">VLOOKUP(M218,LISTAITEMS,2,FALSE)</f>
        <v>ninguno</v>
      </c>
      <c r="O218" s="280">
        <f>VLOOKUP(M218,LISTAITEMS,5,FALSE)</f>
        <v>0</v>
      </c>
      <c r="P218" s="282">
        <v>0</v>
      </c>
      <c r="Q218" s="283" t="s">
        <v>926</v>
      </c>
      <c r="R218" s="59" t="str">
        <f t="shared" ref="R218" si="101">VLOOKUP(Q218,LISTAITEMS,2,FALSE)</f>
        <v>ninguno</v>
      </c>
      <c r="S218" s="280">
        <f>VLOOKUP(Q218,LISTAITEMS,5,FALSE)</f>
        <v>0</v>
      </c>
      <c r="T218" s="282">
        <v>0</v>
      </c>
      <c r="U218" s="283" t="s">
        <v>926</v>
      </c>
      <c r="V218" s="59" t="str">
        <f t="shared" ref="V218" si="102">VLOOKUP(U218,LISTAITEMS,2,FALSE)</f>
        <v>ninguno</v>
      </c>
      <c r="W218" s="280">
        <f>VLOOKUP(U218,LISTAITEMS,5,FALSE)</f>
        <v>0</v>
      </c>
    </row>
    <row r="225" spans="1:23" x14ac:dyDescent="0.25">
      <c r="A225" s="277" t="s">
        <v>1159</v>
      </c>
      <c r="B225" s="277"/>
      <c r="C225" s="277"/>
      <c r="D225" s="277"/>
      <c r="E225" s="277"/>
      <c r="F225" s="277"/>
      <c r="G225" s="277"/>
      <c r="H225" s="277"/>
      <c r="I225" s="277"/>
      <c r="J225" s="277"/>
      <c r="K225" s="277"/>
      <c r="L225" s="277"/>
      <c r="M225" s="277"/>
      <c r="N225" s="277"/>
      <c r="O225" s="277"/>
      <c r="P225" s="277"/>
      <c r="Q225" s="277"/>
      <c r="R225" s="277"/>
      <c r="S225" s="277"/>
      <c r="T225" s="277"/>
      <c r="U225" s="277"/>
      <c r="V225" s="277"/>
      <c r="W225" s="277"/>
    </row>
    <row r="226" spans="1:23" x14ac:dyDescent="0.25">
      <c r="A226" s="277"/>
      <c r="B226" s="277"/>
      <c r="C226" s="277"/>
      <c r="D226" s="277"/>
      <c r="E226" s="277"/>
      <c r="F226" s="277"/>
      <c r="G226" s="277"/>
      <c r="H226" s="277"/>
      <c r="I226" s="277"/>
      <c r="J226" s="277"/>
      <c r="K226" s="277"/>
      <c r="L226" s="277"/>
      <c r="M226" s="277"/>
      <c r="N226" s="277"/>
      <c r="O226" s="277"/>
      <c r="P226" s="277"/>
      <c r="Q226" s="277"/>
      <c r="R226" s="277"/>
      <c r="S226" s="277"/>
      <c r="T226" s="277"/>
      <c r="U226" s="277"/>
      <c r="V226" s="277"/>
      <c r="W226" s="277"/>
    </row>
    <row r="227" spans="1:23" x14ac:dyDescent="0.25">
      <c r="A227" s="286"/>
      <c r="B227" s="286" t="s">
        <v>1010</v>
      </c>
      <c r="C227" s="286"/>
      <c r="D227" s="286"/>
      <c r="E227" s="286"/>
      <c r="F227" s="286"/>
      <c r="G227" s="286"/>
      <c r="H227" s="286"/>
      <c r="I227" s="286"/>
      <c r="J227" s="286"/>
      <c r="K227" s="286"/>
      <c r="L227" s="286"/>
      <c r="M227" s="286"/>
      <c r="N227" s="286"/>
      <c r="O227" s="286"/>
      <c r="P227" s="286"/>
      <c r="Q227" s="286"/>
      <c r="R227" s="286"/>
      <c r="S227" s="286"/>
      <c r="T227" s="286"/>
      <c r="U227" s="286"/>
      <c r="V227" s="286"/>
      <c r="W227" s="286"/>
    </row>
    <row r="228" spans="1:23" x14ac:dyDescent="0.25">
      <c r="A228" s="278"/>
      <c r="B228" s="278" t="s">
        <v>203</v>
      </c>
      <c r="C228" s="281" t="s">
        <v>202</v>
      </c>
      <c r="D228" s="285" t="s">
        <v>149</v>
      </c>
      <c r="E228" s="285" t="s">
        <v>1166</v>
      </c>
      <c r="F228" s="281" t="s">
        <v>203</v>
      </c>
      <c r="G228" s="285" t="s">
        <v>1171</v>
      </c>
      <c r="H228" s="285" t="s">
        <v>149</v>
      </c>
      <c r="I228" s="285" t="s">
        <v>1167</v>
      </c>
      <c r="J228" s="281" t="s">
        <v>203</v>
      </c>
      <c r="K228" s="285" t="s">
        <v>1171</v>
      </c>
      <c r="L228" s="285" t="s">
        <v>149</v>
      </c>
      <c r="M228" s="285" t="s">
        <v>1168</v>
      </c>
      <c r="N228" s="281" t="s">
        <v>203</v>
      </c>
      <c r="O228" s="285" t="s">
        <v>1171</v>
      </c>
      <c r="P228" s="285" t="s">
        <v>149</v>
      </c>
      <c r="Q228" s="285" t="s">
        <v>1169</v>
      </c>
      <c r="R228" s="281" t="s">
        <v>203</v>
      </c>
      <c r="S228" s="285" t="s">
        <v>1171</v>
      </c>
      <c r="T228" s="285" t="s">
        <v>149</v>
      </c>
      <c r="U228" s="285" t="s">
        <v>1170</v>
      </c>
      <c r="V228" s="281" t="s">
        <v>203</v>
      </c>
      <c r="W228" s="285" t="s">
        <v>1171</v>
      </c>
    </row>
    <row r="229" spans="1:23" x14ac:dyDescent="0.25">
      <c r="A229" s="284" t="s">
        <v>1165</v>
      </c>
      <c r="B229" s="284"/>
      <c r="C229" s="279">
        <f>((D229*G229)+(K229*H229)+(O229*L229)+(S229*P229)+(W229*T229))</f>
        <v>0</v>
      </c>
      <c r="D229" s="282">
        <v>0</v>
      </c>
      <c r="E229" s="283" t="s">
        <v>926</v>
      </c>
      <c r="F229" s="59" t="str">
        <f t="shared" ref="F229" si="103">VLOOKUP(E229,LISTAITEMS,2,FALSE)</f>
        <v>ninguno</v>
      </c>
      <c r="G229" s="280">
        <f>VLOOKUP(E229,LISTAITEMS,5,FALSE)</f>
        <v>0</v>
      </c>
      <c r="H229" s="282">
        <v>0</v>
      </c>
      <c r="I229" s="283" t="s">
        <v>926</v>
      </c>
      <c r="J229" s="59" t="str">
        <f t="shared" ref="J229" si="104">VLOOKUP(I229,LISTAITEMS,2,FALSE)</f>
        <v>ninguno</v>
      </c>
      <c r="K229" s="280">
        <f>VLOOKUP(I229,LISTAITEMS,5,FALSE)</f>
        <v>0</v>
      </c>
      <c r="L229" s="282">
        <v>0</v>
      </c>
      <c r="M229" s="283" t="s">
        <v>926</v>
      </c>
      <c r="N229" s="59" t="str">
        <f t="shared" ref="N229" si="105">VLOOKUP(M229,LISTAITEMS,2,FALSE)</f>
        <v>ninguno</v>
      </c>
      <c r="O229" s="280">
        <f>VLOOKUP(M229,LISTAITEMS,5,FALSE)</f>
        <v>0</v>
      </c>
      <c r="P229" s="282">
        <v>0</v>
      </c>
      <c r="Q229" s="283" t="s">
        <v>926</v>
      </c>
      <c r="R229" s="59" t="str">
        <f t="shared" ref="R229" si="106">VLOOKUP(Q229,LISTAITEMS,2,FALSE)</f>
        <v>ninguno</v>
      </c>
      <c r="S229" s="280">
        <f>VLOOKUP(Q229,LISTAITEMS,5,FALSE)</f>
        <v>0</v>
      </c>
      <c r="T229" s="282">
        <v>0</v>
      </c>
      <c r="U229" s="283" t="s">
        <v>926</v>
      </c>
      <c r="V229" s="59" t="str">
        <f t="shared" ref="V229" si="107">VLOOKUP(U229,LISTAITEMS,2,FALSE)</f>
        <v>ninguno</v>
      </c>
      <c r="W229" s="280">
        <f>VLOOKUP(U229,LISTAITEMS,5,FALSE)</f>
        <v>0</v>
      </c>
    </row>
    <row r="236" spans="1:23" x14ac:dyDescent="0.25">
      <c r="A236" s="277" t="s">
        <v>1161</v>
      </c>
      <c r="B236" s="277"/>
      <c r="C236" s="277"/>
      <c r="D236" s="277"/>
      <c r="E236" s="277"/>
      <c r="F236" s="277"/>
      <c r="G236" s="277"/>
      <c r="H236" s="277"/>
      <c r="I236" s="277"/>
      <c r="J236" s="277"/>
      <c r="K236" s="277"/>
      <c r="L236" s="277"/>
      <c r="M236" s="277"/>
      <c r="N236" s="277"/>
      <c r="O236" s="277"/>
      <c r="P236" s="277"/>
      <c r="Q236" s="277"/>
      <c r="R236" s="277"/>
      <c r="S236" s="277"/>
      <c r="T236" s="277"/>
      <c r="U236" s="277"/>
      <c r="V236" s="277"/>
      <c r="W236" s="277"/>
    </row>
    <row r="237" spans="1:23" x14ac:dyDescent="0.25">
      <c r="A237" s="277"/>
      <c r="B237" s="277"/>
      <c r="C237" s="277"/>
      <c r="D237" s="277"/>
      <c r="E237" s="277"/>
      <c r="F237" s="277"/>
      <c r="G237" s="277"/>
      <c r="H237" s="277"/>
      <c r="I237" s="277"/>
      <c r="J237" s="277"/>
      <c r="K237" s="277"/>
      <c r="L237" s="277"/>
      <c r="M237" s="277"/>
      <c r="N237" s="277"/>
      <c r="O237" s="277"/>
      <c r="P237" s="277"/>
      <c r="Q237" s="277"/>
      <c r="R237" s="277"/>
      <c r="S237" s="277"/>
      <c r="T237" s="277"/>
      <c r="U237" s="277"/>
      <c r="V237" s="277"/>
      <c r="W237" s="277"/>
    </row>
    <row r="238" spans="1:23" x14ac:dyDescent="0.25">
      <c r="A238" s="286"/>
      <c r="B238" s="286" t="s">
        <v>1010</v>
      </c>
      <c r="C238" s="286"/>
      <c r="D238" s="286"/>
      <c r="E238" s="286"/>
      <c r="F238" s="286"/>
      <c r="G238" s="286"/>
      <c r="H238" s="286"/>
      <c r="I238" s="286"/>
      <c r="J238" s="286"/>
      <c r="K238" s="286"/>
      <c r="L238" s="286"/>
      <c r="M238" s="286"/>
      <c r="N238" s="286"/>
      <c r="O238" s="286"/>
      <c r="P238" s="286"/>
      <c r="Q238" s="286"/>
      <c r="R238" s="286"/>
      <c r="S238" s="286"/>
      <c r="T238" s="286"/>
      <c r="U238" s="286"/>
      <c r="V238" s="286"/>
      <c r="W238" s="286"/>
    </row>
    <row r="239" spans="1:23" x14ac:dyDescent="0.25">
      <c r="A239" s="278"/>
      <c r="B239" s="278" t="s">
        <v>203</v>
      </c>
      <c r="C239" s="281" t="s">
        <v>202</v>
      </c>
      <c r="D239" s="285" t="s">
        <v>149</v>
      </c>
      <c r="E239" s="285" t="s">
        <v>1166</v>
      </c>
      <c r="F239" s="281" t="s">
        <v>203</v>
      </c>
      <c r="G239" s="285" t="s">
        <v>1171</v>
      </c>
      <c r="H239" s="285" t="s">
        <v>149</v>
      </c>
      <c r="I239" s="285" t="s">
        <v>1167</v>
      </c>
      <c r="J239" s="281" t="s">
        <v>203</v>
      </c>
      <c r="K239" s="285" t="s">
        <v>1171</v>
      </c>
      <c r="L239" s="285" t="s">
        <v>149</v>
      </c>
      <c r="M239" s="285" t="s">
        <v>1168</v>
      </c>
      <c r="N239" s="281" t="s">
        <v>203</v>
      </c>
      <c r="O239" s="285" t="s">
        <v>1171</v>
      </c>
      <c r="P239" s="285" t="s">
        <v>149</v>
      </c>
      <c r="Q239" s="285" t="s">
        <v>1169</v>
      </c>
      <c r="R239" s="281" t="s">
        <v>203</v>
      </c>
      <c r="S239" s="285" t="s">
        <v>1171</v>
      </c>
      <c r="T239" s="285" t="s">
        <v>149</v>
      </c>
      <c r="U239" s="285" t="s">
        <v>1170</v>
      </c>
      <c r="V239" s="281" t="s">
        <v>203</v>
      </c>
      <c r="W239" s="285" t="s">
        <v>1171</v>
      </c>
    </row>
    <row r="240" spans="1:23" x14ac:dyDescent="0.25">
      <c r="A240" s="284" t="s">
        <v>1165</v>
      </c>
      <c r="B240" s="284"/>
      <c r="C240" s="279">
        <f>((D240*G240)+(K240*H240)+(O240*L240)+(S240*P240)+(W240*T240))</f>
        <v>0</v>
      </c>
      <c r="D240" s="282">
        <v>0</v>
      </c>
      <c r="E240" s="283" t="s">
        <v>926</v>
      </c>
      <c r="F240" s="59" t="str">
        <f t="shared" ref="F240" si="108">VLOOKUP(E240,LISTAITEMS,2,FALSE)</f>
        <v>ninguno</v>
      </c>
      <c r="G240" s="280">
        <f>VLOOKUP(E240,LISTAITEMS,5,FALSE)</f>
        <v>0</v>
      </c>
      <c r="H240" s="282">
        <v>0</v>
      </c>
      <c r="I240" s="283" t="s">
        <v>926</v>
      </c>
      <c r="J240" s="59" t="str">
        <f t="shared" ref="J240" si="109">VLOOKUP(I240,LISTAITEMS,2,FALSE)</f>
        <v>ninguno</v>
      </c>
      <c r="K240" s="280">
        <f>VLOOKUP(I240,LISTAITEMS,5,FALSE)</f>
        <v>0</v>
      </c>
      <c r="L240" s="282">
        <v>0</v>
      </c>
      <c r="M240" s="283" t="s">
        <v>926</v>
      </c>
      <c r="N240" s="59" t="str">
        <f t="shared" ref="N240" si="110">VLOOKUP(M240,LISTAITEMS,2,FALSE)</f>
        <v>ninguno</v>
      </c>
      <c r="O240" s="280">
        <f>VLOOKUP(M240,LISTAITEMS,5,FALSE)</f>
        <v>0</v>
      </c>
      <c r="P240" s="282">
        <v>0</v>
      </c>
      <c r="Q240" s="283" t="s">
        <v>926</v>
      </c>
      <c r="R240" s="59" t="str">
        <f t="shared" ref="R240" si="111">VLOOKUP(Q240,LISTAITEMS,2,FALSE)</f>
        <v>ninguno</v>
      </c>
      <c r="S240" s="280">
        <f>VLOOKUP(Q240,LISTAITEMS,5,FALSE)</f>
        <v>0</v>
      </c>
      <c r="T240" s="282">
        <v>0</v>
      </c>
      <c r="U240" s="283" t="s">
        <v>926</v>
      </c>
      <c r="V240" s="59" t="str">
        <f t="shared" ref="V240" si="112">VLOOKUP(U240,LISTAITEMS,2,FALSE)</f>
        <v>ninguno</v>
      </c>
      <c r="W240" s="280">
        <f>VLOOKUP(U240,LISTAITEMS,5,FALSE)</f>
        <v>0</v>
      </c>
    </row>
    <row r="247" spans="1:23" x14ac:dyDescent="0.25">
      <c r="A247" s="277" t="s">
        <v>1172</v>
      </c>
      <c r="B247" s="277"/>
      <c r="C247" s="277"/>
      <c r="D247" s="277"/>
      <c r="E247" s="277"/>
      <c r="F247" s="277"/>
      <c r="G247" s="277"/>
      <c r="H247" s="277"/>
      <c r="I247" s="277"/>
      <c r="J247" s="277"/>
      <c r="K247" s="277"/>
      <c r="L247" s="277"/>
      <c r="M247" s="277"/>
      <c r="N247" s="277"/>
      <c r="O247" s="277"/>
      <c r="P247" s="277"/>
      <c r="Q247" s="277"/>
      <c r="R247" s="277"/>
      <c r="S247" s="277"/>
      <c r="T247" s="277"/>
      <c r="U247" s="277"/>
      <c r="V247" s="277"/>
      <c r="W247" s="277"/>
    </row>
    <row r="248" spans="1:23" x14ac:dyDescent="0.25">
      <c r="A248" s="277"/>
      <c r="B248" s="277"/>
      <c r="C248" s="277"/>
      <c r="D248" s="277"/>
      <c r="E248" s="277"/>
      <c r="F248" s="277"/>
      <c r="G248" s="277"/>
      <c r="H248" s="277"/>
      <c r="I248" s="277"/>
      <c r="J248" s="277"/>
      <c r="K248" s="277"/>
      <c r="L248" s="277"/>
      <c r="M248" s="277"/>
      <c r="N248" s="277"/>
      <c r="O248" s="277"/>
      <c r="P248" s="277"/>
      <c r="Q248" s="277"/>
      <c r="R248" s="277"/>
      <c r="S248" s="277"/>
      <c r="T248" s="277"/>
      <c r="U248" s="277"/>
      <c r="V248" s="277"/>
      <c r="W248" s="277"/>
    </row>
    <row r="249" spans="1:23" x14ac:dyDescent="0.25">
      <c r="A249" s="286"/>
      <c r="B249" s="286" t="s">
        <v>1010</v>
      </c>
      <c r="C249" s="286"/>
      <c r="D249" s="286"/>
      <c r="E249" s="286"/>
      <c r="F249" s="286"/>
      <c r="G249" s="286"/>
      <c r="H249" s="286"/>
      <c r="I249" s="286"/>
      <c r="J249" s="286"/>
      <c r="K249" s="286"/>
      <c r="L249" s="286"/>
      <c r="M249" s="286"/>
      <c r="N249" s="286"/>
      <c r="O249" s="286"/>
      <c r="P249" s="286"/>
      <c r="Q249" s="286"/>
      <c r="R249" s="286"/>
      <c r="S249" s="286"/>
      <c r="T249" s="286"/>
      <c r="U249" s="286"/>
      <c r="V249" s="286"/>
      <c r="W249" s="286"/>
    </row>
    <row r="250" spans="1:23" x14ac:dyDescent="0.25">
      <c r="A250" s="278"/>
      <c r="B250" s="278" t="s">
        <v>203</v>
      </c>
      <c r="C250" s="281" t="s">
        <v>202</v>
      </c>
      <c r="D250" s="285" t="s">
        <v>149</v>
      </c>
      <c r="E250" s="285" t="s">
        <v>1166</v>
      </c>
      <c r="F250" s="281" t="s">
        <v>203</v>
      </c>
      <c r="G250" s="285" t="s">
        <v>1171</v>
      </c>
      <c r="H250" s="285" t="s">
        <v>149</v>
      </c>
      <c r="I250" s="285" t="s">
        <v>1167</v>
      </c>
      <c r="J250" s="281" t="s">
        <v>203</v>
      </c>
      <c r="K250" s="285" t="s">
        <v>1171</v>
      </c>
      <c r="L250" s="285" t="s">
        <v>149</v>
      </c>
      <c r="M250" s="285" t="s">
        <v>1168</v>
      </c>
      <c r="N250" s="281" t="s">
        <v>203</v>
      </c>
      <c r="O250" s="285" t="s">
        <v>1171</v>
      </c>
      <c r="P250" s="285" t="s">
        <v>149</v>
      </c>
      <c r="Q250" s="285" t="s">
        <v>1169</v>
      </c>
      <c r="R250" s="281" t="s">
        <v>203</v>
      </c>
      <c r="S250" s="285" t="s">
        <v>1171</v>
      </c>
      <c r="T250" s="285" t="s">
        <v>149</v>
      </c>
      <c r="U250" s="285" t="s">
        <v>1170</v>
      </c>
      <c r="V250" s="281" t="s">
        <v>203</v>
      </c>
      <c r="W250" s="285" t="s">
        <v>1171</v>
      </c>
    </row>
    <row r="251" spans="1:23" x14ac:dyDescent="0.25">
      <c r="A251" s="284" t="s">
        <v>1165</v>
      </c>
      <c r="B251" s="284"/>
      <c r="C251" s="279">
        <f>((D251*G251)+(K251*H251)+(O251*L251)+(S251*P251)+(W251*T251))</f>
        <v>0</v>
      </c>
      <c r="D251" s="282">
        <v>0</v>
      </c>
      <c r="E251" s="283" t="s">
        <v>926</v>
      </c>
      <c r="F251" s="59" t="str">
        <f t="shared" ref="F251" si="113">VLOOKUP(E251,LISTAITEMS,2,FALSE)</f>
        <v>ninguno</v>
      </c>
      <c r="G251" s="280">
        <f>VLOOKUP(E251,LISTAITEMS,5,FALSE)</f>
        <v>0</v>
      </c>
      <c r="H251" s="282">
        <v>0</v>
      </c>
      <c r="I251" s="283" t="s">
        <v>926</v>
      </c>
      <c r="J251" s="59" t="str">
        <f t="shared" ref="J251" si="114">VLOOKUP(I251,LISTAITEMS,2,FALSE)</f>
        <v>ninguno</v>
      </c>
      <c r="K251" s="280">
        <f>VLOOKUP(I251,LISTAITEMS,5,FALSE)</f>
        <v>0</v>
      </c>
      <c r="L251" s="282">
        <v>0</v>
      </c>
      <c r="M251" s="283" t="s">
        <v>926</v>
      </c>
      <c r="N251" s="59" t="str">
        <f t="shared" ref="N251" si="115">VLOOKUP(M251,LISTAITEMS,2,FALSE)</f>
        <v>ninguno</v>
      </c>
      <c r="O251" s="280">
        <f>VLOOKUP(M251,LISTAITEMS,5,FALSE)</f>
        <v>0</v>
      </c>
      <c r="P251" s="282">
        <v>0</v>
      </c>
      <c r="Q251" s="283" t="s">
        <v>926</v>
      </c>
      <c r="R251" s="59" t="str">
        <f t="shared" ref="R251" si="116">VLOOKUP(Q251,LISTAITEMS,2,FALSE)</f>
        <v>ninguno</v>
      </c>
      <c r="S251" s="280">
        <f>VLOOKUP(Q251,LISTAITEMS,5,FALSE)</f>
        <v>0</v>
      </c>
      <c r="T251" s="282">
        <v>0</v>
      </c>
      <c r="U251" s="283" t="s">
        <v>926</v>
      </c>
      <c r="V251" s="59" t="str">
        <f t="shared" ref="V251" si="117">VLOOKUP(U251,LISTAITEMS,2,FALSE)</f>
        <v>ninguno</v>
      </c>
      <c r="W251" s="280">
        <f>VLOOKUP(U251,LISTAITEMS,5,FALSE)</f>
        <v>0</v>
      </c>
    </row>
    <row r="255" spans="1:23" x14ac:dyDescent="0.25">
      <c r="A255" s="277" t="s">
        <v>1134</v>
      </c>
      <c r="B255" s="277"/>
      <c r="C255" s="277"/>
      <c r="D255" s="277"/>
      <c r="E255" s="277"/>
      <c r="F255" s="277"/>
      <c r="G255" s="277"/>
      <c r="H255" s="277"/>
      <c r="I255" s="277"/>
      <c r="J255" s="277"/>
      <c r="K255" s="277"/>
      <c r="L255" s="277"/>
      <c r="M255" s="277"/>
      <c r="N255" s="277"/>
      <c r="O255" s="277"/>
      <c r="P255" s="277"/>
      <c r="Q255" s="277"/>
      <c r="R255" s="277"/>
      <c r="S255" s="277"/>
      <c r="T255" s="277"/>
      <c r="U255" s="277"/>
      <c r="V255" s="277"/>
      <c r="W255" s="277"/>
    </row>
    <row r="256" spans="1:23" x14ac:dyDescent="0.25">
      <c r="A256" s="277"/>
      <c r="B256" s="277"/>
      <c r="C256" s="277"/>
      <c r="D256" s="277"/>
      <c r="E256" s="277"/>
      <c r="F256" s="277"/>
      <c r="G256" s="277"/>
      <c r="H256" s="277"/>
      <c r="I256" s="277"/>
      <c r="J256" s="277"/>
      <c r="K256" s="277"/>
      <c r="L256" s="277"/>
      <c r="M256" s="277"/>
      <c r="N256" s="277"/>
      <c r="O256" s="277"/>
      <c r="P256" s="277"/>
      <c r="Q256" s="277"/>
      <c r="R256" s="277"/>
      <c r="S256" s="277"/>
      <c r="T256" s="277"/>
      <c r="U256" s="277"/>
      <c r="V256" s="277"/>
      <c r="W256" s="277"/>
    </row>
    <row r="257" spans="1:23" x14ac:dyDescent="0.25">
      <c r="A257" s="286"/>
      <c r="B257" s="286" t="s">
        <v>1010</v>
      </c>
      <c r="C257" s="286"/>
      <c r="D257" s="286"/>
      <c r="E257" s="286"/>
      <c r="F257" s="286"/>
      <c r="G257" s="286"/>
      <c r="H257" s="286"/>
      <c r="I257" s="286"/>
      <c r="J257" s="286"/>
      <c r="K257" s="286"/>
      <c r="L257" s="286"/>
      <c r="M257" s="286"/>
      <c r="N257" s="286"/>
      <c r="O257" s="286"/>
      <c r="P257" s="286"/>
      <c r="Q257" s="286"/>
      <c r="R257" s="286"/>
      <c r="S257" s="286"/>
      <c r="T257" s="286"/>
      <c r="U257" s="286"/>
      <c r="V257" s="286"/>
      <c r="W257" s="286"/>
    </row>
    <row r="258" spans="1:23" x14ac:dyDescent="0.25">
      <c r="A258" s="278"/>
      <c r="B258" s="278" t="s">
        <v>203</v>
      </c>
      <c r="C258" s="281" t="s">
        <v>202</v>
      </c>
      <c r="D258" s="285" t="s">
        <v>149</v>
      </c>
      <c r="E258" s="285" t="s">
        <v>1166</v>
      </c>
      <c r="F258" s="281" t="s">
        <v>203</v>
      </c>
      <c r="G258" s="285" t="s">
        <v>1171</v>
      </c>
      <c r="H258" s="285" t="s">
        <v>149</v>
      </c>
      <c r="I258" s="285" t="s">
        <v>1167</v>
      </c>
      <c r="J258" s="281" t="s">
        <v>203</v>
      </c>
      <c r="K258" s="285" t="s">
        <v>1171</v>
      </c>
      <c r="L258" s="285" t="s">
        <v>149</v>
      </c>
      <c r="M258" s="285" t="s">
        <v>1168</v>
      </c>
      <c r="N258" s="281" t="s">
        <v>203</v>
      </c>
      <c r="O258" s="285" t="s">
        <v>1171</v>
      </c>
      <c r="P258" s="285" t="s">
        <v>149</v>
      </c>
      <c r="Q258" s="285" t="s">
        <v>1169</v>
      </c>
      <c r="R258" s="281" t="s">
        <v>203</v>
      </c>
      <c r="S258" s="285" t="s">
        <v>1171</v>
      </c>
      <c r="T258" s="285" t="s">
        <v>149</v>
      </c>
      <c r="U258" s="285" t="s">
        <v>1170</v>
      </c>
      <c r="V258" s="281" t="s">
        <v>203</v>
      </c>
      <c r="W258" s="285" t="s">
        <v>1171</v>
      </c>
    </row>
    <row r="259" spans="1:23" x14ac:dyDescent="0.25">
      <c r="A259" s="284" t="s">
        <v>1165</v>
      </c>
      <c r="B259" s="284"/>
      <c r="C259" s="279">
        <f>((D259*G259)+(K259*H259)+(O259*L259)+(S259*P259)+(W259*T259))</f>
        <v>0</v>
      </c>
      <c r="D259" s="282">
        <v>0</v>
      </c>
      <c r="E259" s="283" t="s">
        <v>926</v>
      </c>
      <c r="F259" s="59" t="str">
        <f t="shared" ref="F259" si="118">VLOOKUP(E259,LISTAITEMS,2,FALSE)</f>
        <v>ninguno</v>
      </c>
      <c r="G259" s="280">
        <f>VLOOKUP(E259,LISTAITEMS,5,FALSE)</f>
        <v>0</v>
      </c>
      <c r="H259" s="282">
        <v>0</v>
      </c>
      <c r="I259" s="283" t="s">
        <v>926</v>
      </c>
      <c r="J259" s="59" t="str">
        <f t="shared" ref="J259" si="119">VLOOKUP(I259,LISTAITEMS,2,FALSE)</f>
        <v>ninguno</v>
      </c>
      <c r="K259" s="280">
        <f>VLOOKUP(I259,LISTAITEMS,5,FALSE)</f>
        <v>0</v>
      </c>
      <c r="L259" s="282">
        <v>0</v>
      </c>
      <c r="M259" s="283" t="s">
        <v>926</v>
      </c>
      <c r="N259" s="59" t="str">
        <f t="shared" ref="N259" si="120">VLOOKUP(M259,LISTAITEMS,2,FALSE)</f>
        <v>ninguno</v>
      </c>
      <c r="O259" s="280">
        <f>VLOOKUP(M259,LISTAITEMS,5,FALSE)</f>
        <v>0</v>
      </c>
      <c r="P259" s="282">
        <v>0</v>
      </c>
      <c r="Q259" s="283" t="s">
        <v>926</v>
      </c>
      <c r="R259" s="59" t="str">
        <f t="shared" ref="R259" si="121">VLOOKUP(Q259,LISTAITEMS,2,FALSE)</f>
        <v>ninguno</v>
      </c>
      <c r="S259" s="280">
        <f>VLOOKUP(Q259,LISTAITEMS,5,FALSE)</f>
        <v>0</v>
      </c>
      <c r="T259" s="282">
        <v>0</v>
      </c>
      <c r="U259" s="283" t="s">
        <v>926</v>
      </c>
      <c r="V259" s="59" t="str">
        <f t="shared" ref="V259" si="122">VLOOKUP(U259,LISTAITEMS,2,FALSE)</f>
        <v>ninguno</v>
      </c>
      <c r="W259" s="280">
        <f>VLOOKUP(U259,LISTAITEMS,5,FALSE)</f>
        <v>0</v>
      </c>
    </row>
    <row r="263" spans="1:23" x14ac:dyDescent="0.25">
      <c r="A263" s="277" t="s">
        <v>1143</v>
      </c>
      <c r="B263" s="277"/>
      <c r="C263" s="277"/>
      <c r="D263" s="277"/>
      <c r="E263" s="277"/>
      <c r="F263" s="277"/>
      <c r="G263" s="277"/>
      <c r="H263" s="277"/>
      <c r="I263" s="277"/>
      <c r="J263" s="277"/>
      <c r="K263" s="277"/>
      <c r="L263" s="277"/>
      <c r="M263" s="277"/>
      <c r="N263" s="277"/>
      <c r="O263" s="277"/>
      <c r="P263" s="277"/>
      <c r="Q263" s="277"/>
      <c r="R263" s="277"/>
      <c r="S263" s="277"/>
      <c r="T263" s="277"/>
      <c r="U263" s="277"/>
      <c r="V263" s="277"/>
      <c r="W263" s="277"/>
    </row>
    <row r="264" spans="1:23" x14ac:dyDescent="0.25">
      <c r="A264" s="277"/>
      <c r="B264" s="277"/>
      <c r="C264" s="277"/>
      <c r="D264" s="277"/>
      <c r="E264" s="277"/>
      <c r="F264" s="277"/>
      <c r="G264" s="277"/>
      <c r="H264" s="277"/>
      <c r="I264" s="277"/>
      <c r="J264" s="277"/>
      <c r="K264" s="277"/>
      <c r="L264" s="277"/>
      <c r="M264" s="277"/>
      <c r="N264" s="277"/>
      <c r="O264" s="277"/>
      <c r="P264" s="277"/>
      <c r="Q264" s="277"/>
      <c r="R264" s="277"/>
      <c r="S264" s="277"/>
      <c r="T264" s="277"/>
      <c r="U264" s="277"/>
      <c r="V264" s="277"/>
      <c r="W264" s="277"/>
    </row>
    <row r="265" spans="1:23" x14ac:dyDescent="0.25">
      <c r="A265" s="286"/>
      <c r="B265" s="286" t="s">
        <v>1010</v>
      </c>
      <c r="C265" s="286"/>
      <c r="D265" s="286"/>
      <c r="E265" s="286"/>
      <c r="F265" s="286"/>
      <c r="G265" s="286"/>
      <c r="H265" s="286"/>
      <c r="I265" s="286"/>
      <c r="J265" s="286"/>
      <c r="K265" s="286"/>
      <c r="L265" s="286"/>
      <c r="M265" s="286"/>
      <c r="N265" s="286"/>
      <c r="O265" s="286"/>
      <c r="P265" s="286"/>
      <c r="Q265" s="286"/>
      <c r="R265" s="286"/>
      <c r="S265" s="286"/>
      <c r="T265" s="286"/>
      <c r="U265" s="286"/>
      <c r="V265" s="286"/>
      <c r="W265" s="286"/>
    </row>
    <row r="266" spans="1:23" x14ac:dyDescent="0.25">
      <c r="A266" s="278"/>
      <c r="B266" s="278" t="s">
        <v>203</v>
      </c>
      <c r="C266" s="281" t="s">
        <v>202</v>
      </c>
      <c r="D266" s="285" t="s">
        <v>149</v>
      </c>
      <c r="E266" s="285" t="s">
        <v>1166</v>
      </c>
      <c r="F266" s="281" t="s">
        <v>203</v>
      </c>
      <c r="G266" s="285" t="s">
        <v>1171</v>
      </c>
      <c r="H266" s="285" t="s">
        <v>149</v>
      </c>
      <c r="I266" s="285" t="s">
        <v>1167</v>
      </c>
      <c r="J266" s="281" t="s">
        <v>203</v>
      </c>
      <c r="K266" s="285" t="s">
        <v>1171</v>
      </c>
      <c r="L266" s="285" t="s">
        <v>149</v>
      </c>
      <c r="M266" s="285" t="s">
        <v>1168</v>
      </c>
      <c r="N266" s="281" t="s">
        <v>203</v>
      </c>
      <c r="O266" s="285" t="s">
        <v>1171</v>
      </c>
      <c r="P266" s="285" t="s">
        <v>149</v>
      </c>
      <c r="Q266" s="285" t="s">
        <v>1169</v>
      </c>
      <c r="R266" s="281" t="s">
        <v>203</v>
      </c>
      <c r="S266" s="285" t="s">
        <v>1171</v>
      </c>
      <c r="T266" s="285" t="s">
        <v>149</v>
      </c>
      <c r="U266" s="285" t="s">
        <v>1170</v>
      </c>
      <c r="V266" s="281" t="s">
        <v>203</v>
      </c>
      <c r="W266" s="285" t="s">
        <v>1171</v>
      </c>
    </row>
    <row r="267" spans="1:23" x14ac:dyDescent="0.25">
      <c r="A267" s="284" t="s">
        <v>1165</v>
      </c>
      <c r="B267" s="284"/>
      <c r="C267" s="279">
        <f>((D267*G267)+(K267*H267)+(O267*L267)+(S267*P267)+(W267*T267))</f>
        <v>0</v>
      </c>
      <c r="D267" s="282">
        <v>0</v>
      </c>
      <c r="E267" s="283" t="s">
        <v>926</v>
      </c>
      <c r="F267" s="59" t="str">
        <f t="shared" ref="F267" si="123">VLOOKUP(E267,LISTAITEMS,2,FALSE)</f>
        <v>ninguno</v>
      </c>
      <c r="G267" s="280">
        <f>VLOOKUP(E267,LISTAITEMS,5,FALSE)</f>
        <v>0</v>
      </c>
      <c r="H267" s="282">
        <v>0</v>
      </c>
      <c r="I267" s="283" t="s">
        <v>926</v>
      </c>
      <c r="J267" s="59" t="str">
        <f t="shared" ref="J267" si="124">VLOOKUP(I267,LISTAITEMS,2,FALSE)</f>
        <v>ninguno</v>
      </c>
      <c r="K267" s="280">
        <f>VLOOKUP(I267,LISTAITEMS,5,FALSE)</f>
        <v>0</v>
      </c>
      <c r="L267" s="282">
        <v>0</v>
      </c>
      <c r="M267" s="283" t="s">
        <v>926</v>
      </c>
      <c r="N267" s="59" t="str">
        <f t="shared" ref="N267" si="125">VLOOKUP(M267,LISTAITEMS,2,FALSE)</f>
        <v>ninguno</v>
      </c>
      <c r="O267" s="280">
        <f>VLOOKUP(M267,LISTAITEMS,5,FALSE)</f>
        <v>0</v>
      </c>
      <c r="P267" s="282">
        <v>0</v>
      </c>
      <c r="Q267" s="283" t="s">
        <v>926</v>
      </c>
      <c r="R267" s="59" t="str">
        <f t="shared" ref="R267" si="126">VLOOKUP(Q267,LISTAITEMS,2,FALSE)</f>
        <v>ninguno</v>
      </c>
      <c r="S267" s="280">
        <f>VLOOKUP(Q267,LISTAITEMS,5,FALSE)</f>
        <v>0</v>
      </c>
      <c r="T267" s="282">
        <v>0</v>
      </c>
      <c r="U267" s="283" t="s">
        <v>926</v>
      </c>
      <c r="V267" s="59" t="str">
        <f t="shared" ref="V267" si="127">VLOOKUP(U267,LISTAITEMS,2,FALSE)</f>
        <v>ninguno</v>
      </c>
      <c r="W267" s="280">
        <f>VLOOKUP(U267,LISTAITEMS,5,FALSE)</f>
        <v>0</v>
      </c>
    </row>
    <row r="269" spans="1:23" s="275" customFormat="1" x14ac:dyDescent="0.25"/>
    <row r="270" spans="1:23" s="275" customFormat="1" x14ac:dyDescent="0.25">
      <c r="A270" s="277" t="s">
        <v>1135</v>
      </c>
      <c r="B270" s="277"/>
      <c r="C270" s="277"/>
      <c r="D270" s="277"/>
      <c r="E270" s="277"/>
      <c r="F270" s="277"/>
      <c r="G270" s="277"/>
      <c r="H270" s="277"/>
      <c r="I270" s="277"/>
      <c r="J270" s="277"/>
      <c r="K270" s="277"/>
      <c r="L270" s="277"/>
      <c r="M270" s="277"/>
      <c r="N270" s="277"/>
      <c r="O270" s="277"/>
      <c r="P270" s="277"/>
      <c r="Q270" s="277"/>
      <c r="R270" s="277"/>
      <c r="S270" s="277"/>
      <c r="T270" s="277"/>
      <c r="U270" s="277"/>
      <c r="V270" s="277"/>
      <c r="W270" s="277"/>
    </row>
    <row r="271" spans="1:23" s="275" customFormat="1" x14ac:dyDescent="0.25">
      <c r="A271" s="277"/>
      <c r="B271" s="277"/>
      <c r="C271" s="277"/>
      <c r="D271" s="277"/>
      <c r="E271" s="277"/>
      <c r="F271" s="277"/>
      <c r="G271" s="277"/>
      <c r="H271" s="277"/>
      <c r="I271" s="277"/>
      <c r="J271" s="277"/>
      <c r="K271" s="277"/>
      <c r="L271" s="277"/>
      <c r="M271" s="277"/>
      <c r="N271" s="277"/>
      <c r="O271" s="277"/>
      <c r="P271" s="277"/>
      <c r="Q271" s="277"/>
      <c r="R271" s="277"/>
      <c r="S271" s="277"/>
      <c r="T271" s="277"/>
      <c r="U271" s="277"/>
      <c r="V271" s="277"/>
      <c r="W271" s="277"/>
    </row>
    <row r="272" spans="1:23" s="275" customFormat="1" x14ac:dyDescent="0.25">
      <c r="A272" s="286"/>
      <c r="B272" s="286" t="s">
        <v>1010</v>
      </c>
      <c r="C272" s="286"/>
      <c r="D272" s="286"/>
      <c r="E272" s="286"/>
      <c r="F272" s="286"/>
      <c r="G272" s="286"/>
      <c r="H272" s="286"/>
      <c r="I272" s="286"/>
      <c r="J272" s="286"/>
      <c r="K272" s="286"/>
      <c r="L272" s="286"/>
      <c r="M272" s="286"/>
      <c r="N272" s="286"/>
      <c r="O272" s="286"/>
      <c r="P272" s="286"/>
      <c r="Q272" s="286"/>
      <c r="R272" s="286"/>
      <c r="S272" s="286"/>
      <c r="T272" s="286"/>
      <c r="U272" s="286"/>
      <c r="V272" s="286"/>
      <c r="W272" s="286"/>
    </row>
    <row r="273" spans="1:23" s="275" customFormat="1" x14ac:dyDescent="0.25">
      <c r="A273" s="278"/>
      <c r="B273" s="278" t="s">
        <v>203</v>
      </c>
      <c r="C273" s="281" t="s">
        <v>202</v>
      </c>
      <c r="D273" s="285" t="s">
        <v>149</v>
      </c>
      <c r="E273" s="285" t="s">
        <v>1166</v>
      </c>
      <c r="F273" s="281" t="s">
        <v>203</v>
      </c>
      <c r="G273" s="285" t="s">
        <v>1171</v>
      </c>
      <c r="H273" s="285" t="s">
        <v>149</v>
      </c>
      <c r="I273" s="285" t="s">
        <v>1167</v>
      </c>
      <c r="J273" s="281" t="s">
        <v>203</v>
      </c>
      <c r="K273" s="285" t="s">
        <v>1171</v>
      </c>
      <c r="L273" s="285" t="s">
        <v>149</v>
      </c>
      <c r="M273" s="285" t="s">
        <v>1168</v>
      </c>
      <c r="N273" s="281" t="s">
        <v>203</v>
      </c>
      <c r="O273" s="285" t="s">
        <v>1171</v>
      </c>
      <c r="P273" s="285" t="s">
        <v>149</v>
      </c>
      <c r="Q273" s="285" t="s">
        <v>1169</v>
      </c>
      <c r="R273" s="281" t="s">
        <v>203</v>
      </c>
      <c r="S273" s="285" t="s">
        <v>1171</v>
      </c>
      <c r="T273" s="285" t="s">
        <v>149</v>
      </c>
      <c r="U273" s="285" t="s">
        <v>1170</v>
      </c>
      <c r="V273" s="281" t="s">
        <v>203</v>
      </c>
      <c r="W273" s="285" t="s">
        <v>1171</v>
      </c>
    </row>
    <row r="274" spans="1:23" x14ac:dyDescent="0.25">
      <c r="A274" s="284" t="s">
        <v>1165</v>
      </c>
      <c r="B274" s="284"/>
      <c r="C274" s="279">
        <f>((D274*G274)+(K274*H274)+(O274*L274)+(S274*P274)+(W274*T274))</f>
        <v>0</v>
      </c>
      <c r="D274" s="282">
        <v>0</v>
      </c>
      <c r="E274" s="283" t="s">
        <v>926</v>
      </c>
      <c r="F274" s="59" t="str">
        <f t="shared" ref="F274" si="128">VLOOKUP(E274,LISTAITEMS,2,FALSE)</f>
        <v>ninguno</v>
      </c>
      <c r="G274" s="280">
        <f>VLOOKUP(E274,LISTAITEMS,5,FALSE)</f>
        <v>0</v>
      </c>
      <c r="H274" s="282">
        <v>0</v>
      </c>
      <c r="I274" s="283" t="s">
        <v>926</v>
      </c>
      <c r="J274" s="59" t="str">
        <f t="shared" ref="J274" si="129">VLOOKUP(I274,LISTAITEMS,2,FALSE)</f>
        <v>ninguno</v>
      </c>
      <c r="K274" s="280">
        <f>VLOOKUP(I274,LISTAITEMS,5,FALSE)</f>
        <v>0</v>
      </c>
      <c r="L274" s="282">
        <v>0</v>
      </c>
      <c r="M274" s="283" t="s">
        <v>926</v>
      </c>
      <c r="N274" s="59" t="str">
        <f t="shared" ref="N274" si="130">VLOOKUP(M274,LISTAITEMS,2,FALSE)</f>
        <v>ninguno</v>
      </c>
      <c r="O274" s="280">
        <f>VLOOKUP(M274,LISTAITEMS,5,FALSE)</f>
        <v>0</v>
      </c>
      <c r="P274" s="282">
        <v>0</v>
      </c>
      <c r="Q274" s="283" t="s">
        <v>926</v>
      </c>
      <c r="R274" s="59" t="str">
        <f t="shared" ref="R274" si="131">VLOOKUP(Q274,LISTAITEMS,2,FALSE)</f>
        <v>ninguno</v>
      </c>
      <c r="S274" s="280">
        <f>VLOOKUP(Q274,LISTAITEMS,5,FALSE)</f>
        <v>0</v>
      </c>
      <c r="T274" s="282">
        <v>0</v>
      </c>
      <c r="U274" s="283" t="s">
        <v>926</v>
      </c>
      <c r="V274" s="59" t="str">
        <f t="shared" ref="V274" si="132">VLOOKUP(U274,LISTAITEMS,2,FALSE)</f>
        <v>ninguno</v>
      </c>
      <c r="W274" s="280">
        <f>VLOOKUP(U274,LISTAITEMS,5,FALSE)</f>
        <v>0</v>
      </c>
    </row>
    <row r="277" spans="1:23" x14ac:dyDescent="0.25">
      <c r="A277" s="277" t="s">
        <v>1136</v>
      </c>
      <c r="B277" s="277"/>
      <c r="C277" s="277"/>
      <c r="D277" s="277"/>
      <c r="E277" s="277"/>
      <c r="F277" s="277"/>
      <c r="G277" s="277"/>
      <c r="H277" s="277"/>
      <c r="I277" s="277"/>
      <c r="J277" s="277"/>
      <c r="K277" s="277"/>
      <c r="L277" s="277"/>
      <c r="M277" s="277"/>
      <c r="N277" s="277"/>
      <c r="O277" s="277"/>
      <c r="P277" s="277"/>
      <c r="Q277" s="277"/>
      <c r="R277" s="277"/>
      <c r="S277" s="277"/>
      <c r="T277" s="277"/>
      <c r="U277" s="277"/>
      <c r="V277" s="277"/>
      <c r="W277" s="277"/>
    </row>
    <row r="278" spans="1:23" x14ac:dyDescent="0.25">
      <c r="A278" s="277"/>
      <c r="B278" s="277"/>
      <c r="C278" s="277"/>
      <c r="D278" s="277"/>
      <c r="E278" s="277"/>
      <c r="F278" s="277"/>
      <c r="G278" s="277"/>
      <c r="H278" s="277"/>
      <c r="I278" s="277"/>
      <c r="J278" s="277"/>
      <c r="K278" s="277"/>
      <c r="L278" s="277"/>
      <c r="M278" s="277"/>
      <c r="N278" s="277"/>
      <c r="O278" s="277"/>
      <c r="P278" s="277"/>
      <c r="Q278" s="277"/>
      <c r="R278" s="277"/>
      <c r="S278" s="277"/>
      <c r="T278" s="277"/>
      <c r="U278" s="277"/>
      <c r="V278" s="277"/>
      <c r="W278" s="277"/>
    </row>
    <row r="279" spans="1:23" x14ac:dyDescent="0.25">
      <c r="A279" s="286"/>
      <c r="B279" s="286" t="s">
        <v>1010</v>
      </c>
      <c r="C279" s="286"/>
      <c r="D279" s="286"/>
      <c r="E279" s="286"/>
      <c r="F279" s="286"/>
      <c r="G279" s="286"/>
      <c r="H279" s="286"/>
      <c r="I279" s="286"/>
      <c r="J279" s="286"/>
      <c r="K279" s="286"/>
      <c r="L279" s="286"/>
      <c r="M279" s="286"/>
      <c r="N279" s="286"/>
      <c r="O279" s="286"/>
      <c r="P279" s="286"/>
      <c r="Q279" s="286"/>
      <c r="R279" s="286"/>
      <c r="S279" s="286"/>
      <c r="T279" s="286"/>
      <c r="U279" s="286"/>
      <c r="V279" s="286"/>
      <c r="W279" s="286"/>
    </row>
    <row r="280" spans="1:23" x14ac:dyDescent="0.25">
      <c r="A280" s="278"/>
      <c r="B280" s="278" t="s">
        <v>203</v>
      </c>
      <c r="C280" s="281" t="s">
        <v>202</v>
      </c>
      <c r="D280" s="285" t="s">
        <v>149</v>
      </c>
      <c r="E280" s="285" t="s">
        <v>1166</v>
      </c>
      <c r="F280" s="281" t="s">
        <v>203</v>
      </c>
      <c r="G280" s="285" t="s">
        <v>1171</v>
      </c>
      <c r="H280" s="285" t="s">
        <v>149</v>
      </c>
      <c r="I280" s="285" t="s">
        <v>1167</v>
      </c>
      <c r="J280" s="281" t="s">
        <v>203</v>
      </c>
      <c r="K280" s="285" t="s">
        <v>1171</v>
      </c>
      <c r="L280" s="285" t="s">
        <v>149</v>
      </c>
      <c r="M280" s="285" t="s">
        <v>1168</v>
      </c>
      <c r="N280" s="281" t="s">
        <v>203</v>
      </c>
      <c r="O280" s="285" t="s">
        <v>1171</v>
      </c>
      <c r="P280" s="285" t="s">
        <v>149</v>
      </c>
      <c r="Q280" s="285" t="s">
        <v>1169</v>
      </c>
      <c r="R280" s="281" t="s">
        <v>203</v>
      </c>
      <c r="S280" s="285" t="s">
        <v>1171</v>
      </c>
      <c r="T280" s="285" t="s">
        <v>149</v>
      </c>
      <c r="U280" s="285" t="s">
        <v>1170</v>
      </c>
      <c r="V280" s="281" t="s">
        <v>203</v>
      </c>
      <c r="W280" s="285" t="s">
        <v>1171</v>
      </c>
    </row>
    <row r="281" spans="1:23" x14ac:dyDescent="0.25">
      <c r="A281" s="284" t="s">
        <v>1165</v>
      </c>
      <c r="B281" s="284"/>
      <c r="C281" s="279">
        <f>((D281*G281)+(K281*H281)+(O281*L281)+(S281*P281)+(W281*T281))</f>
        <v>0</v>
      </c>
      <c r="D281" s="282">
        <v>0</v>
      </c>
      <c r="E281" s="283" t="s">
        <v>926</v>
      </c>
      <c r="F281" s="59" t="str">
        <f t="shared" ref="F281" si="133">VLOOKUP(E281,LISTAITEMS,2,FALSE)</f>
        <v>ninguno</v>
      </c>
      <c r="G281" s="280">
        <f>VLOOKUP(E281,LISTAITEMS,5,FALSE)</f>
        <v>0</v>
      </c>
      <c r="H281" s="282">
        <v>0</v>
      </c>
      <c r="I281" s="283" t="s">
        <v>926</v>
      </c>
      <c r="J281" s="59" t="str">
        <f t="shared" ref="J281" si="134">VLOOKUP(I281,LISTAITEMS,2,FALSE)</f>
        <v>ninguno</v>
      </c>
      <c r="K281" s="280">
        <f>VLOOKUP(I281,LISTAITEMS,5,FALSE)</f>
        <v>0</v>
      </c>
      <c r="L281" s="282">
        <v>0</v>
      </c>
      <c r="M281" s="283" t="s">
        <v>926</v>
      </c>
      <c r="N281" s="59" t="str">
        <f t="shared" ref="N281" si="135">VLOOKUP(M281,LISTAITEMS,2,FALSE)</f>
        <v>ninguno</v>
      </c>
      <c r="O281" s="280">
        <f>VLOOKUP(M281,LISTAITEMS,5,FALSE)</f>
        <v>0</v>
      </c>
      <c r="P281" s="282">
        <v>0</v>
      </c>
      <c r="Q281" s="283" t="s">
        <v>926</v>
      </c>
      <c r="R281" s="59" t="str">
        <f t="shared" ref="R281" si="136">VLOOKUP(Q281,LISTAITEMS,2,FALSE)</f>
        <v>ninguno</v>
      </c>
      <c r="S281" s="280">
        <f>VLOOKUP(Q281,LISTAITEMS,5,FALSE)</f>
        <v>0</v>
      </c>
      <c r="T281" s="282">
        <v>0</v>
      </c>
      <c r="U281" s="283" t="s">
        <v>926</v>
      </c>
      <c r="V281" s="59" t="str">
        <f t="shared" ref="V281" si="137">VLOOKUP(U281,LISTAITEMS,2,FALSE)</f>
        <v>ninguno</v>
      </c>
      <c r="W281" s="280">
        <f>VLOOKUP(U281,LISTAITEMS,5,FALSE)</f>
        <v>0</v>
      </c>
    </row>
    <row r="285" spans="1:23" x14ac:dyDescent="0.25">
      <c r="A285" s="277" t="s">
        <v>1138</v>
      </c>
      <c r="B285" s="277"/>
      <c r="C285" s="277"/>
      <c r="D285" s="277"/>
      <c r="E285" s="277"/>
      <c r="F285" s="277"/>
      <c r="G285" s="277"/>
      <c r="H285" s="277"/>
      <c r="I285" s="277"/>
      <c r="J285" s="277"/>
      <c r="K285" s="277"/>
      <c r="L285" s="277"/>
      <c r="M285" s="277"/>
      <c r="N285" s="277"/>
      <c r="O285" s="277"/>
      <c r="P285" s="277"/>
      <c r="Q285" s="277"/>
      <c r="R285" s="277"/>
      <c r="S285" s="277"/>
      <c r="T285" s="277"/>
      <c r="U285" s="277"/>
      <c r="V285" s="277"/>
      <c r="W285" s="277"/>
    </row>
    <row r="286" spans="1:23" x14ac:dyDescent="0.25">
      <c r="A286" s="277"/>
      <c r="B286" s="277"/>
      <c r="C286" s="277"/>
      <c r="D286" s="277"/>
      <c r="E286" s="277"/>
      <c r="F286" s="277"/>
      <c r="G286" s="277"/>
      <c r="H286" s="277"/>
      <c r="I286" s="277"/>
      <c r="J286" s="277"/>
      <c r="K286" s="277"/>
      <c r="L286" s="277"/>
      <c r="M286" s="277"/>
      <c r="N286" s="277"/>
      <c r="O286" s="277"/>
      <c r="P286" s="277"/>
      <c r="Q286" s="277"/>
      <c r="R286" s="277"/>
      <c r="S286" s="277"/>
      <c r="T286" s="277"/>
      <c r="U286" s="277"/>
      <c r="V286" s="277"/>
      <c r="W286" s="277"/>
    </row>
    <row r="287" spans="1:23" x14ac:dyDescent="0.25">
      <c r="A287" s="286"/>
      <c r="B287" s="286" t="s">
        <v>1010</v>
      </c>
      <c r="C287" s="286"/>
      <c r="D287" s="286"/>
      <c r="E287" s="286"/>
      <c r="F287" s="286"/>
      <c r="G287" s="286"/>
      <c r="H287" s="286"/>
      <c r="I287" s="286"/>
      <c r="J287" s="286"/>
      <c r="K287" s="286"/>
      <c r="L287" s="286"/>
      <c r="M287" s="286"/>
      <c r="N287" s="286"/>
      <c r="O287" s="286"/>
      <c r="P287" s="286"/>
      <c r="Q287" s="286"/>
      <c r="R287" s="286"/>
      <c r="S287" s="286"/>
      <c r="T287" s="286"/>
      <c r="U287" s="286"/>
      <c r="V287" s="286"/>
      <c r="W287" s="286"/>
    </row>
    <row r="288" spans="1:23" x14ac:dyDescent="0.25">
      <c r="A288" s="278"/>
      <c r="B288" s="278" t="s">
        <v>203</v>
      </c>
      <c r="C288" s="281" t="s">
        <v>202</v>
      </c>
      <c r="D288" s="285" t="s">
        <v>149</v>
      </c>
      <c r="E288" s="285" t="s">
        <v>1166</v>
      </c>
      <c r="F288" s="281" t="s">
        <v>203</v>
      </c>
      <c r="G288" s="285" t="s">
        <v>1171</v>
      </c>
      <c r="H288" s="285" t="s">
        <v>149</v>
      </c>
      <c r="I288" s="285" t="s">
        <v>1167</v>
      </c>
      <c r="J288" s="281" t="s">
        <v>203</v>
      </c>
      <c r="K288" s="285" t="s">
        <v>1171</v>
      </c>
      <c r="L288" s="285" t="s">
        <v>149</v>
      </c>
      <c r="M288" s="285" t="s">
        <v>1168</v>
      </c>
      <c r="N288" s="281" t="s">
        <v>203</v>
      </c>
      <c r="O288" s="285" t="s">
        <v>1171</v>
      </c>
      <c r="P288" s="285" t="s">
        <v>149</v>
      </c>
      <c r="Q288" s="285" t="s">
        <v>1169</v>
      </c>
      <c r="R288" s="281" t="s">
        <v>203</v>
      </c>
      <c r="S288" s="285" t="s">
        <v>1171</v>
      </c>
      <c r="T288" s="285" t="s">
        <v>149</v>
      </c>
      <c r="U288" s="285" t="s">
        <v>1170</v>
      </c>
      <c r="V288" s="281" t="s">
        <v>203</v>
      </c>
      <c r="W288" s="285" t="s">
        <v>1171</v>
      </c>
    </row>
    <row r="289" spans="1:23" x14ac:dyDescent="0.25">
      <c r="A289" s="284" t="s">
        <v>1165</v>
      </c>
      <c r="B289" s="284"/>
      <c r="C289" s="279">
        <f>((D289*G289)+(K289*H289)+(O289*L289)+(S289*P289)+(W289*T289))</f>
        <v>0</v>
      </c>
      <c r="D289" s="282">
        <v>0</v>
      </c>
      <c r="E289" s="283" t="s">
        <v>926</v>
      </c>
      <c r="F289" s="59" t="str">
        <f t="shared" ref="F289" si="138">VLOOKUP(E289,LISTAITEMS,2,FALSE)</f>
        <v>ninguno</v>
      </c>
      <c r="G289" s="280">
        <f>VLOOKUP(E289,LISTAITEMS,5,FALSE)</f>
        <v>0</v>
      </c>
      <c r="H289" s="282">
        <v>0</v>
      </c>
      <c r="I289" s="283" t="s">
        <v>926</v>
      </c>
      <c r="J289" s="59" t="str">
        <f t="shared" ref="J289" si="139">VLOOKUP(I289,LISTAITEMS,2,FALSE)</f>
        <v>ninguno</v>
      </c>
      <c r="K289" s="280">
        <f>VLOOKUP(I289,LISTAITEMS,5,FALSE)</f>
        <v>0</v>
      </c>
      <c r="L289" s="282">
        <v>0</v>
      </c>
      <c r="M289" s="283" t="s">
        <v>926</v>
      </c>
      <c r="N289" s="59" t="str">
        <f t="shared" ref="N289" si="140">VLOOKUP(M289,LISTAITEMS,2,FALSE)</f>
        <v>ninguno</v>
      </c>
      <c r="O289" s="280">
        <f>VLOOKUP(M289,LISTAITEMS,5,FALSE)</f>
        <v>0</v>
      </c>
      <c r="P289" s="282">
        <v>0</v>
      </c>
      <c r="Q289" s="283" t="s">
        <v>926</v>
      </c>
      <c r="R289" s="59" t="str">
        <f t="shared" ref="R289" si="141">VLOOKUP(Q289,LISTAITEMS,2,FALSE)</f>
        <v>ninguno</v>
      </c>
      <c r="S289" s="280">
        <f>VLOOKUP(Q289,LISTAITEMS,5,FALSE)</f>
        <v>0</v>
      </c>
      <c r="T289" s="282">
        <v>0</v>
      </c>
      <c r="U289" s="283" t="s">
        <v>926</v>
      </c>
      <c r="V289" s="59" t="str">
        <f t="shared" ref="V289" si="142">VLOOKUP(U289,LISTAITEMS,2,FALSE)</f>
        <v>ninguno</v>
      </c>
      <c r="W289" s="280">
        <f>VLOOKUP(U289,LISTAITEMS,5,FALSE)</f>
        <v>0</v>
      </c>
    </row>
    <row r="292" spans="1:23" x14ac:dyDescent="0.25">
      <c r="A292" s="277" t="s">
        <v>1155</v>
      </c>
      <c r="B292" s="277"/>
      <c r="C292" s="277"/>
      <c r="D292" s="277"/>
      <c r="E292" s="277"/>
      <c r="F292" s="277"/>
      <c r="G292" s="277"/>
      <c r="H292" s="277"/>
      <c r="I292" s="277"/>
      <c r="J292" s="277"/>
      <c r="K292" s="277"/>
      <c r="L292" s="277"/>
      <c r="M292" s="277"/>
      <c r="N292" s="277"/>
      <c r="O292" s="277"/>
      <c r="P292" s="277"/>
      <c r="Q292" s="277"/>
      <c r="R292" s="277"/>
      <c r="S292" s="277"/>
      <c r="T292" s="277"/>
      <c r="U292" s="277"/>
      <c r="V292" s="277"/>
      <c r="W292" s="277"/>
    </row>
    <row r="293" spans="1:23" x14ac:dyDescent="0.25">
      <c r="A293" s="277"/>
      <c r="B293" s="277"/>
      <c r="C293" s="277"/>
      <c r="D293" s="277"/>
      <c r="E293" s="277"/>
      <c r="F293" s="277"/>
      <c r="G293" s="277"/>
      <c r="H293" s="277"/>
      <c r="I293" s="277"/>
      <c r="J293" s="277"/>
      <c r="K293" s="277"/>
      <c r="L293" s="277"/>
      <c r="M293" s="277"/>
      <c r="N293" s="277"/>
      <c r="O293" s="277"/>
      <c r="P293" s="277"/>
      <c r="Q293" s="277"/>
      <c r="R293" s="277"/>
      <c r="S293" s="277"/>
      <c r="T293" s="277"/>
      <c r="U293" s="277"/>
      <c r="V293" s="277"/>
      <c r="W293" s="277"/>
    </row>
    <row r="294" spans="1:23" x14ac:dyDescent="0.25">
      <c r="A294" s="286"/>
      <c r="B294" s="286" t="s">
        <v>1010</v>
      </c>
      <c r="C294" s="286"/>
      <c r="D294" s="286"/>
      <c r="E294" s="286"/>
      <c r="F294" s="286"/>
      <c r="G294" s="286"/>
      <c r="H294" s="286"/>
      <c r="I294" s="286"/>
      <c r="J294" s="286"/>
      <c r="K294" s="286"/>
      <c r="L294" s="286"/>
      <c r="M294" s="286"/>
      <c r="N294" s="286"/>
      <c r="O294" s="286"/>
      <c r="P294" s="286"/>
      <c r="Q294" s="286"/>
      <c r="R294" s="286"/>
      <c r="S294" s="286"/>
      <c r="T294" s="286"/>
      <c r="U294" s="286"/>
      <c r="V294" s="286"/>
      <c r="W294" s="286"/>
    </row>
    <row r="295" spans="1:23" x14ac:dyDescent="0.25">
      <c r="A295" s="278"/>
      <c r="B295" s="278" t="s">
        <v>203</v>
      </c>
      <c r="C295" s="281" t="s">
        <v>202</v>
      </c>
      <c r="D295" s="285" t="s">
        <v>149</v>
      </c>
      <c r="E295" s="285" t="s">
        <v>1166</v>
      </c>
      <c r="F295" s="281" t="s">
        <v>203</v>
      </c>
      <c r="G295" s="285" t="s">
        <v>1171</v>
      </c>
      <c r="H295" s="285" t="s">
        <v>149</v>
      </c>
      <c r="I295" s="285" t="s">
        <v>1167</v>
      </c>
      <c r="J295" s="281" t="s">
        <v>203</v>
      </c>
      <c r="K295" s="285" t="s">
        <v>1171</v>
      </c>
      <c r="L295" s="285" t="s">
        <v>149</v>
      </c>
      <c r="M295" s="285" t="s">
        <v>1168</v>
      </c>
      <c r="N295" s="281" t="s">
        <v>203</v>
      </c>
      <c r="O295" s="285" t="s">
        <v>1171</v>
      </c>
      <c r="P295" s="285" t="s">
        <v>149</v>
      </c>
      <c r="Q295" s="285" t="s">
        <v>1169</v>
      </c>
      <c r="R295" s="281" t="s">
        <v>203</v>
      </c>
      <c r="S295" s="285" t="s">
        <v>1171</v>
      </c>
      <c r="T295" s="285" t="s">
        <v>149</v>
      </c>
      <c r="U295" s="285" t="s">
        <v>1170</v>
      </c>
      <c r="V295" s="281" t="s">
        <v>203</v>
      </c>
      <c r="W295" s="285" t="s">
        <v>1171</v>
      </c>
    </row>
    <row r="296" spans="1:23" x14ac:dyDescent="0.25">
      <c r="A296" s="284" t="s">
        <v>1165</v>
      </c>
      <c r="B296" s="284"/>
      <c r="C296" s="279">
        <f>((D296*G296)+(K296*H296)+(O296*L296)+(S296*P296)+(W296*T296))</f>
        <v>0</v>
      </c>
      <c r="D296" s="282">
        <v>0</v>
      </c>
      <c r="E296" s="283" t="s">
        <v>926</v>
      </c>
      <c r="F296" s="59" t="str">
        <f t="shared" ref="F296" si="143">VLOOKUP(E296,LISTAITEMS,2,FALSE)</f>
        <v>ninguno</v>
      </c>
      <c r="G296" s="280">
        <f>VLOOKUP(E296,LISTAITEMS,5,FALSE)</f>
        <v>0</v>
      </c>
      <c r="H296" s="282">
        <v>0</v>
      </c>
      <c r="I296" s="283" t="s">
        <v>926</v>
      </c>
      <c r="J296" s="59" t="str">
        <f t="shared" ref="J296" si="144">VLOOKUP(I296,LISTAITEMS,2,FALSE)</f>
        <v>ninguno</v>
      </c>
      <c r="K296" s="280">
        <f>VLOOKUP(I296,LISTAITEMS,5,FALSE)</f>
        <v>0</v>
      </c>
      <c r="L296" s="282">
        <v>0</v>
      </c>
      <c r="M296" s="283" t="s">
        <v>926</v>
      </c>
      <c r="N296" s="59" t="str">
        <f t="shared" ref="N296" si="145">VLOOKUP(M296,LISTAITEMS,2,FALSE)</f>
        <v>ninguno</v>
      </c>
      <c r="O296" s="280">
        <f>VLOOKUP(M296,LISTAITEMS,5,FALSE)</f>
        <v>0</v>
      </c>
      <c r="P296" s="282">
        <v>0</v>
      </c>
      <c r="Q296" s="283" t="s">
        <v>926</v>
      </c>
      <c r="R296" s="59" t="str">
        <f t="shared" ref="R296" si="146">VLOOKUP(Q296,LISTAITEMS,2,FALSE)</f>
        <v>ninguno</v>
      </c>
      <c r="S296" s="280">
        <f>VLOOKUP(Q296,LISTAITEMS,5,FALSE)</f>
        <v>0</v>
      </c>
      <c r="T296" s="282">
        <v>0</v>
      </c>
      <c r="U296" s="283" t="s">
        <v>926</v>
      </c>
      <c r="V296" s="59" t="str">
        <f t="shared" ref="V296" si="147">VLOOKUP(U296,LISTAITEMS,2,FALSE)</f>
        <v>ninguno</v>
      </c>
      <c r="W296" s="280">
        <f>VLOOKUP(U296,LISTAITEMS,5,FALSE)</f>
        <v>0</v>
      </c>
    </row>
    <row r="300" spans="1:23" x14ac:dyDescent="0.25">
      <c r="A300" s="277" t="s">
        <v>1156</v>
      </c>
      <c r="B300" s="277"/>
      <c r="C300" s="277"/>
      <c r="D300" s="277"/>
      <c r="E300" s="277"/>
      <c r="F300" s="277"/>
      <c r="G300" s="277"/>
      <c r="H300" s="277"/>
      <c r="I300" s="277"/>
      <c r="J300" s="277"/>
      <c r="K300" s="277"/>
      <c r="L300" s="277"/>
      <c r="M300" s="277"/>
      <c r="N300" s="277"/>
      <c r="O300" s="277"/>
      <c r="P300" s="277"/>
      <c r="Q300" s="277"/>
      <c r="R300" s="277"/>
      <c r="S300" s="277"/>
      <c r="T300" s="277"/>
      <c r="U300" s="277"/>
      <c r="V300" s="277"/>
      <c r="W300" s="277"/>
    </row>
    <row r="301" spans="1:23" x14ac:dyDescent="0.25">
      <c r="A301" s="277"/>
      <c r="B301" s="277"/>
      <c r="C301" s="277"/>
      <c r="D301" s="277"/>
      <c r="E301" s="277"/>
      <c r="F301" s="277"/>
      <c r="G301" s="277"/>
      <c r="H301" s="277"/>
      <c r="I301" s="277"/>
      <c r="J301" s="277"/>
      <c r="K301" s="277"/>
      <c r="L301" s="277"/>
      <c r="M301" s="277"/>
      <c r="N301" s="277"/>
      <c r="O301" s="277"/>
      <c r="P301" s="277"/>
      <c r="Q301" s="277"/>
      <c r="R301" s="277"/>
      <c r="S301" s="277"/>
      <c r="T301" s="277"/>
      <c r="U301" s="277"/>
      <c r="V301" s="277"/>
      <c r="W301" s="277"/>
    </row>
    <row r="302" spans="1:23" x14ac:dyDescent="0.25">
      <c r="A302" s="286"/>
      <c r="B302" s="286" t="s">
        <v>1010</v>
      </c>
      <c r="C302" s="286"/>
      <c r="D302" s="286"/>
      <c r="E302" s="286"/>
      <c r="F302" s="286"/>
      <c r="G302" s="286"/>
      <c r="H302" s="286"/>
      <c r="I302" s="286"/>
      <c r="J302" s="286"/>
      <c r="K302" s="286"/>
      <c r="L302" s="286"/>
      <c r="M302" s="286"/>
      <c r="N302" s="286"/>
      <c r="O302" s="286"/>
      <c r="P302" s="286"/>
      <c r="Q302" s="286"/>
      <c r="R302" s="286"/>
      <c r="S302" s="286"/>
      <c r="T302" s="286"/>
      <c r="U302" s="286"/>
      <c r="V302" s="286"/>
      <c r="W302" s="286"/>
    </row>
    <row r="303" spans="1:23" x14ac:dyDescent="0.25">
      <c r="A303" s="278"/>
      <c r="B303" s="278" t="s">
        <v>203</v>
      </c>
      <c r="C303" s="281" t="s">
        <v>202</v>
      </c>
      <c r="D303" s="285" t="s">
        <v>149</v>
      </c>
      <c r="E303" s="285" t="s">
        <v>1166</v>
      </c>
      <c r="F303" s="281" t="s">
        <v>203</v>
      </c>
      <c r="G303" s="285" t="s">
        <v>1171</v>
      </c>
      <c r="H303" s="285" t="s">
        <v>149</v>
      </c>
      <c r="I303" s="285" t="s">
        <v>1167</v>
      </c>
      <c r="J303" s="281" t="s">
        <v>203</v>
      </c>
      <c r="K303" s="285" t="s">
        <v>1171</v>
      </c>
      <c r="L303" s="285" t="s">
        <v>149</v>
      </c>
      <c r="M303" s="285" t="s">
        <v>1168</v>
      </c>
      <c r="N303" s="281" t="s">
        <v>203</v>
      </c>
      <c r="O303" s="285" t="s">
        <v>1171</v>
      </c>
      <c r="P303" s="285" t="s">
        <v>149</v>
      </c>
      <c r="Q303" s="285" t="s">
        <v>1169</v>
      </c>
      <c r="R303" s="281" t="s">
        <v>203</v>
      </c>
      <c r="S303" s="285" t="s">
        <v>1171</v>
      </c>
      <c r="T303" s="285" t="s">
        <v>149</v>
      </c>
      <c r="U303" s="285" t="s">
        <v>1170</v>
      </c>
      <c r="V303" s="281" t="s">
        <v>203</v>
      </c>
      <c r="W303" s="285" t="s">
        <v>1171</v>
      </c>
    </row>
    <row r="304" spans="1:23" x14ac:dyDescent="0.25">
      <c r="A304" s="284" t="s">
        <v>1165</v>
      </c>
      <c r="B304" s="284"/>
      <c r="C304" s="279">
        <f>((D304*G304)+(K304*H304)+(O304*L304)+(S304*P304)+(W304*T304))</f>
        <v>0</v>
      </c>
      <c r="D304" s="282">
        <v>0</v>
      </c>
      <c r="E304" s="283" t="s">
        <v>926</v>
      </c>
      <c r="F304" s="59" t="str">
        <f t="shared" ref="F304" si="148">VLOOKUP(E304,LISTAITEMS,2,FALSE)</f>
        <v>ninguno</v>
      </c>
      <c r="G304" s="280">
        <f>VLOOKUP(E304,LISTAITEMS,5,FALSE)</f>
        <v>0</v>
      </c>
      <c r="H304" s="282">
        <v>0</v>
      </c>
      <c r="I304" s="283" t="s">
        <v>926</v>
      </c>
      <c r="J304" s="59" t="str">
        <f t="shared" ref="J304" si="149">VLOOKUP(I304,LISTAITEMS,2,FALSE)</f>
        <v>ninguno</v>
      </c>
      <c r="K304" s="280">
        <f>VLOOKUP(I304,LISTAITEMS,5,FALSE)</f>
        <v>0</v>
      </c>
      <c r="L304" s="282">
        <v>0</v>
      </c>
      <c r="M304" s="283" t="s">
        <v>926</v>
      </c>
      <c r="N304" s="59" t="str">
        <f t="shared" ref="N304" si="150">VLOOKUP(M304,LISTAITEMS,2,FALSE)</f>
        <v>ninguno</v>
      </c>
      <c r="O304" s="280">
        <f>VLOOKUP(M304,LISTAITEMS,5,FALSE)</f>
        <v>0</v>
      </c>
      <c r="P304" s="282">
        <v>0</v>
      </c>
      <c r="Q304" s="283" t="s">
        <v>926</v>
      </c>
      <c r="R304" s="59" t="str">
        <f t="shared" ref="R304" si="151">VLOOKUP(Q304,LISTAITEMS,2,FALSE)</f>
        <v>ninguno</v>
      </c>
      <c r="S304" s="280">
        <f>VLOOKUP(Q304,LISTAITEMS,5,FALSE)</f>
        <v>0</v>
      </c>
      <c r="T304" s="282">
        <v>0</v>
      </c>
      <c r="U304" s="283" t="s">
        <v>926</v>
      </c>
      <c r="V304" s="59" t="str">
        <f t="shared" ref="V304" si="152">VLOOKUP(U304,LISTAITEMS,2,FALSE)</f>
        <v>ninguno</v>
      </c>
      <c r="W304" s="280">
        <f>VLOOKUP(U304,LISTAITEMS,5,FALSE)</f>
        <v>0</v>
      </c>
    </row>
    <row r="308" spans="1:23" x14ac:dyDescent="0.25">
      <c r="A308" s="277" t="s">
        <v>1140</v>
      </c>
      <c r="B308" s="277"/>
      <c r="C308" s="277"/>
      <c r="D308" s="277"/>
      <c r="E308" s="277"/>
      <c r="F308" s="277"/>
      <c r="G308" s="277"/>
      <c r="H308" s="277"/>
      <c r="I308" s="277"/>
      <c r="J308" s="277"/>
      <c r="K308" s="277"/>
      <c r="L308" s="277"/>
      <c r="M308" s="277"/>
      <c r="N308" s="277"/>
      <c r="O308" s="277"/>
      <c r="P308" s="277"/>
      <c r="Q308" s="277"/>
      <c r="R308" s="277"/>
      <c r="S308" s="277"/>
      <c r="T308" s="277"/>
      <c r="U308" s="277"/>
      <c r="V308" s="277"/>
      <c r="W308" s="277"/>
    </row>
    <row r="309" spans="1:23" x14ac:dyDescent="0.25">
      <c r="A309" s="277"/>
      <c r="B309" s="277"/>
      <c r="C309" s="277"/>
      <c r="D309" s="277"/>
      <c r="E309" s="277"/>
      <c r="F309" s="277"/>
      <c r="G309" s="277"/>
      <c r="H309" s="277"/>
      <c r="I309" s="277"/>
      <c r="J309" s="277"/>
      <c r="K309" s="277"/>
      <c r="L309" s="277"/>
      <c r="M309" s="277"/>
      <c r="N309" s="277"/>
      <c r="O309" s="277"/>
      <c r="P309" s="277"/>
      <c r="Q309" s="277"/>
      <c r="R309" s="277"/>
      <c r="S309" s="277"/>
      <c r="T309" s="277"/>
      <c r="U309" s="277"/>
      <c r="V309" s="277"/>
      <c r="W309" s="277"/>
    </row>
    <row r="310" spans="1:23" x14ac:dyDescent="0.25">
      <c r="A310" s="286"/>
      <c r="B310" s="286" t="s">
        <v>1010</v>
      </c>
      <c r="C310" s="286"/>
      <c r="D310" s="286"/>
      <c r="E310" s="286"/>
      <c r="F310" s="286"/>
      <c r="G310" s="286"/>
      <c r="H310" s="286"/>
      <c r="I310" s="286"/>
      <c r="J310" s="286"/>
      <c r="K310" s="286"/>
      <c r="L310" s="286"/>
      <c r="M310" s="286"/>
      <c r="N310" s="286"/>
      <c r="O310" s="286"/>
      <c r="P310" s="286"/>
      <c r="Q310" s="286"/>
      <c r="R310" s="286"/>
      <c r="S310" s="286"/>
      <c r="T310" s="286"/>
      <c r="U310" s="286"/>
      <c r="V310" s="286"/>
      <c r="W310" s="286"/>
    </row>
    <row r="311" spans="1:23" x14ac:dyDescent="0.25">
      <c r="A311" s="278"/>
      <c r="B311" s="278" t="s">
        <v>203</v>
      </c>
      <c r="C311" s="281" t="s">
        <v>202</v>
      </c>
      <c r="D311" s="285" t="s">
        <v>149</v>
      </c>
      <c r="E311" s="285" t="s">
        <v>1166</v>
      </c>
      <c r="F311" s="281" t="s">
        <v>203</v>
      </c>
      <c r="G311" s="285" t="s">
        <v>1171</v>
      </c>
      <c r="H311" s="285" t="s">
        <v>149</v>
      </c>
      <c r="I311" s="285" t="s">
        <v>1167</v>
      </c>
      <c r="J311" s="281" t="s">
        <v>203</v>
      </c>
      <c r="K311" s="285" t="s">
        <v>1171</v>
      </c>
      <c r="L311" s="285" t="s">
        <v>149</v>
      </c>
      <c r="M311" s="285" t="s">
        <v>1168</v>
      </c>
      <c r="N311" s="281" t="s">
        <v>203</v>
      </c>
      <c r="O311" s="285" t="s">
        <v>1171</v>
      </c>
      <c r="P311" s="285" t="s">
        <v>149</v>
      </c>
      <c r="Q311" s="285" t="s">
        <v>1169</v>
      </c>
      <c r="R311" s="281" t="s">
        <v>203</v>
      </c>
      <c r="S311" s="285" t="s">
        <v>1171</v>
      </c>
      <c r="T311" s="285" t="s">
        <v>149</v>
      </c>
      <c r="U311" s="285" t="s">
        <v>1170</v>
      </c>
      <c r="V311" s="281" t="s">
        <v>203</v>
      </c>
      <c r="W311" s="285" t="s">
        <v>1171</v>
      </c>
    </row>
    <row r="312" spans="1:23" x14ac:dyDescent="0.25">
      <c r="A312" s="284" t="s">
        <v>1165</v>
      </c>
      <c r="B312" s="284"/>
      <c r="C312" s="279">
        <f>((D312*G312)+(K312*H312)+(O312*L312)+(S312*P312)+(W312*T312))</f>
        <v>0</v>
      </c>
      <c r="D312" s="282">
        <v>0</v>
      </c>
      <c r="E312" s="283" t="s">
        <v>926</v>
      </c>
      <c r="F312" s="59" t="str">
        <f t="shared" ref="F312" si="153">VLOOKUP(E312,LISTAITEMS,2,FALSE)</f>
        <v>ninguno</v>
      </c>
      <c r="G312" s="280">
        <f>VLOOKUP(E312,LISTAITEMS,5,FALSE)</f>
        <v>0</v>
      </c>
      <c r="H312" s="282">
        <v>0</v>
      </c>
      <c r="I312" s="283" t="s">
        <v>926</v>
      </c>
      <c r="J312" s="59" t="str">
        <f t="shared" ref="J312" si="154">VLOOKUP(I312,LISTAITEMS,2,FALSE)</f>
        <v>ninguno</v>
      </c>
      <c r="K312" s="280">
        <f>VLOOKUP(I312,LISTAITEMS,5,FALSE)</f>
        <v>0</v>
      </c>
      <c r="L312" s="282">
        <v>0</v>
      </c>
      <c r="M312" s="283" t="s">
        <v>926</v>
      </c>
      <c r="N312" s="59" t="str">
        <f t="shared" ref="N312" si="155">VLOOKUP(M312,LISTAITEMS,2,FALSE)</f>
        <v>ninguno</v>
      </c>
      <c r="O312" s="280">
        <f>VLOOKUP(M312,LISTAITEMS,5,FALSE)</f>
        <v>0</v>
      </c>
      <c r="P312" s="282">
        <v>0</v>
      </c>
      <c r="Q312" s="283" t="s">
        <v>926</v>
      </c>
      <c r="R312" s="59" t="str">
        <f t="shared" ref="R312" si="156">VLOOKUP(Q312,LISTAITEMS,2,FALSE)</f>
        <v>ninguno</v>
      </c>
      <c r="S312" s="280">
        <f>VLOOKUP(Q312,LISTAITEMS,5,FALSE)</f>
        <v>0</v>
      </c>
      <c r="T312" s="282">
        <v>0</v>
      </c>
      <c r="U312" s="283" t="s">
        <v>926</v>
      </c>
      <c r="V312" s="59" t="str">
        <f t="shared" ref="V312" si="157">VLOOKUP(U312,LISTAITEMS,2,FALSE)</f>
        <v>ninguno</v>
      </c>
      <c r="W312" s="280">
        <f>VLOOKUP(U312,LISTAITEMS,5,FALSE)</f>
        <v>0</v>
      </c>
    </row>
    <row r="317" spans="1:23" x14ac:dyDescent="0.25">
      <c r="A317" s="277" t="s">
        <v>1139</v>
      </c>
      <c r="B317" s="277"/>
      <c r="C317" s="277"/>
      <c r="D317" s="277"/>
      <c r="E317" s="277"/>
      <c r="F317" s="277"/>
      <c r="G317" s="277"/>
      <c r="H317" s="277"/>
      <c r="I317" s="277"/>
      <c r="J317" s="277"/>
      <c r="K317" s="277"/>
      <c r="L317" s="277"/>
      <c r="M317" s="277"/>
      <c r="N317" s="277"/>
      <c r="O317" s="277"/>
      <c r="P317" s="277"/>
      <c r="Q317" s="277"/>
      <c r="R317" s="277"/>
      <c r="S317" s="277"/>
      <c r="T317" s="277"/>
      <c r="U317" s="277"/>
      <c r="V317" s="277"/>
      <c r="W317" s="277"/>
    </row>
    <row r="318" spans="1:23" x14ac:dyDescent="0.25">
      <c r="A318" s="277"/>
      <c r="B318" s="277"/>
      <c r="C318" s="277"/>
      <c r="D318" s="277"/>
      <c r="E318" s="277"/>
      <c r="F318" s="277"/>
      <c r="G318" s="277"/>
      <c r="H318" s="277"/>
      <c r="I318" s="277"/>
      <c r="J318" s="277"/>
      <c r="K318" s="277"/>
      <c r="L318" s="277"/>
      <c r="M318" s="277"/>
      <c r="N318" s="277"/>
      <c r="O318" s="277"/>
      <c r="P318" s="277"/>
      <c r="Q318" s="277"/>
      <c r="R318" s="277"/>
      <c r="S318" s="277"/>
      <c r="T318" s="277"/>
      <c r="U318" s="277"/>
      <c r="V318" s="277"/>
      <c r="W318" s="277"/>
    </row>
    <row r="319" spans="1:23" x14ac:dyDescent="0.25">
      <c r="A319" s="286"/>
      <c r="B319" s="286" t="s">
        <v>1010</v>
      </c>
      <c r="C319" s="286"/>
      <c r="D319" s="286"/>
      <c r="E319" s="286"/>
      <c r="F319" s="286"/>
      <c r="G319" s="286"/>
      <c r="H319" s="286"/>
      <c r="I319" s="286"/>
      <c r="J319" s="286"/>
      <c r="K319" s="286"/>
      <c r="L319" s="286"/>
      <c r="M319" s="286"/>
      <c r="N319" s="286"/>
      <c r="O319" s="286"/>
      <c r="P319" s="286"/>
      <c r="Q319" s="286"/>
      <c r="R319" s="286"/>
      <c r="S319" s="286"/>
      <c r="T319" s="286"/>
      <c r="U319" s="286"/>
      <c r="V319" s="286"/>
      <c r="W319" s="286"/>
    </row>
    <row r="320" spans="1:23" x14ac:dyDescent="0.25">
      <c r="A320" s="278"/>
      <c r="B320" s="278" t="s">
        <v>203</v>
      </c>
      <c r="C320" s="281" t="s">
        <v>202</v>
      </c>
      <c r="D320" s="285" t="s">
        <v>149</v>
      </c>
      <c r="E320" s="285" t="s">
        <v>1166</v>
      </c>
      <c r="F320" s="281" t="s">
        <v>203</v>
      </c>
      <c r="G320" s="285" t="s">
        <v>1171</v>
      </c>
      <c r="H320" s="285" t="s">
        <v>149</v>
      </c>
      <c r="I320" s="285" t="s">
        <v>1167</v>
      </c>
      <c r="J320" s="281" t="s">
        <v>203</v>
      </c>
      <c r="K320" s="285" t="s">
        <v>1171</v>
      </c>
      <c r="L320" s="285" t="s">
        <v>149</v>
      </c>
      <c r="M320" s="285" t="s">
        <v>1168</v>
      </c>
      <c r="N320" s="281" t="s">
        <v>203</v>
      </c>
      <c r="O320" s="285" t="s">
        <v>1171</v>
      </c>
      <c r="P320" s="285" t="s">
        <v>149</v>
      </c>
      <c r="Q320" s="285" t="s">
        <v>1169</v>
      </c>
      <c r="R320" s="281" t="s">
        <v>203</v>
      </c>
      <c r="S320" s="285" t="s">
        <v>1171</v>
      </c>
      <c r="T320" s="285" t="s">
        <v>149</v>
      </c>
      <c r="U320" s="285" t="s">
        <v>1170</v>
      </c>
      <c r="V320" s="281" t="s">
        <v>203</v>
      </c>
      <c r="W320" s="285" t="s">
        <v>1171</v>
      </c>
    </row>
    <row r="321" spans="1:23" x14ac:dyDescent="0.25">
      <c r="A321" s="284" t="s">
        <v>1165</v>
      </c>
      <c r="B321" s="284"/>
      <c r="C321" s="279">
        <f>((D321*G321)+(K321*H321)+(O321*L321)+(S321*P321)+(W321*T321))</f>
        <v>0</v>
      </c>
      <c r="D321" s="282">
        <v>0</v>
      </c>
      <c r="E321" s="283" t="s">
        <v>926</v>
      </c>
      <c r="F321" s="59" t="str">
        <f t="shared" ref="F321" si="158">VLOOKUP(E321,LISTAITEMS,2,FALSE)</f>
        <v>ninguno</v>
      </c>
      <c r="G321" s="280">
        <f>VLOOKUP(E321,LISTAITEMS,5,FALSE)</f>
        <v>0</v>
      </c>
      <c r="H321" s="282">
        <v>0</v>
      </c>
      <c r="I321" s="283" t="s">
        <v>926</v>
      </c>
      <c r="J321" s="59" t="str">
        <f t="shared" ref="J321" si="159">VLOOKUP(I321,LISTAITEMS,2,FALSE)</f>
        <v>ninguno</v>
      </c>
      <c r="K321" s="280">
        <f>VLOOKUP(I321,LISTAITEMS,5,FALSE)</f>
        <v>0</v>
      </c>
      <c r="L321" s="282">
        <v>0</v>
      </c>
      <c r="M321" s="283" t="s">
        <v>926</v>
      </c>
      <c r="N321" s="59" t="str">
        <f t="shared" ref="N321" si="160">VLOOKUP(M321,LISTAITEMS,2,FALSE)</f>
        <v>ninguno</v>
      </c>
      <c r="O321" s="280">
        <f>VLOOKUP(M321,LISTAITEMS,5,FALSE)</f>
        <v>0</v>
      </c>
      <c r="P321" s="282">
        <v>0</v>
      </c>
      <c r="Q321" s="283" t="s">
        <v>926</v>
      </c>
      <c r="R321" s="59" t="str">
        <f t="shared" ref="R321" si="161">VLOOKUP(Q321,LISTAITEMS,2,FALSE)</f>
        <v>ninguno</v>
      </c>
      <c r="S321" s="280">
        <f>VLOOKUP(Q321,LISTAITEMS,5,FALSE)</f>
        <v>0</v>
      </c>
      <c r="T321" s="282">
        <v>0</v>
      </c>
      <c r="U321" s="283" t="s">
        <v>926</v>
      </c>
      <c r="V321" s="59" t="str">
        <f t="shared" ref="V321" si="162">VLOOKUP(U321,LISTAITEMS,2,FALSE)</f>
        <v>ninguno</v>
      </c>
      <c r="W321" s="280">
        <f>VLOOKUP(U321,LISTAITEMS,5,FALSE)</f>
        <v>0</v>
      </c>
    </row>
    <row r="327" spans="1:23" x14ac:dyDescent="0.25">
      <c r="A327" s="277" t="s">
        <v>1113</v>
      </c>
      <c r="B327" s="277"/>
      <c r="C327" s="277"/>
      <c r="D327" s="277"/>
      <c r="E327" s="277"/>
      <c r="F327" s="277"/>
      <c r="G327" s="277"/>
      <c r="H327" s="277"/>
      <c r="I327" s="277"/>
      <c r="J327" s="277"/>
      <c r="K327" s="277"/>
      <c r="L327" s="277"/>
      <c r="M327" s="277"/>
      <c r="N327" s="277"/>
      <c r="O327" s="277"/>
      <c r="P327" s="277"/>
      <c r="Q327" s="277"/>
      <c r="R327" s="277"/>
      <c r="S327" s="277"/>
      <c r="T327" s="277"/>
      <c r="U327" s="277"/>
      <c r="V327" s="277"/>
      <c r="W327" s="277"/>
    </row>
    <row r="328" spans="1:23" x14ac:dyDescent="0.25">
      <c r="A328" s="277"/>
      <c r="B328" s="277"/>
      <c r="C328" s="277"/>
      <c r="D328" s="277"/>
      <c r="E328" s="277"/>
      <c r="F328" s="277"/>
      <c r="G328" s="277"/>
      <c r="H328" s="277"/>
      <c r="I328" s="277"/>
      <c r="J328" s="277"/>
      <c r="K328" s="277"/>
      <c r="L328" s="277"/>
      <c r="M328" s="277"/>
      <c r="N328" s="277"/>
      <c r="O328" s="277"/>
      <c r="P328" s="277"/>
      <c r="Q328" s="277"/>
      <c r="R328" s="277"/>
      <c r="S328" s="277"/>
      <c r="T328" s="277"/>
      <c r="U328" s="277"/>
      <c r="V328" s="277"/>
      <c r="W328" s="277"/>
    </row>
    <row r="329" spans="1:23" x14ac:dyDescent="0.25">
      <c r="A329" s="286"/>
      <c r="B329" s="286" t="s">
        <v>1010</v>
      </c>
      <c r="C329" s="286"/>
      <c r="D329" s="286"/>
      <c r="E329" s="286"/>
      <c r="F329" s="286"/>
      <c r="G329" s="286"/>
      <c r="H329" s="286"/>
      <c r="I329" s="286"/>
      <c r="J329" s="286"/>
      <c r="K329" s="286"/>
      <c r="L329" s="286"/>
      <c r="M329" s="286"/>
      <c r="N329" s="286"/>
      <c r="O329" s="286"/>
      <c r="P329" s="286"/>
      <c r="Q329" s="286"/>
      <c r="R329" s="286"/>
      <c r="S329" s="286"/>
      <c r="T329" s="286"/>
      <c r="U329" s="286"/>
      <c r="V329" s="286"/>
      <c r="W329" s="286"/>
    </row>
    <row r="330" spans="1:23" x14ac:dyDescent="0.25">
      <c r="A330" s="278"/>
      <c r="B330" s="278" t="s">
        <v>203</v>
      </c>
      <c r="C330" s="281" t="s">
        <v>202</v>
      </c>
      <c r="D330" s="285" t="s">
        <v>149</v>
      </c>
      <c r="E330" s="285" t="s">
        <v>1166</v>
      </c>
      <c r="F330" s="281" t="s">
        <v>203</v>
      </c>
      <c r="G330" s="285" t="s">
        <v>1171</v>
      </c>
      <c r="H330" s="285" t="s">
        <v>149</v>
      </c>
      <c r="I330" s="285" t="s">
        <v>1167</v>
      </c>
      <c r="J330" s="281" t="s">
        <v>203</v>
      </c>
      <c r="K330" s="285" t="s">
        <v>1171</v>
      </c>
      <c r="L330" s="285" t="s">
        <v>149</v>
      </c>
      <c r="M330" s="285" t="s">
        <v>1168</v>
      </c>
      <c r="N330" s="281" t="s">
        <v>203</v>
      </c>
      <c r="O330" s="285" t="s">
        <v>1171</v>
      </c>
      <c r="P330" s="285" t="s">
        <v>149</v>
      </c>
      <c r="Q330" s="285" t="s">
        <v>1169</v>
      </c>
      <c r="R330" s="281" t="s">
        <v>203</v>
      </c>
      <c r="S330" s="285" t="s">
        <v>1171</v>
      </c>
      <c r="T330" s="285" t="s">
        <v>149</v>
      </c>
      <c r="U330" s="285" t="s">
        <v>1170</v>
      </c>
      <c r="V330" s="281" t="s">
        <v>203</v>
      </c>
      <c r="W330" s="285" t="s">
        <v>1171</v>
      </c>
    </row>
    <row r="331" spans="1:23" x14ac:dyDescent="0.25">
      <c r="A331" s="284" t="s">
        <v>1165</v>
      </c>
      <c r="B331" s="284"/>
      <c r="C331" s="279">
        <f>((D331*G331)+(K331*H331)+(O331*L331)+(S331*P331)+(W331*T331))</f>
        <v>0</v>
      </c>
      <c r="D331" s="282">
        <v>0</v>
      </c>
      <c r="E331" s="283" t="s">
        <v>926</v>
      </c>
      <c r="F331" s="59" t="str">
        <f t="shared" ref="F331" si="163">VLOOKUP(E331,LISTAITEMS,2,FALSE)</f>
        <v>ninguno</v>
      </c>
      <c r="G331" s="280">
        <f>VLOOKUP(E331,LISTAITEMS,5,FALSE)</f>
        <v>0</v>
      </c>
      <c r="H331" s="282">
        <v>0</v>
      </c>
      <c r="I331" s="283" t="s">
        <v>926</v>
      </c>
      <c r="J331" s="59" t="str">
        <f t="shared" ref="J331" si="164">VLOOKUP(I331,LISTAITEMS,2,FALSE)</f>
        <v>ninguno</v>
      </c>
      <c r="K331" s="280">
        <f>VLOOKUP(I331,LISTAITEMS,5,FALSE)</f>
        <v>0</v>
      </c>
      <c r="L331" s="282">
        <v>0</v>
      </c>
      <c r="M331" s="283" t="s">
        <v>926</v>
      </c>
      <c r="N331" s="59" t="str">
        <f t="shared" ref="N331" si="165">VLOOKUP(M331,LISTAITEMS,2,FALSE)</f>
        <v>ninguno</v>
      </c>
      <c r="O331" s="280">
        <f>VLOOKUP(M331,LISTAITEMS,5,FALSE)</f>
        <v>0</v>
      </c>
      <c r="P331" s="282">
        <v>0</v>
      </c>
      <c r="Q331" s="283" t="s">
        <v>926</v>
      </c>
      <c r="R331" s="59" t="str">
        <f t="shared" ref="R331" si="166">VLOOKUP(Q331,LISTAITEMS,2,FALSE)</f>
        <v>ninguno</v>
      </c>
      <c r="S331" s="280">
        <f>VLOOKUP(Q331,LISTAITEMS,5,FALSE)</f>
        <v>0</v>
      </c>
      <c r="T331" s="282">
        <v>0</v>
      </c>
      <c r="U331" s="283" t="s">
        <v>926</v>
      </c>
      <c r="V331" s="59" t="str">
        <f t="shared" ref="V331" si="167">VLOOKUP(U331,LISTAITEMS,2,FALSE)</f>
        <v>ninguno</v>
      </c>
      <c r="W331" s="280">
        <f>VLOOKUP(U331,LISTAITEMS,5,FALSE)</f>
        <v>0</v>
      </c>
    </row>
  </sheetData>
  <mergeCells count="99">
    <mergeCell ref="R7:R11"/>
    <mergeCell ref="R12:R16"/>
    <mergeCell ref="R17:R21"/>
    <mergeCell ref="R22:R26"/>
    <mergeCell ref="R2:R6"/>
    <mergeCell ref="M25:N25"/>
    <mergeCell ref="O25:P25"/>
    <mergeCell ref="M30:N30"/>
    <mergeCell ref="O30:P30"/>
    <mergeCell ref="G25:H25"/>
    <mergeCell ref="G30:H30"/>
    <mergeCell ref="K10:L10"/>
    <mergeCell ref="K11:L11"/>
    <mergeCell ref="K12:L12"/>
    <mergeCell ref="K13:L13"/>
    <mergeCell ref="E21:F21"/>
    <mergeCell ref="O20:P20"/>
    <mergeCell ref="I11:J11"/>
    <mergeCell ref="I12:J12"/>
    <mergeCell ref="I13:J13"/>
    <mergeCell ref="I14:J14"/>
    <mergeCell ref="E22:F22"/>
    <mergeCell ref="G10:H10"/>
    <mergeCell ref="G15:H15"/>
    <mergeCell ref="G20:H20"/>
    <mergeCell ref="A25:B25"/>
    <mergeCell ref="E23:F23"/>
    <mergeCell ref="E24:F24"/>
    <mergeCell ref="A30:B30"/>
    <mergeCell ref="C10:D10"/>
    <mergeCell ref="C15:D15"/>
    <mergeCell ref="C20:D20"/>
    <mergeCell ref="C25:D25"/>
    <mergeCell ref="C30:D30"/>
    <mergeCell ref="A15:B15"/>
    <mergeCell ref="O7:P7"/>
    <mergeCell ref="M7:N7"/>
    <mergeCell ref="A10:B10"/>
    <mergeCell ref="A20:B20"/>
    <mergeCell ref="E10:F10"/>
    <mergeCell ref="E15:F15"/>
    <mergeCell ref="E20:F20"/>
    <mergeCell ref="I10:J10"/>
    <mergeCell ref="I7:J7"/>
    <mergeCell ref="K7:L7"/>
    <mergeCell ref="K14:L14"/>
    <mergeCell ref="M10:N10"/>
    <mergeCell ref="O10:P10"/>
    <mergeCell ref="M15:N15"/>
    <mergeCell ref="O15:P15"/>
    <mergeCell ref="M20:N20"/>
    <mergeCell ref="M1:P1"/>
    <mergeCell ref="M2:N2"/>
    <mergeCell ref="O2:P2"/>
    <mergeCell ref="M3:N3"/>
    <mergeCell ref="O3:P3"/>
    <mergeCell ref="M4:N4"/>
    <mergeCell ref="O4:P4"/>
    <mergeCell ref="I5:J5"/>
    <mergeCell ref="K5:L5"/>
    <mergeCell ref="I6:J6"/>
    <mergeCell ref="K6:L6"/>
    <mergeCell ref="I4:J4"/>
    <mergeCell ref="K4:L4"/>
    <mergeCell ref="M5:N5"/>
    <mergeCell ref="O5:P5"/>
    <mergeCell ref="M6:N6"/>
    <mergeCell ref="O6:P6"/>
    <mergeCell ref="I1:L1"/>
    <mergeCell ref="I2:J2"/>
    <mergeCell ref="K2:L2"/>
    <mergeCell ref="I3:J3"/>
    <mergeCell ref="K3:L3"/>
    <mergeCell ref="E1:H1"/>
    <mergeCell ref="E2:F2"/>
    <mergeCell ref="G2:H2"/>
    <mergeCell ref="E3:F3"/>
    <mergeCell ref="G3:H3"/>
    <mergeCell ref="A5:B5"/>
    <mergeCell ref="A6:B6"/>
    <mergeCell ref="A7:B7"/>
    <mergeCell ref="E4:F4"/>
    <mergeCell ref="G4:H4"/>
    <mergeCell ref="C5:D5"/>
    <mergeCell ref="C6:D6"/>
    <mergeCell ref="C7:D7"/>
    <mergeCell ref="E5:F5"/>
    <mergeCell ref="G5:H5"/>
    <mergeCell ref="E6:F6"/>
    <mergeCell ref="G6:H6"/>
    <mergeCell ref="E7:F7"/>
    <mergeCell ref="G7:H7"/>
    <mergeCell ref="C3:D3"/>
    <mergeCell ref="A2:B2"/>
    <mergeCell ref="C2:D2"/>
    <mergeCell ref="A1:D1"/>
    <mergeCell ref="C4:D4"/>
    <mergeCell ref="A3:B3"/>
    <mergeCell ref="A4:B4"/>
  </mergeCells>
  <dataValidations count="2">
    <dataValidation type="list" allowBlank="1" showInputMessage="1" showErrorMessage="1" sqref="E42:E43 I42:I43 M42:M43 Q42:Q43 U42:U43 Q190 E69 I69 M69 Q69 U69 E83 I83 M83 Q83 U83 E96 I96 M96 Q96 U96 E111 I111 M111 Q111 U111 E124 I124 M124 Q124 U124 E138 I138 M138 Q138 U138 E150 I150 M150 Q150 U150 E163 I163 M163 Q163 U163 I175 M175 Q175 U175 U331 E195:E196 I195:I196 M195:M196 Q195:Q196 U195:U196 E208 I208 M208 Q208 U208 E218 I218 M218 Q218 U218 E229 I229 M229 Q229 U229 E240 I240 M240 Q240 U240 E251 I251 M251 Q251 U251 E259 I259 M259 Q259 U259 E267 I267 M267 Q267 U267 E281 I281 M281 Q281 U281 E274 I274 M274 Q274 U274 E289 I289 M289 Q289 U289 E296 I296 M296 Q296 U296 E304 I304 M304 Q304 U304 E312 I312 M312 Q312 U312 E321 I321 M321 Q321 U321 E331 I331 M331 Q331 E175 M178 Q178 U178 E178 I178 Q181 U181 E181 I181 M181 U184 E184 I184 M184 Q184 E187 I187 M187 Q187 U187 U190 E190 I190 M190" xr:uid="{00000000-0002-0000-0500-000000000000}">
      <formula1>IDS</formula1>
    </dataValidation>
    <dataValidation type="list" allowBlank="1" showInputMessage="1" showErrorMessage="1" sqref="E56:E57 H56:H57 K56:K57 N56:N57 Q56:Q57 V2:V26 Y2:Y26" xr:uid="{00000000-0002-0000-0500-000001000000}">
      <formula1>craftspar</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dimension ref="A1:M94"/>
  <sheetViews>
    <sheetView topLeftCell="A70" workbookViewId="0">
      <selection activeCell="C88" sqref="C88"/>
    </sheetView>
  </sheetViews>
  <sheetFormatPr baseColWidth="10" defaultRowHeight="15" x14ac:dyDescent="0.25"/>
  <cols>
    <col min="1" max="2" width="16.42578125" customWidth="1"/>
    <col min="3" max="8" width="18.140625" customWidth="1"/>
    <col min="9" max="9" width="20.85546875" customWidth="1"/>
    <col min="10" max="10" width="18.14062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1195</v>
      </c>
      <c r="D11" s="37">
        <v>1</v>
      </c>
      <c r="E11" s="28"/>
      <c r="G11" s="2"/>
    </row>
    <row r="12" spans="1:10" x14ac:dyDescent="0.25">
      <c r="C12" s="37" t="s">
        <v>1194</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50" t="s">
        <v>39</v>
      </c>
      <c r="B17" s="350"/>
      <c r="C17" s="3" t="s">
        <v>35</v>
      </c>
      <c r="D17" s="3" t="s">
        <v>51</v>
      </c>
      <c r="E17" s="3" t="s">
        <v>52</v>
      </c>
      <c r="F17" s="3" t="s">
        <v>53</v>
      </c>
      <c r="G17" s="3" t="s">
        <v>54</v>
      </c>
    </row>
    <row r="18" spans="1:9" x14ac:dyDescent="0.25">
      <c r="A18" s="343" t="s">
        <v>73</v>
      </c>
      <c r="B18" s="343"/>
      <c r="C18" s="37">
        <v>0</v>
      </c>
      <c r="D18" s="28">
        <f>$C$18+1</f>
        <v>1</v>
      </c>
      <c r="E18" s="28">
        <f>$D$18+1</f>
        <v>2</v>
      </c>
      <c r="F18" s="28">
        <f>$E$18+1</f>
        <v>3</v>
      </c>
      <c r="G18" s="28">
        <f>$F$18+1</f>
        <v>4</v>
      </c>
    </row>
    <row r="19" spans="1:9" x14ac:dyDescent="0.25">
      <c r="A19" s="343" t="s">
        <v>74</v>
      </c>
      <c r="B19" s="343"/>
      <c r="C19" s="37">
        <v>0</v>
      </c>
      <c r="D19" s="28">
        <f>$C$19+1</f>
        <v>1</v>
      </c>
      <c r="E19" s="28">
        <f>$D$19+2</f>
        <v>3</v>
      </c>
      <c r="F19" s="28">
        <f>$E$19+2</f>
        <v>5</v>
      </c>
      <c r="G19" s="28">
        <f>$F$19+2</f>
        <v>7</v>
      </c>
    </row>
    <row r="20" spans="1:9" x14ac:dyDescent="0.25">
      <c r="A20" s="343" t="s">
        <v>40</v>
      </c>
      <c r="B20" s="343"/>
      <c r="C20" s="37">
        <v>0</v>
      </c>
      <c r="D20" s="28">
        <f>$C$20+1</f>
        <v>1</v>
      </c>
      <c r="E20" s="28">
        <f>$D$20+1</f>
        <v>2</v>
      </c>
      <c r="F20" s="28">
        <f>$E$20+1</f>
        <v>3</v>
      </c>
      <c r="G20" s="28">
        <f>$F$20+1</f>
        <v>4</v>
      </c>
    </row>
    <row r="21" spans="1:9" x14ac:dyDescent="0.25">
      <c r="A21" s="343" t="s">
        <v>41</v>
      </c>
      <c r="B21" s="343"/>
      <c r="C21" s="37">
        <v>0</v>
      </c>
      <c r="D21" s="28">
        <f>$C$21+2</f>
        <v>2</v>
      </c>
      <c r="E21" s="28">
        <f>$D$21+1</f>
        <v>3</v>
      </c>
      <c r="F21" s="28">
        <f>$E$21+1</f>
        <v>4</v>
      </c>
      <c r="G21" s="28">
        <f>$F$21+1</f>
        <v>5</v>
      </c>
    </row>
    <row r="22" spans="1:9" x14ac:dyDescent="0.25">
      <c r="A22" s="343" t="s">
        <v>44</v>
      </c>
      <c r="B22" s="343"/>
      <c r="C22" s="37">
        <v>0</v>
      </c>
      <c r="D22" s="28">
        <f>$C$22+1</f>
        <v>1</v>
      </c>
      <c r="E22" s="28">
        <f>$D$22+1</f>
        <v>2</v>
      </c>
      <c r="F22" s="28">
        <f>$E$22+1</f>
        <v>3</v>
      </c>
      <c r="G22" s="28">
        <f>$F$22+1</f>
        <v>4</v>
      </c>
    </row>
    <row r="23" spans="1:9" x14ac:dyDescent="0.25">
      <c r="A23" s="343" t="s">
        <v>42</v>
      </c>
      <c r="B23" s="343"/>
      <c r="C23" s="37">
        <v>0</v>
      </c>
      <c r="D23" s="28">
        <f>C23</f>
        <v>0</v>
      </c>
      <c r="E23" s="28">
        <f>$D$23+1</f>
        <v>1</v>
      </c>
      <c r="F23" s="28">
        <f>$E$23+1</f>
        <v>2</v>
      </c>
      <c r="G23" s="28">
        <f>$F$23+1</f>
        <v>3</v>
      </c>
    </row>
    <row r="24" spans="1:9" x14ac:dyDescent="0.25">
      <c r="A24" s="343" t="s">
        <v>43</v>
      </c>
      <c r="B24" s="343"/>
      <c r="C24" s="37">
        <v>0</v>
      </c>
      <c r="D24" s="28">
        <f>$C$24+1</f>
        <v>1</v>
      </c>
      <c r="E24" s="28">
        <f>$D$24+1</f>
        <v>2</v>
      </c>
      <c r="F24" s="28">
        <f>$E$24+1</f>
        <v>3</v>
      </c>
      <c r="G24" s="28">
        <f>$F$24+1</f>
        <v>4</v>
      </c>
    </row>
    <row r="25" spans="1:9" x14ac:dyDescent="0.25">
      <c r="A25" s="343" t="s">
        <v>45</v>
      </c>
      <c r="B25" s="343"/>
      <c r="C25" s="37">
        <v>1</v>
      </c>
      <c r="D25" s="28">
        <f>$C$25+1</f>
        <v>2</v>
      </c>
      <c r="E25" s="28">
        <f>$D$25+2</f>
        <v>4</v>
      </c>
      <c r="F25" s="28">
        <f>$E$25+1</f>
        <v>5</v>
      </c>
      <c r="G25" s="28">
        <f>$F$25+1</f>
        <v>6</v>
      </c>
    </row>
    <row r="26" spans="1:9" x14ac:dyDescent="0.25">
      <c r="A26" s="343" t="s">
        <v>46</v>
      </c>
      <c r="B26" s="343"/>
      <c r="C26" s="37">
        <v>2</v>
      </c>
      <c r="D26" s="28">
        <f>$C$26+2</f>
        <v>4</v>
      </c>
      <c r="E26" s="28">
        <f>$D$26+2</f>
        <v>6</v>
      </c>
      <c r="F26" s="28">
        <f>$E$26+2</f>
        <v>8</v>
      </c>
      <c r="G26" s="28">
        <f>$F$26+2</f>
        <v>10</v>
      </c>
      <c r="I26" s="15" t="s">
        <v>99</v>
      </c>
    </row>
    <row r="27" spans="1:9" x14ac:dyDescent="0.25">
      <c r="A27" s="343" t="s">
        <v>47</v>
      </c>
      <c r="B27" s="343"/>
      <c r="C27" s="38">
        <v>0.6</v>
      </c>
      <c r="D27" s="28">
        <f>$C$27/2</f>
        <v>0.3</v>
      </c>
      <c r="E27" s="28">
        <f>$D$27/2</f>
        <v>0.15</v>
      </c>
      <c r="F27" s="28">
        <f>$E$27/2</f>
        <v>7.4999999999999997E-2</v>
      </c>
      <c r="G27" s="28">
        <f>$F$27/2</f>
        <v>3.7499999999999999E-2</v>
      </c>
      <c r="I27" s="37">
        <v>5</v>
      </c>
    </row>
    <row r="28" spans="1:9" x14ac:dyDescent="0.25">
      <c r="A28" s="343" t="s">
        <v>48</v>
      </c>
      <c r="B28" s="343"/>
      <c r="C28" s="37">
        <f>C27/2</f>
        <v>0.3</v>
      </c>
      <c r="D28" s="28">
        <f>$D$27/2</f>
        <v>0.15</v>
      </c>
      <c r="E28" s="28">
        <f>$E$27/2</f>
        <v>7.4999999999999997E-2</v>
      </c>
      <c r="F28" s="28">
        <f>$F$27/2</f>
        <v>3.7499999999999999E-2</v>
      </c>
      <c r="G28" s="28">
        <f>$G$27/2</f>
        <v>1.8749999999999999E-2</v>
      </c>
    </row>
    <row r="29" spans="1:9" x14ac:dyDescent="0.25">
      <c r="A29" s="343" t="s">
        <v>75</v>
      </c>
      <c r="B29" s="343"/>
      <c r="C29" s="37">
        <v>0</v>
      </c>
      <c r="D29" s="105">
        <v>1</v>
      </c>
      <c r="E29" s="105">
        <v>1</v>
      </c>
      <c r="F29" s="105">
        <v>2</v>
      </c>
      <c r="G29" s="105">
        <v>2</v>
      </c>
    </row>
    <row r="30" spans="1:9" x14ac:dyDescent="0.25">
      <c r="A30" s="343" t="s">
        <v>76</v>
      </c>
      <c r="B30" s="343"/>
      <c r="C30" s="37">
        <v>0</v>
      </c>
      <c r="D30" s="105">
        <v>1</v>
      </c>
      <c r="E30" s="105">
        <v>2</v>
      </c>
      <c r="F30" s="105">
        <v>3</v>
      </c>
      <c r="G30" s="105">
        <v>4</v>
      </c>
    </row>
    <row r="31" spans="1:9" x14ac:dyDescent="0.25">
      <c r="A31" s="349" t="s">
        <v>49</v>
      </c>
      <c r="B31" s="349"/>
      <c r="C31" s="349"/>
      <c r="D31" s="349"/>
      <c r="E31" s="349"/>
      <c r="F31" s="349"/>
      <c r="G31" s="349"/>
      <c r="H31" s="1" t="s">
        <v>65</v>
      </c>
      <c r="I31" s="15" t="s">
        <v>98</v>
      </c>
    </row>
    <row r="32" spans="1:9" x14ac:dyDescent="0.25">
      <c r="A32" s="343" t="s">
        <v>50</v>
      </c>
      <c r="B32" s="343"/>
      <c r="C32" s="37">
        <v>8.9</v>
      </c>
      <c r="D32" s="28">
        <f>C32*3</f>
        <v>26.700000000000003</v>
      </c>
      <c r="E32" s="28">
        <f>D32*3</f>
        <v>80.100000000000009</v>
      </c>
      <c r="F32" s="28">
        <f>E32*3</f>
        <v>240.3</v>
      </c>
      <c r="G32" s="28">
        <f>F32*2</f>
        <v>480.6</v>
      </c>
      <c r="H32" s="28">
        <f>ROUNDDOWN(G32/5*H64,0)</f>
        <v>768</v>
      </c>
      <c r="I32" s="28">
        <f>H32+(5*I27)</f>
        <v>793</v>
      </c>
    </row>
    <row r="33" spans="1:13" x14ac:dyDescent="0.25">
      <c r="A33" s="343" t="str">
        <f>C12</f>
        <v>Esencia</v>
      </c>
      <c r="B33" s="343"/>
      <c r="C33" s="37">
        <f>ROUNDDOWN(C32/2,0)</f>
        <v>4</v>
      </c>
      <c r="D33" s="28">
        <f>ROUNDDOWN(D32/2,0)</f>
        <v>13</v>
      </c>
      <c r="E33" s="28">
        <f t="shared" ref="D33:G35" si="0">ROUNDDOWN(E32/2,0)</f>
        <v>40</v>
      </c>
      <c r="F33" s="28">
        <f t="shared" si="0"/>
        <v>120</v>
      </c>
      <c r="G33" s="28">
        <f t="shared" si="0"/>
        <v>240</v>
      </c>
      <c r="H33" s="28"/>
      <c r="I33" s="28"/>
    </row>
    <row r="34" spans="1:13" x14ac:dyDescent="0.25">
      <c r="A34" s="343" t="str">
        <f>C12</f>
        <v>Esencia</v>
      </c>
      <c r="B34" s="343"/>
      <c r="C34" s="37">
        <f>ROUNDDOWN(C33/2,0)</f>
        <v>2</v>
      </c>
      <c r="D34" s="28">
        <f t="shared" si="0"/>
        <v>6</v>
      </c>
      <c r="E34" s="28">
        <f t="shared" si="0"/>
        <v>20</v>
      </c>
      <c r="F34" s="28">
        <f t="shared" si="0"/>
        <v>60</v>
      </c>
      <c r="G34" s="28">
        <f t="shared" si="0"/>
        <v>120</v>
      </c>
      <c r="H34" s="28"/>
      <c r="I34" s="28"/>
    </row>
    <row r="35" spans="1:13" x14ac:dyDescent="0.25">
      <c r="A35" s="347" t="str">
        <f>C11</f>
        <v>Inteligencia</v>
      </c>
      <c r="B35" s="347"/>
      <c r="C35" s="37">
        <f t="shared" ref="C35" si="1">ROUNDDOWN(C34/2,0)</f>
        <v>1</v>
      </c>
      <c r="D35" s="28">
        <f t="shared" si="0"/>
        <v>3</v>
      </c>
      <c r="E35" s="28">
        <f t="shared" si="0"/>
        <v>10</v>
      </c>
      <c r="F35" s="28">
        <f t="shared" si="0"/>
        <v>30</v>
      </c>
      <c r="G35" s="28">
        <f t="shared" si="0"/>
        <v>60</v>
      </c>
      <c r="H35" s="28"/>
      <c r="I35" s="28"/>
    </row>
    <row r="36" spans="1:13" x14ac:dyDescent="0.25">
      <c r="A36" s="349" t="s">
        <v>21</v>
      </c>
      <c r="B36" s="349"/>
      <c r="C36" s="349"/>
      <c r="D36" s="349"/>
      <c r="E36" s="349"/>
      <c r="F36" s="349"/>
      <c r="G36" s="349"/>
    </row>
    <row r="37" spans="1:13" x14ac:dyDescent="0.25">
      <c r="A37" s="351" t="s">
        <v>61</v>
      </c>
      <c r="B37" s="351"/>
      <c r="C37" s="351"/>
      <c r="D37" s="351"/>
      <c r="E37" s="351"/>
      <c r="F37" s="351"/>
      <c r="G37" s="351"/>
      <c r="H37" s="4" t="s">
        <v>82</v>
      </c>
    </row>
    <row r="38" spans="1:13" x14ac:dyDescent="0.25">
      <c r="A38" s="343" t="s">
        <v>69</v>
      </c>
      <c r="B38" s="343"/>
      <c r="C38" s="39"/>
      <c r="D38" s="28"/>
      <c r="E38" s="28"/>
      <c r="F38" s="28"/>
      <c r="G38" s="28"/>
      <c r="H38" s="28">
        <v>300</v>
      </c>
    </row>
    <row r="39" spans="1:13" x14ac:dyDescent="0.25">
      <c r="A39" s="343" t="s">
        <v>67</v>
      </c>
      <c r="B39" s="343"/>
      <c r="C39" s="105">
        <v>1800</v>
      </c>
      <c r="D39" s="28">
        <f>C39+$H$38</f>
        <v>2100</v>
      </c>
      <c r="E39" s="106">
        <f t="shared" ref="E39:G39" si="2">D39+$H$38</f>
        <v>2400</v>
      </c>
      <c r="F39" s="106">
        <f t="shared" si="2"/>
        <v>2700</v>
      </c>
      <c r="G39" s="106">
        <f t="shared" si="2"/>
        <v>3000</v>
      </c>
      <c r="H39" s="28"/>
    </row>
    <row r="40" spans="1:13" x14ac:dyDescent="0.25">
      <c r="A40" s="354" t="s">
        <v>68</v>
      </c>
      <c r="B40" s="354"/>
      <c r="C40" s="39">
        <v>1800</v>
      </c>
      <c r="D40" s="39">
        <v>1800</v>
      </c>
      <c r="E40" s="39">
        <v>1800</v>
      </c>
      <c r="F40" s="39">
        <v>1800</v>
      </c>
      <c r="G40" s="39">
        <v>1800</v>
      </c>
      <c r="H40" s="28"/>
    </row>
    <row r="41" spans="1:13" ht="27.75" customHeight="1" x14ac:dyDescent="0.25">
      <c r="A41" s="350" t="s">
        <v>38</v>
      </c>
      <c r="B41" s="350"/>
      <c r="C41" s="3" t="s">
        <v>7</v>
      </c>
      <c r="D41" s="3" t="s">
        <v>8</v>
      </c>
      <c r="E41" s="3" t="s">
        <v>83</v>
      </c>
      <c r="F41" s="3" t="s">
        <v>84</v>
      </c>
      <c r="G41" s="3" t="s">
        <v>85</v>
      </c>
      <c r="H41" s="3" t="s">
        <v>62</v>
      </c>
      <c r="I41" s="23" t="s">
        <v>119</v>
      </c>
      <c r="J41" s="350" t="s">
        <v>1197</v>
      </c>
      <c r="K41" s="350"/>
      <c r="L41" s="350" t="s">
        <v>1200</v>
      </c>
      <c r="M41" s="350"/>
    </row>
    <row r="42" spans="1:13" x14ac:dyDescent="0.25">
      <c r="A42" s="351" t="s">
        <v>20</v>
      </c>
      <c r="B42" s="351"/>
      <c r="C42" s="351"/>
      <c r="D42" s="351"/>
      <c r="E42" s="351"/>
      <c r="F42" s="351"/>
      <c r="G42" s="351"/>
      <c r="H42" s="6">
        <v>2</v>
      </c>
      <c r="I42" s="41">
        <v>1</v>
      </c>
      <c r="J42" s="293" t="s">
        <v>1199</v>
      </c>
      <c r="K42" s="293"/>
      <c r="L42" s="293">
        <v>2</v>
      </c>
      <c r="M42" s="293"/>
    </row>
    <row r="43" spans="1:13" x14ac:dyDescent="0.25">
      <c r="A43" s="343" t="str">
        <f>C8</f>
        <v>Vitalidad</v>
      </c>
      <c r="B43" s="343"/>
      <c r="C43" s="28">
        <f>D8*H42</f>
        <v>2</v>
      </c>
      <c r="D43" s="28">
        <f>C43*3</f>
        <v>6</v>
      </c>
      <c r="E43" s="28">
        <f>D43*3</f>
        <v>18</v>
      </c>
      <c r="F43" s="28">
        <f>E43*3</f>
        <v>54</v>
      </c>
      <c r="G43" s="28">
        <f>F43*3</f>
        <v>162</v>
      </c>
      <c r="H43" s="26" t="s">
        <v>120</v>
      </c>
    </row>
    <row r="44" spans="1:13" x14ac:dyDescent="0.25">
      <c r="A44" s="343" t="str">
        <f>C9</f>
        <v>Fuerza</v>
      </c>
      <c r="B44" s="343"/>
      <c r="C44" s="28">
        <f>D9*H42</f>
        <v>2</v>
      </c>
      <c r="D44" s="106">
        <f t="shared" ref="D44:G46" si="3">C44*3</f>
        <v>6</v>
      </c>
      <c r="E44" s="106">
        <f t="shared" si="3"/>
        <v>18</v>
      </c>
      <c r="F44" s="106">
        <f t="shared" si="3"/>
        <v>54</v>
      </c>
      <c r="G44" s="106">
        <f t="shared" si="3"/>
        <v>162</v>
      </c>
      <c r="H44" s="6">
        <v>2</v>
      </c>
    </row>
    <row r="45" spans="1:13" x14ac:dyDescent="0.25">
      <c r="A45" s="343" t="str">
        <f>C10</f>
        <v>Agilidad</v>
      </c>
      <c r="B45" s="343"/>
      <c r="C45" s="28">
        <f>D10*H42</f>
        <v>2</v>
      </c>
      <c r="D45" s="106">
        <f t="shared" si="3"/>
        <v>6</v>
      </c>
      <c r="E45" s="106">
        <f t="shared" si="3"/>
        <v>18</v>
      </c>
      <c r="F45" s="106">
        <f t="shared" si="3"/>
        <v>54</v>
      </c>
      <c r="G45" s="106">
        <f t="shared" si="3"/>
        <v>162</v>
      </c>
    </row>
    <row r="46" spans="1:13" x14ac:dyDescent="0.25">
      <c r="A46" s="343" t="str">
        <f>C11</f>
        <v>Inteligencia</v>
      </c>
      <c r="B46" s="343"/>
      <c r="C46" s="28">
        <f>D11*H42</f>
        <v>2</v>
      </c>
      <c r="D46" s="106">
        <f t="shared" si="3"/>
        <v>6</v>
      </c>
      <c r="E46" s="106">
        <f t="shared" si="3"/>
        <v>18</v>
      </c>
      <c r="F46" s="106">
        <f t="shared" si="3"/>
        <v>54</v>
      </c>
      <c r="G46" s="106">
        <f t="shared" si="3"/>
        <v>162</v>
      </c>
    </row>
    <row r="47" spans="1:13" x14ac:dyDescent="0.25">
      <c r="A47" s="343" t="s">
        <v>77</v>
      </c>
      <c r="B47" s="343"/>
      <c r="C47" s="28">
        <f>(C$23+C$24)/2*$H$42</f>
        <v>0</v>
      </c>
      <c r="D47" s="28">
        <f>($D$23+$D$24)/2*$H$42</f>
        <v>1</v>
      </c>
      <c r="E47" s="28">
        <f>($E$23+$E$24)/2*$H$42</f>
        <v>3</v>
      </c>
      <c r="F47" s="28">
        <f>($F$23+$F$24)/2*$H$42</f>
        <v>5</v>
      </c>
      <c r="G47" s="28">
        <f>($G$23+$G$24)/2*$H$42</f>
        <v>7</v>
      </c>
    </row>
    <row r="48" spans="1:13" x14ac:dyDescent="0.25">
      <c r="A48" s="351" t="s">
        <v>49</v>
      </c>
      <c r="B48" s="351"/>
      <c r="C48" s="351"/>
      <c r="D48" s="351"/>
      <c r="E48" s="351"/>
      <c r="F48" s="351"/>
      <c r="G48" s="351"/>
    </row>
    <row r="49" spans="1:13" x14ac:dyDescent="0.25">
      <c r="A49" s="343" t="s">
        <v>50</v>
      </c>
      <c r="B49" s="343"/>
      <c r="C49" s="40">
        <f>ROUNDDOWN(C32/5*H42,0)</f>
        <v>3</v>
      </c>
      <c r="D49" s="40">
        <f>ROUNDDOWN(D32/5*H42,0)</f>
        <v>10</v>
      </c>
      <c r="E49" s="40">
        <f>ROUNDDOWN(E32/5*H42,0)</f>
        <v>32</v>
      </c>
      <c r="F49" s="40">
        <f>ROUNDDOWN(F32/5*H42,0)</f>
        <v>96</v>
      </c>
      <c r="G49" s="40">
        <f>ROUNDDOWN(G32/5*H42,0)</f>
        <v>192</v>
      </c>
    </row>
    <row r="50" spans="1:13" x14ac:dyDescent="0.25">
      <c r="A50" s="343" t="str">
        <f>C12</f>
        <v>Esencia</v>
      </c>
      <c r="B50" s="343"/>
      <c r="C50" s="40">
        <f>ROUNDDOWN(C49/3,0)</f>
        <v>1</v>
      </c>
      <c r="D50" s="40">
        <f>ROUNDDOWN(D49/3,0)</f>
        <v>3</v>
      </c>
      <c r="E50" s="40">
        <f>ROUNDDOWN(E49/3,0)</f>
        <v>10</v>
      </c>
      <c r="F50" s="40">
        <f>ROUNDDOWN(F49/3,0)</f>
        <v>32</v>
      </c>
      <c r="G50" s="40">
        <f>ROUNDDOWN(G49/3,0)</f>
        <v>64</v>
      </c>
    </row>
    <row r="51" spans="1:13" x14ac:dyDescent="0.25">
      <c r="A51" s="343"/>
      <c r="B51" s="343"/>
    </row>
    <row r="52" spans="1:13" ht="27.75" customHeight="1" x14ac:dyDescent="0.25">
      <c r="A52" s="350" t="s">
        <v>63</v>
      </c>
      <c r="B52" s="350"/>
      <c r="C52" s="3" t="s">
        <v>0</v>
      </c>
      <c r="D52" s="3" t="s">
        <v>86</v>
      </c>
      <c r="E52" s="3" t="s">
        <v>83</v>
      </c>
      <c r="F52" s="3" t="s">
        <v>84</v>
      </c>
      <c r="G52" s="3" t="s">
        <v>85</v>
      </c>
      <c r="H52" s="3" t="s">
        <v>62</v>
      </c>
      <c r="J52" s="350" t="s">
        <v>1197</v>
      </c>
      <c r="K52" s="350"/>
      <c r="L52" s="350" t="s">
        <v>1200</v>
      </c>
      <c r="M52" s="350"/>
    </row>
    <row r="53" spans="1:13" x14ac:dyDescent="0.25">
      <c r="A53" s="351" t="s">
        <v>20</v>
      </c>
      <c r="B53" s="351"/>
      <c r="C53" s="351"/>
      <c r="D53" s="351"/>
      <c r="E53" s="351"/>
      <c r="F53" s="351"/>
      <c r="G53" s="351"/>
      <c r="H53" s="6">
        <f>$H$55*$I$42</f>
        <v>5</v>
      </c>
      <c r="J53" s="293" t="s">
        <v>1198</v>
      </c>
      <c r="K53" s="293"/>
      <c r="L53" s="293">
        <v>1</v>
      </c>
      <c r="M53" s="293"/>
    </row>
    <row r="54" spans="1:13" x14ac:dyDescent="0.25">
      <c r="A54" s="343" t="str">
        <f>C8</f>
        <v>Vitalidad</v>
      </c>
      <c r="B54" s="343"/>
      <c r="C54">
        <f>D8*H53</f>
        <v>5</v>
      </c>
      <c r="D54" s="291">
        <f>ROUNDDOWN(C54*1.7,0)</f>
        <v>8</v>
      </c>
      <c r="E54" s="291">
        <f>ROUNDDOWN(D54*1.7,0)</f>
        <v>13</v>
      </c>
      <c r="F54" s="291">
        <f>ROUNDDOWN(E54*1.7,0)</f>
        <v>22</v>
      </c>
      <c r="G54" s="291">
        <f>ROUNDDOWN(F54*1.7,0)</f>
        <v>37</v>
      </c>
      <c r="H54" s="26" t="s">
        <v>120</v>
      </c>
    </row>
    <row r="55" spans="1:13" x14ac:dyDescent="0.25">
      <c r="A55" s="343" t="str">
        <f>C9</f>
        <v>Fuerza</v>
      </c>
      <c r="B55" s="343"/>
      <c r="C55">
        <f>D9*H53</f>
        <v>5</v>
      </c>
      <c r="D55" s="291">
        <f t="shared" ref="D55:G55" si="4">ROUNDDOWN(C55*1.7,0)</f>
        <v>8</v>
      </c>
      <c r="E55" s="291">
        <f t="shared" si="4"/>
        <v>13</v>
      </c>
      <c r="F55" s="291">
        <f t="shared" si="4"/>
        <v>22</v>
      </c>
      <c r="G55" s="291">
        <f t="shared" si="4"/>
        <v>37</v>
      </c>
      <c r="H55" s="6">
        <v>5</v>
      </c>
    </row>
    <row r="56" spans="1:13" x14ac:dyDescent="0.25">
      <c r="A56" s="343" t="str">
        <f>C10</f>
        <v>Agilidad</v>
      </c>
      <c r="B56" s="343"/>
      <c r="C56">
        <f>D10*H53</f>
        <v>5</v>
      </c>
      <c r="D56" s="291">
        <f t="shared" ref="D56:G56" si="5">ROUNDDOWN(C56*1.7,0)</f>
        <v>8</v>
      </c>
      <c r="E56" s="291">
        <f t="shared" si="5"/>
        <v>13</v>
      </c>
      <c r="F56" s="291">
        <f t="shared" si="5"/>
        <v>22</v>
      </c>
      <c r="G56" s="291">
        <f t="shared" si="5"/>
        <v>37</v>
      </c>
    </row>
    <row r="57" spans="1:13" x14ac:dyDescent="0.25">
      <c r="A57" s="343" t="str">
        <f>C11</f>
        <v>Inteligencia</v>
      </c>
      <c r="B57" s="343"/>
      <c r="C57">
        <f>D11*H53</f>
        <v>5</v>
      </c>
      <c r="D57" s="291">
        <f t="shared" ref="D57:G57" si="6">ROUNDDOWN(C57*1.7,0)</f>
        <v>8</v>
      </c>
      <c r="E57" s="291">
        <f t="shared" si="6"/>
        <v>13</v>
      </c>
      <c r="F57" s="291">
        <f t="shared" si="6"/>
        <v>22</v>
      </c>
      <c r="G57" s="291">
        <f t="shared" si="6"/>
        <v>37</v>
      </c>
    </row>
    <row r="58" spans="1:13" x14ac:dyDescent="0.25">
      <c r="A58" s="343" t="s">
        <v>77</v>
      </c>
      <c r="B58" s="343"/>
      <c r="C58">
        <f>(C$23+C$24)/2*$H$53</f>
        <v>0</v>
      </c>
      <c r="D58">
        <f>(D$23+D$24)/2*$H$53</f>
        <v>2.5</v>
      </c>
      <c r="E58">
        <f>(E$23+E$24)/2*$H$53</f>
        <v>7.5</v>
      </c>
      <c r="F58">
        <f>(F$23+F$24)/2*$H$53</f>
        <v>12.5</v>
      </c>
      <c r="G58">
        <f>(G$23+G$24)/2*$H$53</f>
        <v>17.5</v>
      </c>
    </row>
    <row r="59" spans="1:13" x14ac:dyDescent="0.25">
      <c r="A59" s="351" t="s">
        <v>49</v>
      </c>
      <c r="B59" s="351"/>
      <c r="C59" s="351"/>
      <c r="D59" s="351"/>
      <c r="E59" s="351"/>
      <c r="F59" s="351"/>
      <c r="G59" s="351"/>
    </row>
    <row r="60" spans="1:13" x14ac:dyDescent="0.25">
      <c r="A60" s="343" t="s">
        <v>50</v>
      </c>
      <c r="B60" s="343"/>
      <c r="C60" s="5">
        <f>ROUNDDOWN(C32/5*H53,0)</f>
        <v>8</v>
      </c>
      <c r="D60" s="5">
        <f>ROUNDDOWN(D32/5*H53,0)</f>
        <v>26</v>
      </c>
      <c r="E60" s="5">
        <f>ROUNDDOWN(E32/5*H53,0)</f>
        <v>80</v>
      </c>
      <c r="F60" s="5">
        <f>ROUNDDOWN(F32/5*H53,0)</f>
        <v>240</v>
      </c>
      <c r="G60" s="5">
        <f>ROUNDDOWN(G32/5*H53,0)</f>
        <v>480</v>
      </c>
    </row>
    <row r="61" spans="1:13" x14ac:dyDescent="0.25">
      <c r="A61" s="343" t="str">
        <f>C12</f>
        <v>Esencia</v>
      </c>
      <c r="B61" s="343"/>
      <c r="C61" s="5">
        <f>ROUNDDOWN(C60/3,0)</f>
        <v>2</v>
      </c>
      <c r="D61" s="5">
        <f>ROUNDDOWN(D60/3,0)</f>
        <v>8</v>
      </c>
      <c r="E61" s="5">
        <f>ROUNDDOWN(E60/3,0)</f>
        <v>26</v>
      </c>
      <c r="F61" s="5">
        <f>ROUNDDOWN(F60/3,0)</f>
        <v>80</v>
      </c>
      <c r="G61" s="5">
        <f>ROUNDDOWN(G60/3,0)</f>
        <v>160</v>
      </c>
    </row>
    <row r="62" spans="1:13" x14ac:dyDescent="0.25">
      <c r="A62" s="352"/>
      <c r="B62" s="352"/>
    </row>
    <row r="63" spans="1:13" ht="27.75" customHeight="1" x14ac:dyDescent="0.25">
      <c r="A63" s="350" t="s">
        <v>64</v>
      </c>
      <c r="B63" s="350"/>
      <c r="C63" s="3" t="s">
        <v>0</v>
      </c>
      <c r="D63" s="3" t="s">
        <v>86</v>
      </c>
      <c r="E63" s="3" t="s">
        <v>83</v>
      </c>
      <c r="F63" s="3" t="s">
        <v>84</v>
      </c>
      <c r="G63" s="3" t="s">
        <v>85</v>
      </c>
      <c r="H63" s="3" t="s">
        <v>62</v>
      </c>
    </row>
    <row r="64" spans="1:13" x14ac:dyDescent="0.25">
      <c r="A64" s="351" t="s">
        <v>20</v>
      </c>
      <c r="B64" s="351"/>
      <c r="C64" s="351"/>
      <c r="D64" s="351"/>
      <c r="E64" s="351"/>
      <c r="F64" s="351"/>
      <c r="G64" s="351"/>
      <c r="H64" s="6">
        <f>$H$66*$I$42</f>
        <v>8</v>
      </c>
    </row>
    <row r="65" spans="1:8" x14ac:dyDescent="0.25">
      <c r="A65" s="343" t="str">
        <f>C8</f>
        <v>Vitalidad</v>
      </c>
      <c r="B65" s="343"/>
      <c r="C65">
        <f>D8*H64</f>
        <v>8</v>
      </c>
      <c r="D65">
        <f>ROUNDDOWN(C65*1.7,0)</f>
        <v>13</v>
      </c>
      <c r="E65">
        <f>ROUNDDOWN(D65*1.7,0)</f>
        <v>22</v>
      </c>
      <c r="F65">
        <f>ROUNDDOWN(E65*1.7,0)</f>
        <v>37</v>
      </c>
      <c r="G65">
        <f>ROUNDDOWN(F65*1.7,0)</f>
        <v>62</v>
      </c>
      <c r="H65" s="26" t="s">
        <v>120</v>
      </c>
    </row>
    <row r="66" spans="1:8" x14ac:dyDescent="0.25">
      <c r="A66" s="343" t="str">
        <f>C9</f>
        <v>Fuerza</v>
      </c>
      <c r="B66" s="343"/>
      <c r="C66">
        <f>D9*H64</f>
        <v>8</v>
      </c>
      <c r="D66" s="291">
        <f t="shared" ref="D66:G68" si="7">ROUNDDOWN(C66*1.7,0)</f>
        <v>13</v>
      </c>
      <c r="E66" s="291">
        <f t="shared" si="7"/>
        <v>22</v>
      </c>
      <c r="F66" s="291">
        <f t="shared" si="7"/>
        <v>37</v>
      </c>
      <c r="G66" s="291">
        <f t="shared" si="7"/>
        <v>62</v>
      </c>
      <c r="H66" s="6">
        <v>8</v>
      </c>
    </row>
    <row r="67" spans="1:8" x14ac:dyDescent="0.25">
      <c r="A67" s="343" t="str">
        <f>C10</f>
        <v>Agilidad</v>
      </c>
      <c r="B67" s="343"/>
      <c r="C67">
        <f>D9*H64</f>
        <v>8</v>
      </c>
      <c r="D67" s="291">
        <f t="shared" si="7"/>
        <v>13</v>
      </c>
      <c r="E67" s="291">
        <f t="shared" si="7"/>
        <v>22</v>
      </c>
      <c r="F67" s="291">
        <f t="shared" si="7"/>
        <v>37</v>
      </c>
      <c r="G67" s="291">
        <f t="shared" si="7"/>
        <v>62</v>
      </c>
    </row>
    <row r="68" spans="1:8" x14ac:dyDescent="0.25">
      <c r="A68" s="343" t="str">
        <f>C11</f>
        <v>Inteligencia</v>
      </c>
      <c r="B68" s="343"/>
      <c r="C68">
        <f>D9*H64</f>
        <v>8</v>
      </c>
      <c r="D68" s="291">
        <f t="shared" si="7"/>
        <v>13</v>
      </c>
      <c r="E68" s="291">
        <f t="shared" si="7"/>
        <v>22</v>
      </c>
      <c r="F68" s="291">
        <f t="shared" si="7"/>
        <v>37</v>
      </c>
      <c r="G68" s="291">
        <f t="shared" si="7"/>
        <v>62</v>
      </c>
    </row>
    <row r="69" spans="1:8" x14ac:dyDescent="0.25">
      <c r="A69" s="343" t="s">
        <v>77</v>
      </c>
      <c r="B69" s="343"/>
      <c r="C69">
        <f>(C$23+C$24)/2*$H$64</f>
        <v>0</v>
      </c>
      <c r="D69">
        <f>(D$23+D$24)/2*$H$64</f>
        <v>4</v>
      </c>
      <c r="E69">
        <f>(E$23+E$24)/2*$H$64</f>
        <v>12</v>
      </c>
      <c r="F69">
        <f>(F$23+F$24)/2*$H$64</f>
        <v>20</v>
      </c>
      <c r="G69">
        <f>(G$23+G$24)/2*$H$64</f>
        <v>28</v>
      </c>
    </row>
    <row r="70" spans="1:8" x14ac:dyDescent="0.25">
      <c r="A70" s="351" t="s">
        <v>49</v>
      </c>
      <c r="B70" s="351"/>
      <c r="C70" s="351"/>
      <c r="D70" s="351"/>
      <c r="E70" s="351"/>
      <c r="F70" s="351"/>
      <c r="G70" s="351"/>
    </row>
    <row r="71" spans="1:8" x14ac:dyDescent="0.25">
      <c r="A71" s="343" t="s">
        <v>50</v>
      </c>
      <c r="B71" s="343"/>
      <c r="C71" s="5">
        <f>ROUNDDOWN(C32/5*H64,0)</f>
        <v>14</v>
      </c>
      <c r="D71" s="5">
        <f>ROUNDDOWN(D32/5*H64,0)</f>
        <v>42</v>
      </c>
      <c r="E71" s="5">
        <f>ROUNDDOWN(E32/5*H64,0)</f>
        <v>128</v>
      </c>
      <c r="F71" s="5">
        <f>ROUNDDOWN(F32/5*H64,0)</f>
        <v>384</v>
      </c>
      <c r="G71" s="5">
        <f>ROUNDDOWN(G32/5*H64,0)</f>
        <v>768</v>
      </c>
    </row>
    <row r="72" spans="1:8" x14ac:dyDescent="0.25">
      <c r="A72" s="343" t="str">
        <f>C12</f>
        <v>Esencia</v>
      </c>
      <c r="B72" s="343"/>
      <c r="C72" s="5">
        <f>ROUNDDOWN(C71/3,0)</f>
        <v>4</v>
      </c>
      <c r="D72" s="5">
        <f>ROUNDDOWN(D71/3,0)</f>
        <v>14</v>
      </c>
      <c r="E72" s="5">
        <f>ROUNDDOWN(E71/3,0)</f>
        <v>42</v>
      </c>
      <c r="F72" s="5">
        <f>ROUNDDOWN(F71/3,0)</f>
        <v>128</v>
      </c>
      <c r="G72" s="5">
        <f>ROUNDDOWN(G71/3,0)</f>
        <v>256</v>
      </c>
    </row>
    <row r="73" spans="1:8" x14ac:dyDescent="0.25">
      <c r="A73" s="353"/>
      <c r="B73" s="353"/>
    </row>
    <row r="74" spans="1:8" ht="27.75" customHeight="1" x14ac:dyDescent="0.25">
      <c r="A74" s="350" t="s">
        <v>11</v>
      </c>
      <c r="B74" s="350"/>
      <c r="C74" s="3" t="s">
        <v>0</v>
      </c>
      <c r="D74" s="3" t="s">
        <v>86</v>
      </c>
      <c r="E74" s="3" t="s">
        <v>83</v>
      </c>
      <c r="F74" s="3" t="s">
        <v>84</v>
      </c>
      <c r="G74" s="3" t="s">
        <v>85</v>
      </c>
      <c r="H74" s="3" t="s">
        <v>62</v>
      </c>
    </row>
    <row r="75" spans="1:8" x14ac:dyDescent="0.25">
      <c r="A75" s="351" t="s">
        <v>20</v>
      </c>
      <c r="B75" s="351"/>
      <c r="C75" s="351"/>
      <c r="D75" s="351"/>
      <c r="E75" s="351"/>
      <c r="F75" s="351"/>
      <c r="G75" s="351"/>
      <c r="H75" s="6">
        <f>$H$77*$I$42</f>
        <v>7</v>
      </c>
    </row>
    <row r="76" spans="1:8" x14ac:dyDescent="0.25">
      <c r="A76" s="343" t="str">
        <f>C8</f>
        <v>Vitalidad</v>
      </c>
      <c r="B76" s="343"/>
      <c r="C76">
        <f>D8*H75</f>
        <v>7</v>
      </c>
      <c r="D76" s="291">
        <f>ROUNDDOWN(C76*1.7,0)</f>
        <v>11</v>
      </c>
      <c r="E76" s="291">
        <f>ROUNDDOWN(D76*1.7,0)</f>
        <v>18</v>
      </c>
      <c r="F76" s="291">
        <f>ROUNDDOWN(E76*1.7,0)</f>
        <v>30</v>
      </c>
      <c r="G76" s="291">
        <f>ROUNDDOWN(F76*1.7,0)</f>
        <v>51</v>
      </c>
      <c r="H76" s="26" t="s">
        <v>120</v>
      </c>
    </row>
    <row r="77" spans="1:8" x14ac:dyDescent="0.25">
      <c r="A77" s="343" t="str">
        <f>C9</f>
        <v>Fuerza</v>
      </c>
      <c r="B77" s="343"/>
      <c r="C77">
        <f>D9*H75</f>
        <v>7</v>
      </c>
      <c r="D77" s="291">
        <f t="shared" ref="D77:G77" si="8">ROUNDDOWN(C77*1.7,0)</f>
        <v>11</v>
      </c>
      <c r="E77" s="291">
        <f t="shared" si="8"/>
        <v>18</v>
      </c>
      <c r="F77" s="291">
        <f t="shared" si="8"/>
        <v>30</v>
      </c>
      <c r="G77" s="291">
        <f t="shared" si="8"/>
        <v>51</v>
      </c>
      <c r="H77" s="6">
        <v>7</v>
      </c>
    </row>
    <row r="78" spans="1:8" x14ac:dyDescent="0.25">
      <c r="A78" s="343" t="str">
        <f>C10</f>
        <v>Agilidad</v>
      </c>
      <c r="B78" s="343"/>
      <c r="C78">
        <f>D10*H75</f>
        <v>7</v>
      </c>
      <c r="D78" s="291">
        <f t="shared" ref="D78:G78" si="9">ROUNDDOWN(C78*1.7,0)</f>
        <v>11</v>
      </c>
      <c r="E78" s="291">
        <f t="shared" si="9"/>
        <v>18</v>
      </c>
      <c r="F78" s="291">
        <f t="shared" si="9"/>
        <v>30</v>
      </c>
      <c r="G78" s="291">
        <f t="shared" si="9"/>
        <v>51</v>
      </c>
    </row>
    <row r="79" spans="1:8" x14ac:dyDescent="0.25">
      <c r="A79" s="343" t="str">
        <f>C11</f>
        <v>Inteligencia</v>
      </c>
      <c r="B79" s="343"/>
      <c r="C79">
        <f>D11*H75</f>
        <v>7</v>
      </c>
      <c r="D79" s="291">
        <f t="shared" ref="D79:G79" si="10">ROUNDDOWN(C79*1.7,0)</f>
        <v>11</v>
      </c>
      <c r="E79" s="291">
        <f t="shared" si="10"/>
        <v>18</v>
      </c>
      <c r="F79" s="291">
        <f t="shared" si="10"/>
        <v>30</v>
      </c>
      <c r="G79" s="291">
        <f t="shared" si="10"/>
        <v>51</v>
      </c>
    </row>
    <row r="80" spans="1:8" x14ac:dyDescent="0.25">
      <c r="A80" s="343" t="s">
        <v>77</v>
      </c>
      <c r="B80" s="343"/>
      <c r="C80">
        <f>(C$23+C$24)/2*$H$75</f>
        <v>0</v>
      </c>
      <c r="D80">
        <f>(D$23+D$24)/2*$H$75</f>
        <v>3.5</v>
      </c>
      <c r="E80">
        <f>(E$23+E$24)/2*$H$75</f>
        <v>10.5</v>
      </c>
      <c r="F80">
        <f>(F$23+F$24)/2*$H$75</f>
        <v>17.5</v>
      </c>
      <c r="G80">
        <f>(G$23+G$24)/2*$H$75</f>
        <v>24.5</v>
      </c>
    </row>
    <row r="81" spans="1:8" x14ac:dyDescent="0.25">
      <c r="A81" s="351" t="s">
        <v>49</v>
      </c>
      <c r="B81" s="351"/>
      <c r="C81" s="351"/>
      <c r="D81" s="351"/>
      <c r="E81" s="351"/>
      <c r="F81" s="351"/>
      <c r="G81" s="351"/>
    </row>
    <row r="82" spans="1:8" x14ac:dyDescent="0.25">
      <c r="A82" s="343" t="s">
        <v>50</v>
      </c>
      <c r="B82" s="343"/>
      <c r="C82" s="5">
        <f>ROUNDDOWN(C32/5*H75,0)</f>
        <v>12</v>
      </c>
      <c r="D82" s="5">
        <f>ROUNDDOWN(D32/5*H75,0)</f>
        <v>37</v>
      </c>
      <c r="E82" s="5">
        <f>ROUNDDOWN(E32/5*H75,0)</f>
        <v>112</v>
      </c>
      <c r="F82" s="5">
        <f>ROUNDDOWN(F32/5*H75,0)</f>
        <v>336</v>
      </c>
      <c r="G82" s="5">
        <f>ROUNDDOWN(G32/5*H75,0)</f>
        <v>672</v>
      </c>
    </row>
    <row r="83" spans="1:8" x14ac:dyDescent="0.25">
      <c r="A83" s="343" t="str">
        <f>C12</f>
        <v>Esencia</v>
      </c>
      <c r="B83" s="343"/>
      <c r="C83" s="5">
        <f>ROUNDDOWN(C82/3,0)</f>
        <v>4</v>
      </c>
      <c r="D83" s="5">
        <f t="shared" ref="D83:G83" si="11">ROUNDDOWN(D82/3,0)</f>
        <v>12</v>
      </c>
      <c r="E83" s="5">
        <f t="shared" si="11"/>
        <v>37</v>
      </c>
      <c r="F83" s="5">
        <f t="shared" si="11"/>
        <v>112</v>
      </c>
      <c r="G83" s="5">
        <f t="shared" si="11"/>
        <v>224</v>
      </c>
    </row>
    <row r="84" spans="1:8" x14ac:dyDescent="0.25">
      <c r="A84" s="353"/>
      <c r="B84" s="353"/>
    </row>
    <row r="85" spans="1:8" ht="27.75" customHeight="1" x14ac:dyDescent="0.25">
      <c r="A85" s="350" t="s">
        <v>66</v>
      </c>
      <c r="B85" s="350"/>
      <c r="C85" s="3" t="s">
        <v>0</v>
      </c>
      <c r="D85" s="3" t="s">
        <v>86</v>
      </c>
      <c r="E85" s="3" t="s">
        <v>83</v>
      </c>
      <c r="F85" s="3" t="s">
        <v>84</v>
      </c>
      <c r="G85" s="3" t="s">
        <v>85</v>
      </c>
      <c r="H85" s="3" t="s">
        <v>62</v>
      </c>
    </row>
    <row r="86" spans="1:8" x14ac:dyDescent="0.25">
      <c r="A86" s="351" t="s">
        <v>20</v>
      </c>
      <c r="B86" s="351"/>
      <c r="C86" s="351"/>
      <c r="D86" s="351"/>
      <c r="E86" s="351"/>
      <c r="F86" s="351"/>
      <c r="G86" s="351"/>
      <c r="H86" s="6">
        <v>4</v>
      </c>
    </row>
    <row r="87" spans="1:8" x14ac:dyDescent="0.25">
      <c r="A87" s="343" t="str">
        <f>C8</f>
        <v>Vitalidad</v>
      </c>
      <c r="B87" s="343"/>
      <c r="C87">
        <f>D9*H86</f>
        <v>4</v>
      </c>
      <c r="D87" s="291">
        <f>ROUNDDOWN(C87*1.7,0)</f>
        <v>6</v>
      </c>
      <c r="E87" s="291">
        <f>ROUNDDOWN(D87*1.7,0)</f>
        <v>10</v>
      </c>
      <c r="F87" s="291">
        <f>ROUNDDOWN(E87*1.7,0)</f>
        <v>17</v>
      </c>
      <c r="G87" s="291">
        <f>ROUNDDOWN(F87*1.7,0)</f>
        <v>28</v>
      </c>
      <c r="H87" s="26" t="s">
        <v>120</v>
      </c>
    </row>
    <row r="88" spans="1:8" x14ac:dyDescent="0.25">
      <c r="A88" s="343" t="str">
        <f>C9</f>
        <v>Fuerza</v>
      </c>
      <c r="B88" s="343"/>
      <c r="C88">
        <f>D10*H86</f>
        <v>4</v>
      </c>
      <c r="D88" s="291">
        <f t="shared" ref="D88:G88" si="12">ROUNDDOWN(C88*1.7,0)</f>
        <v>6</v>
      </c>
      <c r="E88" s="291">
        <f t="shared" si="12"/>
        <v>10</v>
      </c>
      <c r="F88" s="291">
        <f t="shared" si="12"/>
        <v>17</v>
      </c>
      <c r="G88" s="291">
        <f t="shared" si="12"/>
        <v>28</v>
      </c>
      <c r="H88" s="6">
        <v>4</v>
      </c>
    </row>
    <row r="89" spans="1:8" x14ac:dyDescent="0.25">
      <c r="A89" s="343" t="str">
        <f>C10</f>
        <v>Agilidad</v>
      </c>
      <c r="B89" s="343"/>
      <c r="C89">
        <f>D11*H86</f>
        <v>4</v>
      </c>
      <c r="D89" s="291">
        <f t="shared" ref="D89:G89" si="13">ROUNDDOWN(C89*1.7,0)</f>
        <v>6</v>
      </c>
      <c r="E89" s="291">
        <f t="shared" si="13"/>
        <v>10</v>
      </c>
      <c r="F89" s="291">
        <f t="shared" si="13"/>
        <v>17</v>
      </c>
      <c r="G89" s="291">
        <f t="shared" si="13"/>
        <v>28</v>
      </c>
    </row>
    <row r="90" spans="1:8" x14ac:dyDescent="0.25">
      <c r="A90" s="343" t="str">
        <f>C11</f>
        <v>Inteligencia</v>
      </c>
      <c r="B90" s="343"/>
      <c r="C90">
        <f>D12*H86</f>
        <v>4</v>
      </c>
      <c r="D90" s="291">
        <f t="shared" ref="D90:G90" si="14">ROUNDDOWN(C90*1.7,0)</f>
        <v>6</v>
      </c>
      <c r="E90" s="291">
        <f t="shared" si="14"/>
        <v>10</v>
      </c>
      <c r="F90" s="291">
        <f t="shared" si="14"/>
        <v>17</v>
      </c>
      <c r="G90" s="291">
        <f t="shared" si="14"/>
        <v>28</v>
      </c>
    </row>
    <row r="91" spans="1:8" x14ac:dyDescent="0.25">
      <c r="A91" s="343" t="s">
        <v>77</v>
      </c>
      <c r="B91" s="343"/>
      <c r="C91">
        <f>(C$23+C$24)/2*$H$86</f>
        <v>0</v>
      </c>
      <c r="D91">
        <f>(D$23+D$24)/2*$H$86</f>
        <v>2</v>
      </c>
      <c r="E91">
        <f>(E$23+E$24)/2*$H$86</f>
        <v>6</v>
      </c>
      <c r="F91">
        <f>(F$23+F$24)/2*$H$86</f>
        <v>10</v>
      </c>
      <c r="G91">
        <f>(G$23+G$24)/2*$H$86</f>
        <v>14</v>
      </c>
    </row>
    <row r="92" spans="1:8" x14ac:dyDescent="0.25">
      <c r="A92" s="351" t="s">
        <v>49</v>
      </c>
      <c r="B92" s="351"/>
      <c r="C92" s="351"/>
      <c r="D92" s="351"/>
      <c r="E92" s="351"/>
      <c r="F92" s="351"/>
      <c r="G92" s="351"/>
    </row>
    <row r="93" spans="1:8" x14ac:dyDescent="0.25">
      <c r="A93" s="343" t="s">
        <v>50</v>
      </c>
      <c r="B93" s="343"/>
      <c r="C93" s="5">
        <f>ROUNDDOWN(C32/5*H86,0)</f>
        <v>7</v>
      </c>
      <c r="D93" s="5">
        <f>ROUNDDOWN(D32/5*H86,0)</f>
        <v>21</v>
      </c>
      <c r="E93" s="5">
        <f>ROUNDDOWN(E32/5*H86,0)</f>
        <v>64</v>
      </c>
      <c r="F93" s="5">
        <f>ROUNDDOWN(F32/5*H86,0)</f>
        <v>192</v>
      </c>
      <c r="G93" s="5">
        <f>ROUNDDOWN(G32/5*H86,0)</f>
        <v>384</v>
      </c>
    </row>
    <row r="94" spans="1:8" x14ac:dyDescent="0.25">
      <c r="A94" s="343" t="str">
        <f>C12</f>
        <v>Esencia</v>
      </c>
      <c r="B94" s="343"/>
      <c r="C94" s="5">
        <f>ROUNDDOWN(C93/3,0)</f>
        <v>2</v>
      </c>
      <c r="D94" s="5">
        <f t="shared" ref="D94:G94" si="15">ROUNDDOWN(D93/3,0)</f>
        <v>7</v>
      </c>
      <c r="E94" s="5">
        <f t="shared" si="15"/>
        <v>21</v>
      </c>
      <c r="F94" s="5">
        <f t="shared" si="15"/>
        <v>64</v>
      </c>
      <c r="G94" s="5">
        <f t="shared" si="15"/>
        <v>128</v>
      </c>
    </row>
  </sheetData>
  <mergeCells count="86">
    <mergeCell ref="J53:K53"/>
    <mergeCell ref="L53:M53"/>
    <mergeCell ref="J41:K41"/>
    <mergeCell ref="L41:M41"/>
    <mergeCell ref="J42:K42"/>
    <mergeCell ref="L42:M42"/>
    <mergeCell ref="J52:K52"/>
    <mergeCell ref="L52:M52"/>
    <mergeCell ref="A84:B84"/>
    <mergeCell ref="A40:B40"/>
    <mergeCell ref="A91:B91"/>
    <mergeCell ref="A92:G92"/>
    <mergeCell ref="A93:B93"/>
    <mergeCell ref="A94:B94"/>
    <mergeCell ref="A85:B85"/>
    <mergeCell ref="A86:G86"/>
    <mergeCell ref="A87:B87"/>
    <mergeCell ref="A88:B88"/>
    <mergeCell ref="A89:B89"/>
    <mergeCell ref="A90:B90"/>
    <mergeCell ref="A81:G81"/>
    <mergeCell ref="A82:B82"/>
    <mergeCell ref="A83:B83"/>
    <mergeCell ref="A73:B73"/>
    <mergeCell ref="A76:B76"/>
    <mergeCell ref="A77:B77"/>
    <mergeCell ref="A78:B78"/>
    <mergeCell ref="A79:B79"/>
    <mergeCell ref="A80:B80"/>
    <mergeCell ref="A75:G75"/>
    <mergeCell ref="A71:B71"/>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54:B54"/>
    <mergeCell ref="A45:B45"/>
    <mergeCell ref="A37:G37"/>
    <mergeCell ref="A52:B52"/>
    <mergeCell ref="A53:G53"/>
    <mergeCell ref="A55:B55"/>
    <mergeCell ref="A50:B50"/>
    <mergeCell ref="A46:B46"/>
    <mergeCell ref="A47:B47"/>
    <mergeCell ref="A48:G48"/>
    <mergeCell ref="A49:B49"/>
    <mergeCell ref="A42:G42"/>
    <mergeCell ref="A22:B22"/>
    <mergeCell ref="A23:B23"/>
    <mergeCell ref="A24:B24"/>
    <mergeCell ref="A25:B25"/>
    <mergeCell ref="A31:G31"/>
    <mergeCell ref="A30:B30"/>
    <mergeCell ref="A29:B29"/>
    <mergeCell ref="A17:B17"/>
    <mergeCell ref="A18:B18"/>
    <mergeCell ref="A19:B19"/>
    <mergeCell ref="A20:B20"/>
    <mergeCell ref="A21:B21"/>
    <mergeCell ref="A51:B51"/>
    <mergeCell ref="A26:B26"/>
    <mergeCell ref="A27:B27"/>
    <mergeCell ref="A28:B28"/>
    <mergeCell ref="A32:B32"/>
    <mergeCell ref="A33:B33"/>
    <mergeCell ref="A34:B34"/>
    <mergeCell ref="A35:B35"/>
    <mergeCell ref="A43:B43"/>
    <mergeCell ref="A44:B44"/>
    <mergeCell ref="A36:G36"/>
    <mergeCell ref="A38:B38"/>
    <mergeCell ref="A39:B39"/>
    <mergeCell ref="A41:B41"/>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
    <pageSetUpPr fitToPage="1"/>
  </sheetPr>
  <dimension ref="A1:Z148"/>
  <sheetViews>
    <sheetView topLeftCell="A31" workbookViewId="0">
      <selection activeCell="A38" sqref="A38"/>
    </sheetView>
  </sheetViews>
  <sheetFormatPr baseColWidth="10" defaultRowHeight="15" x14ac:dyDescent="0.25"/>
  <cols>
    <col min="22" max="26" width="17.140625" customWidth="1"/>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36</v>
      </c>
      <c r="B2" s="293"/>
      <c r="C2" s="293">
        <f>'ECONOMIA &amp; PROFESIONES'!$N$3</f>
        <v>1</v>
      </c>
      <c r="D2" s="293"/>
      <c r="E2" s="293" t="s">
        <v>81</v>
      </c>
      <c r="F2" s="293"/>
      <c r="G2" s="293" t="s">
        <v>90</v>
      </c>
      <c r="H2" s="293"/>
      <c r="I2" s="293" t="str">
        <f>MAIN!$J$42</f>
        <v>Damage</v>
      </c>
      <c r="J2" s="293"/>
      <c r="K2" s="293">
        <f>MAIN!$L$42</f>
        <v>2</v>
      </c>
      <c r="L2" s="293"/>
    </row>
    <row r="3" spans="1:26" ht="29.25" customHeight="1" x14ac:dyDescent="0.25">
      <c r="A3" s="355" t="s">
        <v>7</v>
      </c>
      <c r="B3" s="355"/>
      <c r="C3" s="355"/>
      <c r="D3" s="355"/>
      <c r="E3" s="355" t="s">
        <v>8</v>
      </c>
      <c r="F3" s="355"/>
      <c r="G3" s="355"/>
      <c r="H3" s="355"/>
      <c r="I3" s="355" t="s">
        <v>83</v>
      </c>
      <c r="J3" s="355"/>
      <c r="K3" s="355"/>
      <c r="L3" s="355"/>
      <c r="M3" s="355" t="s">
        <v>84</v>
      </c>
      <c r="N3" s="355"/>
      <c r="O3" s="355"/>
      <c r="P3" s="355"/>
      <c r="Q3" s="355" t="s">
        <v>85</v>
      </c>
      <c r="R3" s="355"/>
      <c r="S3" s="355"/>
      <c r="T3" s="355"/>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91" t="str">
        <f>"+"&amp;ROUND(MAIN!$C$44*$C$2*$K$2/5*$U$4,0)&amp;" "&amp;$I$2</f>
        <v>+1 Damage</v>
      </c>
      <c r="W4" s="291" t="str">
        <f>"+"&amp;ROUND(MAIN!$D$44*$C$2*$K$2/5*$U$4,0)&amp;" "&amp;$I$2</f>
        <v>+2 Damage</v>
      </c>
      <c r="X4" s="291" t="str">
        <f>"+"&amp;ROUND(MAIN!$E$44*$C$2*$K$2/5*$U$4,0)&amp;" "&amp;$I$2</f>
        <v>+7 Damage</v>
      </c>
      <c r="Y4" s="291" t="str">
        <f>"+"&amp;ROUND(MAIN!$F$44*$C$2*$K$2/5*$U$4,0)&amp;" "&amp;$I$2</f>
        <v>+22 Damage</v>
      </c>
      <c r="Z4" s="291" t="str">
        <f>"+"&amp;ROUND(MAIN!$G$44*$C$2*$K$2/5*$U$4,0)&amp;" "&amp;$I$2</f>
        <v>+65 Damage</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91" t="str">
        <f>"+"&amp;ROUND(MAIN!$C$44*$C$2*$K$2/5*$U$5,0)&amp;" "&amp;$I$2</f>
        <v>+2 Damage</v>
      </c>
      <c r="W5" s="291" t="str">
        <f>"+"&amp;ROUND(MAIN!$D$44*$C$2*$K$2/5*$U$5,0)&amp;" "&amp;$I$2</f>
        <v>+5 Damage</v>
      </c>
      <c r="X5" s="291" t="str">
        <f>"+"&amp;ROUND(MAIN!$E$44*$C$2*$K$2/5*$U$5,0)&amp;" "&amp;$I$2</f>
        <v>+14 Damage</v>
      </c>
      <c r="Y5" s="291" t="str">
        <f>"+"&amp;ROUND(MAIN!$F$44*$C$2*$K$2/5*$U$5,0)&amp;" "&amp;$I$2</f>
        <v>+43 Damage</v>
      </c>
      <c r="Z5" s="291" t="str">
        <f>"+"&amp;ROUND(MAIN!$G$44*$C$2*$K$2/5*$U$5,0)&amp;" "&amp;$I$2</f>
        <v>+130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91" t="str">
        <f>"+"&amp;ROUND(MAIN!$C$44*$C$2*$K$2/5*$U$6,0)&amp;" "&amp;$I$2</f>
        <v>+2 Damage</v>
      </c>
      <c r="W6" s="291" t="str">
        <f>"+"&amp;ROUND(MAIN!$D$44*$C$2*$K$2/5*$U$6,0)&amp;" "&amp;$I$2</f>
        <v>+7 Damage</v>
      </c>
      <c r="X6" s="291" t="str">
        <f>"+"&amp;ROUND(MAIN!$E$44*$C$2*$K$2/5*$U$6,0)&amp;" "&amp;$I$2</f>
        <v>+22 Damage</v>
      </c>
      <c r="Y6" s="291" t="str">
        <f>"+"&amp;ROUND(MAIN!$F$44*$C$2*$K$2/5*$U$6,0)&amp;" "&amp;$I$2</f>
        <v>+65 Damage</v>
      </c>
      <c r="Z6" s="291" t="str">
        <f>"+"&amp;ROUND(MAIN!$G$44*$C$2*$K$2/5*$U$6,0)&amp;" "&amp;$I$2</f>
        <v>+194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91" t="str">
        <f>"+"&amp;ROUND(MAIN!$C$44*$C$2*$K$2/5*$U$7,0)&amp;" "&amp;$I$2</f>
        <v>+3 Damage</v>
      </c>
      <c r="W7" s="291" t="str">
        <f>"+"&amp;ROUND(MAIN!$D$44*$C$2*$K$2/5*$U$7,0)&amp;" "&amp;$I$2</f>
        <v>+10 Damage</v>
      </c>
      <c r="X7" s="291" t="str">
        <f>"+"&amp;ROUND(MAIN!$E$44*$C$2*$K$2/5*$U$7,0)&amp;" "&amp;$I$2</f>
        <v>+29 Damage</v>
      </c>
      <c r="Y7" s="291" t="str">
        <f>"+"&amp;ROUND(MAIN!$F$44*$C$2*$K$2/5*$U$7,0)&amp;" "&amp;$I$2</f>
        <v>+86 Damage</v>
      </c>
      <c r="Z7" s="291" t="str">
        <f>"+"&amp;ROUND(MAIN!$G$44*$C$2*$K$2/5*$U$7,0)&amp;" "&amp;$I$2</f>
        <v>+259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91" t="str">
        <f>"+"&amp;ROUND(MAIN!$C$44*$C$2*$K$2/5*$U$8,0)&amp;" "&amp;$I$2</f>
        <v>+4 Damage</v>
      </c>
      <c r="W8" s="291" t="str">
        <f>"+"&amp;ROUND(MAIN!$D$44*$C$2*$K$2/5*$U$8,0)&amp;" "&amp;$I$2</f>
        <v>+12 Damage</v>
      </c>
      <c r="X8" s="291" t="str">
        <f>"+"&amp;ROUND(MAIN!$E$44*$C$2*$K$2/5*$U$8,0)&amp;" "&amp;$I$2</f>
        <v>+36 Damage</v>
      </c>
      <c r="Y8" s="291" t="str">
        <f>"+"&amp;ROUND(MAIN!$F$44*$C$2*$K$2/5*$U$8,0)&amp;" "&amp;$I$2</f>
        <v>+108 Damage</v>
      </c>
      <c r="Z8" s="291" t="str">
        <f>"+"&amp;ROUND(MAIN!$G$44*$C$2*$K$2/5*$U$8,0)&amp;" "&amp;$I$2</f>
        <v>+324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DURABILITY:1:2</v>
      </c>
      <c r="B15" s="11"/>
      <c r="C15" s="11"/>
      <c r="D15" s="11"/>
      <c r="E15" s="11" t="str">
        <f>$A$15</f>
        <v xml:space="preserve">  - DURABILITY:1:2</v>
      </c>
      <c r="F15" s="11"/>
      <c r="G15" s="11"/>
      <c r="H15" s="11"/>
      <c r="I15" s="11" t="str">
        <f t="shared" ref="I15" si="12">$A$15</f>
        <v xml:space="preserve">  - DURABILITY:1:2</v>
      </c>
      <c r="J15" s="11"/>
      <c r="K15" s="11"/>
      <c r="L15" s="11"/>
      <c r="M15" s="11" t="str">
        <f t="shared" ref="M15" si="13">$A$15</f>
        <v xml:space="preserve">  - DURABILITY:1:2</v>
      </c>
      <c r="N15" s="11"/>
      <c r="O15" s="11"/>
      <c r="P15" s="11"/>
      <c r="Q15" s="11" t="str">
        <f t="shared" ref="Q15" si="14">$A$15</f>
        <v xml:space="preserve">  - DURABILITY:1:2</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x14ac:dyDescent="0.25">
      <c r="A38" s="11" t="str">
        <f>"chanceToSpawnOnAMonster: "&amp;MAIN!$C$27</f>
        <v>chanceToSpawnOnAMonster: 0.6</v>
      </c>
      <c r="B38" s="11"/>
      <c r="C38" s="11"/>
      <c r="D38" s="11"/>
      <c r="E38" s="11" t="str">
        <f>$A$38</f>
        <v>chanceToSpawnOnAMonster: 0.6</v>
      </c>
      <c r="F38" s="11"/>
      <c r="G38" s="11"/>
      <c r="H38" s="11"/>
      <c r="I38" s="11" t="str">
        <f t="shared" ref="I38" si="27">$A$38</f>
        <v>chanceToSpawnOnAMonster: 0.6</v>
      </c>
      <c r="J38" s="11"/>
      <c r="K38" s="11"/>
      <c r="L38" s="11"/>
      <c r="M38" s="11" t="str">
        <f t="shared" ref="M38" si="28">$A$38</f>
        <v>chanceToSpawnOnAMonster: 0.6</v>
      </c>
      <c r="N38" s="11"/>
      <c r="O38" s="11"/>
      <c r="P38" s="11"/>
      <c r="Q38" s="11" t="str">
        <f t="shared" ref="Q38" si="29">$A$38</f>
        <v>chanceToSpawnOnAMonster: 0.6</v>
      </c>
      <c r="R38" s="11"/>
      <c r="S38" s="11"/>
      <c r="T38" s="11"/>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x14ac:dyDescent="0.25">
      <c r="A40" s="11" t="str">
        <f>"chanceToBeIdentified: "&amp;MAIN!$C$28</f>
        <v>chanceToBeIdentified: 0.3</v>
      </c>
      <c r="B40" s="11"/>
      <c r="C40" s="11"/>
      <c r="D40" s="11"/>
      <c r="E40" s="11" t="str">
        <f>$A$40</f>
        <v>chanceToBeIdentified: 0.3</v>
      </c>
      <c r="F40" s="11"/>
      <c r="G40" s="11"/>
      <c r="H40" s="11"/>
      <c r="I40" s="11" t="str">
        <f t="shared" ref="I40" si="30">$A$40</f>
        <v>chanceToBeIdentified: 0.3</v>
      </c>
      <c r="J40" s="11"/>
      <c r="K40" s="11"/>
      <c r="L40" s="11"/>
      <c r="M40" s="11" t="str">
        <f t="shared" ref="M40" si="31">$A$40</f>
        <v>chanceToBeIdentified: 0.3</v>
      </c>
      <c r="N40" s="11"/>
      <c r="O40" s="11"/>
      <c r="P40" s="11"/>
      <c r="Q40" s="11" t="str">
        <f t="shared" ref="Q40" si="32">$A$40</f>
        <v>chanceToBeIdentified: 0.3</v>
      </c>
      <c r="R40" s="11"/>
      <c r="S40" s="11"/>
      <c r="T40" s="11"/>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33">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34">$A$43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35">$A$44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2:L2"/>
    <mergeCell ref="M3:P3"/>
    <mergeCell ref="Q3:T3"/>
    <mergeCell ref="A3:D3"/>
    <mergeCell ref="E3:H3"/>
    <mergeCell ref="G1:H1"/>
    <mergeCell ref="G2:H2"/>
    <mergeCell ref="I3:L3"/>
    <mergeCell ref="E1:F1"/>
    <mergeCell ref="C2:D2"/>
    <mergeCell ref="E2:F2"/>
    <mergeCell ref="A1:B1"/>
    <mergeCell ref="A2:B2"/>
    <mergeCell ref="C1:D1"/>
    <mergeCell ref="I1:J1"/>
    <mergeCell ref="I2:J2"/>
    <mergeCell ref="K1:L1"/>
  </mergeCells>
  <pageMargins left="0.7" right="0.7" top="0.75" bottom="0.75" header="0.3" footer="0.3"/>
  <pageSetup paperSize="9" scale="38"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dimension ref="A1:Z147"/>
  <sheetViews>
    <sheetView topLeftCell="N22" workbookViewId="0">
      <selection activeCell="Q4" sqref="Q4:Q44"/>
    </sheetView>
  </sheetViews>
  <sheetFormatPr baseColWidth="10" defaultRowHeight="15" x14ac:dyDescent="0.25"/>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36</v>
      </c>
      <c r="B2" s="293"/>
      <c r="C2" s="293">
        <f>'ECONOMIA &amp; PROFESIONES'!$N$3</f>
        <v>1</v>
      </c>
      <c r="D2" s="293"/>
      <c r="E2" s="293" t="s">
        <v>81</v>
      </c>
      <c r="F2" s="293"/>
      <c r="G2" s="293" t="s">
        <v>90</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91"/>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91">
        <v>1</v>
      </c>
      <c r="V4" s="291" t="str">
        <f>"+"&amp;ROUND(MAIN!$C$55*$C$2*$K$2/5*$U$4,0)&amp;" "&amp;$I$2</f>
        <v>+1 Armor</v>
      </c>
      <c r="W4" s="291" t="str">
        <f>"+"&amp;ROUND(MAIN!$D$55*$C$2*$K$2/5*$U$4,0)&amp;" "&amp;$I$2</f>
        <v>+2 Armor</v>
      </c>
      <c r="X4" s="291" t="str">
        <f>"+"&amp;ROUND(MAIN!$E$55*$C$2*$K$2/5*$U$4,0)&amp;" "&amp;$I$2</f>
        <v>+3 Armor</v>
      </c>
      <c r="Y4" s="291" t="str">
        <f>"+"&amp;ROUND(MAIN!$F$55*$C$2*$K$2/5*$U$4,0)&amp;" "&amp;$I$2</f>
        <v>+4 Armor</v>
      </c>
      <c r="Z4" s="291"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91">
        <v>2</v>
      </c>
      <c r="V5" s="291" t="str">
        <f>"+"&amp;ROUND(MAIN!$C$55*$C$2*$K$2/5*$U$5,0)&amp;" "&amp;$I$2</f>
        <v>+2 Armor</v>
      </c>
      <c r="W5" s="291" t="str">
        <f>"+"&amp;ROUND(MAIN!$D$55*$C$2*$K$2/5*$U$5,0)&amp;" "&amp;$I$2</f>
        <v>+3 Armor</v>
      </c>
      <c r="X5" s="291" t="str">
        <f>"+"&amp;ROUND(MAIN!$E$55*$C$2*$K$2/5*$U$5,0)&amp;" "&amp;$I$2</f>
        <v>+5 Armor</v>
      </c>
      <c r="Y5" s="291" t="str">
        <f>"+"&amp;ROUND(MAIN!$F$55*$C$2*$K$2/5*$U$5,0)&amp;" "&amp;$I$2</f>
        <v>+9 Armor</v>
      </c>
      <c r="Z5" s="291"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+3 Armor</v>
      </c>
      <c r="W6" s="291" t="str">
        <f>"+"&amp;ROUND(MAIN!$D$55*$C$2*$K$2/5*$U$6,0)&amp;" "&amp;$I$2</f>
        <v>+5 Armor</v>
      </c>
      <c r="X6" s="291" t="str">
        <f>"+"&amp;ROUND(MAIN!$E$55*$C$2*$K$2/5*$U$6,0)&amp;" "&amp;$I$2</f>
        <v>+8 Armor</v>
      </c>
      <c r="Y6" s="291" t="str">
        <f>"+"&amp;ROUND(MAIN!$F$55*$C$2*$K$2/5*$U$6,0)&amp;" "&amp;$I$2</f>
        <v>+13 Armor</v>
      </c>
      <c r="Z6" s="291"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+4 Armor</v>
      </c>
      <c r="W7" s="291" t="str">
        <f>"+"&amp;ROUND(MAIN!$D$55*$C$2*$K$2/5*$U$7,0)&amp;" "&amp;$I$2</f>
        <v>+6 Armor</v>
      </c>
      <c r="X7" s="291" t="str">
        <f>"+"&amp;ROUND(MAIN!$E$55*$C$2*$K$2/5*$U$7,0)&amp;" "&amp;$I$2</f>
        <v>+10 Armor</v>
      </c>
      <c r="Y7" s="291" t="str">
        <f>"+"&amp;ROUND(MAIN!$F$55*$C$2*$K$2/5*$U$7,0)&amp;" "&amp;$I$2</f>
        <v>+18 Armor</v>
      </c>
      <c r="Z7" s="291"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+5 Armor</v>
      </c>
      <c r="W8" s="291" t="str">
        <f>"+"&amp;ROUND(MAIN!$D$55*$C$2*$K$2/5*$U$8,0)&amp;" "&amp;$I$2</f>
        <v>+8 Armor</v>
      </c>
      <c r="X8" s="291" t="str">
        <f>"+"&amp;ROUND(MAIN!$E$55*$C$2*$K$2/5*$U$8,0)&amp;" "&amp;$I$2</f>
        <v>+13 Armor</v>
      </c>
      <c r="Y8" s="291" t="str">
        <f>"+"&amp;ROUND(MAIN!$F$55*$C$2*$K$2/5*$U$8,0)&amp;" "&amp;$I$2</f>
        <v>+22 Armor</v>
      </c>
      <c r="Z8" s="291"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DURABILITY:1:2</v>
      </c>
      <c r="B15" s="11"/>
      <c r="C15" s="11"/>
      <c r="D15" s="11"/>
      <c r="E15" s="11" t="str">
        <f>$A$15</f>
        <v xml:space="preserve">  - DURABILITY:1:2</v>
      </c>
      <c r="F15" s="11"/>
      <c r="G15" s="11"/>
      <c r="H15" s="11"/>
      <c r="I15" s="11" t="str">
        <f t="shared" ref="I15" si="12">$A$15</f>
        <v xml:space="preserve">  - DURABILITY:1:2</v>
      </c>
      <c r="J15" s="11"/>
      <c r="K15" s="11"/>
      <c r="L15" s="11"/>
      <c r="M15" s="11" t="str">
        <f t="shared" ref="M15" si="13">$A$15</f>
        <v xml:space="preserve">  - DURABILITY:1:2</v>
      </c>
      <c r="N15" s="11"/>
      <c r="O15" s="11"/>
      <c r="P15" s="11"/>
      <c r="Q15" s="11" t="str">
        <f t="shared" ref="Q15" si="14">$A$15</f>
        <v xml:space="preserve">  - DURABILITY:1:2</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x14ac:dyDescent="0.25">
      <c r="A38" s="11" t="str">
        <f>'armas comun'!$A$38</f>
        <v>chanceToSpawnOnAMonster: 0.6</v>
      </c>
      <c r="B38" s="11"/>
      <c r="C38" s="11"/>
      <c r="D38" s="11"/>
      <c r="E38" s="11" t="str">
        <f>$A$38</f>
        <v>chanceToSpawnOnAMonster: 0.6</v>
      </c>
      <c r="F38" s="11"/>
      <c r="G38" s="11"/>
      <c r="H38" s="11"/>
      <c r="I38" s="11" t="str">
        <f t="shared" ref="I38" si="27">$A$38</f>
        <v>chanceToSpawnOnAMonster: 0.6</v>
      </c>
      <c r="J38" s="11"/>
      <c r="K38" s="11"/>
      <c r="L38" s="11"/>
      <c r="M38" s="11" t="str">
        <f t="shared" ref="M38" si="28">$A$38</f>
        <v>chanceToSpawnOnAMonster: 0.6</v>
      </c>
      <c r="N38" s="11"/>
      <c r="O38" s="11"/>
      <c r="P38" s="11"/>
      <c r="Q38" s="11" t="str">
        <f t="shared" ref="Q38" si="29">$A$38</f>
        <v>chanceToSpawnOnAMonster: 0.6</v>
      </c>
      <c r="R38" s="11"/>
      <c r="S38" s="11"/>
      <c r="T38" s="11"/>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x14ac:dyDescent="0.25">
      <c r="A40" s="11" t="str">
        <f>'armas comun'!$A$40</f>
        <v>chanceToBeIdentified: 0.3</v>
      </c>
      <c r="B40" s="11"/>
      <c r="C40" s="11"/>
      <c r="D40" s="11"/>
      <c r="E40" s="11" t="str">
        <f>$A$40</f>
        <v>chanceToBeIdentified: 0.3</v>
      </c>
      <c r="F40" s="11"/>
      <c r="G40" s="11"/>
      <c r="H40" s="11"/>
      <c r="I40" s="11" t="str">
        <f t="shared" ref="I40" si="30">$A$40</f>
        <v>chanceToBeIdentified: 0.3</v>
      </c>
      <c r="J40" s="11"/>
      <c r="K40" s="11"/>
      <c r="L40" s="11"/>
      <c r="M40" s="11" t="str">
        <f t="shared" ref="M40" si="31">$A$40</f>
        <v>chanceToBeIdentified: 0.3</v>
      </c>
      <c r="N40" s="11"/>
      <c r="O40" s="11"/>
      <c r="P40" s="11"/>
      <c r="Q40" s="11" t="str">
        <f t="shared" ref="Q40" si="32">$A$40</f>
        <v>chanceToBeIdentified: 0.3</v>
      </c>
      <c r="R40" s="11"/>
      <c r="S40" s="11"/>
      <c r="T40" s="11"/>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33">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dimension ref="A1:Z148"/>
  <sheetViews>
    <sheetView topLeftCell="N22" workbookViewId="0">
      <selection activeCell="Q4" sqref="Q4:Q44"/>
    </sheetView>
  </sheetViews>
  <sheetFormatPr baseColWidth="10" defaultRowHeight="15" x14ac:dyDescent="0.25"/>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36</v>
      </c>
      <c r="B2" s="293"/>
      <c r="C2" s="293">
        <f>'ECONOMIA &amp; PROFESIONES'!$N$3</f>
        <v>1</v>
      </c>
      <c r="D2" s="293"/>
      <c r="E2" s="293" t="s">
        <v>81</v>
      </c>
      <c r="F2" s="293"/>
      <c r="G2" s="293" t="s">
        <v>90</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DURABILITY:1:2</v>
      </c>
      <c r="B15" s="11"/>
      <c r="C15" s="11"/>
      <c r="D15" s="11"/>
      <c r="E15" s="11" t="str">
        <f>'armas comun'!$A$15</f>
        <v xml:space="preserve">  - DURABILITY:1:2</v>
      </c>
      <c r="F15" s="11"/>
      <c r="G15" s="11"/>
      <c r="H15" s="11"/>
      <c r="I15" s="11" t="str">
        <f t="shared" ref="I15" si="12">$A$15</f>
        <v xml:space="preserve">  - DURABILITY:1:2</v>
      </c>
      <c r="J15" s="11"/>
      <c r="K15" s="11"/>
      <c r="L15" s="11"/>
      <c r="M15" s="11" t="str">
        <f t="shared" ref="M15" si="13">$A$15</f>
        <v xml:space="preserve">  - DURABILITY:1:2</v>
      </c>
      <c r="N15" s="11"/>
      <c r="O15" s="11"/>
      <c r="P15" s="11"/>
      <c r="Q15" s="11" t="str">
        <f t="shared" ref="Q15" si="14">$A$15</f>
        <v xml:space="preserve">  - DURABILITY:1:2</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x14ac:dyDescent="0.25">
      <c r="A38" s="11" t="str">
        <f>'armas comun'!$A$38</f>
        <v>chanceToSpawnOnAMonster: 0.6</v>
      </c>
      <c r="B38" s="11"/>
      <c r="C38" s="11"/>
      <c r="D38" s="11"/>
      <c r="E38" s="11" t="str">
        <f t="shared" ref="E38" si="29">$A$38</f>
        <v>chanceToSpawnOnAMonster: 0.6</v>
      </c>
      <c r="F38" s="11"/>
      <c r="G38" s="11"/>
      <c r="H38" s="11"/>
      <c r="I38" s="11" t="str">
        <f t="shared" ref="I38" si="30">$A$38</f>
        <v>chanceToSpawnOnAMonster: 0.6</v>
      </c>
      <c r="J38" s="11"/>
      <c r="K38" s="11"/>
      <c r="L38" s="11"/>
      <c r="M38" s="11" t="str">
        <f t="shared" ref="M38" si="31">$A$38</f>
        <v>chanceToSpawnOnAMonster: 0.6</v>
      </c>
      <c r="N38" s="11"/>
      <c r="O38" s="11"/>
      <c r="P38" s="11"/>
      <c r="Q38" s="11" t="str">
        <f t="shared" ref="Q38" si="32">$A$38</f>
        <v>chanceToSpawnOnAMonster: 0.6</v>
      </c>
      <c r="R38" s="11"/>
      <c r="S38" s="11"/>
      <c r="T38" s="11"/>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x14ac:dyDescent="0.25">
      <c r="A40" s="11" t="str">
        <f>'armas comun'!$A$40</f>
        <v>chanceToBeIdentified: 0.3</v>
      </c>
      <c r="B40" s="11"/>
      <c r="C40" s="11"/>
      <c r="D40" s="11"/>
      <c r="E40" s="11" t="str">
        <f t="shared" ref="E40" si="33">$A$40</f>
        <v>chanceToBeIdentified: 0.3</v>
      </c>
      <c r="F40" s="11"/>
      <c r="G40" s="11"/>
      <c r="H40" s="11"/>
      <c r="I40" s="11" t="str">
        <f t="shared" ref="I40" si="34">$A$40</f>
        <v>chanceToBeIdentified: 0.3</v>
      </c>
      <c r="J40" s="11"/>
      <c r="K40" s="11"/>
      <c r="L40" s="11"/>
      <c r="M40" s="11" t="str">
        <f t="shared" ref="M40" si="35">$A$40</f>
        <v>chanceToBeIdentified: 0.3</v>
      </c>
      <c r="N40" s="11"/>
      <c r="O40" s="11"/>
      <c r="P40" s="11"/>
      <c r="Q40" s="11" t="str">
        <f t="shared" ref="Q40" si="36">$A$40</f>
        <v>chanceToBeIdentified: 0.3</v>
      </c>
      <c r="R40" s="11"/>
      <c r="S40" s="11"/>
      <c r="T40" s="11"/>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3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7"/>
  <dimension ref="A1:Z148"/>
  <sheetViews>
    <sheetView topLeftCell="N22" workbookViewId="0">
      <selection activeCell="Q4" sqref="Q4:Q44"/>
    </sheetView>
  </sheetViews>
  <sheetFormatPr baseColWidth="10" defaultRowHeight="15" x14ac:dyDescent="0.25"/>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36</v>
      </c>
      <c r="B2" s="293"/>
      <c r="C2" s="293">
        <f>'ECONOMIA &amp; PROFESIONES'!$N$3</f>
        <v>1</v>
      </c>
      <c r="D2" s="293"/>
      <c r="E2" s="293" t="s">
        <v>81</v>
      </c>
      <c r="F2" s="293"/>
      <c r="G2" s="293" t="s">
        <v>90</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DURABILITY:1:2</v>
      </c>
      <c r="B15" s="11"/>
      <c r="C15" s="11"/>
      <c r="D15" s="11"/>
      <c r="E15" s="11" t="str">
        <f>$A$15</f>
        <v xml:space="preserve">  - DURABILITY:1:2</v>
      </c>
      <c r="F15" s="11"/>
      <c r="G15" s="11"/>
      <c r="H15" s="11"/>
      <c r="I15" s="11" t="str">
        <f t="shared" ref="I15" si="12">$A$15</f>
        <v xml:space="preserve">  - DURABILITY:1:2</v>
      </c>
      <c r="J15" s="11"/>
      <c r="K15" s="11"/>
      <c r="L15" s="11"/>
      <c r="M15" s="11" t="str">
        <f t="shared" ref="M15" si="13">$A$15</f>
        <v xml:space="preserve">  - DURABILITY:1:2</v>
      </c>
      <c r="N15" s="11"/>
      <c r="O15" s="11"/>
      <c r="P15" s="11"/>
      <c r="Q15" s="11" t="str">
        <f t="shared" ref="Q15" si="14">$A$15</f>
        <v xml:space="preserve">  - DURABILITY:1:2</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x14ac:dyDescent="0.25">
      <c r="A38" s="11" t="str">
        <f>'armas comun'!$A$38</f>
        <v>chanceToSpawnOnAMonster: 0.6</v>
      </c>
      <c r="B38" s="11"/>
      <c r="C38" s="11"/>
      <c r="D38" s="11"/>
      <c r="E38" s="11" t="str">
        <f>$A$38</f>
        <v>chanceToSpawnOnAMonster: 0.6</v>
      </c>
      <c r="F38" s="11"/>
      <c r="G38" s="11"/>
      <c r="H38" s="11"/>
      <c r="I38" s="11" t="str">
        <f t="shared" ref="I38" si="27">$A$38</f>
        <v>chanceToSpawnOnAMonster: 0.6</v>
      </c>
      <c r="J38" s="11"/>
      <c r="K38" s="11"/>
      <c r="L38" s="11"/>
      <c r="M38" s="11" t="str">
        <f t="shared" ref="M38" si="28">$A$38</f>
        <v>chanceToSpawnOnAMonster: 0.6</v>
      </c>
      <c r="N38" s="11"/>
      <c r="O38" s="11"/>
      <c r="P38" s="11"/>
      <c r="Q38" s="11" t="str">
        <f t="shared" ref="Q38" si="29">$A$38</f>
        <v>chanceToSpawnOnAMonster: 0.6</v>
      </c>
      <c r="R38" s="11"/>
      <c r="S38" s="11"/>
      <c r="T38" s="11"/>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x14ac:dyDescent="0.25">
      <c r="A40" s="11" t="str">
        <f>'armas comun'!$A$40</f>
        <v>chanceToBeIdentified: 0.3</v>
      </c>
      <c r="B40" s="11"/>
      <c r="C40" s="11"/>
      <c r="D40" s="11"/>
      <c r="E40" s="11" t="str">
        <f>$A$40</f>
        <v>chanceToBeIdentified: 0.3</v>
      </c>
      <c r="F40" s="11"/>
      <c r="G40" s="11"/>
      <c r="H40" s="11"/>
      <c r="I40" s="11" t="str">
        <f t="shared" ref="I40" si="30">$A$40</f>
        <v>chanceToBeIdentified: 0.3</v>
      </c>
      <c r="J40" s="11"/>
      <c r="K40" s="11"/>
      <c r="L40" s="11"/>
      <c r="M40" s="11" t="str">
        <f t="shared" ref="M40" si="31">$A$40</f>
        <v>chanceToBeIdentified: 0.3</v>
      </c>
      <c r="N40" s="11"/>
      <c r="O40" s="11"/>
      <c r="P40" s="11"/>
      <c r="Q40" s="11" t="str">
        <f t="shared" ref="Q40" si="32">$A$40</f>
        <v>chanceToBeIdentified: 0.3</v>
      </c>
      <c r="R40" s="11"/>
      <c r="S40" s="11"/>
      <c r="T40" s="11"/>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33">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K2:L2"/>
    <mergeCell ref="M3:P3"/>
    <mergeCell ref="Q3:T3"/>
    <mergeCell ref="A1:B1"/>
    <mergeCell ref="C1:D1"/>
    <mergeCell ref="E1:F1"/>
    <mergeCell ref="A2:B2"/>
    <mergeCell ref="C2:D2"/>
    <mergeCell ref="E2:F2"/>
    <mergeCell ref="G1:H1"/>
    <mergeCell ref="G2:H2"/>
    <mergeCell ref="A3:D3"/>
    <mergeCell ref="E3:H3"/>
    <mergeCell ref="I3:L3"/>
    <mergeCell ref="I1:J1"/>
    <mergeCell ref="K1:L1"/>
    <mergeCell ref="I2:J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8"/>
  <dimension ref="A1:Z148"/>
  <sheetViews>
    <sheetView topLeftCell="N22" workbookViewId="0">
      <selection activeCell="Q4" sqref="Q4:Q44"/>
    </sheetView>
  </sheetViews>
  <sheetFormatPr baseColWidth="10" defaultRowHeight="15" x14ac:dyDescent="0.25"/>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36</v>
      </c>
      <c r="B2" s="293"/>
      <c r="C2" s="293">
        <f>'ECONOMIA &amp; PROFESIONES'!$N$3</f>
        <v>1</v>
      </c>
      <c r="D2" s="293"/>
      <c r="E2" s="293" t="s">
        <v>81</v>
      </c>
      <c r="F2" s="293"/>
      <c r="G2" s="293" t="s">
        <v>90</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DURABILITY:1:2</v>
      </c>
      <c r="B15" s="11"/>
      <c r="C15" s="11"/>
      <c r="D15" s="11"/>
      <c r="E15" s="11" t="str">
        <f>$A$15</f>
        <v xml:space="preserve">  - DURABILITY:1:2</v>
      </c>
      <c r="F15" s="11"/>
      <c r="G15" s="11"/>
      <c r="H15" s="11"/>
      <c r="I15" s="11" t="str">
        <f t="shared" ref="I15" si="12">$A$15</f>
        <v xml:space="preserve">  - DURABILITY:1:2</v>
      </c>
      <c r="J15" s="11"/>
      <c r="K15" s="11"/>
      <c r="L15" s="11"/>
      <c r="M15" s="11" t="str">
        <f t="shared" ref="M15" si="13">$A$15</f>
        <v xml:space="preserve">  - DURABILITY:1:2</v>
      </c>
      <c r="N15" s="11"/>
      <c r="O15" s="11"/>
      <c r="P15" s="11"/>
      <c r="Q15" s="11" t="str">
        <f t="shared" ref="Q15" si="14">$A$15</f>
        <v xml:space="preserve">  - DURABILITY:1:2</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x14ac:dyDescent="0.25">
      <c r="A38" s="11" t="str">
        <f>'armas comun'!$A$38</f>
        <v>chanceToSpawnOnAMonster: 0.6</v>
      </c>
      <c r="B38" s="11"/>
      <c r="C38" s="11"/>
      <c r="D38" s="11"/>
      <c r="E38" s="11" t="str">
        <f>$A$38</f>
        <v>chanceToSpawnOnAMonster: 0.6</v>
      </c>
      <c r="F38" s="11"/>
      <c r="G38" s="11"/>
      <c r="H38" s="11"/>
      <c r="I38" s="11" t="str">
        <f t="shared" ref="I38" si="27">$A$38</f>
        <v>chanceToSpawnOnAMonster: 0.6</v>
      </c>
      <c r="J38" s="11"/>
      <c r="K38" s="11"/>
      <c r="L38" s="11"/>
      <c r="M38" s="11" t="str">
        <f t="shared" ref="M38" si="28">$A$38</f>
        <v>chanceToSpawnOnAMonster: 0.6</v>
      </c>
      <c r="N38" s="11"/>
      <c r="O38" s="11"/>
      <c r="P38" s="11"/>
      <c r="Q38" s="11" t="str">
        <f t="shared" ref="Q38" si="29">$A$38</f>
        <v>chanceToSpawnOnAMonster: 0.6</v>
      </c>
      <c r="R38" s="11"/>
      <c r="S38" s="11"/>
      <c r="T38" s="11"/>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x14ac:dyDescent="0.25">
      <c r="A40" s="11" t="str">
        <f>'armas comun'!$A$40</f>
        <v>chanceToBeIdentified: 0.3</v>
      </c>
      <c r="B40" s="11"/>
      <c r="C40" s="11"/>
      <c r="D40" s="11"/>
      <c r="E40" s="11" t="str">
        <f>$A$40</f>
        <v>chanceToBeIdentified: 0.3</v>
      </c>
      <c r="F40" s="11"/>
      <c r="G40" s="11"/>
      <c r="H40" s="11"/>
      <c r="I40" s="11" t="str">
        <f t="shared" ref="I40" si="30">$A$40</f>
        <v>chanceToBeIdentified: 0.3</v>
      </c>
      <c r="J40" s="11"/>
      <c r="K40" s="11"/>
      <c r="L40" s="11"/>
      <c r="M40" s="11" t="str">
        <f t="shared" ref="M40" si="31">$A$40</f>
        <v>chanceToBeIdentified: 0.3</v>
      </c>
      <c r="N40" s="11"/>
      <c r="O40" s="11"/>
      <c r="P40" s="11"/>
      <c r="Q40" s="11" t="str">
        <f t="shared" ref="Q40" si="32">$A$40</f>
        <v>chanceToBeIdentified: 0.3</v>
      </c>
      <c r="R40" s="11"/>
      <c r="S40" s="11"/>
      <c r="T40" s="11"/>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33">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I1:J1"/>
    <mergeCell ref="K1:L1"/>
    <mergeCell ref="I2:J2"/>
    <mergeCell ref="K2:L2"/>
    <mergeCell ref="A3:D3"/>
    <mergeCell ref="E3:H3"/>
    <mergeCell ref="I3:L3"/>
    <mergeCell ref="M3:P3"/>
    <mergeCell ref="Q3:T3"/>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9"/>
  <dimension ref="A1:Z170"/>
  <sheetViews>
    <sheetView topLeftCell="N44" workbookViewId="0">
      <selection activeCell="Q4" sqref="Q4:Q66"/>
    </sheetView>
  </sheetViews>
  <sheetFormatPr baseColWidth="10" defaultColWidth="11.42578125" defaultRowHeight="15" x14ac:dyDescent="0.25"/>
  <cols>
    <col min="1" max="16384" width="11.42578125" style="16"/>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100</v>
      </c>
      <c r="B2" s="293"/>
      <c r="C2" s="293">
        <f>'ECONOMIA &amp; PROFESIONES'!$O$3</f>
        <v>3</v>
      </c>
      <c r="D2" s="293"/>
      <c r="E2" s="293" t="s">
        <v>81</v>
      </c>
      <c r="F2" s="293"/>
      <c r="G2" s="293" t="s">
        <v>97</v>
      </c>
      <c r="H2" s="293"/>
      <c r="I2" s="293" t="str">
        <f>MAIN!$J$42</f>
        <v>Damage</v>
      </c>
      <c r="J2" s="293"/>
      <c r="K2" s="293">
        <f>MAIN!$L$42</f>
        <v>2</v>
      </c>
      <c r="L2" s="293"/>
    </row>
    <row r="3" spans="1:26" ht="29.25" customHeight="1" x14ac:dyDescent="0.25">
      <c r="A3" s="355" t="s">
        <v>7</v>
      </c>
      <c r="B3" s="355"/>
      <c r="C3" s="355"/>
      <c r="D3" s="355"/>
      <c r="E3" s="355" t="s">
        <v>8</v>
      </c>
      <c r="F3" s="355"/>
      <c r="G3" s="355"/>
      <c r="H3" s="355"/>
      <c r="I3" s="355" t="s">
        <v>83</v>
      </c>
      <c r="J3" s="355"/>
      <c r="K3" s="355"/>
      <c r="L3" s="355"/>
      <c r="M3" s="355" t="s">
        <v>84</v>
      </c>
      <c r="N3" s="355"/>
      <c r="O3" s="355"/>
      <c r="P3" s="355"/>
      <c r="Q3" s="355" t="s">
        <v>85</v>
      </c>
      <c r="R3" s="355"/>
      <c r="S3" s="355"/>
      <c r="T3" s="355"/>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"+"&amp;ROUND(MAIN!$C$44*$C$2*$K$2/5*$U$4,0)&amp;" "&amp;$I$2</f>
        <v>+2 Damage</v>
      </c>
      <c r="W4" s="291" t="str">
        <f>"+"&amp;ROUND(MAIN!$D$44*$C$2*$K$2/5*$U$4,0)&amp;" "&amp;$I$2</f>
        <v>+7 Damage</v>
      </c>
      <c r="X4" s="291" t="str">
        <f>"+"&amp;ROUND(MAIN!$E$44*$C$2*$K$2/5*$U$4,0)&amp;" "&amp;$I$2</f>
        <v>+22 Damage</v>
      </c>
      <c r="Y4" s="291" t="str">
        <f>"+"&amp;ROUND(MAIN!$F$44*$C$2*$K$2/5*$U$4,0)&amp;" "&amp;$I$2</f>
        <v>+65 Damage</v>
      </c>
      <c r="Z4" s="291" t="str">
        <f>"+"&amp;ROUND(MAIN!$G$44*$C$2*$K$2/5*$U$4,0)&amp;" "&amp;$I$2</f>
        <v>+194 Damage</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"+"&amp;ROUND(MAIN!$C$44*$C$2*$K$2/5*$U$5,0)&amp;" "&amp;$I$2</f>
        <v>+5 Damage</v>
      </c>
      <c r="W5" s="291" t="str">
        <f>"+"&amp;ROUND(MAIN!$D$44*$C$2*$K$2/5*$U$5,0)&amp;" "&amp;$I$2</f>
        <v>+14 Damage</v>
      </c>
      <c r="X5" s="291" t="str">
        <f>"+"&amp;ROUND(MAIN!$E$44*$C$2*$K$2/5*$U$5,0)&amp;" "&amp;$I$2</f>
        <v>+43 Damage</v>
      </c>
      <c r="Y5" s="291" t="str">
        <f>"+"&amp;ROUND(MAIN!$F$44*$C$2*$K$2/5*$U$5,0)&amp;" "&amp;$I$2</f>
        <v>+130 Damage</v>
      </c>
      <c r="Z5" s="291" t="str">
        <f>"+"&amp;ROUND(MAIN!$G$44*$C$2*$K$2/5*$U$5,0)&amp;" "&amp;$I$2</f>
        <v>+389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"+"&amp;ROUND(MAIN!$C$44*$C$2*$K$2/5*$U$6,0)&amp;" "&amp;$I$2</f>
        <v>+7 Damage</v>
      </c>
      <c r="W6" s="291" t="str">
        <f>"+"&amp;ROUND(MAIN!$D$44*$C$2*$K$2/5*$U$6,0)&amp;" "&amp;$I$2</f>
        <v>+22 Damage</v>
      </c>
      <c r="X6" s="291" t="str">
        <f>"+"&amp;ROUND(MAIN!$E$44*$C$2*$K$2/5*$U$6,0)&amp;" "&amp;$I$2</f>
        <v>+65 Damage</v>
      </c>
      <c r="Y6" s="291" t="str">
        <f>"+"&amp;ROUND(MAIN!$F$44*$C$2*$K$2/5*$U$6,0)&amp;" "&amp;$I$2</f>
        <v>+194 Damage</v>
      </c>
      <c r="Z6" s="291" t="str">
        <f>"+"&amp;ROUND(MAIN!$G$44*$C$2*$K$2/5*$U$6,0)&amp;" "&amp;$I$2</f>
        <v>+583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"+"&amp;ROUND(MAIN!$C$44*$C$2*$K$2/5*$U$7,0)&amp;" "&amp;$I$2</f>
        <v>+10 Damage</v>
      </c>
      <c r="W7" s="291" t="str">
        <f>"+"&amp;ROUND(MAIN!$D$44*$C$2*$K$2/5*$U$7,0)&amp;" "&amp;$I$2</f>
        <v>+29 Damage</v>
      </c>
      <c r="X7" s="291" t="str">
        <f>"+"&amp;ROUND(MAIN!$E$44*$C$2*$K$2/5*$U$7,0)&amp;" "&amp;$I$2</f>
        <v>+86 Damage</v>
      </c>
      <c r="Y7" s="291" t="str">
        <f>"+"&amp;ROUND(MAIN!$F$44*$C$2*$K$2/5*$U$7,0)&amp;" "&amp;$I$2</f>
        <v>+259 Damage</v>
      </c>
      <c r="Z7" s="291" t="str">
        <f>"+"&amp;ROUND(MAIN!$G$44*$C$2*$K$2/5*$U$7,0)&amp;" "&amp;$I$2</f>
        <v>+778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"+"&amp;ROUND(MAIN!$C$44*$C$2*$K$2/5*$U$8,0)&amp;" "&amp;$I$2</f>
        <v>+12 Damage</v>
      </c>
      <c r="W8" s="291" t="str">
        <f>"+"&amp;ROUND(MAIN!$D$44*$C$2*$K$2/5*$U$8,0)&amp;" "&amp;$I$2</f>
        <v>+36 Damage</v>
      </c>
      <c r="X8" s="291" t="str">
        <f>"+"&amp;ROUND(MAIN!$E$44*$C$2*$K$2/5*$U$8,0)&amp;" "&amp;$I$2</f>
        <v>+108 Damage</v>
      </c>
      <c r="Y8" s="291" t="str">
        <f>"+"&amp;ROUND(MAIN!$F$44*$C$2*$K$2/5*$U$8,0)&amp;" "&amp;$I$2</f>
        <v>+324 Damage</v>
      </c>
      <c r="Z8" s="291" t="str">
        <f>"+"&amp;ROUND(MAIN!$G$44*$C$2*$K$2/5*$U$8,0)&amp;" "&amp;$I$2</f>
        <v>+972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DURABILITY:2:4</v>
      </c>
      <c r="B15" s="11"/>
      <c r="C15" s="11"/>
      <c r="D15" s="11"/>
      <c r="E15" s="11" t="str">
        <f>$A$15</f>
        <v xml:space="preserve">  - DURABILITY:2:4</v>
      </c>
      <c r="F15" s="11"/>
      <c r="G15" s="11"/>
      <c r="H15" s="11"/>
      <c r="I15" s="11" t="str">
        <f t="shared" ref="I15" si="12">$A$15</f>
        <v xml:space="preserve">  - DURABILITY:2:4</v>
      </c>
      <c r="J15" s="11"/>
      <c r="K15" s="11"/>
      <c r="L15" s="11"/>
      <c r="M15" s="11" t="str">
        <f t="shared" ref="M15" si="13">$A$15</f>
        <v xml:space="preserve">  - DURABILITY:2:4</v>
      </c>
      <c r="N15" s="11"/>
      <c r="O15" s="11"/>
      <c r="P15" s="11"/>
      <c r="Q15" s="11" t="str">
        <f t="shared" ref="Q15" si="14">$A$15</f>
        <v xml:space="preserve">  - DURABILITY:2:4</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91" customFormat="1" x14ac:dyDescent="0.25">
      <c r="A50" s="9" t="s">
        <v>1196</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x14ac:dyDescent="0.25">
      <c r="A60" s="11" t="str">
        <f>"chanceToSpawnOnAMonster: "&amp;MAIN!$D$27</f>
        <v>chanceToSpawnOnAMonster: 0.3</v>
      </c>
      <c r="B60" s="11"/>
      <c r="C60" s="11"/>
      <c r="D60" s="11"/>
      <c r="E60" s="11" t="str">
        <f>$A$60</f>
        <v>chanceToSpawnOnAMonster: 0.3</v>
      </c>
      <c r="F60" s="11"/>
      <c r="G60" s="11"/>
      <c r="H60" s="11"/>
      <c r="I60" s="11" t="str">
        <f t="shared" ref="I60" si="27">$A$60</f>
        <v>chanceToSpawnOnAMonster: 0.3</v>
      </c>
      <c r="J60" s="11"/>
      <c r="K60" s="11"/>
      <c r="L60" s="11"/>
      <c r="M60" s="11" t="str">
        <f t="shared" ref="M60" si="28">$A$60</f>
        <v>chanceToSpawnOnAMonster: 0.3</v>
      </c>
      <c r="N60" s="11"/>
      <c r="O60" s="11"/>
      <c r="P60" s="11"/>
      <c r="Q60" s="11" t="str">
        <f t="shared" ref="Q60" si="29">$A$60</f>
        <v>chanceToSpawnOnAMonster: 0.3</v>
      </c>
      <c r="R60" s="11"/>
      <c r="S60" s="11"/>
      <c r="T60" s="11"/>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x14ac:dyDescent="0.25">
      <c r="A62" s="11" t="str">
        <f>"chanceToBeIdentified: "&amp;MAIN!$D$28</f>
        <v>chanceToBeIdentified: 0.15</v>
      </c>
      <c r="B62" s="11"/>
      <c r="C62" s="11"/>
      <c r="D62" s="11"/>
      <c r="E62" s="11" t="str">
        <f>$A$62</f>
        <v>chanceToBeIdentified: 0.15</v>
      </c>
      <c r="F62" s="11"/>
      <c r="G62" s="11"/>
      <c r="H62" s="11"/>
      <c r="I62" s="11" t="str">
        <f t="shared" ref="I62" si="30">$A$62</f>
        <v>chanceToBeIdentified: 0.15</v>
      </c>
      <c r="J62" s="11"/>
      <c r="K62" s="11"/>
      <c r="L62" s="11"/>
      <c r="M62" s="11" t="str">
        <f t="shared" ref="M62" si="31">$A$62</f>
        <v>chanceToBeIdentified: 0.15</v>
      </c>
      <c r="N62" s="11"/>
      <c r="O62" s="11"/>
      <c r="P62" s="11"/>
      <c r="Q62" s="11" t="str">
        <f t="shared" ref="Q62" si="32">$A$62</f>
        <v>chanceToBeIdentified: 0.15</v>
      </c>
      <c r="R62" s="11"/>
      <c r="S62" s="11"/>
      <c r="T62" s="11"/>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33">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I1:J1"/>
    <mergeCell ref="K1:L1"/>
    <mergeCell ref="I2:J2"/>
    <mergeCell ref="K2:L2"/>
    <mergeCell ref="A3:D3"/>
    <mergeCell ref="E3:H3"/>
    <mergeCell ref="I3:L3"/>
    <mergeCell ref="M3:P3"/>
    <mergeCell ref="Q3:T3"/>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0"/>
  <dimension ref="A1:Z170"/>
  <sheetViews>
    <sheetView topLeftCell="N44" workbookViewId="0">
      <selection activeCell="Q4" sqref="Q4:Q66"/>
    </sheetView>
  </sheetViews>
  <sheetFormatPr baseColWidth="10" defaultColWidth="11.42578125" defaultRowHeight="15" x14ac:dyDescent="0.25"/>
  <cols>
    <col min="1" max="16384" width="11.42578125" style="16"/>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100</v>
      </c>
      <c r="B2" s="293"/>
      <c r="C2" s="293">
        <f>'ECONOMIA &amp; PROFESIONES'!$O$3</f>
        <v>3</v>
      </c>
      <c r="D2" s="293"/>
      <c r="E2" s="293" t="s">
        <v>81</v>
      </c>
      <c r="F2" s="293"/>
      <c r="G2" s="293" t="s">
        <v>97</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"+"&amp;ROUND(MAIN!$C$55*$C$2*$K$2/5*$U$4,0)&amp;" "&amp;$I$2</f>
        <v>+3 Armor</v>
      </c>
      <c r="W4" s="291" t="str">
        <f>"+"&amp;ROUND(MAIN!$D$55*$C$2*$K$2/5*$U$4,0)&amp;" "&amp;$I$2</f>
        <v>+5 Armor</v>
      </c>
      <c r="X4" s="291" t="str">
        <f>"+"&amp;ROUND(MAIN!$E$55*$C$2*$K$2/5*$U$4,0)&amp;" "&amp;$I$2</f>
        <v>+8 Armor</v>
      </c>
      <c r="Y4" s="291" t="str">
        <f>"+"&amp;ROUND(MAIN!$F$55*$C$2*$K$2/5*$U$4,0)&amp;" "&amp;$I$2</f>
        <v>+13 Armor</v>
      </c>
      <c r="Z4" s="291"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"+"&amp;ROUND(MAIN!$C$55*$C$2*$K$2/5*$U$5,0)&amp;" "&amp;$I$2</f>
        <v>+6 Armor</v>
      </c>
      <c r="W5" s="291" t="str">
        <f>"+"&amp;ROUND(MAIN!$D$55*$C$2*$K$2/5*$U$5,0)&amp;" "&amp;$I$2</f>
        <v>+10 Armor</v>
      </c>
      <c r="X5" s="291" t="str">
        <f>"+"&amp;ROUND(MAIN!$E$55*$C$2*$K$2/5*$U$5,0)&amp;" "&amp;$I$2</f>
        <v>+16 Armor</v>
      </c>
      <c r="Y5" s="291" t="str">
        <f>"+"&amp;ROUND(MAIN!$F$55*$C$2*$K$2/5*$U$5,0)&amp;" "&amp;$I$2</f>
        <v>+26 Armor</v>
      </c>
      <c r="Z5" s="291"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+9 Armor</v>
      </c>
      <c r="W6" s="291" t="str">
        <f>"+"&amp;ROUND(MAIN!$D$55*$C$2*$K$2/5*$U$6,0)&amp;" "&amp;$I$2</f>
        <v>+14 Armor</v>
      </c>
      <c r="X6" s="291" t="str">
        <f>"+"&amp;ROUND(MAIN!$E$55*$C$2*$K$2/5*$U$6,0)&amp;" "&amp;$I$2</f>
        <v>+23 Armor</v>
      </c>
      <c r="Y6" s="291" t="str">
        <f>"+"&amp;ROUND(MAIN!$F$55*$C$2*$K$2/5*$U$6,0)&amp;" "&amp;$I$2</f>
        <v>+40 Armor</v>
      </c>
      <c r="Z6" s="291"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+12 Armor</v>
      </c>
      <c r="W7" s="291" t="str">
        <f>"+"&amp;ROUND(MAIN!$D$55*$C$2*$K$2/5*$U$7,0)&amp;" "&amp;$I$2</f>
        <v>+19 Armor</v>
      </c>
      <c r="X7" s="291" t="str">
        <f>"+"&amp;ROUND(MAIN!$E$55*$C$2*$K$2/5*$U$7,0)&amp;" "&amp;$I$2</f>
        <v>+31 Armor</v>
      </c>
      <c r="Y7" s="291" t="str">
        <f>"+"&amp;ROUND(MAIN!$F$55*$C$2*$K$2/5*$U$7,0)&amp;" "&amp;$I$2</f>
        <v>+53 Armor</v>
      </c>
      <c r="Z7" s="291"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+15 Armor</v>
      </c>
      <c r="W8" s="291" t="str">
        <f>"+"&amp;ROUND(MAIN!$D$55*$C$2*$K$2/5*$U$8,0)&amp;" "&amp;$I$2</f>
        <v>+24 Armor</v>
      </c>
      <c r="X8" s="291" t="str">
        <f>"+"&amp;ROUND(MAIN!$E$55*$C$2*$K$2/5*$U$8,0)&amp;" "&amp;$I$2</f>
        <v>+39 Armor</v>
      </c>
      <c r="Y8" s="291" t="str">
        <f>"+"&amp;ROUND(MAIN!$F$55*$C$2*$K$2/5*$U$8,0)&amp;" "&amp;$I$2</f>
        <v>+66 Armor</v>
      </c>
      <c r="Z8" s="291"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DURABILITY:2:4</v>
      </c>
      <c r="B15" s="11"/>
      <c r="C15" s="11"/>
      <c r="D15" s="11"/>
      <c r="E15" s="11" t="str">
        <f>'armas magico'!$A$15</f>
        <v xml:space="preserve">  - DURABILITY:2:4</v>
      </c>
      <c r="F15" s="11"/>
      <c r="G15" s="11"/>
      <c r="H15" s="11"/>
      <c r="I15" s="11" t="str">
        <f t="shared" ref="I15" si="12">$A$15</f>
        <v xml:space="preserve">  - DURABILITY:2:4</v>
      </c>
      <c r="J15" s="11"/>
      <c r="K15" s="11"/>
      <c r="L15" s="11"/>
      <c r="M15" s="11" t="str">
        <f t="shared" ref="M15" si="13">$A$15</f>
        <v xml:space="preserve">  - DURABILITY:2:4</v>
      </c>
      <c r="N15" s="11"/>
      <c r="O15" s="11"/>
      <c r="P15" s="11"/>
      <c r="Q15" s="11" t="str">
        <f t="shared" ref="Q15" si="14">$A$15</f>
        <v xml:space="preserve">  - DURABILITY:2:4</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magico'!$A$37</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'armas magico'!$A$38</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'armas magico'!$A$40</f>
        <v xml:space="preserve">  minimumBonusLore: 0</v>
      </c>
      <c r="B40" s="11"/>
      <c r="C40" s="11"/>
      <c r="D40" s="11"/>
      <c r="E40" s="11" t="str">
        <f>'armas magico'!$A$40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'armas magico'!$A$41</f>
        <v xml:space="preserve">  maximumBonusLore: 1</v>
      </c>
      <c r="B41" s="11"/>
      <c r="C41" s="11"/>
      <c r="D41" s="11"/>
      <c r="E41" s="11" t="str">
        <f>'armas magico'!$A$41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&amp;6"&amp;(MAIN!$F$2+(MAIN!$D$18+MAIN!$D$19)/2*MAIN!$B$9+(MAIN!$D$20+MAIN!$D$21)/2*MAIN!$B$8+(MAIN!$D$58*MAIN!$B$11)+($C$2*MAIN!$B$10))/10&amp;" &amp;aAlmakos'"</f>
        <v xml:space="preserve">  - '&amp;aVenta: &amp;6312.5 &amp;aAlmakos'</v>
      </c>
      <c r="B43" s="20"/>
      <c r="C43" s="20"/>
      <c r="D43" s="20"/>
      <c r="E43" s="20" t="str">
        <f>"  - '&amp;aVenta: &amp;6"&amp;(MAIN!$G$2+(MAIN!$D$18+MAIN!$D$19)/2*MAIN!$B$9+(MAIN!$D$20+MAIN!$D$21)/2*MAIN!$B$8+(MAIN!$D$58*MAIN!$B$11)+($C$2*MAIN!$B$10))/10&amp;" &amp;aAlmakos'"</f>
        <v xml:space="preserve">  - '&amp;aVenta: &amp;6412.5 &amp;aAlmakos'</v>
      </c>
      <c r="F43" s="20"/>
      <c r="G43" s="20"/>
      <c r="H43" s="20"/>
      <c r="I43" s="20" t="str">
        <f>"  - '&amp;aVenta: &amp;6"&amp;(MAIN!$H$2+(MAIN!$D$18+MAIN!$D$19)/2*MAIN!$B$9+(MAIN!$D$20+MAIN!$D$21)/2*MAIN!$B$8+(MAIN!$D$58*MAIN!$B$11)+($C$2*MAIN!$B$10))/10&amp;" &amp;aAlmakos'"</f>
        <v xml:space="preserve">  - '&amp;aVenta: &amp;6612.5 &amp;aAlmakos'</v>
      </c>
      <c r="J43" s="20"/>
      <c r="K43" s="20"/>
      <c r="L43" s="20"/>
      <c r="M43" s="20" t="str">
        <f>"  - '&amp;aVenta: &amp;6"&amp;(MAIN!$I$2+(MAIN!$D$18+MAIN!$D$19)/2*MAIN!$B$9+(MAIN!$D$20+MAIN!$D$21)/2*MAIN!$B$8+(MAIN!$D$58*MAIN!$B$11)+($C$2*MAIN!$B$10))/10&amp;" &amp;aAlmakos'"</f>
        <v xml:space="preserve">  - '&amp;aVenta: &amp;61012.5 &amp;aAlmakos'</v>
      </c>
      <c r="N43" s="20"/>
      <c r="O43" s="20"/>
      <c r="P43" s="20"/>
      <c r="Q43" s="20" t="str">
        <f>"  - '&amp;aVenta: &amp;6"&amp;(MAIN!$J$2+(MAIN!$D$18+MAIN!$D$19)/2*MAIN!$B$9+(MAIN!$D$20+MAIN!$D$21)/2*MAIN!$B$8+(MAIN!$D$58*MAIN!$B$11)+($C$2*MAIN!$B$10))/10&amp;" &amp;aAlmakos'"</f>
        <v xml:space="preserve">  - '&amp;aVenta: &amp;61812.5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&amp;a"&amp;MAIN!$C$60+($C$2*MAIN!$I$27)&amp;"'"</f>
        <v xml:space="preserve">  - '&amp;7• &amp;8Nivel: &amp;a23'</v>
      </c>
      <c r="B47" s="10"/>
      <c r="C47" s="10"/>
      <c r="D47" s="10"/>
      <c r="E47" s="10" t="str">
        <f>"  - '&amp;7• &amp;8Nivel: &amp;a"&amp;MAIN!$D$60+($C$2*MAIN!$I$27)&amp;"'"</f>
        <v xml:space="preserve">  - '&amp;7• &amp;8Nivel: &amp;a41'</v>
      </c>
      <c r="F47" s="10"/>
      <c r="G47" s="10"/>
      <c r="H47" s="10"/>
      <c r="I47" s="10" t="str">
        <f>"  - '&amp;7• &amp;8Nivel: &amp;a"&amp;MAIN!$E$60+($C$2*MAIN!$I$27)&amp;"'"</f>
        <v xml:space="preserve">  - '&amp;7• &amp;8Nivel: &amp;a95'</v>
      </c>
      <c r="J47" s="10"/>
      <c r="K47" s="10"/>
      <c r="L47" s="10"/>
      <c r="M47" s="10" t="str">
        <f>"  - '&amp;7• &amp;8Nivel: &amp;a"&amp;MAIN!$F$60+($C$2*MAIN!$I$27)&amp;"'"</f>
        <v xml:space="preserve">  - '&amp;7• &amp;8Nivel: &amp;a255'</v>
      </c>
      <c r="N47" s="10"/>
      <c r="O47" s="10"/>
      <c r="P47" s="10"/>
      <c r="Q47" s="10" t="str">
        <f>"  - '&amp;7• &amp;8Nivel: &amp;a"&amp;MAIN!$G$60+($C$2*MAIN!$I$27)&amp;"'"</f>
        <v xml:space="preserve">  - '&amp;7• &amp;8Nivel: &amp;a495'</v>
      </c>
      <c r="R47" s="10"/>
      <c r="S47" s="10"/>
      <c r="T47" s="10"/>
    </row>
    <row r="48" spans="1:20" x14ac:dyDescent="0.25">
      <c r="A48" s="12" t="str">
        <f>"  - '&amp;7• &amp;8"&amp;MAIN!$C$12&amp;" lvl: &amp;a"&amp;ROUNDUP((MAIN!$C$60+($C$2*MAIN!$I$27))/3,0)&amp;"'"</f>
        <v xml:space="preserve">  - '&amp;7• &amp;8Esencia lvl: &amp;a8'</v>
      </c>
      <c r="B48" s="12"/>
      <c r="C48" s="12"/>
      <c r="D48" s="12"/>
      <c r="E48" s="12" t="str">
        <f>"  - '&amp;7• &amp;8"&amp;MAIN!$C$12&amp;" lvl: &amp;a"&amp;ROUNDUP((MAIN!$D$60+($C$2*MAIN!$I$27))/3,0)&amp;"'"</f>
        <v xml:space="preserve">  - '&amp;7• &amp;8Esencia lvl: &amp;a14'</v>
      </c>
      <c r="F48" s="12"/>
      <c r="G48" s="12"/>
      <c r="H48" s="12"/>
      <c r="I48" s="12" t="str">
        <f>"  - '&amp;7• &amp;8"&amp;MAIN!$C$12&amp;" lvl: &amp;a"&amp;ROUNDUP((MAIN!$E$60+($C$2*MAIN!$I$27))/3,0)&amp;"'"</f>
        <v xml:space="preserve">  - '&amp;7• &amp;8Esencia lvl: &amp;a32'</v>
      </c>
      <c r="J48" s="12"/>
      <c r="K48" s="12"/>
      <c r="L48" s="12"/>
      <c r="M48" s="12" t="str">
        <f>"  - '&amp;7• &amp;8"&amp;MAIN!$C$12&amp;" lvl: &amp;a"&amp;ROUNDUP((MAIN!$F$60+($C$2*MAIN!$I$27))/3,0)&amp;"'"</f>
        <v xml:space="preserve">  - '&amp;7• &amp;8Esencia lvl: &amp;a85'</v>
      </c>
      <c r="N48" s="12"/>
      <c r="O48" s="12"/>
      <c r="P48" s="12"/>
      <c r="Q48" s="12" t="str">
        <f>"  - '&amp;7• &amp;8"&amp;MAIN!$C$12&amp;" lvl: &amp;a"&amp;ROUNDUP((MAIN!$G$60+($C$2*MAIN!$I$27))/3,0)&amp;"'"</f>
        <v xml:space="preserve">  - '&amp;7• &amp;8Esencia lvl: &amp;a165'</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91" customFormat="1" x14ac:dyDescent="0.25">
      <c r="A50" s="9" t="s">
        <v>1196</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&amp;a"&amp;MAIN!$C$55*$C$2&amp;"'"</f>
        <v xml:space="preserve">  - '&amp;4• &amp;fFuerza: &amp;a15'</v>
      </c>
      <c r="B52" s="10"/>
      <c r="C52" s="10"/>
      <c r="D52" s="10"/>
      <c r="E52" s="10" t="str">
        <f>"  - '&amp;4• &amp;f"&amp;MAIN!$C$9&amp;": &amp;a"&amp;MAIN!$D$55*$C$2&amp;"'"</f>
        <v xml:space="preserve">  - '&amp;4• &amp;fFuerza: &amp;a24'</v>
      </c>
      <c r="F52" s="10"/>
      <c r="G52" s="10"/>
      <c r="H52" s="10"/>
      <c r="I52" s="10" t="str">
        <f>"  - '&amp;4• &amp;f"&amp;MAIN!$C$9&amp;": &amp;a"&amp;MAIN!$E$55*$C$2&amp;"'"</f>
        <v xml:space="preserve">  - '&amp;4• &amp;fFuerza: &amp;a39'</v>
      </c>
      <c r="J52" s="10"/>
      <c r="K52" s="10"/>
      <c r="L52" s="10"/>
      <c r="M52" s="10" t="str">
        <f>"  - '&amp;4• &amp;f"&amp;MAIN!$C$9&amp;": &amp;a"&amp;MAIN!$F$55*$C$2&amp;"'"</f>
        <v xml:space="preserve">  - '&amp;4• &amp;fFuerza: &amp;a66'</v>
      </c>
      <c r="N52" s="10"/>
      <c r="O52" s="10"/>
      <c r="P52" s="10"/>
      <c r="Q52" s="10" t="str">
        <f>"  - '&amp;4• &amp;f"&amp;MAIN!$C$9&amp;": &amp;a"&amp;MAIN!$G$55*$C$2&amp;"'"</f>
        <v xml:space="preserve">  - '&amp;4• &amp;fFuerza: &amp;a111'</v>
      </c>
      <c r="R52" s="10"/>
      <c r="S52" s="10"/>
      <c r="T52" s="10"/>
    </row>
    <row r="53" spans="1:20" x14ac:dyDescent="0.25">
      <c r="A53" s="10" t="str">
        <f>"  - '&amp;4• &amp;f"&amp;MAIN!$C$8&amp;": &amp;a"&amp;MAIN!$C$55*$C$2&amp;"'"</f>
        <v xml:space="preserve">  - '&amp;4• &amp;fVitalidad: &amp;a15'</v>
      </c>
      <c r="B53" s="10"/>
      <c r="C53" s="10"/>
      <c r="D53" s="10"/>
      <c r="E53" s="10" t="str">
        <f>"  - '&amp;4• &amp;f"&amp;MAIN!$C$8&amp;": &amp;a"&amp;MAIN!$D$55*$C$2&amp;"'"</f>
        <v xml:space="preserve">  - '&amp;4• &amp;fVitalidad: &amp;a24'</v>
      </c>
      <c r="F53" s="10"/>
      <c r="G53" s="10"/>
      <c r="H53" s="10"/>
      <c r="I53" s="10" t="str">
        <f>"  - '&amp;4• &amp;f"&amp;MAIN!$C$8&amp;": &amp;a"&amp;MAIN!$E$55*$C$2&amp;"'"</f>
        <v xml:space="preserve">  - '&amp;4• &amp;fVitalidad: &amp;a39'</v>
      </c>
      <c r="J53" s="10"/>
      <c r="K53" s="10"/>
      <c r="L53" s="10"/>
      <c r="M53" s="10" t="str">
        <f>"  - '&amp;4• &amp;f"&amp;MAIN!$C$8&amp;": &amp;a"&amp;MAIN!$F$55*$C$2&amp;"'"</f>
        <v xml:space="preserve">  - '&amp;4• &amp;fVitalidad: &amp;a66'</v>
      </c>
      <c r="N53" s="10"/>
      <c r="O53" s="10"/>
      <c r="P53" s="10"/>
      <c r="Q53" s="10" t="str">
        <f>"  - '&amp;4• &amp;f"&amp;MAIN!$C$8&amp;": &amp;a"&amp;MAIN!$G$55*$C$2&amp;"'"</f>
        <v xml:space="preserve">  - '&amp;4• &amp;fVitalidad: &amp;a111'</v>
      </c>
      <c r="R53" s="10"/>
      <c r="S53" s="10"/>
      <c r="T53" s="10"/>
    </row>
    <row r="54" spans="1:20" x14ac:dyDescent="0.25">
      <c r="A54" s="10" t="str">
        <f>"  - '&amp;4• &amp;f"&amp;MAIN!$C$11&amp;": &amp;a"&amp;MAIN!$C$54*$C$2&amp;"'"</f>
        <v xml:space="preserve">  - '&amp;4• &amp;fInteligencia: &amp;a15'</v>
      </c>
      <c r="B54" s="10"/>
      <c r="C54" s="10"/>
      <c r="D54" s="10"/>
      <c r="E54" s="10" t="str">
        <f>"  - '&amp;4• &amp;f"&amp;MAIN!$C$11&amp;": &amp;a"&amp;MAIN!$D$54*$C$2&amp;"'"</f>
        <v xml:space="preserve">  - '&amp;4• &amp;fInteligencia: &amp;a24'</v>
      </c>
      <c r="F54" s="10"/>
      <c r="G54" s="10"/>
      <c r="H54" s="10"/>
      <c r="I54" s="10" t="str">
        <f>"  - '&amp;4• &amp;f"&amp;MAIN!$C$11&amp;": &amp;a"&amp;MAIN!$E$54*$C$2&amp;"'"</f>
        <v xml:space="preserve">  - '&amp;4• &amp;fInteligencia: &amp;a39'</v>
      </c>
      <c r="J54" s="10"/>
      <c r="K54" s="10"/>
      <c r="L54" s="10"/>
      <c r="M54" s="10" t="str">
        <f>"  - '&amp;4• &amp;f"&amp;MAIN!$C$11&amp;": &amp;a"&amp;MAIN!$F$54*$C$2&amp;"'"</f>
        <v xml:space="preserve">  - '&amp;4• &amp;fInteligencia: &amp;a66'</v>
      </c>
      <c r="N54" s="10"/>
      <c r="O54" s="10"/>
      <c r="P54" s="10"/>
      <c r="Q54" s="10" t="str">
        <f>"  - '&amp;4• &amp;f"&amp;MAIN!$C$11&amp;": &amp;a"&amp;MAIN!$G$54*$C$2&amp;"'"</f>
        <v xml:space="preserve">  - '&amp;4• &amp;fInteligencia: &amp;a111'</v>
      </c>
      <c r="R54" s="10"/>
      <c r="S54" s="10"/>
      <c r="T54" s="10"/>
    </row>
    <row r="55" spans="1:20" x14ac:dyDescent="0.25">
      <c r="A55" s="10" t="str">
        <f>"  - '&amp;4• &amp;f"&amp;MAIN!$C$10&amp;": &amp;a"&amp;MAIN!$C$56*$C$2&amp;"'"</f>
        <v xml:space="preserve">  - '&amp;4• &amp;fAgilidad: &amp;a15'</v>
      </c>
      <c r="B55" s="10"/>
      <c r="C55" s="10"/>
      <c r="D55" s="10"/>
      <c r="E55" s="10" t="str">
        <f>"  - '&amp;4• &amp;f"&amp;MAIN!$C$10&amp;": &amp;a"&amp;MAIN!$D$56*$C$2&amp;"'"</f>
        <v xml:space="preserve">  - '&amp;4• &amp;fAgilidad: &amp;a24'</v>
      </c>
      <c r="F55" s="10"/>
      <c r="G55" s="10"/>
      <c r="H55" s="10"/>
      <c r="I55" s="10" t="str">
        <f>"  - '&amp;4• &amp;f"&amp;MAIN!$C$10&amp;": &amp;a"&amp;MAIN!$E$56*$C$2&amp;"'"</f>
        <v xml:space="preserve">  - '&amp;4• &amp;fAgilidad: &amp;a39'</v>
      </c>
      <c r="J55" s="10"/>
      <c r="K55" s="10"/>
      <c r="L55" s="10"/>
      <c r="M55" s="10" t="str">
        <f>"  - '&amp;4• &amp;f"&amp;MAIN!$C$10&amp;": &amp;a"&amp;MAIN!$F$56*$C$2&amp;"'"</f>
        <v xml:space="preserve">  - '&amp;4• &amp;fAgilidad: &amp;a66'</v>
      </c>
      <c r="N55" s="10"/>
      <c r="O55" s="10"/>
      <c r="P55" s="10"/>
      <c r="Q55" s="10" t="str">
        <f>"  - '&amp;4• &amp;f"&amp;MAIN!$C$10&amp;": &amp;a"&amp;MAIN!$G$56*$C$2&amp;"'"</f>
        <v xml:space="preserve">  - '&amp;4• &amp;fAgilidad: &amp;a111'</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'armas magico'!$A$58</f>
        <v>minimumSockets: 1</v>
      </c>
      <c r="B58" s="11"/>
      <c r="C58" s="11"/>
      <c r="D58" s="11"/>
      <c r="E58" s="11" t="str">
        <f>$A$58</f>
        <v>minimumSockets: 1</v>
      </c>
      <c r="F58" s="11"/>
      <c r="G58" s="11"/>
      <c r="H58" s="11"/>
      <c r="I58" s="11" t="str">
        <f>$A$58</f>
        <v>minimumSockets: 1</v>
      </c>
      <c r="J58" s="11"/>
      <c r="K58" s="11"/>
      <c r="L58" s="11"/>
      <c r="M58" s="11" t="str">
        <f>$A$58</f>
        <v>minimumSockets: 1</v>
      </c>
      <c r="N58" s="11"/>
      <c r="O58" s="11"/>
      <c r="P58" s="11"/>
      <c r="Q58" s="11" t="str">
        <f>$A$58</f>
        <v>minimumSockets: 1</v>
      </c>
      <c r="R58" s="11"/>
      <c r="S58" s="11"/>
      <c r="T58" s="11"/>
    </row>
    <row r="59" spans="1:20" x14ac:dyDescent="0.25">
      <c r="A59" s="11" t="str">
        <f>'armas magico'!$A$59</f>
        <v>maximumSockets: 1</v>
      </c>
      <c r="B59" s="11"/>
      <c r="C59" s="11"/>
      <c r="D59" s="11"/>
      <c r="E59" s="11" t="str">
        <f>$A$59</f>
        <v>maximumSockets: 1</v>
      </c>
      <c r="F59" s="11"/>
      <c r="G59" s="11"/>
      <c r="H59" s="11"/>
      <c r="I59" s="11" t="str">
        <f>$A$59</f>
        <v>maximumSockets: 1</v>
      </c>
      <c r="J59" s="11"/>
      <c r="K59" s="11"/>
      <c r="L59" s="11"/>
      <c r="M59" s="11" t="str">
        <f>$A$59</f>
        <v>maximumSockets: 1</v>
      </c>
      <c r="N59" s="11"/>
      <c r="O59" s="11"/>
      <c r="P59" s="11"/>
      <c r="Q59" s="11" t="str">
        <f>$A$59</f>
        <v>maximumSockets: 1</v>
      </c>
      <c r="R59" s="11"/>
      <c r="S59" s="11"/>
      <c r="T59" s="11"/>
    </row>
    <row r="60" spans="1:20" x14ac:dyDescent="0.25">
      <c r="A60" s="11" t="str">
        <f>'armas magico'!$A$60</f>
        <v>chanceToSpawnOnAMonster: 0.3</v>
      </c>
      <c r="B60" s="11"/>
      <c r="C60" s="11"/>
      <c r="D60" s="11"/>
      <c r="E60" s="11" t="str">
        <f>$A$60</f>
        <v>chanceToSpawnOnAMonster: 0.3</v>
      </c>
      <c r="F60" s="11"/>
      <c r="G60" s="11"/>
      <c r="H60" s="11"/>
      <c r="I60" s="11" t="str">
        <f>$A$60</f>
        <v>chanceToSpawnOnAMonster: 0.3</v>
      </c>
      <c r="J60" s="11"/>
      <c r="K60" s="11"/>
      <c r="L60" s="11"/>
      <c r="M60" s="11" t="str">
        <f>$A$60</f>
        <v>chanceToSpawnOnAMonster: 0.3</v>
      </c>
      <c r="N60" s="11"/>
      <c r="O60" s="11"/>
      <c r="P60" s="11"/>
      <c r="Q60" s="11" t="str">
        <f>$A$60</f>
        <v>chanceToSpawnOnAMonster: 0.3</v>
      </c>
      <c r="R60" s="11"/>
      <c r="S60" s="11"/>
      <c r="T60" s="11"/>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x14ac:dyDescent="0.25">
      <c r="A62" s="11" t="str">
        <f>'armas magico'!$A$62</f>
        <v>chanceToBeIdentified: 0.15</v>
      </c>
      <c r="B62" s="11"/>
      <c r="C62" s="11"/>
      <c r="D62" s="11"/>
      <c r="E62" s="11" t="str">
        <f>$A$62</f>
        <v>chanceToBeIdentified: 0.15</v>
      </c>
      <c r="F62" s="11"/>
      <c r="G62" s="11"/>
      <c r="H62" s="11"/>
      <c r="I62" s="11" t="str">
        <f>$A$62</f>
        <v>chanceToBeIdentified: 0.15</v>
      </c>
      <c r="J62" s="11"/>
      <c r="K62" s="11"/>
      <c r="L62" s="11"/>
      <c r="M62" s="11" t="str">
        <f>$A$62</f>
        <v>chanceToBeIdentified: 0.15</v>
      </c>
      <c r="N62" s="11"/>
      <c r="O62" s="11"/>
      <c r="P62" s="11"/>
      <c r="Q62" s="11" t="str">
        <f>$A$62</f>
        <v>chanceToBeIdentified: 0.15</v>
      </c>
      <c r="R62" s="11"/>
      <c r="S62" s="11"/>
      <c r="T62" s="11"/>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'armas magico'!$A$64</f>
        <v>broadcastOnFind: false</v>
      </c>
      <c r="B64" s="11"/>
      <c r="C64" s="11"/>
      <c r="D64" s="11"/>
      <c r="E64" s="11" t="str">
        <f>$A$64</f>
        <v>broadcastOnFind: false</v>
      </c>
      <c r="F64" s="11"/>
      <c r="G64" s="11"/>
      <c r="H64" s="11"/>
      <c r="I64" s="11" t="str">
        <f>$A$64</f>
        <v>broadcastOnFind: false</v>
      </c>
      <c r="J64" s="11"/>
      <c r="K64" s="11"/>
      <c r="L64" s="11"/>
      <c r="M64" s="11" t="str">
        <f>$A$64</f>
        <v>broadcastOnFind: false</v>
      </c>
      <c r="N64" s="11"/>
      <c r="O64" s="11"/>
      <c r="P64" s="11"/>
      <c r="Q64" s="11" t="str">
        <f>$A$64</f>
        <v>broadcastOnFind: false</v>
      </c>
      <c r="R64" s="11"/>
      <c r="S64" s="11"/>
      <c r="T64" s="11"/>
    </row>
    <row r="65" spans="1:20" x14ac:dyDescent="0.25">
      <c r="A65" s="11" t="str">
        <f>'armas magico'!$A$65</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'armas magico'!$A$66</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c r="G77" s="13"/>
      <c r="H77" s="13"/>
      <c r="I77" s="13"/>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I1:J1"/>
    <mergeCell ref="K1:L1"/>
    <mergeCell ref="I2:J2"/>
    <mergeCell ref="K2:L2"/>
    <mergeCell ref="A3:D3"/>
    <mergeCell ref="E3:H3"/>
    <mergeCell ref="I3:L3"/>
    <mergeCell ref="M3:P3"/>
    <mergeCell ref="Q3:T3"/>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1"/>
  <dimension ref="A1:Z170"/>
  <sheetViews>
    <sheetView topLeftCell="N44" workbookViewId="0">
      <selection activeCell="Q4" sqref="Q4:Q66"/>
    </sheetView>
  </sheetViews>
  <sheetFormatPr baseColWidth="10" defaultColWidth="11.42578125" defaultRowHeight="15" x14ac:dyDescent="0.25"/>
  <cols>
    <col min="1" max="16384" width="11.42578125" style="17"/>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100</v>
      </c>
      <c r="B2" s="293"/>
      <c r="C2" s="293">
        <f>'ECONOMIA &amp; PROFESIONES'!$O$3</f>
        <v>3</v>
      </c>
      <c r="D2" s="293"/>
      <c r="E2" s="293" t="s">
        <v>81</v>
      </c>
      <c r="F2" s="293"/>
      <c r="G2" s="293" t="s">
        <v>97</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DURABILITY:2:4</v>
      </c>
      <c r="B15" s="11"/>
      <c r="C15" s="11"/>
      <c r="D15" s="11"/>
      <c r="E15" s="11" t="str">
        <f>$A$15</f>
        <v xml:space="preserve">  - DURABILITY:2:4</v>
      </c>
      <c r="F15" s="11"/>
      <c r="G15" s="11"/>
      <c r="H15" s="11"/>
      <c r="I15" s="11" t="str">
        <f t="shared" ref="I15" si="12">$A$15</f>
        <v xml:space="preserve">  - DURABILITY:2:4</v>
      </c>
      <c r="J15" s="11"/>
      <c r="K15" s="11"/>
      <c r="L15" s="11"/>
      <c r="M15" s="11" t="str">
        <f t="shared" ref="M15" si="13">$A$15</f>
        <v xml:space="preserve">  - DURABILITY:2:4</v>
      </c>
      <c r="N15" s="11"/>
      <c r="O15" s="11"/>
      <c r="P15" s="11"/>
      <c r="Q15" s="11" t="str">
        <f t="shared" ref="Q15" si="14">$A$15</f>
        <v xml:space="preserve">  - DURABILITY:2:4</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magico'!$A$37</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'armas magico'!$A$38</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'armas magico'!$A$40</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'armas magico'!$A$41</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&amp;6"&amp;(MAIN!$F$3+(MAIN!$D$18+MAIN!$D$19)/2*MAIN!$B$9+(MAIN!$D$20+MAIN!$D$21)/2*MAIN!$B$8+(MAIN!$D$69*MAIN!$B$11)+($C$2*MAIN!$B$10))/10&amp;" &amp;aAlmakos'"</f>
        <v xml:space="preserve">  - '&amp;aVenta: &amp;6380 &amp;aAlmakos'</v>
      </c>
      <c r="B43" s="20"/>
      <c r="C43" s="20"/>
      <c r="D43" s="20"/>
      <c r="E43" s="20" t="str">
        <f>"  - '&amp;aVenta: &amp;6"&amp;(MAIN!$G$3+(MAIN!$D$18+MAIN!$D$19)/2*MAIN!$B$9+(MAIN!$D$20+MAIN!$D$21)/2*MAIN!$B$8+(MAIN!$D$69*MAIN!$B$11)+($C$2*MAIN!$B$10))/10&amp;" &amp;aAlmakos'"</f>
        <v xml:space="preserve">  - '&amp;aVenta: &amp;6540 &amp;aAlmakos'</v>
      </c>
      <c r="F43" s="20"/>
      <c r="G43" s="20"/>
      <c r="H43" s="20"/>
      <c r="I43" s="20" t="str">
        <f>"  - '&amp;aVenta: &amp;6"&amp;(MAIN!$H$3+(MAIN!$D$18+MAIN!$D$19)/2*MAIN!$B$9+(MAIN!$D$20+MAIN!$D$21)/2*MAIN!$B$8+(MAIN!$D$69*MAIN!$B$11)+($C$2*MAIN!$B$10))/10&amp;" &amp;aAlmakos'"</f>
        <v xml:space="preserve">  - '&amp;aVenta: &amp;6860 &amp;aAlmakos'</v>
      </c>
      <c r="J43" s="20"/>
      <c r="K43" s="20"/>
      <c r="L43" s="20"/>
      <c r="M43" s="20" t="str">
        <f>"  - '&amp;aVenta: &amp;6"&amp;(MAIN!$I$3+(MAIN!$D$18+MAIN!$D$19)/2*MAIN!$B$9+(MAIN!$D$20+MAIN!$D$21)/2*MAIN!$B$8+(MAIN!$D$69*MAIN!$B$11)+($C$2*MAIN!$B$10))/10&amp;" &amp;aAlmakos'"</f>
        <v xml:space="preserve">  - '&amp;aVenta: &amp;61500 &amp;aAlmakos'</v>
      </c>
      <c r="N43" s="20"/>
      <c r="O43" s="20"/>
      <c r="P43" s="20"/>
      <c r="Q43" s="20" t="str">
        <f>"  - '&amp;aVenta: &amp;6"&amp;(MAIN!$J$3+(MAIN!$D$18+MAIN!$D$19)/2*MAIN!$B$9+(MAIN!$D$20+MAIN!$D$21)/2*MAIN!$B$8+(MAIN!$D$69*MAIN!$B$11)+($C$2*MAIN!$B$10))/10&amp;" &amp;aAlmakos'"</f>
        <v xml:space="preserve">  - '&amp;aVenta: &amp;62780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&amp;a"&amp;MAIN!$C$71+($C$2*MAIN!$I$27)&amp;"'"</f>
        <v xml:space="preserve">  - '&amp;7• &amp;8Nivel: &amp;a29'</v>
      </c>
      <c r="B47" s="10"/>
      <c r="C47" s="10"/>
      <c r="D47" s="10"/>
      <c r="E47" s="10" t="str">
        <f>"  - '&amp;7• &amp;8Nivel: &amp;a"&amp;MAIN!$D$71+($C$2*MAIN!$I$27)&amp;"'"</f>
        <v xml:space="preserve">  - '&amp;7• &amp;8Nivel: &amp;a57'</v>
      </c>
      <c r="F47" s="10"/>
      <c r="G47" s="10"/>
      <c r="H47" s="10"/>
      <c r="I47" s="10" t="str">
        <f>"  - '&amp;7• &amp;8Nivel: &amp;a"&amp;MAIN!$E$71+($C$2*MAIN!$I$27)&amp;"'"</f>
        <v xml:space="preserve">  - '&amp;7• &amp;8Nivel: &amp;a143'</v>
      </c>
      <c r="J47" s="10"/>
      <c r="K47" s="10"/>
      <c r="L47" s="10"/>
      <c r="M47" s="10" t="str">
        <f>"  - '&amp;7• &amp;8Nivel: &amp;a"&amp;MAIN!$F$71+($C$2*MAIN!$I$27)&amp;"'"</f>
        <v xml:space="preserve">  - '&amp;7• &amp;8Nivel: &amp;a399'</v>
      </c>
      <c r="N47" s="10"/>
      <c r="O47" s="10"/>
      <c r="P47" s="10"/>
      <c r="Q47" s="10" t="str">
        <f>"  - '&amp;7• &amp;8Nivel: &amp;a"&amp;MAIN!$G$71+($C$2*MAIN!$I$27)&amp;"'"</f>
        <v xml:space="preserve">  - '&amp;7• &amp;8Nivel: &amp;a783'</v>
      </c>
      <c r="R47" s="10"/>
      <c r="S47" s="10"/>
      <c r="T47" s="10"/>
    </row>
    <row r="48" spans="1:20" x14ac:dyDescent="0.25">
      <c r="A48" s="12" t="str">
        <f>"  - '&amp;7• &amp;8"&amp;MAIN!$C$12&amp;" lvl: &amp;a"&amp;ROUNDUP((MAIN!$C$71+($C$2*MAIN!$I$27))/3,0)&amp;"'"</f>
        <v xml:space="preserve">  - '&amp;7• &amp;8Esencia lvl: &amp;a10'</v>
      </c>
      <c r="B48" s="12"/>
      <c r="C48" s="12"/>
      <c r="D48" s="12"/>
      <c r="E48" s="12" t="str">
        <f>"  - '&amp;7• &amp;8"&amp;MAIN!$C$12&amp;" lvl: &amp;a"&amp;ROUNDUP((MAIN!$D$71+($C$2*MAIN!$I$27))/3,0)&amp;"'"</f>
        <v xml:space="preserve">  - '&amp;7• &amp;8Esencia lvl: &amp;a19'</v>
      </c>
      <c r="F48" s="12"/>
      <c r="G48" s="12"/>
      <c r="H48" s="12"/>
      <c r="I48" s="12" t="str">
        <f>"  - '&amp;7• &amp;8"&amp;MAIN!$C$12&amp;" lvl: &amp;a"&amp;ROUNDUP((MAIN!$E$71+($C$2*MAIN!$I$27))/3,0)&amp;"'"</f>
        <v xml:space="preserve">  - '&amp;7• &amp;8Esencia lvl: &amp;a48'</v>
      </c>
      <c r="J48" s="12"/>
      <c r="K48" s="12"/>
      <c r="L48" s="12"/>
      <c r="M48" s="12" t="str">
        <f>"  - '&amp;7• &amp;8"&amp;MAIN!$C$12&amp;" lvl: &amp;a"&amp;ROUNDUP((MAIN!$F$71+($C$2*MAIN!$I$27))/3,0)&amp;"'"</f>
        <v xml:space="preserve">  - '&amp;7• &amp;8Esencia lvl: &amp;a133'</v>
      </c>
      <c r="N48" s="12"/>
      <c r="O48" s="12"/>
      <c r="P48" s="12"/>
      <c r="Q48" s="12" t="str">
        <f>"  - '&amp;7• &amp;8"&amp;MAIN!$C$12&amp;" lvl: &amp;a"&amp;ROUNDUP((MAIN!$G$71+($C$2*MAIN!$I$27))/3,0)&amp;"'"</f>
        <v xml:space="preserve">  - '&amp;7• &amp;8Esencia lvl: &amp;a261'</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91" customFormat="1" x14ac:dyDescent="0.25">
      <c r="A50" s="9" t="s">
        <v>1196</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&amp;a"&amp;MAIN!$C$66*$C$2&amp;"'"</f>
        <v xml:space="preserve">  - '&amp;4• &amp;fFuerza: &amp;a24'</v>
      </c>
      <c r="B52" s="10"/>
      <c r="C52" s="10"/>
      <c r="D52" s="10"/>
      <c r="E52" s="10" t="str">
        <f>"  - '&amp;4• &amp;f"&amp;MAIN!$C$9&amp;": &amp;a"&amp;MAIN!$D$66*$C$2&amp;"'"</f>
        <v xml:space="preserve">  - '&amp;4• &amp;fFuerza: &amp;a39'</v>
      </c>
      <c r="F52" s="10"/>
      <c r="G52" s="10"/>
      <c r="H52" s="10"/>
      <c r="I52" s="10" t="str">
        <f>"  - '&amp;4• &amp;f"&amp;MAIN!$C$9&amp;": &amp;a"&amp;MAIN!$E$66*$C$2&amp;"'"</f>
        <v xml:space="preserve">  - '&amp;4• &amp;fFuerza: &amp;a66'</v>
      </c>
      <c r="J52" s="10"/>
      <c r="K52" s="10"/>
      <c r="L52" s="10"/>
      <c r="M52" s="10" t="str">
        <f>"  - '&amp;4• &amp;f"&amp;MAIN!$C$9&amp;": &amp;a"&amp;MAIN!$F$66*$C$2&amp;"'"</f>
        <v xml:space="preserve">  - '&amp;4• &amp;fFuerza: &amp;a111'</v>
      </c>
      <c r="N52" s="10"/>
      <c r="O52" s="10"/>
      <c r="P52" s="10"/>
      <c r="Q52" s="10" t="str">
        <f>"  - '&amp;4• &amp;f"&amp;MAIN!$C$9&amp;": &amp;a"&amp;MAIN!$G$66*$C$2&amp;"'"</f>
        <v xml:space="preserve">  - '&amp;4• &amp;fFuerza: &amp;a186'</v>
      </c>
      <c r="R52" s="10"/>
      <c r="S52" s="10"/>
      <c r="T52" s="10"/>
    </row>
    <row r="53" spans="1:20" x14ac:dyDescent="0.25">
      <c r="A53" s="10" t="str">
        <f>"  - '&amp;4• &amp;f"&amp;MAIN!$C$8&amp;": &amp;a"&amp;MAIN!$C$66*$C$2&amp;"'"</f>
        <v xml:space="preserve">  - '&amp;4• &amp;fVitalidad: &amp;a24'</v>
      </c>
      <c r="B53" s="10"/>
      <c r="C53" s="10"/>
      <c r="D53" s="10"/>
      <c r="E53" s="10" t="str">
        <f>"  - '&amp;4• &amp;f"&amp;MAIN!$C$8&amp;": &amp;a"&amp;MAIN!$D$66*$C$2&amp;"'"</f>
        <v xml:space="preserve">  - '&amp;4• &amp;fVitalidad: &amp;a39'</v>
      </c>
      <c r="F53" s="10"/>
      <c r="G53" s="10"/>
      <c r="H53" s="10"/>
      <c r="I53" s="10" t="str">
        <f>"  - '&amp;4• &amp;f"&amp;MAIN!$C$8&amp;": &amp;a"&amp;MAIN!$E$66*$C$2&amp;"'"</f>
        <v xml:space="preserve">  - '&amp;4• &amp;fVitalidad: &amp;a66'</v>
      </c>
      <c r="J53" s="10"/>
      <c r="K53" s="10"/>
      <c r="L53" s="10"/>
      <c r="M53" s="10" t="str">
        <f>"  - '&amp;4• &amp;f"&amp;MAIN!$C$8&amp;": &amp;a"&amp;MAIN!$F$66*$C$2&amp;"'"</f>
        <v xml:space="preserve">  - '&amp;4• &amp;fVitalidad: &amp;a111'</v>
      </c>
      <c r="N53" s="10"/>
      <c r="O53" s="10"/>
      <c r="P53" s="10"/>
      <c r="Q53" s="10" t="str">
        <f>"  - '&amp;4• &amp;f"&amp;MAIN!$C$8&amp;": &amp;a"&amp;MAIN!$G$66*$C$2&amp;"'"</f>
        <v xml:space="preserve">  - '&amp;4• &amp;fVitalidad: &amp;a186'</v>
      </c>
      <c r="R53" s="10"/>
      <c r="S53" s="10"/>
      <c r="T53" s="10"/>
    </row>
    <row r="54" spans="1:20" x14ac:dyDescent="0.25">
      <c r="A54" s="10" t="str">
        <f>"  - '&amp;4• &amp;f"&amp;MAIN!$C$11&amp;": &amp;a"&amp;MAIN!$C$68*$C$2&amp;"'"</f>
        <v xml:space="preserve">  - '&amp;4• &amp;fInteligencia: &amp;a24'</v>
      </c>
      <c r="B54" s="10"/>
      <c r="C54" s="10"/>
      <c r="D54" s="10"/>
      <c r="E54" s="10" t="str">
        <f>"  - '&amp;4• &amp;f"&amp;MAIN!$C$11&amp;": &amp;a"&amp;MAIN!$D$68*$C$2&amp;"'"</f>
        <v xml:space="preserve">  - '&amp;4• &amp;fInteligencia: &amp;a39'</v>
      </c>
      <c r="F54" s="10"/>
      <c r="G54" s="10"/>
      <c r="H54" s="10"/>
      <c r="I54" s="10" t="str">
        <f>"  - '&amp;4• &amp;f"&amp;MAIN!$C$11&amp;": &amp;a"&amp;MAIN!$E$67*$C$2&amp;"'"</f>
        <v xml:space="preserve">  - '&amp;4• &amp;fInteligencia: &amp;a66'</v>
      </c>
      <c r="J54" s="10"/>
      <c r="K54" s="10"/>
      <c r="L54" s="10"/>
      <c r="M54" s="10" t="str">
        <f>"  - '&amp;4• &amp;f"&amp;MAIN!$C$11&amp;": &amp;a"&amp;MAIN!$F$68*$C$2&amp;"'"</f>
        <v xml:space="preserve">  - '&amp;4• &amp;fInteligencia: &amp;a111'</v>
      </c>
      <c r="N54" s="10"/>
      <c r="O54" s="10"/>
      <c r="P54" s="10"/>
      <c r="Q54" s="10" t="str">
        <f>"  - '&amp;4• &amp;f"&amp;MAIN!$C$11&amp;": &amp;a"&amp;MAIN!$G$68*$C$2&amp;"'"</f>
        <v xml:space="preserve">  - '&amp;4• &amp;fInteligencia: &amp;a186'</v>
      </c>
      <c r="R54" s="10"/>
      <c r="S54" s="10"/>
      <c r="T54" s="10"/>
    </row>
    <row r="55" spans="1:20" x14ac:dyDescent="0.25">
      <c r="A55" s="10" t="str">
        <f>"  - '&amp;4• &amp;f"&amp;MAIN!$C$10&amp;": &amp;a"&amp;MAIN!$C$67*$C$2&amp;"'"</f>
        <v xml:space="preserve">  - '&amp;4• &amp;fAgilidad: &amp;a24'</v>
      </c>
      <c r="B55" s="10"/>
      <c r="C55" s="10"/>
      <c r="D55" s="10"/>
      <c r="E55" s="10" t="str">
        <f>"  - '&amp;4• &amp;f"&amp;MAIN!$C$10&amp;": &amp;a"&amp;MAIN!$D$67*$C$2&amp;"'"</f>
        <v xml:space="preserve">  - '&amp;4• &amp;fAgilidad: &amp;a39'</v>
      </c>
      <c r="F55" s="10"/>
      <c r="G55" s="10"/>
      <c r="H55" s="10"/>
      <c r="I55" s="10" t="str">
        <f>"  - '&amp;4• &amp;f"&amp;MAIN!$C$10&amp;": &amp;a"&amp;MAIN!$E$67*$C$2&amp;"'"</f>
        <v xml:space="preserve">  - '&amp;4• &amp;fAgilidad: &amp;a66'</v>
      </c>
      <c r="J55" s="10"/>
      <c r="K55" s="10"/>
      <c r="L55" s="10"/>
      <c r="M55" s="10" t="str">
        <f>"  - '&amp;4• &amp;f"&amp;MAIN!$C$10&amp;": &amp;a"&amp;MAIN!$F$67*$C$2&amp;"'"</f>
        <v xml:space="preserve">  - '&amp;4• &amp;fAgilidad: &amp;a111'</v>
      </c>
      <c r="N55" s="10"/>
      <c r="O55" s="10"/>
      <c r="P55" s="10"/>
      <c r="Q55" s="10" t="str">
        <f>"  - '&amp;4• &amp;f"&amp;MAIN!$C$10&amp;": &amp;a"&amp;MAIN!$G$67*$C$2&amp;"'"</f>
        <v xml:space="preserve">  - '&amp;4• &amp;fAgilidad: &amp;a186'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'armas magico'!$A$58</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'armas magico'!$A$59</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x14ac:dyDescent="0.25">
      <c r="A60" s="11" t="str">
        <f>'armas magico'!$A$60</f>
        <v>chanceToSpawnOnAMonster: 0.3</v>
      </c>
      <c r="B60" s="11"/>
      <c r="C60" s="11"/>
      <c r="D60" s="11"/>
      <c r="E60" s="11" t="str">
        <f>$A$60</f>
        <v>chanceToSpawnOnAMonster: 0.3</v>
      </c>
      <c r="F60" s="11"/>
      <c r="G60" s="11"/>
      <c r="H60" s="11"/>
      <c r="I60" s="11" t="str">
        <f t="shared" ref="I60" si="27">$A$60</f>
        <v>chanceToSpawnOnAMonster: 0.3</v>
      </c>
      <c r="J60" s="11"/>
      <c r="K60" s="11"/>
      <c r="L60" s="11"/>
      <c r="M60" s="11" t="str">
        <f t="shared" ref="M60" si="28">$A$60</f>
        <v>chanceToSpawnOnAMonster: 0.3</v>
      </c>
      <c r="N60" s="11"/>
      <c r="O60" s="11"/>
      <c r="P60" s="11"/>
      <c r="Q60" s="11" t="str">
        <f t="shared" ref="Q60" si="29">$A$60</f>
        <v>chanceToSpawnOnAMonster: 0.3</v>
      </c>
      <c r="R60" s="11"/>
      <c r="S60" s="11"/>
      <c r="T60" s="11"/>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x14ac:dyDescent="0.25">
      <c r="A62" s="11" t="str">
        <f>'armas magico'!$A$62</f>
        <v>chanceToBeIdentified: 0.15</v>
      </c>
      <c r="B62" s="11"/>
      <c r="C62" s="11"/>
      <c r="D62" s="11"/>
      <c r="E62" s="11" t="str">
        <f>$A$62</f>
        <v>chanceToBeIdentified: 0.15</v>
      </c>
      <c r="F62" s="11"/>
      <c r="G62" s="11"/>
      <c r="H62" s="11"/>
      <c r="I62" s="11" t="str">
        <f t="shared" ref="I62" si="30">$A$62</f>
        <v>chanceToBeIdentified: 0.15</v>
      </c>
      <c r="J62" s="11"/>
      <c r="K62" s="11"/>
      <c r="L62" s="11"/>
      <c r="M62" s="11" t="str">
        <f t="shared" ref="M62" si="31">$A$62</f>
        <v>chanceToBeIdentified: 0.15</v>
      </c>
      <c r="N62" s="11"/>
      <c r="O62" s="11"/>
      <c r="P62" s="11"/>
      <c r="Q62" s="11" t="str">
        <f t="shared" ref="Q62" si="32">$A$62</f>
        <v>chanceToBeIdentified: 0.15</v>
      </c>
      <c r="R62" s="11"/>
      <c r="S62" s="11"/>
      <c r="T62" s="11"/>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'armas magico'!$A$64</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33">M64</f>
        <v>broadcastOnFind: false</v>
      </c>
      <c r="R64" s="11"/>
      <c r="S64" s="11"/>
      <c r="T64" s="11"/>
    </row>
    <row r="65" spans="1:20" x14ac:dyDescent="0.25">
      <c r="A65" s="11" t="str">
        <f>'armas magico'!$A$65</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'armas magico'!$A$66</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c r="G77" s="13"/>
      <c r="H77" s="13"/>
      <c r="I77" s="13"/>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2"/>
  <dimension ref="A1:Z170"/>
  <sheetViews>
    <sheetView topLeftCell="N44" workbookViewId="0">
      <selection activeCell="Q4" sqref="Q4:Q66"/>
    </sheetView>
  </sheetViews>
  <sheetFormatPr baseColWidth="10" defaultColWidth="11.5703125" defaultRowHeight="15" x14ac:dyDescent="0.25"/>
  <cols>
    <col min="1" max="16384" width="11.5703125" style="18"/>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100</v>
      </c>
      <c r="B2" s="293"/>
      <c r="C2" s="293">
        <f>'ECONOMIA &amp; PROFESIONES'!$O$3</f>
        <v>3</v>
      </c>
      <c r="D2" s="293"/>
      <c r="E2" s="293" t="s">
        <v>81</v>
      </c>
      <c r="F2" s="293"/>
      <c r="G2" s="293" t="s">
        <v>97</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DURABILITY:2:4</v>
      </c>
      <c r="B15" s="11"/>
      <c r="C15" s="11"/>
      <c r="D15" s="11"/>
      <c r="E15" s="11" t="str">
        <f>$A$15</f>
        <v xml:space="preserve">  - DURABILITY:2:4</v>
      </c>
      <c r="F15" s="11"/>
      <c r="G15" s="11"/>
      <c r="H15" s="11"/>
      <c r="I15" s="11" t="str">
        <f t="shared" ref="I15" si="12">$A$15</f>
        <v xml:space="preserve">  - DURABILITY:2:4</v>
      </c>
      <c r="J15" s="11"/>
      <c r="K15" s="11"/>
      <c r="L15" s="11"/>
      <c r="M15" s="11" t="str">
        <f t="shared" ref="M15" si="13">$A$15</f>
        <v xml:space="preserve">  - DURABILITY:2:4</v>
      </c>
      <c r="N15" s="11"/>
      <c r="O15" s="11"/>
      <c r="P15" s="11"/>
      <c r="Q15" s="11" t="str">
        <f t="shared" ref="Q15" si="14">$A$15</f>
        <v xml:space="preserve">  - DURABILITY:2:4</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magico'!$A$37</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'armas magico'!$A$38</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'armas magico'!$A$40</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'armas magico'!$A$41</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&amp;6"&amp;(MAIN!$F$4+(MAIN!$D$18+MAIN!$D$19)/2*MAIN!$B$9+(MAIN!$D$20+MAIN!$D$21)/2*MAIN!$B$8+(MAIN!$D$80*MAIN!$B$11)+($C$2*MAIN!$B$10))/10&amp;" &amp;aAlmakos'"</f>
        <v xml:space="preserve">  - '&amp;aVenta: &amp;6357.5 &amp;aAlmakos'</v>
      </c>
      <c r="B43" s="20"/>
      <c r="C43" s="20"/>
      <c r="D43" s="20"/>
      <c r="E43" s="20" t="str">
        <f>"  - '&amp;aVenta: &amp;6"&amp;(MAIN!$G$4+(MAIN!$D$18+MAIN!$D$19)/2*MAIN!$B$9+(MAIN!$D$20+MAIN!$D$21)/2*MAIN!$B$8+(MAIN!$D$80*MAIN!$B$11)+($C$2*MAIN!$B$10))/10&amp;" &amp;aAlmakos'"</f>
        <v xml:space="preserve">  - '&amp;aVenta: &amp;6497.5 &amp;aAlmakos'</v>
      </c>
      <c r="F43" s="20"/>
      <c r="G43" s="20"/>
      <c r="H43" s="20"/>
      <c r="I43" s="20" t="str">
        <f>"  - '&amp;aVenta: &amp;6"&amp;(MAIN!$H$4+(MAIN!$D$18+MAIN!$D$19)/2*MAIN!$B$9+(MAIN!$D$20+MAIN!$D$21)/2*MAIN!$B$8+(MAIN!$D$80*MAIN!$B$11)+($C$2*MAIN!$B$10))/10&amp;" &amp;aAlmakos'"</f>
        <v xml:space="preserve">  - '&amp;aVenta: &amp;6777.5 &amp;aAlmakos'</v>
      </c>
      <c r="J43" s="20"/>
      <c r="K43" s="20"/>
      <c r="L43" s="20"/>
      <c r="M43" s="20" t="str">
        <f>"  - '&amp;aVenta: &amp;6"&amp;(MAIN!$I$4+(MAIN!$D$18+MAIN!$D$19)/2*MAIN!$B$9+(MAIN!$D$20+MAIN!$D$21)/2*MAIN!$B$8+(MAIN!$D$80*MAIN!$B$11)+($C$2*MAIN!$B$10))/10&amp;" &amp;aAlmakos'"</f>
        <v xml:space="preserve">  - '&amp;aVenta: &amp;61337.5 &amp;aAlmakos'</v>
      </c>
      <c r="N43" s="20"/>
      <c r="O43" s="20"/>
      <c r="P43" s="20"/>
      <c r="Q43" s="20" t="str">
        <f>"  - '&amp;aVenta: &amp;6"&amp;(MAIN!$J$4+(MAIN!$D$18+MAIN!$D$19)/2*MAIN!$B$9+(MAIN!$D$20+MAIN!$D$21)/2*MAIN!$B$8+(MAIN!$D$80*MAIN!$B$11)+($C$2*MAIN!$B$10))/10&amp;" &amp;aAlmakos'"</f>
        <v xml:space="preserve">  - '&amp;aVenta: &amp;62457.5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&amp;a"&amp;MAIN!$C$82+($C$2*MAIN!$I$27)&amp;"'"</f>
        <v xml:space="preserve">  - '&amp;7• &amp;8Nivel: &amp;a27'</v>
      </c>
      <c r="B47" s="10"/>
      <c r="C47" s="10"/>
      <c r="D47" s="10"/>
      <c r="E47" s="10" t="str">
        <f>"  - '&amp;7• &amp;8Nivel: &amp;a"&amp;MAIN!$D$82+($C$2*MAIN!$I$27)&amp;"'"</f>
        <v xml:space="preserve">  - '&amp;7• &amp;8Nivel: &amp;a52'</v>
      </c>
      <c r="F47" s="10"/>
      <c r="G47" s="10"/>
      <c r="H47" s="10"/>
      <c r="I47" s="10" t="str">
        <f>"  - '&amp;7• &amp;8Nivel: &amp;a"&amp;MAIN!$E$82+($C$2*MAIN!$I$27)&amp;"'"</f>
        <v xml:space="preserve">  - '&amp;7• &amp;8Nivel: &amp;a127'</v>
      </c>
      <c r="J47" s="10"/>
      <c r="K47" s="10"/>
      <c r="L47" s="10"/>
      <c r="M47" s="10" t="str">
        <f>"  - '&amp;7• &amp;8Nivel: &amp;a"&amp;MAIN!$F$82+($C$2*MAIN!$I$27)&amp;"'"</f>
        <v xml:space="preserve">  - '&amp;7• &amp;8Nivel: &amp;a351'</v>
      </c>
      <c r="N47" s="10"/>
      <c r="O47" s="10"/>
      <c r="P47" s="10"/>
      <c r="Q47" s="10" t="str">
        <f>"  - '&amp;7• &amp;8Nivel: &amp;a"&amp;MAIN!$G$82+($C$2*MAIN!$I$27)&amp;"'"</f>
        <v xml:space="preserve">  - '&amp;7• &amp;8Nivel: &amp;a687'</v>
      </c>
      <c r="R47" s="10"/>
      <c r="S47" s="10"/>
      <c r="T47" s="10"/>
    </row>
    <row r="48" spans="1:20" x14ac:dyDescent="0.25">
      <c r="A48" s="12" t="str">
        <f>"  - '&amp;7• &amp;8"&amp;MAIN!$C$12&amp;" lvl: &amp;a"&amp;ROUNDUP((MAIN!$C$82+($C$2*MAIN!$I$27))/3,0)&amp;"'"</f>
        <v xml:space="preserve">  - '&amp;7• &amp;8Esencia lvl: &amp;a9'</v>
      </c>
      <c r="B48" s="12"/>
      <c r="C48" s="12"/>
      <c r="D48" s="12"/>
      <c r="E48" s="12" t="str">
        <f>"  - '&amp;7• &amp;8"&amp;MAIN!$C$12&amp;" lvl: &amp;a"&amp;ROUNDUP((MAIN!$D$82+($C$2*MAIN!$I$27))/3,0)&amp;"'"</f>
        <v xml:space="preserve">  - '&amp;7• &amp;8Esencia lvl: &amp;a18'</v>
      </c>
      <c r="F48" s="12"/>
      <c r="G48" s="12"/>
      <c r="H48" s="12"/>
      <c r="I48" s="12" t="str">
        <f>"  - '&amp;7• &amp;8"&amp;MAIN!$C$12&amp;" lvl: &amp;a"&amp;ROUNDUP((MAIN!$E$82+($C$2*MAIN!$I$27))/3,0)&amp;"'"</f>
        <v xml:space="preserve">  - '&amp;7• &amp;8Esencia lvl: &amp;a43'</v>
      </c>
      <c r="J48" s="12"/>
      <c r="K48" s="12"/>
      <c r="L48" s="12"/>
      <c r="M48" s="12" t="str">
        <f>"  - '&amp;7• &amp;8"&amp;MAIN!$C$12&amp;" lvl: &amp;a"&amp;ROUNDUP((MAIN!$F$82+($C$2*MAIN!$I$27))/3,0)&amp;"'"</f>
        <v xml:space="preserve">  - '&amp;7• &amp;8Esencia lvl: &amp;a117'</v>
      </c>
      <c r="N48" s="12"/>
      <c r="O48" s="12"/>
      <c r="P48" s="12"/>
      <c r="Q48" s="12" t="str">
        <f>"  - '&amp;7• &amp;8"&amp;MAIN!$C$12&amp;" lvl: &amp;a"&amp;ROUNDUP((MAIN!$G$82+($C$2*MAIN!$I$27))/3,0)&amp;"'"</f>
        <v xml:space="preserve">  - '&amp;7• &amp;8Esencia lvl: &amp;a229'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91" customFormat="1" x14ac:dyDescent="0.25">
      <c r="A50" s="9" t="s">
        <v>1196</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&amp;a"&amp;MAIN!$C$77*$C$2&amp;"'"</f>
        <v xml:space="preserve">  - '&amp;4• &amp;fFuerza: &amp;a21'</v>
      </c>
      <c r="B52" s="10"/>
      <c r="C52" s="10"/>
      <c r="D52" s="10"/>
      <c r="E52" s="10" t="str">
        <f>"  - '&amp;4• &amp;f"&amp;MAIN!$C$9&amp;": &amp;a"&amp;MAIN!$D$77*$C$2&amp;"'"</f>
        <v xml:space="preserve">  - '&amp;4• &amp;fFuerza: &amp;a33'</v>
      </c>
      <c r="F52" s="10"/>
      <c r="G52" s="10"/>
      <c r="H52" s="10"/>
      <c r="I52" s="10" t="str">
        <f>"  - '&amp;4• &amp;f"&amp;MAIN!$C$9&amp;": &amp;a"&amp;MAIN!$E$77*$C$2&amp;"'"</f>
        <v xml:space="preserve">  - '&amp;4• &amp;fFuerza: &amp;a54'</v>
      </c>
      <c r="J52" s="10"/>
      <c r="K52" s="10"/>
      <c r="L52" s="10"/>
      <c r="M52" s="10" t="str">
        <f>"  - '&amp;4• &amp;f"&amp;MAIN!$C$9&amp;": &amp;a"&amp;MAIN!$F$77*$C$2&amp;"'"</f>
        <v xml:space="preserve">  - '&amp;4• &amp;fFuerza: &amp;a90'</v>
      </c>
      <c r="N52" s="10"/>
      <c r="O52" s="10"/>
      <c r="P52" s="10"/>
      <c r="Q52" s="10" t="str">
        <f>"  - '&amp;4• &amp;f"&amp;MAIN!$C$9&amp;": &amp;a"&amp;MAIN!$G$77*$C$2&amp;"'"</f>
        <v xml:space="preserve">  - '&amp;4• &amp;fFuerza: &amp;a153'</v>
      </c>
      <c r="R52" s="10"/>
      <c r="S52" s="10"/>
      <c r="T52" s="10"/>
    </row>
    <row r="53" spans="1:20" x14ac:dyDescent="0.25">
      <c r="A53" s="10" t="str">
        <f>"  - '&amp;4• &amp;f"&amp;MAIN!$C$8&amp;": &amp;a"&amp;MAIN!$C$77*$C$2&amp;"'"</f>
        <v xml:space="preserve">  - '&amp;4• &amp;fVitalidad: &amp;a21'</v>
      </c>
      <c r="B53" s="10"/>
      <c r="C53" s="10"/>
      <c r="D53" s="10"/>
      <c r="E53" s="10" t="str">
        <f>"  - '&amp;4• &amp;f"&amp;MAIN!$C$8&amp;": &amp;a"&amp;MAIN!$D$77*$C$2&amp;"'"</f>
        <v xml:space="preserve">  - '&amp;4• &amp;fVitalidad: &amp;a33'</v>
      </c>
      <c r="F53" s="10"/>
      <c r="G53" s="10"/>
      <c r="H53" s="10"/>
      <c r="I53" s="10" t="str">
        <f>"  - '&amp;4• &amp;f"&amp;MAIN!$C$8&amp;": &amp;a"&amp;MAIN!$E$77*$C$2&amp;"'"</f>
        <v xml:space="preserve">  - '&amp;4• &amp;fVitalidad: &amp;a54'</v>
      </c>
      <c r="J53" s="10"/>
      <c r="K53" s="10"/>
      <c r="L53" s="10"/>
      <c r="M53" s="10" t="str">
        <f>"  - '&amp;4• &amp;f"&amp;MAIN!$C$8&amp;": &amp;a"&amp;MAIN!$F$77*$C$2&amp;"'"</f>
        <v xml:space="preserve">  - '&amp;4• &amp;fVitalidad: &amp;a90'</v>
      </c>
      <c r="N53" s="10"/>
      <c r="O53" s="10"/>
      <c r="P53" s="10"/>
      <c r="Q53" s="10" t="str">
        <f>"  - '&amp;4• &amp;f"&amp;MAIN!$C$8&amp;": &amp;a"&amp;MAIN!$G$77*$C$2&amp;"'"</f>
        <v xml:space="preserve">  - '&amp;4• &amp;fVitalidad: &amp;a153'</v>
      </c>
      <c r="R53" s="10"/>
      <c r="S53" s="10"/>
      <c r="T53" s="10"/>
    </row>
    <row r="54" spans="1:20" x14ac:dyDescent="0.25">
      <c r="A54" s="10" t="str">
        <f>"  - '&amp;4• &amp;f"&amp;MAIN!$C$11&amp;": &amp;a"&amp;MAIN!$C$79*$C$2&amp;"'"</f>
        <v xml:space="preserve">  - '&amp;4• &amp;fInteligencia: &amp;a21'</v>
      </c>
      <c r="B54" s="10"/>
      <c r="C54" s="10"/>
      <c r="D54" s="10"/>
      <c r="E54" s="10" t="str">
        <f>"  - '&amp;4• &amp;f"&amp;MAIN!$C$11&amp;": &amp;a"&amp;MAIN!$D$79*$C$2&amp;"'"</f>
        <v xml:space="preserve">  - '&amp;4• &amp;fInteligencia: &amp;a33'</v>
      </c>
      <c r="F54" s="10"/>
      <c r="G54" s="10"/>
      <c r="H54" s="10"/>
      <c r="I54" s="10" t="str">
        <f>"  - '&amp;4• &amp;f"&amp;MAIN!$C$11&amp;": &amp;a"&amp;MAIN!$E$79*$C$2&amp;"'"</f>
        <v xml:space="preserve">  - '&amp;4• &amp;fInteligencia: &amp;a54'</v>
      </c>
      <c r="J54" s="10"/>
      <c r="K54" s="10"/>
      <c r="L54" s="10"/>
      <c r="M54" s="10" t="str">
        <f>"  - '&amp;4• &amp;f"&amp;MAIN!$C$11&amp;": &amp;a"&amp;MAIN!$F$79*$C$2&amp;"'"</f>
        <v xml:space="preserve">  - '&amp;4• &amp;fInteligencia: &amp;a90'</v>
      </c>
      <c r="N54" s="10"/>
      <c r="O54" s="10"/>
      <c r="P54" s="10"/>
      <c r="Q54" s="10" t="str">
        <f>"  - '&amp;4• &amp;f"&amp;MAIN!$C$11&amp;": &amp;a"&amp;MAIN!$G$79*$C$2&amp;"'"</f>
        <v xml:space="preserve">  - '&amp;4• &amp;fInteligencia: &amp;a153'</v>
      </c>
      <c r="R54" s="10"/>
      <c r="S54" s="10"/>
      <c r="T54" s="10"/>
    </row>
    <row r="55" spans="1:20" x14ac:dyDescent="0.25">
      <c r="A55" s="10" t="str">
        <f>"  - '&amp;4• &amp;f"&amp;MAIN!$C$10&amp;": &amp;a"&amp;MAIN!$C$78*$C$2&amp;"'"</f>
        <v xml:space="preserve">  - '&amp;4• &amp;fAgilidad: &amp;a21'</v>
      </c>
      <c r="B55" s="10"/>
      <c r="C55" s="10"/>
      <c r="D55" s="10"/>
      <c r="E55" s="10" t="str">
        <f>"  - '&amp;4• &amp;f"&amp;MAIN!$C$10&amp;": &amp;a"&amp;MAIN!$D$78*$C$2&amp;"'"</f>
        <v xml:space="preserve">  - '&amp;4• &amp;fAgilidad: &amp;a33'</v>
      </c>
      <c r="F55" s="10"/>
      <c r="G55" s="10"/>
      <c r="H55" s="10"/>
      <c r="I55" s="10" t="str">
        <f>"  - '&amp;4• &amp;f"&amp;MAIN!$C$10&amp;": &amp;a"&amp;MAIN!$E$78*$C$2&amp;"'"</f>
        <v xml:space="preserve">  - '&amp;4• &amp;fAgilidad: &amp;a54'</v>
      </c>
      <c r="J55" s="10"/>
      <c r="K55" s="10"/>
      <c r="L55" s="10"/>
      <c r="M55" s="10" t="str">
        <f>"  - '&amp;4• &amp;f"&amp;MAIN!$C$10&amp;": &amp;a"&amp;MAIN!$F$78*$C$2&amp;"'"</f>
        <v xml:space="preserve">  - '&amp;4• &amp;fAgilidad: &amp;a90'</v>
      </c>
      <c r="N55" s="10"/>
      <c r="O55" s="10"/>
      <c r="P55" s="10"/>
      <c r="Q55" s="10" t="str">
        <f>"  - '&amp;4• &amp;f"&amp;MAIN!$C$10&amp;": &amp;a"&amp;MAIN!$G$78*$C$2&amp;"'"</f>
        <v xml:space="preserve">  - '&amp;4• &amp;fAgilidad: &amp;a153'</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'armas magico'!$A$58</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'armas magico'!$A$59</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x14ac:dyDescent="0.25">
      <c r="A60" s="11" t="str">
        <f>'armas magico'!$A$60</f>
        <v>chanceToSpawnOnAMonster: 0.3</v>
      </c>
      <c r="B60" s="11"/>
      <c r="C60" s="11"/>
      <c r="D60" s="11"/>
      <c r="E60" s="11" t="str">
        <f>$A$60</f>
        <v>chanceToSpawnOnAMonster: 0.3</v>
      </c>
      <c r="F60" s="11"/>
      <c r="G60" s="11"/>
      <c r="H60" s="11"/>
      <c r="I60" s="11" t="str">
        <f t="shared" ref="I60" si="27">$A$60</f>
        <v>chanceToSpawnOnAMonster: 0.3</v>
      </c>
      <c r="J60" s="11"/>
      <c r="K60" s="11"/>
      <c r="L60" s="11"/>
      <c r="M60" s="11" t="str">
        <f t="shared" ref="M60" si="28">$A$60</f>
        <v>chanceToSpawnOnAMonster: 0.3</v>
      </c>
      <c r="N60" s="11"/>
      <c r="O60" s="11"/>
      <c r="P60" s="11"/>
      <c r="Q60" s="11" t="str">
        <f t="shared" ref="Q60" si="29">$A$60</f>
        <v>chanceToSpawnOnAMonster: 0.3</v>
      </c>
      <c r="R60" s="11"/>
      <c r="S60" s="11"/>
      <c r="T60" s="11"/>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x14ac:dyDescent="0.25">
      <c r="A62" s="11" t="str">
        <f>'armas magico'!$A$62</f>
        <v>chanceToBeIdentified: 0.15</v>
      </c>
      <c r="B62" s="11"/>
      <c r="C62" s="11"/>
      <c r="D62" s="11"/>
      <c r="E62" s="11" t="str">
        <f>$A$62</f>
        <v>chanceToBeIdentified: 0.15</v>
      </c>
      <c r="F62" s="11"/>
      <c r="G62" s="11"/>
      <c r="H62" s="11"/>
      <c r="I62" s="11" t="str">
        <f t="shared" ref="I62" si="30">$A$62</f>
        <v>chanceToBeIdentified: 0.15</v>
      </c>
      <c r="J62" s="11"/>
      <c r="K62" s="11"/>
      <c r="L62" s="11"/>
      <c r="M62" s="11" t="str">
        <f t="shared" ref="M62" si="31">$A$62</f>
        <v>chanceToBeIdentified: 0.15</v>
      </c>
      <c r="N62" s="11"/>
      <c r="O62" s="11"/>
      <c r="P62" s="11"/>
      <c r="Q62" s="11" t="str">
        <f t="shared" ref="Q62" si="32">$A$62</f>
        <v>chanceToBeIdentified: 0.15</v>
      </c>
      <c r="R62" s="11"/>
      <c r="S62" s="11"/>
      <c r="T62" s="11"/>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'armas magico'!$A$64</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33">M64</f>
        <v>broadcastOnFind: false</v>
      </c>
      <c r="R64" s="11"/>
      <c r="S64" s="11"/>
      <c r="T64" s="11"/>
    </row>
    <row r="65" spans="1:20" x14ac:dyDescent="0.25">
      <c r="A65" s="11" t="str">
        <f>'armas magico'!$A$65</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'armas magico'!$A$66</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c r="G77" s="13"/>
      <c r="H77" s="13"/>
      <c r="I77" s="13"/>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I1:J1"/>
    <mergeCell ref="K1:L1"/>
    <mergeCell ref="I2:J2"/>
    <mergeCell ref="K2:L2"/>
    <mergeCell ref="A3:D3"/>
    <mergeCell ref="E3:H3"/>
    <mergeCell ref="I3:L3"/>
    <mergeCell ref="M3:P3"/>
    <mergeCell ref="Q3:T3"/>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3"/>
  <dimension ref="A1:Z170"/>
  <sheetViews>
    <sheetView topLeftCell="N44" workbookViewId="0">
      <selection activeCell="Q4" sqref="Q4:Q66"/>
    </sheetView>
  </sheetViews>
  <sheetFormatPr baseColWidth="10" defaultColWidth="11.5703125" defaultRowHeight="15" x14ac:dyDescent="0.25"/>
  <cols>
    <col min="1" max="16384" width="11.5703125" style="18"/>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100</v>
      </c>
      <c r="B2" s="293"/>
      <c r="C2" s="293">
        <f>'ECONOMIA &amp; PROFESIONES'!$O$3</f>
        <v>3</v>
      </c>
      <c r="D2" s="293"/>
      <c r="E2" s="293" t="s">
        <v>81</v>
      </c>
      <c r="F2" s="293"/>
      <c r="G2" s="293" t="s">
        <v>97</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DURABILITY:2:4</v>
      </c>
      <c r="B15" s="11"/>
      <c r="C15" s="11"/>
      <c r="D15" s="11"/>
      <c r="E15" s="11" t="str">
        <f>$A$15</f>
        <v xml:space="preserve">  - DURABILITY:2:4</v>
      </c>
      <c r="F15" s="11"/>
      <c r="G15" s="11"/>
      <c r="H15" s="11"/>
      <c r="I15" s="11" t="str">
        <f t="shared" ref="I15" si="12">$A$15</f>
        <v xml:space="preserve">  - DURABILITY:2:4</v>
      </c>
      <c r="J15" s="11"/>
      <c r="K15" s="11"/>
      <c r="L15" s="11"/>
      <c r="M15" s="11" t="str">
        <f t="shared" ref="M15" si="13">$A$15</f>
        <v xml:space="preserve">  - DURABILITY:2:4</v>
      </c>
      <c r="N15" s="11"/>
      <c r="O15" s="11"/>
      <c r="P15" s="11"/>
      <c r="Q15" s="11" t="str">
        <f t="shared" ref="Q15" si="14">$A$15</f>
        <v xml:space="preserve">  - DURABILITY:2:4</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magico'!$A$37</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'armas magico'!$A$38</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'armas magico'!$A$40</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'armas magico'!$A$41</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&amp;6"&amp;(MAIN!$F$5+(MAIN!$D$18+MAIN!$D$19)/2*MAIN!$B$9+(MAIN!$D$20+MAIN!$D$21)/2*MAIN!$B$8+(MAIN!$D$91*MAIN!$B$11)+($C$2*MAIN!$B$10))/10&amp;" &amp;aAlmakos'"</f>
        <v xml:space="preserve">  - '&amp;aVenta: &amp;6290 &amp;aAlmakos'</v>
      </c>
      <c r="B43" s="20"/>
      <c r="C43" s="20"/>
      <c r="D43" s="20"/>
      <c r="E43" s="20" t="str">
        <f>"  - '&amp;aVenta: &amp;6"&amp;(MAIN!$G$5+(MAIN!$D$18+MAIN!$D$19)/2*MAIN!$B$9+(MAIN!$D$20+MAIN!$D$21)/2*MAIN!$B$8+(MAIN!$D$91*MAIN!$B$11)+($C$2*MAIN!$B$10))/10&amp;" &amp;aAlmakos'"</f>
        <v xml:space="preserve">  - '&amp;aVenta: &amp;6370 &amp;aAlmakos'</v>
      </c>
      <c r="F43" s="20"/>
      <c r="G43" s="20"/>
      <c r="H43" s="20"/>
      <c r="I43" s="20" t="str">
        <f>"  - '&amp;aVenta: &amp;6"&amp;(MAIN!$H$5+(MAIN!$D$18+MAIN!$D$19)/2*MAIN!$B$9+(MAIN!$D$20+MAIN!$D$21)/2*MAIN!$B$8+(MAIN!$D$91*MAIN!$B$11)+($C$2*MAIN!$B$10))/10&amp;" &amp;aAlmakos'"</f>
        <v xml:space="preserve">  - '&amp;aVenta: &amp;6530 &amp;aAlmakos'</v>
      </c>
      <c r="J43" s="20"/>
      <c r="K43" s="20"/>
      <c r="L43" s="20"/>
      <c r="M43" s="20" t="str">
        <f>"  - '&amp;aVenta: &amp;6"&amp;(MAIN!$I$5+(MAIN!$D$18+MAIN!$D$19)/2*MAIN!$B$9+(MAIN!$D$20+MAIN!$D$21)/2*MAIN!$B$8+(MAIN!$D$91*MAIN!$B$11)+($C$2*MAIN!$B$10))/10&amp;" &amp;aAlmakos'"</f>
        <v xml:space="preserve">  - '&amp;aVenta: &amp;6850 &amp;aAlmakos'</v>
      </c>
      <c r="N43" s="20"/>
      <c r="O43" s="20"/>
      <c r="P43" s="20"/>
      <c r="Q43" s="20" t="str">
        <f>"  - '&amp;aVenta: &amp;6"&amp;(MAIN!$J$5+(MAIN!$D$18+MAIN!$D$19)/2*MAIN!$B$9+(MAIN!$D$20+MAIN!$D$21)/2*MAIN!$B$8+(MAIN!$D$91*MAIN!$B$11)+($C$2*MAIN!$B$10))/10&amp;" &amp;aAlmakos'"</f>
        <v xml:space="preserve">  - '&amp;aVenta: &amp;61490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&amp;a"&amp;MAIN!$C$93+($C$2*MAIN!$I$27)&amp;"'"</f>
        <v xml:space="preserve">  - '&amp;7• &amp;8Nivel: &amp;a22'</v>
      </c>
      <c r="B47" s="10"/>
      <c r="C47" s="10"/>
      <c r="D47" s="10"/>
      <c r="E47" s="10" t="str">
        <f>"  - '&amp;7• &amp;8Nivel: &amp;a"&amp;MAIN!$D$93+($C$2*MAIN!$I$27)&amp;"'"</f>
        <v xml:space="preserve">  - '&amp;7• &amp;8Nivel: &amp;a36'</v>
      </c>
      <c r="F47" s="10"/>
      <c r="G47" s="10"/>
      <c r="H47" s="10"/>
      <c r="I47" s="10" t="str">
        <f>"  - '&amp;7• &amp;8Nivel: &amp;a"&amp;MAIN!$E$93+($C$2*MAIN!$I$27)&amp;"'"</f>
        <v xml:space="preserve">  - '&amp;7• &amp;8Nivel: &amp;a79'</v>
      </c>
      <c r="J47" s="10"/>
      <c r="K47" s="10"/>
      <c r="L47" s="10"/>
      <c r="M47" s="10" t="str">
        <f>"  - '&amp;7• &amp;8Nivel: &amp;a"&amp;MAIN!$F$93+($C$2*MAIN!$I$27)&amp;"'"</f>
        <v xml:space="preserve">  - '&amp;7• &amp;8Nivel: &amp;a207'</v>
      </c>
      <c r="N47" s="10"/>
      <c r="O47" s="10"/>
      <c r="P47" s="10"/>
      <c r="Q47" s="10" t="str">
        <f>"  - '&amp;7• &amp;8Nivel: &amp;a"&amp;MAIN!$G$93+($C$2*MAIN!$I$27)&amp;"'"</f>
        <v xml:space="preserve">  - '&amp;7• &amp;8Nivel: &amp;a399'</v>
      </c>
      <c r="R47" s="10"/>
      <c r="S47" s="10"/>
      <c r="T47" s="10"/>
    </row>
    <row r="48" spans="1:20" x14ac:dyDescent="0.25">
      <c r="A48" s="12" t="str">
        <f>"  - '&amp;7• &amp;8"&amp;MAIN!$C$12&amp;" lvl: &amp;a"&amp;ROUNDUP((MAIN!$C$93+($C$2*MAIN!$I$27))/3,0)&amp;"'"</f>
        <v xml:space="preserve">  - '&amp;7• &amp;8Esencia lvl: &amp;a8'</v>
      </c>
      <c r="B48" s="12"/>
      <c r="C48" s="12"/>
      <c r="D48" s="12"/>
      <c r="E48" s="12" t="str">
        <f>"  - '&amp;7• &amp;8"&amp;MAIN!$C$12&amp;" lvl: &amp;a"&amp;ROUNDUP((MAIN!$D$93+($C$2*MAIN!$I$27))/3,0)&amp;"'"</f>
        <v xml:space="preserve">  - '&amp;7• &amp;8Esencia lvl: &amp;a12'</v>
      </c>
      <c r="F48" s="12"/>
      <c r="G48" s="12"/>
      <c r="H48" s="12"/>
      <c r="I48" s="12" t="str">
        <f>"  - '&amp;7• &amp;8"&amp;MAIN!$C$12&amp;" lvl: &amp;a"&amp;ROUNDUP((MAIN!$E$93+($C$2*MAIN!$I$27))/3,0)&amp;"'"</f>
        <v xml:space="preserve">  - '&amp;7• &amp;8Esencia lvl: &amp;a27'</v>
      </c>
      <c r="J48" s="12"/>
      <c r="K48" s="12"/>
      <c r="L48" s="12"/>
      <c r="M48" s="12" t="str">
        <f>"  - '&amp;7• &amp;8"&amp;MAIN!$C$12&amp;" lvl: &amp;a"&amp;ROUNDUP((MAIN!$F$93+($C$2*MAIN!$I$27))/3,0)&amp;"'"</f>
        <v xml:space="preserve">  - '&amp;7• &amp;8Esencia lvl: &amp;a69'</v>
      </c>
      <c r="N48" s="12"/>
      <c r="O48" s="12"/>
      <c r="P48" s="12"/>
      <c r="Q48" s="12" t="str">
        <f>"  - '&amp;7• &amp;8"&amp;MAIN!$C$12&amp;" lvl: &amp;a"&amp;ROUNDUP((MAIN!$G$93+($C$2*MAIN!$I$27))/3,0)&amp;"'"</f>
        <v xml:space="preserve">  - '&amp;7• &amp;8Esencia lvl: &amp;a133'</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91" customFormat="1" x14ac:dyDescent="0.25">
      <c r="A50" s="9" t="s">
        <v>1196</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&amp;a"&amp;MAIN!$C$88*$C$2&amp;"'"</f>
        <v xml:space="preserve">  - '&amp;4• &amp;fFuerza: &amp;a12'</v>
      </c>
      <c r="B52" s="10"/>
      <c r="C52" s="10"/>
      <c r="D52" s="10"/>
      <c r="E52" s="10" t="str">
        <f>"  - '&amp;4• &amp;f"&amp;MAIN!$C$9&amp;": &amp;a"&amp;MAIN!$D$88*$C$2&amp;"'"</f>
        <v xml:space="preserve">  - '&amp;4• &amp;fFuerza: &amp;a18'</v>
      </c>
      <c r="F52" s="10"/>
      <c r="G52" s="10"/>
      <c r="H52" s="10"/>
      <c r="I52" s="10" t="str">
        <f>"  - '&amp;4• &amp;f"&amp;MAIN!$C$9&amp;": &amp;a"&amp;MAIN!$E$88*$C$2&amp;"'"</f>
        <v xml:space="preserve">  - '&amp;4• &amp;fFuerza: &amp;a30'</v>
      </c>
      <c r="J52" s="10"/>
      <c r="K52" s="10"/>
      <c r="L52" s="10"/>
      <c r="M52" s="10" t="str">
        <f>"  - '&amp;4• &amp;f"&amp;MAIN!$C$9&amp;": &amp;a"&amp;MAIN!$F$88*$C$2&amp;"'"</f>
        <v xml:space="preserve">  - '&amp;4• &amp;fFuerza: &amp;a51'</v>
      </c>
      <c r="N52" s="10"/>
      <c r="O52" s="10"/>
      <c r="P52" s="10"/>
      <c r="Q52" s="10" t="str">
        <f>"  - '&amp;4• &amp;f"&amp;MAIN!$C$9&amp;": &amp;a"&amp;MAIN!$G$88*$C$2&amp;"'"</f>
        <v xml:space="preserve">  - '&amp;4• &amp;fFuerza: &amp;a84'</v>
      </c>
      <c r="R52" s="10"/>
      <c r="S52" s="10"/>
      <c r="T52" s="10"/>
    </row>
    <row r="53" spans="1:20" x14ac:dyDescent="0.25">
      <c r="A53" s="10" t="str">
        <f>"  - '&amp;4• &amp;f"&amp;MAIN!$C$8&amp;": &amp;a"&amp;MAIN!$C$88*$C$2&amp;"'"</f>
        <v xml:space="preserve">  - '&amp;4• &amp;fVitalidad: &amp;a12'</v>
      </c>
      <c r="B53" s="10"/>
      <c r="C53" s="10"/>
      <c r="D53" s="10"/>
      <c r="E53" s="10" t="str">
        <f>"  - '&amp;4• &amp;f"&amp;MAIN!$C$8&amp;": &amp;a"&amp;MAIN!$D$88*$C$2&amp;"'"</f>
        <v xml:space="preserve">  - '&amp;4• &amp;fVitalidad: &amp;a18'</v>
      </c>
      <c r="F53" s="10"/>
      <c r="G53" s="10"/>
      <c r="H53" s="10"/>
      <c r="I53" s="10" t="str">
        <f>"  - '&amp;4• &amp;f"&amp;MAIN!$C$8&amp;": &amp;a"&amp;MAIN!$E$88*$C$2&amp;"'"</f>
        <v xml:space="preserve">  - '&amp;4• &amp;fVitalidad: &amp;a30'</v>
      </c>
      <c r="J53" s="10"/>
      <c r="K53" s="10"/>
      <c r="L53" s="10"/>
      <c r="M53" s="10" t="str">
        <f>"  - '&amp;4• &amp;f"&amp;MAIN!$C$8&amp;": &amp;a"&amp;MAIN!$F$88*$C$2&amp;"'"</f>
        <v xml:space="preserve">  - '&amp;4• &amp;fVitalidad: &amp;a51'</v>
      </c>
      <c r="N53" s="10"/>
      <c r="O53" s="10"/>
      <c r="P53" s="10"/>
      <c r="Q53" s="10" t="str">
        <f>"  - '&amp;4• &amp;f"&amp;MAIN!$C$8&amp;": &amp;a"&amp;MAIN!$G$88*$C$2&amp;"'"</f>
        <v xml:space="preserve">  - '&amp;4• &amp;fVitalidad: &amp;a84'</v>
      </c>
      <c r="R53" s="10"/>
      <c r="S53" s="10"/>
      <c r="T53" s="10"/>
    </row>
    <row r="54" spans="1:20" x14ac:dyDescent="0.25">
      <c r="A54" s="10" t="str">
        <f>"  - '&amp;4• &amp;f"&amp;MAIN!$C$11&amp;": &amp;a"&amp;MAIN!$C$90*$C$2&amp;"'"</f>
        <v xml:space="preserve">  - '&amp;4• &amp;fInteligencia: &amp;a12'</v>
      </c>
      <c r="B54" s="10"/>
      <c r="C54" s="10"/>
      <c r="D54" s="10"/>
      <c r="E54" s="10" t="str">
        <f>"  - '&amp;4• &amp;f"&amp;MAIN!$C$11&amp;": &amp;a"&amp;MAIN!$D$90*$C$2&amp;"'"</f>
        <v xml:space="preserve">  - '&amp;4• &amp;fInteligencia: &amp;a18'</v>
      </c>
      <c r="F54" s="10"/>
      <c r="G54" s="10"/>
      <c r="H54" s="10"/>
      <c r="I54" s="10" t="str">
        <f>"  - '&amp;4• &amp;f"&amp;MAIN!$C$11&amp;": &amp;a"&amp;MAIN!$E$90*$C$2&amp;"'"</f>
        <v xml:space="preserve">  - '&amp;4• &amp;fInteligencia: &amp;a30'</v>
      </c>
      <c r="J54" s="10"/>
      <c r="K54" s="10"/>
      <c r="L54" s="10"/>
      <c r="M54" s="10" t="str">
        <f>"  - '&amp;4• &amp;f"&amp;MAIN!$C$11&amp;": &amp;a"&amp;MAIN!$F$90*$C$2&amp;"'"</f>
        <v xml:space="preserve">  - '&amp;4• &amp;fInteligencia: &amp;a51'</v>
      </c>
      <c r="N54" s="10"/>
      <c r="O54" s="10"/>
      <c r="P54" s="10"/>
      <c r="Q54" s="10" t="str">
        <f>"  - '&amp;4• &amp;f"&amp;MAIN!$C$11&amp;": &amp;a"&amp;MAIN!$G$90*$C$2&amp;"'"</f>
        <v xml:space="preserve">  - '&amp;4• &amp;fInteligencia: &amp;a84'</v>
      </c>
      <c r="R54" s="10"/>
      <c r="S54" s="10"/>
      <c r="T54" s="10"/>
    </row>
    <row r="55" spans="1:20" x14ac:dyDescent="0.25">
      <c r="A55" s="10" t="str">
        <f>"  - '&amp;4• &amp;f"&amp;MAIN!$C$10&amp;": &amp;a"&amp;MAIN!$C$89*$C$2&amp;"'"</f>
        <v xml:space="preserve">  - '&amp;4• &amp;fAgilidad: &amp;a12'</v>
      </c>
      <c r="B55" s="10"/>
      <c r="C55" s="10"/>
      <c r="D55" s="10"/>
      <c r="E55" s="10" t="str">
        <f>"  - '&amp;4• &amp;f"&amp;MAIN!$C$10&amp;": &amp;a"&amp;MAIN!$D$89*$C$2&amp;"'"</f>
        <v xml:space="preserve">  - '&amp;4• &amp;fAgilidad: &amp;a18'</v>
      </c>
      <c r="F55" s="10"/>
      <c r="G55" s="10"/>
      <c r="H55" s="10"/>
      <c r="I55" s="10" t="str">
        <f>"  - '&amp;4• &amp;f"&amp;MAIN!$C$10&amp;": &amp;a"&amp;MAIN!$E$89*$C$2&amp;"'"</f>
        <v xml:space="preserve">  - '&amp;4• &amp;fAgilidad: &amp;a30'</v>
      </c>
      <c r="J55" s="10"/>
      <c r="K55" s="10"/>
      <c r="L55" s="10"/>
      <c r="M55" s="10" t="str">
        <f>"  - '&amp;4• &amp;f"&amp;MAIN!$C$10&amp;": &amp;a"&amp;MAIN!$F$89*$C$2&amp;"'"</f>
        <v xml:space="preserve">  - '&amp;4• &amp;fAgilidad: &amp;a51'</v>
      </c>
      <c r="N55" s="10"/>
      <c r="O55" s="10"/>
      <c r="P55" s="10"/>
      <c r="Q55" s="10" t="str">
        <f>"  - '&amp;4• &amp;f"&amp;MAIN!$C$10&amp;": &amp;a"&amp;MAIN!$G$89*$C$2&amp;"'"</f>
        <v xml:space="preserve">  - '&amp;4• &amp;fAgilidad: &amp;a84'</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'armas magico'!$A$58</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'armas magico'!$A$59</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x14ac:dyDescent="0.25">
      <c r="A60" s="11" t="str">
        <f>'armas magico'!$A$60</f>
        <v>chanceToSpawnOnAMonster: 0.3</v>
      </c>
      <c r="B60" s="11"/>
      <c r="C60" s="11"/>
      <c r="D60" s="11"/>
      <c r="E60" s="11" t="str">
        <f>$A$60</f>
        <v>chanceToSpawnOnAMonster: 0.3</v>
      </c>
      <c r="F60" s="11"/>
      <c r="G60" s="11"/>
      <c r="H60" s="11"/>
      <c r="I60" s="11" t="str">
        <f t="shared" ref="I60" si="27">$A$60</f>
        <v>chanceToSpawnOnAMonster: 0.3</v>
      </c>
      <c r="J60" s="11"/>
      <c r="K60" s="11"/>
      <c r="L60" s="11"/>
      <c r="M60" s="11" t="str">
        <f t="shared" ref="M60" si="28">$A$60</f>
        <v>chanceToSpawnOnAMonster: 0.3</v>
      </c>
      <c r="N60" s="11"/>
      <c r="O60" s="11"/>
      <c r="P60" s="11"/>
      <c r="Q60" s="11" t="str">
        <f t="shared" ref="Q60" si="29">$A$60</f>
        <v>chanceToSpawnOnAMonster: 0.3</v>
      </c>
      <c r="R60" s="11"/>
      <c r="S60" s="11"/>
      <c r="T60" s="11"/>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x14ac:dyDescent="0.25">
      <c r="A62" s="11" t="str">
        <f>'armas magico'!$A$62</f>
        <v>chanceToBeIdentified: 0.15</v>
      </c>
      <c r="B62" s="11"/>
      <c r="C62" s="11"/>
      <c r="D62" s="11"/>
      <c r="E62" s="11" t="str">
        <f>$A$62</f>
        <v>chanceToBeIdentified: 0.15</v>
      </c>
      <c r="F62" s="11"/>
      <c r="G62" s="11"/>
      <c r="H62" s="11"/>
      <c r="I62" s="11" t="str">
        <f t="shared" ref="I62" si="30">$A$62</f>
        <v>chanceToBeIdentified: 0.15</v>
      </c>
      <c r="J62" s="11"/>
      <c r="K62" s="11"/>
      <c r="L62" s="11"/>
      <c r="M62" s="11" t="str">
        <f t="shared" ref="M62" si="31">$A$62</f>
        <v>chanceToBeIdentified: 0.15</v>
      </c>
      <c r="N62" s="11"/>
      <c r="O62" s="11"/>
      <c r="P62" s="11"/>
      <c r="Q62" s="11" t="str">
        <f t="shared" ref="Q62" si="32">$A$62</f>
        <v>chanceToBeIdentified: 0.15</v>
      </c>
      <c r="R62" s="11"/>
      <c r="S62" s="11"/>
      <c r="T62" s="11"/>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'armas magico'!$A$64</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33">M64</f>
        <v>broadcastOnFind: false</v>
      </c>
      <c r="R64" s="11"/>
      <c r="S64" s="11"/>
      <c r="T64" s="11"/>
    </row>
    <row r="65" spans="1:20" x14ac:dyDescent="0.25">
      <c r="A65" s="11" t="str">
        <f>'armas magico'!$A$65</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'armas magico'!$A$66</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c r="G77" s="13"/>
      <c r="H77" s="13"/>
      <c r="I77" s="13"/>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I1:J1"/>
    <mergeCell ref="K1:L1"/>
    <mergeCell ref="I2:J2"/>
    <mergeCell ref="K2:L2"/>
    <mergeCell ref="A3:D3"/>
    <mergeCell ref="E3:H3"/>
    <mergeCell ref="I3:L3"/>
    <mergeCell ref="M3:P3"/>
    <mergeCell ref="Q3:T3"/>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4"/>
  <dimension ref="A1:Z191"/>
  <sheetViews>
    <sheetView topLeftCell="N65" workbookViewId="0">
      <selection activeCell="Q4" sqref="Q4:Q87"/>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102</v>
      </c>
      <c r="B2" s="293"/>
      <c r="C2" s="293">
        <f>'ECONOMIA &amp; PROFESIONES'!$P$3</f>
        <v>5</v>
      </c>
      <c r="D2" s="293"/>
      <c r="E2" s="293" t="s">
        <v>81</v>
      </c>
      <c r="F2" s="293"/>
      <c r="G2" s="293" t="s">
        <v>103</v>
      </c>
      <c r="H2" s="293"/>
      <c r="I2" s="293" t="str">
        <f>MAIN!$J$42</f>
        <v>Damage</v>
      </c>
      <c r="J2" s="293"/>
      <c r="K2" s="293">
        <f>MAIN!$L$42</f>
        <v>2</v>
      </c>
      <c r="L2" s="293"/>
    </row>
    <row r="3" spans="1:26" ht="29.25" customHeight="1" x14ac:dyDescent="0.25">
      <c r="A3" s="355" t="s">
        <v>7</v>
      </c>
      <c r="B3" s="355"/>
      <c r="C3" s="355"/>
      <c r="D3" s="355"/>
      <c r="E3" s="355" t="s">
        <v>8</v>
      </c>
      <c r="F3" s="355"/>
      <c r="G3" s="355"/>
      <c r="H3" s="355"/>
      <c r="I3" s="355" t="s">
        <v>83</v>
      </c>
      <c r="J3" s="355"/>
      <c r="K3" s="355"/>
      <c r="L3" s="355"/>
      <c r="M3" s="355" t="s">
        <v>84</v>
      </c>
      <c r="N3" s="355"/>
      <c r="O3" s="355"/>
      <c r="P3" s="355"/>
      <c r="Q3" s="355" t="s">
        <v>85</v>
      </c>
      <c r="R3" s="355"/>
      <c r="S3" s="355"/>
      <c r="T3" s="355"/>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"+"&amp;ROUND(MAIN!$C$44*$C$2*$K$2/5*$U$4,0)&amp;" "&amp;$I$2</f>
        <v>+4 Damage</v>
      </c>
      <c r="W4" s="291" t="str">
        <f>"+"&amp;ROUND(MAIN!$D$44*$C$2*$K$2/5*$U$4,0)&amp;" "&amp;$I$2</f>
        <v>+12 Damage</v>
      </c>
      <c r="X4" s="291" t="str">
        <f>"+"&amp;ROUND(MAIN!$E$44*$C$2*$K$2/5*$U$4,0)&amp;" "&amp;$I$2</f>
        <v>+36 Damage</v>
      </c>
      <c r="Y4" s="291" t="str">
        <f>"+"&amp;ROUND(MAIN!$F$44*$C$2*$K$2/5*$U$4,0)&amp;" "&amp;$I$2</f>
        <v>+108 Damage</v>
      </c>
      <c r="Z4" s="291" t="str">
        <f>"+"&amp;ROUND(MAIN!$G$44*$C$2*$K$2/5*$U$4,0)&amp;" "&amp;$I$2</f>
        <v>+324 Damage</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"+"&amp;ROUND(MAIN!$C$44*$C$2*$K$2/5*$U$5,0)&amp;" "&amp;$I$2</f>
        <v>+8 Damage</v>
      </c>
      <c r="W5" s="291" t="str">
        <f>"+"&amp;ROUND(MAIN!$D$44*$C$2*$K$2/5*$U$5,0)&amp;" "&amp;$I$2</f>
        <v>+24 Damage</v>
      </c>
      <c r="X5" s="291" t="str">
        <f>"+"&amp;ROUND(MAIN!$E$44*$C$2*$K$2/5*$U$5,0)&amp;" "&amp;$I$2</f>
        <v>+72 Damage</v>
      </c>
      <c r="Y5" s="291" t="str">
        <f>"+"&amp;ROUND(MAIN!$F$44*$C$2*$K$2/5*$U$5,0)&amp;" "&amp;$I$2</f>
        <v>+216 Damage</v>
      </c>
      <c r="Z5" s="291" t="str">
        <f>"+"&amp;ROUND(MAIN!$G$44*$C$2*$K$2/5*$U$5,0)&amp;" "&amp;$I$2</f>
        <v>+648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"+"&amp;ROUND(MAIN!$C$44*$C$2*$K$2/5*$U$6,0)&amp;" "&amp;$I$2</f>
        <v>+12 Damage</v>
      </c>
      <c r="W6" s="291" t="str">
        <f>"+"&amp;ROUND(MAIN!$D$44*$C$2*$K$2/5*$U$6,0)&amp;" "&amp;$I$2</f>
        <v>+36 Damage</v>
      </c>
      <c r="X6" s="291" t="str">
        <f>"+"&amp;ROUND(MAIN!$E$44*$C$2*$K$2/5*$U$6,0)&amp;" "&amp;$I$2</f>
        <v>+108 Damage</v>
      </c>
      <c r="Y6" s="291" t="str">
        <f>"+"&amp;ROUND(MAIN!$F$44*$C$2*$K$2/5*$U$6,0)&amp;" "&amp;$I$2</f>
        <v>+324 Damage</v>
      </c>
      <c r="Z6" s="291" t="str">
        <f>"+"&amp;ROUND(MAIN!$G$44*$C$2*$K$2/5*$U$6,0)&amp;" "&amp;$I$2</f>
        <v>+972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"+"&amp;ROUND(MAIN!$C$44*$C$2*$K$2/5*$U$7,0)&amp;" "&amp;$I$2</f>
        <v>+16 Damage</v>
      </c>
      <c r="W7" s="291" t="str">
        <f>"+"&amp;ROUND(MAIN!$D$44*$C$2*$K$2/5*$U$7,0)&amp;" "&amp;$I$2</f>
        <v>+48 Damage</v>
      </c>
      <c r="X7" s="291" t="str">
        <f>"+"&amp;ROUND(MAIN!$E$44*$C$2*$K$2/5*$U$7,0)&amp;" "&amp;$I$2</f>
        <v>+144 Damage</v>
      </c>
      <c r="Y7" s="291" t="str">
        <f>"+"&amp;ROUND(MAIN!$F$44*$C$2*$K$2/5*$U$7,0)&amp;" "&amp;$I$2</f>
        <v>+432 Damage</v>
      </c>
      <c r="Z7" s="291" t="str">
        <f>"+"&amp;ROUND(MAIN!$G$44*$C$2*$K$2/5*$U$7,0)&amp;" "&amp;$I$2</f>
        <v>+1296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"+"&amp;ROUND(MAIN!$C$44*$C$2*$K$2/5*$U$8,0)&amp;" "&amp;$I$2</f>
        <v>+20 Damage</v>
      </c>
      <c r="W8" s="291" t="str">
        <f>"+"&amp;ROUND(MAIN!$D$44*$C$2*$K$2/5*$U$8,0)&amp;" "&amp;$I$2</f>
        <v>+60 Damage</v>
      </c>
      <c r="X8" s="291" t="str">
        <f>"+"&amp;ROUND(MAIN!$E$44*$C$2*$K$2/5*$U$8,0)&amp;" "&amp;$I$2</f>
        <v>+180 Damage</v>
      </c>
      <c r="Y8" s="291" t="str">
        <f>"+"&amp;ROUND(MAIN!$F$44*$C$2*$K$2/5*$U$8,0)&amp;" "&amp;$I$2</f>
        <v>+540 Damage</v>
      </c>
      <c r="Z8" s="291" t="str">
        <f>"+"&amp;ROUND(MAIN!$G$44*$C$2*$K$2/5*$U$8,0)&amp;" "&amp;$I$2</f>
        <v>+1620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$A$38</f>
        <v xml:space="preserve">  - ARROW_INFINITE:2:3</v>
      </c>
      <c r="J15" s="22"/>
      <c r="K15" s="22"/>
      <c r="L15" s="22"/>
      <c r="M15" s="22" t="str">
        <f>$A$38</f>
        <v xml:space="preserve">  - ARROW_INFINITE:2:3</v>
      </c>
      <c r="N15" s="22"/>
      <c r="O15" s="22"/>
      <c r="P15" s="22"/>
      <c r="Q15" s="22" t="str">
        <f>$A$38</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$A$39</f>
        <v xml:space="preserve">  - ARROW_DAMAGE:2:3</v>
      </c>
      <c r="J16" s="22"/>
      <c r="K16" s="22"/>
      <c r="L16" s="22"/>
      <c r="M16" s="22" t="str">
        <f>$A$39</f>
        <v xml:space="preserve">  - ARROW_DAMAGE:2:3</v>
      </c>
      <c r="N16" s="22"/>
      <c r="O16" s="22"/>
      <c r="P16" s="22"/>
      <c r="Q16" s="22" t="str">
        <f>$A$39</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$A$40</f>
        <v xml:space="preserve">  - ARROW_FIRE:2:3</v>
      </c>
      <c r="J17" s="22"/>
      <c r="K17" s="22"/>
      <c r="L17" s="22"/>
      <c r="M17" s="22" t="str">
        <f>$A$40</f>
        <v xml:space="preserve">  - ARROW_FIRE:2:3</v>
      </c>
      <c r="N17" s="22"/>
      <c r="O17" s="22"/>
      <c r="P17" s="22"/>
      <c r="Q17" s="22" t="str">
        <f>$A$40</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$A$41</f>
        <v xml:space="preserve">  - ARROW_KNOCKBACK:2:3</v>
      </c>
      <c r="J18" s="22"/>
      <c r="K18" s="22"/>
      <c r="L18" s="22"/>
      <c r="M18" s="22" t="str">
        <f>$A$41</f>
        <v xml:space="preserve">  - ARROW_KNOCKBACK:2:3</v>
      </c>
      <c r="N18" s="22"/>
      <c r="O18" s="22"/>
      <c r="P18" s="22"/>
      <c r="Q18" s="22" t="str">
        <f>$A$41</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$A$42</f>
        <v xml:space="preserve">  - DAMAGE_ALL:2:3</v>
      </c>
      <c r="J19" s="22"/>
      <c r="K19" s="22"/>
      <c r="L19" s="22"/>
      <c r="M19" s="22" t="str">
        <f>$A$42</f>
        <v xml:space="preserve">  - DAMAGE_ALL:2:3</v>
      </c>
      <c r="N19" s="22"/>
      <c r="O19" s="22"/>
      <c r="P19" s="22"/>
      <c r="Q19" s="22" t="str">
        <f>$A$42</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$A$43</f>
        <v xml:space="preserve">  - DAMAGE_ARTHROPODS:2:3</v>
      </c>
      <c r="J20" s="22"/>
      <c r="K20" s="22"/>
      <c r="L20" s="22"/>
      <c r="M20" s="22" t="str">
        <f>$A$43</f>
        <v xml:space="preserve">  - DAMAGE_ARTHROPODS:2:3</v>
      </c>
      <c r="N20" s="22"/>
      <c r="O20" s="22"/>
      <c r="P20" s="22"/>
      <c r="Q20" s="22" t="str">
        <f>$A$43</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$A$44</f>
        <v xml:space="preserve">  - DAMAGE_UNDEAD:2:3</v>
      </c>
      <c r="J21" s="22"/>
      <c r="K21" s="22"/>
      <c r="L21" s="22"/>
      <c r="M21" s="22" t="str">
        <f>$A$44</f>
        <v xml:space="preserve">  - DAMAGE_UNDEAD:2:3</v>
      </c>
      <c r="N21" s="22"/>
      <c r="O21" s="22"/>
      <c r="P21" s="22"/>
      <c r="Q21" s="22" t="str">
        <f>$A$44</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$A$45</f>
        <v xml:space="preserve">  - DIG_SPEED:2:3</v>
      </c>
      <c r="J22" s="22"/>
      <c r="K22" s="22"/>
      <c r="L22" s="22"/>
      <c r="M22" s="22" t="str">
        <f>$A$45</f>
        <v xml:space="preserve">  - DIG_SPEED:2:3</v>
      </c>
      <c r="N22" s="22"/>
      <c r="O22" s="22"/>
      <c r="P22" s="22"/>
      <c r="Q22" s="22" t="str">
        <f>$A$45</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$A$46</f>
        <v xml:space="preserve">  - DURABILITY:2:3</v>
      </c>
      <c r="J23" s="22"/>
      <c r="K23" s="22"/>
      <c r="L23" s="22"/>
      <c r="M23" s="22" t="str">
        <f>$A$46</f>
        <v xml:space="preserve">  - DURABILITY:2:3</v>
      </c>
      <c r="N23" s="22"/>
      <c r="O23" s="22"/>
      <c r="P23" s="22"/>
      <c r="Q23" s="22" t="str">
        <f>$A$46</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$A$47</f>
        <v xml:space="preserve">  - FIRE_ASPECT:2:3</v>
      </c>
      <c r="J24" s="22"/>
      <c r="K24" s="22"/>
      <c r="L24" s="22"/>
      <c r="M24" s="22" t="str">
        <f>$A$47</f>
        <v xml:space="preserve">  - FIRE_ASPECT:2:3</v>
      </c>
      <c r="N24" s="22"/>
      <c r="O24" s="22"/>
      <c r="P24" s="22"/>
      <c r="Q24" s="22" t="str">
        <f>$A$47</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$A$48</f>
        <v xml:space="preserve">  - KNOCKBACK:2:3</v>
      </c>
      <c r="J25" s="22"/>
      <c r="K25" s="22"/>
      <c r="L25" s="22"/>
      <c r="M25" s="22" t="str">
        <f>$A$48</f>
        <v xml:space="preserve">  - KNOCKBACK:2:3</v>
      </c>
      <c r="N25" s="22"/>
      <c r="O25" s="22"/>
      <c r="P25" s="22"/>
      <c r="Q25" s="22" t="str">
        <f>$A$48</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$A$49</f>
        <v xml:space="preserve">  - LOOT_BONUS_BLOCKS:2:3</v>
      </c>
      <c r="J26" s="22"/>
      <c r="K26" s="22"/>
      <c r="L26" s="22"/>
      <c r="M26" s="22" t="str">
        <f>$A$49</f>
        <v xml:space="preserve">  - LOOT_BONUS_BLOCKS:2:3</v>
      </c>
      <c r="N26" s="22"/>
      <c r="O26" s="22"/>
      <c r="P26" s="22"/>
      <c r="Q26" s="22" t="str">
        <f>$A$49</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$A$50</f>
        <v xml:space="preserve">  - LOOT_BONUS_MOBS:2:3</v>
      </c>
      <c r="J27" s="22"/>
      <c r="K27" s="22"/>
      <c r="L27" s="22"/>
      <c r="M27" s="22" t="str">
        <f>$A$50</f>
        <v xml:space="preserve">  - LOOT_BONUS_MOBS:2:3</v>
      </c>
      <c r="N27" s="22"/>
      <c r="O27" s="22"/>
      <c r="P27" s="22"/>
      <c r="Q27" s="22" t="str">
        <f>$A$50</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$A$51</f>
        <v xml:space="preserve">  - OXYGEN:2:3</v>
      </c>
      <c r="J28" s="22"/>
      <c r="K28" s="22"/>
      <c r="L28" s="22"/>
      <c r="M28" s="22" t="str">
        <f>$A$51</f>
        <v xml:space="preserve">  - OXYGEN:2:3</v>
      </c>
      <c r="N28" s="22"/>
      <c r="O28" s="22"/>
      <c r="P28" s="22"/>
      <c r="Q28" s="22" t="str">
        <f>$A$51</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$A$52</f>
        <v xml:space="preserve">  - PROTECTION_ENVIRONMENT:2:3</v>
      </c>
      <c r="J29" s="22"/>
      <c r="K29" s="22"/>
      <c r="L29" s="22"/>
      <c r="M29" s="22" t="str">
        <f>$A$52</f>
        <v xml:space="preserve">  - PROTECTION_ENVIRONMENT:2:3</v>
      </c>
      <c r="N29" s="22"/>
      <c r="O29" s="22"/>
      <c r="P29" s="22"/>
      <c r="Q29" s="22" t="str">
        <f>$A$52</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$A$53</f>
        <v xml:space="preserve">  - PROTECTION_EXPLOSIONS:2:3</v>
      </c>
      <c r="J30" s="22"/>
      <c r="K30" s="22"/>
      <c r="L30" s="22"/>
      <c r="M30" s="22" t="str">
        <f>$A$53</f>
        <v xml:space="preserve">  - PROTECTION_EXPLOSIONS:2:3</v>
      </c>
      <c r="N30" s="22"/>
      <c r="O30" s="22"/>
      <c r="P30" s="22"/>
      <c r="Q30" s="22" t="str">
        <f>$A$53</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$A$54</f>
        <v xml:space="preserve">  - PROTECTION_FALL:2:3</v>
      </c>
      <c r="J31" s="22"/>
      <c r="K31" s="22"/>
      <c r="L31" s="22"/>
      <c r="M31" s="22" t="str">
        <f>$A$54</f>
        <v xml:space="preserve">  - PROTECTION_FALL:2:3</v>
      </c>
      <c r="N31" s="22"/>
      <c r="O31" s="22"/>
      <c r="P31" s="22"/>
      <c r="Q31" s="22" t="str">
        <f>$A$54</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$A$55</f>
        <v xml:space="preserve">  - PROTECTION_FIRE:2:3</v>
      </c>
      <c r="J32" s="22"/>
      <c r="K32" s="22"/>
      <c r="L32" s="22"/>
      <c r="M32" s="22" t="str">
        <f>$A$55</f>
        <v xml:space="preserve">  - PROTECTION_FIRE:2:3</v>
      </c>
      <c r="N32" s="22"/>
      <c r="O32" s="22"/>
      <c r="P32" s="22"/>
      <c r="Q32" s="22" t="str">
        <f>$A$55</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$A$56</f>
        <v xml:space="preserve">  - PROTECTION_PROJECTILE:2:3</v>
      </c>
      <c r="J33" s="22"/>
      <c r="K33" s="22"/>
      <c r="L33" s="22"/>
      <c r="M33" s="22" t="str">
        <f>$A$56</f>
        <v xml:space="preserve">  - PROTECTION_PROJECTILE:2:3</v>
      </c>
      <c r="N33" s="22"/>
      <c r="O33" s="22"/>
      <c r="P33" s="22"/>
      <c r="Q33" s="22" t="str">
        <f>$A$56</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$A$57</f>
        <v xml:space="preserve">  - SILK_TOUCH:2:3</v>
      </c>
      <c r="J34" s="22"/>
      <c r="K34" s="22"/>
      <c r="L34" s="22"/>
      <c r="M34" s="22" t="str">
        <f>$A$57</f>
        <v xml:space="preserve">  - SILK_TOUCH:2:3</v>
      </c>
      <c r="N34" s="22"/>
      <c r="O34" s="22"/>
      <c r="P34" s="22"/>
      <c r="Q34" s="22" t="str">
        <f>$A$57</f>
        <v xml:space="preserve">  - SILK_TOUCH:2:3</v>
      </c>
      <c r="R34" s="22"/>
      <c r="S34" s="22"/>
      <c r="T34" s="22"/>
    </row>
    <row r="35" spans="1:20" x14ac:dyDescent="0.25">
      <c r="A35" s="22" t="str">
        <f>"  - THORNS:"&amp;MAIN!$E$18&amp;":"&amp;MAIN!$E$19</f>
        <v xml:space="preserve">  - THORNS:2:3</v>
      </c>
      <c r="B35" s="22"/>
      <c r="C35" s="22"/>
      <c r="D35" s="22"/>
      <c r="E35" s="22" t="str">
        <f>$A$35</f>
        <v xml:space="preserve">  - THORNS:2:3</v>
      </c>
      <c r="F35" s="22"/>
      <c r="G35" s="22"/>
      <c r="H35" s="22"/>
      <c r="I35" s="22" t="str">
        <f>$A$58</f>
        <v xml:space="preserve">  - THORNS:2:3</v>
      </c>
      <c r="J35" s="22"/>
      <c r="K35" s="22"/>
      <c r="L35" s="22"/>
      <c r="M35" s="22" t="str">
        <f>$A$58</f>
        <v xml:space="preserve">  - THORNS:2:3</v>
      </c>
      <c r="N35" s="22"/>
      <c r="O35" s="22"/>
      <c r="P35" s="22"/>
      <c r="Q35" s="22" t="str">
        <f>$A$58</f>
        <v xml:space="preserve">  - THORNS:2:3</v>
      </c>
      <c r="R35" s="22"/>
      <c r="S35" s="22"/>
      <c r="T35" s="22"/>
    </row>
    <row r="36" spans="1:20" x14ac:dyDescent="0.25">
      <c r="A36" s="22" t="str">
        <f>"  - WATER_WORKER:"&amp;MAIN!$E$18&amp;":"&amp;MAIN!$E$19</f>
        <v xml:space="preserve">  - WATER_WORKER:2:3</v>
      </c>
      <c r="B36" s="22"/>
      <c r="C36" s="22"/>
      <c r="D36" s="22"/>
      <c r="E36" s="22" t="str">
        <f>$A$36</f>
        <v xml:space="preserve">  - WATER_WORKER:2:3</v>
      </c>
      <c r="F36" s="22"/>
      <c r="G36" s="22"/>
      <c r="H36" s="22"/>
      <c r="I36" s="22" t="str">
        <f>$A$59</f>
        <v xml:space="preserve">  - WATER_WORKER:2:3</v>
      </c>
      <c r="J36" s="22"/>
      <c r="K36" s="22"/>
      <c r="L36" s="22"/>
      <c r="M36" s="22" t="str">
        <f>$A$59</f>
        <v xml:space="preserve">  - WATER_WORKER:2:3</v>
      </c>
      <c r="N36" s="22"/>
      <c r="O36" s="22"/>
      <c r="P36" s="22"/>
      <c r="Q36" s="22" t="str">
        <f>$A$59</f>
        <v xml:space="preserve">  - WATER_WORKER:2:3</v>
      </c>
      <c r="R36" s="22"/>
      <c r="S36" s="22"/>
      <c r="T36" s="22"/>
    </row>
    <row r="37" spans="1:20" x14ac:dyDescent="0.25">
      <c r="A37" s="9" t="s">
        <v>101</v>
      </c>
      <c r="B37" s="9"/>
      <c r="C37" s="9"/>
      <c r="D37" s="9"/>
      <c r="E37" s="9" t="s">
        <v>101</v>
      </c>
      <c r="F37" s="9"/>
      <c r="G37" s="9"/>
      <c r="H37" s="9"/>
      <c r="I37" s="9" t="s">
        <v>101</v>
      </c>
      <c r="J37" s="9"/>
      <c r="K37" s="9"/>
      <c r="L37" s="9"/>
      <c r="M37" s="9" t="s">
        <v>101</v>
      </c>
      <c r="N37" s="9"/>
      <c r="O37" s="9"/>
      <c r="P37" s="9"/>
      <c r="Q37" s="9" t="s">
        <v>101</v>
      </c>
      <c r="R37" s="9"/>
      <c r="S37" s="9"/>
      <c r="T37" s="9"/>
    </row>
    <row r="38" spans="1:20" x14ac:dyDescent="0.25">
      <c r="A38" s="22" t="str">
        <f>$A$15</f>
        <v xml:space="preserve">  - ARROW_INFINITE:2:3</v>
      </c>
      <c r="B38" s="22"/>
      <c r="C38" s="22"/>
      <c r="D38" s="22"/>
      <c r="E38" s="22" t="str">
        <f>$A$38</f>
        <v xml:space="preserve">  - ARROW_INFINITE:2:3</v>
      </c>
      <c r="F38" s="22"/>
      <c r="G38" s="22"/>
      <c r="H38" s="22"/>
      <c r="I38" s="22" t="str">
        <f>$A$38</f>
        <v xml:space="preserve">  - ARROW_INFINITE:2:3</v>
      </c>
      <c r="J38" s="22"/>
      <c r="K38" s="22"/>
      <c r="L38" s="22"/>
      <c r="M38" s="22" t="str">
        <f>$A$38</f>
        <v xml:space="preserve">  - ARROW_INFINITE:2:3</v>
      </c>
      <c r="N38" s="22"/>
      <c r="O38" s="22"/>
      <c r="P38" s="22"/>
      <c r="Q38" s="22" t="str">
        <f>$A$38</f>
        <v xml:space="preserve">  - ARROW_INFINITE:2:3</v>
      </c>
      <c r="R38" s="22"/>
      <c r="S38" s="22"/>
      <c r="T38" s="22"/>
    </row>
    <row r="39" spans="1:20" x14ac:dyDescent="0.25">
      <c r="A39" s="22" t="str">
        <f>$A$16</f>
        <v xml:space="preserve">  - ARROW_DAMAGE:2:3</v>
      </c>
      <c r="B39" s="22"/>
      <c r="C39" s="22"/>
      <c r="D39" s="22"/>
      <c r="E39" s="22" t="str">
        <f>$A$39</f>
        <v xml:space="preserve">  - ARROW_DAMAGE:2:3</v>
      </c>
      <c r="F39" s="22"/>
      <c r="G39" s="22"/>
      <c r="H39" s="22"/>
      <c r="I39" s="22" t="str">
        <f>$A$39</f>
        <v xml:space="preserve">  - ARROW_DAMAGE:2:3</v>
      </c>
      <c r="J39" s="22"/>
      <c r="K39" s="22"/>
      <c r="L39" s="22"/>
      <c r="M39" s="22" t="str">
        <f>$A$39</f>
        <v xml:space="preserve">  - ARROW_DAMAGE:2:3</v>
      </c>
      <c r="N39" s="22"/>
      <c r="O39" s="22"/>
      <c r="P39" s="22"/>
      <c r="Q39" s="22" t="str">
        <f>$A$39</f>
        <v xml:space="preserve">  - ARROW_DAMAGE:2:3</v>
      </c>
      <c r="R39" s="22"/>
      <c r="S39" s="22"/>
      <c r="T39" s="22"/>
    </row>
    <row r="40" spans="1:20" x14ac:dyDescent="0.25">
      <c r="A40" s="22" t="str">
        <f>$A$17</f>
        <v xml:space="preserve">  - ARROW_FIRE:2:3</v>
      </c>
      <c r="B40" s="22"/>
      <c r="C40" s="22"/>
      <c r="D40" s="22"/>
      <c r="E40" s="22" t="str">
        <f>$A$40</f>
        <v xml:space="preserve">  - ARROW_FIRE:2:3</v>
      </c>
      <c r="F40" s="22"/>
      <c r="G40" s="22"/>
      <c r="H40" s="22"/>
      <c r="I40" s="22" t="str">
        <f>$A$40</f>
        <v xml:space="preserve">  - ARROW_FIRE:2:3</v>
      </c>
      <c r="J40" s="22"/>
      <c r="K40" s="22"/>
      <c r="L40" s="22"/>
      <c r="M40" s="22" t="str">
        <f>$A$40</f>
        <v xml:space="preserve">  - ARROW_FIRE:2:3</v>
      </c>
      <c r="N40" s="22"/>
      <c r="O40" s="22"/>
      <c r="P40" s="22"/>
      <c r="Q40" s="22" t="str">
        <f>$A$40</f>
        <v xml:space="preserve">  - ARROW_FIRE:2:3</v>
      </c>
      <c r="R40" s="22"/>
      <c r="S40" s="22"/>
      <c r="T40" s="22"/>
    </row>
    <row r="41" spans="1:20" x14ac:dyDescent="0.25">
      <c r="A41" s="22" t="str">
        <f>$A$18</f>
        <v xml:space="preserve">  - ARROW_KNOCKBACK:2:3</v>
      </c>
      <c r="B41" s="22"/>
      <c r="C41" s="22"/>
      <c r="D41" s="22"/>
      <c r="E41" s="22" t="str">
        <f>$A$41</f>
        <v xml:space="preserve">  - ARROW_KNOCKBACK:2:3</v>
      </c>
      <c r="F41" s="22"/>
      <c r="G41" s="22"/>
      <c r="H41" s="22"/>
      <c r="I41" s="22" t="str">
        <f>$A$41</f>
        <v xml:space="preserve">  - ARROW_KNOCKBACK:2:3</v>
      </c>
      <c r="J41" s="22"/>
      <c r="K41" s="22"/>
      <c r="L41" s="22"/>
      <c r="M41" s="22" t="str">
        <f>$A$41</f>
        <v xml:space="preserve">  - ARROW_KNOCKBACK:2:3</v>
      </c>
      <c r="N41" s="22"/>
      <c r="O41" s="22"/>
      <c r="P41" s="22"/>
      <c r="Q41" s="22" t="str">
        <f>$A$41</f>
        <v xml:space="preserve">  - ARROW_KNOCKBACK:2:3</v>
      </c>
      <c r="R41" s="22"/>
      <c r="S41" s="22"/>
      <c r="T41" s="22"/>
    </row>
    <row r="42" spans="1:20" x14ac:dyDescent="0.25">
      <c r="A42" s="22" t="str">
        <f>$A$19</f>
        <v xml:space="preserve">  - DAMAGE_ALL:2:3</v>
      </c>
      <c r="B42" s="22"/>
      <c r="C42" s="22"/>
      <c r="D42" s="22"/>
      <c r="E42" s="22" t="str">
        <f>$A$42</f>
        <v xml:space="preserve">  - DAMAGE_ALL:2:3</v>
      </c>
      <c r="F42" s="22"/>
      <c r="G42" s="22"/>
      <c r="H42" s="22"/>
      <c r="I42" s="22" t="str">
        <f>$A$42</f>
        <v xml:space="preserve">  - DAMAGE_ALL:2:3</v>
      </c>
      <c r="J42" s="22"/>
      <c r="K42" s="22"/>
      <c r="L42" s="22"/>
      <c r="M42" s="22" t="str">
        <f>$A$42</f>
        <v xml:space="preserve">  - DAMAGE_ALL:2:3</v>
      </c>
      <c r="N42" s="22"/>
      <c r="O42" s="22"/>
      <c r="P42" s="22"/>
      <c r="Q42" s="22" t="str">
        <f>$A$42</f>
        <v xml:space="preserve">  - DAMAGE_ALL:2:3</v>
      </c>
      <c r="R42" s="22"/>
      <c r="S42" s="22"/>
      <c r="T42" s="22"/>
    </row>
    <row r="43" spans="1:20" x14ac:dyDescent="0.25">
      <c r="A43" s="22" t="str">
        <f>$A$20</f>
        <v xml:space="preserve">  - DAMAGE_ARTHROPODS:2:3</v>
      </c>
      <c r="B43" s="22"/>
      <c r="C43" s="22"/>
      <c r="D43" s="22"/>
      <c r="E43" s="22" t="str">
        <f>$A$43</f>
        <v xml:space="preserve">  - DAMAGE_ARTHROPODS:2:3</v>
      </c>
      <c r="F43" s="22"/>
      <c r="G43" s="22"/>
      <c r="H43" s="22"/>
      <c r="I43" s="22" t="str">
        <f>$A$43</f>
        <v xml:space="preserve">  - DAMAGE_ARTHROPODS:2:3</v>
      </c>
      <c r="J43" s="22"/>
      <c r="K43" s="22"/>
      <c r="L43" s="22"/>
      <c r="M43" s="22" t="str">
        <f>$A$43</f>
        <v xml:space="preserve">  - DAMAGE_ARTHROPODS:2:3</v>
      </c>
      <c r="N43" s="22"/>
      <c r="O43" s="22"/>
      <c r="P43" s="22"/>
      <c r="Q43" s="22" t="str">
        <f>$A$43</f>
        <v xml:space="preserve">  - DAMAGE_ARTHROPODS:2:3</v>
      </c>
      <c r="R43" s="22"/>
      <c r="S43" s="22"/>
      <c r="T43" s="22"/>
    </row>
    <row r="44" spans="1:20" x14ac:dyDescent="0.25">
      <c r="A44" s="22" t="str">
        <f>$A$21</f>
        <v xml:space="preserve">  - DAMAGE_UNDEAD:2:3</v>
      </c>
      <c r="B44" s="22"/>
      <c r="C44" s="22"/>
      <c r="D44" s="22"/>
      <c r="E44" s="22" t="str">
        <f>$A$44</f>
        <v xml:space="preserve">  - DAMAGE_UNDEAD:2:3</v>
      </c>
      <c r="F44" s="22"/>
      <c r="G44" s="22"/>
      <c r="H44" s="22"/>
      <c r="I44" s="22" t="str">
        <f>$A$44</f>
        <v xml:space="preserve">  - DAMAGE_UNDEAD:2:3</v>
      </c>
      <c r="J44" s="22"/>
      <c r="K44" s="22"/>
      <c r="L44" s="22"/>
      <c r="M44" s="22" t="str">
        <f>$A$44</f>
        <v xml:space="preserve">  - DAMAGE_UNDEAD:2:3</v>
      </c>
      <c r="N44" s="22"/>
      <c r="O44" s="22"/>
      <c r="P44" s="22"/>
      <c r="Q44" s="22" t="str">
        <f>$A$44</f>
        <v xml:space="preserve">  - DAMAGE_UNDEAD:2:3</v>
      </c>
      <c r="R44" s="22"/>
      <c r="S44" s="22"/>
      <c r="T44" s="22"/>
    </row>
    <row r="45" spans="1:20" x14ac:dyDescent="0.25">
      <c r="A45" s="22" t="str">
        <f>$A$22</f>
        <v xml:space="preserve">  - DIG_SPEED:2:3</v>
      </c>
      <c r="B45" s="22"/>
      <c r="C45" s="22"/>
      <c r="D45" s="22"/>
      <c r="E45" s="22" t="str">
        <f>$A$45</f>
        <v xml:space="preserve">  - DIG_SPEED:2:3</v>
      </c>
      <c r="F45" s="22"/>
      <c r="G45" s="22"/>
      <c r="H45" s="22"/>
      <c r="I45" s="22" t="str">
        <f>$A$45</f>
        <v xml:space="preserve">  - DIG_SPEED:2:3</v>
      </c>
      <c r="J45" s="22"/>
      <c r="K45" s="22"/>
      <c r="L45" s="22"/>
      <c r="M45" s="22" t="str">
        <f>$A$45</f>
        <v xml:space="preserve">  - DIG_SPEED:2:3</v>
      </c>
      <c r="N45" s="22"/>
      <c r="O45" s="22"/>
      <c r="P45" s="22"/>
      <c r="Q45" s="22" t="str">
        <f>$A$45</f>
        <v xml:space="preserve">  - DIG_SPEED:2:3</v>
      </c>
      <c r="R45" s="22"/>
      <c r="S45" s="22"/>
      <c r="T45" s="22"/>
    </row>
    <row r="46" spans="1:20" x14ac:dyDescent="0.25">
      <c r="A46" s="22" t="str">
        <f>$A$23</f>
        <v xml:space="preserve">  - DURABILITY:2:3</v>
      </c>
      <c r="B46" s="22"/>
      <c r="C46" s="22"/>
      <c r="D46" s="22"/>
      <c r="E46" s="22" t="str">
        <f>$A$46</f>
        <v xml:space="preserve">  - DURABILITY:2:3</v>
      </c>
      <c r="F46" s="22"/>
      <c r="G46" s="22"/>
      <c r="H46" s="22"/>
      <c r="I46" s="22" t="str">
        <f>$A$46</f>
        <v xml:space="preserve">  - DURABILITY:2:3</v>
      </c>
      <c r="J46" s="22"/>
      <c r="K46" s="22"/>
      <c r="L46" s="22"/>
      <c r="M46" s="22" t="str">
        <f>$A$46</f>
        <v xml:space="preserve">  - DURABILITY:2:3</v>
      </c>
      <c r="N46" s="22"/>
      <c r="O46" s="22"/>
      <c r="P46" s="22"/>
      <c r="Q46" s="22" t="str">
        <f>$A$46</f>
        <v xml:space="preserve">  - DURABILITY:2:3</v>
      </c>
      <c r="R46" s="22"/>
      <c r="S46" s="22"/>
      <c r="T46" s="22"/>
    </row>
    <row r="47" spans="1:20" x14ac:dyDescent="0.25">
      <c r="A47" s="22" t="str">
        <f>$A$24</f>
        <v xml:space="preserve">  - FIRE_ASPECT:2:3</v>
      </c>
      <c r="B47" s="22"/>
      <c r="C47" s="22"/>
      <c r="D47" s="22"/>
      <c r="E47" s="22" t="str">
        <f>$A$47</f>
        <v xml:space="preserve">  - FIRE_ASPECT:2:3</v>
      </c>
      <c r="F47" s="22"/>
      <c r="G47" s="22"/>
      <c r="H47" s="22"/>
      <c r="I47" s="22" t="str">
        <f>$A$47</f>
        <v xml:space="preserve">  - FIRE_ASPECT:2:3</v>
      </c>
      <c r="J47" s="22"/>
      <c r="K47" s="22"/>
      <c r="L47" s="22"/>
      <c r="M47" s="22" t="str">
        <f>$A$47</f>
        <v xml:space="preserve">  - FIRE_ASPECT:2:3</v>
      </c>
      <c r="N47" s="22"/>
      <c r="O47" s="22"/>
      <c r="P47" s="22"/>
      <c r="Q47" s="22" t="str">
        <f>$A$47</f>
        <v xml:space="preserve">  - FIRE_ASPECT:2:3</v>
      </c>
      <c r="R47" s="22"/>
      <c r="S47" s="22"/>
      <c r="T47" s="22"/>
    </row>
    <row r="48" spans="1:20" x14ac:dyDescent="0.25">
      <c r="A48" s="22" t="str">
        <f>$A$25</f>
        <v xml:space="preserve">  - KNOCKBACK:2:3</v>
      </c>
      <c r="B48" s="22"/>
      <c r="C48" s="22"/>
      <c r="D48" s="22"/>
      <c r="E48" s="22" t="str">
        <f>$A$48</f>
        <v xml:space="preserve">  - KNOCKBACK:2:3</v>
      </c>
      <c r="F48" s="22"/>
      <c r="G48" s="22"/>
      <c r="H48" s="22"/>
      <c r="I48" s="22" t="str">
        <f>$A$48</f>
        <v xml:space="preserve">  - KNOCKBACK:2:3</v>
      </c>
      <c r="J48" s="22"/>
      <c r="K48" s="22"/>
      <c r="L48" s="22"/>
      <c r="M48" s="22" t="str">
        <f>$A$48</f>
        <v xml:space="preserve">  - KNOCKBACK:2:3</v>
      </c>
      <c r="N48" s="22"/>
      <c r="O48" s="22"/>
      <c r="P48" s="22"/>
      <c r="Q48" s="22" t="str">
        <f>$A$48</f>
        <v xml:space="preserve">  - KNOCKBACK:2:3</v>
      </c>
      <c r="R48" s="22"/>
      <c r="S48" s="22"/>
      <c r="T48" s="22"/>
    </row>
    <row r="49" spans="1:20" x14ac:dyDescent="0.25">
      <c r="A49" s="22" t="str">
        <f>$A$26</f>
        <v xml:space="preserve">  - LOOT_BONUS_BLOCKS:2:3</v>
      </c>
      <c r="B49" s="22"/>
      <c r="C49" s="22"/>
      <c r="D49" s="22"/>
      <c r="E49" s="22" t="str">
        <f>$A$49</f>
        <v xml:space="preserve">  - LOOT_BONUS_BLOCKS:2:3</v>
      </c>
      <c r="F49" s="22"/>
      <c r="G49" s="22"/>
      <c r="H49" s="22"/>
      <c r="I49" s="22" t="str">
        <f>$A$49</f>
        <v xml:space="preserve">  - LOOT_BONUS_BLOCKS:2:3</v>
      </c>
      <c r="J49" s="22"/>
      <c r="K49" s="22"/>
      <c r="L49" s="22"/>
      <c r="M49" s="22" t="str">
        <f>$A$49</f>
        <v xml:space="preserve">  - LOOT_BONUS_BLOCKS:2:3</v>
      </c>
      <c r="N49" s="22"/>
      <c r="O49" s="22"/>
      <c r="P49" s="22"/>
      <c r="Q49" s="22" t="str">
        <f>$A$49</f>
        <v xml:space="preserve">  - LOOT_BONUS_BLOCKS:2:3</v>
      </c>
      <c r="R49" s="22"/>
      <c r="S49" s="22"/>
      <c r="T49" s="22"/>
    </row>
    <row r="50" spans="1:20" x14ac:dyDescent="0.25">
      <c r="A50" s="22" t="str">
        <f>$A$27</f>
        <v xml:space="preserve">  - LOOT_BONUS_MOBS:2:3</v>
      </c>
      <c r="B50" s="22"/>
      <c r="C50" s="22"/>
      <c r="D50" s="22"/>
      <c r="E50" s="22" t="str">
        <f>$A$50</f>
        <v xml:space="preserve">  - LOOT_BONUS_MOBS:2:3</v>
      </c>
      <c r="F50" s="22"/>
      <c r="G50" s="22"/>
      <c r="H50" s="22"/>
      <c r="I50" s="22" t="str">
        <f>$A$50</f>
        <v xml:space="preserve">  - LOOT_BONUS_MOBS:2:3</v>
      </c>
      <c r="J50" s="22"/>
      <c r="K50" s="22"/>
      <c r="L50" s="22"/>
      <c r="M50" s="22" t="str">
        <f>$A$50</f>
        <v xml:space="preserve">  - LOOT_BONUS_MOBS:2:3</v>
      </c>
      <c r="N50" s="22"/>
      <c r="O50" s="22"/>
      <c r="P50" s="22"/>
      <c r="Q50" s="22" t="str">
        <f>$A$50</f>
        <v xml:space="preserve">  - LOOT_BONUS_MOBS:2:3</v>
      </c>
      <c r="R50" s="22"/>
      <c r="S50" s="22"/>
      <c r="T50" s="22"/>
    </row>
    <row r="51" spans="1:20" x14ac:dyDescent="0.25">
      <c r="A51" s="22" t="str">
        <f>$A$28</f>
        <v xml:space="preserve">  - OXYGEN:2:3</v>
      </c>
      <c r="B51" s="22"/>
      <c r="C51" s="22"/>
      <c r="D51" s="22"/>
      <c r="E51" s="22" t="str">
        <f>$A$51</f>
        <v xml:space="preserve">  - OXYGEN:2:3</v>
      </c>
      <c r="F51" s="22"/>
      <c r="G51" s="22"/>
      <c r="H51" s="22"/>
      <c r="I51" s="22" t="str">
        <f>$A$51</f>
        <v xml:space="preserve">  - OXYGEN:2:3</v>
      </c>
      <c r="J51" s="22"/>
      <c r="K51" s="22"/>
      <c r="L51" s="22"/>
      <c r="M51" s="22" t="str">
        <f>$A$51</f>
        <v xml:space="preserve">  - OXYGEN:2:3</v>
      </c>
      <c r="N51" s="22"/>
      <c r="O51" s="22"/>
      <c r="P51" s="22"/>
      <c r="Q51" s="22" t="str">
        <f>$A$51</f>
        <v xml:space="preserve">  - OXYGEN:2:3</v>
      </c>
      <c r="R51" s="22"/>
      <c r="S51" s="22"/>
      <c r="T51" s="22"/>
    </row>
    <row r="52" spans="1:20" x14ac:dyDescent="0.25">
      <c r="A52" s="22" t="str">
        <f>$A$29</f>
        <v xml:space="preserve">  - PROTECTION_ENVIRONMENT:2:3</v>
      </c>
      <c r="B52" s="22"/>
      <c r="C52" s="22"/>
      <c r="D52" s="22"/>
      <c r="E52" s="22" t="str">
        <f>$A$52</f>
        <v xml:space="preserve">  - PROTECTION_ENVIRONMENT:2:3</v>
      </c>
      <c r="F52" s="22"/>
      <c r="G52" s="22"/>
      <c r="H52" s="22"/>
      <c r="I52" s="22" t="str">
        <f>$A$52</f>
        <v xml:space="preserve">  - PROTECTION_ENVIRONMENT:2:3</v>
      </c>
      <c r="J52" s="22"/>
      <c r="K52" s="22"/>
      <c r="L52" s="22"/>
      <c r="M52" s="22" t="str">
        <f>$A$52</f>
        <v xml:space="preserve">  - PROTECTION_ENVIRONMENT:2:3</v>
      </c>
      <c r="N52" s="22"/>
      <c r="O52" s="22"/>
      <c r="P52" s="22"/>
      <c r="Q52" s="22" t="str">
        <f>$A$52</f>
        <v xml:space="preserve">  - PROTECTION_ENVIRONMENT:2:3</v>
      </c>
      <c r="R52" s="22"/>
      <c r="S52" s="22"/>
      <c r="T52" s="22"/>
    </row>
    <row r="53" spans="1:20" x14ac:dyDescent="0.25">
      <c r="A53" s="22" t="str">
        <f>$A$30</f>
        <v xml:space="preserve">  - PROTECTION_EXPLOSIONS:2:3</v>
      </c>
      <c r="B53" s="22"/>
      <c r="C53" s="22"/>
      <c r="D53" s="22"/>
      <c r="E53" s="22" t="str">
        <f>$A$53</f>
        <v xml:space="preserve">  - PROTECTION_EXPLOSIONS:2:3</v>
      </c>
      <c r="F53" s="22"/>
      <c r="G53" s="22"/>
      <c r="H53" s="22"/>
      <c r="I53" s="22" t="str">
        <f>$A$53</f>
        <v xml:space="preserve">  - PROTECTION_EXPLOSIONS:2:3</v>
      </c>
      <c r="J53" s="22"/>
      <c r="K53" s="22"/>
      <c r="L53" s="22"/>
      <c r="M53" s="22" t="str">
        <f>$A$53</f>
        <v xml:space="preserve">  - PROTECTION_EXPLOSIONS:2:3</v>
      </c>
      <c r="N53" s="22"/>
      <c r="O53" s="22"/>
      <c r="P53" s="22"/>
      <c r="Q53" s="22" t="str">
        <f>$A$53</f>
        <v xml:space="preserve">  - PROTECTION_EXPLOSIONS:2:3</v>
      </c>
      <c r="R53" s="22"/>
      <c r="S53" s="22"/>
      <c r="T53" s="22"/>
    </row>
    <row r="54" spans="1:20" x14ac:dyDescent="0.25">
      <c r="A54" s="22" t="str">
        <f>$A$31</f>
        <v xml:space="preserve">  - PROTECTION_FALL:2:3</v>
      </c>
      <c r="B54" s="22"/>
      <c r="C54" s="22"/>
      <c r="D54" s="22"/>
      <c r="E54" s="22" t="str">
        <f>$A$54</f>
        <v xml:space="preserve">  - PROTECTION_FALL:2:3</v>
      </c>
      <c r="F54" s="22"/>
      <c r="G54" s="22"/>
      <c r="H54" s="22"/>
      <c r="I54" s="22" t="str">
        <f>$A$54</f>
        <v xml:space="preserve">  - PROTECTION_FALL:2:3</v>
      </c>
      <c r="J54" s="22"/>
      <c r="K54" s="22"/>
      <c r="L54" s="22"/>
      <c r="M54" s="22" t="str">
        <f>$A$54</f>
        <v xml:space="preserve">  - PROTECTION_FALL:2:3</v>
      </c>
      <c r="N54" s="22"/>
      <c r="O54" s="22"/>
      <c r="P54" s="22"/>
      <c r="Q54" s="22" t="str">
        <f>$A$54</f>
        <v xml:space="preserve">  - PROTECTION_FALL:2:3</v>
      </c>
      <c r="R54" s="22"/>
      <c r="S54" s="22"/>
      <c r="T54" s="22"/>
    </row>
    <row r="55" spans="1:20" x14ac:dyDescent="0.25">
      <c r="A55" s="22" t="str">
        <f>$A$32</f>
        <v xml:space="preserve">  - PROTECTION_FIRE:2:3</v>
      </c>
      <c r="B55" s="22"/>
      <c r="C55" s="22"/>
      <c r="D55" s="22"/>
      <c r="E55" s="22" t="str">
        <f>$A$55</f>
        <v xml:space="preserve">  - PROTECTION_FIRE:2:3</v>
      </c>
      <c r="F55" s="22"/>
      <c r="G55" s="22"/>
      <c r="H55" s="22"/>
      <c r="I55" s="22" t="str">
        <f>$A$55</f>
        <v xml:space="preserve">  - PROTECTION_FIRE:2:3</v>
      </c>
      <c r="J55" s="22"/>
      <c r="K55" s="22"/>
      <c r="L55" s="22"/>
      <c r="M55" s="22" t="str">
        <f>$A$55</f>
        <v xml:space="preserve">  - PROTECTION_FIRE:2:3</v>
      </c>
      <c r="N55" s="22"/>
      <c r="O55" s="22"/>
      <c r="P55" s="22"/>
      <c r="Q55" s="22" t="str">
        <f>$A$55</f>
        <v xml:space="preserve">  - PROTECTION_FIRE:2:3</v>
      </c>
      <c r="R55" s="22"/>
      <c r="S55" s="22"/>
      <c r="T55" s="22"/>
    </row>
    <row r="56" spans="1:20" x14ac:dyDescent="0.25">
      <c r="A56" s="22" t="str">
        <f>$A$33</f>
        <v xml:space="preserve">  - PROTECTION_PROJECTILE:2:3</v>
      </c>
      <c r="B56" s="22"/>
      <c r="C56" s="22"/>
      <c r="D56" s="22"/>
      <c r="E56" s="22" t="str">
        <f>$A$56</f>
        <v xml:space="preserve">  - PROTECTION_PROJECTILE:2:3</v>
      </c>
      <c r="F56" s="22"/>
      <c r="G56" s="22"/>
      <c r="H56" s="22"/>
      <c r="I56" s="22" t="str">
        <f>$A$56</f>
        <v xml:space="preserve">  - PROTECTION_PROJECTILE:2:3</v>
      </c>
      <c r="J56" s="22"/>
      <c r="K56" s="22"/>
      <c r="L56" s="22"/>
      <c r="M56" s="22" t="str">
        <f>$A$56</f>
        <v xml:space="preserve">  - PROTECTION_PROJECTILE:2:3</v>
      </c>
      <c r="N56" s="22"/>
      <c r="O56" s="22"/>
      <c r="P56" s="22"/>
      <c r="Q56" s="22" t="str">
        <f>$A$56</f>
        <v xml:space="preserve">  - PROTECTION_PROJECTILE:2:3</v>
      </c>
      <c r="R56" s="22"/>
      <c r="S56" s="22"/>
      <c r="T56" s="22"/>
    </row>
    <row r="57" spans="1:20" x14ac:dyDescent="0.25">
      <c r="A57" s="22" t="str">
        <f>$A$34</f>
        <v xml:space="preserve">  - SILK_TOUCH:2:3</v>
      </c>
      <c r="B57" s="22"/>
      <c r="C57" s="22"/>
      <c r="D57" s="22"/>
      <c r="E57" s="22" t="str">
        <f>$A$57</f>
        <v xml:space="preserve">  - SILK_TOUCH:2:3</v>
      </c>
      <c r="F57" s="22"/>
      <c r="G57" s="22"/>
      <c r="H57" s="22"/>
      <c r="I57" s="22" t="str">
        <f>$A$57</f>
        <v xml:space="preserve">  - SILK_TOUCH:2:3</v>
      </c>
      <c r="J57" s="22"/>
      <c r="K57" s="22"/>
      <c r="L57" s="22"/>
      <c r="M57" s="22" t="str">
        <f>$A$57</f>
        <v xml:space="preserve">  - SILK_TOUCH:2:3</v>
      </c>
      <c r="N57" s="22"/>
      <c r="O57" s="22"/>
      <c r="P57" s="22"/>
      <c r="Q57" s="22" t="str">
        <f>$A$57</f>
        <v xml:space="preserve">  - SILK_TOUCH:2:3</v>
      </c>
      <c r="R57" s="22"/>
      <c r="S57" s="22"/>
      <c r="T57" s="22"/>
    </row>
    <row r="58" spans="1:20" x14ac:dyDescent="0.25">
      <c r="A58" s="22" t="str">
        <f>$A$35</f>
        <v xml:space="preserve">  - THORNS:2:3</v>
      </c>
      <c r="B58" s="22"/>
      <c r="C58" s="22"/>
      <c r="D58" s="22"/>
      <c r="E58" s="22" t="str">
        <f>$A$58</f>
        <v xml:space="preserve">  - THORNS:2:3</v>
      </c>
      <c r="F58" s="22"/>
      <c r="G58" s="22"/>
      <c r="H58" s="22"/>
      <c r="I58" s="22" t="str">
        <f>$A$58</f>
        <v xml:space="preserve">  - THORNS:2:3</v>
      </c>
      <c r="J58" s="22"/>
      <c r="K58" s="22"/>
      <c r="L58" s="22"/>
      <c r="M58" s="22" t="str">
        <f>$A$58</f>
        <v xml:space="preserve">  - THORNS:2:3</v>
      </c>
      <c r="N58" s="22"/>
      <c r="O58" s="22"/>
      <c r="P58" s="22"/>
      <c r="Q58" s="22" t="str">
        <f>$A$58</f>
        <v xml:space="preserve">  - THORNS:2:3</v>
      </c>
      <c r="R58" s="22"/>
      <c r="S58" s="22"/>
      <c r="T58" s="22"/>
    </row>
    <row r="59" spans="1:20" x14ac:dyDescent="0.25">
      <c r="A59" s="22" t="str">
        <f>$A$36</f>
        <v xml:space="preserve">  - WATER_WORKER:2:3</v>
      </c>
      <c r="B59" s="22"/>
      <c r="C59" s="22"/>
      <c r="D59" s="22"/>
      <c r="E59" s="22" t="str">
        <f>$A$59</f>
        <v xml:space="preserve">  - WATER_WORKER:2:3</v>
      </c>
      <c r="F59" s="22"/>
      <c r="G59" s="22"/>
      <c r="H59" s="22"/>
      <c r="I59" s="22" t="str">
        <f>$A$59</f>
        <v xml:space="preserve">  - WATER_WORKER:2:3</v>
      </c>
      <c r="J59" s="22"/>
      <c r="K59" s="22"/>
      <c r="L59" s="22"/>
      <c r="M59" s="22" t="str">
        <f>$A$59</f>
        <v xml:space="preserve">  - WATER_WORKER:2:3</v>
      </c>
      <c r="N59" s="22"/>
      <c r="O59" s="22"/>
      <c r="P59" s="22"/>
      <c r="Q59" s="22" t="str">
        <f>$A$59</f>
        <v xml:space="preserve">  - WATER_WORKER:2:3</v>
      </c>
      <c r="R59" s="22"/>
      <c r="S59" s="22"/>
      <c r="T59" s="22"/>
    </row>
    <row r="60" spans="1:20" x14ac:dyDescent="0.25">
      <c r="A60" s="9" t="s">
        <v>28</v>
      </c>
      <c r="B60" s="9"/>
      <c r="C60" s="9"/>
      <c r="D60" s="9"/>
      <c r="E60" s="9" t="s">
        <v>28</v>
      </c>
      <c r="F60" s="9"/>
      <c r="G60" s="9"/>
      <c r="H60" s="9"/>
      <c r="I60" s="9" t="s">
        <v>28</v>
      </c>
      <c r="J60" s="9"/>
      <c r="K60" s="9"/>
      <c r="L60" s="9"/>
      <c r="M60" s="9" t="s">
        <v>28</v>
      </c>
      <c r="N60" s="9"/>
      <c r="O60" s="9"/>
      <c r="P60" s="9"/>
      <c r="Q60" s="9" t="s">
        <v>28</v>
      </c>
      <c r="R60" s="9"/>
      <c r="S60" s="9"/>
      <c r="T60" s="9"/>
    </row>
    <row r="61" spans="1:20" x14ac:dyDescent="0.25">
      <c r="A61" s="11" t="str">
        <f>"  minimumBonusLore: "&amp;MAIN!$E$23</f>
        <v xml:space="preserve">  minimumBonusLore: 1</v>
      </c>
      <c r="B61" s="11"/>
      <c r="C61" s="11"/>
      <c r="D61" s="11"/>
      <c r="E61" s="11" t="str">
        <f>$A$61</f>
        <v xml:space="preserve">  minimumBonusLore: 1</v>
      </c>
      <c r="F61" s="11"/>
      <c r="G61" s="11"/>
      <c r="H61" s="11"/>
      <c r="I61" s="11" t="str">
        <f t="shared" ref="I61" si="12">$A$61</f>
        <v xml:space="preserve">  minimumBonusLore: 1</v>
      </c>
      <c r="J61" s="11"/>
      <c r="K61" s="11"/>
      <c r="L61" s="11"/>
      <c r="M61" s="11" t="str">
        <f t="shared" ref="M61" si="13">$A$61</f>
        <v xml:space="preserve">  minimumBonusLore: 1</v>
      </c>
      <c r="N61" s="11"/>
      <c r="O61" s="11"/>
      <c r="P61" s="11"/>
      <c r="Q61" s="11" t="str">
        <f t="shared" ref="Q61" si="14">$A$61</f>
        <v xml:space="preserve">  minimumBonusLore: 1</v>
      </c>
      <c r="R61" s="11"/>
      <c r="S61" s="11"/>
      <c r="T61" s="11"/>
    </row>
    <row r="62" spans="1:20" x14ac:dyDescent="0.25">
      <c r="A62" s="11" t="str">
        <f>"  maximumBonusLore: "&amp;MAIN!$E$24</f>
        <v xml:space="preserve">  maximumBonusLore: 2</v>
      </c>
      <c r="B62" s="11"/>
      <c r="C62" s="11"/>
      <c r="D62" s="11"/>
      <c r="E62" s="11" t="str">
        <f>$A$62</f>
        <v xml:space="preserve">  maximumBonusLore: 2</v>
      </c>
      <c r="F62" s="11"/>
      <c r="G62" s="11"/>
      <c r="H62" s="11"/>
      <c r="I62" s="11" t="str">
        <f t="shared" ref="I62" si="15">$A$62</f>
        <v xml:space="preserve">  maximumBonusLore: 2</v>
      </c>
      <c r="J62" s="11"/>
      <c r="K62" s="11"/>
      <c r="L62" s="11"/>
      <c r="M62" s="11" t="str">
        <f t="shared" ref="M62" si="16">$A$62</f>
        <v xml:space="preserve">  maximumBonusLore: 2</v>
      </c>
      <c r="N62" s="11"/>
      <c r="O62" s="11"/>
      <c r="P62" s="11"/>
      <c r="Q62" s="11" t="str">
        <f t="shared" ref="Q62" si="17">$A$62</f>
        <v xml:space="preserve">  maximumBonusLore: 2</v>
      </c>
      <c r="R62" s="11"/>
      <c r="S62" s="11"/>
      <c r="T62" s="11"/>
    </row>
    <row r="63" spans="1:20" x14ac:dyDescent="0.25">
      <c r="A63" s="9" t="s">
        <v>29</v>
      </c>
      <c r="B63" s="9"/>
      <c r="C63" s="9"/>
      <c r="D63" s="9"/>
      <c r="E63" s="9" t="s">
        <v>29</v>
      </c>
      <c r="F63" s="9"/>
      <c r="G63" s="9"/>
      <c r="H63" s="9"/>
      <c r="I63" s="9" t="s">
        <v>29</v>
      </c>
      <c r="J63" s="9"/>
      <c r="K63" s="9"/>
      <c r="L63" s="9"/>
      <c r="M63" s="9" t="s">
        <v>29</v>
      </c>
      <c r="N63" s="9"/>
      <c r="O63" s="9"/>
      <c r="P63" s="9"/>
      <c r="Q63" s="9" t="s">
        <v>29</v>
      </c>
      <c r="R63" s="9"/>
      <c r="S63" s="9"/>
      <c r="T63" s="9"/>
    </row>
    <row r="64" spans="1:20" x14ac:dyDescent="0.25">
      <c r="A64" s="20" t="str">
        <f>"  - '&amp;aVenta: &amp;6"&amp;(MAIN!$D$2+(MAIN!$E$18+MAIN!$E$19)/2*MAIN!$B$9+(MAIN!$E$20+MAIN!$E$21)/2*MAIN!$B$8+(MAIN!$E$47*MAIN!$B$11)+($C$2*MAIN!$B$10))/10&amp;" &amp;aAlmakos'"</f>
        <v xml:space="preserve">  - '&amp;aVenta: &amp;6405 &amp;aAlmakos'</v>
      </c>
      <c r="B64" s="20"/>
      <c r="C64" s="20"/>
      <c r="D64" s="20"/>
      <c r="E64" s="20" t="str">
        <f>"  - '&amp;aVenta: &amp;6"&amp;(MAIN!$D$3+(MAIN!$E$18+MAIN!$E$19)/2*MAIN!$B$9+(MAIN!$E$20+MAIN!$E$21)/2*MAIN!$B$8+(MAIN!$E$47*MAIN!$B$11)+($C$2*MAIN!$B$10))/10&amp;" &amp;aAlmakos'"</f>
        <v xml:space="preserve">  - '&amp;aVenta: &amp;6445 &amp;aAlmakos'</v>
      </c>
      <c r="F64" s="20"/>
      <c r="G64" s="20"/>
      <c r="H64" s="20"/>
      <c r="I64" s="20" t="str">
        <f>"  - '&amp;aVenta: &amp;6"&amp;(MAIN!$D$4+(MAIN!$E$18+MAIN!$E$19)/2*MAIN!$B$9+(MAIN!$E$20+MAIN!$E$21)/2*MAIN!$B$8+(MAIN!$E$47*MAIN!$B$11)+($C$2*MAIN!$B$10))/10&amp;" &amp;aAlmakos'"</f>
        <v xml:space="preserve">  - '&amp;aVenta: &amp;6525 &amp;aAlmakos'</v>
      </c>
      <c r="J64" s="20"/>
      <c r="K64" s="20"/>
      <c r="L64" s="20"/>
      <c r="M64" s="20" t="str">
        <f>"  - '&amp;aVenta: &amp;6"&amp;(MAIN!$D$5+(MAIN!$E$18+MAIN!$E$19)/2*MAIN!$B$9+(MAIN!$E$20+MAIN!$E$21)/2*MAIN!$B$8+(MAIN!$E$47*MAIN!$B$11)+($C$2*MAIN!$B$10))/10&amp;" &amp;aAlmakos'"</f>
        <v xml:space="preserve">  - '&amp;aVenta: &amp;6685 &amp;aAlmakos'</v>
      </c>
      <c r="N64" s="20"/>
      <c r="O64" s="20"/>
      <c r="P64" s="20"/>
      <c r="Q64" s="20" t="str">
        <f>"  - '&amp;aVenta: &amp;6"&amp;(MAIN!$D$6+(MAIN!$E$18+MAIN!$E$19)/2*MAIN!$B$9+(MAIN!$E$20+MAIN!$E$21)/2*MAIN!$B$8+(MAIN!$E$47*MAIN!$B$11)+($C$2*MAIN!$B$10))/10&amp;" &amp;aAlmakos'"</f>
        <v xml:space="preserve">  - '&amp;aVenta: &amp;61005 &amp;aAlmakos'</v>
      </c>
      <c r="R64" s="20"/>
      <c r="S64" s="20"/>
      <c r="T64" s="20"/>
    </row>
    <row r="65" spans="1:20" x14ac:dyDescent="0.25">
      <c r="A65" s="9" t="s">
        <v>30</v>
      </c>
      <c r="B65" s="9"/>
      <c r="C65" s="9"/>
      <c r="D65" s="9"/>
      <c r="E65" s="9" t="s">
        <v>30</v>
      </c>
      <c r="F65" s="9"/>
      <c r="G65" s="9"/>
      <c r="H65" s="9"/>
      <c r="I65" s="9" t="s">
        <v>30</v>
      </c>
      <c r="J65" s="9"/>
      <c r="K65" s="9"/>
      <c r="L65" s="9"/>
      <c r="M65" s="9" t="s">
        <v>30</v>
      </c>
      <c r="N65" s="9"/>
      <c r="O65" s="9"/>
      <c r="P65" s="9"/>
      <c r="Q65" s="9" t="s">
        <v>30</v>
      </c>
      <c r="R65" s="9"/>
      <c r="S65" s="9"/>
      <c r="T65" s="9"/>
    </row>
    <row r="66" spans="1:20" x14ac:dyDescent="0.25">
      <c r="A66" s="9" t="s">
        <v>31</v>
      </c>
      <c r="B66" s="9"/>
      <c r="C66" s="9"/>
      <c r="D66" s="9"/>
      <c r="E66" s="9" t="s">
        <v>31</v>
      </c>
      <c r="F66" s="9"/>
      <c r="G66" s="9"/>
      <c r="H66" s="9"/>
      <c r="I66" s="9" t="s">
        <v>31</v>
      </c>
      <c r="J66" s="9"/>
      <c r="K66" s="9"/>
      <c r="L66" s="9"/>
      <c r="M66" s="9" t="s">
        <v>31</v>
      </c>
      <c r="N66" s="9"/>
      <c r="O66" s="9"/>
      <c r="P66" s="9"/>
      <c r="Q66" s="9" t="s">
        <v>31</v>
      </c>
      <c r="R66" s="9"/>
      <c r="S66" s="9"/>
      <c r="T66" s="9"/>
    </row>
    <row r="67" spans="1:20" s="262" customFormat="1" x14ac:dyDescent="0.25">
      <c r="A67" s="9" t="s">
        <v>1032</v>
      </c>
      <c r="B67" s="9"/>
      <c r="C67" s="9"/>
      <c r="D67" s="9"/>
      <c r="E67" s="9" t="s">
        <v>1032</v>
      </c>
      <c r="F67" s="9"/>
      <c r="G67" s="9"/>
      <c r="H67" s="9"/>
      <c r="I67" s="9" t="s">
        <v>1032</v>
      </c>
      <c r="J67" s="9"/>
      <c r="K67" s="9"/>
      <c r="L67" s="9"/>
      <c r="M67" s="9" t="s">
        <v>1032</v>
      </c>
      <c r="N67" s="9"/>
      <c r="O67" s="9"/>
      <c r="P67" s="9"/>
      <c r="Q67" s="9" t="s">
        <v>1032</v>
      </c>
      <c r="R67" s="9"/>
      <c r="S67" s="9"/>
      <c r="T67" s="9"/>
    </row>
    <row r="68" spans="1:20" x14ac:dyDescent="0.25">
      <c r="A68" s="10" t="str">
        <f>"  - '&amp;7• &amp;8Nivel: &amp;a"&amp;MAIN!$C$49+($C$2*MAIN!$I$27)&amp;"'"</f>
        <v xml:space="preserve">  - '&amp;7• &amp;8Nivel: &amp;a28'</v>
      </c>
      <c r="B68" s="10"/>
      <c r="C68" s="10"/>
      <c r="D68" s="10"/>
      <c r="E68" s="10" t="str">
        <f>"  - '&amp;7• &amp;8Nivel: &amp;a"&amp;MAIN!$D$49+($C$2*MAIN!$I$27)&amp;"'"</f>
        <v xml:space="preserve">  - '&amp;7• &amp;8Nivel: &amp;a35'</v>
      </c>
      <c r="F68" s="10"/>
      <c r="G68" s="10"/>
      <c r="H68" s="10"/>
      <c r="I68" s="10" t="str">
        <f>"  - '&amp;7• &amp;8Nivel: &amp;a"&amp;MAIN!$E$49+($C$2*MAIN!$I$27)&amp;"'"</f>
        <v xml:space="preserve">  - '&amp;7• &amp;8Nivel: &amp;a57'</v>
      </c>
      <c r="J68" s="10"/>
      <c r="K68" s="10"/>
      <c r="L68" s="10"/>
      <c r="M68" s="10" t="str">
        <f>"  - '&amp;7• &amp;8Nivel: &amp;a"&amp;MAIN!$F$49+($C$2*MAIN!$I$27)&amp;"'"</f>
        <v xml:space="preserve">  - '&amp;7• &amp;8Nivel: &amp;a121'</v>
      </c>
      <c r="N68" s="10"/>
      <c r="O68" s="10"/>
      <c r="P68" s="10"/>
      <c r="Q68" s="10" t="str">
        <f>"  - '&amp;7• &amp;8Nivel: &amp;a"&amp;MAIN!$G$49+($C$2*MAIN!$I$27)&amp;"'"</f>
        <v xml:space="preserve">  - '&amp;7• &amp;8Nivel: &amp;a217'</v>
      </c>
      <c r="R68" s="10"/>
      <c r="S68" s="10"/>
      <c r="T68" s="10"/>
    </row>
    <row r="69" spans="1:20" x14ac:dyDescent="0.25">
      <c r="A69" s="12" t="str">
        <f>"  - '&amp;7• &amp;8"&amp;MAIN!$C$12&amp;" lvl: &amp;a"&amp;ROUNDUP((MAIN!$C$49+($C$2*MAIN!$I$27))/3,0)&amp;"'"</f>
        <v xml:space="preserve">  - '&amp;7• &amp;8Esencia lvl: &amp;a10'</v>
      </c>
      <c r="B69" s="12"/>
      <c r="C69" s="12"/>
      <c r="D69" s="12"/>
      <c r="E69" s="12" t="str">
        <f>"  - '&amp;7• &amp;8"&amp;MAIN!$C$12&amp;" lvl: &amp;a"&amp;ROUNDUP((MAIN!$D$49+($C$2*MAIN!$I$27))/3,0)&amp;"'"</f>
        <v xml:space="preserve">  - '&amp;7• &amp;8Esencia lvl: &amp;a12'</v>
      </c>
      <c r="F69" s="12"/>
      <c r="G69" s="12"/>
      <c r="H69" s="12"/>
      <c r="I69" s="12" t="str">
        <f>"  - '&amp;7• &amp;8"&amp;MAIN!$C$12&amp;" lvl: &amp;a"&amp;ROUNDUP((MAIN!$E$49+($C$2*MAIN!$I$27))/3,0)&amp;"'"</f>
        <v xml:space="preserve">  - '&amp;7• &amp;8Esencia lvl: &amp;a19'</v>
      </c>
      <c r="J69" s="12"/>
      <c r="K69" s="12"/>
      <c r="L69" s="12"/>
      <c r="M69" s="12" t="str">
        <f>"  - '&amp;7• &amp;8"&amp;MAIN!$C$12&amp;" lvl: &amp;a"&amp;ROUNDUP((MAIN!$F$49+($C$2*MAIN!$I$27))/3,0)&amp;"'"</f>
        <v xml:space="preserve">  - '&amp;7• &amp;8Esencia lvl: &amp;a41'</v>
      </c>
      <c r="N69" s="12"/>
      <c r="O69" s="12"/>
      <c r="P69" s="12"/>
      <c r="Q69" s="12" t="str">
        <f>"  - '&amp;7• &amp;8"&amp;MAIN!$C$12&amp;" lvl: &amp;a"&amp;ROUNDUP((MAIN!$G$49+($C$2*MAIN!$I$27))/3,0)&amp;"'"</f>
        <v xml:space="preserve">  - '&amp;7• &amp;8Esencia lvl: &amp;a73'</v>
      </c>
      <c r="R69" s="12"/>
      <c r="S69" s="12"/>
      <c r="T69" s="12"/>
    </row>
    <row r="70" spans="1:20" x14ac:dyDescent="0.25">
      <c r="A70" s="9" t="s">
        <v>32</v>
      </c>
      <c r="B70" s="9"/>
      <c r="C70" s="9"/>
      <c r="D70" s="9"/>
      <c r="E70" s="9" t="s">
        <v>32</v>
      </c>
      <c r="F70" s="9"/>
      <c r="G70" s="9"/>
      <c r="H70" s="9"/>
      <c r="I70" s="9" t="s">
        <v>32</v>
      </c>
      <c r="J70" s="9"/>
      <c r="K70" s="9"/>
      <c r="L70" s="9"/>
      <c r="M70" s="9" t="s">
        <v>32</v>
      </c>
      <c r="N70" s="9"/>
      <c r="O70" s="9"/>
      <c r="P70" s="9"/>
      <c r="Q70" s="9" t="s">
        <v>32</v>
      </c>
      <c r="R70" s="9"/>
      <c r="S70" s="9"/>
      <c r="T70" s="9"/>
    </row>
    <row r="71" spans="1:20" s="291" customFormat="1" x14ac:dyDescent="0.25">
      <c r="A71" s="9" t="s">
        <v>1196</v>
      </c>
      <c r="B71" s="9"/>
      <c r="C71" s="9"/>
      <c r="D71" s="9"/>
      <c r="E71" s="9" t="str">
        <f>A71</f>
        <v xml:space="preserve">  - '%tierlore%'</v>
      </c>
      <c r="F71" s="9"/>
      <c r="G71" s="9"/>
      <c r="H71" s="9"/>
      <c r="I71" s="9" t="str">
        <f>E71</f>
        <v xml:space="preserve">  - '%tierlore%'</v>
      </c>
      <c r="J71" s="9"/>
      <c r="K71" s="9"/>
      <c r="L71" s="9"/>
      <c r="M71" s="9" t="str">
        <f>I71</f>
        <v xml:space="preserve">  - '%tierlore%'</v>
      </c>
      <c r="N71" s="9"/>
      <c r="O71" s="9"/>
      <c r="P71" s="9"/>
      <c r="Q71" s="9" t="str">
        <f>M71</f>
        <v xml:space="preserve">  - '%tierlore%'</v>
      </c>
      <c r="R71" s="9"/>
      <c r="S71" s="9"/>
      <c r="T71" s="9"/>
    </row>
    <row r="72" spans="1:20" x14ac:dyDescent="0.25">
      <c r="A72" s="9" t="s">
        <v>33</v>
      </c>
      <c r="B72" s="9"/>
      <c r="C72" s="9"/>
      <c r="D72" s="9"/>
      <c r="E72" s="9" t="s">
        <v>33</v>
      </c>
      <c r="F72" s="9"/>
      <c r="G72" s="9"/>
      <c r="H72" s="9"/>
      <c r="I72" s="9" t="s">
        <v>33</v>
      </c>
      <c r="J72" s="9"/>
      <c r="K72" s="9"/>
      <c r="L72" s="9"/>
      <c r="M72" s="9" t="s">
        <v>33</v>
      </c>
      <c r="N72" s="9"/>
      <c r="O72" s="9"/>
      <c r="P72" s="9"/>
      <c r="Q72" s="9" t="s">
        <v>33</v>
      </c>
      <c r="R72" s="9"/>
      <c r="S72" s="9"/>
      <c r="T72" s="9"/>
    </row>
    <row r="73" spans="1:20" x14ac:dyDescent="0.25">
      <c r="A73" s="10" t="str">
        <f>"  - '&amp;4• &amp;f"&amp;MAIN!$C$9&amp;": &amp;a"&amp;MAIN!$C$44*$C$2&amp;"'"</f>
        <v xml:space="preserve">  - '&amp;4• &amp;fFuerza: &amp;a10'</v>
      </c>
      <c r="B73" s="10"/>
      <c r="C73" s="10"/>
      <c r="D73" s="10"/>
      <c r="E73" s="10" t="str">
        <f>"  - '&amp;4• &amp;f"&amp;MAIN!$C$9&amp;": &amp;a"&amp;MAIN!$D$44*$C$2&amp;"'"</f>
        <v xml:space="preserve">  - '&amp;4• &amp;fFuerza: &amp;a30'</v>
      </c>
      <c r="F73" s="10"/>
      <c r="G73" s="10"/>
      <c r="H73" s="10"/>
      <c r="I73" s="10" t="str">
        <f>"  - '&amp;4• &amp;f"&amp;MAIN!$C$9&amp;": &amp;a"&amp;MAIN!$E$44*$C$2&amp;"'"</f>
        <v xml:space="preserve">  - '&amp;4• &amp;fFuerza: &amp;a90'</v>
      </c>
      <c r="J73" s="10"/>
      <c r="K73" s="10"/>
      <c r="L73" s="10"/>
      <c r="M73" s="10" t="str">
        <f>"  - '&amp;4• &amp;f"&amp;MAIN!$C$9&amp;": &amp;a"&amp;MAIN!$F$44*$C$2&amp;"'"</f>
        <v xml:space="preserve">  - '&amp;4• &amp;fFuerza: &amp;a270'</v>
      </c>
      <c r="N73" s="10"/>
      <c r="O73" s="10"/>
      <c r="P73" s="10"/>
      <c r="Q73" s="10" t="str">
        <f>"  - '&amp;4• &amp;f"&amp;MAIN!$C$9&amp;": &amp;a"&amp;MAIN!$G$44*$C$2&amp;"'"</f>
        <v xml:space="preserve">  - '&amp;4• &amp;fFuerza: &amp;a810'</v>
      </c>
      <c r="R73" s="10"/>
      <c r="S73" s="10"/>
      <c r="T73" s="10"/>
    </row>
    <row r="74" spans="1:20" x14ac:dyDescent="0.25">
      <c r="A74" s="10" t="str">
        <f>"  - '&amp;4• &amp;f"&amp;MAIN!$C$8&amp;": &amp;a"&amp;MAIN!$C$43*$C$2&amp;"'"</f>
        <v xml:space="preserve">  - '&amp;4• &amp;fVitalidad: &amp;a10'</v>
      </c>
      <c r="B74" s="10"/>
      <c r="C74" s="10"/>
      <c r="D74" s="10"/>
      <c r="E74" s="10" t="str">
        <f>"  - '&amp;4• &amp;f"&amp;MAIN!$C$8&amp;": &amp;a"&amp;MAIN!$D$43*$C$2&amp;"'"</f>
        <v xml:space="preserve">  - '&amp;4• &amp;fVitalidad: &amp;a30'</v>
      </c>
      <c r="F74" s="10"/>
      <c r="G74" s="10"/>
      <c r="H74" s="10"/>
      <c r="I74" s="10" t="str">
        <f>"  - '&amp;4• &amp;f"&amp;MAIN!$C$8&amp;": &amp;a"&amp;MAIN!$E$43*$C$2&amp;"'"</f>
        <v xml:space="preserve">  - '&amp;4• &amp;fVitalidad: &amp;a90'</v>
      </c>
      <c r="J74" s="10"/>
      <c r="K74" s="10"/>
      <c r="L74" s="10"/>
      <c r="M74" s="10" t="str">
        <f>"  - '&amp;4• &amp;f"&amp;MAIN!$C$8&amp;": &amp;a"&amp;MAIN!$F$43*$C$2&amp;"'"</f>
        <v xml:space="preserve">  - '&amp;4• &amp;fVitalidad: &amp;a270'</v>
      </c>
      <c r="N74" s="10"/>
      <c r="O74" s="10"/>
      <c r="P74" s="10"/>
      <c r="Q74" s="10" t="str">
        <f>"  - '&amp;4• &amp;f"&amp;MAIN!$C$8&amp;": &amp;a"&amp;MAIN!$G$43*$C$2&amp;"'"</f>
        <v xml:space="preserve">  - '&amp;4• &amp;fVitalidad: &amp;a810'</v>
      </c>
      <c r="R74" s="10"/>
      <c r="S74" s="10"/>
      <c r="T74" s="10"/>
    </row>
    <row r="75" spans="1:20" x14ac:dyDescent="0.25">
      <c r="A75" s="10" t="str">
        <f>"  - '&amp;4• &amp;f"&amp;MAIN!$C$11&amp;": &amp;a"&amp;MAIN!$C$43*$C$2&amp;"'"</f>
        <v xml:space="preserve">  - '&amp;4• &amp;fInteligencia: &amp;a10'</v>
      </c>
      <c r="B75" s="10"/>
      <c r="C75" s="10"/>
      <c r="D75" s="10"/>
      <c r="E75" s="10" t="str">
        <f>"  - '&amp;4• &amp;f"&amp;MAIN!$C$11&amp;": &amp;a"&amp;MAIN!$D$43*$C$2&amp;"'"</f>
        <v xml:space="preserve">  - '&amp;4• &amp;fInteligencia: &amp;a30'</v>
      </c>
      <c r="F75" s="10"/>
      <c r="G75" s="10"/>
      <c r="H75" s="10"/>
      <c r="I75" s="10" t="str">
        <f>"  - '&amp;4• &amp;f"&amp;MAIN!$C$11&amp;": &amp;a"&amp;MAIN!$E$43*$C$2&amp;"'"</f>
        <v xml:space="preserve">  - '&amp;4• &amp;fInteligencia: &amp;a90'</v>
      </c>
      <c r="J75" s="10"/>
      <c r="K75" s="10"/>
      <c r="L75" s="10"/>
      <c r="M75" s="10" t="str">
        <f>"  - '&amp;4• &amp;f"&amp;MAIN!$C$11&amp;": &amp;a"&amp;MAIN!$F$43*$C$2&amp;"'"</f>
        <v xml:space="preserve">  - '&amp;4• &amp;fInteligencia: &amp;a270'</v>
      </c>
      <c r="N75" s="10"/>
      <c r="O75" s="10"/>
      <c r="P75" s="10"/>
      <c r="Q75" s="10" t="str">
        <f>"  - '&amp;4• &amp;f"&amp;MAIN!$C$11&amp;": &amp;a"&amp;MAIN!$G$43*$C$2&amp;"'"</f>
        <v xml:space="preserve">  - '&amp;4• &amp;fInteligencia: &amp;a810'</v>
      </c>
      <c r="R75" s="10"/>
      <c r="S75" s="10"/>
      <c r="T75" s="10"/>
    </row>
    <row r="76" spans="1:20" x14ac:dyDescent="0.25">
      <c r="A76" s="10" t="str">
        <f>"  - '&amp;4• &amp;f"&amp;MAIN!$C$10&amp;": &amp;a"&amp;MAIN!$C$45*$C$2&amp;"'"</f>
        <v xml:space="preserve">  - '&amp;4• &amp;fAgilidad: &amp;a10'</v>
      </c>
      <c r="B76" s="10"/>
      <c r="C76" s="10"/>
      <c r="D76" s="10"/>
      <c r="E76" s="10" t="str">
        <f>"  - '&amp;4• &amp;f"&amp;MAIN!$C$10&amp;": &amp;a"&amp;MAIN!$D$45*$C$2&amp;"'"</f>
        <v xml:space="preserve">  - '&amp;4• &amp;fAgilidad: &amp;a30'</v>
      </c>
      <c r="F76" s="10"/>
      <c r="G76" s="10"/>
      <c r="H76" s="10"/>
      <c r="I76" s="10" t="str">
        <f>"  - '&amp;4• &amp;f"&amp;MAIN!$C$10&amp;": &amp;a"&amp;MAIN!$E$45*$C$2&amp;"'"</f>
        <v xml:space="preserve">  - '&amp;4• &amp;fAgilidad: &amp;a90'</v>
      </c>
      <c r="J76" s="10"/>
      <c r="K76" s="10"/>
      <c r="L76" s="10"/>
      <c r="M76" s="10" t="str">
        <f>"  - '&amp;4• &amp;f"&amp;MAIN!$C$10&amp;": &amp;a"&amp;MAIN!$F$45*$C$2&amp;"'"</f>
        <v xml:space="preserve">  - '&amp;4• &amp;fAgilidad: &amp;a270'</v>
      </c>
      <c r="N76" s="10"/>
      <c r="O76" s="10"/>
      <c r="P76" s="10"/>
      <c r="Q76" s="10" t="str">
        <f>"  - '&amp;4• &amp;f"&amp;MAIN!$C$10&amp;": &amp;a"&amp;MAIN!$G$45*$C$2&amp;"'"</f>
        <v xml:space="preserve">  - '&amp;4• &amp;fAgilidad: &amp;a810'</v>
      </c>
      <c r="R76" s="10"/>
      <c r="S76" s="10"/>
      <c r="T76" s="10"/>
    </row>
    <row r="77" spans="1:20" x14ac:dyDescent="0.25">
      <c r="A77" s="9" t="s">
        <v>71</v>
      </c>
      <c r="B77" s="9"/>
      <c r="C77" s="9"/>
      <c r="D77" s="9"/>
      <c r="E77" s="9" t="s">
        <v>71</v>
      </c>
      <c r="F77" s="9"/>
      <c r="G77" s="9"/>
      <c r="H77" s="9"/>
      <c r="I77" s="9" t="s">
        <v>71</v>
      </c>
      <c r="J77" s="9"/>
      <c r="K77" s="9"/>
      <c r="L77" s="9"/>
      <c r="M77" s="9" t="s">
        <v>71</v>
      </c>
      <c r="N77" s="9"/>
      <c r="O77" s="9"/>
      <c r="P77" s="9"/>
      <c r="Q77" s="9" t="s">
        <v>71</v>
      </c>
      <c r="R77" s="9"/>
      <c r="S77" s="9"/>
      <c r="T77" s="9"/>
    </row>
    <row r="78" spans="1:20" x14ac:dyDescent="0.25">
      <c r="A78" s="9" t="s">
        <v>72</v>
      </c>
      <c r="B78" s="9"/>
      <c r="C78" s="9"/>
      <c r="D78" s="9"/>
      <c r="E78" s="9" t="s">
        <v>72</v>
      </c>
      <c r="F78" s="9"/>
      <c r="G78" s="9"/>
      <c r="H78" s="9"/>
      <c r="I78" s="9" t="s">
        <v>72</v>
      </c>
      <c r="J78" s="9"/>
      <c r="K78" s="9"/>
      <c r="L78" s="9"/>
      <c r="M78" s="9" t="s">
        <v>72</v>
      </c>
      <c r="N78" s="9"/>
      <c r="O78" s="9"/>
      <c r="P78" s="9"/>
      <c r="Q78" s="9" t="s">
        <v>72</v>
      </c>
      <c r="R78" s="9"/>
      <c r="S78" s="9"/>
      <c r="T78" s="9"/>
    </row>
    <row r="79" spans="1:20" x14ac:dyDescent="0.25">
      <c r="A79" s="11" t="str">
        <f>"minimumSockets: "&amp;MAIN!$E$29</f>
        <v>minimumSockets: 1</v>
      </c>
      <c r="B79" s="11"/>
      <c r="C79" s="11"/>
      <c r="D79" s="11"/>
      <c r="E79" s="11" t="str">
        <f>$A$79</f>
        <v>minimumSockets: 1</v>
      </c>
      <c r="F79" s="11"/>
      <c r="G79" s="11"/>
      <c r="H79" s="11"/>
      <c r="I79" s="11" t="str">
        <f t="shared" ref="I79" si="18">$A$79</f>
        <v>minimumSockets: 1</v>
      </c>
      <c r="J79" s="11"/>
      <c r="K79" s="11"/>
      <c r="L79" s="11"/>
      <c r="M79" s="11" t="str">
        <f t="shared" ref="M79" si="19">$A$79</f>
        <v>minimumSockets: 1</v>
      </c>
      <c r="N79" s="11"/>
      <c r="O79" s="11"/>
      <c r="P79" s="11"/>
      <c r="Q79" s="11" t="str">
        <f t="shared" ref="Q79" si="20">$A$79</f>
        <v>minimumSockets: 1</v>
      </c>
      <c r="R79" s="11"/>
      <c r="S79" s="11"/>
      <c r="T79" s="11"/>
    </row>
    <row r="80" spans="1:20" x14ac:dyDescent="0.25">
      <c r="A80" s="11" t="str">
        <f>"maximumSockets: "&amp;MAIN!$E$30</f>
        <v>maximumSockets: 2</v>
      </c>
      <c r="B80" s="11"/>
      <c r="C80" s="11"/>
      <c r="D80" s="11"/>
      <c r="E80" s="11" t="str">
        <f>$A$80</f>
        <v>maximumSockets: 2</v>
      </c>
      <c r="F80" s="11"/>
      <c r="G80" s="11"/>
      <c r="H80" s="11"/>
      <c r="I80" s="11" t="str">
        <f t="shared" ref="I80" si="21">$A$80</f>
        <v>maximumSockets: 2</v>
      </c>
      <c r="J80" s="11"/>
      <c r="K80" s="11"/>
      <c r="L80" s="11"/>
      <c r="M80" s="11" t="str">
        <f t="shared" ref="M80" si="22">$A$80</f>
        <v>maximumSockets: 2</v>
      </c>
      <c r="N80" s="11"/>
      <c r="O80" s="11"/>
      <c r="P80" s="11"/>
      <c r="Q80" s="11" t="str">
        <f t="shared" ref="Q80" si="23">$A$80</f>
        <v>maximumSockets: 2</v>
      </c>
      <c r="R80" s="11"/>
      <c r="S80" s="11"/>
      <c r="T80" s="11"/>
    </row>
    <row r="81" spans="1:20" x14ac:dyDescent="0.25">
      <c r="A81" s="11" t="str">
        <f>"chanceToSpawnOnAMonster: "&amp;MAIN!$E$27</f>
        <v>chanceToSpawnOnAMonster: 0.15</v>
      </c>
      <c r="B81" s="11"/>
      <c r="C81" s="11"/>
      <c r="D81" s="11"/>
      <c r="E81" s="11" t="str">
        <f>$A$81</f>
        <v>chanceToSpawnOnAMonster: 0.15</v>
      </c>
      <c r="F81" s="11"/>
      <c r="G81" s="11"/>
      <c r="H81" s="11"/>
      <c r="I81" s="11" t="str">
        <f t="shared" ref="I81" si="24">$A$81</f>
        <v>chanceToSpawnOnAMonster: 0.15</v>
      </c>
      <c r="J81" s="11"/>
      <c r="K81" s="11"/>
      <c r="L81" s="11"/>
      <c r="M81" s="11" t="str">
        <f t="shared" ref="M81" si="25">$A$81</f>
        <v>chanceToSpawnOnAMonster: 0.15</v>
      </c>
      <c r="N81" s="11"/>
      <c r="O81" s="11"/>
      <c r="P81" s="11"/>
      <c r="Q81" s="11" t="str">
        <f t="shared" ref="Q81" si="26">$A$81</f>
        <v>chanceToSpawnOnAMonster: 0.15</v>
      </c>
      <c r="R81" s="11"/>
      <c r="S81" s="11"/>
      <c r="T81" s="11"/>
    </row>
    <row r="82" spans="1:20" x14ac:dyDescent="0.25">
      <c r="A82" s="9" t="s">
        <v>34</v>
      </c>
      <c r="B82" s="9"/>
      <c r="C82" s="9"/>
      <c r="D82" s="9"/>
      <c r="E82" s="9" t="s">
        <v>34</v>
      </c>
      <c r="F82" s="9"/>
      <c r="G82" s="9"/>
      <c r="H82" s="9"/>
      <c r="I82" s="9" t="s">
        <v>34</v>
      </c>
      <c r="J82" s="9"/>
      <c r="K82" s="9"/>
      <c r="L82" s="9"/>
      <c r="M82" s="9" t="s">
        <v>34</v>
      </c>
      <c r="N82" s="9"/>
      <c r="O82" s="9"/>
      <c r="P82" s="9"/>
      <c r="Q82" s="9" t="s">
        <v>34</v>
      </c>
      <c r="R82" s="9"/>
      <c r="S82" s="9"/>
      <c r="T82" s="9"/>
    </row>
    <row r="83" spans="1:20" x14ac:dyDescent="0.25">
      <c r="A83" s="11" t="str">
        <f>"chanceToBeIdentified: "&amp;MAIN!$E$28</f>
        <v>chanceToBeIdentified: 0.075</v>
      </c>
      <c r="B83" s="11"/>
      <c r="C83" s="11"/>
      <c r="D83" s="11"/>
      <c r="E83" s="11" t="str">
        <f>$A$83</f>
        <v>chanceToBeIdentified: 0.075</v>
      </c>
      <c r="F83" s="11"/>
      <c r="G83" s="11"/>
      <c r="H83" s="11"/>
      <c r="I83" s="11" t="str">
        <f t="shared" ref="I83" si="27">$A$83</f>
        <v>chanceToBeIdentified: 0.075</v>
      </c>
      <c r="J83" s="11"/>
      <c r="K83" s="11"/>
      <c r="L83" s="11"/>
      <c r="M83" s="11" t="str">
        <f t="shared" ref="M83" si="28">$A$83</f>
        <v>chanceToBeIdentified: 0.075</v>
      </c>
      <c r="N83" s="11"/>
      <c r="O83" s="11"/>
      <c r="P83" s="11"/>
      <c r="Q83" s="11" t="str">
        <f t="shared" ref="Q83" si="29">$A$83</f>
        <v>chanceToBeIdentified: 0.075</v>
      </c>
      <c r="R83" s="11"/>
      <c r="S83" s="11"/>
      <c r="T83" s="11"/>
    </row>
    <row r="84" spans="1:20" x14ac:dyDescent="0.25">
      <c r="A84" s="9" t="s">
        <v>79</v>
      </c>
      <c r="B84" s="9"/>
      <c r="C84" s="9"/>
      <c r="D84" s="9"/>
      <c r="E84" s="9" t="s">
        <v>79</v>
      </c>
      <c r="F84" s="9"/>
      <c r="G84" s="9"/>
      <c r="H84" s="9"/>
      <c r="I84" s="9" t="s">
        <v>79</v>
      </c>
      <c r="J84" s="9"/>
      <c r="K84" s="9"/>
      <c r="L84" s="9"/>
      <c r="M84" s="9" t="s">
        <v>79</v>
      </c>
      <c r="N84" s="9"/>
      <c r="O84" s="9"/>
      <c r="P84" s="9"/>
      <c r="Q84" s="9" t="s">
        <v>79</v>
      </c>
      <c r="R84" s="9"/>
      <c r="S84" s="9"/>
      <c r="T84" s="9"/>
    </row>
    <row r="85" spans="1:20" x14ac:dyDescent="0.25">
      <c r="A85" s="11" t="str">
        <f>"broadcastOnFind: "&amp;$E$2</f>
        <v>broadcastOnFind: false</v>
      </c>
      <c r="B85" s="11"/>
      <c r="C85" s="11"/>
      <c r="D85" s="11"/>
      <c r="E85" s="11" t="str">
        <f>A85</f>
        <v>broadcastOnFind: false</v>
      </c>
      <c r="F85" s="11"/>
      <c r="G85" s="11"/>
      <c r="H85" s="11"/>
      <c r="I85" s="11" t="str">
        <f>E85</f>
        <v>broadcastOnFind: false</v>
      </c>
      <c r="J85" s="11"/>
      <c r="K85" s="11"/>
      <c r="L85" s="11"/>
      <c r="M85" s="11" t="str">
        <f>I85</f>
        <v>broadcastOnFind: false</v>
      </c>
      <c r="N85" s="11"/>
      <c r="O85" s="11"/>
      <c r="P85" s="11"/>
      <c r="Q85" s="11" t="str">
        <f t="shared" ref="Q85" si="30">M85</f>
        <v>broadcastOnFind: false</v>
      </c>
      <c r="R85" s="11"/>
      <c r="S85" s="11"/>
      <c r="T85" s="11"/>
    </row>
    <row r="86" spans="1:20" x14ac:dyDescent="0.25">
      <c r="A86" s="11" t="str">
        <f>"optimalDistance: "&amp;MAIN!$E$39</f>
        <v>optimalDistance: 2400</v>
      </c>
      <c r="B86" s="11"/>
      <c r="C86" s="11"/>
      <c r="D86" s="11"/>
      <c r="E86" s="11" t="str">
        <f>$A$86</f>
        <v>optimalDistance: 2400</v>
      </c>
      <c r="F86" s="11"/>
      <c r="G86" s="11"/>
      <c r="H86" s="11"/>
      <c r="I86" s="11" t="str">
        <f>$A$86</f>
        <v>optimalDistance: 2400</v>
      </c>
      <c r="J86" s="11"/>
      <c r="K86" s="11"/>
      <c r="L86" s="11"/>
      <c r="M86" s="11" t="str">
        <f>$A$86</f>
        <v>optimalDistance: 2400</v>
      </c>
      <c r="N86" s="11"/>
      <c r="O86" s="11"/>
      <c r="P86" s="11"/>
      <c r="Q86" s="11" t="str">
        <f>$A$86</f>
        <v>optimalDistance: 2400</v>
      </c>
      <c r="R86" s="11"/>
      <c r="S86" s="11"/>
      <c r="T86" s="11"/>
    </row>
    <row r="87" spans="1:20" x14ac:dyDescent="0.25">
      <c r="A87" s="11" t="str">
        <f>"maximumDistance: "&amp;MAIN!$E$40</f>
        <v>maximumDistance: 1800</v>
      </c>
      <c r="B87" s="11"/>
      <c r="C87" s="11"/>
      <c r="D87" s="11"/>
      <c r="E87" s="11" t="str">
        <f>$A$87</f>
        <v>maximumDistance: 1800</v>
      </c>
      <c r="F87" s="11"/>
      <c r="G87" s="11"/>
      <c r="H87" s="11"/>
      <c r="I87" s="11" t="str">
        <f>$A$87</f>
        <v>maximumDistance: 1800</v>
      </c>
      <c r="J87" s="11"/>
      <c r="K87" s="11"/>
      <c r="L87" s="11"/>
      <c r="M87" s="11" t="str">
        <f>$A$87</f>
        <v>maximumDistance: 1800</v>
      </c>
      <c r="N87" s="11"/>
      <c r="O87" s="11"/>
      <c r="P87" s="11"/>
      <c r="Q87" s="11" t="str">
        <f>$A$87</f>
        <v>maximumDistance: 1800</v>
      </c>
      <c r="R87" s="11"/>
      <c r="S87" s="11"/>
      <c r="T87" s="11"/>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row r="190" spans="1:4" x14ac:dyDescent="0.25">
      <c r="A190" s="9"/>
      <c r="B190" s="9"/>
      <c r="C190" s="9"/>
      <c r="D190" s="9"/>
    </row>
    <row r="191" spans="1:4" x14ac:dyDescent="0.25">
      <c r="A191" s="9"/>
      <c r="B191" s="9"/>
      <c r="C191" s="9"/>
      <c r="D191"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5"/>
  <dimension ref="A1:Z191"/>
  <sheetViews>
    <sheetView topLeftCell="N65" workbookViewId="0">
      <selection activeCell="Q4" sqref="Q4:Q87"/>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102</v>
      </c>
      <c r="B2" s="293"/>
      <c r="C2" s="293">
        <f>'ECONOMIA &amp; PROFESIONES'!$P$3</f>
        <v>5</v>
      </c>
      <c r="D2" s="293"/>
      <c r="E2" s="293" t="s">
        <v>81</v>
      </c>
      <c r="F2" s="293"/>
      <c r="G2" s="293" t="s">
        <v>103</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"+"&amp;ROUND(MAIN!$C$55*$C$2*$K$2/5*$U$4,0)&amp;" "&amp;$I$2</f>
        <v>+5 Armor</v>
      </c>
      <c r="W4" s="291" t="str">
        <f>"+"&amp;ROUND(MAIN!$D$55*$C$2*$K$2/5*$U$4,0)&amp;" "&amp;$I$2</f>
        <v>+8 Armor</v>
      </c>
      <c r="X4" s="291" t="str">
        <f>"+"&amp;ROUND(MAIN!$E$55*$C$2*$K$2/5*$U$4,0)&amp;" "&amp;$I$2</f>
        <v>+13 Armor</v>
      </c>
      <c r="Y4" s="291" t="str">
        <f>"+"&amp;ROUND(MAIN!$F$55*$C$2*$K$2/5*$U$4,0)&amp;" "&amp;$I$2</f>
        <v>+22 Armor</v>
      </c>
      <c r="Z4" s="291"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"+"&amp;ROUND(MAIN!$C$55*$C$2*$K$2/5*$U$5,0)&amp;" "&amp;$I$2</f>
        <v>+10 Armor</v>
      </c>
      <c r="W5" s="291" t="str">
        <f>"+"&amp;ROUND(MAIN!$D$55*$C$2*$K$2/5*$U$5,0)&amp;" "&amp;$I$2</f>
        <v>+16 Armor</v>
      </c>
      <c r="X5" s="291" t="str">
        <f>"+"&amp;ROUND(MAIN!$E$55*$C$2*$K$2/5*$U$5,0)&amp;" "&amp;$I$2</f>
        <v>+26 Armor</v>
      </c>
      <c r="Y5" s="291" t="str">
        <f>"+"&amp;ROUND(MAIN!$F$55*$C$2*$K$2/5*$U$5,0)&amp;" "&amp;$I$2</f>
        <v>+44 Armor</v>
      </c>
      <c r="Z5" s="291"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+15 Armor</v>
      </c>
      <c r="W6" s="291" t="str">
        <f>"+"&amp;ROUND(MAIN!$D$55*$C$2*$K$2/5*$U$6,0)&amp;" "&amp;$I$2</f>
        <v>+24 Armor</v>
      </c>
      <c r="X6" s="291" t="str">
        <f>"+"&amp;ROUND(MAIN!$E$55*$C$2*$K$2/5*$U$6,0)&amp;" "&amp;$I$2</f>
        <v>+39 Armor</v>
      </c>
      <c r="Y6" s="291" t="str">
        <f>"+"&amp;ROUND(MAIN!$F$55*$C$2*$K$2/5*$U$6,0)&amp;" "&amp;$I$2</f>
        <v>+66 Armor</v>
      </c>
      <c r="Z6" s="291"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+20 Armor</v>
      </c>
      <c r="W7" s="291" t="str">
        <f>"+"&amp;ROUND(MAIN!$D$55*$C$2*$K$2/5*$U$7,0)&amp;" "&amp;$I$2</f>
        <v>+32 Armor</v>
      </c>
      <c r="X7" s="291" t="str">
        <f>"+"&amp;ROUND(MAIN!$E$55*$C$2*$K$2/5*$U$7,0)&amp;" "&amp;$I$2</f>
        <v>+52 Armor</v>
      </c>
      <c r="Y7" s="291" t="str">
        <f>"+"&amp;ROUND(MAIN!$F$55*$C$2*$K$2/5*$U$7,0)&amp;" "&amp;$I$2</f>
        <v>+88 Armor</v>
      </c>
      <c r="Z7" s="291"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+25 Armor</v>
      </c>
      <c r="W8" s="291" t="str">
        <f>"+"&amp;ROUND(MAIN!$D$55*$C$2*$K$2/5*$U$8,0)&amp;" "&amp;$I$2</f>
        <v>+40 Armor</v>
      </c>
      <c r="X8" s="291" t="str">
        <f>"+"&amp;ROUND(MAIN!$E$55*$C$2*$K$2/5*$U$8,0)&amp;" "&amp;$I$2</f>
        <v>+65 Armor</v>
      </c>
      <c r="Y8" s="291" t="str">
        <f>"+"&amp;ROUND(MAIN!$F$55*$C$2*$K$2/5*$U$8,0)&amp;" "&amp;$I$2</f>
        <v>+110 Armor</v>
      </c>
      <c r="Z8" s="291"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$A$38</f>
        <v xml:space="preserve">  - ARROW_INFINITE:2:3</v>
      </c>
      <c r="J15" s="22"/>
      <c r="K15" s="22"/>
      <c r="L15" s="22"/>
      <c r="M15" s="22" t="str">
        <f>$A$38</f>
        <v xml:space="preserve">  - ARROW_INFINITE:2:3</v>
      </c>
      <c r="N15" s="22"/>
      <c r="O15" s="22"/>
      <c r="P15" s="22"/>
      <c r="Q15" s="22" t="str">
        <f>$A$38</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$A$39</f>
        <v xml:space="preserve">  - ARROW_DAMAGE:2:3</v>
      </c>
      <c r="J16" s="22"/>
      <c r="K16" s="22"/>
      <c r="L16" s="22"/>
      <c r="M16" s="22" t="str">
        <f>$A$39</f>
        <v xml:space="preserve">  - ARROW_DAMAGE:2:3</v>
      </c>
      <c r="N16" s="22"/>
      <c r="O16" s="22"/>
      <c r="P16" s="22"/>
      <c r="Q16" s="22" t="str">
        <f>$A$39</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$A$40</f>
        <v xml:space="preserve">  - ARROW_FIRE:2:3</v>
      </c>
      <c r="J17" s="22"/>
      <c r="K17" s="22"/>
      <c r="L17" s="22"/>
      <c r="M17" s="22" t="str">
        <f>$A$40</f>
        <v xml:space="preserve">  - ARROW_FIRE:2:3</v>
      </c>
      <c r="N17" s="22"/>
      <c r="O17" s="22"/>
      <c r="P17" s="22"/>
      <c r="Q17" s="22" t="str">
        <f>$A$40</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$A$41</f>
        <v xml:space="preserve">  - ARROW_KNOCKBACK:2:3</v>
      </c>
      <c r="J18" s="22"/>
      <c r="K18" s="22"/>
      <c r="L18" s="22"/>
      <c r="M18" s="22" t="str">
        <f>$A$41</f>
        <v xml:space="preserve">  - ARROW_KNOCKBACK:2:3</v>
      </c>
      <c r="N18" s="22"/>
      <c r="O18" s="22"/>
      <c r="P18" s="22"/>
      <c r="Q18" s="22" t="str">
        <f>$A$41</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$A$42</f>
        <v xml:space="preserve">  - DAMAGE_ALL:2:3</v>
      </c>
      <c r="J19" s="22"/>
      <c r="K19" s="22"/>
      <c r="L19" s="22"/>
      <c r="M19" s="22" t="str">
        <f>$A$42</f>
        <v xml:space="preserve">  - DAMAGE_ALL:2:3</v>
      </c>
      <c r="N19" s="22"/>
      <c r="O19" s="22"/>
      <c r="P19" s="22"/>
      <c r="Q19" s="22" t="str">
        <f>$A$42</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$A$43</f>
        <v xml:space="preserve">  - DAMAGE_ARTHROPODS:2:3</v>
      </c>
      <c r="J20" s="22"/>
      <c r="K20" s="22"/>
      <c r="L20" s="22"/>
      <c r="M20" s="22" t="str">
        <f>$A$43</f>
        <v xml:space="preserve">  - DAMAGE_ARTHROPODS:2:3</v>
      </c>
      <c r="N20" s="22"/>
      <c r="O20" s="22"/>
      <c r="P20" s="22"/>
      <c r="Q20" s="22" t="str">
        <f>$A$43</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$A$44</f>
        <v xml:space="preserve">  - DAMAGE_UNDEAD:2:3</v>
      </c>
      <c r="J21" s="22"/>
      <c r="K21" s="22"/>
      <c r="L21" s="22"/>
      <c r="M21" s="22" t="str">
        <f>$A$44</f>
        <v xml:space="preserve">  - DAMAGE_UNDEAD:2:3</v>
      </c>
      <c r="N21" s="22"/>
      <c r="O21" s="22"/>
      <c r="P21" s="22"/>
      <c r="Q21" s="22" t="str">
        <f>$A$44</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$A$45</f>
        <v xml:space="preserve">  - DIG_SPEED:2:3</v>
      </c>
      <c r="J22" s="22"/>
      <c r="K22" s="22"/>
      <c r="L22" s="22"/>
      <c r="M22" s="22" t="str">
        <f>$A$45</f>
        <v xml:space="preserve">  - DIG_SPEED:2:3</v>
      </c>
      <c r="N22" s="22"/>
      <c r="O22" s="22"/>
      <c r="P22" s="22"/>
      <c r="Q22" s="22" t="str">
        <f>$A$45</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$A$46</f>
        <v xml:space="preserve">  - DURABILITY:2:3</v>
      </c>
      <c r="J23" s="22"/>
      <c r="K23" s="22"/>
      <c r="L23" s="22"/>
      <c r="M23" s="22" t="str">
        <f>$A$46</f>
        <v xml:space="preserve">  - DURABILITY:2:3</v>
      </c>
      <c r="N23" s="22"/>
      <c r="O23" s="22"/>
      <c r="P23" s="22"/>
      <c r="Q23" s="22" t="str">
        <f>$A$46</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$A$47</f>
        <v xml:space="preserve">  - FIRE_ASPECT:2:3</v>
      </c>
      <c r="J24" s="22"/>
      <c r="K24" s="22"/>
      <c r="L24" s="22"/>
      <c r="M24" s="22" t="str">
        <f>$A$47</f>
        <v xml:space="preserve">  - FIRE_ASPECT:2:3</v>
      </c>
      <c r="N24" s="22"/>
      <c r="O24" s="22"/>
      <c r="P24" s="22"/>
      <c r="Q24" s="22" t="str">
        <f>$A$47</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$A$48</f>
        <v xml:space="preserve">  - KNOCKBACK:2:3</v>
      </c>
      <c r="J25" s="22"/>
      <c r="K25" s="22"/>
      <c r="L25" s="22"/>
      <c r="M25" s="22" t="str">
        <f>$A$48</f>
        <v xml:space="preserve">  - KNOCKBACK:2:3</v>
      </c>
      <c r="N25" s="22"/>
      <c r="O25" s="22"/>
      <c r="P25" s="22"/>
      <c r="Q25" s="22" t="str">
        <f>$A$48</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$A$49</f>
        <v xml:space="preserve">  - LOOT_BONUS_BLOCKS:2:3</v>
      </c>
      <c r="J26" s="22"/>
      <c r="K26" s="22"/>
      <c r="L26" s="22"/>
      <c r="M26" s="22" t="str">
        <f>$A$49</f>
        <v xml:space="preserve">  - LOOT_BONUS_BLOCKS:2:3</v>
      </c>
      <c r="N26" s="22"/>
      <c r="O26" s="22"/>
      <c r="P26" s="22"/>
      <c r="Q26" s="22" t="str">
        <f>$A$49</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$A$50</f>
        <v xml:space="preserve">  - LOOT_BONUS_MOBS:2:3</v>
      </c>
      <c r="J27" s="22"/>
      <c r="K27" s="22"/>
      <c r="L27" s="22"/>
      <c r="M27" s="22" t="str">
        <f>$A$50</f>
        <v xml:space="preserve">  - LOOT_BONUS_MOBS:2:3</v>
      </c>
      <c r="N27" s="22"/>
      <c r="O27" s="22"/>
      <c r="P27" s="22"/>
      <c r="Q27" s="22" t="str">
        <f>$A$50</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$A$51</f>
        <v xml:space="preserve">  - OXYGEN:2:3</v>
      </c>
      <c r="J28" s="22"/>
      <c r="K28" s="22"/>
      <c r="L28" s="22"/>
      <c r="M28" s="22" t="str">
        <f>$A$51</f>
        <v xml:space="preserve">  - OXYGEN:2:3</v>
      </c>
      <c r="N28" s="22"/>
      <c r="O28" s="22"/>
      <c r="P28" s="22"/>
      <c r="Q28" s="22" t="str">
        <f>$A$51</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$A$52</f>
        <v xml:space="preserve">  - PROTECTION_ENVIRONMENT:2:3</v>
      </c>
      <c r="J29" s="22"/>
      <c r="K29" s="22"/>
      <c r="L29" s="22"/>
      <c r="M29" s="22" t="str">
        <f>$A$52</f>
        <v xml:space="preserve">  - PROTECTION_ENVIRONMENT:2:3</v>
      </c>
      <c r="N29" s="22"/>
      <c r="O29" s="22"/>
      <c r="P29" s="22"/>
      <c r="Q29" s="22" t="str">
        <f>$A$52</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$A$53</f>
        <v xml:space="preserve">  - PROTECTION_EXPLOSIONS:2:3</v>
      </c>
      <c r="J30" s="22"/>
      <c r="K30" s="22"/>
      <c r="L30" s="22"/>
      <c r="M30" s="22" t="str">
        <f>$A$53</f>
        <v xml:space="preserve">  - PROTECTION_EXPLOSIONS:2:3</v>
      </c>
      <c r="N30" s="22"/>
      <c r="O30" s="22"/>
      <c r="P30" s="22"/>
      <c r="Q30" s="22" t="str">
        <f>$A$53</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$A$54</f>
        <v xml:space="preserve">  - PROTECTION_FALL:2:3</v>
      </c>
      <c r="J31" s="22"/>
      <c r="K31" s="22"/>
      <c r="L31" s="22"/>
      <c r="M31" s="22" t="str">
        <f>$A$54</f>
        <v xml:space="preserve">  - PROTECTION_FALL:2:3</v>
      </c>
      <c r="N31" s="22"/>
      <c r="O31" s="22"/>
      <c r="P31" s="22"/>
      <c r="Q31" s="22" t="str">
        <f>$A$54</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$A$55</f>
        <v xml:space="preserve">  - PROTECTION_FIRE:2:3</v>
      </c>
      <c r="J32" s="22"/>
      <c r="K32" s="22"/>
      <c r="L32" s="22"/>
      <c r="M32" s="22" t="str">
        <f>$A$55</f>
        <v xml:space="preserve">  - PROTECTION_FIRE:2:3</v>
      </c>
      <c r="N32" s="22"/>
      <c r="O32" s="22"/>
      <c r="P32" s="22"/>
      <c r="Q32" s="22" t="str">
        <f>$A$55</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$A$56</f>
        <v xml:space="preserve">  - PROTECTION_PROJECTILE:2:3</v>
      </c>
      <c r="J33" s="22"/>
      <c r="K33" s="22"/>
      <c r="L33" s="22"/>
      <c r="M33" s="22" t="str">
        <f>$A$56</f>
        <v xml:space="preserve">  - PROTECTION_PROJECTILE:2:3</v>
      </c>
      <c r="N33" s="22"/>
      <c r="O33" s="22"/>
      <c r="P33" s="22"/>
      <c r="Q33" s="22" t="str">
        <f>$A$56</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$A$57</f>
        <v xml:space="preserve">  - SILK_TOUCH:2:3</v>
      </c>
      <c r="J34" s="22"/>
      <c r="K34" s="22"/>
      <c r="L34" s="22"/>
      <c r="M34" s="22" t="str">
        <f>$A$57</f>
        <v xml:space="preserve">  - SILK_TOUCH:2:3</v>
      </c>
      <c r="N34" s="22"/>
      <c r="O34" s="22"/>
      <c r="P34" s="22"/>
      <c r="Q34" s="22" t="str">
        <f>$A$57</f>
        <v xml:space="preserve">  - SILK_TOUCH:2:3</v>
      </c>
      <c r="R34" s="22"/>
      <c r="S34" s="22"/>
      <c r="T34" s="22"/>
    </row>
    <row r="35" spans="1:20" x14ac:dyDescent="0.25">
      <c r="A35" s="22" t="str">
        <f>'armas raro'!$A$35</f>
        <v xml:space="preserve">  - THORNS:2:3</v>
      </c>
      <c r="B35" s="22"/>
      <c r="C35" s="22"/>
      <c r="D35" s="22"/>
      <c r="E35" s="22" t="str">
        <f>$A$35</f>
        <v xml:space="preserve">  - THORNS:2:3</v>
      </c>
      <c r="F35" s="22"/>
      <c r="G35" s="22"/>
      <c r="H35" s="22"/>
      <c r="I35" s="22" t="str">
        <f>$A$58</f>
        <v xml:space="preserve">  - THORNS:2:3</v>
      </c>
      <c r="J35" s="22"/>
      <c r="K35" s="22"/>
      <c r="L35" s="22"/>
      <c r="M35" s="22" t="str">
        <f>$A$58</f>
        <v xml:space="preserve">  - THORNS:2:3</v>
      </c>
      <c r="N35" s="22"/>
      <c r="O35" s="22"/>
      <c r="P35" s="22"/>
      <c r="Q35" s="22" t="str">
        <f>$A$58</f>
        <v xml:space="preserve">  - THORNS:2:3</v>
      </c>
      <c r="R35" s="22"/>
      <c r="S35" s="22"/>
      <c r="T35" s="22"/>
    </row>
    <row r="36" spans="1:20" x14ac:dyDescent="0.25">
      <c r="A36" s="22" t="str">
        <f>'armas raro'!$A$36</f>
        <v xml:space="preserve">  - WATER_WORKER:2:3</v>
      </c>
      <c r="B36" s="22"/>
      <c r="C36" s="22"/>
      <c r="D36" s="22"/>
      <c r="E36" s="22" t="str">
        <f>$A$36</f>
        <v xml:space="preserve">  - WATER_WORKER:2:3</v>
      </c>
      <c r="F36" s="22"/>
      <c r="G36" s="22"/>
      <c r="H36" s="22"/>
      <c r="I36" s="22" t="str">
        <f>$A$59</f>
        <v xml:space="preserve">  - WATER_WORKER:2:3</v>
      </c>
      <c r="J36" s="22"/>
      <c r="K36" s="22"/>
      <c r="L36" s="22"/>
      <c r="M36" s="22" t="str">
        <f>$A$59</f>
        <v xml:space="preserve">  - WATER_WORKER:2:3</v>
      </c>
      <c r="N36" s="22"/>
      <c r="O36" s="22"/>
      <c r="P36" s="22"/>
      <c r="Q36" s="22" t="str">
        <f>$A$59</f>
        <v xml:space="preserve">  - WATER_WORKER:2:3</v>
      </c>
      <c r="R36" s="22"/>
      <c r="S36" s="22"/>
      <c r="T36" s="22"/>
    </row>
    <row r="37" spans="1:20" x14ac:dyDescent="0.25">
      <c r="A37" s="9" t="s">
        <v>101</v>
      </c>
      <c r="B37" s="9"/>
      <c r="C37" s="9"/>
      <c r="D37" s="9"/>
      <c r="E37" s="9" t="s">
        <v>101</v>
      </c>
      <c r="F37" s="9"/>
      <c r="G37" s="9"/>
      <c r="H37" s="9"/>
      <c r="I37" s="9" t="s">
        <v>101</v>
      </c>
      <c r="J37" s="9"/>
      <c r="K37" s="9"/>
      <c r="L37" s="9"/>
      <c r="M37" s="9" t="s">
        <v>101</v>
      </c>
      <c r="N37" s="9"/>
      <c r="O37" s="9"/>
      <c r="P37" s="9"/>
      <c r="Q37" s="9" t="s">
        <v>101</v>
      </c>
      <c r="R37" s="9"/>
      <c r="S37" s="9"/>
      <c r="T37" s="9"/>
    </row>
    <row r="38" spans="1:20" x14ac:dyDescent="0.25">
      <c r="A38" s="22" t="str">
        <f>$A$15</f>
        <v xml:space="preserve">  - ARROW_INFINITE:2:3</v>
      </c>
      <c r="B38" s="22"/>
      <c r="C38" s="22"/>
      <c r="D38" s="22"/>
      <c r="E38" s="22" t="str">
        <f>$A$38</f>
        <v xml:space="preserve">  - ARROW_INFINITE:2:3</v>
      </c>
      <c r="F38" s="22"/>
      <c r="G38" s="22"/>
      <c r="H38" s="22"/>
      <c r="I38" s="22" t="str">
        <f>$A$38</f>
        <v xml:space="preserve">  - ARROW_INFINITE:2:3</v>
      </c>
      <c r="J38" s="22"/>
      <c r="K38" s="22"/>
      <c r="L38" s="22"/>
      <c r="M38" s="22" t="str">
        <f>$A$38</f>
        <v xml:space="preserve">  - ARROW_INFINITE:2:3</v>
      </c>
      <c r="N38" s="22"/>
      <c r="O38" s="22"/>
      <c r="P38" s="22"/>
      <c r="Q38" s="22" t="str">
        <f>$A$38</f>
        <v xml:space="preserve">  - ARROW_INFINITE:2:3</v>
      </c>
      <c r="R38" s="22"/>
      <c r="S38" s="22"/>
      <c r="T38" s="22"/>
    </row>
    <row r="39" spans="1:20" x14ac:dyDescent="0.25">
      <c r="A39" s="22" t="str">
        <f>$A$16</f>
        <v xml:space="preserve">  - ARROW_DAMAGE:2:3</v>
      </c>
      <c r="B39" s="22"/>
      <c r="C39" s="22"/>
      <c r="D39" s="22"/>
      <c r="E39" s="22" t="str">
        <f>$A$39</f>
        <v xml:space="preserve">  - ARROW_DAMAGE:2:3</v>
      </c>
      <c r="F39" s="22"/>
      <c r="G39" s="22"/>
      <c r="H39" s="22"/>
      <c r="I39" s="22" t="str">
        <f>$A$39</f>
        <v xml:space="preserve">  - ARROW_DAMAGE:2:3</v>
      </c>
      <c r="J39" s="22"/>
      <c r="K39" s="22"/>
      <c r="L39" s="22"/>
      <c r="M39" s="22" t="str">
        <f>$A$39</f>
        <v xml:space="preserve">  - ARROW_DAMAGE:2:3</v>
      </c>
      <c r="N39" s="22"/>
      <c r="O39" s="22"/>
      <c r="P39" s="22"/>
      <c r="Q39" s="22" t="str">
        <f>$A$39</f>
        <v xml:space="preserve">  - ARROW_DAMAGE:2:3</v>
      </c>
      <c r="R39" s="22"/>
      <c r="S39" s="22"/>
      <c r="T39" s="22"/>
    </row>
    <row r="40" spans="1:20" x14ac:dyDescent="0.25">
      <c r="A40" s="22" t="str">
        <f>$A$17</f>
        <v xml:space="preserve">  - ARROW_FIRE:2:3</v>
      </c>
      <c r="B40" s="22"/>
      <c r="C40" s="22"/>
      <c r="D40" s="22"/>
      <c r="E40" s="22" t="str">
        <f>$A$40</f>
        <v xml:space="preserve">  - ARROW_FIRE:2:3</v>
      </c>
      <c r="F40" s="22"/>
      <c r="G40" s="22"/>
      <c r="H40" s="22"/>
      <c r="I40" s="22" t="str">
        <f>$A$40</f>
        <v xml:space="preserve">  - ARROW_FIRE:2:3</v>
      </c>
      <c r="J40" s="22"/>
      <c r="K40" s="22"/>
      <c r="L40" s="22"/>
      <c r="M40" s="22" t="str">
        <f>$A$40</f>
        <v xml:space="preserve">  - ARROW_FIRE:2:3</v>
      </c>
      <c r="N40" s="22"/>
      <c r="O40" s="22"/>
      <c r="P40" s="22"/>
      <c r="Q40" s="22" t="str">
        <f>$A$40</f>
        <v xml:space="preserve">  - ARROW_FIRE:2:3</v>
      </c>
      <c r="R40" s="22"/>
      <c r="S40" s="22"/>
      <c r="T40" s="22"/>
    </row>
    <row r="41" spans="1:20" x14ac:dyDescent="0.25">
      <c r="A41" s="22" t="str">
        <f>$A$18</f>
        <v xml:space="preserve">  - ARROW_KNOCKBACK:2:3</v>
      </c>
      <c r="B41" s="22"/>
      <c r="C41" s="22"/>
      <c r="D41" s="22"/>
      <c r="E41" s="22" t="str">
        <f>$A$41</f>
        <v xml:space="preserve">  - ARROW_KNOCKBACK:2:3</v>
      </c>
      <c r="F41" s="22"/>
      <c r="G41" s="22"/>
      <c r="H41" s="22"/>
      <c r="I41" s="22" t="str">
        <f>$A$41</f>
        <v xml:space="preserve">  - ARROW_KNOCKBACK:2:3</v>
      </c>
      <c r="J41" s="22"/>
      <c r="K41" s="22"/>
      <c r="L41" s="22"/>
      <c r="M41" s="22" t="str">
        <f>$A$41</f>
        <v xml:space="preserve">  - ARROW_KNOCKBACK:2:3</v>
      </c>
      <c r="N41" s="22"/>
      <c r="O41" s="22"/>
      <c r="P41" s="22"/>
      <c r="Q41" s="22" t="str">
        <f>$A$41</f>
        <v xml:space="preserve">  - ARROW_KNOCKBACK:2:3</v>
      </c>
      <c r="R41" s="22"/>
      <c r="S41" s="22"/>
      <c r="T41" s="22"/>
    </row>
    <row r="42" spans="1:20" x14ac:dyDescent="0.25">
      <c r="A42" s="22" t="str">
        <f>$A$19</f>
        <v xml:space="preserve">  - DAMAGE_ALL:2:3</v>
      </c>
      <c r="B42" s="22"/>
      <c r="C42" s="22"/>
      <c r="D42" s="22"/>
      <c r="E42" s="22" t="str">
        <f>$A$42</f>
        <v xml:space="preserve">  - DAMAGE_ALL:2:3</v>
      </c>
      <c r="F42" s="22"/>
      <c r="G42" s="22"/>
      <c r="H42" s="22"/>
      <c r="I42" s="22" t="str">
        <f>$A$42</f>
        <v xml:space="preserve">  - DAMAGE_ALL:2:3</v>
      </c>
      <c r="J42" s="22"/>
      <c r="K42" s="22"/>
      <c r="L42" s="22"/>
      <c r="M42" s="22" t="str">
        <f>$A$42</f>
        <v xml:space="preserve">  - DAMAGE_ALL:2:3</v>
      </c>
      <c r="N42" s="22"/>
      <c r="O42" s="22"/>
      <c r="P42" s="22"/>
      <c r="Q42" s="22" t="str">
        <f>$A$42</f>
        <v xml:space="preserve">  - DAMAGE_ALL:2:3</v>
      </c>
      <c r="R42" s="22"/>
      <c r="S42" s="22"/>
      <c r="T42" s="22"/>
    </row>
    <row r="43" spans="1:20" x14ac:dyDescent="0.25">
      <c r="A43" s="22" t="str">
        <f>$A$20</f>
        <v xml:space="preserve">  - DAMAGE_ARTHROPODS:2:3</v>
      </c>
      <c r="B43" s="22"/>
      <c r="C43" s="22"/>
      <c r="D43" s="22"/>
      <c r="E43" s="22" t="str">
        <f>$A$43</f>
        <v xml:space="preserve">  - DAMAGE_ARTHROPODS:2:3</v>
      </c>
      <c r="F43" s="22"/>
      <c r="G43" s="22"/>
      <c r="H43" s="22"/>
      <c r="I43" s="22" t="str">
        <f>$A$43</f>
        <v xml:space="preserve">  - DAMAGE_ARTHROPODS:2:3</v>
      </c>
      <c r="J43" s="22"/>
      <c r="K43" s="22"/>
      <c r="L43" s="22"/>
      <c r="M43" s="22" t="str">
        <f>$A$43</f>
        <v xml:space="preserve">  - DAMAGE_ARTHROPODS:2:3</v>
      </c>
      <c r="N43" s="22"/>
      <c r="O43" s="22"/>
      <c r="P43" s="22"/>
      <c r="Q43" s="22" t="str">
        <f>$A$43</f>
        <v xml:space="preserve">  - DAMAGE_ARTHROPODS:2:3</v>
      </c>
      <c r="R43" s="22"/>
      <c r="S43" s="22"/>
      <c r="T43" s="22"/>
    </row>
    <row r="44" spans="1:20" x14ac:dyDescent="0.25">
      <c r="A44" s="22" t="str">
        <f>$A$21</f>
        <v xml:space="preserve">  - DAMAGE_UNDEAD:2:3</v>
      </c>
      <c r="B44" s="22"/>
      <c r="C44" s="22"/>
      <c r="D44" s="22"/>
      <c r="E44" s="22" t="str">
        <f>$A$44</f>
        <v xml:space="preserve">  - DAMAGE_UNDEAD:2:3</v>
      </c>
      <c r="F44" s="22"/>
      <c r="G44" s="22"/>
      <c r="H44" s="22"/>
      <c r="I44" s="22" t="str">
        <f>$A$44</f>
        <v xml:space="preserve">  - DAMAGE_UNDEAD:2:3</v>
      </c>
      <c r="J44" s="22"/>
      <c r="K44" s="22"/>
      <c r="L44" s="22"/>
      <c r="M44" s="22" t="str">
        <f>$A$44</f>
        <v xml:space="preserve">  - DAMAGE_UNDEAD:2:3</v>
      </c>
      <c r="N44" s="22"/>
      <c r="O44" s="22"/>
      <c r="P44" s="22"/>
      <c r="Q44" s="22" t="str">
        <f>$A$44</f>
        <v xml:space="preserve">  - DAMAGE_UNDEAD:2:3</v>
      </c>
      <c r="R44" s="22"/>
      <c r="S44" s="22"/>
      <c r="T44" s="22"/>
    </row>
    <row r="45" spans="1:20" x14ac:dyDescent="0.25">
      <c r="A45" s="22" t="str">
        <f>$A$22</f>
        <v xml:space="preserve">  - DIG_SPEED:2:3</v>
      </c>
      <c r="B45" s="22"/>
      <c r="C45" s="22"/>
      <c r="D45" s="22"/>
      <c r="E45" s="22" t="str">
        <f>$A$45</f>
        <v xml:space="preserve">  - DIG_SPEED:2:3</v>
      </c>
      <c r="F45" s="22"/>
      <c r="G45" s="22"/>
      <c r="H45" s="22"/>
      <c r="I45" s="22" t="str">
        <f>$A$45</f>
        <v xml:space="preserve">  - DIG_SPEED:2:3</v>
      </c>
      <c r="J45" s="22"/>
      <c r="K45" s="22"/>
      <c r="L45" s="22"/>
      <c r="M45" s="22" t="str">
        <f>$A$45</f>
        <v xml:space="preserve">  - DIG_SPEED:2:3</v>
      </c>
      <c r="N45" s="22"/>
      <c r="O45" s="22"/>
      <c r="P45" s="22"/>
      <c r="Q45" s="22" t="str">
        <f>$A$45</f>
        <v xml:space="preserve">  - DIG_SPEED:2:3</v>
      </c>
      <c r="R45" s="22"/>
      <c r="S45" s="22"/>
      <c r="T45" s="22"/>
    </row>
    <row r="46" spans="1:20" x14ac:dyDescent="0.25">
      <c r="A46" s="22" t="str">
        <f>$A$23</f>
        <v xml:space="preserve">  - DURABILITY:2:3</v>
      </c>
      <c r="B46" s="22"/>
      <c r="C46" s="22"/>
      <c r="D46" s="22"/>
      <c r="E46" s="22" t="str">
        <f>$A$46</f>
        <v xml:space="preserve">  - DURABILITY:2:3</v>
      </c>
      <c r="F46" s="22"/>
      <c r="G46" s="22"/>
      <c r="H46" s="22"/>
      <c r="I46" s="22" t="str">
        <f>$A$46</f>
        <v xml:space="preserve">  - DURABILITY:2:3</v>
      </c>
      <c r="J46" s="22"/>
      <c r="K46" s="22"/>
      <c r="L46" s="22"/>
      <c r="M46" s="22" t="str">
        <f>$A$46</f>
        <v xml:space="preserve">  - DURABILITY:2:3</v>
      </c>
      <c r="N46" s="22"/>
      <c r="O46" s="22"/>
      <c r="P46" s="22"/>
      <c r="Q46" s="22" t="str">
        <f>$A$46</f>
        <v xml:space="preserve">  - DURABILITY:2:3</v>
      </c>
      <c r="R46" s="22"/>
      <c r="S46" s="22"/>
      <c r="T46" s="22"/>
    </row>
    <row r="47" spans="1:20" x14ac:dyDescent="0.25">
      <c r="A47" s="22" t="str">
        <f>$A$24</f>
        <v xml:space="preserve">  - FIRE_ASPECT:2:3</v>
      </c>
      <c r="B47" s="22"/>
      <c r="C47" s="22"/>
      <c r="D47" s="22"/>
      <c r="E47" s="22" t="str">
        <f>$A$47</f>
        <v xml:space="preserve">  - FIRE_ASPECT:2:3</v>
      </c>
      <c r="F47" s="22"/>
      <c r="G47" s="22"/>
      <c r="H47" s="22"/>
      <c r="I47" s="22" t="str">
        <f>$A$47</f>
        <v xml:space="preserve">  - FIRE_ASPECT:2:3</v>
      </c>
      <c r="J47" s="22"/>
      <c r="K47" s="22"/>
      <c r="L47" s="22"/>
      <c r="M47" s="22" t="str">
        <f>$A$47</f>
        <v xml:space="preserve">  - FIRE_ASPECT:2:3</v>
      </c>
      <c r="N47" s="22"/>
      <c r="O47" s="22"/>
      <c r="P47" s="22"/>
      <c r="Q47" s="22" t="str">
        <f>$A$47</f>
        <v xml:space="preserve">  - FIRE_ASPECT:2:3</v>
      </c>
      <c r="R47" s="22"/>
      <c r="S47" s="22"/>
      <c r="T47" s="22"/>
    </row>
    <row r="48" spans="1:20" x14ac:dyDescent="0.25">
      <c r="A48" s="22" t="str">
        <f>$A$25</f>
        <v xml:space="preserve">  - KNOCKBACK:2:3</v>
      </c>
      <c r="B48" s="22"/>
      <c r="C48" s="22"/>
      <c r="D48" s="22"/>
      <c r="E48" s="22" t="str">
        <f>$A$48</f>
        <v xml:space="preserve">  - KNOCKBACK:2:3</v>
      </c>
      <c r="F48" s="22"/>
      <c r="G48" s="22"/>
      <c r="H48" s="22"/>
      <c r="I48" s="22" t="str">
        <f>$A$48</f>
        <v xml:space="preserve">  - KNOCKBACK:2:3</v>
      </c>
      <c r="J48" s="22"/>
      <c r="K48" s="22"/>
      <c r="L48" s="22"/>
      <c r="M48" s="22" t="str">
        <f>$A$48</f>
        <v xml:space="preserve">  - KNOCKBACK:2:3</v>
      </c>
      <c r="N48" s="22"/>
      <c r="O48" s="22"/>
      <c r="P48" s="22"/>
      <c r="Q48" s="22" t="str">
        <f>$A$48</f>
        <v xml:space="preserve">  - KNOCKBACK:2:3</v>
      </c>
      <c r="R48" s="22"/>
      <c r="S48" s="22"/>
      <c r="T48" s="22"/>
    </row>
    <row r="49" spans="1:20" x14ac:dyDescent="0.25">
      <c r="A49" s="22" t="str">
        <f>$A$26</f>
        <v xml:space="preserve">  - LOOT_BONUS_BLOCKS:2:3</v>
      </c>
      <c r="B49" s="22"/>
      <c r="C49" s="22"/>
      <c r="D49" s="22"/>
      <c r="E49" s="22" t="str">
        <f>$A$49</f>
        <v xml:space="preserve">  - LOOT_BONUS_BLOCKS:2:3</v>
      </c>
      <c r="F49" s="22"/>
      <c r="G49" s="22"/>
      <c r="H49" s="22"/>
      <c r="I49" s="22" t="str">
        <f>$A$49</f>
        <v xml:space="preserve">  - LOOT_BONUS_BLOCKS:2:3</v>
      </c>
      <c r="J49" s="22"/>
      <c r="K49" s="22"/>
      <c r="L49" s="22"/>
      <c r="M49" s="22" t="str">
        <f>$A$49</f>
        <v xml:space="preserve">  - LOOT_BONUS_BLOCKS:2:3</v>
      </c>
      <c r="N49" s="22"/>
      <c r="O49" s="22"/>
      <c r="P49" s="22"/>
      <c r="Q49" s="22" t="str">
        <f>$A$49</f>
        <v xml:space="preserve">  - LOOT_BONUS_BLOCKS:2:3</v>
      </c>
      <c r="R49" s="22"/>
      <c r="S49" s="22"/>
      <c r="T49" s="22"/>
    </row>
    <row r="50" spans="1:20" x14ac:dyDescent="0.25">
      <c r="A50" s="22" t="str">
        <f>$A$27</f>
        <v xml:space="preserve">  - LOOT_BONUS_MOBS:2:3</v>
      </c>
      <c r="B50" s="22"/>
      <c r="C50" s="22"/>
      <c r="D50" s="22"/>
      <c r="E50" s="22" t="str">
        <f>$A$50</f>
        <v xml:space="preserve">  - LOOT_BONUS_MOBS:2:3</v>
      </c>
      <c r="F50" s="22"/>
      <c r="G50" s="22"/>
      <c r="H50" s="22"/>
      <c r="I50" s="22" t="str">
        <f>$A$50</f>
        <v xml:space="preserve">  - LOOT_BONUS_MOBS:2:3</v>
      </c>
      <c r="J50" s="22"/>
      <c r="K50" s="22"/>
      <c r="L50" s="22"/>
      <c r="M50" s="22" t="str">
        <f>$A$50</f>
        <v xml:space="preserve">  - LOOT_BONUS_MOBS:2:3</v>
      </c>
      <c r="N50" s="22"/>
      <c r="O50" s="22"/>
      <c r="P50" s="22"/>
      <c r="Q50" s="22" t="str">
        <f>$A$50</f>
        <v xml:space="preserve">  - LOOT_BONUS_MOBS:2:3</v>
      </c>
      <c r="R50" s="22"/>
      <c r="S50" s="22"/>
      <c r="T50" s="22"/>
    </row>
    <row r="51" spans="1:20" x14ac:dyDescent="0.25">
      <c r="A51" s="22" t="str">
        <f>$A$28</f>
        <v xml:space="preserve">  - OXYGEN:2:3</v>
      </c>
      <c r="B51" s="22"/>
      <c r="C51" s="22"/>
      <c r="D51" s="22"/>
      <c r="E51" s="22" t="str">
        <f>$A$51</f>
        <v xml:space="preserve">  - OXYGEN:2:3</v>
      </c>
      <c r="F51" s="22"/>
      <c r="G51" s="22"/>
      <c r="H51" s="22"/>
      <c r="I51" s="22" t="str">
        <f>$A$51</f>
        <v xml:space="preserve">  - OXYGEN:2:3</v>
      </c>
      <c r="J51" s="22"/>
      <c r="K51" s="22"/>
      <c r="L51" s="22"/>
      <c r="M51" s="22" t="str">
        <f>$A$51</f>
        <v xml:space="preserve">  - OXYGEN:2:3</v>
      </c>
      <c r="N51" s="22"/>
      <c r="O51" s="22"/>
      <c r="P51" s="22"/>
      <c r="Q51" s="22" t="str">
        <f>$A$51</f>
        <v xml:space="preserve">  - OXYGEN:2:3</v>
      </c>
      <c r="R51" s="22"/>
      <c r="S51" s="22"/>
      <c r="T51" s="22"/>
    </row>
    <row r="52" spans="1:20" x14ac:dyDescent="0.25">
      <c r="A52" s="22" t="str">
        <f>$A$29</f>
        <v xml:space="preserve">  - PROTECTION_ENVIRONMENT:2:3</v>
      </c>
      <c r="B52" s="22"/>
      <c r="C52" s="22"/>
      <c r="D52" s="22"/>
      <c r="E52" s="22" t="str">
        <f>$A$52</f>
        <v xml:space="preserve">  - PROTECTION_ENVIRONMENT:2:3</v>
      </c>
      <c r="F52" s="22"/>
      <c r="G52" s="22"/>
      <c r="H52" s="22"/>
      <c r="I52" s="22" t="str">
        <f>$A$52</f>
        <v xml:space="preserve">  - PROTECTION_ENVIRONMENT:2:3</v>
      </c>
      <c r="J52" s="22"/>
      <c r="K52" s="22"/>
      <c r="L52" s="22"/>
      <c r="M52" s="22" t="str">
        <f>$A$52</f>
        <v xml:space="preserve">  - PROTECTION_ENVIRONMENT:2:3</v>
      </c>
      <c r="N52" s="22"/>
      <c r="O52" s="22"/>
      <c r="P52" s="22"/>
      <c r="Q52" s="22" t="str">
        <f>$A$52</f>
        <v xml:space="preserve">  - PROTECTION_ENVIRONMENT:2:3</v>
      </c>
      <c r="R52" s="22"/>
      <c r="S52" s="22"/>
      <c r="T52" s="22"/>
    </row>
    <row r="53" spans="1:20" x14ac:dyDescent="0.25">
      <c r="A53" s="22" t="str">
        <f>$A$30</f>
        <v xml:space="preserve">  - PROTECTION_EXPLOSIONS:2:3</v>
      </c>
      <c r="B53" s="22"/>
      <c r="C53" s="22"/>
      <c r="D53" s="22"/>
      <c r="E53" s="22" t="str">
        <f>$A$53</f>
        <v xml:space="preserve">  - PROTECTION_EXPLOSIONS:2:3</v>
      </c>
      <c r="F53" s="22"/>
      <c r="G53" s="22"/>
      <c r="H53" s="22"/>
      <c r="I53" s="22" t="str">
        <f>$A$53</f>
        <v xml:space="preserve">  - PROTECTION_EXPLOSIONS:2:3</v>
      </c>
      <c r="J53" s="22"/>
      <c r="K53" s="22"/>
      <c r="L53" s="22"/>
      <c r="M53" s="22" t="str">
        <f>$A$53</f>
        <v xml:space="preserve">  - PROTECTION_EXPLOSIONS:2:3</v>
      </c>
      <c r="N53" s="22"/>
      <c r="O53" s="22"/>
      <c r="P53" s="22"/>
      <c r="Q53" s="22" t="str">
        <f>$A$53</f>
        <v xml:space="preserve">  - PROTECTION_EXPLOSIONS:2:3</v>
      </c>
      <c r="R53" s="22"/>
      <c r="S53" s="22"/>
      <c r="T53" s="22"/>
    </row>
    <row r="54" spans="1:20" x14ac:dyDescent="0.25">
      <c r="A54" s="22" t="str">
        <f>$A$31</f>
        <v xml:space="preserve">  - PROTECTION_FALL:2:3</v>
      </c>
      <c r="B54" s="22"/>
      <c r="C54" s="22"/>
      <c r="D54" s="22"/>
      <c r="E54" s="22" t="str">
        <f>$A$54</f>
        <v xml:space="preserve">  - PROTECTION_FALL:2:3</v>
      </c>
      <c r="F54" s="22"/>
      <c r="G54" s="22"/>
      <c r="H54" s="22"/>
      <c r="I54" s="22" t="str">
        <f>$A$54</f>
        <v xml:space="preserve">  - PROTECTION_FALL:2:3</v>
      </c>
      <c r="J54" s="22"/>
      <c r="K54" s="22"/>
      <c r="L54" s="22"/>
      <c r="M54" s="22" t="str">
        <f>$A$54</f>
        <v xml:space="preserve">  - PROTECTION_FALL:2:3</v>
      </c>
      <c r="N54" s="22"/>
      <c r="O54" s="22"/>
      <c r="P54" s="22"/>
      <c r="Q54" s="22" t="str">
        <f>$A$54</f>
        <v xml:space="preserve">  - PROTECTION_FALL:2:3</v>
      </c>
      <c r="R54" s="22"/>
      <c r="S54" s="22"/>
      <c r="T54" s="22"/>
    </row>
    <row r="55" spans="1:20" x14ac:dyDescent="0.25">
      <c r="A55" s="22" t="str">
        <f>$A$32</f>
        <v xml:space="preserve">  - PROTECTION_FIRE:2:3</v>
      </c>
      <c r="B55" s="22"/>
      <c r="C55" s="22"/>
      <c r="D55" s="22"/>
      <c r="E55" s="22" t="str">
        <f>$A$55</f>
        <v xml:space="preserve">  - PROTECTION_FIRE:2:3</v>
      </c>
      <c r="F55" s="22"/>
      <c r="G55" s="22"/>
      <c r="H55" s="22"/>
      <c r="I55" s="22" t="str">
        <f>$A$55</f>
        <v xml:space="preserve">  - PROTECTION_FIRE:2:3</v>
      </c>
      <c r="J55" s="22"/>
      <c r="K55" s="22"/>
      <c r="L55" s="22"/>
      <c r="M55" s="22" t="str">
        <f>$A$55</f>
        <v xml:space="preserve">  - PROTECTION_FIRE:2:3</v>
      </c>
      <c r="N55" s="22"/>
      <c r="O55" s="22"/>
      <c r="P55" s="22"/>
      <c r="Q55" s="22" t="str">
        <f>$A$55</f>
        <v xml:space="preserve">  - PROTECTION_FIRE:2:3</v>
      </c>
      <c r="R55" s="22"/>
      <c r="S55" s="22"/>
      <c r="T55" s="22"/>
    </row>
    <row r="56" spans="1:20" x14ac:dyDescent="0.25">
      <c r="A56" s="22" t="str">
        <f>$A$33</f>
        <v xml:space="preserve">  - PROTECTION_PROJECTILE:2:3</v>
      </c>
      <c r="B56" s="22"/>
      <c r="C56" s="22"/>
      <c r="D56" s="22"/>
      <c r="E56" s="22" t="str">
        <f>$A$56</f>
        <v xml:space="preserve">  - PROTECTION_PROJECTILE:2:3</v>
      </c>
      <c r="F56" s="22"/>
      <c r="G56" s="22"/>
      <c r="H56" s="22"/>
      <c r="I56" s="22" t="str">
        <f>$A$56</f>
        <v xml:space="preserve">  - PROTECTION_PROJECTILE:2:3</v>
      </c>
      <c r="J56" s="22"/>
      <c r="K56" s="22"/>
      <c r="L56" s="22"/>
      <c r="M56" s="22" t="str">
        <f>$A$56</f>
        <v xml:space="preserve">  - PROTECTION_PROJECTILE:2:3</v>
      </c>
      <c r="N56" s="22"/>
      <c r="O56" s="22"/>
      <c r="P56" s="22"/>
      <c r="Q56" s="22" t="str">
        <f>$A$56</f>
        <v xml:space="preserve">  - PROTECTION_PROJECTILE:2:3</v>
      </c>
      <c r="R56" s="22"/>
      <c r="S56" s="22"/>
      <c r="T56" s="22"/>
    </row>
    <row r="57" spans="1:20" x14ac:dyDescent="0.25">
      <c r="A57" s="22" t="str">
        <f>$A$34</f>
        <v xml:space="preserve">  - SILK_TOUCH:2:3</v>
      </c>
      <c r="B57" s="22"/>
      <c r="C57" s="22"/>
      <c r="D57" s="22"/>
      <c r="E57" s="22" t="str">
        <f>$A$57</f>
        <v xml:space="preserve">  - SILK_TOUCH:2:3</v>
      </c>
      <c r="F57" s="22"/>
      <c r="G57" s="22"/>
      <c r="H57" s="22"/>
      <c r="I57" s="22" t="str">
        <f>$A$57</f>
        <v xml:space="preserve">  - SILK_TOUCH:2:3</v>
      </c>
      <c r="J57" s="22"/>
      <c r="K57" s="22"/>
      <c r="L57" s="22"/>
      <c r="M57" s="22" t="str">
        <f>$A$57</f>
        <v xml:space="preserve">  - SILK_TOUCH:2:3</v>
      </c>
      <c r="N57" s="22"/>
      <c r="O57" s="22"/>
      <c r="P57" s="22"/>
      <c r="Q57" s="22" t="str">
        <f>$A$57</f>
        <v xml:space="preserve">  - SILK_TOUCH:2:3</v>
      </c>
      <c r="R57" s="22"/>
      <c r="S57" s="22"/>
      <c r="T57" s="22"/>
    </row>
    <row r="58" spans="1:20" x14ac:dyDescent="0.25">
      <c r="A58" s="22" t="str">
        <f>$A$35</f>
        <v xml:space="preserve">  - THORNS:2:3</v>
      </c>
      <c r="B58" s="22"/>
      <c r="C58" s="22"/>
      <c r="D58" s="22"/>
      <c r="E58" s="22" t="str">
        <f>$A$58</f>
        <v xml:space="preserve">  - THORNS:2:3</v>
      </c>
      <c r="F58" s="22"/>
      <c r="G58" s="22"/>
      <c r="H58" s="22"/>
      <c r="I58" s="22" t="str">
        <f>$A$58</f>
        <v xml:space="preserve">  - THORNS:2:3</v>
      </c>
      <c r="J58" s="22"/>
      <c r="K58" s="22"/>
      <c r="L58" s="22"/>
      <c r="M58" s="22" t="str">
        <f>$A$58</f>
        <v xml:space="preserve">  - THORNS:2:3</v>
      </c>
      <c r="N58" s="22"/>
      <c r="O58" s="22"/>
      <c r="P58" s="22"/>
      <c r="Q58" s="22" t="str">
        <f>$A$58</f>
        <v xml:space="preserve">  - THORNS:2:3</v>
      </c>
      <c r="R58" s="22"/>
      <c r="S58" s="22"/>
      <c r="T58" s="22"/>
    </row>
    <row r="59" spans="1:20" x14ac:dyDescent="0.25">
      <c r="A59" s="22" t="str">
        <f>$A$36</f>
        <v xml:space="preserve">  - WATER_WORKER:2:3</v>
      </c>
      <c r="B59" s="22"/>
      <c r="C59" s="22"/>
      <c r="D59" s="22"/>
      <c r="E59" s="22" t="str">
        <f>$A$59</f>
        <v xml:space="preserve">  - WATER_WORKER:2:3</v>
      </c>
      <c r="F59" s="22"/>
      <c r="G59" s="22"/>
      <c r="H59" s="22"/>
      <c r="I59" s="22" t="str">
        <f>$A$59</f>
        <v xml:space="preserve">  - WATER_WORKER:2:3</v>
      </c>
      <c r="J59" s="22"/>
      <c r="K59" s="22"/>
      <c r="L59" s="22"/>
      <c r="M59" s="22" t="str">
        <f>$A$59</f>
        <v xml:space="preserve">  - WATER_WORKER:2:3</v>
      </c>
      <c r="N59" s="22"/>
      <c r="O59" s="22"/>
      <c r="P59" s="22"/>
      <c r="Q59" s="22" t="str">
        <f>$A$59</f>
        <v xml:space="preserve">  - WATER_WORKER:2:3</v>
      </c>
      <c r="R59" s="22"/>
      <c r="S59" s="22"/>
      <c r="T59" s="22"/>
    </row>
    <row r="60" spans="1:20" x14ac:dyDescent="0.25">
      <c r="A60" s="9" t="s">
        <v>28</v>
      </c>
      <c r="B60" s="9"/>
      <c r="C60" s="9"/>
      <c r="D60" s="9"/>
      <c r="E60" s="9" t="s">
        <v>28</v>
      </c>
      <c r="F60" s="9"/>
      <c r="G60" s="9"/>
      <c r="H60" s="9"/>
      <c r="I60" s="9" t="s">
        <v>28</v>
      </c>
      <c r="J60" s="9"/>
      <c r="K60" s="9"/>
      <c r="L60" s="9"/>
      <c r="M60" s="9" t="s">
        <v>28</v>
      </c>
      <c r="N60" s="9"/>
      <c r="O60" s="9"/>
      <c r="P60" s="9"/>
      <c r="Q60" s="9" t="s">
        <v>28</v>
      </c>
      <c r="R60" s="9"/>
      <c r="S60" s="9"/>
      <c r="T60" s="9"/>
    </row>
    <row r="61" spans="1:20" x14ac:dyDescent="0.25">
      <c r="A61" s="11" t="str">
        <f>'armas raro'!$A$61</f>
        <v xml:space="preserve">  minimumBonusLore: 1</v>
      </c>
      <c r="B61" s="11"/>
      <c r="C61" s="11"/>
      <c r="D61" s="11"/>
      <c r="E61" s="11" t="str">
        <f t="shared" ref="E61" si="14">$A$61</f>
        <v xml:space="preserve">  minimumBonusLore: 1</v>
      </c>
      <c r="F61" s="11"/>
      <c r="G61" s="11"/>
      <c r="H61" s="11"/>
      <c r="I61" s="11" t="str">
        <f t="shared" ref="I61" si="15">$A$61</f>
        <v xml:space="preserve">  minimumBonusLore: 1</v>
      </c>
      <c r="J61" s="11"/>
      <c r="K61" s="11"/>
      <c r="L61" s="11"/>
      <c r="M61" s="11" t="str">
        <f t="shared" ref="M61" si="16">$A$61</f>
        <v xml:space="preserve">  minimumBonusLore: 1</v>
      </c>
      <c r="N61" s="11"/>
      <c r="O61" s="11"/>
      <c r="P61" s="11"/>
      <c r="Q61" s="11" t="str">
        <f t="shared" ref="Q61" si="17">$A$61</f>
        <v xml:space="preserve">  minimumBonusLore: 1</v>
      </c>
      <c r="R61" s="11"/>
      <c r="S61" s="11"/>
      <c r="T61" s="11"/>
    </row>
    <row r="62" spans="1:20" x14ac:dyDescent="0.25">
      <c r="A62" s="11" t="str">
        <f>'armas raro'!$A$62</f>
        <v xml:space="preserve">  maximumBonusLore: 2</v>
      </c>
      <c r="B62" s="11"/>
      <c r="C62" s="11"/>
      <c r="D62" s="11"/>
      <c r="E62" s="11" t="str">
        <f t="shared" ref="E62" si="18">$A$62</f>
        <v xml:space="preserve">  maximumBonusLore: 2</v>
      </c>
      <c r="F62" s="11"/>
      <c r="G62" s="11"/>
      <c r="H62" s="11"/>
      <c r="I62" s="11" t="str">
        <f t="shared" ref="I62" si="19">$A$62</f>
        <v xml:space="preserve">  maximumBonusLore: 2</v>
      </c>
      <c r="J62" s="11"/>
      <c r="K62" s="11"/>
      <c r="L62" s="11"/>
      <c r="M62" s="11" t="str">
        <f t="shared" ref="M62" si="20">$A$62</f>
        <v xml:space="preserve">  maximumBonusLore: 2</v>
      </c>
      <c r="N62" s="11"/>
      <c r="O62" s="11"/>
      <c r="P62" s="11"/>
      <c r="Q62" s="11" t="str">
        <f t="shared" ref="Q62" si="21">$A$62</f>
        <v xml:space="preserve">  maximumBonusLore: 2</v>
      </c>
      <c r="R62" s="11"/>
      <c r="S62" s="11"/>
      <c r="T62" s="11"/>
    </row>
    <row r="63" spans="1:20" x14ac:dyDescent="0.25">
      <c r="A63" s="9" t="s">
        <v>29</v>
      </c>
      <c r="B63" s="9"/>
      <c r="C63" s="9"/>
      <c r="D63" s="9"/>
      <c r="E63" s="9" t="s">
        <v>29</v>
      </c>
      <c r="F63" s="9"/>
      <c r="G63" s="9"/>
      <c r="H63" s="9"/>
      <c r="I63" s="9" t="s">
        <v>29</v>
      </c>
      <c r="J63" s="9"/>
      <c r="K63" s="9"/>
      <c r="L63" s="9"/>
      <c r="M63" s="9" t="s">
        <v>29</v>
      </c>
      <c r="N63" s="9"/>
      <c r="O63" s="9"/>
      <c r="P63" s="9"/>
      <c r="Q63" s="9" t="s">
        <v>29</v>
      </c>
      <c r="R63" s="9"/>
      <c r="S63" s="9"/>
      <c r="T63" s="9"/>
    </row>
    <row r="64" spans="1:20" x14ac:dyDescent="0.25">
      <c r="A64" s="20" t="str">
        <f>"  - '&amp;aVenta: &amp;6"&amp;(MAIN!$F$2+(MAIN!$E$18+MAIN!$E$19)/2*MAIN!$B$9+(MAIN!$E$20+MAIN!$E$21)/2*MAIN!$B$8+(MAIN!$E$58*MAIN!$B$11)+($C$2*MAIN!$B$10))/10&amp;" &amp;aAlmakos'"</f>
        <v xml:space="preserve">  - '&amp;aVenta: &amp;6487.5 &amp;aAlmakos'</v>
      </c>
      <c r="B64" s="20"/>
      <c r="C64" s="20"/>
      <c r="D64" s="20"/>
      <c r="E64" s="20" t="str">
        <f>"  - '&amp;aVenta: &amp;6"&amp;(MAIN!$G$2+(MAIN!$E$18+MAIN!$E$19)/2*MAIN!$B$9+(MAIN!$E$20+MAIN!$E$21)/2*MAIN!$B$8+(MAIN!$E$58*MAIN!$B$11)+($C$2*MAIN!$B$10))/10&amp;" &amp;aAlmakos'"</f>
        <v xml:space="preserve">  - '&amp;aVenta: &amp;6587.5 &amp;aAlmakos'</v>
      </c>
      <c r="F64" s="20"/>
      <c r="G64" s="20"/>
      <c r="H64" s="20"/>
      <c r="I64" s="20" t="str">
        <f>"  - '&amp;aVenta: &amp;6"&amp;(MAIN!$H$2+(MAIN!$E$18+MAIN!$E$19)/2*MAIN!$B$9+(MAIN!$E$20+MAIN!$E$21)/2*MAIN!$B$8+(MAIN!$E$58*MAIN!$B$11)+($C$2*MAIN!$B$10))/10&amp;" &amp;aAlmakos'"</f>
        <v xml:space="preserve">  - '&amp;aVenta: &amp;6787.5 &amp;aAlmakos'</v>
      </c>
      <c r="J64" s="20"/>
      <c r="K64" s="20"/>
      <c r="L64" s="20"/>
      <c r="M64" s="20" t="str">
        <f>"  - '&amp;aVenta: &amp;6"&amp;(MAIN!$I$2+(MAIN!$E$18+MAIN!$E$19)/2*MAIN!$B$9+(MAIN!$E$20+MAIN!$E$21)/2*MAIN!$B$8+(MAIN!$E$58*MAIN!$B$11)+($C$2*MAIN!$B$10))/10&amp;" &amp;aAlmakos'"</f>
        <v xml:space="preserve">  - '&amp;aVenta: &amp;61187.5 &amp;aAlmakos'</v>
      </c>
      <c r="N64" s="20"/>
      <c r="O64" s="20"/>
      <c r="P64" s="20"/>
      <c r="Q64" s="20" t="str">
        <f>"  - '&amp;aVenta: &amp;6"&amp;(MAIN!$J$2+(MAIN!$E$18+MAIN!$E$19)/2*MAIN!$B$9+(MAIN!$E$20+MAIN!$E$21)/2*MAIN!$B$8+(MAIN!$E$58*MAIN!$B$11)+($C$2*MAIN!$B$10))/10&amp;" &amp;aAlmakos'"</f>
        <v xml:space="preserve">  - '&amp;aVenta: &amp;61987.5 &amp;aAlmakos'</v>
      </c>
      <c r="R64" s="20"/>
      <c r="S64" s="20"/>
      <c r="T64" s="20"/>
    </row>
    <row r="65" spans="1:20" x14ac:dyDescent="0.25">
      <c r="A65" s="9" t="s">
        <v>30</v>
      </c>
      <c r="B65" s="9"/>
      <c r="C65" s="9"/>
      <c r="D65" s="9"/>
      <c r="E65" s="9" t="s">
        <v>30</v>
      </c>
      <c r="F65" s="9"/>
      <c r="G65" s="9"/>
      <c r="H65" s="9"/>
      <c r="I65" s="9" t="s">
        <v>30</v>
      </c>
      <c r="J65" s="9"/>
      <c r="K65" s="9"/>
      <c r="L65" s="9"/>
      <c r="M65" s="9" t="s">
        <v>30</v>
      </c>
      <c r="N65" s="9"/>
      <c r="O65" s="9"/>
      <c r="P65" s="9"/>
      <c r="Q65" s="9" t="s">
        <v>30</v>
      </c>
      <c r="R65" s="9"/>
      <c r="S65" s="9"/>
      <c r="T65" s="9"/>
    </row>
    <row r="66" spans="1:20" x14ac:dyDescent="0.25">
      <c r="A66" s="9" t="s">
        <v>31</v>
      </c>
      <c r="B66" s="9"/>
      <c r="C66" s="9"/>
      <c r="D66" s="9"/>
      <c r="E66" s="9" t="s">
        <v>31</v>
      </c>
      <c r="F66" s="9"/>
      <c r="G66" s="9"/>
      <c r="H66" s="9"/>
      <c r="I66" s="9" t="s">
        <v>31</v>
      </c>
      <c r="J66" s="9"/>
      <c r="K66" s="9"/>
      <c r="L66" s="9"/>
      <c r="M66" s="9" t="s">
        <v>31</v>
      </c>
      <c r="N66" s="9"/>
      <c r="O66" s="9"/>
      <c r="P66" s="9"/>
      <c r="Q66" s="9" t="s">
        <v>31</v>
      </c>
      <c r="R66" s="9"/>
      <c r="S66" s="9"/>
      <c r="T66" s="9"/>
    </row>
    <row r="67" spans="1:20" s="262" customFormat="1" x14ac:dyDescent="0.25">
      <c r="A67" s="9" t="s">
        <v>1032</v>
      </c>
      <c r="B67" s="9"/>
      <c r="C67" s="9"/>
      <c r="D67" s="9"/>
      <c r="E67" s="9" t="s">
        <v>1032</v>
      </c>
      <c r="F67" s="9"/>
      <c r="G67" s="9"/>
      <c r="H67" s="9"/>
      <c r="I67" s="9" t="s">
        <v>1032</v>
      </c>
      <c r="J67" s="9"/>
      <c r="K67" s="9"/>
      <c r="L67" s="9"/>
      <c r="M67" s="9" t="s">
        <v>1032</v>
      </c>
      <c r="N67" s="9"/>
      <c r="O67" s="9"/>
      <c r="P67" s="9"/>
      <c r="Q67" s="9" t="s">
        <v>1032</v>
      </c>
      <c r="R67" s="9"/>
      <c r="S67" s="9"/>
      <c r="T67" s="9"/>
    </row>
    <row r="68" spans="1:20" x14ac:dyDescent="0.25">
      <c r="A68" s="10" t="str">
        <f>"  - '&amp;7• &amp;8Nivel: &amp;a"&amp;MAIN!$C$60+($C$2*MAIN!$I$27)&amp;"'"</f>
        <v xml:space="preserve">  - '&amp;7• &amp;8Nivel: &amp;a33'</v>
      </c>
      <c r="B68" s="10"/>
      <c r="C68" s="10"/>
      <c r="D68" s="10"/>
      <c r="E68" s="10" t="str">
        <f>"  - '&amp;7• &amp;8Nivel: &amp;a"&amp;MAIN!$D$60+($C$2*MAIN!$I$27)&amp;"'"</f>
        <v xml:space="preserve">  - '&amp;7• &amp;8Nivel: &amp;a51'</v>
      </c>
      <c r="F68" s="10"/>
      <c r="G68" s="10"/>
      <c r="H68" s="10"/>
      <c r="I68" s="10" t="str">
        <f>"  - '&amp;7• &amp;8Nivel: &amp;a"&amp;MAIN!$E$60+($C$2*MAIN!$I$27)&amp;"'"</f>
        <v xml:space="preserve">  - '&amp;7• &amp;8Nivel: &amp;a105'</v>
      </c>
      <c r="J68" s="10"/>
      <c r="K68" s="10"/>
      <c r="L68" s="10"/>
      <c r="M68" s="10" t="str">
        <f>"  - '&amp;7• &amp;8Nivel: &amp;a"&amp;MAIN!$F$60+($C$2*MAIN!$I$27)&amp;"'"</f>
        <v xml:space="preserve">  - '&amp;7• &amp;8Nivel: &amp;a265'</v>
      </c>
      <c r="N68" s="10"/>
      <c r="O68" s="10"/>
      <c r="P68" s="10"/>
      <c r="Q68" s="10" t="str">
        <f>"  - '&amp;7• &amp;8Nivel: &amp;a"&amp;MAIN!$G$60+($C$2*MAIN!$I$27)&amp;"'"</f>
        <v xml:space="preserve">  - '&amp;7• &amp;8Nivel: &amp;a505'</v>
      </c>
      <c r="R68" s="10"/>
      <c r="S68" s="10"/>
      <c r="T68" s="10"/>
    </row>
    <row r="69" spans="1:20" x14ac:dyDescent="0.25">
      <c r="A69" s="12" t="str">
        <f>"  - '&amp;7• &amp;8"&amp;MAIN!$C$12&amp;" lvl: &amp;a"&amp;ROUNDUP((MAIN!$C$60+($C$2*MAIN!$I$27))/3,0)&amp;"'"</f>
        <v xml:space="preserve">  - '&amp;7• &amp;8Esencia lvl: &amp;a11'</v>
      </c>
      <c r="B69" s="12"/>
      <c r="C69" s="12"/>
      <c r="D69" s="12"/>
      <c r="E69" s="12" t="str">
        <f>"  - '&amp;7• &amp;8"&amp;MAIN!$C$12&amp;" lvl: &amp;a"&amp;ROUNDUP((MAIN!$D$60+($C$2*MAIN!$I$27))/3,0)&amp;"'"</f>
        <v xml:space="preserve">  - '&amp;7• &amp;8Esencia lvl: &amp;a17'</v>
      </c>
      <c r="F69" s="12"/>
      <c r="G69" s="12"/>
      <c r="H69" s="12"/>
      <c r="I69" s="12" t="str">
        <f>"  - '&amp;7• &amp;8"&amp;MAIN!$C$12&amp;" lvl: &amp;a"&amp;ROUNDUP((MAIN!$E$60+($C$2*MAIN!$I$27))/3,0)&amp;"'"</f>
        <v xml:space="preserve">  - '&amp;7• &amp;8Esencia lvl: &amp;a35'</v>
      </c>
      <c r="J69" s="12"/>
      <c r="K69" s="12"/>
      <c r="L69" s="12"/>
      <c r="M69" s="12" t="str">
        <f>"  - '&amp;7• &amp;8"&amp;MAIN!$C$12&amp;" lvl: &amp;a"&amp;ROUNDUP((MAIN!$F$60+($C$2*MAIN!$I$27))/3,0)&amp;"'"</f>
        <v xml:space="preserve">  - '&amp;7• &amp;8Esencia lvl: &amp;a89'</v>
      </c>
      <c r="N69" s="12"/>
      <c r="O69" s="12"/>
      <c r="P69" s="12"/>
      <c r="Q69" s="12" t="str">
        <f>"  - '&amp;7• &amp;8"&amp;MAIN!$C$12&amp;" lvl: &amp;a"&amp;ROUNDUP((MAIN!$G$60+($C$2*MAIN!$I$27))/3,0)&amp;"'"</f>
        <v xml:space="preserve">  - '&amp;7• &amp;8Esencia lvl: &amp;a169'</v>
      </c>
      <c r="R69" s="12"/>
      <c r="S69" s="12"/>
      <c r="T69" s="12"/>
    </row>
    <row r="70" spans="1:20" x14ac:dyDescent="0.25">
      <c r="A70" s="9" t="s">
        <v>32</v>
      </c>
      <c r="B70" s="9"/>
      <c r="C70" s="9"/>
      <c r="D70" s="9"/>
      <c r="E70" s="9" t="s">
        <v>32</v>
      </c>
      <c r="F70" s="9"/>
      <c r="G70" s="9"/>
      <c r="H70" s="9"/>
      <c r="I70" s="9" t="s">
        <v>32</v>
      </c>
      <c r="J70" s="9"/>
      <c r="K70" s="9"/>
      <c r="L70" s="9"/>
      <c r="M70" s="9" t="s">
        <v>32</v>
      </c>
      <c r="N70" s="9"/>
      <c r="O70" s="9"/>
      <c r="P70" s="9"/>
      <c r="Q70" s="9" t="s">
        <v>32</v>
      </c>
      <c r="R70" s="9"/>
      <c r="S70" s="9"/>
      <c r="T70" s="9"/>
    </row>
    <row r="71" spans="1:20" s="291" customFormat="1" x14ac:dyDescent="0.25">
      <c r="A71" s="9" t="s">
        <v>1196</v>
      </c>
      <c r="B71" s="9"/>
      <c r="C71" s="9"/>
      <c r="D71" s="9"/>
      <c r="E71" s="9" t="str">
        <f>A71</f>
        <v xml:space="preserve">  - '%tierlore%'</v>
      </c>
      <c r="F71" s="9"/>
      <c r="G71" s="9"/>
      <c r="H71" s="9"/>
      <c r="I71" s="9" t="str">
        <f>E71</f>
        <v xml:space="preserve">  - '%tierlore%'</v>
      </c>
      <c r="J71" s="9"/>
      <c r="K71" s="9"/>
      <c r="L71" s="9"/>
      <c r="M71" s="9" t="str">
        <f>I71</f>
        <v xml:space="preserve">  - '%tierlore%'</v>
      </c>
      <c r="N71" s="9"/>
      <c r="O71" s="9"/>
      <c r="P71" s="9"/>
      <c r="Q71" s="9" t="str">
        <f>M71</f>
        <v xml:space="preserve">  - '%tierlore%'</v>
      </c>
      <c r="R71" s="9"/>
      <c r="S71" s="9"/>
      <c r="T71" s="9"/>
    </row>
    <row r="72" spans="1:20" x14ac:dyDescent="0.25">
      <c r="A72" s="9" t="s">
        <v>33</v>
      </c>
      <c r="B72" s="9"/>
      <c r="C72" s="9"/>
      <c r="D72" s="9"/>
      <c r="E72" s="9" t="s">
        <v>33</v>
      </c>
      <c r="F72" s="9"/>
      <c r="G72" s="9"/>
      <c r="H72" s="9"/>
      <c r="I72" s="9" t="s">
        <v>33</v>
      </c>
      <c r="J72" s="9"/>
      <c r="K72" s="9"/>
      <c r="L72" s="9"/>
      <c r="M72" s="9" t="s">
        <v>33</v>
      </c>
      <c r="N72" s="9"/>
      <c r="O72" s="9"/>
      <c r="P72" s="9"/>
      <c r="Q72" s="9" t="s">
        <v>33</v>
      </c>
      <c r="R72" s="9"/>
      <c r="S72" s="9"/>
      <c r="T72" s="9"/>
    </row>
    <row r="73" spans="1:20" x14ac:dyDescent="0.25">
      <c r="A73" s="10" t="str">
        <f>"  - '&amp;4• &amp;f"&amp;MAIN!$C$9&amp;": &amp;a"&amp;MAIN!$C$55*$C$2&amp;"'"</f>
        <v xml:space="preserve">  - '&amp;4• &amp;fFuerza: &amp;a25'</v>
      </c>
      <c r="B73" s="10"/>
      <c r="C73" s="10"/>
      <c r="D73" s="10"/>
      <c r="E73" s="10" t="str">
        <f>"  - '&amp;4• &amp;f"&amp;MAIN!$C$9&amp;": &amp;a"&amp;MAIN!$D$55*$C$2&amp;"'"</f>
        <v xml:space="preserve">  - '&amp;4• &amp;fFuerza: &amp;a40'</v>
      </c>
      <c r="F73" s="10"/>
      <c r="G73" s="10"/>
      <c r="H73" s="10"/>
      <c r="I73" s="10" t="str">
        <f>"  - '&amp;4• &amp;f"&amp;MAIN!$C$9&amp;": &amp;a"&amp;MAIN!$E$55*$C$2&amp;"'"</f>
        <v xml:space="preserve">  - '&amp;4• &amp;fFuerza: &amp;a65'</v>
      </c>
      <c r="J73" s="10"/>
      <c r="K73" s="10"/>
      <c r="L73" s="10"/>
      <c r="M73" s="10" t="str">
        <f>"  - '&amp;4• &amp;f"&amp;MAIN!$C$9&amp;": &amp;a"&amp;MAIN!$F$55*$C$2&amp;"'"</f>
        <v xml:space="preserve">  - '&amp;4• &amp;fFuerza: &amp;a110'</v>
      </c>
      <c r="N73" s="10"/>
      <c r="O73" s="10"/>
      <c r="P73" s="10"/>
      <c r="Q73" s="10" t="str">
        <f>"  - '&amp;4• &amp;f"&amp;MAIN!$C$9&amp;": &amp;a"&amp;MAIN!$G$55*$C$2&amp;"'"</f>
        <v xml:space="preserve">  - '&amp;4• &amp;fFuerza: &amp;a185'</v>
      </c>
      <c r="R73" s="10"/>
      <c r="S73" s="10"/>
      <c r="T73" s="10"/>
    </row>
    <row r="74" spans="1:20" x14ac:dyDescent="0.25">
      <c r="A74" s="10" t="str">
        <f>"  - '&amp;4• &amp;f"&amp;MAIN!$C$8&amp;": &amp;a"&amp;MAIN!$C$55*$C$2&amp;"'"</f>
        <v xml:space="preserve">  - '&amp;4• &amp;fVitalidad: &amp;a25'</v>
      </c>
      <c r="B74" s="10"/>
      <c r="C74" s="10"/>
      <c r="D74" s="10"/>
      <c r="E74" s="10" t="str">
        <f>"  - '&amp;4• &amp;f"&amp;MAIN!$C$8&amp;": &amp;a"&amp;MAIN!$D$55*$C$2&amp;"'"</f>
        <v xml:space="preserve">  - '&amp;4• &amp;fVitalidad: &amp;a40'</v>
      </c>
      <c r="F74" s="10"/>
      <c r="G74" s="10"/>
      <c r="H74" s="10"/>
      <c r="I74" s="10" t="str">
        <f>"  - '&amp;4• &amp;f"&amp;MAIN!$C$8&amp;": &amp;a"&amp;MAIN!$E$55*$C$2&amp;"'"</f>
        <v xml:space="preserve">  - '&amp;4• &amp;fVitalidad: &amp;a65'</v>
      </c>
      <c r="J74" s="10"/>
      <c r="K74" s="10"/>
      <c r="L74" s="10"/>
      <c r="M74" s="10" t="str">
        <f>"  - '&amp;4• &amp;f"&amp;MAIN!$C$8&amp;": &amp;a"&amp;MAIN!$F$55*$C$2&amp;"'"</f>
        <v xml:space="preserve">  - '&amp;4• &amp;fVitalidad: &amp;a110'</v>
      </c>
      <c r="N74" s="10"/>
      <c r="O74" s="10"/>
      <c r="P74" s="10"/>
      <c r="Q74" s="10" t="str">
        <f>"  - '&amp;4• &amp;f"&amp;MAIN!$C$8&amp;": &amp;a"&amp;MAIN!$G$55*$C$2&amp;"'"</f>
        <v xml:space="preserve">  - '&amp;4• &amp;fVitalidad: &amp;a185'</v>
      </c>
      <c r="R74" s="10"/>
      <c r="S74" s="10"/>
      <c r="T74" s="10"/>
    </row>
    <row r="75" spans="1:20" x14ac:dyDescent="0.25">
      <c r="A75" s="10" t="str">
        <f>"  - '&amp;4• &amp;f"&amp;MAIN!$C$11&amp;": &amp;a"&amp;MAIN!$C$54*$C$2&amp;"'"</f>
        <v xml:space="preserve">  - '&amp;4• &amp;fInteligencia: &amp;a25'</v>
      </c>
      <c r="B75" s="10"/>
      <c r="C75" s="10"/>
      <c r="D75" s="10"/>
      <c r="E75" s="10" t="str">
        <f>"  - '&amp;4• &amp;f"&amp;MAIN!$C$11&amp;": &amp;a"&amp;MAIN!$D$54*$C$2&amp;"'"</f>
        <v xml:space="preserve">  - '&amp;4• &amp;fInteligencia: &amp;a40'</v>
      </c>
      <c r="F75" s="10"/>
      <c r="G75" s="10"/>
      <c r="H75" s="10"/>
      <c r="I75" s="10" t="str">
        <f>"  - '&amp;4• &amp;f"&amp;MAIN!$C$11&amp;": &amp;a"&amp;MAIN!$E$54*$C$2&amp;"'"</f>
        <v xml:space="preserve">  - '&amp;4• &amp;fInteligencia: &amp;a65'</v>
      </c>
      <c r="J75" s="10"/>
      <c r="K75" s="10"/>
      <c r="L75" s="10"/>
      <c r="M75" s="10" t="str">
        <f>"  - '&amp;4• &amp;f"&amp;MAIN!$C$11&amp;": &amp;a"&amp;MAIN!$F$54*$C$2&amp;"'"</f>
        <v xml:space="preserve">  - '&amp;4• &amp;fInteligencia: &amp;a110'</v>
      </c>
      <c r="N75" s="10"/>
      <c r="O75" s="10"/>
      <c r="P75" s="10"/>
      <c r="Q75" s="10" t="str">
        <f>"  - '&amp;4• &amp;f"&amp;MAIN!$C$11&amp;": &amp;a"&amp;MAIN!$G$54*$C$2&amp;"'"</f>
        <v xml:space="preserve">  - '&amp;4• &amp;fInteligencia: &amp;a185'</v>
      </c>
      <c r="R75" s="10"/>
      <c r="S75" s="10"/>
      <c r="T75" s="10"/>
    </row>
    <row r="76" spans="1:20" x14ac:dyDescent="0.25">
      <c r="A76" s="10" t="str">
        <f>"  - '&amp;4• &amp;f"&amp;MAIN!$C$10&amp;": &amp;a"&amp;MAIN!$C$56*$C$2&amp;"'"</f>
        <v xml:space="preserve">  - '&amp;4• &amp;fAgilidad: &amp;a25'</v>
      </c>
      <c r="B76" s="10"/>
      <c r="C76" s="10"/>
      <c r="D76" s="10"/>
      <c r="E76" s="10" t="str">
        <f>"  - '&amp;4• &amp;f"&amp;MAIN!$C$10&amp;": &amp;a"&amp;MAIN!$D$56*$C$2&amp;"'"</f>
        <v xml:space="preserve">  - '&amp;4• &amp;fAgilidad: &amp;a40'</v>
      </c>
      <c r="F76" s="10"/>
      <c r="G76" s="10"/>
      <c r="H76" s="10"/>
      <c r="I76" s="10" t="str">
        <f>"  - '&amp;4• &amp;f"&amp;MAIN!$C$10&amp;": &amp;a"&amp;MAIN!$E$56*$C$2&amp;"'"</f>
        <v xml:space="preserve">  - '&amp;4• &amp;fAgilidad: &amp;a65'</v>
      </c>
      <c r="J76" s="10"/>
      <c r="K76" s="10"/>
      <c r="L76" s="10"/>
      <c r="M76" s="10" t="str">
        <f>"  - '&amp;4• &amp;f"&amp;MAIN!$C$10&amp;": &amp;a"&amp;MAIN!$F$56*$C$2&amp;"'"</f>
        <v xml:space="preserve">  - '&amp;4• &amp;fAgilidad: &amp;a110'</v>
      </c>
      <c r="N76" s="10"/>
      <c r="O76" s="10"/>
      <c r="P76" s="10"/>
      <c r="Q76" s="10" t="str">
        <f>"  - '&amp;4• &amp;f"&amp;MAIN!$C$10&amp;": &amp;a"&amp;MAIN!$G$56*$C$2&amp;"'"</f>
        <v xml:space="preserve">  - '&amp;4• &amp;fAgilidad: &amp;a185'</v>
      </c>
      <c r="R76" s="10"/>
      <c r="S76" s="10"/>
      <c r="T76" s="10"/>
    </row>
    <row r="77" spans="1:20" x14ac:dyDescent="0.25">
      <c r="A77" s="9" t="s">
        <v>71</v>
      </c>
      <c r="B77" s="9"/>
      <c r="C77" s="9"/>
      <c r="D77" s="9"/>
      <c r="E77" s="9" t="s">
        <v>71</v>
      </c>
      <c r="F77" s="9"/>
      <c r="G77" s="9"/>
      <c r="H77" s="9"/>
      <c r="I77" s="9" t="s">
        <v>71</v>
      </c>
      <c r="J77" s="9"/>
      <c r="K77" s="9"/>
      <c r="L77" s="9"/>
      <c r="M77" s="9" t="s">
        <v>71</v>
      </c>
      <c r="N77" s="9"/>
      <c r="O77" s="9"/>
      <c r="P77" s="9"/>
      <c r="Q77" s="9" t="s">
        <v>71</v>
      </c>
      <c r="R77" s="9"/>
      <c r="S77" s="9"/>
      <c r="T77" s="9"/>
    </row>
    <row r="78" spans="1:20" x14ac:dyDescent="0.25">
      <c r="A78" s="9" t="s">
        <v>72</v>
      </c>
      <c r="B78" s="9"/>
      <c r="C78" s="9"/>
      <c r="D78" s="9"/>
      <c r="E78" s="9" t="s">
        <v>72</v>
      </c>
      <c r="F78" s="9"/>
      <c r="G78" s="9"/>
      <c r="H78" s="9"/>
      <c r="I78" s="9" t="s">
        <v>72</v>
      </c>
      <c r="J78" s="9"/>
      <c r="K78" s="9"/>
      <c r="L78" s="9"/>
      <c r="M78" s="9" t="s">
        <v>72</v>
      </c>
      <c r="N78" s="9"/>
      <c r="O78" s="9"/>
      <c r="P78" s="9"/>
      <c r="Q78" s="9" t="s">
        <v>72</v>
      </c>
      <c r="R78" s="9"/>
      <c r="S78" s="9"/>
      <c r="T78" s="9"/>
    </row>
    <row r="79" spans="1:20" x14ac:dyDescent="0.25">
      <c r="A79" s="11" t="str">
        <f>'armas raro'!$A$79</f>
        <v>minimumSockets: 1</v>
      </c>
      <c r="B79" s="11"/>
      <c r="C79" s="11"/>
      <c r="D79" s="11"/>
      <c r="E79" s="11" t="str">
        <f t="shared" ref="E79" si="22">$A$79</f>
        <v>minimumSockets: 1</v>
      </c>
      <c r="F79" s="11"/>
      <c r="G79" s="11"/>
      <c r="H79" s="11"/>
      <c r="I79" s="11" t="str">
        <f t="shared" ref="I79" si="23">$A$79</f>
        <v>minimumSockets: 1</v>
      </c>
      <c r="J79" s="11"/>
      <c r="K79" s="11"/>
      <c r="L79" s="11"/>
      <c r="M79" s="11" t="str">
        <f t="shared" ref="M79" si="24">$A$79</f>
        <v>minimumSockets: 1</v>
      </c>
      <c r="N79" s="11"/>
      <c r="O79" s="11"/>
      <c r="P79" s="11"/>
      <c r="Q79" s="11" t="str">
        <f t="shared" ref="Q79" si="25">$A$79</f>
        <v>minimumSockets: 1</v>
      </c>
      <c r="R79" s="11"/>
      <c r="S79" s="11"/>
      <c r="T79" s="11"/>
    </row>
    <row r="80" spans="1:20" x14ac:dyDescent="0.25">
      <c r="A80" s="11" t="str">
        <f>'armas raro'!$A$80</f>
        <v>maximumSockets: 2</v>
      </c>
      <c r="B80" s="11"/>
      <c r="C80" s="11"/>
      <c r="D80" s="11"/>
      <c r="E80" s="11" t="str">
        <f t="shared" ref="E80" si="26">$A$80</f>
        <v>maximumSockets: 2</v>
      </c>
      <c r="F80" s="11"/>
      <c r="G80" s="11"/>
      <c r="H80" s="11"/>
      <c r="I80" s="11" t="str">
        <f t="shared" ref="I80" si="27">$A$80</f>
        <v>maximumSockets: 2</v>
      </c>
      <c r="J80" s="11"/>
      <c r="K80" s="11"/>
      <c r="L80" s="11"/>
      <c r="M80" s="11" t="str">
        <f t="shared" ref="M80" si="28">$A$80</f>
        <v>maximumSockets: 2</v>
      </c>
      <c r="N80" s="11"/>
      <c r="O80" s="11"/>
      <c r="P80" s="11"/>
      <c r="Q80" s="11" t="str">
        <f t="shared" ref="Q80" si="29">$A$80</f>
        <v>maximumSockets: 2</v>
      </c>
      <c r="R80" s="11"/>
      <c r="S80" s="11"/>
      <c r="T80" s="11"/>
    </row>
    <row r="81" spans="1:20" x14ac:dyDescent="0.25">
      <c r="A81" s="11" t="str">
        <f>'armas raro'!$A$81</f>
        <v>chanceToSpawnOnAMonster: 0.15</v>
      </c>
      <c r="B81" s="11"/>
      <c r="C81" s="11"/>
      <c r="D81" s="11"/>
      <c r="E81" s="11" t="str">
        <f t="shared" ref="E81" si="30">$A$81</f>
        <v>chanceToSpawnOnAMonster: 0.15</v>
      </c>
      <c r="F81" s="11"/>
      <c r="G81" s="11"/>
      <c r="H81" s="11"/>
      <c r="I81" s="11" t="str">
        <f t="shared" ref="I81" si="31">$A$81</f>
        <v>chanceToSpawnOnAMonster: 0.15</v>
      </c>
      <c r="J81" s="11"/>
      <c r="K81" s="11"/>
      <c r="L81" s="11"/>
      <c r="M81" s="11" t="str">
        <f t="shared" ref="M81" si="32">$A$81</f>
        <v>chanceToSpawnOnAMonster: 0.15</v>
      </c>
      <c r="N81" s="11"/>
      <c r="O81" s="11"/>
      <c r="P81" s="11"/>
      <c r="Q81" s="11" t="str">
        <f t="shared" ref="Q81" si="33">$A$81</f>
        <v>chanceToSpawnOnAMonster: 0.15</v>
      </c>
      <c r="R81" s="11"/>
      <c r="S81" s="11"/>
      <c r="T81" s="11"/>
    </row>
    <row r="82" spans="1:20" x14ac:dyDescent="0.25">
      <c r="A82" s="9" t="s">
        <v>34</v>
      </c>
      <c r="B82" s="9"/>
      <c r="C82" s="9"/>
      <c r="D82" s="9"/>
      <c r="E82" s="9" t="s">
        <v>34</v>
      </c>
      <c r="F82" s="9"/>
      <c r="G82" s="9"/>
      <c r="H82" s="9"/>
      <c r="I82" s="9" t="s">
        <v>34</v>
      </c>
      <c r="J82" s="9"/>
      <c r="K82" s="9"/>
      <c r="L82" s="9"/>
      <c r="M82" s="9" t="s">
        <v>34</v>
      </c>
      <c r="N82" s="9"/>
      <c r="O82" s="9"/>
      <c r="P82" s="9"/>
      <c r="Q82" s="9" t="s">
        <v>34</v>
      </c>
      <c r="R82" s="9"/>
      <c r="S82" s="9"/>
      <c r="T82" s="9"/>
    </row>
    <row r="83" spans="1:20" x14ac:dyDescent="0.25">
      <c r="A83" s="11" t="str">
        <f>'armas raro'!$A$83</f>
        <v>chanceToBeIdentified: 0.075</v>
      </c>
      <c r="B83" s="11"/>
      <c r="C83" s="11"/>
      <c r="D83" s="11"/>
      <c r="E83" s="11" t="str">
        <f t="shared" ref="E83" si="34">$A$83</f>
        <v>chanceToBeIdentified: 0.075</v>
      </c>
      <c r="F83" s="11"/>
      <c r="G83" s="11"/>
      <c r="H83" s="11"/>
      <c r="I83" s="11" t="str">
        <f t="shared" ref="I83" si="35">$A$83</f>
        <v>chanceToBeIdentified: 0.075</v>
      </c>
      <c r="J83" s="11"/>
      <c r="K83" s="11"/>
      <c r="L83" s="11"/>
      <c r="M83" s="11" t="str">
        <f t="shared" ref="M83" si="36">$A$83</f>
        <v>chanceToBeIdentified: 0.075</v>
      </c>
      <c r="N83" s="11"/>
      <c r="O83" s="11"/>
      <c r="P83" s="11"/>
      <c r="Q83" s="11" t="str">
        <f t="shared" ref="Q83" si="37">$A$83</f>
        <v>chanceToBeIdentified: 0.075</v>
      </c>
      <c r="R83" s="11"/>
      <c r="S83" s="11"/>
      <c r="T83" s="11"/>
    </row>
    <row r="84" spans="1:20" x14ac:dyDescent="0.25">
      <c r="A84" s="9" t="s">
        <v>79</v>
      </c>
      <c r="B84" s="9"/>
      <c r="C84" s="9"/>
      <c r="D84" s="9"/>
      <c r="E84" s="9" t="s">
        <v>79</v>
      </c>
      <c r="F84" s="9"/>
      <c r="G84" s="9"/>
      <c r="H84" s="9"/>
      <c r="I84" s="9" t="s">
        <v>79</v>
      </c>
      <c r="J84" s="9"/>
      <c r="K84" s="9"/>
      <c r="L84" s="9"/>
      <c r="M84" s="9" t="s">
        <v>79</v>
      </c>
      <c r="N84" s="9"/>
      <c r="O84" s="9"/>
      <c r="P84" s="9"/>
      <c r="Q84" s="9" t="s">
        <v>79</v>
      </c>
      <c r="R84" s="9"/>
      <c r="S84" s="9"/>
      <c r="T84" s="9"/>
    </row>
    <row r="85" spans="1:20" x14ac:dyDescent="0.25">
      <c r="A85" s="11" t="str">
        <f>'armas raro'!$A$85</f>
        <v>broadcastOnFind: false</v>
      </c>
      <c r="B85" s="11"/>
      <c r="C85" s="11"/>
      <c r="D85" s="11"/>
      <c r="E85" s="11" t="str">
        <f>A85</f>
        <v>broadcastOnFind: false</v>
      </c>
      <c r="F85" s="11"/>
      <c r="G85" s="11"/>
      <c r="H85" s="11"/>
      <c r="I85" s="11" t="str">
        <f>E85</f>
        <v>broadcastOnFind: false</v>
      </c>
      <c r="J85" s="11"/>
      <c r="K85" s="11"/>
      <c r="L85" s="11"/>
      <c r="M85" s="11" t="str">
        <f>I85</f>
        <v>broadcastOnFind: false</v>
      </c>
      <c r="N85" s="11"/>
      <c r="O85" s="11"/>
      <c r="P85" s="11"/>
      <c r="Q85" s="11" t="str">
        <f t="shared" ref="Q85" si="38">M85</f>
        <v>broadcastOnFind: false</v>
      </c>
      <c r="R85" s="11"/>
      <c r="S85" s="11"/>
      <c r="T85" s="11"/>
    </row>
    <row r="86" spans="1:20" x14ac:dyDescent="0.25">
      <c r="A86" s="11" t="str">
        <f>'armas raro'!$A$86</f>
        <v>optimalDistance: 2400</v>
      </c>
      <c r="B86" s="11"/>
      <c r="C86" s="11"/>
      <c r="D86" s="11"/>
      <c r="E86" s="11" t="str">
        <f t="shared" ref="E86" si="39">$A$86</f>
        <v>optimalDistance: 2400</v>
      </c>
      <c r="F86" s="11"/>
      <c r="G86" s="11"/>
      <c r="H86" s="11"/>
      <c r="I86" s="11" t="str">
        <f t="shared" ref="I86" si="40">$A$86</f>
        <v>optimalDistance: 2400</v>
      </c>
      <c r="J86" s="11"/>
      <c r="K86" s="11"/>
      <c r="L86" s="11"/>
      <c r="M86" s="11" t="str">
        <f t="shared" ref="M86" si="41">$A$86</f>
        <v>optimalDistance: 2400</v>
      </c>
      <c r="N86" s="11"/>
      <c r="O86" s="11"/>
      <c r="P86" s="11"/>
      <c r="Q86" s="11" t="str">
        <f t="shared" ref="Q86" si="42">$A$86</f>
        <v>optimalDistance: 2400</v>
      </c>
      <c r="R86" s="11"/>
      <c r="S86" s="11"/>
      <c r="T86" s="11"/>
    </row>
    <row r="87" spans="1:20" x14ac:dyDescent="0.25">
      <c r="A87" s="11" t="str">
        <f>'armas raro'!$A$87</f>
        <v>maximumDistance: 1800</v>
      </c>
      <c r="B87" s="11"/>
      <c r="C87" s="11"/>
      <c r="D87" s="11"/>
      <c r="E87" s="11" t="str">
        <f t="shared" ref="E87" si="43">$A$87</f>
        <v>maximumDistance: 1800</v>
      </c>
      <c r="F87" s="11"/>
      <c r="G87" s="11"/>
      <c r="H87" s="11"/>
      <c r="I87" s="11" t="str">
        <f t="shared" ref="I87" si="44">$A$87</f>
        <v>maximumDistance: 1800</v>
      </c>
      <c r="J87" s="11"/>
      <c r="K87" s="11"/>
      <c r="L87" s="11"/>
      <c r="M87" s="11" t="str">
        <f t="shared" ref="M87" si="45">$A$87</f>
        <v>maximumDistance: 1800</v>
      </c>
      <c r="N87" s="11"/>
      <c r="O87" s="11"/>
      <c r="P87" s="11"/>
      <c r="Q87" s="11" t="str">
        <f t="shared" ref="Q87" si="46">$A$87</f>
        <v>maximumDistance: 1800</v>
      </c>
      <c r="R87" s="11"/>
      <c r="S87" s="11"/>
      <c r="T87" s="11"/>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9" x14ac:dyDescent="0.25">
      <c r="A97" s="9"/>
      <c r="B97" s="9"/>
      <c r="C97" s="9"/>
      <c r="D97" s="9"/>
      <c r="G97" s="13"/>
      <c r="H97" s="13"/>
      <c r="I97" s="13"/>
    </row>
    <row r="98" spans="1:9" x14ac:dyDescent="0.25">
      <c r="A98" s="9"/>
      <c r="B98" s="9"/>
      <c r="C98" s="9"/>
      <c r="D98" s="9"/>
      <c r="G98" s="13"/>
      <c r="H98" s="13"/>
      <c r="I98" s="13"/>
    </row>
    <row r="99" spans="1:9" x14ac:dyDescent="0.25">
      <c r="A99" s="9"/>
      <c r="B99" s="9"/>
      <c r="C99" s="9"/>
      <c r="D99" s="9"/>
    </row>
    <row r="100" spans="1:9" x14ac:dyDescent="0.25">
      <c r="A100" s="9"/>
      <c r="B100" s="9"/>
      <c r="C100" s="9"/>
      <c r="D100" s="9"/>
    </row>
    <row r="101" spans="1:9" x14ac:dyDescent="0.25">
      <c r="A101" s="9"/>
      <c r="B101" s="9"/>
      <c r="C101" s="9"/>
      <c r="D101" s="9"/>
    </row>
    <row r="102" spans="1:9" x14ac:dyDescent="0.25">
      <c r="A102" s="9"/>
      <c r="B102" s="9"/>
      <c r="C102" s="9"/>
      <c r="D102" s="9"/>
    </row>
    <row r="103" spans="1:9" x14ac:dyDescent="0.25">
      <c r="A103" s="9"/>
      <c r="B103" s="9"/>
      <c r="C103" s="9"/>
      <c r="D103" s="9"/>
    </row>
    <row r="104" spans="1:9" x14ac:dyDescent="0.25">
      <c r="A104" s="9"/>
      <c r="B104" s="9"/>
      <c r="C104" s="9"/>
      <c r="D104" s="9"/>
    </row>
    <row r="105" spans="1:9" x14ac:dyDescent="0.25">
      <c r="A105" s="9"/>
      <c r="B105" s="9"/>
      <c r="C105" s="9"/>
      <c r="D105" s="9"/>
    </row>
    <row r="106" spans="1:9" x14ac:dyDescent="0.25">
      <c r="A106" s="9"/>
      <c r="B106" s="9"/>
      <c r="C106" s="9"/>
      <c r="D106" s="9"/>
    </row>
    <row r="107" spans="1:9" x14ac:dyDescent="0.25">
      <c r="A107" s="9"/>
      <c r="B107" s="9"/>
      <c r="C107" s="9"/>
      <c r="D107" s="9"/>
    </row>
    <row r="108" spans="1:9" x14ac:dyDescent="0.25">
      <c r="A108" s="9"/>
      <c r="B108" s="9"/>
      <c r="C108" s="9"/>
      <c r="D108" s="9"/>
    </row>
    <row r="109" spans="1:9" x14ac:dyDescent="0.25">
      <c r="A109" s="9"/>
      <c r="B109" s="9"/>
      <c r="C109" s="9"/>
      <c r="D109" s="9"/>
    </row>
    <row r="110" spans="1:9" x14ac:dyDescent="0.25">
      <c r="A110" s="9"/>
      <c r="B110" s="9"/>
      <c r="C110" s="9"/>
      <c r="D110" s="9"/>
    </row>
    <row r="111" spans="1:9" x14ac:dyDescent="0.25">
      <c r="A111" s="9"/>
      <c r="B111" s="9"/>
      <c r="C111" s="9"/>
      <c r="D111" s="9"/>
    </row>
    <row r="112" spans="1:9"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row r="190" spans="1:4" x14ac:dyDescent="0.25">
      <c r="A190" s="9"/>
      <c r="B190" s="9"/>
      <c r="C190" s="9"/>
      <c r="D190" s="9"/>
    </row>
    <row r="191" spans="1:4" x14ac:dyDescent="0.25">
      <c r="A191" s="9"/>
      <c r="B191" s="9"/>
      <c r="C191" s="9"/>
      <c r="D191"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6"/>
  <dimension ref="A1:Z191"/>
  <sheetViews>
    <sheetView topLeftCell="N65" workbookViewId="0">
      <selection activeCell="Q4" sqref="Q4:Q87"/>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102</v>
      </c>
      <c r="B2" s="293"/>
      <c r="C2" s="293">
        <f>'ECONOMIA &amp; PROFESIONES'!$P$3</f>
        <v>5</v>
      </c>
      <c r="D2" s="293"/>
      <c r="E2" s="293" t="s">
        <v>81</v>
      </c>
      <c r="F2" s="293"/>
      <c r="G2" s="293" t="s">
        <v>103</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$A$38</f>
        <v xml:space="preserve">  - ARROW_INFINITE:2:3</v>
      </c>
      <c r="J15" s="22"/>
      <c r="K15" s="22"/>
      <c r="L15" s="22"/>
      <c r="M15" s="22" t="str">
        <f>$A$38</f>
        <v xml:space="preserve">  - ARROW_INFINITE:2:3</v>
      </c>
      <c r="N15" s="22"/>
      <c r="O15" s="22"/>
      <c r="P15" s="22"/>
      <c r="Q15" s="22" t="str">
        <f>$A$38</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$A$39</f>
        <v xml:space="preserve">  - ARROW_DAMAGE:2:3</v>
      </c>
      <c r="J16" s="22"/>
      <c r="K16" s="22"/>
      <c r="L16" s="22"/>
      <c r="M16" s="22" t="str">
        <f>$A$39</f>
        <v xml:space="preserve">  - ARROW_DAMAGE:2:3</v>
      </c>
      <c r="N16" s="22"/>
      <c r="O16" s="22"/>
      <c r="P16" s="22"/>
      <c r="Q16" s="22" t="str">
        <f>$A$39</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$A$40</f>
        <v xml:space="preserve">  - ARROW_FIRE:2:3</v>
      </c>
      <c r="J17" s="22"/>
      <c r="K17" s="22"/>
      <c r="L17" s="22"/>
      <c r="M17" s="22" t="str">
        <f>$A$40</f>
        <v xml:space="preserve">  - ARROW_FIRE:2:3</v>
      </c>
      <c r="N17" s="22"/>
      <c r="O17" s="22"/>
      <c r="P17" s="22"/>
      <c r="Q17" s="22" t="str">
        <f>$A$40</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$A$41</f>
        <v xml:space="preserve">  - ARROW_KNOCKBACK:2:3</v>
      </c>
      <c r="J18" s="22"/>
      <c r="K18" s="22"/>
      <c r="L18" s="22"/>
      <c r="M18" s="22" t="str">
        <f>$A$41</f>
        <v xml:space="preserve">  - ARROW_KNOCKBACK:2:3</v>
      </c>
      <c r="N18" s="22"/>
      <c r="O18" s="22"/>
      <c r="P18" s="22"/>
      <c r="Q18" s="22" t="str">
        <f>$A$41</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$A$42</f>
        <v xml:space="preserve">  - DAMAGE_ALL:2:3</v>
      </c>
      <c r="J19" s="22"/>
      <c r="K19" s="22"/>
      <c r="L19" s="22"/>
      <c r="M19" s="22" t="str">
        <f>$A$42</f>
        <v xml:space="preserve">  - DAMAGE_ALL:2:3</v>
      </c>
      <c r="N19" s="22"/>
      <c r="O19" s="22"/>
      <c r="P19" s="22"/>
      <c r="Q19" s="22" t="str">
        <f>$A$42</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$A$43</f>
        <v xml:space="preserve">  - DAMAGE_ARTHROPODS:2:3</v>
      </c>
      <c r="J20" s="22"/>
      <c r="K20" s="22"/>
      <c r="L20" s="22"/>
      <c r="M20" s="22" t="str">
        <f>$A$43</f>
        <v xml:space="preserve">  - DAMAGE_ARTHROPODS:2:3</v>
      </c>
      <c r="N20" s="22"/>
      <c r="O20" s="22"/>
      <c r="P20" s="22"/>
      <c r="Q20" s="22" t="str">
        <f>$A$43</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$A$44</f>
        <v xml:space="preserve">  - DAMAGE_UNDEAD:2:3</v>
      </c>
      <c r="J21" s="22"/>
      <c r="K21" s="22"/>
      <c r="L21" s="22"/>
      <c r="M21" s="22" t="str">
        <f>$A$44</f>
        <v xml:space="preserve">  - DAMAGE_UNDEAD:2:3</v>
      </c>
      <c r="N21" s="22"/>
      <c r="O21" s="22"/>
      <c r="P21" s="22"/>
      <c r="Q21" s="22" t="str">
        <f>$A$44</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$A$45</f>
        <v xml:space="preserve">  - DIG_SPEED:2:3</v>
      </c>
      <c r="J22" s="22"/>
      <c r="K22" s="22"/>
      <c r="L22" s="22"/>
      <c r="M22" s="22" t="str">
        <f>$A$45</f>
        <v xml:space="preserve">  - DIG_SPEED:2:3</v>
      </c>
      <c r="N22" s="22"/>
      <c r="O22" s="22"/>
      <c r="P22" s="22"/>
      <c r="Q22" s="22" t="str">
        <f>$A$45</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$A$46</f>
        <v xml:space="preserve">  - DURABILITY:2:3</v>
      </c>
      <c r="J23" s="22"/>
      <c r="K23" s="22"/>
      <c r="L23" s="22"/>
      <c r="M23" s="22" t="str">
        <f>$A$46</f>
        <v xml:space="preserve">  - DURABILITY:2:3</v>
      </c>
      <c r="N23" s="22"/>
      <c r="O23" s="22"/>
      <c r="P23" s="22"/>
      <c r="Q23" s="22" t="str">
        <f>$A$46</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$A$47</f>
        <v xml:space="preserve">  - FIRE_ASPECT:2:3</v>
      </c>
      <c r="J24" s="22"/>
      <c r="K24" s="22"/>
      <c r="L24" s="22"/>
      <c r="M24" s="22" t="str">
        <f>$A$47</f>
        <v xml:space="preserve">  - FIRE_ASPECT:2:3</v>
      </c>
      <c r="N24" s="22"/>
      <c r="O24" s="22"/>
      <c r="P24" s="22"/>
      <c r="Q24" s="22" t="str">
        <f>$A$47</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$A$48</f>
        <v xml:space="preserve">  - KNOCKBACK:2:3</v>
      </c>
      <c r="J25" s="22"/>
      <c r="K25" s="22"/>
      <c r="L25" s="22"/>
      <c r="M25" s="22" t="str">
        <f>$A$48</f>
        <v xml:space="preserve">  - KNOCKBACK:2:3</v>
      </c>
      <c r="N25" s="22"/>
      <c r="O25" s="22"/>
      <c r="P25" s="22"/>
      <c r="Q25" s="22" t="str">
        <f>$A$48</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$A$49</f>
        <v xml:space="preserve">  - LOOT_BONUS_BLOCKS:2:3</v>
      </c>
      <c r="J26" s="22"/>
      <c r="K26" s="22"/>
      <c r="L26" s="22"/>
      <c r="M26" s="22" t="str">
        <f>$A$49</f>
        <v xml:space="preserve">  - LOOT_BONUS_BLOCKS:2:3</v>
      </c>
      <c r="N26" s="22"/>
      <c r="O26" s="22"/>
      <c r="P26" s="22"/>
      <c r="Q26" s="22" t="str">
        <f>$A$49</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$A$50</f>
        <v xml:space="preserve">  - LOOT_BONUS_MOBS:2:3</v>
      </c>
      <c r="J27" s="22"/>
      <c r="K27" s="22"/>
      <c r="L27" s="22"/>
      <c r="M27" s="22" t="str">
        <f>$A$50</f>
        <v xml:space="preserve">  - LOOT_BONUS_MOBS:2:3</v>
      </c>
      <c r="N27" s="22"/>
      <c r="O27" s="22"/>
      <c r="P27" s="22"/>
      <c r="Q27" s="22" t="str">
        <f>$A$50</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$A$51</f>
        <v xml:space="preserve">  - OXYGEN:2:3</v>
      </c>
      <c r="J28" s="22"/>
      <c r="K28" s="22"/>
      <c r="L28" s="22"/>
      <c r="M28" s="22" t="str">
        <f>$A$51</f>
        <v xml:space="preserve">  - OXYGEN:2:3</v>
      </c>
      <c r="N28" s="22"/>
      <c r="O28" s="22"/>
      <c r="P28" s="22"/>
      <c r="Q28" s="22" t="str">
        <f>$A$51</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$A$52</f>
        <v xml:space="preserve">  - PROTECTION_ENVIRONMENT:2:3</v>
      </c>
      <c r="J29" s="22"/>
      <c r="K29" s="22"/>
      <c r="L29" s="22"/>
      <c r="M29" s="22" t="str">
        <f>$A$52</f>
        <v xml:space="preserve">  - PROTECTION_ENVIRONMENT:2:3</v>
      </c>
      <c r="N29" s="22"/>
      <c r="O29" s="22"/>
      <c r="P29" s="22"/>
      <c r="Q29" s="22" t="str">
        <f>$A$52</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$A$53</f>
        <v xml:space="preserve">  - PROTECTION_EXPLOSIONS:2:3</v>
      </c>
      <c r="J30" s="22"/>
      <c r="K30" s="22"/>
      <c r="L30" s="22"/>
      <c r="M30" s="22" t="str">
        <f>$A$53</f>
        <v xml:space="preserve">  - PROTECTION_EXPLOSIONS:2:3</v>
      </c>
      <c r="N30" s="22"/>
      <c r="O30" s="22"/>
      <c r="P30" s="22"/>
      <c r="Q30" s="22" t="str">
        <f>$A$53</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$A$54</f>
        <v xml:space="preserve">  - PROTECTION_FALL:2:3</v>
      </c>
      <c r="J31" s="22"/>
      <c r="K31" s="22"/>
      <c r="L31" s="22"/>
      <c r="M31" s="22" t="str">
        <f>$A$54</f>
        <v xml:space="preserve">  - PROTECTION_FALL:2:3</v>
      </c>
      <c r="N31" s="22"/>
      <c r="O31" s="22"/>
      <c r="P31" s="22"/>
      <c r="Q31" s="22" t="str">
        <f>$A$54</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$A$55</f>
        <v xml:space="preserve">  - PROTECTION_FIRE:2:3</v>
      </c>
      <c r="J32" s="22"/>
      <c r="K32" s="22"/>
      <c r="L32" s="22"/>
      <c r="M32" s="22" t="str">
        <f>$A$55</f>
        <v xml:space="preserve">  - PROTECTION_FIRE:2:3</v>
      </c>
      <c r="N32" s="22"/>
      <c r="O32" s="22"/>
      <c r="P32" s="22"/>
      <c r="Q32" s="22" t="str">
        <f>$A$55</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$A$56</f>
        <v xml:space="preserve">  - PROTECTION_PROJECTILE:2:3</v>
      </c>
      <c r="J33" s="22"/>
      <c r="K33" s="22"/>
      <c r="L33" s="22"/>
      <c r="M33" s="22" t="str">
        <f>$A$56</f>
        <v xml:space="preserve">  - PROTECTION_PROJECTILE:2:3</v>
      </c>
      <c r="N33" s="22"/>
      <c r="O33" s="22"/>
      <c r="P33" s="22"/>
      <c r="Q33" s="22" t="str">
        <f>$A$56</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$A$57</f>
        <v xml:space="preserve">  - SILK_TOUCH:2:3</v>
      </c>
      <c r="J34" s="22"/>
      <c r="K34" s="22"/>
      <c r="L34" s="22"/>
      <c r="M34" s="22" t="str">
        <f>$A$57</f>
        <v xml:space="preserve">  - SILK_TOUCH:2:3</v>
      </c>
      <c r="N34" s="22"/>
      <c r="O34" s="22"/>
      <c r="P34" s="22"/>
      <c r="Q34" s="22" t="str">
        <f>$A$57</f>
        <v xml:space="preserve">  - SILK_TOUCH:2:3</v>
      </c>
      <c r="R34" s="22"/>
      <c r="S34" s="22"/>
      <c r="T34" s="22"/>
    </row>
    <row r="35" spans="1:20" x14ac:dyDescent="0.25">
      <c r="A35" s="22" t="str">
        <f>'armas raro'!$A$35</f>
        <v xml:space="preserve">  - THORNS:2:3</v>
      </c>
      <c r="B35" s="22"/>
      <c r="C35" s="22"/>
      <c r="D35" s="22"/>
      <c r="E35" s="22" t="str">
        <f>$A$35</f>
        <v xml:space="preserve">  - THORNS:2:3</v>
      </c>
      <c r="F35" s="22"/>
      <c r="G35" s="22"/>
      <c r="H35" s="22"/>
      <c r="I35" s="22" t="str">
        <f>$A$58</f>
        <v xml:space="preserve">  - THORNS:2:3</v>
      </c>
      <c r="J35" s="22"/>
      <c r="K35" s="22"/>
      <c r="L35" s="22"/>
      <c r="M35" s="22" t="str">
        <f>$A$58</f>
        <v xml:space="preserve">  - THORNS:2:3</v>
      </c>
      <c r="N35" s="22"/>
      <c r="O35" s="22"/>
      <c r="P35" s="22"/>
      <c r="Q35" s="22" t="str">
        <f>$A$58</f>
        <v xml:space="preserve">  - THORNS:2:3</v>
      </c>
      <c r="R35" s="22"/>
      <c r="S35" s="22"/>
      <c r="T35" s="22"/>
    </row>
    <row r="36" spans="1:20" x14ac:dyDescent="0.25">
      <c r="A36" s="22" t="str">
        <f>'armas raro'!$A$36</f>
        <v xml:space="preserve">  - WATER_WORKER:2:3</v>
      </c>
      <c r="B36" s="22"/>
      <c r="C36" s="22"/>
      <c r="D36" s="22"/>
      <c r="E36" s="22" t="str">
        <f>$A$36</f>
        <v xml:space="preserve">  - WATER_WORKER:2:3</v>
      </c>
      <c r="F36" s="22"/>
      <c r="G36" s="22"/>
      <c r="H36" s="22"/>
      <c r="I36" s="22" t="str">
        <f>$A$59</f>
        <v xml:space="preserve">  - WATER_WORKER:2:3</v>
      </c>
      <c r="J36" s="22"/>
      <c r="K36" s="22"/>
      <c r="L36" s="22"/>
      <c r="M36" s="22" t="str">
        <f>$A$59</f>
        <v xml:space="preserve">  - WATER_WORKER:2:3</v>
      </c>
      <c r="N36" s="22"/>
      <c r="O36" s="22"/>
      <c r="P36" s="22"/>
      <c r="Q36" s="22" t="str">
        <f>$A$59</f>
        <v xml:space="preserve">  - WATER_WORKER:2:3</v>
      </c>
      <c r="R36" s="22"/>
      <c r="S36" s="22"/>
      <c r="T36" s="22"/>
    </row>
    <row r="37" spans="1:20" x14ac:dyDescent="0.25">
      <c r="A37" s="9" t="s">
        <v>101</v>
      </c>
      <c r="B37" s="9"/>
      <c r="C37" s="9"/>
      <c r="D37" s="9"/>
      <c r="E37" s="9" t="s">
        <v>101</v>
      </c>
      <c r="F37" s="9"/>
      <c r="G37" s="9"/>
      <c r="H37" s="9"/>
      <c r="I37" s="9" t="s">
        <v>101</v>
      </c>
      <c r="J37" s="9"/>
      <c r="K37" s="9"/>
      <c r="L37" s="9"/>
      <c r="M37" s="9" t="s">
        <v>101</v>
      </c>
      <c r="N37" s="9"/>
      <c r="O37" s="9"/>
      <c r="P37" s="9"/>
      <c r="Q37" s="9" t="s">
        <v>101</v>
      </c>
      <c r="R37" s="9"/>
      <c r="S37" s="9"/>
      <c r="T37" s="9"/>
    </row>
    <row r="38" spans="1:20" x14ac:dyDescent="0.25">
      <c r="A38" s="22" t="str">
        <f>$A$15</f>
        <v xml:space="preserve">  - ARROW_INFINITE:2:3</v>
      </c>
      <c r="B38" s="22"/>
      <c r="C38" s="22"/>
      <c r="D38" s="22"/>
      <c r="E38" s="22" t="str">
        <f>$A$38</f>
        <v xml:space="preserve">  - ARROW_INFINITE:2:3</v>
      </c>
      <c r="F38" s="22"/>
      <c r="G38" s="22"/>
      <c r="H38" s="22"/>
      <c r="I38" s="22" t="str">
        <f>$A$38</f>
        <v xml:space="preserve">  - ARROW_INFINITE:2:3</v>
      </c>
      <c r="J38" s="22"/>
      <c r="K38" s="22"/>
      <c r="L38" s="22"/>
      <c r="M38" s="22" t="str">
        <f>$A$38</f>
        <v xml:space="preserve">  - ARROW_INFINITE:2:3</v>
      </c>
      <c r="N38" s="22"/>
      <c r="O38" s="22"/>
      <c r="P38" s="22"/>
      <c r="Q38" s="22" t="str">
        <f>$A$38</f>
        <v xml:space="preserve">  - ARROW_INFINITE:2:3</v>
      </c>
      <c r="R38" s="22"/>
      <c r="S38" s="22"/>
      <c r="T38" s="22"/>
    </row>
    <row r="39" spans="1:20" x14ac:dyDescent="0.25">
      <c r="A39" s="22" t="str">
        <f>$A$16</f>
        <v xml:space="preserve">  - ARROW_DAMAGE:2:3</v>
      </c>
      <c r="B39" s="22"/>
      <c r="C39" s="22"/>
      <c r="D39" s="22"/>
      <c r="E39" s="22" t="str">
        <f>$A$39</f>
        <v xml:space="preserve">  - ARROW_DAMAGE:2:3</v>
      </c>
      <c r="F39" s="22"/>
      <c r="G39" s="22"/>
      <c r="H39" s="22"/>
      <c r="I39" s="22" t="str">
        <f>$A$39</f>
        <v xml:space="preserve">  - ARROW_DAMAGE:2:3</v>
      </c>
      <c r="J39" s="22"/>
      <c r="K39" s="22"/>
      <c r="L39" s="22"/>
      <c r="M39" s="22" t="str">
        <f>$A$39</f>
        <v xml:space="preserve">  - ARROW_DAMAGE:2:3</v>
      </c>
      <c r="N39" s="22"/>
      <c r="O39" s="22"/>
      <c r="P39" s="22"/>
      <c r="Q39" s="22" t="str">
        <f>$A$39</f>
        <v xml:space="preserve">  - ARROW_DAMAGE:2:3</v>
      </c>
      <c r="R39" s="22"/>
      <c r="S39" s="22"/>
      <c r="T39" s="22"/>
    </row>
    <row r="40" spans="1:20" x14ac:dyDescent="0.25">
      <c r="A40" s="22" t="str">
        <f>$A$17</f>
        <v xml:space="preserve">  - ARROW_FIRE:2:3</v>
      </c>
      <c r="B40" s="22"/>
      <c r="C40" s="22"/>
      <c r="D40" s="22"/>
      <c r="E40" s="22" t="str">
        <f>$A$40</f>
        <v xml:space="preserve">  - ARROW_FIRE:2:3</v>
      </c>
      <c r="F40" s="22"/>
      <c r="G40" s="22"/>
      <c r="H40" s="22"/>
      <c r="I40" s="22" t="str">
        <f>$A$40</f>
        <v xml:space="preserve">  - ARROW_FIRE:2:3</v>
      </c>
      <c r="J40" s="22"/>
      <c r="K40" s="22"/>
      <c r="L40" s="22"/>
      <c r="M40" s="22" t="str">
        <f>$A$40</f>
        <v xml:space="preserve">  - ARROW_FIRE:2:3</v>
      </c>
      <c r="N40" s="22"/>
      <c r="O40" s="22"/>
      <c r="P40" s="22"/>
      <c r="Q40" s="22" t="str">
        <f>$A$40</f>
        <v xml:space="preserve">  - ARROW_FIRE:2:3</v>
      </c>
      <c r="R40" s="22"/>
      <c r="S40" s="22"/>
      <c r="T40" s="22"/>
    </row>
    <row r="41" spans="1:20" x14ac:dyDescent="0.25">
      <c r="A41" s="22" t="str">
        <f>$A$18</f>
        <v xml:space="preserve">  - ARROW_KNOCKBACK:2:3</v>
      </c>
      <c r="B41" s="22"/>
      <c r="C41" s="22"/>
      <c r="D41" s="22"/>
      <c r="E41" s="22" t="str">
        <f>$A$41</f>
        <v xml:space="preserve">  - ARROW_KNOCKBACK:2:3</v>
      </c>
      <c r="F41" s="22"/>
      <c r="G41" s="22"/>
      <c r="H41" s="22"/>
      <c r="I41" s="22" t="str">
        <f>$A$41</f>
        <v xml:space="preserve">  - ARROW_KNOCKBACK:2:3</v>
      </c>
      <c r="J41" s="22"/>
      <c r="K41" s="22"/>
      <c r="L41" s="22"/>
      <c r="M41" s="22" t="str">
        <f>$A$41</f>
        <v xml:space="preserve">  - ARROW_KNOCKBACK:2:3</v>
      </c>
      <c r="N41" s="22"/>
      <c r="O41" s="22"/>
      <c r="P41" s="22"/>
      <c r="Q41" s="22" t="str">
        <f>$A$41</f>
        <v xml:space="preserve">  - ARROW_KNOCKBACK:2:3</v>
      </c>
      <c r="R41" s="22"/>
      <c r="S41" s="22"/>
      <c r="T41" s="22"/>
    </row>
    <row r="42" spans="1:20" x14ac:dyDescent="0.25">
      <c r="A42" s="22" t="str">
        <f>$A$19</f>
        <v xml:space="preserve">  - DAMAGE_ALL:2:3</v>
      </c>
      <c r="B42" s="22"/>
      <c r="C42" s="22"/>
      <c r="D42" s="22"/>
      <c r="E42" s="22" t="str">
        <f>$A$42</f>
        <v xml:space="preserve">  - DAMAGE_ALL:2:3</v>
      </c>
      <c r="F42" s="22"/>
      <c r="G42" s="22"/>
      <c r="H42" s="22"/>
      <c r="I42" s="22" t="str">
        <f>$A$42</f>
        <v xml:space="preserve">  - DAMAGE_ALL:2:3</v>
      </c>
      <c r="J42" s="22"/>
      <c r="K42" s="22"/>
      <c r="L42" s="22"/>
      <c r="M42" s="22" t="str">
        <f>$A$42</f>
        <v xml:space="preserve">  - DAMAGE_ALL:2:3</v>
      </c>
      <c r="N42" s="22"/>
      <c r="O42" s="22"/>
      <c r="P42" s="22"/>
      <c r="Q42" s="22" t="str">
        <f>$A$42</f>
        <v xml:space="preserve">  - DAMAGE_ALL:2:3</v>
      </c>
      <c r="R42" s="22"/>
      <c r="S42" s="22"/>
      <c r="T42" s="22"/>
    </row>
    <row r="43" spans="1:20" x14ac:dyDescent="0.25">
      <c r="A43" s="22" t="str">
        <f>$A$20</f>
        <v xml:space="preserve">  - DAMAGE_ARTHROPODS:2:3</v>
      </c>
      <c r="B43" s="22"/>
      <c r="C43" s="22"/>
      <c r="D43" s="22"/>
      <c r="E43" s="22" t="str">
        <f>$A$43</f>
        <v xml:space="preserve">  - DAMAGE_ARTHROPODS:2:3</v>
      </c>
      <c r="F43" s="22"/>
      <c r="G43" s="22"/>
      <c r="H43" s="22"/>
      <c r="I43" s="22" t="str">
        <f>$A$43</f>
        <v xml:space="preserve">  - DAMAGE_ARTHROPODS:2:3</v>
      </c>
      <c r="J43" s="22"/>
      <c r="K43" s="22"/>
      <c r="L43" s="22"/>
      <c r="M43" s="22" t="str">
        <f>$A$43</f>
        <v xml:space="preserve">  - DAMAGE_ARTHROPODS:2:3</v>
      </c>
      <c r="N43" s="22"/>
      <c r="O43" s="22"/>
      <c r="P43" s="22"/>
      <c r="Q43" s="22" t="str">
        <f>$A$43</f>
        <v xml:space="preserve">  - DAMAGE_ARTHROPODS:2:3</v>
      </c>
      <c r="R43" s="22"/>
      <c r="S43" s="22"/>
      <c r="T43" s="22"/>
    </row>
    <row r="44" spans="1:20" x14ac:dyDescent="0.25">
      <c r="A44" s="22" t="str">
        <f>$A$21</f>
        <v xml:space="preserve">  - DAMAGE_UNDEAD:2:3</v>
      </c>
      <c r="B44" s="22"/>
      <c r="C44" s="22"/>
      <c r="D44" s="22"/>
      <c r="E44" s="22" t="str">
        <f>$A$44</f>
        <v xml:space="preserve">  - DAMAGE_UNDEAD:2:3</v>
      </c>
      <c r="F44" s="22"/>
      <c r="G44" s="22"/>
      <c r="H44" s="22"/>
      <c r="I44" s="22" t="str">
        <f>$A$44</f>
        <v xml:space="preserve">  - DAMAGE_UNDEAD:2:3</v>
      </c>
      <c r="J44" s="22"/>
      <c r="K44" s="22"/>
      <c r="L44" s="22"/>
      <c r="M44" s="22" t="str">
        <f>$A$44</f>
        <v xml:space="preserve">  - DAMAGE_UNDEAD:2:3</v>
      </c>
      <c r="N44" s="22"/>
      <c r="O44" s="22"/>
      <c r="P44" s="22"/>
      <c r="Q44" s="22" t="str">
        <f>$A$44</f>
        <v xml:space="preserve">  - DAMAGE_UNDEAD:2:3</v>
      </c>
      <c r="R44" s="22"/>
      <c r="S44" s="22"/>
      <c r="T44" s="22"/>
    </row>
    <row r="45" spans="1:20" x14ac:dyDescent="0.25">
      <c r="A45" s="22" t="str">
        <f>$A$22</f>
        <v xml:space="preserve">  - DIG_SPEED:2:3</v>
      </c>
      <c r="B45" s="22"/>
      <c r="C45" s="22"/>
      <c r="D45" s="22"/>
      <c r="E45" s="22" t="str">
        <f>$A$45</f>
        <v xml:space="preserve">  - DIG_SPEED:2:3</v>
      </c>
      <c r="F45" s="22"/>
      <c r="G45" s="22"/>
      <c r="H45" s="22"/>
      <c r="I45" s="22" t="str">
        <f>$A$45</f>
        <v xml:space="preserve">  - DIG_SPEED:2:3</v>
      </c>
      <c r="J45" s="22"/>
      <c r="K45" s="22"/>
      <c r="L45" s="22"/>
      <c r="M45" s="22" t="str">
        <f>$A$45</f>
        <v xml:space="preserve">  - DIG_SPEED:2:3</v>
      </c>
      <c r="N45" s="22"/>
      <c r="O45" s="22"/>
      <c r="P45" s="22"/>
      <c r="Q45" s="22" t="str">
        <f>$A$45</f>
        <v xml:space="preserve">  - DIG_SPEED:2:3</v>
      </c>
      <c r="R45" s="22"/>
      <c r="S45" s="22"/>
      <c r="T45" s="22"/>
    </row>
    <row r="46" spans="1:20" x14ac:dyDescent="0.25">
      <c r="A46" s="22" t="str">
        <f>$A$23</f>
        <v xml:space="preserve">  - DURABILITY:2:3</v>
      </c>
      <c r="B46" s="22"/>
      <c r="C46" s="22"/>
      <c r="D46" s="22"/>
      <c r="E46" s="22" t="str">
        <f>$A$46</f>
        <v xml:space="preserve">  - DURABILITY:2:3</v>
      </c>
      <c r="F46" s="22"/>
      <c r="G46" s="22"/>
      <c r="H46" s="22"/>
      <c r="I46" s="22" t="str">
        <f>$A$46</f>
        <v xml:space="preserve">  - DURABILITY:2:3</v>
      </c>
      <c r="J46" s="22"/>
      <c r="K46" s="22"/>
      <c r="L46" s="22"/>
      <c r="M46" s="22" t="str">
        <f>$A$46</f>
        <v xml:space="preserve">  - DURABILITY:2:3</v>
      </c>
      <c r="N46" s="22"/>
      <c r="O46" s="22"/>
      <c r="P46" s="22"/>
      <c r="Q46" s="22" t="str">
        <f>$A$46</f>
        <v xml:space="preserve">  - DURABILITY:2:3</v>
      </c>
      <c r="R46" s="22"/>
      <c r="S46" s="22"/>
      <c r="T46" s="22"/>
    </row>
    <row r="47" spans="1:20" x14ac:dyDescent="0.25">
      <c r="A47" s="22" t="str">
        <f>$A$24</f>
        <v xml:space="preserve">  - FIRE_ASPECT:2:3</v>
      </c>
      <c r="B47" s="22"/>
      <c r="C47" s="22"/>
      <c r="D47" s="22"/>
      <c r="E47" s="22" t="str">
        <f>$A$47</f>
        <v xml:space="preserve">  - FIRE_ASPECT:2:3</v>
      </c>
      <c r="F47" s="22"/>
      <c r="G47" s="22"/>
      <c r="H47" s="22"/>
      <c r="I47" s="22" t="str">
        <f>$A$47</f>
        <v xml:space="preserve">  - FIRE_ASPECT:2:3</v>
      </c>
      <c r="J47" s="22"/>
      <c r="K47" s="22"/>
      <c r="L47" s="22"/>
      <c r="M47" s="22" t="str">
        <f>$A$47</f>
        <v xml:space="preserve">  - FIRE_ASPECT:2:3</v>
      </c>
      <c r="N47" s="22"/>
      <c r="O47" s="22"/>
      <c r="P47" s="22"/>
      <c r="Q47" s="22" t="str">
        <f>$A$47</f>
        <v xml:space="preserve">  - FIRE_ASPECT:2:3</v>
      </c>
      <c r="R47" s="22"/>
      <c r="S47" s="22"/>
      <c r="T47" s="22"/>
    </row>
    <row r="48" spans="1:20" x14ac:dyDescent="0.25">
      <c r="A48" s="22" t="str">
        <f>$A$25</f>
        <v xml:space="preserve">  - KNOCKBACK:2:3</v>
      </c>
      <c r="B48" s="22"/>
      <c r="C48" s="22"/>
      <c r="D48" s="22"/>
      <c r="E48" s="22" t="str">
        <f>$A$48</f>
        <v xml:space="preserve">  - KNOCKBACK:2:3</v>
      </c>
      <c r="F48" s="22"/>
      <c r="G48" s="22"/>
      <c r="H48" s="22"/>
      <c r="I48" s="22" t="str">
        <f>$A$48</f>
        <v xml:space="preserve">  - KNOCKBACK:2:3</v>
      </c>
      <c r="J48" s="22"/>
      <c r="K48" s="22"/>
      <c r="L48" s="22"/>
      <c r="M48" s="22" t="str">
        <f>$A$48</f>
        <v xml:space="preserve">  - KNOCKBACK:2:3</v>
      </c>
      <c r="N48" s="22"/>
      <c r="O48" s="22"/>
      <c r="P48" s="22"/>
      <c r="Q48" s="22" t="str">
        <f>$A$48</f>
        <v xml:space="preserve">  - KNOCKBACK:2:3</v>
      </c>
      <c r="R48" s="22"/>
      <c r="S48" s="22"/>
      <c r="T48" s="22"/>
    </row>
    <row r="49" spans="1:20" x14ac:dyDescent="0.25">
      <c r="A49" s="22" t="str">
        <f>$A$26</f>
        <v xml:space="preserve">  - LOOT_BONUS_BLOCKS:2:3</v>
      </c>
      <c r="B49" s="22"/>
      <c r="C49" s="22"/>
      <c r="D49" s="22"/>
      <c r="E49" s="22" t="str">
        <f>$A$49</f>
        <v xml:space="preserve">  - LOOT_BONUS_BLOCKS:2:3</v>
      </c>
      <c r="F49" s="22"/>
      <c r="G49" s="22"/>
      <c r="H49" s="22"/>
      <c r="I49" s="22" t="str">
        <f>$A$49</f>
        <v xml:space="preserve">  - LOOT_BONUS_BLOCKS:2:3</v>
      </c>
      <c r="J49" s="22"/>
      <c r="K49" s="22"/>
      <c r="L49" s="22"/>
      <c r="M49" s="22" t="str">
        <f>$A$49</f>
        <v xml:space="preserve">  - LOOT_BONUS_BLOCKS:2:3</v>
      </c>
      <c r="N49" s="22"/>
      <c r="O49" s="22"/>
      <c r="P49" s="22"/>
      <c r="Q49" s="22" t="str">
        <f>$A$49</f>
        <v xml:space="preserve">  - LOOT_BONUS_BLOCKS:2:3</v>
      </c>
      <c r="R49" s="22"/>
      <c r="S49" s="22"/>
      <c r="T49" s="22"/>
    </row>
    <row r="50" spans="1:20" x14ac:dyDescent="0.25">
      <c r="A50" s="22" t="str">
        <f>$A$27</f>
        <v xml:space="preserve">  - LOOT_BONUS_MOBS:2:3</v>
      </c>
      <c r="B50" s="22"/>
      <c r="C50" s="22"/>
      <c r="D50" s="22"/>
      <c r="E50" s="22" t="str">
        <f>$A$50</f>
        <v xml:space="preserve">  - LOOT_BONUS_MOBS:2:3</v>
      </c>
      <c r="F50" s="22"/>
      <c r="G50" s="22"/>
      <c r="H50" s="22"/>
      <c r="I50" s="22" t="str">
        <f>$A$50</f>
        <v xml:space="preserve">  - LOOT_BONUS_MOBS:2:3</v>
      </c>
      <c r="J50" s="22"/>
      <c r="K50" s="22"/>
      <c r="L50" s="22"/>
      <c r="M50" s="22" t="str">
        <f>$A$50</f>
        <v xml:space="preserve">  - LOOT_BONUS_MOBS:2:3</v>
      </c>
      <c r="N50" s="22"/>
      <c r="O50" s="22"/>
      <c r="P50" s="22"/>
      <c r="Q50" s="22" t="str">
        <f>$A$50</f>
        <v xml:space="preserve">  - LOOT_BONUS_MOBS:2:3</v>
      </c>
      <c r="R50" s="22"/>
      <c r="S50" s="22"/>
      <c r="T50" s="22"/>
    </row>
    <row r="51" spans="1:20" x14ac:dyDescent="0.25">
      <c r="A51" s="22" t="str">
        <f>$A$28</f>
        <v xml:space="preserve">  - OXYGEN:2:3</v>
      </c>
      <c r="B51" s="22"/>
      <c r="C51" s="22"/>
      <c r="D51" s="22"/>
      <c r="E51" s="22" t="str">
        <f>$A$51</f>
        <v xml:space="preserve">  - OXYGEN:2:3</v>
      </c>
      <c r="F51" s="22"/>
      <c r="G51" s="22"/>
      <c r="H51" s="22"/>
      <c r="I51" s="22" t="str">
        <f>$A$51</f>
        <v xml:space="preserve">  - OXYGEN:2:3</v>
      </c>
      <c r="J51" s="22"/>
      <c r="K51" s="22"/>
      <c r="L51" s="22"/>
      <c r="M51" s="22" t="str">
        <f>$A$51</f>
        <v xml:space="preserve">  - OXYGEN:2:3</v>
      </c>
      <c r="N51" s="22"/>
      <c r="O51" s="22"/>
      <c r="P51" s="22"/>
      <c r="Q51" s="22" t="str">
        <f>$A$51</f>
        <v xml:space="preserve">  - OXYGEN:2:3</v>
      </c>
      <c r="R51" s="22"/>
      <c r="S51" s="22"/>
      <c r="T51" s="22"/>
    </row>
    <row r="52" spans="1:20" x14ac:dyDescent="0.25">
      <c r="A52" s="22" t="str">
        <f>$A$29</f>
        <v xml:space="preserve">  - PROTECTION_ENVIRONMENT:2:3</v>
      </c>
      <c r="B52" s="22"/>
      <c r="C52" s="22"/>
      <c r="D52" s="22"/>
      <c r="E52" s="22" t="str">
        <f>$A$52</f>
        <v xml:space="preserve">  - PROTECTION_ENVIRONMENT:2:3</v>
      </c>
      <c r="F52" s="22"/>
      <c r="G52" s="22"/>
      <c r="H52" s="22"/>
      <c r="I52" s="22" t="str">
        <f>$A$52</f>
        <v xml:space="preserve">  - PROTECTION_ENVIRONMENT:2:3</v>
      </c>
      <c r="J52" s="22"/>
      <c r="K52" s="22"/>
      <c r="L52" s="22"/>
      <c r="M52" s="22" t="str">
        <f>$A$52</f>
        <v xml:space="preserve">  - PROTECTION_ENVIRONMENT:2:3</v>
      </c>
      <c r="N52" s="22"/>
      <c r="O52" s="22"/>
      <c r="P52" s="22"/>
      <c r="Q52" s="22" t="str">
        <f>$A$52</f>
        <v xml:space="preserve">  - PROTECTION_ENVIRONMENT:2:3</v>
      </c>
      <c r="R52" s="22"/>
      <c r="S52" s="22"/>
      <c r="T52" s="22"/>
    </row>
    <row r="53" spans="1:20" x14ac:dyDescent="0.25">
      <c r="A53" s="22" t="str">
        <f>$A$30</f>
        <v xml:space="preserve">  - PROTECTION_EXPLOSIONS:2:3</v>
      </c>
      <c r="B53" s="22"/>
      <c r="C53" s="22"/>
      <c r="D53" s="22"/>
      <c r="E53" s="22" t="str">
        <f>$A$53</f>
        <v xml:space="preserve">  - PROTECTION_EXPLOSIONS:2:3</v>
      </c>
      <c r="F53" s="22"/>
      <c r="G53" s="22"/>
      <c r="H53" s="22"/>
      <c r="I53" s="22" t="str">
        <f>$A$53</f>
        <v xml:space="preserve">  - PROTECTION_EXPLOSIONS:2:3</v>
      </c>
      <c r="J53" s="22"/>
      <c r="K53" s="22"/>
      <c r="L53" s="22"/>
      <c r="M53" s="22" t="str">
        <f>$A$53</f>
        <v xml:space="preserve">  - PROTECTION_EXPLOSIONS:2:3</v>
      </c>
      <c r="N53" s="22"/>
      <c r="O53" s="22"/>
      <c r="P53" s="22"/>
      <c r="Q53" s="22" t="str">
        <f>$A$53</f>
        <v xml:space="preserve">  - PROTECTION_EXPLOSIONS:2:3</v>
      </c>
      <c r="R53" s="22"/>
      <c r="S53" s="22"/>
      <c r="T53" s="22"/>
    </row>
    <row r="54" spans="1:20" x14ac:dyDescent="0.25">
      <c r="A54" s="22" t="str">
        <f>$A$31</f>
        <v xml:space="preserve">  - PROTECTION_FALL:2:3</v>
      </c>
      <c r="B54" s="22"/>
      <c r="C54" s="22"/>
      <c r="D54" s="22"/>
      <c r="E54" s="22" t="str">
        <f>$A$54</f>
        <v xml:space="preserve">  - PROTECTION_FALL:2:3</v>
      </c>
      <c r="F54" s="22"/>
      <c r="G54" s="22"/>
      <c r="H54" s="22"/>
      <c r="I54" s="22" t="str">
        <f>$A$54</f>
        <v xml:space="preserve">  - PROTECTION_FALL:2:3</v>
      </c>
      <c r="J54" s="22"/>
      <c r="K54" s="22"/>
      <c r="L54" s="22"/>
      <c r="M54" s="22" t="str">
        <f>$A$54</f>
        <v xml:space="preserve">  - PROTECTION_FALL:2:3</v>
      </c>
      <c r="N54" s="22"/>
      <c r="O54" s="22"/>
      <c r="P54" s="22"/>
      <c r="Q54" s="22" t="str">
        <f>$A$54</f>
        <v xml:space="preserve">  - PROTECTION_FALL:2:3</v>
      </c>
      <c r="R54" s="22"/>
      <c r="S54" s="22"/>
      <c r="T54" s="22"/>
    </row>
    <row r="55" spans="1:20" x14ac:dyDescent="0.25">
      <c r="A55" s="22" t="str">
        <f>$A$32</f>
        <v xml:space="preserve">  - PROTECTION_FIRE:2:3</v>
      </c>
      <c r="B55" s="22"/>
      <c r="C55" s="22"/>
      <c r="D55" s="22"/>
      <c r="E55" s="22" t="str">
        <f>$A$55</f>
        <v xml:space="preserve">  - PROTECTION_FIRE:2:3</v>
      </c>
      <c r="F55" s="22"/>
      <c r="G55" s="22"/>
      <c r="H55" s="22"/>
      <c r="I55" s="22" t="str">
        <f>$A$55</f>
        <v xml:space="preserve">  - PROTECTION_FIRE:2:3</v>
      </c>
      <c r="J55" s="22"/>
      <c r="K55" s="22"/>
      <c r="L55" s="22"/>
      <c r="M55" s="22" t="str">
        <f>$A$55</f>
        <v xml:space="preserve">  - PROTECTION_FIRE:2:3</v>
      </c>
      <c r="N55" s="22"/>
      <c r="O55" s="22"/>
      <c r="P55" s="22"/>
      <c r="Q55" s="22" t="str">
        <f>$A$55</f>
        <v xml:space="preserve">  - PROTECTION_FIRE:2:3</v>
      </c>
      <c r="R55" s="22"/>
      <c r="S55" s="22"/>
      <c r="T55" s="22"/>
    </row>
    <row r="56" spans="1:20" x14ac:dyDescent="0.25">
      <c r="A56" s="22" t="str">
        <f>$A$33</f>
        <v xml:space="preserve">  - PROTECTION_PROJECTILE:2:3</v>
      </c>
      <c r="B56" s="22"/>
      <c r="C56" s="22"/>
      <c r="D56" s="22"/>
      <c r="E56" s="22" t="str">
        <f>$A$56</f>
        <v xml:space="preserve">  - PROTECTION_PROJECTILE:2:3</v>
      </c>
      <c r="F56" s="22"/>
      <c r="G56" s="22"/>
      <c r="H56" s="22"/>
      <c r="I56" s="22" t="str">
        <f>$A$56</f>
        <v xml:space="preserve">  - PROTECTION_PROJECTILE:2:3</v>
      </c>
      <c r="J56" s="22"/>
      <c r="K56" s="22"/>
      <c r="L56" s="22"/>
      <c r="M56" s="22" t="str">
        <f>$A$56</f>
        <v xml:space="preserve">  - PROTECTION_PROJECTILE:2:3</v>
      </c>
      <c r="N56" s="22"/>
      <c r="O56" s="22"/>
      <c r="P56" s="22"/>
      <c r="Q56" s="22" t="str">
        <f>$A$56</f>
        <v xml:space="preserve">  - PROTECTION_PROJECTILE:2:3</v>
      </c>
      <c r="R56" s="22"/>
      <c r="S56" s="22"/>
      <c r="T56" s="22"/>
    </row>
    <row r="57" spans="1:20" x14ac:dyDescent="0.25">
      <c r="A57" s="22" t="str">
        <f>$A$34</f>
        <v xml:space="preserve">  - SILK_TOUCH:2:3</v>
      </c>
      <c r="B57" s="22"/>
      <c r="C57" s="22"/>
      <c r="D57" s="22"/>
      <c r="E57" s="22" t="str">
        <f>$A$57</f>
        <v xml:space="preserve">  - SILK_TOUCH:2:3</v>
      </c>
      <c r="F57" s="22"/>
      <c r="G57" s="22"/>
      <c r="H57" s="22"/>
      <c r="I57" s="22" t="str">
        <f>$A$57</f>
        <v xml:space="preserve">  - SILK_TOUCH:2:3</v>
      </c>
      <c r="J57" s="22"/>
      <c r="K57" s="22"/>
      <c r="L57" s="22"/>
      <c r="M57" s="22" t="str">
        <f>$A$57</f>
        <v xml:space="preserve">  - SILK_TOUCH:2:3</v>
      </c>
      <c r="N57" s="22"/>
      <c r="O57" s="22"/>
      <c r="P57" s="22"/>
      <c r="Q57" s="22" t="str">
        <f>$A$57</f>
        <v xml:space="preserve">  - SILK_TOUCH:2:3</v>
      </c>
      <c r="R57" s="22"/>
      <c r="S57" s="22"/>
      <c r="T57" s="22"/>
    </row>
    <row r="58" spans="1:20" x14ac:dyDescent="0.25">
      <c r="A58" s="22" t="str">
        <f>$A$35</f>
        <v xml:space="preserve">  - THORNS:2:3</v>
      </c>
      <c r="B58" s="22"/>
      <c r="C58" s="22"/>
      <c r="D58" s="22"/>
      <c r="E58" s="22" t="str">
        <f>$A$58</f>
        <v xml:space="preserve">  - THORNS:2:3</v>
      </c>
      <c r="F58" s="22"/>
      <c r="G58" s="22"/>
      <c r="H58" s="22"/>
      <c r="I58" s="22" t="str">
        <f>$A$58</f>
        <v xml:space="preserve">  - THORNS:2:3</v>
      </c>
      <c r="J58" s="22"/>
      <c r="K58" s="22"/>
      <c r="L58" s="22"/>
      <c r="M58" s="22" t="str">
        <f>$A$58</f>
        <v xml:space="preserve">  - THORNS:2:3</v>
      </c>
      <c r="N58" s="22"/>
      <c r="O58" s="22"/>
      <c r="P58" s="22"/>
      <c r="Q58" s="22" t="str">
        <f>$A$58</f>
        <v xml:space="preserve">  - THORNS:2:3</v>
      </c>
      <c r="R58" s="22"/>
      <c r="S58" s="22"/>
      <c r="T58" s="22"/>
    </row>
    <row r="59" spans="1:20" x14ac:dyDescent="0.25">
      <c r="A59" s="22" t="str">
        <f>$A$36</f>
        <v xml:space="preserve">  - WATER_WORKER:2:3</v>
      </c>
      <c r="B59" s="22"/>
      <c r="C59" s="22"/>
      <c r="D59" s="22"/>
      <c r="E59" s="22" t="str">
        <f>$A$59</f>
        <v xml:space="preserve">  - WATER_WORKER:2:3</v>
      </c>
      <c r="F59" s="22"/>
      <c r="G59" s="22"/>
      <c r="H59" s="22"/>
      <c r="I59" s="22" t="str">
        <f>$A$59</f>
        <v xml:space="preserve">  - WATER_WORKER:2:3</v>
      </c>
      <c r="J59" s="22"/>
      <c r="K59" s="22"/>
      <c r="L59" s="22"/>
      <c r="M59" s="22" t="str">
        <f>$A$59</f>
        <v xml:space="preserve">  - WATER_WORKER:2:3</v>
      </c>
      <c r="N59" s="22"/>
      <c r="O59" s="22"/>
      <c r="P59" s="22"/>
      <c r="Q59" s="22" t="str">
        <f>$A$59</f>
        <v xml:space="preserve">  - WATER_WORKER:2:3</v>
      </c>
      <c r="R59" s="22"/>
      <c r="S59" s="22"/>
      <c r="T59" s="22"/>
    </row>
    <row r="60" spans="1:20" x14ac:dyDescent="0.25">
      <c r="A60" s="9" t="s">
        <v>28</v>
      </c>
      <c r="B60" s="9"/>
      <c r="C60" s="9"/>
      <c r="D60" s="9"/>
      <c r="E60" s="9" t="s">
        <v>28</v>
      </c>
      <c r="F60" s="9"/>
      <c r="G60" s="9"/>
      <c r="H60" s="9"/>
      <c r="I60" s="9" t="s">
        <v>28</v>
      </c>
      <c r="J60" s="9"/>
      <c r="K60" s="9"/>
      <c r="L60" s="9"/>
      <c r="M60" s="9" t="s">
        <v>28</v>
      </c>
      <c r="N60" s="9"/>
      <c r="O60" s="9"/>
      <c r="P60" s="9"/>
      <c r="Q60" s="9" t="s">
        <v>28</v>
      </c>
      <c r="R60" s="9"/>
      <c r="S60" s="9"/>
      <c r="T60" s="9"/>
    </row>
    <row r="61" spans="1:20" x14ac:dyDescent="0.25">
      <c r="A61" s="11" t="str">
        <f>'armas raro'!$A$61</f>
        <v xml:space="preserve">  minimumBonusLore: 1</v>
      </c>
      <c r="B61" s="11"/>
      <c r="C61" s="11"/>
      <c r="D61" s="11"/>
      <c r="E61" s="11" t="str">
        <f>$A$61</f>
        <v xml:space="preserve">  minimumBonusLore: 1</v>
      </c>
      <c r="F61" s="11"/>
      <c r="G61" s="11"/>
      <c r="H61" s="11"/>
      <c r="I61" s="11" t="str">
        <f t="shared" ref="I61" si="12">$A$61</f>
        <v xml:space="preserve">  minimumBonusLore: 1</v>
      </c>
      <c r="J61" s="11"/>
      <c r="K61" s="11"/>
      <c r="L61" s="11"/>
      <c r="M61" s="11" t="str">
        <f t="shared" ref="M61" si="13">$A$61</f>
        <v xml:space="preserve">  minimumBonusLore: 1</v>
      </c>
      <c r="N61" s="11"/>
      <c r="O61" s="11"/>
      <c r="P61" s="11"/>
      <c r="Q61" s="11" t="str">
        <f t="shared" ref="Q61" si="14">$A$61</f>
        <v xml:space="preserve">  minimumBonusLore: 1</v>
      </c>
      <c r="R61" s="11"/>
      <c r="S61" s="11"/>
      <c r="T61" s="11"/>
    </row>
    <row r="62" spans="1:20" x14ac:dyDescent="0.25">
      <c r="A62" s="11" t="str">
        <f>'armas raro'!$A$62</f>
        <v xml:space="preserve">  maximumBonusLore: 2</v>
      </c>
      <c r="B62" s="11"/>
      <c r="C62" s="11"/>
      <c r="D62" s="11"/>
      <c r="E62" s="11" t="str">
        <f>$A$62</f>
        <v xml:space="preserve">  maximumBonusLore: 2</v>
      </c>
      <c r="F62" s="11"/>
      <c r="G62" s="11"/>
      <c r="H62" s="11"/>
      <c r="I62" s="11" t="str">
        <f t="shared" ref="I62" si="15">$A$62</f>
        <v xml:space="preserve">  maximumBonusLore: 2</v>
      </c>
      <c r="J62" s="11"/>
      <c r="K62" s="11"/>
      <c r="L62" s="11"/>
      <c r="M62" s="11" t="str">
        <f t="shared" ref="M62" si="16">$A$62</f>
        <v xml:space="preserve">  maximumBonusLore: 2</v>
      </c>
      <c r="N62" s="11"/>
      <c r="O62" s="11"/>
      <c r="P62" s="11"/>
      <c r="Q62" s="11" t="str">
        <f t="shared" ref="Q62" si="17">$A$62</f>
        <v xml:space="preserve">  maximumBonusLore: 2</v>
      </c>
      <c r="R62" s="11"/>
      <c r="S62" s="11"/>
      <c r="T62" s="11"/>
    </row>
    <row r="63" spans="1:20" x14ac:dyDescent="0.25">
      <c r="A63" s="9" t="s">
        <v>29</v>
      </c>
      <c r="B63" s="9"/>
      <c r="C63" s="9"/>
      <c r="D63" s="9"/>
      <c r="E63" s="9" t="s">
        <v>29</v>
      </c>
      <c r="F63" s="9"/>
      <c r="G63" s="9"/>
      <c r="H63" s="9"/>
      <c r="I63" s="9" t="s">
        <v>29</v>
      </c>
      <c r="J63" s="9"/>
      <c r="K63" s="9"/>
      <c r="L63" s="9"/>
      <c r="M63" s="9" t="s">
        <v>29</v>
      </c>
      <c r="N63" s="9"/>
      <c r="O63" s="9"/>
      <c r="P63" s="9"/>
      <c r="Q63" s="9" t="s">
        <v>29</v>
      </c>
      <c r="R63" s="9"/>
      <c r="S63" s="9"/>
      <c r="T63" s="9"/>
    </row>
    <row r="64" spans="1:20" x14ac:dyDescent="0.25">
      <c r="A64" s="20" t="str">
        <f>"  - '&amp;aVenta: &amp;6"&amp;(MAIN!$F$3+(MAIN!$E$18+MAIN!$E$19)/2*MAIN!$B$9+(MAIN!$E$20+MAIN!$E$21)/2*MAIN!$B$8+(MAIN!$E$69*MAIN!$B$11)+($C$2*MAIN!$B$10))/10&amp;" &amp;aAlmakos'"</f>
        <v xml:space="preserve">  - '&amp;aVenta: &amp;6570 &amp;aAlmakos'</v>
      </c>
      <c r="B64" s="20"/>
      <c r="C64" s="20"/>
      <c r="D64" s="20"/>
      <c r="E64" s="20" t="str">
        <f>"  - '&amp;aVenta: &amp;6"&amp;(MAIN!$G$3+(MAIN!$E$18+MAIN!$E$19)/2*MAIN!$B$9+(MAIN!$E$20+MAIN!$E$21)/2*MAIN!$B$8+(MAIN!$E$69*MAIN!$B$11)+($C$2*MAIN!$B$10))/10&amp;" &amp;aAlmakos'"</f>
        <v xml:space="preserve">  - '&amp;aVenta: &amp;6730 &amp;aAlmakos'</v>
      </c>
      <c r="F64" s="20"/>
      <c r="G64" s="20"/>
      <c r="H64" s="20"/>
      <c r="I64" s="20" t="str">
        <f>"  - '&amp;aVenta: &amp;6"&amp;(MAIN!$H$3+(MAIN!$E$18+MAIN!$E$19)/2*MAIN!$B$9+(MAIN!$E$20+MAIN!$E$21)/2*MAIN!$B$8+(MAIN!$E$69*MAIN!$B$11)+($C$2*MAIN!$B$10))/10&amp;" &amp;aAlmakos'"</f>
        <v xml:space="preserve">  - '&amp;aVenta: &amp;61050 &amp;aAlmakos'</v>
      </c>
      <c r="J64" s="20"/>
      <c r="K64" s="20"/>
      <c r="L64" s="20"/>
      <c r="M64" s="20" t="str">
        <f>"  - '&amp;aVenta: &amp;6"&amp;(MAIN!$I$3+(MAIN!$E$18+MAIN!$E$19)/2*MAIN!$B$9+(MAIN!$E$20+MAIN!$E$21)/2*MAIN!$B$8+(MAIN!$E$69*MAIN!$B$11)+($C$2*MAIN!$B$10))/10&amp;" &amp;aAlmakos'"</f>
        <v xml:space="preserve">  - '&amp;aVenta: &amp;61690 &amp;aAlmakos'</v>
      </c>
      <c r="N64" s="20"/>
      <c r="O64" s="20"/>
      <c r="P64" s="20"/>
      <c r="Q64" s="20" t="str">
        <f>"  - '&amp;aVenta: &amp;6"&amp;(MAIN!$J$3+(MAIN!$E$18+MAIN!$E$19)/2*MAIN!$B$9+(MAIN!$E$20+MAIN!$E$21)/2*MAIN!$B$8+(MAIN!$E$69*MAIN!$B$11)+($C$2*MAIN!$B$10))/10&amp;" &amp;aAlmakos'"</f>
        <v xml:space="preserve">  - '&amp;aVenta: &amp;62970 &amp;aAlmakos'</v>
      </c>
      <c r="R64" s="20"/>
      <c r="S64" s="20"/>
      <c r="T64" s="20"/>
    </row>
    <row r="65" spans="1:20" x14ac:dyDescent="0.25">
      <c r="A65" s="9" t="s">
        <v>30</v>
      </c>
      <c r="B65" s="9"/>
      <c r="C65" s="9"/>
      <c r="D65" s="9"/>
      <c r="E65" s="9" t="s">
        <v>30</v>
      </c>
      <c r="F65" s="9"/>
      <c r="G65" s="9"/>
      <c r="H65" s="9"/>
      <c r="I65" s="9" t="s">
        <v>30</v>
      </c>
      <c r="J65" s="9"/>
      <c r="K65" s="9"/>
      <c r="L65" s="9"/>
      <c r="M65" s="9" t="s">
        <v>30</v>
      </c>
      <c r="N65" s="9"/>
      <c r="O65" s="9"/>
      <c r="P65" s="9"/>
      <c r="Q65" s="9" t="s">
        <v>30</v>
      </c>
      <c r="R65" s="9"/>
      <c r="S65" s="9"/>
      <c r="T65" s="9"/>
    </row>
    <row r="66" spans="1:20" x14ac:dyDescent="0.25">
      <c r="A66" s="9" t="s">
        <v>31</v>
      </c>
      <c r="B66" s="9"/>
      <c r="C66" s="9"/>
      <c r="D66" s="9"/>
      <c r="E66" s="9" t="s">
        <v>31</v>
      </c>
      <c r="F66" s="9"/>
      <c r="G66" s="9"/>
      <c r="H66" s="9"/>
      <c r="I66" s="9" t="s">
        <v>31</v>
      </c>
      <c r="J66" s="9"/>
      <c r="K66" s="9"/>
      <c r="L66" s="9"/>
      <c r="M66" s="9" t="s">
        <v>31</v>
      </c>
      <c r="N66" s="9"/>
      <c r="O66" s="9"/>
      <c r="P66" s="9"/>
      <c r="Q66" s="9" t="s">
        <v>31</v>
      </c>
      <c r="R66" s="9"/>
      <c r="S66" s="9"/>
      <c r="T66" s="9"/>
    </row>
    <row r="67" spans="1:20" s="262" customFormat="1" x14ac:dyDescent="0.25">
      <c r="A67" s="9" t="s">
        <v>1032</v>
      </c>
      <c r="B67" s="9"/>
      <c r="C67" s="9"/>
      <c r="D67" s="9"/>
      <c r="E67" s="9" t="s">
        <v>1032</v>
      </c>
      <c r="F67" s="9"/>
      <c r="G67" s="9"/>
      <c r="H67" s="9"/>
      <c r="I67" s="9" t="s">
        <v>1032</v>
      </c>
      <c r="J67" s="9"/>
      <c r="K67" s="9"/>
      <c r="L67" s="9"/>
      <c r="M67" s="9" t="s">
        <v>1032</v>
      </c>
      <c r="N67" s="9"/>
      <c r="O67" s="9"/>
      <c r="P67" s="9"/>
      <c r="Q67" s="9" t="s">
        <v>1032</v>
      </c>
      <c r="R67" s="9"/>
      <c r="S67" s="9"/>
      <c r="T67" s="9"/>
    </row>
    <row r="68" spans="1:20" x14ac:dyDescent="0.25">
      <c r="A68" s="10" t="str">
        <f>"  - '&amp;7• &amp;8Nivel: &amp;a"&amp;MAIN!$C$71+($C$2*MAIN!$I$27)&amp;"'"</f>
        <v xml:space="preserve">  - '&amp;7• &amp;8Nivel: &amp;a39'</v>
      </c>
      <c r="B68" s="10"/>
      <c r="C68" s="10"/>
      <c r="D68" s="10"/>
      <c r="E68" s="10" t="str">
        <f>"  - '&amp;7• &amp;8Nivel: &amp;a"&amp;MAIN!$D$71+($C$2*MAIN!$I$27)&amp;"'"</f>
        <v xml:space="preserve">  - '&amp;7• &amp;8Nivel: &amp;a67'</v>
      </c>
      <c r="F68" s="10"/>
      <c r="G68" s="10"/>
      <c r="H68" s="10"/>
      <c r="I68" s="10" t="str">
        <f>"  - '&amp;7• &amp;8Nivel: &amp;a"&amp;MAIN!$E$71+($C$2*MAIN!$I$27)&amp;"'"</f>
        <v xml:space="preserve">  - '&amp;7• &amp;8Nivel: &amp;a153'</v>
      </c>
      <c r="J68" s="10"/>
      <c r="K68" s="10"/>
      <c r="L68" s="10"/>
      <c r="M68" s="10" t="str">
        <f>"  - '&amp;7• &amp;8Nivel: &amp;a"&amp;MAIN!$F$71+($C$2*MAIN!$I$27)&amp;"'"</f>
        <v xml:space="preserve">  - '&amp;7• &amp;8Nivel: &amp;a409'</v>
      </c>
      <c r="N68" s="10"/>
      <c r="O68" s="10"/>
      <c r="P68" s="10"/>
      <c r="Q68" s="10" t="str">
        <f>"  - '&amp;7• &amp;8Nivel: &amp;a"&amp;MAIN!$G$71+($C$2*MAIN!$I$27)&amp;"'"</f>
        <v xml:space="preserve">  - '&amp;7• &amp;8Nivel: &amp;a793'</v>
      </c>
      <c r="R68" s="10"/>
      <c r="S68" s="10"/>
      <c r="T68" s="10"/>
    </row>
    <row r="69" spans="1:20" x14ac:dyDescent="0.25">
      <c r="A69" s="12" t="str">
        <f>"  - '&amp;7• &amp;8"&amp;MAIN!$C$12&amp;" lvl: &amp;a"&amp;ROUNDUP((MAIN!$C$71+($C$2*MAIN!$I$27))/3,0)&amp;"'"</f>
        <v xml:space="preserve">  - '&amp;7• &amp;8Esencia lvl: &amp;a13'</v>
      </c>
      <c r="B69" s="12"/>
      <c r="C69" s="12"/>
      <c r="D69" s="12"/>
      <c r="E69" s="12" t="str">
        <f>"  - '&amp;7• &amp;8"&amp;MAIN!$C$12&amp;" lvl: &amp;a"&amp;ROUNDUP((MAIN!$D$71+($C$2*MAIN!$I$27))/3,0)&amp;"'"</f>
        <v xml:space="preserve">  - '&amp;7• &amp;8Esencia lvl: &amp;a23'</v>
      </c>
      <c r="F69" s="12"/>
      <c r="G69" s="12"/>
      <c r="H69" s="12"/>
      <c r="I69" s="12" t="str">
        <f>"  - '&amp;7• &amp;8"&amp;MAIN!$C$12&amp;" lvl: &amp;a"&amp;ROUNDUP((MAIN!$E$71+($C$2*MAIN!$I$27))/3,0)&amp;"'"</f>
        <v xml:space="preserve">  - '&amp;7• &amp;8Esencia lvl: &amp;a51'</v>
      </c>
      <c r="J69" s="12"/>
      <c r="K69" s="12"/>
      <c r="L69" s="12"/>
      <c r="M69" s="12" t="str">
        <f>"  - '&amp;7• &amp;8"&amp;MAIN!$C$12&amp;" lvl: &amp;a"&amp;ROUNDUP((MAIN!$F$71+($C$2*MAIN!$I$27))/3,0)&amp;"'"</f>
        <v xml:space="preserve">  - '&amp;7• &amp;8Esencia lvl: &amp;a137'</v>
      </c>
      <c r="N69" s="12"/>
      <c r="O69" s="12"/>
      <c r="P69" s="12"/>
      <c r="Q69" s="12" t="str">
        <f>"  - '&amp;7• &amp;8"&amp;MAIN!$C$12&amp;" lvl: &amp;a"&amp;ROUNDUP((MAIN!$G$71+($C$2*MAIN!$I$27))/3,0)&amp;"'"</f>
        <v xml:space="preserve">  - '&amp;7• &amp;8Esencia lvl: &amp;a265'</v>
      </c>
      <c r="R69" s="12"/>
      <c r="S69" s="12"/>
      <c r="T69" s="12"/>
    </row>
    <row r="70" spans="1:20" x14ac:dyDescent="0.25">
      <c r="A70" s="9" t="s">
        <v>32</v>
      </c>
      <c r="B70" s="9"/>
      <c r="C70" s="9"/>
      <c r="D70" s="9"/>
      <c r="E70" s="9" t="s">
        <v>32</v>
      </c>
      <c r="F70" s="9"/>
      <c r="G70" s="9"/>
      <c r="H70" s="9"/>
      <c r="I70" s="9" t="s">
        <v>32</v>
      </c>
      <c r="J70" s="9"/>
      <c r="K70" s="9"/>
      <c r="L70" s="9"/>
      <c r="M70" s="9" t="s">
        <v>32</v>
      </c>
      <c r="N70" s="9"/>
      <c r="O70" s="9"/>
      <c r="P70" s="9"/>
      <c r="Q70" s="9" t="s">
        <v>32</v>
      </c>
      <c r="R70" s="9"/>
      <c r="S70" s="9"/>
      <c r="T70" s="9"/>
    </row>
    <row r="71" spans="1:20" s="291" customFormat="1" x14ac:dyDescent="0.25">
      <c r="A71" s="9" t="s">
        <v>1196</v>
      </c>
      <c r="B71" s="9"/>
      <c r="C71" s="9"/>
      <c r="D71" s="9"/>
      <c r="E71" s="9" t="str">
        <f>A71</f>
        <v xml:space="preserve">  - '%tierlore%'</v>
      </c>
      <c r="F71" s="9"/>
      <c r="G71" s="9"/>
      <c r="H71" s="9"/>
      <c r="I71" s="9" t="str">
        <f>E71</f>
        <v xml:space="preserve">  - '%tierlore%'</v>
      </c>
      <c r="J71" s="9"/>
      <c r="K71" s="9"/>
      <c r="L71" s="9"/>
      <c r="M71" s="9" t="str">
        <f>I71</f>
        <v xml:space="preserve">  - '%tierlore%'</v>
      </c>
      <c r="N71" s="9"/>
      <c r="O71" s="9"/>
      <c r="P71" s="9"/>
      <c r="Q71" s="9" t="str">
        <f>M71</f>
        <v xml:space="preserve">  - '%tierlore%'</v>
      </c>
      <c r="R71" s="9"/>
      <c r="S71" s="9"/>
      <c r="T71" s="9"/>
    </row>
    <row r="72" spans="1:20" x14ac:dyDescent="0.25">
      <c r="A72" s="9" t="s">
        <v>33</v>
      </c>
      <c r="B72" s="9"/>
      <c r="C72" s="9"/>
      <c r="D72" s="9"/>
      <c r="E72" s="9" t="s">
        <v>33</v>
      </c>
      <c r="F72" s="9"/>
      <c r="G72" s="9"/>
      <c r="H72" s="9"/>
      <c r="I72" s="9" t="s">
        <v>33</v>
      </c>
      <c r="J72" s="9"/>
      <c r="K72" s="9"/>
      <c r="L72" s="9"/>
      <c r="M72" s="9" t="s">
        <v>33</v>
      </c>
      <c r="N72" s="9"/>
      <c r="O72" s="9"/>
      <c r="P72" s="9"/>
      <c r="Q72" s="9" t="s">
        <v>33</v>
      </c>
      <c r="R72" s="9"/>
      <c r="S72" s="9"/>
      <c r="T72" s="9"/>
    </row>
    <row r="73" spans="1:20" x14ac:dyDescent="0.25">
      <c r="A73" s="10" t="str">
        <f>"  - '&amp;4• &amp;f"&amp;MAIN!$C$9&amp;": &amp;a"&amp;MAIN!$C$66*$C$2&amp;"'"</f>
        <v xml:space="preserve">  - '&amp;4• &amp;fFuerza: &amp;a40'</v>
      </c>
      <c r="B73" s="10"/>
      <c r="C73" s="10"/>
      <c r="D73" s="10"/>
      <c r="E73" s="10" t="str">
        <f>"  - '&amp;4• &amp;f"&amp;MAIN!$C$9&amp;": &amp;a"&amp;MAIN!$D$66*$C$2&amp;"'"</f>
        <v xml:space="preserve">  - '&amp;4• &amp;fFuerza: &amp;a65'</v>
      </c>
      <c r="F73" s="10"/>
      <c r="G73" s="10"/>
      <c r="H73" s="10"/>
      <c r="I73" s="10" t="str">
        <f>"  - '&amp;4• &amp;f"&amp;MAIN!$C$9&amp;": &amp;a"&amp;MAIN!$E$66*$C$2&amp;"'"</f>
        <v xml:space="preserve">  - '&amp;4• &amp;fFuerza: &amp;a110'</v>
      </c>
      <c r="J73" s="10"/>
      <c r="K73" s="10"/>
      <c r="L73" s="10"/>
      <c r="M73" s="10" t="str">
        <f>"  - '&amp;4• &amp;f"&amp;MAIN!$C$9&amp;": &amp;a"&amp;MAIN!$F$66*$C$2&amp;"'"</f>
        <v xml:space="preserve">  - '&amp;4• &amp;fFuerza: &amp;a185'</v>
      </c>
      <c r="N73" s="10"/>
      <c r="O73" s="10"/>
      <c r="P73" s="10"/>
      <c r="Q73" s="10" t="str">
        <f>"  - '&amp;4• &amp;f"&amp;MAIN!$C$9&amp;": &amp;a"&amp;MAIN!$G$66*$C$2&amp;"'"</f>
        <v xml:space="preserve">  - '&amp;4• &amp;fFuerza: &amp;a310'</v>
      </c>
      <c r="R73" s="10"/>
      <c r="S73" s="10"/>
      <c r="T73" s="10"/>
    </row>
    <row r="74" spans="1:20" x14ac:dyDescent="0.25">
      <c r="A74" s="10" t="str">
        <f>"  - '&amp;4• &amp;f"&amp;MAIN!$C$8&amp;": &amp;a"&amp;MAIN!$C$66*$C$2&amp;"'"</f>
        <v xml:space="preserve">  - '&amp;4• &amp;fVitalidad: &amp;a40'</v>
      </c>
      <c r="B74" s="10"/>
      <c r="C74" s="10"/>
      <c r="D74" s="10"/>
      <c r="E74" s="10" t="str">
        <f>"  - '&amp;4• &amp;f"&amp;MAIN!$C$8&amp;": &amp;a"&amp;MAIN!$D$66*$C$2&amp;"'"</f>
        <v xml:space="preserve">  - '&amp;4• &amp;fVitalidad: &amp;a65'</v>
      </c>
      <c r="F74" s="10"/>
      <c r="G74" s="10"/>
      <c r="H74" s="10"/>
      <c r="I74" s="10" t="str">
        <f>"  - '&amp;4• &amp;f"&amp;MAIN!$C$8&amp;": &amp;a"&amp;MAIN!$E$66*$C$2&amp;"'"</f>
        <v xml:space="preserve">  - '&amp;4• &amp;fVitalidad: &amp;a110'</v>
      </c>
      <c r="J74" s="10"/>
      <c r="K74" s="10"/>
      <c r="L74" s="10"/>
      <c r="M74" s="10" t="str">
        <f>"  - '&amp;4• &amp;f"&amp;MAIN!$C$8&amp;": &amp;a"&amp;MAIN!$F$66*$C$2&amp;"'"</f>
        <v xml:space="preserve">  - '&amp;4• &amp;fVitalidad: &amp;a185'</v>
      </c>
      <c r="N74" s="10"/>
      <c r="O74" s="10"/>
      <c r="P74" s="10"/>
      <c r="Q74" s="10" t="str">
        <f>"  - '&amp;4• &amp;f"&amp;MAIN!$C$8&amp;": &amp;a"&amp;MAIN!$G$66*$C$2&amp;"'"</f>
        <v xml:space="preserve">  - '&amp;4• &amp;fVitalidad: &amp;a310'</v>
      </c>
      <c r="R74" s="10"/>
      <c r="S74" s="10"/>
      <c r="T74" s="10"/>
    </row>
    <row r="75" spans="1:20" x14ac:dyDescent="0.25">
      <c r="A75" s="10" t="str">
        <f>"  - '&amp;4• &amp;f"&amp;MAIN!$C$11&amp;": &amp;a"&amp;MAIN!$C$68*$C$2&amp;"'"</f>
        <v xml:space="preserve">  - '&amp;4• &amp;fInteligencia: &amp;a40'</v>
      </c>
      <c r="B75" s="10"/>
      <c r="C75" s="10"/>
      <c r="D75" s="10"/>
      <c r="E75" s="10" t="str">
        <f>"  - '&amp;4• &amp;f"&amp;MAIN!$C$11&amp;": &amp;a"&amp;MAIN!$D$68*$C$2&amp;"'"</f>
        <v xml:space="preserve">  - '&amp;4• &amp;fInteligencia: &amp;a65'</v>
      </c>
      <c r="F75" s="10"/>
      <c r="G75" s="10"/>
      <c r="H75" s="10"/>
      <c r="I75" s="10" t="str">
        <f>"  - '&amp;4• &amp;f"&amp;MAIN!$C$11&amp;": &amp;a"&amp;MAIN!$E$67*$C$2&amp;"'"</f>
        <v xml:space="preserve">  - '&amp;4• &amp;fInteligencia: &amp;a110'</v>
      </c>
      <c r="J75" s="10"/>
      <c r="K75" s="10"/>
      <c r="L75" s="10"/>
      <c r="M75" s="10" t="str">
        <f>"  - '&amp;4• &amp;f"&amp;MAIN!$C$11&amp;": &amp;a"&amp;MAIN!$F$68*$C$2&amp;"'"</f>
        <v xml:space="preserve">  - '&amp;4• &amp;fInteligencia: &amp;a185'</v>
      </c>
      <c r="N75" s="10"/>
      <c r="O75" s="10"/>
      <c r="P75" s="10"/>
      <c r="Q75" s="10" t="str">
        <f>"  - '&amp;4• &amp;f"&amp;MAIN!$C$11&amp;": &amp;a"&amp;MAIN!$G$68*$C$2&amp;"'"</f>
        <v xml:space="preserve">  - '&amp;4• &amp;fInteligencia: &amp;a310'</v>
      </c>
      <c r="R75" s="10"/>
      <c r="S75" s="10"/>
      <c r="T75" s="10"/>
    </row>
    <row r="76" spans="1:20" x14ac:dyDescent="0.25">
      <c r="A76" s="10" t="str">
        <f>"  - '&amp;4• &amp;f"&amp;MAIN!$C$10&amp;": &amp;a"&amp;MAIN!$C$67*$C$2&amp;"'"</f>
        <v xml:space="preserve">  - '&amp;4• &amp;fAgilidad: &amp;a40'</v>
      </c>
      <c r="B76" s="10"/>
      <c r="C76" s="10"/>
      <c r="D76" s="10"/>
      <c r="E76" s="10" t="str">
        <f>"  - '&amp;4• &amp;f"&amp;MAIN!$C$10&amp;": &amp;a"&amp;MAIN!$D$67*$C$2&amp;"'"</f>
        <v xml:space="preserve">  - '&amp;4• &amp;fAgilidad: &amp;a65'</v>
      </c>
      <c r="F76" s="10"/>
      <c r="G76" s="10"/>
      <c r="H76" s="10"/>
      <c r="I76" s="10" t="str">
        <f>"  - '&amp;4• &amp;f"&amp;MAIN!$C$10&amp;": &amp;a"&amp;MAIN!$E$67*$C$2&amp;"'"</f>
        <v xml:space="preserve">  - '&amp;4• &amp;fAgilidad: &amp;a110'</v>
      </c>
      <c r="J76" s="10"/>
      <c r="K76" s="10"/>
      <c r="L76" s="10"/>
      <c r="M76" s="10" t="str">
        <f>"  - '&amp;4• &amp;f"&amp;MAIN!$C$10&amp;": &amp;a"&amp;MAIN!$F$67*$C$2&amp;"'"</f>
        <v xml:space="preserve">  - '&amp;4• &amp;fAgilidad: &amp;a185'</v>
      </c>
      <c r="N76" s="10"/>
      <c r="O76" s="10"/>
      <c r="P76" s="10"/>
      <c r="Q76" s="10" t="str">
        <f>"  - '&amp;4• &amp;f"&amp;MAIN!$C$10&amp;": &amp;a"&amp;MAIN!$G$67*$C$2&amp;"'"</f>
        <v xml:space="preserve">  - '&amp;4• &amp;fAgilidad: &amp;a310'</v>
      </c>
      <c r="R76" s="10"/>
      <c r="S76" s="10"/>
      <c r="T76" s="10"/>
    </row>
    <row r="77" spans="1:20" x14ac:dyDescent="0.25">
      <c r="A77" s="9" t="s">
        <v>71</v>
      </c>
      <c r="B77" s="9"/>
      <c r="C77" s="9"/>
      <c r="D77" s="9"/>
      <c r="E77" s="9" t="s">
        <v>71</v>
      </c>
      <c r="F77" s="9"/>
      <c r="G77" s="9"/>
      <c r="H77" s="9"/>
      <c r="I77" s="9" t="s">
        <v>71</v>
      </c>
      <c r="J77" s="9"/>
      <c r="K77" s="9"/>
      <c r="L77" s="9"/>
      <c r="M77" s="9" t="s">
        <v>71</v>
      </c>
      <c r="N77" s="9"/>
      <c r="O77" s="9"/>
      <c r="P77" s="9"/>
      <c r="Q77" s="9" t="s">
        <v>71</v>
      </c>
      <c r="R77" s="9"/>
      <c r="S77" s="9"/>
      <c r="T77" s="9"/>
    </row>
    <row r="78" spans="1:20" x14ac:dyDescent="0.25">
      <c r="A78" s="9" t="s">
        <v>72</v>
      </c>
      <c r="B78" s="9"/>
      <c r="C78" s="9"/>
      <c r="D78" s="9"/>
      <c r="E78" s="9" t="s">
        <v>72</v>
      </c>
      <c r="F78" s="9"/>
      <c r="G78" s="9"/>
      <c r="H78" s="9"/>
      <c r="I78" s="9" t="s">
        <v>72</v>
      </c>
      <c r="J78" s="9"/>
      <c r="K78" s="9"/>
      <c r="L78" s="9"/>
      <c r="M78" s="9" t="s">
        <v>72</v>
      </c>
      <c r="N78" s="9"/>
      <c r="O78" s="9"/>
      <c r="P78" s="9"/>
      <c r="Q78" s="9" t="s">
        <v>72</v>
      </c>
      <c r="R78" s="9"/>
      <c r="S78" s="9"/>
      <c r="T78" s="9"/>
    </row>
    <row r="79" spans="1:20" x14ac:dyDescent="0.25">
      <c r="A79" s="11" t="str">
        <f>'armas raro'!$A$79</f>
        <v>minimumSockets: 1</v>
      </c>
      <c r="B79" s="11"/>
      <c r="C79" s="11"/>
      <c r="D79" s="11"/>
      <c r="E79" s="11" t="str">
        <f>$A$79</f>
        <v>minimumSockets: 1</v>
      </c>
      <c r="F79" s="11"/>
      <c r="G79" s="11"/>
      <c r="H79" s="11"/>
      <c r="I79" s="11" t="str">
        <f>$A$79</f>
        <v>minimumSockets: 1</v>
      </c>
      <c r="J79" s="11"/>
      <c r="K79" s="11"/>
      <c r="L79" s="11"/>
      <c r="M79" s="11" t="str">
        <f>$A$79</f>
        <v>minimumSockets: 1</v>
      </c>
      <c r="N79" s="11"/>
      <c r="O79" s="11"/>
      <c r="P79" s="11"/>
      <c r="Q79" s="11" t="str">
        <f>$A$79</f>
        <v>minimumSockets: 1</v>
      </c>
      <c r="R79" s="11"/>
      <c r="S79" s="11"/>
      <c r="T79" s="11"/>
    </row>
    <row r="80" spans="1:20" x14ac:dyDescent="0.25">
      <c r="A80" s="11" t="str">
        <f>'armas raro'!$A$80</f>
        <v>maximumSockets: 2</v>
      </c>
      <c r="B80" s="11"/>
      <c r="C80" s="11"/>
      <c r="D80" s="11"/>
      <c r="E80" s="11" t="str">
        <f>$A$80</f>
        <v>maximumSockets: 2</v>
      </c>
      <c r="F80" s="11"/>
      <c r="G80" s="11"/>
      <c r="H80" s="11"/>
      <c r="I80" s="11" t="str">
        <f>$A$80</f>
        <v>maximumSockets: 2</v>
      </c>
      <c r="J80" s="11"/>
      <c r="K80" s="11"/>
      <c r="L80" s="11"/>
      <c r="M80" s="11" t="str">
        <f>$A$80</f>
        <v>maximumSockets: 2</v>
      </c>
      <c r="N80" s="11"/>
      <c r="O80" s="11"/>
      <c r="P80" s="11"/>
      <c r="Q80" s="11" t="str">
        <f>$A$80</f>
        <v>maximumSockets: 2</v>
      </c>
      <c r="R80" s="11"/>
      <c r="S80" s="11"/>
      <c r="T80" s="11"/>
    </row>
    <row r="81" spans="1:20" x14ac:dyDescent="0.25">
      <c r="A81" s="11" t="str">
        <f>'armas raro'!$A$81</f>
        <v>chanceToSpawnOnAMonster: 0.15</v>
      </c>
      <c r="B81" s="11"/>
      <c r="C81" s="11"/>
      <c r="D81" s="11"/>
      <c r="E81" s="11" t="str">
        <f>$A$81</f>
        <v>chanceToSpawnOnAMonster: 0.15</v>
      </c>
      <c r="F81" s="11"/>
      <c r="G81" s="11"/>
      <c r="H81" s="11"/>
      <c r="I81" s="11" t="str">
        <f>$A$81</f>
        <v>chanceToSpawnOnAMonster: 0.15</v>
      </c>
      <c r="J81" s="11"/>
      <c r="K81" s="11"/>
      <c r="L81" s="11"/>
      <c r="M81" s="11" t="str">
        <f>$A$81</f>
        <v>chanceToSpawnOnAMonster: 0.15</v>
      </c>
      <c r="N81" s="11"/>
      <c r="O81" s="11"/>
      <c r="P81" s="11"/>
      <c r="Q81" s="11" t="str">
        <f>$A$81</f>
        <v>chanceToSpawnOnAMonster: 0.15</v>
      </c>
      <c r="R81" s="11"/>
      <c r="S81" s="11"/>
      <c r="T81" s="11"/>
    </row>
    <row r="82" spans="1:20" x14ac:dyDescent="0.25">
      <c r="A82" s="9" t="s">
        <v>34</v>
      </c>
      <c r="B82" s="9"/>
      <c r="C82" s="9"/>
      <c r="D82" s="9"/>
      <c r="E82" s="9" t="s">
        <v>34</v>
      </c>
      <c r="F82" s="9"/>
      <c r="G82" s="9"/>
      <c r="H82" s="9"/>
      <c r="I82" s="9" t="s">
        <v>34</v>
      </c>
      <c r="J82" s="9"/>
      <c r="K82" s="9"/>
      <c r="L82" s="9"/>
      <c r="M82" s="9" t="s">
        <v>34</v>
      </c>
      <c r="N82" s="9"/>
      <c r="O82" s="9"/>
      <c r="P82" s="9"/>
      <c r="Q82" s="9" t="s">
        <v>34</v>
      </c>
      <c r="R82" s="9"/>
      <c r="S82" s="9"/>
      <c r="T82" s="9"/>
    </row>
    <row r="83" spans="1:20" x14ac:dyDescent="0.25">
      <c r="A83" s="11" t="str">
        <f>'armas raro'!$A$83</f>
        <v>chanceToBeIdentified: 0.075</v>
      </c>
      <c r="B83" s="11"/>
      <c r="C83" s="11"/>
      <c r="D83" s="11"/>
      <c r="E83" s="11" t="str">
        <f>$A$83</f>
        <v>chanceToBeIdentified: 0.075</v>
      </c>
      <c r="F83" s="11"/>
      <c r="G83" s="11"/>
      <c r="H83" s="11"/>
      <c r="I83" s="11" t="str">
        <f>$A$83</f>
        <v>chanceToBeIdentified: 0.075</v>
      </c>
      <c r="J83" s="11"/>
      <c r="K83" s="11"/>
      <c r="L83" s="11"/>
      <c r="M83" s="11" t="str">
        <f>$A$83</f>
        <v>chanceToBeIdentified: 0.075</v>
      </c>
      <c r="N83" s="11"/>
      <c r="O83" s="11"/>
      <c r="P83" s="11"/>
      <c r="Q83" s="11" t="str">
        <f>$A$83</f>
        <v>chanceToBeIdentified: 0.075</v>
      </c>
      <c r="R83" s="11"/>
      <c r="S83" s="11"/>
      <c r="T83" s="11"/>
    </row>
    <row r="84" spans="1:20" x14ac:dyDescent="0.25">
      <c r="A84" s="9" t="s">
        <v>79</v>
      </c>
      <c r="B84" s="9"/>
      <c r="C84" s="9"/>
      <c r="D84" s="9"/>
      <c r="E84" s="9" t="s">
        <v>79</v>
      </c>
      <c r="F84" s="9"/>
      <c r="G84" s="9"/>
      <c r="H84" s="9"/>
      <c r="I84" s="9" t="s">
        <v>79</v>
      </c>
      <c r="J84" s="9"/>
      <c r="K84" s="9"/>
      <c r="L84" s="9"/>
      <c r="M84" s="9" t="s">
        <v>79</v>
      </c>
      <c r="N84" s="9"/>
      <c r="O84" s="9"/>
      <c r="P84" s="9"/>
      <c r="Q84" s="9" t="s">
        <v>79</v>
      </c>
      <c r="R84" s="9"/>
      <c r="S84" s="9"/>
      <c r="T84" s="9"/>
    </row>
    <row r="85" spans="1:20" x14ac:dyDescent="0.25">
      <c r="A85" s="11" t="str">
        <f>'armas raro'!$A$85</f>
        <v>broadcastOnFind: false</v>
      </c>
      <c r="B85" s="11"/>
      <c r="C85" s="11"/>
      <c r="D85" s="11"/>
      <c r="E85" s="11" t="str">
        <f>$A$85</f>
        <v>broadcastOnFind: false</v>
      </c>
      <c r="F85" s="11"/>
      <c r="G85" s="11"/>
      <c r="H85" s="11"/>
      <c r="I85" s="11" t="str">
        <f>$A$85</f>
        <v>broadcastOnFind: false</v>
      </c>
      <c r="J85" s="11"/>
      <c r="K85" s="11"/>
      <c r="L85" s="11"/>
      <c r="M85" s="11" t="str">
        <f>$A$85</f>
        <v>broadcastOnFind: false</v>
      </c>
      <c r="N85" s="11"/>
      <c r="O85" s="11"/>
      <c r="P85" s="11"/>
      <c r="Q85" s="11" t="str">
        <f>$A$85</f>
        <v>broadcastOnFind: false</v>
      </c>
      <c r="R85" s="11"/>
      <c r="S85" s="11"/>
      <c r="T85" s="11"/>
    </row>
    <row r="86" spans="1:20" x14ac:dyDescent="0.25">
      <c r="A86" s="11" t="str">
        <f>'armas raro'!$A$86</f>
        <v>optimalDistance: 2400</v>
      </c>
      <c r="B86" s="11"/>
      <c r="C86" s="11"/>
      <c r="D86" s="11"/>
      <c r="E86" s="11" t="str">
        <f>$A$86</f>
        <v>optimalDistance: 2400</v>
      </c>
      <c r="F86" s="11"/>
      <c r="G86" s="11"/>
      <c r="H86" s="11"/>
      <c r="I86" s="11" t="str">
        <f>$A$86</f>
        <v>optimalDistance: 2400</v>
      </c>
      <c r="J86" s="11"/>
      <c r="K86" s="11"/>
      <c r="L86" s="11"/>
      <c r="M86" s="11" t="str">
        <f>$A$86</f>
        <v>optimalDistance: 2400</v>
      </c>
      <c r="N86" s="11"/>
      <c r="O86" s="11"/>
      <c r="P86" s="11"/>
      <c r="Q86" s="11" t="str">
        <f>$A$86</f>
        <v>optimalDistance: 2400</v>
      </c>
      <c r="R86" s="11"/>
      <c r="S86" s="11"/>
      <c r="T86" s="11"/>
    </row>
    <row r="87" spans="1:20" x14ac:dyDescent="0.25">
      <c r="A87" s="11" t="str">
        <f>'armas raro'!$A$87</f>
        <v>maximumDistance: 1800</v>
      </c>
      <c r="B87" s="11"/>
      <c r="C87" s="11"/>
      <c r="D87" s="11"/>
      <c r="E87" s="11" t="str">
        <f>$A$87</f>
        <v>maximumDistance: 1800</v>
      </c>
      <c r="F87" s="11"/>
      <c r="G87" s="11"/>
      <c r="H87" s="11"/>
      <c r="I87" s="11" t="str">
        <f>$A$87</f>
        <v>maximumDistance: 1800</v>
      </c>
      <c r="J87" s="11"/>
      <c r="K87" s="11"/>
      <c r="L87" s="11"/>
      <c r="M87" s="11" t="str">
        <f>$A$87</f>
        <v>maximumDistance: 1800</v>
      </c>
      <c r="N87" s="11"/>
      <c r="O87" s="11"/>
      <c r="P87" s="11"/>
      <c r="Q87" s="11" t="str">
        <f>$A$87</f>
        <v>maximumDistance: 1800</v>
      </c>
      <c r="R87" s="11"/>
      <c r="S87" s="11"/>
      <c r="T87" s="11"/>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9" x14ac:dyDescent="0.25">
      <c r="A97" s="9"/>
      <c r="B97" s="9"/>
      <c r="C97" s="9"/>
      <c r="D97" s="9"/>
      <c r="G97" s="13"/>
      <c r="H97" s="13"/>
      <c r="I97" s="13"/>
    </row>
    <row r="98" spans="1:9" x14ac:dyDescent="0.25">
      <c r="A98" s="9"/>
      <c r="B98" s="9"/>
      <c r="C98" s="9"/>
      <c r="D98" s="9"/>
      <c r="G98" s="13"/>
      <c r="H98" s="13"/>
      <c r="I98" s="13"/>
    </row>
    <row r="99" spans="1:9" x14ac:dyDescent="0.25">
      <c r="A99" s="9"/>
      <c r="B99" s="9"/>
      <c r="C99" s="9"/>
      <c r="D99" s="9"/>
    </row>
    <row r="100" spans="1:9" x14ac:dyDescent="0.25">
      <c r="A100" s="9"/>
      <c r="B100" s="9"/>
      <c r="C100" s="9"/>
      <c r="D100" s="9"/>
    </row>
    <row r="101" spans="1:9" x14ac:dyDescent="0.25">
      <c r="A101" s="9"/>
      <c r="B101" s="9"/>
      <c r="C101" s="9"/>
      <c r="D101" s="9"/>
    </row>
    <row r="102" spans="1:9" x14ac:dyDescent="0.25">
      <c r="A102" s="9"/>
      <c r="B102" s="9"/>
      <c r="C102" s="9"/>
      <c r="D102" s="9"/>
    </row>
    <row r="103" spans="1:9" x14ac:dyDescent="0.25">
      <c r="A103" s="9"/>
      <c r="B103" s="9"/>
      <c r="C103" s="9"/>
      <c r="D103" s="9"/>
    </row>
    <row r="104" spans="1:9" x14ac:dyDescent="0.25">
      <c r="A104" s="9"/>
      <c r="B104" s="9"/>
      <c r="C104" s="9"/>
      <c r="D104" s="9"/>
    </row>
    <row r="105" spans="1:9" x14ac:dyDescent="0.25">
      <c r="A105" s="9"/>
      <c r="B105" s="9"/>
      <c r="C105" s="9"/>
      <c r="D105" s="9"/>
    </row>
    <row r="106" spans="1:9" x14ac:dyDescent="0.25">
      <c r="A106" s="9"/>
      <c r="B106" s="9"/>
      <c r="C106" s="9"/>
      <c r="D106" s="9"/>
    </row>
    <row r="107" spans="1:9" x14ac:dyDescent="0.25">
      <c r="A107" s="9"/>
      <c r="B107" s="9"/>
      <c r="C107" s="9"/>
      <c r="D107" s="9"/>
    </row>
    <row r="108" spans="1:9" x14ac:dyDescent="0.25">
      <c r="A108" s="9"/>
      <c r="B108" s="9"/>
      <c r="C108" s="9"/>
      <c r="D108" s="9"/>
    </row>
    <row r="109" spans="1:9" x14ac:dyDescent="0.25">
      <c r="A109" s="9"/>
      <c r="B109" s="9"/>
      <c r="C109" s="9"/>
      <c r="D109" s="9"/>
    </row>
    <row r="110" spans="1:9" x14ac:dyDescent="0.25">
      <c r="A110" s="9"/>
      <c r="B110" s="9"/>
      <c r="C110" s="9"/>
      <c r="D110" s="9"/>
    </row>
    <row r="111" spans="1:9" x14ac:dyDescent="0.25">
      <c r="A111" s="9"/>
      <c r="B111" s="9"/>
      <c r="C111" s="9"/>
      <c r="D111" s="9"/>
    </row>
    <row r="112" spans="1:9"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row r="190" spans="1:4" x14ac:dyDescent="0.25">
      <c r="A190" s="9"/>
      <c r="B190" s="9"/>
      <c r="C190" s="9"/>
      <c r="D190" s="9"/>
    </row>
    <row r="191" spans="1:4" x14ac:dyDescent="0.25">
      <c r="A191" s="9"/>
      <c r="B191" s="9"/>
      <c r="C191" s="9"/>
      <c r="D191"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7"/>
  <dimension ref="A1:Z191"/>
  <sheetViews>
    <sheetView topLeftCell="N65" workbookViewId="0">
      <selection activeCell="Q4" sqref="Q4:Q87"/>
    </sheetView>
  </sheetViews>
  <sheetFormatPr baseColWidth="10" defaultColWidth="11.5703125" defaultRowHeight="15" x14ac:dyDescent="0.25"/>
  <cols>
    <col min="1" max="16384" width="11.5703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102</v>
      </c>
      <c r="B2" s="293"/>
      <c r="C2" s="293">
        <f>'ECONOMIA &amp; PROFESIONES'!$P$3</f>
        <v>5</v>
      </c>
      <c r="D2" s="293"/>
      <c r="E2" s="293" t="s">
        <v>81</v>
      </c>
      <c r="F2" s="293"/>
      <c r="G2" s="293" t="s">
        <v>103</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$A$38</f>
        <v xml:space="preserve">  - ARROW_INFINITE:2:3</v>
      </c>
      <c r="J15" s="22"/>
      <c r="K15" s="22"/>
      <c r="L15" s="22"/>
      <c r="M15" s="22" t="str">
        <f>$A$38</f>
        <v xml:space="preserve">  - ARROW_INFINITE:2:3</v>
      </c>
      <c r="N15" s="22"/>
      <c r="O15" s="22"/>
      <c r="P15" s="22"/>
      <c r="Q15" s="22" t="str">
        <f>$A$38</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$A$39</f>
        <v xml:space="preserve">  - ARROW_DAMAGE:2:3</v>
      </c>
      <c r="J16" s="22"/>
      <c r="K16" s="22"/>
      <c r="L16" s="22"/>
      <c r="M16" s="22" t="str">
        <f>$A$39</f>
        <v xml:space="preserve">  - ARROW_DAMAGE:2:3</v>
      </c>
      <c r="N16" s="22"/>
      <c r="O16" s="22"/>
      <c r="P16" s="22"/>
      <c r="Q16" s="22" t="str">
        <f>$A$39</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$A$40</f>
        <v xml:space="preserve">  - ARROW_FIRE:2:3</v>
      </c>
      <c r="J17" s="22"/>
      <c r="K17" s="22"/>
      <c r="L17" s="22"/>
      <c r="M17" s="22" t="str">
        <f>$A$40</f>
        <v xml:space="preserve">  - ARROW_FIRE:2:3</v>
      </c>
      <c r="N17" s="22"/>
      <c r="O17" s="22"/>
      <c r="P17" s="22"/>
      <c r="Q17" s="22" t="str">
        <f>$A$40</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$A$41</f>
        <v xml:space="preserve">  - ARROW_KNOCKBACK:2:3</v>
      </c>
      <c r="J18" s="22"/>
      <c r="K18" s="22"/>
      <c r="L18" s="22"/>
      <c r="M18" s="22" t="str">
        <f>$A$41</f>
        <v xml:space="preserve">  - ARROW_KNOCKBACK:2:3</v>
      </c>
      <c r="N18" s="22"/>
      <c r="O18" s="22"/>
      <c r="P18" s="22"/>
      <c r="Q18" s="22" t="str">
        <f>$A$41</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$A$42</f>
        <v xml:space="preserve">  - DAMAGE_ALL:2:3</v>
      </c>
      <c r="J19" s="22"/>
      <c r="K19" s="22"/>
      <c r="L19" s="22"/>
      <c r="M19" s="22" t="str">
        <f>$A$42</f>
        <v xml:space="preserve">  - DAMAGE_ALL:2:3</v>
      </c>
      <c r="N19" s="22"/>
      <c r="O19" s="22"/>
      <c r="P19" s="22"/>
      <c r="Q19" s="22" t="str">
        <f>$A$42</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$A$43</f>
        <v xml:space="preserve">  - DAMAGE_ARTHROPODS:2:3</v>
      </c>
      <c r="J20" s="22"/>
      <c r="K20" s="22"/>
      <c r="L20" s="22"/>
      <c r="M20" s="22" t="str">
        <f>$A$43</f>
        <v xml:space="preserve">  - DAMAGE_ARTHROPODS:2:3</v>
      </c>
      <c r="N20" s="22"/>
      <c r="O20" s="22"/>
      <c r="P20" s="22"/>
      <c r="Q20" s="22" t="str">
        <f>$A$43</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$A$44</f>
        <v xml:space="preserve">  - DAMAGE_UNDEAD:2:3</v>
      </c>
      <c r="J21" s="22"/>
      <c r="K21" s="22"/>
      <c r="L21" s="22"/>
      <c r="M21" s="22" t="str">
        <f>$A$44</f>
        <v xml:space="preserve">  - DAMAGE_UNDEAD:2:3</v>
      </c>
      <c r="N21" s="22"/>
      <c r="O21" s="22"/>
      <c r="P21" s="22"/>
      <c r="Q21" s="22" t="str">
        <f>$A$44</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$A$45</f>
        <v xml:space="preserve">  - DIG_SPEED:2:3</v>
      </c>
      <c r="J22" s="22"/>
      <c r="K22" s="22"/>
      <c r="L22" s="22"/>
      <c r="M22" s="22" t="str">
        <f>$A$45</f>
        <v xml:space="preserve">  - DIG_SPEED:2:3</v>
      </c>
      <c r="N22" s="22"/>
      <c r="O22" s="22"/>
      <c r="P22" s="22"/>
      <c r="Q22" s="22" t="str">
        <f>$A$45</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$A$46</f>
        <v xml:space="preserve">  - DURABILITY:2:3</v>
      </c>
      <c r="J23" s="22"/>
      <c r="K23" s="22"/>
      <c r="L23" s="22"/>
      <c r="M23" s="22" t="str">
        <f>$A$46</f>
        <v xml:space="preserve">  - DURABILITY:2:3</v>
      </c>
      <c r="N23" s="22"/>
      <c r="O23" s="22"/>
      <c r="P23" s="22"/>
      <c r="Q23" s="22" t="str">
        <f>$A$46</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$A$47</f>
        <v xml:space="preserve">  - FIRE_ASPECT:2:3</v>
      </c>
      <c r="J24" s="22"/>
      <c r="K24" s="22"/>
      <c r="L24" s="22"/>
      <c r="M24" s="22" t="str">
        <f>$A$47</f>
        <v xml:space="preserve">  - FIRE_ASPECT:2:3</v>
      </c>
      <c r="N24" s="22"/>
      <c r="O24" s="22"/>
      <c r="P24" s="22"/>
      <c r="Q24" s="22" t="str">
        <f>$A$47</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$A$48</f>
        <v xml:space="preserve">  - KNOCKBACK:2:3</v>
      </c>
      <c r="J25" s="22"/>
      <c r="K25" s="22"/>
      <c r="L25" s="22"/>
      <c r="M25" s="22" t="str">
        <f>$A$48</f>
        <v xml:space="preserve">  - KNOCKBACK:2:3</v>
      </c>
      <c r="N25" s="22"/>
      <c r="O25" s="22"/>
      <c r="P25" s="22"/>
      <c r="Q25" s="22" t="str">
        <f>$A$48</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$A$49</f>
        <v xml:space="preserve">  - LOOT_BONUS_BLOCKS:2:3</v>
      </c>
      <c r="J26" s="22"/>
      <c r="K26" s="22"/>
      <c r="L26" s="22"/>
      <c r="M26" s="22" t="str">
        <f>$A$49</f>
        <v xml:space="preserve">  - LOOT_BONUS_BLOCKS:2:3</v>
      </c>
      <c r="N26" s="22"/>
      <c r="O26" s="22"/>
      <c r="P26" s="22"/>
      <c r="Q26" s="22" t="str">
        <f>$A$49</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$A$50</f>
        <v xml:space="preserve">  - LOOT_BONUS_MOBS:2:3</v>
      </c>
      <c r="J27" s="22"/>
      <c r="K27" s="22"/>
      <c r="L27" s="22"/>
      <c r="M27" s="22" t="str">
        <f>$A$50</f>
        <v xml:space="preserve">  - LOOT_BONUS_MOBS:2:3</v>
      </c>
      <c r="N27" s="22"/>
      <c r="O27" s="22"/>
      <c r="P27" s="22"/>
      <c r="Q27" s="22" t="str">
        <f>$A$50</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$A$51</f>
        <v xml:space="preserve">  - OXYGEN:2:3</v>
      </c>
      <c r="J28" s="22"/>
      <c r="K28" s="22"/>
      <c r="L28" s="22"/>
      <c r="M28" s="22" t="str">
        <f>$A$51</f>
        <v xml:space="preserve">  - OXYGEN:2:3</v>
      </c>
      <c r="N28" s="22"/>
      <c r="O28" s="22"/>
      <c r="P28" s="22"/>
      <c r="Q28" s="22" t="str">
        <f>$A$51</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$A$52</f>
        <v xml:space="preserve">  - PROTECTION_ENVIRONMENT:2:3</v>
      </c>
      <c r="J29" s="22"/>
      <c r="K29" s="22"/>
      <c r="L29" s="22"/>
      <c r="M29" s="22" t="str">
        <f>$A$52</f>
        <v xml:space="preserve">  - PROTECTION_ENVIRONMENT:2:3</v>
      </c>
      <c r="N29" s="22"/>
      <c r="O29" s="22"/>
      <c r="P29" s="22"/>
      <c r="Q29" s="22" t="str">
        <f>$A$52</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$A$53</f>
        <v xml:space="preserve">  - PROTECTION_EXPLOSIONS:2:3</v>
      </c>
      <c r="J30" s="22"/>
      <c r="K30" s="22"/>
      <c r="L30" s="22"/>
      <c r="M30" s="22" t="str">
        <f>$A$53</f>
        <v xml:space="preserve">  - PROTECTION_EXPLOSIONS:2:3</v>
      </c>
      <c r="N30" s="22"/>
      <c r="O30" s="22"/>
      <c r="P30" s="22"/>
      <c r="Q30" s="22" t="str">
        <f>$A$53</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$A$54</f>
        <v xml:space="preserve">  - PROTECTION_FALL:2:3</v>
      </c>
      <c r="J31" s="22"/>
      <c r="K31" s="22"/>
      <c r="L31" s="22"/>
      <c r="M31" s="22" t="str">
        <f>$A$54</f>
        <v xml:space="preserve">  - PROTECTION_FALL:2:3</v>
      </c>
      <c r="N31" s="22"/>
      <c r="O31" s="22"/>
      <c r="P31" s="22"/>
      <c r="Q31" s="22" t="str">
        <f>$A$54</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$A$55</f>
        <v xml:space="preserve">  - PROTECTION_FIRE:2:3</v>
      </c>
      <c r="J32" s="22"/>
      <c r="K32" s="22"/>
      <c r="L32" s="22"/>
      <c r="M32" s="22" t="str">
        <f>$A$55</f>
        <v xml:space="preserve">  - PROTECTION_FIRE:2:3</v>
      </c>
      <c r="N32" s="22"/>
      <c r="O32" s="22"/>
      <c r="P32" s="22"/>
      <c r="Q32" s="22" t="str">
        <f>$A$55</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$A$56</f>
        <v xml:space="preserve">  - PROTECTION_PROJECTILE:2:3</v>
      </c>
      <c r="J33" s="22"/>
      <c r="K33" s="22"/>
      <c r="L33" s="22"/>
      <c r="M33" s="22" t="str">
        <f>$A$56</f>
        <v xml:space="preserve">  - PROTECTION_PROJECTILE:2:3</v>
      </c>
      <c r="N33" s="22"/>
      <c r="O33" s="22"/>
      <c r="P33" s="22"/>
      <c r="Q33" s="22" t="str">
        <f>$A$56</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$A$57</f>
        <v xml:space="preserve">  - SILK_TOUCH:2:3</v>
      </c>
      <c r="J34" s="22"/>
      <c r="K34" s="22"/>
      <c r="L34" s="22"/>
      <c r="M34" s="22" t="str">
        <f>$A$57</f>
        <v xml:space="preserve">  - SILK_TOUCH:2:3</v>
      </c>
      <c r="N34" s="22"/>
      <c r="O34" s="22"/>
      <c r="P34" s="22"/>
      <c r="Q34" s="22" t="str">
        <f>$A$57</f>
        <v xml:space="preserve">  - SILK_TOUCH:2:3</v>
      </c>
      <c r="R34" s="22"/>
      <c r="S34" s="22"/>
      <c r="T34" s="22"/>
    </row>
    <row r="35" spans="1:20" x14ac:dyDescent="0.25">
      <c r="A35" s="22" t="str">
        <f>'armas raro'!$A$35</f>
        <v xml:space="preserve">  - THORNS:2:3</v>
      </c>
      <c r="B35" s="22"/>
      <c r="C35" s="22"/>
      <c r="D35" s="22"/>
      <c r="E35" s="22" t="str">
        <f>$A$35</f>
        <v xml:space="preserve">  - THORNS:2:3</v>
      </c>
      <c r="F35" s="22"/>
      <c r="G35" s="22"/>
      <c r="H35" s="22"/>
      <c r="I35" s="22" t="str">
        <f>$A$58</f>
        <v xml:space="preserve">  - THORNS:2:3</v>
      </c>
      <c r="J35" s="22"/>
      <c r="K35" s="22"/>
      <c r="L35" s="22"/>
      <c r="M35" s="22" t="str">
        <f>$A$58</f>
        <v xml:space="preserve">  - THORNS:2:3</v>
      </c>
      <c r="N35" s="22"/>
      <c r="O35" s="22"/>
      <c r="P35" s="22"/>
      <c r="Q35" s="22" t="str">
        <f>$A$58</f>
        <v xml:space="preserve">  - THORNS:2:3</v>
      </c>
      <c r="R35" s="22"/>
      <c r="S35" s="22"/>
      <c r="T35" s="22"/>
    </row>
    <row r="36" spans="1:20" x14ac:dyDescent="0.25">
      <c r="A36" s="22" t="str">
        <f>'armas raro'!$A$36</f>
        <v xml:space="preserve">  - WATER_WORKER:2:3</v>
      </c>
      <c r="B36" s="22"/>
      <c r="C36" s="22"/>
      <c r="D36" s="22"/>
      <c r="E36" s="22" t="str">
        <f>$A$36</f>
        <v xml:space="preserve">  - WATER_WORKER:2:3</v>
      </c>
      <c r="F36" s="22"/>
      <c r="G36" s="22"/>
      <c r="H36" s="22"/>
      <c r="I36" s="22" t="str">
        <f>$A$59</f>
        <v xml:space="preserve">  - WATER_WORKER:2:3</v>
      </c>
      <c r="J36" s="22"/>
      <c r="K36" s="22"/>
      <c r="L36" s="22"/>
      <c r="M36" s="22" t="str">
        <f>$A$59</f>
        <v xml:space="preserve">  - WATER_WORKER:2:3</v>
      </c>
      <c r="N36" s="22"/>
      <c r="O36" s="22"/>
      <c r="P36" s="22"/>
      <c r="Q36" s="22" t="str">
        <f>$A$59</f>
        <v xml:space="preserve">  - WATER_WORKER:2:3</v>
      </c>
      <c r="R36" s="22"/>
      <c r="S36" s="22"/>
      <c r="T36" s="22"/>
    </row>
    <row r="37" spans="1:20" x14ac:dyDescent="0.25">
      <c r="A37" s="9" t="s">
        <v>101</v>
      </c>
      <c r="B37" s="9"/>
      <c r="C37" s="9"/>
      <c r="D37" s="9"/>
      <c r="E37" s="9" t="s">
        <v>101</v>
      </c>
      <c r="F37" s="9"/>
      <c r="G37" s="9"/>
      <c r="H37" s="9"/>
      <c r="I37" s="9" t="s">
        <v>101</v>
      </c>
      <c r="J37" s="9"/>
      <c r="K37" s="9"/>
      <c r="L37" s="9"/>
      <c r="M37" s="9" t="s">
        <v>101</v>
      </c>
      <c r="N37" s="9"/>
      <c r="O37" s="9"/>
      <c r="P37" s="9"/>
      <c r="Q37" s="9" t="s">
        <v>101</v>
      </c>
      <c r="R37" s="9"/>
      <c r="S37" s="9"/>
      <c r="T37" s="9"/>
    </row>
    <row r="38" spans="1:20" x14ac:dyDescent="0.25">
      <c r="A38" s="22" t="str">
        <f>$A$15</f>
        <v xml:space="preserve">  - ARROW_INFINITE:2:3</v>
      </c>
      <c r="B38" s="22"/>
      <c r="C38" s="22"/>
      <c r="D38" s="22"/>
      <c r="E38" s="22" t="str">
        <f>$A$38</f>
        <v xml:space="preserve">  - ARROW_INFINITE:2:3</v>
      </c>
      <c r="F38" s="22"/>
      <c r="G38" s="22"/>
      <c r="H38" s="22"/>
      <c r="I38" s="22" t="str">
        <f>$A$38</f>
        <v xml:space="preserve">  - ARROW_INFINITE:2:3</v>
      </c>
      <c r="J38" s="22"/>
      <c r="K38" s="22"/>
      <c r="L38" s="22"/>
      <c r="M38" s="22" t="str">
        <f>$A$38</f>
        <v xml:space="preserve">  - ARROW_INFINITE:2:3</v>
      </c>
      <c r="N38" s="22"/>
      <c r="O38" s="22"/>
      <c r="P38" s="22"/>
      <c r="Q38" s="22" t="str">
        <f>$A$38</f>
        <v xml:space="preserve">  - ARROW_INFINITE:2:3</v>
      </c>
      <c r="R38" s="22"/>
      <c r="S38" s="22"/>
      <c r="T38" s="22"/>
    </row>
    <row r="39" spans="1:20" x14ac:dyDescent="0.25">
      <c r="A39" s="22" t="str">
        <f>$A$16</f>
        <v xml:space="preserve">  - ARROW_DAMAGE:2:3</v>
      </c>
      <c r="B39" s="22"/>
      <c r="C39" s="22"/>
      <c r="D39" s="22"/>
      <c r="E39" s="22" t="str">
        <f>$A$39</f>
        <v xml:space="preserve">  - ARROW_DAMAGE:2:3</v>
      </c>
      <c r="F39" s="22"/>
      <c r="G39" s="22"/>
      <c r="H39" s="22"/>
      <c r="I39" s="22" t="str">
        <f>$A$39</f>
        <v xml:space="preserve">  - ARROW_DAMAGE:2:3</v>
      </c>
      <c r="J39" s="22"/>
      <c r="K39" s="22"/>
      <c r="L39" s="22"/>
      <c r="M39" s="22" t="str">
        <f>$A$39</f>
        <v xml:space="preserve">  - ARROW_DAMAGE:2:3</v>
      </c>
      <c r="N39" s="22"/>
      <c r="O39" s="22"/>
      <c r="P39" s="22"/>
      <c r="Q39" s="22" t="str">
        <f>$A$39</f>
        <v xml:space="preserve">  - ARROW_DAMAGE:2:3</v>
      </c>
      <c r="R39" s="22"/>
      <c r="S39" s="22"/>
      <c r="T39" s="22"/>
    </row>
    <row r="40" spans="1:20" x14ac:dyDescent="0.25">
      <c r="A40" s="22" t="str">
        <f>$A$17</f>
        <v xml:space="preserve">  - ARROW_FIRE:2:3</v>
      </c>
      <c r="B40" s="22"/>
      <c r="C40" s="22"/>
      <c r="D40" s="22"/>
      <c r="E40" s="22" t="str">
        <f>$A$40</f>
        <v xml:space="preserve">  - ARROW_FIRE:2:3</v>
      </c>
      <c r="F40" s="22"/>
      <c r="G40" s="22"/>
      <c r="H40" s="22"/>
      <c r="I40" s="22" t="str">
        <f>$A$40</f>
        <v xml:space="preserve">  - ARROW_FIRE:2:3</v>
      </c>
      <c r="J40" s="22"/>
      <c r="K40" s="22"/>
      <c r="L40" s="22"/>
      <c r="M40" s="22" t="str">
        <f>$A$40</f>
        <v xml:space="preserve">  - ARROW_FIRE:2:3</v>
      </c>
      <c r="N40" s="22"/>
      <c r="O40" s="22"/>
      <c r="P40" s="22"/>
      <c r="Q40" s="22" t="str">
        <f>$A$40</f>
        <v xml:space="preserve">  - ARROW_FIRE:2:3</v>
      </c>
      <c r="R40" s="22"/>
      <c r="S40" s="22"/>
      <c r="T40" s="22"/>
    </row>
    <row r="41" spans="1:20" x14ac:dyDescent="0.25">
      <c r="A41" s="22" t="str">
        <f>$A$18</f>
        <v xml:space="preserve">  - ARROW_KNOCKBACK:2:3</v>
      </c>
      <c r="B41" s="22"/>
      <c r="C41" s="22"/>
      <c r="D41" s="22"/>
      <c r="E41" s="22" t="str">
        <f>$A$41</f>
        <v xml:space="preserve">  - ARROW_KNOCKBACK:2:3</v>
      </c>
      <c r="F41" s="22"/>
      <c r="G41" s="22"/>
      <c r="H41" s="22"/>
      <c r="I41" s="22" t="str">
        <f>$A$41</f>
        <v xml:space="preserve">  - ARROW_KNOCKBACK:2:3</v>
      </c>
      <c r="J41" s="22"/>
      <c r="K41" s="22"/>
      <c r="L41" s="22"/>
      <c r="M41" s="22" t="str">
        <f>$A$41</f>
        <v xml:space="preserve">  - ARROW_KNOCKBACK:2:3</v>
      </c>
      <c r="N41" s="22"/>
      <c r="O41" s="22"/>
      <c r="P41" s="22"/>
      <c r="Q41" s="22" t="str">
        <f>$A$41</f>
        <v xml:space="preserve">  - ARROW_KNOCKBACK:2:3</v>
      </c>
      <c r="R41" s="22"/>
      <c r="S41" s="22"/>
      <c r="T41" s="22"/>
    </row>
    <row r="42" spans="1:20" x14ac:dyDescent="0.25">
      <c r="A42" s="22" t="str">
        <f>$A$19</f>
        <v xml:space="preserve">  - DAMAGE_ALL:2:3</v>
      </c>
      <c r="B42" s="22"/>
      <c r="C42" s="22"/>
      <c r="D42" s="22"/>
      <c r="E42" s="22" t="str">
        <f>$A$42</f>
        <v xml:space="preserve">  - DAMAGE_ALL:2:3</v>
      </c>
      <c r="F42" s="22"/>
      <c r="G42" s="22"/>
      <c r="H42" s="22"/>
      <c r="I42" s="22" t="str">
        <f>$A$42</f>
        <v xml:space="preserve">  - DAMAGE_ALL:2:3</v>
      </c>
      <c r="J42" s="22"/>
      <c r="K42" s="22"/>
      <c r="L42" s="22"/>
      <c r="M42" s="22" t="str">
        <f>$A$42</f>
        <v xml:space="preserve">  - DAMAGE_ALL:2:3</v>
      </c>
      <c r="N42" s="22"/>
      <c r="O42" s="22"/>
      <c r="P42" s="22"/>
      <c r="Q42" s="22" t="str">
        <f>$A$42</f>
        <v xml:space="preserve">  - DAMAGE_ALL:2:3</v>
      </c>
      <c r="R42" s="22"/>
      <c r="S42" s="22"/>
      <c r="T42" s="22"/>
    </row>
    <row r="43" spans="1:20" x14ac:dyDescent="0.25">
      <c r="A43" s="22" t="str">
        <f>$A$20</f>
        <v xml:space="preserve">  - DAMAGE_ARTHROPODS:2:3</v>
      </c>
      <c r="B43" s="22"/>
      <c r="C43" s="22"/>
      <c r="D43" s="22"/>
      <c r="E43" s="22" t="str">
        <f>$A$43</f>
        <v xml:space="preserve">  - DAMAGE_ARTHROPODS:2:3</v>
      </c>
      <c r="F43" s="22"/>
      <c r="G43" s="22"/>
      <c r="H43" s="22"/>
      <c r="I43" s="22" t="str">
        <f>$A$43</f>
        <v xml:space="preserve">  - DAMAGE_ARTHROPODS:2:3</v>
      </c>
      <c r="J43" s="22"/>
      <c r="K43" s="22"/>
      <c r="L43" s="22"/>
      <c r="M43" s="22" t="str">
        <f>$A$43</f>
        <v xml:space="preserve">  - DAMAGE_ARTHROPODS:2:3</v>
      </c>
      <c r="N43" s="22"/>
      <c r="O43" s="22"/>
      <c r="P43" s="22"/>
      <c r="Q43" s="22" t="str">
        <f>$A$43</f>
        <v xml:space="preserve">  - DAMAGE_ARTHROPODS:2:3</v>
      </c>
      <c r="R43" s="22"/>
      <c r="S43" s="22"/>
      <c r="T43" s="22"/>
    </row>
    <row r="44" spans="1:20" x14ac:dyDescent="0.25">
      <c r="A44" s="22" t="str">
        <f>$A$21</f>
        <v xml:space="preserve">  - DAMAGE_UNDEAD:2:3</v>
      </c>
      <c r="B44" s="22"/>
      <c r="C44" s="22"/>
      <c r="D44" s="22"/>
      <c r="E44" s="22" t="str">
        <f>$A$44</f>
        <v xml:space="preserve">  - DAMAGE_UNDEAD:2:3</v>
      </c>
      <c r="F44" s="22"/>
      <c r="G44" s="22"/>
      <c r="H44" s="22"/>
      <c r="I44" s="22" t="str">
        <f>$A$44</f>
        <v xml:space="preserve">  - DAMAGE_UNDEAD:2:3</v>
      </c>
      <c r="J44" s="22"/>
      <c r="K44" s="22"/>
      <c r="L44" s="22"/>
      <c r="M44" s="22" t="str">
        <f>$A$44</f>
        <v xml:space="preserve">  - DAMAGE_UNDEAD:2:3</v>
      </c>
      <c r="N44" s="22"/>
      <c r="O44" s="22"/>
      <c r="P44" s="22"/>
      <c r="Q44" s="22" t="str">
        <f>$A$44</f>
        <v xml:space="preserve">  - DAMAGE_UNDEAD:2:3</v>
      </c>
      <c r="R44" s="22"/>
      <c r="S44" s="22"/>
      <c r="T44" s="22"/>
    </row>
    <row r="45" spans="1:20" x14ac:dyDescent="0.25">
      <c r="A45" s="22" t="str">
        <f>$A$22</f>
        <v xml:space="preserve">  - DIG_SPEED:2:3</v>
      </c>
      <c r="B45" s="22"/>
      <c r="C45" s="22"/>
      <c r="D45" s="22"/>
      <c r="E45" s="22" t="str">
        <f>$A$45</f>
        <v xml:space="preserve">  - DIG_SPEED:2:3</v>
      </c>
      <c r="F45" s="22"/>
      <c r="G45" s="22"/>
      <c r="H45" s="22"/>
      <c r="I45" s="22" t="str">
        <f>$A$45</f>
        <v xml:space="preserve">  - DIG_SPEED:2:3</v>
      </c>
      <c r="J45" s="22"/>
      <c r="K45" s="22"/>
      <c r="L45" s="22"/>
      <c r="M45" s="22" t="str">
        <f>$A$45</f>
        <v xml:space="preserve">  - DIG_SPEED:2:3</v>
      </c>
      <c r="N45" s="22"/>
      <c r="O45" s="22"/>
      <c r="P45" s="22"/>
      <c r="Q45" s="22" t="str">
        <f>$A$45</f>
        <v xml:space="preserve">  - DIG_SPEED:2:3</v>
      </c>
      <c r="R45" s="22"/>
      <c r="S45" s="22"/>
      <c r="T45" s="22"/>
    </row>
    <row r="46" spans="1:20" x14ac:dyDescent="0.25">
      <c r="A46" s="22" t="str">
        <f>$A$23</f>
        <v xml:space="preserve">  - DURABILITY:2:3</v>
      </c>
      <c r="B46" s="22"/>
      <c r="C46" s="22"/>
      <c r="D46" s="22"/>
      <c r="E46" s="22" t="str">
        <f>$A$46</f>
        <v xml:space="preserve">  - DURABILITY:2:3</v>
      </c>
      <c r="F46" s="22"/>
      <c r="G46" s="22"/>
      <c r="H46" s="22"/>
      <c r="I46" s="22" t="str">
        <f>$A$46</f>
        <v xml:space="preserve">  - DURABILITY:2:3</v>
      </c>
      <c r="J46" s="22"/>
      <c r="K46" s="22"/>
      <c r="L46" s="22"/>
      <c r="M46" s="22" t="str">
        <f>$A$46</f>
        <v xml:space="preserve">  - DURABILITY:2:3</v>
      </c>
      <c r="N46" s="22"/>
      <c r="O46" s="22"/>
      <c r="P46" s="22"/>
      <c r="Q46" s="22" t="str">
        <f>$A$46</f>
        <v xml:space="preserve">  - DURABILITY:2:3</v>
      </c>
      <c r="R46" s="22"/>
      <c r="S46" s="22"/>
      <c r="T46" s="22"/>
    </row>
    <row r="47" spans="1:20" x14ac:dyDescent="0.25">
      <c r="A47" s="22" t="str">
        <f>$A$24</f>
        <v xml:space="preserve">  - FIRE_ASPECT:2:3</v>
      </c>
      <c r="B47" s="22"/>
      <c r="C47" s="22"/>
      <c r="D47" s="22"/>
      <c r="E47" s="22" t="str">
        <f>$A$47</f>
        <v xml:space="preserve">  - FIRE_ASPECT:2:3</v>
      </c>
      <c r="F47" s="22"/>
      <c r="G47" s="22"/>
      <c r="H47" s="22"/>
      <c r="I47" s="22" t="str">
        <f>$A$47</f>
        <v xml:space="preserve">  - FIRE_ASPECT:2:3</v>
      </c>
      <c r="J47" s="22"/>
      <c r="K47" s="22"/>
      <c r="L47" s="22"/>
      <c r="M47" s="22" t="str">
        <f>$A$47</f>
        <v xml:space="preserve">  - FIRE_ASPECT:2:3</v>
      </c>
      <c r="N47" s="22"/>
      <c r="O47" s="22"/>
      <c r="P47" s="22"/>
      <c r="Q47" s="22" t="str">
        <f>$A$47</f>
        <v xml:space="preserve">  - FIRE_ASPECT:2:3</v>
      </c>
      <c r="R47" s="22"/>
      <c r="S47" s="22"/>
      <c r="T47" s="22"/>
    </row>
    <row r="48" spans="1:20" x14ac:dyDescent="0.25">
      <c r="A48" s="22" t="str">
        <f>$A$25</f>
        <v xml:space="preserve">  - KNOCKBACK:2:3</v>
      </c>
      <c r="B48" s="22"/>
      <c r="C48" s="22"/>
      <c r="D48" s="22"/>
      <c r="E48" s="22" t="str">
        <f>$A$48</f>
        <v xml:space="preserve">  - KNOCKBACK:2:3</v>
      </c>
      <c r="F48" s="22"/>
      <c r="G48" s="22"/>
      <c r="H48" s="22"/>
      <c r="I48" s="22" t="str">
        <f>$A$48</f>
        <v xml:space="preserve">  - KNOCKBACK:2:3</v>
      </c>
      <c r="J48" s="22"/>
      <c r="K48" s="22"/>
      <c r="L48" s="22"/>
      <c r="M48" s="22" t="str">
        <f>$A$48</f>
        <v xml:space="preserve">  - KNOCKBACK:2:3</v>
      </c>
      <c r="N48" s="22"/>
      <c r="O48" s="22"/>
      <c r="P48" s="22"/>
      <c r="Q48" s="22" t="str">
        <f>$A$48</f>
        <v xml:space="preserve">  - KNOCKBACK:2:3</v>
      </c>
      <c r="R48" s="22"/>
      <c r="S48" s="22"/>
      <c r="T48" s="22"/>
    </row>
    <row r="49" spans="1:20" x14ac:dyDescent="0.25">
      <c r="A49" s="22" t="str">
        <f>$A$26</f>
        <v xml:space="preserve">  - LOOT_BONUS_BLOCKS:2:3</v>
      </c>
      <c r="B49" s="22"/>
      <c r="C49" s="22"/>
      <c r="D49" s="22"/>
      <c r="E49" s="22" t="str">
        <f>$A$49</f>
        <v xml:space="preserve">  - LOOT_BONUS_BLOCKS:2:3</v>
      </c>
      <c r="F49" s="22"/>
      <c r="G49" s="22"/>
      <c r="H49" s="22"/>
      <c r="I49" s="22" t="str">
        <f>$A$49</f>
        <v xml:space="preserve">  - LOOT_BONUS_BLOCKS:2:3</v>
      </c>
      <c r="J49" s="22"/>
      <c r="K49" s="22"/>
      <c r="L49" s="22"/>
      <c r="M49" s="22" t="str">
        <f>$A$49</f>
        <v xml:space="preserve">  - LOOT_BONUS_BLOCKS:2:3</v>
      </c>
      <c r="N49" s="22"/>
      <c r="O49" s="22"/>
      <c r="P49" s="22"/>
      <c r="Q49" s="22" t="str">
        <f>$A$49</f>
        <v xml:space="preserve">  - LOOT_BONUS_BLOCKS:2:3</v>
      </c>
      <c r="R49" s="22"/>
      <c r="S49" s="22"/>
      <c r="T49" s="22"/>
    </row>
    <row r="50" spans="1:20" x14ac:dyDescent="0.25">
      <c r="A50" s="22" t="str">
        <f>$A$27</f>
        <v xml:space="preserve">  - LOOT_BONUS_MOBS:2:3</v>
      </c>
      <c r="B50" s="22"/>
      <c r="C50" s="22"/>
      <c r="D50" s="22"/>
      <c r="E50" s="22" t="str">
        <f>$A$50</f>
        <v xml:space="preserve">  - LOOT_BONUS_MOBS:2:3</v>
      </c>
      <c r="F50" s="22"/>
      <c r="G50" s="22"/>
      <c r="H50" s="22"/>
      <c r="I50" s="22" t="str">
        <f>$A$50</f>
        <v xml:space="preserve">  - LOOT_BONUS_MOBS:2:3</v>
      </c>
      <c r="J50" s="22"/>
      <c r="K50" s="22"/>
      <c r="L50" s="22"/>
      <c r="M50" s="22" t="str">
        <f>$A$50</f>
        <v xml:space="preserve">  - LOOT_BONUS_MOBS:2:3</v>
      </c>
      <c r="N50" s="22"/>
      <c r="O50" s="22"/>
      <c r="P50" s="22"/>
      <c r="Q50" s="22" t="str">
        <f>$A$50</f>
        <v xml:space="preserve">  - LOOT_BONUS_MOBS:2:3</v>
      </c>
      <c r="R50" s="22"/>
      <c r="S50" s="22"/>
      <c r="T50" s="22"/>
    </row>
    <row r="51" spans="1:20" x14ac:dyDescent="0.25">
      <c r="A51" s="22" t="str">
        <f>$A$28</f>
        <v xml:space="preserve">  - OXYGEN:2:3</v>
      </c>
      <c r="B51" s="22"/>
      <c r="C51" s="22"/>
      <c r="D51" s="22"/>
      <c r="E51" s="22" t="str">
        <f>$A$51</f>
        <v xml:space="preserve">  - OXYGEN:2:3</v>
      </c>
      <c r="F51" s="22"/>
      <c r="G51" s="22"/>
      <c r="H51" s="22"/>
      <c r="I51" s="22" t="str">
        <f>$A$51</f>
        <v xml:space="preserve">  - OXYGEN:2:3</v>
      </c>
      <c r="J51" s="22"/>
      <c r="K51" s="22"/>
      <c r="L51" s="22"/>
      <c r="M51" s="22" t="str">
        <f>$A$51</f>
        <v xml:space="preserve">  - OXYGEN:2:3</v>
      </c>
      <c r="N51" s="22"/>
      <c r="O51" s="22"/>
      <c r="P51" s="22"/>
      <c r="Q51" s="22" t="str">
        <f>$A$51</f>
        <v xml:space="preserve">  - OXYGEN:2:3</v>
      </c>
      <c r="R51" s="22"/>
      <c r="S51" s="22"/>
      <c r="T51" s="22"/>
    </row>
    <row r="52" spans="1:20" x14ac:dyDescent="0.25">
      <c r="A52" s="22" t="str">
        <f>$A$29</f>
        <v xml:space="preserve">  - PROTECTION_ENVIRONMENT:2:3</v>
      </c>
      <c r="B52" s="22"/>
      <c r="C52" s="22"/>
      <c r="D52" s="22"/>
      <c r="E52" s="22" t="str">
        <f>$A$52</f>
        <v xml:space="preserve">  - PROTECTION_ENVIRONMENT:2:3</v>
      </c>
      <c r="F52" s="22"/>
      <c r="G52" s="22"/>
      <c r="H52" s="22"/>
      <c r="I52" s="22" t="str">
        <f>$A$52</f>
        <v xml:space="preserve">  - PROTECTION_ENVIRONMENT:2:3</v>
      </c>
      <c r="J52" s="22"/>
      <c r="K52" s="22"/>
      <c r="L52" s="22"/>
      <c r="M52" s="22" t="str">
        <f>$A$52</f>
        <v xml:space="preserve">  - PROTECTION_ENVIRONMENT:2:3</v>
      </c>
      <c r="N52" s="22"/>
      <c r="O52" s="22"/>
      <c r="P52" s="22"/>
      <c r="Q52" s="22" t="str">
        <f>$A$52</f>
        <v xml:space="preserve">  - PROTECTION_ENVIRONMENT:2:3</v>
      </c>
      <c r="R52" s="22"/>
      <c r="S52" s="22"/>
      <c r="T52" s="22"/>
    </row>
    <row r="53" spans="1:20" x14ac:dyDescent="0.25">
      <c r="A53" s="22" t="str">
        <f>$A$30</f>
        <v xml:space="preserve">  - PROTECTION_EXPLOSIONS:2:3</v>
      </c>
      <c r="B53" s="22"/>
      <c r="C53" s="22"/>
      <c r="D53" s="22"/>
      <c r="E53" s="22" t="str">
        <f>$A$53</f>
        <v xml:space="preserve">  - PROTECTION_EXPLOSIONS:2:3</v>
      </c>
      <c r="F53" s="22"/>
      <c r="G53" s="22"/>
      <c r="H53" s="22"/>
      <c r="I53" s="22" t="str">
        <f>$A$53</f>
        <v xml:space="preserve">  - PROTECTION_EXPLOSIONS:2:3</v>
      </c>
      <c r="J53" s="22"/>
      <c r="K53" s="22"/>
      <c r="L53" s="22"/>
      <c r="M53" s="22" t="str">
        <f>$A$53</f>
        <v xml:space="preserve">  - PROTECTION_EXPLOSIONS:2:3</v>
      </c>
      <c r="N53" s="22"/>
      <c r="O53" s="22"/>
      <c r="P53" s="22"/>
      <c r="Q53" s="22" t="str">
        <f>$A$53</f>
        <v xml:space="preserve">  - PROTECTION_EXPLOSIONS:2:3</v>
      </c>
      <c r="R53" s="22"/>
      <c r="S53" s="22"/>
      <c r="T53" s="22"/>
    </row>
    <row r="54" spans="1:20" x14ac:dyDescent="0.25">
      <c r="A54" s="22" t="str">
        <f>$A$31</f>
        <v xml:space="preserve">  - PROTECTION_FALL:2:3</v>
      </c>
      <c r="B54" s="22"/>
      <c r="C54" s="22"/>
      <c r="D54" s="22"/>
      <c r="E54" s="22" t="str">
        <f>$A$54</f>
        <v xml:space="preserve">  - PROTECTION_FALL:2:3</v>
      </c>
      <c r="F54" s="22"/>
      <c r="G54" s="22"/>
      <c r="H54" s="22"/>
      <c r="I54" s="22" t="str">
        <f>$A$54</f>
        <v xml:space="preserve">  - PROTECTION_FALL:2:3</v>
      </c>
      <c r="J54" s="22"/>
      <c r="K54" s="22"/>
      <c r="L54" s="22"/>
      <c r="M54" s="22" t="str">
        <f>$A$54</f>
        <v xml:space="preserve">  - PROTECTION_FALL:2:3</v>
      </c>
      <c r="N54" s="22"/>
      <c r="O54" s="22"/>
      <c r="P54" s="22"/>
      <c r="Q54" s="22" t="str">
        <f>$A$54</f>
        <v xml:space="preserve">  - PROTECTION_FALL:2:3</v>
      </c>
      <c r="R54" s="22"/>
      <c r="S54" s="22"/>
      <c r="T54" s="22"/>
    </row>
    <row r="55" spans="1:20" x14ac:dyDescent="0.25">
      <c r="A55" s="22" t="str">
        <f>$A$32</f>
        <v xml:space="preserve">  - PROTECTION_FIRE:2:3</v>
      </c>
      <c r="B55" s="22"/>
      <c r="C55" s="22"/>
      <c r="D55" s="22"/>
      <c r="E55" s="22" t="str">
        <f>$A$55</f>
        <v xml:space="preserve">  - PROTECTION_FIRE:2:3</v>
      </c>
      <c r="F55" s="22"/>
      <c r="G55" s="22"/>
      <c r="H55" s="22"/>
      <c r="I55" s="22" t="str">
        <f>$A$55</f>
        <v xml:space="preserve">  - PROTECTION_FIRE:2:3</v>
      </c>
      <c r="J55" s="22"/>
      <c r="K55" s="22"/>
      <c r="L55" s="22"/>
      <c r="M55" s="22" t="str">
        <f>$A$55</f>
        <v xml:space="preserve">  - PROTECTION_FIRE:2:3</v>
      </c>
      <c r="N55" s="22"/>
      <c r="O55" s="22"/>
      <c r="P55" s="22"/>
      <c r="Q55" s="22" t="str">
        <f>$A$55</f>
        <v xml:space="preserve">  - PROTECTION_FIRE:2:3</v>
      </c>
      <c r="R55" s="22"/>
      <c r="S55" s="22"/>
      <c r="T55" s="22"/>
    </row>
    <row r="56" spans="1:20" x14ac:dyDescent="0.25">
      <c r="A56" s="22" t="str">
        <f>$A$33</f>
        <v xml:space="preserve">  - PROTECTION_PROJECTILE:2:3</v>
      </c>
      <c r="B56" s="22"/>
      <c r="C56" s="22"/>
      <c r="D56" s="22"/>
      <c r="E56" s="22" t="str">
        <f>$A$56</f>
        <v xml:space="preserve">  - PROTECTION_PROJECTILE:2:3</v>
      </c>
      <c r="F56" s="22"/>
      <c r="G56" s="22"/>
      <c r="H56" s="22"/>
      <c r="I56" s="22" t="str">
        <f>$A$56</f>
        <v xml:space="preserve">  - PROTECTION_PROJECTILE:2:3</v>
      </c>
      <c r="J56" s="22"/>
      <c r="K56" s="22"/>
      <c r="L56" s="22"/>
      <c r="M56" s="22" t="str">
        <f>$A$56</f>
        <v xml:space="preserve">  - PROTECTION_PROJECTILE:2:3</v>
      </c>
      <c r="N56" s="22"/>
      <c r="O56" s="22"/>
      <c r="P56" s="22"/>
      <c r="Q56" s="22" t="str">
        <f>$A$56</f>
        <v xml:space="preserve">  - PROTECTION_PROJECTILE:2:3</v>
      </c>
      <c r="R56" s="22"/>
      <c r="S56" s="22"/>
      <c r="T56" s="22"/>
    </row>
    <row r="57" spans="1:20" x14ac:dyDescent="0.25">
      <c r="A57" s="22" t="str">
        <f>$A$34</f>
        <v xml:space="preserve">  - SILK_TOUCH:2:3</v>
      </c>
      <c r="B57" s="22"/>
      <c r="C57" s="22"/>
      <c r="D57" s="22"/>
      <c r="E57" s="22" t="str">
        <f>$A$57</f>
        <v xml:space="preserve">  - SILK_TOUCH:2:3</v>
      </c>
      <c r="F57" s="22"/>
      <c r="G57" s="22"/>
      <c r="H57" s="22"/>
      <c r="I57" s="22" t="str">
        <f>$A$57</f>
        <v xml:space="preserve">  - SILK_TOUCH:2:3</v>
      </c>
      <c r="J57" s="22"/>
      <c r="K57" s="22"/>
      <c r="L57" s="22"/>
      <c r="M57" s="22" t="str">
        <f>$A$57</f>
        <v xml:space="preserve">  - SILK_TOUCH:2:3</v>
      </c>
      <c r="N57" s="22"/>
      <c r="O57" s="22"/>
      <c r="P57" s="22"/>
      <c r="Q57" s="22" t="str">
        <f>$A$57</f>
        <v xml:space="preserve">  - SILK_TOUCH:2:3</v>
      </c>
      <c r="R57" s="22"/>
      <c r="S57" s="22"/>
      <c r="T57" s="22"/>
    </row>
    <row r="58" spans="1:20" x14ac:dyDescent="0.25">
      <c r="A58" s="22" t="str">
        <f>$A$35</f>
        <v xml:space="preserve">  - THORNS:2:3</v>
      </c>
      <c r="B58" s="22"/>
      <c r="C58" s="22"/>
      <c r="D58" s="22"/>
      <c r="E58" s="22" t="str">
        <f>$A$58</f>
        <v xml:space="preserve">  - THORNS:2:3</v>
      </c>
      <c r="F58" s="22"/>
      <c r="G58" s="22"/>
      <c r="H58" s="22"/>
      <c r="I58" s="22" t="str">
        <f>$A$58</f>
        <v xml:space="preserve">  - THORNS:2:3</v>
      </c>
      <c r="J58" s="22"/>
      <c r="K58" s="22"/>
      <c r="L58" s="22"/>
      <c r="M58" s="22" t="str">
        <f>$A$58</f>
        <v xml:space="preserve">  - THORNS:2:3</v>
      </c>
      <c r="N58" s="22"/>
      <c r="O58" s="22"/>
      <c r="P58" s="22"/>
      <c r="Q58" s="22" t="str">
        <f>$A$58</f>
        <v xml:space="preserve">  - THORNS:2:3</v>
      </c>
      <c r="R58" s="22"/>
      <c r="S58" s="22"/>
      <c r="T58" s="22"/>
    </row>
    <row r="59" spans="1:20" x14ac:dyDescent="0.25">
      <c r="A59" s="22" t="str">
        <f>$A$36</f>
        <v xml:space="preserve">  - WATER_WORKER:2:3</v>
      </c>
      <c r="B59" s="22"/>
      <c r="C59" s="22"/>
      <c r="D59" s="22"/>
      <c r="E59" s="22" t="str">
        <f>$A$59</f>
        <v xml:space="preserve">  - WATER_WORKER:2:3</v>
      </c>
      <c r="F59" s="22"/>
      <c r="G59" s="22"/>
      <c r="H59" s="22"/>
      <c r="I59" s="22" t="str">
        <f>$A$59</f>
        <v xml:space="preserve">  - WATER_WORKER:2:3</v>
      </c>
      <c r="J59" s="22"/>
      <c r="K59" s="22"/>
      <c r="L59" s="22"/>
      <c r="M59" s="22" t="str">
        <f>$A$59</f>
        <v xml:space="preserve">  - WATER_WORKER:2:3</v>
      </c>
      <c r="N59" s="22"/>
      <c r="O59" s="22"/>
      <c r="P59" s="22"/>
      <c r="Q59" s="22" t="str">
        <f>$A$59</f>
        <v xml:space="preserve">  - WATER_WORKER:2:3</v>
      </c>
      <c r="R59" s="22"/>
      <c r="S59" s="22"/>
      <c r="T59" s="22"/>
    </row>
    <row r="60" spans="1:20" x14ac:dyDescent="0.25">
      <c r="A60" s="9" t="s">
        <v>28</v>
      </c>
      <c r="B60" s="9"/>
      <c r="C60" s="9"/>
      <c r="D60" s="9"/>
      <c r="E60" s="9" t="s">
        <v>28</v>
      </c>
      <c r="F60" s="9"/>
      <c r="G60" s="9"/>
      <c r="H60" s="9"/>
      <c r="I60" s="9" t="s">
        <v>28</v>
      </c>
      <c r="J60" s="9"/>
      <c r="K60" s="9"/>
      <c r="L60" s="9"/>
      <c r="M60" s="9" t="s">
        <v>28</v>
      </c>
      <c r="N60" s="9"/>
      <c r="O60" s="9"/>
      <c r="P60" s="9"/>
      <c r="Q60" s="9" t="s">
        <v>28</v>
      </c>
      <c r="R60" s="9"/>
      <c r="S60" s="9"/>
      <c r="T60" s="9"/>
    </row>
    <row r="61" spans="1:20" x14ac:dyDescent="0.25">
      <c r="A61" s="11" t="str">
        <f>'armas raro'!$A$61</f>
        <v xml:space="preserve">  minimumBonusLore: 1</v>
      </c>
      <c r="B61" s="11"/>
      <c r="C61" s="11"/>
      <c r="D61" s="11"/>
      <c r="E61" s="11" t="str">
        <f>$A$61</f>
        <v xml:space="preserve">  minimumBonusLore: 1</v>
      </c>
      <c r="F61" s="11"/>
      <c r="G61" s="11"/>
      <c r="H61" s="11"/>
      <c r="I61" s="11" t="str">
        <f t="shared" ref="I61" si="12">$A$61</f>
        <v xml:space="preserve">  minimumBonusLore: 1</v>
      </c>
      <c r="J61" s="11"/>
      <c r="K61" s="11"/>
      <c r="L61" s="11"/>
      <c r="M61" s="11" t="str">
        <f t="shared" ref="M61" si="13">$A$61</f>
        <v xml:space="preserve">  minimumBonusLore: 1</v>
      </c>
      <c r="N61" s="11"/>
      <c r="O61" s="11"/>
      <c r="P61" s="11"/>
      <c r="Q61" s="11" t="str">
        <f t="shared" ref="Q61" si="14">$A$61</f>
        <v xml:space="preserve">  minimumBonusLore: 1</v>
      </c>
      <c r="R61" s="11"/>
      <c r="S61" s="11"/>
      <c r="T61" s="11"/>
    </row>
    <row r="62" spans="1:20" x14ac:dyDescent="0.25">
      <c r="A62" s="11" t="str">
        <f>'armas raro'!$A$62</f>
        <v xml:space="preserve">  maximumBonusLore: 2</v>
      </c>
      <c r="B62" s="11"/>
      <c r="C62" s="11"/>
      <c r="D62" s="11"/>
      <c r="E62" s="11" t="str">
        <f>$A$62</f>
        <v xml:space="preserve">  maximumBonusLore: 2</v>
      </c>
      <c r="F62" s="11"/>
      <c r="G62" s="11"/>
      <c r="H62" s="11"/>
      <c r="I62" s="11" t="str">
        <f t="shared" ref="I62" si="15">$A$62</f>
        <v xml:space="preserve">  maximumBonusLore: 2</v>
      </c>
      <c r="J62" s="11"/>
      <c r="K62" s="11"/>
      <c r="L62" s="11"/>
      <c r="M62" s="11" t="str">
        <f t="shared" ref="M62" si="16">$A$62</f>
        <v xml:space="preserve">  maximumBonusLore: 2</v>
      </c>
      <c r="N62" s="11"/>
      <c r="O62" s="11"/>
      <c r="P62" s="11"/>
      <c r="Q62" s="11" t="str">
        <f t="shared" ref="Q62" si="17">$A$62</f>
        <v xml:space="preserve">  maximumBonusLore: 2</v>
      </c>
      <c r="R62" s="11"/>
      <c r="S62" s="11"/>
      <c r="T62" s="11"/>
    </row>
    <row r="63" spans="1:20" x14ac:dyDescent="0.25">
      <c r="A63" s="9" t="s">
        <v>29</v>
      </c>
      <c r="B63" s="9"/>
      <c r="C63" s="9"/>
      <c r="D63" s="9"/>
      <c r="E63" s="9" t="s">
        <v>29</v>
      </c>
      <c r="F63" s="9"/>
      <c r="G63" s="9"/>
      <c r="H63" s="9"/>
      <c r="I63" s="9" t="s">
        <v>29</v>
      </c>
      <c r="J63" s="9"/>
      <c r="K63" s="9"/>
      <c r="L63" s="9"/>
      <c r="M63" s="9" t="s">
        <v>29</v>
      </c>
      <c r="N63" s="9"/>
      <c r="O63" s="9"/>
      <c r="P63" s="9"/>
      <c r="Q63" s="9" t="s">
        <v>29</v>
      </c>
      <c r="R63" s="9"/>
      <c r="S63" s="9"/>
      <c r="T63" s="9"/>
    </row>
    <row r="64" spans="1:20" x14ac:dyDescent="0.25">
      <c r="A64" s="20" t="str">
        <f>"  - '&amp;aVenta: &amp;6"&amp;(MAIN!$F$4+(MAIN!$E$18+MAIN!$E$19)/2*MAIN!$B$9+(MAIN!$E$20+MAIN!$E$21)/2*MAIN!$B$8+(MAIN!$E$80*MAIN!$B$11)+($C$2*MAIN!$B$10))/10&amp;" &amp;aAlmakos'"</f>
        <v xml:space="preserve">  - '&amp;aVenta: &amp;6542.5 &amp;aAlmakos'</v>
      </c>
      <c r="B64" s="20"/>
      <c r="C64" s="20"/>
      <c r="D64" s="20"/>
      <c r="E64" s="20" t="str">
        <f>"  - '&amp;aVenta: &amp;6"&amp;(MAIN!$G$4+(MAIN!$E$18+MAIN!$E$19)/2*MAIN!$B$9+(MAIN!$E$20+MAIN!$E$21)/2*MAIN!$B$8+(MAIN!$E$80*MAIN!$B$11)+($C$2*MAIN!$B$10))/10&amp;" &amp;aAlmakos'"</f>
        <v xml:space="preserve">  - '&amp;aVenta: &amp;6682.5 &amp;aAlmakos'</v>
      </c>
      <c r="F64" s="20"/>
      <c r="G64" s="20"/>
      <c r="H64" s="20"/>
      <c r="I64" s="20" t="str">
        <f>"  - '&amp;aVenta: &amp;6"&amp;(MAIN!$H$4+(MAIN!$E$18+MAIN!$E$19)/2*MAIN!$B$9+(MAIN!$E$20+MAIN!$E$21)/2*MAIN!$B$8+(MAIN!$E$80*MAIN!$B$11)+($C$2*MAIN!$B$10))/10&amp;" &amp;aAlmakos'"</f>
        <v xml:space="preserve">  - '&amp;aVenta: &amp;6962.5 &amp;aAlmakos'</v>
      </c>
      <c r="J64" s="20"/>
      <c r="K64" s="20"/>
      <c r="L64" s="20"/>
      <c r="M64" s="20" t="str">
        <f>"  - '&amp;aVenta: &amp;6"&amp;(MAIN!$I$4+(MAIN!$E$18+MAIN!$E$19)/2*MAIN!$B$9+(MAIN!$E$20+MAIN!$E$21)/2*MAIN!$B$8+(MAIN!$E$80*MAIN!$B$11)+($C$2*MAIN!$B$10))/10&amp;" &amp;aAlmakos'"</f>
        <v xml:space="preserve">  - '&amp;aVenta: &amp;61522.5 &amp;aAlmakos'</v>
      </c>
      <c r="N64" s="20"/>
      <c r="O64" s="20"/>
      <c r="P64" s="20"/>
      <c r="Q64" s="20" t="str">
        <f>"  - '&amp;aVenta: &amp;6"&amp;(MAIN!$J$4+(MAIN!$E$18+MAIN!$E$19)/2*MAIN!$B$9+(MAIN!$E$20+MAIN!$E$21)/2*MAIN!$B$8+(MAIN!$E$80*MAIN!$B$11)+($C$2*MAIN!$B$10))/10&amp;" &amp;aAlmakos'"</f>
        <v xml:space="preserve">  - '&amp;aVenta: &amp;62642.5 &amp;aAlmakos'</v>
      </c>
      <c r="R64" s="20"/>
      <c r="S64" s="20"/>
      <c r="T64" s="20"/>
    </row>
    <row r="65" spans="1:20" x14ac:dyDescent="0.25">
      <c r="A65" s="9" t="s">
        <v>30</v>
      </c>
      <c r="B65" s="9"/>
      <c r="C65" s="9"/>
      <c r="D65" s="9"/>
      <c r="E65" s="9" t="s">
        <v>30</v>
      </c>
      <c r="F65" s="9"/>
      <c r="G65" s="9"/>
      <c r="H65" s="9"/>
      <c r="I65" s="9" t="s">
        <v>30</v>
      </c>
      <c r="J65" s="9"/>
      <c r="K65" s="9"/>
      <c r="L65" s="9"/>
      <c r="M65" s="9" t="s">
        <v>30</v>
      </c>
      <c r="N65" s="9"/>
      <c r="O65" s="9"/>
      <c r="P65" s="9"/>
      <c r="Q65" s="9" t="s">
        <v>30</v>
      </c>
      <c r="R65" s="9"/>
      <c r="S65" s="9"/>
      <c r="T65" s="9"/>
    </row>
    <row r="66" spans="1:20" x14ac:dyDescent="0.25">
      <c r="A66" s="9" t="s">
        <v>31</v>
      </c>
      <c r="B66" s="9"/>
      <c r="C66" s="9"/>
      <c r="D66" s="9"/>
      <c r="E66" s="9" t="s">
        <v>31</v>
      </c>
      <c r="F66" s="9"/>
      <c r="G66" s="9"/>
      <c r="H66" s="9"/>
      <c r="I66" s="9" t="s">
        <v>31</v>
      </c>
      <c r="J66" s="9"/>
      <c r="K66" s="9"/>
      <c r="L66" s="9"/>
      <c r="M66" s="9" t="s">
        <v>31</v>
      </c>
      <c r="N66" s="9"/>
      <c r="O66" s="9"/>
      <c r="P66" s="9"/>
      <c r="Q66" s="9" t="s">
        <v>31</v>
      </c>
      <c r="R66" s="9"/>
      <c r="S66" s="9"/>
      <c r="T66" s="9"/>
    </row>
    <row r="67" spans="1:20" s="262" customFormat="1" x14ac:dyDescent="0.25">
      <c r="A67" s="9" t="s">
        <v>1032</v>
      </c>
      <c r="B67" s="9"/>
      <c r="C67" s="9"/>
      <c r="D67" s="9"/>
      <c r="E67" s="9" t="s">
        <v>1032</v>
      </c>
      <c r="F67" s="9"/>
      <c r="G67" s="9"/>
      <c r="H67" s="9"/>
      <c r="I67" s="9" t="s">
        <v>1032</v>
      </c>
      <c r="J67" s="9"/>
      <c r="K67" s="9"/>
      <c r="L67" s="9"/>
      <c r="M67" s="9" t="s">
        <v>1032</v>
      </c>
      <c r="N67" s="9"/>
      <c r="O67" s="9"/>
      <c r="P67" s="9"/>
      <c r="Q67" s="9" t="s">
        <v>1032</v>
      </c>
      <c r="R67" s="9"/>
      <c r="S67" s="9"/>
      <c r="T67" s="9"/>
    </row>
    <row r="68" spans="1:20" x14ac:dyDescent="0.25">
      <c r="A68" s="10" t="str">
        <f>"  - '&amp;7• &amp;8Nivel: &amp;a"&amp;MAIN!$C$82+($C$2*MAIN!$I$27)&amp;"'"</f>
        <v xml:space="preserve">  - '&amp;7• &amp;8Nivel: &amp;a37'</v>
      </c>
      <c r="B68" s="10"/>
      <c r="C68" s="10"/>
      <c r="D68" s="10"/>
      <c r="E68" s="10" t="str">
        <f>"  - '&amp;7• &amp;8Nivel: &amp;a"&amp;MAIN!$D$82+($C$2*MAIN!$I$27)&amp;"'"</f>
        <v xml:space="preserve">  - '&amp;7• &amp;8Nivel: &amp;a62'</v>
      </c>
      <c r="F68" s="10"/>
      <c r="G68" s="10"/>
      <c r="H68" s="10"/>
      <c r="I68" s="10" t="str">
        <f>"  - '&amp;7• &amp;8Nivel: &amp;a"&amp;MAIN!$E$82+($C$2*MAIN!$I$27)&amp;"'"</f>
        <v xml:space="preserve">  - '&amp;7• &amp;8Nivel: &amp;a137'</v>
      </c>
      <c r="J68" s="10"/>
      <c r="K68" s="10"/>
      <c r="L68" s="10"/>
      <c r="M68" s="10" t="str">
        <f>"  - '&amp;7• &amp;8Nivel: &amp;a"&amp;MAIN!$F$82+($C$2*MAIN!$I$27)&amp;"'"</f>
        <v xml:space="preserve">  - '&amp;7• &amp;8Nivel: &amp;a361'</v>
      </c>
      <c r="N68" s="10"/>
      <c r="O68" s="10"/>
      <c r="P68" s="10"/>
      <c r="Q68" s="10" t="str">
        <f>"  - '&amp;7• &amp;8Nivel: &amp;a"&amp;MAIN!$G$82+($C$2*MAIN!$I$27)&amp;"'"</f>
        <v xml:space="preserve">  - '&amp;7• &amp;8Nivel: &amp;a697'</v>
      </c>
      <c r="R68" s="10"/>
      <c r="S68" s="10"/>
      <c r="T68" s="10"/>
    </row>
    <row r="69" spans="1:20" x14ac:dyDescent="0.25">
      <c r="A69" s="12" t="str">
        <f>"  - '&amp;7• &amp;8"&amp;MAIN!$C$12&amp;" lvl: &amp;a"&amp;ROUNDUP((MAIN!$C$82+($C$2*MAIN!$I$27))/3,0)&amp;"'"</f>
        <v xml:space="preserve">  - '&amp;7• &amp;8Esencia lvl: &amp;a13'</v>
      </c>
      <c r="B69" s="12"/>
      <c r="C69" s="12"/>
      <c r="D69" s="12"/>
      <c r="E69" s="12" t="str">
        <f>"  - '&amp;7• &amp;8"&amp;MAIN!$C$12&amp;" lvl: &amp;a"&amp;ROUNDUP((MAIN!$D$82+($C$2*MAIN!$I$27))/3,0)&amp;"'"</f>
        <v xml:space="preserve">  - '&amp;7• &amp;8Esencia lvl: &amp;a21'</v>
      </c>
      <c r="F69" s="12"/>
      <c r="G69" s="12"/>
      <c r="H69" s="12"/>
      <c r="I69" s="12" t="str">
        <f>"  - '&amp;7• &amp;8"&amp;MAIN!$C$12&amp;" lvl: &amp;a"&amp;ROUNDUP((MAIN!$E$82+($C$2*MAIN!$I$27))/3,0)&amp;"'"</f>
        <v xml:space="preserve">  - '&amp;7• &amp;8Esencia lvl: &amp;a46'</v>
      </c>
      <c r="J69" s="12"/>
      <c r="K69" s="12"/>
      <c r="L69" s="12"/>
      <c r="M69" s="12" t="str">
        <f>"  - '&amp;7• &amp;8"&amp;MAIN!$C$12&amp;" lvl: &amp;a"&amp;ROUNDUP((MAIN!$F$82+($C$2*MAIN!$I$27))/3,0)&amp;"'"</f>
        <v xml:space="preserve">  - '&amp;7• &amp;8Esencia lvl: &amp;a121'</v>
      </c>
      <c r="N69" s="12"/>
      <c r="O69" s="12"/>
      <c r="P69" s="12"/>
      <c r="Q69" s="12" t="str">
        <f>"  - '&amp;7• &amp;8"&amp;MAIN!$C$12&amp;" lvl: &amp;a"&amp;ROUNDUP((MAIN!$G$82+($C$2*MAIN!$I$27))/3,0)&amp;"'"</f>
        <v xml:space="preserve">  - '&amp;7• &amp;8Esencia lvl: &amp;a233'</v>
      </c>
      <c r="R69" s="12"/>
      <c r="S69" s="12"/>
      <c r="T69" s="12"/>
    </row>
    <row r="70" spans="1:20" x14ac:dyDescent="0.25">
      <c r="A70" s="9" t="s">
        <v>32</v>
      </c>
      <c r="B70" s="9"/>
      <c r="C70" s="9"/>
      <c r="D70" s="9"/>
      <c r="E70" s="9" t="s">
        <v>32</v>
      </c>
      <c r="F70" s="9"/>
      <c r="G70" s="9"/>
      <c r="H70" s="9"/>
      <c r="I70" s="9" t="s">
        <v>32</v>
      </c>
      <c r="J70" s="9"/>
      <c r="K70" s="9"/>
      <c r="L70" s="9"/>
      <c r="M70" s="9" t="s">
        <v>32</v>
      </c>
      <c r="N70" s="9"/>
      <c r="O70" s="9"/>
      <c r="P70" s="9"/>
      <c r="Q70" s="9" t="s">
        <v>32</v>
      </c>
      <c r="R70" s="9"/>
      <c r="S70" s="9"/>
      <c r="T70" s="9"/>
    </row>
    <row r="71" spans="1:20" s="291" customFormat="1" x14ac:dyDescent="0.25">
      <c r="A71" s="9" t="s">
        <v>1196</v>
      </c>
      <c r="B71" s="9"/>
      <c r="C71" s="9"/>
      <c r="D71" s="9"/>
      <c r="E71" s="9" t="str">
        <f>A71</f>
        <v xml:space="preserve">  - '%tierlore%'</v>
      </c>
      <c r="F71" s="9"/>
      <c r="G71" s="9"/>
      <c r="H71" s="9"/>
      <c r="I71" s="9" t="str">
        <f>E71</f>
        <v xml:space="preserve">  - '%tierlore%'</v>
      </c>
      <c r="J71" s="9"/>
      <c r="K71" s="9"/>
      <c r="L71" s="9"/>
      <c r="M71" s="9" t="str">
        <f>I71</f>
        <v xml:space="preserve">  - '%tierlore%'</v>
      </c>
      <c r="N71" s="9"/>
      <c r="O71" s="9"/>
      <c r="P71" s="9"/>
      <c r="Q71" s="9" t="str">
        <f>M71</f>
        <v xml:space="preserve">  - '%tierlore%'</v>
      </c>
      <c r="R71" s="9"/>
      <c r="S71" s="9"/>
      <c r="T71" s="9"/>
    </row>
    <row r="72" spans="1:20" x14ac:dyDescent="0.25">
      <c r="A72" s="9" t="s">
        <v>33</v>
      </c>
      <c r="B72" s="9"/>
      <c r="C72" s="9"/>
      <c r="D72" s="9"/>
      <c r="E72" s="9" t="s">
        <v>33</v>
      </c>
      <c r="F72" s="9"/>
      <c r="G72" s="9"/>
      <c r="H72" s="9"/>
      <c r="I72" s="9" t="s">
        <v>33</v>
      </c>
      <c r="J72" s="9"/>
      <c r="K72" s="9"/>
      <c r="L72" s="9"/>
      <c r="M72" s="9" t="s">
        <v>33</v>
      </c>
      <c r="N72" s="9"/>
      <c r="O72" s="9"/>
      <c r="P72" s="9"/>
      <c r="Q72" s="9" t="s">
        <v>33</v>
      </c>
      <c r="R72" s="9"/>
      <c r="S72" s="9"/>
      <c r="T72" s="9"/>
    </row>
    <row r="73" spans="1:20" x14ac:dyDescent="0.25">
      <c r="A73" s="10" t="str">
        <f>"  - '&amp;4• &amp;f"&amp;MAIN!$C$9&amp;": &amp;a"&amp;MAIN!$C$77*$C$2&amp;"'"</f>
        <v xml:space="preserve">  - '&amp;4• &amp;fFuerza: &amp;a35'</v>
      </c>
      <c r="B73" s="10"/>
      <c r="C73" s="10"/>
      <c r="D73" s="10"/>
      <c r="E73" s="10" t="str">
        <f>"  - '&amp;4• &amp;f"&amp;MAIN!$C$9&amp;": &amp;a"&amp;MAIN!$D$77*$C$2&amp;"'"</f>
        <v xml:space="preserve">  - '&amp;4• &amp;fFuerza: &amp;a55'</v>
      </c>
      <c r="F73" s="10"/>
      <c r="G73" s="10"/>
      <c r="H73" s="10"/>
      <c r="I73" s="10" t="str">
        <f>"  - '&amp;4• &amp;f"&amp;MAIN!$C$9&amp;": &amp;a"&amp;MAIN!$E$77*$C$2&amp;"'"</f>
        <v xml:space="preserve">  - '&amp;4• &amp;fFuerza: &amp;a90'</v>
      </c>
      <c r="J73" s="10"/>
      <c r="K73" s="10"/>
      <c r="L73" s="10"/>
      <c r="M73" s="10" t="str">
        <f>"  - '&amp;4• &amp;f"&amp;MAIN!$C$9&amp;": &amp;a"&amp;MAIN!$F$77*$C$2&amp;"'"</f>
        <v xml:space="preserve">  - '&amp;4• &amp;fFuerza: &amp;a150'</v>
      </c>
      <c r="N73" s="10"/>
      <c r="O73" s="10"/>
      <c r="P73" s="10"/>
      <c r="Q73" s="10" t="str">
        <f>"  - '&amp;4• &amp;f"&amp;MAIN!$C$9&amp;": &amp;a"&amp;MAIN!$G$77*$C$2&amp;"'"</f>
        <v xml:space="preserve">  - '&amp;4• &amp;fFuerza: &amp;a255'</v>
      </c>
      <c r="R73" s="10"/>
      <c r="S73" s="10"/>
      <c r="T73" s="10"/>
    </row>
    <row r="74" spans="1:20" x14ac:dyDescent="0.25">
      <c r="A74" s="10" t="str">
        <f>"  - '&amp;4• &amp;f"&amp;MAIN!$C$8&amp;": &amp;a"&amp;MAIN!$C$77*$C$2&amp;"'"</f>
        <v xml:space="preserve">  - '&amp;4• &amp;fVitalidad: &amp;a35'</v>
      </c>
      <c r="B74" s="10"/>
      <c r="C74" s="10"/>
      <c r="D74" s="10"/>
      <c r="E74" s="10" t="str">
        <f>"  - '&amp;4• &amp;f"&amp;MAIN!$C$8&amp;": &amp;a"&amp;MAIN!$D$77*$C$2&amp;"'"</f>
        <v xml:space="preserve">  - '&amp;4• &amp;fVitalidad: &amp;a55'</v>
      </c>
      <c r="F74" s="10"/>
      <c r="G74" s="10"/>
      <c r="H74" s="10"/>
      <c r="I74" s="10" t="str">
        <f>"  - '&amp;4• &amp;f"&amp;MAIN!$C$8&amp;": &amp;a"&amp;MAIN!$E$77*$C$2&amp;"'"</f>
        <v xml:space="preserve">  - '&amp;4• &amp;fVitalidad: &amp;a90'</v>
      </c>
      <c r="J74" s="10"/>
      <c r="K74" s="10"/>
      <c r="L74" s="10"/>
      <c r="M74" s="10" t="str">
        <f>"  - '&amp;4• &amp;f"&amp;MAIN!$C$8&amp;": &amp;a"&amp;MAIN!$F$77*$C$2&amp;"'"</f>
        <v xml:space="preserve">  - '&amp;4• &amp;fVitalidad: &amp;a150'</v>
      </c>
      <c r="N74" s="10"/>
      <c r="O74" s="10"/>
      <c r="P74" s="10"/>
      <c r="Q74" s="10" t="str">
        <f>"  - '&amp;4• &amp;f"&amp;MAIN!$C$8&amp;": &amp;a"&amp;MAIN!$G$77*$C$2&amp;"'"</f>
        <v xml:space="preserve">  - '&amp;4• &amp;fVitalidad: &amp;a255'</v>
      </c>
      <c r="R74" s="10"/>
      <c r="S74" s="10"/>
      <c r="T74" s="10"/>
    </row>
    <row r="75" spans="1:20" x14ac:dyDescent="0.25">
      <c r="A75" s="10" t="str">
        <f>"  - '&amp;4• &amp;f"&amp;MAIN!$C$11&amp;": &amp;a"&amp;MAIN!$C$79*$C$2&amp;"'"</f>
        <v xml:space="preserve">  - '&amp;4• &amp;fInteligencia: &amp;a35'</v>
      </c>
      <c r="B75" s="10"/>
      <c r="C75" s="10"/>
      <c r="D75" s="10"/>
      <c r="E75" s="10" t="str">
        <f>"  - '&amp;4• &amp;f"&amp;MAIN!$C$11&amp;": &amp;a"&amp;MAIN!$D$79*$C$2&amp;"'"</f>
        <v xml:space="preserve">  - '&amp;4• &amp;fInteligencia: &amp;a55'</v>
      </c>
      <c r="F75" s="10"/>
      <c r="G75" s="10"/>
      <c r="H75" s="10"/>
      <c r="I75" s="10" t="str">
        <f>"  - '&amp;4• &amp;f"&amp;MAIN!$C$11&amp;": &amp;a"&amp;MAIN!$E$79*$C$2&amp;"'"</f>
        <v xml:space="preserve">  - '&amp;4• &amp;fInteligencia: &amp;a90'</v>
      </c>
      <c r="J75" s="10"/>
      <c r="K75" s="10"/>
      <c r="L75" s="10"/>
      <c r="M75" s="10" t="str">
        <f>"  - '&amp;4• &amp;f"&amp;MAIN!$C$11&amp;": &amp;a"&amp;MAIN!$F$79*$C$2&amp;"'"</f>
        <v xml:space="preserve">  - '&amp;4• &amp;fInteligencia: &amp;a150'</v>
      </c>
      <c r="N75" s="10"/>
      <c r="O75" s="10"/>
      <c r="P75" s="10"/>
      <c r="Q75" s="10" t="str">
        <f>"  - '&amp;4• &amp;f"&amp;MAIN!$C$11&amp;": &amp;a"&amp;MAIN!$G$79*$C$2&amp;"'"</f>
        <v xml:space="preserve">  - '&amp;4• &amp;fInteligencia: &amp;a255'</v>
      </c>
      <c r="R75" s="10"/>
      <c r="S75" s="10"/>
      <c r="T75" s="10"/>
    </row>
    <row r="76" spans="1:20" x14ac:dyDescent="0.25">
      <c r="A76" s="10" t="str">
        <f>"  - '&amp;4• &amp;f"&amp;MAIN!$C$10&amp;": &amp;a"&amp;MAIN!$C$78*$C$2&amp;"'"</f>
        <v xml:space="preserve">  - '&amp;4• &amp;fAgilidad: &amp;a35'</v>
      </c>
      <c r="B76" s="10"/>
      <c r="C76" s="10"/>
      <c r="D76" s="10"/>
      <c r="E76" s="10" t="str">
        <f>"  - '&amp;4• &amp;f"&amp;MAIN!$C$10&amp;": &amp;a"&amp;MAIN!$D$78*$C$2&amp;"'"</f>
        <v xml:space="preserve">  - '&amp;4• &amp;fAgilidad: &amp;a55'</v>
      </c>
      <c r="F76" s="10"/>
      <c r="G76" s="10"/>
      <c r="H76" s="10"/>
      <c r="I76" s="10" t="str">
        <f>"  - '&amp;4• &amp;f"&amp;MAIN!$C$10&amp;": &amp;a"&amp;MAIN!$E$78*$C$2&amp;"'"</f>
        <v xml:space="preserve">  - '&amp;4• &amp;fAgilidad: &amp;a90'</v>
      </c>
      <c r="J76" s="10"/>
      <c r="K76" s="10"/>
      <c r="L76" s="10"/>
      <c r="M76" s="10" t="str">
        <f>"  - '&amp;4• &amp;f"&amp;MAIN!$C$10&amp;": &amp;a"&amp;MAIN!$F$78*$C$2&amp;"'"</f>
        <v xml:space="preserve">  - '&amp;4• &amp;fAgilidad: &amp;a150'</v>
      </c>
      <c r="N76" s="10"/>
      <c r="O76" s="10"/>
      <c r="P76" s="10"/>
      <c r="Q76" s="10" t="str">
        <f>"  - '&amp;4• &amp;f"&amp;MAIN!$C$10&amp;": &amp;a"&amp;MAIN!$G$78*$C$2&amp;"'"</f>
        <v xml:space="preserve">  - '&amp;4• &amp;fAgilidad: &amp;a255'</v>
      </c>
      <c r="R76" s="10"/>
      <c r="S76" s="10"/>
      <c r="T76" s="10"/>
    </row>
    <row r="77" spans="1:20" x14ac:dyDescent="0.25">
      <c r="A77" s="9" t="s">
        <v>71</v>
      </c>
      <c r="B77" s="9"/>
      <c r="C77" s="9"/>
      <c r="D77" s="9"/>
      <c r="E77" s="9" t="s">
        <v>71</v>
      </c>
      <c r="F77" s="9"/>
      <c r="G77" s="9"/>
      <c r="H77" s="9"/>
      <c r="I77" s="9" t="s">
        <v>71</v>
      </c>
      <c r="J77" s="9"/>
      <c r="K77" s="9"/>
      <c r="L77" s="9"/>
      <c r="M77" s="9" t="s">
        <v>71</v>
      </c>
      <c r="N77" s="9"/>
      <c r="O77" s="9"/>
      <c r="P77" s="9"/>
      <c r="Q77" s="9" t="s">
        <v>71</v>
      </c>
      <c r="R77" s="9"/>
      <c r="S77" s="9"/>
      <c r="T77" s="9"/>
    </row>
    <row r="78" spans="1:20" x14ac:dyDescent="0.25">
      <c r="A78" s="9" t="s">
        <v>72</v>
      </c>
      <c r="B78" s="9"/>
      <c r="C78" s="9"/>
      <c r="D78" s="9"/>
      <c r="E78" s="9" t="s">
        <v>72</v>
      </c>
      <c r="F78" s="9"/>
      <c r="G78" s="9"/>
      <c r="H78" s="9"/>
      <c r="I78" s="9" t="s">
        <v>72</v>
      </c>
      <c r="J78" s="9"/>
      <c r="K78" s="9"/>
      <c r="L78" s="9"/>
      <c r="M78" s="9" t="s">
        <v>72</v>
      </c>
      <c r="N78" s="9"/>
      <c r="O78" s="9"/>
      <c r="P78" s="9"/>
      <c r="Q78" s="9" t="s">
        <v>72</v>
      </c>
      <c r="R78" s="9"/>
      <c r="S78" s="9"/>
      <c r="T78" s="9"/>
    </row>
    <row r="79" spans="1:20" x14ac:dyDescent="0.25">
      <c r="A79" s="11" t="str">
        <f>'armas raro'!$A$79</f>
        <v>minimumSockets: 1</v>
      </c>
      <c r="B79" s="11"/>
      <c r="C79" s="11"/>
      <c r="D79" s="11"/>
      <c r="E79" s="11" t="str">
        <f>$A$79</f>
        <v>minimumSockets: 1</v>
      </c>
      <c r="F79" s="11"/>
      <c r="G79" s="11"/>
      <c r="H79" s="11"/>
      <c r="I79" s="11" t="str">
        <f>$A$79</f>
        <v>minimumSockets: 1</v>
      </c>
      <c r="J79" s="11"/>
      <c r="K79" s="11"/>
      <c r="L79" s="11"/>
      <c r="M79" s="11" t="str">
        <f>$A$79</f>
        <v>minimumSockets: 1</v>
      </c>
      <c r="N79" s="11"/>
      <c r="O79" s="11"/>
      <c r="P79" s="11"/>
      <c r="Q79" s="11" t="str">
        <f>$A$79</f>
        <v>minimumSockets: 1</v>
      </c>
      <c r="R79" s="11"/>
      <c r="S79" s="11"/>
      <c r="T79" s="11"/>
    </row>
    <row r="80" spans="1:20" x14ac:dyDescent="0.25">
      <c r="A80" s="11" t="str">
        <f>'armas raro'!$A$80</f>
        <v>maximumSockets: 2</v>
      </c>
      <c r="B80" s="11"/>
      <c r="C80" s="11"/>
      <c r="D80" s="11"/>
      <c r="E80" s="11" t="str">
        <f>$A$80</f>
        <v>maximumSockets: 2</v>
      </c>
      <c r="F80" s="11"/>
      <c r="G80" s="11"/>
      <c r="H80" s="11"/>
      <c r="I80" s="11" t="str">
        <f>$A$80</f>
        <v>maximumSockets: 2</v>
      </c>
      <c r="J80" s="11"/>
      <c r="K80" s="11"/>
      <c r="L80" s="11"/>
      <c r="M80" s="11" t="str">
        <f>$A$80</f>
        <v>maximumSockets: 2</v>
      </c>
      <c r="N80" s="11"/>
      <c r="O80" s="11"/>
      <c r="P80" s="11"/>
      <c r="Q80" s="11" t="str">
        <f>$A$80</f>
        <v>maximumSockets: 2</v>
      </c>
      <c r="R80" s="11"/>
      <c r="S80" s="11"/>
      <c r="T80" s="11"/>
    </row>
    <row r="81" spans="1:20" x14ac:dyDescent="0.25">
      <c r="A81" s="11" t="str">
        <f>'armas raro'!$A$81</f>
        <v>chanceToSpawnOnAMonster: 0.15</v>
      </c>
      <c r="B81" s="11"/>
      <c r="C81" s="11"/>
      <c r="D81" s="11"/>
      <c r="E81" s="11" t="str">
        <f>$A$81</f>
        <v>chanceToSpawnOnAMonster: 0.15</v>
      </c>
      <c r="F81" s="11"/>
      <c r="G81" s="11"/>
      <c r="H81" s="11"/>
      <c r="I81" s="11" t="str">
        <f>$A$81</f>
        <v>chanceToSpawnOnAMonster: 0.15</v>
      </c>
      <c r="J81" s="11"/>
      <c r="K81" s="11"/>
      <c r="L81" s="11"/>
      <c r="M81" s="11" t="str">
        <f>$A$81</f>
        <v>chanceToSpawnOnAMonster: 0.15</v>
      </c>
      <c r="N81" s="11"/>
      <c r="O81" s="11"/>
      <c r="P81" s="11"/>
      <c r="Q81" s="11" t="str">
        <f>$A$81</f>
        <v>chanceToSpawnOnAMonster: 0.15</v>
      </c>
      <c r="R81" s="11"/>
      <c r="S81" s="11"/>
      <c r="T81" s="11"/>
    </row>
    <row r="82" spans="1:20" x14ac:dyDescent="0.25">
      <c r="A82" s="9" t="s">
        <v>34</v>
      </c>
      <c r="B82" s="9"/>
      <c r="C82" s="9"/>
      <c r="D82" s="9"/>
      <c r="E82" s="9" t="s">
        <v>34</v>
      </c>
      <c r="F82" s="9"/>
      <c r="G82" s="9"/>
      <c r="H82" s="9"/>
      <c r="I82" s="9" t="s">
        <v>34</v>
      </c>
      <c r="J82" s="9"/>
      <c r="K82" s="9"/>
      <c r="L82" s="9"/>
      <c r="M82" s="9" t="s">
        <v>34</v>
      </c>
      <c r="N82" s="9"/>
      <c r="O82" s="9"/>
      <c r="P82" s="9"/>
      <c r="Q82" s="9" t="s">
        <v>34</v>
      </c>
      <c r="R82" s="9"/>
      <c r="S82" s="9"/>
      <c r="T82" s="9"/>
    </row>
    <row r="83" spans="1:20" x14ac:dyDescent="0.25">
      <c r="A83" s="11" t="str">
        <f>'armas raro'!$A$83</f>
        <v>chanceToBeIdentified: 0.075</v>
      </c>
      <c r="B83" s="11"/>
      <c r="C83" s="11"/>
      <c r="D83" s="11"/>
      <c r="E83" s="11" t="str">
        <f>$A$83</f>
        <v>chanceToBeIdentified: 0.075</v>
      </c>
      <c r="F83" s="11"/>
      <c r="G83" s="11"/>
      <c r="H83" s="11"/>
      <c r="I83" s="11" t="str">
        <f>$A$83</f>
        <v>chanceToBeIdentified: 0.075</v>
      </c>
      <c r="J83" s="11"/>
      <c r="K83" s="11"/>
      <c r="L83" s="11"/>
      <c r="M83" s="11" t="str">
        <f>$A$83</f>
        <v>chanceToBeIdentified: 0.075</v>
      </c>
      <c r="N83" s="11"/>
      <c r="O83" s="11"/>
      <c r="P83" s="11"/>
      <c r="Q83" s="11" t="str">
        <f>$A$83</f>
        <v>chanceToBeIdentified: 0.075</v>
      </c>
      <c r="R83" s="11"/>
      <c r="S83" s="11"/>
      <c r="T83" s="11"/>
    </row>
    <row r="84" spans="1:20" x14ac:dyDescent="0.25">
      <c r="A84" s="9" t="s">
        <v>79</v>
      </c>
      <c r="B84" s="9"/>
      <c r="C84" s="9"/>
      <c r="D84" s="9"/>
      <c r="E84" s="9" t="s">
        <v>79</v>
      </c>
      <c r="F84" s="9"/>
      <c r="G84" s="9"/>
      <c r="H84" s="9"/>
      <c r="I84" s="9" t="s">
        <v>79</v>
      </c>
      <c r="J84" s="9"/>
      <c r="K84" s="9"/>
      <c r="L84" s="9"/>
      <c r="M84" s="9" t="s">
        <v>79</v>
      </c>
      <c r="N84" s="9"/>
      <c r="O84" s="9"/>
      <c r="P84" s="9"/>
      <c r="Q84" s="9" t="s">
        <v>79</v>
      </c>
      <c r="R84" s="9"/>
      <c r="S84" s="9"/>
      <c r="T84" s="9"/>
    </row>
    <row r="85" spans="1:20" x14ac:dyDescent="0.25">
      <c r="A85" s="11" t="str">
        <f>'armas raro'!$A$85</f>
        <v>broadcastOnFind: false</v>
      </c>
      <c r="B85" s="11"/>
      <c r="C85" s="11"/>
      <c r="D85" s="11"/>
      <c r="E85" s="11" t="str">
        <f>$A$85</f>
        <v>broadcastOnFind: false</v>
      </c>
      <c r="F85" s="11"/>
      <c r="G85" s="11"/>
      <c r="H85" s="11"/>
      <c r="I85" s="11" t="str">
        <f>$A$85</f>
        <v>broadcastOnFind: false</v>
      </c>
      <c r="J85" s="11"/>
      <c r="K85" s="11"/>
      <c r="L85" s="11"/>
      <c r="M85" s="11" t="str">
        <f>$A$85</f>
        <v>broadcastOnFind: false</v>
      </c>
      <c r="N85" s="11"/>
      <c r="O85" s="11"/>
      <c r="P85" s="11"/>
      <c r="Q85" s="11" t="str">
        <f>$A$85</f>
        <v>broadcastOnFind: false</v>
      </c>
      <c r="R85" s="11"/>
      <c r="S85" s="11"/>
      <c r="T85" s="11"/>
    </row>
    <row r="86" spans="1:20" x14ac:dyDescent="0.25">
      <c r="A86" s="11" t="str">
        <f>'armas raro'!$A$86</f>
        <v>optimalDistance: 2400</v>
      </c>
      <c r="B86" s="11"/>
      <c r="C86" s="11"/>
      <c r="D86" s="11"/>
      <c r="E86" s="11" t="str">
        <f>$A$86</f>
        <v>optimalDistance: 2400</v>
      </c>
      <c r="F86" s="11"/>
      <c r="G86" s="11"/>
      <c r="H86" s="11"/>
      <c r="I86" s="11" t="str">
        <f>$A$86</f>
        <v>optimalDistance: 2400</v>
      </c>
      <c r="J86" s="11"/>
      <c r="K86" s="11"/>
      <c r="L86" s="11"/>
      <c r="M86" s="11" t="str">
        <f>$A$86</f>
        <v>optimalDistance: 2400</v>
      </c>
      <c r="N86" s="11"/>
      <c r="O86" s="11"/>
      <c r="P86" s="11"/>
      <c r="Q86" s="11" t="str">
        <f>$A$86</f>
        <v>optimalDistance: 2400</v>
      </c>
      <c r="R86" s="11"/>
      <c r="S86" s="11"/>
      <c r="T86" s="11"/>
    </row>
    <row r="87" spans="1:20" x14ac:dyDescent="0.25">
      <c r="A87" s="11" t="str">
        <f>'armas raro'!$A$87</f>
        <v>maximumDistance: 1800</v>
      </c>
      <c r="B87" s="11"/>
      <c r="C87" s="11"/>
      <c r="D87" s="11"/>
      <c r="E87" s="11" t="str">
        <f>$A$87</f>
        <v>maximumDistance: 1800</v>
      </c>
      <c r="F87" s="11"/>
      <c r="G87" s="11"/>
      <c r="H87" s="11"/>
      <c r="I87" s="11" t="str">
        <f>$A$87</f>
        <v>maximumDistance: 1800</v>
      </c>
      <c r="J87" s="11"/>
      <c r="K87" s="11"/>
      <c r="L87" s="11"/>
      <c r="M87" s="11" t="str">
        <f>$A$87</f>
        <v>maximumDistance: 1800</v>
      </c>
      <c r="N87" s="11"/>
      <c r="O87" s="11"/>
      <c r="P87" s="11"/>
      <c r="Q87" s="11" t="str">
        <f>$A$87</f>
        <v>maximumDistance: 1800</v>
      </c>
      <c r="R87" s="11"/>
      <c r="S87" s="11"/>
      <c r="T87" s="11"/>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9" x14ac:dyDescent="0.25">
      <c r="A97" s="9"/>
      <c r="B97" s="9"/>
      <c r="C97" s="9"/>
      <c r="D97" s="9"/>
      <c r="G97" s="13"/>
      <c r="H97" s="13"/>
      <c r="I97" s="13"/>
    </row>
    <row r="98" spans="1:9" x14ac:dyDescent="0.25">
      <c r="A98" s="9"/>
      <c r="B98" s="9"/>
      <c r="C98" s="9"/>
      <c r="D98" s="9"/>
      <c r="G98" s="13"/>
      <c r="H98" s="13"/>
      <c r="I98" s="13"/>
    </row>
    <row r="99" spans="1:9" x14ac:dyDescent="0.25">
      <c r="A99" s="9"/>
      <c r="B99" s="9"/>
      <c r="C99" s="9"/>
      <c r="D99" s="9"/>
    </row>
    <row r="100" spans="1:9" x14ac:dyDescent="0.25">
      <c r="A100" s="9"/>
      <c r="B100" s="9"/>
      <c r="C100" s="9"/>
      <c r="D100" s="9"/>
    </row>
    <row r="101" spans="1:9" x14ac:dyDescent="0.25">
      <c r="A101" s="9"/>
      <c r="B101" s="9"/>
      <c r="C101" s="9"/>
      <c r="D101" s="9"/>
    </row>
    <row r="102" spans="1:9" x14ac:dyDescent="0.25">
      <c r="A102" s="9"/>
      <c r="B102" s="9"/>
      <c r="C102" s="9"/>
      <c r="D102" s="9"/>
    </row>
    <row r="103" spans="1:9" x14ac:dyDescent="0.25">
      <c r="A103" s="9"/>
      <c r="B103" s="9"/>
      <c r="C103" s="9"/>
      <c r="D103" s="9"/>
    </row>
    <row r="104" spans="1:9" x14ac:dyDescent="0.25">
      <c r="A104" s="9"/>
      <c r="B104" s="9"/>
      <c r="C104" s="9"/>
      <c r="D104" s="9"/>
    </row>
    <row r="105" spans="1:9" x14ac:dyDescent="0.25">
      <c r="A105" s="9"/>
      <c r="B105" s="9"/>
      <c r="C105" s="9"/>
      <c r="D105" s="9"/>
    </row>
    <row r="106" spans="1:9" x14ac:dyDescent="0.25">
      <c r="A106" s="9"/>
      <c r="B106" s="9"/>
      <c r="C106" s="9"/>
      <c r="D106" s="9"/>
    </row>
    <row r="107" spans="1:9" x14ac:dyDescent="0.25">
      <c r="A107" s="9"/>
      <c r="B107" s="9"/>
      <c r="C107" s="9"/>
      <c r="D107" s="9"/>
    </row>
    <row r="108" spans="1:9" x14ac:dyDescent="0.25">
      <c r="A108" s="9"/>
      <c r="B108" s="9"/>
      <c r="C108" s="9"/>
      <c r="D108" s="9"/>
    </row>
    <row r="109" spans="1:9" x14ac:dyDescent="0.25">
      <c r="A109" s="9"/>
      <c r="B109" s="9"/>
      <c r="C109" s="9"/>
      <c r="D109" s="9"/>
    </row>
    <row r="110" spans="1:9" x14ac:dyDescent="0.25">
      <c r="A110" s="9"/>
      <c r="B110" s="9"/>
      <c r="C110" s="9"/>
      <c r="D110" s="9"/>
    </row>
    <row r="111" spans="1:9" x14ac:dyDescent="0.25">
      <c r="A111" s="9"/>
      <c r="B111" s="9"/>
      <c r="C111" s="9"/>
      <c r="D111" s="9"/>
    </row>
    <row r="112" spans="1:9"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row r="190" spans="1:4" x14ac:dyDescent="0.25">
      <c r="A190" s="9"/>
      <c r="B190" s="9"/>
      <c r="C190" s="9"/>
      <c r="D190" s="9"/>
    </row>
    <row r="191" spans="1:4" x14ac:dyDescent="0.25">
      <c r="A191" s="9"/>
      <c r="B191" s="9"/>
      <c r="C191" s="9"/>
      <c r="D191"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8"/>
  <dimension ref="A1:Z191"/>
  <sheetViews>
    <sheetView topLeftCell="N65" workbookViewId="0">
      <selection activeCell="Q4" sqref="Q4:Q87"/>
    </sheetView>
  </sheetViews>
  <sheetFormatPr baseColWidth="10" defaultColWidth="11.5703125" defaultRowHeight="15" x14ac:dyDescent="0.25"/>
  <cols>
    <col min="1" max="16384" width="11.5703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102</v>
      </c>
      <c r="B2" s="293"/>
      <c r="C2" s="293">
        <f>'ECONOMIA &amp; PROFESIONES'!$P$3</f>
        <v>5</v>
      </c>
      <c r="D2" s="293"/>
      <c r="E2" s="293" t="s">
        <v>81</v>
      </c>
      <c r="F2" s="293"/>
      <c r="G2" s="293" t="s">
        <v>103</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$A$38</f>
        <v xml:space="preserve">  - ARROW_INFINITE:2:3</v>
      </c>
      <c r="J15" s="22"/>
      <c r="K15" s="22"/>
      <c r="L15" s="22"/>
      <c r="M15" s="22" t="str">
        <f>$A$38</f>
        <v xml:space="preserve">  - ARROW_INFINITE:2:3</v>
      </c>
      <c r="N15" s="22"/>
      <c r="O15" s="22"/>
      <c r="P15" s="22"/>
      <c r="Q15" s="22" t="str">
        <f>$A$38</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$A$39</f>
        <v xml:space="preserve">  - ARROW_DAMAGE:2:3</v>
      </c>
      <c r="J16" s="22"/>
      <c r="K16" s="22"/>
      <c r="L16" s="22"/>
      <c r="M16" s="22" t="str">
        <f>$A$39</f>
        <v xml:space="preserve">  - ARROW_DAMAGE:2:3</v>
      </c>
      <c r="N16" s="22"/>
      <c r="O16" s="22"/>
      <c r="P16" s="22"/>
      <c r="Q16" s="22" t="str">
        <f>$A$39</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$A$40</f>
        <v xml:space="preserve">  - ARROW_FIRE:2:3</v>
      </c>
      <c r="J17" s="22"/>
      <c r="K17" s="22"/>
      <c r="L17" s="22"/>
      <c r="M17" s="22" t="str">
        <f>$A$40</f>
        <v xml:space="preserve">  - ARROW_FIRE:2:3</v>
      </c>
      <c r="N17" s="22"/>
      <c r="O17" s="22"/>
      <c r="P17" s="22"/>
      <c r="Q17" s="22" t="str">
        <f>$A$40</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$A$41</f>
        <v xml:space="preserve">  - ARROW_KNOCKBACK:2:3</v>
      </c>
      <c r="J18" s="22"/>
      <c r="K18" s="22"/>
      <c r="L18" s="22"/>
      <c r="M18" s="22" t="str">
        <f>$A$41</f>
        <v xml:space="preserve">  - ARROW_KNOCKBACK:2:3</v>
      </c>
      <c r="N18" s="22"/>
      <c r="O18" s="22"/>
      <c r="P18" s="22"/>
      <c r="Q18" s="22" t="str">
        <f>$A$41</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$A$42</f>
        <v xml:space="preserve">  - DAMAGE_ALL:2:3</v>
      </c>
      <c r="J19" s="22"/>
      <c r="K19" s="22"/>
      <c r="L19" s="22"/>
      <c r="M19" s="22" t="str">
        <f>$A$42</f>
        <v xml:space="preserve">  - DAMAGE_ALL:2:3</v>
      </c>
      <c r="N19" s="22"/>
      <c r="O19" s="22"/>
      <c r="P19" s="22"/>
      <c r="Q19" s="22" t="str">
        <f>$A$42</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$A$43</f>
        <v xml:space="preserve">  - DAMAGE_ARTHROPODS:2:3</v>
      </c>
      <c r="J20" s="22"/>
      <c r="K20" s="22"/>
      <c r="L20" s="22"/>
      <c r="M20" s="22" t="str">
        <f>$A$43</f>
        <v xml:space="preserve">  - DAMAGE_ARTHROPODS:2:3</v>
      </c>
      <c r="N20" s="22"/>
      <c r="O20" s="22"/>
      <c r="P20" s="22"/>
      <c r="Q20" s="22" t="str">
        <f>$A$43</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$A$44</f>
        <v xml:space="preserve">  - DAMAGE_UNDEAD:2:3</v>
      </c>
      <c r="J21" s="22"/>
      <c r="K21" s="22"/>
      <c r="L21" s="22"/>
      <c r="M21" s="22" t="str">
        <f>$A$44</f>
        <v xml:space="preserve">  - DAMAGE_UNDEAD:2:3</v>
      </c>
      <c r="N21" s="22"/>
      <c r="O21" s="22"/>
      <c r="P21" s="22"/>
      <c r="Q21" s="22" t="str">
        <f>$A$44</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$A$45</f>
        <v xml:space="preserve">  - DIG_SPEED:2:3</v>
      </c>
      <c r="J22" s="22"/>
      <c r="K22" s="22"/>
      <c r="L22" s="22"/>
      <c r="M22" s="22" t="str">
        <f>$A$45</f>
        <v xml:space="preserve">  - DIG_SPEED:2:3</v>
      </c>
      <c r="N22" s="22"/>
      <c r="O22" s="22"/>
      <c r="P22" s="22"/>
      <c r="Q22" s="22" t="str">
        <f>$A$45</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$A$46</f>
        <v xml:space="preserve">  - DURABILITY:2:3</v>
      </c>
      <c r="J23" s="22"/>
      <c r="K23" s="22"/>
      <c r="L23" s="22"/>
      <c r="M23" s="22" t="str">
        <f>$A$46</f>
        <v xml:space="preserve">  - DURABILITY:2:3</v>
      </c>
      <c r="N23" s="22"/>
      <c r="O23" s="22"/>
      <c r="P23" s="22"/>
      <c r="Q23" s="22" t="str">
        <f>$A$46</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$A$47</f>
        <v xml:space="preserve">  - FIRE_ASPECT:2:3</v>
      </c>
      <c r="J24" s="22"/>
      <c r="K24" s="22"/>
      <c r="L24" s="22"/>
      <c r="M24" s="22" t="str">
        <f>$A$47</f>
        <v xml:space="preserve">  - FIRE_ASPECT:2:3</v>
      </c>
      <c r="N24" s="22"/>
      <c r="O24" s="22"/>
      <c r="P24" s="22"/>
      <c r="Q24" s="22" t="str">
        <f>$A$47</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$A$48</f>
        <v xml:space="preserve">  - KNOCKBACK:2:3</v>
      </c>
      <c r="J25" s="22"/>
      <c r="K25" s="22"/>
      <c r="L25" s="22"/>
      <c r="M25" s="22" t="str">
        <f>$A$48</f>
        <v xml:space="preserve">  - KNOCKBACK:2:3</v>
      </c>
      <c r="N25" s="22"/>
      <c r="O25" s="22"/>
      <c r="P25" s="22"/>
      <c r="Q25" s="22" t="str">
        <f>$A$48</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$A$49</f>
        <v xml:space="preserve">  - LOOT_BONUS_BLOCKS:2:3</v>
      </c>
      <c r="J26" s="22"/>
      <c r="K26" s="22"/>
      <c r="L26" s="22"/>
      <c r="M26" s="22" t="str">
        <f>$A$49</f>
        <v xml:space="preserve">  - LOOT_BONUS_BLOCKS:2:3</v>
      </c>
      <c r="N26" s="22"/>
      <c r="O26" s="22"/>
      <c r="P26" s="22"/>
      <c r="Q26" s="22" t="str">
        <f>$A$49</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$A$50</f>
        <v xml:space="preserve">  - LOOT_BONUS_MOBS:2:3</v>
      </c>
      <c r="J27" s="22"/>
      <c r="K27" s="22"/>
      <c r="L27" s="22"/>
      <c r="M27" s="22" t="str">
        <f>$A$50</f>
        <v xml:space="preserve">  - LOOT_BONUS_MOBS:2:3</v>
      </c>
      <c r="N27" s="22"/>
      <c r="O27" s="22"/>
      <c r="P27" s="22"/>
      <c r="Q27" s="22" t="str">
        <f>$A$50</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$A$51</f>
        <v xml:space="preserve">  - OXYGEN:2:3</v>
      </c>
      <c r="J28" s="22"/>
      <c r="K28" s="22"/>
      <c r="L28" s="22"/>
      <c r="M28" s="22" t="str">
        <f>$A$51</f>
        <v xml:space="preserve">  - OXYGEN:2:3</v>
      </c>
      <c r="N28" s="22"/>
      <c r="O28" s="22"/>
      <c r="P28" s="22"/>
      <c r="Q28" s="22" t="str">
        <f>$A$51</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$A$52</f>
        <v xml:space="preserve">  - PROTECTION_ENVIRONMENT:2:3</v>
      </c>
      <c r="J29" s="22"/>
      <c r="K29" s="22"/>
      <c r="L29" s="22"/>
      <c r="M29" s="22" t="str">
        <f>$A$52</f>
        <v xml:space="preserve">  - PROTECTION_ENVIRONMENT:2:3</v>
      </c>
      <c r="N29" s="22"/>
      <c r="O29" s="22"/>
      <c r="P29" s="22"/>
      <c r="Q29" s="22" t="str">
        <f>$A$52</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$A$53</f>
        <v xml:space="preserve">  - PROTECTION_EXPLOSIONS:2:3</v>
      </c>
      <c r="J30" s="22"/>
      <c r="K30" s="22"/>
      <c r="L30" s="22"/>
      <c r="M30" s="22" t="str">
        <f>$A$53</f>
        <v xml:space="preserve">  - PROTECTION_EXPLOSIONS:2:3</v>
      </c>
      <c r="N30" s="22"/>
      <c r="O30" s="22"/>
      <c r="P30" s="22"/>
      <c r="Q30" s="22" t="str">
        <f>$A$53</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$A$54</f>
        <v xml:space="preserve">  - PROTECTION_FALL:2:3</v>
      </c>
      <c r="J31" s="22"/>
      <c r="K31" s="22"/>
      <c r="L31" s="22"/>
      <c r="M31" s="22" t="str">
        <f>$A$54</f>
        <v xml:space="preserve">  - PROTECTION_FALL:2:3</v>
      </c>
      <c r="N31" s="22"/>
      <c r="O31" s="22"/>
      <c r="P31" s="22"/>
      <c r="Q31" s="22" t="str">
        <f>$A$54</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$A$55</f>
        <v xml:space="preserve">  - PROTECTION_FIRE:2:3</v>
      </c>
      <c r="J32" s="22"/>
      <c r="K32" s="22"/>
      <c r="L32" s="22"/>
      <c r="M32" s="22" t="str">
        <f>$A$55</f>
        <v xml:space="preserve">  - PROTECTION_FIRE:2:3</v>
      </c>
      <c r="N32" s="22"/>
      <c r="O32" s="22"/>
      <c r="P32" s="22"/>
      <c r="Q32" s="22" t="str">
        <f>$A$55</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$A$56</f>
        <v xml:space="preserve">  - PROTECTION_PROJECTILE:2:3</v>
      </c>
      <c r="J33" s="22"/>
      <c r="K33" s="22"/>
      <c r="L33" s="22"/>
      <c r="M33" s="22" t="str">
        <f>$A$56</f>
        <v xml:space="preserve">  - PROTECTION_PROJECTILE:2:3</v>
      </c>
      <c r="N33" s="22"/>
      <c r="O33" s="22"/>
      <c r="P33" s="22"/>
      <c r="Q33" s="22" t="str">
        <f>$A$56</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$A$57</f>
        <v xml:space="preserve">  - SILK_TOUCH:2:3</v>
      </c>
      <c r="J34" s="22"/>
      <c r="K34" s="22"/>
      <c r="L34" s="22"/>
      <c r="M34" s="22" t="str">
        <f>$A$57</f>
        <v xml:space="preserve">  - SILK_TOUCH:2:3</v>
      </c>
      <c r="N34" s="22"/>
      <c r="O34" s="22"/>
      <c r="P34" s="22"/>
      <c r="Q34" s="22" t="str">
        <f>$A$57</f>
        <v xml:space="preserve">  - SILK_TOUCH:2:3</v>
      </c>
      <c r="R34" s="22"/>
      <c r="S34" s="22"/>
      <c r="T34" s="22"/>
    </row>
    <row r="35" spans="1:20" x14ac:dyDescent="0.25">
      <c r="A35" s="22" t="str">
        <f>'armas raro'!$A$35</f>
        <v xml:space="preserve">  - THORNS:2:3</v>
      </c>
      <c r="B35" s="22"/>
      <c r="C35" s="22"/>
      <c r="D35" s="22"/>
      <c r="E35" s="22" t="str">
        <f>$A$35</f>
        <v xml:space="preserve">  - THORNS:2:3</v>
      </c>
      <c r="F35" s="22"/>
      <c r="G35" s="22"/>
      <c r="H35" s="22"/>
      <c r="I35" s="22" t="str">
        <f>$A$58</f>
        <v xml:space="preserve">  - THORNS:2:3</v>
      </c>
      <c r="J35" s="22"/>
      <c r="K35" s="22"/>
      <c r="L35" s="22"/>
      <c r="M35" s="22" t="str">
        <f>$A$58</f>
        <v xml:space="preserve">  - THORNS:2:3</v>
      </c>
      <c r="N35" s="22"/>
      <c r="O35" s="22"/>
      <c r="P35" s="22"/>
      <c r="Q35" s="22" t="str">
        <f>$A$58</f>
        <v xml:space="preserve">  - THORNS:2:3</v>
      </c>
      <c r="R35" s="22"/>
      <c r="S35" s="22"/>
      <c r="T35" s="22"/>
    </row>
    <row r="36" spans="1:20" x14ac:dyDescent="0.25">
      <c r="A36" s="22" t="str">
        <f>'armas raro'!$A$36</f>
        <v xml:space="preserve">  - WATER_WORKER:2:3</v>
      </c>
      <c r="B36" s="22"/>
      <c r="C36" s="22"/>
      <c r="D36" s="22"/>
      <c r="E36" s="22" t="str">
        <f>$A$36</f>
        <v xml:space="preserve">  - WATER_WORKER:2:3</v>
      </c>
      <c r="F36" s="22"/>
      <c r="G36" s="22"/>
      <c r="H36" s="22"/>
      <c r="I36" s="22" t="str">
        <f>$A$59</f>
        <v xml:space="preserve">  - WATER_WORKER:2:3</v>
      </c>
      <c r="J36" s="22"/>
      <c r="K36" s="22"/>
      <c r="L36" s="22"/>
      <c r="M36" s="22" t="str">
        <f>$A$59</f>
        <v xml:space="preserve">  - WATER_WORKER:2:3</v>
      </c>
      <c r="N36" s="22"/>
      <c r="O36" s="22"/>
      <c r="P36" s="22"/>
      <c r="Q36" s="22" t="str">
        <f>$A$59</f>
        <v xml:space="preserve">  - WATER_WORKER:2:3</v>
      </c>
      <c r="R36" s="22"/>
      <c r="S36" s="22"/>
      <c r="T36" s="22"/>
    </row>
    <row r="37" spans="1:20" x14ac:dyDescent="0.25">
      <c r="A37" s="9" t="s">
        <v>101</v>
      </c>
      <c r="B37" s="9"/>
      <c r="C37" s="9"/>
      <c r="D37" s="9"/>
      <c r="E37" s="9" t="s">
        <v>101</v>
      </c>
      <c r="F37" s="9"/>
      <c r="G37" s="9"/>
      <c r="H37" s="9"/>
      <c r="I37" s="9" t="s">
        <v>101</v>
      </c>
      <c r="J37" s="9"/>
      <c r="K37" s="9"/>
      <c r="L37" s="9"/>
      <c r="M37" s="9" t="s">
        <v>101</v>
      </c>
      <c r="N37" s="9"/>
      <c r="O37" s="9"/>
      <c r="P37" s="9"/>
      <c r="Q37" s="9" t="s">
        <v>101</v>
      </c>
      <c r="R37" s="9"/>
      <c r="S37" s="9"/>
      <c r="T37" s="9"/>
    </row>
    <row r="38" spans="1:20" x14ac:dyDescent="0.25">
      <c r="A38" s="22" t="str">
        <f>$A$15</f>
        <v xml:space="preserve">  - ARROW_INFINITE:2:3</v>
      </c>
      <c r="B38" s="22"/>
      <c r="C38" s="22"/>
      <c r="D38" s="22"/>
      <c r="E38" s="22" t="str">
        <f>$A$38</f>
        <v xml:space="preserve">  - ARROW_INFINITE:2:3</v>
      </c>
      <c r="F38" s="22"/>
      <c r="G38" s="22"/>
      <c r="H38" s="22"/>
      <c r="I38" s="22" t="str">
        <f>$A$38</f>
        <v xml:space="preserve">  - ARROW_INFINITE:2:3</v>
      </c>
      <c r="J38" s="22"/>
      <c r="K38" s="22"/>
      <c r="L38" s="22"/>
      <c r="M38" s="22" t="str">
        <f>$A$38</f>
        <v xml:space="preserve">  - ARROW_INFINITE:2:3</v>
      </c>
      <c r="N38" s="22"/>
      <c r="O38" s="22"/>
      <c r="P38" s="22"/>
      <c r="Q38" s="22" t="str">
        <f>$A$38</f>
        <v xml:space="preserve">  - ARROW_INFINITE:2:3</v>
      </c>
      <c r="R38" s="22"/>
      <c r="S38" s="22"/>
      <c r="T38" s="22"/>
    </row>
    <row r="39" spans="1:20" x14ac:dyDescent="0.25">
      <c r="A39" s="22" t="str">
        <f>$A$16</f>
        <v xml:space="preserve">  - ARROW_DAMAGE:2:3</v>
      </c>
      <c r="B39" s="22"/>
      <c r="C39" s="22"/>
      <c r="D39" s="22"/>
      <c r="E39" s="22" t="str">
        <f>$A$39</f>
        <v xml:space="preserve">  - ARROW_DAMAGE:2:3</v>
      </c>
      <c r="F39" s="22"/>
      <c r="G39" s="22"/>
      <c r="H39" s="22"/>
      <c r="I39" s="22" t="str">
        <f>$A$39</f>
        <v xml:space="preserve">  - ARROW_DAMAGE:2:3</v>
      </c>
      <c r="J39" s="22"/>
      <c r="K39" s="22"/>
      <c r="L39" s="22"/>
      <c r="M39" s="22" t="str">
        <f>$A$39</f>
        <v xml:space="preserve">  - ARROW_DAMAGE:2:3</v>
      </c>
      <c r="N39" s="22"/>
      <c r="O39" s="22"/>
      <c r="P39" s="22"/>
      <c r="Q39" s="22" t="str">
        <f>$A$39</f>
        <v xml:space="preserve">  - ARROW_DAMAGE:2:3</v>
      </c>
      <c r="R39" s="22"/>
      <c r="S39" s="22"/>
      <c r="T39" s="22"/>
    </row>
    <row r="40" spans="1:20" x14ac:dyDescent="0.25">
      <c r="A40" s="22" t="str">
        <f>$A$17</f>
        <v xml:space="preserve">  - ARROW_FIRE:2:3</v>
      </c>
      <c r="B40" s="22"/>
      <c r="C40" s="22"/>
      <c r="D40" s="22"/>
      <c r="E40" s="22" t="str">
        <f>$A$40</f>
        <v xml:space="preserve">  - ARROW_FIRE:2:3</v>
      </c>
      <c r="F40" s="22"/>
      <c r="G40" s="22"/>
      <c r="H40" s="22"/>
      <c r="I40" s="22" t="str">
        <f>$A$40</f>
        <v xml:space="preserve">  - ARROW_FIRE:2:3</v>
      </c>
      <c r="J40" s="22"/>
      <c r="K40" s="22"/>
      <c r="L40" s="22"/>
      <c r="M40" s="22" t="str">
        <f>$A$40</f>
        <v xml:space="preserve">  - ARROW_FIRE:2:3</v>
      </c>
      <c r="N40" s="22"/>
      <c r="O40" s="22"/>
      <c r="P40" s="22"/>
      <c r="Q40" s="22" t="str">
        <f>$A$40</f>
        <v xml:space="preserve">  - ARROW_FIRE:2:3</v>
      </c>
      <c r="R40" s="22"/>
      <c r="S40" s="22"/>
      <c r="T40" s="22"/>
    </row>
    <row r="41" spans="1:20" x14ac:dyDescent="0.25">
      <c r="A41" s="22" t="str">
        <f>$A$18</f>
        <v xml:space="preserve">  - ARROW_KNOCKBACK:2:3</v>
      </c>
      <c r="B41" s="22"/>
      <c r="C41" s="22"/>
      <c r="D41" s="22"/>
      <c r="E41" s="22" t="str">
        <f>$A$41</f>
        <v xml:space="preserve">  - ARROW_KNOCKBACK:2:3</v>
      </c>
      <c r="F41" s="22"/>
      <c r="G41" s="22"/>
      <c r="H41" s="22"/>
      <c r="I41" s="22" t="str">
        <f>$A$41</f>
        <v xml:space="preserve">  - ARROW_KNOCKBACK:2:3</v>
      </c>
      <c r="J41" s="22"/>
      <c r="K41" s="22"/>
      <c r="L41" s="22"/>
      <c r="M41" s="22" t="str">
        <f>$A$41</f>
        <v xml:space="preserve">  - ARROW_KNOCKBACK:2:3</v>
      </c>
      <c r="N41" s="22"/>
      <c r="O41" s="22"/>
      <c r="P41" s="22"/>
      <c r="Q41" s="22" t="str">
        <f>$A$41</f>
        <v xml:space="preserve">  - ARROW_KNOCKBACK:2:3</v>
      </c>
      <c r="R41" s="22"/>
      <c r="S41" s="22"/>
      <c r="T41" s="22"/>
    </row>
    <row r="42" spans="1:20" x14ac:dyDescent="0.25">
      <c r="A42" s="22" t="str">
        <f>$A$19</f>
        <v xml:space="preserve">  - DAMAGE_ALL:2:3</v>
      </c>
      <c r="B42" s="22"/>
      <c r="C42" s="22"/>
      <c r="D42" s="22"/>
      <c r="E42" s="22" t="str">
        <f>$A$42</f>
        <v xml:space="preserve">  - DAMAGE_ALL:2:3</v>
      </c>
      <c r="F42" s="22"/>
      <c r="G42" s="22"/>
      <c r="H42" s="22"/>
      <c r="I42" s="22" t="str">
        <f>$A$42</f>
        <v xml:space="preserve">  - DAMAGE_ALL:2:3</v>
      </c>
      <c r="J42" s="22"/>
      <c r="K42" s="22"/>
      <c r="L42" s="22"/>
      <c r="M42" s="22" t="str">
        <f>$A$42</f>
        <v xml:space="preserve">  - DAMAGE_ALL:2:3</v>
      </c>
      <c r="N42" s="22"/>
      <c r="O42" s="22"/>
      <c r="P42" s="22"/>
      <c r="Q42" s="22" t="str">
        <f>$A$42</f>
        <v xml:space="preserve">  - DAMAGE_ALL:2:3</v>
      </c>
      <c r="R42" s="22"/>
      <c r="S42" s="22"/>
      <c r="T42" s="22"/>
    </row>
    <row r="43" spans="1:20" x14ac:dyDescent="0.25">
      <c r="A43" s="22" t="str">
        <f>$A$20</f>
        <v xml:space="preserve">  - DAMAGE_ARTHROPODS:2:3</v>
      </c>
      <c r="B43" s="22"/>
      <c r="C43" s="22"/>
      <c r="D43" s="22"/>
      <c r="E43" s="22" t="str">
        <f>$A$43</f>
        <v xml:space="preserve">  - DAMAGE_ARTHROPODS:2:3</v>
      </c>
      <c r="F43" s="22"/>
      <c r="G43" s="22"/>
      <c r="H43" s="22"/>
      <c r="I43" s="22" t="str">
        <f>$A$43</f>
        <v xml:space="preserve">  - DAMAGE_ARTHROPODS:2:3</v>
      </c>
      <c r="J43" s="22"/>
      <c r="K43" s="22"/>
      <c r="L43" s="22"/>
      <c r="M43" s="22" t="str">
        <f>$A$43</f>
        <v xml:space="preserve">  - DAMAGE_ARTHROPODS:2:3</v>
      </c>
      <c r="N43" s="22"/>
      <c r="O43" s="22"/>
      <c r="P43" s="22"/>
      <c r="Q43" s="22" t="str">
        <f>$A$43</f>
        <v xml:space="preserve">  - DAMAGE_ARTHROPODS:2:3</v>
      </c>
      <c r="R43" s="22"/>
      <c r="S43" s="22"/>
      <c r="T43" s="22"/>
    </row>
    <row r="44" spans="1:20" x14ac:dyDescent="0.25">
      <c r="A44" s="22" t="str">
        <f>$A$21</f>
        <v xml:space="preserve">  - DAMAGE_UNDEAD:2:3</v>
      </c>
      <c r="B44" s="22"/>
      <c r="C44" s="22"/>
      <c r="D44" s="22"/>
      <c r="E44" s="22" t="str">
        <f>$A$44</f>
        <v xml:space="preserve">  - DAMAGE_UNDEAD:2:3</v>
      </c>
      <c r="F44" s="22"/>
      <c r="G44" s="22"/>
      <c r="H44" s="22"/>
      <c r="I44" s="22" t="str">
        <f>$A$44</f>
        <v xml:space="preserve">  - DAMAGE_UNDEAD:2:3</v>
      </c>
      <c r="J44" s="22"/>
      <c r="K44" s="22"/>
      <c r="L44" s="22"/>
      <c r="M44" s="22" t="str">
        <f>$A$44</f>
        <v xml:space="preserve">  - DAMAGE_UNDEAD:2:3</v>
      </c>
      <c r="N44" s="22"/>
      <c r="O44" s="22"/>
      <c r="P44" s="22"/>
      <c r="Q44" s="22" t="str">
        <f>$A$44</f>
        <v xml:space="preserve">  - DAMAGE_UNDEAD:2:3</v>
      </c>
      <c r="R44" s="22"/>
      <c r="S44" s="22"/>
      <c r="T44" s="22"/>
    </row>
    <row r="45" spans="1:20" x14ac:dyDescent="0.25">
      <c r="A45" s="22" t="str">
        <f>$A$22</f>
        <v xml:space="preserve">  - DIG_SPEED:2:3</v>
      </c>
      <c r="B45" s="22"/>
      <c r="C45" s="22"/>
      <c r="D45" s="22"/>
      <c r="E45" s="22" t="str">
        <f>$A$45</f>
        <v xml:space="preserve">  - DIG_SPEED:2:3</v>
      </c>
      <c r="F45" s="22"/>
      <c r="G45" s="22"/>
      <c r="H45" s="22"/>
      <c r="I45" s="22" t="str">
        <f>$A$45</f>
        <v xml:space="preserve">  - DIG_SPEED:2:3</v>
      </c>
      <c r="J45" s="22"/>
      <c r="K45" s="22"/>
      <c r="L45" s="22"/>
      <c r="M45" s="22" t="str">
        <f>$A$45</f>
        <v xml:space="preserve">  - DIG_SPEED:2:3</v>
      </c>
      <c r="N45" s="22"/>
      <c r="O45" s="22"/>
      <c r="P45" s="22"/>
      <c r="Q45" s="22" t="str">
        <f>$A$45</f>
        <v xml:space="preserve">  - DIG_SPEED:2:3</v>
      </c>
      <c r="R45" s="22"/>
      <c r="S45" s="22"/>
      <c r="T45" s="22"/>
    </row>
    <row r="46" spans="1:20" x14ac:dyDescent="0.25">
      <c r="A46" s="22" t="str">
        <f>$A$23</f>
        <v xml:space="preserve">  - DURABILITY:2:3</v>
      </c>
      <c r="B46" s="22"/>
      <c r="C46" s="22"/>
      <c r="D46" s="22"/>
      <c r="E46" s="22" t="str">
        <f>$A$46</f>
        <v xml:space="preserve">  - DURABILITY:2:3</v>
      </c>
      <c r="F46" s="22"/>
      <c r="G46" s="22"/>
      <c r="H46" s="22"/>
      <c r="I46" s="22" t="str">
        <f>$A$46</f>
        <v xml:space="preserve">  - DURABILITY:2:3</v>
      </c>
      <c r="J46" s="22"/>
      <c r="K46" s="22"/>
      <c r="L46" s="22"/>
      <c r="M46" s="22" t="str">
        <f>$A$46</f>
        <v xml:space="preserve">  - DURABILITY:2:3</v>
      </c>
      <c r="N46" s="22"/>
      <c r="O46" s="22"/>
      <c r="P46" s="22"/>
      <c r="Q46" s="22" t="str">
        <f>$A$46</f>
        <v xml:space="preserve">  - DURABILITY:2:3</v>
      </c>
      <c r="R46" s="22"/>
      <c r="S46" s="22"/>
      <c r="T46" s="22"/>
    </row>
    <row r="47" spans="1:20" x14ac:dyDescent="0.25">
      <c r="A47" s="22" t="str">
        <f>$A$24</f>
        <v xml:space="preserve">  - FIRE_ASPECT:2:3</v>
      </c>
      <c r="B47" s="22"/>
      <c r="C47" s="22"/>
      <c r="D47" s="22"/>
      <c r="E47" s="22" t="str">
        <f>$A$47</f>
        <v xml:space="preserve">  - FIRE_ASPECT:2:3</v>
      </c>
      <c r="F47" s="22"/>
      <c r="G47" s="22"/>
      <c r="H47" s="22"/>
      <c r="I47" s="22" t="str">
        <f>$A$47</f>
        <v xml:space="preserve">  - FIRE_ASPECT:2:3</v>
      </c>
      <c r="J47" s="22"/>
      <c r="K47" s="22"/>
      <c r="L47" s="22"/>
      <c r="M47" s="22" t="str">
        <f>$A$47</f>
        <v xml:space="preserve">  - FIRE_ASPECT:2:3</v>
      </c>
      <c r="N47" s="22"/>
      <c r="O47" s="22"/>
      <c r="P47" s="22"/>
      <c r="Q47" s="22" t="str">
        <f>$A$47</f>
        <v xml:space="preserve">  - FIRE_ASPECT:2:3</v>
      </c>
      <c r="R47" s="22"/>
      <c r="S47" s="22"/>
      <c r="T47" s="22"/>
    </row>
    <row r="48" spans="1:20" x14ac:dyDescent="0.25">
      <c r="A48" s="22" t="str">
        <f>$A$25</f>
        <v xml:space="preserve">  - KNOCKBACK:2:3</v>
      </c>
      <c r="B48" s="22"/>
      <c r="C48" s="22"/>
      <c r="D48" s="22"/>
      <c r="E48" s="22" t="str">
        <f>$A$48</f>
        <v xml:space="preserve">  - KNOCKBACK:2:3</v>
      </c>
      <c r="F48" s="22"/>
      <c r="G48" s="22"/>
      <c r="H48" s="22"/>
      <c r="I48" s="22" t="str">
        <f>$A$48</f>
        <v xml:space="preserve">  - KNOCKBACK:2:3</v>
      </c>
      <c r="J48" s="22"/>
      <c r="K48" s="22"/>
      <c r="L48" s="22"/>
      <c r="M48" s="22" t="str">
        <f>$A$48</f>
        <v xml:space="preserve">  - KNOCKBACK:2:3</v>
      </c>
      <c r="N48" s="22"/>
      <c r="O48" s="22"/>
      <c r="P48" s="22"/>
      <c r="Q48" s="22" t="str">
        <f>$A$48</f>
        <v xml:space="preserve">  - KNOCKBACK:2:3</v>
      </c>
      <c r="R48" s="22"/>
      <c r="S48" s="22"/>
      <c r="T48" s="22"/>
    </row>
    <row r="49" spans="1:20" x14ac:dyDescent="0.25">
      <c r="A49" s="22" t="str">
        <f>$A$26</f>
        <v xml:space="preserve">  - LOOT_BONUS_BLOCKS:2:3</v>
      </c>
      <c r="B49" s="22"/>
      <c r="C49" s="22"/>
      <c r="D49" s="22"/>
      <c r="E49" s="22" t="str">
        <f>$A$49</f>
        <v xml:space="preserve">  - LOOT_BONUS_BLOCKS:2:3</v>
      </c>
      <c r="F49" s="22"/>
      <c r="G49" s="22"/>
      <c r="H49" s="22"/>
      <c r="I49" s="22" t="str">
        <f>$A$49</f>
        <v xml:space="preserve">  - LOOT_BONUS_BLOCKS:2:3</v>
      </c>
      <c r="J49" s="22"/>
      <c r="K49" s="22"/>
      <c r="L49" s="22"/>
      <c r="M49" s="22" t="str">
        <f>$A$49</f>
        <v xml:space="preserve">  - LOOT_BONUS_BLOCKS:2:3</v>
      </c>
      <c r="N49" s="22"/>
      <c r="O49" s="22"/>
      <c r="P49" s="22"/>
      <c r="Q49" s="22" t="str">
        <f>$A$49</f>
        <v xml:space="preserve">  - LOOT_BONUS_BLOCKS:2:3</v>
      </c>
      <c r="R49" s="22"/>
      <c r="S49" s="22"/>
      <c r="T49" s="22"/>
    </row>
    <row r="50" spans="1:20" x14ac:dyDescent="0.25">
      <c r="A50" s="22" t="str">
        <f>$A$27</f>
        <v xml:space="preserve">  - LOOT_BONUS_MOBS:2:3</v>
      </c>
      <c r="B50" s="22"/>
      <c r="C50" s="22"/>
      <c r="D50" s="22"/>
      <c r="E50" s="22" t="str">
        <f>$A$50</f>
        <v xml:space="preserve">  - LOOT_BONUS_MOBS:2:3</v>
      </c>
      <c r="F50" s="22"/>
      <c r="G50" s="22"/>
      <c r="H50" s="22"/>
      <c r="I50" s="22" t="str">
        <f>$A$50</f>
        <v xml:space="preserve">  - LOOT_BONUS_MOBS:2:3</v>
      </c>
      <c r="J50" s="22"/>
      <c r="K50" s="22"/>
      <c r="L50" s="22"/>
      <c r="M50" s="22" t="str">
        <f>$A$50</f>
        <v xml:space="preserve">  - LOOT_BONUS_MOBS:2:3</v>
      </c>
      <c r="N50" s="22"/>
      <c r="O50" s="22"/>
      <c r="P50" s="22"/>
      <c r="Q50" s="22" t="str">
        <f>$A$50</f>
        <v xml:space="preserve">  - LOOT_BONUS_MOBS:2:3</v>
      </c>
      <c r="R50" s="22"/>
      <c r="S50" s="22"/>
      <c r="T50" s="22"/>
    </row>
    <row r="51" spans="1:20" x14ac:dyDescent="0.25">
      <c r="A51" s="22" t="str">
        <f>$A$28</f>
        <v xml:space="preserve">  - OXYGEN:2:3</v>
      </c>
      <c r="B51" s="22"/>
      <c r="C51" s="22"/>
      <c r="D51" s="22"/>
      <c r="E51" s="22" t="str">
        <f>$A$51</f>
        <v xml:space="preserve">  - OXYGEN:2:3</v>
      </c>
      <c r="F51" s="22"/>
      <c r="G51" s="22"/>
      <c r="H51" s="22"/>
      <c r="I51" s="22" t="str">
        <f>$A$51</f>
        <v xml:space="preserve">  - OXYGEN:2:3</v>
      </c>
      <c r="J51" s="22"/>
      <c r="K51" s="22"/>
      <c r="L51" s="22"/>
      <c r="M51" s="22" t="str">
        <f>$A$51</f>
        <v xml:space="preserve">  - OXYGEN:2:3</v>
      </c>
      <c r="N51" s="22"/>
      <c r="O51" s="22"/>
      <c r="P51" s="22"/>
      <c r="Q51" s="22" t="str">
        <f>$A$51</f>
        <v xml:space="preserve">  - OXYGEN:2:3</v>
      </c>
      <c r="R51" s="22"/>
      <c r="S51" s="22"/>
      <c r="T51" s="22"/>
    </row>
    <row r="52" spans="1:20" x14ac:dyDescent="0.25">
      <c r="A52" s="22" t="str">
        <f>$A$29</f>
        <v xml:space="preserve">  - PROTECTION_ENVIRONMENT:2:3</v>
      </c>
      <c r="B52" s="22"/>
      <c r="C52" s="22"/>
      <c r="D52" s="22"/>
      <c r="E52" s="22" t="str">
        <f>$A$52</f>
        <v xml:space="preserve">  - PROTECTION_ENVIRONMENT:2:3</v>
      </c>
      <c r="F52" s="22"/>
      <c r="G52" s="22"/>
      <c r="H52" s="22"/>
      <c r="I52" s="22" t="str">
        <f>$A$52</f>
        <v xml:space="preserve">  - PROTECTION_ENVIRONMENT:2:3</v>
      </c>
      <c r="J52" s="22"/>
      <c r="K52" s="22"/>
      <c r="L52" s="22"/>
      <c r="M52" s="22" t="str">
        <f>$A$52</f>
        <v xml:space="preserve">  - PROTECTION_ENVIRONMENT:2:3</v>
      </c>
      <c r="N52" s="22"/>
      <c r="O52" s="22"/>
      <c r="P52" s="22"/>
      <c r="Q52" s="22" t="str">
        <f>$A$52</f>
        <v xml:space="preserve">  - PROTECTION_ENVIRONMENT:2:3</v>
      </c>
      <c r="R52" s="22"/>
      <c r="S52" s="22"/>
      <c r="T52" s="22"/>
    </row>
    <row r="53" spans="1:20" x14ac:dyDescent="0.25">
      <c r="A53" s="22" t="str">
        <f>$A$30</f>
        <v xml:space="preserve">  - PROTECTION_EXPLOSIONS:2:3</v>
      </c>
      <c r="B53" s="22"/>
      <c r="C53" s="22"/>
      <c r="D53" s="22"/>
      <c r="E53" s="22" t="str">
        <f>$A$53</f>
        <v xml:space="preserve">  - PROTECTION_EXPLOSIONS:2:3</v>
      </c>
      <c r="F53" s="22"/>
      <c r="G53" s="22"/>
      <c r="H53" s="22"/>
      <c r="I53" s="22" t="str">
        <f>$A$53</f>
        <v xml:space="preserve">  - PROTECTION_EXPLOSIONS:2:3</v>
      </c>
      <c r="J53" s="22"/>
      <c r="K53" s="22"/>
      <c r="L53" s="22"/>
      <c r="M53" s="22" t="str">
        <f>$A$53</f>
        <v xml:space="preserve">  - PROTECTION_EXPLOSIONS:2:3</v>
      </c>
      <c r="N53" s="22"/>
      <c r="O53" s="22"/>
      <c r="P53" s="22"/>
      <c r="Q53" s="22" t="str">
        <f>$A$53</f>
        <v xml:space="preserve">  - PROTECTION_EXPLOSIONS:2:3</v>
      </c>
      <c r="R53" s="22"/>
      <c r="S53" s="22"/>
      <c r="T53" s="22"/>
    </row>
    <row r="54" spans="1:20" x14ac:dyDescent="0.25">
      <c r="A54" s="22" t="str">
        <f>$A$31</f>
        <v xml:space="preserve">  - PROTECTION_FALL:2:3</v>
      </c>
      <c r="B54" s="22"/>
      <c r="C54" s="22"/>
      <c r="D54" s="22"/>
      <c r="E54" s="22" t="str">
        <f>$A$54</f>
        <v xml:space="preserve">  - PROTECTION_FALL:2:3</v>
      </c>
      <c r="F54" s="22"/>
      <c r="G54" s="22"/>
      <c r="H54" s="22"/>
      <c r="I54" s="22" t="str">
        <f>$A$54</f>
        <v xml:space="preserve">  - PROTECTION_FALL:2:3</v>
      </c>
      <c r="J54" s="22"/>
      <c r="K54" s="22"/>
      <c r="L54" s="22"/>
      <c r="M54" s="22" t="str">
        <f>$A$54</f>
        <v xml:space="preserve">  - PROTECTION_FALL:2:3</v>
      </c>
      <c r="N54" s="22"/>
      <c r="O54" s="22"/>
      <c r="P54" s="22"/>
      <c r="Q54" s="22" t="str">
        <f>$A$54</f>
        <v xml:space="preserve">  - PROTECTION_FALL:2:3</v>
      </c>
      <c r="R54" s="22"/>
      <c r="S54" s="22"/>
      <c r="T54" s="22"/>
    </row>
    <row r="55" spans="1:20" x14ac:dyDescent="0.25">
      <c r="A55" s="22" t="str">
        <f>$A$32</f>
        <v xml:space="preserve">  - PROTECTION_FIRE:2:3</v>
      </c>
      <c r="B55" s="22"/>
      <c r="C55" s="22"/>
      <c r="D55" s="22"/>
      <c r="E55" s="22" t="str">
        <f>$A$55</f>
        <v xml:space="preserve">  - PROTECTION_FIRE:2:3</v>
      </c>
      <c r="F55" s="22"/>
      <c r="G55" s="22"/>
      <c r="H55" s="22"/>
      <c r="I55" s="22" t="str">
        <f>$A$55</f>
        <v xml:space="preserve">  - PROTECTION_FIRE:2:3</v>
      </c>
      <c r="J55" s="22"/>
      <c r="K55" s="22"/>
      <c r="L55" s="22"/>
      <c r="M55" s="22" t="str">
        <f>$A$55</f>
        <v xml:space="preserve">  - PROTECTION_FIRE:2:3</v>
      </c>
      <c r="N55" s="22"/>
      <c r="O55" s="22"/>
      <c r="P55" s="22"/>
      <c r="Q55" s="22" t="str">
        <f>$A$55</f>
        <v xml:space="preserve">  - PROTECTION_FIRE:2:3</v>
      </c>
      <c r="R55" s="22"/>
      <c r="S55" s="22"/>
      <c r="T55" s="22"/>
    </row>
    <row r="56" spans="1:20" x14ac:dyDescent="0.25">
      <c r="A56" s="22" t="str">
        <f>$A$33</f>
        <v xml:space="preserve">  - PROTECTION_PROJECTILE:2:3</v>
      </c>
      <c r="B56" s="22"/>
      <c r="C56" s="22"/>
      <c r="D56" s="22"/>
      <c r="E56" s="22" t="str">
        <f>$A$56</f>
        <v xml:space="preserve">  - PROTECTION_PROJECTILE:2:3</v>
      </c>
      <c r="F56" s="22"/>
      <c r="G56" s="22"/>
      <c r="H56" s="22"/>
      <c r="I56" s="22" t="str">
        <f>$A$56</f>
        <v xml:space="preserve">  - PROTECTION_PROJECTILE:2:3</v>
      </c>
      <c r="J56" s="22"/>
      <c r="K56" s="22"/>
      <c r="L56" s="22"/>
      <c r="M56" s="22" t="str">
        <f>$A$56</f>
        <v xml:space="preserve">  - PROTECTION_PROJECTILE:2:3</v>
      </c>
      <c r="N56" s="22"/>
      <c r="O56" s="22"/>
      <c r="P56" s="22"/>
      <c r="Q56" s="22" t="str">
        <f>$A$56</f>
        <v xml:space="preserve">  - PROTECTION_PROJECTILE:2:3</v>
      </c>
      <c r="R56" s="22"/>
      <c r="S56" s="22"/>
      <c r="T56" s="22"/>
    </row>
    <row r="57" spans="1:20" x14ac:dyDescent="0.25">
      <c r="A57" s="22" t="str">
        <f>$A$34</f>
        <v xml:space="preserve">  - SILK_TOUCH:2:3</v>
      </c>
      <c r="B57" s="22"/>
      <c r="C57" s="22"/>
      <c r="D57" s="22"/>
      <c r="E57" s="22" t="str">
        <f>$A$57</f>
        <v xml:space="preserve">  - SILK_TOUCH:2:3</v>
      </c>
      <c r="F57" s="22"/>
      <c r="G57" s="22"/>
      <c r="H57" s="22"/>
      <c r="I57" s="22" t="str">
        <f>$A$57</f>
        <v xml:space="preserve">  - SILK_TOUCH:2:3</v>
      </c>
      <c r="J57" s="22"/>
      <c r="K57" s="22"/>
      <c r="L57" s="22"/>
      <c r="M57" s="22" t="str">
        <f>$A$57</f>
        <v xml:space="preserve">  - SILK_TOUCH:2:3</v>
      </c>
      <c r="N57" s="22"/>
      <c r="O57" s="22"/>
      <c r="P57" s="22"/>
      <c r="Q57" s="22" t="str">
        <f>$A$57</f>
        <v xml:space="preserve">  - SILK_TOUCH:2:3</v>
      </c>
      <c r="R57" s="22"/>
      <c r="S57" s="22"/>
      <c r="T57" s="22"/>
    </row>
    <row r="58" spans="1:20" x14ac:dyDescent="0.25">
      <c r="A58" s="22" t="str">
        <f>$A$35</f>
        <v xml:space="preserve">  - THORNS:2:3</v>
      </c>
      <c r="B58" s="22"/>
      <c r="C58" s="22"/>
      <c r="D58" s="22"/>
      <c r="E58" s="22" t="str">
        <f>$A$58</f>
        <v xml:space="preserve">  - THORNS:2:3</v>
      </c>
      <c r="F58" s="22"/>
      <c r="G58" s="22"/>
      <c r="H58" s="22"/>
      <c r="I58" s="22" t="str">
        <f>$A$58</f>
        <v xml:space="preserve">  - THORNS:2:3</v>
      </c>
      <c r="J58" s="22"/>
      <c r="K58" s="22"/>
      <c r="L58" s="22"/>
      <c r="M58" s="22" t="str">
        <f>$A$58</f>
        <v xml:space="preserve">  - THORNS:2:3</v>
      </c>
      <c r="N58" s="22"/>
      <c r="O58" s="22"/>
      <c r="P58" s="22"/>
      <c r="Q58" s="22" t="str">
        <f>$A$58</f>
        <v xml:space="preserve">  - THORNS:2:3</v>
      </c>
      <c r="R58" s="22"/>
      <c r="S58" s="22"/>
      <c r="T58" s="22"/>
    </row>
    <row r="59" spans="1:20" x14ac:dyDescent="0.25">
      <c r="A59" s="22" t="str">
        <f>$A$36</f>
        <v xml:space="preserve">  - WATER_WORKER:2:3</v>
      </c>
      <c r="B59" s="22"/>
      <c r="C59" s="22"/>
      <c r="D59" s="22"/>
      <c r="E59" s="22" t="str">
        <f>$A$59</f>
        <v xml:space="preserve">  - WATER_WORKER:2:3</v>
      </c>
      <c r="F59" s="22"/>
      <c r="G59" s="22"/>
      <c r="H59" s="22"/>
      <c r="I59" s="22" t="str">
        <f>$A$59</f>
        <v xml:space="preserve">  - WATER_WORKER:2:3</v>
      </c>
      <c r="J59" s="22"/>
      <c r="K59" s="22"/>
      <c r="L59" s="22"/>
      <c r="M59" s="22" t="str">
        <f>$A$59</f>
        <v xml:space="preserve">  - WATER_WORKER:2:3</v>
      </c>
      <c r="N59" s="22"/>
      <c r="O59" s="22"/>
      <c r="P59" s="22"/>
      <c r="Q59" s="22" t="str">
        <f>$A$59</f>
        <v xml:space="preserve">  - WATER_WORKER:2:3</v>
      </c>
      <c r="R59" s="22"/>
      <c r="S59" s="22"/>
      <c r="T59" s="22"/>
    </row>
    <row r="60" spans="1:20" x14ac:dyDescent="0.25">
      <c r="A60" s="9" t="s">
        <v>28</v>
      </c>
      <c r="B60" s="9"/>
      <c r="C60" s="9"/>
      <c r="D60" s="9"/>
      <c r="E60" s="9" t="s">
        <v>28</v>
      </c>
      <c r="F60" s="9"/>
      <c r="G60" s="9"/>
      <c r="H60" s="9"/>
      <c r="I60" s="9" t="s">
        <v>28</v>
      </c>
      <c r="J60" s="9"/>
      <c r="K60" s="9"/>
      <c r="L60" s="9"/>
      <c r="M60" s="9" t="s">
        <v>28</v>
      </c>
      <c r="N60" s="9"/>
      <c r="O60" s="9"/>
      <c r="P60" s="9"/>
      <c r="Q60" s="9" t="s">
        <v>28</v>
      </c>
      <c r="R60" s="9"/>
      <c r="S60" s="9"/>
      <c r="T60" s="9"/>
    </row>
    <row r="61" spans="1:20" x14ac:dyDescent="0.25">
      <c r="A61" s="11" t="str">
        <f>'armas raro'!$A$61</f>
        <v xml:space="preserve">  minimumBonusLore: 1</v>
      </c>
      <c r="B61" s="11"/>
      <c r="C61" s="11"/>
      <c r="D61" s="11"/>
      <c r="E61" s="11" t="str">
        <f>$A$61</f>
        <v xml:space="preserve">  minimumBonusLore: 1</v>
      </c>
      <c r="F61" s="11"/>
      <c r="G61" s="11"/>
      <c r="H61" s="11"/>
      <c r="I61" s="11" t="str">
        <f t="shared" ref="I61" si="12">$A$61</f>
        <v xml:space="preserve">  minimumBonusLore: 1</v>
      </c>
      <c r="J61" s="11"/>
      <c r="K61" s="11"/>
      <c r="L61" s="11"/>
      <c r="M61" s="11" t="str">
        <f t="shared" ref="M61" si="13">$A$61</f>
        <v xml:space="preserve">  minimumBonusLore: 1</v>
      </c>
      <c r="N61" s="11"/>
      <c r="O61" s="11"/>
      <c r="P61" s="11"/>
      <c r="Q61" s="11" t="str">
        <f t="shared" ref="Q61" si="14">$A$61</f>
        <v xml:space="preserve">  minimumBonusLore: 1</v>
      </c>
      <c r="R61" s="11"/>
      <c r="S61" s="11"/>
      <c r="T61" s="11"/>
    </row>
    <row r="62" spans="1:20" x14ac:dyDescent="0.25">
      <c r="A62" s="11" t="str">
        <f>'armas raro'!$A$62</f>
        <v xml:space="preserve">  maximumBonusLore: 2</v>
      </c>
      <c r="B62" s="11"/>
      <c r="C62" s="11"/>
      <c r="D62" s="11"/>
      <c r="E62" s="11" t="str">
        <f>$A$62</f>
        <v xml:space="preserve">  maximumBonusLore: 2</v>
      </c>
      <c r="F62" s="11"/>
      <c r="G62" s="11"/>
      <c r="H62" s="11"/>
      <c r="I62" s="11" t="str">
        <f t="shared" ref="I62" si="15">$A$62</f>
        <v xml:space="preserve">  maximumBonusLore: 2</v>
      </c>
      <c r="J62" s="11"/>
      <c r="K62" s="11"/>
      <c r="L62" s="11"/>
      <c r="M62" s="11" t="str">
        <f t="shared" ref="M62" si="16">$A$62</f>
        <v xml:space="preserve">  maximumBonusLore: 2</v>
      </c>
      <c r="N62" s="11"/>
      <c r="O62" s="11"/>
      <c r="P62" s="11"/>
      <c r="Q62" s="11" t="str">
        <f t="shared" ref="Q62" si="17">$A$62</f>
        <v xml:space="preserve">  maximumBonusLore: 2</v>
      </c>
      <c r="R62" s="11"/>
      <c r="S62" s="11"/>
      <c r="T62" s="11"/>
    </row>
    <row r="63" spans="1:20" x14ac:dyDescent="0.25">
      <c r="A63" s="9" t="s">
        <v>29</v>
      </c>
      <c r="B63" s="9"/>
      <c r="C63" s="9"/>
      <c r="D63" s="9"/>
      <c r="E63" s="9" t="s">
        <v>29</v>
      </c>
      <c r="F63" s="9"/>
      <c r="G63" s="9"/>
      <c r="H63" s="9"/>
      <c r="I63" s="9" t="s">
        <v>29</v>
      </c>
      <c r="J63" s="9"/>
      <c r="K63" s="9"/>
      <c r="L63" s="9"/>
      <c r="M63" s="9" t="s">
        <v>29</v>
      </c>
      <c r="N63" s="9"/>
      <c r="O63" s="9"/>
      <c r="P63" s="9"/>
      <c r="Q63" s="9" t="s">
        <v>29</v>
      </c>
      <c r="R63" s="9"/>
      <c r="S63" s="9"/>
      <c r="T63" s="9"/>
    </row>
    <row r="64" spans="1:20" x14ac:dyDescent="0.25">
      <c r="A64" s="20" t="str">
        <f>"  - '&amp;aVenta: &amp;6"&amp;(MAIN!$F$5+(MAIN!$E$18+MAIN!$E$19)/2*MAIN!$B$9+(MAIN!$E$20+MAIN!$E$21)/2*MAIN!$B$8+(MAIN!$E$91*MAIN!$B$11)+($C$2*MAIN!$B$10))/10&amp;" &amp;aAlmakos'"</f>
        <v xml:space="preserve">  - '&amp;aVenta: &amp;6460 &amp;aAlmakos'</v>
      </c>
      <c r="B64" s="20"/>
      <c r="C64" s="20"/>
      <c r="D64" s="20"/>
      <c r="E64" s="20" t="str">
        <f>"  - '&amp;aVenta: &amp;6"&amp;(MAIN!$G$5+(MAIN!$E$18+MAIN!$E$19)/2*MAIN!$B$9+(MAIN!$E$20+MAIN!$E$21)/2*MAIN!$B$8+(MAIN!$E$91*MAIN!$B$11)+($C$2*MAIN!$B$10))/10&amp;" &amp;aAlmakos'"</f>
        <v xml:space="preserve">  - '&amp;aVenta: &amp;6540 &amp;aAlmakos'</v>
      </c>
      <c r="F64" s="20"/>
      <c r="G64" s="20"/>
      <c r="H64" s="20"/>
      <c r="I64" s="20" t="str">
        <f>"  - '&amp;aVenta: &amp;6"&amp;(MAIN!$H$5+(MAIN!$E$18+MAIN!$E$19)/2*MAIN!$B$9+(MAIN!$E$20+MAIN!$E$21)/2*MAIN!$B$8+(MAIN!$E$91*MAIN!$B$11)+($C$2*MAIN!$B$10))/10&amp;" &amp;aAlmakos'"</f>
        <v xml:space="preserve">  - '&amp;aVenta: &amp;6700 &amp;aAlmakos'</v>
      </c>
      <c r="J64" s="20"/>
      <c r="K64" s="20"/>
      <c r="L64" s="20"/>
      <c r="M64" s="20" t="str">
        <f>"  - '&amp;aVenta: &amp;6"&amp;(MAIN!$I$5+(MAIN!$E$18+MAIN!$E$19)/2*MAIN!$B$9+(MAIN!$E$20+MAIN!$E$21)/2*MAIN!$B$8+(MAIN!$E$91*MAIN!$B$11)+($C$2*MAIN!$B$10))/10&amp;" &amp;aAlmakos'"</f>
        <v xml:space="preserve">  - '&amp;aVenta: &amp;61020 &amp;aAlmakos'</v>
      </c>
      <c r="N64" s="20"/>
      <c r="O64" s="20"/>
      <c r="P64" s="20"/>
      <c r="Q64" s="20" t="str">
        <f>"  - '&amp;aVenta: &amp;6"&amp;(MAIN!$J$5+(MAIN!$E$18+MAIN!$E$19)/2*MAIN!$B$9+(MAIN!$E$20+MAIN!$E$21)/2*MAIN!$B$8+(MAIN!$E$91*MAIN!$B$11)+($C$2*MAIN!$B$10))/10&amp;" &amp;aAlmakos'"</f>
        <v xml:space="preserve">  - '&amp;aVenta: &amp;61660 &amp;aAlmakos'</v>
      </c>
      <c r="R64" s="20"/>
      <c r="S64" s="20"/>
      <c r="T64" s="20"/>
    </row>
    <row r="65" spans="1:20" x14ac:dyDescent="0.25">
      <c r="A65" s="9" t="s">
        <v>30</v>
      </c>
      <c r="B65" s="9"/>
      <c r="C65" s="9"/>
      <c r="D65" s="9"/>
      <c r="E65" s="9" t="s">
        <v>30</v>
      </c>
      <c r="F65" s="9"/>
      <c r="G65" s="9"/>
      <c r="H65" s="9"/>
      <c r="I65" s="9" t="s">
        <v>30</v>
      </c>
      <c r="J65" s="9"/>
      <c r="K65" s="9"/>
      <c r="L65" s="9"/>
      <c r="M65" s="9" t="s">
        <v>30</v>
      </c>
      <c r="N65" s="9"/>
      <c r="O65" s="9"/>
      <c r="P65" s="9"/>
      <c r="Q65" s="9" t="s">
        <v>30</v>
      </c>
      <c r="R65" s="9"/>
      <c r="S65" s="9"/>
      <c r="T65" s="9"/>
    </row>
    <row r="66" spans="1:20" x14ac:dyDescent="0.25">
      <c r="A66" s="9" t="s">
        <v>31</v>
      </c>
      <c r="B66" s="9"/>
      <c r="C66" s="9"/>
      <c r="D66" s="9"/>
      <c r="E66" s="9" t="s">
        <v>31</v>
      </c>
      <c r="F66" s="9"/>
      <c r="G66" s="9"/>
      <c r="H66" s="9"/>
      <c r="I66" s="9" t="s">
        <v>31</v>
      </c>
      <c r="J66" s="9"/>
      <c r="K66" s="9"/>
      <c r="L66" s="9"/>
      <c r="M66" s="9" t="s">
        <v>31</v>
      </c>
      <c r="N66" s="9"/>
      <c r="O66" s="9"/>
      <c r="P66" s="9"/>
      <c r="Q66" s="9" t="s">
        <v>31</v>
      </c>
      <c r="R66" s="9"/>
      <c r="S66" s="9"/>
      <c r="T66" s="9"/>
    </row>
    <row r="67" spans="1:20" s="262" customFormat="1" x14ac:dyDescent="0.25">
      <c r="A67" s="9" t="s">
        <v>1032</v>
      </c>
      <c r="B67" s="9"/>
      <c r="C67" s="9"/>
      <c r="D67" s="9"/>
      <c r="E67" s="9" t="s">
        <v>1032</v>
      </c>
      <c r="F67" s="9"/>
      <c r="G67" s="9"/>
      <c r="H67" s="9"/>
      <c r="I67" s="9" t="s">
        <v>1032</v>
      </c>
      <c r="J67" s="9"/>
      <c r="K67" s="9"/>
      <c r="L67" s="9"/>
      <c r="M67" s="9" t="s">
        <v>1032</v>
      </c>
      <c r="N67" s="9"/>
      <c r="O67" s="9"/>
      <c r="P67" s="9"/>
      <c r="Q67" s="9" t="s">
        <v>1032</v>
      </c>
      <c r="R67" s="9"/>
      <c r="S67" s="9"/>
      <c r="T67" s="9"/>
    </row>
    <row r="68" spans="1:20" x14ac:dyDescent="0.25">
      <c r="A68" s="10" t="str">
        <f>"  - '&amp;7• &amp;8Nivel: &amp;a"&amp;MAIN!$C$93+($C$2*MAIN!$I$27)&amp;"'"</f>
        <v xml:space="preserve">  - '&amp;7• &amp;8Nivel: &amp;a32'</v>
      </c>
      <c r="B68" s="10"/>
      <c r="C68" s="10"/>
      <c r="D68" s="10"/>
      <c r="E68" s="10" t="str">
        <f>"  - '&amp;7• &amp;8Nivel: &amp;a"&amp;MAIN!$D$93+($C$2*MAIN!$I$27)&amp;"'"</f>
        <v xml:space="preserve">  - '&amp;7• &amp;8Nivel: &amp;a46'</v>
      </c>
      <c r="F68" s="10"/>
      <c r="G68" s="10"/>
      <c r="H68" s="10"/>
      <c r="I68" s="10" t="str">
        <f>"  - '&amp;7• &amp;8Nivel: &amp;a"&amp;MAIN!$E$93+($C$2*MAIN!$I$27)&amp;"'"</f>
        <v xml:space="preserve">  - '&amp;7• &amp;8Nivel: &amp;a89'</v>
      </c>
      <c r="J68" s="10"/>
      <c r="K68" s="10"/>
      <c r="L68" s="10"/>
      <c r="M68" s="10" t="str">
        <f>"  - '&amp;7• &amp;8Nivel: &amp;a"&amp;MAIN!$F$93+($C$2*MAIN!$I$27)&amp;"'"</f>
        <v xml:space="preserve">  - '&amp;7• &amp;8Nivel: &amp;a217'</v>
      </c>
      <c r="N68" s="10"/>
      <c r="O68" s="10"/>
      <c r="P68" s="10"/>
      <c r="Q68" s="10" t="str">
        <f>"  - '&amp;7• &amp;8Nivel: &amp;a"&amp;MAIN!$G$93+($C$2*MAIN!$I$27)&amp;"'"</f>
        <v xml:space="preserve">  - '&amp;7• &amp;8Nivel: &amp;a409'</v>
      </c>
      <c r="R68" s="10"/>
      <c r="S68" s="10"/>
      <c r="T68" s="10"/>
    </row>
    <row r="69" spans="1:20" x14ac:dyDescent="0.25">
      <c r="A69" s="12" t="str">
        <f>"  - '&amp;7• &amp;8"&amp;MAIN!$C$12&amp;" lvl: &amp;a"&amp;ROUNDUP((MAIN!$C$93+($C$2*MAIN!$I$27))/3,0)&amp;"'"</f>
        <v xml:space="preserve">  - '&amp;7• &amp;8Esencia lvl: &amp;a11'</v>
      </c>
      <c r="B69" s="12"/>
      <c r="C69" s="12"/>
      <c r="D69" s="12"/>
      <c r="E69" s="12" t="str">
        <f>"  - '&amp;7• &amp;8"&amp;MAIN!$C$12&amp;" lvl: &amp;a"&amp;ROUNDUP((MAIN!$D$93+($C$2*MAIN!$I$27))/3,0)&amp;"'"</f>
        <v xml:space="preserve">  - '&amp;7• &amp;8Esencia lvl: &amp;a16'</v>
      </c>
      <c r="F69" s="12"/>
      <c r="G69" s="12"/>
      <c r="H69" s="12"/>
      <c r="I69" s="12" t="str">
        <f>"  - '&amp;7• &amp;8"&amp;MAIN!$C$12&amp;" lvl: &amp;a"&amp;ROUNDUP((MAIN!$E$93+($C$2*MAIN!$I$27))/3,0)&amp;"'"</f>
        <v xml:space="preserve">  - '&amp;7• &amp;8Esencia lvl: &amp;a30'</v>
      </c>
      <c r="J69" s="12"/>
      <c r="K69" s="12"/>
      <c r="L69" s="12"/>
      <c r="M69" s="12" t="str">
        <f>"  - '&amp;7• &amp;8"&amp;MAIN!$C$12&amp;" lvl: &amp;a"&amp;ROUNDUP((MAIN!$F$93+($C$2*MAIN!$I$27))/3,0)&amp;"'"</f>
        <v xml:space="preserve">  - '&amp;7• &amp;8Esencia lvl: &amp;a73'</v>
      </c>
      <c r="N69" s="12"/>
      <c r="O69" s="12"/>
      <c r="P69" s="12"/>
      <c r="Q69" s="12" t="str">
        <f>"  - '&amp;7• &amp;8"&amp;MAIN!$C$12&amp;" lvl: &amp;a"&amp;ROUNDUP((MAIN!$G$93+($C$2*MAIN!$I$27))/3,0)&amp;"'"</f>
        <v xml:space="preserve">  - '&amp;7• &amp;8Esencia lvl: &amp;a137'</v>
      </c>
      <c r="R69" s="12"/>
      <c r="S69" s="12"/>
      <c r="T69" s="12"/>
    </row>
    <row r="70" spans="1:20" x14ac:dyDescent="0.25">
      <c r="A70" s="9" t="s">
        <v>32</v>
      </c>
      <c r="B70" s="9"/>
      <c r="C70" s="9"/>
      <c r="D70" s="9"/>
      <c r="E70" s="9" t="s">
        <v>32</v>
      </c>
      <c r="F70" s="9"/>
      <c r="G70" s="9"/>
      <c r="H70" s="9"/>
      <c r="I70" s="9" t="s">
        <v>32</v>
      </c>
      <c r="J70" s="9"/>
      <c r="K70" s="9"/>
      <c r="L70" s="9"/>
      <c r="M70" s="9" t="s">
        <v>32</v>
      </c>
      <c r="N70" s="9"/>
      <c r="O70" s="9"/>
      <c r="P70" s="9"/>
      <c r="Q70" s="9" t="s">
        <v>32</v>
      </c>
      <c r="R70" s="9"/>
      <c r="S70" s="9"/>
      <c r="T70" s="9"/>
    </row>
    <row r="71" spans="1:20" s="291" customFormat="1" x14ac:dyDescent="0.25">
      <c r="A71" s="9" t="s">
        <v>1196</v>
      </c>
      <c r="B71" s="9"/>
      <c r="C71" s="9"/>
      <c r="D71" s="9"/>
      <c r="E71" s="9" t="str">
        <f>A71</f>
        <v xml:space="preserve">  - '%tierlore%'</v>
      </c>
      <c r="F71" s="9"/>
      <c r="G71" s="9"/>
      <c r="H71" s="9"/>
      <c r="I71" s="9" t="str">
        <f>E71</f>
        <v xml:space="preserve">  - '%tierlore%'</v>
      </c>
      <c r="J71" s="9"/>
      <c r="K71" s="9"/>
      <c r="L71" s="9"/>
      <c r="M71" s="9" t="str">
        <f>I71</f>
        <v xml:space="preserve">  - '%tierlore%'</v>
      </c>
      <c r="N71" s="9"/>
      <c r="O71" s="9"/>
      <c r="P71" s="9"/>
      <c r="Q71" s="9" t="str">
        <f>M71</f>
        <v xml:space="preserve">  - '%tierlore%'</v>
      </c>
      <c r="R71" s="9"/>
      <c r="S71" s="9"/>
      <c r="T71" s="9"/>
    </row>
    <row r="72" spans="1:20" x14ac:dyDescent="0.25">
      <c r="A72" s="9" t="s">
        <v>33</v>
      </c>
      <c r="B72" s="9"/>
      <c r="C72" s="9"/>
      <c r="D72" s="9"/>
      <c r="E72" s="9" t="s">
        <v>33</v>
      </c>
      <c r="F72" s="9"/>
      <c r="G72" s="9"/>
      <c r="H72" s="9"/>
      <c r="I72" s="9" t="s">
        <v>33</v>
      </c>
      <c r="J72" s="9"/>
      <c r="K72" s="9"/>
      <c r="L72" s="9"/>
      <c r="M72" s="9" t="s">
        <v>33</v>
      </c>
      <c r="N72" s="9"/>
      <c r="O72" s="9"/>
      <c r="P72" s="9"/>
      <c r="Q72" s="9" t="s">
        <v>33</v>
      </c>
      <c r="R72" s="9"/>
      <c r="S72" s="9"/>
      <c r="T72" s="9"/>
    </row>
    <row r="73" spans="1:20" x14ac:dyDescent="0.25">
      <c r="A73" s="10" t="str">
        <f>"  - '&amp;4• &amp;f"&amp;MAIN!$C$9&amp;": &amp;a"&amp;MAIN!$C$88*$C$2&amp;"'"</f>
        <v xml:space="preserve">  - '&amp;4• &amp;fFuerza: &amp;a20'</v>
      </c>
      <c r="B73" s="10"/>
      <c r="C73" s="10"/>
      <c r="D73" s="10"/>
      <c r="E73" s="10" t="str">
        <f>"  - '&amp;4• &amp;f"&amp;MAIN!$C$9&amp;": &amp;a"&amp;MAIN!$D$88*$C$2&amp;"'"</f>
        <v xml:space="preserve">  - '&amp;4• &amp;fFuerza: &amp;a30'</v>
      </c>
      <c r="F73" s="10"/>
      <c r="G73" s="10"/>
      <c r="H73" s="10"/>
      <c r="I73" s="10" t="str">
        <f>"  - '&amp;4• &amp;f"&amp;MAIN!$C$9&amp;": &amp;a"&amp;MAIN!$E$88*$C$2&amp;"'"</f>
        <v xml:space="preserve">  - '&amp;4• &amp;fFuerza: &amp;a50'</v>
      </c>
      <c r="J73" s="10"/>
      <c r="K73" s="10"/>
      <c r="L73" s="10"/>
      <c r="M73" s="10" t="str">
        <f>"  - '&amp;4• &amp;f"&amp;MAIN!$C$9&amp;": &amp;a"&amp;MAIN!$F$88*$C$2&amp;"'"</f>
        <v xml:space="preserve">  - '&amp;4• &amp;fFuerza: &amp;a85'</v>
      </c>
      <c r="N73" s="10"/>
      <c r="O73" s="10"/>
      <c r="P73" s="10"/>
      <c r="Q73" s="10" t="str">
        <f>"  - '&amp;4• &amp;f"&amp;MAIN!$C$9&amp;": &amp;a"&amp;MAIN!$G$88*$C$2&amp;"'"</f>
        <v xml:space="preserve">  - '&amp;4• &amp;fFuerza: &amp;a140'</v>
      </c>
      <c r="R73" s="10"/>
      <c r="S73" s="10"/>
      <c r="T73" s="10"/>
    </row>
    <row r="74" spans="1:20" x14ac:dyDescent="0.25">
      <c r="A74" s="10" t="str">
        <f>"  - '&amp;4• &amp;f"&amp;MAIN!$C$8&amp;": &amp;a"&amp;MAIN!$C$88*$C$2&amp;"'"</f>
        <v xml:space="preserve">  - '&amp;4• &amp;fVitalidad: &amp;a20'</v>
      </c>
      <c r="B74" s="10"/>
      <c r="C74" s="10"/>
      <c r="D74" s="10"/>
      <c r="E74" s="10" t="str">
        <f>"  - '&amp;4• &amp;f"&amp;MAIN!$C$8&amp;": &amp;a"&amp;MAIN!$D$88*$C$2&amp;"'"</f>
        <v xml:space="preserve">  - '&amp;4• &amp;fVitalidad: &amp;a30'</v>
      </c>
      <c r="F74" s="10"/>
      <c r="G74" s="10"/>
      <c r="H74" s="10"/>
      <c r="I74" s="10" t="str">
        <f>"  - '&amp;4• &amp;f"&amp;MAIN!$C$8&amp;": &amp;a"&amp;MAIN!$E$88*$C$2&amp;"'"</f>
        <v xml:space="preserve">  - '&amp;4• &amp;fVitalidad: &amp;a50'</v>
      </c>
      <c r="J74" s="10"/>
      <c r="K74" s="10"/>
      <c r="L74" s="10"/>
      <c r="M74" s="10" t="str">
        <f>"  - '&amp;4• &amp;f"&amp;MAIN!$C$8&amp;": &amp;a"&amp;MAIN!$F$88*$C$2&amp;"'"</f>
        <v xml:space="preserve">  - '&amp;4• &amp;fVitalidad: &amp;a85'</v>
      </c>
      <c r="N74" s="10"/>
      <c r="O74" s="10"/>
      <c r="P74" s="10"/>
      <c r="Q74" s="10" t="str">
        <f>"  - '&amp;4• &amp;f"&amp;MAIN!$C$8&amp;": &amp;a"&amp;MAIN!$G$88*$C$2&amp;"'"</f>
        <v xml:space="preserve">  - '&amp;4• &amp;fVitalidad: &amp;a140'</v>
      </c>
      <c r="R74" s="10"/>
      <c r="S74" s="10"/>
      <c r="T74" s="10"/>
    </row>
    <row r="75" spans="1:20" x14ac:dyDescent="0.25">
      <c r="A75" s="10" t="str">
        <f>"  - '&amp;4• &amp;f"&amp;MAIN!$C$11&amp;": &amp;a"&amp;MAIN!$C$90*$C$2&amp;"'"</f>
        <v xml:space="preserve">  - '&amp;4• &amp;fInteligencia: &amp;a20'</v>
      </c>
      <c r="B75" s="10"/>
      <c r="C75" s="10"/>
      <c r="D75" s="10"/>
      <c r="E75" s="10" t="str">
        <f>"  - '&amp;4• &amp;f"&amp;MAIN!$C$11&amp;": &amp;a"&amp;MAIN!$D$90*$C$2&amp;"'"</f>
        <v xml:space="preserve">  - '&amp;4• &amp;fInteligencia: &amp;a30'</v>
      </c>
      <c r="F75" s="10"/>
      <c r="G75" s="10"/>
      <c r="H75" s="10"/>
      <c r="I75" s="10" t="str">
        <f>"  - '&amp;4• &amp;f"&amp;MAIN!$C$11&amp;": &amp;a"&amp;MAIN!$E$90*$C$2&amp;"'"</f>
        <v xml:space="preserve">  - '&amp;4• &amp;fInteligencia: &amp;a50'</v>
      </c>
      <c r="J75" s="10"/>
      <c r="K75" s="10"/>
      <c r="L75" s="10"/>
      <c r="M75" s="10" t="str">
        <f>"  - '&amp;4• &amp;f"&amp;MAIN!$C$11&amp;": &amp;a"&amp;MAIN!$F$90*$C$2&amp;"'"</f>
        <v xml:space="preserve">  - '&amp;4• &amp;fInteligencia: &amp;a85'</v>
      </c>
      <c r="N75" s="10"/>
      <c r="O75" s="10"/>
      <c r="P75" s="10"/>
      <c r="Q75" s="10" t="str">
        <f>"  - '&amp;4• &amp;f"&amp;MAIN!$C$11&amp;": &amp;a"&amp;MAIN!$G$90*$C$2&amp;"'"</f>
        <v xml:space="preserve">  - '&amp;4• &amp;fInteligencia: &amp;a140'</v>
      </c>
      <c r="R75" s="10"/>
      <c r="S75" s="10"/>
      <c r="T75" s="10"/>
    </row>
    <row r="76" spans="1:20" x14ac:dyDescent="0.25">
      <c r="A76" s="10" t="str">
        <f>"  - '&amp;4• &amp;f"&amp;MAIN!$C$10&amp;": &amp;a"&amp;MAIN!$C$89*$C$2&amp;"'"</f>
        <v xml:space="preserve">  - '&amp;4• &amp;fAgilidad: &amp;a20'</v>
      </c>
      <c r="B76" s="10"/>
      <c r="C76" s="10"/>
      <c r="D76" s="10"/>
      <c r="E76" s="10" t="str">
        <f>"  - '&amp;4• &amp;f"&amp;MAIN!$C$10&amp;": &amp;a"&amp;MAIN!$D$89*$C$2&amp;"'"</f>
        <v xml:space="preserve">  - '&amp;4• &amp;fAgilidad: &amp;a30'</v>
      </c>
      <c r="F76" s="10"/>
      <c r="G76" s="10"/>
      <c r="H76" s="10"/>
      <c r="I76" s="10" t="str">
        <f>"  - '&amp;4• &amp;f"&amp;MAIN!$C$10&amp;": &amp;a"&amp;MAIN!$E$89*$C$2&amp;"'"</f>
        <v xml:space="preserve">  - '&amp;4• &amp;fAgilidad: &amp;a50'</v>
      </c>
      <c r="J76" s="10"/>
      <c r="K76" s="10"/>
      <c r="L76" s="10"/>
      <c r="M76" s="10" t="str">
        <f>"  - '&amp;4• &amp;f"&amp;MAIN!$C$10&amp;": &amp;a"&amp;MAIN!$F$89*$C$2&amp;"'"</f>
        <v xml:space="preserve">  - '&amp;4• &amp;fAgilidad: &amp;a85'</v>
      </c>
      <c r="N76" s="10"/>
      <c r="O76" s="10"/>
      <c r="P76" s="10"/>
      <c r="Q76" s="10" t="str">
        <f>"  - '&amp;4• &amp;f"&amp;MAIN!$C$10&amp;": &amp;a"&amp;MAIN!$G$89*$C$2&amp;"'"</f>
        <v xml:space="preserve">  - '&amp;4• &amp;fAgilidad: &amp;a140'</v>
      </c>
      <c r="R76" s="10"/>
      <c r="S76" s="10"/>
      <c r="T76" s="10"/>
    </row>
    <row r="77" spans="1:20" x14ac:dyDescent="0.25">
      <c r="A77" s="9" t="s">
        <v>71</v>
      </c>
      <c r="B77" s="9"/>
      <c r="C77" s="9"/>
      <c r="D77" s="9"/>
      <c r="E77" s="9" t="s">
        <v>71</v>
      </c>
      <c r="F77" s="9"/>
      <c r="G77" s="9"/>
      <c r="H77" s="9"/>
      <c r="I77" s="9" t="s">
        <v>71</v>
      </c>
      <c r="J77" s="9"/>
      <c r="K77" s="9"/>
      <c r="L77" s="9"/>
      <c r="M77" s="9" t="s">
        <v>71</v>
      </c>
      <c r="N77" s="9"/>
      <c r="O77" s="9"/>
      <c r="P77" s="9"/>
      <c r="Q77" s="9" t="s">
        <v>71</v>
      </c>
      <c r="R77" s="9"/>
      <c r="S77" s="9"/>
      <c r="T77" s="9"/>
    </row>
    <row r="78" spans="1:20" x14ac:dyDescent="0.25">
      <c r="A78" s="9" t="s">
        <v>72</v>
      </c>
      <c r="B78" s="9"/>
      <c r="C78" s="9"/>
      <c r="D78" s="9"/>
      <c r="E78" s="9" t="s">
        <v>72</v>
      </c>
      <c r="F78" s="9"/>
      <c r="G78" s="9"/>
      <c r="H78" s="9"/>
      <c r="I78" s="9" t="s">
        <v>72</v>
      </c>
      <c r="J78" s="9"/>
      <c r="K78" s="9"/>
      <c r="L78" s="9"/>
      <c r="M78" s="9" t="s">
        <v>72</v>
      </c>
      <c r="N78" s="9"/>
      <c r="O78" s="9"/>
      <c r="P78" s="9"/>
      <c r="Q78" s="9" t="s">
        <v>72</v>
      </c>
      <c r="R78" s="9"/>
      <c r="S78" s="9"/>
      <c r="T78" s="9"/>
    </row>
    <row r="79" spans="1:20" x14ac:dyDescent="0.25">
      <c r="A79" s="11" t="str">
        <f>'armas raro'!$A$79</f>
        <v>minimumSockets: 1</v>
      </c>
      <c r="B79" s="11"/>
      <c r="C79" s="11"/>
      <c r="D79" s="11"/>
      <c r="E79" s="11" t="str">
        <f>$A$79</f>
        <v>minimumSockets: 1</v>
      </c>
      <c r="F79" s="11"/>
      <c r="G79" s="11"/>
      <c r="H79" s="11"/>
      <c r="I79" s="11" t="str">
        <f>$A$79</f>
        <v>minimumSockets: 1</v>
      </c>
      <c r="J79" s="11"/>
      <c r="K79" s="11"/>
      <c r="L79" s="11"/>
      <c r="M79" s="11" t="str">
        <f>$A$79</f>
        <v>minimumSockets: 1</v>
      </c>
      <c r="N79" s="11"/>
      <c r="O79" s="11"/>
      <c r="P79" s="11"/>
      <c r="Q79" s="11" t="str">
        <f>$A$79</f>
        <v>minimumSockets: 1</v>
      </c>
      <c r="R79" s="11"/>
      <c r="S79" s="11"/>
      <c r="T79" s="11"/>
    </row>
    <row r="80" spans="1:20" x14ac:dyDescent="0.25">
      <c r="A80" s="11" t="str">
        <f>'armas raro'!$A$80</f>
        <v>maximumSockets: 2</v>
      </c>
      <c r="B80" s="11"/>
      <c r="C80" s="11"/>
      <c r="D80" s="11"/>
      <c r="E80" s="11" t="str">
        <f>$A$80</f>
        <v>maximumSockets: 2</v>
      </c>
      <c r="F80" s="11"/>
      <c r="G80" s="11"/>
      <c r="H80" s="11"/>
      <c r="I80" s="11" t="str">
        <f>$A$80</f>
        <v>maximumSockets: 2</v>
      </c>
      <c r="J80" s="11"/>
      <c r="K80" s="11"/>
      <c r="L80" s="11"/>
      <c r="M80" s="11" t="str">
        <f>$A$80</f>
        <v>maximumSockets: 2</v>
      </c>
      <c r="N80" s="11"/>
      <c r="O80" s="11"/>
      <c r="P80" s="11"/>
      <c r="Q80" s="11" t="str">
        <f>$A$80</f>
        <v>maximumSockets: 2</v>
      </c>
      <c r="R80" s="11"/>
      <c r="S80" s="11"/>
      <c r="T80" s="11"/>
    </row>
    <row r="81" spans="1:20" x14ac:dyDescent="0.25">
      <c r="A81" s="11" t="str">
        <f>'armas raro'!$A$81</f>
        <v>chanceToSpawnOnAMonster: 0.15</v>
      </c>
      <c r="B81" s="11"/>
      <c r="C81" s="11"/>
      <c r="D81" s="11"/>
      <c r="E81" s="11" t="str">
        <f>$A$81</f>
        <v>chanceToSpawnOnAMonster: 0.15</v>
      </c>
      <c r="F81" s="11"/>
      <c r="G81" s="11"/>
      <c r="H81" s="11"/>
      <c r="I81" s="11" t="str">
        <f>$A$81</f>
        <v>chanceToSpawnOnAMonster: 0.15</v>
      </c>
      <c r="J81" s="11"/>
      <c r="K81" s="11"/>
      <c r="L81" s="11"/>
      <c r="M81" s="11" t="str">
        <f>$A$81</f>
        <v>chanceToSpawnOnAMonster: 0.15</v>
      </c>
      <c r="N81" s="11"/>
      <c r="O81" s="11"/>
      <c r="P81" s="11"/>
      <c r="Q81" s="11" t="str">
        <f>$A$81</f>
        <v>chanceToSpawnOnAMonster: 0.15</v>
      </c>
      <c r="R81" s="11"/>
      <c r="S81" s="11"/>
      <c r="T81" s="11"/>
    </row>
    <row r="82" spans="1:20" x14ac:dyDescent="0.25">
      <c r="A82" s="9" t="s">
        <v>34</v>
      </c>
      <c r="B82" s="9"/>
      <c r="C82" s="9"/>
      <c r="D82" s="9"/>
      <c r="E82" s="9" t="s">
        <v>34</v>
      </c>
      <c r="F82" s="9"/>
      <c r="G82" s="9"/>
      <c r="H82" s="9"/>
      <c r="I82" s="9" t="s">
        <v>34</v>
      </c>
      <c r="J82" s="9"/>
      <c r="K82" s="9"/>
      <c r="L82" s="9"/>
      <c r="M82" s="9" t="s">
        <v>34</v>
      </c>
      <c r="N82" s="9"/>
      <c r="O82" s="9"/>
      <c r="P82" s="9"/>
      <c r="Q82" s="9" t="s">
        <v>34</v>
      </c>
      <c r="R82" s="9"/>
      <c r="S82" s="9"/>
      <c r="T82" s="9"/>
    </row>
    <row r="83" spans="1:20" x14ac:dyDescent="0.25">
      <c r="A83" s="11" t="str">
        <f>'armas raro'!$A$83</f>
        <v>chanceToBeIdentified: 0.075</v>
      </c>
      <c r="B83" s="11"/>
      <c r="C83" s="11"/>
      <c r="D83" s="11"/>
      <c r="E83" s="11" t="str">
        <f>$A$83</f>
        <v>chanceToBeIdentified: 0.075</v>
      </c>
      <c r="F83" s="11"/>
      <c r="G83" s="11"/>
      <c r="H83" s="11"/>
      <c r="I83" s="11" t="str">
        <f>$A$83</f>
        <v>chanceToBeIdentified: 0.075</v>
      </c>
      <c r="J83" s="11"/>
      <c r="K83" s="11"/>
      <c r="L83" s="11"/>
      <c r="M83" s="11" t="str">
        <f>$A$83</f>
        <v>chanceToBeIdentified: 0.075</v>
      </c>
      <c r="N83" s="11"/>
      <c r="O83" s="11"/>
      <c r="P83" s="11"/>
      <c r="Q83" s="11" t="str">
        <f>$A$83</f>
        <v>chanceToBeIdentified: 0.075</v>
      </c>
      <c r="R83" s="11"/>
      <c r="S83" s="11"/>
      <c r="T83" s="11"/>
    </row>
    <row r="84" spans="1:20" x14ac:dyDescent="0.25">
      <c r="A84" s="9" t="s">
        <v>79</v>
      </c>
      <c r="B84" s="9"/>
      <c r="C84" s="9"/>
      <c r="D84" s="9"/>
      <c r="E84" s="9" t="s">
        <v>79</v>
      </c>
      <c r="F84" s="9"/>
      <c r="G84" s="9"/>
      <c r="H84" s="9"/>
      <c r="I84" s="9" t="s">
        <v>79</v>
      </c>
      <c r="J84" s="9"/>
      <c r="K84" s="9"/>
      <c r="L84" s="9"/>
      <c r="M84" s="9" t="s">
        <v>79</v>
      </c>
      <c r="N84" s="9"/>
      <c r="O84" s="9"/>
      <c r="P84" s="9"/>
      <c r="Q84" s="9" t="s">
        <v>79</v>
      </c>
      <c r="R84" s="9"/>
      <c r="S84" s="9"/>
      <c r="T84" s="9"/>
    </row>
    <row r="85" spans="1:20" x14ac:dyDescent="0.25">
      <c r="A85" s="11" t="str">
        <f>'armas raro'!$A$85</f>
        <v>broadcastOnFind: false</v>
      </c>
      <c r="B85" s="11"/>
      <c r="C85" s="11"/>
      <c r="D85" s="11"/>
      <c r="E85" s="11" t="str">
        <f>$A$85</f>
        <v>broadcastOnFind: false</v>
      </c>
      <c r="F85" s="11"/>
      <c r="G85" s="11"/>
      <c r="H85" s="11"/>
      <c r="I85" s="11" t="str">
        <f>$A$85</f>
        <v>broadcastOnFind: false</v>
      </c>
      <c r="J85" s="11"/>
      <c r="K85" s="11"/>
      <c r="L85" s="11"/>
      <c r="M85" s="11" t="str">
        <f>$A$85</f>
        <v>broadcastOnFind: false</v>
      </c>
      <c r="N85" s="11"/>
      <c r="O85" s="11"/>
      <c r="P85" s="11"/>
      <c r="Q85" s="11" t="str">
        <f>$A$85</f>
        <v>broadcastOnFind: false</v>
      </c>
      <c r="R85" s="11"/>
      <c r="S85" s="11"/>
      <c r="T85" s="11"/>
    </row>
    <row r="86" spans="1:20" x14ac:dyDescent="0.25">
      <c r="A86" s="11" t="str">
        <f>'armas raro'!$A$86</f>
        <v>optimalDistance: 2400</v>
      </c>
      <c r="B86" s="11"/>
      <c r="C86" s="11"/>
      <c r="D86" s="11"/>
      <c r="E86" s="11" t="str">
        <f>$A$86</f>
        <v>optimalDistance: 2400</v>
      </c>
      <c r="F86" s="11"/>
      <c r="G86" s="11"/>
      <c r="H86" s="11"/>
      <c r="I86" s="11" t="str">
        <f>$A$86</f>
        <v>optimalDistance: 2400</v>
      </c>
      <c r="J86" s="11"/>
      <c r="K86" s="11"/>
      <c r="L86" s="11"/>
      <c r="M86" s="11" t="str">
        <f>$A$86</f>
        <v>optimalDistance: 2400</v>
      </c>
      <c r="N86" s="11"/>
      <c r="O86" s="11"/>
      <c r="P86" s="11"/>
      <c r="Q86" s="11" t="str">
        <f>$A$86</f>
        <v>optimalDistance: 2400</v>
      </c>
      <c r="R86" s="11"/>
      <c r="S86" s="11"/>
      <c r="T86" s="11"/>
    </row>
    <row r="87" spans="1:20" x14ac:dyDescent="0.25">
      <c r="A87" s="11" t="str">
        <f>'armas raro'!$A$87</f>
        <v>maximumDistance: 1800</v>
      </c>
      <c r="B87" s="11"/>
      <c r="C87" s="11"/>
      <c r="D87" s="11"/>
      <c r="E87" s="11" t="str">
        <f>$A$87</f>
        <v>maximumDistance: 1800</v>
      </c>
      <c r="F87" s="11"/>
      <c r="G87" s="11"/>
      <c r="H87" s="11"/>
      <c r="I87" s="11" t="str">
        <f>$A$87</f>
        <v>maximumDistance: 1800</v>
      </c>
      <c r="J87" s="11"/>
      <c r="K87" s="11"/>
      <c r="L87" s="11"/>
      <c r="M87" s="11" t="str">
        <f>$A$87</f>
        <v>maximumDistance: 1800</v>
      </c>
      <c r="N87" s="11"/>
      <c r="O87" s="11"/>
      <c r="P87" s="11"/>
      <c r="Q87" s="11" t="str">
        <f>$A$87</f>
        <v>maximumDistance: 1800</v>
      </c>
      <c r="R87" s="11"/>
      <c r="S87" s="11"/>
      <c r="T87" s="11"/>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9" x14ac:dyDescent="0.25">
      <c r="A97" s="9"/>
      <c r="B97" s="9"/>
      <c r="C97" s="9"/>
      <c r="D97" s="9"/>
      <c r="G97" s="13"/>
      <c r="H97" s="13"/>
      <c r="I97" s="13"/>
    </row>
    <row r="98" spans="1:9" x14ac:dyDescent="0.25">
      <c r="A98" s="9"/>
      <c r="B98" s="9"/>
      <c r="C98" s="9"/>
      <c r="D98" s="9"/>
      <c r="G98" s="13"/>
      <c r="H98" s="13"/>
      <c r="I98" s="13"/>
    </row>
    <row r="99" spans="1:9" x14ac:dyDescent="0.25">
      <c r="A99" s="9"/>
      <c r="B99" s="9"/>
      <c r="C99" s="9"/>
      <c r="D99" s="9"/>
    </row>
    <row r="100" spans="1:9" x14ac:dyDescent="0.25">
      <c r="A100" s="9"/>
      <c r="B100" s="9"/>
      <c r="C100" s="9"/>
      <c r="D100" s="9"/>
    </row>
    <row r="101" spans="1:9" x14ac:dyDescent="0.25">
      <c r="A101" s="9"/>
      <c r="B101" s="9"/>
      <c r="C101" s="9"/>
      <c r="D101" s="9"/>
    </row>
    <row r="102" spans="1:9" x14ac:dyDescent="0.25">
      <c r="A102" s="9"/>
      <c r="B102" s="9"/>
      <c r="C102" s="9"/>
      <c r="D102" s="9"/>
    </row>
    <row r="103" spans="1:9" x14ac:dyDescent="0.25">
      <c r="A103" s="9"/>
      <c r="B103" s="9"/>
      <c r="C103" s="9"/>
      <c r="D103" s="9"/>
    </row>
    <row r="104" spans="1:9" x14ac:dyDescent="0.25">
      <c r="A104" s="9"/>
      <c r="B104" s="9"/>
      <c r="C104" s="9"/>
      <c r="D104" s="9"/>
    </row>
    <row r="105" spans="1:9" x14ac:dyDescent="0.25">
      <c r="A105" s="9"/>
      <c r="B105" s="9"/>
      <c r="C105" s="9"/>
      <c r="D105" s="9"/>
    </row>
    <row r="106" spans="1:9" x14ac:dyDescent="0.25">
      <c r="A106" s="9"/>
      <c r="B106" s="9"/>
      <c r="C106" s="9"/>
      <c r="D106" s="9"/>
    </row>
    <row r="107" spans="1:9" x14ac:dyDescent="0.25">
      <c r="A107" s="9"/>
      <c r="B107" s="9"/>
      <c r="C107" s="9"/>
      <c r="D107" s="9"/>
    </row>
    <row r="108" spans="1:9" x14ac:dyDescent="0.25">
      <c r="A108" s="9"/>
      <c r="B108" s="9"/>
      <c r="C108" s="9"/>
      <c r="D108" s="9"/>
    </row>
    <row r="109" spans="1:9" x14ac:dyDescent="0.25">
      <c r="A109" s="9"/>
      <c r="B109" s="9"/>
      <c r="C109" s="9"/>
      <c r="D109" s="9"/>
    </row>
    <row r="110" spans="1:9" x14ac:dyDescent="0.25">
      <c r="A110" s="9"/>
      <c r="B110" s="9"/>
      <c r="C110" s="9"/>
      <c r="D110" s="9"/>
    </row>
    <row r="111" spans="1:9" x14ac:dyDescent="0.25">
      <c r="A111" s="9"/>
      <c r="B111" s="9"/>
      <c r="C111" s="9"/>
      <c r="D111" s="9"/>
    </row>
    <row r="112" spans="1:9"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row r="190" spans="1:4" x14ac:dyDescent="0.25">
      <c r="A190" s="9"/>
      <c r="B190" s="9"/>
      <c r="C190" s="9"/>
      <c r="D190" s="9"/>
    </row>
    <row r="191" spans="1:4" x14ac:dyDescent="0.25">
      <c r="A191" s="9"/>
      <c r="B191" s="9"/>
      <c r="C191" s="9"/>
      <c r="D191"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9"/>
  <dimension ref="A1:Z191"/>
  <sheetViews>
    <sheetView topLeftCell="N65" workbookViewId="0">
      <selection activeCell="Q4" sqref="Q4:Q87"/>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104</v>
      </c>
      <c r="B2" s="293"/>
      <c r="C2" s="293">
        <f>'ECONOMIA &amp; PROFESIONES'!$Q$3</f>
        <v>7</v>
      </c>
      <c r="D2" s="293"/>
      <c r="E2" s="293" t="s">
        <v>81</v>
      </c>
      <c r="F2" s="293"/>
      <c r="G2" s="293" t="s">
        <v>3</v>
      </c>
      <c r="H2" s="293"/>
      <c r="I2" s="293" t="str">
        <f>MAIN!$J$42</f>
        <v>Damage</v>
      </c>
      <c r="J2" s="293"/>
      <c r="K2" s="293">
        <f>MAIN!$L$42</f>
        <v>2</v>
      </c>
      <c r="L2" s="293"/>
    </row>
    <row r="3" spans="1:26" ht="29.25" customHeight="1" x14ac:dyDescent="0.25">
      <c r="A3" s="355" t="s">
        <v>7</v>
      </c>
      <c r="B3" s="355"/>
      <c r="C3" s="355"/>
      <c r="D3" s="355"/>
      <c r="E3" s="355" t="s">
        <v>8</v>
      </c>
      <c r="F3" s="355"/>
      <c r="G3" s="355"/>
      <c r="H3" s="355"/>
      <c r="I3" s="355" t="s">
        <v>83</v>
      </c>
      <c r="J3" s="355"/>
      <c r="K3" s="355"/>
      <c r="L3" s="355"/>
      <c r="M3" s="355" t="s">
        <v>84</v>
      </c>
      <c r="N3" s="355"/>
      <c r="O3" s="355"/>
      <c r="P3" s="355"/>
      <c r="Q3" s="355" t="s">
        <v>85</v>
      </c>
      <c r="R3" s="355"/>
      <c r="S3" s="355"/>
      <c r="T3" s="355"/>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"+"&amp;ROUND(MAIN!$C$44*$C$2*$K$2/5*$U$4,0)&amp;" "&amp;$I$2</f>
        <v>+6 Damage</v>
      </c>
      <c r="W4" s="291" t="str">
        <f>"+"&amp;ROUND(MAIN!$D$44*$C$2*$K$2/5*$U$4,0)&amp;" "&amp;$I$2</f>
        <v>+17 Damage</v>
      </c>
      <c r="X4" s="291" t="str">
        <f>"+"&amp;ROUND(MAIN!$E$44*$C$2*$K$2/5*$U$4,0)&amp;" "&amp;$I$2</f>
        <v>+50 Damage</v>
      </c>
      <c r="Y4" s="291" t="str">
        <f>"+"&amp;ROUND(MAIN!$F$44*$C$2*$K$2/5*$U$4,0)&amp;" "&amp;$I$2</f>
        <v>+151 Damage</v>
      </c>
      <c r="Z4" s="291" t="str">
        <f>"+"&amp;ROUND(MAIN!$G$44*$C$2*$K$2/5*$U$4,0)&amp;" "&amp;$I$2</f>
        <v>+454 Damage</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"+"&amp;ROUND(MAIN!$C$44*$C$2*$K$2/5*$U$5,0)&amp;" "&amp;$I$2</f>
        <v>+11 Damage</v>
      </c>
      <c r="W5" s="291" t="str">
        <f>"+"&amp;ROUND(MAIN!$D$44*$C$2*$K$2/5*$U$5,0)&amp;" "&amp;$I$2</f>
        <v>+34 Damage</v>
      </c>
      <c r="X5" s="291" t="str">
        <f>"+"&amp;ROUND(MAIN!$E$44*$C$2*$K$2/5*$U$5,0)&amp;" "&amp;$I$2</f>
        <v>+101 Damage</v>
      </c>
      <c r="Y5" s="291" t="str">
        <f>"+"&amp;ROUND(MAIN!$F$44*$C$2*$K$2/5*$U$5,0)&amp;" "&amp;$I$2</f>
        <v>+302 Damage</v>
      </c>
      <c r="Z5" s="291" t="str">
        <f>"+"&amp;ROUND(MAIN!$G$44*$C$2*$K$2/5*$U$5,0)&amp;" "&amp;$I$2</f>
        <v>+907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"+"&amp;ROUND(MAIN!$C$44*$C$2*$K$2/5*$U$6,0)&amp;" "&amp;$I$2</f>
        <v>+17 Damage</v>
      </c>
      <c r="W6" s="291" t="str">
        <f>"+"&amp;ROUND(MAIN!$D$44*$C$2*$K$2/5*$U$6,0)&amp;" "&amp;$I$2</f>
        <v>+50 Damage</v>
      </c>
      <c r="X6" s="291" t="str">
        <f>"+"&amp;ROUND(MAIN!$E$44*$C$2*$K$2/5*$U$6,0)&amp;" "&amp;$I$2</f>
        <v>+151 Damage</v>
      </c>
      <c r="Y6" s="291" t="str">
        <f>"+"&amp;ROUND(MAIN!$F$44*$C$2*$K$2/5*$U$6,0)&amp;" "&amp;$I$2</f>
        <v>+454 Damage</v>
      </c>
      <c r="Z6" s="291" t="str">
        <f>"+"&amp;ROUND(MAIN!$G$44*$C$2*$K$2/5*$U$6,0)&amp;" "&amp;$I$2</f>
        <v>+1361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"+"&amp;ROUND(MAIN!$C$44*$C$2*$K$2/5*$U$7,0)&amp;" "&amp;$I$2</f>
        <v>+22 Damage</v>
      </c>
      <c r="W7" s="291" t="str">
        <f>"+"&amp;ROUND(MAIN!$D$44*$C$2*$K$2/5*$U$7,0)&amp;" "&amp;$I$2</f>
        <v>+67 Damage</v>
      </c>
      <c r="X7" s="291" t="str">
        <f>"+"&amp;ROUND(MAIN!$E$44*$C$2*$K$2/5*$U$7,0)&amp;" "&amp;$I$2</f>
        <v>+202 Damage</v>
      </c>
      <c r="Y7" s="291" t="str">
        <f>"+"&amp;ROUND(MAIN!$F$44*$C$2*$K$2/5*$U$7,0)&amp;" "&amp;$I$2</f>
        <v>+605 Damage</v>
      </c>
      <c r="Z7" s="291" t="str">
        <f>"+"&amp;ROUND(MAIN!$G$44*$C$2*$K$2/5*$U$7,0)&amp;" "&amp;$I$2</f>
        <v>+1814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"+"&amp;ROUND(MAIN!$C$44*$C$2*$K$2/5*$U$8,0)&amp;" "&amp;$I$2</f>
        <v>+28 Damage</v>
      </c>
      <c r="W8" s="291" t="str">
        <f>"+"&amp;ROUND(MAIN!$D$44*$C$2*$K$2/5*$U$8,0)&amp;" "&amp;$I$2</f>
        <v>+84 Damage</v>
      </c>
      <c r="X8" s="291" t="str">
        <f>"+"&amp;ROUND(MAIN!$E$44*$C$2*$K$2/5*$U$8,0)&amp;" "&amp;$I$2</f>
        <v>+252 Damage</v>
      </c>
      <c r="Y8" s="291" t="str">
        <f>"+"&amp;ROUND(MAIN!$F$44*$C$2*$K$2/5*$U$8,0)&amp;" "&amp;$I$2</f>
        <v>+756 Damage</v>
      </c>
      <c r="Z8" s="291" t="str">
        <f>"+"&amp;ROUND(MAIN!$G$44*$C$2*$K$2/5*$U$8,0)&amp;" "&amp;$I$2</f>
        <v>+2268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$A$38</f>
        <v xml:space="preserve">  - ARROW_INFINITE:3:5</v>
      </c>
      <c r="J15" s="22"/>
      <c r="K15" s="22"/>
      <c r="L15" s="22"/>
      <c r="M15" s="22" t="str">
        <f>$A$38</f>
        <v xml:space="preserve">  - ARROW_INFINITE:3:5</v>
      </c>
      <c r="N15" s="22"/>
      <c r="O15" s="22"/>
      <c r="P15" s="22"/>
      <c r="Q15" s="22" t="str">
        <f>$A$38</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$A$39</f>
        <v xml:space="preserve">  - ARROW_DAMAGE:3:5</v>
      </c>
      <c r="J16" s="22"/>
      <c r="K16" s="22"/>
      <c r="L16" s="22"/>
      <c r="M16" s="22" t="str">
        <f>$A$39</f>
        <v xml:space="preserve">  - ARROW_DAMAGE:3:5</v>
      </c>
      <c r="N16" s="22"/>
      <c r="O16" s="22"/>
      <c r="P16" s="22"/>
      <c r="Q16" s="22" t="str">
        <f>$A$39</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$A$40</f>
        <v xml:space="preserve">  - ARROW_FIRE:3:5</v>
      </c>
      <c r="J17" s="22"/>
      <c r="K17" s="22"/>
      <c r="L17" s="22"/>
      <c r="M17" s="22" t="str">
        <f>$A$40</f>
        <v xml:space="preserve">  - ARROW_FIRE:3:5</v>
      </c>
      <c r="N17" s="22"/>
      <c r="O17" s="22"/>
      <c r="P17" s="22"/>
      <c r="Q17" s="22" t="str">
        <f>$A$40</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$A$41</f>
        <v xml:space="preserve">  - ARROW_KNOCKBACK:3:5</v>
      </c>
      <c r="J18" s="22"/>
      <c r="K18" s="22"/>
      <c r="L18" s="22"/>
      <c r="M18" s="22" t="str">
        <f>$A$41</f>
        <v xml:space="preserve">  - ARROW_KNOCKBACK:3:5</v>
      </c>
      <c r="N18" s="22"/>
      <c r="O18" s="22"/>
      <c r="P18" s="22"/>
      <c r="Q18" s="22" t="str">
        <f>$A$41</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$A$42</f>
        <v xml:space="preserve">  - DAMAGE_ALL:3:5</v>
      </c>
      <c r="J19" s="22"/>
      <c r="K19" s="22"/>
      <c r="L19" s="22"/>
      <c r="M19" s="22" t="str">
        <f>$A$42</f>
        <v xml:space="preserve">  - DAMAGE_ALL:3:5</v>
      </c>
      <c r="N19" s="22"/>
      <c r="O19" s="22"/>
      <c r="P19" s="22"/>
      <c r="Q19" s="22" t="str">
        <f>$A$42</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$A$43</f>
        <v xml:space="preserve">  - DAMAGE_ARTHROPODS:3:5</v>
      </c>
      <c r="J20" s="22"/>
      <c r="K20" s="22"/>
      <c r="L20" s="22"/>
      <c r="M20" s="22" t="str">
        <f>$A$43</f>
        <v xml:space="preserve">  - DAMAGE_ARTHROPODS:3:5</v>
      </c>
      <c r="N20" s="22"/>
      <c r="O20" s="22"/>
      <c r="P20" s="22"/>
      <c r="Q20" s="22" t="str">
        <f>$A$43</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$A$44</f>
        <v xml:space="preserve">  - DAMAGE_UNDEAD:3:5</v>
      </c>
      <c r="J21" s="22"/>
      <c r="K21" s="22"/>
      <c r="L21" s="22"/>
      <c r="M21" s="22" t="str">
        <f>$A$44</f>
        <v xml:space="preserve">  - DAMAGE_UNDEAD:3:5</v>
      </c>
      <c r="N21" s="22"/>
      <c r="O21" s="22"/>
      <c r="P21" s="22"/>
      <c r="Q21" s="22" t="str">
        <f>$A$44</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$A$45</f>
        <v xml:space="preserve">  - DIG_SPEED:3:5</v>
      </c>
      <c r="J22" s="22"/>
      <c r="K22" s="22"/>
      <c r="L22" s="22"/>
      <c r="M22" s="22" t="str">
        <f>$A$45</f>
        <v xml:space="preserve">  - DIG_SPEED:3:5</v>
      </c>
      <c r="N22" s="22"/>
      <c r="O22" s="22"/>
      <c r="P22" s="22"/>
      <c r="Q22" s="22" t="str">
        <f>$A$45</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$A$46</f>
        <v xml:space="preserve">  - DURABILITY:3:5</v>
      </c>
      <c r="J23" s="22"/>
      <c r="K23" s="22"/>
      <c r="L23" s="22"/>
      <c r="M23" s="22" t="str">
        <f>$A$46</f>
        <v xml:space="preserve">  - DURABILITY:3:5</v>
      </c>
      <c r="N23" s="22"/>
      <c r="O23" s="22"/>
      <c r="P23" s="22"/>
      <c r="Q23" s="22" t="str">
        <f>$A$46</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$A$47</f>
        <v xml:space="preserve">  - FIRE_ASPECT:3:5</v>
      </c>
      <c r="J24" s="22"/>
      <c r="K24" s="22"/>
      <c r="L24" s="22"/>
      <c r="M24" s="22" t="str">
        <f>$A$47</f>
        <v xml:space="preserve">  - FIRE_ASPECT:3:5</v>
      </c>
      <c r="N24" s="22"/>
      <c r="O24" s="22"/>
      <c r="P24" s="22"/>
      <c r="Q24" s="22" t="str">
        <f>$A$47</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$A$48</f>
        <v xml:space="preserve">  - KNOCKBACK:3:5</v>
      </c>
      <c r="J25" s="22"/>
      <c r="K25" s="22"/>
      <c r="L25" s="22"/>
      <c r="M25" s="22" t="str">
        <f>$A$48</f>
        <v xml:space="preserve">  - KNOCKBACK:3:5</v>
      </c>
      <c r="N25" s="22"/>
      <c r="O25" s="22"/>
      <c r="P25" s="22"/>
      <c r="Q25" s="22" t="str">
        <f>$A$48</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$A$49</f>
        <v xml:space="preserve">  - LOOT_BONUS_BLOCKS:3:5</v>
      </c>
      <c r="J26" s="22"/>
      <c r="K26" s="22"/>
      <c r="L26" s="22"/>
      <c r="M26" s="22" t="str">
        <f>$A$49</f>
        <v xml:space="preserve">  - LOOT_BONUS_BLOCKS:3:5</v>
      </c>
      <c r="N26" s="22"/>
      <c r="O26" s="22"/>
      <c r="P26" s="22"/>
      <c r="Q26" s="22" t="str">
        <f>$A$49</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$A$50</f>
        <v xml:space="preserve">  - LOOT_BONUS_MOBS:3:5</v>
      </c>
      <c r="J27" s="22"/>
      <c r="K27" s="22"/>
      <c r="L27" s="22"/>
      <c r="M27" s="22" t="str">
        <f>$A$50</f>
        <v xml:space="preserve">  - LOOT_BONUS_MOBS:3:5</v>
      </c>
      <c r="N27" s="22"/>
      <c r="O27" s="22"/>
      <c r="P27" s="22"/>
      <c r="Q27" s="22" t="str">
        <f>$A$50</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$A$51</f>
        <v xml:space="preserve">  - OXYGEN:3:5</v>
      </c>
      <c r="J28" s="22"/>
      <c r="K28" s="22"/>
      <c r="L28" s="22"/>
      <c r="M28" s="22" t="str">
        <f>$A$51</f>
        <v xml:space="preserve">  - OXYGEN:3:5</v>
      </c>
      <c r="N28" s="22"/>
      <c r="O28" s="22"/>
      <c r="P28" s="22"/>
      <c r="Q28" s="22" t="str">
        <f>$A$51</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$A$52</f>
        <v xml:space="preserve">  - PROTECTION_ENVIRONMENT:3:5</v>
      </c>
      <c r="J29" s="22"/>
      <c r="K29" s="22"/>
      <c r="L29" s="22"/>
      <c r="M29" s="22" t="str">
        <f>$A$52</f>
        <v xml:space="preserve">  - PROTECTION_ENVIRONMENT:3:5</v>
      </c>
      <c r="N29" s="22"/>
      <c r="O29" s="22"/>
      <c r="P29" s="22"/>
      <c r="Q29" s="22" t="str">
        <f>$A$52</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$A$53</f>
        <v xml:space="preserve">  - PROTECTION_EXPLOSIONS:3:5</v>
      </c>
      <c r="J30" s="22"/>
      <c r="K30" s="22"/>
      <c r="L30" s="22"/>
      <c r="M30" s="22" t="str">
        <f>$A$53</f>
        <v xml:space="preserve">  - PROTECTION_EXPLOSIONS:3:5</v>
      </c>
      <c r="N30" s="22"/>
      <c r="O30" s="22"/>
      <c r="P30" s="22"/>
      <c r="Q30" s="22" t="str">
        <f>$A$53</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$A$54</f>
        <v xml:space="preserve">  - PROTECTION_FALL:3:5</v>
      </c>
      <c r="J31" s="22"/>
      <c r="K31" s="22"/>
      <c r="L31" s="22"/>
      <c r="M31" s="22" t="str">
        <f>$A$54</f>
        <v xml:space="preserve">  - PROTECTION_FALL:3:5</v>
      </c>
      <c r="N31" s="22"/>
      <c r="O31" s="22"/>
      <c r="P31" s="22"/>
      <c r="Q31" s="22" t="str">
        <f>$A$54</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$A$55</f>
        <v xml:space="preserve">  - PROTECTION_FIRE:3:5</v>
      </c>
      <c r="J32" s="22"/>
      <c r="K32" s="22"/>
      <c r="L32" s="22"/>
      <c r="M32" s="22" t="str">
        <f>$A$55</f>
        <v xml:space="preserve">  - PROTECTION_FIRE:3:5</v>
      </c>
      <c r="N32" s="22"/>
      <c r="O32" s="22"/>
      <c r="P32" s="22"/>
      <c r="Q32" s="22" t="str">
        <f>$A$55</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$A$56</f>
        <v xml:space="preserve">  - PROTECTION_PROJECTILE:3:5</v>
      </c>
      <c r="J33" s="22"/>
      <c r="K33" s="22"/>
      <c r="L33" s="22"/>
      <c r="M33" s="22" t="str">
        <f>$A$56</f>
        <v xml:space="preserve">  - PROTECTION_PROJECTILE:3:5</v>
      </c>
      <c r="N33" s="22"/>
      <c r="O33" s="22"/>
      <c r="P33" s="22"/>
      <c r="Q33" s="22" t="str">
        <f>$A$56</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$A$57</f>
        <v xml:space="preserve">  - SILK_TOUCH:3:5</v>
      </c>
      <c r="J34" s="22"/>
      <c r="K34" s="22"/>
      <c r="L34" s="22"/>
      <c r="M34" s="22" t="str">
        <f>$A$57</f>
        <v xml:space="preserve">  - SILK_TOUCH:3:5</v>
      </c>
      <c r="N34" s="22"/>
      <c r="O34" s="22"/>
      <c r="P34" s="22"/>
      <c r="Q34" s="22" t="str">
        <f>$A$57</f>
        <v xml:space="preserve">  - SILK_TOUCH:3:5</v>
      </c>
      <c r="R34" s="22"/>
      <c r="S34" s="22"/>
      <c r="T34" s="22"/>
    </row>
    <row r="35" spans="1:20" x14ac:dyDescent="0.25">
      <c r="A35" s="22" t="str">
        <f>"  - THORNS:"&amp;MAIN!$F$18&amp;":"&amp;MAIN!$F$19</f>
        <v xml:space="preserve">  - THORNS:3:5</v>
      </c>
      <c r="B35" s="22"/>
      <c r="C35" s="22"/>
      <c r="D35" s="22"/>
      <c r="E35" s="22" t="str">
        <f>$A$35</f>
        <v xml:space="preserve">  - THORNS:3:5</v>
      </c>
      <c r="F35" s="22"/>
      <c r="G35" s="22"/>
      <c r="H35" s="22"/>
      <c r="I35" s="22" t="str">
        <f>$A$58</f>
        <v xml:space="preserve">  - THORNS:3:5</v>
      </c>
      <c r="J35" s="22"/>
      <c r="K35" s="22"/>
      <c r="L35" s="22"/>
      <c r="M35" s="22" t="str">
        <f>$A$58</f>
        <v xml:space="preserve">  - THORNS:3:5</v>
      </c>
      <c r="N35" s="22"/>
      <c r="O35" s="22"/>
      <c r="P35" s="22"/>
      <c r="Q35" s="22" t="str">
        <f>$A$58</f>
        <v xml:space="preserve">  - THORNS:3:5</v>
      </c>
      <c r="R35" s="22"/>
      <c r="S35" s="22"/>
      <c r="T35" s="22"/>
    </row>
    <row r="36" spans="1:20" x14ac:dyDescent="0.25">
      <c r="A36" s="22" t="str">
        <f>"  - WATER_WORKER:"&amp;MAIN!$F$18&amp;":"&amp;MAIN!$F$19</f>
        <v xml:space="preserve">  - WATER_WORKER:3:5</v>
      </c>
      <c r="B36" s="22"/>
      <c r="C36" s="22"/>
      <c r="D36" s="22"/>
      <c r="E36" s="22" t="str">
        <f>$A$36</f>
        <v xml:space="preserve">  - WATER_WORKER:3:5</v>
      </c>
      <c r="F36" s="22"/>
      <c r="G36" s="22"/>
      <c r="H36" s="22"/>
      <c r="I36" s="22" t="str">
        <f>$A$59</f>
        <v xml:space="preserve">  - WATER_WORKER:3:5</v>
      </c>
      <c r="J36" s="22"/>
      <c r="K36" s="22"/>
      <c r="L36" s="22"/>
      <c r="M36" s="22" t="str">
        <f>$A$59</f>
        <v xml:space="preserve">  - WATER_WORKER:3:5</v>
      </c>
      <c r="N36" s="22"/>
      <c r="O36" s="22"/>
      <c r="P36" s="22"/>
      <c r="Q36" s="22" t="str">
        <f>$A$59</f>
        <v xml:space="preserve">  - WATER_WORKER:3:5</v>
      </c>
      <c r="R36" s="22"/>
      <c r="S36" s="22"/>
      <c r="T36" s="22"/>
    </row>
    <row r="37" spans="1:20" x14ac:dyDescent="0.25">
      <c r="A37" s="9" t="s">
        <v>101</v>
      </c>
      <c r="B37" s="9"/>
      <c r="C37" s="9"/>
      <c r="D37" s="9"/>
      <c r="E37" s="9" t="s">
        <v>101</v>
      </c>
      <c r="F37" s="9"/>
      <c r="G37" s="9"/>
      <c r="H37" s="9"/>
      <c r="I37" s="9" t="s">
        <v>101</v>
      </c>
      <c r="J37" s="9"/>
      <c r="K37" s="9"/>
      <c r="L37" s="9"/>
      <c r="M37" s="9" t="s">
        <v>101</v>
      </c>
      <c r="N37" s="9"/>
      <c r="O37" s="9"/>
      <c r="P37" s="9"/>
      <c r="Q37" s="9" t="s">
        <v>101</v>
      </c>
      <c r="R37" s="9"/>
      <c r="S37" s="9"/>
      <c r="T37" s="9"/>
    </row>
    <row r="38" spans="1:20" x14ac:dyDescent="0.25">
      <c r="A38" s="22" t="str">
        <f>$A$15</f>
        <v xml:space="preserve">  - ARROW_INFINITE:3:5</v>
      </c>
      <c r="B38" s="22"/>
      <c r="C38" s="22"/>
      <c r="D38" s="22"/>
      <c r="E38" s="22" t="str">
        <f>$A$38</f>
        <v xml:space="preserve">  - ARROW_INFINITE:3:5</v>
      </c>
      <c r="F38" s="22"/>
      <c r="G38" s="22"/>
      <c r="H38" s="22"/>
      <c r="I38" s="22" t="str">
        <f>$A$38</f>
        <v xml:space="preserve">  - ARROW_INFINITE:3:5</v>
      </c>
      <c r="J38" s="22"/>
      <c r="K38" s="22"/>
      <c r="L38" s="22"/>
      <c r="M38" s="22" t="str">
        <f>$A$38</f>
        <v xml:space="preserve">  - ARROW_INFINITE:3:5</v>
      </c>
      <c r="N38" s="22"/>
      <c r="O38" s="22"/>
      <c r="P38" s="22"/>
      <c r="Q38" s="22" t="str">
        <f>$A$38</f>
        <v xml:space="preserve">  - ARROW_INFINITE:3:5</v>
      </c>
      <c r="R38" s="22"/>
      <c r="S38" s="22"/>
      <c r="T38" s="22"/>
    </row>
    <row r="39" spans="1:20" x14ac:dyDescent="0.25">
      <c r="A39" s="22" t="str">
        <f>$A$16</f>
        <v xml:space="preserve">  - ARROW_DAMAGE:3:5</v>
      </c>
      <c r="B39" s="22"/>
      <c r="C39" s="22"/>
      <c r="D39" s="22"/>
      <c r="E39" s="22" t="str">
        <f>$A$39</f>
        <v xml:space="preserve">  - ARROW_DAMAGE:3:5</v>
      </c>
      <c r="F39" s="22"/>
      <c r="G39" s="22"/>
      <c r="H39" s="22"/>
      <c r="I39" s="22" t="str">
        <f>$A$39</f>
        <v xml:space="preserve">  - ARROW_DAMAGE:3:5</v>
      </c>
      <c r="J39" s="22"/>
      <c r="K39" s="22"/>
      <c r="L39" s="22"/>
      <c r="M39" s="22" t="str">
        <f>$A$39</f>
        <v xml:space="preserve">  - ARROW_DAMAGE:3:5</v>
      </c>
      <c r="N39" s="22"/>
      <c r="O39" s="22"/>
      <c r="P39" s="22"/>
      <c r="Q39" s="22" t="str">
        <f>$A$39</f>
        <v xml:space="preserve">  - ARROW_DAMAGE:3:5</v>
      </c>
      <c r="R39" s="22"/>
      <c r="S39" s="22"/>
      <c r="T39" s="22"/>
    </row>
    <row r="40" spans="1:20" x14ac:dyDescent="0.25">
      <c r="A40" s="22" t="str">
        <f>$A$17</f>
        <v xml:space="preserve">  - ARROW_FIRE:3:5</v>
      </c>
      <c r="B40" s="22"/>
      <c r="C40" s="22"/>
      <c r="D40" s="22"/>
      <c r="E40" s="22" t="str">
        <f>$A$40</f>
        <v xml:space="preserve">  - ARROW_FIRE:3:5</v>
      </c>
      <c r="F40" s="22"/>
      <c r="G40" s="22"/>
      <c r="H40" s="22"/>
      <c r="I40" s="22" t="str">
        <f>$A$40</f>
        <v xml:space="preserve">  - ARROW_FIRE:3:5</v>
      </c>
      <c r="J40" s="22"/>
      <c r="K40" s="22"/>
      <c r="L40" s="22"/>
      <c r="M40" s="22" t="str">
        <f>$A$40</f>
        <v xml:space="preserve">  - ARROW_FIRE:3:5</v>
      </c>
      <c r="N40" s="22"/>
      <c r="O40" s="22"/>
      <c r="P40" s="22"/>
      <c r="Q40" s="22" t="str">
        <f>$A$40</f>
        <v xml:space="preserve">  - ARROW_FIRE:3:5</v>
      </c>
      <c r="R40" s="22"/>
      <c r="S40" s="22"/>
      <c r="T40" s="22"/>
    </row>
    <row r="41" spans="1:20" x14ac:dyDescent="0.25">
      <c r="A41" s="22" t="str">
        <f>$A$18</f>
        <v xml:space="preserve">  - ARROW_KNOCKBACK:3:5</v>
      </c>
      <c r="B41" s="22"/>
      <c r="C41" s="22"/>
      <c r="D41" s="22"/>
      <c r="E41" s="22" t="str">
        <f>$A$41</f>
        <v xml:space="preserve">  - ARROW_KNOCKBACK:3:5</v>
      </c>
      <c r="F41" s="22"/>
      <c r="G41" s="22"/>
      <c r="H41" s="22"/>
      <c r="I41" s="22" t="str">
        <f>$A$41</f>
        <v xml:space="preserve">  - ARROW_KNOCKBACK:3:5</v>
      </c>
      <c r="J41" s="22"/>
      <c r="K41" s="22"/>
      <c r="L41" s="22"/>
      <c r="M41" s="22" t="str">
        <f>$A$41</f>
        <v xml:space="preserve">  - ARROW_KNOCKBACK:3:5</v>
      </c>
      <c r="N41" s="22"/>
      <c r="O41" s="22"/>
      <c r="P41" s="22"/>
      <c r="Q41" s="22" t="str">
        <f>$A$41</f>
        <v xml:space="preserve">  - ARROW_KNOCKBACK:3:5</v>
      </c>
      <c r="R41" s="22"/>
      <c r="S41" s="22"/>
      <c r="T41" s="22"/>
    </row>
    <row r="42" spans="1:20" x14ac:dyDescent="0.25">
      <c r="A42" s="22" t="str">
        <f>$A$19</f>
        <v xml:space="preserve">  - DAMAGE_ALL:3:5</v>
      </c>
      <c r="B42" s="22"/>
      <c r="C42" s="22"/>
      <c r="D42" s="22"/>
      <c r="E42" s="22" t="str">
        <f>$A$42</f>
        <v xml:space="preserve">  - DAMAGE_ALL:3:5</v>
      </c>
      <c r="F42" s="22"/>
      <c r="G42" s="22"/>
      <c r="H42" s="22"/>
      <c r="I42" s="22" t="str">
        <f>$A$42</f>
        <v xml:space="preserve">  - DAMAGE_ALL:3:5</v>
      </c>
      <c r="J42" s="22"/>
      <c r="K42" s="22"/>
      <c r="L42" s="22"/>
      <c r="M42" s="22" t="str">
        <f>$A$42</f>
        <v xml:space="preserve">  - DAMAGE_ALL:3:5</v>
      </c>
      <c r="N42" s="22"/>
      <c r="O42" s="22"/>
      <c r="P42" s="22"/>
      <c r="Q42" s="22" t="str">
        <f>$A$42</f>
        <v xml:space="preserve">  - DAMAGE_ALL:3:5</v>
      </c>
      <c r="R42" s="22"/>
      <c r="S42" s="22"/>
      <c r="T42" s="22"/>
    </row>
    <row r="43" spans="1:20" x14ac:dyDescent="0.25">
      <c r="A43" s="22" t="str">
        <f>$A$20</f>
        <v xml:space="preserve">  - DAMAGE_ARTHROPODS:3:5</v>
      </c>
      <c r="B43" s="22"/>
      <c r="C43" s="22"/>
      <c r="D43" s="22"/>
      <c r="E43" s="22" t="str">
        <f>$A$43</f>
        <v xml:space="preserve">  - DAMAGE_ARTHROPODS:3:5</v>
      </c>
      <c r="F43" s="22"/>
      <c r="G43" s="22"/>
      <c r="H43" s="22"/>
      <c r="I43" s="22" t="str">
        <f>$A$43</f>
        <v xml:space="preserve">  - DAMAGE_ARTHROPODS:3:5</v>
      </c>
      <c r="J43" s="22"/>
      <c r="K43" s="22"/>
      <c r="L43" s="22"/>
      <c r="M43" s="22" t="str">
        <f>$A$43</f>
        <v xml:space="preserve">  - DAMAGE_ARTHROPODS:3:5</v>
      </c>
      <c r="N43" s="22"/>
      <c r="O43" s="22"/>
      <c r="P43" s="22"/>
      <c r="Q43" s="22" t="str">
        <f>$A$43</f>
        <v xml:space="preserve">  - DAMAGE_ARTHROPODS:3:5</v>
      </c>
      <c r="R43" s="22"/>
      <c r="S43" s="22"/>
      <c r="T43" s="22"/>
    </row>
    <row r="44" spans="1:20" x14ac:dyDescent="0.25">
      <c r="A44" s="22" t="str">
        <f>$A$21</f>
        <v xml:space="preserve">  - DAMAGE_UNDEAD:3:5</v>
      </c>
      <c r="B44" s="22"/>
      <c r="C44" s="22"/>
      <c r="D44" s="22"/>
      <c r="E44" s="22" t="str">
        <f>$A$44</f>
        <v xml:space="preserve">  - DAMAGE_UNDEAD:3:5</v>
      </c>
      <c r="F44" s="22"/>
      <c r="G44" s="22"/>
      <c r="H44" s="22"/>
      <c r="I44" s="22" t="str">
        <f>$A$44</f>
        <v xml:space="preserve">  - DAMAGE_UNDEAD:3:5</v>
      </c>
      <c r="J44" s="22"/>
      <c r="K44" s="22"/>
      <c r="L44" s="22"/>
      <c r="M44" s="22" t="str">
        <f>$A$44</f>
        <v xml:space="preserve">  - DAMAGE_UNDEAD:3:5</v>
      </c>
      <c r="N44" s="22"/>
      <c r="O44" s="22"/>
      <c r="P44" s="22"/>
      <c r="Q44" s="22" t="str">
        <f>$A$44</f>
        <v xml:space="preserve">  - DAMAGE_UNDEAD:3:5</v>
      </c>
      <c r="R44" s="22"/>
      <c r="S44" s="22"/>
      <c r="T44" s="22"/>
    </row>
    <row r="45" spans="1:20" x14ac:dyDescent="0.25">
      <c r="A45" s="22" t="str">
        <f>$A$22</f>
        <v xml:space="preserve">  - DIG_SPEED:3:5</v>
      </c>
      <c r="B45" s="22"/>
      <c r="C45" s="22"/>
      <c r="D45" s="22"/>
      <c r="E45" s="22" t="str">
        <f>$A$45</f>
        <v xml:space="preserve">  - DIG_SPEED:3:5</v>
      </c>
      <c r="F45" s="22"/>
      <c r="G45" s="22"/>
      <c r="H45" s="22"/>
      <c r="I45" s="22" t="str">
        <f>$A$45</f>
        <v xml:space="preserve">  - DIG_SPEED:3:5</v>
      </c>
      <c r="J45" s="22"/>
      <c r="K45" s="22"/>
      <c r="L45" s="22"/>
      <c r="M45" s="22" t="str">
        <f>$A$45</f>
        <v xml:space="preserve">  - DIG_SPEED:3:5</v>
      </c>
      <c r="N45" s="22"/>
      <c r="O45" s="22"/>
      <c r="P45" s="22"/>
      <c r="Q45" s="22" t="str">
        <f>$A$45</f>
        <v xml:space="preserve">  - DIG_SPEED:3:5</v>
      </c>
      <c r="R45" s="22"/>
      <c r="S45" s="22"/>
      <c r="T45" s="22"/>
    </row>
    <row r="46" spans="1:20" x14ac:dyDescent="0.25">
      <c r="A46" s="22" t="str">
        <f>$A$23</f>
        <v xml:space="preserve">  - DURABILITY:3:5</v>
      </c>
      <c r="B46" s="22"/>
      <c r="C46" s="22"/>
      <c r="D46" s="22"/>
      <c r="E46" s="22" t="str">
        <f>$A$46</f>
        <v xml:space="preserve">  - DURABILITY:3:5</v>
      </c>
      <c r="F46" s="22"/>
      <c r="G46" s="22"/>
      <c r="H46" s="22"/>
      <c r="I46" s="22" t="str">
        <f>$A$46</f>
        <v xml:space="preserve">  - DURABILITY:3:5</v>
      </c>
      <c r="J46" s="22"/>
      <c r="K46" s="22"/>
      <c r="L46" s="22"/>
      <c r="M46" s="22" t="str">
        <f>$A$46</f>
        <v xml:space="preserve">  - DURABILITY:3:5</v>
      </c>
      <c r="N46" s="22"/>
      <c r="O46" s="22"/>
      <c r="P46" s="22"/>
      <c r="Q46" s="22" t="str">
        <f>$A$46</f>
        <v xml:space="preserve">  - DURABILITY:3:5</v>
      </c>
      <c r="R46" s="22"/>
      <c r="S46" s="22"/>
      <c r="T46" s="22"/>
    </row>
    <row r="47" spans="1:20" x14ac:dyDescent="0.25">
      <c r="A47" s="22" t="str">
        <f>$A$24</f>
        <v xml:space="preserve">  - FIRE_ASPECT:3:5</v>
      </c>
      <c r="B47" s="22"/>
      <c r="C47" s="22"/>
      <c r="D47" s="22"/>
      <c r="E47" s="22" t="str">
        <f>$A$47</f>
        <v xml:space="preserve">  - FIRE_ASPECT:3:5</v>
      </c>
      <c r="F47" s="22"/>
      <c r="G47" s="22"/>
      <c r="H47" s="22"/>
      <c r="I47" s="22" t="str">
        <f>$A$47</f>
        <v xml:space="preserve">  - FIRE_ASPECT:3:5</v>
      </c>
      <c r="J47" s="22"/>
      <c r="K47" s="22"/>
      <c r="L47" s="22"/>
      <c r="M47" s="22" t="str">
        <f>$A$47</f>
        <v xml:space="preserve">  - FIRE_ASPECT:3:5</v>
      </c>
      <c r="N47" s="22"/>
      <c r="O47" s="22"/>
      <c r="P47" s="22"/>
      <c r="Q47" s="22" t="str">
        <f>$A$47</f>
        <v xml:space="preserve">  - FIRE_ASPECT:3:5</v>
      </c>
      <c r="R47" s="22"/>
      <c r="S47" s="22"/>
      <c r="T47" s="22"/>
    </row>
    <row r="48" spans="1:20" x14ac:dyDescent="0.25">
      <c r="A48" s="22" t="str">
        <f>$A$25</f>
        <v xml:space="preserve">  - KNOCKBACK:3:5</v>
      </c>
      <c r="B48" s="22"/>
      <c r="C48" s="22"/>
      <c r="D48" s="22"/>
      <c r="E48" s="22" t="str">
        <f>$A$48</f>
        <v xml:space="preserve">  - KNOCKBACK:3:5</v>
      </c>
      <c r="F48" s="22"/>
      <c r="G48" s="22"/>
      <c r="H48" s="22"/>
      <c r="I48" s="22" t="str">
        <f>$A$48</f>
        <v xml:space="preserve">  - KNOCKBACK:3:5</v>
      </c>
      <c r="J48" s="22"/>
      <c r="K48" s="22"/>
      <c r="L48" s="22"/>
      <c r="M48" s="22" t="str">
        <f>$A$48</f>
        <v xml:space="preserve">  - KNOCKBACK:3:5</v>
      </c>
      <c r="N48" s="22"/>
      <c r="O48" s="22"/>
      <c r="P48" s="22"/>
      <c r="Q48" s="22" t="str">
        <f>$A$48</f>
        <v xml:space="preserve">  - KNOCKBACK:3:5</v>
      </c>
      <c r="R48" s="22"/>
      <c r="S48" s="22"/>
      <c r="T48" s="22"/>
    </row>
    <row r="49" spans="1:20" x14ac:dyDescent="0.25">
      <c r="A49" s="22" t="str">
        <f>$A$26</f>
        <v xml:space="preserve">  - LOOT_BONUS_BLOCKS:3:5</v>
      </c>
      <c r="B49" s="22"/>
      <c r="C49" s="22"/>
      <c r="D49" s="22"/>
      <c r="E49" s="22" t="str">
        <f>$A$49</f>
        <v xml:space="preserve">  - LOOT_BONUS_BLOCKS:3:5</v>
      </c>
      <c r="F49" s="22"/>
      <c r="G49" s="22"/>
      <c r="H49" s="22"/>
      <c r="I49" s="22" t="str">
        <f>$A$49</f>
        <v xml:space="preserve">  - LOOT_BONUS_BLOCKS:3:5</v>
      </c>
      <c r="J49" s="22"/>
      <c r="K49" s="22"/>
      <c r="L49" s="22"/>
      <c r="M49" s="22" t="str">
        <f>$A$49</f>
        <v xml:space="preserve">  - LOOT_BONUS_BLOCKS:3:5</v>
      </c>
      <c r="N49" s="22"/>
      <c r="O49" s="22"/>
      <c r="P49" s="22"/>
      <c r="Q49" s="22" t="str">
        <f>$A$49</f>
        <v xml:space="preserve">  - LOOT_BONUS_BLOCKS:3:5</v>
      </c>
      <c r="R49" s="22"/>
      <c r="S49" s="22"/>
      <c r="T49" s="22"/>
    </row>
    <row r="50" spans="1:20" x14ac:dyDescent="0.25">
      <c r="A50" s="22" t="str">
        <f>$A$27</f>
        <v xml:space="preserve">  - LOOT_BONUS_MOBS:3:5</v>
      </c>
      <c r="B50" s="22"/>
      <c r="C50" s="22"/>
      <c r="D50" s="22"/>
      <c r="E50" s="22" t="str">
        <f>$A$50</f>
        <v xml:space="preserve">  - LOOT_BONUS_MOBS:3:5</v>
      </c>
      <c r="F50" s="22"/>
      <c r="G50" s="22"/>
      <c r="H50" s="22"/>
      <c r="I50" s="22" t="str">
        <f>$A$50</f>
        <v xml:space="preserve">  - LOOT_BONUS_MOBS:3:5</v>
      </c>
      <c r="J50" s="22"/>
      <c r="K50" s="22"/>
      <c r="L50" s="22"/>
      <c r="M50" s="22" t="str">
        <f>$A$50</f>
        <v xml:space="preserve">  - LOOT_BONUS_MOBS:3:5</v>
      </c>
      <c r="N50" s="22"/>
      <c r="O50" s="22"/>
      <c r="P50" s="22"/>
      <c r="Q50" s="22" t="str">
        <f>$A$50</f>
        <v xml:space="preserve">  - LOOT_BONUS_MOBS:3:5</v>
      </c>
      <c r="R50" s="22"/>
      <c r="S50" s="22"/>
      <c r="T50" s="22"/>
    </row>
    <row r="51" spans="1:20" x14ac:dyDescent="0.25">
      <c r="A51" s="22" t="str">
        <f>$A$28</f>
        <v xml:space="preserve">  - OXYGEN:3:5</v>
      </c>
      <c r="B51" s="22"/>
      <c r="C51" s="22"/>
      <c r="D51" s="22"/>
      <c r="E51" s="22" t="str">
        <f>$A$51</f>
        <v xml:space="preserve">  - OXYGEN:3:5</v>
      </c>
      <c r="F51" s="22"/>
      <c r="G51" s="22"/>
      <c r="H51" s="22"/>
      <c r="I51" s="22" t="str">
        <f>$A$51</f>
        <v xml:space="preserve">  - OXYGEN:3:5</v>
      </c>
      <c r="J51" s="22"/>
      <c r="K51" s="22"/>
      <c r="L51" s="22"/>
      <c r="M51" s="22" t="str">
        <f>$A$51</f>
        <v xml:space="preserve">  - OXYGEN:3:5</v>
      </c>
      <c r="N51" s="22"/>
      <c r="O51" s="22"/>
      <c r="P51" s="22"/>
      <c r="Q51" s="22" t="str">
        <f>$A$51</f>
        <v xml:space="preserve">  - OXYGEN:3:5</v>
      </c>
      <c r="R51" s="22"/>
      <c r="S51" s="22"/>
      <c r="T51" s="22"/>
    </row>
    <row r="52" spans="1:20" x14ac:dyDescent="0.25">
      <c r="A52" s="22" t="str">
        <f>$A$29</f>
        <v xml:space="preserve">  - PROTECTION_ENVIRONMENT:3:5</v>
      </c>
      <c r="B52" s="22"/>
      <c r="C52" s="22"/>
      <c r="D52" s="22"/>
      <c r="E52" s="22" t="str">
        <f>$A$52</f>
        <v xml:space="preserve">  - PROTECTION_ENVIRONMENT:3:5</v>
      </c>
      <c r="F52" s="22"/>
      <c r="G52" s="22"/>
      <c r="H52" s="22"/>
      <c r="I52" s="22" t="str">
        <f>$A$52</f>
        <v xml:space="preserve">  - PROTECTION_ENVIRONMENT:3:5</v>
      </c>
      <c r="J52" s="22"/>
      <c r="K52" s="22"/>
      <c r="L52" s="22"/>
      <c r="M52" s="22" t="str">
        <f>$A$52</f>
        <v xml:space="preserve">  - PROTECTION_ENVIRONMENT:3:5</v>
      </c>
      <c r="N52" s="22"/>
      <c r="O52" s="22"/>
      <c r="P52" s="22"/>
      <c r="Q52" s="22" t="str">
        <f>$A$52</f>
        <v xml:space="preserve">  - PROTECTION_ENVIRONMENT:3:5</v>
      </c>
      <c r="R52" s="22"/>
      <c r="S52" s="22"/>
      <c r="T52" s="22"/>
    </row>
    <row r="53" spans="1:20" x14ac:dyDescent="0.25">
      <c r="A53" s="22" t="str">
        <f>$A$30</f>
        <v xml:space="preserve">  - PROTECTION_EXPLOSIONS:3:5</v>
      </c>
      <c r="B53" s="22"/>
      <c r="C53" s="22"/>
      <c r="D53" s="22"/>
      <c r="E53" s="22" t="str">
        <f>$A$53</f>
        <v xml:space="preserve">  - PROTECTION_EXPLOSIONS:3:5</v>
      </c>
      <c r="F53" s="22"/>
      <c r="G53" s="22"/>
      <c r="H53" s="22"/>
      <c r="I53" s="22" t="str">
        <f>$A$53</f>
        <v xml:space="preserve">  - PROTECTION_EXPLOSIONS:3:5</v>
      </c>
      <c r="J53" s="22"/>
      <c r="K53" s="22"/>
      <c r="L53" s="22"/>
      <c r="M53" s="22" t="str">
        <f>$A$53</f>
        <v xml:space="preserve">  - PROTECTION_EXPLOSIONS:3:5</v>
      </c>
      <c r="N53" s="22"/>
      <c r="O53" s="22"/>
      <c r="P53" s="22"/>
      <c r="Q53" s="22" t="str">
        <f>$A$53</f>
        <v xml:space="preserve">  - PROTECTION_EXPLOSIONS:3:5</v>
      </c>
      <c r="R53" s="22"/>
      <c r="S53" s="22"/>
      <c r="T53" s="22"/>
    </row>
    <row r="54" spans="1:20" x14ac:dyDescent="0.25">
      <c r="A54" s="22" t="str">
        <f>$A$31</f>
        <v xml:space="preserve">  - PROTECTION_FALL:3:5</v>
      </c>
      <c r="B54" s="22"/>
      <c r="C54" s="22"/>
      <c r="D54" s="22"/>
      <c r="E54" s="22" t="str">
        <f>$A$54</f>
        <v xml:space="preserve">  - PROTECTION_FALL:3:5</v>
      </c>
      <c r="F54" s="22"/>
      <c r="G54" s="22"/>
      <c r="H54" s="22"/>
      <c r="I54" s="22" t="str">
        <f>$A$54</f>
        <v xml:space="preserve">  - PROTECTION_FALL:3:5</v>
      </c>
      <c r="J54" s="22"/>
      <c r="K54" s="22"/>
      <c r="L54" s="22"/>
      <c r="M54" s="22" t="str">
        <f>$A$54</f>
        <v xml:space="preserve">  - PROTECTION_FALL:3:5</v>
      </c>
      <c r="N54" s="22"/>
      <c r="O54" s="22"/>
      <c r="P54" s="22"/>
      <c r="Q54" s="22" t="str">
        <f>$A$54</f>
        <v xml:space="preserve">  - PROTECTION_FALL:3:5</v>
      </c>
      <c r="R54" s="22"/>
      <c r="S54" s="22"/>
      <c r="T54" s="22"/>
    </row>
    <row r="55" spans="1:20" x14ac:dyDescent="0.25">
      <c r="A55" s="22" t="str">
        <f>$A$32</f>
        <v xml:space="preserve">  - PROTECTION_FIRE:3:5</v>
      </c>
      <c r="B55" s="22"/>
      <c r="C55" s="22"/>
      <c r="D55" s="22"/>
      <c r="E55" s="22" t="str">
        <f>$A$55</f>
        <v xml:space="preserve">  - PROTECTION_FIRE:3:5</v>
      </c>
      <c r="F55" s="22"/>
      <c r="G55" s="22"/>
      <c r="H55" s="22"/>
      <c r="I55" s="22" t="str">
        <f>$A$55</f>
        <v xml:space="preserve">  - PROTECTION_FIRE:3:5</v>
      </c>
      <c r="J55" s="22"/>
      <c r="K55" s="22"/>
      <c r="L55" s="22"/>
      <c r="M55" s="22" t="str">
        <f>$A$55</f>
        <v xml:space="preserve">  - PROTECTION_FIRE:3:5</v>
      </c>
      <c r="N55" s="22"/>
      <c r="O55" s="22"/>
      <c r="P55" s="22"/>
      <c r="Q55" s="22" t="str">
        <f>$A$55</f>
        <v xml:space="preserve">  - PROTECTION_FIRE:3:5</v>
      </c>
      <c r="R55" s="22"/>
      <c r="S55" s="22"/>
      <c r="T55" s="22"/>
    </row>
    <row r="56" spans="1:20" x14ac:dyDescent="0.25">
      <c r="A56" s="22" t="str">
        <f>$A$33</f>
        <v xml:space="preserve">  - PROTECTION_PROJECTILE:3:5</v>
      </c>
      <c r="B56" s="22"/>
      <c r="C56" s="22"/>
      <c r="D56" s="22"/>
      <c r="E56" s="22" t="str">
        <f>$A$56</f>
        <v xml:space="preserve">  - PROTECTION_PROJECTILE:3:5</v>
      </c>
      <c r="F56" s="22"/>
      <c r="G56" s="22"/>
      <c r="H56" s="22"/>
      <c r="I56" s="22" t="str">
        <f>$A$56</f>
        <v xml:space="preserve">  - PROTECTION_PROJECTILE:3:5</v>
      </c>
      <c r="J56" s="22"/>
      <c r="K56" s="22"/>
      <c r="L56" s="22"/>
      <c r="M56" s="22" t="str">
        <f>$A$56</f>
        <v xml:space="preserve">  - PROTECTION_PROJECTILE:3:5</v>
      </c>
      <c r="N56" s="22"/>
      <c r="O56" s="22"/>
      <c r="P56" s="22"/>
      <c r="Q56" s="22" t="str">
        <f>$A$56</f>
        <v xml:space="preserve">  - PROTECTION_PROJECTILE:3:5</v>
      </c>
      <c r="R56" s="22"/>
      <c r="S56" s="22"/>
      <c r="T56" s="22"/>
    </row>
    <row r="57" spans="1:20" x14ac:dyDescent="0.25">
      <c r="A57" s="22" t="str">
        <f>$A$34</f>
        <v xml:space="preserve">  - SILK_TOUCH:3:5</v>
      </c>
      <c r="B57" s="22"/>
      <c r="C57" s="22"/>
      <c r="D57" s="22"/>
      <c r="E57" s="22" t="str">
        <f>$A$57</f>
        <v xml:space="preserve">  - SILK_TOUCH:3:5</v>
      </c>
      <c r="F57" s="22"/>
      <c r="G57" s="22"/>
      <c r="H57" s="22"/>
      <c r="I57" s="22" t="str">
        <f>$A$57</f>
        <v xml:space="preserve">  - SILK_TOUCH:3:5</v>
      </c>
      <c r="J57" s="22"/>
      <c r="K57" s="22"/>
      <c r="L57" s="22"/>
      <c r="M57" s="22" t="str">
        <f>$A$57</f>
        <v xml:space="preserve">  - SILK_TOUCH:3:5</v>
      </c>
      <c r="N57" s="22"/>
      <c r="O57" s="22"/>
      <c r="P57" s="22"/>
      <c r="Q57" s="22" t="str">
        <f>$A$57</f>
        <v xml:space="preserve">  - SILK_TOUCH:3:5</v>
      </c>
      <c r="R57" s="22"/>
      <c r="S57" s="22"/>
      <c r="T57" s="22"/>
    </row>
    <row r="58" spans="1:20" x14ac:dyDescent="0.25">
      <c r="A58" s="22" t="str">
        <f>$A$35</f>
        <v xml:space="preserve">  - THORNS:3:5</v>
      </c>
      <c r="B58" s="22"/>
      <c r="C58" s="22"/>
      <c r="D58" s="22"/>
      <c r="E58" s="22" t="str">
        <f>$A$58</f>
        <v xml:space="preserve">  - THORNS:3:5</v>
      </c>
      <c r="F58" s="22"/>
      <c r="G58" s="22"/>
      <c r="H58" s="22"/>
      <c r="I58" s="22" t="str">
        <f>$A$58</f>
        <v xml:space="preserve">  - THORNS:3:5</v>
      </c>
      <c r="J58" s="22"/>
      <c r="K58" s="22"/>
      <c r="L58" s="22"/>
      <c r="M58" s="22" t="str">
        <f>$A$58</f>
        <v xml:space="preserve">  - THORNS:3:5</v>
      </c>
      <c r="N58" s="22"/>
      <c r="O58" s="22"/>
      <c r="P58" s="22"/>
      <c r="Q58" s="22" t="str">
        <f>$A$58</f>
        <v xml:space="preserve">  - THORNS:3:5</v>
      </c>
      <c r="R58" s="22"/>
      <c r="S58" s="22"/>
      <c r="T58" s="22"/>
    </row>
    <row r="59" spans="1:20" x14ac:dyDescent="0.25">
      <c r="A59" s="22" t="str">
        <f>$A$36</f>
        <v xml:space="preserve">  - WATER_WORKER:3:5</v>
      </c>
      <c r="B59" s="22"/>
      <c r="C59" s="22"/>
      <c r="D59" s="22"/>
      <c r="E59" s="22" t="str">
        <f>$A$59</f>
        <v xml:space="preserve">  - WATER_WORKER:3:5</v>
      </c>
      <c r="F59" s="22"/>
      <c r="G59" s="22"/>
      <c r="H59" s="22"/>
      <c r="I59" s="22" t="str">
        <f>$A$59</f>
        <v xml:space="preserve">  - WATER_WORKER:3:5</v>
      </c>
      <c r="J59" s="22"/>
      <c r="K59" s="22"/>
      <c r="L59" s="22"/>
      <c r="M59" s="22" t="str">
        <f>$A$59</f>
        <v xml:space="preserve">  - WATER_WORKER:3:5</v>
      </c>
      <c r="N59" s="22"/>
      <c r="O59" s="22"/>
      <c r="P59" s="22"/>
      <c r="Q59" s="22" t="str">
        <f>$A$59</f>
        <v xml:space="preserve">  - WATER_WORKER:3:5</v>
      </c>
      <c r="R59" s="22"/>
      <c r="S59" s="22"/>
      <c r="T59" s="22"/>
    </row>
    <row r="60" spans="1:20" x14ac:dyDescent="0.25">
      <c r="A60" s="9" t="s">
        <v>28</v>
      </c>
      <c r="B60" s="9"/>
      <c r="C60" s="9"/>
      <c r="D60" s="9"/>
      <c r="E60" s="9" t="s">
        <v>28</v>
      </c>
      <c r="F60" s="9"/>
      <c r="G60" s="9"/>
      <c r="H60" s="9"/>
      <c r="I60" s="9" t="s">
        <v>28</v>
      </c>
      <c r="J60" s="9"/>
      <c r="K60" s="9"/>
      <c r="L60" s="9"/>
      <c r="M60" s="9" t="s">
        <v>28</v>
      </c>
      <c r="N60" s="9"/>
      <c r="O60" s="9"/>
      <c r="P60" s="9"/>
      <c r="Q60" s="9" t="s">
        <v>28</v>
      </c>
      <c r="R60" s="9"/>
      <c r="S60" s="9"/>
      <c r="T60" s="9"/>
    </row>
    <row r="61" spans="1:20" x14ac:dyDescent="0.25">
      <c r="A61" s="11" t="str">
        <f>"  minimumBonusLore: "&amp;MAIN!$F$23</f>
        <v xml:space="preserve">  minimumBonusLore: 2</v>
      </c>
      <c r="B61" s="11"/>
      <c r="C61" s="11"/>
      <c r="D61" s="11"/>
      <c r="E61" s="11" t="str">
        <f>$A$61</f>
        <v xml:space="preserve">  minimumBonusLore: 2</v>
      </c>
      <c r="F61" s="11"/>
      <c r="G61" s="11"/>
      <c r="H61" s="11"/>
      <c r="I61" s="11" t="str">
        <f t="shared" ref="I61" si="12">$A$61</f>
        <v xml:space="preserve">  minimumBonusLore: 2</v>
      </c>
      <c r="J61" s="11"/>
      <c r="K61" s="11"/>
      <c r="L61" s="11"/>
      <c r="M61" s="11" t="str">
        <f t="shared" ref="M61" si="13">$A$61</f>
        <v xml:space="preserve">  minimumBonusLore: 2</v>
      </c>
      <c r="N61" s="11"/>
      <c r="O61" s="11"/>
      <c r="P61" s="11"/>
      <c r="Q61" s="11" t="str">
        <f t="shared" ref="Q61" si="14">$A$61</f>
        <v xml:space="preserve">  minimumBonusLore: 2</v>
      </c>
      <c r="R61" s="11"/>
      <c r="S61" s="11"/>
      <c r="T61" s="11"/>
    </row>
    <row r="62" spans="1:20" x14ac:dyDescent="0.25">
      <c r="A62" s="11" t="str">
        <f>"  maximumBonusLore: "&amp;MAIN!$F$24</f>
        <v xml:space="preserve">  maximumBonusLore: 3</v>
      </c>
      <c r="B62" s="11"/>
      <c r="C62" s="11"/>
      <c r="D62" s="11"/>
      <c r="E62" s="11" t="str">
        <f>$A$62</f>
        <v xml:space="preserve">  maximumBonusLore: 3</v>
      </c>
      <c r="F62" s="11"/>
      <c r="G62" s="11"/>
      <c r="H62" s="11"/>
      <c r="I62" s="11" t="str">
        <f t="shared" ref="I62" si="15">$A$62</f>
        <v xml:space="preserve">  maximumBonusLore: 3</v>
      </c>
      <c r="J62" s="11"/>
      <c r="K62" s="11"/>
      <c r="L62" s="11"/>
      <c r="M62" s="11" t="str">
        <f t="shared" ref="M62" si="16">$A$62</f>
        <v xml:space="preserve">  maximumBonusLore: 3</v>
      </c>
      <c r="N62" s="11"/>
      <c r="O62" s="11"/>
      <c r="P62" s="11"/>
      <c r="Q62" s="11" t="str">
        <f t="shared" ref="Q62" si="17">$A$62</f>
        <v xml:space="preserve">  maximumBonusLore: 3</v>
      </c>
      <c r="R62" s="11"/>
      <c r="S62" s="11"/>
      <c r="T62" s="11"/>
    </row>
    <row r="63" spans="1:20" x14ac:dyDescent="0.25">
      <c r="A63" s="9" t="s">
        <v>29</v>
      </c>
      <c r="B63" s="9"/>
      <c r="C63" s="9"/>
      <c r="D63" s="9"/>
      <c r="E63" s="9" t="s">
        <v>29</v>
      </c>
      <c r="F63" s="9"/>
      <c r="G63" s="9"/>
      <c r="H63" s="9"/>
      <c r="I63" s="9" t="s">
        <v>29</v>
      </c>
      <c r="J63" s="9"/>
      <c r="K63" s="9"/>
      <c r="L63" s="9"/>
      <c r="M63" s="9" t="s">
        <v>29</v>
      </c>
      <c r="N63" s="9"/>
      <c r="O63" s="9"/>
      <c r="P63" s="9"/>
      <c r="Q63" s="9" t="s">
        <v>29</v>
      </c>
      <c r="R63" s="9"/>
      <c r="S63" s="9"/>
      <c r="T63" s="9"/>
    </row>
    <row r="64" spans="1:20" x14ac:dyDescent="0.25">
      <c r="A64" s="20" t="str">
        <f>"  - '&amp;aVenta: &amp;6"&amp;(MAIN!$D$2+(MAIN!$F$18+MAIN!$F$19)/2*MAIN!$B$9+(MAIN!$F$20+MAIN!$F$21)/2*MAIN!$B$8+(MAIN!$F$47*MAIN!$B$11)+($C$2*MAIN!$B$10))/10&amp;" &amp;aAlmakos'"</f>
        <v xml:space="preserve">  - '&amp;aVenta: &amp;6565 &amp;aAlmakos'</v>
      </c>
      <c r="B64" s="20"/>
      <c r="C64" s="20"/>
      <c r="D64" s="20"/>
      <c r="E64" s="20" t="str">
        <f>"  - '&amp;aVenta: &amp;6"&amp;(MAIN!$D$3+(MAIN!$F$18+MAIN!$F$19)/2*MAIN!$B$9+(MAIN!$F$20+MAIN!$F$21)/2*MAIN!$B$8+(MAIN!$F$47*MAIN!$B$11)+($C$2*MAIN!$B$10))/10&amp;" &amp;aAlmakos'"</f>
        <v xml:space="preserve">  - '&amp;aVenta: &amp;6605 &amp;aAlmakos'</v>
      </c>
      <c r="F64" s="20"/>
      <c r="G64" s="20"/>
      <c r="H64" s="20"/>
      <c r="I64" s="20" t="str">
        <f>"  - '&amp;aVenta: &amp;6"&amp;(MAIN!$D$4+(MAIN!$F$18+MAIN!$F$19)/2*MAIN!$B$9+(MAIN!$F$20+MAIN!$F$21)/2*MAIN!$B$8+(MAIN!$F$47*MAIN!$B$11)+($C$2*MAIN!$B$10))/10&amp;" &amp;aAlmakos'"</f>
        <v xml:space="preserve">  - '&amp;aVenta: &amp;6685 &amp;aAlmakos'</v>
      </c>
      <c r="J64" s="20"/>
      <c r="K64" s="20"/>
      <c r="L64" s="20"/>
      <c r="M64" s="20" t="str">
        <f>"  - '&amp;aVenta: &amp;6"&amp;(MAIN!$D$5+(MAIN!$F$18+MAIN!$F$19)/2*MAIN!$B$9+(MAIN!$F$20+MAIN!$F$21)/2*MAIN!$B$8+(MAIN!$F$47*MAIN!$B$11)+($C$2*MAIN!$B$10))/10&amp;" &amp;aAlmakos'"</f>
        <v xml:space="preserve">  - '&amp;aVenta: &amp;6845 &amp;aAlmakos'</v>
      </c>
      <c r="N64" s="20"/>
      <c r="O64" s="20"/>
      <c r="P64" s="20"/>
      <c r="Q64" s="20" t="str">
        <f>"  - '&amp;aVenta: &amp;6"&amp;(MAIN!$D$6+(MAIN!$F$18+MAIN!$F$19)/2*MAIN!$B$9+(MAIN!$F$20+MAIN!$F$21)/2*MAIN!$B$8+(MAIN!$F$47*MAIN!$B$11)+($C$2*MAIN!$B$10))/10&amp;" &amp;aAlmakos'"</f>
        <v xml:space="preserve">  - '&amp;aVenta: &amp;61165 &amp;aAlmakos'</v>
      </c>
      <c r="R64" s="20"/>
      <c r="S64" s="20"/>
      <c r="T64" s="20"/>
    </row>
    <row r="65" spans="1:20" x14ac:dyDescent="0.25">
      <c r="A65" s="9" t="s">
        <v>30</v>
      </c>
      <c r="B65" s="9"/>
      <c r="C65" s="9"/>
      <c r="D65" s="9"/>
      <c r="E65" s="9" t="s">
        <v>30</v>
      </c>
      <c r="F65" s="9"/>
      <c r="G65" s="9"/>
      <c r="H65" s="9"/>
      <c r="I65" s="9" t="s">
        <v>30</v>
      </c>
      <c r="J65" s="9"/>
      <c r="K65" s="9"/>
      <c r="L65" s="9"/>
      <c r="M65" s="9" t="s">
        <v>30</v>
      </c>
      <c r="N65" s="9"/>
      <c r="O65" s="9"/>
      <c r="P65" s="9"/>
      <c r="Q65" s="9" t="s">
        <v>30</v>
      </c>
      <c r="R65" s="9"/>
      <c r="S65" s="9"/>
      <c r="T65" s="9"/>
    </row>
    <row r="66" spans="1:20" x14ac:dyDescent="0.25">
      <c r="A66" s="9" t="s">
        <v>31</v>
      </c>
      <c r="B66" s="9"/>
      <c r="C66" s="9"/>
      <c r="D66" s="9"/>
      <c r="E66" s="9" t="s">
        <v>31</v>
      </c>
      <c r="F66" s="9"/>
      <c r="G66" s="9"/>
      <c r="H66" s="9"/>
      <c r="I66" s="9" t="s">
        <v>31</v>
      </c>
      <c r="J66" s="9"/>
      <c r="K66" s="9"/>
      <c r="L66" s="9"/>
      <c r="M66" s="9" t="s">
        <v>31</v>
      </c>
      <c r="N66" s="9"/>
      <c r="O66" s="9"/>
      <c r="P66" s="9"/>
      <c r="Q66" s="9" t="s">
        <v>31</v>
      </c>
      <c r="R66" s="9"/>
      <c r="S66" s="9"/>
      <c r="T66" s="9"/>
    </row>
    <row r="67" spans="1:20" s="262" customFormat="1" x14ac:dyDescent="0.25">
      <c r="A67" s="9" t="s">
        <v>1032</v>
      </c>
      <c r="B67" s="9"/>
      <c r="C67" s="9"/>
      <c r="D67" s="9"/>
      <c r="E67" s="9" t="s">
        <v>1032</v>
      </c>
      <c r="F67" s="9"/>
      <c r="G67" s="9"/>
      <c r="H67" s="9"/>
      <c r="I67" s="9" t="s">
        <v>1032</v>
      </c>
      <c r="J67" s="9"/>
      <c r="K67" s="9"/>
      <c r="L67" s="9"/>
      <c r="M67" s="9" t="s">
        <v>1032</v>
      </c>
      <c r="N67" s="9"/>
      <c r="O67" s="9"/>
      <c r="P67" s="9"/>
      <c r="Q67" s="9" t="s">
        <v>1032</v>
      </c>
      <c r="R67" s="9"/>
      <c r="S67" s="9"/>
      <c r="T67" s="9"/>
    </row>
    <row r="68" spans="1:20" x14ac:dyDescent="0.25">
      <c r="A68" s="10" t="str">
        <f>"  - '&amp;7• &amp;8Nivel: &amp;a"&amp;MAIN!$C$49+($C$2*MAIN!$I$27)&amp;"'"</f>
        <v xml:space="preserve">  - '&amp;7• &amp;8Nivel: &amp;a38'</v>
      </c>
      <c r="B68" s="10"/>
      <c r="C68" s="10"/>
      <c r="D68" s="10"/>
      <c r="E68" s="10" t="str">
        <f>"  - '&amp;7• &amp;8Nivel: &amp;a"&amp;MAIN!$D$49+($C$2*MAIN!$I$27)&amp;"'"</f>
        <v xml:space="preserve">  - '&amp;7• &amp;8Nivel: &amp;a45'</v>
      </c>
      <c r="F68" s="10"/>
      <c r="G68" s="10"/>
      <c r="H68" s="10"/>
      <c r="I68" s="10" t="str">
        <f>"  - '&amp;7• &amp;8Nivel: &amp;a"&amp;MAIN!$E$49+($C$2*MAIN!$I$27)&amp;"'"</f>
        <v xml:space="preserve">  - '&amp;7• &amp;8Nivel: &amp;a67'</v>
      </c>
      <c r="J68" s="10"/>
      <c r="K68" s="10"/>
      <c r="L68" s="10"/>
      <c r="M68" s="10" t="str">
        <f>"  - '&amp;7• &amp;8Nivel: &amp;a"&amp;MAIN!$F$49+($C$2*MAIN!$I$27)&amp;"'"</f>
        <v xml:space="preserve">  - '&amp;7• &amp;8Nivel: &amp;a131'</v>
      </c>
      <c r="N68" s="10"/>
      <c r="O68" s="10"/>
      <c r="P68" s="10"/>
      <c r="Q68" s="10" t="str">
        <f>"  - '&amp;7• &amp;8Nivel: &amp;a"&amp;MAIN!$G$49+($C$2*MAIN!$I$27)&amp;"'"</f>
        <v xml:space="preserve">  - '&amp;7• &amp;8Nivel: &amp;a227'</v>
      </c>
      <c r="R68" s="10"/>
      <c r="S68" s="10"/>
      <c r="T68" s="10"/>
    </row>
    <row r="69" spans="1:20" x14ac:dyDescent="0.25">
      <c r="A69" s="12" t="str">
        <f>"  - '&amp;7• &amp;8"&amp;MAIN!$C$12&amp;" lvl: &amp;a"&amp;ROUNDUP((MAIN!$C$49+($C$2*MAIN!$I$27))/3,0)&amp;"'"</f>
        <v xml:space="preserve">  - '&amp;7• &amp;8Esencia lvl: &amp;a13'</v>
      </c>
      <c r="B69" s="12"/>
      <c r="C69" s="12"/>
      <c r="D69" s="12"/>
      <c r="E69" s="12" t="str">
        <f>"  - '&amp;7• &amp;8"&amp;MAIN!$C$12&amp;" lvl: &amp;a"&amp;ROUNDUP((MAIN!$D$49+($C$2*MAIN!$I$27))/3,0)&amp;"'"</f>
        <v xml:space="preserve">  - '&amp;7• &amp;8Esencia lvl: &amp;a15'</v>
      </c>
      <c r="F69" s="12"/>
      <c r="G69" s="12"/>
      <c r="H69" s="12"/>
      <c r="I69" s="12" t="str">
        <f>"  - '&amp;7• &amp;8"&amp;MAIN!$C$12&amp;" lvl: &amp;a"&amp;ROUNDUP((MAIN!$E$49+($C$2*MAIN!$I$27))/3,0)&amp;"'"</f>
        <v xml:space="preserve">  - '&amp;7• &amp;8Esencia lvl: &amp;a23'</v>
      </c>
      <c r="J69" s="12"/>
      <c r="K69" s="12"/>
      <c r="L69" s="12"/>
      <c r="M69" s="12" t="str">
        <f>"  - '&amp;7• &amp;8"&amp;MAIN!$C$12&amp;" lvl: &amp;a"&amp;ROUNDUP((MAIN!$F$49+($C$2*MAIN!$I$27))/3,0)&amp;"'"</f>
        <v xml:space="preserve">  - '&amp;7• &amp;8Esencia lvl: &amp;a44'</v>
      </c>
      <c r="N69" s="12"/>
      <c r="O69" s="12"/>
      <c r="P69" s="12"/>
      <c r="Q69" s="12" t="str">
        <f>"  - '&amp;7• &amp;8"&amp;MAIN!$C$12&amp;" lvl: &amp;a"&amp;ROUNDUP((MAIN!$G$49+($C$2*MAIN!$I$27))/3,0)&amp;"'"</f>
        <v xml:space="preserve">  - '&amp;7• &amp;8Esencia lvl: &amp;a76'</v>
      </c>
      <c r="R69" s="12"/>
      <c r="S69" s="12"/>
      <c r="T69" s="12"/>
    </row>
    <row r="70" spans="1:20" x14ac:dyDescent="0.25">
      <c r="A70" s="9" t="s">
        <v>32</v>
      </c>
      <c r="B70" s="9"/>
      <c r="C70" s="9"/>
      <c r="D70" s="9"/>
      <c r="E70" s="9" t="s">
        <v>32</v>
      </c>
      <c r="F70" s="9"/>
      <c r="G70" s="9"/>
      <c r="H70" s="9"/>
      <c r="I70" s="9" t="s">
        <v>32</v>
      </c>
      <c r="J70" s="9"/>
      <c r="K70" s="9"/>
      <c r="L70" s="9"/>
      <c r="M70" s="9" t="s">
        <v>32</v>
      </c>
      <c r="N70" s="9"/>
      <c r="O70" s="9"/>
      <c r="P70" s="9"/>
      <c r="Q70" s="9" t="s">
        <v>32</v>
      </c>
      <c r="R70" s="9"/>
      <c r="S70" s="9"/>
      <c r="T70" s="9"/>
    </row>
    <row r="71" spans="1:20" s="291" customFormat="1" x14ac:dyDescent="0.25">
      <c r="A71" s="9" t="s">
        <v>1196</v>
      </c>
      <c r="B71" s="9"/>
      <c r="C71" s="9"/>
      <c r="D71" s="9"/>
      <c r="E71" s="9" t="str">
        <f>A71</f>
        <v xml:space="preserve">  - '%tierlore%'</v>
      </c>
      <c r="F71" s="9"/>
      <c r="G71" s="9"/>
      <c r="H71" s="9"/>
      <c r="I71" s="9" t="str">
        <f>E71</f>
        <v xml:space="preserve">  - '%tierlore%'</v>
      </c>
      <c r="J71" s="9"/>
      <c r="K71" s="9"/>
      <c r="L71" s="9"/>
      <c r="M71" s="9" t="str">
        <f>I71</f>
        <v xml:space="preserve">  - '%tierlore%'</v>
      </c>
      <c r="N71" s="9"/>
      <c r="O71" s="9"/>
      <c r="P71" s="9"/>
      <c r="Q71" s="9" t="str">
        <f>M71</f>
        <v xml:space="preserve">  - '%tierlore%'</v>
      </c>
      <c r="R71" s="9"/>
      <c r="S71" s="9"/>
      <c r="T71" s="9"/>
    </row>
    <row r="72" spans="1:20" x14ac:dyDescent="0.25">
      <c r="A72" s="9" t="s">
        <v>33</v>
      </c>
      <c r="B72" s="9"/>
      <c r="C72" s="9"/>
      <c r="D72" s="9"/>
      <c r="E72" s="9" t="s">
        <v>33</v>
      </c>
      <c r="F72" s="9"/>
      <c r="G72" s="9"/>
      <c r="H72" s="9"/>
      <c r="I72" s="9" t="s">
        <v>33</v>
      </c>
      <c r="J72" s="9"/>
      <c r="K72" s="9"/>
      <c r="L72" s="9"/>
      <c r="M72" s="9" t="s">
        <v>33</v>
      </c>
      <c r="N72" s="9"/>
      <c r="O72" s="9"/>
      <c r="P72" s="9"/>
      <c r="Q72" s="9" t="s">
        <v>33</v>
      </c>
      <c r="R72" s="9"/>
      <c r="S72" s="9"/>
      <c r="T72" s="9"/>
    </row>
    <row r="73" spans="1:20" x14ac:dyDescent="0.25">
      <c r="A73" s="10" t="str">
        <f>"  - '&amp;4• &amp;f"&amp;MAIN!$C$9&amp;": &amp;a"&amp;MAIN!$C$44*$C$2&amp;"'"</f>
        <v xml:space="preserve">  - '&amp;4• &amp;fFuerza: &amp;a14'</v>
      </c>
      <c r="B73" s="10"/>
      <c r="C73" s="10"/>
      <c r="D73" s="10"/>
      <c r="E73" s="10" t="str">
        <f>"  - '&amp;4• &amp;f"&amp;MAIN!$C$9&amp;": &amp;a"&amp;MAIN!$D$44*$C$2&amp;"'"</f>
        <v xml:space="preserve">  - '&amp;4• &amp;fFuerza: &amp;a42'</v>
      </c>
      <c r="F73" s="10"/>
      <c r="G73" s="10"/>
      <c r="H73" s="10"/>
      <c r="I73" s="10" t="str">
        <f>"  - '&amp;4• &amp;f"&amp;MAIN!$C$9&amp;": &amp;a"&amp;MAIN!$E$44*$C$2&amp;"'"</f>
        <v xml:space="preserve">  - '&amp;4• &amp;fFuerza: &amp;a126'</v>
      </c>
      <c r="J73" s="10"/>
      <c r="K73" s="10"/>
      <c r="L73" s="10"/>
      <c r="M73" s="10" t="str">
        <f>"  - '&amp;4• &amp;f"&amp;MAIN!$C$9&amp;": &amp;a"&amp;MAIN!$F$44*$C$2&amp;"'"</f>
        <v xml:space="preserve">  - '&amp;4• &amp;fFuerza: &amp;a378'</v>
      </c>
      <c r="N73" s="10"/>
      <c r="O73" s="10"/>
      <c r="P73" s="10"/>
      <c r="Q73" s="10" t="str">
        <f>"  - '&amp;4• &amp;f"&amp;MAIN!$C$9&amp;": &amp;a"&amp;MAIN!$G$44*$C$2&amp;"'"</f>
        <v xml:space="preserve">  - '&amp;4• &amp;fFuerza: &amp;a1134'</v>
      </c>
      <c r="R73" s="10"/>
      <c r="S73" s="10"/>
      <c r="T73" s="10"/>
    </row>
    <row r="74" spans="1:20" x14ac:dyDescent="0.25">
      <c r="A74" s="10" t="str">
        <f>"  - '&amp;4• &amp;f"&amp;MAIN!$C$8&amp;": &amp;a"&amp;MAIN!$C$43*$C$2&amp;"'"</f>
        <v xml:space="preserve">  - '&amp;4• &amp;fVitalidad: &amp;a14'</v>
      </c>
      <c r="B74" s="10"/>
      <c r="C74" s="10"/>
      <c r="D74" s="10"/>
      <c r="E74" s="10" t="str">
        <f>"  - '&amp;4• &amp;f"&amp;MAIN!$C$8&amp;": &amp;a"&amp;MAIN!$D$43*$C$2&amp;"'"</f>
        <v xml:space="preserve">  - '&amp;4• &amp;fVitalidad: &amp;a42'</v>
      </c>
      <c r="F74" s="10"/>
      <c r="G74" s="10"/>
      <c r="H74" s="10"/>
      <c r="I74" s="10" t="str">
        <f>"  - '&amp;4• &amp;f"&amp;MAIN!$C$8&amp;": &amp;a"&amp;MAIN!$E$43*$C$2&amp;"'"</f>
        <v xml:space="preserve">  - '&amp;4• &amp;fVitalidad: &amp;a126'</v>
      </c>
      <c r="J74" s="10"/>
      <c r="K74" s="10"/>
      <c r="L74" s="10"/>
      <c r="M74" s="10" t="str">
        <f>"  - '&amp;4• &amp;f"&amp;MAIN!$C$8&amp;": &amp;a"&amp;MAIN!$F$43*$C$2&amp;"'"</f>
        <v xml:space="preserve">  - '&amp;4• &amp;fVitalidad: &amp;a378'</v>
      </c>
      <c r="N74" s="10"/>
      <c r="O74" s="10"/>
      <c r="P74" s="10"/>
      <c r="Q74" s="10" t="str">
        <f>"  - '&amp;4• &amp;f"&amp;MAIN!$C$8&amp;": &amp;a"&amp;MAIN!$G$43*$C$2&amp;"'"</f>
        <v xml:space="preserve">  - '&amp;4• &amp;fVitalidad: &amp;a1134'</v>
      </c>
      <c r="R74" s="10"/>
      <c r="S74" s="10"/>
      <c r="T74" s="10"/>
    </row>
    <row r="75" spans="1:20" x14ac:dyDescent="0.25">
      <c r="A75" s="10" t="str">
        <f>"  - '&amp;4• &amp;f"&amp;MAIN!$C$11&amp;": &amp;a"&amp;MAIN!$C$43*$C$2&amp;"'"</f>
        <v xml:space="preserve">  - '&amp;4• &amp;fInteligencia: &amp;a14'</v>
      </c>
      <c r="B75" s="10"/>
      <c r="C75" s="10"/>
      <c r="D75" s="10"/>
      <c r="E75" s="10" t="str">
        <f>"  - '&amp;4• &amp;f"&amp;MAIN!$C$11&amp;": &amp;a"&amp;MAIN!$D$43*$C$2&amp;"'"</f>
        <v xml:space="preserve">  - '&amp;4• &amp;fInteligencia: &amp;a42'</v>
      </c>
      <c r="F75" s="10"/>
      <c r="G75" s="10"/>
      <c r="H75" s="10"/>
      <c r="I75" s="10" t="str">
        <f>"  - '&amp;4• &amp;f"&amp;MAIN!$C$11&amp;": &amp;a"&amp;MAIN!$E$43*$C$2&amp;"'"</f>
        <v xml:space="preserve">  - '&amp;4• &amp;fInteligencia: &amp;a126'</v>
      </c>
      <c r="J75" s="10"/>
      <c r="K75" s="10"/>
      <c r="L75" s="10"/>
      <c r="M75" s="10" t="str">
        <f>"  - '&amp;4• &amp;f"&amp;MAIN!$C$11&amp;": &amp;a"&amp;MAIN!$F$43*$C$2&amp;"'"</f>
        <v xml:space="preserve">  - '&amp;4• &amp;fInteligencia: &amp;a378'</v>
      </c>
      <c r="N75" s="10"/>
      <c r="O75" s="10"/>
      <c r="P75" s="10"/>
      <c r="Q75" s="10" t="str">
        <f>"  - '&amp;4• &amp;f"&amp;MAIN!$C$11&amp;": &amp;a"&amp;MAIN!$G$43*$C$2&amp;"'"</f>
        <v xml:space="preserve">  - '&amp;4• &amp;fInteligencia: &amp;a1134'</v>
      </c>
      <c r="R75" s="10"/>
      <c r="S75" s="10"/>
      <c r="T75" s="10"/>
    </row>
    <row r="76" spans="1:20" x14ac:dyDescent="0.25">
      <c r="A76" s="10" t="str">
        <f>"  - '&amp;4• &amp;f"&amp;MAIN!$C$10&amp;": &amp;a"&amp;MAIN!$C$45*$C$2&amp;"'"</f>
        <v xml:space="preserve">  - '&amp;4• &amp;fAgilidad: &amp;a14'</v>
      </c>
      <c r="B76" s="10"/>
      <c r="C76" s="10"/>
      <c r="D76" s="10"/>
      <c r="E76" s="10" t="str">
        <f>"  - '&amp;4• &amp;f"&amp;MAIN!$C$10&amp;": &amp;a"&amp;MAIN!$D$45*$C$2&amp;"'"</f>
        <v xml:space="preserve">  - '&amp;4• &amp;fAgilidad: &amp;a42'</v>
      </c>
      <c r="F76" s="10"/>
      <c r="G76" s="10"/>
      <c r="H76" s="10"/>
      <c r="I76" s="10" t="str">
        <f>"  - '&amp;4• &amp;f"&amp;MAIN!$C$10&amp;": &amp;a"&amp;MAIN!$E$45*$C$2&amp;"'"</f>
        <v xml:space="preserve">  - '&amp;4• &amp;fAgilidad: &amp;a126'</v>
      </c>
      <c r="J76" s="10"/>
      <c r="K76" s="10"/>
      <c r="L76" s="10"/>
      <c r="M76" s="10" t="str">
        <f>"  - '&amp;4• &amp;f"&amp;MAIN!$C$10&amp;": &amp;a"&amp;MAIN!$F$45*$C$2&amp;"'"</f>
        <v xml:space="preserve">  - '&amp;4• &amp;fAgilidad: &amp;a378'</v>
      </c>
      <c r="N76" s="10"/>
      <c r="O76" s="10"/>
      <c r="P76" s="10"/>
      <c r="Q76" s="10" t="str">
        <f>"  - '&amp;4• &amp;f"&amp;MAIN!$C$10&amp;": &amp;a"&amp;MAIN!$G$45*$C$2&amp;"'"</f>
        <v xml:space="preserve">  - '&amp;4• &amp;fAgilidad: &amp;a1134'</v>
      </c>
      <c r="R76" s="10"/>
      <c r="S76" s="10"/>
      <c r="T76" s="10"/>
    </row>
    <row r="77" spans="1:20" x14ac:dyDescent="0.25">
      <c r="A77" s="9" t="s">
        <v>71</v>
      </c>
      <c r="B77" s="9"/>
      <c r="C77" s="9"/>
      <c r="D77" s="9"/>
      <c r="E77" s="9" t="s">
        <v>71</v>
      </c>
      <c r="F77" s="9"/>
      <c r="G77" s="9"/>
      <c r="H77" s="9"/>
      <c r="I77" s="9" t="s">
        <v>71</v>
      </c>
      <c r="J77" s="9"/>
      <c r="K77" s="9"/>
      <c r="L77" s="9"/>
      <c r="M77" s="9" t="s">
        <v>71</v>
      </c>
      <c r="N77" s="9"/>
      <c r="O77" s="9"/>
      <c r="P77" s="9"/>
      <c r="Q77" s="9" t="s">
        <v>71</v>
      </c>
      <c r="R77" s="9"/>
      <c r="S77" s="9"/>
      <c r="T77" s="9"/>
    </row>
    <row r="78" spans="1:20" x14ac:dyDescent="0.25">
      <c r="A78" s="9" t="s">
        <v>72</v>
      </c>
      <c r="B78" s="9"/>
      <c r="C78" s="9"/>
      <c r="D78" s="9"/>
      <c r="E78" s="9" t="s">
        <v>72</v>
      </c>
      <c r="F78" s="9"/>
      <c r="G78" s="9"/>
      <c r="H78" s="9"/>
      <c r="I78" s="9" t="s">
        <v>72</v>
      </c>
      <c r="J78" s="9"/>
      <c r="K78" s="9"/>
      <c r="L78" s="9"/>
      <c r="M78" s="9" t="s">
        <v>72</v>
      </c>
      <c r="N78" s="9"/>
      <c r="O78" s="9"/>
      <c r="P78" s="9"/>
      <c r="Q78" s="9" t="s">
        <v>72</v>
      </c>
      <c r="R78" s="9"/>
      <c r="S78" s="9"/>
      <c r="T78" s="9"/>
    </row>
    <row r="79" spans="1:20" x14ac:dyDescent="0.25">
      <c r="A79" s="11" t="str">
        <f>"minimumSockets: "&amp;MAIN!$F$29</f>
        <v>minimumSockets: 2</v>
      </c>
      <c r="B79" s="11"/>
      <c r="C79" s="11"/>
      <c r="D79" s="11"/>
      <c r="E79" s="11" t="str">
        <f>$A$79</f>
        <v>minimumSockets: 2</v>
      </c>
      <c r="F79" s="11"/>
      <c r="G79" s="11"/>
      <c r="H79" s="11"/>
      <c r="I79" s="11" t="str">
        <f>$A$79</f>
        <v>minimumSockets: 2</v>
      </c>
      <c r="J79" s="11"/>
      <c r="K79" s="11"/>
      <c r="L79" s="11"/>
      <c r="M79" s="11" t="str">
        <f>$A$79</f>
        <v>minimumSockets: 2</v>
      </c>
      <c r="N79" s="11"/>
      <c r="O79" s="11"/>
      <c r="P79" s="11"/>
      <c r="Q79" s="11" t="str">
        <f>$A$79</f>
        <v>minimumSockets: 2</v>
      </c>
      <c r="R79" s="11"/>
      <c r="S79" s="11"/>
      <c r="T79" s="11"/>
    </row>
    <row r="80" spans="1:20" x14ac:dyDescent="0.25">
      <c r="A80" s="11" t="str">
        <f>"maximumSockets: "&amp;MAIN!$F$30</f>
        <v>maximumSockets: 3</v>
      </c>
      <c r="B80" s="11"/>
      <c r="C80" s="11"/>
      <c r="D80" s="11"/>
      <c r="E80" s="11" t="str">
        <f>$A$80</f>
        <v>maximumSockets: 3</v>
      </c>
      <c r="F80" s="11"/>
      <c r="G80" s="11"/>
      <c r="H80" s="11"/>
      <c r="I80" s="11" t="str">
        <f>$A$80</f>
        <v>maximumSockets: 3</v>
      </c>
      <c r="J80" s="11"/>
      <c r="K80" s="11"/>
      <c r="L80" s="11"/>
      <c r="M80" s="11" t="str">
        <f>$A$80</f>
        <v>maximumSockets: 3</v>
      </c>
      <c r="N80" s="11"/>
      <c r="O80" s="11"/>
      <c r="P80" s="11"/>
      <c r="Q80" s="11" t="str">
        <f>$A$80</f>
        <v>maximumSockets: 3</v>
      </c>
      <c r="R80" s="11"/>
      <c r="S80" s="11"/>
      <c r="T80" s="11"/>
    </row>
    <row r="81" spans="1:20" x14ac:dyDescent="0.25">
      <c r="A81" s="11" t="str">
        <f>"chanceToSpawnOnAMonster: "&amp;MAIN!$F$27</f>
        <v>chanceToSpawnOnAMonster: 0.075</v>
      </c>
      <c r="B81" s="11"/>
      <c r="C81" s="11"/>
      <c r="D81" s="11"/>
      <c r="E81" s="11" t="str">
        <f>$A$81</f>
        <v>chanceToSpawnOnAMonster: 0.075</v>
      </c>
      <c r="F81" s="11"/>
      <c r="G81" s="11"/>
      <c r="H81" s="11"/>
      <c r="I81" s="11" t="str">
        <f>$A$81</f>
        <v>chanceToSpawnOnAMonster: 0.075</v>
      </c>
      <c r="J81" s="11"/>
      <c r="K81" s="11"/>
      <c r="L81" s="11"/>
      <c r="M81" s="11" t="str">
        <f>$A$81</f>
        <v>chanceToSpawnOnAMonster: 0.075</v>
      </c>
      <c r="N81" s="11"/>
      <c r="O81" s="11"/>
      <c r="P81" s="11"/>
      <c r="Q81" s="11" t="str">
        <f>$A$81</f>
        <v>chanceToSpawnOnAMonster: 0.075</v>
      </c>
      <c r="R81" s="11"/>
      <c r="S81" s="11"/>
      <c r="T81" s="11"/>
    </row>
    <row r="82" spans="1:20" x14ac:dyDescent="0.25">
      <c r="A82" s="9" t="s">
        <v>34</v>
      </c>
      <c r="B82" s="9"/>
      <c r="C82" s="9"/>
      <c r="D82" s="9"/>
      <c r="E82" s="9" t="s">
        <v>34</v>
      </c>
      <c r="F82" s="9"/>
      <c r="G82" s="9"/>
      <c r="H82" s="9"/>
      <c r="I82" s="9" t="s">
        <v>34</v>
      </c>
      <c r="J82" s="9"/>
      <c r="K82" s="9"/>
      <c r="L82" s="9"/>
      <c r="M82" s="9" t="s">
        <v>34</v>
      </c>
      <c r="N82" s="9"/>
      <c r="O82" s="9"/>
      <c r="P82" s="9"/>
      <c r="Q82" s="9" t="s">
        <v>34</v>
      </c>
      <c r="R82" s="9"/>
      <c r="S82" s="9"/>
      <c r="T82" s="9"/>
    </row>
    <row r="83" spans="1:20" x14ac:dyDescent="0.25">
      <c r="A83" s="11" t="str">
        <f>"chanceToBeIdentified: "&amp;MAIN!$F$28</f>
        <v>chanceToBeIdentified: 0.0375</v>
      </c>
      <c r="B83" s="11"/>
      <c r="C83" s="11"/>
      <c r="D83" s="11"/>
      <c r="E83" s="11" t="str">
        <f>$A$83</f>
        <v>chanceToBeIdentified: 0.0375</v>
      </c>
      <c r="F83" s="11"/>
      <c r="G83" s="11"/>
      <c r="H83" s="11"/>
      <c r="I83" s="11" t="str">
        <f>$A$83</f>
        <v>chanceToBeIdentified: 0.0375</v>
      </c>
      <c r="J83" s="11"/>
      <c r="K83" s="11"/>
      <c r="L83" s="11"/>
      <c r="M83" s="11" t="str">
        <f>$A$83</f>
        <v>chanceToBeIdentified: 0.0375</v>
      </c>
      <c r="N83" s="11"/>
      <c r="O83" s="11"/>
      <c r="P83" s="11"/>
      <c r="Q83" s="11" t="str">
        <f>$A$83</f>
        <v>chanceToBeIdentified: 0.0375</v>
      </c>
      <c r="R83" s="11"/>
      <c r="S83" s="11"/>
      <c r="T83" s="11"/>
    </row>
    <row r="84" spans="1:20" x14ac:dyDescent="0.25">
      <c r="A84" s="9" t="s">
        <v>79</v>
      </c>
      <c r="B84" s="9"/>
      <c r="C84" s="9"/>
      <c r="D84" s="9"/>
      <c r="E84" s="9" t="s">
        <v>79</v>
      </c>
      <c r="F84" s="9"/>
      <c r="G84" s="9"/>
      <c r="H84" s="9"/>
      <c r="I84" s="9" t="s">
        <v>79</v>
      </c>
      <c r="J84" s="9"/>
      <c r="K84" s="9"/>
      <c r="L84" s="9"/>
      <c r="M84" s="9" t="s">
        <v>79</v>
      </c>
      <c r="N84" s="9"/>
      <c r="O84" s="9"/>
      <c r="P84" s="9"/>
      <c r="Q84" s="9" t="s">
        <v>79</v>
      </c>
      <c r="R84" s="9"/>
      <c r="S84" s="9"/>
      <c r="T84" s="9"/>
    </row>
    <row r="85" spans="1:20" x14ac:dyDescent="0.25">
      <c r="A85" s="11" t="str">
        <f>"broadcastOnFind: "&amp;$E$2</f>
        <v>broadcastOnFind: false</v>
      </c>
      <c r="B85" s="11"/>
      <c r="C85" s="11"/>
      <c r="D85" s="11"/>
      <c r="E85" s="11" t="str">
        <f>$A$85</f>
        <v>broadcastOnFind: false</v>
      </c>
      <c r="F85" s="11"/>
      <c r="G85" s="11"/>
      <c r="H85" s="11"/>
      <c r="I85" s="11" t="str">
        <f>$A$85</f>
        <v>broadcastOnFind: false</v>
      </c>
      <c r="J85" s="11"/>
      <c r="K85" s="11"/>
      <c r="L85" s="11"/>
      <c r="M85" s="11" t="str">
        <f>$A$85</f>
        <v>broadcastOnFind: false</v>
      </c>
      <c r="N85" s="11"/>
      <c r="O85" s="11"/>
      <c r="P85" s="11"/>
      <c r="Q85" s="11" t="str">
        <f>$A$85</f>
        <v>broadcastOnFind: false</v>
      </c>
      <c r="R85" s="11"/>
      <c r="S85" s="11"/>
      <c r="T85" s="11"/>
    </row>
    <row r="86" spans="1:20" x14ac:dyDescent="0.25">
      <c r="A86" s="11" t="str">
        <f>"optimalDistance: "&amp;MAIN!$F$39</f>
        <v>optimalDistance: 2700</v>
      </c>
      <c r="B86" s="11"/>
      <c r="C86" s="11"/>
      <c r="D86" s="11"/>
      <c r="E86" s="11" t="str">
        <f>$A$86</f>
        <v>optimalDistance: 2700</v>
      </c>
      <c r="F86" s="11"/>
      <c r="G86" s="11"/>
      <c r="H86" s="11"/>
      <c r="I86" s="11" t="str">
        <f>$A$86</f>
        <v>optimalDistance: 2700</v>
      </c>
      <c r="J86" s="11"/>
      <c r="K86" s="11"/>
      <c r="L86" s="11"/>
      <c r="M86" s="11" t="str">
        <f>$A$86</f>
        <v>optimalDistance: 2700</v>
      </c>
      <c r="N86" s="11"/>
      <c r="O86" s="11"/>
      <c r="P86" s="11"/>
      <c r="Q86" s="11" t="str">
        <f>$A$86</f>
        <v>optimalDistance: 2700</v>
      </c>
      <c r="R86" s="11"/>
      <c r="S86" s="11"/>
      <c r="T86" s="11"/>
    </row>
    <row r="87" spans="1:20" x14ac:dyDescent="0.25">
      <c r="A87" s="11" t="str">
        <f>"maximumDistance: "&amp;MAIN!$F$40</f>
        <v>maximumDistance: 1800</v>
      </c>
      <c r="B87" s="11"/>
      <c r="C87" s="11"/>
      <c r="D87" s="11"/>
      <c r="E87" s="11" t="str">
        <f>$A$87</f>
        <v>maximumDistance: 1800</v>
      </c>
      <c r="F87" s="11"/>
      <c r="G87" s="11"/>
      <c r="H87" s="11"/>
      <c r="I87" s="11" t="str">
        <f>$A$87</f>
        <v>maximumDistance: 1800</v>
      </c>
      <c r="J87" s="11"/>
      <c r="K87" s="11"/>
      <c r="L87" s="11"/>
      <c r="M87" s="11" t="str">
        <f>$A$87</f>
        <v>maximumDistance: 1800</v>
      </c>
      <c r="N87" s="11"/>
      <c r="O87" s="11"/>
      <c r="P87" s="11"/>
      <c r="Q87" s="11" t="str">
        <f>$A$87</f>
        <v>maximumDistance: 1800</v>
      </c>
      <c r="R87" s="11"/>
      <c r="S87" s="11"/>
      <c r="T87" s="11"/>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row r="190" spans="1:4" x14ac:dyDescent="0.25">
      <c r="A190" s="9"/>
      <c r="B190" s="9"/>
      <c r="C190" s="9"/>
      <c r="D190" s="9"/>
    </row>
    <row r="191" spans="1:4" x14ac:dyDescent="0.25">
      <c r="A191" s="9"/>
      <c r="B191" s="9"/>
      <c r="C191" s="9"/>
      <c r="D191"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0"/>
  <dimension ref="A1:Z191"/>
  <sheetViews>
    <sheetView topLeftCell="N65" workbookViewId="0">
      <selection activeCell="Q4" sqref="Q4:Q87"/>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104</v>
      </c>
      <c r="B2" s="293"/>
      <c r="C2" s="293">
        <f>'ECONOMIA &amp; PROFESIONES'!$Q$3</f>
        <v>7</v>
      </c>
      <c r="D2" s="293"/>
      <c r="E2" s="293" t="s">
        <v>81</v>
      </c>
      <c r="F2" s="293"/>
      <c r="G2" s="293" t="s">
        <v>3</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"+"&amp;ROUND(MAIN!$C$55*$C$2*$K$2/5*$U$4,0)&amp;" "&amp;$I$2</f>
        <v>+7 Armor</v>
      </c>
      <c r="W4" s="291" t="str">
        <f>"+"&amp;ROUND(MAIN!$D$55*$C$2*$K$2/5*$U$4,0)&amp;" "&amp;$I$2</f>
        <v>+11 Armor</v>
      </c>
      <c r="X4" s="291" t="str">
        <f>"+"&amp;ROUND(MAIN!$E$55*$C$2*$K$2/5*$U$4,0)&amp;" "&amp;$I$2</f>
        <v>+18 Armor</v>
      </c>
      <c r="Y4" s="291" t="str">
        <f>"+"&amp;ROUND(MAIN!$F$55*$C$2*$K$2/5*$U$4,0)&amp;" "&amp;$I$2</f>
        <v>+31 Armor</v>
      </c>
      <c r="Z4" s="291"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"+"&amp;ROUND(MAIN!$C$55*$C$2*$K$2/5*$U$5,0)&amp;" "&amp;$I$2</f>
        <v>+14 Armor</v>
      </c>
      <c r="W5" s="291" t="str">
        <f>"+"&amp;ROUND(MAIN!$D$55*$C$2*$K$2/5*$U$5,0)&amp;" "&amp;$I$2</f>
        <v>+22 Armor</v>
      </c>
      <c r="X5" s="291" t="str">
        <f>"+"&amp;ROUND(MAIN!$E$55*$C$2*$K$2/5*$U$5,0)&amp;" "&amp;$I$2</f>
        <v>+36 Armor</v>
      </c>
      <c r="Y5" s="291" t="str">
        <f>"+"&amp;ROUND(MAIN!$F$55*$C$2*$K$2/5*$U$5,0)&amp;" "&amp;$I$2</f>
        <v>+62 Armor</v>
      </c>
      <c r="Z5" s="291"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+21 Armor</v>
      </c>
      <c r="W6" s="291" t="str">
        <f>"+"&amp;ROUND(MAIN!$D$55*$C$2*$K$2/5*$U$6,0)&amp;" "&amp;$I$2</f>
        <v>+34 Armor</v>
      </c>
      <c r="X6" s="291" t="str">
        <f>"+"&amp;ROUND(MAIN!$E$55*$C$2*$K$2/5*$U$6,0)&amp;" "&amp;$I$2</f>
        <v>+55 Armor</v>
      </c>
      <c r="Y6" s="291" t="str">
        <f>"+"&amp;ROUND(MAIN!$F$55*$C$2*$K$2/5*$U$6,0)&amp;" "&amp;$I$2</f>
        <v>+92 Armor</v>
      </c>
      <c r="Z6" s="291"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+28 Armor</v>
      </c>
      <c r="W7" s="291" t="str">
        <f>"+"&amp;ROUND(MAIN!$D$55*$C$2*$K$2/5*$U$7,0)&amp;" "&amp;$I$2</f>
        <v>+45 Armor</v>
      </c>
      <c r="X7" s="291" t="str">
        <f>"+"&amp;ROUND(MAIN!$E$55*$C$2*$K$2/5*$U$7,0)&amp;" "&amp;$I$2</f>
        <v>+73 Armor</v>
      </c>
      <c r="Y7" s="291" t="str">
        <f>"+"&amp;ROUND(MAIN!$F$55*$C$2*$K$2/5*$U$7,0)&amp;" "&amp;$I$2</f>
        <v>+123 Armor</v>
      </c>
      <c r="Z7" s="291"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+35 Armor</v>
      </c>
      <c r="W8" s="291" t="str">
        <f>"+"&amp;ROUND(MAIN!$D$55*$C$2*$K$2/5*$U$8,0)&amp;" "&amp;$I$2</f>
        <v>+56 Armor</v>
      </c>
      <c r="X8" s="291" t="str">
        <f>"+"&amp;ROUND(MAIN!$E$55*$C$2*$K$2/5*$U$8,0)&amp;" "&amp;$I$2</f>
        <v>+91 Armor</v>
      </c>
      <c r="Y8" s="291" t="str">
        <f>"+"&amp;ROUND(MAIN!$F$55*$C$2*$K$2/5*$U$8,0)&amp;" "&amp;$I$2</f>
        <v>+154 Armor</v>
      </c>
      <c r="Z8" s="291"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$A$38</f>
        <v xml:space="preserve">  - ARROW_INFINITE:3:5</v>
      </c>
      <c r="J15" s="22"/>
      <c r="K15" s="22"/>
      <c r="L15" s="22"/>
      <c r="M15" s="22" t="str">
        <f>$A$38</f>
        <v xml:space="preserve">  - ARROW_INFINITE:3:5</v>
      </c>
      <c r="N15" s="22"/>
      <c r="O15" s="22"/>
      <c r="P15" s="22"/>
      <c r="Q15" s="22" t="str">
        <f>$A$38</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$A$39</f>
        <v xml:space="preserve">  - ARROW_DAMAGE:3:5</v>
      </c>
      <c r="J16" s="22"/>
      <c r="K16" s="22"/>
      <c r="L16" s="22"/>
      <c r="M16" s="22" t="str">
        <f>$A$39</f>
        <v xml:space="preserve">  - ARROW_DAMAGE:3:5</v>
      </c>
      <c r="N16" s="22"/>
      <c r="O16" s="22"/>
      <c r="P16" s="22"/>
      <c r="Q16" s="22" t="str">
        <f>$A$39</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$A$40</f>
        <v xml:space="preserve">  - ARROW_FIRE:3:5</v>
      </c>
      <c r="J17" s="22"/>
      <c r="K17" s="22"/>
      <c r="L17" s="22"/>
      <c r="M17" s="22" t="str">
        <f>$A$40</f>
        <v xml:space="preserve">  - ARROW_FIRE:3:5</v>
      </c>
      <c r="N17" s="22"/>
      <c r="O17" s="22"/>
      <c r="P17" s="22"/>
      <c r="Q17" s="22" t="str">
        <f>$A$40</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$A$41</f>
        <v xml:space="preserve">  - ARROW_KNOCKBACK:3:5</v>
      </c>
      <c r="J18" s="22"/>
      <c r="K18" s="22"/>
      <c r="L18" s="22"/>
      <c r="M18" s="22" t="str">
        <f>$A$41</f>
        <v xml:space="preserve">  - ARROW_KNOCKBACK:3:5</v>
      </c>
      <c r="N18" s="22"/>
      <c r="O18" s="22"/>
      <c r="P18" s="22"/>
      <c r="Q18" s="22" t="str">
        <f>$A$41</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$A$42</f>
        <v xml:space="preserve">  - DAMAGE_ALL:3:5</v>
      </c>
      <c r="J19" s="22"/>
      <c r="K19" s="22"/>
      <c r="L19" s="22"/>
      <c r="M19" s="22" t="str">
        <f>$A$42</f>
        <v xml:space="preserve">  - DAMAGE_ALL:3:5</v>
      </c>
      <c r="N19" s="22"/>
      <c r="O19" s="22"/>
      <c r="P19" s="22"/>
      <c r="Q19" s="22" t="str">
        <f>$A$42</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$A$43</f>
        <v xml:space="preserve">  - DAMAGE_ARTHROPODS:3:5</v>
      </c>
      <c r="J20" s="22"/>
      <c r="K20" s="22"/>
      <c r="L20" s="22"/>
      <c r="M20" s="22" t="str">
        <f>$A$43</f>
        <v xml:space="preserve">  - DAMAGE_ARTHROPODS:3:5</v>
      </c>
      <c r="N20" s="22"/>
      <c r="O20" s="22"/>
      <c r="P20" s="22"/>
      <c r="Q20" s="22" t="str">
        <f>$A$43</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$A$44</f>
        <v xml:space="preserve">  - DAMAGE_UNDEAD:3:5</v>
      </c>
      <c r="J21" s="22"/>
      <c r="K21" s="22"/>
      <c r="L21" s="22"/>
      <c r="M21" s="22" t="str">
        <f>$A$44</f>
        <v xml:space="preserve">  - DAMAGE_UNDEAD:3:5</v>
      </c>
      <c r="N21" s="22"/>
      <c r="O21" s="22"/>
      <c r="P21" s="22"/>
      <c r="Q21" s="22" t="str">
        <f>$A$44</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$A$45</f>
        <v xml:space="preserve">  - DIG_SPEED:3:5</v>
      </c>
      <c r="J22" s="22"/>
      <c r="K22" s="22"/>
      <c r="L22" s="22"/>
      <c r="M22" s="22" t="str">
        <f>$A$45</f>
        <v xml:space="preserve">  - DIG_SPEED:3:5</v>
      </c>
      <c r="N22" s="22"/>
      <c r="O22" s="22"/>
      <c r="P22" s="22"/>
      <c r="Q22" s="22" t="str">
        <f>$A$45</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$A$46</f>
        <v xml:space="preserve">  - DURABILITY:3:5</v>
      </c>
      <c r="J23" s="22"/>
      <c r="K23" s="22"/>
      <c r="L23" s="22"/>
      <c r="M23" s="22" t="str">
        <f>$A$46</f>
        <v xml:space="preserve">  - DURABILITY:3:5</v>
      </c>
      <c r="N23" s="22"/>
      <c r="O23" s="22"/>
      <c r="P23" s="22"/>
      <c r="Q23" s="22" t="str">
        <f>$A$46</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$A$47</f>
        <v xml:space="preserve">  - FIRE_ASPECT:3:5</v>
      </c>
      <c r="J24" s="22"/>
      <c r="K24" s="22"/>
      <c r="L24" s="22"/>
      <c r="M24" s="22" t="str">
        <f>$A$47</f>
        <v xml:space="preserve">  - FIRE_ASPECT:3:5</v>
      </c>
      <c r="N24" s="22"/>
      <c r="O24" s="22"/>
      <c r="P24" s="22"/>
      <c r="Q24" s="22" t="str">
        <f>$A$47</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$A$48</f>
        <v xml:space="preserve">  - KNOCKBACK:3:5</v>
      </c>
      <c r="J25" s="22"/>
      <c r="K25" s="22"/>
      <c r="L25" s="22"/>
      <c r="M25" s="22" t="str">
        <f>$A$48</f>
        <v xml:space="preserve">  - KNOCKBACK:3:5</v>
      </c>
      <c r="N25" s="22"/>
      <c r="O25" s="22"/>
      <c r="P25" s="22"/>
      <c r="Q25" s="22" t="str">
        <f>$A$48</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$A$49</f>
        <v xml:space="preserve">  - LOOT_BONUS_BLOCKS:3:5</v>
      </c>
      <c r="J26" s="22"/>
      <c r="K26" s="22"/>
      <c r="L26" s="22"/>
      <c r="M26" s="22" t="str">
        <f>$A$49</f>
        <v xml:space="preserve">  - LOOT_BONUS_BLOCKS:3:5</v>
      </c>
      <c r="N26" s="22"/>
      <c r="O26" s="22"/>
      <c r="P26" s="22"/>
      <c r="Q26" s="22" t="str">
        <f>$A$49</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$A$50</f>
        <v xml:space="preserve">  - LOOT_BONUS_MOBS:3:5</v>
      </c>
      <c r="J27" s="22"/>
      <c r="K27" s="22"/>
      <c r="L27" s="22"/>
      <c r="M27" s="22" t="str">
        <f>$A$50</f>
        <v xml:space="preserve">  - LOOT_BONUS_MOBS:3:5</v>
      </c>
      <c r="N27" s="22"/>
      <c r="O27" s="22"/>
      <c r="P27" s="22"/>
      <c r="Q27" s="22" t="str">
        <f>$A$50</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$A$51</f>
        <v xml:space="preserve">  - OXYGEN:3:5</v>
      </c>
      <c r="J28" s="22"/>
      <c r="K28" s="22"/>
      <c r="L28" s="22"/>
      <c r="M28" s="22" t="str">
        <f>$A$51</f>
        <v xml:space="preserve">  - OXYGEN:3:5</v>
      </c>
      <c r="N28" s="22"/>
      <c r="O28" s="22"/>
      <c r="P28" s="22"/>
      <c r="Q28" s="22" t="str">
        <f>$A$51</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$A$52</f>
        <v xml:space="preserve">  - PROTECTION_ENVIRONMENT:3:5</v>
      </c>
      <c r="J29" s="22"/>
      <c r="K29" s="22"/>
      <c r="L29" s="22"/>
      <c r="M29" s="22" t="str">
        <f>$A$52</f>
        <v xml:space="preserve">  - PROTECTION_ENVIRONMENT:3:5</v>
      </c>
      <c r="N29" s="22"/>
      <c r="O29" s="22"/>
      <c r="P29" s="22"/>
      <c r="Q29" s="22" t="str">
        <f>$A$52</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$A$53</f>
        <v xml:space="preserve">  - PROTECTION_EXPLOSIONS:3:5</v>
      </c>
      <c r="J30" s="22"/>
      <c r="K30" s="22"/>
      <c r="L30" s="22"/>
      <c r="M30" s="22" t="str">
        <f>$A$53</f>
        <v xml:space="preserve">  - PROTECTION_EXPLOSIONS:3:5</v>
      </c>
      <c r="N30" s="22"/>
      <c r="O30" s="22"/>
      <c r="P30" s="22"/>
      <c r="Q30" s="22" t="str">
        <f>$A$53</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$A$54</f>
        <v xml:space="preserve">  - PROTECTION_FALL:3:5</v>
      </c>
      <c r="J31" s="22"/>
      <c r="K31" s="22"/>
      <c r="L31" s="22"/>
      <c r="M31" s="22" t="str">
        <f>$A$54</f>
        <v xml:space="preserve">  - PROTECTION_FALL:3:5</v>
      </c>
      <c r="N31" s="22"/>
      <c r="O31" s="22"/>
      <c r="P31" s="22"/>
      <c r="Q31" s="22" t="str">
        <f>$A$54</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$A$55</f>
        <v xml:space="preserve">  - PROTECTION_FIRE:3:5</v>
      </c>
      <c r="J32" s="22"/>
      <c r="K32" s="22"/>
      <c r="L32" s="22"/>
      <c r="M32" s="22" t="str">
        <f>$A$55</f>
        <v xml:space="preserve">  - PROTECTION_FIRE:3:5</v>
      </c>
      <c r="N32" s="22"/>
      <c r="O32" s="22"/>
      <c r="P32" s="22"/>
      <c r="Q32" s="22" t="str">
        <f>$A$55</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$A$56</f>
        <v xml:space="preserve">  - PROTECTION_PROJECTILE:3:5</v>
      </c>
      <c r="J33" s="22"/>
      <c r="K33" s="22"/>
      <c r="L33" s="22"/>
      <c r="M33" s="22" t="str">
        <f>$A$56</f>
        <v xml:space="preserve">  - PROTECTION_PROJECTILE:3:5</v>
      </c>
      <c r="N33" s="22"/>
      <c r="O33" s="22"/>
      <c r="P33" s="22"/>
      <c r="Q33" s="22" t="str">
        <f>$A$56</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$A$57</f>
        <v xml:space="preserve">  - SILK_TOUCH:3:5</v>
      </c>
      <c r="J34" s="22"/>
      <c r="K34" s="22"/>
      <c r="L34" s="22"/>
      <c r="M34" s="22" t="str">
        <f>$A$57</f>
        <v xml:space="preserve">  - SILK_TOUCH:3:5</v>
      </c>
      <c r="N34" s="22"/>
      <c r="O34" s="22"/>
      <c r="P34" s="22"/>
      <c r="Q34" s="22" t="str">
        <f>$A$57</f>
        <v xml:space="preserve">  - SILK_TOUCH:3:5</v>
      </c>
      <c r="R34" s="22"/>
      <c r="S34" s="22"/>
      <c r="T34" s="22"/>
    </row>
    <row r="35" spans="1:20" x14ac:dyDescent="0.25">
      <c r="A35" s="22" t="str">
        <f>'armas legendario'!$A$35</f>
        <v xml:space="preserve">  - THORNS:3:5</v>
      </c>
      <c r="B35" s="22"/>
      <c r="C35" s="22"/>
      <c r="D35" s="22"/>
      <c r="E35" s="22" t="str">
        <f>$A$35</f>
        <v xml:space="preserve">  - THORNS:3:5</v>
      </c>
      <c r="F35" s="22"/>
      <c r="G35" s="22"/>
      <c r="H35" s="22"/>
      <c r="I35" s="22" t="str">
        <f>$A$58</f>
        <v xml:space="preserve">  - THORNS:3:5</v>
      </c>
      <c r="J35" s="22"/>
      <c r="K35" s="22"/>
      <c r="L35" s="22"/>
      <c r="M35" s="22" t="str">
        <f>$A$58</f>
        <v xml:space="preserve">  - THORNS:3:5</v>
      </c>
      <c r="N35" s="22"/>
      <c r="O35" s="22"/>
      <c r="P35" s="22"/>
      <c r="Q35" s="22" t="str">
        <f>$A$58</f>
        <v xml:space="preserve">  - THORNS:3:5</v>
      </c>
      <c r="R35" s="22"/>
      <c r="S35" s="22"/>
      <c r="T35" s="22"/>
    </row>
    <row r="36" spans="1:20" x14ac:dyDescent="0.25">
      <c r="A36" s="22" t="str">
        <f>'armas legendario'!$A$36</f>
        <v xml:space="preserve">  - WATER_WORKER:3:5</v>
      </c>
      <c r="B36" s="22"/>
      <c r="C36" s="22"/>
      <c r="D36" s="22"/>
      <c r="E36" s="22" t="str">
        <f>$A$36</f>
        <v xml:space="preserve">  - WATER_WORKER:3:5</v>
      </c>
      <c r="F36" s="22"/>
      <c r="G36" s="22"/>
      <c r="H36" s="22"/>
      <c r="I36" s="22" t="str">
        <f>$A$59</f>
        <v xml:space="preserve">  - WATER_WORKER:3:5</v>
      </c>
      <c r="J36" s="22"/>
      <c r="K36" s="22"/>
      <c r="L36" s="22"/>
      <c r="M36" s="22" t="str">
        <f>$A$59</f>
        <v xml:space="preserve">  - WATER_WORKER:3:5</v>
      </c>
      <c r="N36" s="22"/>
      <c r="O36" s="22"/>
      <c r="P36" s="22"/>
      <c r="Q36" s="22" t="str">
        <f>$A$59</f>
        <v xml:space="preserve">  - WATER_WORKER:3:5</v>
      </c>
      <c r="R36" s="22"/>
      <c r="S36" s="22"/>
      <c r="T36" s="22"/>
    </row>
    <row r="37" spans="1:20" x14ac:dyDescent="0.25">
      <c r="A37" s="9" t="s">
        <v>101</v>
      </c>
      <c r="B37" s="9"/>
      <c r="C37" s="9"/>
      <c r="D37" s="9"/>
      <c r="E37" s="9" t="s">
        <v>101</v>
      </c>
      <c r="F37" s="9"/>
      <c r="G37" s="9"/>
      <c r="H37" s="9"/>
      <c r="I37" s="9" t="s">
        <v>101</v>
      </c>
      <c r="J37" s="9"/>
      <c r="K37" s="9"/>
      <c r="L37" s="9"/>
      <c r="M37" s="9" t="s">
        <v>101</v>
      </c>
      <c r="N37" s="9"/>
      <c r="O37" s="9"/>
      <c r="P37" s="9"/>
      <c r="Q37" s="9" t="s">
        <v>101</v>
      </c>
      <c r="R37" s="9"/>
      <c r="S37" s="9"/>
      <c r="T37" s="9"/>
    </row>
    <row r="38" spans="1:20" x14ac:dyDescent="0.25">
      <c r="A38" s="22" t="str">
        <f>$A$15</f>
        <v xml:space="preserve">  - ARROW_INFINITE:3:5</v>
      </c>
      <c r="B38" s="22"/>
      <c r="C38" s="22"/>
      <c r="D38" s="22"/>
      <c r="E38" s="22" t="str">
        <f>$A$38</f>
        <v xml:space="preserve">  - ARROW_INFINITE:3:5</v>
      </c>
      <c r="F38" s="22"/>
      <c r="G38" s="22"/>
      <c r="H38" s="22"/>
      <c r="I38" s="22" t="str">
        <f>$A$38</f>
        <v xml:space="preserve">  - ARROW_INFINITE:3:5</v>
      </c>
      <c r="J38" s="22"/>
      <c r="K38" s="22"/>
      <c r="L38" s="22"/>
      <c r="M38" s="22" t="str">
        <f>$A$38</f>
        <v xml:space="preserve">  - ARROW_INFINITE:3:5</v>
      </c>
      <c r="N38" s="22"/>
      <c r="O38" s="22"/>
      <c r="P38" s="22"/>
      <c r="Q38" s="22" t="str">
        <f>$A$38</f>
        <v xml:space="preserve">  - ARROW_INFINITE:3:5</v>
      </c>
      <c r="R38" s="22"/>
      <c r="S38" s="22"/>
      <c r="T38" s="22"/>
    </row>
    <row r="39" spans="1:20" x14ac:dyDescent="0.25">
      <c r="A39" s="22" t="str">
        <f>$A$16</f>
        <v xml:space="preserve">  - ARROW_DAMAGE:3:5</v>
      </c>
      <c r="B39" s="22"/>
      <c r="C39" s="22"/>
      <c r="D39" s="22"/>
      <c r="E39" s="22" t="str">
        <f>$A$39</f>
        <v xml:space="preserve">  - ARROW_DAMAGE:3:5</v>
      </c>
      <c r="F39" s="22"/>
      <c r="G39" s="22"/>
      <c r="H39" s="22"/>
      <c r="I39" s="22" t="str">
        <f>$A$39</f>
        <v xml:space="preserve">  - ARROW_DAMAGE:3:5</v>
      </c>
      <c r="J39" s="22"/>
      <c r="K39" s="22"/>
      <c r="L39" s="22"/>
      <c r="M39" s="22" t="str">
        <f>$A$39</f>
        <v xml:space="preserve">  - ARROW_DAMAGE:3:5</v>
      </c>
      <c r="N39" s="22"/>
      <c r="O39" s="22"/>
      <c r="P39" s="22"/>
      <c r="Q39" s="22" t="str">
        <f>$A$39</f>
        <v xml:space="preserve">  - ARROW_DAMAGE:3:5</v>
      </c>
      <c r="R39" s="22"/>
      <c r="S39" s="22"/>
      <c r="T39" s="22"/>
    </row>
    <row r="40" spans="1:20" x14ac:dyDescent="0.25">
      <c r="A40" s="22" t="str">
        <f>$A$17</f>
        <v xml:space="preserve">  - ARROW_FIRE:3:5</v>
      </c>
      <c r="B40" s="22"/>
      <c r="C40" s="22"/>
      <c r="D40" s="22"/>
      <c r="E40" s="22" t="str">
        <f>$A$40</f>
        <v xml:space="preserve">  - ARROW_FIRE:3:5</v>
      </c>
      <c r="F40" s="22"/>
      <c r="G40" s="22"/>
      <c r="H40" s="22"/>
      <c r="I40" s="22" t="str">
        <f>$A$40</f>
        <v xml:space="preserve">  - ARROW_FIRE:3:5</v>
      </c>
      <c r="J40" s="22"/>
      <c r="K40" s="22"/>
      <c r="L40" s="22"/>
      <c r="M40" s="22" t="str">
        <f>$A$40</f>
        <v xml:space="preserve">  - ARROW_FIRE:3:5</v>
      </c>
      <c r="N40" s="22"/>
      <c r="O40" s="22"/>
      <c r="P40" s="22"/>
      <c r="Q40" s="22" t="str">
        <f>$A$40</f>
        <v xml:space="preserve">  - ARROW_FIRE:3:5</v>
      </c>
      <c r="R40" s="22"/>
      <c r="S40" s="22"/>
      <c r="T40" s="22"/>
    </row>
    <row r="41" spans="1:20" x14ac:dyDescent="0.25">
      <c r="A41" s="22" t="str">
        <f>$A$18</f>
        <v xml:space="preserve">  - ARROW_KNOCKBACK:3:5</v>
      </c>
      <c r="B41" s="22"/>
      <c r="C41" s="22"/>
      <c r="D41" s="22"/>
      <c r="E41" s="22" t="str">
        <f>$A$41</f>
        <v xml:space="preserve">  - ARROW_KNOCKBACK:3:5</v>
      </c>
      <c r="F41" s="22"/>
      <c r="G41" s="22"/>
      <c r="H41" s="22"/>
      <c r="I41" s="22" t="str">
        <f>$A$41</f>
        <v xml:space="preserve">  - ARROW_KNOCKBACK:3:5</v>
      </c>
      <c r="J41" s="22"/>
      <c r="K41" s="22"/>
      <c r="L41" s="22"/>
      <c r="M41" s="22" t="str">
        <f>$A$41</f>
        <v xml:space="preserve">  - ARROW_KNOCKBACK:3:5</v>
      </c>
      <c r="N41" s="22"/>
      <c r="O41" s="22"/>
      <c r="P41" s="22"/>
      <c r="Q41" s="22" t="str">
        <f>$A$41</f>
        <v xml:space="preserve">  - ARROW_KNOCKBACK:3:5</v>
      </c>
      <c r="R41" s="22"/>
      <c r="S41" s="22"/>
      <c r="T41" s="22"/>
    </row>
    <row r="42" spans="1:20" x14ac:dyDescent="0.25">
      <c r="A42" s="22" t="str">
        <f>$A$19</f>
        <v xml:space="preserve">  - DAMAGE_ALL:3:5</v>
      </c>
      <c r="B42" s="22"/>
      <c r="C42" s="22"/>
      <c r="D42" s="22"/>
      <c r="E42" s="22" t="str">
        <f>$A$42</f>
        <v xml:space="preserve">  - DAMAGE_ALL:3:5</v>
      </c>
      <c r="F42" s="22"/>
      <c r="G42" s="22"/>
      <c r="H42" s="22"/>
      <c r="I42" s="22" t="str">
        <f>$A$42</f>
        <v xml:space="preserve">  - DAMAGE_ALL:3:5</v>
      </c>
      <c r="J42" s="22"/>
      <c r="K42" s="22"/>
      <c r="L42" s="22"/>
      <c r="M42" s="22" t="str">
        <f>$A$42</f>
        <v xml:space="preserve">  - DAMAGE_ALL:3:5</v>
      </c>
      <c r="N42" s="22"/>
      <c r="O42" s="22"/>
      <c r="P42" s="22"/>
      <c r="Q42" s="22" t="str">
        <f>$A$42</f>
        <v xml:space="preserve">  - DAMAGE_ALL:3:5</v>
      </c>
      <c r="R42" s="22"/>
      <c r="S42" s="22"/>
      <c r="T42" s="22"/>
    </row>
    <row r="43" spans="1:20" x14ac:dyDescent="0.25">
      <c r="A43" s="22" t="str">
        <f>$A$20</f>
        <v xml:space="preserve">  - DAMAGE_ARTHROPODS:3:5</v>
      </c>
      <c r="B43" s="22"/>
      <c r="C43" s="22"/>
      <c r="D43" s="22"/>
      <c r="E43" s="22" t="str">
        <f>$A$43</f>
        <v xml:space="preserve">  - DAMAGE_ARTHROPODS:3:5</v>
      </c>
      <c r="F43" s="22"/>
      <c r="G43" s="22"/>
      <c r="H43" s="22"/>
      <c r="I43" s="22" t="str">
        <f>$A$43</f>
        <v xml:space="preserve">  - DAMAGE_ARTHROPODS:3:5</v>
      </c>
      <c r="J43" s="22"/>
      <c r="K43" s="22"/>
      <c r="L43" s="22"/>
      <c r="M43" s="22" t="str">
        <f>$A$43</f>
        <v xml:space="preserve">  - DAMAGE_ARTHROPODS:3:5</v>
      </c>
      <c r="N43" s="22"/>
      <c r="O43" s="22"/>
      <c r="P43" s="22"/>
      <c r="Q43" s="22" t="str">
        <f>$A$43</f>
        <v xml:space="preserve">  - DAMAGE_ARTHROPODS:3:5</v>
      </c>
      <c r="R43" s="22"/>
      <c r="S43" s="22"/>
      <c r="T43" s="22"/>
    </row>
    <row r="44" spans="1:20" x14ac:dyDescent="0.25">
      <c r="A44" s="22" t="str">
        <f>$A$21</f>
        <v xml:space="preserve">  - DAMAGE_UNDEAD:3:5</v>
      </c>
      <c r="B44" s="22"/>
      <c r="C44" s="22"/>
      <c r="D44" s="22"/>
      <c r="E44" s="22" t="str">
        <f>$A$44</f>
        <v xml:space="preserve">  - DAMAGE_UNDEAD:3:5</v>
      </c>
      <c r="F44" s="22"/>
      <c r="G44" s="22"/>
      <c r="H44" s="22"/>
      <c r="I44" s="22" t="str">
        <f>$A$44</f>
        <v xml:space="preserve">  - DAMAGE_UNDEAD:3:5</v>
      </c>
      <c r="J44" s="22"/>
      <c r="K44" s="22"/>
      <c r="L44" s="22"/>
      <c r="M44" s="22" t="str">
        <f>$A$44</f>
        <v xml:space="preserve">  - DAMAGE_UNDEAD:3:5</v>
      </c>
      <c r="N44" s="22"/>
      <c r="O44" s="22"/>
      <c r="P44" s="22"/>
      <c r="Q44" s="22" t="str">
        <f>$A$44</f>
        <v xml:space="preserve">  - DAMAGE_UNDEAD:3:5</v>
      </c>
      <c r="R44" s="22"/>
      <c r="S44" s="22"/>
      <c r="T44" s="22"/>
    </row>
    <row r="45" spans="1:20" x14ac:dyDescent="0.25">
      <c r="A45" s="22" t="str">
        <f>$A$22</f>
        <v xml:space="preserve">  - DIG_SPEED:3:5</v>
      </c>
      <c r="B45" s="22"/>
      <c r="C45" s="22"/>
      <c r="D45" s="22"/>
      <c r="E45" s="22" t="str">
        <f>$A$45</f>
        <v xml:space="preserve">  - DIG_SPEED:3:5</v>
      </c>
      <c r="F45" s="22"/>
      <c r="G45" s="22"/>
      <c r="H45" s="22"/>
      <c r="I45" s="22" t="str">
        <f>$A$45</f>
        <v xml:space="preserve">  - DIG_SPEED:3:5</v>
      </c>
      <c r="J45" s="22"/>
      <c r="K45" s="22"/>
      <c r="L45" s="22"/>
      <c r="M45" s="22" t="str">
        <f>$A$45</f>
        <v xml:space="preserve">  - DIG_SPEED:3:5</v>
      </c>
      <c r="N45" s="22"/>
      <c r="O45" s="22"/>
      <c r="P45" s="22"/>
      <c r="Q45" s="22" t="str">
        <f>$A$45</f>
        <v xml:space="preserve">  - DIG_SPEED:3:5</v>
      </c>
      <c r="R45" s="22"/>
      <c r="S45" s="22"/>
      <c r="T45" s="22"/>
    </row>
    <row r="46" spans="1:20" x14ac:dyDescent="0.25">
      <c r="A46" s="22" t="str">
        <f>$A$23</f>
        <v xml:space="preserve">  - DURABILITY:3:5</v>
      </c>
      <c r="B46" s="22"/>
      <c r="C46" s="22"/>
      <c r="D46" s="22"/>
      <c r="E46" s="22" t="str">
        <f>$A$46</f>
        <v xml:space="preserve">  - DURABILITY:3:5</v>
      </c>
      <c r="F46" s="22"/>
      <c r="G46" s="22"/>
      <c r="H46" s="22"/>
      <c r="I46" s="22" t="str">
        <f>$A$46</f>
        <v xml:space="preserve">  - DURABILITY:3:5</v>
      </c>
      <c r="J46" s="22"/>
      <c r="K46" s="22"/>
      <c r="L46" s="22"/>
      <c r="M46" s="22" t="str">
        <f>$A$46</f>
        <v xml:space="preserve">  - DURABILITY:3:5</v>
      </c>
      <c r="N46" s="22"/>
      <c r="O46" s="22"/>
      <c r="P46" s="22"/>
      <c r="Q46" s="22" t="str">
        <f>$A$46</f>
        <v xml:space="preserve">  - DURABILITY:3:5</v>
      </c>
      <c r="R46" s="22"/>
      <c r="S46" s="22"/>
      <c r="T46" s="22"/>
    </row>
    <row r="47" spans="1:20" x14ac:dyDescent="0.25">
      <c r="A47" s="22" t="str">
        <f>$A$24</f>
        <v xml:space="preserve">  - FIRE_ASPECT:3:5</v>
      </c>
      <c r="B47" s="22"/>
      <c r="C47" s="22"/>
      <c r="D47" s="22"/>
      <c r="E47" s="22" t="str">
        <f>$A$47</f>
        <v xml:space="preserve">  - FIRE_ASPECT:3:5</v>
      </c>
      <c r="F47" s="22"/>
      <c r="G47" s="22"/>
      <c r="H47" s="22"/>
      <c r="I47" s="22" t="str">
        <f>$A$47</f>
        <v xml:space="preserve">  - FIRE_ASPECT:3:5</v>
      </c>
      <c r="J47" s="22"/>
      <c r="K47" s="22"/>
      <c r="L47" s="22"/>
      <c r="M47" s="22" t="str">
        <f>$A$47</f>
        <v xml:space="preserve">  - FIRE_ASPECT:3:5</v>
      </c>
      <c r="N47" s="22"/>
      <c r="O47" s="22"/>
      <c r="P47" s="22"/>
      <c r="Q47" s="22" t="str">
        <f>$A$47</f>
        <v xml:space="preserve">  - FIRE_ASPECT:3:5</v>
      </c>
      <c r="R47" s="22"/>
      <c r="S47" s="22"/>
      <c r="T47" s="22"/>
    </row>
    <row r="48" spans="1:20" x14ac:dyDescent="0.25">
      <c r="A48" s="22" t="str">
        <f>$A$25</f>
        <v xml:space="preserve">  - KNOCKBACK:3:5</v>
      </c>
      <c r="B48" s="22"/>
      <c r="C48" s="22"/>
      <c r="D48" s="22"/>
      <c r="E48" s="22" t="str">
        <f>$A$48</f>
        <v xml:space="preserve">  - KNOCKBACK:3:5</v>
      </c>
      <c r="F48" s="22"/>
      <c r="G48" s="22"/>
      <c r="H48" s="22"/>
      <c r="I48" s="22" t="str">
        <f>$A$48</f>
        <v xml:space="preserve">  - KNOCKBACK:3:5</v>
      </c>
      <c r="J48" s="22"/>
      <c r="K48" s="22"/>
      <c r="L48" s="22"/>
      <c r="M48" s="22" t="str">
        <f>$A$48</f>
        <v xml:space="preserve">  - KNOCKBACK:3:5</v>
      </c>
      <c r="N48" s="22"/>
      <c r="O48" s="22"/>
      <c r="P48" s="22"/>
      <c r="Q48" s="22" t="str">
        <f>$A$48</f>
        <v xml:space="preserve">  - KNOCKBACK:3:5</v>
      </c>
      <c r="R48" s="22"/>
      <c r="S48" s="22"/>
      <c r="T48" s="22"/>
    </row>
    <row r="49" spans="1:20" x14ac:dyDescent="0.25">
      <c r="A49" s="22" t="str">
        <f>$A$26</f>
        <v xml:space="preserve">  - LOOT_BONUS_BLOCKS:3:5</v>
      </c>
      <c r="B49" s="22"/>
      <c r="C49" s="22"/>
      <c r="D49" s="22"/>
      <c r="E49" s="22" t="str">
        <f>$A$49</f>
        <v xml:space="preserve">  - LOOT_BONUS_BLOCKS:3:5</v>
      </c>
      <c r="F49" s="22"/>
      <c r="G49" s="22"/>
      <c r="H49" s="22"/>
      <c r="I49" s="22" t="str">
        <f>$A$49</f>
        <v xml:space="preserve">  - LOOT_BONUS_BLOCKS:3:5</v>
      </c>
      <c r="J49" s="22"/>
      <c r="K49" s="22"/>
      <c r="L49" s="22"/>
      <c r="M49" s="22" t="str">
        <f>$A$49</f>
        <v xml:space="preserve">  - LOOT_BONUS_BLOCKS:3:5</v>
      </c>
      <c r="N49" s="22"/>
      <c r="O49" s="22"/>
      <c r="P49" s="22"/>
      <c r="Q49" s="22" t="str">
        <f>$A$49</f>
        <v xml:space="preserve">  - LOOT_BONUS_BLOCKS:3:5</v>
      </c>
      <c r="R49" s="22"/>
      <c r="S49" s="22"/>
      <c r="T49" s="22"/>
    </row>
    <row r="50" spans="1:20" x14ac:dyDescent="0.25">
      <c r="A50" s="22" t="str">
        <f>$A$27</f>
        <v xml:space="preserve">  - LOOT_BONUS_MOBS:3:5</v>
      </c>
      <c r="B50" s="22"/>
      <c r="C50" s="22"/>
      <c r="D50" s="22"/>
      <c r="E50" s="22" t="str">
        <f>$A$50</f>
        <v xml:space="preserve">  - LOOT_BONUS_MOBS:3:5</v>
      </c>
      <c r="F50" s="22"/>
      <c r="G50" s="22"/>
      <c r="H50" s="22"/>
      <c r="I50" s="22" t="str">
        <f>$A$50</f>
        <v xml:space="preserve">  - LOOT_BONUS_MOBS:3:5</v>
      </c>
      <c r="J50" s="22"/>
      <c r="K50" s="22"/>
      <c r="L50" s="22"/>
      <c r="M50" s="22" t="str">
        <f>$A$50</f>
        <v xml:space="preserve">  - LOOT_BONUS_MOBS:3:5</v>
      </c>
      <c r="N50" s="22"/>
      <c r="O50" s="22"/>
      <c r="P50" s="22"/>
      <c r="Q50" s="22" t="str">
        <f>$A$50</f>
        <v xml:space="preserve">  - LOOT_BONUS_MOBS:3:5</v>
      </c>
      <c r="R50" s="22"/>
      <c r="S50" s="22"/>
      <c r="T50" s="22"/>
    </row>
    <row r="51" spans="1:20" x14ac:dyDescent="0.25">
      <c r="A51" s="22" t="str">
        <f>$A$28</f>
        <v xml:space="preserve">  - OXYGEN:3:5</v>
      </c>
      <c r="B51" s="22"/>
      <c r="C51" s="22"/>
      <c r="D51" s="22"/>
      <c r="E51" s="22" t="str">
        <f>$A$51</f>
        <v xml:space="preserve">  - OXYGEN:3:5</v>
      </c>
      <c r="F51" s="22"/>
      <c r="G51" s="22"/>
      <c r="H51" s="22"/>
      <c r="I51" s="22" t="str">
        <f>$A$51</f>
        <v xml:space="preserve">  - OXYGEN:3:5</v>
      </c>
      <c r="J51" s="22"/>
      <c r="K51" s="22"/>
      <c r="L51" s="22"/>
      <c r="M51" s="22" t="str">
        <f>$A$51</f>
        <v xml:space="preserve">  - OXYGEN:3:5</v>
      </c>
      <c r="N51" s="22"/>
      <c r="O51" s="22"/>
      <c r="P51" s="22"/>
      <c r="Q51" s="22" t="str">
        <f>$A$51</f>
        <v xml:space="preserve">  - OXYGEN:3:5</v>
      </c>
      <c r="R51" s="22"/>
      <c r="S51" s="22"/>
      <c r="T51" s="22"/>
    </row>
    <row r="52" spans="1:20" x14ac:dyDescent="0.25">
      <c r="A52" s="22" t="str">
        <f>$A$29</f>
        <v xml:space="preserve">  - PROTECTION_ENVIRONMENT:3:5</v>
      </c>
      <c r="B52" s="22"/>
      <c r="C52" s="22"/>
      <c r="D52" s="22"/>
      <c r="E52" s="22" t="str">
        <f>$A$52</f>
        <v xml:space="preserve">  - PROTECTION_ENVIRONMENT:3:5</v>
      </c>
      <c r="F52" s="22"/>
      <c r="G52" s="22"/>
      <c r="H52" s="22"/>
      <c r="I52" s="22" t="str">
        <f>$A$52</f>
        <v xml:space="preserve">  - PROTECTION_ENVIRONMENT:3:5</v>
      </c>
      <c r="J52" s="22"/>
      <c r="K52" s="22"/>
      <c r="L52" s="22"/>
      <c r="M52" s="22" t="str">
        <f>$A$52</f>
        <v xml:space="preserve">  - PROTECTION_ENVIRONMENT:3:5</v>
      </c>
      <c r="N52" s="22"/>
      <c r="O52" s="22"/>
      <c r="P52" s="22"/>
      <c r="Q52" s="22" t="str">
        <f>$A$52</f>
        <v xml:space="preserve">  - PROTECTION_ENVIRONMENT:3:5</v>
      </c>
      <c r="R52" s="22"/>
      <c r="S52" s="22"/>
      <c r="T52" s="22"/>
    </row>
    <row r="53" spans="1:20" x14ac:dyDescent="0.25">
      <c r="A53" s="22" t="str">
        <f>$A$30</f>
        <v xml:space="preserve">  - PROTECTION_EXPLOSIONS:3:5</v>
      </c>
      <c r="B53" s="22"/>
      <c r="C53" s="22"/>
      <c r="D53" s="22"/>
      <c r="E53" s="22" t="str">
        <f>$A$53</f>
        <v xml:space="preserve">  - PROTECTION_EXPLOSIONS:3:5</v>
      </c>
      <c r="F53" s="22"/>
      <c r="G53" s="22"/>
      <c r="H53" s="22"/>
      <c r="I53" s="22" t="str">
        <f>$A$53</f>
        <v xml:space="preserve">  - PROTECTION_EXPLOSIONS:3:5</v>
      </c>
      <c r="J53" s="22"/>
      <c r="K53" s="22"/>
      <c r="L53" s="22"/>
      <c r="M53" s="22" t="str">
        <f>$A$53</f>
        <v xml:space="preserve">  - PROTECTION_EXPLOSIONS:3:5</v>
      </c>
      <c r="N53" s="22"/>
      <c r="O53" s="22"/>
      <c r="P53" s="22"/>
      <c r="Q53" s="22" t="str">
        <f>$A$53</f>
        <v xml:space="preserve">  - PROTECTION_EXPLOSIONS:3:5</v>
      </c>
      <c r="R53" s="22"/>
      <c r="S53" s="22"/>
      <c r="T53" s="22"/>
    </row>
    <row r="54" spans="1:20" x14ac:dyDescent="0.25">
      <c r="A54" s="22" t="str">
        <f>$A$31</f>
        <v xml:space="preserve">  - PROTECTION_FALL:3:5</v>
      </c>
      <c r="B54" s="22"/>
      <c r="C54" s="22"/>
      <c r="D54" s="22"/>
      <c r="E54" s="22" t="str">
        <f>$A$54</f>
        <v xml:space="preserve">  - PROTECTION_FALL:3:5</v>
      </c>
      <c r="F54" s="22"/>
      <c r="G54" s="22"/>
      <c r="H54" s="22"/>
      <c r="I54" s="22" t="str">
        <f>$A$54</f>
        <v xml:space="preserve">  - PROTECTION_FALL:3:5</v>
      </c>
      <c r="J54" s="22"/>
      <c r="K54" s="22"/>
      <c r="L54" s="22"/>
      <c r="M54" s="22" t="str">
        <f>$A$54</f>
        <v xml:space="preserve">  - PROTECTION_FALL:3:5</v>
      </c>
      <c r="N54" s="22"/>
      <c r="O54" s="22"/>
      <c r="P54" s="22"/>
      <c r="Q54" s="22" t="str">
        <f>$A$54</f>
        <v xml:space="preserve">  - PROTECTION_FALL:3:5</v>
      </c>
      <c r="R54" s="22"/>
      <c r="S54" s="22"/>
      <c r="T54" s="22"/>
    </row>
    <row r="55" spans="1:20" x14ac:dyDescent="0.25">
      <c r="A55" s="22" t="str">
        <f>$A$32</f>
        <v xml:space="preserve">  - PROTECTION_FIRE:3:5</v>
      </c>
      <c r="B55" s="22"/>
      <c r="C55" s="22"/>
      <c r="D55" s="22"/>
      <c r="E55" s="22" t="str">
        <f>$A$55</f>
        <v xml:space="preserve">  - PROTECTION_FIRE:3:5</v>
      </c>
      <c r="F55" s="22"/>
      <c r="G55" s="22"/>
      <c r="H55" s="22"/>
      <c r="I55" s="22" t="str">
        <f>$A$55</f>
        <v xml:space="preserve">  - PROTECTION_FIRE:3:5</v>
      </c>
      <c r="J55" s="22"/>
      <c r="K55" s="22"/>
      <c r="L55" s="22"/>
      <c r="M55" s="22" t="str">
        <f>$A$55</f>
        <v xml:space="preserve">  - PROTECTION_FIRE:3:5</v>
      </c>
      <c r="N55" s="22"/>
      <c r="O55" s="22"/>
      <c r="P55" s="22"/>
      <c r="Q55" s="22" t="str">
        <f>$A$55</f>
        <v xml:space="preserve">  - PROTECTION_FIRE:3:5</v>
      </c>
      <c r="R55" s="22"/>
      <c r="S55" s="22"/>
      <c r="T55" s="22"/>
    </row>
    <row r="56" spans="1:20" x14ac:dyDescent="0.25">
      <c r="A56" s="22" t="str">
        <f>$A$33</f>
        <v xml:space="preserve">  - PROTECTION_PROJECTILE:3:5</v>
      </c>
      <c r="B56" s="22"/>
      <c r="C56" s="22"/>
      <c r="D56" s="22"/>
      <c r="E56" s="22" t="str">
        <f>$A$56</f>
        <v xml:space="preserve">  - PROTECTION_PROJECTILE:3:5</v>
      </c>
      <c r="F56" s="22"/>
      <c r="G56" s="22"/>
      <c r="H56" s="22"/>
      <c r="I56" s="22" t="str">
        <f>$A$56</f>
        <v xml:space="preserve">  - PROTECTION_PROJECTILE:3:5</v>
      </c>
      <c r="J56" s="22"/>
      <c r="K56" s="22"/>
      <c r="L56" s="22"/>
      <c r="M56" s="22" t="str">
        <f>$A$56</f>
        <v xml:space="preserve">  - PROTECTION_PROJECTILE:3:5</v>
      </c>
      <c r="N56" s="22"/>
      <c r="O56" s="22"/>
      <c r="P56" s="22"/>
      <c r="Q56" s="22" t="str">
        <f>$A$56</f>
        <v xml:space="preserve">  - PROTECTION_PROJECTILE:3:5</v>
      </c>
      <c r="R56" s="22"/>
      <c r="S56" s="22"/>
      <c r="T56" s="22"/>
    </row>
    <row r="57" spans="1:20" x14ac:dyDescent="0.25">
      <c r="A57" s="22" t="str">
        <f>$A$34</f>
        <v xml:space="preserve">  - SILK_TOUCH:3:5</v>
      </c>
      <c r="B57" s="22"/>
      <c r="C57" s="22"/>
      <c r="D57" s="22"/>
      <c r="E57" s="22" t="str">
        <f>$A$57</f>
        <v xml:space="preserve">  - SILK_TOUCH:3:5</v>
      </c>
      <c r="F57" s="22"/>
      <c r="G57" s="22"/>
      <c r="H57" s="22"/>
      <c r="I57" s="22" t="str">
        <f>$A$57</f>
        <v xml:space="preserve">  - SILK_TOUCH:3:5</v>
      </c>
      <c r="J57" s="22"/>
      <c r="K57" s="22"/>
      <c r="L57" s="22"/>
      <c r="M57" s="22" t="str">
        <f>$A$57</f>
        <v xml:space="preserve">  - SILK_TOUCH:3:5</v>
      </c>
      <c r="N57" s="22"/>
      <c r="O57" s="22"/>
      <c r="P57" s="22"/>
      <c r="Q57" s="22" t="str">
        <f>$A$57</f>
        <v xml:space="preserve">  - SILK_TOUCH:3:5</v>
      </c>
      <c r="R57" s="22"/>
      <c r="S57" s="22"/>
      <c r="T57" s="22"/>
    </row>
    <row r="58" spans="1:20" x14ac:dyDescent="0.25">
      <c r="A58" s="22" t="str">
        <f>$A$35</f>
        <v xml:space="preserve">  - THORNS:3:5</v>
      </c>
      <c r="B58" s="22"/>
      <c r="C58" s="22"/>
      <c r="D58" s="22"/>
      <c r="E58" s="22" t="str">
        <f>$A$58</f>
        <v xml:space="preserve">  - THORNS:3:5</v>
      </c>
      <c r="F58" s="22"/>
      <c r="G58" s="22"/>
      <c r="H58" s="22"/>
      <c r="I58" s="22" t="str">
        <f>$A$58</f>
        <v xml:space="preserve">  - THORNS:3:5</v>
      </c>
      <c r="J58" s="22"/>
      <c r="K58" s="22"/>
      <c r="L58" s="22"/>
      <c r="M58" s="22" t="str">
        <f>$A$58</f>
        <v xml:space="preserve">  - THORNS:3:5</v>
      </c>
      <c r="N58" s="22"/>
      <c r="O58" s="22"/>
      <c r="P58" s="22"/>
      <c r="Q58" s="22" t="str">
        <f>$A$58</f>
        <v xml:space="preserve">  - THORNS:3:5</v>
      </c>
      <c r="R58" s="22"/>
      <c r="S58" s="22"/>
      <c r="T58" s="22"/>
    </row>
    <row r="59" spans="1:20" x14ac:dyDescent="0.25">
      <c r="A59" s="22" t="str">
        <f>$A$36</f>
        <v xml:space="preserve">  - WATER_WORKER:3:5</v>
      </c>
      <c r="B59" s="22"/>
      <c r="C59" s="22"/>
      <c r="D59" s="22"/>
      <c r="E59" s="22" t="str">
        <f>$A$59</f>
        <v xml:space="preserve">  - WATER_WORKER:3:5</v>
      </c>
      <c r="F59" s="22"/>
      <c r="G59" s="22"/>
      <c r="H59" s="22"/>
      <c r="I59" s="22" t="str">
        <f>$A$59</f>
        <v xml:space="preserve">  - WATER_WORKER:3:5</v>
      </c>
      <c r="J59" s="22"/>
      <c r="K59" s="22"/>
      <c r="L59" s="22"/>
      <c r="M59" s="22" t="str">
        <f>$A$59</f>
        <v xml:space="preserve">  - WATER_WORKER:3:5</v>
      </c>
      <c r="N59" s="22"/>
      <c r="O59" s="22"/>
      <c r="P59" s="22"/>
      <c r="Q59" s="22" t="str">
        <f>$A$59</f>
        <v xml:space="preserve">  - WATER_WORKER:3:5</v>
      </c>
      <c r="R59" s="22"/>
      <c r="S59" s="22"/>
      <c r="T59" s="22"/>
    </row>
    <row r="60" spans="1:20" x14ac:dyDescent="0.25">
      <c r="A60" s="9" t="s">
        <v>28</v>
      </c>
      <c r="B60" s="9"/>
      <c r="C60" s="9"/>
      <c r="D60" s="9"/>
      <c r="E60" s="9" t="s">
        <v>28</v>
      </c>
      <c r="F60" s="9"/>
      <c r="G60" s="9"/>
      <c r="H60" s="9"/>
      <c r="I60" s="9" t="s">
        <v>28</v>
      </c>
      <c r="J60" s="9"/>
      <c r="K60" s="9"/>
      <c r="L60" s="9"/>
      <c r="M60" s="9" t="s">
        <v>28</v>
      </c>
      <c r="N60" s="9"/>
      <c r="O60" s="9"/>
      <c r="P60" s="9"/>
      <c r="Q60" s="9" t="s">
        <v>28</v>
      </c>
      <c r="R60" s="9"/>
      <c r="S60" s="9"/>
      <c r="T60" s="9"/>
    </row>
    <row r="61" spans="1:20" x14ac:dyDescent="0.25">
      <c r="A61" s="11" t="str">
        <f>'armas legendario'!$A$61</f>
        <v xml:space="preserve">  minimumBonusLore: 2</v>
      </c>
      <c r="B61" s="11"/>
      <c r="C61" s="11"/>
      <c r="D61" s="11"/>
      <c r="E61" s="11" t="str">
        <f t="shared" ref="E61" si="14">$A$61</f>
        <v xml:space="preserve">  minimumBonusLore: 2</v>
      </c>
      <c r="F61" s="11"/>
      <c r="G61" s="11"/>
      <c r="H61" s="11"/>
      <c r="I61" s="11" t="str">
        <f t="shared" ref="I61" si="15">$A$61</f>
        <v xml:space="preserve">  minimumBonusLore: 2</v>
      </c>
      <c r="J61" s="11"/>
      <c r="K61" s="11"/>
      <c r="L61" s="11"/>
      <c r="M61" s="11" t="str">
        <f t="shared" ref="M61" si="16">$A$61</f>
        <v xml:space="preserve">  minimumBonusLore: 2</v>
      </c>
      <c r="N61" s="11"/>
      <c r="O61" s="11"/>
      <c r="P61" s="11"/>
      <c r="Q61" s="11" t="str">
        <f t="shared" ref="Q61" si="17">$A$61</f>
        <v xml:space="preserve">  minimumBonusLore: 2</v>
      </c>
      <c r="R61" s="11"/>
      <c r="S61" s="11"/>
      <c r="T61" s="11"/>
    </row>
    <row r="62" spans="1:20" x14ac:dyDescent="0.25">
      <c r="A62" s="11" t="str">
        <f>'armas legendario'!$A$62</f>
        <v xml:space="preserve">  maximumBonusLore: 3</v>
      </c>
      <c r="B62" s="11"/>
      <c r="C62" s="11"/>
      <c r="D62" s="11"/>
      <c r="E62" s="11" t="str">
        <f t="shared" ref="E62" si="18">$A$62</f>
        <v xml:space="preserve">  maximumBonusLore: 3</v>
      </c>
      <c r="F62" s="11"/>
      <c r="G62" s="11"/>
      <c r="H62" s="11"/>
      <c r="I62" s="11" t="str">
        <f t="shared" ref="I62" si="19">$A$62</f>
        <v xml:space="preserve">  maximumBonusLore: 3</v>
      </c>
      <c r="J62" s="11"/>
      <c r="K62" s="11"/>
      <c r="L62" s="11"/>
      <c r="M62" s="11" t="str">
        <f t="shared" ref="M62" si="20">$A$62</f>
        <v xml:space="preserve">  maximumBonusLore: 3</v>
      </c>
      <c r="N62" s="11"/>
      <c r="O62" s="11"/>
      <c r="P62" s="11"/>
      <c r="Q62" s="11" t="str">
        <f t="shared" ref="Q62" si="21">$A$62</f>
        <v xml:space="preserve">  maximumBonusLore: 3</v>
      </c>
      <c r="R62" s="11"/>
      <c r="S62" s="11"/>
      <c r="T62" s="11"/>
    </row>
    <row r="63" spans="1:20" x14ac:dyDescent="0.25">
      <c r="A63" s="9" t="s">
        <v>29</v>
      </c>
      <c r="B63" s="9"/>
      <c r="C63" s="9"/>
      <c r="D63" s="9"/>
      <c r="E63" s="9" t="s">
        <v>29</v>
      </c>
      <c r="F63" s="9"/>
      <c r="G63" s="9"/>
      <c r="H63" s="9"/>
      <c r="I63" s="9" t="s">
        <v>29</v>
      </c>
      <c r="J63" s="9"/>
      <c r="K63" s="9"/>
      <c r="L63" s="9"/>
      <c r="M63" s="9" t="s">
        <v>29</v>
      </c>
      <c r="N63" s="9"/>
      <c r="O63" s="9"/>
      <c r="P63" s="9"/>
      <c r="Q63" s="9" t="s">
        <v>29</v>
      </c>
      <c r="R63" s="9"/>
      <c r="S63" s="9"/>
      <c r="T63" s="9"/>
    </row>
    <row r="64" spans="1:20" x14ac:dyDescent="0.25">
      <c r="A64" s="49" t="str">
        <f>"  - '&amp;aVenta: &amp;6"&amp;(MAIN!$F$2+(MAIN!$F$18+MAIN!$F$19)/2*MAIN!$B$9+(MAIN!$F$20+MAIN!$F$21)/2*MAIN!$B$8+(MAIN!$F$58*MAIN!$B$11)+($C$2*MAIN!$B$10))/10&amp;" &amp;aAlmakos'"</f>
        <v xml:space="preserve">  - '&amp;aVenta: &amp;6662.5 &amp;aAlmakos'</v>
      </c>
      <c r="B64" s="20"/>
      <c r="C64" s="20"/>
      <c r="D64" s="20"/>
      <c r="E64" s="20" t="str">
        <f>"  - '&amp;aVenta: &amp;6"&amp;(MAIN!$G$2+(MAIN!$F$18+MAIN!$F$19)/2*MAIN!$B$9+(MAIN!$F$20+MAIN!$F$21)/2*MAIN!$B$8+(MAIN!$F$58*MAIN!$B$11)+($C$2*MAIN!$B$10))/10&amp;" &amp;aAlmakos'"</f>
        <v xml:space="preserve">  - '&amp;aVenta: &amp;6762.5 &amp;aAlmakos'</v>
      </c>
      <c r="F64" s="20"/>
      <c r="G64" s="20"/>
      <c r="H64" s="20"/>
      <c r="I64" s="20" t="str">
        <f>"  - '&amp;aVenta: &amp;6"&amp;(MAIN!$H$2+(MAIN!$F$18+MAIN!$F$19)/2*MAIN!$B$9+(MAIN!$F$20+MAIN!$F$21)/2*MAIN!$B$8+(MAIN!$F$58*MAIN!$B$11)+($C$2*MAIN!$B$10))/10&amp;" &amp;aAlmakos'"</f>
        <v xml:space="preserve">  - '&amp;aVenta: &amp;6962.5 &amp;aAlmakos'</v>
      </c>
      <c r="J64" s="20"/>
      <c r="K64" s="20"/>
      <c r="L64" s="20"/>
      <c r="M64" s="20" t="str">
        <f>"  - '&amp;aVenta: &amp;6"&amp;(MAIN!$I$2+(MAIN!$F$18+MAIN!$F$19)/2*MAIN!$B$9+(MAIN!$F$20+MAIN!$F$21)/2*MAIN!$B$8+(MAIN!$F$58*MAIN!$B$11)+($C$2*MAIN!$B$10))/10&amp;" &amp;aAlmakos'"</f>
        <v xml:space="preserve">  - '&amp;aVenta: &amp;61362.5 &amp;aAlmakos'</v>
      </c>
      <c r="N64" s="20"/>
      <c r="O64" s="20"/>
      <c r="P64" s="20"/>
      <c r="Q64" s="20" t="str">
        <f>"  - '&amp;aVenta: &amp;6"&amp;(MAIN!$J$2+(MAIN!$F$18+MAIN!$F$19)/2*MAIN!$B$9+(MAIN!$F$20+MAIN!$F$21)/2*MAIN!$B$8+(MAIN!$F$58*MAIN!$B$11)+($C$2*MAIN!$B$10))/10&amp;" &amp;aAlmakos'"</f>
        <v xml:space="preserve">  - '&amp;aVenta: &amp;62162.5 &amp;aAlmakos'</v>
      </c>
      <c r="R64" s="20"/>
      <c r="S64" s="20"/>
      <c r="T64" s="20"/>
    </row>
    <row r="65" spans="1:20" x14ac:dyDescent="0.25">
      <c r="A65" s="9" t="s">
        <v>30</v>
      </c>
      <c r="B65" s="9"/>
      <c r="C65" s="9"/>
      <c r="D65" s="9"/>
      <c r="E65" s="9" t="s">
        <v>30</v>
      </c>
      <c r="F65" s="9"/>
      <c r="G65" s="9"/>
      <c r="H65" s="9"/>
      <c r="I65" s="9" t="s">
        <v>30</v>
      </c>
      <c r="J65" s="9"/>
      <c r="K65" s="9"/>
      <c r="L65" s="9"/>
      <c r="M65" s="9" t="s">
        <v>30</v>
      </c>
      <c r="N65" s="9"/>
      <c r="O65" s="9"/>
      <c r="P65" s="9"/>
      <c r="Q65" s="9" t="s">
        <v>30</v>
      </c>
      <c r="R65" s="9"/>
      <c r="S65" s="9"/>
      <c r="T65" s="9"/>
    </row>
    <row r="66" spans="1:20" x14ac:dyDescent="0.25">
      <c r="A66" s="9" t="s">
        <v>31</v>
      </c>
      <c r="B66" s="9"/>
      <c r="C66" s="9"/>
      <c r="D66" s="9"/>
      <c r="E66" s="9" t="s">
        <v>31</v>
      </c>
      <c r="F66" s="9"/>
      <c r="G66" s="9"/>
      <c r="H66" s="9"/>
      <c r="I66" s="9" t="s">
        <v>31</v>
      </c>
      <c r="J66" s="9"/>
      <c r="K66" s="9"/>
      <c r="L66" s="9"/>
      <c r="M66" s="9" t="s">
        <v>31</v>
      </c>
      <c r="N66" s="9"/>
      <c r="O66" s="9"/>
      <c r="P66" s="9"/>
      <c r="Q66" s="9" t="s">
        <v>31</v>
      </c>
      <c r="R66" s="9"/>
      <c r="S66" s="9"/>
      <c r="T66" s="9"/>
    </row>
    <row r="67" spans="1:20" s="262" customFormat="1" x14ac:dyDescent="0.25">
      <c r="A67" s="9" t="s">
        <v>1032</v>
      </c>
      <c r="B67" s="9"/>
      <c r="C67" s="9"/>
      <c r="D67" s="9"/>
      <c r="E67" s="9" t="s">
        <v>1032</v>
      </c>
      <c r="F67" s="9"/>
      <c r="G67" s="9"/>
      <c r="H67" s="9"/>
      <c r="I67" s="9" t="s">
        <v>1032</v>
      </c>
      <c r="J67" s="9"/>
      <c r="K67" s="9"/>
      <c r="L67" s="9"/>
      <c r="M67" s="9" t="s">
        <v>1032</v>
      </c>
      <c r="N67" s="9"/>
      <c r="O67" s="9"/>
      <c r="P67" s="9"/>
      <c r="Q67" s="9" t="s">
        <v>1032</v>
      </c>
      <c r="R67" s="9"/>
      <c r="S67" s="9"/>
      <c r="T67" s="9"/>
    </row>
    <row r="68" spans="1:20" x14ac:dyDescent="0.25">
      <c r="A68" s="10" t="str">
        <f>"  - '&amp;7• &amp;8Nivel: &amp;a"&amp;MAIN!$C$60+($C$2*MAIN!$I$27)&amp;"'"</f>
        <v xml:space="preserve">  - '&amp;7• &amp;8Nivel: &amp;a43'</v>
      </c>
      <c r="B68" s="10"/>
      <c r="C68" s="10"/>
      <c r="D68" s="10"/>
      <c r="E68" s="10" t="str">
        <f>"  - '&amp;7• &amp;8Nivel: &amp;a"&amp;MAIN!$D$60+($C$2*MAIN!$I$27)&amp;"'"</f>
        <v xml:space="preserve">  - '&amp;7• &amp;8Nivel: &amp;a61'</v>
      </c>
      <c r="F68" s="10"/>
      <c r="G68" s="10"/>
      <c r="H68" s="10"/>
      <c r="I68" s="10" t="str">
        <f>"  - '&amp;7• &amp;8Nivel: &amp;a"&amp;MAIN!$E$60+($C$2*MAIN!$I$27)&amp;"'"</f>
        <v xml:space="preserve">  - '&amp;7• &amp;8Nivel: &amp;a115'</v>
      </c>
      <c r="J68" s="10"/>
      <c r="K68" s="10"/>
      <c r="L68" s="10"/>
      <c r="M68" s="10" t="str">
        <f>"  - '&amp;7• &amp;8Nivel: &amp;a"&amp;MAIN!$F$60+($C$2*MAIN!$I$27)&amp;"'"</f>
        <v xml:space="preserve">  - '&amp;7• &amp;8Nivel: &amp;a275'</v>
      </c>
      <c r="N68" s="10"/>
      <c r="O68" s="10"/>
      <c r="P68" s="10"/>
      <c r="Q68" s="10" t="str">
        <f>"  - '&amp;7• &amp;8Nivel: &amp;a"&amp;MAIN!$G$60+($C$2*MAIN!$I$27)&amp;"'"</f>
        <v xml:space="preserve">  - '&amp;7• &amp;8Nivel: &amp;a515'</v>
      </c>
      <c r="R68" s="10"/>
      <c r="S68" s="10"/>
      <c r="T68" s="10"/>
    </row>
    <row r="69" spans="1:20" x14ac:dyDescent="0.25">
      <c r="A69" s="12" t="str">
        <f>"  - '&amp;7• &amp;8"&amp;MAIN!$C$12&amp;" lvl: &amp;a"&amp;ROUNDUP((MAIN!$C$60+($C$2*MAIN!$I$27))/3,0)&amp;"'"</f>
        <v xml:space="preserve">  - '&amp;7• &amp;8Esencia lvl: &amp;a15'</v>
      </c>
      <c r="B69" s="12"/>
      <c r="C69" s="12"/>
      <c r="D69" s="12"/>
      <c r="E69" s="12" t="str">
        <f>"  - '&amp;7• &amp;8"&amp;MAIN!$C$12&amp;" lvl: &amp;a"&amp;ROUNDUP((MAIN!$D$60+($C$2*MAIN!$I$27))/3,0)&amp;"'"</f>
        <v xml:space="preserve">  - '&amp;7• &amp;8Esencia lvl: &amp;a21'</v>
      </c>
      <c r="F69" s="12"/>
      <c r="G69" s="12"/>
      <c r="H69" s="12"/>
      <c r="I69" s="12" t="str">
        <f>"  - '&amp;7• &amp;8"&amp;MAIN!$C$12&amp;" lvl: &amp;a"&amp;ROUNDUP((MAIN!$E$60+($C$2*MAIN!$I$27))/3,0)&amp;"'"</f>
        <v xml:space="preserve">  - '&amp;7• &amp;8Esencia lvl: &amp;a39'</v>
      </c>
      <c r="J69" s="12"/>
      <c r="K69" s="12"/>
      <c r="L69" s="12"/>
      <c r="M69" s="12" t="str">
        <f>"  - '&amp;7• &amp;8"&amp;MAIN!$C$12&amp;" lvl: &amp;a"&amp;ROUNDUP((MAIN!$F$60+($C$2*MAIN!$I$27))/3,0)&amp;"'"</f>
        <v xml:space="preserve">  - '&amp;7• &amp;8Esencia lvl: &amp;a92'</v>
      </c>
      <c r="N69" s="12"/>
      <c r="O69" s="12"/>
      <c r="P69" s="12"/>
      <c r="Q69" s="12" t="str">
        <f>"  - '&amp;7• &amp;8"&amp;MAIN!$C$12&amp;" lvl: &amp;a"&amp;ROUNDUP((MAIN!$G$60+($C$2*MAIN!$I$27))/3,0)&amp;"'"</f>
        <v xml:space="preserve">  - '&amp;7• &amp;8Esencia lvl: &amp;a172'</v>
      </c>
      <c r="R69" s="12"/>
      <c r="S69" s="12"/>
      <c r="T69" s="12"/>
    </row>
    <row r="70" spans="1:20" x14ac:dyDescent="0.25">
      <c r="A70" s="9" t="s">
        <v>32</v>
      </c>
      <c r="B70" s="9"/>
      <c r="C70" s="9"/>
      <c r="D70" s="9"/>
      <c r="E70" s="9" t="s">
        <v>32</v>
      </c>
      <c r="F70" s="9"/>
      <c r="G70" s="9"/>
      <c r="H70" s="9"/>
      <c r="I70" s="9" t="s">
        <v>32</v>
      </c>
      <c r="J70" s="9"/>
      <c r="K70" s="9"/>
      <c r="L70" s="9"/>
      <c r="M70" s="9" t="s">
        <v>32</v>
      </c>
      <c r="N70" s="9"/>
      <c r="O70" s="9"/>
      <c r="P70" s="9"/>
      <c r="Q70" s="9" t="s">
        <v>32</v>
      </c>
      <c r="R70" s="9"/>
      <c r="S70" s="9"/>
      <c r="T70" s="9"/>
    </row>
    <row r="71" spans="1:20" s="291" customFormat="1" x14ac:dyDescent="0.25">
      <c r="A71" s="9" t="s">
        <v>1196</v>
      </c>
      <c r="B71" s="9"/>
      <c r="C71" s="9"/>
      <c r="D71" s="9"/>
      <c r="E71" s="9" t="str">
        <f>A71</f>
        <v xml:space="preserve">  - '%tierlore%'</v>
      </c>
      <c r="F71" s="9"/>
      <c r="G71" s="9"/>
      <c r="H71" s="9"/>
      <c r="I71" s="9" t="str">
        <f>E71</f>
        <v xml:space="preserve">  - '%tierlore%'</v>
      </c>
      <c r="J71" s="9"/>
      <c r="K71" s="9"/>
      <c r="L71" s="9"/>
      <c r="M71" s="9" t="str">
        <f>I71</f>
        <v xml:space="preserve">  - '%tierlore%'</v>
      </c>
      <c r="N71" s="9"/>
      <c r="O71" s="9"/>
      <c r="P71" s="9"/>
      <c r="Q71" s="9" t="str">
        <f>M71</f>
        <v xml:space="preserve">  - '%tierlore%'</v>
      </c>
      <c r="R71" s="9"/>
      <c r="S71" s="9"/>
      <c r="T71" s="9"/>
    </row>
    <row r="72" spans="1:20" x14ac:dyDescent="0.25">
      <c r="A72" s="9" t="s">
        <v>33</v>
      </c>
      <c r="B72" s="9"/>
      <c r="C72" s="9"/>
      <c r="D72" s="9"/>
      <c r="E72" s="9" t="s">
        <v>33</v>
      </c>
      <c r="F72" s="9"/>
      <c r="G72" s="9"/>
      <c r="H72" s="9"/>
      <c r="I72" s="9" t="s">
        <v>33</v>
      </c>
      <c r="J72" s="9"/>
      <c r="K72" s="9"/>
      <c r="L72" s="9"/>
      <c r="M72" s="9" t="s">
        <v>33</v>
      </c>
      <c r="N72" s="9"/>
      <c r="O72" s="9"/>
      <c r="P72" s="9"/>
      <c r="Q72" s="9" t="s">
        <v>33</v>
      </c>
      <c r="R72" s="9"/>
      <c r="S72" s="9"/>
      <c r="T72" s="9"/>
    </row>
    <row r="73" spans="1:20" x14ac:dyDescent="0.25">
      <c r="A73" s="10" t="str">
        <f>"  - '&amp;4• &amp;f"&amp;MAIN!$C$9&amp;": &amp;a"&amp;MAIN!$C$55*$C$2&amp;"'"</f>
        <v xml:space="preserve">  - '&amp;4• &amp;fFuerza: &amp;a35'</v>
      </c>
      <c r="B73" s="10"/>
      <c r="C73" s="10"/>
      <c r="D73" s="10"/>
      <c r="E73" s="10" t="str">
        <f>"  - '&amp;4• &amp;f"&amp;MAIN!$C$9&amp;": &amp;a"&amp;MAIN!$D$55*$C$2&amp;"'"</f>
        <v xml:space="preserve">  - '&amp;4• &amp;fFuerza: &amp;a56'</v>
      </c>
      <c r="F73" s="10"/>
      <c r="G73" s="10"/>
      <c r="H73" s="10"/>
      <c r="I73" s="10" t="str">
        <f>"  - '&amp;4• &amp;f"&amp;MAIN!$C$9&amp;": &amp;a"&amp;MAIN!$E$55*$C$2&amp;"'"</f>
        <v xml:space="preserve">  - '&amp;4• &amp;fFuerza: &amp;a91'</v>
      </c>
      <c r="J73" s="10"/>
      <c r="K73" s="10"/>
      <c r="L73" s="10"/>
      <c r="M73" s="10" t="str">
        <f>"  - '&amp;4• &amp;f"&amp;MAIN!$C$9&amp;": &amp;a"&amp;MAIN!$F$55*$C$2&amp;"'"</f>
        <v xml:space="preserve">  - '&amp;4• &amp;fFuerza: &amp;a154'</v>
      </c>
      <c r="N73" s="10"/>
      <c r="O73" s="10"/>
      <c r="P73" s="10"/>
      <c r="Q73" s="10" t="str">
        <f>"  - '&amp;4• &amp;f"&amp;MAIN!$C$9&amp;": &amp;a"&amp;MAIN!$G$55*$C$2&amp;"'"</f>
        <v xml:space="preserve">  - '&amp;4• &amp;fFuerza: &amp;a259'</v>
      </c>
      <c r="R73" s="10"/>
      <c r="S73" s="10"/>
      <c r="T73" s="10"/>
    </row>
    <row r="74" spans="1:20" x14ac:dyDescent="0.25">
      <c r="A74" s="10" t="str">
        <f>"  - '&amp;4• &amp;f"&amp;MAIN!$C$8&amp;": &amp;a"&amp;MAIN!$C$55*$C$2&amp;"'"</f>
        <v xml:space="preserve">  - '&amp;4• &amp;fVitalidad: &amp;a35'</v>
      </c>
      <c r="B74" s="10"/>
      <c r="C74" s="10"/>
      <c r="D74" s="10"/>
      <c r="E74" s="10" t="str">
        <f>"  - '&amp;4• &amp;f"&amp;MAIN!$C$8&amp;": &amp;a"&amp;MAIN!$D$55*$C$2&amp;"'"</f>
        <v xml:space="preserve">  - '&amp;4• &amp;fVitalidad: &amp;a56'</v>
      </c>
      <c r="F74" s="10"/>
      <c r="G74" s="10"/>
      <c r="H74" s="10"/>
      <c r="I74" s="10" t="str">
        <f>"  - '&amp;4• &amp;f"&amp;MAIN!$C$8&amp;": &amp;a"&amp;MAIN!$E$55*$C$2&amp;"'"</f>
        <v xml:space="preserve">  - '&amp;4• &amp;fVitalidad: &amp;a91'</v>
      </c>
      <c r="J74" s="10"/>
      <c r="K74" s="10"/>
      <c r="L74" s="10"/>
      <c r="M74" s="10" t="str">
        <f>"  - '&amp;4• &amp;f"&amp;MAIN!$C$8&amp;": &amp;a"&amp;MAIN!$F$55*$C$2&amp;"'"</f>
        <v xml:space="preserve">  - '&amp;4• &amp;fVitalidad: &amp;a154'</v>
      </c>
      <c r="N74" s="10"/>
      <c r="O74" s="10"/>
      <c r="P74" s="10"/>
      <c r="Q74" s="10" t="str">
        <f>"  - '&amp;4• &amp;f"&amp;MAIN!$C$8&amp;": &amp;a"&amp;MAIN!$G$55*$C$2&amp;"'"</f>
        <v xml:space="preserve">  - '&amp;4• &amp;fVitalidad: &amp;a259'</v>
      </c>
      <c r="R74" s="10"/>
      <c r="S74" s="10"/>
      <c r="T74" s="10"/>
    </row>
    <row r="75" spans="1:20" x14ac:dyDescent="0.25">
      <c r="A75" s="10" t="str">
        <f>"  - '&amp;4• &amp;f"&amp;MAIN!$C$11&amp;": &amp;a"&amp;MAIN!$C$54*$C$2&amp;"'"</f>
        <v xml:space="preserve">  - '&amp;4• &amp;fInteligencia: &amp;a35'</v>
      </c>
      <c r="B75" s="10"/>
      <c r="C75" s="10"/>
      <c r="D75" s="10"/>
      <c r="E75" s="10" t="str">
        <f>"  - '&amp;4• &amp;f"&amp;MAIN!$C$11&amp;": &amp;a"&amp;MAIN!$D$54*$C$2&amp;"'"</f>
        <v xml:space="preserve">  - '&amp;4• &amp;fInteligencia: &amp;a56'</v>
      </c>
      <c r="F75" s="10"/>
      <c r="G75" s="10"/>
      <c r="H75" s="10"/>
      <c r="I75" s="10" t="str">
        <f>"  - '&amp;4• &amp;f"&amp;MAIN!$C$11&amp;": &amp;a"&amp;MAIN!$E$54*$C$2&amp;"'"</f>
        <v xml:space="preserve">  - '&amp;4• &amp;fInteligencia: &amp;a91'</v>
      </c>
      <c r="J75" s="10"/>
      <c r="K75" s="10"/>
      <c r="L75" s="10"/>
      <c r="M75" s="10" t="str">
        <f>"  - '&amp;4• &amp;f"&amp;MAIN!$C$11&amp;": &amp;a"&amp;MAIN!$F$54*$C$2&amp;"'"</f>
        <v xml:space="preserve">  - '&amp;4• &amp;fInteligencia: &amp;a154'</v>
      </c>
      <c r="N75" s="10"/>
      <c r="O75" s="10"/>
      <c r="P75" s="10"/>
      <c r="Q75" s="10" t="str">
        <f>"  - '&amp;4• &amp;f"&amp;MAIN!$C$11&amp;": &amp;a"&amp;MAIN!$G$54*$C$2&amp;"'"</f>
        <v xml:space="preserve">  - '&amp;4• &amp;fInteligencia: &amp;a259'</v>
      </c>
      <c r="R75" s="10"/>
      <c r="S75" s="10"/>
      <c r="T75" s="10"/>
    </row>
    <row r="76" spans="1:20" x14ac:dyDescent="0.25">
      <c r="A76" s="10" t="str">
        <f>"  - '&amp;4• &amp;f"&amp;MAIN!$C$10&amp;": &amp;a"&amp;MAIN!$C$56*$C$2&amp;"'"</f>
        <v xml:space="preserve">  - '&amp;4• &amp;fAgilidad: &amp;a35'</v>
      </c>
      <c r="B76" s="10"/>
      <c r="C76" s="10"/>
      <c r="D76" s="10"/>
      <c r="E76" s="10" t="str">
        <f>"  - '&amp;4• &amp;f"&amp;MAIN!$C$10&amp;": &amp;a"&amp;MAIN!$D$56*$C$2&amp;"'"</f>
        <v xml:space="preserve">  - '&amp;4• &amp;fAgilidad: &amp;a56'</v>
      </c>
      <c r="F76" s="10"/>
      <c r="G76" s="10"/>
      <c r="H76" s="10"/>
      <c r="I76" s="10" t="str">
        <f>"  - '&amp;4• &amp;f"&amp;MAIN!$C$10&amp;": &amp;a"&amp;MAIN!$E$56*$C$2&amp;"'"</f>
        <v xml:space="preserve">  - '&amp;4• &amp;fAgilidad: &amp;a91'</v>
      </c>
      <c r="J76" s="10"/>
      <c r="K76" s="10"/>
      <c r="L76" s="10"/>
      <c r="M76" s="10" t="str">
        <f>"  - '&amp;4• &amp;f"&amp;MAIN!$C$10&amp;": &amp;a"&amp;MAIN!$F$56*$C$2&amp;"'"</f>
        <v xml:space="preserve">  - '&amp;4• &amp;fAgilidad: &amp;a154'</v>
      </c>
      <c r="N76" s="10"/>
      <c r="O76" s="10"/>
      <c r="P76" s="10"/>
      <c r="Q76" s="10" t="str">
        <f>"  - '&amp;4• &amp;f"&amp;MAIN!$C$10&amp;": &amp;a"&amp;MAIN!$G$56*$C$2&amp;"'"</f>
        <v xml:space="preserve">  - '&amp;4• &amp;fAgilidad: &amp;a259'</v>
      </c>
      <c r="R76" s="10"/>
      <c r="S76" s="10"/>
      <c r="T76" s="10"/>
    </row>
    <row r="77" spans="1:20" x14ac:dyDescent="0.25">
      <c r="A77" s="9" t="s">
        <v>71</v>
      </c>
      <c r="B77" s="9"/>
      <c r="C77" s="9"/>
      <c r="D77" s="9"/>
      <c r="E77" s="9" t="s">
        <v>71</v>
      </c>
      <c r="F77" s="9"/>
      <c r="G77" s="9"/>
      <c r="H77" s="9"/>
      <c r="I77" s="9" t="s">
        <v>71</v>
      </c>
      <c r="J77" s="9"/>
      <c r="K77" s="9"/>
      <c r="L77" s="9"/>
      <c r="M77" s="9" t="s">
        <v>71</v>
      </c>
      <c r="N77" s="9"/>
      <c r="O77" s="9"/>
      <c r="P77" s="9"/>
      <c r="Q77" s="9" t="s">
        <v>71</v>
      </c>
      <c r="R77" s="9"/>
      <c r="S77" s="9"/>
      <c r="T77" s="9"/>
    </row>
    <row r="78" spans="1:20" x14ac:dyDescent="0.25">
      <c r="A78" s="9" t="s">
        <v>72</v>
      </c>
      <c r="B78" s="9"/>
      <c r="C78" s="9"/>
      <c r="D78" s="9"/>
      <c r="E78" s="9" t="s">
        <v>72</v>
      </c>
      <c r="F78" s="9"/>
      <c r="G78" s="9"/>
      <c r="H78" s="9"/>
      <c r="I78" s="9" t="s">
        <v>72</v>
      </c>
      <c r="J78" s="9"/>
      <c r="K78" s="9"/>
      <c r="L78" s="9"/>
      <c r="M78" s="9" t="s">
        <v>72</v>
      </c>
      <c r="N78" s="9"/>
      <c r="O78" s="9"/>
      <c r="P78" s="9"/>
      <c r="Q78" s="9" t="s">
        <v>72</v>
      </c>
      <c r="R78" s="9"/>
      <c r="S78" s="9"/>
      <c r="T78" s="9"/>
    </row>
    <row r="79" spans="1:20" x14ac:dyDescent="0.25">
      <c r="A79" s="11" t="str">
        <f>'armas legendario'!$A$79</f>
        <v>minimumSockets: 2</v>
      </c>
      <c r="B79" s="11"/>
      <c r="C79" s="11"/>
      <c r="D79" s="11"/>
      <c r="E79" s="11" t="str">
        <f t="shared" ref="E79" si="22">$A$79</f>
        <v>minimumSockets: 2</v>
      </c>
      <c r="F79" s="11"/>
      <c r="G79" s="11"/>
      <c r="H79" s="11"/>
      <c r="I79" s="11" t="str">
        <f t="shared" ref="I79" si="23">$A$79</f>
        <v>minimumSockets: 2</v>
      </c>
      <c r="J79" s="11"/>
      <c r="K79" s="11"/>
      <c r="L79" s="11"/>
      <c r="M79" s="11" t="str">
        <f t="shared" ref="M79" si="24">$A$79</f>
        <v>minimumSockets: 2</v>
      </c>
      <c r="N79" s="11"/>
      <c r="O79" s="11"/>
      <c r="P79" s="11"/>
      <c r="Q79" s="11" t="str">
        <f t="shared" ref="Q79" si="25">$A$79</f>
        <v>minimumSockets: 2</v>
      </c>
      <c r="R79" s="11"/>
      <c r="S79" s="11"/>
      <c r="T79" s="11"/>
    </row>
    <row r="80" spans="1:20" x14ac:dyDescent="0.25">
      <c r="A80" s="11" t="str">
        <f>'armas legendario'!$A$80</f>
        <v>maximumSockets: 3</v>
      </c>
      <c r="B80" s="11"/>
      <c r="C80" s="11"/>
      <c r="D80" s="11"/>
      <c r="E80" s="11" t="str">
        <f t="shared" ref="E80" si="26">$A$80</f>
        <v>maximumSockets: 3</v>
      </c>
      <c r="F80" s="11"/>
      <c r="G80" s="11"/>
      <c r="H80" s="11"/>
      <c r="I80" s="11" t="str">
        <f t="shared" ref="I80" si="27">$A$80</f>
        <v>maximumSockets: 3</v>
      </c>
      <c r="J80" s="11"/>
      <c r="K80" s="11"/>
      <c r="L80" s="11"/>
      <c r="M80" s="11" t="str">
        <f t="shared" ref="M80" si="28">$A$80</f>
        <v>maximumSockets: 3</v>
      </c>
      <c r="N80" s="11"/>
      <c r="O80" s="11"/>
      <c r="P80" s="11"/>
      <c r="Q80" s="11" t="str">
        <f t="shared" ref="Q80" si="29">$A$80</f>
        <v>maximumSockets: 3</v>
      </c>
      <c r="R80" s="11"/>
      <c r="S80" s="11"/>
      <c r="T80" s="11"/>
    </row>
    <row r="81" spans="1:20" x14ac:dyDescent="0.25">
      <c r="A81" s="11" t="str">
        <f>'armas legendario'!$A$81</f>
        <v>chanceToSpawnOnAMonster: 0.075</v>
      </c>
      <c r="B81" s="11"/>
      <c r="C81" s="11"/>
      <c r="D81" s="11"/>
      <c r="E81" s="11" t="str">
        <f t="shared" ref="E81" si="30">$A$81</f>
        <v>chanceToSpawnOnAMonster: 0.075</v>
      </c>
      <c r="F81" s="11"/>
      <c r="G81" s="11"/>
      <c r="H81" s="11"/>
      <c r="I81" s="11" t="str">
        <f t="shared" ref="I81" si="31">$A$81</f>
        <v>chanceToSpawnOnAMonster: 0.075</v>
      </c>
      <c r="J81" s="11"/>
      <c r="K81" s="11"/>
      <c r="L81" s="11"/>
      <c r="M81" s="11" t="str">
        <f t="shared" ref="M81" si="32">$A$81</f>
        <v>chanceToSpawnOnAMonster: 0.075</v>
      </c>
      <c r="N81" s="11"/>
      <c r="O81" s="11"/>
      <c r="P81" s="11"/>
      <c r="Q81" s="11" t="str">
        <f t="shared" ref="Q81" si="33">$A$81</f>
        <v>chanceToSpawnOnAMonster: 0.075</v>
      </c>
      <c r="R81" s="11"/>
      <c r="S81" s="11"/>
      <c r="T81" s="11"/>
    </row>
    <row r="82" spans="1:20" x14ac:dyDescent="0.25">
      <c r="A82" s="9" t="s">
        <v>34</v>
      </c>
      <c r="B82" s="9"/>
      <c r="C82" s="9"/>
      <c r="D82" s="9"/>
      <c r="E82" s="9" t="s">
        <v>34</v>
      </c>
      <c r="F82" s="9"/>
      <c r="G82" s="9"/>
      <c r="H82" s="9"/>
      <c r="I82" s="9" t="s">
        <v>34</v>
      </c>
      <c r="J82" s="9"/>
      <c r="K82" s="9"/>
      <c r="L82" s="9"/>
      <c r="M82" s="9" t="s">
        <v>34</v>
      </c>
      <c r="N82" s="9"/>
      <c r="O82" s="9"/>
      <c r="P82" s="9"/>
      <c r="Q82" s="9" t="s">
        <v>34</v>
      </c>
      <c r="R82" s="9"/>
      <c r="S82" s="9"/>
      <c r="T82" s="9"/>
    </row>
    <row r="83" spans="1:20" x14ac:dyDescent="0.25">
      <c r="A83" s="11" t="str">
        <f>'armas legendario'!$A$83</f>
        <v>chanceToBeIdentified: 0.0375</v>
      </c>
      <c r="B83" s="11"/>
      <c r="C83" s="11"/>
      <c r="D83" s="11"/>
      <c r="E83" s="11" t="str">
        <f t="shared" ref="E83" si="34">$A$83</f>
        <v>chanceToBeIdentified: 0.0375</v>
      </c>
      <c r="F83" s="11"/>
      <c r="G83" s="11"/>
      <c r="H83" s="11"/>
      <c r="I83" s="11" t="str">
        <f t="shared" ref="I83" si="35">$A$83</f>
        <v>chanceToBeIdentified: 0.0375</v>
      </c>
      <c r="J83" s="11"/>
      <c r="K83" s="11"/>
      <c r="L83" s="11"/>
      <c r="M83" s="11" t="str">
        <f t="shared" ref="M83" si="36">$A$83</f>
        <v>chanceToBeIdentified: 0.0375</v>
      </c>
      <c r="N83" s="11"/>
      <c r="O83" s="11"/>
      <c r="P83" s="11"/>
      <c r="Q83" s="11" t="str">
        <f t="shared" ref="Q83" si="37">$A$83</f>
        <v>chanceToBeIdentified: 0.0375</v>
      </c>
      <c r="R83" s="11"/>
      <c r="S83" s="11"/>
      <c r="T83" s="11"/>
    </row>
    <row r="84" spans="1:20" x14ac:dyDescent="0.25">
      <c r="A84" s="9" t="s">
        <v>79</v>
      </c>
      <c r="B84" s="9"/>
      <c r="C84" s="9"/>
      <c r="D84" s="9"/>
      <c r="E84" s="9" t="s">
        <v>79</v>
      </c>
      <c r="F84" s="9"/>
      <c r="G84" s="9"/>
      <c r="H84" s="9"/>
      <c r="I84" s="9" t="s">
        <v>79</v>
      </c>
      <c r="J84" s="9"/>
      <c r="K84" s="9"/>
      <c r="L84" s="9"/>
      <c r="M84" s="9" t="s">
        <v>79</v>
      </c>
      <c r="N84" s="9"/>
      <c r="O84" s="9"/>
      <c r="P84" s="9"/>
      <c r="Q84" s="9" t="s">
        <v>79</v>
      </c>
      <c r="R84" s="9"/>
      <c r="S84" s="9"/>
      <c r="T84" s="9"/>
    </row>
    <row r="85" spans="1:20" x14ac:dyDescent="0.25">
      <c r="A85" s="11" t="str">
        <f>'armas legendario'!$A$85</f>
        <v>broadcastOnFind: false</v>
      </c>
      <c r="B85" s="11"/>
      <c r="C85" s="11"/>
      <c r="D85" s="11"/>
      <c r="E85" s="11" t="str">
        <f>$A$85</f>
        <v>broadcastOnFind: false</v>
      </c>
      <c r="F85" s="11"/>
      <c r="G85" s="11"/>
      <c r="H85" s="11"/>
      <c r="I85" s="11" t="str">
        <f>$A$85</f>
        <v>broadcastOnFind: false</v>
      </c>
      <c r="J85" s="11"/>
      <c r="K85" s="11"/>
      <c r="L85" s="11"/>
      <c r="M85" s="11" t="str">
        <f>$A$85</f>
        <v>broadcastOnFind: false</v>
      </c>
      <c r="N85" s="11"/>
      <c r="O85" s="11"/>
      <c r="P85" s="11"/>
      <c r="Q85" s="11" t="str">
        <f>$A$85</f>
        <v>broadcastOnFind: false</v>
      </c>
      <c r="R85" s="11"/>
      <c r="S85" s="11"/>
      <c r="T85" s="11"/>
    </row>
    <row r="86" spans="1:20" x14ac:dyDescent="0.25">
      <c r="A86" s="11" t="str">
        <f>'armas legendario'!$A$86</f>
        <v>optimalDistance: 2700</v>
      </c>
      <c r="B86" s="11"/>
      <c r="C86" s="11"/>
      <c r="D86" s="11"/>
      <c r="E86" s="11" t="str">
        <f>$A$86</f>
        <v>optimalDistance: 2700</v>
      </c>
      <c r="F86" s="11"/>
      <c r="G86" s="11"/>
      <c r="H86" s="11"/>
      <c r="I86" s="11" t="str">
        <f>$A$86</f>
        <v>optimalDistance: 2700</v>
      </c>
      <c r="J86" s="11"/>
      <c r="K86" s="11"/>
      <c r="L86" s="11"/>
      <c r="M86" s="11" t="str">
        <f>$A$86</f>
        <v>optimalDistance: 2700</v>
      </c>
      <c r="N86" s="11"/>
      <c r="O86" s="11"/>
      <c r="P86" s="11"/>
      <c r="Q86" s="11" t="str">
        <f>$A$86</f>
        <v>optimalDistance: 2700</v>
      </c>
      <c r="R86" s="11"/>
      <c r="S86" s="11"/>
      <c r="T86" s="11"/>
    </row>
    <row r="87" spans="1:20" x14ac:dyDescent="0.25">
      <c r="A87" s="11" t="str">
        <f>'armas legendario'!$A$87</f>
        <v>maximumDistance: 1800</v>
      </c>
      <c r="B87" s="11"/>
      <c r="C87" s="11"/>
      <c r="D87" s="11"/>
      <c r="E87" s="11" t="str">
        <f t="shared" ref="E87" si="38">$A$87</f>
        <v>maximumDistance: 1800</v>
      </c>
      <c r="F87" s="11"/>
      <c r="G87" s="11"/>
      <c r="H87" s="11"/>
      <c r="I87" s="11" t="str">
        <f t="shared" ref="I87" si="39">$A$87</f>
        <v>maximumDistance: 1800</v>
      </c>
      <c r="J87" s="11"/>
      <c r="K87" s="11"/>
      <c r="L87" s="11"/>
      <c r="M87" s="11" t="str">
        <f t="shared" ref="M87" si="40">$A$87</f>
        <v>maximumDistance: 1800</v>
      </c>
      <c r="N87" s="11"/>
      <c r="O87" s="11"/>
      <c r="P87" s="11"/>
      <c r="Q87" s="11" t="str">
        <f t="shared" ref="Q87" si="41">$A$87</f>
        <v>maximumDistance: 1800</v>
      </c>
      <c r="R87" s="11"/>
      <c r="S87" s="11"/>
      <c r="T87" s="11"/>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9" x14ac:dyDescent="0.25">
      <c r="A97" s="9"/>
      <c r="B97" s="9"/>
      <c r="C97" s="9"/>
      <c r="D97" s="9"/>
      <c r="G97" s="13"/>
      <c r="H97" s="13"/>
      <c r="I97" s="13"/>
    </row>
    <row r="98" spans="1:9" x14ac:dyDescent="0.25">
      <c r="A98" s="9"/>
      <c r="B98" s="9"/>
      <c r="C98" s="9"/>
      <c r="D98" s="9"/>
      <c r="G98" s="13"/>
      <c r="H98" s="13"/>
      <c r="I98" s="13"/>
    </row>
    <row r="99" spans="1:9" x14ac:dyDescent="0.25">
      <c r="A99" s="9"/>
      <c r="B99" s="9"/>
      <c r="C99" s="9"/>
      <c r="D99" s="9"/>
    </row>
    <row r="100" spans="1:9" x14ac:dyDescent="0.25">
      <c r="A100" s="9"/>
      <c r="B100" s="9"/>
      <c r="C100" s="9"/>
      <c r="D100" s="9"/>
    </row>
    <row r="101" spans="1:9" x14ac:dyDescent="0.25">
      <c r="A101" s="9"/>
      <c r="B101" s="9"/>
      <c r="C101" s="9"/>
      <c r="D101" s="9"/>
    </row>
    <row r="102" spans="1:9" x14ac:dyDescent="0.25">
      <c r="A102" s="9"/>
      <c r="B102" s="9"/>
      <c r="C102" s="9"/>
      <c r="D102" s="9"/>
    </row>
    <row r="103" spans="1:9" x14ac:dyDescent="0.25">
      <c r="A103" s="9"/>
      <c r="B103" s="9"/>
      <c r="C103" s="9"/>
      <c r="D103" s="9"/>
    </row>
    <row r="104" spans="1:9" x14ac:dyDescent="0.25">
      <c r="A104" s="9"/>
      <c r="B104" s="9"/>
      <c r="C104" s="9"/>
      <c r="D104" s="9"/>
    </row>
    <row r="105" spans="1:9" x14ac:dyDescent="0.25">
      <c r="A105" s="9"/>
      <c r="B105" s="9"/>
      <c r="C105" s="9"/>
      <c r="D105" s="9"/>
    </row>
    <row r="106" spans="1:9" x14ac:dyDescent="0.25">
      <c r="A106" s="9"/>
      <c r="B106" s="9"/>
      <c r="C106" s="9"/>
      <c r="D106" s="9"/>
    </row>
    <row r="107" spans="1:9" x14ac:dyDescent="0.25">
      <c r="A107" s="9"/>
      <c r="B107" s="9"/>
      <c r="C107" s="9"/>
      <c r="D107" s="9"/>
    </row>
    <row r="108" spans="1:9" x14ac:dyDescent="0.25">
      <c r="A108" s="9"/>
      <c r="B108" s="9"/>
      <c r="C108" s="9"/>
      <c r="D108" s="9"/>
    </row>
    <row r="109" spans="1:9" x14ac:dyDescent="0.25">
      <c r="A109" s="9"/>
      <c r="B109" s="9"/>
      <c r="C109" s="9"/>
      <c r="D109" s="9"/>
    </row>
    <row r="110" spans="1:9" x14ac:dyDescent="0.25">
      <c r="A110" s="9"/>
      <c r="B110" s="9"/>
      <c r="C110" s="9"/>
      <c r="D110" s="9"/>
    </row>
    <row r="111" spans="1:9" x14ac:dyDescent="0.25">
      <c r="A111" s="9"/>
      <c r="B111" s="9"/>
      <c r="C111" s="9"/>
      <c r="D111" s="9"/>
    </row>
    <row r="112" spans="1:9"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row r="190" spans="1:4" x14ac:dyDescent="0.25">
      <c r="A190" s="9"/>
      <c r="B190" s="9"/>
      <c r="C190" s="9"/>
      <c r="D190" s="9"/>
    </row>
    <row r="191" spans="1:4" x14ac:dyDescent="0.25">
      <c r="A191" s="9"/>
      <c r="B191" s="9"/>
      <c r="C191" s="9"/>
      <c r="D191"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1"/>
  <dimension ref="A1:Z191"/>
  <sheetViews>
    <sheetView topLeftCell="N65" workbookViewId="0">
      <selection activeCell="Q4" sqref="Q4:Q87"/>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104</v>
      </c>
      <c r="B2" s="293"/>
      <c r="C2" s="293">
        <f>'ECONOMIA &amp; PROFESIONES'!$Q$3</f>
        <v>7</v>
      </c>
      <c r="D2" s="293"/>
      <c r="E2" s="293" t="s">
        <v>81</v>
      </c>
      <c r="F2" s="293"/>
      <c r="G2" s="293" t="s">
        <v>3</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$A$38</f>
        <v xml:space="preserve">  - ARROW_INFINITE:3:5</v>
      </c>
      <c r="J15" s="22"/>
      <c r="K15" s="22"/>
      <c r="L15" s="22"/>
      <c r="M15" s="22" t="str">
        <f>$A$38</f>
        <v xml:space="preserve">  - ARROW_INFINITE:3:5</v>
      </c>
      <c r="N15" s="22"/>
      <c r="O15" s="22"/>
      <c r="P15" s="22"/>
      <c r="Q15" s="22" t="str">
        <f>$A$38</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$A$39</f>
        <v xml:space="preserve">  - ARROW_DAMAGE:3:5</v>
      </c>
      <c r="J16" s="22"/>
      <c r="K16" s="22"/>
      <c r="L16" s="22"/>
      <c r="M16" s="22" t="str">
        <f>$A$39</f>
        <v xml:space="preserve">  - ARROW_DAMAGE:3:5</v>
      </c>
      <c r="N16" s="22"/>
      <c r="O16" s="22"/>
      <c r="P16" s="22"/>
      <c r="Q16" s="22" t="str">
        <f>$A$39</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$A$40</f>
        <v xml:space="preserve">  - ARROW_FIRE:3:5</v>
      </c>
      <c r="J17" s="22"/>
      <c r="K17" s="22"/>
      <c r="L17" s="22"/>
      <c r="M17" s="22" t="str">
        <f>$A$40</f>
        <v xml:space="preserve">  - ARROW_FIRE:3:5</v>
      </c>
      <c r="N17" s="22"/>
      <c r="O17" s="22"/>
      <c r="P17" s="22"/>
      <c r="Q17" s="22" t="str">
        <f>$A$40</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$A$41</f>
        <v xml:space="preserve">  - ARROW_KNOCKBACK:3:5</v>
      </c>
      <c r="J18" s="22"/>
      <c r="K18" s="22"/>
      <c r="L18" s="22"/>
      <c r="M18" s="22" t="str">
        <f>$A$41</f>
        <v xml:space="preserve">  - ARROW_KNOCKBACK:3:5</v>
      </c>
      <c r="N18" s="22"/>
      <c r="O18" s="22"/>
      <c r="P18" s="22"/>
      <c r="Q18" s="22" t="str">
        <f>$A$41</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$A$42</f>
        <v xml:space="preserve">  - DAMAGE_ALL:3:5</v>
      </c>
      <c r="J19" s="22"/>
      <c r="K19" s="22"/>
      <c r="L19" s="22"/>
      <c r="M19" s="22" t="str">
        <f>$A$42</f>
        <v xml:space="preserve">  - DAMAGE_ALL:3:5</v>
      </c>
      <c r="N19" s="22"/>
      <c r="O19" s="22"/>
      <c r="P19" s="22"/>
      <c r="Q19" s="22" t="str">
        <f>$A$42</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$A$43</f>
        <v xml:space="preserve">  - DAMAGE_ARTHROPODS:3:5</v>
      </c>
      <c r="J20" s="22"/>
      <c r="K20" s="22"/>
      <c r="L20" s="22"/>
      <c r="M20" s="22" t="str">
        <f>$A$43</f>
        <v xml:space="preserve">  - DAMAGE_ARTHROPODS:3:5</v>
      </c>
      <c r="N20" s="22"/>
      <c r="O20" s="22"/>
      <c r="P20" s="22"/>
      <c r="Q20" s="22" t="str">
        <f>$A$43</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$A$44</f>
        <v xml:space="preserve">  - DAMAGE_UNDEAD:3:5</v>
      </c>
      <c r="J21" s="22"/>
      <c r="K21" s="22"/>
      <c r="L21" s="22"/>
      <c r="M21" s="22" t="str">
        <f>$A$44</f>
        <v xml:space="preserve">  - DAMAGE_UNDEAD:3:5</v>
      </c>
      <c r="N21" s="22"/>
      <c r="O21" s="22"/>
      <c r="P21" s="22"/>
      <c r="Q21" s="22" t="str">
        <f>$A$44</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$A$45</f>
        <v xml:space="preserve">  - DIG_SPEED:3:5</v>
      </c>
      <c r="J22" s="22"/>
      <c r="K22" s="22"/>
      <c r="L22" s="22"/>
      <c r="M22" s="22" t="str">
        <f>$A$45</f>
        <v xml:space="preserve">  - DIG_SPEED:3:5</v>
      </c>
      <c r="N22" s="22"/>
      <c r="O22" s="22"/>
      <c r="P22" s="22"/>
      <c r="Q22" s="22" t="str">
        <f>$A$45</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$A$46</f>
        <v xml:space="preserve">  - DURABILITY:3:5</v>
      </c>
      <c r="J23" s="22"/>
      <c r="K23" s="22"/>
      <c r="L23" s="22"/>
      <c r="M23" s="22" t="str">
        <f>$A$46</f>
        <v xml:space="preserve">  - DURABILITY:3:5</v>
      </c>
      <c r="N23" s="22"/>
      <c r="O23" s="22"/>
      <c r="P23" s="22"/>
      <c r="Q23" s="22" t="str">
        <f>$A$46</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$A$47</f>
        <v xml:space="preserve">  - FIRE_ASPECT:3:5</v>
      </c>
      <c r="J24" s="22"/>
      <c r="K24" s="22"/>
      <c r="L24" s="22"/>
      <c r="M24" s="22" t="str">
        <f>$A$47</f>
        <v xml:space="preserve">  - FIRE_ASPECT:3:5</v>
      </c>
      <c r="N24" s="22"/>
      <c r="O24" s="22"/>
      <c r="P24" s="22"/>
      <c r="Q24" s="22" t="str">
        <f>$A$47</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$A$48</f>
        <v xml:space="preserve">  - KNOCKBACK:3:5</v>
      </c>
      <c r="J25" s="22"/>
      <c r="K25" s="22"/>
      <c r="L25" s="22"/>
      <c r="M25" s="22" t="str">
        <f>$A$48</f>
        <v xml:space="preserve">  - KNOCKBACK:3:5</v>
      </c>
      <c r="N25" s="22"/>
      <c r="O25" s="22"/>
      <c r="P25" s="22"/>
      <c r="Q25" s="22" t="str">
        <f>$A$48</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$A$49</f>
        <v xml:space="preserve">  - LOOT_BONUS_BLOCKS:3:5</v>
      </c>
      <c r="J26" s="22"/>
      <c r="K26" s="22"/>
      <c r="L26" s="22"/>
      <c r="M26" s="22" t="str">
        <f>$A$49</f>
        <v xml:space="preserve">  - LOOT_BONUS_BLOCKS:3:5</v>
      </c>
      <c r="N26" s="22"/>
      <c r="O26" s="22"/>
      <c r="P26" s="22"/>
      <c r="Q26" s="22" t="str">
        <f>$A$49</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$A$50</f>
        <v xml:space="preserve">  - LOOT_BONUS_MOBS:3:5</v>
      </c>
      <c r="J27" s="22"/>
      <c r="K27" s="22"/>
      <c r="L27" s="22"/>
      <c r="M27" s="22" t="str">
        <f>$A$50</f>
        <v xml:space="preserve">  - LOOT_BONUS_MOBS:3:5</v>
      </c>
      <c r="N27" s="22"/>
      <c r="O27" s="22"/>
      <c r="P27" s="22"/>
      <c r="Q27" s="22" t="str">
        <f>$A$50</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$A$51</f>
        <v xml:space="preserve">  - OXYGEN:3:5</v>
      </c>
      <c r="J28" s="22"/>
      <c r="K28" s="22"/>
      <c r="L28" s="22"/>
      <c r="M28" s="22" t="str">
        <f>$A$51</f>
        <v xml:space="preserve">  - OXYGEN:3:5</v>
      </c>
      <c r="N28" s="22"/>
      <c r="O28" s="22"/>
      <c r="P28" s="22"/>
      <c r="Q28" s="22" t="str">
        <f>$A$51</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$A$52</f>
        <v xml:space="preserve">  - PROTECTION_ENVIRONMENT:3:5</v>
      </c>
      <c r="J29" s="22"/>
      <c r="K29" s="22"/>
      <c r="L29" s="22"/>
      <c r="M29" s="22" t="str">
        <f>$A$52</f>
        <v xml:space="preserve">  - PROTECTION_ENVIRONMENT:3:5</v>
      </c>
      <c r="N29" s="22"/>
      <c r="O29" s="22"/>
      <c r="P29" s="22"/>
      <c r="Q29" s="22" t="str">
        <f>$A$52</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$A$53</f>
        <v xml:space="preserve">  - PROTECTION_EXPLOSIONS:3:5</v>
      </c>
      <c r="J30" s="22"/>
      <c r="K30" s="22"/>
      <c r="L30" s="22"/>
      <c r="M30" s="22" t="str">
        <f>$A$53</f>
        <v xml:space="preserve">  - PROTECTION_EXPLOSIONS:3:5</v>
      </c>
      <c r="N30" s="22"/>
      <c r="O30" s="22"/>
      <c r="P30" s="22"/>
      <c r="Q30" s="22" t="str">
        <f>$A$53</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$A$54</f>
        <v xml:space="preserve">  - PROTECTION_FALL:3:5</v>
      </c>
      <c r="J31" s="22"/>
      <c r="K31" s="22"/>
      <c r="L31" s="22"/>
      <c r="M31" s="22" t="str">
        <f>$A$54</f>
        <v xml:space="preserve">  - PROTECTION_FALL:3:5</v>
      </c>
      <c r="N31" s="22"/>
      <c r="O31" s="22"/>
      <c r="P31" s="22"/>
      <c r="Q31" s="22" t="str">
        <f>$A$54</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$A$55</f>
        <v xml:space="preserve">  - PROTECTION_FIRE:3:5</v>
      </c>
      <c r="J32" s="22"/>
      <c r="K32" s="22"/>
      <c r="L32" s="22"/>
      <c r="M32" s="22" t="str">
        <f>$A$55</f>
        <v xml:space="preserve">  - PROTECTION_FIRE:3:5</v>
      </c>
      <c r="N32" s="22"/>
      <c r="O32" s="22"/>
      <c r="P32" s="22"/>
      <c r="Q32" s="22" t="str">
        <f>$A$55</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$A$56</f>
        <v xml:space="preserve">  - PROTECTION_PROJECTILE:3:5</v>
      </c>
      <c r="J33" s="22"/>
      <c r="K33" s="22"/>
      <c r="L33" s="22"/>
      <c r="M33" s="22" t="str">
        <f>$A$56</f>
        <v xml:space="preserve">  - PROTECTION_PROJECTILE:3:5</v>
      </c>
      <c r="N33" s="22"/>
      <c r="O33" s="22"/>
      <c r="P33" s="22"/>
      <c r="Q33" s="22" t="str">
        <f>$A$56</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$A$57</f>
        <v xml:space="preserve">  - SILK_TOUCH:3:5</v>
      </c>
      <c r="J34" s="22"/>
      <c r="K34" s="22"/>
      <c r="L34" s="22"/>
      <c r="M34" s="22" t="str">
        <f>$A$57</f>
        <v xml:space="preserve">  - SILK_TOUCH:3:5</v>
      </c>
      <c r="N34" s="22"/>
      <c r="O34" s="22"/>
      <c r="P34" s="22"/>
      <c r="Q34" s="22" t="str">
        <f>$A$57</f>
        <v xml:space="preserve">  - SILK_TOUCH:3:5</v>
      </c>
      <c r="R34" s="22"/>
      <c r="S34" s="22"/>
      <c r="T34" s="22"/>
    </row>
    <row r="35" spans="1:20" x14ac:dyDescent="0.25">
      <c r="A35" s="22" t="str">
        <f>'armas legendario'!$A$35</f>
        <v xml:space="preserve">  - THORNS:3:5</v>
      </c>
      <c r="B35" s="22"/>
      <c r="C35" s="22"/>
      <c r="D35" s="22"/>
      <c r="E35" s="22" t="str">
        <f>$A$35</f>
        <v xml:space="preserve">  - THORNS:3:5</v>
      </c>
      <c r="F35" s="22"/>
      <c r="G35" s="22"/>
      <c r="H35" s="22"/>
      <c r="I35" s="22" t="str">
        <f>$A$58</f>
        <v xml:space="preserve">  - THORNS:3:5</v>
      </c>
      <c r="J35" s="22"/>
      <c r="K35" s="22"/>
      <c r="L35" s="22"/>
      <c r="M35" s="22" t="str">
        <f>$A$58</f>
        <v xml:space="preserve">  - THORNS:3:5</v>
      </c>
      <c r="N35" s="22"/>
      <c r="O35" s="22"/>
      <c r="P35" s="22"/>
      <c r="Q35" s="22" t="str">
        <f>$A$58</f>
        <v xml:space="preserve">  - THORNS:3:5</v>
      </c>
      <c r="R35" s="22"/>
      <c r="S35" s="22"/>
      <c r="T35" s="22"/>
    </row>
    <row r="36" spans="1:20" x14ac:dyDescent="0.25">
      <c r="A36" s="22" t="str">
        <f>'armas legendario'!$A$36</f>
        <v xml:space="preserve">  - WATER_WORKER:3:5</v>
      </c>
      <c r="B36" s="22"/>
      <c r="C36" s="22"/>
      <c r="D36" s="22"/>
      <c r="E36" s="22" t="str">
        <f>$A$36</f>
        <v xml:space="preserve">  - WATER_WORKER:3:5</v>
      </c>
      <c r="F36" s="22"/>
      <c r="G36" s="22"/>
      <c r="H36" s="22"/>
      <c r="I36" s="22" t="str">
        <f>$A$59</f>
        <v xml:space="preserve">  - WATER_WORKER:3:5</v>
      </c>
      <c r="J36" s="22"/>
      <c r="K36" s="22"/>
      <c r="L36" s="22"/>
      <c r="M36" s="22" t="str">
        <f>$A$59</f>
        <v xml:space="preserve">  - WATER_WORKER:3:5</v>
      </c>
      <c r="N36" s="22"/>
      <c r="O36" s="22"/>
      <c r="P36" s="22"/>
      <c r="Q36" s="22" t="str">
        <f>$A$59</f>
        <v xml:space="preserve">  - WATER_WORKER:3:5</v>
      </c>
      <c r="R36" s="22"/>
      <c r="S36" s="22"/>
      <c r="T36" s="22"/>
    </row>
    <row r="37" spans="1:20" x14ac:dyDescent="0.25">
      <c r="A37" s="9" t="s">
        <v>101</v>
      </c>
      <c r="B37" s="9"/>
      <c r="C37" s="9"/>
      <c r="D37" s="9"/>
      <c r="E37" s="9" t="s">
        <v>101</v>
      </c>
      <c r="F37" s="9"/>
      <c r="G37" s="9"/>
      <c r="H37" s="9"/>
      <c r="I37" s="9" t="s">
        <v>101</v>
      </c>
      <c r="J37" s="9"/>
      <c r="K37" s="9"/>
      <c r="L37" s="9"/>
      <c r="M37" s="9" t="s">
        <v>101</v>
      </c>
      <c r="N37" s="9"/>
      <c r="O37" s="9"/>
      <c r="P37" s="9"/>
      <c r="Q37" s="9" t="s">
        <v>101</v>
      </c>
      <c r="R37" s="9"/>
      <c r="S37" s="9"/>
      <c r="T37" s="9"/>
    </row>
    <row r="38" spans="1:20" x14ac:dyDescent="0.25">
      <c r="A38" s="22" t="str">
        <f>$A$15</f>
        <v xml:space="preserve">  - ARROW_INFINITE:3:5</v>
      </c>
      <c r="B38" s="22"/>
      <c r="C38" s="22"/>
      <c r="D38" s="22"/>
      <c r="E38" s="22" t="str">
        <f>$A$38</f>
        <v xml:space="preserve">  - ARROW_INFINITE:3:5</v>
      </c>
      <c r="F38" s="22"/>
      <c r="G38" s="22"/>
      <c r="H38" s="22"/>
      <c r="I38" s="22" t="str">
        <f>$A$38</f>
        <v xml:space="preserve">  - ARROW_INFINITE:3:5</v>
      </c>
      <c r="J38" s="22"/>
      <c r="K38" s="22"/>
      <c r="L38" s="22"/>
      <c r="M38" s="22" t="str">
        <f>$A$38</f>
        <v xml:space="preserve">  - ARROW_INFINITE:3:5</v>
      </c>
      <c r="N38" s="22"/>
      <c r="O38" s="22"/>
      <c r="P38" s="22"/>
      <c r="Q38" s="22" t="str">
        <f>$A$38</f>
        <v xml:space="preserve">  - ARROW_INFINITE:3:5</v>
      </c>
      <c r="R38" s="22"/>
      <c r="S38" s="22"/>
      <c r="T38" s="22"/>
    </row>
    <row r="39" spans="1:20" x14ac:dyDescent="0.25">
      <c r="A39" s="22" t="str">
        <f>$A$16</f>
        <v xml:space="preserve">  - ARROW_DAMAGE:3:5</v>
      </c>
      <c r="B39" s="22"/>
      <c r="C39" s="22"/>
      <c r="D39" s="22"/>
      <c r="E39" s="22" t="str">
        <f>$A$39</f>
        <v xml:space="preserve">  - ARROW_DAMAGE:3:5</v>
      </c>
      <c r="F39" s="22"/>
      <c r="G39" s="22"/>
      <c r="H39" s="22"/>
      <c r="I39" s="22" t="str">
        <f>$A$39</f>
        <v xml:space="preserve">  - ARROW_DAMAGE:3:5</v>
      </c>
      <c r="J39" s="22"/>
      <c r="K39" s="22"/>
      <c r="L39" s="22"/>
      <c r="M39" s="22" t="str">
        <f>$A$39</f>
        <v xml:space="preserve">  - ARROW_DAMAGE:3:5</v>
      </c>
      <c r="N39" s="22"/>
      <c r="O39" s="22"/>
      <c r="P39" s="22"/>
      <c r="Q39" s="22" t="str">
        <f>$A$39</f>
        <v xml:space="preserve">  - ARROW_DAMAGE:3:5</v>
      </c>
      <c r="R39" s="22"/>
      <c r="S39" s="22"/>
      <c r="T39" s="22"/>
    </row>
    <row r="40" spans="1:20" x14ac:dyDescent="0.25">
      <c r="A40" s="22" t="str">
        <f>$A$17</f>
        <v xml:space="preserve">  - ARROW_FIRE:3:5</v>
      </c>
      <c r="B40" s="22"/>
      <c r="C40" s="22"/>
      <c r="D40" s="22"/>
      <c r="E40" s="22" t="str">
        <f>$A$40</f>
        <v xml:space="preserve">  - ARROW_FIRE:3:5</v>
      </c>
      <c r="F40" s="22"/>
      <c r="G40" s="22"/>
      <c r="H40" s="22"/>
      <c r="I40" s="22" t="str">
        <f>$A$40</f>
        <v xml:space="preserve">  - ARROW_FIRE:3:5</v>
      </c>
      <c r="J40" s="22"/>
      <c r="K40" s="22"/>
      <c r="L40" s="22"/>
      <c r="M40" s="22" t="str">
        <f>$A$40</f>
        <v xml:space="preserve">  - ARROW_FIRE:3:5</v>
      </c>
      <c r="N40" s="22"/>
      <c r="O40" s="22"/>
      <c r="P40" s="22"/>
      <c r="Q40" s="22" t="str">
        <f>$A$40</f>
        <v xml:space="preserve">  - ARROW_FIRE:3:5</v>
      </c>
      <c r="R40" s="22"/>
      <c r="S40" s="22"/>
      <c r="T40" s="22"/>
    </row>
    <row r="41" spans="1:20" x14ac:dyDescent="0.25">
      <c r="A41" s="22" t="str">
        <f>$A$18</f>
        <v xml:space="preserve">  - ARROW_KNOCKBACK:3:5</v>
      </c>
      <c r="B41" s="22"/>
      <c r="C41" s="22"/>
      <c r="D41" s="22"/>
      <c r="E41" s="22" t="str">
        <f>$A$41</f>
        <v xml:space="preserve">  - ARROW_KNOCKBACK:3:5</v>
      </c>
      <c r="F41" s="22"/>
      <c r="G41" s="22"/>
      <c r="H41" s="22"/>
      <c r="I41" s="22" t="str">
        <f>$A$41</f>
        <v xml:space="preserve">  - ARROW_KNOCKBACK:3:5</v>
      </c>
      <c r="J41" s="22"/>
      <c r="K41" s="22"/>
      <c r="L41" s="22"/>
      <c r="M41" s="22" t="str">
        <f>$A$41</f>
        <v xml:space="preserve">  - ARROW_KNOCKBACK:3:5</v>
      </c>
      <c r="N41" s="22"/>
      <c r="O41" s="22"/>
      <c r="P41" s="22"/>
      <c r="Q41" s="22" t="str">
        <f>$A$41</f>
        <v xml:space="preserve">  - ARROW_KNOCKBACK:3:5</v>
      </c>
      <c r="R41" s="22"/>
      <c r="S41" s="22"/>
      <c r="T41" s="22"/>
    </row>
    <row r="42" spans="1:20" x14ac:dyDescent="0.25">
      <c r="A42" s="22" t="str">
        <f>$A$19</f>
        <v xml:space="preserve">  - DAMAGE_ALL:3:5</v>
      </c>
      <c r="B42" s="22"/>
      <c r="C42" s="22"/>
      <c r="D42" s="22"/>
      <c r="E42" s="22" t="str">
        <f>$A$42</f>
        <v xml:space="preserve">  - DAMAGE_ALL:3:5</v>
      </c>
      <c r="F42" s="22"/>
      <c r="G42" s="22"/>
      <c r="H42" s="22"/>
      <c r="I42" s="22" t="str">
        <f>$A$42</f>
        <v xml:space="preserve">  - DAMAGE_ALL:3:5</v>
      </c>
      <c r="J42" s="22"/>
      <c r="K42" s="22"/>
      <c r="L42" s="22"/>
      <c r="M42" s="22" t="str">
        <f>$A$42</f>
        <v xml:space="preserve">  - DAMAGE_ALL:3:5</v>
      </c>
      <c r="N42" s="22"/>
      <c r="O42" s="22"/>
      <c r="P42" s="22"/>
      <c r="Q42" s="22" t="str">
        <f>$A$42</f>
        <v xml:space="preserve">  - DAMAGE_ALL:3:5</v>
      </c>
      <c r="R42" s="22"/>
      <c r="S42" s="22"/>
      <c r="T42" s="22"/>
    </row>
    <row r="43" spans="1:20" x14ac:dyDescent="0.25">
      <c r="A43" s="22" t="str">
        <f>$A$20</f>
        <v xml:space="preserve">  - DAMAGE_ARTHROPODS:3:5</v>
      </c>
      <c r="B43" s="22"/>
      <c r="C43" s="22"/>
      <c r="D43" s="22"/>
      <c r="E43" s="22" t="str">
        <f>$A$43</f>
        <v xml:space="preserve">  - DAMAGE_ARTHROPODS:3:5</v>
      </c>
      <c r="F43" s="22"/>
      <c r="G43" s="22"/>
      <c r="H43" s="22"/>
      <c r="I43" s="22" t="str">
        <f>$A$43</f>
        <v xml:space="preserve">  - DAMAGE_ARTHROPODS:3:5</v>
      </c>
      <c r="J43" s="22"/>
      <c r="K43" s="22"/>
      <c r="L43" s="22"/>
      <c r="M43" s="22" t="str">
        <f>$A$43</f>
        <v xml:space="preserve">  - DAMAGE_ARTHROPODS:3:5</v>
      </c>
      <c r="N43" s="22"/>
      <c r="O43" s="22"/>
      <c r="P43" s="22"/>
      <c r="Q43" s="22" t="str">
        <f>$A$43</f>
        <v xml:space="preserve">  - DAMAGE_ARTHROPODS:3:5</v>
      </c>
      <c r="R43" s="22"/>
      <c r="S43" s="22"/>
      <c r="T43" s="22"/>
    </row>
    <row r="44" spans="1:20" x14ac:dyDescent="0.25">
      <c r="A44" s="22" t="str">
        <f>$A$21</f>
        <v xml:space="preserve">  - DAMAGE_UNDEAD:3:5</v>
      </c>
      <c r="B44" s="22"/>
      <c r="C44" s="22"/>
      <c r="D44" s="22"/>
      <c r="E44" s="22" t="str">
        <f>$A$44</f>
        <v xml:space="preserve">  - DAMAGE_UNDEAD:3:5</v>
      </c>
      <c r="F44" s="22"/>
      <c r="G44" s="22"/>
      <c r="H44" s="22"/>
      <c r="I44" s="22" t="str">
        <f>$A$44</f>
        <v xml:space="preserve">  - DAMAGE_UNDEAD:3:5</v>
      </c>
      <c r="J44" s="22"/>
      <c r="K44" s="22"/>
      <c r="L44" s="22"/>
      <c r="M44" s="22" t="str">
        <f>$A$44</f>
        <v xml:space="preserve">  - DAMAGE_UNDEAD:3:5</v>
      </c>
      <c r="N44" s="22"/>
      <c r="O44" s="22"/>
      <c r="P44" s="22"/>
      <c r="Q44" s="22" t="str">
        <f>$A$44</f>
        <v xml:space="preserve">  - DAMAGE_UNDEAD:3:5</v>
      </c>
      <c r="R44" s="22"/>
      <c r="S44" s="22"/>
      <c r="T44" s="22"/>
    </row>
    <row r="45" spans="1:20" x14ac:dyDescent="0.25">
      <c r="A45" s="22" t="str">
        <f>$A$22</f>
        <v xml:space="preserve">  - DIG_SPEED:3:5</v>
      </c>
      <c r="B45" s="22"/>
      <c r="C45" s="22"/>
      <c r="D45" s="22"/>
      <c r="E45" s="22" t="str">
        <f>$A$45</f>
        <v xml:space="preserve">  - DIG_SPEED:3:5</v>
      </c>
      <c r="F45" s="22"/>
      <c r="G45" s="22"/>
      <c r="H45" s="22"/>
      <c r="I45" s="22" t="str">
        <f>$A$45</f>
        <v xml:space="preserve">  - DIG_SPEED:3:5</v>
      </c>
      <c r="J45" s="22"/>
      <c r="K45" s="22"/>
      <c r="L45" s="22"/>
      <c r="M45" s="22" t="str">
        <f>$A$45</f>
        <v xml:space="preserve">  - DIG_SPEED:3:5</v>
      </c>
      <c r="N45" s="22"/>
      <c r="O45" s="22"/>
      <c r="P45" s="22"/>
      <c r="Q45" s="22" t="str">
        <f>$A$45</f>
        <v xml:space="preserve">  - DIG_SPEED:3:5</v>
      </c>
      <c r="R45" s="22"/>
      <c r="S45" s="22"/>
      <c r="T45" s="22"/>
    </row>
    <row r="46" spans="1:20" x14ac:dyDescent="0.25">
      <c r="A46" s="22" t="str">
        <f>$A$23</f>
        <v xml:space="preserve">  - DURABILITY:3:5</v>
      </c>
      <c r="B46" s="22"/>
      <c r="C46" s="22"/>
      <c r="D46" s="22"/>
      <c r="E46" s="22" t="str">
        <f>$A$46</f>
        <v xml:space="preserve">  - DURABILITY:3:5</v>
      </c>
      <c r="F46" s="22"/>
      <c r="G46" s="22"/>
      <c r="H46" s="22"/>
      <c r="I46" s="22" t="str">
        <f>$A$46</f>
        <v xml:space="preserve">  - DURABILITY:3:5</v>
      </c>
      <c r="J46" s="22"/>
      <c r="K46" s="22"/>
      <c r="L46" s="22"/>
      <c r="M46" s="22" t="str">
        <f>$A$46</f>
        <v xml:space="preserve">  - DURABILITY:3:5</v>
      </c>
      <c r="N46" s="22"/>
      <c r="O46" s="22"/>
      <c r="P46" s="22"/>
      <c r="Q46" s="22" t="str">
        <f>$A$46</f>
        <v xml:space="preserve">  - DURABILITY:3:5</v>
      </c>
      <c r="R46" s="22"/>
      <c r="S46" s="22"/>
      <c r="T46" s="22"/>
    </row>
    <row r="47" spans="1:20" x14ac:dyDescent="0.25">
      <c r="A47" s="22" t="str">
        <f>$A$24</f>
        <v xml:space="preserve">  - FIRE_ASPECT:3:5</v>
      </c>
      <c r="B47" s="22"/>
      <c r="C47" s="22"/>
      <c r="D47" s="22"/>
      <c r="E47" s="22" t="str">
        <f>$A$47</f>
        <v xml:space="preserve">  - FIRE_ASPECT:3:5</v>
      </c>
      <c r="F47" s="22"/>
      <c r="G47" s="22"/>
      <c r="H47" s="22"/>
      <c r="I47" s="22" t="str">
        <f>$A$47</f>
        <v xml:space="preserve">  - FIRE_ASPECT:3:5</v>
      </c>
      <c r="J47" s="22"/>
      <c r="K47" s="22"/>
      <c r="L47" s="22"/>
      <c r="M47" s="22" t="str">
        <f>$A$47</f>
        <v xml:space="preserve">  - FIRE_ASPECT:3:5</v>
      </c>
      <c r="N47" s="22"/>
      <c r="O47" s="22"/>
      <c r="P47" s="22"/>
      <c r="Q47" s="22" t="str">
        <f>$A$47</f>
        <v xml:space="preserve">  - FIRE_ASPECT:3:5</v>
      </c>
      <c r="R47" s="22"/>
      <c r="S47" s="22"/>
      <c r="T47" s="22"/>
    </row>
    <row r="48" spans="1:20" x14ac:dyDescent="0.25">
      <c r="A48" s="22" t="str">
        <f>$A$25</f>
        <v xml:space="preserve">  - KNOCKBACK:3:5</v>
      </c>
      <c r="B48" s="22"/>
      <c r="C48" s="22"/>
      <c r="D48" s="22"/>
      <c r="E48" s="22" t="str">
        <f>$A$48</f>
        <v xml:space="preserve">  - KNOCKBACK:3:5</v>
      </c>
      <c r="F48" s="22"/>
      <c r="G48" s="22"/>
      <c r="H48" s="22"/>
      <c r="I48" s="22" t="str">
        <f>$A$48</f>
        <v xml:space="preserve">  - KNOCKBACK:3:5</v>
      </c>
      <c r="J48" s="22"/>
      <c r="K48" s="22"/>
      <c r="L48" s="22"/>
      <c r="M48" s="22" t="str">
        <f>$A$48</f>
        <v xml:space="preserve">  - KNOCKBACK:3:5</v>
      </c>
      <c r="N48" s="22"/>
      <c r="O48" s="22"/>
      <c r="P48" s="22"/>
      <c r="Q48" s="22" t="str">
        <f>$A$48</f>
        <v xml:space="preserve">  - KNOCKBACK:3:5</v>
      </c>
      <c r="R48" s="22"/>
      <c r="S48" s="22"/>
      <c r="T48" s="22"/>
    </row>
    <row r="49" spans="1:20" x14ac:dyDescent="0.25">
      <c r="A49" s="22" t="str">
        <f>$A$26</f>
        <v xml:space="preserve">  - LOOT_BONUS_BLOCKS:3:5</v>
      </c>
      <c r="B49" s="22"/>
      <c r="C49" s="22"/>
      <c r="D49" s="22"/>
      <c r="E49" s="22" t="str">
        <f>$A$49</f>
        <v xml:space="preserve">  - LOOT_BONUS_BLOCKS:3:5</v>
      </c>
      <c r="F49" s="22"/>
      <c r="G49" s="22"/>
      <c r="H49" s="22"/>
      <c r="I49" s="22" t="str">
        <f>$A$49</f>
        <v xml:space="preserve">  - LOOT_BONUS_BLOCKS:3:5</v>
      </c>
      <c r="J49" s="22"/>
      <c r="K49" s="22"/>
      <c r="L49" s="22"/>
      <c r="M49" s="22" t="str">
        <f>$A$49</f>
        <v xml:space="preserve">  - LOOT_BONUS_BLOCKS:3:5</v>
      </c>
      <c r="N49" s="22"/>
      <c r="O49" s="22"/>
      <c r="P49" s="22"/>
      <c r="Q49" s="22" t="str">
        <f>$A$49</f>
        <v xml:space="preserve">  - LOOT_BONUS_BLOCKS:3:5</v>
      </c>
      <c r="R49" s="22"/>
      <c r="S49" s="22"/>
      <c r="T49" s="22"/>
    </row>
    <row r="50" spans="1:20" x14ac:dyDescent="0.25">
      <c r="A50" s="22" t="str">
        <f>$A$27</f>
        <v xml:space="preserve">  - LOOT_BONUS_MOBS:3:5</v>
      </c>
      <c r="B50" s="22"/>
      <c r="C50" s="22"/>
      <c r="D50" s="22"/>
      <c r="E50" s="22" t="str">
        <f>$A$50</f>
        <v xml:space="preserve">  - LOOT_BONUS_MOBS:3:5</v>
      </c>
      <c r="F50" s="22"/>
      <c r="G50" s="22"/>
      <c r="H50" s="22"/>
      <c r="I50" s="22" t="str">
        <f>$A$50</f>
        <v xml:space="preserve">  - LOOT_BONUS_MOBS:3:5</v>
      </c>
      <c r="J50" s="22"/>
      <c r="K50" s="22"/>
      <c r="L50" s="22"/>
      <c r="M50" s="22" t="str">
        <f>$A$50</f>
        <v xml:space="preserve">  - LOOT_BONUS_MOBS:3:5</v>
      </c>
      <c r="N50" s="22"/>
      <c r="O50" s="22"/>
      <c r="P50" s="22"/>
      <c r="Q50" s="22" t="str">
        <f>$A$50</f>
        <v xml:space="preserve">  - LOOT_BONUS_MOBS:3:5</v>
      </c>
      <c r="R50" s="22"/>
      <c r="S50" s="22"/>
      <c r="T50" s="22"/>
    </row>
    <row r="51" spans="1:20" x14ac:dyDescent="0.25">
      <c r="A51" s="22" t="str">
        <f>$A$28</f>
        <v xml:space="preserve">  - OXYGEN:3:5</v>
      </c>
      <c r="B51" s="22"/>
      <c r="C51" s="22"/>
      <c r="D51" s="22"/>
      <c r="E51" s="22" t="str">
        <f>$A$51</f>
        <v xml:space="preserve">  - OXYGEN:3:5</v>
      </c>
      <c r="F51" s="22"/>
      <c r="G51" s="22"/>
      <c r="H51" s="22"/>
      <c r="I51" s="22" t="str">
        <f>$A$51</f>
        <v xml:space="preserve">  - OXYGEN:3:5</v>
      </c>
      <c r="J51" s="22"/>
      <c r="K51" s="22"/>
      <c r="L51" s="22"/>
      <c r="M51" s="22" t="str">
        <f>$A$51</f>
        <v xml:space="preserve">  - OXYGEN:3:5</v>
      </c>
      <c r="N51" s="22"/>
      <c r="O51" s="22"/>
      <c r="P51" s="22"/>
      <c r="Q51" s="22" t="str">
        <f>$A$51</f>
        <v xml:space="preserve">  - OXYGEN:3:5</v>
      </c>
      <c r="R51" s="22"/>
      <c r="S51" s="22"/>
      <c r="T51" s="22"/>
    </row>
    <row r="52" spans="1:20" x14ac:dyDescent="0.25">
      <c r="A52" s="22" t="str">
        <f>$A$29</f>
        <v xml:space="preserve">  - PROTECTION_ENVIRONMENT:3:5</v>
      </c>
      <c r="B52" s="22"/>
      <c r="C52" s="22"/>
      <c r="D52" s="22"/>
      <c r="E52" s="22" t="str">
        <f>$A$52</f>
        <v xml:space="preserve">  - PROTECTION_ENVIRONMENT:3:5</v>
      </c>
      <c r="F52" s="22"/>
      <c r="G52" s="22"/>
      <c r="H52" s="22"/>
      <c r="I52" s="22" t="str">
        <f>$A$52</f>
        <v xml:space="preserve">  - PROTECTION_ENVIRONMENT:3:5</v>
      </c>
      <c r="J52" s="22"/>
      <c r="K52" s="22"/>
      <c r="L52" s="22"/>
      <c r="M52" s="22" t="str">
        <f>$A$52</f>
        <v xml:space="preserve">  - PROTECTION_ENVIRONMENT:3:5</v>
      </c>
      <c r="N52" s="22"/>
      <c r="O52" s="22"/>
      <c r="P52" s="22"/>
      <c r="Q52" s="22" t="str">
        <f>$A$52</f>
        <v xml:space="preserve">  - PROTECTION_ENVIRONMENT:3:5</v>
      </c>
      <c r="R52" s="22"/>
      <c r="S52" s="22"/>
      <c r="T52" s="22"/>
    </row>
    <row r="53" spans="1:20" x14ac:dyDescent="0.25">
      <c r="A53" s="22" t="str">
        <f>$A$30</f>
        <v xml:space="preserve">  - PROTECTION_EXPLOSIONS:3:5</v>
      </c>
      <c r="B53" s="22"/>
      <c r="C53" s="22"/>
      <c r="D53" s="22"/>
      <c r="E53" s="22" t="str">
        <f>$A$53</f>
        <v xml:space="preserve">  - PROTECTION_EXPLOSIONS:3:5</v>
      </c>
      <c r="F53" s="22"/>
      <c r="G53" s="22"/>
      <c r="H53" s="22"/>
      <c r="I53" s="22" t="str">
        <f>$A$53</f>
        <v xml:space="preserve">  - PROTECTION_EXPLOSIONS:3:5</v>
      </c>
      <c r="J53" s="22"/>
      <c r="K53" s="22"/>
      <c r="L53" s="22"/>
      <c r="M53" s="22" t="str">
        <f>$A$53</f>
        <v xml:space="preserve">  - PROTECTION_EXPLOSIONS:3:5</v>
      </c>
      <c r="N53" s="22"/>
      <c r="O53" s="22"/>
      <c r="P53" s="22"/>
      <c r="Q53" s="22" t="str">
        <f>$A$53</f>
        <v xml:space="preserve">  - PROTECTION_EXPLOSIONS:3:5</v>
      </c>
      <c r="R53" s="22"/>
      <c r="S53" s="22"/>
      <c r="T53" s="22"/>
    </row>
    <row r="54" spans="1:20" x14ac:dyDescent="0.25">
      <c r="A54" s="22" t="str">
        <f>$A$31</f>
        <v xml:space="preserve">  - PROTECTION_FALL:3:5</v>
      </c>
      <c r="B54" s="22"/>
      <c r="C54" s="22"/>
      <c r="D54" s="22"/>
      <c r="E54" s="22" t="str">
        <f>$A$54</f>
        <v xml:space="preserve">  - PROTECTION_FALL:3:5</v>
      </c>
      <c r="F54" s="22"/>
      <c r="G54" s="22"/>
      <c r="H54" s="22"/>
      <c r="I54" s="22" t="str">
        <f>$A$54</f>
        <v xml:space="preserve">  - PROTECTION_FALL:3:5</v>
      </c>
      <c r="J54" s="22"/>
      <c r="K54" s="22"/>
      <c r="L54" s="22"/>
      <c r="M54" s="22" t="str">
        <f>$A$54</f>
        <v xml:space="preserve">  - PROTECTION_FALL:3:5</v>
      </c>
      <c r="N54" s="22"/>
      <c r="O54" s="22"/>
      <c r="P54" s="22"/>
      <c r="Q54" s="22" t="str">
        <f>$A$54</f>
        <v xml:space="preserve">  - PROTECTION_FALL:3:5</v>
      </c>
      <c r="R54" s="22"/>
      <c r="S54" s="22"/>
      <c r="T54" s="22"/>
    </row>
    <row r="55" spans="1:20" x14ac:dyDescent="0.25">
      <c r="A55" s="22" t="str">
        <f>$A$32</f>
        <v xml:space="preserve">  - PROTECTION_FIRE:3:5</v>
      </c>
      <c r="B55" s="22"/>
      <c r="C55" s="22"/>
      <c r="D55" s="22"/>
      <c r="E55" s="22" t="str">
        <f>$A$55</f>
        <v xml:space="preserve">  - PROTECTION_FIRE:3:5</v>
      </c>
      <c r="F55" s="22"/>
      <c r="G55" s="22"/>
      <c r="H55" s="22"/>
      <c r="I55" s="22" t="str">
        <f>$A$55</f>
        <v xml:space="preserve">  - PROTECTION_FIRE:3:5</v>
      </c>
      <c r="J55" s="22"/>
      <c r="K55" s="22"/>
      <c r="L55" s="22"/>
      <c r="M55" s="22" t="str">
        <f>$A$55</f>
        <v xml:space="preserve">  - PROTECTION_FIRE:3:5</v>
      </c>
      <c r="N55" s="22"/>
      <c r="O55" s="22"/>
      <c r="P55" s="22"/>
      <c r="Q55" s="22" t="str">
        <f>$A$55</f>
        <v xml:space="preserve">  - PROTECTION_FIRE:3:5</v>
      </c>
      <c r="R55" s="22"/>
      <c r="S55" s="22"/>
      <c r="T55" s="22"/>
    </row>
    <row r="56" spans="1:20" x14ac:dyDescent="0.25">
      <c r="A56" s="22" t="str">
        <f>$A$33</f>
        <v xml:space="preserve">  - PROTECTION_PROJECTILE:3:5</v>
      </c>
      <c r="B56" s="22"/>
      <c r="C56" s="22"/>
      <c r="D56" s="22"/>
      <c r="E56" s="22" t="str">
        <f>$A$56</f>
        <v xml:space="preserve">  - PROTECTION_PROJECTILE:3:5</v>
      </c>
      <c r="F56" s="22"/>
      <c r="G56" s="22"/>
      <c r="H56" s="22"/>
      <c r="I56" s="22" t="str">
        <f>$A$56</f>
        <v xml:space="preserve">  - PROTECTION_PROJECTILE:3:5</v>
      </c>
      <c r="J56" s="22"/>
      <c r="K56" s="22"/>
      <c r="L56" s="22"/>
      <c r="M56" s="22" t="str">
        <f>$A$56</f>
        <v xml:space="preserve">  - PROTECTION_PROJECTILE:3:5</v>
      </c>
      <c r="N56" s="22"/>
      <c r="O56" s="22"/>
      <c r="P56" s="22"/>
      <c r="Q56" s="22" t="str">
        <f>$A$56</f>
        <v xml:space="preserve">  - PROTECTION_PROJECTILE:3:5</v>
      </c>
      <c r="R56" s="22"/>
      <c r="S56" s="22"/>
      <c r="T56" s="22"/>
    </row>
    <row r="57" spans="1:20" x14ac:dyDescent="0.25">
      <c r="A57" s="22" t="str">
        <f>$A$34</f>
        <v xml:space="preserve">  - SILK_TOUCH:3:5</v>
      </c>
      <c r="B57" s="22"/>
      <c r="C57" s="22"/>
      <c r="D57" s="22"/>
      <c r="E57" s="22" t="str">
        <f>$A$57</f>
        <v xml:space="preserve">  - SILK_TOUCH:3:5</v>
      </c>
      <c r="F57" s="22"/>
      <c r="G57" s="22"/>
      <c r="H57" s="22"/>
      <c r="I57" s="22" t="str">
        <f>$A$57</f>
        <v xml:space="preserve">  - SILK_TOUCH:3:5</v>
      </c>
      <c r="J57" s="22"/>
      <c r="K57" s="22"/>
      <c r="L57" s="22"/>
      <c r="M57" s="22" t="str">
        <f>$A$57</f>
        <v xml:space="preserve">  - SILK_TOUCH:3:5</v>
      </c>
      <c r="N57" s="22"/>
      <c r="O57" s="22"/>
      <c r="P57" s="22"/>
      <c r="Q57" s="22" t="str">
        <f>$A$57</f>
        <v xml:space="preserve">  - SILK_TOUCH:3:5</v>
      </c>
      <c r="R57" s="22"/>
      <c r="S57" s="22"/>
      <c r="T57" s="22"/>
    </row>
    <row r="58" spans="1:20" x14ac:dyDescent="0.25">
      <c r="A58" s="22" t="str">
        <f>$A$35</f>
        <v xml:space="preserve">  - THORNS:3:5</v>
      </c>
      <c r="B58" s="22"/>
      <c r="C58" s="22"/>
      <c r="D58" s="22"/>
      <c r="E58" s="22" t="str">
        <f>$A$58</f>
        <v xml:space="preserve">  - THORNS:3:5</v>
      </c>
      <c r="F58" s="22"/>
      <c r="G58" s="22"/>
      <c r="H58" s="22"/>
      <c r="I58" s="22" t="str">
        <f>$A$58</f>
        <v xml:space="preserve">  - THORNS:3:5</v>
      </c>
      <c r="J58" s="22"/>
      <c r="K58" s="22"/>
      <c r="L58" s="22"/>
      <c r="M58" s="22" t="str">
        <f>$A$58</f>
        <v xml:space="preserve">  - THORNS:3:5</v>
      </c>
      <c r="N58" s="22"/>
      <c r="O58" s="22"/>
      <c r="P58" s="22"/>
      <c r="Q58" s="22" t="str">
        <f>$A$58</f>
        <v xml:space="preserve">  - THORNS:3:5</v>
      </c>
      <c r="R58" s="22"/>
      <c r="S58" s="22"/>
      <c r="T58" s="22"/>
    </row>
    <row r="59" spans="1:20" x14ac:dyDescent="0.25">
      <c r="A59" s="22" t="str">
        <f>$A$36</f>
        <v xml:space="preserve">  - WATER_WORKER:3:5</v>
      </c>
      <c r="B59" s="22"/>
      <c r="C59" s="22"/>
      <c r="D59" s="22"/>
      <c r="E59" s="22" t="str">
        <f>$A$59</f>
        <v xml:space="preserve">  - WATER_WORKER:3:5</v>
      </c>
      <c r="F59" s="22"/>
      <c r="G59" s="22"/>
      <c r="H59" s="22"/>
      <c r="I59" s="22" t="str">
        <f>$A$59</f>
        <v xml:space="preserve">  - WATER_WORKER:3:5</v>
      </c>
      <c r="J59" s="22"/>
      <c r="K59" s="22"/>
      <c r="L59" s="22"/>
      <c r="M59" s="22" t="str">
        <f>$A$59</f>
        <v xml:space="preserve">  - WATER_WORKER:3:5</v>
      </c>
      <c r="N59" s="22"/>
      <c r="O59" s="22"/>
      <c r="P59" s="22"/>
      <c r="Q59" s="22" t="str">
        <f>$A$59</f>
        <v xml:space="preserve">  - WATER_WORKER:3:5</v>
      </c>
      <c r="R59" s="22"/>
      <c r="S59" s="22"/>
      <c r="T59" s="22"/>
    </row>
    <row r="60" spans="1:20" x14ac:dyDescent="0.25">
      <c r="A60" s="9" t="s">
        <v>28</v>
      </c>
      <c r="B60" s="9"/>
      <c r="C60" s="9"/>
      <c r="D60" s="9"/>
      <c r="E60" s="9" t="s">
        <v>28</v>
      </c>
      <c r="F60" s="9"/>
      <c r="G60" s="9"/>
      <c r="H60" s="9"/>
      <c r="I60" s="9" t="s">
        <v>28</v>
      </c>
      <c r="J60" s="9"/>
      <c r="K60" s="9"/>
      <c r="L60" s="9"/>
      <c r="M60" s="9" t="s">
        <v>28</v>
      </c>
      <c r="N60" s="9"/>
      <c r="O60" s="9"/>
      <c r="P60" s="9"/>
      <c r="Q60" s="9" t="s">
        <v>28</v>
      </c>
      <c r="R60" s="9"/>
      <c r="S60" s="9"/>
      <c r="T60" s="9"/>
    </row>
    <row r="61" spans="1:20" x14ac:dyDescent="0.25">
      <c r="A61" s="11" t="str">
        <f>'armas legendario'!$A$61</f>
        <v xml:space="preserve">  minimumBonusLore: 2</v>
      </c>
      <c r="B61" s="11"/>
      <c r="C61" s="11"/>
      <c r="D61" s="11"/>
      <c r="E61" s="11" t="str">
        <f>$A$61</f>
        <v xml:space="preserve">  minimumBonusLore: 2</v>
      </c>
      <c r="F61" s="11"/>
      <c r="G61" s="11"/>
      <c r="H61" s="11"/>
      <c r="I61" s="11" t="str">
        <f t="shared" ref="I61" si="12">$A$61</f>
        <v xml:space="preserve">  minimumBonusLore: 2</v>
      </c>
      <c r="J61" s="11"/>
      <c r="K61" s="11"/>
      <c r="L61" s="11"/>
      <c r="M61" s="11" t="str">
        <f t="shared" ref="M61" si="13">$A$61</f>
        <v xml:space="preserve">  minimumBonusLore: 2</v>
      </c>
      <c r="N61" s="11"/>
      <c r="O61" s="11"/>
      <c r="P61" s="11"/>
      <c r="Q61" s="11" t="str">
        <f t="shared" ref="Q61" si="14">$A$61</f>
        <v xml:space="preserve">  minimumBonusLore: 2</v>
      </c>
      <c r="R61" s="11"/>
      <c r="S61" s="11"/>
      <c r="T61" s="11"/>
    </row>
    <row r="62" spans="1:20" x14ac:dyDescent="0.25">
      <c r="A62" s="11" t="str">
        <f>'armas legendario'!$A$62</f>
        <v xml:space="preserve">  maximumBonusLore: 3</v>
      </c>
      <c r="B62" s="11"/>
      <c r="C62" s="11"/>
      <c r="D62" s="11"/>
      <c r="E62" s="11" t="str">
        <f>$A$62</f>
        <v xml:space="preserve">  maximumBonusLore: 3</v>
      </c>
      <c r="F62" s="11"/>
      <c r="G62" s="11"/>
      <c r="H62" s="11"/>
      <c r="I62" s="11" t="str">
        <f t="shared" ref="I62" si="15">$A$62</f>
        <v xml:space="preserve">  maximumBonusLore: 3</v>
      </c>
      <c r="J62" s="11"/>
      <c r="K62" s="11"/>
      <c r="L62" s="11"/>
      <c r="M62" s="11" t="str">
        <f t="shared" ref="M62" si="16">$A$62</f>
        <v xml:space="preserve">  maximumBonusLore: 3</v>
      </c>
      <c r="N62" s="11"/>
      <c r="O62" s="11"/>
      <c r="P62" s="11"/>
      <c r="Q62" s="11" t="str">
        <f t="shared" ref="Q62" si="17">$A$62</f>
        <v xml:space="preserve">  maximumBonusLore: 3</v>
      </c>
      <c r="R62" s="11"/>
      <c r="S62" s="11"/>
      <c r="T62" s="11"/>
    </row>
    <row r="63" spans="1:20" x14ac:dyDescent="0.25">
      <c r="A63" s="9" t="s">
        <v>29</v>
      </c>
      <c r="B63" s="9"/>
      <c r="C63" s="9"/>
      <c r="D63" s="9"/>
      <c r="E63" s="9" t="s">
        <v>29</v>
      </c>
      <c r="F63" s="9"/>
      <c r="G63" s="9"/>
      <c r="H63" s="9"/>
      <c r="I63" s="9" t="s">
        <v>29</v>
      </c>
      <c r="J63" s="9"/>
      <c r="K63" s="9"/>
      <c r="L63" s="9"/>
      <c r="M63" s="9" t="s">
        <v>29</v>
      </c>
      <c r="N63" s="9"/>
      <c r="O63" s="9"/>
      <c r="P63" s="9"/>
      <c r="Q63" s="9" t="s">
        <v>29</v>
      </c>
      <c r="R63" s="9"/>
      <c r="S63" s="9"/>
      <c r="T63" s="9"/>
    </row>
    <row r="64" spans="1:20" x14ac:dyDescent="0.25">
      <c r="A64" s="20" t="str">
        <f>"  - '&amp;aVenta: &amp;6"&amp;(MAIN!$F$3+(MAIN!$F$18+MAIN!$F$19)/2*MAIN!$B$9+(MAIN!$F$20+MAIN!$F$21)/2*MAIN!$B$8+(MAIN!$F$69*MAIN!$B$11)+($C$2*MAIN!$B$10))/10&amp;" &amp;aAlmakos'"</f>
        <v xml:space="preserve">  - '&amp;aVenta: &amp;6760 &amp;aAlmakos'</v>
      </c>
      <c r="B64" s="20"/>
      <c r="C64" s="20"/>
      <c r="D64" s="20"/>
      <c r="E64" s="20" t="str">
        <f>"  - '&amp;aVenta: &amp;6"&amp;(MAIN!$G$3+(MAIN!$F$18+MAIN!$F$19)/2*MAIN!$B$9+(MAIN!$F$20+MAIN!$F$21)/2*MAIN!$B$8+(MAIN!$F$69*MAIN!$B$11)+($C$2*MAIN!$B$10))/10&amp;" &amp;aAlmakos'"</f>
        <v xml:space="preserve">  - '&amp;aVenta: &amp;6920 &amp;aAlmakos'</v>
      </c>
      <c r="F64" s="20"/>
      <c r="G64" s="20"/>
      <c r="H64" s="20"/>
      <c r="I64" s="20" t="str">
        <f>"  - '&amp;aVenta: &amp;6"&amp;(MAIN!$H$3+(MAIN!$F$18+MAIN!$F$19)/2*MAIN!$B$9+(MAIN!$F$20+MAIN!$F$21)/2*MAIN!$B$8+(MAIN!$F$69*MAIN!$B$11)+($C$2*MAIN!$B$10))/10&amp;" &amp;aAlmakos'"</f>
        <v xml:space="preserve">  - '&amp;aVenta: &amp;61240 &amp;aAlmakos'</v>
      </c>
      <c r="J64" s="20"/>
      <c r="K64" s="20"/>
      <c r="L64" s="20"/>
      <c r="M64" s="20" t="str">
        <f>"  - '&amp;aVenta: &amp;6"&amp;(MAIN!$I$3+(MAIN!$F$18+MAIN!$F$19)/2*MAIN!$B$9+(MAIN!$F$20+MAIN!$F$21)/2*MAIN!$B$8+(MAIN!$F$69*MAIN!$B$11)+($C$2*MAIN!$B$10))/10&amp;" &amp;aAlmakos'"</f>
        <v xml:space="preserve">  - '&amp;aVenta: &amp;61880 &amp;aAlmakos'</v>
      </c>
      <c r="N64" s="20"/>
      <c r="O64" s="20"/>
      <c r="P64" s="20"/>
      <c r="Q64" s="20" t="str">
        <f>"  - '&amp;aVenta: &amp;6"&amp;(MAIN!$J$3+(MAIN!$F$18+MAIN!$F$19)/2*MAIN!$B$9+(MAIN!$F$20+MAIN!$F$21)/2*MAIN!$B$8+(MAIN!$F$69*MAIN!$B$11)+($C$2*MAIN!$B$10))/10&amp;" &amp;aAlmakos'"</f>
        <v xml:space="preserve">  - '&amp;aVenta: &amp;63160 &amp;aAlmakos'</v>
      </c>
      <c r="R64" s="20"/>
      <c r="S64" s="20"/>
      <c r="T64" s="20"/>
    </row>
    <row r="65" spans="1:20" x14ac:dyDescent="0.25">
      <c r="A65" s="9" t="s">
        <v>30</v>
      </c>
      <c r="B65" s="9"/>
      <c r="C65" s="9"/>
      <c r="D65" s="9"/>
      <c r="E65" s="9" t="s">
        <v>30</v>
      </c>
      <c r="F65" s="9"/>
      <c r="G65" s="9"/>
      <c r="H65" s="9"/>
      <c r="I65" s="9" t="s">
        <v>30</v>
      </c>
      <c r="J65" s="9"/>
      <c r="K65" s="9"/>
      <c r="L65" s="9"/>
      <c r="M65" s="9" t="s">
        <v>30</v>
      </c>
      <c r="N65" s="9"/>
      <c r="O65" s="9"/>
      <c r="P65" s="9"/>
      <c r="Q65" s="9" t="s">
        <v>30</v>
      </c>
      <c r="R65" s="9"/>
      <c r="S65" s="9"/>
      <c r="T65" s="9"/>
    </row>
    <row r="66" spans="1:20" x14ac:dyDescent="0.25">
      <c r="A66" s="9" t="s">
        <v>31</v>
      </c>
      <c r="B66" s="9"/>
      <c r="C66" s="9"/>
      <c r="D66" s="9"/>
      <c r="E66" s="9" t="s">
        <v>31</v>
      </c>
      <c r="F66" s="9"/>
      <c r="G66" s="9"/>
      <c r="H66" s="9"/>
      <c r="I66" s="9" t="s">
        <v>31</v>
      </c>
      <c r="J66" s="9"/>
      <c r="K66" s="9"/>
      <c r="L66" s="9"/>
      <c r="M66" s="9" t="s">
        <v>31</v>
      </c>
      <c r="N66" s="9"/>
      <c r="O66" s="9"/>
      <c r="P66" s="9"/>
      <c r="Q66" s="9" t="s">
        <v>31</v>
      </c>
      <c r="R66" s="9"/>
      <c r="S66" s="9"/>
      <c r="T66" s="9"/>
    </row>
    <row r="67" spans="1:20" s="262" customFormat="1" x14ac:dyDescent="0.25">
      <c r="A67" s="9" t="s">
        <v>1032</v>
      </c>
      <c r="B67" s="9"/>
      <c r="C67" s="9"/>
      <c r="D67" s="9"/>
      <c r="E67" s="9" t="s">
        <v>1032</v>
      </c>
      <c r="F67" s="9"/>
      <c r="G67" s="9"/>
      <c r="H67" s="9"/>
      <c r="I67" s="9" t="s">
        <v>1032</v>
      </c>
      <c r="J67" s="9"/>
      <c r="K67" s="9"/>
      <c r="L67" s="9"/>
      <c r="M67" s="9" t="s">
        <v>1032</v>
      </c>
      <c r="N67" s="9"/>
      <c r="O67" s="9"/>
      <c r="P67" s="9"/>
      <c r="Q67" s="9" t="s">
        <v>1032</v>
      </c>
      <c r="R67" s="9"/>
      <c r="S67" s="9"/>
      <c r="T67" s="9"/>
    </row>
    <row r="68" spans="1:20" x14ac:dyDescent="0.25">
      <c r="A68" s="10" t="str">
        <f>"  - '&amp;7• &amp;8Nivel: &amp;a"&amp;MAIN!$C$71+($C$2*MAIN!$I$27)&amp;"'"</f>
        <v xml:space="preserve">  - '&amp;7• &amp;8Nivel: &amp;a49'</v>
      </c>
      <c r="B68" s="10"/>
      <c r="C68" s="10"/>
      <c r="D68" s="10"/>
      <c r="E68" s="10" t="str">
        <f>"  - '&amp;7• &amp;8Nivel: &amp;a"&amp;MAIN!$D$71+($C$2*MAIN!$I$27)&amp;"'"</f>
        <v xml:space="preserve">  - '&amp;7• &amp;8Nivel: &amp;a77'</v>
      </c>
      <c r="F68" s="10"/>
      <c r="G68" s="10"/>
      <c r="H68" s="10"/>
      <c r="I68" s="10" t="str">
        <f>"  - '&amp;7• &amp;8Nivel: &amp;a"&amp;MAIN!$E$71+($C$2*MAIN!$I$27)&amp;"'"</f>
        <v xml:space="preserve">  - '&amp;7• &amp;8Nivel: &amp;a163'</v>
      </c>
      <c r="J68" s="10"/>
      <c r="K68" s="10"/>
      <c r="L68" s="10"/>
      <c r="M68" s="10" t="str">
        <f>"  - '&amp;7• &amp;8Nivel: &amp;a"&amp;MAIN!$F$71+($C$2*MAIN!$I$27)&amp;"'"</f>
        <v xml:space="preserve">  - '&amp;7• &amp;8Nivel: &amp;a419'</v>
      </c>
      <c r="N68" s="10"/>
      <c r="O68" s="10"/>
      <c r="P68" s="10"/>
      <c r="Q68" s="10" t="str">
        <f>"  - '&amp;7• &amp;8Nivel: &amp;a"&amp;MAIN!$G$71+($C$2*MAIN!$I$27)&amp;"'"</f>
        <v xml:space="preserve">  - '&amp;7• &amp;8Nivel: &amp;a803'</v>
      </c>
      <c r="R68" s="10"/>
      <c r="S68" s="10"/>
      <c r="T68" s="10"/>
    </row>
    <row r="69" spans="1:20" x14ac:dyDescent="0.25">
      <c r="A69" s="12" t="str">
        <f>"  - '&amp;7• &amp;8"&amp;MAIN!$C$12&amp;" lvl: &amp;a"&amp;ROUNDUP((MAIN!$C$71+($C$2*MAIN!$I$27))/3,0)&amp;"'"</f>
        <v xml:space="preserve">  - '&amp;7• &amp;8Esencia lvl: &amp;a17'</v>
      </c>
      <c r="B69" s="12"/>
      <c r="C69" s="12"/>
      <c r="D69" s="12"/>
      <c r="E69" s="12" t="str">
        <f>"  - '&amp;7• &amp;8"&amp;MAIN!$C$12&amp;" lvl: &amp;a"&amp;ROUNDUP((MAIN!$D$71+($C$2*MAIN!$I$27))/3,0)&amp;"'"</f>
        <v xml:space="preserve">  - '&amp;7• &amp;8Esencia lvl: &amp;a26'</v>
      </c>
      <c r="F69" s="12"/>
      <c r="G69" s="12"/>
      <c r="H69" s="12"/>
      <c r="I69" s="12" t="str">
        <f>"  - '&amp;7• &amp;8"&amp;MAIN!$C$12&amp;" lvl: &amp;a"&amp;ROUNDUP((MAIN!$E$71+($C$2*MAIN!$I$27))/3,0)&amp;"'"</f>
        <v xml:space="preserve">  - '&amp;7• &amp;8Esencia lvl: &amp;a55'</v>
      </c>
      <c r="J69" s="12"/>
      <c r="K69" s="12"/>
      <c r="L69" s="12"/>
      <c r="M69" s="12" t="str">
        <f>"  - '&amp;7• &amp;8"&amp;MAIN!$C$12&amp;" lvl: &amp;a"&amp;ROUNDUP((MAIN!$F$71+($C$2*MAIN!$I$27))/3,0)&amp;"'"</f>
        <v xml:space="preserve">  - '&amp;7• &amp;8Esencia lvl: &amp;a140'</v>
      </c>
      <c r="N69" s="12"/>
      <c r="O69" s="12"/>
      <c r="P69" s="12"/>
      <c r="Q69" s="12" t="str">
        <f>"  - '&amp;7• &amp;8"&amp;MAIN!$C$12&amp;" lvl: &amp;a"&amp;ROUNDUP((MAIN!$G$71+($C$2*MAIN!$I$27))/3,0)&amp;"'"</f>
        <v xml:space="preserve">  - '&amp;7• &amp;8Esencia lvl: &amp;a268'</v>
      </c>
      <c r="R69" s="12"/>
      <c r="S69" s="12"/>
      <c r="T69" s="12"/>
    </row>
    <row r="70" spans="1:20" x14ac:dyDescent="0.25">
      <c r="A70" s="9" t="s">
        <v>32</v>
      </c>
      <c r="B70" s="9"/>
      <c r="C70" s="9"/>
      <c r="D70" s="9"/>
      <c r="E70" s="9" t="s">
        <v>32</v>
      </c>
      <c r="F70" s="9"/>
      <c r="G70" s="9"/>
      <c r="H70" s="9"/>
      <c r="I70" s="9" t="s">
        <v>32</v>
      </c>
      <c r="J70" s="9"/>
      <c r="K70" s="9"/>
      <c r="L70" s="9"/>
      <c r="M70" s="9" t="s">
        <v>32</v>
      </c>
      <c r="N70" s="9"/>
      <c r="O70" s="9"/>
      <c r="P70" s="9"/>
      <c r="Q70" s="9" t="s">
        <v>32</v>
      </c>
      <c r="R70" s="9"/>
      <c r="S70" s="9"/>
      <c r="T70" s="9"/>
    </row>
    <row r="71" spans="1:20" s="291" customFormat="1" x14ac:dyDescent="0.25">
      <c r="A71" s="9" t="s">
        <v>1196</v>
      </c>
      <c r="B71" s="9"/>
      <c r="C71" s="9"/>
      <c r="D71" s="9"/>
      <c r="E71" s="9" t="str">
        <f>A71</f>
        <v xml:space="preserve">  - '%tierlore%'</v>
      </c>
      <c r="F71" s="9"/>
      <c r="G71" s="9"/>
      <c r="H71" s="9"/>
      <c r="I71" s="9" t="str">
        <f>E71</f>
        <v xml:space="preserve">  - '%tierlore%'</v>
      </c>
      <c r="J71" s="9"/>
      <c r="K71" s="9"/>
      <c r="L71" s="9"/>
      <c r="M71" s="9" t="str">
        <f>I71</f>
        <v xml:space="preserve">  - '%tierlore%'</v>
      </c>
      <c r="N71" s="9"/>
      <c r="O71" s="9"/>
      <c r="P71" s="9"/>
      <c r="Q71" s="9" t="str">
        <f>M71</f>
        <v xml:space="preserve">  - '%tierlore%'</v>
      </c>
      <c r="R71" s="9"/>
      <c r="S71" s="9"/>
      <c r="T71" s="9"/>
    </row>
    <row r="72" spans="1:20" x14ac:dyDescent="0.25">
      <c r="A72" s="9" t="s">
        <v>33</v>
      </c>
      <c r="B72" s="9"/>
      <c r="C72" s="9"/>
      <c r="D72" s="9"/>
      <c r="E72" s="9" t="s">
        <v>33</v>
      </c>
      <c r="F72" s="9"/>
      <c r="G72" s="9"/>
      <c r="H72" s="9"/>
      <c r="I72" s="9" t="s">
        <v>33</v>
      </c>
      <c r="J72" s="9"/>
      <c r="K72" s="9"/>
      <c r="L72" s="9"/>
      <c r="M72" s="9" t="s">
        <v>33</v>
      </c>
      <c r="N72" s="9"/>
      <c r="O72" s="9"/>
      <c r="P72" s="9"/>
      <c r="Q72" s="9" t="s">
        <v>33</v>
      </c>
      <c r="R72" s="9"/>
      <c r="S72" s="9"/>
      <c r="T72" s="9"/>
    </row>
    <row r="73" spans="1:20" x14ac:dyDescent="0.25">
      <c r="A73" s="10" t="str">
        <f>"  - '&amp;4• &amp;f"&amp;MAIN!$C$9&amp;": &amp;a"&amp;MAIN!$C$66*$C$2&amp;"'"</f>
        <v xml:space="preserve">  - '&amp;4• &amp;fFuerza: &amp;a56'</v>
      </c>
      <c r="B73" s="10"/>
      <c r="C73" s="10"/>
      <c r="D73" s="10"/>
      <c r="E73" s="10" t="str">
        <f>"  - '&amp;4• &amp;f"&amp;MAIN!$C$9&amp;": &amp;a"&amp;MAIN!$D$66*$C$2&amp;"'"</f>
        <v xml:space="preserve">  - '&amp;4• &amp;fFuerza: &amp;a91'</v>
      </c>
      <c r="F73" s="10"/>
      <c r="G73" s="10"/>
      <c r="H73" s="10"/>
      <c r="I73" s="10" t="str">
        <f>"  - '&amp;4• &amp;f"&amp;MAIN!$C$9&amp;": &amp;a"&amp;MAIN!$E$66*$C$2&amp;"'"</f>
        <v xml:space="preserve">  - '&amp;4• &amp;fFuerza: &amp;a154'</v>
      </c>
      <c r="J73" s="10"/>
      <c r="K73" s="10"/>
      <c r="L73" s="10"/>
      <c r="M73" s="10" t="str">
        <f>"  - '&amp;4• &amp;f"&amp;MAIN!$C$9&amp;": &amp;a"&amp;MAIN!$F$66*$C$2&amp;"'"</f>
        <v xml:space="preserve">  - '&amp;4• &amp;fFuerza: &amp;a259'</v>
      </c>
      <c r="N73" s="10"/>
      <c r="O73" s="10"/>
      <c r="P73" s="10"/>
      <c r="Q73" s="10" t="str">
        <f>"  - '&amp;4• &amp;f"&amp;MAIN!$C$9&amp;": &amp;a"&amp;MAIN!$G$66*$C$2&amp;"'"</f>
        <v xml:space="preserve">  - '&amp;4• &amp;fFuerza: &amp;a434'</v>
      </c>
      <c r="R73" s="10"/>
      <c r="S73" s="10"/>
      <c r="T73" s="10"/>
    </row>
    <row r="74" spans="1:20" x14ac:dyDescent="0.25">
      <c r="A74" s="10" t="str">
        <f>"  - '&amp;4• &amp;f"&amp;MAIN!$C$8&amp;": &amp;a"&amp;MAIN!$C$66*$C$2&amp;"'"</f>
        <v xml:space="preserve">  - '&amp;4• &amp;fVitalidad: &amp;a56'</v>
      </c>
      <c r="B74" s="10"/>
      <c r="C74" s="10"/>
      <c r="D74" s="10"/>
      <c r="E74" s="10" t="str">
        <f>"  - '&amp;4• &amp;f"&amp;MAIN!$C$8&amp;": &amp;a"&amp;MAIN!$D$66*$C$2&amp;"'"</f>
        <v xml:space="preserve">  - '&amp;4• &amp;fVitalidad: &amp;a91'</v>
      </c>
      <c r="F74" s="10"/>
      <c r="G74" s="10"/>
      <c r="H74" s="10"/>
      <c r="I74" s="10" t="str">
        <f>"  - '&amp;4• &amp;f"&amp;MAIN!$C$8&amp;": &amp;a"&amp;MAIN!$E$66*$C$2&amp;"'"</f>
        <v xml:space="preserve">  - '&amp;4• &amp;fVitalidad: &amp;a154'</v>
      </c>
      <c r="J74" s="10"/>
      <c r="K74" s="10"/>
      <c r="L74" s="10"/>
      <c r="M74" s="10" t="str">
        <f>"  - '&amp;4• &amp;f"&amp;MAIN!$C$8&amp;": &amp;a"&amp;MAIN!$F$66*$C$2&amp;"'"</f>
        <v xml:space="preserve">  - '&amp;4• &amp;fVitalidad: &amp;a259'</v>
      </c>
      <c r="N74" s="10"/>
      <c r="O74" s="10"/>
      <c r="P74" s="10"/>
      <c r="Q74" s="10" t="str">
        <f>"  - '&amp;4• &amp;f"&amp;MAIN!$C$8&amp;": &amp;a"&amp;MAIN!$G$66*$C$2&amp;"'"</f>
        <v xml:space="preserve">  - '&amp;4• &amp;fVitalidad: &amp;a434'</v>
      </c>
      <c r="R74" s="10"/>
      <c r="S74" s="10"/>
      <c r="T74" s="10"/>
    </row>
    <row r="75" spans="1:20" x14ac:dyDescent="0.25">
      <c r="A75" s="10" t="str">
        <f>"  - '&amp;4• &amp;f"&amp;MAIN!$C$11&amp;": &amp;a"&amp;MAIN!$C$68*$C$2&amp;"'"</f>
        <v xml:space="preserve">  - '&amp;4• &amp;fInteligencia: &amp;a56'</v>
      </c>
      <c r="B75" s="10"/>
      <c r="C75" s="10"/>
      <c r="D75" s="10"/>
      <c r="E75" s="10" t="str">
        <f>"  - '&amp;4• &amp;f"&amp;MAIN!$C$11&amp;": &amp;a"&amp;MAIN!$D$68*$C$2&amp;"'"</f>
        <v xml:space="preserve">  - '&amp;4• &amp;fInteligencia: &amp;a91'</v>
      </c>
      <c r="F75" s="10"/>
      <c r="G75" s="10"/>
      <c r="H75" s="10"/>
      <c r="I75" s="10" t="str">
        <f>"  - '&amp;4• &amp;f"&amp;MAIN!$C$11&amp;": &amp;a"&amp;MAIN!$E$67*$C$2&amp;"'"</f>
        <v xml:space="preserve">  - '&amp;4• &amp;fInteligencia: &amp;a154'</v>
      </c>
      <c r="J75" s="10"/>
      <c r="K75" s="10"/>
      <c r="L75" s="10"/>
      <c r="M75" s="10" t="str">
        <f>"  - '&amp;4• &amp;f"&amp;MAIN!$C$11&amp;": &amp;a"&amp;MAIN!$F$68*$C$2&amp;"'"</f>
        <v xml:space="preserve">  - '&amp;4• &amp;fInteligencia: &amp;a259'</v>
      </c>
      <c r="N75" s="10"/>
      <c r="O75" s="10"/>
      <c r="P75" s="10"/>
      <c r="Q75" s="10" t="str">
        <f>"  - '&amp;4• &amp;f"&amp;MAIN!$C$11&amp;": &amp;a"&amp;MAIN!$G$68*$C$2&amp;"'"</f>
        <v xml:space="preserve">  - '&amp;4• &amp;fInteligencia: &amp;a434'</v>
      </c>
      <c r="R75" s="10"/>
      <c r="S75" s="10"/>
      <c r="T75" s="10"/>
    </row>
    <row r="76" spans="1:20" x14ac:dyDescent="0.25">
      <c r="A76" s="10" t="str">
        <f>"  - '&amp;4• &amp;f"&amp;MAIN!$C$10&amp;": &amp;a"&amp;MAIN!$C$67*$C$2&amp;"'"</f>
        <v xml:space="preserve">  - '&amp;4• &amp;fAgilidad: &amp;a56'</v>
      </c>
      <c r="B76" s="10"/>
      <c r="C76" s="10"/>
      <c r="D76" s="10"/>
      <c r="E76" s="10" t="str">
        <f>"  - '&amp;4• &amp;f"&amp;MAIN!$C$10&amp;": &amp;a"&amp;MAIN!$D$67*$C$2&amp;"'"</f>
        <v xml:space="preserve">  - '&amp;4• &amp;fAgilidad: &amp;a91'</v>
      </c>
      <c r="F76" s="10"/>
      <c r="G76" s="10"/>
      <c r="H76" s="10"/>
      <c r="I76" s="10" t="str">
        <f>"  - '&amp;4• &amp;f"&amp;MAIN!$C$10&amp;": &amp;a"&amp;MAIN!$E$67*$C$2&amp;"'"</f>
        <v xml:space="preserve">  - '&amp;4• &amp;fAgilidad: &amp;a154'</v>
      </c>
      <c r="J76" s="10"/>
      <c r="K76" s="10"/>
      <c r="L76" s="10"/>
      <c r="M76" s="10" t="str">
        <f>"  - '&amp;4• &amp;f"&amp;MAIN!$C$10&amp;": &amp;a"&amp;MAIN!$F$67*$C$2&amp;"'"</f>
        <v xml:space="preserve">  - '&amp;4• &amp;fAgilidad: &amp;a259'</v>
      </c>
      <c r="N76" s="10"/>
      <c r="O76" s="10"/>
      <c r="P76" s="10"/>
      <c r="Q76" s="10" t="str">
        <f>"  - '&amp;4• &amp;f"&amp;MAIN!$C$10&amp;": &amp;a"&amp;MAIN!$G$67*$C$2&amp;"'"</f>
        <v xml:space="preserve">  - '&amp;4• &amp;fAgilidad: &amp;a434'</v>
      </c>
      <c r="R76" s="10"/>
      <c r="S76" s="10"/>
      <c r="T76" s="10"/>
    </row>
    <row r="77" spans="1:20" x14ac:dyDescent="0.25">
      <c r="A77" s="9" t="s">
        <v>71</v>
      </c>
      <c r="B77" s="9"/>
      <c r="C77" s="9"/>
      <c r="D77" s="9"/>
      <c r="E77" s="9" t="s">
        <v>71</v>
      </c>
      <c r="F77" s="9"/>
      <c r="G77" s="9"/>
      <c r="H77" s="9"/>
      <c r="I77" s="9" t="s">
        <v>71</v>
      </c>
      <c r="J77" s="9"/>
      <c r="K77" s="9"/>
      <c r="L77" s="9"/>
      <c r="M77" s="9" t="s">
        <v>71</v>
      </c>
      <c r="N77" s="9"/>
      <c r="O77" s="9"/>
      <c r="P77" s="9"/>
      <c r="Q77" s="9" t="s">
        <v>71</v>
      </c>
      <c r="R77" s="9"/>
      <c r="S77" s="9"/>
      <c r="T77" s="9"/>
    </row>
    <row r="78" spans="1:20" x14ac:dyDescent="0.25">
      <c r="A78" s="9" t="s">
        <v>72</v>
      </c>
      <c r="B78" s="9"/>
      <c r="C78" s="9"/>
      <c r="D78" s="9"/>
      <c r="E78" s="9" t="s">
        <v>72</v>
      </c>
      <c r="F78" s="9"/>
      <c r="G78" s="9"/>
      <c r="H78" s="9"/>
      <c r="I78" s="9" t="s">
        <v>72</v>
      </c>
      <c r="J78" s="9"/>
      <c r="K78" s="9"/>
      <c r="L78" s="9"/>
      <c r="M78" s="9" t="s">
        <v>72</v>
      </c>
      <c r="N78" s="9"/>
      <c r="O78" s="9"/>
      <c r="P78" s="9"/>
      <c r="Q78" s="9" t="s">
        <v>72</v>
      </c>
      <c r="R78" s="9"/>
      <c r="S78" s="9"/>
      <c r="T78" s="9"/>
    </row>
    <row r="79" spans="1:20" x14ac:dyDescent="0.25">
      <c r="A79" s="11" t="str">
        <f>'armas legendario'!$A$79</f>
        <v>minimumSockets: 2</v>
      </c>
      <c r="B79" s="11"/>
      <c r="C79" s="11"/>
      <c r="D79" s="11"/>
      <c r="E79" s="11" t="str">
        <f>$A$79</f>
        <v>minimumSockets: 2</v>
      </c>
      <c r="F79" s="11"/>
      <c r="G79" s="11"/>
      <c r="H79" s="11"/>
      <c r="I79" s="11" t="str">
        <f>$A$79</f>
        <v>minimumSockets: 2</v>
      </c>
      <c r="J79" s="11"/>
      <c r="K79" s="11"/>
      <c r="L79" s="11"/>
      <c r="M79" s="11" t="str">
        <f>$A$79</f>
        <v>minimumSockets: 2</v>
      </c>
      <c r="N79" s="11"/>
      <c r="O79" s="11"/>
      <c r="P79" s="11"/>
      <c r="Q79" s="11" t="str">
        <f>$A$79</f>
        <v>minimumSockets: 2</v>
      </c>
      <c r="R79" s="11"/>
      <c r="S79" s="11"/>
      <c r="T79" s="11"/>
    </row>
    <row r="80" spans="1:20" x14ac:dyDescent="0.25">
      <c r="A80" s="11" t="str">
        <f>'armas legendario'!$A$80</f>
        <v>maximumSockets: 3</v>
      </c>
      <c r="B80" s="11"/>
      <c r="C80" s="11"/>
      <c r="D80" s="11"/>
      <c r="E80" s="11" t="str">
        <f>$A$80</f>
        <v>maximumSockets: 3</v>
      </c>
      <c r="F80" s="11"/>
      <c r="G80" s="11"/>
      <c r="H80" s="11"/>
      <c r="I80" s="11" t="str">
        <f>$A$80</f>
        <v>maximumSockets: 3</v>
      </c>
      <c r="J80" s="11"/>
      <c r="K80" s="11"/>
      <c r="L80" s="11"/>
      <c r="M80" s="11" t="str">
        <f>$A$80</f>
        <v>maximumSockets: 3</v>
      </c>
      <c r="N80" s="11"/>
      <c r="O80" s="11"/>
      <c r="P80" s="11"/>
      <c r="Q80" s="11" t="str">
        <f>$A$80</f>
        <v>maximumSockets: 3</v>
      </c>
      <c r="R80" s="11"/>
      <c r="S80" s="11"/>
      <c r="T80" s="11"/>
    </row>
    <row r="81" spans="1:20" x14ac:dyDescent="0.25">
      <c r="A81" s="11" t="str">
        <f>'armas legendario'!$A$81</f>
        <v>chanceToSpawnOnAMonster: 0.075</v>
      </c>
      <c r="B81" s="11"/>
      <c r="C81" s="11"/>
      <c r="D81" s="11"/>
      <c r="E81" s="11" t="str">
        <f>$A$81</f>
        <v>chanceToSpawnOnAMonster: 0.075</v>
      </c>
      <c r="F81" s="11"/>
      <c r="G81" s="11"/>
      <c r="H81" s="11"/>
      <c r="I81" s="11" t="str">
        <f>$A$81</f>
        <v>chanceToSpawnOnAMonster: 0.075</v>
      </c>
      <c r="J81" s="11"/>
      <c r="K81" s="11"/>
      <c r="L81" s="11"/>
      <c r="M81" s="11" t="str">
        <f>$A$81</f>
        <v>chanceToSpawnOnAMonster: 0.075</v>
      </c>
      <c r="N81" s="11"/>
      <c r="O81" s="11"/>
      <c r="P81" s="11"/>
      <c r="Q81" s="11" t="str">
        <f>$A$81</f>
        <v>chanceToSpawnOnAMonster: 0.075</v>
      </c>
      <c r="R81" s="11"/>
      <c r="S81" s="11"/>
      <c r="T81" s="11"/>
    </row>
    <row r="82" spans="1:20" x14ac:dyDescent="0.25">
      <c r="A82" s="9" t="s">
        <v>34</v>
      </c>
      <c r="B82" s="9"/>
      <c r="C82" s="9"/>
      <c r="D82" s="9"/>
      <c r="E82" s="9" t="s">
        <v>34</v>
      </c>
      <c r="F82" s="9"/>
      <c r="G82" s="9"/>
      <c r="H82" s="9"/>
      <c r="I82" s="9" t="s">
        <v>34</v>
      </c>
      <c r="J82" s="9"/>
      <c r="K82" s="9"/>
      <c r="L82" s="9"/>
      <c r="M82" s="9" t="s">
        <v>34</v>
      </c>
      <c r="N82" s="9"/>
      <c r="O82" s="9"/>
      <c r="P82" s="9"/>
      <c r="Q82" s="9" t="s">
        <v>34</v>
      </c>
      <c r="R82" s="9"/>
      <c r="S82" s="9"/>
      <c r="T82" s="9"/>
    </row>
    <row r="83" spans="1:20" x14ac:dyDescent="0.25">
      <c r="A83" s="11" t="str">
        <f>'armas legendario'!$A$83</f>
        <v>chanceToBeIdentified: 0.0375</v>
      </c>
      <c r="B83" s="11"/>
      <c r="C83" s="11"/>
      <c r="D83" s="11"/>
      <c r="E83" s="11" t="str">
        <f>$A$83</f>
        <v>chanceToBeIdentified: 0.0375</v>
      </c>
      <c r="F83" s="11"/>
      <c r="G83" s="11"/>
      <c r="H83" s="11"/>
      <c r="I83" s="11" t="str">
        <f>$A$83</f>
        <v>chanceToBeIdentified: 0.0375</v>
      </c>
      <c r="J83" s="11"/>
      <c r="K83" s="11"/>
      <c r="L83" s="11"/>
      <c r="M83" s="11" t="str">
        <f>$A$83</f>
        <v>chanceToBeIdentified: 0.0375</v>
      </c>
      <c r="N83" s="11"/>
      <c r="O83" s="11"/>
      <c r="P83" s="11"/>
      <c r="Q83" s="11" t="str">
        <f>$A$83</f>
        <v>chanceToBeIdentified: 0.0375</v>
      </c>
      <c r="R83" s="11"/>
      <c r="S83" s="11"/>
      <c r="T83" s="11"/>
    </row>
    <row r="84" spans="1:20" x14ac:dyDescent="0.25">
      <c r="A84" s="9" t="s">
        <v>79</v>
      </c>
      <c r="B84" s="9"/>
      <c r="C84" s="9"/>
      <c r="D84" s="9"/>
      <c r="E84" s="9" t="s">
        <v>79</v>
      </c>
      <c r="F84" s="9"/>
      <c r="G84" s="9"/>
      <c r="H84" s="9"/>
      <c r="I84" s="9" t="s">
        <v>79</v>
      </c>
      <c r="J84" s="9"/>
      <c r="K84" s="9"/>
      <c r="L84" s="9"/>
      <c r="M84" s="9" t="s">
        <v>79</v>
      </c>
      <c r="N84" s="9"/>
      <c r="O84" s="9"/>
      <c r="P84" s="9"/>
      <c r="Q84" s="9" t="s">
        <v>79</v>
      </c>
      <c r="R84" s="9"/>
      <c r="S84" s="9"/>
      <c r="T84" s="9"/>
    </row>
    <row r="85" spans="1:20" x14ac:dyDescent="0.25">
      <c r="A85" s="11" t="str">
        <f>'armas legendario'!$A$85</f>
        <v>broadcastOnFind: false</v>
      </c>
      <c r="B85" s="11"/>
      <c r="C85" s="11"/>
      <c r="D85" s="11"/>
      <c r="E85" s="11" t="str">
        <f>$A$85</f>
        <v>broadcastOnFind: false</v>
      </c>
      <c r="F85" s="11"/>
      <c r="G85" s="11"/>
      <c r="H85" s="11"/>
      <c r="I85" s="11" t="str">
        <f>$A$85</f>
        <v>broadcastOnFind: false</v>
      </c>
      <c r="J85" s="11"/>
      <c r="K85" s="11"/>
      <c r="L85" s="11"/>
      <c r="M85" s="11" t="str">
        <f>$A$85</f>
        <v>broadcastOnFind: false</v>
      </c>
      <c r="N85" s="11"/>
      <c r="O85" s="11"/>
      <c r="P85" s="11"/>
      <c r="Q85" s="11" t="str">
        <f>$A$85</f>
        <v>broadcastOnFind: false</v>
      </c>
      <c r="R85" s="11"/>
      <c r="S85" s="11"/>
      <c r="T85" s="11"/>
    </row>
    <row r="86" spans="1:20" x14ac:dyDescent="0.25">
      <c r="A86" s="11" t="str">
        <f>'armas legendario'!$A$86</f>
        <v>optimalDistance: 2700</v>
      </c>
      <c r="B86" s="11"/>
      <c r="C86" s="11"/>
      <c r="D86" s="11"/>
      <c r="E86" s="11" t="str">
        <f>$A$86</f>
        <v>optimalDistance: 2700</v>
      </c>
      <c r="F86" s="11"/>
      <c r="G86" s="11"/>
      <c r="H86" s="11"/>
      <c r="I86" s="11" t="str">
        <f>$A$86</f>
        <v>optimalDistance: 2700</v>
      </c>
      <c r="J86" s="11"/>
      <c r="K86" s="11"/>
      <c r="L86" s="11"/>
      <c r="M86" s="11" t="str">
        <f>$A$86</f>
        <v>optimalDistance: 2700</v>
      </c>
      <c r="N86" s="11"/>
      <c r="O86" s="11"/>
      <c r="P86" s="11"/>
      <c r="Q86" s="11" t="str">
        <f>$A$86</f>
        <v>optimalDistance: 2700</v>
      </c>
      <c r="R86" s="11"/>
      <c r="S86" s="11"/>
      <c r="T86" s="11"/>
    </row>
    <row r="87" spans="1:20" x14ac:dyDescent="0.25">
      <c r="A87" s="11" t="str">
        <f>'armas legendario'!$A$87</f>
        <v>maximumDistance: 1800</v>
      </c>
      <c r="B87" s="11"/>
      <c r="C87" s="11"/>
      <c r="D87" s="11"/>
      <c r="E87" s="11" t="str">
        <f>$A$87</f>
        <v>maximumDistance: 1800</v>
      </c>
      <c r="F87" s="11"/>
      <c r="G87" s="11"/>
      <c r="H87" s="11"/>
      <c r="I87" s="11" t="str">
        <f>$A$87</f>
        <v>maximumDistance: 1800</v>
      </c>
      <c r="J87" s="11"/>
      <c r="K87" s="11"/>
      <c r="L87" s="11"/>
      <c r="M87" s="11" t="str">
        <f>$A$87</f>
        <v>maximumDistance: 1800</v>
      </c>
      <c r="N87" s="11"/>
      <c r="O87" s="11"/>
      <c r="P87" s="11"/>
      <c r="Q87" s="11" t="str">
        <f>$A$87</f>
        <v>maximumDistance: 1800</v>
      </c>
      <c r="R87" s="11"/>
      <c r="S87" s="11"/>
      <c r="T87" s="11"/>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9" x14ac:dyDescent="0.25">
      <c r="A97" s="9"/>
      <c r="B97" s="9"/>
      <c r="C97" s="9"/>
      <c r="D97" s="9"/>
      <c r="G97" s="13"/>
      <c r="H97" s="13"/>
      <c r="I97" s="13"/>
    </row>
    <row r="98" spans="1:9" x14ac:dyDescent="0.25">
      <c r="A98" s="9"/>
      <c r="B98" s="9"/>
      <c r="C98" s="9"/>
      <c r="D98" s="9"/>
      <c r="G98" s="13"/>
      <c r="H98" s="13"/>
      <c r="I98" s="13"/>
    </row>
    <row r="99" spans="1:9" x14ac:dyDescent="0.25">
      <c r="A99" s="9"/>
      <c r="B99" s="9"/>
      <c r="C99" s="9"/>
      <c r="D99" s="9"/>
    </row>
    <row r="100" spans="1:9" x14ac:dyDescent="0.25">
      <c r="A100" s="9"/>
      <c r="B100" s="9"/>
      <c r="C100" s="9"/>
      <c r="D100" s="9"/>
    </row>
    <row r="101" spans="1:9" x14ac:dyDescent="0.25">
      <c r="A101" s="9"/>
      <c r="B101" s="9"/>
      <c r="C101" s="9"/>
      <c r="D101" s="9"/>
    </row>
    <row r="102" spans="1:9" x14ac:dyDescent="0.25">
      <c r="A102" s="9"/>
      <c r="B102" s="9"/>
      <c r="C102" s="9"/>
      <c r="D102" s="9"/>
    </row>
    <row r="103" spans="1:9" x14ac:dyDescent="0.25">
      <c r="A103" s="9"/>
      <c r="B103" s="9"/>
      <c r="C103" s="9"/>
      <c r="D103" s="9"/>
    </row>
    <row r="104" spans="1:9" x14ac:dyDescent="0.25">
      <c r="A104" s="9"/>
      <c r="B104" s="9"/>
      <c r="C104" s="9"/>
      <c r="D104" s="9"/>
    </row>
    <row r="105" spans="1:9" x14ac:dyDescent="0.25">
      <c r="A105" s="9"/>
      <c r="B105" s="9"/>
      <c r="C105" s="9"/>
      <c r="D105" s="9"/>
    </row>
    <row r="106" spans="1:9" x14ac:dyDescent="0.25">
      <c r="A106" s="9"/>
      <c r="B106" s="9"/>
      <c r="C106" s="9"/>
      <c r="D106" s="9"/>
    </row>
    <row r="107" spans="1:9" x14ac:dyDescent="0.25">
      <c r="A107" s="9"/>
      <c r="B107" s="9"/>
      <c r="C107" s="9"/>
      <c r="D107" s="9"/>
    </row>
    <row r="108" spans="1:9" x14ac:dyDescent="0.25">
      <c r="A108" s="9"/>
      <c r="B108" s="9"/>
      <c r="C108" s="9"/>
      <c r="D108" s="9"/>
    </row>
    <row r="109" spans="1:9" x14ac:dyDescent="0.25">
      <c r="A109" s="9"/>
      <c r="B109" s="9"/>
      <c r="C109" s="9"/>
      <c r="D109" s="9"/>
    </row>
    <row r="110" spans="1:9" x14ac:dyDescent="0.25">
      <c r="A110" s="9"/>
      <c r="B110" s="9"/>
      <c r="C110" s="9"/>
      <c r="D110" s="9"/>
    </row>
    <row r="111" spans="1:9" x14ac:dyDescent="0.25">
      <c r="A111" s="9"/>
      <c r="B111" s="9"/>
      <c r="C111" s="9"/>
      <c r="D111" s="9"/>
    </row>
    <row r="112" spans="1:9"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row r="190" spans="1:4" x14ac:dyDescent="0.25">
      <c r="A190" s="9"/>
      <c r="B190" s="9"/>
      <c r="C190" s="9"/>
      <c r="D190" s="9"/>
    </row>
    <row r="191" spans="1:4" x14ac:dyDescent="0.25">
      <c r="A191" s="9"/>
      <c r="B191" s="9"/>
      <c r="C191" s="9"/>
      <c r="D191"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2"/>
  <dimension ref="A1:Z191"/>
  <sheetViews>
    <sheetView topLeftCell="N65" workbookViewId="0">
      <selection activeCell="Q4" sqref="Q4:Q87"/>
    </sheetView>
  </sheetViews>
  <sheetFormatPr baseColWidth="10" defaultColWidth="11.5703125" defaultRowHeight="15" x14ac:dyDescent="0.25"/>
  <cols>
    <col min="1" max="16384" width="11.5703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104</v>
      </c>
      <c r="B2" s="293"/>
      <c r="C2" s="293">
        <f>'ECONOMIA &amp; PROFESIONES'!$Q$3</f>
        <v>7</v>
      </c>
      <c r="D2" s="293"/>
      <c r="E2" s="293" t="s">
        <v>81</v>
      </c>
      <c r="F2" s="293"/>
      <c r="G2" s="293" t="s">
        <v>3</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$A$38</f>
        <v xml:space="preserve">  - ARROW_INFINITE:3:5</v>
      </c>
      <c r="J15" s="22"/>
      <c r="K15" s="22"/>
      <c r="L15" s="22"/>
      <c r="M15" s="22" t="str">
        <f>$A$38</f>
        <v xml:space="preserve">  - ARROW_INFINITE:3:5</v>
      </c>
      <c r="N15" s="22"/>
      <c r="O15" s="22"/>
      <c r="P15" s="22"/>
      <c r="Q15" s="22" t="str">
        <f>$A$38</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$A$39</f>
        <v xml:space="preserve">  - ARROW_DAMAGE:3:5</v>
      </c>
      <c r="J16" s="22"/>
      <c r="K16" s="22"/>
      <c r="L16" s="22"/>
      <c r="M16" s="22" t="str">
        <f>$A$39</f>
        <v xml:space="preserve">  - ARROW_DAMAGE:3:5</v>
      </c>
      <c r="N16" s="22"/>
      <c r="O16" s="22"/>
      <c r="P16" s="22"/>
      <c r="Q16" s="22" t="str">
        <f>$A$39</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$A$40</f>
        <v xml:space="preserve">  - ARROW_FIRE:3:5</v>
      </c>
      <c r="J17" s="22"/>
      <c r="K17" s="22"/>
      <c r="L17" s="22"/>
      <c r="M17" s="22" t="str">
        <f>$A$40</f>
        <v xml:space="preserve">  - ARROW_FIRE:3:5</v>
      </c>
      <c r="N17" s="22"/>
      <c r="O17" s="22"/>
      <c r="P17" s="22"/>
      <c r="Q17" s="22" t="str">
        <f>$A$40</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$A$41</f>
        <v xml:space="preserve">  - ARROW_KNOCKBACK:3:5</v>
      </c>
      <c r="J18" s="22"/>
      <c r="K18" s="22"/>
      <c r="L18" s="22"/>
      <c r="M18" s="22" t="str">
        <f>$A$41</f>
        <v xml:space="preserve">  - ARROW_KNOCKBACK:3:5</v>
      </c>
      <c r="N18" s="22"/>
      <c r="O18" s="22"/>
      <c r="P18" s="22"/>
      <c r="Q18" s="22" t="str">
        <f>$A$41</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$A$42</f>
        <v xml:space="preserve">  - DAMAGE_ALL:3:5</v>
      </c>
      <c r="J19" s="22"/>
      <c r="K19" s="22"/>
      <c r="L19" s="22"/>
      <c r="M19" s="22" t="str">
        <f>$A$42</f>
        <v xml:space="preserve">  - DAMAGE_ALL:3:5</v>
      </c>
      <c r="N19" s="22"/>
      <c r="O19" s="22"/>
      <c r="P19" s="22"/>
      <c r="Q19" s="22" t="str">
        <f>$A$42</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$A$43</f>
        <v xml:space="preserve">  - DAMAGE_ARTHROPODS:3:5</v>
      </c>
      <c r="J20" s="22"/>
      <c r="K20" s="22"/>
      <c r="L20" s="22"/>
      <c r="M20" s="22" t="str">
        <f>$A$43</f>
        <v xml:space="preserve">  - DAMAGE_ARTHROPODS:3:5</v>
      </c>
      <c r="N20" s="22"/>
      <c r="O20" s="22"/>
      <c r="P20" s="22"/>
      <c r="Q20" s="22" t="str">
        <f>$A$43</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$A$44</f>
        <v xml:space="preserve">  - DAMAGE_UNDEAD:3:5</v>
      </c>
      <c r="J21" s="22"/>
      <c r="K21" s="22"/>
      <c r="L21" s="22"/>
      <c r="M21" s="22" t="str">
        <f>$A$44</f>
        <v xml:space="preserve">  - DAMAGE_UNDEAD:3:5</v>
      </c>
      <c r="N21" s="22"/>
      <c r="O21" s="22"/>
      <c r="P21" s="22"/>
      <c r="Q21" s="22" t="str">
        <f>$A$44</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$A$45</f>
        <v xml:space="preserve">  - DIG_SPEED:3:5</v>
      </c>
      <c r="J22" s="22"/>
      <c r="K22" s="22"/>
      <c r="L22" s="22"/>
      <c r="M22" s="22" t="str">
        <f>$A$45</f>
        <v xml:space="preserve">  - DIG_SPEED:3:5</v>
      </c>
      <c r="N22" s="22"/>
      <c r="O22" s="22"/>
      <c r="P22" s="22"/>
      <c r="Q22" s="22" t="str">
        <f>$A$45</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$A$46</f>
        <v xml:space="preserve">  - DURABILITY:3:5</v>
      </c>
      <c r="J23" s="22"/>
      <c r="K23" s="22"/>
      <c r="L23" s="22"/>
      <c r="M23" s="22" t="str">
        <f>$A$46</f>
        <v xml:space="preserve">  - DURABILITY:3:5</v>
      </c>
      <c r="N23" s="22"/>
      <c r="O23" s="22"/>
      <c r="P23" s="22"/>
      <c r="Q23" s="22" t="str">
        <f>$A$46</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$A$47</f>
        <v xml:space="preserve">  - FIRE_ASPECT:3:5</v>
      </c>
      <c r="J24" s="22"/>
      <c r="K24" s="22"/>
      <c r="L24" s="22"/>
      <c r="M24" s="22" t="str">
        <f>$A$47</f>
        <v xml:space="preserve">  - FIRE_ASPECT:3:5</v>
      </c>
      <c r="N24" s="22"/>
      <c r="O24" s="22"/>
      <c r="P24" s="22"/>
      <c r="Q24" s="22" t="str">
        <f>$A$47</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$A$48</f>
        <v xml:space="preserve">  - KNOCKBACK:3:5</v>
      </c>
      <c r="J25" s="22"/>
      <c r="K25" s="22"/>
      <c r="L25" s="22"/>
      <c r="M25" s="22" t="str">
        <f>$A$48</f>
        <v xml:space="preserve">  - KNOCKBACK:3:5</v>
      </c>
      <c r="N25" s="22"/>
      <c r="O25" s="22"/>
      <c r="P25" s="22"/>
      <c r="Q25" s="22" t="str">
        <f>$A$48</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$A$49</f>
        <v xml:space="preserve">  - LOOT_BONUS_BLOCKS:3:5</v>
      </c>
      <c r="J26" s="22"/>
      <c r="K26" s="22"/>
      <c r="L26" s="22"/>
      <c r="M26" s="22" t="str">
        <f>$A$49</f>
        <v xml:space="preserve">  - LOOT_BONUS_BLOCKS:3:5</v>
      </c>
      <c r="N26" s="22"/>
      <c r="O26" s="22"/>
      <c r="P26" s="22"/>
      <c r="Q26" s="22" t="str">
        <f>$A$49</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$A$50</f>
        <v xml:space="preserve">  - LOOT_BONUS_MOBS:3:5</v>
      </c>
      <c r="J27" s="22"/>
      <c r="K27" s="22"/>
      <c r="L27" s="22"/>
      <c r="M27" s="22" t="str">
        <f>$A$50</f>
        <v xml:space="preserve">  - LOOT_BONUS_MOBS:3:5</v>
      </c>
      <c r="N27" s="22"/>
      <c r="O27" s="22"/>
      <c r="P27" s="22"/>
      <c r="Q27" s="22" t="str">
        <f>$A$50</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$A$51</f>
        <v xml:space="preserve">  - OXYGEN:3:5</v>
      </c>
      <c r="J28" s="22"/>
      <c r="K28" s="22"/>
      <c r="L28" s="22"/>
      <c r="M28" s="22" t="str">
        <f>$A$51</f>
        <v xml:space="preserve">  - OXYGEN:3:5</v>
      </c>
      <c r="N28" s="22"/>
      <c r="O28" s="22"/>
      <c r="P28" s="22"/>
      <c r="Q28" s="22" t="str">
        <f>$A$51</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$A$52</f>
        <v xml:space="preserve">  - PROTECTION_ENVIRONMENT:3:5</v>
      </c>
      <c r="J29" s="22"/>
      <c r="K29" s="22"/>
      <c r="L29" s="22"/>
      <c r="M29" s="22" t="str">
        <f>$A$52</f>
        <v xml:space="preserve">  - PROTECTION_ENVIRONMENT:3:5</v>
      </c>
      <c r="N29" s="22"/>
      <c r="O29" s="22"/>
      <c r="P29" s="22"/>
      <c r="Q29" s="22" t="str">
        <f>$A$52</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$A$53</f>
        <v xml:space="preserve">  - PROTECTION_EXPLOSIONS:3:5</v>
      </c>
      <c r="J30" s="22"/>
      <c r="K30" s="22"/>
      <c r="L30" s="22"/>
      <c r="M30" s="22" t="str">
        <f>$A$53</f>
        <v xml:space="preserve">  - PROTECTION_EXPLOSIONS:3:5</v>
      </c>
      <c r="N30" s="22"/>
      <c r="O30" s="22"/>
      <c r="P30" s="22"/>
      <c r="Q30" s="22" t="str">
        <f>$A$53</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$A$54</f>
        <v xml:space="preserve">  - PROTECTION_FALL:3:5</v>
      </c>
      <c r="J31" s="22"/>
      <c r="K31" s="22"/>
      <c r="L31" s="22"/>
      <c r="M31" s="22" t="str">
        <f>$A$54</f>
        <v xml:space="preserve">  - PROTECTION_FALL:3:5</v>
      </c>
      <c r="N31" s="22"/>
      <c r="O31" s="22"/>
      <c r="P31" s="22"/>
      <c r="Q31" s="22" t="str">
        <f>$A$54</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$A$55</f>
        <v xml:space="preserve">  - PROTECTION_FIRE:3:5</v>
      </c>
      <c r="J32" s="22"/>
      <c r="K32" s="22"/>
      <c r="L32" s="22"/>
      <c r="M32" s="22" t="str">
        <f>$A$55</f>
        <v xml:space="preserve">  - PROTECTION_FIRE:3:5</v>
      </c>
      <c r="N32" s="22"/>
      <c r="O32" s="22"/>
      <c r="P32" s="22"/>
      <c r="Q32" s="22" t="str">
        <f>$A$55</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$A$56</f>
        <v xml:space="preserve">  - PROTECTION_PROJECTILE:3:5</v>
      </c>
      <c r="J33" s="22"/>
      <c r="K33" s="22"/>
      <c r="L33" s="22"/>
      <c r="M33" s="22" t="str">
        <f>$A$56</f>
        <v xml:space="preserve">  - PROTECTION_PROJECTILE:3:5</v>
      </c>
      <c r="N33" s="22"/>
      <c r="O33" s="22"/>
      <c r="P33" s="22"/>
      <c r="Q33" s="22" t="str">
        <f>$A$56</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$A$57</f>
        <v xml:space="preserve">  - SILK_TOUCH:3:5</v>
      </c>
      <c r="J34" s="22"/>
      <c r="K34" s="22"/>
      <c r="L34" s="22"/>
      <c r="M34" s="22" t="str">
        <f>$A$57</f>
        <v xml:space="preserve">  - SILK_TOUCH:3:5</v>
      </c>
      <c r="N34" s="22"/>
      <c r="O34" s="22"/>
      <c r="P34" s="22"/>
      <c r="Q34" s="22" t="str">
        <f>$A$57</f>
        <v xml:space="preserve">  - SILK_TOUCH:3:5</v>
      </c>
      <c r="R34" s="22"/>
      <c r="S34" s="22"/>
      <c r="T34" s="22"/>
    </row>
    <row r="35" spans="1:20" x14ac:dyDescent="0.25">
      <c r="A35" s="22" t="str">
        <f>'armas legendario'!$A$35</f>
        <v xml:space="preserve">  - THORNS:3:5</v>
      </c>
      <c r="B35" s="22"/>
      <c r="C35" s="22"/>
      <c r="D35" s="22"/>
      <c r="E35" s="22" t="str">
        <f>$A$35</f>
        <v xml:space="preserve">  - THORNS:3:5</v>
      </c>
      <c r="F35" s="22"/>
      <c r="G35" s="22"/>
      <c r="H35" s="22"/>
      <c r="I35" s="22" t="str">
        <f>$A$58</f>
        <v xml:space="preserve">  - THORNS:3:5</v>
      </c>
      <c r="J35" s="22"/>
      <c r="K35" s="22"/>
      <c r="L35" s="22"/>
      <c r="M35" s="22" t="str">
        <f>$A$58</f>
        <v xml:space="preserve">  - THORNS:3:5</v>
      </c>
      <c r="N35" s="22"/>
      <c r="O35" s="22"/>
      <c r="P35" s="22"/>
      <c r="Q35" s="22" t="str">
        <f>$A$58</f>
        <v xml:space="preserve">  - THORNS:3:5</v>
      </c>
      <c r="R35" s="22"/>
      <c r="S35" s="22"/>
      <c r="T35" s="22"/>
    </row>
    <row r="36" spans="1:20" x14ac:dyDescent="0.25">
      <c r="A36" s="22" t="str">
        <f>'armas legendario'!$A$36</f>
        <v xml:space="preserve">  - WATER_WORKER:3:5</v>
      </c>
      <c r="B36" s="22"/>
      <c r="C36" s="22"/>
      <c r="D36" s="22"/>
      <c r="E36" s="22" t="str">
        <f>$A$36</f>
        <v xml:space="preserve">  - WATER_WORKER:3:5</v>
      </c>
      <c r="F36" s="22"/>
      <c r="G36" s="22"/>
      <c r="H36" s="22"/>
      <c r="I36" s="22" t="str">
        <f>$A$59</f>
        <v xml:space="preserve">  - WATER_WORKER:3:5</v>
      </c>
      <c r="J36" s="22"/>
      <c r="K36" s="22"/>
      <c r="L36" s="22"/>
      <c r="M36" s="22" t="str">
        <f>$A$59</f>
        <v xml:space="preserve">  - WATER_WORKER:3:5</v>
      </c>
      <c r="N36" s="22"/>
      <c r="O36" s="22"/>
      <c r="P36" s="22"/>
      <c r="Q36" s="22" t="str">
        <f>$A$59</f>
        <v xml:space="preserve">  - WATER_WORKER:3:5</v>
      </c>
      <c r="R36" s="22"/>
      <c r="S36" s="22"/>
      <c r="T36" s="22"/>
    </row>
    <row r="37" spans="1:20" x14ac:dyDescent="0.25">
      <c r="A37" s="9" t="s">
        <v>101</v>
      </c>
      <c r="B37" s="9"/>
      <c r="C37" s="9"/>
      <c r="D37" s="9"/>
      <c r="E37" s="9" t="s">
        <v>101</v>
      </c>
      <c r="F37" s="9"/>
      <c r="G37" s="9"/>
      <c r="H37" s="9"/>
      <c r="I37" s="9" t="s">
        <v>101</v>
      </c>
      <c r="J37" s="9"/>
      <c r="K37" s="9"/>
      <c r="L37" s="9"/>
      <c r="M37" s="9" t="s">
        <v>101</v>
      </c>
      <c r="N37" s="9"/>
      <c r="O37" s="9"/>
      <c r="P37" s="9"/>
      <c r="Q37" s="9" t="s">
        <v>101</v>
      </c>
      <c r="R37" s="9"/>
      <c r="S37" s="9"/>
      <c r="T37" s="9"/>
    </row>
    <row r="38" spans="1:20" x14ac:dyDescent="0.25">
      <c r="A38" s="22" t="str">
        <f>$A$15</f>
        <v xml:space="preserve">  - ARROW_INFINITE:3:5</v>
      </c>
      <c r="B38" s="22"/>
      <c r="C38" s="22"/>
      <c r="D38" s="22"/>
      <c r="E38" s="22" t="str">
        <f>$A$38</f>
        <v xml:space="preserve">  - ARROW_INFINITE:3:5</v>
      </c>
      <c r="F38" s="22"/>
      <c r="G38" s="22"/>
      <c r="H38" s="22"/>
      <c r="I38" s="22" t="str">
        <f>$A$38</f>
        <v xml:space="preserve">  - ARROW_INFINITE:3:5</v>
      </c>
      <c r="J38" s="22"/>
      <c r="K38" s="22"/>
      <c r="L38" s="22"/>
      <c r="M38" s="22" t="str">
        <f>$A$38</f>
        <v xml:space="preserve">  - ARROW_INFINITE:3:5</v>
      </c>
      <c r="N38" s="22"/>
      <c r="O38" s="22"/>
      <c r="P38" s="22"/>
      <c r="Q38" s="22" t="str">
        <f>$A$38</f>
        <v xml:space="preserve">  - ARROW_INFINITE:3:5</v>
      </c>
      <c r="R38" s="22"/>
      <c r="S38" s="22"/>
      <c r="T38" s="22"/>
    </row>
    <row r="39" spans="1:20" x14ac:dyDescent="0.25">
      <c r="A39" s="22" t="str">
        <f>$A$16</f>
        <v xml:space="preserve">  - ARROW_DAMAGE:3:5</v>
      </c>
      <c r="B39" s="22"/>
      <c r="C39" s="22"/>
      <c r="D39" s="22"/>
      <c r="E39" s="22" t="str">
        <f>$A$39</f>
        <v xml:space="preserve">  - ARROW_DAMAGE:3:5</v>
      </c>
      <c r="F39" s="22"/>
      <c r="G39" s="22"/>
      <c r="H39" s="22"/>
      <c r="I39" s="22" t="str">
        <f>$A$39</f>
        <v xml:space="preserve">  - ARROW_DAMAGE:3:5</v>
      </c>
      <c r="J39" s="22"/>
      <c r="K39" s="22"/>
      <c r="L39" s="22"/>
      <c r="M39" s="22" t="str">
        <f>$A$39</f>
        <v xml:space="preserve">  - ARROW_DAMAGE:3:5</v>
      </c>
      <c r="N39" s="22"/>
      <c r="O39" s="22"/>
      <c r="P39" s="22"/>
      <c r="Q39" s="22" t="str">
        <f>$A$39</f>
        <v xml:space="preserve">  - ARROW_DAMAGE:3:5</v>
      </c>
      <c r="R39" s="22"/>
      <c r="S39" s="22"/>
      <c r="T39" s="22"/>
    </row>
    <row r="40" spans="1:20" x14ac:dyDescent="0.25">
      <c r="A40" s="22" t="str">
        <f>$A$17</f>
        <v xml:space="preserve">  - ARROW_FIRE:3:5</v>
      </c>
      <c r="B40" s="22"/>
      <c r="C40" s="22"/>
      <c r="D40" s="22"/>
      <c r="E40" s="22" t="str">
        <f>$A$40</f>
        <v xml:space="preserve">  - ARROW_FIRE:3:5</v>
      </c>
      <c r="F40" s="22"/>
      <c r="G40" s="22"/>
      <c r="H40" s="22"/>
      <c r="I40" s="22" t="str">
        <f>$A$40</f>
        <v xml:space="preserve">  - ARROW_FIRE:3:5</v>
      </c>
      <c r="J40" s="22"/>
      <c r="K40" s="22"/>
      <c r="L40" s="22"/>
      <c r="M40" s="22" t="str">
        <f>$A$40</f>
        <v xml:space="preserve">  - ARROW_FIRE:3:5</v>
      </c>
      <c r="N40" s="22"/>
      <c r="O40" s="22"/>
      <c r="P40" s="22"/>
      <c r="Q40" s="22" t="str">
        <f>$A$40</f>
        <v xml:space="preserve">  - ARROW_FIRE:3:5</v>
      </c>
      <c r="R40" s="22"/>
      <c r="S40" s="22"/>
      <c r="T40" s="22"/>
    </row>
    <row r="41" spans="1:20" x14ac:dyDescent="0.25">
      <c r="A41" s="22" t="str">
        <f>$A$18</f>
        <v xml:space="preserve">  - ARROW_KNOCKBACK:3:5</v>
      </c>
      <c r="B41" s="22"/>
      <c r="C41" s="22"/>
      <c r="D41" s="22"/>
      <c r="E41" s="22" t="str">
        <f>$A$41</f>
        <v xml:space="preserve">  - ARROW_KNOCKBACK:3:5</v>
      </c>
      <c r="F41" s="22"/>
      <c r="G41" s="22"/>
      <c r="H41" s="22"/>
      <c r="I41" s="22" t="str">
        <f>$A$41</f>
        <v xml:space="preserve">  - ARROW_KNOCKBACK:3:5</v>
      </c>
      <c r="J41" s="22"/>
      <c r="K41" s="22"/>
      <c r="L41" s="22"/>
      <c r="M41" s="22" t="str">
        <f>$A$41</f>
        <v xml:space="preserve">  - ARROW_KNOCKBACK:3:5</v>
      </c>
      <c r="N41" s="22"/>
      <c r="O41" s="22"/>
      <c r="P41" s="22"/>
      <c r="Q41" s="22" t="str">
        <f>$A$41</f>
        <v xml:space="preserve">  - ARROW_KNOCKBACK:3:5</v>
      </c>
      <c r="R41" s="22"/>
      <c r="S41" s="22"/>
      <c r="T41" s="22"/>
    </row>
    <row r="42" spans="1:20" x14ac:dyDescent="0.25">
      <c r="A42" s="22" t="str">
        <f>$A$19</f>
        <v xml:space="preserve">  - DAMAGE_ALL:3:5</v>
      </c>
      <c r="B42" s="22"/>
      <c r="C42" s="22"/>
      <c r="D42" s="22"/>
      <c r="E42" s="22" t="str">
        <f>$A$42</f>
        <v xml:space="preserve">  - DAMAGE_ALL:3:5</v>
      </c>
      <c r="F42" s="22"/>
      <c r="G42" s="22"/>
      <c r="H42" s="22"/>
      <c r="I42" s="22" t="str">
        <f>$A$42</f>
        <v xml:space="preserve">  - DAMAGE_ALL:3:5</v>
      </c>
      <c r="J42" s="22"/>
      <c r="K42" s="22"/>
      <c r="L42" s="22"/>
      <c r="M42" s="22" t="str">
        <f>$A$42</f>
        <v xml:space="preserve">  - DAMAGE_ALL:3:5</v>
      </c>
      <c r="N42" s="22"/>
      <c r="O42" s="22"/>
      <c r="P42" s="22"/>
      <c r="Q42" s="22" t="str">
        <f>$A$42</f>
        <v xml:space="preserve">  - DAMAGE_ALL:3:5</v>
      </c>
      <c r="R42" s="22"/>
      <c r="S42" s="22"/>
      <c r="T42" s="22"/>
    </row>
    <row r="43" spans="1:20" x14ac:dyDescent="0.25">
      <c r="A43" s="22" t="str">
        <f>$A$20</f>
        <v xml:space="preserve">  - DAMAGE_ARTHROPODS:3:5</v>
      </c>
      <c r="B43" s="22"/>
      <c r="C43" s="22"/>
      <c r="D43" s="22"/>
      <c r="E43" s="22" t="str">
        <f>$A$43</f>
        <v xml:space="preserve">  - DAMAGE_ARTHROPODS:3:5</v>
      </c>
      <c r="F43" s="22"/>
      <c r="G43" s="22"/>
      <c r="H43" s="22"/>
      <c r="I43" s="22" t="str">
        <f>$A$43</f>
        <v xml:space="preserve">  - DAMAGE_ARTHROPODS:3:5</v>
      </c>
      <c r="J43" s="22"/>
      <c r="K43" s="22"/>
      <c r="L43" s="22"/>
      <c r="M43" s="22" t="str">
        <f>$A$43</f>
        <v xml:space="preserve">  - DAMAGE_ARTHROPODS:3:5</v>
      </c>
      <c r="N43" s="22"/>
      <c r="O43" s="22"/>
      <c r="P43" s="22"/>
      <c r="Q43" s="22" t="str">
        <f>$A$43</f>
        <v xml:space="preserve">  - DAMAGE_ARTHROPODS:3:5</v>
      </c>
      <c r="R43" s="22"/>
      <c r="S43" s="22"/>
      <c r="T43" s="22"/>
    </row>
    <row r="44" spans="1:20" x14ac:dyDescent="0.25">
      <c r="A44" s="22" t="str">
        <f>$A$21</f>
        <v xml:space="preserve">  - DAMAGE_UNDEAD:3:5</v>
      </c>
      <c r="B44" s="22"/>
      <c r="C44" s="22"/>
      <c r="D44" s="22"/>
      <c r="E44" s="22" t="str">
        <f>$A$44</f>
        <v xml:space="preserve">  - DAMAGE_UNDEAD:3:5</v>
      </c>
      <c r="F44" s="22"/>
      <c r="G44" s="22"/>
      <c r="H44" s="22"/>
      <c r="I44" s="22" t="str">
        <f>$A$44</f>
        <v xml:space="preserve">  - DAMAGE_UNDEAD:3:5</v>
      </c>
      <c r="J44" s="22"/>
      <c r="K44" s="22"/>
      <c r="L44" s="22"/>
      <c r="M44" s="22" t="str">
        <f>$A$44</f>
        <v xml:space="preserve">  - DAMAGE_UNDEAD:3:5</v>
      </c>
      <c r="N44" s="22"/>
      <c r="O44" s="22"/>
      <c r="P44" s="22"/>
      <c r="Q44" s="22" t="str">
        <f>$A$44</f>
        <v xml:space="preserve">  - DAMAGE_UNDEAD:3:5</v>
      </c>
      <c r="R44" s="22"/>
      <c r="S44" s="22"/>
      <c r="T44" s="22"/>
    </row>
    <row r="45" spans="1:20" x14ac:dyDescent="0.25">
      <c r="A45" s="22" t="str">
        <f>$A$22</f>
        <v xml:space="preserve">  - DIG_SPEED:3:5</v>
      </c>
      <c r="B45" s="22"/>
      <c r="C45" s="22"/>
      <c r="D45" s="22"/>
      <c r="E45" s="22" t="str">
        <f>$A$45</f>
        <v xml:space="preserve">  - DIG_SPEED:3:5</v>
      </c>
      <c r="F45" s="22"/>
      <c r="G45" s="22"/>
      <c r="H45" s="22"/>
      <c r="I45" s="22" t="str">
        <f>$A$45</f>
        <v xml:space="preserve">  - DIG_SPEED:3:5</v>
      </c>
      <c r="J45" s="22"/>
      <c r="K45" s="22"/>
      <c r="L45" s="22"/>
      <c r="M45" s="22" t="str">
        <f>$A$45</f>
        <v xml:space="preserve">  - DIG_SPEED:3:5</v>
      </c>
      <c r="N45" s="22"/>
      <c r="O45" s="22"/>
      <c r="P45" s="22"/>
      <c r="Q45" s="22" t="str">
        <f>$A$45</f>
        <v xml:space="preserve">  - DIG_SPEED:3:5</v>
      </c>
      <c r="R45" s="22"/>
      <c r="S45" s="22"/>
      <c r="T45" s="22"/>
    </row>
    <row r="46" spans="1:20" x14ac:dyDescent="0.25">
      <c r="A46" s="22" t="str">
        <f>$A$23</f>
        <v xml:space="preserve">  - DURABILITY:3:5</v>
      </c>
      <c r="B46" s="22"/>
      <c r="C46" s="22"/>
      <c r="D46" s="22"/>
      <c r="E46" s="22" t="str">
        <f>$A$46</f>
        <v xml:space="preserve">  - DURABILITY:3:5</v>
      </c>
      <c r="F46" s="22"/>
      <c r="G46" s="22"/>
      <c r="H46" s="22"/>
      <c r="I46" s="22" t="str">
        <f>$A$46</f>
        <v xml:space="preserve">  - DURABILITY:3:5</v>
      </c>
      <c r="J46" s="22"/>
      <c r="K46" s="22"/>
      <c r="L46" s="22"/>
      <c r="M46" s="22" t="str">
        <f>$A$46</f>
        <v xml:space="preserve">  - DURABILITY:3:5</v>
      </c>
      <c r="N46" s="22"/>
      <c r="O46" s="22"/>
      <c r="P46" s="22"/>
      <c r="Q46" s="22" t="str">
        <f>$A$46</f>
        <v xml:space="preserve">  - DURABILITY:3:5</v>
      </c>
      <c r="R46" s="22"/>
      <c r="S46" s="22"/>
      <c r="T46" s="22"/>
    </row>
    <row r="47" spans="1:20" x14ac:dyDescent="0.25">
      <c r="A47" s="22" t="str">
        <f>$A$24</f>
        <v xml:space="preserve">  - FIRE_ASPECT:3:5</v>
      </c>
      <c r="B47" s="22"/>
      <c r="C47" s="22"/>
      <c r="D47" s="22"/>
      <c r="E47" s="22" t="str">
        <f>$A$47</f>
        <v xml:space="preserve">  - FIRE_ASPECT:3:5</v>
      </c>
      <c r="F47" s="22"/>
      <c r="G47" s="22"/>
      <c r="H47" s="22"/>
      <c r="I47" s="22" t="str">
        <f>$A$47</f>
        <v xml:space="preserve">  - FIRE_ASPECT:3:5</v>
      </c>
      <c r="J47" s="22"/>
      <c r="K47" s="22"/>
      <c r="L47" s="22"/>
      <c r="M47" s="22" t="str">
        <f>$A$47</f>
        <v xml:space="preserve">  - FIRE_ASPECT:3:5</v>
      </c>
      <c r="N47" s="22"/>
      <c r="O47" s="22"/>
      <c r="P47" s="22"/>
      <c r="Q47" s="22" t="str">
        <f>$A$47</f>
        <v xml:space="preserve">  - FIRE_ASPECT:3:5</v>
      </c>
      <c r="R47" s="22"/>
      <c r="S47" s="22"/>
      <c r="T47" s="22"/>
    </row>
    <row r="48" spans="1:20" x14ac:dyDescent="0.25">
      <c r="A48" s="22" t="str">
        <f>$A$25</f>
        <v xml:space="preserve">  - KNOCKBACK:3:5</v>
      </c>
      <c r="B48" s="22"/>
      <c r="C48" s="22"/>
      <c r="D48" s="22"/>
      <c r="E48" s="22" t="str">
        <f>$A$48</f>
        <v xml:space="preserve">  - KNOCKBACK:3:5</v>
      </c>
      <c r="F48" s="22"/>
      <c r="G48" s="22"/>
      <c r="H48" s="22"/>
      <c r="I48" s="22" t="str">
        <f>$A$48</f>
        <v xml:space="preserve">  - KNOCKBACK:3:5</v>
      </c>
      <c r="J48" s="22"/>
      <c r="K48" s="22"/>
      <c r="L48" s="22"/>
      <c r="M48" s="22" t="str">
        <f>$A$48</f>
        <v xml:space="preserve">  - KNOCKBACK:3:5</v>
      </c>
      <c r="N48" s="22"/>
      <c r="O48" s="22"/>
      <c r="P48" s="22"/>
      <c r="Q48" s="22" t="str">
        <f>$A$48</f>
        <v xml:space="preserve">  - KNOCKBACK:3:5</v>
      </c>
      <c r="R48" s="22"/>
      <c r="S48" s="22"/>
      <c r="T48" s="22"/>
    </row>
    <row r="49" spans="1:20" x14ac:dyDescent="0.25">
      <c r="A49" s="22" t="str">
        <f>$A$26</f>
        <v xml:space="preserve">  - LOOT_BONUS_BLOCKS:3:5</v>
      </c>
      <c r="B49" s="22"/>
      <c r="C49" s="22"/>
      <c r="D49" s="22"/>
      <c r="E49" s="22" t="str">
        <f>$A$49</f>
        <v xml:space="preserve">  - LOOT_BONUS_BLOCKS:3:5</v>
      </c>
      <c r="F49" s="22"/>
      <c r="G49" s="22"/>
      <c r="H49" s="22"/>
      <c r="I49" s="22" t="str">
        <f>$A$49</f>
        <v xml:space="preserve">  - LOOT_BONUS_BLOCKS:3:5</v>
      </c>
      <c r="J49" s="22"/>
      <c r="K49" s="22"/>
      <c r="L49" s="22"/>
      <c r="M49" s="22" t="str">
        <f>$A$49</f>
        <v xml:space="preserve">  - LOOT_BONUS_BLOCKS:3:5</v>
      </c>
      <c r="N49" s="22"/>
      <c r="O49" s="22"/>
      <c r="P49" s="22"/>
      <c r="Q49" s="22" t="str">
        <f>$A$49</f>
        <v xml:space="preserve">  - LOOT_BONUS_BLOCKS:3:5</v>
      </c>
      <c r="R49" s="22"/>
      <c r="S49" s="22"/>
      <c r="T49" s="22"/>
    </row>
    <row r="50" spans="1:20" x14ac:dyDescent="0.25">
      <c r="A50" s="22" t="str">
        <f>$A$27</f>
        <v xml:space="preserve">  - LOOT_BONUS_MOBS:3:5</v>
      </c>
      <c r="B50" s="22"/>
      <c r="C50" s="22"/>
      <c r="D50" s="22"/>
      <c r="E50" s="22" t="str">
        <f>$A$50</f>
        <v xml:space="preserve">  - LOOT_BONUS_MOBS:3:5</v>
      </c>
      <c r="F50" s="22"/>
      <c r="G50" s="22"/>
      <c r="H50" s="22"/>
      <c r="I50" s="22" t="str">
        <f>$A$50</f>
        <v xml:space="preserve">  - LOOT_BONUS_MOBS:3:5</v>
      </c>
      <c r="J50" s="22"/>
      <c r="K50" s="22"/>
      <c r="L50" s="22"/>
      <c r="M50" s="22" t="str">
        <f>$A$50</f>
        <v xml:space="preserve">  - LOOT_BONUS_MOBS:3:5</v>
      </c>
      <c r="N50" s="22"/>
      <c r="O50" s="22"/>
      <c r="P50" s="22"/>
      <c r="Q50" s="22" t="str">
        <f>$A$50</f>
        <v xml:space="preserve">  - LOOT_BONUS_MOBS:3:5</v>
      </c>
      <c r="R50" s="22"/>
      <c r="S50" s="22"/>
      <c r="T50" s="22"/>
    </row>
    <row r="51" spans="1:20" x14ac:dyDescent="0.25">
      <c r="A51" s="22" t="str">
        <f>$A$28</f>
        <v xml:space="preserve">  - OXYGEN:3:5</v>
      </c>
      <c r="B51" s="22"/>
      <c r="C51" s="22"/>
      <c r="D51" s="22"/>
      <c r="E51" s="22" t="str">
        <f>$A$51</f>
        <v xml:space="preserve">  - OXYGEN:3:5</v>
      </c>
      <c r="F51" s="22"/>
      <c r="G51" s="22"/>
      <c r="H51" s="22"/>
      <c r="I51" s="22" t="str">
        <f>$A$51</f>
        <v xml:space="preserve">  - OXYGEN:3:5</v>
      </c>
      <c r="J51" s="22"/>
      <c r="K51" s="22"/>
      <c r="L51" s="22"/>
      <c r="M51" s="22" t="str">
        <f>$A$51</f>
        <v xml:space="preserve">  - OXYGEN:3:5</v>
      </c>
      <c r="N51" s="22"/>
      <c r="O51" s="22"/>
      <c r="P51" s="22"/>
      <c r="Q51" s="22" t="str">
        <f>$A$51</f>
        <v xml:space="preserve">  - OXYGEN:3:5</v>
      </c>
      <c r="R51" s="22"/>
      <c r="S51" s="22"/>
      <c r="T51" s="22"/>
    </row>
    <row r="52" spans="1:20" x14ac:dyDescent="0.25">
      <c r="A52" s="22" t="str">
        <f>$A$29</f>
        <v xml:space="preserve">  - PROTECTION_ENVIRONMENT:3:5</v>
      </c>
      <c r="B52" s="22"/>
      <c r="C52" s="22"/>
      <c r="D52" s="22"/>
      <c r="E52" s="22" t="str">
        <f>$A$52</f>
        <v xml:space="preserve">  - PROTECTION_ENVIRONMENT:3:5</v>
      </c>
      <c r="F52" s="22"/>
      <c r="G52" s="22"/>
      <c r="H52" s="22"/>
      <c r="I52" s="22" t="str">
        <f>$A$52</f>
        <v xml:space="preserve">  - PROTECTION_ENVIRONMENT:3:5</v>
      </c>
      <c r="J52" s="22"/>
      <c r="K52" s="22"/>
      <c r="L52" s="22"/>
      <c r="M52" s="22" t="str">
        <f>$A$52</f>
        <v xml:space="preserve">  - PROTECTION_ENVIRONMENT:3:5</v>
      </c>
      <c r="N52" s="22"/>
      <c r="O52" s="22"/>
      <c r="P52" s="22"/>
      <c r="Q52" s="22" t="str">
        <f>$A$52</f>
        <v xml:space="preserve">  - PROTECTION_ENVIRONMENT:3:5</v>
      </c>
      <c r="R52" s="22"/>
      <c r="S52" s="22"/>
      <c r="T52" s="22"/>
    </row>
    <row r="53" spans="1:20" x14ac:dyDescent="0.25">
      <c r="A53" s="22" t="str">
        <f>$A$30</f>
        <v xml:space="preserve">  - PROTECTION_EXPLOSIONS:3:5</v>
      </c>
      <c r="B53" s="22"/>
      <c r="C53" s="22"/>
      <c r="D53" s="22"/>
      <c r="E53" s="22" t="str">
        <f>$A$53</f>
        <v xml:space="preserve">  - PROTECTION_EXPLOSIONS:3:5</v>
      </c>
      <c r="F53" s="22"/>
      <c r="G53" s="22"/>
      <c r="H53" s="22"/>
      <c r="I53" s="22" t="str">
        <f>$A$53</f>
        <v xml:space="preserve">  - PROTECTION_EXPLOSIONS:3:5</v>
      </c>
      <c r="J53" s="22"/>
      <c r="K53" s="22"/>
      <c r="L53" s="22"/>
      <c r="M53" s="22" t="str">
        <f>$A$53</f>
        <v xml:space="preserve">  - PROTECTION_EXPLOSIONS:3:5</v>
      </c>
      <c r="N53" s="22"/>
      <c r="O53" s="22"/>
      <c r="P53" s="22"/>
      <c r="Q53" s="22" t="str">
        <f>$A$53</f>
        <v xml:space="preserve">  - PROTECTION_EXPLOSIONS:3:5</v>
      </c>
      <c r="R53" s="22"/>
      <c r="S53" s="22"/>
      <c r="T53" s="22"/>
    </row>
    <row r="54" spans="1:20" x14ac:dyDescent="0.25">
      <c r="A54" s="22" t="str">
        <f>$A$31</f>
        <v xml:space="preserve">  - PROTECTION_FALL:3:5</v>
      </c>
      <c r="B54" s="22"/>
      <c r="C54" s="22"/>
      <c r="D54" s="22"/>
      <c r="E54" s="22" t="str">
        <f>$A$54</f>
        <v xml:space="preserve">  - PROTECTION_FALL:3:5</v>
      </c>
      <c r="F54" s="22"/>
      <c r="G54" s="22"/>
      <c r="H54" s="22"/>
      <c r="I54" s="22" t="str">
        <f>$A$54</f>
        <v xml:space="preserve">  - PROTECTION_FALL:3:5</v>
      </c>
      <c r="J54" s="22"/>
      <c r="K54" s="22"/>
      <c r="L54" s="22"/>
      <c r="M54" s="22" t="str">
        <f>$A$54</f>
        <v xml:space="preserve">  - PROTECTION_FALL:3:5</v>
      </c>
      <c r="N54" s="22"/>
      <c r="O54" s="22"/>
      <c r="P54" s="22"/>
      <c r="Q54" s="22" t="str">
        <f>$A$54</f>
        <v xml:space="preserve">  - PROTECTION_FALL:3:5</v>
      </c>
      <c r="R54" s="22"/>
      <c r="S54" s="22"/>
      <c r="T54" s="22"/>
    </row>
    <row r="55" spans="1:20" x14ac:dyDescent="0.25">
      <c r="A55" s="22" t="str">
        <f>$A$32</f>
        <v xml:space="preserve">  - PROTECTION_FIRE:3:5</v>
      </c>
      <c r="B55" s="22"/>
      <c r="C55" s="22"/>
      <c r="D55" s="22"/>
      <c r="E55" s="22" t="str">
        <f>$A$55</f>
        <v xml:space="preserve">  - PROTECTION_FIRE:3:5</v>
      </c>
      <c r="F55" s="22"/>
      <c r="G55" s="22"/>
      <c r="H55" s="22"/>
      <c r="I55" s="22" t="str">
        <f>$A$55</f>
        <v xml:space="preserve">  - PROTECTION_FIRE:3:5</v>
      </c>
      <c r="J55" s="22"/>
      <c r="K55" s="22"/>
      <c r="L55" s="22"/>
      <c r="M55" s="22" t="str">
        <f>$A$55</f>
        <v xml:space="preserve">  - PROTECTION_FIRE:3:5</v>
      </c>
      <c r="N55" s="22"/>
      <c r="O55" s="22"/>
      <c r="P55" s="22"/>
      <c r="Q55" s="22" t="str">
        <f>$A$55</f>
        <v xml:space="preserve">  - PROTECTION_FIRE:3:5</v>
      </c>
      <c r="R55" s="22"/>
      <c r="S55" s="22"/>
      <c r="T55" s="22"/>
    </row>
    <row r="56" spans="1:20" x14ac:dyDescent="0.25">
      <c r="A56" s="22" t="str">
        <f>$A$33</f>
        <v xml:space="preserve">  - PROTECTION_PROJECTILE:3:5</v>
      </c>
      <c r="B56" s="22"/>
      <c r="C56" s="22"/>
      <c r="D56" s="22"/>
      <c r="E56" s="22" t="str">
        <f>$A$56</f>
        <v xml:space="preserve">  - PROTECTION_PROJECTILE:3:5</v>
      </c>
      <c r="F56" s="22"/>
      <c r="G56" s="22"/>
      <c r="H56" s="22"/>
      <c r="I56" s="22" t="str">
        <f>$A$56</f>
        <v xml:space="preserve">  - PROTECTION_PROJECTILE:3:5</v>
      </c>
      <c r="J56" s="22"/>
      <c r="K56" s="22"/>
      <c r="L56" s="22"/>
      <c r="M56" s="22" t="str">
        <f>$A$56</f>
        <v xml:space="preserve">  - PROTECTION_PROJECTILE:3:5</v>
      </c>
      <c r="N56" s="22"/>
      <c r="O56" s="22"/>
      <c r="P56" s="22"/>
      <c r="Q56" s="22" t="str">
        <f>$A$56</f>
        <v xml:space="preserve">  - PROTECTION_PROJECTILE:3:5</v>
      </c>
      <c r="R56" s="22"/>
      <c r="S56" s="22"/>
      <c r="T56" s="22"/>
    </row>
    <row r="57" spans="1:20" x14ac:dyDescent="0.25">
      <c r="A57" s="22" t="str">
        <f>$A$34</f>
        <v xml:space="preserve">  - SILK_TOUCH:3:5</v>
      </c>
      <c r="B57" s="22"/>
      <c r="C57" s="22"/>
      <c r="D57" s="22"/>
      <c r="E57" s="22" t="str">
        <f>$A$57</f>
        <v xml:space="preserve">  - SILK_TOUCH:3:5</v>
      </c>
      <c r="F57" s="22"/>
      <c r="G57" s="22"/>
      <c r="H57" s="22"/>
      <c r="I57" s="22" t="str">
        <f>$A$57</f>
        <v xml:space="preserve">  - SILK_TOUCH:3:5</v>
      </c>
      <c r="J57" s="22"/>
      <c r="K57" s="22"/>
      <c r="L57" s="22"/>
      <c r="M57" s="22" t="str">
        <f>$A$57</f>
        <v xml:space="preserve">  - SILK_TOUCH:3:5</v>
      </c>
      <c r="N57" s="22"/>
      <c r="O57" s="22"/>
      <c r="P57" s="22"/>
      <c r="Q57" s="22" t="str">
        <f>$A$57</f>
        <v xml:space="preserve">  - SILK_TOUCH:3:5</v>
      </c>
      <c r="R57" s="22"/>
      <c r="S57" s="22"/>
      <c r="T57" s="22"/>
    </row>
    <row r="58" spans="1:20" x14ac:dyDescent="0.25">
      <c r="A58" s="22" t="str">
        <f>$A$35</f>
        <v xml:space="preserve">  - THORNS:3:5</v>
      </c>
      <c r="B58" s="22"/>
      <c r="C58" s="22"/>
      <c r="D58" s="22"/>
      <c r="E58" s="22" t="str">
        <f>$A$58</f>
        <v xml:space="preserve">  - THORNS:3:5</v>
      </c>
      <c r="F58" s="22"/>
      <c r="G58" s="22"/>
      <c r="H58" s="22"/>
      <c r="I58" s="22" t="str">
        <f>$A$58</f>
        <v xml:space="preserve">  - THORNS:3:5</v>
      </c>
      <c r="J58" s="22"/>
      <c r="K58" s="22"/>
      <c r="L58" s="22"/>
      <c r="M58" s="22" t="str">
        <f>$A$58</f>
        <v xml:space="preserve">  - THORNS:3:5</v>
      </c>
      <c r="N58" s="22"/>
      <c r="O58" s="22"/>
      <c r="P58" s="22"/>
      <c r="Q58" s="22" t="str">
        <f>$A$58</f>
        <v xml:space="preserve">  - THORNS:3:5</v>
      </c>
      <c r="R58" s="22"/>
      <c r="S58" s="22"/>
      <c r="T58" s="22"/>
    </row>
    <row r="59" spans="1:20" x14ac:dyDescent="0.25">
      <c r="A59" s="22" t="str">
        <f>$A$36</f>
        <v xml:space="preserve">  - WATER_WORKER:3:5</v>
      </c>
      <c r="B59" s="22"/>
      <c r="C59" s="22"/>
      <c r="D59" s="22"/>
      <c r="E59" s="22" t="str">
        <f>$A$59</f>
        <v xml:space="preserve">  - WATER_WORKER:3:5</v>
      </c>
      <c r="F59" s="22"/>
      <c r="G59" s="22"/>
      <c r="H59" s="22"/>
      <c r="I59" s="22" t="str">
        <f>$A$59</f>
        <v xml:space="preserve">  - WATER_WORKER:3:5</v>
      </c>
      <c r="J59" s="22"/>
      <c r="K59" s="22"/>
      <c r="L59" s="22"/>
      <c r="M59" s="22" t="str">
        <f>$A$59</f>
        <v xml:space="preserve">  - WATER_WORKER:3:5</v>
      </c>
      <c r="N59" s="22"/>
      <c r="O59" s="22"/>
      <c r="P59" s="22"/>
      <c r="Q59" s="22" t="str">
        <f>$A$59</f>
        <v xml:space="preserve">  - WATER_WORKER:3:5</v>
      </c>
      <c r="R59" s="22"/>
      <c r="S59" s="22"/>
      <c r="T59" s="22"/>
    </row>
    <row r="60" spans="1:20" x14ac:dyDescent="0.25">
      <c r="A60" s="9" t="s">
        <v>28</v>
      </c>
      <c r="B60" s="9"/>
      <c r="C60" s="9"/>
      <c r="D60" s="9"/>
      <c r="E60" s="9" t="s">
        <v>28</v>
      </c>
      <c r="F60" s="9"/>
      <c r="G60" s="9"/>
      <c r="H60" s="9"/>
      <c r="I60" s="9" t="s">
        <v>28</v>
      </c>
      <c r="J60" s="9"/>
      <c r="K60" s="9"/>
      <c r="L60" s="9"/>
      <c r="M60" s="9" t="s">
        <v>28</v>
      </c>
      <c r="N60" s="9"/>
      <c r="O60" s="9"/>
      <c r="P60" s="9"/>
      <c r="Q60" s="9" t="s">
        <v>28</v>
      </c>
      <c r="R60" s="9"/>
      <c r="S60" s="9"/>
      <c r="T60" s="9"/>
    </row>
    <row r="61" spans="1:20" x14ac:dyDescent="0.25">
      <c r="A61" s="11" t="str">
        <f>'armas legendario'!$A$61</f>
        <v xml:space="preserve">  minimumBonusLore: 2</v>
      </c>
      <c r="B61" s="11"/>
      <c r="C61" s="11"/>
      <c r="D61" s="11"/>
      <c r="E61" s="11" t="str">
        <f>$A$61</f>
        <v xml:space="preserve">  minimumBonusLore: 2</v>
      </c>
      <c r="F61" s="11"/>
      <c r="G61" s="11"/>
      <c r="H61" s="11"/>
      <c r="I61" s="11" t="str">
        <f t="shared" ref="I61" si="12">$A$61</f>
        <v xml:space="preserve">  minimumBonusLore: 2</v>
      </c>
      <c r="J61" s="11"/>
      <c r="K61" s="11"/>
      <c r="L61" s="11"/>
      <c r="M61" s="11" t="str">
        <f t="shared" ref="M61" si="13">$A$61</f>
        <v xml:space="preserve">  minimumBonusLore: 2</v>
      </c>
      <c r="N61" s="11"/>
      <c r="O61" s="11"/>
      <c r="P61" s="11"/>
      <c r="Q61" s="11" t="str">
        <f t="shared" ref="Q61" si="14">$A$61</f>
        <v xml:space="preserve">  minimumBonusLore: 2</v>
      </c>
      <c r="R61" s="11"/>
      <c r="S61" s="11"/>
      <c r="T61" s="11"/>
    </row>
    <row r="62" spans="1:20" x14ac:dyDescent="0.25">
      <c r="A62" s="11" t="str">
        <f>'armas legendario'!$A$62</f>
        <v xml:space="preserve">  maximumBonusLore: 3</v>
      </c>
      <c r="B62" s="11"/>
      <c r="C62" s="11"/>
      <c r="D62" s="11"/>
      <c r="E62" s="11" t="str">
        <f>$A$62</f>
        <v xml:space="preserve">  maximumBonusLore: 3</v>
      </c>
      <c r="F62" s="11"/>
      <c r="G62" s="11"/>
      <c r="H62" s="11"/>
      <c r="I62" s="11" t="str">
        <f t="shared" ref="I62" si="15">$A$62</f>
        <v xml:space="preserve">  maximumBonusLore: 3</v>
      </c>
      <c r="J62" s="11"/>
      <c r="K62" s="11"/>
      <c r="L62" s="11"/>
      <c r="M62" s="11" t="str">
        <f t="shared" ref="M62" si="16">$A$62</f>
        <v xml:space="preserve">  maximumBonusLore: 3</v>
      </c>
      <c r="N62" s="11"/>
      <c r="O62" s="11"/>
      <c r="P62" s="11"/>
      <c r="Q62" s="11" t="str">
        <f t="shared" ref="Q62" si="17">$A$62</f>
        <v xml:space="preserve">  maximumBonusLore: 3</v>
      </c>
      <c r="R62" s="11"/>
      <c r="S62" s="11"/>
      <c r="T62" s="11"/>
    </row>
    <row r="63" spans="1:20" x14ac:dyDescent="0.25">
      <c r="A63" s="9" t="s">
        <v>29</v>
      </c>
      <c r="B63" s="9"/>
      <c r="C63" s="9"/>
      <c r="D63" s="9"/>
      <c r="E63" s="9" t="s">
        <v>29</v>
      </c>
      <c r="F63" s="9"/>
      <c r="G63" s="9"/>
      <c r="H63" s="9"/>
      <c r="I63" s="9" t="s">
        <v>29</v>
      </c>
      <c r="J63" s="9"/>
      <c r="K63" s="9"/>
      <c r="L63" s="9"/>
      <c r="M63" s="9" t="s">
        <v>29</v>
      </c>
      <c r="N63" s="9"/>
      <c r="O63" s="9"/>
      <c r="P63" s="9"/>
      <c r="Q63" s="9" t="s">
        <v>29</v>
      </c>
      <c r="R63" s="9"/>
      <c r="S63" s="9"/>
      <c r="T63" s="9"/>
    </row>
    <row r="64" spans="1:20" x14ac:dyDescent="0.25">
      <c r="A64" s="20" t="str">
        <f>"  - '&amp;aVenta: &amp;6"&amp;(MAIN!$F$4+(MAIN!$F$18+MAIN!$F$19)/2*MAIN!$B$9+(MAIN!$F$20+MAIN!$F$21)/2*MAIN!$B$8+(MAIN!$F$80*MAIN!$B$11)+($C$2*MAIN!$B$10))/10&amp;" &amp;aAlmakos'"</f>
        <v xml:space="preserve">  - '&amp;aVenta: &amp;6727.5 &amp;aAlmakos'</v>
      </c>
      <c r="B64" s="20"/>
      <c r="C64" s="20"/>
      <c r="D64" s="20"/>
      <c r="E64" s="20" t="str">
        <f>"  - '&amp;aVenta: &amp;6"&amp;(MAIN!$G$4+(MAIN!$F$18+MAIN!$F$19)/2*MAIN!$B$9+(MAIN!$F$20+MAIN!$F$21)/2*MAIN!$B$8+(MAIN!$F$80*MAIN!$B$11)+($C$2*MAIN!$B$10))/10&amp;" &amp;aAlmakos'"</f>
        <v xml:space="preserve">  - '&amp;aVenta: &amp;6867.5 &amp;aAlmakos'</v>
      </c>
      <c r="F64" s="20"/>
      <c r="G64" s="20"/>
      <c r="H64" s="20"/>
      <c r="I64" s="20" t="str">
        <f>"  - '&amp;aVenta: &amp;6"&amp;(MAIN!$H$4+(MAIN!$F$18+MAIN!$F$19)/2*MAIN!$B$9+(MAIN!$F$20+MAIN!$F$21)/2*MAIN!$B$8+(MAIN!$F$80*MAIN!$B$11)+($C$2*MAIN!$B$10))/10&amp;" &amp;aAlmakos'"</f>
        <v xml:space="preserve">  - '&amp;aVenta: &amp;61147.5 &amp;aAlmakos'</v>
      </c>
      <c r="J64" s="20"/>
      <c r="K64" s="20"/>
      <c r="L64" s="20"/>
      <c r="M64" s="20" t="str">
        <f>"  - '&amp;aVenta: &amp;6"&amp;(MAIN!$I$4+(MAIN!$F$18+MAIN!$F$19)/2*MAIN!$B$9+(MAIN!$F$20+MAIN!$F$21)/2*MAIN!$B$8+(MAIN!$F$80*MAIN!$B$11)+($C$2*MAIN!$B$10))/10&amp;" &amp;aAlmakos'"</f>
        <v xml:space="preserve">  - '&amp;aVenta: &amp;61707.5 &amp;aAlmakos'</v>
      </c>
      <c r="N64" s="20"/>
      <c r="O64" s="20"/>
      <c r="P64" s="20"/>
      <c r="Q64" s="20" t="str">
        <f>"  - '&amp;aVenta: &amp;6"&amp;(MAIN!$J$4+(MAIN!$F$18+MAIN!$F$19)/2*MAIN!$B$9+(MAIN!$F$20+MAIN!$F$21)/2*MAIN!$B$8+(MAIN!$F$80*MAIN!$B$11)+($C$2*MAIN!$B$10))/10&amp;" &amp;aAlmakos'"</f>
        <v xml:space="preserve">  - '&amp;aVenta: &amp;62827.5 &amp;aAlmakos'</v>
      </c>
      <c r="R64" s="20"/>
      <c r="S64" s="20"/>
      <c r="T64" s="20"/>
    </row>
    <row r="65" spans="1:20" x14ac:dyDescent="0.25">
      <c r="A65" s="9" t="s">
        <v>30</v>
      </c>
      <c r="B65" s="9"/>
      <c r="C65" s="9"/>
      <c r="D65" s="9"/>
      <c r="E65" s="9" t="s">
        <v>30</v>
      </c>
      <c r="F65" s="9"/>
      <c r="G65" s="9"/>
      <c r="H65" s="9"/>
      <c r="I65" s="9" t="s">
        <v>30</v>
      </c>
      <c r="J65" s="9"/>
      <c r="K65" s="9"/>
      <c r="L65" s="9"/>
      <c r="M65" s="9" t="s">
        <v>30</v>
      </c>
      <c r="N65" s="9"/>
      <c r="O65" s="9"/>
      <c r="P65" s="9"/>
      <c r="Q65" s="9" t="s">
        <v>30</v>
      </c>
      <c r="R65" s="9"/>
      <c r="S65" s="9"/>
      <c r="T65" s="9"/>
    </row>
    <row r="66" spans="1:20" x14ac:dyDescent="0.25">
      <c r="A66" s="9" t="s">
        <v>31</v>
      </c>
      <c r="B66" s="9"/>
      <c r="C66" s="9"/>
      <c r="D66" s="9"/>
      <c r="E66" s="9" t="s">
        <v>31</v>
      </c>
      <c r="F66" s="9"/>
      <c r="G66" s="9"/>
      <c r="H66" s="9"/>
      <c r="I66" s="9" t="s">
        <v>31</v>
      </c>
      <c r="J66" s="9"/>
      <c r="K66" s="9"/>
      <c r="L66" s="9"/>
      <c r="M66" s="9" t="s">
        <v>31</v>
      </c>
      <c r="N66" s="9"/>
      <c r="O66" s="9"/>
      <c r="P66" s="9"/>
      <c r="Q66" s="9" t="s">
        <v>31</v>
      </c>
      <c r="R66" s="9"/>
      <c r="S66" s="9"/>
      <c r="T66" s="9"/>
    </row>
    <row r="67" spans="1:20" s="262" customFormat="1" x14ac:dyDescent="0.25">
      <c r="A67" s="9" t="s">
        <v>1032</v>
      </c>
      <c r="B67" s="9"/>
      <c r="C67" s="9"/>
      <c r="D67" s="9"/>
      <c r="E67" s="9" t="s">
        <v>1032</v>
      </c>
      <c r="F67" s="9"/>
      <c r="G67" s="9"/>
      <c r="H67" s="9"/>
      <c r="I67" s="9" t="s">
        <v>1032</v>
      </c>
      <c r="J67" s="9"/>
      <c r="K67" s="9"/>
      <c r="L67" s="9"/>
      <c r="M67" s="9" t="s">
        <v>1032</v>
      </c>
      <c r="N67" s="9"/>
      <c r="O67" s="9"/>
      <c r="P67" s="9"/>
      <c r="Q67" s="9" t="s">
        <v>1032</v>
      </c>
      <c r="R67" s="9"/>
      <c r="S67" s="9"/>
      <c r="T67" s="9"/>
    </row>
    <row r="68" spans="1:20" x14ac:dyDescent="0.25">
      <c r="A68" s="10" t="str">
        <f>"  - '&amp;7• &amp;8Nivel: &amp;a"&amp;MAIN!$C$82+($C$2*MAIN!$I$27)&amp;"'"</f>
        <v xml:space="preserve">  - '&amp;7• &amp;8Nivel: &amp;a47'</v>
      </c>
      <c r="B68" s="10"/>
      <c r="C68" s="10"/>
      <c r="D68" s="10"/>
      <c r="E68" s="10" t="str">
        <f>"  - '&amp;7• &amp;8Nivel: &amp;a"&amp;MAIN!$D$82+($C$2*MAIN!$I$27)&amp;"'"</f>
        <v xml:space="preserve">  - '&amp;7• &amp;8Nivel: &amp;a72'</v>
      </c>
      <c r="F68" s="10"/>
      <c r="G68" s="10"/>
      <c r="H68" s="10"/>
      <c r="I68" s="10" t="str">
        <f>"  - '&amp;7• &amp;8Nivel: &amp;a"&amp;MAIN!$E$82+($C$2*MAIN!$I$27)&amp;"'"</f>
        <v xml:space="preserve">  - '&amp;7• &amp;8Nivel: &amp;a147'</v>
      </c>
      <c r="J68" s="10"/>
      <c r="K68" s="10"/>
      <c r="L68" s="10"/>
      <c r="M68" s="10" t="str">
        <f>"  - '&amp;7• &amp;8Nivel: &amp;a"&amp;MAIN!$F$82+($C$2*MAIN!$I$27)&amp;"'"</f>
        <v xml:space="preserve">  - '&amp;7• &amp;8Nivel: &amp;a371'</v>
      </c>
      <c r="N68" s="10"/>
      <c r="O68" s="10"/>
      <c r="P68" s="10"/>
      <c r="Q68" s="10" t="str">
        <f>"  - '&amp;7• &amp;8Nivel: &amp;a"&amp;MAIN!$G$82+($C$2*MAIN!$I$27)&amp;"'"</f>
        <v xml:space="preserve">  - '&amp;7• &amp;8Nivel: &amp;a707'</v>
      </c>
      <c r="R68" s="10"/>
      <c r="S68" s="10"/>
      <c r="T68" s="10"/>
    </row>
    <row r="69" spans="1:20" x14ac:dyDescent="0.25">
      <c r="A69" s="12" t="str">
        <f>"  - '&amp;7• &amp;8"&amp;MAIN!$C$12&amp;" lvl: &amp;a"&amp;ROUNDUP((MAIN!$C$82+($C$2*MAIN!$I$27))/3,0)&amp;"'"</f>
        <v xml:space="preserve">  - '&amp;7• &amp;8Esencia lvl: &amp;a16'</v>
      </c>
      <c r="B69" s="12"/>
      <c r="C69" s="12"/>
      <c r="D69" s="12"/>
      <c r="E69" s="12" t="str">
        <f>"  - '&amp;7• &amp;8"&amp;MAIN!$C$12&amp;" lvl: &amp;a"&amp;ROUNDUP((MAIN!$D$82+($C$2*MAIN!$I$27))/3,0)&amp;"'"</f>
        <v xml:space="preserve">  - '&amp;7• &amp;8Esencia lvl: &amp;a24'</v>
      </c>
      <c r="F69" s="12"/>
      <c r="G69" s="12"/>
      <c r="H69" s="12"/>
      <c r="I69" s="12" t="str">
        <f>"  - '&amp;7• &amp;8"&amp;MAIN!$C$12&amp;" lvl: &amp;a"&amp;ROUNDUP((MAIN!$E$82+($C$2*MAIN!$I$27))/3,0)&amp;"'"</f>
        <v xml:space="preserve">  - '&amp;7• &amp;8Esencia lvl: &amp;a49'</v>
      </c>
      <c r="J69" s="12"/>
      <c r="K69" s="12"/>
      <c r="L69" s="12"/>
      <c r="M69" s="12" t="str">
        <f>"  - '&amp;7• &amp;8"&amp;MAIN!$C$12&amp;" lvl: &amp;a"&amp;ROUNDUP((MAIN!$F$82+($C$2*MAIN!$I$27))/3,0)&amp;"'"</f>
        <v xml:space="preserve">  - '&amp;7• &amp;8Esencia lvl: &amp;a124'</v>
      </c>
      <c r="N69" s="12"/>
      <c r="O69" s="12"/>
      <c r="P69" s="12"/>
      <c r="Q69" s="12" t="str">
        <f>"  - '&amp;7• &amp;8"&amp;MAIN!$C$12&amp;" lvl: &amp;a"&amp;ROUNDUP((MAIN!$G$82+($C$2*MAIN!$I$27))/3,0)&amp;"'"</f>
        <v xml:space="preserve">  - '&amp;7• &amp;8Esencia lvl: &amp;a236'</v>
      </c>
      <c r="R69" s="12"/>
      <c r="S69" s="12"/>
      <c r="T69" s="12"/>
    </row>
    <row r="70" spans="1:20" x14ac:dyDescent="0.25">
      <c r="A70" s="9" t="s">
        <v>32</v>
      </c>
      <c r="B70" s="9"/>
      <c r="C70" s="9"/>
      <c r="D70" s="9"/>
      <c r="E70" s="9" t="s">
        <v>32</v>
      </c>
      <c r="F70" s="9"/>
      <c r="G70" s="9"/>
      <c r="H70" s="9"/>
      <c r="I70" s="9" t="s">
        <v>32</v>
      </c>
      <c r="J70" s="9"/>
      <c r="K70" s="9"/>
      <c r="L70" s="9"/>
      <c r="M70" s="9" t="s">
        <v>32</v>
      </c>
      <c r="N70" s="9"/>
      <c r="O70" s="9"/>
      <c r="P70" s="9"/>
      <c r="Q70" s="9" t="s">
        <v>32</v>
      </c>
      <c r="R70" s="9"/>
      <c r="S70" s="9"/>
      <c r="T70" s="9"/>
    </row>
    <row r="71" spans="1:20" s="291" customFormat="1" x14ac:dyDescent="0.25">
      <c r="A71" s="9" t="s">
        <v>1196</v>
      </c>
      <c r="B71" s="9"/>
      <c r="C71" s="9"/>
      <c r="D71" s="9"/>
      <c r="E71" s="9" t="str">
        <f>A71</f>
        <v xml:space="preserve">  - '%tierlore%'</v>
      </c>
      <c r="F71" s="9"/>
      <c r="G71" s="9"/>
      <c r="H71" s="9"/>
      <c r="I71" s="9" t="str">
        <f>E71</f>
        <v xml:space="preserve">  - '%tierlore%'</v>
      </c>
      <c r="J71" s="9"/>
      <c r="K71" s="9"/>
      <c r="L71" s="9"/>
      <c r="M71" s="9" t="str">
        <f>I71</f>
        <v xml:space="preserve">  - '%tierlore%'</v>
      </c>
      <c r="N71" s="9"/>
      <c r="O71" s="9"/>
      <c r="P71" s="9"/>
      <c r="Q71" s="9" t="str">
        <f>M71</f>
        <v xml:space="preserve">  - '%tierlore%'</v>
      </c>
      <c r="R71" s="9"/>
      <c r="S71" s="9"/>
      <c r="T71" s="9"/>
    </row>
    <row r="72" spans="1:20" x14ac:dyDescent="0.25">
      <c r="A72" s="9" t="s">
        <v>33</v>
      </c>
      <c r="B72" s="9"/>
      <c r="C72" s="9"/>
      <c r="D72" s="9"/>
      <c r="E72" s="9" t="s">
        <v>33</v>
      </c>
      <c r="F72" s="9"/>
      <c r="G72" s="9"/>
      <c r="H72" s="9"/>
      <c r="I72" s="9" t="s">
        <v>33</v>
      </c>
      <c r="J72" s="9"/>
      <c r="K72" s="9"/>
      <c r="L72" s="9"/>
      <c r="M72" s="9" t="s">
        <v>33</v>
      </c>
      <c r="N72" s="9"/>
      <c r="O72" s="9"/>
      <c r="P72" s="9"/>
      <c r="Q72" s="9" t="s">
        <v>33</v>
      </c>
      <c r="R72" s="9"/>
      <c r="S72" s="9"/>
      <c r="T72" s="9"/>
    </row>
    <row r="73" spans="1:20" x14ac:dyDescent="0.25">
      <c r="A73" s="10" t="str">
        <f>"  - '&amp;4• &amp;f"&amp;MAIN!$C$9&amp;": &amp;a"&amp;MAIN!$C$77*$C$2&amp;"'"</f>
        <v xml:space="preserve">  - '&amp;4• &amp;fFuerza: &amp;a49'</v>
      </c>
      <c r="B73" s="10"/>
      <c r="C73" s="10"/>
      <c r="D73" s="10"/>
      <c r="E73" s="10" t="str">
        <f>"  - '&amp;4• &amp;f"&amp;MAIN!$C$9&amp;": &amp;a"&amp;MAIN!$D$77*$C$2&amp;"'"</f>
        <v xml:space="preserve">  - '&amp;4• &amp;fFuerza: &amp;a77'</v>
      </c>
      <c r="F73" s="10"/>
      <c r="G73" s="10"/>
      <c r="H73" s="10"/>
      <c r="I73" s="10" t="str">
        <f>"  - '&amp;4• &amp;f"&amp;MAIN!$C$9&amp;": &amp;a"&amp;MAIN!$E$77*$C$2&amp;"'"</f>
        <v xml:space="preserve">  - '&amp;4• &amp;fFuerza: &amp;a126'</v>
      </c>
      <c r="J73" s="10"/>
      <c r="K73" s="10"/>
      <c r="L73" s="10"/>
      <c r="M73" s="10" t="str">
        <f>"  - '&amp;4• &amp;f"&amp;MAIN!$C$9&amp;": &amp;a"&amp;MAIN!$F$77*$C$2&amp;"'"</f>
        <v xml:space="preserve">  - '&amp;4• &amp;fFuerza: &amp;a210'</v>
      </c>
      <c r="N73" s="10"/>
      <c r="O73" s="10"/>
      <c r="P73" s="10"/>
      <c r="Q73" s="10" t="str">
        <f>"  - '&amp;4• &amp;f"&amp;MAIN!$C$9&amp;": &amp;a"&amp;MAIN!$G$77*$C$2&amp;"'"</f>
        <v xml:space="preserve">  - '&amp;4• &amp;fFuerza: &amp;a357'</v>
      </c>
      <c r="R73" s="10"/>
      <c r="S73" s="10"/>
      <c r="T73" s="10"/>
    </row>
    <row r="74" spans="1:20" x14ac:dyDescent="0.25">
      <c r="A74" s="10" t="str">
        <f>"  - '&amp;4• &amp;f"&amp;MAIN!$C$8&amp;": &amp;a"&amp;MAIN!$C$77*$C$2&amp;"'"</f>
        <v xml:space="preserve">  - '&amp;4• &amp;fVitalidad: &amp;a49'</v>
      </c>
      <c r="B74" s="10"/>
      <c r="C74" s="10"/>
      <c r="D74" s="10"/>
      <c r="E74" s="10" t="str">
        <f>"  - '&amp;4• &amp;f"&amp;MAIN!$C$8&amp;": &amp;a"&amp;MAIN!$D$77*$C$2&amp;"'"</f>
        <v xml:space="preserve">  - '&amp;4• &amp;fVitalidad: &amp;a77'</v>
      </c>
      <c r="F74" s="10"/>
      <c r="G74" s="10"/>
      <c r="H74" s="10"/>
      <c r="I74" s="10" t="str">
        <f>"  - '&amp;4• &amp;f"&amp;MAIN!$C$8&amp;": &amp;a"&amp;MAIN!$E$77*$C$2&amp;"'"</f>
        <v xml:space="preserve">  - '&amp;4• &amp;fVitalidad: &amp;a126'</v>
      </c>
      <c r="J74" s="10"/>
      <c r="K74" s="10"/>
      <c r="L74" s="10"/>
      <c r="M74" s="10" t="str">
        <f>"  - '&amp;4• &amp;f"&amp;MAIN!$C$8&amp;": &amp;a"&amp;MAIN!$F$77*$C$2&amp;"'"</f>
        <v xml:space="preserve">  - '&amp;4• &amp;fVitalidad: &amp;a210'</v>
      </c>
      <c r="N74" s="10"/>
      <c r="O74" s="10"/>
      <c r="P74" s="10"/>
      <c r="Q74" s="10" t="str">
        <f>"  - '&amp;4• &amp;f"&amp;MAIN!$C$8&amp;": &amp;a"&amp;MAIN!$G$77*$C$2&amp;"'"</f>
        <v xml:space="preserve">  - '&amp;4• &amp;fVitalidad: &amp;a357'</v>
      </c>
      <c r="R74" s="10"/>
      <c r="S74" s="10"/>
      <c r="T74" s="10"/>
    </row>
    <row r="75" spans="1:20" x14ac:dyDescent="0.25">
      <c r="A75" s="10" t="str">
        <f>"  - '&amp;4• &amp;f"&amp;MAIN!$C$11&amp;": &amp;a"&amp;MAIN!$C$79*$C$2&amp;"'"</f>
        <v xml:space="preserve">  - '&amp;4• &amp;fInteligencia: &amp;a49'</v>
      </c>
      <c r="B75" s="10"/>
      <c r="C75" s="10"/>
      <c r="D75" s="10"/>
      <c r="E75" s="10" t="str">
        <f>"  - '&amp;4• &amp;f"&amp;MAIN!$C$11&amp;": &amp;a"&amp;MAIN!$D$79*$C$2&amp;"'"</f>
        <v xml:space="preserve">  - '&amp;4• &amp;fInteligencia: &amp;a77'</v>
      </c>
      <c r="F75" s="10"/>
      <c r="G75" s="10"/>
      <c r="H75" s="10"/>
      <c r="I75" s="10" t="str">
        <f>"  - '&amp;4• &amp;f"&amp;MAIN!$C$11&amp;": &amp;a"&amp;MAIN!$E$79*$C$2&amp;"'"</f>
        <v xml:space="preserve">  - '&amp;4• &amp;fInteligencia: &amp;a126'</v>
      </c>
      <c r="J75" s="10"/>
      <c r="K75" s="10"/>
      <c r="L75" s="10"/>
      <c r="M75" s="10" t="str">
        <f>"  - '&amp;4• &amp;f"&amp;MAIN!$C$11&amp;": &amp;a"&amp;MAIN!$F$79*$C$2&amp;"'"</f>
        <v xml:space="preserve">  - '&amp;4• &amp;fInteligencia: &amp;a210'</v>
      </c>
      <c r="N75" s="10"/>
      <c r="O75" s="10"/>
      <c r="P75" s="10"/>
      <c r="Q75" s="10" t="str">
        <f>"  - '&amp;4• &amp;f"&amp;MAIN!$C$11&amp;": &amp;a"&amp;MAIN!$G$79*$C$2&amp;"'"</f>
        <v xml:space="preserve">  - '&amp;4• &amp;fInteligencia: &amp;a357'</v>
      </c>
      <c r="R75" s="10"/>
      <c r="S75" s="10"/>
      <c r="T75" s="10"/>
    </row>
    <row r="76" spans="1:20" x14ac:dyDescent="0.25">
      <c r="A76" s="10" t="str">
        <f>"  - '&amp;4• &amp;f"&amp;MAIN!$C$10&amp;": &amp;a"&amp;MAIN!$C$78*$C$2&amp;"'"</f>
        <v xml:space="preserve">  - '&amp;4• &amp;fAgilidad: &amp;a49'</v>
      </c>
      <c r="B76" s="10"/>
      <c r="C76" s="10"/>
      <c r="D76" s="10"/>
      <c r="E76" s="10" t="str">
        <f>"  - '&amp;4• &amp;f"&amp;MAIN!$C$10&amp;": &amp;a"&amp;MAIN!$D$78*$C$2&amp;"'"</f>
        <v xml:space="preserve">  - '&amp;4• &amp;fAgilidad: &amp;a77'</v>
      </c>
      <c r="F76" s="10"/>
      <c r="G76" s="10"/>
      <c r="H76" s="10"/>
      <c r="I76" s="10" t="str">
        <f>"  - '&amp;4• &amp;f"&amp;MAIN!$C$10&amp;": &amp;a"&amp;MAIN!$E$78*$C$2&amp;"'"</f>
        <v xml:space="preserve">  - '&amp;4• &amp;fAgilidad: &amp;a126'</v>
      </c>
      <c r="J76" s="10"/>
      <c r="K76" s="10"/>
      <c r="L76" s="10"/>
      <c r="M76" s="10" t="str">
        <f>"  - '&amp;4• &amp;f"&amp;MAIN!$C$10&amp;": &amp;a"&amp;MAIN!$F$78*$C$2&amp;"'"</f>
        <v xml:space="preserve">  - '&amp;4• &amp;fAgilidad: &amp;a210'</v>
      </c>
      <c r="N76" s="10"/>
      <c r="O76" s="10"/>
      <c r="P76" s="10"/>
      <c r="Q76" s="10" t="str">
        <f>"  - '&amp;4• &amp;f"&amp;MAIN!$C$10&amp;": &amp;a"&amp;MAIN!$G$78*$C$2&amp;"'"</f>
        <v xml:space="preserve">  - '&amp;4• &amp;fAgilidad: &amp;a357'</v>
      </c>
      <c r="R76" s="10"/>
      <c r="S76" s="10"/>
      <c r="T76" s="10"/>
    </row>
    <row r="77" spans="1:20" x14ac:dyDescent="0.25">
      <c r="A77" s="9" t="s">
        <v>71</v>
      </c>
      <c r="B77" s="9"/>
      <c r="C77" s="9"/>
      <c r="D77" s="9"/>
      <c r="E77" s="9" t="s">
        <v>71</v>
      </c>
      <c r="F77" s="9"/>
      <c r="G77" s="9"/>
      <c r="H77" s="9"/>
      <c r="I77" s="9" t="s">
        <v>71</v>
      </c>
      <c r="J77" s="9"/>
      <c r="K77" s="9"/>
      <c r="L77" s="9"/>
      <c r="M77" s="9" t="s">
        <v>71</v>
      </c>
      <c r="N77" s="9"/>
      <c r="O77" s="9"/>
      <c r="P77" s="9"/>
      <c r="Q77" s="9" t="s">
        <v>71</v>
      </c>
      <c r="R77" s="9"/>
      <c r="S77" s="9"/>
      <c r="T77" s="9"/>
    </row>
    <row r="78" spans="1:20" x14ac:dyDescent="0.25">
      <c r="A78" s="9" t="s">
        <v>72</v>
      </c>
      <c r="B78" s="9"/>
      <c r="C78" s="9"/>
      <c r="D78" s="9"/>
      <c r="E78" s="9" t="s">
        <v>72</v>
      </c>
      <c r="F78" s="9"/>
      <c r="G78" s="9"/>
      <c r="H78" s="9"/>
      <c r="I78" s="9" t="s">
        <v>72</v>
      </c>
      <c r="J78" s="9"/>
      <c r="K78" s="9"/>
      <c r="L78" s="9"/>
      <c r="M78" s="9" t="s">
        <v>72</v>
      </c>
      <c r="N78" s="9"/>
      <c r="O78" s="9"/>
      <c r="P78" s="9"/>
      <c r="Q78" s="9" t="s">
        <v>72</v>
      </c>
      <c r="R78" s="9"/>
      <c r="S78" s="9"/>
      <c r="T78" s="9"/>
    </row>
    <row r="79" spans="1:20" x14ac:dyDescent="0.25">
      <c r="A79" s="11" t="str">
        <f>'armas legendario'!$A$79</f>
        <v>minimumSockets: 2</v>
      </c>
      <c r="B79" s="11"/>
      <c r="C79" s="11"/>
      <c r="D79" s="11"/>
      <c r="E79" s="11" t="str">
        <f>$A$79</f>
        <v>minimumSockets: 2</v>
      </c>
      <c r="F79" s="11"/>
      <c r="G79" s="11"/>
      <c r="H79" s="11"/>
      <c r="I79" s="11" t="str">
        <f>$A$79</f>
        <v>minimumSockets: 2</v>
      </c>
      <c r="J79" s="11"/>
      <c r="K79" s="11"/>
      <c r="L79" s="11"/>
      <c r="M79" s="11" t="str">
        <f>$A$79</f>
        <v>minimumSockets: 2</v>
      </c>
      <c r="N79" s="11"/>
      <c r="O79" s="11"/>
      <c r="P79" s="11"/>
      <c r="Q79" s="11" t="str">
        <f>$A$79</f>
        <v>minimumSockets: 2</v>
      </c>
      <c r="R79" s="11"/>
      <c r="S79" s="11"/>
      <c r="T79" s="11"/>
    </row>
    <row r="80" spans="1:20" x14ac:dyDescent="0.25">
      <c r="A80" s="11" t="str">
        <f>'armas legendario'!$A$80</f>
        <v>maximumSockets: 3</v>
      </c>
      <c r="B80" s="11"/>
      <c r="C80" s="11"/>
      <c r="D80" s="11"/>
      <c r="E80" s="11" t="str">
        <f>$A$80</f>
        <v>maximumSockets: 3</v>
      </c>
      <c r="F80" s="11"/>
      <c r="G80" s="11"/>
      <c r="H80" s="11"/>
      <c r="I80" s="11" t="str">
        <f>$A$80</f>
        <v>maximumSockets: 3</v>
      </c>
      <c r="J80" s="11"/>
      <c r="K80" s="11"/>
      <c r="L80" s="11"/>
      <c r="M80" s="11" t="str">
        <f>$A$80</f>
        <v>maximumSockets: 3</v>
      </c>
      <c r="N80" s="11"/>
      <c r="O80" s="11"/>
      <c r="P80" s="11"/>
      <c r="Q80" s="11" t="str">
        <f>$A$80</f>
        <v>maximumSockets: 3</v>
      </c>
      <c r="R80" s="11"/>
      <c r="S80" s="11"/>
      <c r="T80" s="11"/>
    </row>
    <row r="81" spans="1:20" x14ac:dyDescent="0.25">
      <c r="A81" s="11" t="str">
        <f>'armas legendario'!$A$81</f>
        <v>chanceToSpawnOnAMonster: 0.075</v>
      </c>
      <c r="B81" s="11"/>
      <c r="C81" s="11"/>
      <c r="D81" s="11"/>
      <c r="E81" s="11" t="str">
        <f>$A$81</f>
        <v>chanceToSpawnOnAMonster: 0.075</v>
      </c>
      <c r="F81" s="11"/>
      <c r="G81" s="11"/>
      <c r="H81" s="11"/>
      <c r="I81" s="11" t="str">
        <f>$A$81</f>
        <v>chanceToSpawnOnAMonster: 0.075</v>
      </c>
      <c r="J81" s="11"/>
      <c r="K81" s="11"/>
      <c r="L81" s="11"/>
      <c r="M81" s="11" t="str">
        <f>$A$81</f>
        <v>chanceToSpawnOnAMonster: 0.075</v>
      </c>
      <c r="N81" s="11"/>
      <c r="O81" s="11"/>
      <c r="P81" s="11"/>
      <c r="Q81" s="11" t="str">
        <f>$A$81</f>
        <v>chanceToSpawnOnAMonster: 0.075</v>
      </c>
      <c r="R81" s="11"/>
      <c r="S81" s="11"/>
      <c r="T81" s="11"/>
    </row>
    <row r="82" spans="1:20" x14ac:dyDescent="0.25">
      <c r="A82" s="9" t="s">
        <v>34</v>
      </c>
      <c r="B82" s="9"/>
      <c r="C82" s="9"/>
      <c r="D82" s="9"/>
      <c r="E82" s="9" t="s">
        <v>34</v>
      </c>
      <c r="F82" s="9"/>
      <c r="G82" s="9"/>
      <c r="H82" s="9"/>
      <c r="I82" s="9" t="s">
        <v>34</v>
      </c>
      <c r="J82" s="9"/>
      <c r="K82" s="9"/>
      <c r="L82" s="9"/>
      <c r="M82" s="9" t="s">
        <v>34</v>
      </c>
      <c r="N82" s="9"/>
      <c r="O82" s="9"/>
      <c r="P82" s="9"/>
      <c r="Q82" s="9" t="s">
        <v>34</v>
      </c>
      <c r="R82" s="9"/>
      <c r="S82" s="9"/>
      <c r="T82" s="9"/>
    </row>
    <row r="83" spans="1:20" x14ac:dyDescent="0.25">
      <c r="A83" s="11" t="str">
        <f>'armas legendario'!$A$83</f>
        <v>chanceToBeIdentified: 0.0375</v>
      </c>
      <c r="B83" s="11"/>
      <c r="C83" s="11"/>
      <c r="D83" s="11"/>
      <c r="E83" s="11" t="str">
        <f>$A$83</f>
        <v>chanceToBeIdentified: 0.0375</v>
      </c>
      <c r="F83" s="11"/>
      <c r="G83" s="11"/>
      <c r="H83" s="11"/>
      <c r="I83" s="11" t="str">
        <f>$A$83</f>
        <v>chanceToBeIdentified: 0.0375</v>
      </c>
      <c r="J83" s="11"/>
      <c r="K83" s="11"/>
      <c r="L83" s="11"/>
      <c r="M83" s="11" t="str">
        <f>$A$83</f>
        <v>chanceToBeIdentified: 0.0375</v>
      </c>
      <c r="N83" s="11"/>
      <c r="O83" s="11"/>
      <c r="P83" s="11"/>
      <c r="Q83" s="11" t="str">
        <f>$A$83</f>
        <v>chanceToBeIdentified: 0.0375</v>
      </c>
      <c r="R83" s="11"/>
      <c r="S83" s="11"/>
      <c r="T83" s="11"/>
    </row>
    <row r="84" spans="1:20" x14ac:dyDescent="0.25">
      <c r="A84" s="9" t="s">
        <v>79</v>
      </c>
      <c r="B84" s="9"/>
      <c r="C84" s="9"/>
      <c r="D84" s="9"/>
      <c r="E84" s="9" t="s">
        <v>79</v>
      </c>
      <c r="F84" s="9"/>
      <c r="G84" s="9"/>
      <c r="H84" s="9"/>
      <c r="I84" s="9" t="s">
        <v>79</v>
      </c>
      <c r="J84" s="9"/>
      <c r="K84" s="9"/>
      <c r="L84" s="9"/>
      <c r="M84" s="9" t="s">
        <v>79</v>
      </c>
      <c r="N84" s="9"/>
      <c r="O84" s="9"/>
      <c r="P84" s="9"/>
      <c r="Q84" s="9" t="s">
        <v>79</v>
      </c>
      <c r="R84" s="9"/>
      <c r="S84" s="9"/>
      <c r="T84" s="9"/>
    </row>
    <row r="85" spans="1:20" x14ac:dyDescent="0.25">
      <c r="A85" s="11" t="str">
        <f>'armas legendario'!$A$85</f>
        <v>broadcastOnFind: false</v>
      </c>
      <c r="B85" s="11"/>
      <c r="C85" s="11"/>
      <c r="D85" s="11"/>
      <c r="E85" s="11" t="str">
        <f>$A$85</f>
        <v>broadcastOnFind: false</v>
      </c>
      <c r="F85" s="11"/>
      <c r="G85" s="11"/>
      <c r="H85" s="11"/>
      <c r="I85" s="11" t="str">
        <f>$A$85</f>
        <v>broadcastOnFind: false</v>
      </c>
      <c r="J85" s="11"/>
      <c r="K85" s="11"/>
      <c r="L85" s="11"/>
      <c r="M85" s="11" t="str">
        <f>$A$85</f>
        <v>broadcastOnFind: false</v>
      </c>
      <c r="N85" s="11"/>
      <c r="O85" s="11"/>
      <c r="P85" s="11"/>
      <c r="Q85" s="11" t="str">
        <f>$A$85</f>
        <v>broadcastOnFind: false</v>
      </c>
      <c r="R85" s="11"/>
      <c r="S85" s="11"/>
      <c r="T85" s="11"/>
    </row>
    <row r="86" spans="1:20" x14ac:dyDescent="0.25">
      <c r="A86" s="11" t="str">
        <f>'armas legendario'!$A$86</f>
        <v>optimalDistance: 2700</v>
      </c>
      <c r="B86" s="11"/>
      <c r="C86" s="11"/>
      <c r="D86" s="11"/>
      <c r="E86" s="11" t="str">
        <f>$A$86</f>
        <v>optimalDistance: 2700</v>
      </c>
      <c r="F86" s="11"/>
      <c r="G86" s="11"/>
      <c r="H86" s="11"/>
      <c r="I86" s="11" t="str">
        <f>$A$86</f>
        <v>optimalDistance: 2700</v>
      </c>
      <c r="J86" s="11"/>
      <c r="K86" s="11"/>
      <c r="L86" s="11"/>
      <c r="M86" s="11" t="str">
        <f>$A$86</f>
        <v>optimalDistance: 2700</v>
      </c>
      <c r="N86" s="11"/>
      <c r="O86" s="11"/>
      <c r="P86" s="11"/>
      <c r="Q86" s="11" t="str">
        <f>$A$86</f>
        <v>optimalDistance: 2700</v>
      </c>
      <c r="R86" s="11"/>
      <c r="S86" s="11"/>
      <c r="T86" s="11"/>
    </row>
    <row r="87" spans="1:20" x14ac:dyDescent="0.25">
      <c r="A87" s="11" t="str">
        <f>'armas legendario'!$A$87</f>
        <v>maximumDistance: 1800</v>
      </c>
      <c r="B87" s="11"/>
      <c r="C87" s="11"/>
      <c r="D87" s="11"/>
      <c r="E87" s="11" t="str">
        <f>$A$87</f>
        <v>maximumDistance: 1800</v>
      </c>
      <c r="F87" s="11"/>
      <c r="G87" s="11"/>
      <c r="H87" s="11"/>
      <c r="I87" s="11" t="str">
        <f>$A$87</f>
        <v>maximumDistance: 1800</v>
      </c>
      <c r="J87" s="11"/>
      <c r="K87" s="11"/>
      <c r="L87" s="11"/>
      <c r="M87" s="11" t="str">
        <f>$A$87</f>
        <v>maximumDistance: 1800</v>
      </c>
      <c r="N87" s="11"/>
      <c r="O87" s="11"/>
      <c r="P87" s="11"/>
      <c r="Q87" s="11" t="str">
        <f>$A$87</f>
        <v>maximumDistance: 1800</v>
      </c>
      <c r="R87" s="11"/>
      <c r="S87" s="11"/>
      <c r="T87" s="11"/>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9" x14ac:dyDescent="0.25">
      <c r="A97" s="9"/>
      <c r="B97" s="9"/>
      <c r="C97" s="9"/>
      <c r="D97" s="9"/>
      <c r="G97" s="13"/>
      <c r="H97" s="13"/>
      <c r="I97" s="13"/>
    </row>
    <row r="98" spans="1:9" x14ac:dyDescent="0.25">
      <c r="A98" s="9"/>
      <c r="B98" s="9"/>
      <c r="C98" s="9"/>
      <c r="D98" s="9"/>
      <c r="G98" s="13"/>
      <c r="H98" s="13"/>
      <c r="I98" s="13"/>
    </row>
    <row r="99" spans="1:9" x14ac:dyDescent="0.25">
      <c r="A99" s="9"/>
      <c r="B99" s="9"/>
      <c r="C99" s="9"/>
      <c r="D99" s="9"/>
    </row>
    <row r="100" spans="1:9" x14ac:dyDescent="0.25">
      <c r="A100" s="9"/>
      <c r="B100" s="9"/>
      <c r="C100" s="9"/>
      <c r="D100" s="9"/>
    </row>
    <row r="101" spans="1:9" x14ac:dyDescent="0.25">
      <c r="A101" s="9"/>
      <c r="B101" s="9"/>
      <c r="C101" s="9"/>
      <c r="D101" s="9"/>
    </row>
    <row r="102" spans="1:9" x14ac:dyDescent="0.25">
      <c r="A102" s="9"/>
      <c r="B102" s="9"/>
      <c r="C102" s="9"/>
      <c r="D102" s="9"/>
    </row>
    <row r="103" spans="1:9" x14ac:dyDescent="0.25">
      <c r="A103" s="9"/>
      <c r="B103" s="9"/>
      <c r="C103" s="9"/>
      <c r="D103" s="9"/>
    </row>
    <row r="104" spans="1:9" x14ac:dyDescent="0.25">
      <c r="A104" s="9"/>
      <c r="B104" s="9"/>
      <c r="C104" s="9"/>
      <c r="D104" s="9"/>
    </row>
    <row r="105" spans="1:9" x14ac:dyDescent="0.25">
      <c r="A105" s="9"/>
      <c r="B105" s="9"/>
      <c r="C105" s="9"/>
      <c r="D105" s="9"/>
    </row>
    <row r="106" spans="1:9" x14ac:dyDescent="0.25">
      <c r="A106" s="9"/>
      <c r="B106" s="9"/>
      <c r="C106" s="9"/>
      <c r="D106" s="9"/>
    </row>
    <row r="107" spans="1:9" x14ac:dyDescent="0.25">
      <c r="A107" s="9"/>
      <c r="B107" s="9"/>
      <c r="C107" s="9"/>
      <c r="D107" s="9"/>
    </row>
    <row r="108" spans="1:9" x14ac:dyDescent="0.25">
      <c r="A108" s="9"/>
      <c r="B108" s="9"/>
      <c r="C108" s="9"/>
      <c r="D108" s="9"/>
    </row>
    <row r="109" spans="1:9" x14ac:dyDescent="0.25">
      <c r="A109" s="9"/>
      <c r="B109" s="9"/>
      <c r="C109" s="9"/>
      <c r="D109" s="9"/>
    </row>
    <row r="110" spans="1:9" x14ac:dyDescent="0.25">
      <c r="A110" s="9"/>
      <c r="B110" s="9"/>
      <c r="C110" s="9"/>
      <c r="D110" s="9"/>
    </row>
    <row r="111" spans="1:9" x14ac:dyDescent="0.25">
      <c r="A111" s="9"/>
      <c r="B111" s="9"/>
      <c r="C111" s="9"/>
      <c r="D111" s="9"/>
    </row>
    <row r="112" spans="1:9"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row r="190" spans="1:4" x14ac:dyDescent="0.25">
      <c r="A190" s="9"/>
      <c r="B190" s="9"/>
      <c r="C190" s="9"/>
      <c r="D190" s="9"/>
    </row>
    <row r="191" spans="1:4" x14ac:dyDescent="0.25">
      <c r="A191" s="9"/>
      <c r="B191" s="9"/>
      <c r="C191" s="9"/>
      <c r="D191"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3"/>
  <dimension ref="A1:Z191"/>
  <sheetViews>
    <sheetView topLeftCell="N65" workbookViewId="0">
      <selection activeCell="Q4" sqref="Q4:Q87"/>
    </sheetView>
  </sheetViews>
  <sheetFormatPr baseColWidth="10" defaultColWidth="11.5703125" defaultRowHeight="15" x14ac:dyDescent="0.25"/>
  <cols>
    <col min="1" max="16384" width="11.5703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104</v>
      </c>
      <c r="B2" s="293"/>
      <c r="C2" s="293">
        <f>'ECONOMIA &amp; PROFESIONES'!$Q$3</f>
        <v>7</v>
      </c>
      <c r="D2" s="293"/>
      <c r="E2" s="293" t="s">
        <v>81</v>
      </c>
      <c r="F2" s="293"/>
      <c r="G2" s="293" t="s">
        <v>3</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$A$38</f>
        <v xml:space="preserve">  - ARROW_INFINITE:3:5</v>
      </c>
      <c r="J15" s="22"/>
      <c r="K15" s="22"/>
      <c r="L15" s="22"/>
      <c r="M15" s="22" t="str">
        <f>$A$38</f>
        <v xml:space="preserve">  - ARROW_INFINITE:3:5</v>
      </c>
      <c r="N15" s="22"/>
      <c r="O15" s="22"/>
      <c r="P15" s="22"/>
      <c r="Q15" s="22" t="str">
        <f>$A$38</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$A$39</f>
        <v xml:space="preserve">  - ARROW_DAMAGE:3:5</v>
      </c>
      <c r="J16" s="22"/>
      <c r="K16" s="22"/>
      <c r="L16" s="22"/>
      <c r="M16" s="22" t="str">
        <f>$A$39</f>
        <v xml:space="preserve">  - ARROW_DAMAGE:3:5</v>
      </c>
      <c r="N16" s="22"/>
      <c r="O16" s="22"/>
      <c r="P16" s="22"/>
      <c r="Q16" s="22" t="str">
        <f>$A$39</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$A$40</f>
        <v xml:space="preserve">  - ARROW_FIRE:3:5</v>
      </c>
      <c r="J17" s="22"/>
      <c r="K17" s="22"/>
      <c r="L17" s="22"/>
      <c r="M17" s="22" t="str">
        <f>$A$40</f>
        <v xml:space="preserve">  - ARROW_FIRE:3:5</v>
      </c>
      <c r="N17" s="22"/>
      <c r="O17" s="22"/>
      <c r="P17" s="22"/>
      <c r="Q17" s="22" t="str">
        <f>$A$40</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$A$41</f>
        <v xml:space="preserve">  - ARROW_KNOCKBACK:3:5</v>
      </c>
      <c r="J18" s="22"/>
      <c r="K18" s="22"/>
      <c r="L18" s="22"/>
      <c r="M18" s="22" t="str">
        <f>$A$41</f>
        <v xml:space="preserve">  - ARROW_KNOCKBACK:3:5</v>
      </c>
      <c r="N18" s="22"/>
      <c r="O18" s="22"/>
      <c r="P18" s="22"/>
      <c r="Q18" s="22" t="str">
        <f>$A$41</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$A$42</f>
        <v xml:space="preserve">  - DAMAGE_ALL:3:5</v>
      </c>
      <c r="J19" s="22"/>
      <c r="K19" s="22"/>
      <c r="L19" s="22"/>
      <c r="M19" s="22" t="str">
        <f>$A$42</f>
        <v xml:space="preserve">  - DAMAGE_ALL:3:5</v>
      </c>
      <c r="N19" s="22"/>
      <c r="O19" s="22"/>
      <c r="P19" s="22"/>
      <c r="Q19" s="22" t="str">
        <f>$A$42</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$A$43</f>
        <v xml:space="preserve">  - DAMAGE_ARTHROPODS:3:5</v>
      </c>
      <c r="J20" s="22"/>
      <c r="K20" s="22"/>
      <c r="L20" s="22"/>
      <c r="M20" s="22" t="str">
        <f>$A$43</f>
        <v xml:space="preserve">  - DAMAGE_ARTHROPODS:3:5</v>
      </c>
      <c r="N20" s="22"/>
      <c r="O20" s="22"/>
      <c r="P20" s="22"/>
      <c r="Q20" s="22" t="str">
        <f>$A$43</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$A$44</f>
        <v xml:space="preserve">  - DAMAGE_UNDEAD:3:5</v>
      </c>
      <c r="J21" s="22"/>
      <c r="K21" s="22"/>
      <c r="L21" s="22"/>
      <c r="M21" s="22" t="str">
        <f>$A$44</f>
        <v xml:space="preserve">  - DAMAGE_UNDEAD:3:5</v>
      </c>
      <c r="N21" s="22"/>
      <c r="O21" s="22"/>
      <c r="P21" s="22"/>
      <c r="Q21" s="22" t="str">
        <f>$A$44</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$A$45</f>
        <v xml:space="preserve">  - DIG_SPEED:3:5</v>
      </c>
      <c r="J22" s="22"/>
      <c r="K22" s="22"/>
      <c r="L22" s="22"/>
      <c r="M22" s="22" t="str">
        <f>$A$45</f>
        <v xml:space="preserve">  - DIG_SPEED:3:5</v>
      </c>
      <c r="N22" s="22"/>
      <c r="O22" s="22"/>
      <c r="P22" s="22"/>
      <c r="Q22" s="22" t="str">
        <f>$A$45</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$A$46</f>
        <v xml:space="preserve">  - DURABILITY:3:5</v>
      </c>
      <c r="J23" s="22"/>
      <c r="K23" s="22"/>
      <c r="L23" s="22"/>
      <c r="M23" s="22" t="str">
        <f>$A$46</f>
        <v xml:space="preserve">  - DURABILITY:3:5</v>
      </c>
      <c r="N23" s="22"/>
      <c r="O23" s="22"/>
      <c r="P23" s="22"/>
      <c r="Q23" s="22" t="str">
        <f>$A$46</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$A$47</f>
        <v xml:space="preserve">  - FIRE_ASPECT:3:5</v>
      </c>
      <c r="J24" s="22"/>
      <c r="K24" s="22"/>
      <c r="L24" s="22"/>
      <c r="M24" s="22" t="str">
        <f>$A$47</f>
        <v xml:space="preserve">  - FIRE_ASPECT:3:5</v>
      </c>
      <c r="N24" s="22"/>
      <c r="O24" s="22"/>
      <c r="P24" s="22"/>
      <c r="Q24" s="22" t="str">
        <f>$A$47</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$A$48</f>
        <v xml:space="preserve">  - KNOCKBACK:3:5</v>
      </c>
      <c r="J25" s="22"/>
      <c r="K25" s="22"/>
      <c r="L25" s="22"/>
      <c r="M25" s="22" t="str">
        <f>$A$48</f>
        <v xml:space="preserve">  - KNOCKBACK:3:5</v>
      </c>
      <c r="N25" s="22"/>
      <c r="O25" s="22"/>
      <c r="P25" s="22"/>
      <c r="Q25" s="22" t="str">
        <f>$A$48</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$A$49</f>
        <v xml:space="preserve">  - LOOT_BONUS_BLOCKS:3:5</v>
      </c>
      <c r="J26" s="22"/>
      <c r="K26" s="22"/>
      <c r="L26" s="22"/>
      <c r="M26" s="22" t="str">
        <f>$A$49</f>
        <v xml:space="preserve">  - LOOT_BONUS_BLOCKS:3:5</v>
      </c>
      <c r="N26" s="22"/>
      <c r="O26" s="22"/>
      <c r="P26" s="22"/>
      <c r="Q26" s="22" t="str">
        <f>$A$49</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$A$50</f>
        <v xml:space="preserve">  - LOOT_BONUS_MOBS:3:5</v>
      </c>
      <c r="J27" s="22"/>
      <c r="K27" s="22"/>
      <c r="L27" s="22"/>
      <c r="M27" s="22" t="str">
        <f>$A$50</f>
        <v xml:space="preserve">  - LOOT_BONUS_MOBS:3:5</v>
      </c>
      <c r="N27" s="22"/>
      <c r="O27" s="22"/>
      <c r="P27" s="22"/>
      <c r="Q27" s="22" t="str">
        <f>$A$50</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$A$51</f>
        <v xml:space="preserve">  - OXYGEN:3:5</v>
      </c>
      <c r="J28" s="22"/>
      <c r="K28" s="22"/>
      <c r="L28" s="22"/>
      <c r="M28" s="22" t="str">
        <f>$A$51</f>
        <v xml:space="preserve">  - OXYGEN:3:5</v>
      </c>
      <c r="N28" s="22"/>
      <c r="O28" s="22"/>
      <c r="P28" s="22"/>
      <c r="Q28" s="22" t="str">
        <f>$A$51</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$A$52</f>
        <v xml:space="preserve">  - PROTECTION_ENVIRONMENT:3:5</v>
      </c>
      <c r="J29" s="22"/>
      <c r="K29" s="22"/>
      <c r="L29" s="22"/>
      <c r="M29" s="22" t="str">
        <f>$A$52</f>
        <v xml:space="preserve">  - PROTECTION_ENVIRONMENT:3:5</v>
      </c>
      <c r="N29" s="22"/>
      <c r="O29" s="22"/>
      <c r="P29" s="22"/>
      <c r="Q29" s="22" t="str">
        <f>$A$52</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$A$53</f>
        <v xml:space="preserve">  - PROTECTION_EXPLOSIONS:3:5</v>
      </c>
      <c r="J30" s="22"/>
      <c r="K30" s="22"/>
      <c r="L30" s="22"/>
      <c r="M30" s="22" t="str">
        <f>$A$53</f>
        <v xml:space="preserve">  - PROTECTION_EXPLOSIONS:3:5</v>
      </c>
      <c r="N30" s="22"/>
      <c r="O30" s="22"/>
      <c r="P30" s="22"/>
      <c r="Q30" s="22" t="str">
        <f>$A$53</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$A$54</f>
        <v xml:space="preserve">  - PROTECTION_FALL:3:5</v>
      </c>
      <c r="J31" s="22"/>
      <c r="K31" s="22"/>
      <c r="L31" s="22"/>
      <c r="M31" s="22" t="str">
        <f>$A$54</f>
        <v xml:space="preserve">  - PROTECTION_FALL:3:5</v>
      </c>
      <c r="N31" s="22"/>
      <c r="O31" s="22"/>
      <c r="P31" s="22"/>
      <c r="Q31" s="22" t="str">
        <f>$A$54</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$A$55</f>
        <v xml:space="preserve">  - PROTECTION_FIRE:3:5</v>
      </c>
      <c r="J32" s="22"/>
      <c r="K32" s="22"/>
      <c r="L32" s="22"/>
      <c r="M32" s="22" t="str">
        <f>$A$55</f>
        <v xml:space="preserve">  - PROTECTION_FIRE:3:5</v>
      </c>
      <c r="N32" s="22"/>
      <c r="O32" s="22"/>
      <c r="P32" s="22"/>
      <c r="Q32" s="22" t="str">
        <f>$A$55</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$A$56</f>
        <v xml:space="preserve">  - PROTECTION_PROJECTILE:3:5</v>
      </c>
      <c r="J33" s="22"/>
      <c r="K33" s="22"/>
      <c r="L33" s="22"/>
      <c r="M33" s="22" t="str">
        <f>$A$56</f>
        <v xml:space="preserve">  - PROTECTION_PROJECTILE:3:5</v>
      </c>
      <c r="N33" s="22"/>
      <c r="O33" s="22"/>
      <c r="P33" s="22"/>
      <c r="Q33" s="22" t="str">
        <f>$A$56</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$A$57</f>
        <v xml:space="preserve">  - SILK_TOUCH:3:5</v>
      </c>
      <c r="J34" s="22"/>
      <c r="K34" s="22"/>
      <c r="L34" s="22"/>
      <c r="M34" s="22" t="str">
        <f>$A$57</f>
        <v xml:space="preserve">  - SILK_TOUCH:3:5</v>
      </c>
      <c r="N34" s="22"/>
      <c r="O34" s="22"/>
      <c r="P34" s="22"/>
      <c r="Q34" s="22" t="str">
        <f>$A$57</f>
        <v xml:space="preserve">  - SILK_TOUCH:3:5</v>
      </c>
      <c r="R34" s="22"/>
      <c r="S34" s="22"/>
      <c r="T34" s="22"/>
    </row>
    <row r="35" spans="1:20" x14ac:dyDescent="0.25">
      <c r="A35" s="22" t="str">
        <f>'armas legendario'!$A$35</f>
        <v xml:space="preserve">  - THORNS:3:5</v>
      </c>
      <c r="B35" s="22"/>
      <c r="C35" s="22"/>
      <c r="D35" s="22"/>
      <c r="E35" s="22" t="str">
        <f>$A$35</f>
        <v xml:space="preserve">  - THORNS:3:5</v>
      </c>
      <c r="F35" s="22"/>
      <c r="G35" s="22"/>
      <c r="H35" s="22"/>
      <c r="I35" s="22" t="str">
        <f>$A$58</f>
        <v xml:space="preserve">  - THORNS:3:5</v>
      </c>
      <c r="J35" s="22"/>
      <c r="K35" s="22"/>
      <c r="L35" s="22"/>
      <c r="M35" s="22" t="str">
        <f>$A$58</f>
        <v xml:space="preserve">  - THORNS:3:5</v>
      </c>
      <c r="N35" s="22"/>
      <c r="O35" s="22"/>
      <c r="P35" s="22"/>
      <c r="Q35" s="22" t="str">
        <f>$A$58</f>
        <v xml:space="preserve">  - THORNS:3:5</v>
      </c>
      <c r="R35" s="22"/>
      <c r="S35" s="22"/>
      <c r="T35" s="22"/>
    </row>
    <row r="36" spans="1:20" x14ac:dyDescent="0.25">
      <c r="A36" s="22" t="str">
        <f>'armas legendario'!$A$36</f>
        <v xml:space="preserve">  - WATER_WORKER:3:5</v>
      </c>
      <c r="B36" s="22"/>
      <c r="C36" s="22"/>
      <c r="D36" s="22"/>
      <c r="E36" s="22" t="str">
        <f>$A$36</f>
        <v xml:space="preserve">  - WATER_WORKER:3:5</v>
      </c>
      <c r="F36" s="22"/>
      <c r="G36" s="22"/>
      <c r="H36" s="22"/>
      <c r="I36" s="22" t="str">
        <f>$A$59</f>
        <v xml:space="preserve">  - WATER_WORKER:3:5</v>
      </c>
      <c r="J36" s="22"/>
      <c r="K36" s="22"/>
      <c r="L36" s="22"/>
      <c r="M36" s="22" t="str">
        <f>$A$59</f>
        <v xml:space="preserve">  - WATER_WORKER:3:5</v>
      </c>
      <c r="N36" s="22"/>
      <c r="O36" s="22"/>
      <c r="P36" s="22"/>
      <c r="Q36" s="22" t="str">
        <f>$A$59</f>
        <v xml:space="preserve">  - WATER_WORKER:3:5</v>
      </c>
      <c r="R36" s="22"/>
      <c r="S36" s="22"/>
      <c r="T36" s="22"/>
    </row>
    <row r="37" spans="1:20" x14ac:dyDescent="0.25">
      <c r="A37" s="9" t="s">
        <v>101</v>
      </c>
      <c r="B37" s="9"/>
      <c r="C37" s="9"/>
      <c r="D37" s="9"/>
      <c r="E37" s="9" t="s">
        <v>101</v>
      </c>
      <c r="F37" s="9"/>
      <c r="G37" s="9"/>
      <c r="H37" s="9"/>
      <c r="I37" s="9" t="s">
        <v>101</v>
      </c>
      <c r="J37" s="9"/>
      <c r="K37" s="9"/>
      <c r="L37" s="9"/>
      <c r="M37" s="9" t="s">
        <v>101</v>
      </c>
      <c r="N37" s="9"/>
      <c r="O37" s="9"/>
      <c r="P37" s="9"/>
      <c r="Q37" s="9" t="s">
        <v>101</v>
      </c>
      <c r="R37" s="9"/>
      <c r="S37" s="9"/>
      <c r="T37" s="9"/>
    </row>
    <row r="38" spans="1:20" x14ac:dyDescent="0.25">
      <c r="A38" s="22" t="str">
        <f>$A$15</f>
        <v xml:space="preserve">  - ARROW_INFINITE:3:5</v>
      </c>
      <c r="B38" s="22"/>
      <c r="C38" s="22"/>
      <c r="D38" s="22"/>
      <c r="E38" s="22" t="str">
        <f>$A$38</f>
        <v xml:space="preserve">  - ARROW_INFINITE:3:5</v>
      </c>
      <c r="F38" s="22"/>
      <c r="G38" s="22"/>
      <c r="H38" s="22"/>
      <c r="I38" s="22" t="str">
        <f>$A$38</f>
        <v xml:space="preserve">  - ARROW_INFINITE:3:5</v>
      </c>
      <c r="J38" s="22"/>
      <c r="K38" s="22"/>
      <c r="L38" s="22"/>
      <c r="M38" s="22" t="str">
        <f>$A$38</f>
        <v xml:space="preserve">  - ARROW_INFINITE:3:5</v>
      </c>
      <c r="N38" s="22"/>
      <c r="O38" s="22"/>
      <c r="P38" s="22"/>
      <c r="Q38" s="22" t="str">
        <f>$A$38</f>
        <v xml:space="preserve">  - ARROW_INFINITE:3:5</v>
      </c>
      <c r="R38" s="22"/>
      <c r="S38" s="22"/>
      <c r="T38" s="22"/>
    </row>
    <row r="39" spans="1:20" x14ac:dyDescent="0.25">
      <c r="A39" s="22" t="str">
        <f>$A$16</f>
        <v xml:space="preserve">  - ARROW_DAMAGE:3:5</v>
      </c>
      <c r="B39" s="22"/>
      <c r="C39" s="22"/>
      <c r="D39" s="22"/>
      <c r="E39" s="22" t="str">
        <f>$A$39</f>
        <v xml:space="preserve">  - ARROW_DAMAGE:3:5</v>
      </c>
      <c r="F39" s="22"/>
      <c r="G39" s="22"/>
      <c r="H39" s="22"/>
      <c r="I39" s="22" t="str">
        <f>$A$39</f>
        <v xml:space="preserve">  - ARROW_DAMAGE:3:5</v>
      </c>
      <c r="J39" s="22"/>
      <c r="K39" s="22"/>
      <c r="L39" s="22"/>
      <c r="M39" s="22" t="str">
        <f>$A$39</f>
        <v xml:space="preserve">  - ARROW_DAMAGE:3:5</v>
      </c>
      <c r="N39" s="22"/>
      <c r="O39" s="22"/>
      <c r="P39" s="22"/>
      <c r="Q39" s="22" t="str">
        <f>$A$39</f>
        <v xml:space="preserve">  - ARROW_DAMAGE:3:5</v>
      </c>
      <c r="R39" s="22"/>
      <c r="S39" s="22"/>
      <c r="T39" s="22"/>
    </row>
    <row r="40" spans="1:20" x14ac:dyDescent="0.25">
      <c r="A40" s="22" t="str">
        <f>$A$17</f>
        <v xml:space="preserve">  - ARROW_FIRE:3:5</v>
      </c>
      <c r="B40" s="22"/>
      <c r="C40" s="22"/>
      <c r="D40" s="22"/>
      <c r="E40" s="22" t="str">
        <f>$A$40</f>
        <v xml:space="preserve">  - ARROW_FIRE:3:5</v>
      </c>
      <c r="F40" s="22"/>
      <c r="G40" s="22"/>
      <c r="H40" s="22"/>
      <c r="I40" s="22" t="str">
        <f>$A$40</f>
        <v xml:space="preserve">  - ARROW_FIRE:3:5</v>
      </c>
      <c r="J40" s="22"/>
      <c r="K40" s="22"/>
      <c r="L40" s="22"/>
      <c r="M40" s="22" t="str">
        <f>$A$40</f>
        <v xml:space="preserve">  - ARROW_FIRE:3:5</v>
      </c>
      <c r="N40" s="22"/>
      <c r="O40" s="22"/>
      <c r="P40" s="22"/>
      <c r="Q40" s="22" t="str">
        <f>$A$40</f>
        <v xml:space="preserve">  - ARROW_FIRE:3:5</v>
      </c>
      <c r="R40" s="22"/>
      <c r="S40" s="22"/>
      <c r="T40" s="22"/>
    </row>
    <row r="41" spans="1:20" x14ac:dyDescent="0.25">
      <c r="A41" s="22" t="str">
        <f>$A$18</f>
        <v xml:space="preserve">  - ARROW_KNOCKBACK:3:5</v>
      </c>
      <c r="B41" s="22"/>
      <c r="C41" s="22"/>
      <c r="D41" s="22"/>
      <c r="E41" s="22" t="str">
        <f>$A$41</f>
        <v xml:space="preserve">  - ARROW_KNOCKBACK:3:5</v>
      </c>
      <c r="F41" s="22"/>
      <c r="G41" s="22"/>
      <c r="H41" s="22"/>
      <c r="I41" s="22" t="str">
        <f>$A$41</f>
        <v xml:space="preserve">  - ARROW_KNOCKBACK:3:5</v>
      </c>
      <c r="J41" s="22"/>
      <c r="K41" s="22"/>
      <c r="L41" s="22"/>
      <c r="M41" s="22" t="str">
        <f>$A$41</f>
        <v xml:space="preserve">  - ARROW_KNOCKBACK:3:5</v>
      </c>
      <c r="N41" s="22"/>
      <c r="O41" s="22"/>
      <c r="P41" s="22"/>
      <c r="Q41" s="22" t="str">
        <f>$A$41</f>
        <v xml:space="preserve">  - ARROW_KNOCKBACK:3:5</v>
      </c>
      <c r="R41" s="22"/>
      <c r="S41" s="22"/>
      <c r="T41" s="22"/>
    </row>
    <row r="42" spans="1:20" x14ac:dyDescent="0.25">
      <c r="A42" s="22" t="str">
        <f>$A$19</f>
        <v xml:space="preserve">  - DAMAGE_ALL:3:5</v>
      </c>
      <c r="B42" s="22"/>
      <c r="C42" s="22"/>
      <c r="D42" s="22"/>
      <c r="E42" s="22" t="str">
        <f>$A$42</f>
        <v xml:space="preserve">  - DAMAGE_ALL:3:5</v>
      </c>
      <c r="F42" s="22"/>
      <c r="G42" s="22"/>
      <c r="H42" s="22"/>
      <c r="I42" s="22" t="str">
        <f>$A$42</f>
        <v xml:space="preserve">  - DAMAGE_ALL:3:5</v>
      </c>
      <c r="J42" s="22"/>
      <c r="K42" s="22"/>
      <c r="L42" s="22"/>
      <c r="M42" s="22" t="str">
        <f>$A$42</f>
        <v xml:space="preserve">  - DAMAGE_ALL:3:5</v>
      </c>
      <c r="N42" s="22"/>
      <c r="O42" s="22"/>
      <c r="P42" s="22"/>
      <c r="Q42" s="22" t="str">
        <f>$A$42</f>
        <v xml:space="preserve">  - DAMAGE_ALL:3:5</v>
      </c>
      <c r="R42" s="22"/>
      <c r="S42" s="22"/>
      <c r="T42" s="22"/>
    </row>
    <row r="43" spans="1:20" x14ac:dyDescent="0.25">
      <c r="A43" s="22" t="str">
        <f>$A$20</f>
        <v xml:space="preserve">  - DAMAGE_ARTHROPODS:3:5</v>
      </c>
      <c r="B43" s="22"/>
      <c r="C43" s="22"/>
      <c r="D43" s="22"/>
      <c r="E43" s="22" t="str">
        <f>$A$43</f>
        <v xml:space="preserve">  - DAMAGE_ARTHROPODS:3:5</v>
      </c>
      <c r="F43" s="22"/>
      <c r="G43" s="22"/>
      <c r="H43" s="22"/>
      <c r="I43" s="22" t="str">
        <f>$A$43</f>
        <v xml:space="preserve">  - DAMAGE_ARTHROPODS:3:5</v>
      </c>
      <c r="J43" s="22"/>
      <c r="K43" s="22"/>
      <c r="L43" s="22"/>
      <c r="M43" s="22" t="str">
        <f>$A$43</f>
        <v xml:space="preserve">  - DAMAGE_ARTHROPODS:3:5</v>
      </c>
      <c r="N43" s="22"/>
      <c r="O43" s="22"/>
      <c r="P43" s="22"/>
      <c r="Q43" s="22" t="str">
        <f>$A$43</f>
        <v xml:space="preserve">  - DAMAGE_ARTHROPODS:3:5</v>
      </c>
      <c r="R43" s="22"/>
      <c r="S43" s="22"/>
      <c r="T43" s="22"/>
    </row>
    <row r="44" spans="1:20" x14ac:dyDescent="0.25">
      <c r="A44" s="22" t="str">
        <f>$A$21</f>
        <v xml:space="preserve">  - DAMAGE_UNDEAD:3:5</v>
      </c>
      <c r="B44" s="22"/>
      <c r="C44" s="22"/>
      <c r="D44" s="22"/>
      <c r="E44" s="22" t="str">
        <f>$A$44</f>
        <v xml:space="preserve">  - DAMAGE_UNDEAD:3:5</v>
      </c>
      <c r="F44" s="22"/>
      <c r="G44" s="22"/>
      <c r="H44" s="22"/>
      <c r="I44" s="22" t="str">
        <f>$A$44</f>
        <v xml:space="preserve">  - DAMAGE_UNDEAD:3:5</v>
      </c>
      <c r="J44" s="22"/>
      <c r="K44" s="22"/>
      <c r="L44" s="22"/>
      <c r="M44" s="22" t="str">
        <f>$A$44</f>
        <v xml:space="preserve">  - DAMAGE_UNDEAD:3:5</v>
      </c>
      <c r="N44" s="22"/>
      <c r="O44" s="22"/>
      <c r="P44" s="22"/>
      <c r="Q44" s="22" t="str">
        <f>$A$44</f>
        <v xml:space="preserve">  - DAMAGE_UNDEAD:3:5</v>
      </c>
      <c r="R44" s="22"/>
      <c r="S44" s="22"/>
      <c r="T44" s="22"/>
    </row>
    <row r="45" spans="1:20" x14ac:dyDescent="0.25">
      <c r="A45" s="22" t="str">
        <f>$A$22</f>
        <v xml:space="preserve">  - DIG_SPEED:3:5</v>
      </c>
      <c r="B45" s="22"/>
      <c r="C45" s="22"/>
      <c r="D45" s="22"/>
      <c r="E45" s="22" t="str">
        <f>$A$45</f>
        <v xml:space="preserve">  - DIG_SPEED:3:5</v>
      </c>
      <c r="F45" s="22"/>
      <c r="G45" s="22"/>
      <c r="H45" s="22"/>
      <c r="I45" s="22" t="str">
        <f>$A$45</f>
        <v xml:space="preserve">  - DIG_SPEED:3:5</v>
      </c>
      <c r="J45" s="22"/>
      <c r="K45" s="22"/>
      <c r="L45" s="22"/>
      <c r="M45" s="22" t="str">
        <f>$A$45</f>
        <v xml:space="preserve">  - DIG_SPEED:3:5</v>
      </c>
      <c r="N45" s="22"/>
      <c r="O45" s="22"/>
      <c r="P45" s="22"/>
      <c r="Q45" s="22" t="str">
        <f>$A$45</f>
        <v xml:space="preserve">  - DIG_SPEED:3:5</v>
      </c>
      <c r="R45" s="22"/>
      <c r="S45" s="22"/>
      <c r="T45" s="22"/>
    </row>
    <row r="46" spans="1:20" x14ac:dyDescent="0.25">
      <c r="A46" s="22" t="str">
        <f>$A$23</f>
        <v xml:space="preserve">  - DURABILITY:3:5</v>
      </c>
      <c r="B46" s="22"/>
      <c r="C46" s="22"/>
      <c r="D46" s="22"/>
      <c r="E46" s="22" t="str">
        <f>$A$46</f>
        <v xml:space="preserve">  - DURABILITY:3:5</v>
      </c>
      <c r="F46" s="22"/>
      <c r="G46" s="22"/>
      <c r="H46" s="22"/>
      <c r="I46" s="22" t="str">
        <f>$A$46</f>
        <v xml:space="preserve">  - DURABILITY:3:5</v>
      </c>
      <c r="J46" s="22"/>
      <c r="K46" s="22"/>
      <c r="L46" s="22"/>
      <c r="M46" s="22" t="str">
        <f>$A$46</f>
        <v xml:space="preserve">  - DURABILITY:3:5</v>
      </c>
      <c r="N46" s="22"/>
      <c r="O46" s="22"/>
      <c r="P46" s="22"/>
      <c r="Q46" s="22" t="str">
        <f>$A$46</f>
        <v xml:space="preserve">  - DURABILITY:3:5</v>
      </c>
      <c r="R46" s="22"/>
      <c r="S46" s="22"/>
      <c r="T46" s="22"/>
    </row>
    <row r="47" spans="1:20" x14ac:dyDescent="0.25">
      <c r="A47" s="22" t="str">
        <f>$A$24</f>
        <v xml:space="preserve">  - FIRE_ASPECT:3:5</v>
      </c>
      <c r="B47" s="22"/>
      <c r="C47" s="22"/>
      <c r="D47" s="22"/>
      <c r="E47" s="22" t="str">
        <f>$A$47</f>
        <v xml:space="preserve">  - FIRE_ASPECT:3:5</v>
      </c>
      <c r="F47" s="22"/>
      <c r="G47" s="22"/>
      <c r="H47" s="22"/>
      <c r="I47" s="22" t="str">
        <f>$A$47</f>
        <v xml:space="preserve">  - FIRE_ASPECT:3:5</v>
      </c>
      <c r="J47" s="22"/>
      <c r="K47" s="22"/>
      <c r="L47" s="22"/>
      <c r="M47" s="22" t="str">
        <f>$A$47</f>
        <v xml:space="preserve">  - FIRE_ASPECT:3:5</v>
      </c>
      <c r="N47" s="22"/>
      <c r="O47" s="22"/>
      <c r="P47" s="22"/>
      <c r="Q47" s="22" t="str">
        <f>$A$47</f>
        <v xml:space="preserve">  - FIRE_ASPECT:3:5</v>
      </c>
      <c r="R47" s="22"/>
      <c r="S47" s="22"/>
      <c r="T47" s="22"/>
    </row>
    <row r="48" spans="1:20" x14ac:dyDescent="0.25">
      <c r="A48" s="22" t="str">
        <f>$A$25</f>
        <v xml:space="preserve">  - KNOCKBACK:3:5</v>
      </c>
      <c r="B48" s="22"/>
      <c r="C48" s="22"/>
      <c r="D48" s="22"/>
      <c r="E48" s="22" t="str">
        <f>$A$48</f>
        <v xml:space="preserve">  - KNOCKBACK:3:5</v>
      </c>
      <c r="F48" s="22"/>
      <c r="G48" s="22"/>
      <c r="H48" s="22"/>
      <c r="I48" s="22" t="str">
        <f>$A$48</f>
        <v xml:space="preserve">  - KNOCKBACK:3:5</v>
      </c>
      <c r="J48" s="22"/>
      <c r="K48" s="22"/>
      <c r="L48" s="22"/>
      <c r="M48" s="22" t="str">
        <f>$A$48</f>
        <v xml:space="preserve">  - KNOCKBACK:3:5</v>
      </c>
      <c r="N48" s="22"/>
      <c r="O48" s="22"/>
      <c r="P48" s="22"/>
      <c r="Q48" s="22" t="str">
        <f>$A$48</f>
        <v xml:space="preserve">  - KNOCKBACK:3:5</v>
      </c>
      <c r="R48" s="22"/>
      <c r="S48" s="22"/>
      <c r="T48" s="22"/>
    </row>
    <row r="49" spans="1:20" x14ac:dyDescent="0.25">
      <c r="A49" s="22" t="str">
        <f>$A$26</f>
        <v xml:space="preserve">  - LOOT_BONUS_BLOCKS:3:5</v>
      </c>
      <c r="B49" s="22"/>
      <c r="C49" s="22"/>
      <c r="D49" s="22"/>
      <c r="E49" s="22" t="str">
        <f>$A$49</f>
        <v xml:space="preserve">  - LOOT_BONUS_BLOCKS:3:5</v>
      </c>
      <c r="F49" s="22"/>
      <c r="G49" s="22"/>
      <c r="H49" s="22"/>
      <c r="I49" s="22" t="str">
        <f>$A$49</f>
        <v xml:space="preserve">  - LOOT_BONUS_BLOCKS:3:5</v>
      </c>
      <c r="J49" s="22"/>
      <c r="K49" s="22"/>
      <c r="L49" s="22"/>
      <c r="M49" s="22" t="str">
        <f>$A$49</f>
        <v xml:space="preserve">  - LOOT_BONUS_BLOCKS:3:5</v>
      </c>
      <c r="N49" s="22"/>
      <c r="O49" s="22"/>
      <c r="P49" s="22"/>
      <c r="Q49" s="22" t="str">
        <f>$A$49</f>
        <v xml:space="preserve">  - LOOT_BONUS_BLOCKS:3:5</v>
      </c>
      <c r="R49" s="22"/>
      <c r="S49" s="22"/>
      <c r="T49" s="22"/>
    </row>
    <row r="50" spans="1:20" x14ac:dyDescent="0.25">
      <c r="A50" s="22" t="str">
        <f>$A$27</f>
        <v xml:space="preserve">  - LOOT_BONUS_MOBS:3:5</v>
      </c>
      <c r="B50" s="22"/>
      <c r="C50" s="22"/>
      <c r="D50" s="22"/>
      <c r="E50" s="22" t="str">
        <f>$A$50</f>
        <v xml:space="preserve">  - LOOT_BONUS_MOBS:3:5</v>
      </c>
      <c r="F50" s="22"/>
      <c r="G50" s="22"/>
      <c r="H50" s="22"/>
      <c r="I50" s="22" t="str">
        <f>$A$50</f>
        <v xml:space="preserve">  - LOOT_BONUS_MOBS:3:5</v>
      </c>
      <c r="J50" s="22"/>
      <c r="K50" s="22"/>
      <c r="L50" s="22"/>
      <c r="M50" s="22" t="str">
        <f>$A$50</f>
        <v xml:space="preserve">  - LOOT_BONUS_MOBS:3:5</v>
      </c>
      <c r="N50" s="22"/>
      <c r="O50" s="22"/>
      <c r="P50" s="22"/>
      <c r="Q50" s="22" t="str">
        <f>$A$50</f>
        <v xml:space="preserve">  - LOOT_BONUS_MOBS:3:5</v>
      </c>
      <c r="R50" s="22"/>
      <c r="S50" s="22"/>
      <c r="T50" s="22"/>
    </row>
    <row r="51" spans="1:20" x14ac:dyDescent="0.25">
      <c r="A51" s="22" t="str">
        <f>$A$28</f>
        <v xml:space="preserve">  - OXYGEN:3:5</v>
      </c>
      <c r="B51" s="22"/>
      <c r="C51" s="22"/>
      <c r="D51" s="22"/>
      <c r="E51" s="22" t="str">
        <f>$A$51</f>
        <v xml:space="preserve">  - OXYGEN:3:5</v>
      </c>
      <c r="F51" s="22"/>
      <c r="G51" s="22"/>
      <c r="H51" s="22"/>
      <c r="I51" s="22" t="str">
        <f>$A$51</f>
        <v xml:space="preserve">  - OXYGEN:3:5</v>
      </c>
      <c r="J51" s="22"/>
      <c r="K51" s="22"/>
      <c r="L51" s="22"/>
      <c r="M51" s="22" t="str">
        <f>$A$51</f>
        <v xml:space="preserve">  - OXYGEN:3:5</v>
      </c>
      <c r="N51" s="22"/>
      <c r="O51" s="22"/>
      <c r="P51" s="22"/>
      <c r="Q51" s="22" t="str">
        <f>$A$51</f>
        <v xml:space="preserve">  - OXYGEN:3:5</v>
      </c>
      <c r="R51" s="22"/>
      <c r="S51" s="22"/>
      <c r="T51" s="22"/>
    </row>
    <row r="52" spans="1:20" x14ac:dyDescent="0.25">
      <c r="A52" s="22" t="str">
        <f>$A$29</f>
        <v xml:space="preserve">  - PROTECTION_ENVIRONMENT:3:5</v>
      </c>
      <c r="B52" s="22"/>
      <c r="C52" s="22"/>
      <c r="D52" s="22"/>
      <c r="E52" s="22" t="str">
        <f>$A$52</f>
        <v xml:space="preserve">  - PROTECTION_ENVIRONMENT:3:5</v>
      </c>
      <c r="F52" s="22"/>
      <c r="G52" s="22"/>
      <c r="H52" s="22"/>
      <c r="I52" s="22" t="str">
        <f>$A$52</f>
        <v xml:space="preserve">  - PROTECTION_ENVIRONMENT:3:5</v>
      </c>
      <c r="J52" s="22"/>
      <c r="K52" s="22"/>
      <c r="L52" s="22"/>
      <c r="M52" s="22" t="str">
        <f>$A$52</f>
        <v xml:space="preserve">  - PROTECTION_ENVIRONMENT:3:5</v>
      </c>
      <c r="N52" s="22"/>
      <c r="O52" s="22"/>
      <c r="P52" s="22"/>
      <c r="Q52" s="22" t="str">
        <f>$A$52</f>
        <v xml:space="preserve">  - PROTECTION_ENVIRONMENT:3:5</v>
      </c>
      <c r="R52" s="22"/>
      <c r="S52" s="22"/>
      <c r="T52" s="22"/>
    </row>
    <row r="53" spans="1:20" x14ac:dyDescent="0.25">
      <c r="A53" s="22" t="str">
        <f>$A$30</f>
        <v xml:space="preserve">  - PROTECTION_EXPLOSIONS:3:5</v>
      </c>
      <c r="B53" s="22"/>
      <c r="C53" s="22"/>
      <c r="D53" s="22"/>
      <c r="E53" s="22" t="str">
        <f>$A$53</f>
        <v xml:space="preserve">  - PROTECTION_EXPLOSIONS:3:5</v>
      </c>
      <c r="F53" s="22"/>
      <c r="G53" s="22"/>
      <c r="H53" s="22"/>
      <c r="I53" s="22" t="str">
        <f>$A$53</f>
        <v xml:space="preserve">  - PROTECTION_EXPLOSIONS:3:5</v>
      </c>
      <c r="J53" s="22"/>
      <c r="K53" s="22"/>
      <c r="L53" s="22"/>
      <c r="M53" s="22" t="str">
        <f>$A$53</f>
        <v xml:space="preserve">  - PROTECTION_EXPLOSIONS:3:5</v>
      </c>
      <c r="N53" s="22"/>
      <c r="O53" s="22"/>
      <c r="P53" s="22"/>
      <c r="Q53" s="22" t="str">
        <f>$A$53</f>
        <v xml:space="preserve">  - PROTECTION_EXPLOSIONS:3:5</v>
      </c>
      <c r="R53" s="22"/>
      <c r="S53" s="22"/>
      <c r="T53" s="22"/>
    </row>
    <row r="54" spans="1:20" x14ac:dyDescent="0.25">
      <c r="A54" s="22" t="str">
        <f>$A$31</f>
        <v xml:space="preserve">  - PROTECTION_FALL:3:5</v>
      </c>
      <c r="B54" s="22"/>
      <c r="C54" s="22"/>
      <c r="D54" s="22"/>
      <c r="E54" s="22" t="str">
        <f>$A$54</f>
        <v xml:space="preserve">  - PROTECTION_FALL:3:5</v>
      </c>
      <c r="F54" s="22"/>
      <c r="G54" s="22"/>
      <c r="H54" s="22"/>
      <c r="I54" s="22" t="str">
        <f>$A$54</f>
        <v xml:space="preserve">  - PROTECTION_FALL:3:5</v>
      </c>
      <c r="J54" s="22"/>
      <c r="K54" s="22"/>
      <c r="L54" s="22"/>
      <c r="M54" s="22" t="str">
        <f>$A$54</f>
        <v xml:space="preserve">  - PROTECTION_FALL:3:5</v>
      </c>
      <c r="N54" s="22"/>
      <c r="O54" s="22"/>
      <c r="P54" s="22"/>
      <c r="Q54" s="22" t="str">
        <f>$A$54</f>
        <v xml:space="preserve">  - PROTECTION_FALL:3:5</v>
      </c>
      <c r="R54" s="22"/>
      <c r="S54" s="22"/>
      <c r="T54" s="22"/>
    </row>
    <row r="55" spans="1:20" x14ac:dyDescent="0.25">
      <c r="A55" s="22" t="str">
        <f>$A$32</f>
        <v xml:space="preserve">  - PROTECTION_FIRE:3:5</v>
      </c>
      <c r="B55" s="22"/>
      <c r="C55" s="22"/>
      <c r="D55" s="22"/>
      <c r="E55" s="22" t="str">
        <f>$A$55</f>
        <v xml:space="preserve">  - PROTECTION_FIRE:3:5</v>
      </c>
      <c r="F55" s="22"/>
      <c r="G55" s="22"/>
      <c r="H55" s="22"/>
      <c r="I55" s="22" t="str">
        <f>$A$55</f>
        <v xml:space="preserve">  - PROTECTION_FIRE:3:5</v>
      </c>
      <c r="J55" s="22"/>
      <c r="K55" s="22"/>
      <c r="L55" s="22"/>
      <c r="M55" s="22" t="str">
        <f>$A$55</f>
        <v xml:space="preserve">  - PROTECTION_FIRE:3:5</v>
      </c>
      <c r="N55" s="22"/>
      <c r="O55" s="22"/>
      <c r="P55" s="22"/>
      <c r="Q55" s="22" t="str">
        <f>$A$55</f>
        <v xml:space="preserve">  - PROTECTION_FIRE:3:5</v>
      </c>
      <c r="R55" s="22"/>
      <c r="S55" s="22"/>
      <c r="T55" s="22"/>
    </row>
    <row r="56" spans="1:20" x14ac:dyDescent="0.25">
      <c r="A56" s="22" t="str">
        <f>$A$33</f>
        <v xml:space="preserve">  - PROTECTION_PROJECTILE:3:5</v>
      </c>
      <c r="B56" s="22"/>
      <c r="C56" s="22"/>
      <c r="D56" s="22"/>
      <c r="E56" s="22" t="str">
        <f>$A$56</f>
        <v xml:space="preserve">  - PROTECTION_PROJECTILE:3:5</v>
      </c>
      <c r="F56" s="22"/>
      <c r="G56" s="22"/>
      <c r="H56" s="22"/>
      <c r="I56" s="22" t="str">
        <f>$A$56</f>
        <v xml:space="preserve">  - PROTECTION_PROJECTILE:3:5</v>
      </c>
      <c r="J56" s="22"/>
      <c r="K56" s="22"/>
      <c r="L56" s="22"/>
      <c r="M56" s="22" t="str">
        <f>$A$56</f>
        <v xml:space="preserve">  - PROTECTION_PROJECTILE:3:5</v>
      </c>
      <c r="N56" s="22"/>
      <c r="O56" s="22"/>
      <c r="P56" s="22"/>
      <c r="Q56" s="22" t="str">
        <f>$A$56</f>
        <v xml:space="preserve">  - PROTECTION_PROJECTILE:3:5</v>
      </c>
      <c r="R56" s="22"/>
      <c r="S56" s="22"/>
      <c r="T56" s="22"/>
    </row>
    <row r="57" spans="1:20" x14ac:dyDescent="0.25">
      <c r="A57" s="22" t="str">
        <f>$A$34</f>
        <v xml:space="preserve">  - SILK_TOUCH:3:5</v>
      </c>
      <c r="B57" s="22"/>
      <c r="C57" s="22"/>
      <c r="D57" s="22"/>
      <c r="E57" s="22" t="str">
        <f>$A$57</f>
        <v xml:space="preserve">  - SILK_TOUCH:3:5</v>
      </c>
      <c r="F57" s="22"/>
      <c r="G57" s="22"/>
      <c r="H57" s="22"/>
      <c r="I57" s="22" t="str">
        <f>$A$57</f>
        <v xml:space="preserve">  - SILK_TOUCH:3:5</v>
      </c>
      <c r="J57" s="22"/>
      <c r="K57" s="22"/>
      <c r="L57" s="22"/>
      <c r="M57" s="22" t="str">
        <f>$A$57</f>
        <v xml:space="preserve">  - SILK_TOUCH:3:5</v>
      </c>
      <c r="N57" s="22"/>
      <c r="O57" s="22"/>
      <c r="P57" s="22"/>
      <c r="Q57" s="22" t="str">
        <f>$A$57</f>
        <v xml:space="preserve">  - SILK_TOUCH:3:5</v>
      </c>
      <c r="R57" s="22"/>
      <c r="S57" s="22"/>
      <c r="T57" s="22"/>
    </row>
    <row r="58" spans="1:20" x14ac:dyDescent="0.25">
      <c r="A58" s="22" t="str">
        <f>$A$35</f>
        <v xml:space="preserve">  - THORNS:3:5</v>
      </c>
      <c r="B58" s="22"/>
      <c r="C58" s="22"/>
      <c r="D58" s="22"/>
      <c r="E58" s="22" t="str">
        <f>$A$58</f>
        <v xml:space="preserve">  - THORNS:3:5</v>
      </c>
      <c r="F58" s="22"/>
      <c r="G58" s="22"/>
      <c r="H58" s="22"/>
      <c r="I58" s="22" t="str">
        <f>$A$58</f>
        <v xml:space="preserve">  - THORNS:3:5</v>
      </c>
      <c r="J58" s="22"/>
      <c r="K58" s="22"/>
      <c r="L58" s="22"/>
      <c r="M58" s="22" t="str">
        <f>$A$58</f>
        <v xml:space="preserve">  - THORNS:3:5</v>
      </c>
      <c r="N58" s="22"/>
      <c r="O58" s="22"/>
      <c r="P58" s="22"/>
      <c r="Q58" s="22" t="str">
        <f>$A$58</f>
        <v xml:space="preserve">  - THORNS:3:5</v>
      </c>
      <c r="R58" s="22"/>
      <c r="S58" s="22"/>
      <c r="T58" s="22"/>
    </row>
    <row r="59" spans="1:20" x14ac:dyDescent="0.25">
      <c r="A59" s="22" t="str">
        <f>$A$36</f>
        <v xml:space="preserve">  - WATER_WORKER:3:5</v>
      </c>
      <c r="B59" s="22"/>
      <c r="C59" s="22"/>
      <c r="D59" s="22"/>
      <c r="E59" s="22" t="str">
        <f>$A$59</f>
        <v xml:space="preserve">  - WATER_WORKER:3:5</v>
      </c>
      <c r="F59" s="22"/>
      <c r="G59" s="22"/>
      <c r="H59" s="22"/>
      <c r="I59" s="22" t="str">
        <f>$A$59</f>
        <v xml:space="preserve">  - WATER_WORKER:3:5</v>
      </c>
      <c r="J59" s="22"/>
      <c r="K59" s="22"/>
      <c r="L59" s="22"/>
      <c r="M59" s="22" t="str">
        <f>$A$59</f>
        <v xml:space="preserve">  - WATER_WORKER:3:5</v>
      </c>
      <c r="N59" s="22"/>
      <c r="O59" s="22"/>
      <c r="P59" s="22"/>
      <c r="Q59" s="22" t="str">
        <f>$A$59</f>
        <v xml:space="preserve">  - WATER_WORKER:3:5</v>
      </c>
      <c r="R59" s="22"/>
      <c r="S59" s="22"/>
      <c r="T59" s="22"/>
    </row>
    <row r="60" spans="1:20" x14ac:dyDescent="0.25">
      <c r="A60" s="9" t="s">
        <v>28</v>
      </c>
      <c r="B60" s="9"/>
      <c r="C60" s="9"/>
      <c r="D60" s="9"/>
      <c r="E60" s="9" t="s">
        <v>28</v>
      </c>
      <c r="F60" s="9"/>
      <c r="G60" s="9"/>
      <c r="H60" s="9"/>
      <c r="I60" s="9" t="s">
        <v>28</v>
      </c>
      <c r="J60" s="9"/>
      <c r="K60" s="9"/>
      <c r="L60" s="9"/>
      <c r="M60" s="9" t="s">
        <v>28</v>
      </c>
      <c r="N60" s="9"/>
      <c r="O60" s="9"/>
      <c r="P60" s="9"/>
      <c r="Q60" s="9" t="s">
        <v>28</v>
      </c>
      <c r="R60" s="9"/>
      <c r="S60" s="9"/>
      <c r="T60" s="9"/>
    </row>
    <row r="61" spans="1:20" x14ac:dyDescent="0.25">
      <c r="A61" s="11" t="str">
        <f>'armas legendario'!$A$61</f>
        <v xml:space="preserve">  minimumBonusLore: 2</v>
      </c>
      <c r="B61" s="11"/>
      <c r="C61" s="11"/>
      <c r="D61" s="11"/>
      <c r="E61" s="11" t="str">
        <f>$A$61</f>
        <v xml:space="preserve">  minimumBonusLore: 2</v>
      </c>
      <c r="F61" s="11"/>
      <c r="G61" s="11"/>
      <c r="H61" s="11"/>
      <c r="I61" s="11" t="str">
        <f t="shared" ref="I61" si="12">$A$61</f>
        <v xml:space="preserve">  minimumBonusLore: 2</v>
      </c>
      <c r="J61" s="11"/>
      <c r="K61" s="11"/>
      <c r="L61" s="11"/>
      <c r="M61" s="11" t="str">
        <f t="shared" ref="M61" si="13">$A$61</f>
        <v xml:space="preserve">  minimumBonusLore: 2</v>
      </c>
      <c r="N61" s="11"/>
      <c r="O61" s="11"/>
      <c r="P61" s="11"/>
      <c r="Q61" s="11" t="str">
        <f t="shared" ref="Q61" si="14">$A$61</f>
        <v xml:space="preserve">  minimumBonusLore: 2</v>
      </c>
      <c r="R61" s="11"/>
      <c r="S61" s="11"/>
      <c r="T61" s="11"/>
    </row>
    <row r="62" spans="1:20" x14ac:dyDescent="0.25">
      <c r="A62" s="11" t="str">
        <f>'armas legendario'!$A$62</f>
        <v xml:space="preserve">  maximumBonusLore: 3</v>
      </c>
      <c r="B62" s="11"/>
      <c r="C62" s="11"/>
      <c r="D62" s="11"/>
      <c r="E62" s="11" t="str">
        <f>$A$62</f>
        <v xml:space="preserve">  maximumBonusLore: 3</v>
      </c>
      <c r="F62" s="11"/>
      <c r="G62" s="11"/>
      <c r="H62" s="11"/>
      <c r="I62" s="11" t="str">
        <f t="shared" ref="I62" si="15">$A$62</f>
        <v xml:space="preserve">  maximumBonusLore: 3</v>
      </c>
      <c r="J62" s="11"/>
      <c r="K62" s="11"/>
      <c r="L62" s="11"/>
      <c r="M62" s="11" t="str">
        <f t="shared" ref="M62" si="16">$A$62</f>
        <v xml:space="preserve">  maximumBonusLore: 3</v>
      </c>
      <c r="N62" s="11"/>
      <c r="O62" s="11"/>
      <c r="P62" s="11"/>
      <c r="Q62" s="11" t="str">
        <f t="shared" ref="Q62" si="17">$A$62</f>
        <v xml:space="preserve">  maximumBonusLore: 3</v>
      </c>
      <c r="R62" s="11"/>
      <c r="S62" s="11"/>
      <c r="T62" s="11"/>
    </row>
    <row r="63" spans="1:20" x14ac:dyDescent="0.25">
      <c r="A63" s="9" t="s">
        <v>29</v>
      </c>
      <c r="B63" s="9"/>
      <c r="C63" s="9"/>
      <c r="D63" s="9"/>
      <c r="E63" s="9" t="s">
        <v>29</v>
      </c>
      <c r="F63" s="9"/>
      <c r="G63" s="9"/>
      <c r="H63" s="9"/>
      <c r="I63" s="9" t="s">
        <v>29</v>
      </c>
      <c r="J63" s="9"/>
      <c r="K63" s="9"/>
      <c r="L63" s="9"/>
      <c r="M63" s="9" t="s">
        <v>29</v>
      </c>
      <c r="N63" s="9"/>
      <c r="O63" s="9"/>
      <c r="P63" s="9"/>
      <c r="Q63" s="9" t="s">
        <v>29</v>
      </c>
      <c r="R63" s="9"/>
      <c r="S63" s="9"/>
      <c r="T63" s="9"/>
    </row>
    <row r="64" spans="1:20" x14ac:dyDescent="0.25">
      <c r="A64" s="20" t="str">
        <f>"  - '&amp;aVenta: &amp;6"&amp;(MAIN!$F$5+(MAIN!$F$18+MAIN!$F$19)/2*MAIN!$B$9+(MAIN!$F$20+MAIN!$F$21)/2*MAIN!$B$8+(MAIN!$F$91*MAIN!$B$11)+($C$2*MAIN!$B$10))/10&amp;" &amp;aAlmakos'"</f>
        <v xml:space="preserve">  - '&amp;aVenta: &amp;6630 &amp;aAlmakos'</v>
      </c>
      <c r="B64" s="20"/>
      <c r="C64" s="20"/>
      <c r="D64" s="20"/>
      <c r="E64" s="20" t="str">
        <f>"  - '&amp;aVenta: &amp;6"&amp;(MAIN!$G$5+(MAIN!$F$18+MAIN!$F$19)/2*MAIN!$B$9+(MAIN!$F$20+MAIN!$F$21)/2*MAIN!$B$8+(MAIN!$F$91*MAIN!$B$11)+($C$2*MAIN!$B$10))/10&amp;" &amp;aAlmakos'"</f>
        <v xml:space="preserve">  - '&amp;aVenta: &amp;6710 &amp;aAlmakos'</v>
      </c>
      <c r="F64" s="20"/>
      <c r="G64" s="20"/>
      <c r="H64" s="20"/>
      <c r="I64" s="20" t="str">
        <f>"  - '&amp;aVenta: &amp;6"&amp;(MAIN!$H$5+(MAIN!$F$18+MAIN!$F$19)/2*MAIN!$B$9+(MAIN!$F$20+MAIN!$F$21)/2*MAIN!$B$8+(MAIN!$F$91*MAIN!$B$11)+($C$2*MAIN!$B$10))/10&amp;" &amp;aAlmakos'"</f>
        <v xml:space="preserve">  - '&amp;aVenta: &amp;6870 &amp;aAlmakos'</v>
      </c>
      <c r="J64" s="20"/>
      <c r="K64" s="20"/>
      <c r="L64" s="20"/>
      <c r="M64" s="20" t="str">
        <f>"  - '&amp;aVenta: &amp;6"&amp;(MAIN!$I$5+(MAIN!$F$18+MAIN!$F$19)/2*MAIN!$B$9+(MAIN!$F$20+MAIN!$F$21)/2*MAIN!$B$8+(MAIN!$F$91*MAIN!$B$11)+($C$2*MAIN!$B$10))/10&amp;" &amp;aAlmakos'"</f>
        <v xml:space="preserve">  - '&amp;aVenta: &amp;61190 &amp;aAlmakos'</v>
      </c>
      <c r="N64" s="20"/>
      <c r="O64" s="20"/>
      <c r="P64" s="20"/>
      <c r="Q64" s="20" t="str">
        <f>"  - '&amp;aVenta: &amp;6"&amp;(MAIN!$J$5+(MAIN!$F$18+MAIN!$F$19)/2*MAIN!$B$9+(MAIN!$F$20+MAIN!$F$21)/2*MAIN!$B$8+(MAIN!$F$91*MAIN!$B$11)+($C$2*MAIN!$B$10))/10&amp;" &amp;aAlmakos'"</f>
        <v xml:space="preserve">  - '&amp;aVenta: &amp;61830 &amp;aAlmakos'</v>
      </c>
      <c r="R64" s="20"/>
      <c r="S64" s="20"/>
      <c r="T64" s="20"/>
    </row>
    <row r="65" spans="1:20" x14ac:dyDescent="0.25">
      <c r="A65" s="9" t="s">
        <v>30</v>
      </c>
      <c r="B65" s="9"/>
      <c r="C65" s="9"/>
      <c r="D65" s="9"/>
      <c r="E65" s="9" t="s">
        <v>30</v>
      </c>
      <c r="F65" s="9"/>
      <c r="G65" s="9"/>
      <c r="H65" s="9"/>
      <c r="I65" s="9" t="s">
        <v>30</v>
      </c>
      <c r="J65" s="9"/>
      <c r="K65" s="9"/>
      <c r="L65" s="9"/>
      <c r="M65" s="9" t="s">
        <v>30</v>
      </c>
      <c r="N65" s="9"/>
      <c r="O65" s="9"/>
      <c r="P65" s="9"/>
      <c r="Q65" s="9" t="s">
        <v>30</v>
      </c>
      <c r="R65" s="9"/>
      <c r="S65" s="9"/>
      <c r="T65" s="9"/>
    </row>
    <row r="66" spans="1:20" x14ac:dyDescent="0.25">
      <c r="A66" s="9" t="s">
        <v>31</v>
      </c>
      <c r="B66" s="9"/>
      <c r="C66" s="9"/>
      <c r="D66" s="9"/>
      <c r="E66" s="9" t="s">
        <v>31</v>
      </c>
      <c r="F66" s="9"/>
      <c r="G66" s="9"/>
      <c r="H66" s="9"/>
      <c r="I66" s="9" t="s">
        <v>31</v>
      </c>
      <c r="J66" s="9"/>
      <c r="K66" s="9"/>
      <c r="L66" s="9"/>
      <c r="M66" s="9" t="s">
        <v>31</v>
      </c>
      <c r="N66" s="9"/>
      <c r="O66" s="9"/>
      <c r="P66" s="9"/>
      <c r="Q66" s="9" t="s">
        <v>31</v>
      </c>
      <c r="R66" s="9"/>
      <c r="S66" s="9"/>
      <c r="T66" s="9"/>
    </row>
    <row r="67" spans="1:20" s="262" customFormat="1" x14ac:dyDescent="0.25">
      <c r="A67" s="9" t="s">
        <v>1032</v>
      </c>
      <c r="B67" s="9"/>
      <c r="C67" s="9"/>
      <c r="D67" s="9"/>
      <c r="E67" s="9" t="s">
        <v>1032</v>
      </c>
      <c r="F67" s="9"/>
      <c r="G67" s="9"/>
      <c r="H67" s="9"/>
      <c r="I67" s="9" t="s">
        <v>1032</v>
      </c>
      <c r="J67" s="9"/>
      <c r="K67" s="9"/>
      <c r="L67" s="9"/>
      <c r="M67" s="9" t="s">
        <v>1032</v>
      </c>
      <c r="N67" s="9"/>
      <c r="O67" s="9"/>
      <c r="P67" s="9"/>
      <c r="Q67" s="9" t="s">
        <v>1032</v>
      </c>
      <c r="R67" s="9"/>
      <c r="S67" s="9"/>
      <c r="T67" s="9"/>
    </row>
    <row r="68" spans="1:20" x14ac:dyDescent="0.25">
      <c r="A68" s="10" t="str">
        <f>"  - '&amp;7• &amp;8Nivel: &amp;a"&amp;MAIN!$C$93+($C$2*MAIN!$I$27)&amp;"'"</f>
        <v xml:space="preserve">  - '&amp;7• &amp;8Nivel: &amp;a42'</v>
      </c>
      <c r="B68" s="10"/>
      <c r="C68" s="10"/>
      <c r="D68" s="10"/>
      <c r="E68" s="10" t="str">
        <f>"  - '&amp;7• &amp;8Nivel: &amp;a"&amp;MAIN!$D$93+($C$2*MAIN!$I$27)&amp;"'"</f>
        <v xml:space="preserve">  - '&amp;7• &amp;8Nivel: &amp;a56'</v>
      </c>
      <c r="F68" s="10"/>
      <c r="G68" s="10"/>
      <c r="H68" s="10"/>
      <c r="I68" s="10" t="str">
        <f>"  - '&amp;7• &amp;8Nivel: &amp;a"&amp;MAIN!$E$93+($C$2*MAIN!$I$27)&amp;"'"</f>
        <v xml:space="preserve">  - '&amp;7• &amp;8Nivel: &amp;a99'</v>
      </c>
      <c r="J68" s="10"/>
      <c r="K68" s="10"/>
      <c r="L68" s="10"/>
      <c r="M68" s="10" t="str">
        <f>"  - '&amp;7• &amp;8Nivel: &amp;a"&amp;MAIN!$F$93+($C$2*MAIN!$I$27)&amp;"'"</f>
        <v xml:space="preserve">  - '&amp;7• &amp;8Nivel: &amp;a227'</v>
      </c>
      <c r="N68" s="10"/>
      <c r="O68" s="10"/>
      <c r="P68" s="10"/>
      <c r="Q68" s="10" t="str">
        <f>"  - '&amp;7• &amp;8Nivel: &amp;a"&amp;MAIN!$G$93+($C$2*MAIN!$I$27)&amp;"'"</f>
        <v xml:space="preserve">  - '&amp;7• &amp;8Nivel: &amp;a419'</v>
      </c>
      <c r="R68" s="10"/>
      <c r="S68" s="10"/>
      <c r="T68" s="10"/>
    </row>
    <row r="69" spans="1:20" x14ac:dyDescent="0.25">
      <c r="A69" s="12" t="str">
        <f>"  - '&amp;7• &amp;8"&amp;MAIN!$C$12&amp;" lvl: &amp;a"&amp;ROUNDUP((MAIN!$C$93+($C$2*MAIN!$I$27))/3,0)&amp;"'"</f>
        <v xml:space="preserve">  - '&amp;7• &amp;8Esencia lvl: &amp;a14'</v>
      </c>
      <c r="B69" s="12"/>
      <c r="C69" s="12"/>
      <c r="D69" s="12"/>
      <c r="E69" s="12" t="str">
        <f>"  - '&amp;7• &amp;8"&amp;MAIN!$C$12&amp;" lvl: &amp;a"&amp;ROUNDUP((MAIN!$D$93+($C$2*MAIN!$I$27))/3,0)&amp;"'"</f>
        <v xml:space="preserve">  - '&amp;7• &amp;8Esencia lvl: &amp;a19'</v>
      </c>
      <c r="F69" s="12"/>
      <c r="G69" s="12"/>
      <c r="H69" s="12"/>
      <c r="I69" s="12" t="str">
        <f>"  - '&amp;7• &amp;8"&amp;MAIN!$C$12&amp;" lvl: &amp;a"&amp;ROUNDUP((MAIN!$E$93+($C$2*MAIN!$I$27))/3,0)&amp;"'"</f>
        <v xml:space="preserve">  - '&amp;7• &amp;8Esencia lvl: &amp;a33'</v>
      </c>
      <c r="J69" s="12"/>
      <c r="K69" s="12"/>
      <c r="L69" s="12"/>
      <c r="M69" s="12" t="str">
        <f>"  - '&amp;7• &amp;8"&amp;MAIN!$C$12&amp;" lvl: &amp;a"&amp;ROUNDUP((MAIN!$F$93+($C$2*MAIN!$I$27))/3,0)&amp;"'"</f>
        <v xml:space="preserve">  - '&amp;7• &amp;8Esencia lvl: &amp;a76'</v>
      </c>
      <c r="N69" s="12"/>
      <c r="O69" s="12"/>
      <c r="P69" s="12"/>
      <c r="Q69" s="12" t="str">
        <f>"  - '&amp;7• &amp;8"&amp;MAIN!$C$12&amp;" lvl: &amp;a"&amp;ROUNDUP((MAIN!$G$93+($C$2*MAIN!$I$27))/3,0)&amp;"'"</f>
        <v xml:space="preserve">  - '&amp;7• &amp;8Esencia lvl: &amp;a140'</v>
      </c>
      <c r="R69" s="12"/>
      <c r="S69" s="12"/>
      <c r="T69" s="12"/>
    </row>
    <row r="70" spans="1:20" x14ac:dyDescent="0.25">
      <c r="A70" s="9" t="s">
        <v>32</v>
      </c>
      <c r="B70" s="9"/>
      <c r="C70" s="9"/>
      <c r="D70" s="9"/>
      <c r="E70" s="9" t="s">
        <v>32</v>
      </c>
      <c r="F70" s="9"/>
      <c r="G70" s="9"/>
      <c r="H70" s="9"/>
      <c r="I70" s="9" t="s">
        <v>32</v>
      </c>
      <c r="J70" s="9"/>
      <c r="K70" s="9"/>
      <c r="L70" s="9"/>
      <c r="M70" s="9" t="s">
        <v>32</v>
      </c>
      <c r="N70" s="9"/>
      <c r="O70" s="9"/>
      <c r="P70" s="9"/>
      <c r="Q70" s="9" t="s">
        <v>32</v>
      </c>
      <c r="R70" s="9"/>
      <c r="S70" s="9"/>
      <c r="T70" s="9"/>
    </row>
    <row r="71" spans="1:20" s="291" customFormat="1" x14ac:dyDescent="0.25">
      <c r="A71" s="9" t="s">
        <v>1196</v>
      </c>
      <c r="B71" s="9"/>
      <c r="C71" s="9"/>
      <c r="D71" s="9"/>
      <c r="E71" s="9" t="str">
        <f>A71</f>
        <v xml:space="preserve">  - '%tierlore%'</v>
      </c>
      <c r="F71" s="9"/>
      <c r="G71" s="9"/>
      <c r="H71" s="9"/>
      <c r="I71" s="9" t="str">
        <f>E71</f>
        <v xml:space="preserve">  - '%tierlore%'</v>
      </c>
      <c r="J71" s="9"/>
      <c r="K71" s="9"/>
      <c r="L71" s="9"/>
      <c r="M71" s="9" t="str">
        <f>I71</f>
        <v xml:space="preserve">  - '%tierlore%'</v>
      </c>
      <c r="N71" s="9"/>
      <c r="O71" s="9"/>
      <c r="P71" s="9"/>
      <c r="Q71" s="9" t="str">
        <f>M71</f>
        <v xml:space="preserve">  - '%tierlore%'</v>
      </c>
      <c r="R71" s="9"/>
      <c r="S71" s="9"/>
      <c r="T71" s="9"/>
    </row>
    <row r="72" spans="1:20" x14ac:dyDescent="0.25">
      <c r="A72" s="9" t="s">
        <v>33</v>
      </c>
      <c r="B72" s="9"/>
      <c r="C72" s="9"/>
      <c r="D72" s="9"/>
      <c r="E72" s="9" t="s">
        <v>33</v>
      </c>
      <c r="F72" s="9"/>
      <c r="G72" s="9"/>
      <c r="H72" s="9"/>
      <c r="I72" s="9" t="s">
        <v>33</v>
      </c>
      <c r="J72" s="9"/>
      <c r="K72" s="9"/>
      <c r="L72" s="9"/>
      <c r="M72" s="9" t="s">
        <v>33</v>
      </c>
      <c r="N72" s="9"/>
      <c r="O72" s="9"/>
      <c r="P72" s="9"/>
      <c r="Q72" s="9" t="s">
        <v>33</v>
      </c>
      <c r="R72" s="9"/>
      <c r="S72" s="9"/>
      <c r="T72" s="9"/>
    </row>
    <row r="73" spans="1:20" x14ac:dyDescent="0.25">
      <c r="A73" s="10" t="str">
        <f>"  - '&amp;4• &amp;f"&amp;MAIN!$C$9&amp;": &amp;a"&amp;MAIN!$C$88*$C$2&amp;"'"</f>
        <v xml:space="preserve">  - '&amp;4• &amp;fFuerza: &amp;a28'</v>
      </c>
      <c r="B73" s="10"/>
      <c r="C73" s="10"/>
      <c r="D73" s="10"/>
      <c r="E73" s="10" t="str">
        <f>"  - '&amp;4• &amp;f"&amp;MAIN!$C$9&amp;": &amp;a"&amp;MAIN!$D$88*$C$2&amp;"'"</f>
        <v xml:space="preserve">  - '&amp;4• &amp;fFuerza: &amp;a42'</v>
      </c>
      <c r="F73" s="10"/>
      <c r="G73" s="10"/>
      <c r="H73" s="10"/>
      <c r="I73" s="10" t="str">
        <f>"  - '&amp;4• &amp;f"&amp;MAIN!$C$9&amp;": &amp;a"&amp;MAIN!$E$88*$C$2&amp;"'"</f>
        <v xml:space="preserve">  - '&amp;4• &amp;fFuerza: &amp;a70'</v>
      </c>
      <c r="J73" s="10"/>
      <c r="K73" s="10"/>
      <c r="L73" s="10"/>
      <c r="M73" s="10" t="str">
        <f>"  - '&amp;4• &amp;f"&amp;MAIN!$C$9&amp;": &amp;a"&amp;MAIN!$F$88*$C$2&amp;"'"</f>
        <v xml:space="preserve">  - '&amp;4• &amp;fFuerza: &amp;a119'</v>
      </c>
      <c r="N73" s="10"/>
      <c r="O73" s="10"/>
      <c r="P73" s="10"/>
      <c r="Q73" s="10" t="str">
        <f>"  - '&amp;4• &amp;f"&amp;MAIN!$C$9&amp;": &amp;a"&amp;MAIN!$G$88*$C$2&amp;"'"</f>
        <v xml:space="preserve">  - '&amp;4• &amp;fFuerza: &amp;a196'</v>
      </c>
      <c r="R73" s="10"/>
      <c r="S73" s="10"/>
      <c r="T73" s="10"/>
    </row>
    <row r="74" spans="1:20" x14ac:dyDescent="0.25">
      <c r="A74" s="10" t="str">
        <f>"  - '&amp;4• &amp;f"&amp;MAIN!$C$8&amp;": &amp;a"&amp;MAIN!$C$88*$C$2&amp;"'"</f>
        <v xml:space="preserve">  - '&amp;4• &amp;fVitalidad: &amp;a28'</v>
      </c>
      <c r="B74" s="10"/>
      <c r="C74" s="10"/>
      <c r="D74" s="10"/>
      <c r="E74" s="10" t="str">
        <f>"  - '&amp;4• &amp;f"&amp;MAIN!$C$8&amp;": &amp;a"&amp;MAIN!$D$88*$C$2&amp;"'"</f>
        <v xml:space="preserve">  - '&amp;4• &amp;fVitalidad: &amp;a42'</v>
      </c>
      <c r="F74" s="10"/>
      <c r="G74" s="10"/>
      <c r="H74" s="10"/>
      <c r="I74" s="10" t="str">
        <f>"  - '&amp;4• &amp;f"&amp;MAIN!$C$8&amp;": &amp;a"&amp;MAIN!$E$88*$C$2&amp;"'"</f>
        <v xml:space="preserve">  - '&amp;4• &amp;fVitalidad: &amp;a70'</v>
      </c>
      <c r="J74" s="10"/>
      <c r="K74" s="10"/>
      <c r="L74" s="10"/>
      <c r="M74" s="10" t="str">
        <f>"  - '&amp;4• &amp;f"&amp;MAIN!$C$8&amp;": &amp;a"&amp;MAIN!$F$88*$C$2&amp;"'"</f>
        <v xml:space="preserve">  - '&amp;4• &amp;fVitalidad: &amp;a119'</v>
      </c>
      <c r="N74" s="10"/>
      <c r="O74" s="10"/>
      <c r="P74" s="10"/>
      <c r="Q74" s="10" t="str">
        <f>"  - '&amp;4• &amp;f"&amp;MAIN!$C$8&amp;": &amp;a"&amp;MAIN!$G$88*$C$2&amp;"'"</f>
        <v xml:space="preserve">  - '&amp;4• &amp;fVitalidad: &amp;a196'</v>
      </c>
      <c r="R74" s="10"/>
      <c r="S74" s="10"/>
      <c r="T74" s="10"/>
    </row>
    <row r="75" spans="1:20" x14ac:dyDescent="0.25">
      <c r="A75" s="10" t="str">
        <f>"  - '&amp;4• &amp;f"&amp;MAIN!$C$11&amp;": &amp;a"&amp;MAIN!$C$90*$C$2&amp;"'"</f>
        <v xml:space="preserve">  - '&amp;4• &amp;fInteligencia: &amp;a28'</v>
      </c>
      <c r="B75" s="10"/>
      <c r="C75" s="10"/>
      <c r="D75" s="10"/>
      <c r="E75" s="10" t="str">
        <f>"  - '&amp;4• &amp;f"&amp;MAIN!$C$11&amp;": &amp;a"&amp;MAIN!$D$90*$C$2&amp;"'"</f>
        <v xml:space="preserve">  - '&amp;4• &amp;fInteligencia: &amp;a42'</v>
      </c>
      <c r="F75" s="10"/>
      <c r="G75" s="10"/>
      <c r="H75" s="10"/>
      <c r="I75" s="10" t="str">
        <f>"  - '&amp;4• &amp;f"&amp;MAIN!$C$11&amp;": &amp;a"&amp;MAIN!$E$90*$C$2&amp;"'"</f>
        <v xml:space="preserve">  - '&amp;4• &amp;fInteligencia: &amp;a70'</v>
      </c>
      <c r="J75" s="10"/>
      <c r="K75" s="10"/>
      <c r="L75" s="10"/>
      <c r="M75" s="10" t="str">
        <f>"  - '&amp;4• &amp;f"&amp;MAIN!$C$11&amp;": &amp;a"&amp;MAIN!$F$90*$C$2&amp;"'"</f>
        <v xml:space="preserve">  - '&amp;4• &amp;fInteligencia: &amp;a119'</v>
      </c>
      <c r="N75" s="10"/>
      <c r="O75" s="10"/>
      <c r="P75" s="10"/>
      <c r="Q75" s="10" t="str">
        <f>"  - '&amp;4• &amp;f"&amp;MAIN!$C$11&amp;": &amp;a"&amp;MAIN!$G$90*$C$2&amp;"'"</f>
        <v xml:space="preserve">  - '&amp;4• &amp;fInteligencia: &amp;a196'</v>
      </c>
      <c r="R75" s="10"/>
      <c r="S75" s="10"/>
      <c r="T75" s="10"/>
    </row>
    <row r="76" spans="1:20" x14ac:dyDescent="0.25">
      <c r="A76" s="10" t="str">
        <f>"  - '&amp;4• &amp;f"&amp;MAIN!$C$10&amp;": &amp;a"&amp;MAIN!$C$89*$C$2&amp;"'"</f>
        <v xml:space="preserve">  - '&amp;4• &amp;fAgilidad: &amp;a28'</v>
      </c>
      <c r="B76" s="10"/>
      <c r="C76" s="10"/>
      <c r="D76" s="10"/>
      <c r="E76" s="10" t="str">
        <f>"  - '&amp;4• &amp;f"&amp;MAIN!$C$10&amp;": &amp;a"&amp;MAIN!$D$89*$C$2&amp;"'"</f>
        <v xml:space="preserve">  - '&amp;4• &amp;fAgilidad: &amp;a42'</v>
      </c>
      <c r="F76" s="10"/>
      <c r="G76" s="10"/>
      <c r="H76" s="10"/>
      <c r="I76" s="10" t="str">
        <f>"  - '&amp;4• &amp;f"&amp;MAIN!$C$10&amp;": &amp;a"&amp;MAIN!$E$89*$C$2&amp;"'"</f>
        <v xml:space="preserve">  - '&amp;4• &amp;fAgilidad: &amp;a70'</v>
      </c>
      <c r="J76" s="10"/>
      <c r="K76" s="10"/>
      <c r="L76" s="10"/>
      <c r="M76" s="10" t="str">
        <f>"  - '&amp;4• &amp;f"&amp;MAIN!$C$10&amp;": &amp;a"&amp;MAIN!$F$89*$C$2&amp;"'"</f>
        <v xml:space="preserve">  - '&amp;4• &amp;fAgilidad: &amp;a119'</v>
      </c>
      <c r="N76" s="10"/>
      <c r="O76" s="10"/>
      <c r="P76" s="10"/>
      <c r="Q76" s="10" t="str">
        <f>"  - '&amp;4• &amp;f"&amp;MAIN!$C$10&amp;": &amp;a"&amp;MAIN!$G$89*$C$2&amp;"'"</f>
        <v xml:space="preserve">  - '&amp;4• &amp;fAgilidad: &amp;a196'</v>
      </c>
      <c r="R76" s="10"/>
      <c r="S76" s="10"/>
      <c r="T76" s="10"/>
    </row>
    <row r="77" spans="1:20" x14ac:dyDescent="0.25">
      <c r="A77" s="9" t="s">
        <v>71</v>
      </c>
      <c r="B77" s="9"/>
      <c r="C77" s="9"/>
      <c r="D77" s="9"/>
      <c r="E77" s="9" t="s">
        <v>71</v>
      </c>
      <c r="F77" s="9"/>
      <c r="G77" s="9"/>
      <c r="H77" s="9"/>
      <c r="I77" s="9" t="s">
        <v>71</v>
      </c>
      <c r="J77" s="9"/>
      <c r="K77" s="9"/>
      <c r="L77" s="9"/>
      <c r="M77" s="9" t="s">
        <v>71</v>
      </c>
      <c r="N77" s="9"/>
      <c r="O77" s="9"/>
      <c r="P77" s="9"/>
      <c r="Q77" s="9" t="s">
        <v>71</v>
      </c>
      <c r="R77" s="9"/>
      <c r="S77" s="9"/>
      <c r="T77" s="9"/>
    </row>
    <row r="78" spans="1:20" x14ac:dyDescent="0.25">
      <c r="A78" s="9" t="s">
        <v>72</v>
      </c>
      <c r="B78" s="9"/>
      <c r="C78" s="9"/>
      <c r="D78" s="9"/>
      <c r="E78" s="9" t="s">
        <v>72</v>
      </c>
      <c r="F78" s="9"/>
      <c r="G78" s="9"/>
      <c r="H78" s="9"/>
      <c r="I78" s="9" t="s">
        <v>72</v>
      </c>
      <c r="J78" s="9"/>
      <c r="K78" s="9"/>
      <c r="L78" s="9"/>
      <c r="M78" s="9" t="s">
        <v>72</v>
      </c>
      <c r="N78" s="9"/>
      <c r="O78" s="9"/>
      <c r="P78" s="9"/>
      <c r="Q78" s="9" t="s">
        <v>72</v>
      </c>
      <c r="R78" s="9"/>
      <c r="S78" s="9"/>
      <c r="T78" s="9"/>
    </row>
    <row r="79" spans="1:20" x14ac:dyDescent="0.25">
      <c r="A79" s="11" t="str">
        <f>'armas legendario'!$A$79</f>
        <v>minimumSockets: 2</v>
      </c>
      <c r="B79" s="11"/>
      <c r="C79" s="11"/>
      <c r="D79" s="11"/>
      <c r="E79" s="11" t="str">
        <f>$A$79</f>
        <v>minimumSockets: 2</v>
      </c>
      <c r="F79" s="11"/>
      <c r="G79" s="11"/>
      <c r="H79" s="11"/>
      <c r="I79" s="11" t="str">
        <f>$A$79</f>
        <v>minimumSockets: 2</v>
      </c>
      <c r="J79" s="11"/>
      <c r="K79" s="11"/>
      <c r="L79" s="11"/>
      <c r="M79" s="11" t="str">
        <f>$A$79</f>
        <v>minimumSockets: 2</v>
      </c>
      <c r="N79" s="11"/>
      <c r="O79" s="11"/>
      <c r="P79" s="11"/>
      <c r="Q79" s="11" t="str">
        <f>$A$79</f>
        <v>minimumSockets: 2</v>
      </c>
      <c r="R79" s="11"/>
      <c r="S79" s="11"/>
      <c r="T79" s="11"/>
    </row>
    <row r="80" spans="1:20" x14ac:dyDescent="0.25">
      <c r="A80" s="11" t="str">
        <f>'armas legendario'!$A$80</f>
        <v>maximumSockets: 3</v>
      </c>
      <c r="B80" s="11"/>
      <c r="C80" s="11"/>
      <c r="D80" s="11"/>
      <c r="E80" s="11" t="str">
        <f>$A$80</f>
        <v>maximumSockets: 3</v>
      </c>
      <c r="F80" s="11"/>
      <c r="G80" s="11"/>
      <c r="H80" s="11"/>
      <c r="I80" s="11" t="str">
        <f>$A$80</f>
        <v>maximumSockets: 3</v>
      </c>
      <c r="J80" s="11"/>
      <c r="K80" s="11"/>
      <c r="L80" s="11"/>
      <c r="M80" s="11" t="str">
        <f>$A$80</f>
        <v>maximumSockets: 3</v>
      </c>
      <c r="N80" s="11"/>
      <c r="O80" s="11"/>
      <c r="P80" s="11"/>
      <c r="Q80" s="11" t="str">
        <f>$A$80</f>
        <v>maximumSockets: 3</v>
      </c>
      <c r="R80" s="11"/>
      <c r="S80" s="11"/>
      <c r="T80" s="11"/>
    </row>
    <row r="81" spans="1:20" x14ac:dyDescent="0.25">
      <c r="A81" s="11" t="str">
        <f>'armas legendario'!$A$81</f>
        <v>chanceToSpawnOnAMonster: 0.075</v>
      </c>
      <c r="B81" s="11"/>
      <c r="C81" s="11"/>
      <c r="D81" s="11"/>
      <c r="E81" s="11" t="str">
        <f>$A$81</f>
        <v>chanceToSpawnOnAMonster: 0.075</v>
      </c>
      <c r="F81" s="11"/>
      <c r="G81" s="11"/>
      <c r="H81" s="11"/>
      <c r="I81" s="11" t="str">
        <f>$A$81</f>
        <v>chanceToSpawnOnAMonster: 0.075</v>
      </c>
      <c r="J81" s="11"/>
      <c r="K81" s="11"/>
      <c r="L81" s="11"/>
      <c r="M81" s="11" t="str">
        <f>$A$81</f>
        <v>chanceToSpawnOnAMonster: 0.075</v>
      </c>
      <c r="N81" s="11"/>
      <c r="O81" s="11"/>
      <c r="P81" s="11"/>
      <c r="Q81" s="11" t="str">
        <f>$A$81</f>
        <v>chanceToSpawnOnAMonster: 0.075</v>
      </c>
      <c r="R81" s="11"/>
      <c r="S81" s="11"/>
      <c r="T81" s="11"/>
    </row>
    <row r="82" spans="1:20" x14ac:dyDescent="0.25">
      <c r="A82" s="9" t="s">
        <v>34</v>
      </c>
      <c r="B82" s="9"/>
      <c r="C82" s="9"/>
      <c r="D82" s="9"/>
      <c r="E82" s="9" t="s">
        <v>34</v>
      </c>
      <c r="F82" s="9"/>
      <c r="G82" s="9"/>
      <c r="H82" s="9"/>
      <c r="I82" s="9" t="s">
        <v>34</v>
      </c>
      <c r="J82" s="9"/>
      <c r="K82" s="9"/>
      <c r="L82" s="9"/>
      <c r="M82" s="9" t="s">
        <v>34</v>
      </c>
      <c r="N82" s="9"/>
      <c r="O82" s="9"/>
      <c r="P82" s="9"/>
      <c r="Q82" s="9" t="s">
        <v>34</v>
      </c>
      <c r="R82" s="9"/>
      <c r="S82" s="9"/>
      <c r="T82" s="9"/>
    </row>
    <row r="83" spans="1:20" x14ac:dyDescent="0.25">
      <c r="A83" s="11" t="str">
        <f>'armas legendario'!$A$83</f>
        <v>chanceToBeIdentified: 0.0375</v>
      </c>
      <c r="B83" s="11"/>
      <c r="C83" s="11"/>
      <c r="D83" s="11"/>
      <c r="E83" s="11" t="str">
        <f>$A$83</f>
        <v>chanceToBeIdentified: 0.0375</v>
      </c>
      <c r="F83" s="11"/>
      <c r="G83" s="11"/>
      <c r="H83" s="11"/>
      <c r="I83" s="11" t="str">
        <f>$A$83</f>
        <v>chanceToBeIdentified: 0.0375</v>
      </c>
      <c r="J83" s="11"/>
      <c r="K83" s="11"/>
      <c r="L83" s="11"/>
      <c r="M83" s="11" t="str">
        <f>$A$83</f>
        <v>chanceToBeIdentified: 0.0375</v>
      </c>
      <c r="N83" s="11"/>
      <c r="O83" s="11"/>
      <c r="P83" s="11"/>
      <c r="Q83" s="11" t="str">
        <f>$A$83</f>
        <v>chanceToBeIdentified: 0.0375</v>
      </c>
      <c r="R83" s="11"/>
      <c r="S83" s="11"/>
      <c r="T83" s="11"/>
    </row>
    <row r="84" spans="1:20" x14ac:dyDescent="0.25">
      <c r="A84" s="9" t="s">
        <v>79</v>
      </c>
      <c r="B84" s="9"/>
      <c r="C84" s="9"/>
      <c r="D84" s="9"/>
      <c r="E84" s="9" t="s">
        <v>79</v>
      </c>
      <c r="F84" s="9"/>
      <c r="G84" s="9"/>
      <c r="H84" s="9"/>
      <c r="I84" s="9" t="s">
        <v>79</v>
      </c>
      <c r="J84" s="9"/>
      <c r="K84" s="9"/>
      <c r="L84" s="9"/>
      <c r="M84" s="9" t="s">
        <v>79</v>
      </c>
      <c r="N84" s="9"/>
      <c r="O84" s="9"/>
      <c r="P84" s="9"/>
      <c r="Q84" s="9" t="s">
        <v>79</v>
      </c>
      <c r="R84" s="9"/>
      <c r="S84" s="9"/>
      <c r="T84" s="9"/>
    </row>
    <row r="85" spans="1:20" x14ac:dyDescent="0.25">
      <c r="A85" s="11" t="str">
        <f>'armas legendario'!$A$85</f>
        <v>broadcastOnFind: false</v>
      </c>
      <c r="B85" s="11"/>
      <c r="C85" s="11"/>
      <c r="D85" s="11"/>
      <c r="E85" s="11" t="str">
        <f>$A$85</f>
        <v>broadcastOnFind: false</v>
      </c>
      <c r="F85" s="11"/>
      <c r="G85" s="11"/>
      <c r="H85" s="11"/>
      <c r="I85" s="11" t="str">
        <f>$A$85</f>
        <v>broadcastOnFind: false</v>
      </c>
      <c r="J85" s="11"/>
      <c r="K85" s="11"/>
      <c r="L85" s="11"/>
      <c r="M85" s="11" t="str">
        <f>$A$85</f>
        <v>broadcastOnFind: false</v>
      </c>
      <c r="N85" s="11"/>
      <c r="O85" s="11"/>
      <c r="P85" s="11"/>
      <c r="Q85" s="11" t="str">
        <f>$A$85</f>
        <v>broadcastOnFind: false</v>
      </c>
      <c r="R85" s="11"/>
      <c r="S85" s="11"/>
      <c r="T85" s="11"/>
    </row>
    <row r="86" spans="1:20" x14ac:dyDescent="0.25">
      <c r="A86" s="11" t="str">
        <f>'armas legendario'!$A$86</f>
        <v>optimalDistance: 2700</v>
      </c>
      <c r="B86" s="11"/>
      <c r="C86" s="11"/>
      <c r="D86" s="11"/>
      <c r="E86" s="11" t="str">
        <f>$A$86</f>
        <v>optimalDistance: 2700</v>
      </c>
      <c r="F86" s="11"/>
      <c r="G86" s="11"/>
      <c r="H86" s="11"/>
      <c r="I86" s="11" t="str">
        <f>$A$86</f>
        <v>optimalDistance: 2700</v>
      </c>
      <c r="J86" s="11"/>
      <c r="K86" s="11"/>
      <c r="L86" s="11"/>
      <c r="M86" s="11" t="str">
        <f>$A$86</f>
        <v>optimalDistance: 2700</v>
      </c>
      <c r="N86" s="11"/>
      <c r="O86" s="11"/>
      <c r="P86" s="11"/>
      <c r="Q86" s="11" t="str">
        <f>$A$86</f>
        <v>optimalDistance: 2700</v>
      </c>
      <c r="R86" s="11"/>
      <c r="S86" s="11"/>
      <c r="T86" s="11"/>
    </row>
    <row r="87" spans="1:20" x14ac:dyDescent="0.25">
      <c r="A87" s="11" t="str">
        <f>'armas legendario'!$A$87</f>
        <v>maximumDistance: 1800</v>
      </c>
      <c r="B87" s="11"/>
      <c r="C87" s="11"/>
      <c r="D87" s="11"/>
      <c r="E87" s="11" t="str">
        <f>$A$87</f>
        <v>maximumDistance: 1800</v>
      </c>
      <c r="F87" s="11"/>
      <c r="G87" s="11"/>
      <c r="H87" s="11"/>
      <c r="I87" s="11" t="str">
        <f>$A$87</f>
        <v>maximumDistance: 1800</v>
      </c>
      <c r="J87" s="11"/>
      <c r="K87" s="11"/>
      <c r="L87" s="11"/>
      <c r="M87" s="11" t="str">
        <f>$A$87</f>
        <v>maximumDistance: 1800</v>
      </c>
      <c r="N87" s="11"/>
      <c r="O87" s="11"/>
      <c r="P87" s="11"/>
      <c r="Q87" s="11" t="str">
        <f>$A$87</f>
        <v>maximumDistance: 1800</v>
      </c>
      <c r="R87" s="11"/>
      <c r="S87" s="11"/>
      <c r="T87" s="11"/>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9" x14ac:dyDescent="0.25">
      <c r="A97" s="9"/>
      <c r="B97" s="9"/>
      <c r="C97" s="9"/>
      <c r="D97" s="9"/>
      <c r="G97" s="13"/>
      <c r="H97" s="13"/>
      <c r="I97" s="13"/>
    </row>
    <row r="98" spans="1:9" x14ac:dyDescent="0.25">
      <c r="A98" s="9"/>
      <c r="B98" s="9"/>
      <c r="C98" s="9"/>
      <c r="D98" s="9"/>
      <c r="G98" s="13"/>
      <c r="H98" s="13"/>
      <c r="I98" s="13"/>
    </row>
    <row r="99" spans="1:9" x14ac:dyDescent="0.25">
      <c r="A99" s="9"/>
      <c r="B99" s="9"/>
      <c r="C99" s="9"/>
      <c r="D99" s="9"/>
    </row>
    <row r="100" spans="1:9" x14ac:dyDescent="0.25">
      <c r="A100" s="9"/>
      <c r="B100" s="9"/>
      <c r="C100" s="9"/>
      <c r="D100" s="9"/>
    </row>
    <row r="101" spans="1:9" x14ac:dyDescent="0.25">
      <c r="A101" s="9"/>
      <c r="B101" s="9"/>
      <c r="C101" s="9"/>
      <c r="D101" s="9"/>
    </row>
    <row r="102" spans="1:9" x14ac:dyDescent="0.25">
      <c r="A102" s="9"/>
      <c r="B102" s="9"/>
      <c r="C102" s="9"/>
      <c r="D102" s="9"/>
    </row>
    <row r="103" spans="1:9" x14ac:dyDescent="0.25">
      <c r="A103" s="9"/>
      <c r="B103" s="9"/>
      <c r="C103" s="9"/>
      <c r="D103" s="9"/>
    </row>
    <row r="104" spans="1:9" x14ac:dyDescent="0.25">
      <c r="A104" s="9"/>
      <c r="B104" s="9"/>
      <c r="C104" s="9"/>
      <c r="D104" s="9"/>
    </row>
    <row r="105" spans="1:9" x14ac:dyDescent="0.25">
      <c r="A105" s="9"/>
      <c r="B105" s="9"/>
      <c r="C105" s="9"/>
      <c r="D105" s="9"/>
    </row>
    <row r="106" spans="1:9" x14ac:dyDescent="0.25">
      <c r="A106" s="9"/>
      <c r="B106" s="9"/>
      <c r="C106" s="9"/>
      <c r="D106" s="9"/>
    </row>
    <row r="107" spans="1:9" x14ac:dyDescent="0.25">
      <c r="A107" s="9"/>
      <c r="B107" s="9"/>
      <c r="C107" s="9"/>
      <c r="D107" s="9"/>
    </row>
    <row r="108" spans="1:9" x14ac:dyDescent="0.25">
      <c r="A108" s="9"/>
      <c r="B108" s="9"/>
      <c r="C108" s="9"/>
      <c r="D108" s="9"/>
    </row>
    <row r="109" spans="1:9" x14ac:dyDescent="0.25">
      <c r="A109" s="9"/>
      <c r="B109" s="9"/>
      <c r="C109" s="9"/>
      <c r="D109" s="9"/>
    </row>
    <row r="110" spans="1:9" x14ac:dyDescent="0.25">
      <c r="A110" s="9"/>
      <c r="B110" s="9"/>
      <c r="C110" s="9"/>
      <c r="D110" s="9"/>
    </row>
    <row r="111" spans="1:9" x14ac:dyDescent="0.25">
      <c r="A111" s="9"/>
      <c r="B111" s="9"/>
      <c r="C111" s="9"/>
      <c r="D111" s="9"/>
    </row>
    <row r="112" spans="1:9"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row r="190" spans="1:4" x14ac:dyDescent="0.25">
      <c r="A190" s="9"/>
      <c r="B190" s="9"/>
      <c r="C190" s="9"/>
      <c r="D190" s="9"/>
    </row>
    <row r="191" spans="1:4" x14ac:dyDescent="0.25">
      <c r="A191" s="9"/>
      <c r="B191" s="9"/>
      <c r="C191" s="9"/>
      <c r="D191"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4"/>
  <dimension ref="A1:Z191"/>
  <sheetViews>
    <sheetView topLeftCell="N65" workbookViewId="0">
      <selection activeCell="Q4" sqref="Q4:Q87"/>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105</v>
      </c>
      <c r="B2" s="293"/>
      <c r="C2" s="293">
        <f>'ECONOMIA &amp; PROFESIONES'!$R$3</f>
        <v>9</v>
      </c>
      <c r="D2" s="293"/>
      <c r="E2" s="293" t="s">
        <v>107</v>
      </c>
      <c r="F2" s="293"/>
      <c r="G2" s="293" t="s">
        <v>106</v>
      </c>
      <c r="H2" s="293"/>
      <c r="I2" s="293" t="str">
        <f>MAIN!$J$42</f>
        <v>Damage</v>
      </c>
      <c r="J2" s="293"/>
      <c r="K2" s="293">
        <f>MAIN!$L$42</f>
        <v>2</v>
      </c>
      <c r="L2" s="293"/>
    </row>
    <row r="3" spans="1:26" ht="29.25" customHeight="1" x14ac:dyDescent="0.25">
      <c r="A3" s="355" t="s">
        <v>7</v>
      </c>
      <c r="B3" s="355"/>
      <c r="C3" s="355"/>
      <c r="D3" s="355"/>
      <c r="E3" s="355" t="s">
        <v>8</v>
      </c>
      <c r="F3" s="355"/>
      <c r="G3" s="355"/>
      <c r="H3" s="355"/>
      <c r="I3" s="355" t="s">
        <v>83</v>
      </c>
      <c r="J3" s="355"/>
      <c r="K3" s="355"/>
      <c r="L3" s="355"/>
      <c r="M3" s="355" t="s">
        <v>84</v>
      </c>
      <c r="N3" s="355"/>
      <c r="O3" s="355"/>
      <c r="P3" s="355"/>
      <c r="Q3" s="355" t="s">
        <v>85</v>
      </c>
      <c r="R3" s="355"/>
      <c r="S3" s="355"/>
      <c r="T3" s="355"/>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"+"&amp;ROUND(MAIN!$C$44*$C$2*$K$2/5*$U$4,0)&amp;" "&amp;$I$2</f>
        <v>+7 Damage</v>
      </c>
      <c r="W4" s="291" t="str">
        <f>"+"&amp;ROUND(MAIN!$D$44*$C$2*$K$2/5*$U$4,0)&amp;" "&amp;$I$2</f>
        <v>+22 Damage</v>
      </c>
      <c r="X4" s="291" t="str">
        <f>"+"&amp;ROUND(MAIN!$E$44*$C$2*$K$2/5*$U$4,0)&amp;" "&amp;$I$2</f>
        <v>+65 Damage</v>
      </c>
      <c r="Y4" s="291" t="str">
        <f>"+"&amp;ROUND(MAIN!$F$44*$C$2*$K$2/5*$U$4,0)&amp;" "&amp;$I$2</f>
        <v>+194 Damage</v>
      </c>
      <c r="Z4" s="291" t="str">
        <f>"+"&amp;ROUND(MAIN!$G$44*$C$2*$K$2/5*$U$4,0)&amp;" "&amp;$I$2</f>
        <v>+583 Damage</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"+"&amp;ROUND(MAIN!$C$44*$C$2*$K$2/5*$U$5,0)&amp;" "&amp;$I$2</f>
        <v>+14 Damage</v>
      </c>
      <c r="W5" s="291" t="str">
        <f>"+"&amp;ROUND(MAIN!$D$44*$C$2*$K$2/5*$U$5,0)&amp;" "&amp;$I$2</f>
        <v>+43 Damage</v>
      </c>
      <c r="X5" s="291" t="str">
        <f>"+"&amp;ROUND(MAIN!$E$44*$C$2*$K$2/5*$U$5,0)&amp;" "&amp;$I$2</f>
        <v>+130 Damage</v>
      </c>
      <c r="Y5" s="291" t="str">
        <f>"+"&amp;ROUND(MAIN!$F$44*$C$2*$K$2/5*$U$5,0)&amp;" "&amp;$I$2</f>
        <v>+389 Damage</v>
      </c>
      <c r="Z5" s="291" t="str">
        <f>"+"&amp;ROUND(MAIN!$G$44*$C$2*$K$2/5*$U$5,0)&amp;" "&amp;$I$2</f>
        <v>+1166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"+"&amp;ROUND(MAIN!$C$44*$C$2*$K$2/5*$U$6,0)&amp;" "&amp;$I$2</f>
        <v>+22 Damage</v>
      </c>
      <c r="W6" s="291" t="str">
        <f>"+"&amp;ROUND(MAIN!$D$44*$C$2*$K$2/5*$U$6,0)&amp;" "&amp;$I$2</f>
        <v>+65 Damage</v>
      </c>
      <c r="X6" s="291" t="str">
        <f>"+"&amp;ROUND(MAIN!$E$44*$C$2*$K$2/5*$U$6,0)&amp;" "&amp;$I$2</f>
        <v>+194 Damage</v>
      </c>
      <c r="Y6" s="291" t="str">
        <f>"+"&amp;ROUND(MAIN!$F$44*$C$2*$K$2/5*$U$6,0)&amp;" "&amp;$I$2</f>
        <v>+583 Damage</v>
      </c>
      <c r="Z6" s="291" t="str">
        <f>"+"&amp;ROUND(MAIN!$G$44*$C$2*$K$2/5*$U$6,0)&amp;" "&amp;$I$2</f>
        <v>+1750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"+"&amp;ROUND(MAIN!$C$44*$C$2*$K$2/5*$U$7,0)&amp;" "&amp;$I$2</f>
        <v>+29 Damage</v>
      </c>
      <c r="W7" s="291" t="str">
        <f>"+"&amp;ROUND(MAIN!$D$44*$C$2*$K$2/5*$U$7,0)&amp;" "&amp;$I$2</f>
        <v>+86 Damage</v>
      </c>
      <c r="X7" s="291" t="str">
        <f>"+"&amp;ROUND(MAIN!$E$44*$C$2*$K$2/5*$U$7,0)&amp;" "&amp;$I$2</f>
        <v>+259 Damage</v>
      </c>
      <c r="Y7" s="291" t="str">
        <f>"+"&amp;ROUND(MAIN!$F$44*$C$2*$K$2/5*$U$7,0)&amp;" "&amp;$I$2</f>
        <v>+778 Damage</v>
      </c>
      <c r="Z7" s="291" t="str">
        <f>"+"&amp;ROUND(MAIN!$G$44*$C$2*$K$2/5*$U$7,0)&amp;" "&amp;$I$2</f>
        <v>+2333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"+"&amp;ROUND(MAIN!$C$44*$C$2*$K$2/5*$U$8,0)&amp;" "&amp;$I$2</f>
        <v>+36 Damage</v>
      </c>
      <c r="W8" s="291" t="str">
        <f>"+"&amp;ROUND(MAIN!$D$44*$C$2*$K$2/5*$U$8,0)&amp;" "&amp;$I$2</f>
        <v>+108 Damage</v>
      </c>
      <c r="X8" s="291" t="str">
        <f>"+"&amp;ROUND(MAIN!$E$44*$C$2*$K$2/5*$U$8,0)&amp;" "&amp;$I$2</f>
        <v>+324 Damage</v>
      </c>
      <c r="Y8" s="291" t="str">
        <f>"+"&amp;ROUND(MAIN!$F$44*$C$2*$K$2/5*$U$8,0)&amp;" "&amp;$I$2</f>
        <v>+972 Damage</v>
      </c>
      <c r="Z8" s="291" t="str">
        <f>"+"&amp;ROUND(MAIN!$G$44*$C$2*$K$2/5*$U$8,0)&amp;" "&amp;$I$2</f>
        <v>+2916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$A$38</f>
        <v xml:space="preserve">  - ARROW_INFINITE:4:7</v>
      </c>
      <c r="J15" s="22"/>
      <c r="K15" s="22"/>
      <c r="L15" s="22"/>
      <c r="M15" s="22" t="str">
        <f>$A$38</f>
        <v xml:space="preserve">  - ARROW_INFINITE:4:7</v>
      </c>
      <c r="N15" s="22"/>
      <c r="O15" s="22"/>
      <c r="P15" s="22"/>
      <c r="Q15" s="22" t="str">
        <f>$A$38</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$A$39</f>
        <v xml:space="preserve">  - ARROW_DAMAGE:4:7</v>
      </c>
      <c r="J16" s="22"/>
      <c r="K16" s="22"/>
      <c r="L16" s="22"/>
      <c r="M16" s="22" t="str">
        <f>$A$39</f>
        <v xml:space="preserve">  - ARROW_DAMAGE:4:7</v>
      </c>
      <c r="N16" s="22"/>
      <c r="O16" s="22"/>
      <c r="P16" s="22"/>
      <c r="Q16" s="22" t="str">
        <f>$A$39</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$A$40</f>
        <v xml:space="preserve">  - ARROW_FIRE:4:7</v>
      </c>
      <c r="J17" s="22"/>
      <c r="K17" s="22"/>
      <c r="L17" s="22"/>
      <c r="M17" s="22" t="str">
        <f>$A$40</f>
        <v xml:space="preserve">  - ARROW_FIRE:4:7</v>
      </c>
      <c r="N17" s="22"/>
      <c r="O17" s="22"/>
      <c r="P17" s="22"/>
      <c r="Q17" s="22" t="str">
        <f>$A$40</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$A$41</f>
        <v xml:space="preserve">  - ARROW_KNOCKBACK:4:7</v>
      </c>
      <c r="J18" s="22"/>
      <c r="K18" s="22"/>
      <c r="L18" s="22"/>
      <c r="M18" s="22" t="str">
        <f>$A$41</f>
        <v xml:space="preserve">  - ARROW_KNOCKBACK:4:7</v>
      </c>
      <c r="N18" s="22"/>
      <c r="O18" s="22"/>
      <c r="P18" s="22"/>
      <c r="Q18" s="22" t="str">
        <f>$A$41</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$A$42</f>
        <v xml:space="preserve">  - DAMAGE_ALL:4:7</v>
      </c>
      <c r="J19" s="22"/>
      <c r="K19" s="22"/>
      <c r="L19" s="22"/>
      <c r="M19" s="22" t="str">
        <f>$A$42</f>
        <v xml:space="preserve">  - DAMAGE_ALL:4:7</v>
      </c>
      <c r="N19" s="22"/>
      <c r="O19" s="22"/>
      <c r="P19" s="22"/>
      <c r="Q19" s="22" t="str">
        <f>$A$42</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$A$43</f>
        <v xml:space="preserve">  - DAMAGE_ARTHROPODS:4:7</v>
      </c>
      <c r="J20" s="22"/>
      <c r="K20" s="22"/>
      <c r="L20" s="22"/>
      <c r="M20" s="22" t="str">
        <f>$A$43</f>
        <v xml:space="preserve">  - DAMAGE_ARTHROPODS:4:7</v>
      </c>
      <c r="N20" s="22"/>
      <c r="O20" s="22"/>
      <c r="P20" s="22"/>
      <c r="Q20" s="22" t="str">
        <f>$A$43</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$A$44</f>
        <v xml:space="preserve">  - DAMAGE_UNDEAD:4:7</v>
      </c>
      <c r="J21" s="22"/>
      <c r="K21" s="22"/>
      <c r="L21" s="22"/>
      <c r="M21" s="22" t="str">
        <f>$A$44</f>
        <v xml:space="preserve">  - DAMAGE_UNDEAD:4:7</v>
      </c>
      <c r="N21" s="22"/>
      <c r="O21" s="22"/>
      <c r="P21" s="22"/>
      <c r="Q21" s="22" t="str">
        <f>$A$44</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$A$45</f>
        <v xml:space="preserve">  - DIG_SPEED:4:7</v>
      </c>
      <c r="J22" s="22"/>
      <c r="K22" s="22"/>
      <c r="L22" s="22"/>
      <c r="M22" s="22" t="str">
        <f>$A$45</f>
        <v xml:space="preserve">  - DIG_SPEED:4:7</v>
      </c>
      <c r="N22" s="22"/>
      <c r="O22" s="22"/>
      <c r="P22" s="22"/>
      <c r="Q22" s="22" t="str">
        <f>$A$45</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$A$46</f>
        <v xml:space="preserve">  - DURABILITY:4:7</v>
      </c>
      <c r="J23" s="22"/>
      <c r="K23" s="22"/>
      <c r="L23" s="22"/>
      <c r="M23" s="22" t="str">
        <f>$A$46</f>
        <v xml:space="preserve">  - DURABILITY:4:7</v>
      </c>
      <c r="N23" s="22"/>
      <c r="O23" s="22"/>
      <c r="P23" s="22"/>
      <c r="Q23" s="22" t="str">
        <f>$A$46</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$A$47</f>
        <v xml:space="preserve">  - FIRE_ASPECT:4:7</v>
      </c>
      <c r="J24" s="22"/>
      <c r="K24" s="22"/>
      <c r="L24" s="22"/>
      <c r="M24" s="22" t="str">
        <f>$A$47</f>
        <v xml:space="preserve">  - FIRE_ASPECT:4:7</v>
      </c>
      <c r="N24" s="22"/>
      <c r="O24" s="22"/>
      <c r="P24" s="22"/>
      <c r="Q24" s="22" t="str">
        <f>$A$47</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$A$48</f>
        <v xml:space="preserve">  - KNOCKBACK:4:7</v>
      </c>
      <c r="J25" s="22"/>
      <c r="K25" s="22"/>
      <c r="L25" s="22"/>
      <c r="M25" s="22" t="str">
        <f>$A$48</f>
        <v xml:space="preserve">  - KNOCKBACK:4:7</v>
      </c>
      <c r="N25" s="22"/>
      <c r="O25" s="22"/>
      <c r="P25" s="22"/>
      <c r="Q25" s="22" t="str">
        <f>$A$48</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$A$49</f>
        <v xml:space="preserve">  - LOOT_BONUS_BLOCKS:4:7</v>
      </c>
      <c r="J26" s="22"/>
      <c r="K26" s="22"/>
      <c r="L26" s="22"/>
      <c r="M26" s="22" t="str">
        <f>$A$49</f>
        <v xml:space="preserve">  - LOOT_BONUS_BLOCKS:4:7</v>
      </c>
      <c r="N26" s="22"/>
      <c r="O26" s="22"/>
      <c r="P26" s="22"/>
      <c r="Q26" s="22" t="str">
        <f>$A$49</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$A$50</f>
        <v xml:space="preserve">  - LOOT_BONUS_MOBS:4:7</v>
      </c>
      <c r="J27" s="22"/>
      <c r="K27" s="22"/>
      <c r="L27" s="22"/>
      <c r="M27" s="22" t="str">
        <f>$A$50</f>
        <v xml:space="preserve">  - LOOT_BONUS_MOBS:4:7</v>
      </c>
      <c r="N27" s="22"/>
      <c r="O27" s="22"/>
      <c r="P27" s="22"/>
      <c r="Q27" s="22" t="str">
        <f>$A$50</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$A$51</f>
        <v xml:space="preserve">  - OXYGEN:4:7</v>
      </c>
      <c r="J28" s="22"/>
      <c r="K28" s="22"/>
      <c r="L28" s="22"/>
      <c r="M28" s="22" t="str">
        <f>$A$51</f>
        <v xml:space="preserve">  - OXYGEN:4:7</v>
      </c>
      <c r="N28" s="22"/>
      <c r="O28" s="22"/>
      <c r="P28" s="22"/>
      <c r="Q28" s="22" t="str">
        <f>$A$51</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$A$52</f>
        <v xml:space="preserve">  - PROTECTION_ENVIRONMENT:4:7</v>
      </c>
      <c r="J29" s="22"/>
      <c r="K29" s="22"/>
      <c r="L29" s="22"/>
      <c r="M29" s="22" t="str">
        <f>$A$52</f>
        <v xml:space="preserve">  - PROTECTION_ENVIRONMENT:4:7</v>
      </c>
      <c r="N29" s="22"/>
      <c r="O29" s="22"/>
      <c r="P29" s="22"/>
      <c r="Q29" s="22" t="str">
        <f>$A$52</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$A$53</f>
        <v xml:space="preserve">  - PROTECTION_EXPLOSIONS:4:7</v>
      </c>
      <c r="J30" s="22"/>
      <c r="K30" s="22"/>
      <c r="L30" s="22"/>
      <c r="M30" s="22" t="str">
        <f>$A$53</f>
        <v xml:space="preserve">  - PROTECTION_EXPLOSIONS:4:7</v>
      </c>
      <c r="N30" s="22"/>
      <c r="O30" s="22"/>
      <c r="P30" s="22"/>
      <c r="Q30" s="22" t="str">
        <f>$A$53</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$A$54</f>
        <v xml:space="preserve">  - PROTECTION_FALL:4:7</v>
      </c>
      <c r="J31" s="22"/>
      <c r="K31" s="22"/>
      <c r="L31" s="22"/>
      <c r="M31" s="22" t="str">
        <f>$A$54</f>
        <v xml:space="preserve">  - PROTECTION_FALL:4:7</v>
      </c>
      <c r="N31" s="22"/>
      <c r="O31" s="22"/>
      <c r="P31" s="22"/>
      <c r="Q31" s="22" t="str">
        <f>$A$54</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$A$55</f>
        <v xml:space="preserve">  - PROTECTION_FIRE:4:7</v>
      </c>
      <c r="J32" s="22"/>
      <c r="K32" s="22"/>
      <c r="L32" s="22"/>
      <c r="M32" s="22" t="str">
        <f>$A$55</f>
        <v xml:space="preserve">  - PROTECTION_FIRE:4:7</v>
      </c>
      <c r="N32" s="22"/>
      <c r="O32" s="22"/>
      <c r="P32" s="22"/>
      <c r="Q32" s="22" t="str">
        <f>$A$55</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$A$56</f>
        <v xml:space="preserve">  - PROTECTION_PROJECTILE:4:7</v>
      </c>
      <c r="J33" s="22"/>
      <c r="K33" s="22"/>
      <c r="L33" s="22"/>
      <c r="M33" s="22" t="str">
        <f>$A$56</f>
        <v xml:space="preserve">  - PROTECTION_PROJECTILE:4:7</v>
      </c>
      <c r="N33" s="22"/>
      <c r="O33" s="22"/>
      <c r="P33" s="22"/>
      <c r="Q33" s="22" t="str">
        <f>$A$56</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$A$57</f>
        <v xml:space="preserve">  - SILK_TOUCH:4:7</v>
      </c>
      <c r="J34" s="22"/>
      <c r="K34" s="22"/>
      <c r="L34" s="22"/>
      <c r="M34" s="22" t="str">
        <f>$A$57</f>
        <v xml:space="preserve">  - SILK_TOUCH:4:7</v>
      </c>
      <c r="N34" s="22"/>
      <c r="O34" s="22"/>
      <c r="P34" s="22"/>
      <c r="Q34" s="22" t="str">
        <f>$A$57</f>
        <v xml:space="preserve">  - SILK_TOUCH:4:7</v>
      </c>
      <c r="R34" s="22"/>
      <c r="S34" s="22"/>
      <c r="T34" s="22"/>
    </row>
    <row r="35" spans="1:20" x14ac:dyDescent="0.25">
      <c r="A35" s="22" t="str">
        <f>"  - THORNS:"&amp;MAIN!$G$18&amp;":"&amp;MAIN!$G$19</f>
        <v xml:space="preserve">  - THORNS:4:7</v>
      </c>
      <c r="B35" s="22"/>
      <c r="C35" s="22"/>
      <c r="D35" s="22"/>
      <c r="E35" s="22" t="str">
        <f>$A$35</f>
        <v xml:space="preserve">  - THORNS:4:7</v>
      </c>
      <c r="F35" s="22"/>
      <c r="G35" s="22"/>
      <c r="H35" s="22"/>
      <c r="I35" s="22" t="str">
        <f>$A$58</f>
        <v xml:space="preserve">  - THORNS:4:7</v>
      </c>
      <c r="J35" s="22"/>
      <c r="K35" s="22"/>
      <c r="L35" s="22"/>
      <c r="M35" s="22" t="str">
        <f>$A$58</f>
        <v xml:space="preserve">  - THORNS:4:7</v>
      </c>
      <c r="N35" s="22"/>
      <c r="O35" s="22"/>
      <c r="P35" s="22"/>
      <c r="Q35" s="22" t="str">
        <f>$A$58</f>
        <v xml:space="preserve">  - THORNS:4:7</v>
      </c>
      <c r="R35" s="22"/>
      <c r="S35" s="22"/>
      <c r="T35" s="22"/>
    </row>
    <row r="36" spans="1:20" x14ac:dyDescent="0.25">
      <c r="A36" s="22" t="str">
        <f>"  - WATER_WORKER:"&amp;MAIN!$G$18&amp;":"&amp;MAIN!$G$19</f>
        <v xml:space="preserve">  - WATER_WORKER:4:7</v>
      </c>
      <c r="B36" s="22"/>
      <c r="C36" s="22"/>
      <c r="D36" s="22"/>
      <c r="E36" s="22" t="str">
        <f>$A$36</f>
        <v xml:space="preserve">  - WATER_WORKER:4:7</v>
      </c>
      <c r="F36" s="22"/>
      <c r="G36" s="22"/>
      <c r="H36" s="22"/>
      <c r="I36" s="22" t="str">
        <f>$A$59</f>
        <v xml:space="preserve">  - WATER_WORKER:4:7</v>
      </c>
      <c r="J36" s="22"/>
      <c r="K36" s="22"/>
      <c r="L36" s="22"/>
      <c r="M36" s="22" t="str">
        <f>$A$59</f>
        <v xml:space="preserve">  - WATER_WORKER:4:7</v>
      </c>
      <c r="N36" s="22"/>
      <c r="O36" s="22"/>
      <c r="P36" s="22"/>
      <c r="Q36" s="22" t="str">
        <f>$A$59</f>
        <v xml:space="preserve">  - WATER_WORKER:4:7</v>
      </c>
      <c r="R36" s="22"/>
      <c r="S36" s="22"/>
      <c r="T36" s="22"/>
    </row>
    <row r="37" spans="1:20" x14ac:dyDescent="0.25">
      <c r="A37" s="9" t="s">
        <v>101</v>
      </c>
      <c r="B37" s="9"/>
      <c r="C37" s="9"/>
      <c r="D37" s="9"/>
      <c r="E37" s="9" t="s">
        <v>101</v>
      </c>
      <c r="F37" s="9"/>
      <c r="G37" s="9"/>
      <c r="H37" s="9"/>
      <c r="I37" s="9" t="s">
        <v>101</v>
      </c>
      <c r="J37" s="9"/>
      <c r="K37" s="9"/>
      <c r="L37" s="9"/>
      <c r="M37" s="9" t="s">
        <v>101</v>
      </c>
      <c r="N37" s="9"/>
      <c r="O37" s="9"/>
      <c r="P37" s="9"/>
      <c r="Q37" s="9" t="s">
        <v>101</v>
      </c>
      <c r="R37" s="9"/>
      <c r="S37" s="9"/>
      <c r="T37" s="9"/>
    </row>
    <row r="38" spans="1:20" x14ac:dyDescent="0.25">
      <c r="A38" s="22" t="str">
        <f>$A$15</f>
        <v xml:space="preserve">  - ARROW_INFINITE:4:7</v>
      </c>
      <c r="B38" s="22"/>
      <c r="C38" s="22"/>
      <c r="D38" s="22"/>
      <c r="E38" s="22" t="str">
        <f>$A$38</f>
        <v xml:space="preserve">  - ARROW_INFINITE:4:7</v>
      </c>
      <c r="F38" s="22"/>
      <c r="G38" s="22"/>
      <c r="H38" s="22"/>
      <c r="I38" s="22" t="str">
        <f>$A$38</f>
        <v xml:space="preserve">  - ARROW_INFINITE:4:7</v>
      </c>
      <c r="J38" s="22"/>
      <c r="K38" s="22"/>
      <c r="L38" s="22"/>
      <c r="M38" s="22" t="str">
        <f>$A$38</f>
        <v xml:space="preserve">  - ARROW_INFINITE:4:7</v>
      </c>
      <c r="N38" s="22"/>
      <c r="O38" s="22"/>
      <c r="P38" s="22"/>
      <c r="Q38" s="22" t="str">
        <f>$A$38</f>
        <v xml:space="preserve">  - ARROW_INFINITE:4:7</v>
      </c>
      <c r="R38" s="22"/>
      <c r="S38" s="22"/>
      <c r="T38" s="22"/>
    </row>
    <row r="39" spans="1:20" x14ac:dyDescent="0.25">
      <c r="A39" s="22" t="str">
        <f>$A$16</f>
        <v xml:space="preserve">  - ARROW_DAMAGE:4:7</v>
      </c>
      <c r="B39" s="22"/>
      <c r="C39" s="22"/>
      <c r="D39" s="22"/>
      <c r="E39" s="22" t="str">
        <f>$A$39</f>
        <v xml:space="preserve">  - ARROW_DAMAGE:4:7</v>
      </c>
      <c r="F39" s="22"/>
      <c r="G39" s="22"/>
      <c r="H39" s="22"/>
      <c r="I39" s="22" t="str">
        <f>$A$39</f>
        <v xml:space="preserve">  - ARROW_DAMAGE:4:7</v>
      </c>
      <c r="J39" s="22"/>
      <c r="K39" s="22"/>
      <c r="L39" s="22"/>
      <c r="M39" s="22" t="str">
        <f>$A$39</f>
        <v xml:space="preserve">  - ARROW_DAMAGE:4:7</v>
      </c>
      <c r="N39" s="22"/>
      <c r="O39" s="22"/>
      <c r="P39" s="22"/>
      <c r="Q39" s="22" t="str">
        <f>$A$39</f>
        <v xml:space="preserve">  - ARROW_DAMAGE:4:7</v>
      </c>
      <c r="R39" s="22"/>
      <c r="S39" s="22"/>
      <c r="T39" s="22"/>
    </row>
    <row r="40" spans="1:20" x14ac:dyDescent="0.25">
      <c r="A40" s="22" t="str">
        <f>$A$17</f>
        <v xml:space="preserve">  - ARROW_FIRE:4:7</v>
      </c>
      <c r="B40" s="22"/>
      <c r="C40" s="22"/>
      <c r="D40" s="22"/>
      <c r="E40" s="22" t="str">
        <f>$A$40</f>
        <v xml:space="preserve">  - ARROW_FIRE:4:7</v>
      </c>
      <c r="F40" s="22"/>
      <c r="G40" s="22"/>
      <c r="H40" s="22"/>
      <c r="I40" s="22" t="str">
        <f>$A$40</f>
        <v xml:space="preserve">  - ARROW_FIRE:4:7</v>
      </c>
      <c r="J40" s="22"/>
      <c r="K40" s="22"/>
      <c r="L40" s="22"/>
      <c r="M40" s="22" t="str">
        <f>$A$40</f>
        <v xml:space="preserve">  - ARROW_FIRE:4:7</v>
      </c>
      <c r="N40" s="22"/>
      <c r="O40" s="22"/>
      <c r="P40" s="22"/>
      <c r="Q40" s="22" t="str">
        <f>$A$40</f>
        <v xml:space="preserve">  - ARROW_FIRE:4:7</v>
      </c>
      <c r="R40" s="22"/>
      <c r="S40" s="22"/>
      <c r="T40" s="22"/>
    </row>
    <row r="41" spans="1:20" x14ac:dyDescent="0.25">
      <c r="A41" s="22" t="str">
        <f>$A$18</f>
        <v xml:space="preserve">  - ARROW_KNOCKBACK:4:7</v>
      </c>
      <c r="B41" s="22"/>
      <c r="C41" s="22"/>
      <c r="D41" s="22"/>
      <c r="E41" s="22" t="str">
        <f>$A$41</f>
        <v xml:space="preserve">  - ARROW_KNOCKBACK:4:7</v>
      </c>
      <c r="F41" s="22"/>
      <c r="G41" s="22"/>
      <c r="H41" s="22"/>
      <c r="I41" s="22" t="str">
        <f>$A$41</f>
        <v xml:space="preserve">  - ARROW_KNOCKBACK:4:7</v>
      </c>
      <c r="J41" s="22"/>
      <c r="K41" s="22"/>
      <c r="L41" s="22"/>
      <c r="M41" s="22" t="str">
        <f>$A$41</f>
        <v xml:space="preserve">  - ARROW_KNOCKBACK:4:7</v>
      </c>
      <c r="N41" s="22"/>
      <c r="O41" s="22"/>
      <c r="P41" s="22"/>
      <c r="Q41" s="22" t="str">
        <f>$A$41</f>
        <v xml:space="preserve">  - ARROW_KNOCKBACK:4:7</v>
      </c>
      <c r="R41" s="22"/>
      <c r="S41" s="22"/>
      <c r="T41" s="22"/>
    </row>
    <row r="42" spans="1:20" x14ac:dyDescent="0.25">
      <c r="A42" s="22" t="str">
        <f>$A$19</f>
        <v xml:space="preserve">  - DAMAGE_ALL:4:7</v>
      </c>
      <c r="B42" s="22"/>
      <c r="C42" s="22"/>
      <c r="D42" s="22"/>
      <c r="E42" s="22" t="str">
        <f>$A$42</f>
        <v xml:space="preserve">  - DAMAGE_ALL:4:7</v>
      </c>
      <c r="F42" s="22"/>
      <c r="G42" s="22"/>
      <c r="H42" s="22"/>
      <c r="I42" s="22" t="str">
        <f>$A$42</f>
        <v xml:space="preserve">  - DAMAGE_ALL:4:7</v>
      </c>
      <c r="J42" s="22"/>
      <c r="K42" s="22"/>
      <c r="L42" s="22"/>
      <c r="M42" s="22" t="str">
        <f>$A$42</f>
        <v xml:space="preserve">  - DAMAGE_ALL:4:7</v>
      </c>
      <c r="N42" s="22"/>
      <c r="O42" s="22"/>
      <c r="P42" s="22"/>
      <c r="Q42" s="22" t="str">
        <f>$A$42</f>
        <v xml:space="preserve">  - DAMAGE_ALL:4:7</v>
      </c>
      <c r="R42" s="22"/>
      <c r="S42" s="22"/>
      <c r="T42" s="22"/>
    </row>
    <row r="43" spans="1:20" x14ac:dyDescent="0.25">
      <c r="A43" s="22" t="str">
        <f>$A$20</f>
        <v xml:space="preserve">  - DAMAGE_ARTHROPODS:4:7</v>
      </c>
      <c r="B43" s="22"/>
      <c r="C43" s="22"/>
      <c r="D43" s="22"/>
      <c r="E43" s="22" t="str">
        <f>$A$43</f>
        <v xml:space="preserve">  - DAMAGE_ARTHROPODS:4:7</v>
      </c>
      <c r="F43" s="22"/>
      <c r="G43" s="22"/>
      <c r="H43" s="22"/>
      <c r="I43" s="22" t="str">
        <f>$A$43</f>
        <v xml:space="preserve">  - DAMAGE_ARTHROPODS:4:7</v>
      </c>
      <c r="J43" s="22"/>
      <c r="K43" s="22"/>
      <c r="L43" s="22"/>
      <c r="M43" s="22" t="str">
        <f>$A$43</f>
        <v xml:space="preserve">  - DAMAGE_ARTHROPODS:4:7</v>
      </c>
      <c r="N43" s="22"/>
      <c r="O43" s="22"/>
      <c r="P43" s="22"/>
      <c r="Q43" s="22" t="str">
        <f>$A$43</f>
        <v xml:space="preserve">  - DAMAGE_ARTHROPODS:4:7</v>
      </c>
      <c r="R43" s="22"/>
      <c r="S43" s="22"/>
      <c r="T43" s="22"/>
    </row>
    <row r="44" spans="1:20" x14ac:dyDescent="0.25">
      <c r="A44" s="22" t="str">
        <f>$A$21</f>
        <v xml:space="preserve">  - DAMAGE_UNDEAD:4:7</v>
      </c>
      <c r="B44" s="22"/>
      <c r="C44" s="22"/>
      <c r="D44" s="22"/>
      <c r="E44" s="22" t="str">
        <f>$A$44</f>
        <v xml:space="preserve">  - DAMAGE_UNDEAD:4:7</v>
      </c>
      <c r="F44" s="22"/>
      <c r="G44" s="22"/>
      <c r="H44" s="22"/>
      <c r="I44" s="22" t="str">
        <f>$A$44</f>
        <v xml:space="preserve">  - DAMAGE_UNDEAD:4:7</v>
      </c>
      <c r="J44" s="22"/>
      <c r="K44" s="22"/>
      <c r="L44" s="22"/>
      <c r="M44" s="22" t="str">
        <f>$A$44</f>
        <v xml:space="preserve">  - DAMAGE_UNDEAD:4:7</v>
      </c>
      <c r="N44" s="22"/>
      <c r="O44" s="22"/>
      <c r="P44" s="22"/>
      <c r="Q44" s="22" t="str">
        <f>$A$44</f>
        <v xml:space="preserve">  - DAMAGE_UNDEAD:4:7</v>
      </c>
      <c r="R44" s="22"/>
      <c r="S44" s="22"/>
      <c r="T44" s="22"/>
    </row>
    <row r="45" spans="1:20" x14ac:dyDescent="0.25">
      <c r="A45" s="22" t="str">
        <f>$A$22</f>
        <v xml:space="preserve">  - DIG_SPEED:4:7</v>
      </c>
      <c r="B45" s="22"/>
      <c r="C45" s="22"/>
      <c r="D45" s="22"/>
      <c r="E45" s="22" t="str">
        <f>$A$45</f>
        <v xml:space="preserve">  - DIG_SPEED:4:7</v>
      </c>
      <c r="F45" s="22"/>
      <c r="G45" s="22"/>
      <c r="H45" s="22"/>
      <c r="I45" s="22" t="str">
        <f>$A$45</f>
        <v xml:space="preserve">  - DIG_SPEED:4:7</v>
      </c>
      <c r="J45" s="22"/>
      <c r="K45" s="22"/>
      <c r="L45" s="22"/>
      <c r="M45" s="22" t="str">
        <f>$A$45</f>
        <v xml:space="preserve">  - DIG_SPEED:4:7</v>
      </c>
      <c r="N45" s="22"/>
      <c r="O45" s="22"/>
      <c r="P45" s="22"/>
      <c r="Q45" s="22" t="str">
        <f>$A$45</f>
        <v xml:space="preserve">  - DIG_SPEED:4:7</v>
      </c>
      <c r="R45" s="22"/>
      <c r="S45" s="22"/>
      <c r="T45" s="22"/>
    </row>
    <row r="46" spans="1:20" x14ac:dyDescent="0.25">
      <c r="A46" s="22" t="str">
        <f>$A$23</f>
        <v xml:space="preserve">  - DURABILITY:4:7</v>
      </c>
      <c r="B46" s="22"/>
      <c r="C46" s="22"/>
      <c r="D46" s="22"/>
      <c r="E46" s="22" t="str">
        <f>$A$46</f>
        <v xml:space="preserve">  - DURABILITY:4:7</v>
      </c>
      <c r="F46" s="22"/>
      <c r="G46" s="22"/>
      <c r="H46" s="22"/>
      <c r="I46" s="22" t="str">
        <f>$A$46</f>
        <v xml:space="preserve">  - DURABILITY:4:7</v>
      </c>
      <c r="J46" s="22"/>
      <c r="K46" s="22"/>
      <c r="L46" s="22"/>
      <c r="M46" s="22" t="str">
        <f>$A$46</f>
        <v xml:space="preserve">  - DURABILITY:4:7</v>
      </c>
      <c r="N46" s="22"/>
      <c r="O46" s="22"/>
      <c r="P46" s="22"/>
      <c r="Q46" s="22" t="str">
        <f>$A$46</f>
        <v xml:space="preserve">  - DURABILITY:4:7</v>
      </c>
      <c r="R46" s="22"/>
      <c r="S46" s="22"/>
      <c r="T46" s="22"/>
    </row>
    <row r="47" spans="1:20" x14ac:dyDescent="0.25">
      <c r="A47" s="22" t="str">
        <f>$A$24</f>
        <v xml:space="preserve">  - FIRE_ASPECT:4:7</v>
      </c>
      <c r="B47" s="22"/>
      <c r="C47" s="22"/>
      <c r="D47" s="22"/>
      <c r="E47" s="22" t="str">
        <f>$A$47</f>
        <v xml:space="preserve">  - FIRE_ASPECT:4:7</v>
      </c>
      <c r="F47" s="22"/>
      <c r="G47" s="22"/>
      <c r="H47" s="22"/>
      <c r="I47" s="22" t="str">
        <f>$A$47</f>
        <v xml:space="preserve">  - FIRE_ASPECT:4:7</v>
      </c>
      <c r="J47" s="22"/>
      <c r="K47" s="22"/>
      <c r="L47" s="22"/>
      <c r="M47" s="22" t="str">
        <f>$A$47</f>
        <v xml:space="preserve">  - FIRE_ASPECT:4:7</v>
      </c>
      <c r="N47" s="22"/>
      <c r="O47" s="22"/>
      <c r="P47" s="22"/>
      <c r="Q47" s="22" t="str">
        <f>$A$47</f>
        <v xml:space="preserve">  - FIRE_ASPECT:4:7</v>
      </c>
      <c r="R47" s="22"/>
      <c r="S47" s="22"/>
      <c r="T47" s="22"/>
    </row>
    <row r="48" spans="1:20" x14ac:dyDescent="0.25">
      <c r="A48" s="22" t="str">
        <f>$A$25</f>
        <v xml:space="preserve">  - KNOCKBACK:4:7</v>
      </c>
      <c r="B48" s="22"/>
      <c r="C48" s="22"/>
      <c r="D48" s="22"/>
      <c r="E48" s="22" t="str">
        <f>$A$48</f>
        <v xml:space="preserve">  - KNOCKBACK:4:7</v>
      </c>
      <c r="F48" s="22"/>
      <c r="G48" s="22"/>
      <c r="H48" s="22"/>
      <c r="I48" s="22" t="str">
        <f>$A$48</f>
        <v xml:space="preserve">  - KNOCKBACK:4:7</v>
      </c>
      <c r="J48" s="22"/>
      <c r="K48" s="22"/>
      <c r="L48" s="22"/>
      <c r="M48" s="22" t="str">
        <f>$A$48</f>
        <v xml:space="preserve">  - KNOCKBACK:4:7</v>
      </c>
      <c r="N48" s="22"/>
      <c r="O48" s="22"/>
      <c r="P48" s="22"/>
      <c r="Q48" s="22" t="str">
        <f>$A$48</f>
        <v xml:space="preserve">  - KNOCKBACK:4:7</v>
      </c>
      <c r="R48" s="22"/>
      <c r="S48" s="22"/>
      <c r="T48" s="22"/>
    </row>
    <row r="49" spans="1:20" x14ac:dyDescent="0.25">
      <c r="A49" s="22" t="str">
        <f>$A$26</f>
        <v xml:space="preserve">  - LOOT_BONUS_BLOCKS:4:7</v>
      </c>
      <c r="B49" s="22"/>
      <c r="C49" s="22"/>
      <c r="D49" s="22"/>
      <c r="E49" s="22" t="str">
        <f>$A$49</f>
        <v xml:space="preserve">  - LOOT_BONUS_BLOCKS:4:7</v>
      </c>
      <c r="F49" s="22"/>
      <c r="G49" s="22"/>
      <c r="H49" s="22"/>
      <c r="I49" s="22" t="str">
        <f>$A$49</f>
        <v xml:space="preserve">  - LOOT_BONUS_BLOCKS:4:7</v>
      </c>
      <c r="J49" s="22"/>
      <c r="K49" s="22"/>
      <c r="L49" s="22"/>
      <c r="M49" s="22" t="str">
        <f>$A$49</f>
        <v xml:space="preserve">  - LOOT_BONUS_BLOCKS:4:7</v>
      </c>
      <c r="N49" s="22"/>
      <c r="O49" s="22"/>
      <c r="P49" s="22"/>
      <c r="Q49" s="22" t="str">
        <f>$A$49</f>
        <v xml:space="preserve">  - LOOT_BONUS_BLOCKS:4:7</v>
      </c>
      <c r="R49" s="22"/>
      <c r="S49" s="22"/>
      <c r="T49" s="22"/>
    </row>
    <row r="50" spans="1:20" x14ac:dyDescent="0.25">
      <c r="A50" s="22" t="str">
        <f>$A$27</f>
        <v xml:space="preserve">  - LOOT_BONUS_MOBS:4:7</v>
      </c>
      <c r="B50" s="22"/>
      <c r="C50" s="22"/>
      <c r="D50" s="22"/>
      <c r="E50" s="22" t="str">
        <f>$A$50</f>
        <v xml:space="preserve">  - LOOT_BONUS_MOBS:4:7</v>
      </c>
      <c r="F50" s="22"/>
      <c r="G50" s="22"/>
      <c r="H50" s="22"/>
      <c r="I50" s="22" t="str">
        <f>$A$50</f>
        <v xml:space="preserve">  - LOOT_BONUS_MOBS:4:7</v>
      </c>
      <c r="J50" s="22"/>
      <c r="K50" s="22"/>
      <c r="L50" s="22"/>
      <c r="M50" s="22" t="str">
        <f>$A$50</f>
        <v xml:space="preserve">  - LOOT_BONUS_MOBS:4:7</v>
      </c>
      <c r="N50" s="22"/>
      <c r="O50" s="22"/>
      <c r="P50" s="22"/>
      <c r="Q50" s="22" t="str">
        <f>$A$50</f>
        <v xml:space="preserve">  - LOOT_BONUS_MOBS:4:7</v>
      </c>
      <c r="R50" s="22"/>
      <c r="S50" s="22"/>
      <c r="T50" s="22"/>
    </row>
    <row r="51" spans="1:20" x14ac:dyDescent="0.25">
      <c r="A51" s="22" t="str">
        <f>$A$28</f>
        <v xml:space="preserve">  - OXYGEN:4:7</v>
      </c>
      <c r="B51" s="22"/>
      <c r="C51" s="22"/>
      <c r="D51" s="22"/>
      <c r="E51" s="22" t="str">
        <f>$A$51</f>
        <v xml:space="preserve">  - OXYGEN:4:7</v>
      </c>
      <c r="F51" s="22"/>
      <c r="G51" s="22"/>
      <c r="H51" s="22"/>
      <c r="I51" s="22" t="str">
        <f>$A$51</f>
        <v xml:space="preserve">  - OXYGEN:4:7</v>
      </c>
      <c r="J51" s="22"/>
      <c r="K51" s="22"/>
      <c r="L51" s="22"/>
      <c r="M51" s="22" t="str">
        <f>$A$51</f>
        <v xml:space="preserve">  - OXYGEN:4:7</v>
      </c>
      <c r="N51" s="22"/>
      <c r="O51" s="22"/>
      <c r="P51" s="22"/>
      <c r="Q51" s="22" t="str">
        <f>$A$51</f>
        <v xml:space="preserve">  - OXYGEN:4:7</v>
      </c>
      <c r="R51" s="22"/>
      <c r="S51" s="22"/>
      <c r="T51" s="22"/>
    </row>
    <row r="52" spans="1:20" x14ac:dyDescent="0.25">
      <c r="A52" s="22" t="str">
        <f>$A$29</f>
        <v xml:space="preserve">  - PROTECTION_ENVIRONMENT:4:7</v>
      </c>
      <c r="B52" s="22"/>
      <c r="C52" s="22"/>
      <c r="D52" s="22"/>
      <c r="E52" s="22" t="str">
        <f>$A$52</f>
        <v xml:space="preserve">  - PROTECTION_ENVIRONMENT:4:7</v>
      </c>
      <c r="F52" s="22"/>
      <c r="G52" s="22"/>
      <c r="H52" s="22"/>
      <c r="I52" s="22" t="str">
        <f>$A$52</f>
        <v xml:space="preserve">  - PROTECTION_ENVIRONMENT:4:7</v>
      </c>
      <c r="J52" s="22"/>
      <c r="K52" s="22"/>
      <c r="L52" s="22"/>
      <c r="M52" s="22" t="str">
        <f>$A$52</f>
        <v xml:space="preserve">  - PROTECTION_ENVIRONMENT:4:7</v>
      </c>
      <c r="N52" s="22"/>
      <c r="O52" s="22"/>
      <c r="P52" s="22"/>
      <c r="Q52" s="22" t="str">
        <f>$A$52</f>
        <v xml:space="preserve">  - PROTECTION_ENVIRONMENT:4:7</v>
      </c>
      <c r="R52" s="22"/>
      <c r="S52" s="22"/>
      <c r="T52" s="22"/>
    </row>
    <row r="53" spans="1:20" x14ac:dyDescent="0.25">
      <c r="A53" s="22" t="str">
        <f>$A$30</f>
        <v xml:space="preserve">  - PROTECTION_EXPLOSIONS:4:7</v>
      </c>
      <c r="B53" s="22"/>
      <c r="C53" s="22"/>
      <c r="D53" s="22"/>
      <c r="E53" s="22" t="str">
        <f>$A$53</f>
        <v xml:space="preserve">  - PROTECTION_EXPLOSIONS:4:7</v>
      </c>
      <c r="F53" s="22"/>
      <c r="G53" s="22"/>
      <c r="H53" s="22"/>
      <c r="I53" s="22" t="str">
        <f>$A$53</f>
        <v xml:space="preserve">  - PROTECTION_EXPLOSIONS:4:7</v>
      </c>
      <c r="J53" s="22"/>
      <c r="K53" s="22"/>
      <c r="L53" s="22"/>
      <c r="M53" s="22" t="str">
        <f>$A$53</f>
        <v xml:space="preserve">  - PROTECTION_EXPLOSIONS:4:7</v>
      </c>
      <c r="N53" s="22"/>
      <c r="O53" s="22"/>
      <c r="P53" s="22"/>
      <c r="Q53" s="22" t="str">
        <f>$A$53</f>
        <v xml:space="preserve">  - PROTECTION_EXPLOSIONS:4:7</v>
      </c>
      <c r="R53" s="22"/>
      <c r="S53" s="22"/>
      <c r="T53" s="22"/>
    </row>
    <row r="54" spans="1:20" x14ac:dyDescent="0.25">
      <c r="A54" s="22" t="str">
        <f>$A$31</f>
        <v xml:space="preserve">  - PROTECTION_FALL:4:7</v>
      </c>
      <c r="B54" s="22"/>
      <c r="C54" s="22"/>
      <c r="D54" s="22"/>
      <c r="E54" s="22" t="str">
        <f>$A$54</f>
        <v xml:space="preserve">  - PROTECTION_FALL:4:7</v>
      </c>
      <c r="F54" s="22"/>
      <c r="G54" s="22"/>
      <c r="H54" s="22"/>
      <c r="I54" s="22" t="str">
        <f>$A$54</f>
        <v xml:space="preserve">  - PROTECTION_FALL:4:7</v>
      </c>
      <c r="J54" s="22"/>
      <c r="K54" s="22"/>
      <c r="L54" s="22"/>
      <c r="M54" s="22" t="str">
        <f>$A$54</f>
        <v xml:space="preserve">  - PROTECTION_FALL:4:7</v>
      </c>
      <c r="N54" s="22"/>
      <c r="O54" s="22"/>
      <c r="P54" s="22"/>
      <c r="Q54" s="22" t="str">
        <f>$A$54</f>
        <v xml:space="preserve">  - PROTECTION_FALL:4:7</v>
      </c>
      <c r="R54" s="22"/>
      <c r="S54" s="22"/>
      <c r="T54" s="22"/>
    </row>
    <row r="55" spans="1:20" x14ac:dyDescent="0.25">
      <c r="A55" s="22" t="str">
        <f>$A$32</f>
        <v xml:space="preserve">  - PROTECTION_FIRE:4:7</v>
      </c>
      <c r="B55" s="22"/>
      <c r="C55" s="22"/>
      <c r="D55" s="22"/>
      <c r="E55" s="22" t="str">
        <f>$A$55</f>
        <v xml:space="preserve">  - PROTECTION_FIRE:4:7</v>
      </c>
      <c r="F55" s="22"/>
      <c r="G55" s="22"/>
      <c r="H55" s="22"/>
      <c r="I55" s="22" t="str">
        <f>$A$55</f>
        <v xml:space="preserve">  - PROTECTION_FIRE:4:7</v>
      </c>
      <c r="J55" s="22"/>
      <c r="K55" s="22"/>
      <c r="L55" s="22"/>
      <c r="M55" s="22" t="str">
        <f>$A$55</f>
        <v xml:space="preserve">  - PROTECTION_FIRE:4:7</v>
      </c>
      <c r="N55" s="22"/>
      <c r="O55" s="22"/>
      <c r="P55" s="22"/>
      <c r="Q55" s="22" t="str">
        <f>$A$55</f>
        <v xml:space="preserve">  - PROTECTION_FIRE:4:7</v>
      </c>
      <c r="R55" s="22"/>
      <c r="S55" s="22"/>
      <c r="T55" s="22"/>
    </row>
    <row r="56" spans="1:20" x14ac:dyDescent="0.25">
      <c r="A56" s="22" t="str">
        <f>$A$33</f>
        <v xml:space="preserve">  - PROTECTION_PROJECTILE:4:7</v>
      </c>
      <c r="B56" s="22"/>
      <c r="C56" s="22"/>
      <c r="D56" s="22"/>
      <c r="E56" s="22" t="str">
        <f>$A$56</f>
        <v xml:space="preserve">  - PROTECTION_PROJECTILE:4:7</v>
      </c>
      <c r="F56" s="22"/>
      <c r="G56" s="22"/>
      <c r="H56" s="22"/>
      <c r="I56" s="22" t="str">
        <f>$A$56</f>
        <v xml:space="preserve">  - PROTECTION_PROJECTILE:4:7</v>
      </c>
      <c r="J56" s="22"/>
      <c r="K56" s="22"/>
      <c r="L56" s="22"/>
      <c r="M56" s="22" t="str">
        <f>$A$56</f>
        <v xml:space="preserve">  - PROTECTION_PROJECTILE:4:7</v>
      </c>
      <c r="N56" s="22"/>
      <c r="O56" s="22"/>
      <c r="P56" s="22"/>
      <c r="Q56" s="22" t="str">
        <f>$A$56</f>
        <v xml:space="preserve">  - PROTECTION_PROJECTILE:4:7</v>
      </c>
      <c r="R56" s="22"/>
      <c r="S56" s="22"/>
      <c r="T56" s="22"/>
    </row>
    <row r="57" spans="1:20" x14ac:dyDescent="0.25">
      <c r="A57" s="22" t="str">
        <f>$A$34</f>
        <v xml:space="preserve">  - SILK_TOUCH:4:7</v>
      </c>
      <c r="B57" s="22"/>
      <c r="C57" s="22"/>
      <c r="D57" s="22"/>
      <c r="E57" s="22" t="str">
        <f>$A$57</f>
        <v xml:space="preserve">  - SILK_TOUCH:4:7</v>
      </c>
      <c r="F57" s="22"/>
      <c r="G57" s="22"/>
      <c r="H57" s="22"/>
      <c r="I57" s="22" t="str">
        <f>$A$57</f>
        <v xml:space="preserve">  - SILK_TOUCH:4:7</v>
      </c>
      <c r="J57" s="22"/>
      <c r="K57" s="22"/>
      <c r="L57" s="22"/>
      <c r="M57" s="22" t="str">
        <f>$A$57</f>
        <v xml:space="preserve">  - SILK_TOUCH:4:7</v>
      </c>
      <c r="N57" s="22"/>
      <c r="O57" s="22"/>
      <c r="P57" s="22"/>
      <c r="Q57" s="22" t="str">
        <f>$A$57</f>
        <v xml:space="preserve">  - SILK_TOUCH:4:7</v>
      </c>
      <c r="R57" s="22"/>
      <c r="S57" s="22"/>
      <c r="T57" s="22"/>
    </row>
    <row r="58" spans="1:20" x14ac:dyDescent="0.25">
      <c r="A58" s="22" t="str">
        <f>$A$35</f>
        <v xml:space="preserve">  - THORNS:4:7</v>
      </c>
      <c r="B58" s="22"/>
      <c r="C58" s="22"/>
      <c r="D58" s="22"/>
      <c r="E58" s="22" t="str">
        <f>$A$58</f>
        <v xml:space="preserve">  - THORNS:4:7</v>
      </c>
      <c r="F58" s="22"/>
      <c r="G58" s="22"/>
      <c r="H58" s="22"/>
      <c r="I58" s="22" t="str">
        <f>$A$58</f>
        <v xml:space="preserve">  - THORNS:4:7</v>
      </c>
      <c r="J58" s="22"/>
      <c r="K58" s="22"/>
      <c r="L58" s="22"/>
      <c r="M58" s="22" t="str">
        <f>$A$58</f>
        <v xml:space="preserve">  - THORNS:4:7</v>
      </c>
      <c r="N58" s="22"/>
      <c r="O58" s="22"/>
      <c r="P58" s="22"/>
      <c r="Q58" s="22" t="str">
        <f>$A$58</f>
        <v xml:space="preserve">  - THORNS:4:7</v>
      </c>
      <c r="R58" s="22"/>
      <c r="S58" s="22"/>
      <c r="T58" s="22"/>
    </row>
    <row r="59" spans="1:20" x14ac:dyDescent="0.25">
      <c r="A59" s="22" t="str">
        <f>$A$36</f>
        <v xml:space="preserve">  - WATER_WORKER:4:7</v>
      </c>
      <c r="B59" s="22"/>
      <c r="C59" s="22"/>
      <c r="D59" s="22"/>
      <c r="E59" s="22" t="str">
        <f>$A$59</f>
        <v xml:space="preserve">  - WATER_WORKER:4:7</v>
      </c>
      <c r="F59" s="22"/>
      <c r="G59" s="22"/>
      <c r="H59" s="22"/>
      <c r="I59" s="22" t="str">
        <f>$A$59</f>
        <v xml:space="preserve">  - WATER_WORKER:4:7</v>
      </c>
      <c r="J59" s="22"/>
      <c r="K59" s="22"/>
      <c r="L59" s="22"/>
      <c r="M59" s="22" t="str">
        <f>$A$59</f>
        <v xml:space="preserve">  - WATER_WORKER:4:7</v>
      </c>
      <c r="N59" s="22"/>
      <c r="O59" s="22"/>
      <c r="P59" s="22"/>
      <c r="Q59" s="22" t="str">
        <f>$A$59</f>
        <v xml:space="preserve">  - WATER_WORKER:4:7</v>
      </c>
      <c r="R59" s="22"/>
      <c r="S59" s="22"/>
      <c r="T59" s="22"/>
    </row>
    <row r="60" spans="1:20" x14ac:dyDescent="0.25">
      <c r="A60" s="9" t="s">
        <v>28</v>
      </c>
      <c r="B60" s="9"/>
      <c r="C60" s="9"/>
      <c r="D60" s="9"/>
      <c r="E60" s="9" t="s">
        <v>28</v>
      </c>
      <c r="F60" s="9"/>
      <c r="G60" s="9"/>
      <c r="H60" s="9"/>
      <c r="I60" s="9" t="s">
        <v>28</v>
      </c>
      <c r="J60" s="9"/>
      <c r="K60" s="9"/>
      <c r="L60" s="9"/>
      <c r="M60" s="9" t="s">
        <v>28</v>
      </c>
      <c r="N60" s="9"/>
      <c r="O60" s="9"/>
      <c r="P60" s="9"/>
      <c r="Q60" s="9" t="s">
        <v>28</v>
      </c>
      <c r="R60" s="9"/>
      <c r="S60" s="9"/>
      <c r="T60" s="9"/>
    </row>
    <row r="61" spans="1:20" x14ac:dyDescent="0.25">
      <c r="A61" s="11" t="str">
        <f>"  minimumBonusLore: "&amp;MAIN!$G$23</f>
        <v xml:space="preserve">  minimumBonusLore: 3</v>
      </c>
      <c r="B61" s="11"/>
      <c r="C61" s="11"/>
      <c r="D61" s="11"/>
      <c r="E61" s="11" t="str">
        <f>$A$61</f>
        <v xml:space="preserve">  minimumBonusLore: 3</v>
      </c>
      <c r="F61" s="11"/>
      <c r="G61" s="11"/>
      <c r="H61" s="11"/>
      <c r="I61" s="11" t="str">
        <f t="shared" ref="I61" si="12">$A$61</f>
        <v xml:space="preserve">  minimumBonusLore: 3</v>
      </c>
      <c r="J61" s="11"/>
      <c r="K61" s="11"/>
      <c r="L61" s="11"/>
      <c r="M61" s="11" t="str">
        <f t="shared" ref="M61" si="13">$A$61</f>
        <v xml:space="preserve">  minimumBonusLore: 3</v>
      </c>
      <c r="N61" s="11"/>
      <c r="O61" s="11"/>
      <c r="P61" s="11"/>
      <c r="Q61" s="11" t="str">
        <f t="shared" ref="Q61" si="14">$A$61</f>
        <v xml:space="preserve">  minimumBonusLore: 3</v>
      </c>
      <c r="R61" s="11"/>
      <c r="S61" s="11"/>
      <c r="T61" s="11"/>
    </row>
    <row r="62" spans="1:20" x14ac:dyDescent="0.25">
      <c r="A62" s="11" t="str">
        <f>"  maximumBonusLore: "&amp;MAIN!$G$24</f>
        <v xml:space="preserve">  maximumBonusLore: 4</v>
      </c>
      <c r="B62" s="11"/>
      <c r="C62" s="11"/>
      <c r="D62" s="11"/>
      <c r="E62" s="11" t="str">
        <f>$A$62</f>
        <v xml:space="preserve">  maximumBonusLore: 4</v>
      </c>
      <c r="F62" s="11"/>
      <c r="G62" s="11"/>
      <c r="H62" s="11"/>
      <c r="I62" s="11" t="str">
        <f t="shared" ref="I62" si="15">$A$62</f>
        <v xml:space="preserve">  maximumBonusLore: 4</v>
      </c>
      <c r="J62" s="11"/>
      <c r="K62" s="11"/>
      <c r="L62" s="11"/>
      <c r="M62" s="11" t="str">
        <f t="shared" ref="M62" si="16">$A$62</f>
        <v xml:space="preserve">  maximumBonusLore: 4</v>
      </c>
      <c r="N62" s="11"/>
      <c r="O62" s="11"/>
      <c r="P62" s="11"/>
      <c r="Q62" s="11" t="str">
        <f t="shared" ref="Q62" si="17">$A$62</f>
        <v xml:space="preserve">  maximumBonusLore: 4</v>
      </c>
      <c r="R62" s="11"/>
      <c r="S62" s="11"/>
      <c r="T62" s="11"/>
    </row>
    <row r="63" spans="1:20" x14ac:dyDescent="0.25">
      <c r="A63" s="9" t="s">
        <v>29</v>
      </c>
      <c r="B63" s="9"/>
      <c r="C63" s="9"/>
      <c r="D63" s="9"/>
      <c r="E63" s="9" t="s">
        <v>29</v>
      </c>
      <c r="F63" s="9"/>
      <c r="G63" s="9"/>
      <c r="H63" s="9"/>
      <c r="I63" s="9" t="s">
        <v>29</v>
      </c>
      <c r="J63" s="9"/>
      <c r="K63" s="9"/>
      <c r="L63" s="9"/>
      <c r="M63" s="9" t="s">
        <v>29</v>
      </c>
      <c r="N63" s="9"/>
      <c r="O63" s="9"/>
      <c r="P63" s="9"/>
      <c r="Q63" s="9" t="s">
        <v>29</v>
      </c>
      <c r="R63" s="9"/>
      <c r="S63" s="9"/>
      <c r="T63" s="9"/>
    </row>
    <row r="64" spans="1:20" x14ac:dyDescent="0.25">
      <c r="A64" s="20" t="str">
        <f>"  - '&amp;aVenta: &amp;6"&amp;(MAIN!$D$2+(MAIN!$G$18+MAIN!$G$19)/2*MAIN!$B$9+(MAIN!$G$20+MAIN!$G$21)/2*MAIN!$B$8+(MAIN!$G$47*MAIN!$B$11)+($C$2*MAIN!$B$10))/10&amp;" &amp;aAlmakos'"</f>
        <v xml:space="preserve">  - '&amp;aVenta: &amp;6725 &amp;aAlmakos'</v>
      </c>
      <c r="B64" s="20"/>
      <c r="C64" s="20"/>
      <c r="D64" s="20"/>
      <c r="E64" s="20" t="str">
        <f>"  - '&amp;aVenta: &amp;6"&amp;(MAIN!$D$3+(MAIN!$G$18+MAIN!$G$19)/2*MAIN!$B$9+(MAIN!$G$20+MAIN!$G$21)/2*MAIN!$B$8+(MAIN!$G$47*MAIN!$B$11)+($C$2*MAIN!$B$10))/10&amp;" &amp;aAlmakos'"</f>
        <v xml:space="preserve">  - '&amp;aVenta: &amp;6765 &amp;aAlmakos'</v>
      </c>
      <c r="F64" s="20"/>
      <c r="G64" s="20"/>
      <c r="H64" s="20"/>
      <c r="I64" s="20" t="str">
        <f>"  - '&amp;aVenta: &amp;6"&amp;(MAIN!$D$4+(MAIN!$G$18+MAIN!$G$19)/2*MAIN!$B$9+(MAIN!$G$20+MAIN!$G$21)/2*MAIN!$B$8+(MAIN!$G$47*MAIN!$B$11)+($C$2*MAIN!$B$10))/10&amp;" &amp;aAlmakos'"</f>
        <v xml:space="preserve">  - '&amp;aVenta: &amp;6845 &amp;aAlmakos'</v>
      </c>
      <c r="J64" s="20"/>
      <c r="K64" s="20"/>
      <c r="L64" s="20"/>
      <c r="M64" s="20" t="str">
        <f>"  - '&amp;aVenta: &amp;6"&amp;(MAIN!$D$5+(MAIN!$G$18+MAIN!$G$19)/2*MAIN!$B$9+(MAIN!$G$20+MAIN!$G$21)/2*MAIN!$B$8+(MAIN!$G$47*MAIN!$B$11)+($C$2*MAIN!$B$10))/10&amp;" &amp;aAlmakos'"</f>
        <v xml:space="preserve">  - '&amp;aVenta: &amp;61005 &amp;aAlmakos'</v>
      </c>
      <c r="N64" s="20"/>
      <c r="O64" s="20"/>
      <c r="P64" s="20"/>
      <c r="Q64" s="20" t="str">
        <f>"  - '&amp;aVenta: &amp;6"&amp;(MAIN!$D$6+(MAIN!$G$18+MAIN!$G$19)/2*MAIN!$B$9+(MAIN!$G$20+MAIN!$G$21)/2*MAIN!$B$8+(MAIN!$G$47*MAIN!$B$11)+($C$2*MAIN!$B$10))/10&amp;" &amp;aAlmakos'"</f>
        <v xml:space="preserve">  - '&amp;aVenta: &amp;61325 &amp;aAlmakos'</v>
      </c>
      <c r="R64" s="20"/>
      <c r="S64" s="20"/>
      <c r="T64" s="20"/>
    </row>
    <row r="65" spans="1:20" x14ac:dyDescent="0.25">
      <c r="A65" s="9" t="s">
        <v>30</v>
      </c>
      <c r="B65" s="9"/>
      <c r="C65" s="9"/>
      <c r="D65" s="9"/>
      <c r="E65" s="9" t="s">
        <v>30</v>
      </c>
      <c r="F65" s="9"/>
      <c r="G65" s="9"/>
      <c r="H65" s="9"/>
      <c r="I65" s="9" t="s">
        <v>30</v>
      </c>
      <c r="J65" s="9"/>
      <c r="K65" s="9"/>
      <c r="L65" s="9"/>
      <c r="M65" s="9" t="s">
        <v>30</v>
      </c>
      <c r="N65" s="9"/>
      <c r="O65" s="9"/>
      <c r="P65" s="9"/>
      <c r="Q65" s="9" t="s">
        <v>30</v>
      </c>
      <c r="R65" s="9"/>
      <c r="S65" s="9"/>
      <c r="T65" s="9"/>
    </row>
    <row r="66" spans="1:20" x14ac:dyDescent="0.25">
      <c r="A66" s="9" t="s">
        <v>31</v>
      </c>
      <c r="B66" s="9"/>
      <c r="C66" s="9"/>
      <c r="D66" s="9"/>
      <c r="E66" s="9" t="s">
        <v>31</v>
      </c>
      <c r="F66" s="9"/>
      <c r="G66" s="9"/>
      <c r="H66" s="9"/>
      <c r="I66" s="9" t="s">
        <v>31</v>
      </c>
      <c r="J66" s="9"/>
      <c r="K66" s="9"/>
      <c r="L66" s="9"/>
      <c r="M66" s="9" t="s">
        <v>31</v>
      </c>
      <c r="N66" s="9"/>
      <c r="O66" s="9"/>
      <c r="P66" s="9"/>
      <c r="Q66" s="9" t="s">
        <v>31</v>
      </c>
      <c r="R66" s="9"/>
      <c r="S66" s="9"/>
      <c r="T66" s="9"/>
    </row>
    <row r="67" spans="1:20" s="262" customFormat="1" x14ac:dyDescent="0.25">
      <c r="A67" s="9" t="s">
        <v>1032</v>
      </c>
      <c r="B67" s="9"/>
      <c r="C67" s="9"/>
      <c r="D67" s="9"/>
      <c r="E67" s="9" t="s">
        <v>1032</v>
      </c>
      <c r="F67" s="9"/>
      <c r="G67" s="9"/>
      <c r="H67" s="9"/>
      <c r="I67" s="9" t="s">
        <v>1032</v>
      </c>
      <c r="J67" s="9"/>
      <c r="K67" s="9"/>
      <c r="L67" s="9"/>
      <c r="M67" s="9" t="s">
        <v>1032</v>
      </c>
      <c r="N67" s="9"/>
      <c r="O67" s="9"/>
      <c r="P67" s="9"/>
      <c r="Q67" s="9" t="s">
        <v>1032</v>
      </c>
      <c r="R67" s="9"/>
      <c r="S67" s="9"/>
      <c r="T67" s="9"/>
    </row>
    <row r="68" spans="1:20" x14ac:dyDescent="0.25">
      <c r="A68" s="10" t="str">
        <f>"  - '&amp;7• &amp;8Nivel: &amp;a"&amp;MAIN!$C$49+($C$2*MAIN!$I$27)&amp;"'"</f>
        <v xml:space="preserve">  - '&amp;7• &amp;8Nivel: &amp;a48'</v>
      </c>
      <c r="B68" s="10"/>
      <c r="C68" s="10"/>
      <c r="D68" s="10"/>
      <c r="E68" s="10" t="str">
        <f>"  - '&amp;7• &amp;8Nivel: &amp;a"&amp;MAIN!$D$49+($C$2*MAIN!$I$27)&amp;"'"</f>
        <v xml:space="preserve">  - '&amp;7• &amp;8Nivel: &amp;a55'</v>
      </c>
      <c r="F68" s="10"/>
      <c r="G68" s="10"/>
      <c r="H68" s="10"/>
      <c r="I68" s="10" t="str">
        <f>"  - '&amp;7• &amp;8Nivel: &amp;a"&amp;MAIN!$E$49+($C$2*MAIN!$I$27)&amp;"'"</f>
        <v xml:space="preserve">  - '&amp;7• &amp;8Nivel: &amp;a77'</v>
      </c>
      <c r="J68" s="10"/>
      <c r="K68" s="10"/>
      <c r="L68" s="10"/>
      <c r="M68" s="10" t="str">
        <f>"  - '&amp;7• &amp;8Nivel: &amp;a"&amp;MAIN!$F$49+($C$2*MAIN!$I$27)&amp;"'"</f>
        <v xml:space="preserve">  - '&amp;7• &amp;8Nivel: &amp;a141'</v>
      </c>
      <c r="N68" s="10"/>
      <c r="O68" s="10"/>
      <c r="P68" s="10"/>
      <c r="Q68" s="10" t="str">
        <f>"  - '&amp;7• &amp;8Nivel: &amp;a"&amp;MAIN!$G$49+($C$2*MAIN!$I$27)&amp;"'"</f>
        <v xml:space="preserve">  - '&amp;7• &amp;8Nivel: &amp;a237'</v>
      </c>
      <c r="R68" s="10"/>
      <c r="S68" s="10"/>
      <c r="T68" s="10"/>
    </row>
    <row r="69" spans="1:20" x14ac:dyDescent="0.25">
      <c r="A69" s="12" t="str">
        <f>"  - '&amp;7• &amp;8"&amp;MAIN!$C$12&amp;" lvl: &amp;a"&amp;ROUNDUP((MAIN!$C$49+($C$2*MAIN!$I$27))/3,0)&amp;"'"</f>
        <v xml:space="preserve">  - '&amp;7• &amp;8Esencia lvl: &amp;a16'</v>
      </c>
      <c r="B69" s="12"/>
      <c r="C69" s="12"/>
      <c r="D69" s="12"/>
      <c r="E69" s="12" t="str">
        <f>"  - '&amp;7• &amp;8"&amp;MAIN!$C$12&amp;" lvl: &amp;a"&amp;ROUNDUP((MAIN!$D$49+($C$2*MAIN!$I$27))/3,0)&amp;"'"</f>
        <v xml:space="preserve">  - '&amp;7• &amp;8Esencia lvl: &amp;a19'</v>
      </c>
      <c r="F69" s="12"/>
      <c r="G69" s="12"/>
      <c r="H69" s="12"/>
      <c r="I69" s="12" t="str">
        <f>"  - '&amp;7• &amp;8"&amp;MAIN!$C$12&amp;" lvl: &amp;a"&amp;ROUNDUP((MAIN!$E$49+($C$2*MAIN!$I$27))/3,0)&amp;"'"</f>
        <v xml:space="preserve">  - '&amp;7• &amp;8Esencia lvl: &amp;a26'</v>
      </c>
      <c r="J69" s="12"/>
      <c r="K69" s="12"/>
      <c r="L69" s="12"/>
      <c r="M69" s="12" t="str">
        <f>"  - '&amp;7• &amp;8"&amp;MAIN!$C$12&amp;" lvl: &amp;a"&amp;ROUNDUP((MAIN!$F$49+($C$2*MAIN!$I$27))/3,0)&amp;"'"</f>
        <v xml:space="preserve">  - '&amp;7• &amp;8Esencia lvl: &amp;a47'</v>
      </c>
      <c r="N69" s="12"/>
      <c r="O69" s="12"/>
      <c r="P69" s="12"/>
      <c r="Q69" s="12" t="str">
        <f>"  - '&amp;7• &amp;8"&amp;MAIN!$C$12&amp;" lvl: &amp;a"&amp;ROUNDUP((MAIN!$G$49+($C$2*MAIN!$I$27))/3,0)&amp;"'"</f>
        <v xml:space="preserve">  - '&amp;7• &amp;8Esencia lvl: &amp;a79'</v>
      </c>
      <c r="R69" s="12"/>
      <c r="S69" s="12"/>
      <c r="T69" s="12"/>
    </row>
    <row r="70" spans="1:20" x14ac:dyDescent="0.25">
      <c r="A70" s="9" t="s">
        <v>32</v>
      </c>
      <c r="B70" s="9"/>
      <c r="C70" s="9"/>
      <c r="D70" s="9"/>
      <c r="E70" s="9" t="s">
        <v>32</v>
      </c>
      <c r="F70" s="9"/>
      <c r="G70" s="9"/>
      <c r="H70" s="9"/>
      <c r="I70" s="9" t="s">
        <v>32</v>
      </c>
      <c r="J70" s="9"/>
      <c r="K70" s="9"/>
      <c r="L70" s="9"/>
      <c r="M70" s="9" t="s">
        <v>32</v>
      </c>
      <c r="N70" s="9"/>
      <c r="O70" s="9"/>
      <c r="P70" s="9"/>
      <c r="Q70" s="9" t="s">
        <v>32</v>
      </c>
      <c r="R70" s="9"/>
      <c r="S70" s="9"/>
      <c r="T70" s="9"/>
    </row>
    <row r="71" spans="1:20" s="291" customFormat="1" x14ac:dyDescent="0.25">
      <c r="A71" s="9" t="s">
        <v>1196</v>
      </c>
      <c r="B71" s="9"/>
      <c r="C71" s="9"/>
      <c r="D71" s="9"/>
      <c r="E71" s="9" t="str">
        <f>A71</f>
        <v xml:space="preserve">  - '%tierlore%'</v>
      </c>
      <c r="F71" s="9"/>
      <c r="G71" s="9"/>
      <c r="H71" s="9"/>
      <c r="I71" s="9" t="str">
        <f>E71</f>
        <v xml:space="preserve">  - '%tierlore%'</v>
      </c>
      <c r="J71" s="9"/>
      <c r="K71" s="9"/>
      <c r="L71" s="9"/>
      <c r="M71" s="9" t="str">
        <f>I71</f>
        <v xml:space="preserve">  - '%tierlore%'</v>
      </c>
      <c r="N71" s="9"/>
      <c r="O71" s="9"/>
      <c r="P71" s="9"/>
      <c r="Q71" s="9" t="str">
        <f>M71</f>
        <v xml:space="preserve">  - '%tierlore%'</v>
      </c>
      <c r="R71" s="9"/>
      <c r="S71" s="9"/>
      <c r="T71" s="9"/>
    </row>
    <row r="72" spans="1:20" x14ac:dyDescent="0.25">
      <c r="A72" s="9" t="s">
        <v>33</v>
      </c>
      <c r="B72" s="9"/>
      <c r="C72" s="9"/>
      <c r="D72" s="9"/>
      <c r="E72" s="9" t="s">
        <v>33</v>
      </c>
      <c r="F72" s="9"/>
      <c r="G72" s="9"/>
      <c r="H72" s="9"/>
      <c r="I72" s="9" t="s">
        <v>33</v>
      </c>
      <c r="J72" s="9"/>
      <c r="K72" s="9"/>
      <c r="L72" s="9"/>
      <c r="M72" s="9" t="s">
        <v>33</v>
      </c>
      <c r="N72" s="9"/>
      <c r="O72" s="9"/>
      <c r="P72" s="9"/>
      <c r="Q72" s="9" t="s">
        <v>33</v>
      </c>
      <c r="R72" s="9"/>
      <c r="S72" s="9"/>
      <c r="T72" s="9"/>
    </row>
    <row r="73" spans="1:20" x14ac:dyDescent="0.25">
      <c r="A73" s="10" t="str">
        <f>"  - '&amp;4• &amp;f"&amp;MAIN!$C$9&amp;": &amp;a"&amp;MAIN!$C$44*$C$2&amp;"'"</f>
        <v xml:space="preserve">  - '&amp;4• &amp;fFuerza: &amp;a18'</v>
      </c>
      <c r="B73" s="10"/>
      <c r="C73" s="10"/>
      <c r="D73" s="10"/>
      <c r="E73" s="10" t="str">
        <f>"  - '&amp;4• &amp;f"&amp;MAIN!$C$9&amp;": &amp;a"&amp;MAIN!$D$44*$C$2&amp;"'"</f>
        <v xml:space="preserve">  - '&amp;4• &amp;fFuerza: &amp;a54'</v>
      </c>
      <c r="F73" s="10"/>
      <c r="G73" s="10"/>
      <c r="H73" s="10"/>
      <c r="I73" s="10" t="str">
        <f>"  - '&amp;4• &amp;f"&amp;MAIN!$C$9&amp;": &amp;a"&amp;MAIN!$E$44*$C$2&amp;"'"</f>
        <v xml:space="preserve">  - '&amp;4• &amp;fFuerza: &amp;a162'</v>
      </c>
      <c r="J73" s="10"/>
      <c r="K73" s="10"/>
      <c r="L73" s="10"/>
      <c r="M73" s="10" t="str">
        <f>"  - '&amp;4• &amp;f"&amp;MAIN!$C$9&amp;": &amp;a"&amp;MAIN!$F$44*$C$2&amp;"'"</f>
        <v xml:space="preserve">  - '&amp;4• &amp;fFuerza: &amp;a486'</v>
      </c>
      <c r="N73" s="10"/>
      <c r="O73" s="10"/>
      <c r="P73" s="10"/>
      <c r="Q73" s="10" t="str">
        <f>"  - '&amp;4• &amp;f"&amp;MAIN!$C$9&amp;": &amp;a"&amp;MAIN!$G$44*$C$2&amp;"'"</f>
        <v xml:space="preserve">  - '&amp;4• &amp;fFuerza: &amp;a1458'</v>
      </c>
      <c r="R73" s="10"/>
      <c r="S73" s="10"/>
      <c r="T73" s="10"/>
    </row>
    <row r="74" spans="1:20" x14ac:dyDescent="0.25">
      <c r="A74" s="10" t="str">
        <f>"  - '&amp;4• &amp;f"&amp;MAIN!$C$8&amp;": &amp;a"&amp;MAIN!$C$43*$C$2&amp;"'"</f>
        <v xml:space="preserve">  - '&amp;4• &amp;fVitalidad: &amp;a18'</v>
      </c>
      <c r="B74" s="10"/>
      <c r="C74" s="10"/>
      <c r="D74" s="10"/>
      <c r="E74" s="10" t="str">
        <f>"  - '&amp;4• &amp;f"&amp;MAIN!$C$8&amp;": &amp;a"&amp;MAIN!$D$43*$C$2&amp;"'"</f>
        <v xml:space="preserve">  - '&amp;4• &amp;fVitalidad: &amp;a54'</v>
      </c>
      <c r="F74" s="10"/>
      <c r="G74" s="10"/>
      <c r="H74" s="10"/>
      <c r="I74" s="10" t="str">
        <f>"  - '&amp;4• &amp;f"&amp;MAIN!$C$8&amp;": &amp;a"&amp;MAIN!$E$43*$C$2&amp;"'"</f>
        <v xml:space="preserve">  - '&amp;4• &amp;fVitalidad: &amp;a162'</v>
      </c>
      <c r="J74" s="10"/>
      <c r="K74" s="10"/>
      <c r="L74" s="10"/>
      <c r="M74" s="10" t="str">
        <f>"  - '&amp;4• &amp;f"&amp;MAIN!$C$8&amp;": &amp;a"&amp;MAIN!$F$43*$C$2&amp;"'"</f>
        <v xml:space="preserve">  - '&amp;4• &amp;fVitalidad: &amp;a486'</v>
      </c>
      <c r="N74" s="10"/>
      <c r="O74" s="10"/>
      <c r="P74" s="10"/>
      <c r="Q74" s="10" t="str">
        <f>"  - '&amp;4• &amp;f"&amp;MAIN!$C$8&amp;": &amp;a"&amp;MAIN!$G$43*$C$2&amp;"'"</f>
        <v xml:space="preserve">  - '&amp;4• &amp;fVitalidad: &amp;a1458'</v>
      </c>
      <c r="R74" s="10"/>
      <c r="S74" s="10"/>
      <c r="T74" s="10"/>
    </row>
    <row r="75" spans="1:20" x14ac:dyDescent="0.25">
      <c r="A75" s="10" t="str">
        <f>"  - '&amp;4• &amp;f"&amp;MAIN!$C$11&amp;": &amp;a"&amp;MAIN!$C$43*$C$2&amp;"'"</f>
        <v xml:space="preserve">  - '&amp;4• &amp;fInteligencia: &amp;a18'</v>
      </c>
      <c r="B75" s="10"/>
      <c r="C75" s="10"/>
      <c r="D75" s="10"/>
      <c r="E75" s="10" t="str">
        <f>"  - '&amp;4• &amp;f"&amp;MAIN!$C$11&amp;": &amp;a"&amp;MAIN!$D$43*$C$2&amp;"'"</f>
        <v xml:space="preserve">  - '&amp;4• &amp;fInteligencia: &amp;a54'</v>
      </c>
      <c r="F75" s="10"/>
      <c r="G75" s="10"/>
      <c r="H75" s="10"/>
      <c r="I75" s="10" t="str">
        <f>"  - '&amp;4• &amp;f"&amp;MAIN!$C$11&amp;": &amp;a"&amp;MAIN!$E$43*$C$2&amp;"'"</f>
        <v xml:space="preserve">  - '&amp;4• &amp;fInteligencia: &amp;a162'</v>
      </c>
      <c r="J75" s="10"/>
      <c r="K75" s="10"/>
      <c r="L75" s="10"/>
      <c r="M75" s="10" t="str">
        <f>"  - '&amp;4• &amp;f"&amp;MAIN!$C$11&amp;": &amp;a"&amp;MAIN!$F$43*$C$2&amp;"'"</f>
        <v xml:space="preserve">  - '&amp;4• &amp;fInteligencia: &amp;a486'</v>
      </c>
      <c r="N75" s="10"/>
      <c r="O75" s="10"/>
      <c r="P75" s="10"/>
      <c r="Q75" s="10" t="str">
        <f>"  - '&amp;4• &amp;f"&amp;MAIN!$C$11&amp;": &amp;a"&amp;MAIN!$G$43*$C$2&amp;"'"</f>
        <v xml:space="preserve">  - '&amp;4• &amp;fInteligencia: &amp;a1458'</v>
      </c>
      <c r="R75" s="10"/>
      <c r="S75" s="10"/>
      <c r="T75" s="10"/>
    </row>
    <row r="76" spans="1:20" x14ac:dyDescent="0.25">
      <c r="A76" s="10" t="str">
        <f>"  - '&amp;4• &amp;f"&amp;MAIN!$C$10&amp;": &amp;a"&amp;MAIN!$C$45*$C$2&amp;"'"</f>
        <v xml:space="preserve">  - '&amp;4• &amp;fAgilidad: &amp;a18'</v>
      </c>
      <c r="B76" s="10"/>
      <c r="C76" s="10"/>
      <c r="D76" s="10"/>
      <c r="E76" s="10" t="str">
        <f>"  - '&amp;4• &amp;f"&amp;MAIN!$C$10&amp;": &amp;a"&amp;MAIN!$D$45*$C$2&amp;"'"</f>
        <v xml:space="preserve">  - '&amp;4• &amp;fAgilidad: &amp;a54'</v>
      </c>
      <c r="F76" s="10"/>
      <c r="G76" s="10"/>
      <c r="H76" s="10"/>
      <c r="I76" s="10" t="str">
        <f>"  - '&amp;4• &amp;f"&amp;MAIN!$C$10&amp;": &amp;a"&amp;MAIN!$E$45*$C$2&amp;"'"</f>
        <v xml:space="preserve">  - '&amp;4• &amp;fAgilidad: &amp;a162'</v>
      </c>
      <c r="J76" s="10"/>
      <c r="K76" s="10"/>
      <c r="L76" s="10"/>
      <c r="M76" s="10" t="str">
        <f>"  - '&amp;4• &amp;f"&amp;MAIN!$C$10&amp;": &amp;a"&amp;MAIN!$F$45*$C$2&amp;"'"</f>
        <v xml:space="preserve">  - '&amp;4• &amp;fAgilidad: &amp;a486'</v>
      </c>
      <c r="N76" s="10"/>
      <c r="O76" s="10"/>
      <c r="P76" s="10"/>
      <c r="Q76" s="10" t="str">
        <f>"  - '&amp;4• &amp;f"&amp;MAIN!$C$10&amp;": &amp;a"&amp;MAIN!$G$45*$C$2&amp;"'"</f>
        <v xml:space="preserve">  - '&amp;4• &amp;fAgilidad: &amp;a1458'</v>
      </c>
      <c r="R76" s="10"/>
      <c r="S76" s="10"/>
      <c r="T76" s="10"/>
    </row>
    <row r="77" spans="1:20" x14ac:dyDescent="0.25">
      <c r="A77" s="9" t="s">
        <v>71</v>
      </c>
      <c r="B77" s="9"/>
      <c r="C77" s="9"/>
      <c r="D77" s="9"/>
      <c r="E77" s="9" t="s">
        <v>71</v>
      </c>
      <c r="F77" s="9"/>
      <c r="G77" s="9"/>
      <c r="H77" s="9"/>
      <c r="I77" s="9" t="s">
        <v>71</v>
      </c>
      <c r="J77" s="9"/>
      <c r="K77" s="9"/>
      <c r="L77" s="9"/>
      <c r="M77" s="9" t="s">
        <v>71</v>
      </c>
      <c r="N77" s="9"/>
      <c r="O77" s="9"/>
      <c r="P77" s="9"/>
      <c r="Q77" s="9" t="s">
        <v>71</v>
      </c>
      <c r="R77" s="9"/>
      <c r="S77" s="9"/>
      <c r="T77" s="9"/>
    </row>
    <row r="78" spans="1:20" x14ac:dyDescent="0.25">
      <c r="A78" s="9" t="s">
        <v>72</v>
      </c>
      <c r="B78" s="9"/>
      <c r="C78" s="9"/>
      <c r="D78" s="9"/>
      <c r="E78" s="9" t="s">
        <v>72</v>
      </c>
      <c r="F78" s="9"/>
      <c r="G78" s="9"/>
      <c r="H78" s="9"/>
      <c r="I78" s="9" t="s">
        <v>72</v>
      </c>
      <c r="J78" s="9"/>
      <c r="K78" s="9"/>
      <c r="L78" s="9"/>
      <c r="M78" s="9" t="s">
        <v>72</v>
      </c>
      <c r="N78" s="9"/>
      <c r="O78" s="9"/>
      <c r="P78" s="9"/>
      <c r="Q78" s="9" t="s">
        <v>72</v>
      </c>
      <c r="R78" s="9"/>
      <c r="S78" s="9"/>
      <c r="T78" s="9"/>
    </row>
    <row r="79" spans="1:20" x14ac:dyDescent="0.25">
      <c r="A79" s="11" t="str">
        <f>"minimumSockets: "&amp;MAIN!$G$29</f>
        <v>minimumSockets: 2</v>
      </c>
      <c r="B79" s="11"/>
      <c r="C79" s="11"/>
      <c r="D79" s="11"/>
      <c r="E79" s="11" t="str">
        <f>$A$79</f>
        <v>minimumSockets: 2</v>
      </c>
      <c r="F79" s="11"/>
      <c r="G79" s="11"/>
      <c r="H79" s="11"/>
      <c r="I79" s="11" t="str">
        <f>$A$79</f>
        <v>minimumSockets: 2</v>
      </c>
      <c r="J79" s="11"/>
      <c r="K79" s="11"/>
      <c r="L79" s="11"/>
      <c r="M79" s="11" t="str">
        <f>$A$79</f>
        <v>minimumSockets: 2</v>
      </c>
      <c r="N79" s="11"/>
      <c r="O79" s="11"/>
      <c r="P79" s="11"/>
      <c r="Q79" s="11" t="str">
        <f>$A$79</f>
        <v>minimumSockets: 2</v>
      </c>
      <c r="R79" s="11"/>
      <c r="S79" s="11"/>
      <c r="T79" s="11"/>
    </row>
    <row r="80" spans="1:20" x14ac:dyDescent="0.25">
      <c r="A80" s="11" t="str">
        <f>"maximumSockets: "&amp;MAIN!$G$30</f>
        <v>maximumSockets: 4</v>
      </c>
      <c r="B80" s="11"/>
      <c r="C80" s="11"/>
      <c r="D80" s="11"/>
      <c r="E80" s="11" t="str">
        <f>$A$80</f>
        <v>maximumSockets: 4</v>
      </c>
      <c r="F80" s="11"/>
      <c r="G80" s="11"/>
      <c r="H80" s="11"/>
      <c r="I80" s="11" t="str">
        <f>$A$80</f>
        <v>maximumSockets: 4</v>
      </c>
      <c r="J80" s="11"/>
      <c r="K80" s="11"/>
      <c r="L80" s="11"/>
      <c r="M80" s="11" t="str">
        <f>$A$80</f>
        <v>maximumSockets: 4</v>
      </c>
      <c r="N80" s="11"/>
      <c r="O80" s="11"/>
      <c r="P80" s="11"/>
      <c r="Q80" s="11" t="str">
        <f>$A$80</f>
        <v>maximumSockets: 4</v>
      </c>
      <c r="R80" s="11"/>
      <c r="S80" s="11"/>
      <c r="T80" s="11"/>
    </row>
    <row r="81" spans="1:20" x14ac:dyDescent="0.25">
      <c r="A81" s="11" t="str">
        <f>"chanceToSpawnOnAMonster: "&amp;MAIN!$G$27</f>
        <v>chanceToSpawnOnAMonster: 0.0375</v>
      </c>
      <c r="B81" s="11"/>
      <c r="C81" s="11"/>
      <c r="D81" s="11"/>
      <c r="E81" s="11" t="str">
        <f>$A$81</f>
        <v>chanceToSpawnOnAMonster: 0.0375</v>
      </c>
      <c r="F81" s="11"/>
      <c r="G81" s="11"/>
      <c r="H81" s="11"/>
      <c r="I81" s="11" t="str">
        <f>$A$81</f>
        <v>chanceToSpawnOnAMonster: 0.0375</v>
      </c>
      <c r="J81" s="11"/>
      <c r="K81" s="11"/>
      <c r="L81" s="11"/>
      <c r="M81" s="11" t="str">
        <f>$A$81</f>
        <v>chanceToSpawnOnAMonster: 0.0375</v>
      </c>
      <c r="N81" s="11"/>
      <c r="O81" s="11"/>
      <c r="P81" s="11"/>
      <c r="Q81" s="11" t="str">
        <f>$A$81</f>
        <v>chanceToSpawnOnAMonster: 0.0375</v>
      </c>
      <c r="R81" s="11"/>
      <c r="S81" s="11"/>
      <c r="T81" s="11"/>
    </row>
    <row r="82" spans="1:20" x14ac:dyDescent="0.25">
      <c r="A82" s="9" t="s">
        <v>34</v>
      </c>
      <c r="B82" s="9"/>
      <c r="C82" s="9"/>
      <c r="D82" s="9"/>
      <c r="E82" s="9" t="s">
        <v>34</v>
      </c>
      <c r="F82" s="9"/>
      <c r="G82" s="9"/>
      <c r="H82" s="9"/>
      <c r="I82" s="9" t="s">
        <v>34</v>
      </c>
      <c r="J82" s="9"/>
      <c r="K82" s="9"/>
      <c r="L82" s="9"/>
      <c r="M82" s="9" t="s">
        <v>34</v>
      </c>
      <c r="N82" s="9"/>
      <c r="O82" s="9"/>
      <c r="P82" s="9"/>
      <c r="Q82" s="9" t="s">
        <v>34</v>
      </c>
      <c r="R82" s="9"/>
      <c r="S82" s="9"/>
      <c r="T82" s="9"/>
    </row>
    <row r="83" spans="1:20" x14ac:dyDescent="0.25">
      <c r="A83" s="11" t="str">
        <f>"chanceToBeIdentified: "&amp;MAIN!$G$28</f>
        <v>chanceToBeIdentified: 0.01875</v>
      </c>
      <c r="B83" s="11"/>
      <c r="C83" s="11"/>
      <c r="D83" s="11"/>
      <c r="E83" s="11" t="str">
        <f>$A$83</f>
        <v>chanceToBeIdentified: 0.01875</v>
      </c>
      <c r="F83" s="11"/>
      <c r="G83" s="11"/>
      <c r="H83" s="11"/>
      <c r="I83" s="11" t="str">
        <f>$A$83</f>
        <v>chanceToBeIdentified: 0.01875</v>
      </c>
      <c r="J83" s="11"/>
      <c r="K83" s="11"/>
      <c r="L83" s="11"/>
      <c r="M83" s="11" t="str">
        <f>$A$83</f>
        <v>chanceToBeIdentified: 0.01875</v>
      </c>
      <c r="N83" s="11"/>
      <c r="O83" s="11"/>
      <c r="P83" s="11"/>
      <c r="Q83" s="11" t="str">
        <f>$A$83</f>
        <v>chanceToBeIdentified: 0.01875</v>
      </c>
      <c r="R83" s="11"/>
      <c r="S83" s="11"/>
      <c r="T83" s="11"/>
    </row>
    <row r="84" spans="1:20" x14ac:dyDescent="0.25">
      <c r="A84" s="9" t="s">
        <v>79</v>
      </c>
      <c r="B84" s="9"/>
      <c r="C84" s="9"/>
      <c r="D84" s="9"/>
      <c r="E84" s="9" t="s">
        <v>79</v>
      </c>
      <c r="F84" s="9"/>
      <c r="G84" s="9"/>
      <c r="H84" s="9"/>
      <c r="I84" s="9" t="s">
        <v>79</v>
      </c>
      <c r="J84" s="9"/>
      <c r="K84" s="9"/>
      <c r="L84" s="9"/>
      <c r="M84" s="9" t="s">
        <v>79</v>
      </c>
      <c r="N84" s="9"/>
      <c r="O84" s="9"/>
      <c r="P84" s="9"/>
      <c r="Q84" s="9" t="s">
        <v>79</v>
      </c>
      <c r="R84" s="9"/>
      <c r="S84" s="9"/>
      <c r="T84" s="9"/>
    </row>
    <row r="85" spans="1:20" x14ac:dyDescent="0.25">
      <c r="A85" s="11" t="str">
        <f>"broadcastOnFind: "&amp;$E$2</f>
        <v>broadcastOnFind: true</v>
      </c>
      <c r="B85" s="11"/>
      <c r="C85" s="11"/>
      <c r="D85" s="11"/>
      <c r="E85" s="11" t="str">
        <f>$A$85</f>
        <v>broadcastOnFind: true</v>
      </c>
      <c r="F85" s="11"/>
      <c r="G85" s="11"/>
      <c r="H85" s="11"/>
      <c r="I85" s="11" t="str">
        <f>$A$85</f>
        <v>broadcastOnFind: true</v>
      </c>
      <c r="J85" s="11"/>
      <c r="K85" s="11"/>
      <c r="L85" s="11"/>
      <c r="M85" s="11" t="str">
        <f>$A$85</f>
        <v>broadcastOnFind: true</v>
      </c>
      <c r="N85" s="11"/>
      <c r="O85" s="11"/>
      <c r="P85" s="11"/>
      <c r="Q85" s="11" t="str">
        <f>$A$85</f>
        <v>broadcastOnFind: true</v>
      </c>
      <c r="R85" s="11"/>
      <c r="S85" s="11"/>
      <c r="T85" s="11"/>
    </row>
    <row r="86" spans="1:20" x14ac:dyDescent="0.25">
      <c r="A86" s="11" t="str">
        <f>"optimalDistance: "&amp;MAIN!$G$39</f>
        <v>optimalDistance: 3000</v>
      </c>
      <c r="B86" s="11"/>
      <c r="C86" s="11"/>
      <c r="D86" s="11"/>
      <c r="E86" s="11" t="str">
        <f>$A$86</f>
        <v>optimalDistance: 3000</v>
      </c>
      <c r="F86" s="11"/>
      <c r="G86" s="11"/>
      <c r="H86" s="11"/>
      <c r="I86" s="11" t="str">
        <f>$A$86</f>
        <v>optimalDistance: 3000</v>
      </c>
      <c r="J86" s="11"/>
      <c r="K86" s="11"/>
      <c r="L86" s="11"/>
      <c r="M86" s="11" t="str">
        <f>$A$86</f>
        <v>optimalDistance: 3000</v>
      </c>
      <c r="N86" s="11"/>
      <c r="O86" s="11"/>
      <c r="P86" s="11"/>
      <c r="Q86" s="11" t="str">
        <f>$A$86</f>
        <v>optimalDistance: 3000</v>
      </c>
      <c r="R86" s="11"/>
      <c r="S86" s="11"/>
      <c r="T86" s="11"/>
    </row>
    <row r="87" spans="1:20" x14ac:dyDescent="0.25">
      <c r="A87" s="11" t="str">
        <f>"maximumDistance: "&amp;MAIN!$G$40</f>
        <v>maximumDistance: 1800</v>
      </c>
      <c r="B87" s="11"/>
      <c r="C87" s="11"/>
      <c r="D87" s="11"/>
      <c r="E87" s="11" t="str">
        <f>$A$87</f>
        <v>maximumDistance: 1800</v>
      </c>
      <c r="F87" s="11"/>
      <c r="G87" s="11"/>
      <c r="H87" s="11"/>
      <c r="I87" s="11" t="str">
        <f>$A$87</f>
        <v>maximumDistance: 1800</v>
      </c>
      <c r="J87" s="11"/>
      <c r="K87" s="11"/>
      <c r="L87" s="11"/>
      <c r="M87" s="11" t="str">
        <f>$A$87</f>
        <v>maximumDistance: 1800</v>
      </c>
      <c r="N87" s="11"/>
      <c r="O87" s="11"/>
      <c r="P87" s="11"/>
      <c r="Q87" s="11" t="str">
        <f>$A$87</f>
        <v>maximumDistance: 1800</v>
      </c>
      <c r="R87" s="11"/>
      <c r="S87" s="11"/>
      <c r="T87" s="11"/>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row r="190" spans="1:4" x14ac:dyDescent="0.25">
      <c r="A190" s="9"/>
      <c r="B190" s="9"/>
      <c r="C190" s="9"/>
      <c r="D190" s="9"/>
    </row>
    <row r="191" spans="1:4" x14ac:dyDescent="0.25">
      <c r="A191" s="9"/>
      <c r="B191" s="9"/>
      <c r="C191" s="9"/>
      <c r="D191"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5"/>
  <dimension ref="A1:Z191"/>
  <sheetViews>
    <sheetView topLeftCell="N65" workbookViewId="0">
      <selection activeCell="Q4" sqref="Q4:Q87"/>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105</v>
      </c>
      <c r="B2" s="293"/>
      <c r="C2" s="293">
        <f>'ECONOMIA &amp; PROFESIONES'!$R$3</f>
        <v>9</v>
      </c>
      <c r="D2" s="293"/>
      <c r="E2" s="293" t="s">
        <v>107</v>
      </c>
      <c r="F2" s="293"/>
      <c r="G2" s="293" t="s">
        <v>106</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"+"&amp;ROUND(MAIN!$C$55*$C$2*$K$2/5*$U$4,0)&amp;" "&amp;$I$2</f>
        <v>+9 Armor</v>
      </c>
      <c r="W4" s="291" t="str">
        <f>"+"&amp;ROUND(MAIN!$D$55*$C$2*$K$2/5*$U$4,0)&amp;" "&amp;$I$2</f>
        <v>+14 Armor</v>
      </c>
      <c r="X4" s="291" t="str">
        <f>"+"&amp;ROUND(MAIN!$E$55*$C$2*$K$2/5*$U$4,0)&amp;" "&amp;$I$2</f>
        <v>+23 Armor</v>
      </c>
      <c r="Y4" s="291" t="str">
        <f>"+"&amp;ROUND(MAIN!$F$55*$C$2*$K$2/5*$U$4,0)&amp;" "&amp;$I$2</f>
        <v>+40 Armor</v>
      </c>
      <c r="Z4" s="291"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"+"&amp;ROUND(MAIN!$C$55*$C$2*$K$2/5*$U$5,0)&amp;" "&amp;$I$2</f>
        <v>+18 Armor</v>
      </c>
      <c r="W5" s="291" t="str">
        <f>"+"&amp;ROUND(MAIN!$D$55*$C$2*$K$2/5*$U$5,0)&amp;" "&amp;$I$2</f>
        <v>+29 Armor</v>
      </c>
      <c r="X5" s="291" t="str">
        <f>"+"&amp;ROUND(MAIN!$E$55*$C$2*$K$2/5*$U$5,0)&amp;" "&amp;$I$2</f>
        <v>+47 Armor</v>
      </c>
      <c r="Y5" s="291" t="str">
        <f>"+"&amp;ROUND(MAIN!$F$55*$C$2*$K$2/5*$U$5,0)&amp;" "&amp;$I$2</f>
        <v>+79 Armor</v>
      </c>
      <c r="Z5" s="291"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+27 Armor</v>
      </c>
      <c r="W6" s="291" t="str">
        <f>"+"&amp;ROUND(MAIN!$D$55*$C$2*$K$2/5*$U$6,0)&amp;" "&amp;$I$2</f>
        <v>+43 Armor</v>
      </c>
      <c r="X6" s="291" t="str">
        <f>"+"&amp;ROUND(MAIN!$E$55*$C$2*$K$2/5*$U$6,0)&amp;" "&amp;$I$2</f>
        <v>+70 Armor</v>
      </c>
      <c r="Y6" s="291" t="str">
        <f>"+"&amp;ROUND(MAIN!$F$55*$C$2*$K$2/5*$U$6,0)&amp;" "&amp;$I$2</f>
        <v>+119 Armor</v>
      </c>
      <c r="Z6" s="291"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+36 Armor</v>
      </c>
      <c r="W7" s="291" t="str">
        <f>"+"&amp;ROUND(MAIN!$D$55*$C$2*$K$2/5*$U$7,0)&amp;" "&amp;$I$2</f>
        <v>+58 Armor</v>
      </c>
      <c r="X7" s="291" t="str">
        <f>"+"&amp;ROUND(MAIN!$E$55*$C$2*$K$2/5*$U$7,0)&amp;" "&amp;$I$2</f>
        <v>+94 Armor</v>
      </c>
      <c r="Y7" s="291" t="str">
        <f>"+"&amp;ROUND(MAIN!$F$55*$C$2*$K$2/5*$U$7,0)&amp;" "&amp;$I$2</f>
        <v>+158 Armor</v>
      </c>
      <c r="Z7" s="291"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+45 Armor</v>
      </c>
      <c r="W8" s="291" t="str">
        <f>"+"&amp;ROUND(MAIN!$D$55*$C$2*$K$2/5*$U$8,0)&amp;" "&amp;$I$2</f>
        <v>+72 Armor</v>
      </c>
      <c r="X8" s="291" t="str">
        <f>"+"&amp;ROUND(MAIN!$E$55*$C$2*$K$2/5*$U$8,0)&amp;" "&amp;$I$2</f>
        <v>+117 Armor</v>
      </c>
      <c r="Y8" s="291" t="str">
        <f>"+"&amp;ROUND(MAIN!$F$55*$C$2*$K$2/5*$U$8,0)&amp;" "&amp;$I$2</f>
        <v>+198 Armor</v>
      </c>
      <c r="Z8" s="291"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$A$38</f>
        <v xml:space="preserve">  - ARROW_INFINITE:4:7</v>
      </c>
      <c r="J15" s="22"/>
      <c r="K15" s="22"/>
      <c r="L15" s="22"/>
      <c r="M15" s="22" t="str">
        <f>$A$38</f>
        <v xml:space="preserve">  - ARROW_INFINITE:4:7</v>
      </c>
      <c r="N15" s="22"/>
      <c r="O15" s="22"/>
      <c r="P15" s="22"/>
      <c r="Q15" s="22" t="str">
        <f>$A$38</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$A$39</f>
        <v xml:space="preserve">  - ARROW_DAMAGE:4:7</v>
      </c>
      <c r="J16" s="22"/>
      <c r="K16" s="22"/>
      <c r="L16" s="22"/>
      <c r="M16" s="22" t="str">
        <f>$A$39</f>
        <v xml:space="preserve">  - ARROW_DAMAGE:4:7</v>
      </c>
      <c r="N16" s="22"/>
      <c r="O16" s="22"/>
      <c r="P16" s="22"/>
      <c r="Q16" s="22" t="str">
        <f>$A$39</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$A$40</f>
        <v xml:space="preserve">  - ARROW_FIRE:4:7</v>
      </c>
      <c r="J17" s="22"/>
      <c r="K17" s="22"/>
      <c r="L17" s="22"/>
      <c r="M17" s="22" t="str">
        <f>$A$40</f>
        <v xml:space="preserve">  - ARROW_FIRE:4:7</v>
      </c>
      <c r="N17" s="22"/>
      <c r="O17" s="22"/>
      <c r="P17" s="22"/>
      <c r="Q17" s="22" t="str">
        <f>$A$40</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$A$41</f>
        <v xml:space="preserve">  - ARROW_KNOCKBACK:4:7</v>
      </c>
      <c r="J18" s="22"/>
      <c r="K18" s="22"/>
      <c r="L18" s="22"/>
      <c r="M18" s="22" t="str">
        <f>$A$41</f>
        <v xml:space="preserve">  - ARROW_KNOCKBACK:4:7</v>
      </c>
      <c r="N18" s="22"/>
      <c r="O18" s="22"/>
      <c r="P18" s="22"/>
      <c r="Q18" s="22" t="str">
        <f>$A$41</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$A$42</f>
        <v xml:space="preserve">  - DAMAGE_ALL:4:7</v>
      </c>
      <c r="J19" s="22"/>
      <c r="K19" s="22"/>
      <c r="L19" s="22"/>
      <c r="M19" s="22" t="str">
        <f>$A$42</f>
        <v xml:space="preserve">  - DAMAGE_ALL:4:7</v>
      </c>
      <c r="N19" s="22"/>
      <c r="O19" s="22"/>
      <c r="P19" s="22"/>
      <c r="Q19" s="22" t="str">
        <f>$A$42</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$A$43</f>
        <v xml:space="preserve">  - DAMAGE_ARTHROPODS:4:7</v>
      </c>
      <c r="J20" s="22"/>
      <c r="K20" s="22"/>
      <c r="L20" s="22"/>
      <c r="M20" s="22" t="str">
        <f>$A$43</f>
        <v xml:space="preserve">  - DAMAGE_ARTHROPODS:4:7</v>
      </c>
      <c r="N20" s="22"/>
      <c r="O20" s="22"/>
      <c r="P20" s="22"/>
      <c r="Q20" s="22" t="str">
        <f>$A$43</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$A$44</f>
        <v xml:space="preserve">  - DAMAGE_UNDEAD:4:7</v>
      </c>
      <c r="J21" s="22"/>
      <c r="K21" s="22"/>
      <c r="L21" s="22"/>
      <c r="M21" s="22" t="str">
        <f>$A$44</f>
        <v xml:space="preserve">  - DAMAGE_UNDEAD:4:7</v>
      </c>
      <c r="N21" s="22"/>
      <c r="O21" s="22"/>
      <c r="P21" s="22"/>
      <c r="Q21" s="22" t="str">
        <f>$A$44</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$A$45</f>
        <v xml:space="preserve">  - DIG_SPEED:4:7</v>
      </c>
      <c r="J22" s="22"/>
      <c r="K22" s="22"/>
      <c r="L22" s="22"/>
      <c r="M22" s="22" t="str">
        <f>$A$45</f>
        <v xml:space="preserve">  - DIG_SPEED:4:7</v>
      </c>
      <c r="N22" s="22"/>
      <c r="O22" s="22"/>
      <c r="P22" s="22"/>
      <c r="Q22" s="22" t="str">
        <f>$A$45</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$A$46</f>
        <v xml:space="preserve">  - DURABILITY:4:7</v>
      </c>
      <c r="J23" s="22"/>
      <c r="K23" s="22"/>
      <c r="L23" s="22"/>
      <c r="M23" s="22" t="str">
        <f>$A$46</f>
        <v xml:space="preserve">  - DURABILITY:4:7</v>
      </c>
      <c r="N23" s="22"/>
      <c r="O23" s="22"/>
      <c r="P23" s="22"/>
      <c r="Q23" s="22" t="str">
        <f>$A$46</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$A$47</f>
        <v xml:space="preserve">  - FIRE_ASPECT:4:7</v>
      </c>
      <c r="J24" s="22"/>
      <c r="K24" s="22"/>
      <c r="L24" s="22"/>
      <c r="M24" s="22" t="str">
        <f>$A$47</f>
        <v xml:space="preserve">  - FIRE_ASPECT:4:7</v>
      </c>
      <c r="N24" s="22"/>
      <c r="O24" s="22"/>
      <c r="P24" s="22"/>
      <c r="Q24" s="22" t="str">
        <f>$A$47</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$A$48</f>
        <v xml:space="preserve">  - KNOCKBACK:4:7</v>
      </c>
      <c r="J25" s="22"/>
      <c r="K25" s="22"/>
      <c r="L25" s="22"/>
      <c r="M25" s="22" t="str">
        <f>$A$48</f>
        <v xml:space="preserve">  - KNOCKBACK:4:7</v>
      </c>
      <c r="N25" s="22"/>
      <c r="O25" s="22"/>
      <c r="P25" s="22"/>
      <c r="Q25" s="22" t="str">
        <f>$A$48</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$A$49</f>
        <v xml:space="preserve">  - LOOT_BONUS_BLOCKS:4:7</v>
      </c>
      <c r="J26" s="22"/>
      <c r="K26" s="22"/>
      <c r="L26" s="22"/>
      <c r="M26" s="22" t="str">
        <f>$A$49</f>
        <v xml:space="preserve">  - LOOT_BONUS_BLOCKS:4:7</v>
      </c>
      <c r="N26" s="22"/>
      <c r="O26" s="22"/>
      <c r="P26" s="22"/>
      <c r="Q26" s="22" t="str">
        <f>$A$49</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$A$50</f>
        <v xml:space="preserve">  - LOOT_BONUS_MOBS:4:7</v>
      </c>
      <c r="J27" s="22"/>
      <c r="K27" s="22"/>
      <c r="L27" s="22"/>
      <c r="M27" s="22" t="str">
        <f>$A$50</f>
        <v xml:space="preserve">  - LOOT_BONUS_MOBS:4:7</v>
      </c>
      <c r="N27" s="22"/>
      <c r="O27" s="22"/>
      <c r="P27" s="22"/>
      <c r="Q27" s="22" t="str">
        <f>$A$50</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$A$51</f>
        <v xml:space="preserve">  - OXYGEN:4:7</v>
      </c>
      <c r="J28" s="22"/>
      <c r="K28" s="22"/>
      <c r="L28" s="22"/>
      <c r="M28" s="22" t="str">
        <f>$A$51</f>
        <v xml:space="preserve">  - OXYGEN:4:7</v>
      </c>
      <c r="N28" s="22"/>
      <c r="O28" s="22"/>
      <c r="P28" s="22"/>
      <c r="Q28" s="22" t="str">
        <f>$A$51</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$A$52</f>
        <v xml:space="preserve">  - PROTECTION_ENVIRONMENT:4:7</v>
      </c>
      <c r="J29" s="22"/>
      <c r="K29" s="22"/>
      <c r="L29" s="22"/>
      <c r="M29" s="22" t="str">
        <f>$A$52</f>
        <v xml:space="preserve">  - PROTECTION_ENVIRONMENT:4:7</v>
      </c>
      <c r="N29" s="22"/>
      <c r="O29" s="22"/>
      <c r="P29" s="22"/>
      <c r="Q29" s="22" t="str">
        <f>$A$52</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$A$53</f>
        <v xml:space="preserve">  - PROTECTION_EXPLOSIONS:4:7</v>
      </c>
      <c r="J30" s="22"/>
      <c r="K30" s="22"/>
      <c r="L30" s="22"/>
      <c r="M30" s="22" t="str">
        <f>$A$53</f>
        <v xml:space="preserve">  - PROTECTION_EXPLOSIONS:4:7</v>
      </c>
      <c r="N30" s="22"/>
      <c r="O30" s="22"/>
      <c r="P30" s="22"/>
      <c r="Q30" s="22" t="str">
        <f>$A$53</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$A$54</f>
        <v xml:space="preserve">  - PROTECTION_FALL:4:7</v>
      </c>
      <c r="J31" s="22"/>
      <c r="K31" s="22"/>
      <c r="L31" s="22"/>
      <c r="M31" s="22" t="str">
        <f>$A$54</f>
        <v xml:space="preserve">  - PROTECTION_FALL:4:7</v>
      </c>
      <c r="N31" s="22"/>
      <c r="O31" s="22"/>
      <c r="P31" s="22"/>
      <c r="Q31" s="22" t="str">
        <f>$A$54</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$A$55</f>
        <v xml:space="preserve">  - PROTECTION_FIRE:4:7</v>
      </c>
      <c r="J32" s="22"/>
      <c r="K32" s="22"/>
      <c r="L32" s="22"/>
      <c r="M32" s="22" t="str">
        <f>$A$55</f>
        <v xml:space="preserve">  - PROTECTION_FIRE:4:7</v>
      </c>
      <c r="N32" s="22"/>
      <c r="O32" s="22"/>
      <c r="P32" s="22"/>
      <c r="Q32" s="22" t="str">
        <f>$A$55</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$A$56</f>
        <v xml:space="preserve">  - PROTECTION_PROJECTILE:4:7</v>
      </c>
      <c r="J33" s="22"/>
      <c r="K33" s="22"/>
      <c r="L33" s="22"/>
      <c r="M33" s="22" t="str">
        <f>$A$56</f>
        <v xml:space="preserve">  - PROTECTION_PROJECTILE:4:7</v>
      </c>
      <c r="N33" s="22"/>
      <c r="O33" s="22"/>
      <c r="P33" s="22"/>
      <c r="Q33" s="22" t="str">
        <f>$A$56</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$A$57</f>
        <v xml:space="preserve">  - SILK_TOUCH:4:7</v>
      </c>
      <c r="J34" s="22"/>
      <c r="K34" s="22"/>
      <c r="L34" s="22"/>
      <c r="M34" s="22" t="str">
        <f>$A$57</f>
        <v xml:space="preserve">  - SILK_TOUCH:4:7</v>
      </c>
      <c r="N34" s="22"/>
      <c r="O34" s="22"/>
      <c r="P34" s="22"/>
      <c r="Q34" s="22" t="str">
        <f>$A$57</f>
        <v xml:space="preserve">  - SILK_TOUCH:4:7</v>
      </c>
      <c r="R34" s="22"/>
      <c r="S34" s="22"/>
      <c r="T34" s="22"/>
    </row>
    <row r="35" spans="1:20" x14ac:dyDescent="0.25">
      <c r="A35" s="22" t="str">
        <f>'armas ancestral'!$A$35</f>
        <v xml:space="preserve">  - THORNS:4:7</v>
      </c>
      <c r="B35" s="22"/>
      <c r="C35" s="22"/>
      <c r="D35" s="22"/>
      <c r="E35" s="22" t="str">
        <f>$A$35</f>
        <v xml:space="preserve">  - THORNS:4:7</v>
      </c>
      <c r="F35" s="22"/>
      <c r="G35" s="22"/>
      <c r="H35" s="22"/>
      <c r="I35" s="22" t="str">
        <f>$A$58</f>
        <v xml:space="preserve">  - THORNS:4:7</v>
      </c>
      <c r="J35" s="22"/>
      <c r="K35" s="22"/>
      <c r="L35" s="22"/>
      <c r="M35" s="22" t="str">
        <f>$A$58</f>
        <v xml:space="preserve">  - THORNS:4:7</v>
      </c>
      <c r="N35" s="22"/>
      <c r="O35" s="22"/>
      <c r="P35" s="22"/>
      <c r="Q35" s="22" t="str">
        <f>$A$58</f>
        <v xml:space="preserve">  - THORNS:4:7</v>
      </c>
      <c r="R35" s="22"/>
      <c r="S35" s="22"/>
      <c r="T35" s="22"/>
    </row>
    <row r="36" spans="1:20" x14ac:dyDescent="0.25">
      <c r="A36" s="22" t="str">
        <f>'armas ancestral'!$A$36</f>
        <v xml:space="preserve">  - WATER_WORKER:4:7</v>
      </c>
      <c r="B36" s="22"/>
      <c r="C36" s="22"/>
      <c r="D36" s="22"/>
      <c r="E36" s="22" t="str">
        <f>$A$36</f>
        <v xml:space="preserve">  - WATER_WORKER:4:7</v>
      </c>
      <c r="F36" s="22"/>
      <c r="G36" s="22"/>
      <c r="H36" s="22"/>
      <c r="I36" s="22" t="str">
        <f>$A$59</f>
        <v xml:space="preserve">  - WATER_WORKER:4:7</v>
      </c>
      <c r="J36" s="22"/>
      <c r="K36" s="22"/>
      <c r="L36" s="22"/>
      <c r="M36" s="22" t="str">
        <f>$A$59</f>
        <v xml:space="preserve">  - WATER_WORKER:4:7</v>
      </c>
      <c r="N36" s="22"/>
      <c r="O36" s="22"/>
      <c r="P36" s="22"/>
      <c r="Q36" s="22" t="str">
        <f>$A$59</f>
        <v xml:space="preserve">  - WATER_WORKER:4:7</v>
      </c>
      <c r="R36" s="22"/>
      <c r="S36" s="22"/>
      <c r="T36" s="22"/>
    </row>
    <row r="37" spans="1:20" x14ac:dyDescent="0.25">
      <c r="A37" s="9" t="s">
        <v>101</v>
      </c>
      <c r="B37" s="9"/>
      <c r="C37" s="9"/>
      <c r="D37" s="9"/>
      <c r="E37" s="9" t="s">
        <v>101</v>
      </c>
      <c r="F37" s="9"/>
      <c r="G37" s="9"/>
      <c r="H37" s="9"/>
      <c r="I37" s="9" t="s">
        <v>101</v>
      </c>
      <c r="J37" s="9"/>
      <c r="K37" s="9"/>
      <c r="L37" s="9"/>
      <c r="M37" s="9" t="s">
        <v>101</v>
      </c>
      <c r="N37" s="9"/>
      <c r="O37" s="9"/>
      <c r="P37" s="9"/>
      <c r="Q37" s="9" t="s">
        <v>101</v>
      </c>
      <c r="R37" s="9"/>
      <c r="S37" s="9"/>
      <c r="T37" s="9"/>
    </row>
    <row r="38" spans="1:20" x14ac:dyDescent="0.25">
      <c r="A38" s="22" t="str">
        <f>$A$15</f>
        <v xml:space="preserve">  - ARROW_INFINITE:4:7</v>
      </c>
      <c r="B38" s="22"/>
      <c r="C38" s="22"/>
      <c r="D38" s="22"/>
      <c r="E38" s="22" t="str">
        <f>$A$38</f>
        <v xml:space="preserve">  - ARROW_INFINITE:4:7</v>
      </c>
      <c r="F38" s="22"/>
      <c r="G38" s="22"/>
      <c r="H38" s="22"/>
      <c r="I38" s="22" t="str">
        <f>$A$38</f>
        <v xml:space="preserve">  - ARROW_INFINITE:4:7</v>
      </c>
      <c r="J38" s="22"/>
      <c r="K38" s="22"/>
      <c r="L38" s="22"/>
      <c r="M38" s="22" t="str">
        <f>$A$38</f>
        <v xml:space="preserve">  - ARROW_INFINITE:4:7</v>
      </c>
      <c r="N38" s="22"/>
      <c r="O38" s="22"/>
      <c r="P38" s="22"/>
      <c r="Q38" s="22" t="str">
        <f>$A$38</f>
        <v xml:space="preserve">  - ARROW_INFINITE:4:7</v>
      </c>
      <c r="R38" s="22"/>
      <c r="S38" s="22"/>
      <c r="T38" s="22"/>
    </row>
    <row r="39" spans="1:20" x14ac:dyDescent="0.25">
      <c r="A39" s="22" t="str">
        <f>$A$16</f>
        <v xml:space="preserve">  - ARROW_DAMAGE:4:7</v>
      </c>
      <c r="B39" s="22"/>
      <c r="C39" s="22"/>
      <c r="D39" s="22"/>
      <c r="E39" s="22" t="str">
        <f>$A$39</f>
        <v xml:space="preserve">  - ARROW_DAMAGE:4:7</v>
      </c>
      <c r="F39" s="22"/>
      <c r="G39" s="22"/>
      <c r="H39" s="22"/>
      <c r="I39" s="22" t="str">
        <f>$A$39</f>
        <v xml:space="preserve">  - ARROW_DAMAGE:4:7</v>
      </c>
      <c r="J39" s="22"/>
      <c r="K39" s="22"/>
      <c r="L39" s="22"/>
      <c r="M39" s="22" t="str">
        <f>$A$39</f>
        <v xml:space="preserve">  - ARROW_DAMAGE:4:7</v>
      </c>
      <c r="N39" s="22"/>
      <c r="O39" s="22"/>
      <c r="P39" s="22"/>
      <c r="Q39" s="22" t="str">
        <f>$A$39</f>
        <v xml:space="preserve">  - ARROW_DAMAGE:4:7</v>
      </c>
      <c r="R39" s="22"/>
      <c r="S39" s="22"/>
      <c r="T39" s="22"/>
    </row>
    <row r="40" spans="1:20" x14ac:dyDescent="0.25">
      <c r="A40" s="22" t="str">
        <f>$A$17</f>
        <v xml:space="preserve">  - ARROW_FIRE:4:7</v>
      </c>
      <c r="B40" s="22"/>
      <c r="C40" s="22"/>
      <c r="D40" s="22"/>
      <c r="E40" s="22" t="str">
        <f>$A$40</f>
        <v xml:space="preserve">  - ARROW_FIRE:4:7</v>
      </c>
      <c r="F40" s="22"/>
      <c r="G40" s="22"/>
      <c r="H40" s="22"/>
      <c r="I40" s="22" t="str">
        <f>$A$40</f>
        <v xml:space="preserve">  - ARROW_FIRE:4:7</v>
      </c>
      <c r="J40" s="22"/>
      <c r="K40" s="22"/>
      <c r="L40" s="22"/>
      <c r="M40" s="22" t="str">
        <f>$A$40</f>
        <v xml:space="preserve">  - ARROW_FIRE:4:7</v>
      </c>
      <c r="N40" s="22"/>
      <c r="O40" s="22"/>
      <c r="P40" s="22"/>
      <c r="Q40" s="22" t="str">
        <f>$A$40</f>
        <v xml:space="preserve">  - ARROW_FIRE:4:7</v>
      </c>
      <c r="R40" s="22"/>
      <c r="S40" s="22"/>
      <c r="T40" s="22"/>
    </row>
    <row r="41" spans="1:20" x14ac:dyDescent="0.25">
      <c r="A41" s="22" t="str">
        <f>$A$18</f>
        <v xml:space="preserve">  - ARROW_KNOCKBACK:4:7</v>
      </c>
      <c r="B41" s="22"/>
      <c r="C41" s="22"/>
      <c r="D41" s="22"/>
      <c r="E41" s="22" t="str">
        <f>$A$41</f>
        <v xml:space="preserve">  - ARROW_KNOCKBACK:4:7</v>
      </c>
      <c r="F41" s="22"/>
      <c r="G41" s="22"/>
      <c r="H41" s="22"/>
      <c r="I41" s="22" t="str">
        <f>$A$41</f>
        <v xml:space="preserve">  - ARROW_KNOCKBACK:4:7</v>
      </c>
      <c r="J41" s="22"/>
      <c r="K41" s="22"/>
      <c r="L41" s="22"/>
      <c r="M41" s="22" t="str">
        <f>$A$41</f>
        <v xml:space="preserve">  - ARROW_KNOCKBACK:4:7</v>
      </c>
      <c r="N41" s="22"/>
      <c r="O41" s="22"/>
      <c r="P41" s="22"/>
      <c r="Q41" s="22" t="str">
        <f>$A$41</f>
        <v xml:space="preserve">  - ARROW_KNOCKBACK:4:7</v>
      </c>
      <c r="R41" s="22"/>
      <c r="S41" s="22"/>
      <c r="T41" s="22"/>
    </row>
    <row r="42" spans="1:20" x14ac:dyDescent="0.25">
      <c r="A42" s="22" t="str">
        <f>$A$19</f>
        <v xml:space="preserve">  - DAMAGE_ALL:4:7</v>
      </c>
      <c r="B42" s="22"/>
      <c r="C42" s="22"/>
      <c r="D42" s="22"/>
      <c r="E42" s="22" t="str">
        <f>$A$42</f>
        <v xml:space="preserve">  - DAMAGE_ALL:4:7</v>
      </c>
      <c r="F42" s="22"/>
      <c r="G42" s="22"/>
      <c r="H42" s="22"/>
      <c r="I42" s="22" t="str">
        <f>$A$42</f>
        <v xml:space="preserve">  - DAMAGE_ALL:4:7</v>
      </c>
      <c r="J42" s="22"/>
      <c r="K42" s="22"/>
      <c r="L42" s="22"/>
      <c r="M42" s="22" t="str">
        <f>$A$42</f>
        <v xml:space="preserve">  - DAMAGE_ALL:4:7</v>
      </c>
      <c r="N42" s="22"/>
      <c r="O42" s="22"/>
      <c r="P42" s="22"/>
      <c r="Q42" s="22" t="str">
        <f>$A$42</f>
        <v xml:space="preserve">  - DAMAGE_ALL:4:7</v>
      </c>
      <c r="R42" s="22"/>
      <c r="S42" s="22"/>
      <c r="T42" s="22"/>
    </row>
    <row r="43" spans="1:20" x14ac:dyDescent="0.25">
      <c r="A43" s="22" t="str">
        <f>$A$20</f>
        <v xml:space="preserve">  - DAMAGE_ARTHROPODS:4:7</v>
      </c>
      <c r="B43" s="22"/>
      <c r="C43" s="22"/>
      <c r="D43" s="22"/>
      <c r="E43" s="22" t="str">
        <f>$A$43</f>
        <v xml:space="preserve">  - DAMAGE_ARTHROPODS:4:7</v>
      </c>
      <c r="F43" s="22"/>
      <c r="G43" s="22"/>
      <c r="H43" s="22"/>
      <c r="I43" s="22" t="str">
        <f>$A$43</f>
        <v xml:space="preserve">  - DAMAGE_ARTHROPODS:4:7</v>
      </c>
      <c r="J43" s="22"/>
      <c r="K43" s="22"/>
      <c r="L43" s="22"/>
      <c r="M43" s="22" t="str">
        <f>$A$43</f>
        <v xml:space="preserve">  - DAMAGE_ARTHROPODS:4:7</v>
      </c>
      <c r="N43" s="22"/>
      <c r="O43" s="22"/>
      <c r="P43" s="22"/>
      <c r="Q43" s="22" t="str">
        <f>$A$43</f>
        <v xml:space="preserve">  - DAMAGE_ARTHROPODS:4:7</v>
      </c>
      <c r="R43" s="22"/>
      <c r="S43" s="22"/>
      <c r="T43" s="22"/>
    </row>
    <row r="44" spans="1:20" x14ac:dyDescent="0.25">
      <c r="A44" s="22" t="str">
        <f>$A$21</f>
        <v xml:space="preserve">  - DAMAGE_UNDEAD:4:7</v>
      </c>
      <c r="B44" s="22"/>
      <c r="C44" s="22"/>
      <c r="D44" s="22"/>
      <c r="E44" s="22" t="str">
        <f>$A$44</f>
        <v xml:space="preserve">  - DAMAGE_UNDEAD:4:7</v>
      </c>
      <c r="F44" s="22"/>
      <c r="G44" s="22"/>
      <c r="H44" s="22"/>
      <c r="I44" s="22" t="str">
        <f>$A$44</f>
        <v xml:space="preserve">  - DAMAGE_UNDEAD:4:7</v>
      </c>
      <c r="J44" s="22"/>
      <c r="K44" s="22"/>
      <c r="L44" s="22"/>
      <c r="M44" s="22" t="str">
        <f>$A$44</f>
        <v xml:space="preserve">  - DAMAGE_UNDEAD:4:7</v>
      </c>
      <c r="N44" s="22"/>
      <c r="O44" s="22"/>
      <c r="P44" s="22"/>
      <c r="Q44" s="22" t="str">
        <f>$A$44</f>
        <v xml:space="preserve">  - DAMAGE_UNDEAD:4:7</v>
      </c>
      <c r="R44" s="22"/>
      <c r="S44" s="22"/>
      <c r="T44" s="22"/>
    </row>
    <row r="45" spans="1:20" x14ac:dyDescent="0.25">
      <c r="A45" s="22" t="str">
        <f>$A$22</f>
        <v xml:space="preserve">  - DIG_SPEED:4:7</v>
      </c>
      <c r="B45" s="22"/>
      <c r="C45" s="22"/>
      <c r="D45" s="22"/>
      <c r="E45" s="22" t="str">
        <f>$A$45</f>
        <v xml:space="preserve">  - DIG_SPEED:4:7</v>
      </c>
      <c r="F45" s="22"/>
      <c r="G45" s="22"/>
      <c r="H45" s="22"/>
      <c r="I45" s="22" t="str">
        <f>$A$45</f>
        <v xml:space="preserve">  - DIG_SPEED:4:7</v>
      </c>
      <c r="J45" s="22"/>
      <c r="K45" s="22"/>
      <c r="L45" s="22"/>
      <c r="M45" s="22" t="str">
        <f>$A$45</f>
        <v xml:space="preserve">  - DIG_SPEED:4:7</v>
      </c>
      <c r="N45" s="22"/>
      <c r="O45" s="22"/>
      <c r="P45" s="22"/>
      <c r="Q45" s="22" t="str">
        <f>$A$45</f>
        <v xml:space="preserve">  - DIG_SPEED:4:7</v>
      </c>
      <c r="R45" s="22"/>
      <c r="S45" s="22"/>
      <c r="T45" s="22"/>
    </row>
    <row r="46" spans="1:20" x14ac:dyDescent="0.25">
      <c r="A46" s="22" t="str">
        <f>$A$23</f>
        <v xml:space="preserve">  - DURABILITY:4:7</v>
      </c>
      <c r="B46" s="22"/>
      <c r="C46" s="22"/>
      <c r="D46" s="22"/>
      <c r="E46" s="22" t="str">
        <f>$A$46</f>
        <v xml:space="preserve">  - DURABILITY:4:7</v>
      </c>
      <c r="F46" s="22"/>
      <c r="G46" s="22"/>
      <c r="H46" s="22"/>
      <c r="I46" s="22" t="str">
        <f>$A$46</f>
        <v xml:space="preserve">  - DURABILITY:4:7</v>
      </c>
      <c r="J46" s="22"/>
      <c r="K46" s="22"/>
      <c r="L46" s="22"/>
      <c r="M46" s="22" t="str">
        <f>$A$46</f>
        <v xml:space="preserve">  - DURABILITY:4:7</v>
      </c>
      <c r="N46" s="22"/>
      <c r="O46" s="22"/>
      <c r="P46" s="22"/>
      <c r="Q46" s="22" t="str">
        <f>$A$46</f>
        <v xml:space="preserve">  - DURABILITY:4:7</v>
      </c>
      <c r="R46" s="22"/>
      <c r="S46" s="22"/>
      <c r="T46" s="22"/>
    </row>
    <row r="47" spans="1:20" x14ac:dyDescent="0.25">
      <c r="A47" s="22" t="str">
        <f>$A$24</f>
        <v xml:space="preserve">  - FIRE_ASPECT:4:7</v>
      </c>
      <c r="B47" s="22"/>
      <c r="C47" s="22"/>
      <c r="D47" s="22"/>
      <c r="E47" s="22" t="str">
        <f>$A$47</f>
        <v xml:space="preserve">  - FIRE_ASPECT:4:7</v>
      </c>
      <c r="F47" s="22"/>
      <c r="G47" s="22"/>
      <c r="H47" s="22"/>
      <c r="I47" s="22" t="str">
        <f>$A$47</f>
        <v xml:space="preserve">  - FIRE_ASPECT:4:7</v>
      </c>
      <c r="J47" s="22"/>
      <c r="K47" s="22"/>
      <c r="L47" s="22"/>
      <c r="M47" s="22" t="str">
        <f>$A$47</f>
        <v xml:space="preserve">  - FIRE_ASPECT:4:7</v>
      </c>
      <c r="N47" s="22"/>
      <c r="O47" s="22"/>
      <c r="P47" s="22"/>
      <c r="Q47" s="22" t="str">
        <f>$A$47</f>
        <v xml:space="preserve">  - FIRE_ASPECT:4:7</v>
      </c>
      <c r="R47" s="22"/>
      <c r="S47" s="22"/>
      <c r="T47" s="22"/>
    </row>
    <row r="48" spans="1:20" x14ac:dyDescent="0.25">
      <c r="A48" s="22" t="str">
        <f>$A$25</f>
        <v xml:space="preserve">  - KNOCKBACK:4:7</v>
      </c>
      <c r="B48" s="22"/>
      <c r="C48" s="22"/>
      <c r="D48" s="22"/>
      <c r="E48" s="22" t="str">
        <f>$A$48</f>
        <v xml:space="preserve">  - KNOCKBACK:4:7</v>
      </c>
      <c r="F48" s="22"/>
      <c r="G48" s="22"/>
      <c r="H48" s="22"/>
      <c r="I48" s="22" t="str">
        <f>$A$48</f>
        <v xml:space="preserve">  - KNOCKBACK:4:7</v>
      </c>
      <c r="J48" s="22"/>
      <c r="K48" s="22"/>
      <c r="L48" s="22"/>
      <c r="M48" s="22" t="str">
        <f>$A$48</f>
        <v xml:space="preserve">  - KNOCKBACK:4:7</v>
      </c>
      <c r="N48" s="22"/>
      <c r="O48" s="22"/>
      <c r="P48" s="22"/>
      <c r="Q48" s="22" t="str">
        <f>$A$48</f>
        <v xml:space="preserve">  - KNOCKBACK:4:7</v>
      </c>
      <c r="R48" s="22"/>
      <c r="S48" s="22"/>
      <c r="T48" s="22"/>
    </row>
    <row r="49" spans="1:20" x14ac:dyDescent="0.25">
      <c r="A49" s="22" t="str">
        <f>$A$26</f>
        <v xml:space="preserve">  - LOOT_BONUS_BLOCKS:4:7</v>
      </c>
      <c r="B49" s="22"/>
      <c r="C49" s="22"/>
      <c r="D49" s="22"/>
      <c r="E49" s="22" t="str">
        <f>$A$49</f>
        <v xml:space="preserve">  - LOOT_BONUS_BLOCKS:4:7</v>
      </c>
      <c r="F49" s="22"/>
      <c r="G49" s="22"/>
      <c r="H49" s="22"/>
      <c r="I49" s="22" t="str">
        <f>$A$49</f>
        <v xml:space="preserve">  - LOOT_BONUS_BLOCKS:4:7</v>
      </c>
      <c r="J49" s="22"/>
      <c r="K49" s="22"/>
      <c r="L49" s="22"/>
      <c r="M49" s="22" t="str">
        <f>$A$49</f>
        <v xml:space="preserve">  - LOOT_BONUS_BLOCKS:4:7</v>
      </c>
      <c r="N49" s="22"/>
      <c r="O49" s="22"/>
      <c r="P49" s="22"/>
      <c r="Q49" s="22" t="str">
        <f>$A$49</f>
        <v xml:space="preserve">  - LOOT_BONUS_BLOCKS:4:7</v>
      </c>
      <c r="R49" s="22"/>
      <c r="S49" s="22"/>
      <c r="T49" s="22"/>
    </row>
    <row r="50" spans="1:20" x14ac:dyDescent="0.25">
      <c r="A50" s="22" t="str">
        <f>$A$27</f>
        <v xml:space="preserve">  - LOOT_BONUS_MOBS:4:7</v>
      </c>
      <c r="B50" s="22"/>
      <c r="C50" s="22"/>
      <c r="D50" s="22"/>
      <c r="E50" s="22" t="str">
        <f>$A$50</f>
        <v xml:space="preserve">  - LOOT_BONUS_MOBS:4:7</v>
      </c>
      <c r="F50" s="22"/>
      <c r="G50" s="22"/>
      <c r="H50" s="22"/>
      <c r="I50" s="22" t="str">
        <f>$A$50</f>
        <v xml:space="preserve">  - LOOT_BONUS_MOBS:4:7</v>
      </c>
      <c r="J50" s="22"/>
      <c r="K50" s="22"/>
      <c r="L50" s="22"/>
      <c r="M50" s="22" t="str">
        <f>$A$50</f>
        <v xml:space="preserve">  - LOOT_BONUS_MOBS:4:7</v>
      </c>
      <c r="N50" s="22"/>
      <c r="O50" s="22"/>
      <c r="P50" s="22"/>
      <c r="Q50" s="22" t="str">
        <f>$A$50</f>
        <v xml:space="preserve">  - LOOT_BONUS_MOBS:4:7</v>
      </c>
      <c r="R50" s="22"/>
      <c r="S50" s="22"/>
      <c r="T50" s="22"/>
    </row>
    <row r="51" spans="1:20" x14ac:dyDescent="0.25">
      <c r="A51" s="22" t="str">
        <f>$A$28</f>
        <v xml:space="preserve">  - OXYGEN:4:7</v>
      </c>
      <c r="B51" s="22"/>
      <c r="C51" s="22"/>
      <c r="D51" s="22"/>
      <c r="E51" s="22" t="str">
        <f>$A$51</f>
        <v xml:space="preserve">  - OXYGEN:4:7</v>
      </c>
      <c r="F51" s="22"/>
      <c r="G51" s="22"/>
      <c r="H51" s="22"/>
      <c r="I51" s="22" t="str">
        <f>$A$51</f>
        <v xml:space="preserve">  - OXYGEN:4:7</v>
      </c>
      <c r="J51" s="22"/>
      <c r="K51" s="22"/>
      <c r="L51" s="22"/>
      <c r="M51" s="22" t="str">
        <f>$A$51</f>
        <v xml:space="preserve">  - OXYGEN:4:7</v>
      </c>
      <c r="N51" s="22"/>
      <c r="O51" s="22"/>
      <c r="P51" s="22"/>
      <c r="Q51" s="22" t="str">
        <f>$A$51</f>
        <v xml:space="preserve">  - OXYGEN:4:7</v>
      </c>
      <c r="R51" s="22"/>
      <c r="S51" s="22"/>
      <c r="T51" s="22"/>
    </row>
    <row r="52" spans="1:20" x14ac:dyDescent="0.25">
      <c r="A52" s="22" t="str">
        <f>$A$29</f>
        <v xml:space="preserve">  - PROTECTION_ENVIRONMENT:4:7</v>
      </c>
      <c r="B52" s="22"/>
      <c r="C52" s="22"/>
      <c r="D52" s="22"/>
      <c r="E52" s="22" t="str">
        <f>$A$52</f>
        <v xml:space="preserve">  - PROTECTION_ENVIRONMENT:4:7</v>
      </c>
      <c r="F52" s="22"/>
      <c r="G52" s="22"/>
      <c r="H52" s="22"/>
      <c r="I52" s="22" t="str">
        <f>$A$52</f>
        <v xml:space="preserve">  - PROTECTION_ENVIRONMENT:4:7</v>
      </c>
      <c r="J52" s="22"/>
      <c r="K52" s="22"/>
      <c r="L52" s="22"/>
      <c r="M52" s="22" t="str">
        <f>$A$52</f>
        <v xml:space="preserve">  - PROTECTION_ENVIRONMENT:4:7</v>
      </c>
      <c r="N52" s="22"/>
      <c r="O52" s="22"/>
      <c r="P52" s="22"/>
      <c r="Q52" s="22" t="str">
        <f>$A$52</f>
        <v xml:space="preserve">  - PROTECTION_ENVIRONMENT:4:7</v>
      </c>
      <c r="R52" s="22"/>
      <c r="S52" s="22"/>
      <c r="T52" s="22"/>
    </row>
    <row r="53" spans="1:20" x14ac:dyDescent="0.25">
      <c r="A53" s="22" t="str">
        <f>$A$30</f>
        <v xml:space="preserve">  - PROTECTION_EXPLOSIONS:4:7</v>
      </c>
      <c r="B53" s="22"/>
      <c r="C53" s="22"/>
      <c r="D53" s="22"/>
      <c r="E53" s="22" t="str">
        <f>$A$53</f>
        <v xml:space="preserve">  - PROTECTION_EXPLOSIONS:4:7</v>
      </c>
      <c r="F53" s="22"/>
      <c r="G53" s="22"/>
      <c r="H53" s="22"/>
      <c r="I53" s="22" t="str">
        <f>$A$53</f>
        <v xml:space="preserve">  - PROTECTION_EXPLOSIONS:4:7</v>
      </c>
      <c r="J53" s="22"/>
      <c r="K53" s="22"/>
      <c r="L53" s="22"/>
      <c r="M53" s="22" t="str">
        <f>$A$53</f>
        <v xml:space="preserve">  - PROTECTION_EXPLOSIONS:4:7</v>
      </c>
      <c r="N53" s="22"/>
      <c r="O53" s="22"/>
      <c r="P53" s="22"/>
      <c r="Q53" s="22" t="str">
        <f>$A$53</f>
        <v xml:space="preserve">  - PROTECTION_EXPLOSIONS:4:7</v>
      </c>
      <c r="R53" s="22"/>
      <c r="S53" s="22"/>
      <c r="T53" s="22"/>
    </row>
    <row r="54" spans="1:20" x14ac:dyDescent="0.25">
      <c r="A54" s="22" t="str">
        <f>$A$31</f>
        <v xml:space="preserve">  - PROTECTION_FALL:4:7</v>
      </c>
      <c r="B54" s="22"/>
      <c r="C54" s="22"/>
      <c r="D54" s="22"/>
      <c r="E54" s="22" t="str">
        <f>$A$54</f>
        <v xml:space="preserve">  - PROTECTION_FALL:4:7</v>
      </c>
      <c r="F54" s="22"/>
      <c r="G54" s="22"/>
      <c r="H54" s="22"/>
      <c r="I54" s="22" t="str">
        <f>$A$54</f>
        <v xml:space="preserve">  - PROTECTION_FALL:4:7</v>
      </c>
      <c r="J54" s="22"/>
      <c r="K54" s="22"/>
      <c r="L54" s="22"/>
      <c r="M54" s="22" t="str">
        <f>$A$54</f>
        <v xml:space="preserve">  - PROTECTION_FALL:4:7</v>
      </c>
      <c r="N54" s="22"/>
      <c r="O54" s="22"/>
      <c r="P54" s="22"/>
      <c r="Q54" s="22" t="str">
        <f>$A$54</f>
        <v xml:space="preserve">  - PROTECTION_FALL:4:7</v>
      </c>
      <c r="R54" s="22"/>
      <c r="S54" s="22"/>
      <c r="T54" s="22"/>
    </row>
    <row r="55" spans="1:20" x14ac:dyDescent="0.25">
      <c r="A55" s="22" t="str">
        <f>$A$32</f>
        <v xml:space="preserve">  - PROTECTION_FIRE:4:7</v>
      </c>
      <c r="B55" s="22"/>
      <c r="C55" s="22"/>
      <c r="D55" s="22"/>
      <c r="E55" s="22" t="str">
        <f>$A$55</f>
        <v xml:space="preserve">  - PROTECTION_FIRE:4:7</v>
      </c>
      <c r="F55" s="22"/>
      <c r="G55" s="22"/>
      <c r="H55" s="22"/>
      <c r="I55" s="22" t="str">
        <f>$A$55</f>
        <v xml:space="preserve">  - PROTECTION_FIRE:4:7</v>
      </c>
      <c r="J55" s="22"/>
      <c r="K55" s="22"/>
      <c r="L55" s="22"/>
      <c r="M55" s="22" t="str">
        <f>$A$55</f>
        <v xml:space="preserve">  - PROTECTION_FIRE:4:7</v>
      </c>
      <c r="N55" s="22"/>
      <c r="O55" s="22"/>
      <c r="P55" s="22"/>
      <c r="Q55" s="22" t="str">
        <f>$A$55</f>
        <v xml:space="preserve">  - PROTECTION_FIRE:4:7</v>
      </c>
      <c r="R55" s="22"/>
      <c r="S55" s="22"/>
      <c r="T55" s="22"/>
    </row>
    <row r="56" spans="1:20" x14ac:dyDescent="0.25">
      <c r="A56" s="22" t="str">
        <f>$A$33</f>
        <v xml:space="preserve">  - PROTECTION_PROJECTILE:4:7</v>
      </c>
      <c r="B56" s="22"/>
      <c r="C56" s="22"/>
      <c r="D56" s="22"/>
      <c r="E56" s="22" t="str">
        <f>$A$56</f>
        <v xml:space="preserve">  - PROTECTION_PROJECTILE:4:7</v>
      </c>
      <c r="F56" s="22"/>
      <c r="G56" s="22"/>
      <c r="H56" s="22"/>
      <c r="I56" s="22" t="str">
        <f>$A$56</f>
        <v xml:space="preserve">  - PROTECTION_PROJECTILE:4:7</v>
      </c>
      <c r="J56" s="22"/>
      <c r="K56" s="22"/>
      <c r="L56" s="22"/>
      <c r="M56" s="22" t="str">
        <f>$A$56</f>
        <v xml:space="preserve">  - PROTECTION_PROJECTILE:4:7</v>
      </c>
      <c r="N56" s="22"/>
      <c r="O56" s="22"/>
      <c r="P56" s="22"/>
      <c r="Q56" s="22" t="str">
        <f>$A$56</f>
        <v xml:space="preserve">  - PROTECTION_PROJECTILE:4:7</v>
      </c>
      <c r="R56" s="22"/>
      <c r="S56" s="22"/>
      <c r="T56" s="22"/>
    </row>
    <row r="57" spans="1:20" x14ac:dyDescent="0.25">
      <c r="A57" s="22" t="str">
        <f>$A$34</f>
        <v xml:space="preserve">  - SILK_TOUCH:4:7</v>
      </c>
      <c r="B57" s="22"/>
      <c r="C57" s="22"/>
      <c r="D57" s="22"/>
      <c r="E57" s="22" t="str">
        <f>$A$57</f>
        <v xml:space="preserve">  - SILK_TOUCH:4:7</v>
      </c>
      <c r="F57" s="22"/>
      <c r="G57" s="22"/>
      <c r="H57" s="22"/>
      <c r="I57" s="22" t="str">
        <f>$A$57</f>
        <v xml:space="preserve">  - SILK_TOUCH:4:7</v>
      </c>
      <c r="J57" s="22"/>
      <c r="K57" s="22"/>
      <c r="L57" s="22"/>
      <c r="M57" s="22" t="str">
        <f>$A$57</f>
        <v xml:space="preserve">  - SILK_TOUCH:4:7</v>
      </c>
      <c r="N57" s="22"/>
      <c r="O57" s="22"/>
      <c r="P57" s="22"/>
      <c r="Q57" s="22" t="str">
        <f>$A$57</f>
        <v xml:space="preserve">  - SILK_TOUCH:4:7</v>
      </c>
      <c r="R57" s="22"/>
      <c r="S57" s="22"/>
      <c r="T57" s="22"/>
    </row>
    <row r="58" spans="1:20" x14ac:dyDescent="0.25">
      <c r="A58" s="22" t="str">
        <f>$A$35</f>
        <v xml:space="preserve">  - THORNS:4:7</v>
      </c>
      <c r="B58" s="22"/>
      <c r="C58" s="22"/>
      <c r="D58" s="22"/>
      <c r="E58" s="22" t="str">
        <f>$A$58</f>
        <v xml:space="preserve">  - THORNS:4:7</v>
      </c>
      <c r="F58" s="22"/>
      <c r="G58" s="22"/>
      <c r="H58" s="22"/>
      <c r="I58" s="22" t="str">
        <f>$A$58</f>
        <v xml:space="preserve">  - THORNS:4:7</v>
      </c>
      <c r="J58" s="22"/>
      <c r="K58" s="22"/>
      <c r="L58" s="22"/>
      <c r="M58" s="22" t="str">
        <f>$A$58</f>
        <v xml:space="preserve">  - THORNS:4:7</v>
      </c>
      <c r="N58" s="22"/>
      <c r="O58" s="22"/>
      <c r="P58" s="22"/>
      <c r="Q58" s="22" t="str">
        <f>$A$58</f>
        <v xml:space="preserve">  - THORNS:4:7</v>
      </c>
      <c r="R58" s="22"/>
      <c r="S58" s="22"/>
      <c r="T58" s="22"/>
    </row>
    <row r="59" spans="1:20" x14ac:dyDescent="0.25">
      <c r="A59" s="22" t="str">
        <f>$A$36</f>
        <v xml:space="preserve">  - WATER_WORKER:4:7</v>
      </c>
      <c r="B59" s="22"/>
      <c r="C59" s="22"/>
      <c r="D59" s="22"/>
      <c r="E59" s="22" t="str">
        <f>$A$59</f>
        <v xml:space="preserve">  - WATER_WORKER:4:7</v>
      </c>
      <c r="F59" s="22"/>
      <c r="G59" s="22"/>
      <c r="H59" s="22"/>
      <c r="I59" s="22" t="str">
        <f>$A$59</f>
        <v xml:space="preserve">  - WATER_WORKER:4:7</v>
      </c>
      <c r="J59" s="22"/>
      <c r="K59" s="22"/>
      <c r="L59" s="22"/>
      <c r="M59" s="22" t="str">
        <f>$A$59</f>
        <v xml:space="preserve">  - WATER_WORKER:4:7</v>
      </c>
      <c r="N59" s="22"/>
      <c r="O59" s="22"/>
      <c r="P59" s="22"/>
      <c r="Q59" s="22" t="str">
        <f>$A$59</f>
        <v xml:space="preserve">  - WATER_WORKER:4:7</v>
      </c>
      <c r="R59" s="22"/>
      <c r="S59" s="22"/>
      <c r="T59" s="22"/>
    </row>
    <row r="60" spans="1:20" x14ac:dyDescent="0.25">
      <c r="A60" s="9" t="s">
        <v>28</v>
      </c>
      <c r="B60" s="9"/>
      <c r="C60" s="9"/>
      <c r="D60" s="9"/>
      <c r="E60" s="9" t="s">
        <v>28</v>
      </c>
      <c r="F60" s="9"/>
      <c r="G60" s="9"/>
      <c r="H60" s="9"/>
      <c r="I60" s="9" t="s">
        <v>28</v>
      </c>
      <c r="J60" s="9"/>
      <c r="K60" s="9"/>
      <c r="L60" s="9"/>
      <c r="M60" s="9" t="s">
        <v>28</v>
      </c>
      <c r="N60" s="9"/>
      <c r="O60" s="9"/>
      <c r="P60" s="9"/>
      <c r="Q60" s="9" t="s">
        <v>28</v>
      </c>
      <c r="R60" s="9"/>
      <c r="S60" s="9"/>
      <c r="T60" s="9"/>
    </row>
    <row r="61" spans="1:20" x14ac:dyDescent="0.25">
      <c r="A61" s="11" t="str">
        <f>'armas ancestral'!$A$61</f>
        <v xml:space="preserve">  minimumBonusLore: 3</v>
      </c>
      <c r="B61" s="11"/>
      <c r="C61" s="11"/>
      <c r="D61" s="11"/>
      <c r="E61" s="11" t="str">
        <f t="shared" ref="E61" si="14">$A$61</f>
        <v xml:space="preserve">  minimumBonusLore: 3</v>
      </c>
      <c r="F61" s="11"/>
      <c r="G61" s="11"/>
      <c r="H61" s="11"/>
      <c r="I61" s="11" t="str">
        <f t="shared" ref="I61" si="15">$A$61</f>
        <v xml:space="preserve">  minimumBonusLore: 3</v>
      </c>
      <c r="J61" s="11"/>
      <c r="K61" s="11"/>
      <c r="L61" s="11"/>
      <c r="M61" s="11" t="str">
        <f t="shared" ref="M61" si="16">$A$61</f>
        <v xml:space="preserve">  minimumBonusLore: 3</v>
      </c>
      <c r="N61" s="11"/>
      <c r="O61" s="11"/>
      <c r="P61" s="11"/>
      <c r="Q61" s="11" t="str">
        <f t="shared" ref="Q61" si="17">$A$61</f>
        <v xml:space="preserve">  minimumBonusLore: 3</v>
      </c>
      <c r="R61" s="11"/>
      <c r="S61" s="11"/>
      <c r="T61" s="11"/>
    </row>
    <row r="62" spans="1:20" x14ac:dyDescent="0.25">
      <c r="A62" s="11" t="str">
        <f>'armas ancestral'!$A$62</f>
        <v xml:space="preserve">  maximumBonusLore: 4</v>
      </c>
      <c r="B62" s="11"/>
      <c r="C62" s="11"/>
      <c r="D62" s="11"/>
      <c r="E62" s="11" t="str">
        <f t="shared" ref="E62" si="18">$A$62</f>
        <v xml:space="preserve">  maximumBonusLore: 4</v>
      </c>
      <c r="F62" s="11"/>
      <c r="G62" s="11"/>
      <c r="H62" s="11"/>
      <c r="I62" s="11" t="str">
        <f t="shared" ref="I62" si="19">$A$62</f>
        <v xml:space="preserve">  maximumBonusLore: 4</v>
      </c>
      <c r="J62" s="11"/>
      <c r="K62" s="11"/>
      <c r="L62" s="11"/>
      <c r="M62" s="11" t="str">
        <f t="shared" ref="M62" si="20">$A$62</f>
        <v xml:space="preserve">  maximumBonusLore: 4</v>
      </c>
      <c r="N62" s="11"/>
      <c r="O62" s="11"/>
      <c r="P62" s="11"/>
      <c r="Q62" s="11" t="str">
        <f t="shared" ref="Q62" si="21">$A$62</f>
        <v xml:space="preserve">  maximumBonusLore: 4</v>
      </c>
      <c r="R62" s="11"/>
      <c r="S62" s="11"/>
      <c r="T62" s="11"/>
    </row>
    <row r="63" spans="1:20" x14ac:dyDescent="0.25">
      <c r="A63" s="9" t="s">
        <v>29</v>
      </c>
      <c r="B63" s="9"/>
      <c r="C63" s="9"/>
      <c r="D63" s="9"/>
      <c r="E63" s="9" t="s">
        <v>29</v>
      </c>
      <c r="F63" s="9"/>
      <c r="G63" s="9"/>
      <c r="H63" s="9"/>
      <c r="I63" s="9" t="s">
        <v>29</v>
      </c>
      <c r="J63" s="9"/>
      <c r="K63" s="9"/>
      <c r="L63" s="9"/>
      <c r="M63" s="9" t="s">
        <v>29</v>
      </c>
      <c r="N63" s="9"/>
      <c r="O63" s="9"/>
      <c r="P63" s="9"/>
      <c r="Q63" s="9" t="s">
        <v>29</v>
      </c>
      <c r="R63" s="9"/>
      <c r="S63" s="9"/>
      <c r="T63" s="9"/>
    </row>
    <row r="64" spans="1:20" x14ac:dyDescent="0.25">
      <c r="A64" s="20" t="str">
        <f>"  - '&amp;aVenta: &amp;6"&amp;(MAIN!$F$2+(MAIN!$G$18+MAIN!$G$19)/2*MAIN!$B$9+(MAIN!$G$20+MAIN!$G$21)/2*MAIN!$B$8+(MAIN!$G$58*MAIN!$B$11)+($C$2*MAIN!$B$10))/10&amp;" &amp;aAlmakos'"</f>
        <v xml:space="preserve">  - '&amp;aVenta: &amp;6837.5 &amp;aAlmakos'</v>
      </c>
      <c r="B64" s="20"/>
      <c r="C64" s="20"/>
      <c r="D64" s="20"/>
      <c r="E64" s="20" t="str">
        <f>"  - '&amp;aVenta: &amp;6"&amp;(MAIN!$G$2+(MAIN!$G$18+MAIN!$G$19)/2*MAIN!$B$9+(MAIN!$G$20+MAIN!$G$21)/2*MAIN!$B$8+(MAIN!$G$58*MAIN!$B$11)+($C$2*MAIN!$B$10))/10&amp;" &amp;aAlmakos'"</f>
        <v xml:space="preserve">  - '&amp;aVenta: &amp;6937.5 &amp;aAlmakos'</v>
      </c>
      <c r="F64" s="20"/>
      <c r="G64" s="20"/>
      <c r="H64" s="20"/>
      <c r="I64" s="20" t="str">
        <f>"  - '&amp;aVenta: &amp;6"&amp;(MAIN!$H$2+(MAIN!$G$18+MAIN!$G$19)/2*MAIN!$B$9+(MAIN!$G$20+MAIN!$G$21)/2*MAIN!$B$8+(MAIN!$G$58*MAIN!$B$11)+($C$2*MAIN!$B$10))/10&amp;" &amp;aAlmakos'"</f>
        <v xml:space="preserve">  - '&amp;aVenta: &amp;61137.5 &amp;aAlmakos'</v>
      </c>
      <c r="J64" s="20"/>
      <c r="K64" s="20"/>
      <c r="L64" s="20"/>
      <c r="M64" s="20" t="str">
        <f>"  - '&amp;aVenta: &amp;6"&amp;(MAIN!$I$2+(MAIN!$G$18+MAIN!$G$19)/2*MAIN!$B$9+(MAIN!$G$20+MAIN!$G$21)/2*MAIN!$B$8+(MAIN!$G$58*MAIN!$B$11)+($C$2*MAIN!$B$10))/10&amp;" &amp;aAlmakos'"</f>
        <v xml:space="preserve">  - '&amp;aVenta: &amp;61537.5 &amp;aAlmakos'</v>
      </c>
      <c r="N64" s="20"/>
      <c r="O64" s="20"/>
      <c r="P64" s="20"/>
      <c r="Q64" s="20" t="str">
        <f>"  - '&amp;aVenta: &amp;6"&amp;(MAIN!$J$2+(MAIN!$G$18+MAIN!$G$19)/2*MAIN!$B$9+(MAIN!$G$20+MAIN!$G$21)/2*MAIN!$B$8+(MAIN!$G$58*MAIN!$B$11)+($C$2*MAIN!$B$10))/10&amp;" &amp;aAlmakos'"</f>
        <v xml:space="preserve">  - '&amp;aVenta: &amp;62337.5 &amp;aAlmakos'</v>
      </c>
      <c r="R64" s="20"/>
      <c r="S64" s="20"/>
      <c r="T64" s="20"/>
    </row>
    <row r="65" spans="1:20" x14ac:dyDescent="0.25">
      <c r="A65" s="9" t="s">
        <v>30</v>
      </c>
      <c r="B65" s="9"/>
      <c r="C65" s="9"/>
      <c r="D65" s="9"/>
      <c r="E65" s="9" t="s">
        <v>30</v>
      </c>
      <c r="F65" s="9"/>
      <c r="G65" s="9"/>
      <c r="H65" s="9"/>
      <c r="I65" s="9" t="s">
        <v>30</v>
      </c>
      <c r="J65" s="9"/>
      <c r="K65" s="9"/>
      <c r="L65" s="9"/>
      <c r="M65" s="9" t="s">
        <v>30</v>
      </c>
      <c r="N65" s="9"/>
      <c r="O65" s="9"/>
      <c r="P65" s="9"/>
      <c r="Q65" s="9" t="s">
        <v>30</v>
      </c>
      <c r="R65" s="9"/>
      <c r="S65" s="9"/>
      <c r="T65" s="9"/>
    </row>
    <row r="66" spans="1:20" x14ac:dyDescent="0.25">
      <c r="A66" s="9" t="s">
        <v>31</v>
      </c>
      <c r="B66" s="9"/>
      <c r="C66" s="9"/>
      <c r="D66" s="9"/>
      <c r="E66" s="9" t="s">
        <v>31</v>
      </c>
      <c r="F66" s="9"/>
      <c r="G66" s="9"/>
      <c r="H66" s="9"/>
      <c r="I66" s="9" t="s">
        <v>31</v>
      </c>
      <c r="J66" s="9"/>
      <c r="K66" s="9"/>
      <c r="L66" s="9"/>
      <c r="M66" s="9" t="s">
        <v>31</v>
      </c>
      <c r="N66" s="9"/>
      <c r="O66" s="9"/>
      <c r="P66" s="9"/>
      <c r="Q66" s="9" t="s">
        <v>31</v>
      </c>
      <c r="R66" s="9"/>
      <c r="S66" s="9"/>
      <c r="T66" s="9"/>
    </row>
    <row r="67" spans="1:20" s="262" customFormat="1" x14ac:dyDescent="0.25">
      <c r="A67" s="9" t="s">
        <v>1032</v>
      </c>
      <c r="B67" s="9"/>
      <c r="C67" s="9"/>
      <c r="D67" s="9"/>
      <c r="E67" s="9" t="s">
        <v>1032</v>
      </c>
      <c r="F67" s="9"/>
      <c r="G67" s="9"/>
      <c r="H67" s="9"/>
      <c r="I67" s="9" t="s">
        <v>1032</v>
      </c>
      <c r="J67" s="9"/>
      <c r="K67" s="9"/>
      <c r="L67" s="9"/>
      <c r="M67" s="9" t="s">
        <v>1032</v>
      </c>
      <c r="N67" s="9"/>
      <c r="O67" s="9"/>
      <c r="P67" s="9"/>
      <c r="Q67" s="9" t="s">
        <v>1032</v>
      </c>
      <c r="R67" s="9"/>
      <c r="S67" s="9"/>
      <c r="T67" s="9"/>
    </row>
    <row r="68" spans="1:20" x14ac:dyDescent="0.25">
      <c r="A68" s="10" t="str">
        <f>"  - '&amp;7• &amp;8Nivel: &amp;a"&amp;MAIN!$C$60+($C$2*MAIN!$I$27)&amp;"'"</f>
        <v xml:space="preserve">  - '&amp;7• &amp;8Nivel: &amp;a53'</v>
      </c>
      <c r="B68" s="10"/>
      <c r="C68" s="10"/>
      <c r="D68" s="10"/>
      <c r="E68" s="10" t="str">
        <f>"  - '&amp;7• &amp;8Nivel: &amp;a"&amp;MAIN!$D$60+($C$2*MAIN!$I$27)&amp;"'"</f>
        <v xml:space="preserve">  - '&amp;7• &amp;8Nivel: &amp;a71'</v>
      </c>
      <c r="F68" s="10"/>
      <c r="G68" s="10"/>
      <c r="H68" s="10"/>
      <c r="I68" s="10" t="str">
        <f>"  - '&amp;7• &amp;8Nivel: &amp;a"&amp;MAIN!$E$60+($C$2*MAIN!$I$27)&amp;"'"</f>
        <v xml:space="preserve">  - '&amp;7• &amp;8Nivel: &amp;a125'</v>
      </c>
      <c r="J68" s="10"/>
      <c r="K68" s="10"/>
      <c r="L68" s="10"/>
      <c r="M68" s="10" t="str">
        <f>"  - '&amp;7• &amp;8Nivel: &amp;a"&amp;MAIN!$F$60+($C$2*MAIN!$I$27)&amp;"'"</f>
        <v xml:space="preserve">  - '&amp;7• &amp;8Nivel: &amp;a285'</v>
      </c>
      <c r="N68" s="10"/>
      <c r="O68" s="10"/>
      <c r="P68" s="10"/>
      <c r="Q68" s="10" t="str">
        <f>"  - '&amp;7• &amp;8Nivel: &amp;a"&amp;MAIN!$G$60+($C$2*MAIN!$I$27)&amp;"'"</f>
        <v xml:space="preserve">  - '&amp;7• &amp;8Nivel: &amp;a525'</v>
      </c>
      <c r="R68" s="10"/>
      <c r="S68" s="10"/>
      <c r="T68" s="10"/>
    </row>
    <row r="69" spans="1:20" x14ac:dyDescent="0.25">
      <c r="A69" s="12" t="str">
        <f>"  - '&amp;7• &amp;8"&amp;MAIN!$C$12&amp;" lvl: &amp;a"&amp;ROUNDUP((MAIN!$C$60+($C$2*MAIN!$I$27))/3,0)&amp;"'"</f>
        <v xml:space="preserve">  - '&amp;7• &amp;8Esencia lvl: &amp;a18'</v>
      </c>
      <c r="B69" s="12"/>
      <c r="C69" s="12"/>
      <c r="D69" s="12"/>
      <c r="E69" s="12" t="str">
        <f>"  - '&amp;7• &amp;8"&amp;MAIN!$C$12&amp;" lvl: &amp;a"&amp;ROUNDUP((MAIN!$D$60+($C$2*MAIN!$I$27))/3,0)&amp;"'"</f>
        <v xml:space="preserve">  - '&amp;7• &amp;8Esencia lvl: &amp;a24'</v>
      </c>
      <c r="F69" s="12"/>
      <c r="G69" s="12"/>
      <c r="H69" s="12"/>
      <c r="I69" s="12" t="str">
        <f>"  - '&amp;7• &amp;8"&amp;MAIN!$C$12&amp;" lvl: &amp;a"&amp;ROUNDUP((MAIN!$E$60+($C$2*MAIN!$I$27))/3,0)&amp;"'"</f>
        <v xml:space="preserve">  - '&amp;7• &amp;8Esencia lvl: &amp;a42'</v>
      </c>
      <c r="J69" s="12"/>
      <c r="K69" s="12"/>
      <c r="L69" s="12"/>
      <c r="M69" s="12" t="str">
        <f>"  - '&amp;7• &amp;8"&amp;MAIN!$C$12&amp;" lvl: &amp;a"&amp;ROUNDUP((MAIN!$F$60+($C$2*MAIN!$I$27))/3,0)&amp;"'"</f>
        <v xml:space="preserve">  - '&amp;7• &amp;8Esencia lvl: &amp;a95'</v>
      </c>
      <c r="N69" s="12"/>
      <c r="O69" s="12"/>
      <c r="P69" s="12"/>
      <c r="Q69" s="12" t="str">
        <f>"  - '&amp;7• &amp;8"&amp;MAIN!$C$12&amp;" lvl: &amp;a"&amp;ROUNDUP((MAIN!$G$60+($C$2*MAIN!$I$27))/3,0)&amp;"'"</f>
        <v xml:space="preserve">  - '&amp;7• &amp;8Esencia lvl: &amp;a175'</v>
      </c>
      <c r="R69" s="12"/>
      <c r="S69" s="12"/>
      <c r="T69" s="12"/>
    </row>
    <row r="70" spans="1:20" x14ac:dyDescent="0.25">
      <c r="A70" s="9" t="s">
        <v>32</v>
      </c>
      <c r="B70" s="9"/>
      <c r="C70" s="9"/>
      <c r="D70" s="9"/>
      <c r="E70" s="9" t="s">
        <v>32</v>
      </c>
      <c r="F70" s="9"/>
      <c r="G70" s="9"/>
      <c r="H70" s="9"/>
      <c r="I70" s="9" t="s">
        <v>32</v>
      </c>
      <c r="J70" s="9"/>
      <c r="K70" s="9"/>
      <c r="L70" s="9"/>
      <c r="M70" s="9" t="s">
        <v>32</v>
      </c>
      <c r="N70" s="9"/>
      <c r="O70" s="9"/>
      <c r="P70" s="9"/>
      <c r="Q70" s="9" t="s">
        <v>32</v>
      </c>
      <c r="R70" s="9"/>
      <c r="S70" s="9"/>
      <c r="T70" s="9"/>
    </row>
    <row r="71" spans="1:20" s="291" customFormat="1" x14ac:dyDescent="0.25">
      <c r="A71" s="9" t="s">
        <v>1196</v>
      </c>
      <c r="B71" s="9"/>
      <c r="C71" s="9"/>
      <c r="D71" s="9"/>
      <c r="E71" s="9" t="str">
        <f>A71</f>
        <v xml:space="preserve">  - '%tierlore%'</v>
      </c>
      <c r="F71" s="9"/>
      <c r="G71" s="9"/>
      <c r="H71" s="9"/>
      <c r="I71" s="9" t="str">
        <f>E71</f>
        <v xml:space="preserve">  - '%tierlore%'</v>
      </c>
      <c r="J71" s="9"/>
      <c r="K71" s="9"/>
      <c r="L71" s="9"/>
      <c r="M71" s="9" t="str">
        <f>I71</f>
        <v xml:space="preserve">  - '%tierlore%'</v>
      </c>
      <c r="N71" s="9"/>
      <c r="O71" s="9"/>
      <c r="P71" s="9"/>
      <c r="Q71" s="9" t="str">
        <f>M71</f>
        <v xml:space="preserve">  - '%tierlore%'</v>
      </c>
      <c r="R71" s="9"/>
      <c r="S71" s="9"/>
      <c r="T71" s="9"/>
    </row>
    <row r="72" spans="1:20" x14ac:dyDescent="0.25">
      <c r="A72" s="9" t="s">
        <v>33</v>
      </c>
      <c r="B72" s="9"/>
      <c r="C72" s="9"/>
      <c r="D72" s="9"/>
      <c r="E72" s="9" t="s">
        <v>33</v>
      </c>
      <c r="F72" s="9"/>
      <c r="G72" s="9"/>
      <c r="H72" s="9"/>
      <c r="I72" s="9" t="s">
        <v>33</v>
      </c>
      <c r="J72" s="9"/>
      <c r="K72" s="9"/>
      <c r="L72" s="9"/>
      <c r="M72" s="9" t="s">
        <v>33</v>
      </c>
      <c r="N72" s="9"/>
      <c r="O72" s="9"/>
      <c r="P72" s="9"/>
      <c r="Q72" s="9" t="s">
        <v>33</v>
      </c>
      <c r="R72" s="9"/>
      <c r="S72" s="9"/>
      <c r="T72" s="9"/>
    </row>
    <row r="73" spans="1:20" x14ac:dyDescent="0.25">
      <c r="A73" s="10" t="str">
        <f>"  - '&amp;4• &amp;f"&amp;MAIN!$C$9&amp;": &amp;a"&amp;MAIN!$C$55*$C$2&amp;"'"</f>
        <v xml:space="preserve">  - '&amp;4• &amp;fFuerza: &amp;a45'</v>
      </c>
      <c r="B73" s="10"/>
      <c r="C73" s="10"/>
      <c r="D73" s="10"/>
      <c r="E73" s="10" t="str">
        <f>"  - '&amp;4• &amp;f"&amp;MAIN!$C$9&amp;": &amp;a"&amp;MAIN!$D$55*$C$2&amp;"'"</f>
        <v xml:space="preserve">  - '&amp;4• &amp;fFuerza: &amp;a72'</v>
      </c>
      <c r="F73" s="10"/>
      <c r="G73" s="10"/>
      <c r="H73" s="10"/>
      <c r="I73" s="10" t="str">
        <f>"  - '&amp;4• &amp;f"&amp;MAIN!$C$9&amp;": &amp;a"&amp;MAIN!$E$55*$C$2&amp;"'"</f>
        <v xml:space="preserve">  - '&amp;4• &amp;fFuerza: &amp;a117'</v>
      </c>
      <c r="J73" s="10"/>
      <c r="K73" s="10"/>
      <c r="L73" s="10"/>
      <c r="M73" s="10" t="str">
        <f>"  - '&amp;4• &amp;f"&amp;MAIN!$C$9&amp;": &amp;a"&amp;MAIN!$F$55*$C$2&amp;"'"</f>
        <v xml:space="preserve">  - '&amp;4• &amp;fFuerza: &amp;a198'</v>
      </c>
      <c r="N73" s="10"/>
      <c r="O73" s="10"/>
      <c r="P73" s="10"/>
      <c r="Q73" s="10" t="str">
        <f>"  - '&amp;4• &amp;f"&amp;MAIN!$C$9&amp;": &amp;a"&amp;MAIN!$G$55*$C$2&amp;"'"</f>
        <v xml:space="preserve">  - '&amp;4• &amp;fFuerza: &amp;a333'</v>
      </c>
      <c r="R73" s="10"/>
      <c r="S73" s="10"/>
      <c r="T73" s="10"/>
    </row>
    <row r="74" spans="1:20" x14ac:dyDescent="0.25">
      <c r="A74" s="10" t="str">
        <f>"  - '&amp;4• &amp;f"&amp;MAIN!$C$8&amp;": &amp;a"&amp;MAIN!$C$55*$C$2&amp;"'"</f>
        <v xml:space="preserve">  - '&amp;4• &amp;fVitalidad: &amp;a45'</v>
      </c>
      <c r="B74" s="10"/>
      <c r="C74" s="10"/>
      <c r="D74" s="10"/>
      <c r="E74" s="10" t="str">
        <f>"  - '&amp;4• &amp;f"&amp;MAIN!$C$8&amp;": &amp;a"&amp;MAIN!$D$55*$C$2&amp;"'"</f>
        <v xml:space="preserve">  - '&amp;4• &amp;fVitalidad: &amp;a72'</v>
      </c>
      <c r="F74" s="10"/>
      <c r="G74" s="10"/>
      <c r="H74" s="10"/>
      <c r="I74" s="10" t="str">
        <f>"  - '&amp;4• &amp;f"&amp;MAIN!$C$8&amp;": &amp;a"&amp;MAIN!$E$55*$C$2&amp;"'"</f>
        <v xml:space="preserve">  - '&amp;4• &amp;fVitalidad: &amp;a117'</v>
      </c>
      <c r="J74" s="10"/>
      <c r="K74" s="10"/>
      <c r="L74" s="10"/>
      <c r="M74" s="10" t="str">
        <f>"  - '&amp;4• &amp;f"&amp;MAIN!$C$8&amp;": &amp;a"&amp;MAIN!$F$55*$C$2&amp;"'"</f>
        <v xml:space="preserve">  - '&amp;4• &amp;fVitalidad: &amp;a198'</v>
      </c>
      <c r="N74" s="10"/>
      <c r="O74" s="10"/>
      <c r="P74" s="10"/>
      <c r="Q74" s="10" t="str">
        <f>"  - '&amp;4• &amp;f"&amp;MAIN!$C$8&amp;": &amp;a"&amp;MAIN!$G$55*$C$2&amp;"'"</f>
        <v xml:space="preserve">  - '&amp;4• &amp;fVitalidad: &amp;a333'</v>
      </c>
      <c r="R74" s="10"/>
      <c r="S74" s="10"/>
      <c r="T74" s="10"/>
    </row>
    <row r="75" spans="1:20" x14ac:dyDescent="0.25">
      <c r="A75" s="10" t="str">
        <f>"  - '&amp;4• &amp;f"&amp;MAIN!$C$11&amp;": &amp;a"&amp;MAIN!$C$54*$C$2&amp;"'"</f>
        <v xml:space="preserve">  - '&amp;4• &amp;fInteligencia: &amp;a45'</v>
      </c>
      <c r="B75" s="10"/>
      <c r="C75" s="10"/>
      <c r="D75" s="10"/>
      <c r="E75" s="10" t="str">
        <f>"  - '&amp;4• &amp;f"&amp;MAIN!$C$11&amp;": &amp;a"&amp;MAIN!$D$54*$C$2&amp;"'"</f>
        <v xml:space="preserve">  - '&amp;4• &amp;fInteligencia: &amp;a72'</v>
      </c>
      <c r="F75" s="10"/>
      <c r="G75" s="10"/>
      <c r="H75" s="10"/>
      <c r="I75" s="10" t="str">
        <f>"  - '&amp;4• &amp;f"&amp;MAIN!$C$11&amp;": &amp;a"&amp;MAIN!$E$54*$C$2&amp;"'"</f>
        <v xml:space="preserve">  - '&amp;4• &amp;fInteligencia: &amp;a117'</v>
      </c>
      <c r="J75" s="10"/>
      <c r="K75" s="10"/>
      <c r="L75" s="10"/>
      <c r="M75" s="10" t="str">
        <f>"  - '&amp;4• &amp;f"&amp;MAIN!$C$11&amp;": &amp;a"&amp;MAIN!$F$54*$C$2&amp;"'"</f>
        <v xml:space="preserve">  - '&amp;4• &amp;fInteligencia: &amp;a198'</v>
      </c>
      <c r="N75" s="10"/>
      <c r="O75" s="10"/>
      <c r="P75" s="10"/>
      <c r="Q75" s="10" t="str">
        <f>"  - '&amp;4• &amp;f"&amp;MAIN!$C$11&amp;": &amp;a"&amp;MAIN!$G$54*$C$2&amp;"'"</f>
        <v xml:space="preserve">  - '&amp;4• &amp;fInteligencia: &amp;a333'</v>
      </c>
      <c r="R75" s="10"/>
      <c r="S75" s="10"/>
      <c r="T75" s="10"/>
    </row>
    <row r="76" spans="1:20" x14ac:dyDescent="0.25">
      <c r="A76" s="10" t="str">
        <f>"  - '&amp;4• &amp;f"&amp;MAIN!$C$10&amp;": &amp;a"&amp;MAIN!$C$56*$C$2&amp;"'"</f>
        <v xml:space="preserve">  - '&amp;4• &amp;fAgilidad: &amp;a45'</v>
      </c>
      <c r="B76" s="10"/>
      <c r="C76" s="10"/>
      <c r="D76" s="10"/>
      <c r="E76" s="10" t="str">
        <f>"  - '&amp;4• &amp;f"&amp;MAIN!$C$10&amp;": &amp;a"&amp;MAIN!$D$56*$C$2&amp;"'"</f>
        <v xml:space="preserve">  - '&amp;4• &amp;fAgilidad: &amp;a72'</v>
      </c>
      <c r="F76" s="10"/>
      <c r="G76" s="10"/>
      <c r="H76" s="10"/>
      <c r="I76" s="10" t="str">
        <f>"  - '&amp;4• &amp;f"&amp;MAIN!$C$10&amp;": &amp;a"&amp;MAIN!$E$56*$C$2&amp;"'"</f>
        <v xml:space="preserve">  - '&amp;4• &amp;fAgilidad: &amp;a117'</v>
      </c>
      <c r="J76" s="10"/>
      <c r="K76" s="10"/>
      <c r="L76" s="10"/>
      <c r="M76" s="10" t="str">
        <f>"  - '&amp;4• &amp;f"&amp;MAIN!$C$10&amp;": &amp;a"&amp;MAIN!$F$56*$C$2&amp;"'"</f>
        <v xml:space="preserve">  - '&amp;4• &amp;fAgilidad: &amp;a198'</v>
      </c>
      <c r="N76" s="10"/>
      <c r="O76" s="10"/>
      <c r="P76" s="10"/>
      <c r="Q76" s="10" t="str">
        <f>"  - '&amp;4• &amp;f"&amp;MAIN!$C$10&amp;": &amp;a"&amp;MAIN!$G$56*$C$2&amp;"'"</f>
        <v xml:space="preserve">  - '&amp;4• &amp;fAgilidad: &amp;a333'</v>
      </c>
      <c r="R76" s="10"/>
      <c r="S76" s="10"/>
      <c r="T76" s="10"/>
    </row>
    <row r="77" spans="1:20" x14ac:dyDescent="0.25">
      <c r="A77" s="9" t="s">
        <v>71</v>
      </c>
      <c r="B77" s="9"/>
      <c r="C77" s="9"/>
      <c r="D77" s="9"/>
      <c r="E77" s="9" t="s">
        <v>71</v>
      </c>
      <c r="F77" s="9"/>
      <c r="G77" s="9"/>
      <c r="H77" s="9"/>
      <c r="I77" s="9" t="s">
        <v>71</v>
      </c>
      <c r="J77" s="9"/>
      <c r="K77" s="9"/>
      <c r="L77" s="9"/>
      <c r="M77" s="9" t="s">
        <v>71</v>
      </c>
      <c r="N77" s="9"/>
      <c r="O77" s="9"/>
      <c r="P77" s="9"/>
      <c r="Q77" s="9" t="s">
        <v>71</v>
      </c>
      <c r="R77" s="9"/>
      <c r="S77" s="9"/>
      <c r="T77" s="9"/>
    </row>
    <row r="78" spans="1:20" x14ac:dyDescent="0.25">
      <c r="A78" s="9" t="s">
        <v>72</v>
      </c>
      <c r="B78" s="9"/>
      <c r="C78" s="9"/>
      <c r="D78" s="9"/>
      <c r="E78" s="9" t="s">
        <v>72</v>
      </c>
      <c r="F78" s="9"/>
      <c r="G78" s="9"/>
      <c r="H78" s="9"/>
      <c r="I78" s="9" t="s">
        <v>72</v>
      </c>
      <c r="J78" s="9"/>
      <c r="K78" s="9"/>
      <c r="L78" s="9"/>
      <c r="M78" s="9" t="s">
        <v>72</v>
      </c>
      <c r="N78" s="9"/>
      <c r="O78" s="9"/>
      <c r="P78" s="9"/>
      <c r="Q78" s="9" t="s">
        <v>72</v>
      </c>
      <c r="R78" s="9"/>
      <c r="S78" s="9"/>
      <c r="T78" s="9"/>
    </row>
    <row r="79" spans="1:20" x14ac:dyDescent="0.25">
      <c r="A79" s="11" t="str">
        <f>'armas ancestral'!$A$79</f>
        <v>minimumSockets: 2</v>
      </c>
      <c r="B79" s="11"/>
      <c r="C79" s="11"/>
      <c r="D79" s="11"/>
      <c r="E79" s="11" t="str">
        <f t="shared" ref="E79" si="22">$A$79</f>
        <v>minimumSockets: 2</v>
      </c>
      <c r="F79" s="11"/>
      <c r="G79" s="11"/>
      <c r="H79" s="11"/>
      <c r="I79" s="11" t="str">
        <f t="shared" ref="I79" si="23">$A$79</f>
        <v>minimumSockets: 2</v>
      </c>
      <c r="J79" s="11"/>
      <c r="K79" s="11"/>
      <c r="L79" s="11"/>
      <c r="M79" s="11" t="str">
        <f t="shared" ref="M79" si="24">$A$79</f>
        <v>minimumSockets: 2</v>
      </c>
      <c r="N79" s="11"/>
      <c r="O79" s="11"/>
      <c r="P79" s="11"/>
      <c r="Q79" s="11" t="str">
        <f t="shared" ref="Q79" si="25">$A$79</f>
        <v>minimumSockets: 2</v>
      </c>
      <c r="R79" s="11"/>
      <c r="S79" s="11"/>
      <c r="T79" s="11"/>
    </row>
    <row r="80" spans="1:20" x14ac:dyDescent="0.25">
      <c r="A80" s="11" t="str">
        <f>'armas ancestral'!$A$80</f>
        <v>maximumSockets: 4</v>
      </c>
      <c r="B80" s="11"/>
      <c r="C80" s="11"/>
      <c r="D80" s="11"/>
      <c r="E80" s="11" t="str">
        <f t="shared" ref="E80" si="26">$A$80</f>
        <v>maximumSockets: 4</v>
      </c>
      <c r="F80" s="11"/>
      <c r="G80" s="11"/>
      <c r="H80" s="11"/>
      <c r="I80" s="11" t="str">
        <f t="shared" ref="I80" si="27">$A$80</f>
        <v>maximumSockets: 4</v>
      </c>
      <c r="J80" s="11"/>
      <c r="K80" s="11"/>
      <c r="L80" s="11"/>
      <c r="M80" s="11" t="str">
        <f t="shared" ref="M80" si="28">$A$80</f>
        <v>maximumSockets: 4</v>
      </c>
      <c r="N80" s="11"/>
      <c r="O80" s="11"/>
      <c r="P80" s="11"/>
      <c r="Q80" s="11" t="str">
        <f t="shared" ref="Q80" si="29">$A$80</f>
        <v>maximumSockets: 4</v>
      </c>
      <c r="R80" s="11"/>
      <c r="S80" s="11"/>
      <c r="T80" s="11"/>
    </row>
    <row r="81" spans="1:20" x14ac:dyDescent="0.25">
      <c r="A81" s="11" t="str">
        <f>'armas ancestral'!$A$81</f>
        <v>chanceToSpawnOnAMonster: 0.0375</v>
      </c>
      <c r="B81" s="11"/>
      <c r="C81" s="11"/>
      <c r="D81" s="11"/>
      <c r="E81" s="11" t="str">
        <f t="shared" ref="E81" si="30">$A$81</f>
        <v>chanceToSpawnOnAMonster: 0.0375</v>
      </c>
      <c r="F81" s="11"/>
      <c r="G81" s="11"/>
      <c r="H81" s="11"/>
      <c r="I81" s="11" t="str">
        <f t="shared" ref="I81" si="31">$A$81</f>
        <v>chanceToSpawnOnAMonster: 0.0375</v>
      </c>
      <c r="J81" s="11"/>
      <c r="K81" s="11"/>
      <c r="L81" s="11"/>
      <c r="M81" s="11" t="str">
        <f t="shared" ref="M81" si="32">$A$81</f>
        <v>chanceToSpawnOnAMonster: 0.0375</v>
      </c>
      <c r="N81" s="11"/>
      <c r="O81" s="11"/>
      <c r="P81" s="11"/>
      <c r="Q81" s="11" t="str">
        <f t="shared" ref="Q81" si="33">$A$81</f>
        <v>chanceToSpawnOnAMonster: 0.0375</v>
      </c>
      <c r="R81" s="11"/>
      <c r="S81" s="11"/>
      <c r="T81" s="11"/>
    </row>
    <row r="82" spans="1:20" x14ac:dyDescent="0.25">
      <c r="A82" s="9" t="s">
        <v>34</v>
      </c>
      <c r="B82" s="9"/>
      <c r="C82" s="9"/>
      <c r="D82" s="9"/>
      <c r="E82" s="9" t="s">
        <v>34</v>
      </c>
      <c r="F82" s="9"/>
      <c r="G82" s="9"/>
      <c r="H82" s="9"/>
      <c r="I82" s="9" t="s">
        <v>34</v>
      </c>
      <c r="J82" s="9"/>
      <c r="K82" s="9"/>
      <c r="L82" s="9"/>
      <c r="M82" s="9" t="s">
        <v>34</v>
      </c>
      <c r="N82" s="9"/>
      <c r="O82" s="9"/>
      <c r="P82" s="9"/>
      <c r="Q82" s="9" t="s">
        <v>34</v>
      </c>
      <c r="R82" s="9"/>
      <c r="S82" s="9"/>
      <c r="T82" s="9"/>
    </row>
    <row r="83" spans="1:20" x14ac:dyDescent="0.25">
      <c r="A83" s="11" t="str">
        <f>'armas ancestral'!$A$83</f>
        <v>chanceToBeIdentified: 0.01875</v>
      </c>
      <c r="B83" s="11"/>
      <c r="C83" s="11"/>
      <c r="D83" s="11"/>
      <c r="E83" s="11" t="str">
        <f t="shared" ref="E83" si="34">$A$83</f>
        <v>chanceToBeIdentified: 0.01875</v>
      </c>
      <c r="F83" s="11"/>
      <c r="G83" s="11"/>
      <c r="H83" s="11"/>
      <c r="I83" s="11" t="str">
        <f t="shared" ref="I83" si="35">$A$83</f>
        <v>chanceToBeIdentified: 0.01875</v>
      </c>
      <c r="J83" s="11"/>
      <c r="K83" s="11"/>
      <c r="L83" s="11"/>
      <c r="M83" s="11" t="str">
        <f t="shared" ref="M83" si="36">$A$83</f>
        <v>chanceToBeIdentified: 0.01875</v>
      </c>
      <c r="N83" s="11"/>
      <c r="O83" s="11"/>
      <c r="P83" s="11"/>
      <c r="Q83" s="11" t="str">
        <f t="shared" ref="Q83" si="37">$A$83</f>
        <v>chanceToBeIdentified: 0.01875</v>
      </c>
      <c r="R83" s="11"/>
      <c r="S83" s="11"/>
      <c r="T83" s="11"/>
    </row>
    <row r="84" spans="1:20" x14ac:dyDescent="0.25">
      <c r="A84" s="9" t="s">
        <v>79</v>
      </c>
      <c r="B84" s="9"/>
      <c r="C84" s="9"/>
      <c r="D84" s="9"/>
      <c r="E84" s="9" t="s">
        <v>79</v>
      </c>
      <c r="F84" s="9"/>
      <c r="G84" s="9"/>
      <c r="H84" s="9"/>
      <c r="I84" s="9" t="s">
        <v>79</v>
      </c>
      <c r="J84" s="9"/>
      <c r="K84" s="9"/>
      <c r="L84" s="9"/>
      <c r="M84" s="9" t="s">
        <v>79</v>
      </c>
      <c r="N84" s="9"/>
      <c r="O84" s="9"/>
      <c r="P84" s="9"/>
      <c r="Q84" s="9" t="s">
        <v>79</v>
      </c>
      <c r="R84" s="9"/>
      <c r="S84" s="9"/>
      <c r="T84" s="9"/>
    </row>
    <row r="85" spans="1:20" x14ac:dyDescent="0.25">
      <c r="A85" s="11" t="str">
        <f>'armas ancestral'!$A$85</f>
        <v>broadcastOnFind: true</v>
      </c>
      <c r="B85" s="11"/>
      <c r="C85" s="11"/>
      <c r="D85" s="11"/>
      <c r="E85" s="11" t="str">
        <f>$A$85</f>
        <v>broadcastOnFind: true</v>
      </c>
      <c r="F85" s="11"/>
      <c r="G85" s="11"/>
      <c r="H85" s="11"/>
      <c r="I85" s="11" t="str">
        <f>$A$85</f>
        <v>broadcastOnFind: true</v>
      </c>
      <c r="J85" s="11"/>
      <c r="K85" s="11"/>
      <c r="L85" s="11"/>
      <c r="M85" s="11" t="str">
        <f>$A$85</f>
        <v>broadcastOnFind: true</v>
      </c>
      <c r="N85" s="11"/>
      <c r="O85" s="11"/>
      <c r="P85" s="11"/>
      <c r="Q85" s="11" t="str">
        <f>$A$85</f>
        <v>broadcastOnFind: true</v>
      </c>
      <c r="R85" s="11"/>
      <c r="S85" s="11"/>
      <c r="T85" s="11"/>
    </row>
    <row r="86" spans="1:20" x14ac:dyDescent="0.25">
      <c r="A86" s="11" t="str">
        <f>'armas ancestral'!$A$86</f>
        <v>optimalDistance: 3000</v>
      </c>
      <c r="B86" s="11"/>
      <c r="C86" s="11"/>
      <c r="D86" s="11"/>
      <c r="E86" s="11" t="str">
        <f t="shared" ref="E86" si="38">$A$86</f>
        <v>optimalDistance: 3000</v>
      </c>
      <c r="F86" s="11"/>
      <c r="G86" s="11"/>
      <c r="H86" s="11"/>
      <c r="I86" s="11" t="str">
        <f t="shared" ref="I86" si="39">$A$86</f>
        <v>optimalDistance: 3000</v>
      </c>
      <c r="J86" s="11"/>
      <c r="K86" s="11"/>
      <c r="L86" s="11"/>
      <c r="M86" s="11" t="str">
        <f t="shared" ref="M86" si="40">$A$86</f>
        <v>optimalDistance: 3000</v>
      </c>
      <c r="N86" s="11"/>
      <c r="O86" s="11"/>
      <c r="P86" s="11"/>
      <c r="Q86" s="11" t="str">
        <f t="shared" ref="Q86" si="41">$A$86</f>
        <v>optimalDistance: 3000</v>
      </c>
      <c r="R86" s="11"/>
      <c r="S86" s="11"/>
      <c r="T86" s="11"/>
    </row>
    <row r="87" spans="1:20" x14ac:dyDescent="0.25">
      <c r="A87" s="11" t="str">
        <f>'armas ancestral'!$A$87</f>
        <v>maximumDistance: 1800</v>
      </c>
      <c r="B87" s="11"/>
      <c r="C87" s="11"/>
      <c r="D87" s="11"/>
      <c r="E87" s="11" t="str">
        <f t="shared" ref="E87" si="42">$A$87</f>
        <v>maximumDistance: 1800</v>
      </c>
      <c r="F87" s="11"/>
      <c r="G87" s="11"/>
      <c r="H87" s="11"/>
      <c r="I87" s="11" t="str">
        <f t="shared" ref="I87" si="43">$A$87</f>
        <v>maximumDistance: 1800</v>
      </c>
      <c r="J87" s="11"/>
      <c r="K87" s="11"/>
      <c r="L87" s="11"/>
      <c r="M87" s="11" t="str">
        <f t="shared" ref="M87" si="44">$A$87</f>
        <v>maximumDistance: 1800</v>
      </c>
      <c r="N87" s="11"/>
      <c r="O87" s="11"/>
      <c r="P87" s="11"/>
      <c r="Q87" s="11" t="str">
        <f t="shared" ref="Q87" si="45">$A$87</f>
        <v>maximumDistance: 1800</v>
      </c>
      <c r="R87" s="11"/>
      <c r="S87" s="11"/>
      <c r="T87" s="11"/>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9" x14ac:dyDescent="0.25">
      <c r="A97" s="9"/>
      <c r="B97" s="9"/>
      <c r="C97" s="9"/>
      <c r="D97" s="9"/>
      <c r="G97" s="13"/>
      <c r="H97" s="13"/>
      <c r="I97" s="13"/>
    </row>
    <row r="98" spans="1:9" x14ac:dyDescent="0.25">
      <c r="A98" s="9"/>
      <c r="B98" s="9"/>
      <c r="C98" s="9"/>
      <c r="D98" s="9"/>
      <c r="G98" s="13"/>
      <c r="H98" s="13"/>
      <c r="I98" s="13"/>
    </row>
    <row r="99" spans="1:9" x14ac:dyDescent="0.25">
      <c r="A99" s="9"/>
      <c r="B99" s="9"/>
      <c r="C99" s="9"/>
      <c r="D99" s="9"/>
    </row>
    <row r="100" spans="1:9" x14ac:dyDescent="0.25">
      <c r="A100" s="9"/>
      <c r="B100" s="9"/>
      <c r="C100" s="9"/>
      <c r="D100" s="9"/>
    </row>
    <row r="101" spans="1:9" x14ac:dyDescent="0.25">
      <c r="A101" s="9"/>
      <c r="B101" s="9"/>
      <c r="C101" s="9"/>
      <c r="D101" s="9"/>
    </row>
    <row r="102" spans="1:9" x14ac:dyDescent="0.25">
      <c r="A102" s="9"/>
      <c r="B102" s="9"/>
      <c r="C102" s="9"/>
      <c r="D102" s="9"/>
    </row>
    <row r="103" spans="1:9" x14ac:dyDescent="0.25">
      <c r="A103" s="9"/>
      <c r="B103" s="9"/>
      <c r="C103" s="9"/>
      <c r="D103" s="9"/>
    </row>
    <row r="104" spans="1:9" x14ac:dyDescent="0.25">
      <c r="A104" s="9"/>
      <c r="B104" s="9"/>
      <c r="C104" s="9"/>
      <c r="D104" s="9"/>
    </row>
    <row r="105" spans="1:9" x14ac:dyDescent="0.25">
      <c r="A105" s="9"/>
      <c r="B105" s="9"/>
      <c r="C105" s="9"/>
      <c r="D105" s="9"/>
    </row>
    <row r="106" spans="1:9" x14ac:dyDescent="0.25">
      <c r="A106" s="9"/>
      <c r="B106" s="9"/>
      <c r="C106" s="9"/>
      <c r="D106" s="9"/>
    </row>
    <row r="107" spans="1:9" x14ac:dyDescent="0.25">
      <c r="A107" s="9"/>
      <c r="B107" s="9"/>
      <c r="C107" s="9"/>
      <c r="D107" s="9"/>
    </row>
    <row r="108" spans="1:9" x14ac:dyDescent="0.25">
      <c r="A108" s="9"/>
      <c r="B108" s="9"/>
      <c r="C108" s="9"/>
      <c r="D108" s="9"/>
    </row>
    <row r="109" spans="1:9" x14ac:dyDescent="0.25">
      <c r="A109" s="9"/>
      <c r="B109" s="9"/>
      <c r="C109" s="9"/>
      <c r="D109" s="9"/>
    </row>
    <row r="110" spans="1:9" x14ac:dyDescent="0.25">
      <c r="A110" s="9"/>
      <c r="B110" s="9"/>
      <c r="C110" s="9"/>
      <c r="D110" s="9"/>
    </row>
    <row r="111" spans="1:9" x14ac:dyDescent="0.25">
      <c r="A111" s="9"/>
      <c r="B111" s="9"/>
      <c r="C111" s="9"/>
      <c r="D111" s="9"/>
    </row>
    <row r="112" spans="1:9"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row r="190" spans="1:4" x14ac:dyDescent="0.25">
      <c r="A190" s="9"/>
      <c r="B190" s="9"/>
      <c r="C190" s="9"/>
      <c r="D190" s="9"/>
    </row>
    <row r="191" spans="1:4" x14ac:dyDescent="0.25">
      <c r="A191" s="9"/>
      <c r="B191" s="9"/>
      <c r="C191" s="9"/>
      <c r="D191"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6"/>
  <dimension ref="A1:Z191"/>
  <sheetViews>
    <sheetView topLeftCell="N65" workbookViewId="0">
      <selection activeCell="Q4" sqref="Q4:Q87"/>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105</v>
      </c>
      <c r="B2" s="293"/>
      <c r="C2" s="293">
        <f>'ECONOMIA &amp; PROFESIONES'!$R$3</f>
        <v>9</v>
      </c>
      <c r="D2" s="293"/>
      <c r="E2" s="293" t="s">
        <v>107</v>
      </c>
      <c r="F2" s="293"/>
      <c r="G2" s="293" t="s">
        <v>106</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$A$38</f>
        <v xml:space="preserve">  - ARROW_INFINITE:4:7</v>
      </c>
      <c r="J15" s="22"/>
      <c r="K15" s="22"/>
      <c r="L15" s="22"/>
      <c r="M15" s="22" t="str">
        <f>$A$38</f>
        <v xml:space="preserve">  - ARROW_INFINITE:4:7</v>
      </c>
      <c r="N15" s="22"/>
      <c r="O15" s="22"/>
      <c r="P15" s="22"/>
      <c r="Q15" s="22" t="str">
        <f>$A$38</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$A$39</f>
        <v xml:space="preserve">  - ARROW_DAMAGE:4:7</v>
      </c>
      <c r="J16" s="22"/>
      <c r="K16" s="22"/>
      <c r="L16" s="22"/>
      <c r="M16" s="22" t="str">
        <f>$A$39</f>
        <v xml:space="preserve">  - ARROW_DAMAGE:4:7</v>
      </c>
      <c r="N16" s="22"/>
      <c r="O16" s="22"/>
      <c r="P16" s="22"/>
      <c r="Q16" s="22" t="str">
        <f>$A$39</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$A$40</f>
        <v xml:space="preserve">  - ARROW_FIRE:4:7</v>
      </c>
      <c r="J17" s="22"/>
      <c r="K17" s="22"/>
      <c r="L17" s="22"/>
      <c r="M17" s="22" t="str">
        <f>$A$40</f>
        <v xml:space="preserve">  - ARROW_FIRE:4:7</v>
      </c>
      <c r="N17" s="22"/>
      <c r="O17" s="22"/>
      <c r="P17" s="22"/>
      <c r="Q17" s="22" t="str">
        <f>$A$40</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$A$41</f>
        <v xml:space="preserve">  - ARROW_KNOCKBACK:4:7</v>
      </c>
      <c r="J18" s="22"/>
      <c r="K18" s="22"/>
      <c r="L18" s="22"/>
      <c r="M18" s="22" t="str">
        <f>$A$41</f>
        <v xml:space="preserve">  - ARROW_KNOCKBACK:4:7</v>
      </c>
      <c r="N18" s="22"/>
      <c r="O18" s="22"/>
      <c r="P18" s="22"/>
      <c r="Q18" s="22" t="str">
        <f>$A$41</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$A$42</f>
        <v xml:space="preserve">  - DAMAGE_ALL:4:7</v>
      </c>
      <c r="J19" s="22"/>
      <c r="K19" s="22"/>
      <c r="L19" s="22"/>
      <c r="M19" s="22" t="str">
        <f>$A$42</f>
        <v xml:space="preserve">  - DAMAGE_ALL:4:7</v>
      </c>
      <c r="N19" s="22"/>
      <c r="O19" s="22"/>
      <c r="P19" s="22"/>
      <c r="Q19" s="22" t="str">
        <f>$A$42</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$A$43</f>
        <v xml:space="preserve">  - DAMAGE_ARTHROPODS:4:7</v>
      </c>
      <c r="J20" s="22"/>
      <c r="K20" s="22"/>
      <c r="L20" s="22"/>
      <c r="M20" s="22" t="str">
        <f>$A$43</f>
        <v xml:space="preserve">  - DAMAGE_ARTHROPODS:4:7</v>
      </c>
      <c r="N20" s="22"/>
      <c r="O20" s="22"/>
      <c r="P20" s="22"/>
      <c r="Q20" s="22" t="str">
        <f>$A$43</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$A$44</f>
        <v xml:space="preserve">  - DAMAGE_UNDEAD:4:7</v>
      </c>
      <c r="J21" s="22"/>
      <c r="K21" s="22"/>
      <c r="L21" s="22"/>
      <c r="M21" s="22" t="str">
        <f>$A$44</f>
        <v xml:space="preserve">  - DAMAGE_UNDEAD:4:7</v>
      </c>
      <c r="N21" s="22"/>
      <c r="O21" s="22"/>
      <c r="P21" s="22"/>
      <c r="Q21" s="22" t="str">
        <f>$A$44</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$A$45</f>
        <v xml:space="preserve">  - DIG_SPEED:4:7</v>
      </c>
      <c r="J22" s="22"/>
      <c r="K22" s="22"/>
      <c r="L22" s="22"/>
      <c r="M22" s="22" t="str">
        <f>$A$45</f>
        <v xml:space="preserve">  - DIG_SPEED:4:7</v>
      </c>
      <c r="N22" s="22"/>
      <c r="O22" s="22"/>
      <c r="P22" s="22"/>
      <c r="Q22" s="22" t="str">
        <f>$A$45</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$A$46</f>
        <v xml:space="preserve">  - DURABILITY:4:7</v>
      </c>
      <c r="J23" s="22"/>
      <c r="K23" s="22"/>
      <c r="L23" s="22"/>
      <c r="M23" s="22" t="str">
        <f>$A$46</f>
        <v xml:space="preserve">  - DURABILITY:4:7</v>
      </c>
      <c r="N23" s="22"/>
      <c r="O23" s="22"/>
      <c r="P23" s="22"/>
      <c r="Q23" s="22" t="str">
        <f>$A$46</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$A$47</f>
        <v xml:space="preserve">  - FIRE_ASPECT:4:7</v>
      </c>
      <c r="J24" s="22"/>
      <c r="K24" s="22"/>
      <c r="L24" s="22"/>
      <c r="M24" s="22" t="str">
        <f>$A$47</f>
        <v xml:space="preserve">  - FIRE_ASPECT:4:7</v>
      </c>
      <c r="N24" s="22"/>
      <c r="O24" s="22"/>
      <c r="P24" s="22"/>
      <c r="Q24" s="22" t="str">
        <f>$A$47</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$A$48</f>
        <v xml:space="preserve">  - KNOCKBACK:4:7</v>
      </c>
      <c r="J25" s="22"/>
      <c r="K25" s="22"/>
      <c r="L25" s="22"/>
      <c r="M25" s="22" t="str">
        <f>$A$48</f>
        <v xml:space="preserve">  - KNOCKBACK:4:7</v>
      </c>
      <c r="N25" s="22"/>
      <c r="O25" s="22"/>
      <c r="P25" s="22"/>
      <c r="Q25" s="22" t="str">
        <f>$A$48</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$A$49</f>
        <v xml:space="preserve">  - LOOT_BONUS_BLOCKS:4:7</v>
      </c>
      <c r="J26" s="22"/>
      <c r="K26" s="22"/>
      <c r="L26" s="22"/>
      <c r="M26" s="22" t="str">
        <f>$A$49</f>
        <v xml:space="preserve">  - LOOT_BONUS_BLOCKS:4:7</v>
      </c>
      <c r="N26" s="22"/>
      <c r="O26" s="22"/>
      <c r="P26" s="22"/>
      <c r="Q26" s="22" t="str">
        <f>$A$49</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$A$50</f>
        <v xml:space="preserve">  - LOOT_BONUS_MOBS:4:7</v>
      </c>
      <c r="J27" s="22"/>
      <c r="K27" s="22"/>
      <c r="L27" s="22"/>
      <c r="M27" s="22" t="str">
        <f>$A$50</f>
        <v xml:space="preserve">  - LOOT_BONUS_MOBS:4:7</v>
      </c>
      <c r="N27" s="22"/>
      <c r="O27" s="22"/>
      <c r="P27" s="22"/>
      <c r="Q27" s="22" t="str">
        <f>$A$50</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$A$51</f>
        <v xml:space="preserve">  - OXYGEN:4:7</v>
      </c>
      <c r="J28" s="22"/>
      <c r="K28" s="22"/>
      <c r="L28" s="22"/>
      <c r="M28" s="22" t="str">
        <f>$A$51</f>
        <v xml:space="preserve">  - OXYGEN:4:7</v>
      </c>
      <c r="N28" s="22"/>
      <c r="O28" s="22"/>
      <c r="P28" s="22"/>
      <c r="Q28" s="22" t="str">
        <f>$A$51</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$A$52</f>
        <v xml:space="preserve">  - PROTECTION_ENVIRONMENT:4:7</v>
      </c>
      <c r="J29" s="22"/>
      <c r="K29" s="22"/>
      <c r="L29" s="22"/>
      <c r="M29" s="22" t="str">
        <f>$A$52</f>
        <v xml:space="preserve">  - PROTECTION_ENVIRONMENT:4:7</v>
      </c>
      <c r="N29" s="22"/>
      <c r="O29" s="22"/>
      <c r="P29" s="22"/>
      <c r="Q29" s="22" t="str">
        <f>$A$52</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$A$53</f>
        <v xml:space="preserve">  - PROTECTION_EXPLOSIONS:4:7</v>
      </c>
      <c r="J30" s="22"/>
      <c r="K30" s="22"/>
      <c r="L30" s="22"/>
      <c r="M30" s="22" t="str">
        <f>$A$53</f>
        <v xml:space="preserve">  - PROTECTION_EXPLOSIONS:4:7</v>
      </c>
      <c r="N30" s="22"/>
      <c r="O30" s="22"/>
      <c r="P30" s="22"/>
      <c r="Q30" s="22" t="str">
        <f>$A$53</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$A$54</f>
        <v xml:space="preserve">  - PROTECTION_FALL:4:7</v>
      </c>
      <c r="J31" s="22"/>
      <c r="K31" s="22"/>
      <c r="L31" s="22"/>
      <c r="M31" s="22" t="str">
        <f>$A$54</f>
        <v xml:space="preserve">  - PROTECTION_FALL:4:7</v>
      </c>
      <c r="N31" s="22"/>
      <c r="O31" s="22"/>
      <c r="P31" s="22"/>
      <c r="Q31" s="22" t="str">
        <f>$A$54</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$A$55</f>
        <v xml:space="preserve">  - PROTECTION_FIRE:4:7</v>
      </c>
      <c r="J32" s="22"/>
      <c r="K32" s="22"/>
      <c r="L32" s="22"/>
      <c r="M32" s="22" t="str">
        <f>$A$55</f>
        <v xml:space="preserve">  - PROTECTION_FIRE:4:7</v>
      </c>
      <c r="N32" s="22"/>
      <c r="O32" s="22"/>
      <c r="P32" s="22"/>
      <c r="Q32" s="22" t="str">
        <f>$A$55</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$A$56</f>
        <v xml:space="preserve">  - PROTECTION_PROJECTILE:4:7</v>
      </c>
      <c r="J33" s="22"/>
      <c r="K33" s="22"/>
      <c r="L33" s="22"/>
      <c r="M33" s="22" t="str">
        <f>$A$56</f>
        <v xml:space="preserve">  - PROTECTION_PROJECTILE:4:7</v>
      </c>
      <c r="N33" s="22"/>
      <c r="O33" s="22"/>
      <c r="P33" s="22"/>
      <c r="Q33" s="22" t="str">
        <f>$A$56</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$A$57</f>
        <v xml:space="preserve">  - SILK_TOUCH:4:7</v>
      </c>
      <c r="J34" s="22"/>
      <c r="K34" s="22"/>
      <c r="L34" s="22"/>
      <c r="M34" s="22" t="str">
        <f>$A$57</f>
        <v xml:space="preserve">  - SILK_TOUCH:4:7</v>
      </c>
      <c r="N34" s="22"/>
      <c r="O34" s="22"/>
      <c r="P34" s="22"/>
      <c r="Q34" s="22" t="str">
        <f>$A$57</f>
        <v xml:space="preserve">  - SILK_TOUCH:4:7</v>
      </c>
      <c r="R34" s="22"/>
      <c r="S34" s="22"/>
      <c r="T34" s="22"/>
    </row>
    <row r="35" spans="1:20" x14ac:dyDescent="0.25">
      <c r="A35" s="22" t="str">
        <f>'armas ancestral'!$A$35</f>
        <v xml:space="preserve">  - THORNS:4:7</v>
      </c>
      <c r="B35" s="22"/>
      <c r="C35" s="22"/>
      <c r="D35" s="22"/>
      <c r="E35" s="22" t="str">
        <f>$A$35</f>
        <v xml:space="preserve">  - THORNS:4:7</v>
      </c>
      <c r="F35" s="22"/>
      <c r="G35" s="22"/>
      <c r="H35" s="22"/>
      <c r="I35" s="22" t="str">
        <f>$A$58</f>
        <v xml:space="preserve">  - THORNS:4:7</v>
      </c>
      <c r="J35" s="22"/>
      <c r="K35" s="22"/>
      <c r="L35" s="22"/>
      <c r="M35" s="22" t="str">
        <f>$A$58</f>
        <v xml:space="preserve">  - THORNS:4:7</v>
      </c>
      <c r="N35" s="22"/>
      <c r="O35" s="22"/>
      <c r="P35" s="22"/>
      <c r="Q35" s="22" t="str">
        <f>$A$58</f>
        <v xml:space="preserve">  - THORNS:4:7</v>
      </c>
      <c r="R35" s="22"/>
      <c r="S35" s="22"/>
      <c r="T35" s="22"/>
    </row>
    <row r="36" spans="1:20" x14ac:dyDescent="0.25">
      <c r="A36" s="22" t="str">
        <f>'armas ancestral'!$A$36</f>
        <v xml:space="preserve">  - WATER_WORKER:4:7</v>
      </c>
      <c r="B36" s="22"/>
      <c r="C36" s="22"/>
      <c r="D36" s="22"/>
      <c r="E36" s="22" t="str">
        <f>$A$36</f>
        <v xml:space="preserve">  - WATER_WORKER:4:7</v>
      </c>
      <c r="F36" s="22"/>
      <c r="G36" s="22"/>
      <c r="H36" s="22"/>
      <c r="I36" s="22" t="str">
        <f>$A$59</f>
        <v xml:space="preserve">  - WATER_WORKER:4:7</v>
      </c>
      <c r="J36" s="22"/>
      <c r="K36" s="22"/>
      <c r="L36" s="22"/>
      <c r="M36" s="22" t="str">
        <f>$A$59</f>
        <v xml:space="preserve">  - WATER_WORKER:4:7</v>
      </c>
      <c r="N36" s="22"/>
      <c r="O36" s="22"/>
      <c r="P36" s="22"/>
      <c r="Q36" s="22" t="str">
        <f>$A$59</f>
        <v xml:space="preserve">  - WATER_WORKER:4:7</v>
      </c>
      <c r="R36" s="22"/>
      <c r="S36" s="22"/>
      <c r="T36" s="22"/>
    </row>
    <row r="37" spans="1:20" x14ac:dyDescent="0.25">
      <c r="A37" s="9" t="s">
        <v>101</v>
      </c>
      <c r="B37" s="9"/>
      <c r="C37" s="9"/>
      <c r="D37" s="9"/>
      <c r="E37" s="9" t="s">
        <v>101</v>
      </c>
      <c r="F37" s="9"/>
      <c r="G37" s="9"/>
      <c r="H37" s="9"/>
      <c r="I37" s="9" t="s">
        <v>101</v>
      </c>
      <c r="J37" s="9"/>
      <c r="K37" s="9"/>
      <c r="L37" s="9"/>
      <c r="M37" s="9" t="s">
        <v>101</v>
      </c>
      <c r="N37" s="9"/>
      <c r="O37" s="9"/>
      <c r="P37" s="9"/>
      <c r="Q37" s="9" t="s">
        <v>101</v>
      </c>
      <c r="R37" s="9"/>
      <c r="S37" s="9"/>
      <c r="T37" s="9"/>
    </row>
    <row r="38" spans="1:20" x14ac:dyDescent="0.25">
      <c r="A38" s="22" t="str">
        <f>$A$15</f>
        <v xml:space="preserve">  - ARROW_INFINITE:4:7</v>
      </c>
      <c r="B38" s="22"/>
      <c r="C38" s="22"/>
      <c r="D38" s="22"/>
      <c r="E38" s="22" t="str">
        <f>$A$38</f>
        <v xml:space="preserve">  - ARROW_INFINITE:4:7</v>
      </c>
      <c r="F38" s="22"/>
      <c r="G38" s="22"/>
      <c r="H38" s="22"/>
      <c r="I38" s="22" t="str">
        <f>$A$38</f>
        <v xml:space="preserve">  - ARROW_INFINITE:4:7</v>
      </c>
      <c r="J38" s="22"/>
      <c r="K38" s="22"/>
      <c r="L38" s="22"/>
      <c r="M38" s="22" t="str">
        <f>$A$38</f>
        <v xml:space="preserve">  - ARROW_INFINITE:4:7</v>
      </c>
      <c r="N38" s="22"/>
      <c r="O38" s="22"/>
      <c r="P38" s="22"/>
      <c r="Q38" s="22" t="str">
        <f>$A$38</f>
        <v xml:space="preserve">  - ARROW_INFINITE:4:7</v>
      </c>
      <c r="R38" s="22"/>
      <c r="S38" s="22"/>
      <c r="T38" s="22"/>
    </row>
    <row r="39" spans="1:20" x14ac:dyDescent="0.25">
      <c r="A39" s="22" t="str">
        <f>$A$16</f>
        <v xml:space="preserve">  - ARROW_DAMAGE:4:7</v>
      </c>
      <c r="B39" s="22"/>
      <c r="C39" s="22"/>
      <c r="D39" s="22"/>
      <c r="E39" s="22" t="str">
        <f>$A$39</f>
        <v xml:space="preserve">  - ARROW_DAMAGE:4:7</v>
      </c>
      <c r="F39" s="22"/>
      <c r="G39" s="22"/>
      <c r="H39" s="22"/>
      <c r="I39" s="22" t="str">
        <f>$A$39</f>
        <v xml:space="preserve">  - ARROW_DAMAGE:4:7</v>
      </c>
      <c r="J39" s="22"/>
      <c r="K39" s="22"/>
      <c r="L39" s="22"/>
      <c r="M39" s="22" t="str">
        <f>$A$39</f>
        <v xml:space="preserve">  - ARROW_DAMAGE:4:7</v>
      </c>
      <c r="N39" s="22"/>
      <c r="O39" s="22"/>
      <c r="P39" s="22"/>
      <c r="Q39" s="22" t="str">
        <f>$A$39</f>
        <v xml:space="preserve">  - ARROW_DAMAGE:4:7</v>
      </c>
      <c r="R39" s="22"/>
      <c r="S39" s="22"/>
      <c r="T39" s="22"/>
    </row>
    <row r="40" spans="1:20" x14ac:dyDescent="0.25">
      <c r="A40" s="22" t="str">
        <f>$A$17</f>
        <v xml:space="preserve">  - ARROW_FIRE:4:7</v>
      </c>
      <c r="B40" s="22"/>
      <c r="C40" s="22"/>
      <c r="D40" s="22"/>
      <c r="E40" s="22" t="str">
        <f>$A$40</f>
        <v xml:space="preserve">  - ARROW_FIRE:4:7</v>
      </c>
      <c r="F40" s="22"/>
      <c r="G40" s="22"/>
      <c r="H40" s="22"/>
      <c r="I40" s="22" t="str">
        <f>$A$40</f>
        <v xml:space="preserve">  - ARROW_FIRE:4:7</v>
      </c>
      <c r="J40" s="22"/>
      <c r="K40" s="22"/>
      <c r="L40" s="22"/>
      <c r="M40" s="22" t="str">
        <f>$A$40</f>
        <v xml:space="preserve">  - ARROW_FIRE:4:7</v>
      </c>
      <c r="N40" s="22"/>
      <c r="O40" s="22"/>
      <c r="P40" s="22"/>
      <c r="Q40" s="22" t="str">
        <f>$A$40</f>
        <v xml:space="preserve">  - ARROW_FIRE:4:7</v>
      </c>
      <c r="R40" s="22"/>
      <c r="S40" s="22"/>
      <c r="T40" s="22"/>
    </row>
    <row r="41" spans="1:20" x14ac:dyDescent="0.25">
      <c r="A41" s="22" t="str">
        <f>$A$18</f>
        <v xml:space="preserve">  - ARROW_KNOCKBACK:4:7</v>
      </c>
      <c r="B41" s="22"/>
      <c r="C41" s="22"/>
      <c r="D41" s="22"/>
      <c r="E41" s="22" t="str">
        <f>$A$41</f>
        <v xml:space="preserve">  - ARROW_KNOCKBACK:4:7</v>
      </c>
      <c r="F41" s="22"/>
      <c r="G41" s="22"/>
      <c r="H41" s="22"/>
      <c r="I41" s="22" t="str">
        <f>$A$41</f>
        <v xml:space="preserve">  - ARROW_KNOCKBACK:4:7</v>
      </c>
      <c r="J41" s="22"/>
      <c r="K41" s="22"/>
      <c r="L41" s="22"/>
      <c r="M41" s="22" t="str">
        <f>$A$41</f>
        <v xml:space="preserve">  - ARROW_KNOCKBACK:4:7</v>
      </c>
      <c r="N41" s="22"/>
      <c r="O41" s="22"/>
      <c r="P41" s="22"/>
      <c r="Q41" s="22" t="str">
        <f>$A$41</f>
        <v xml:space="preserve">  - ARROW_KNOCKBACK:4:7</v>
      </c>
      <c r="R41" s="22"/>
      <c r="S41" s="22"/>
      <c r="T41" s="22"/>
    </row>
    <row r="42" spans="1:20" x14ac:dyDescent="0.25">
      <c r="A42" s="22" t="str">
        <f>$A$19</f>
        <v xml:space="preserve">  - DAMAGE_ALL:4:7</v>
      </c>
      <c r="B42" s="22"/>
      <c r="C42" s="22"/>
      <c r="D42" s="22"/>
      <c r="E42" s="22" t="str">
        <f>$A$42</f>
        <v xml:space="preserve">  - DAMAGE_ALL:4:7</v>
      </c>
      <c r="F42" s="22"/>
      <c r="G42" s="22"/>
      <c r="H42" s="22"/>
      <c r="I42" s="22" t="str">
        <f>$A$42</f>
        <v xml:space="preserve">  - DAMAGE_ALL:4:7</v>
      </c>
      <c r="J42" s="22"/>
      <c r="K42" s="22"/>
      <c r="L42" s="22"/>
      <c r="M42" s="22" t="str">
        <f>$A$42</f>
        <v xml:space="preserve">  - DAMAGE_ALL:4:7</v>
      </c>
      <c r="N42" s="22"/>
      <c r="O42" s="22"/>
      <c r="P42" s="22"/>
      <c r="Q42" s="22" t="str">
        <f>$A$42</f>
        <v xml:space="preserve">  - DAMAGE_ALL:4:7</v>
      </c>
      <c r="R42" s="22"/>
      <c r="S42" s="22"/>
      <c r="T42" s="22"/>
    </row>
    <row r="43" spans="1:20" x14ac:dyDescent="0.25">
      <c r="A43" s="22" t="str">
        <f>$A$20</f>
        <v xml:space="preserve">  - DAMAGE_ARTHROPODS:4:7</v>
      </c>
      <c r="B43" s="22"/>
      <c r="C43" s="22"/>
      <c r="D43" s="22"/>
      <c r="E43" s="22" t="str">
        <f>$A$43</f>
        <v xml:space="preserve">  - DAMAGE_ARTHROPODS:4:7</v>
      </c>
      <c r="F43" s="22"/>
      <c r="G43" s="22"/>
      <c r="H43" s="22"/>
      <c r="I43" s="22" t="str">
        <f>$A$43</f>
        <v xml:space="preserve">  - DAMAGE_ARTHROPODS:4:7</v>
      </c>
      <c r="J43" s="22"/>
      <c r="K43" s="22"/>
      <c r="L43" s="22"/>
      <c r="M43" s="22" t="str">
        <f>$A$43</f>
        <v xml:space="preserve">  - DAMAGE_ARTHROPODS:4:7</v>
      </c>
      <c r="N43" s="22"/>
      <c r="O43" s="22"/>
      <c r="P43" s="22"/>
      <c r="Q43" s="22" t="str">
        <f>$A$43</f>
        <v xml:space="preserve">  - DAMAGE_ARTHROPODS:4:7</v>
      </c>
      <c r="R43" s="22"/>
      <c r="S43" s="22"/>
      <c r="T43" s="22"/>
    </row>
    <row r="44" spans="1:20" x14ac:dyDescent="0.25">
      <c r="A44" s="22" t="str">
        <f>$A$21</f>
        <v xml:space="preserve">  - DAMAGE_UNDEAD:4:7</v>
      </c>
      <c r="B44" s="22"/>
      <c r="C44" s="22"/>
      <c r="D44" s="22"/>
      <c r="E44" s="22" t="str">
        <f>$A$44</f>
        <v xml:space="preserve">  - DAMAGE_UNDEAD:4:7</v>
      </c>
      <c r="F44" s="22"/>
      <c r="G44" s="22"/>
      <c r="H44" s="22"/>
      <c r="I44" s="22" t="str">
        <f>$A$44</f>
        <v xml:space="preserve">  - DAMAGE_UNDEAD:4:7</v>
      </c>
      <c r="J44" s="22"/>
      <c r="K44" s="22"/>
      <c r="L44" s="22"/>
      <c r="M44" s="22" t="str">
        <f>$A$44</f>
        <v xml:space="preserve">  - DAMAGE_UNDEAD:4:7</v>
      </c>
      <c r="N44" s="22"/>
      <c r="O44" s="22"/>
      <c r="P44" s="22"/>
      <c r="Q44" s="22" t="str">
        <f>$A$44</f>
        <v xml:space="preserve">  - DAMAGE_UNDEAD:4:7</v>
      </c>
      <c r="R44" s="22"/>
      <c r="S44" s="22"/>
      <c r="T44" s="22"/>
    </row>
    <row r="45" spans="1:20" x14ac:dyDescent="0.25">
      <c r="A45" s="22" t="str">
        <f>$A$22</f>
        <v xml:space="preserve">  - DIG_SPEED:4:7</v>
      </c>
      <c r="B45" s="22"/>
      <c r="C45" s="22"/>
      <c r="D45" s="22"/>
      <c r="E45" s="22" t="str">
        <f>$A$45</f>
        <v xml:space="preserve">  - DIG_SPEED:4:7</v>
      </c>
      <c r="F45" s="22"/>
      <c r="G45" s="22"/>
      <c r="H45" s="22"/>
      <c r="I45" s="22" t="str">
        <f>$A$45</f>
        <v xml:space="preserve">  - DIG_SPEED:4:7</v>
      </c>
      <c r="J45" s="22"/>
      <c r="K45" s="22"/>
      <c r="L45" s="22"/>
      <c r="M45" s="22" t="str">
        <f>$A$45</f>
        <v xml:space="preserve">  - DIG_SPEED:4:7</v>
      </c>
      <c r="N45" s="22"/>
      <c r="O45" s="22"/>
      <c r="P45" s="22"/>
      <c r="Q45" s="22" t="str">
        <f>$A$45</f>
        <v xml:space="preserve">  - DIG_SPEED:4:7</v>
      </c>
      <c r="R45" s="22"/>
      <c r="S45" s="22"/>
      <c r="T45" s="22"/>
    </row>
    <row r="46" spans="1:20" x14ac:dyDescent="0.25">
      <c r="A46" s="22" t="str">
        <f>$A$23</f>
        <v xml:space="preserve">  - DURABILITY:4:7</v>
      </c>
      <c r="B46" s="22"/>
      <c r="C46" s="22"/>
      <c r="D46" s="22"/>
      <c r="E46" s="22" t="str">
        <f>$A$46</f>
        <v xml:space="preserve">  - DURABILITY:4:7</v>
      </c>
      <c r="F46" s="22"/>
      <c r="G46" s="22"/>
      <c r="H46" s="22"/>
      <c r="I46" s="22" t="str">
        <f>$A$46</f>
        <v xml:space="preserve">  - DURABILITY:4:7</v>
      </c>
      <c r="J46" s="22"/>
      <c r="K46" s="22"/>
      <c r="L46" s="22"/>
      <c r="M46" s="22" t="str">
        <f>$A$46</f>
        <v xml:space="preserve">  - DURABILITY:4:7</v>
      </c>
      <c r="N46" s="22"/>
      <c r="O46" s="22"/>
      <c r="P46" s="22"/>
      <c r="Q46" s="22" t="str">
        <f>$A$46</f>
        <v xml:space="preserve">  - DURABILITY:4:7</v>
      </c>
      <c r="R46" s="22"/>
      <c r="S46" s="22"/>
      <c r="T46" s="22"/>
    </row>
    <row r="47" spans="1:20" x14ac:dyDescent="0.25">
      <c r="A47" s="22" t="str">
        <f>$A$24</f>
        <v xml:space="preserve">  - FIRE_ASPECT:4:7</v>
      </c>
      <c r="B47" s="22"/>
      <c r="C47" s="22"/>
      <c r="D47" s="22"/>
      <c r="E47" s="22" t="str">
        <f>$A$47</f>
        <v xml:space="preserve">  - FIRE_ASPECT:4:7</v>
      </c>
      <c r="F47" s="22"/>
      <c r="G47" s="22"/>
      <c r="H47" s="22"/>
      <c r="I47" s="22" t="str">
        <f>$A$47</f>
        <v xml:space="preserve">  - FIRE_ASPECT:4:7</v>
      </c>
      <c r="J47" s="22"/>
      <c r="K47" s="22"/>
      <c r="L47" s="22"/>
      <c r="M47" s="22" t="str">
        <f>$A$47</f>
        <v xml:space="preserve">  - FIRE_ASPECT:4:7</v>
      </c>
      <c r="N47" s="22"/>
      <c r="O47" s="22"/>
      <c r="P47" s="22"/>
      <c r="Q47" s="22" t="str">
        <f>$A$47</f>
        <v xml:space="preserve">  - FIRE_ASPECT:4:7</v>
      </c>
      <c r="R47" s="22"/>
      <c r="S47" s="22"/>
      <c r="T47" s="22"/>
    </row>
    <row r="48" spans="1:20" x14ac:dyDescent="0.25">
      <c r="A48" s="22" t="str">
        <f>$A$25</f>
        <v xml:space="preserve">  - KNOCKBACK:4:7</v>
      </c>
      <c r="B48" s="22"/>
      <c r="C48" s="22"/>
      <c r="D48" s="22"/>
      <c r="E48" s="22" t="str">
        <f>$A$48</f>
        <v xml:space="preserve">  - KNOCKBACK:4:7</v>
      </c>
      <c r="F48" s="22"/>
      <c r="G48" s="22"/>
      <c r="H48" s="22"/>
      <c r="I48" s="22" t="str">
        <f>$A$48</f>
        <v xml:space="preserve">  - KNOCKBACK:4:7</v>
      </c>
      <c r="J48" s="22"/>
      <c r="K48" s="22"/>
      <c r="L48" s="22"/>
      <c r="M48" s="22" t="str">
        <f>$A$48</f>
        <v xml:space="preserve">  - KNOCKBACK:4:7</v>
      </c>
      <c r="N48" s="22"/>
      <c r="O48" s="22"/>
      <c r="P48" s="22"/>
      <c r="Q48" s="22" t="str">
        <f>$A$48</f>
        <v xml:space="preserve">  - KNOCKBACK:4:7</v>
      </c>
      <c r="R48" s="22"/>
      <c r="S48" s="22"/>
      <c r="T48" s="22"/>
    </row>
    <row r="49" spans="1:20" x14ac:dyDescent="0.25">
      <c r="A49" s="22" t="str">
        <f>$A$26</f>
        <v xml:space="preserve">  - LOOT_BONUS_BLOCKS:4:7</v>
      </c>
      <c r="B49" s="22"/>
      <c r="C49" s="22"/>
      <c r="D49" s="22"/>
      <c r="E49" s="22" t="str">
        <f>$A$49</f>
        <v xml:space="preserve">  - LOOT_BONUS_BLOCKS:4:7</v>
      </c>
      <c r="F49" s="22"/>
      <c r="G49" s="22"/>
      <c r="H49" s="22"/>
      <c r="I49" s="22" t="str">
        <f>$A$49</f>
        <v xml:space="preserve">  - LOOT_BONUS_BLOCKS:4:7</v>
      </c>
      <c r="J49" s="22"/>
      <c r="K49" s="22"/>
      <c r="L49" s="22"/>
      <c r="M49" s="22" t="str">
        <f>$A$49</f>
        <v xml:space="preserve">  - LOOT_BONUS_BLOCKS:4:7</v>
      </c>
      <c r="N49" s="22"/>
      <c r="O49" s="22"/>
      <c r="P49" s="22"/>
      <c r="Q49" s="22" t="str">
        <f>$A$49</f>
        <v xml:space="preserve">  - LOOT_BONUS_BLOCKS:4:7</v>
      </c>
      <c r="R49" s="22"/>
      <c r="S49" s="22"/>
      <c r="T49" s="22"/>
    </row>
    <row r="50" spans="1:20" x14ac:dyDescent="0.25">
      <c r="A50" s="22" t="str">
        <f>$A$27</f>
        <v xml:space="preserve">  - LOOT_BONUS_MOBS:4:7</v>
      </c>
      <c r="B50" s="22"/>
      <c r="C50" s="22"/>
      <c r="D50" s="22"/>
      <c r="E50" s="22" t="str">
        <f>$A$50</f>
        <v xml:space="preserve">  - LOOT_BONUS_MOBS:4:7</v>
      </c>
      <c r="F50" s="22"/>
      <c r="G50" s="22"/>
      <c r="H50" s="22"/>
      <c r="I50" s="22" t="str">
        <f>$A$50</f>
        <v xml:space="preserve">  - LOOT_BONUS_MOBS:4:7</v>
      </c>
      <c r="J50" s="22"/>
      <c r="K50" s="22"/>
      <c r="L50" s="22"/>
      <c r="M50" s="22" t="str">
        <f>$A$50</f>
        <v xml:space="preserve">  - LOOT_BONUS_MOBS:4:7</v>
      </c>
      <c r="N50" s="22"/>
      <c r="O50" s="22"/>
      <c r="P50" s="22"/>
      <c r="Q50" s="22" t="str">
        <f>$A$50</f>
        <v xml:space="preserve">  - LOOT_BONUS_MOBS:4:7</v>
      </c>
      <c r="R50" s="22"/>
      <c r="S50" s="22"/>
      <c r="T50" s="22"/>
    </row>
    <row r="51" spans="1:20" x14ac:dyDescent="0.25">
      <c r="A51" s="22" t="str">
        <f>$A$28</f>
        <v xml:space="preserve">  - OXYGEN:4:7</v>
      </c>
      <c r="B51" s="22"/>
      <c r="C51" s="22"/>
      <c r="D51" s="22"/>
      <c r="E51" s="22" t="str">
        <f>$A$51</f>
        <v xml:space="preserve">  - OXYGEN:4:7</v>
      </c>
      <c r="F51" s="22"/>
      <c r="G51" s="22"/>
      <c r="H51" s="22"/>
      <c r="I51" s="22" t="str">
        <f>$A$51</f>
        <v xml:space="preserve">  - OXYGEN:4:7</v>
      </c>
      <c r="J51" s="22"/>
      <c r="K51" s="22"/>
      <c r="L51" s="22"/>
      <c r="M51" s="22" t="str">
        <f>$A$51</f>
        <v xml:space="preserve">  - OXYGEN:4:7</v>
      </c>
      <c r="N51" s="22"/>
      <c r="O51" s="22"/>
      <c r="P51" s="22"/>
      <c r="Q51" s="22" t="str">
        <f>$A$51</f>
        <v xml:space="preserve">  - OXYGEN:4:7</v>
      </c>
      <c r="R51" s="22"/>
      <c r="S51" s="22"/>
      <c r="T51" s="22"/>
    </row>
    <row r="52" spans="1:20" x14ac:dyDescent="0.25">
      <c r="A52" s="22" t="str">
        <f>$A$29</f>
        <v xml:space="preserve">  - PROTECTION_ENVIRONMENT:4:7</v>
      </c>
      <c r="B52" s="22"/>
      <c r="C52" s="22"/>
      <c r="D52" s="22"/>
      <c r="E52" s="22" t="str">
        <f>$A$52</f>
        <v xml:space="preserve">  - PROTECTION_ENVIRONMENT:4:7</v>
      </c>
      <c r="F52" s="22"/>
      <c r="G52" s="22"/>
      <c r="H52" s="22"/>
      <c r="I52" s="22" t="str">
        <f>$A$52</f>
        <v xml:space="preserve">  - PROTECTION_ENVIRONMENT:4:7</v>
      </c>
      <c r="J52" s="22"/>
      <c r="K52" s="22"/>
      <c r="L52" s="22"/>
      <c r="M52" s="22" t="str">
        <f>$A$52</f>
        <v xml:space="preserve">  - PROTECTION_ENVIRONMENT:4:7</v>
      </c>
      <c r="N52" s="22"/>
      <c r="O52" s="22"/>
      <c r="P52" s="22"/>
      <c r="Q52" s="22" t="str">
        <f>$A$52</f>
        <v xml:space="preserve">  - PROTECTION_ENVIRONMENT:4:7</v>
      </c>
      <c r="R52" s="22"/>
      <c r="S52" s="22"/>
      <c r="T52" s="22"/>
    </row>
    <row r="53" spans="1:20" x14ac:dyDescent="0.25">
      <c r="A53" s="22" t="str">
        <f>$A$30</f>
        <v xml:space="preserve">  - PROTECTION_EXPLOSIONS:4:7</v>
      </c>
      <c r="B53" s="22"/>
      <c r="C53" s="22"/>
      <c r="D53" s="22"/>
      <c r="E53" s="22" t="str">
        <f>$A$53</f>
        <v xml:space="preserve">  - PROTECTION_EXPLOSIONS:4:7</v>
      </c>
      <c r="F53" s="22"/>
      <c r="G53" s="22"/>
      <c r="H53" s="22"/>
      <c r="I53" s="22" t="str">
        <f>$A$53</f>
        <v xml:space="preserve">  - PROTECTION_EXPLOSIONS:4:7</v>
      </c>
      <c r="J53" s="22"/>
      <c r="K53" s="22"/>
      <c r="L53" s="22"/>
      <c r="M53" s="22" t="str">
        <f>$A$53</f>
        <v xml:space="preserve">  - PROTECTION_EXPLOSIONS:4:7</v>
      </c>
      <c r="N53" s="22"/>
      <c r="O53" s="22"/>
      <c r="P53" s="22"/>
      <c r="Q53" s="22" t="str">
        <f>$A$53</f>
        <v xml:space="preserve">  - PROTECTION_EXPLOSIONS:4:7</v>
      </c>
      <c r="R53" s="22"/>
      <c r="S53" s="22"/>
      <c r="T53" s="22"/>
    </row>
    <row r="54" spans="1:20" x14ac:dyDescent="0.25">
      <c r="A54" s="22" t="str">
        <f>$A$31</f>
        <v xml:space="preserve">  - PROTECTION_FALL:4:7</v>
      </c>
      <c r="B54" s="22"/>
      <c r="C54" s="22"/>
      <c r="D54" s="22"/>
      <c r="E54" s="22" t="str">
        <f>$A$54</f>
        <v xml:space="preserve">  - PROTECTION_FALL:4:7</v>
      </c>
      <c r="F54" s="22"/>
      <c r="G54" s="22"/>
      <c r="H54" s="22"/>
      <c r="I54" s="22" t="str">
        <f>$A$54</f>
        <v xml:space="preserve">  - PROTECTION_FALL:4:7</v>
      </c>
      <c r="J54" s="22"/>
      <c r="K54" s="22"/>
      <c r="L54" s="22"/>
      <c r="M54" s="22" t="str">
        <f>$A$54</f>
        <v xml:space="preserve">  - PROTECTION_FALL:4:7</v>
      </c>
      <c r="N54" s="22"/>
      <c r="O54" s="22"/>
      <c r="P54" s="22"/>
      <c r="Q54" s="22" t="str">
        <f>$A$54</f>
        <v xml:space="preserve">  - PROTECTION_FALL:4:7</v>
      </c>
      <c r="R54" s="22"/>
      <c r="S54" s="22"/>
      <c r="T54" s="22"/>
    </row>
    <row r="55" spans="1:20" x14ac:dyDescent="0.25">
      <c r="A55" s="22" t="str">
        <f>$A$32</f>
        <v xml:space="preserve">  - PROTECTION_FIRE:4:7</v>
      </c>
      <c r="B55" s="22"/>
      <c r="C55" s="22"/>
      <c r="D55" s="22"/>
      <c r="E55" s="22" t="str">
        <f>$A$55</f>
        <v xml:space="preserve">  - PROTECTION_FIRE:4:7</v>
      </c>
      <c r="F55" s="22"/>
      <c r="G55" s="22"/>
      <c r="H55" s="22"/>
      <c r="I55" s="22" t="str">
        <f>$A$55</f>
        <v xml:space="preserve">  - PROTECTION_FIRE:4:7</v>
      </c>
      <c r="J55" s="22"/>
      <c r="K55" s="22"/>
      <c r="L55" s="22"/>
      <c r="M55" s="22" t="str">
        <f>$A$55</f>
        <v xml:space="preserve">  - PROTECTION_FIRE:4:7</v>
      </c>
      <c r="N55" s="22"/>
      <c r="O55" s="22"/>
      <c r="P55" s="22"/>
      <c r="Q55" s="22" t="str">
        <f>$A$55</f>
        <v xml:space="preserve">  - PROTECTION_FIRE:4:7</v>
      </c>
      <c r="R55" s="22"/>
      <c r="S55" s="22"/>
      <c r="T55" s="22"/>
    </row>
    <row r="56" spans="1:20" x14ac:dyDescent="0.25">
      <c r="A56" s="22" t="str">
        <f>$A$33</f>
        <v xml:space="preserve">  - PROTECTION_PROJECTILE:4:7</v>
      </c>
      <c r="B56" s="22"/>
      <c r="C56" s="22"/>
      <c r="D56" s="22"/>
      <c r="E56" s="22" t="str">
        <f>$A$56</f>
        <v xml:space="preserve">  - PROTECTION_PROJECTILE:4:7</v>
      </c>
      <c r="F56" s="22"/>
      <c r="G56" s="22"/>
      <c r="H56" s="22"/>
      <c r="I56" s="22" t="str">
        <f>$A$56</f>
        <v xml:space="preserve">  - PROTECTION_PROJECTILE:4:7</v>
      </c>
      <c r="J56" s="22"/>
      <c r="K56" s="22"/>
      <c r="L56" s="22"/>
      <c r="M56" s="22" t="str">
        <f>$A$56</f>
        <v xml:space="preserve">  - PROTECTION_PROJECTILE:4:7</v>
      </c>
      <c r="N56" s="22"/>
      <c r="O56" s="22"/>
      <c r="P56" s="22"/>
      <c r="Q56" s="22" t="str">
        <f>$A$56</f>
        <v xml:space="preserve">  - PROTECTION_PROJECTILE:4:7</v>
      </c>
      <c r="R56" s="22"/>
      <c r="S56" s="22"/>
      <c r="T56" s="22"/>
    </row>
    <row r="57" spans="1:20" x14ac:dyDescent="0.25">
      <c r="A57" s="22" t="str">
        <f>$A$34</f>
        <v xml:space="preserve">  - SILK_TOUCH:4:7</v>
      </c>
      <c r="B57" s="22"/>
      <c r="C57" s="22"/>
      <c r="D57" s="22"/>
      <c r="E57" s="22" t="str">
        <f>$A$57</f>
        <v xml:space="preserve">  - SILK_TOUCH:4:7</v>
      </c>
      <c r="F57" s="22"/>
      <c r="G57" s="22"/>
      <c r="H57" s="22"/>
      <c r="I57" s="22" t="str">
        <f>$A$57</f>
        <v xml:space="preserve">  - SILK_TOUCH:4:7</v>
      </c>
      <c r="J57" s="22"/>
      <c r="K57" s="22"/>
      <c r="L57" s="22"/>
      <c r="M57" s="22" t="str">
        <f>$A$57</f>
        <v xml:space="preserve">  - SILK_TOUCH:4:7</v>
      </c>
      <c r="N57" s="22"/>
      <c r="O57" s="22"/>
      <c r="P57" s="22"/>
      <c r="Q57" s="22" t="str">
        <f>$A$57</f>
        <v xml:space="preserve">  - SILK_TOUCH:4:7</v>
      </c>
      <c r="R57" s="22"/>
      <c r="S57" s="22"/>
      <c r="T57" s="22"/>
    </row>
    <row r="58" spans="1:20" x14ac:dyDescent="0.25">
      <c r="A58" s="22" t="str">
        <f>$A$35</f>
        <v xml:space="preserve">  - THORNS:4:7</v>
      </c>
      <c r="B58" s="22"/>
      <c r="C58" s="22"/>
      <c r="D58" s="22"/>
      <c r="E58" s="22" t="str">
        <f>$A$58</f>
        <v xml:space="preserve">  - THORNS:4:7</v>
      </c>
      <c r="F58" s="22"/>
      <c r="G58" s="22"/>
      <c r="H58" s="22"/>
      <c r="I58" s="22" t="str">
        <f>$A$58</f>
        <v xml:space="preserve">  - THORNS:4:7</v>
      </c>
      <c r="J58" s="22"/>
      <c r="K58" s="22"/>
      <c r="L58" s="22"/>
      <c r="M58" s="22" t="str">
        <f>$A$58</f>
        <v xml:space="preserve">  - THORNS:4:7</v>
      </c>
      <c r="N58" s="22"/>
      <c r="O58" s="22"/>
      <c r="P58" s="22"/>
      <c r="Q58" s="22" t="str">
        <f>$A$58</f>
        <v xml:space="preserve">  - THORNS:4:7</v>
      </c>
      <c r="R58" s="22"/>
      <c r="S58" s="22"/>
      <c r="T58" s="22"/>
    </row>
    <row r="59" spans="1:20" x14ac:dyDescent="0.25">
      <c r="A59" s="22" t="str">
        <f>$A$36</f>
        <v xml:space="preserve">  - WATER_WORKER:4:7</v>
      </c>
      <c r="B59" s="22"/>
      <c r="C59" s="22"/>
      <c r="D59" s="22"/>
      <c r="E59" s="22" t="str">
        <f>$A$59</f>
        <v xml:space="preserve">  - WATER_WORKER:4:7</v>
      </c>
      <c r="F59" s="22"/>
      <c r="G59" s="22"/>
      <c r="H59" s="22"/>
      <c r="I59" s="22" t="str">
        <f>$A$59</f>
        <v xml:space="preserve">  - WATER_WORKER:4:7</v>
      </c>
      <c r="J59" s="22"/>
      <c r="K59" s="22"/>
      <c r="L59" s="22"/>
      <c r="M59" s="22" t="str">
        <f>$A$59</f>
        <v xml:space="preserve">  - WATER_WORKER:4:7</v>
      </c>
      <c r="N59" s="22"/>
      <c r="O59" s="22"/>
      <c r="P59" s="22"/>
      <c r="Q59" s="22" t="str">
        <f>$A$59</f>
        <v xml:space="preserve">  - WATER_WORKER:4:7</v>
      </c>
      <c r="R59" s="22"/>
      <c r="S59" s="22"/>
      <c r="T59" s="22"/>
    </row>
    <row r="60" spans="1:20" x14ac:dyDescent="0.25">
      <c r="A60" s="9" t="s">
        <v>28</v>
      </c>
      <c r="B60" s="9"/>
      <c r="C60" s="9"/>
      <c r="D60" s="9"/>
      <c r="E60" s="9" t="s">
        <v>28</v>
      </c>
      <c r="F60" s="9"/>
      <c r="G60" s="9"/>
      <c r="H60" s="9"/>
      <c r="I60" s="9" t="s">
        <v>28</v>
      </c>
      <c r="J60" s="9"/>
      <c r="K60" s="9"/>
      <c r="L60" s="9"/>
      <c r="M60" s="9" t="s">
        <v>28</v>
      </c>
      <c r="N60" s="9"/>
      <c r="O60" s="9"/>
      <c r="P60" s="9"/>
      <c r="Q60" s="9" t="s">
        <v>28</v>
      </c>
      <c r="R60" s="9"/>
      <c r="S60" s="9"/>
      <c r="T60" s="9"/>
    </row>
    <row r="61" spans="1:20" x14ac:dyDescent="0.25">
      <c r="A61" s="11" t="str">
        <f>'armas ancestral'!$A$61</f>
        <v xml:space="preserve">  minimumBonusLore: 3</v>
      </c>
      <c r="B61" s="11"/>
      <c r="C61" s="11"/>
      <c r="D61" s="11"/>
      <c r="E61" s="11" t="str">
        <f>$A$61</f>
        <v xml:space="preserve">  minimumBonusLore: 3</v>
      </c>
      <c r="F61" s="11"/>
      <c r="G61" s="11"/>
      <c r="H61" s="11"/>
      <c r="I61" s="11" t="str">
        <f t="shared" ref="I61" si="12">$A$61</f>
        <v xml:space="preserve">  minimumBonusLore: 3</v>
      </c>
      <c r="J61" s="11"/>
      <c r="K61" s="11"/>
      <c r="L61" s="11"/>
      <c r="M61" s="11" t="str">
        <f t="shared" ref="M61" si="13">$A$61</f>
        <v xml:space="preserve">  minimumBonusLore: 3</v>
      </c>
      <c r="N61" s="11"/>
      <c r="O61" s="11"/>
      <c r="P61" s="11"/>
      <c r="Q61" s="11" t="str">
        <f t="shared" ref="Q61" si="14">$A$61</f>
        <v xml:space="preserve">  minimumBonusLore: 3</v>
      </c>
      <c r="R61" s="11"/>
      <c r="S61" s="11"/>
      <c r="T61" s="11"/>
    </row>
    <row r="62" spans="1:20" x14ac:dyDescent="0.25">
      <c r="A62" s="11" t="str">
        <f>'armas ancestral'!$A$62</f>
        <v xml:space="preserve">  maximumBonusLore: 4</v>
      </c>
      <c r="B62" s="11"/>
      <c r="C62" s="11"/>
      <c r="D62" s="11"/>
      <c r="E62" s="11" t="str">
        <f>$A$62</f>
        <v xml:space="preserve">  maximumBonusLore: 4</v>
      </c>
      <c r="F62" s="11"/>
      <c r="G62" s="11"/>
      <c r="H62" s="11"/>
      <c r="I62" s="11" t="str">
        <f t="shared" ref="I62" si="15">$A$62</f>
        <v xml:space="preserve">  maximumBonusLore: 4</v>
      </c>
      <c r="J62" s="11"/>
      <c r="K62" s="11"/>
      <c r="L62" s="11"/>
      <c r="M62" s="11" t="str">
        <f t="shared" ref="M62" si="16">$A$62</f>
        <v xml:space="preserve">  maximumBonusLore: 4</v>
      </c>
      <c r="N62" s="11"/>
      <c r="O62" s="11"/>
      <c r="P62" s="11"/>
      <c r="Q62" s="11" t="str">
        <f t="shared" ref="Q62" si="17">$A$62</f>
        <v xml:space="preserve">  maximumBonusLore: 4</v>
      </c>
      <c r="R62" s="11"/>
      <c r="S62" s="11"/>
      <c r="T62" s="11"/>
    </row>
    <row r="63" spans="1:20" x14ac:dyDescent="0.25">
      <c r="A63" s="9" t="s">
        <v>29</v>
      </c>
      <c r="B63" s="9"/>
      <c r="C63" s="9"/>
      <c r="D63" s="9"/>
      <c r="E63" s="9" t="s">
        <v>29</v>
      </c>
      <c r="F63" s="9"/>
      <c r="G63" s="9"/>
      <c r="H63" s="9"/>
      <c r="I63" s="9" t="s">
        <v>29</v>
      </c>
      <c r="J63" s="9"/>
      <c r="K63" s="9"/>
      <c r="L63" s="9"/>
      <c r="M63" s="9" t="s">
        <v>29</v>
      </c>
      <c r="N63" s="9"/>
      <c r="O63" s="9"/>
      <c r="P63" s="9"/>
      <c r="Q63" s="9" t="s">
        <v>29</v>
      </c>
      <c r="R63" s="9"/>
      <c r="S63" s="9"/>
      <c r="T63" s="9"/>
    </row>
    <row r="64" spans="1:20" x14ac:dyDescent="0.25">
      <c r="A64" s="20" t="str">
        <f>"  - '&amp;aVenta: &amp;6"&amp;(MAIN!$F$3+(MAIN!$G$18+MAIN!$G$19)/2*MAIN!$B$9+(MAIN!$G$20+MAIN!$G$21)/2*MAIN!$B$8+(MAIN!$G$69*MAIN!$B$11)+($C$2*MAIN!$B$10))/10&amp;" &amp;aAlmakos'"</f>
        <v xml:space="preserve">  - '&amp;aVenta: &amp;6950 &amp;aAlmakos'</v>
      </c>
      <c r="B64" s="20"/>
      <c r="C64" s="20"/>
      <c r="D64" s="20"/>
      <c r="E64" s="20" t="str">
        <f>"  - '&amp;aVenta: &amp;6"&amp;(MAIN!$G$3+(MAIN!$G$18+MAIN!$G$19)/2*MAIN!$B$9+(MAIN!$G$20+MAIN!$G$21)/2*MAIN!$B$8+(MAIN!$G$69*MAIN!$B$11)+($C$2*MAIN!$B$10))/10&amp;" &amp;aAlmakos'"</f>
        <v xml:space="preserve">  - '&amp;aVenta: &amp;61110 &amp;aAlmakos'</v>
      </c>
      <c r="F64" s="20"/>
      <c r="G64" s="20"/>
      <c r="H64" s="20"/>
      <c r="I64" s="20" t="str">
        <f>"  - '&amp;aVenta: &amp;6"&amp;(MAIN!$H$3+(MAIN!$G$18+MAIN!$G$19)/2*MAIN!$B$9+(MAIN!$G$20+MAIN!$G$21)/2*MAIN!$B$8+(MAIN!$G$69*MAIN!$B$11)+($C$2*MAIN!$B$10))/10&amp;" &amp;aAlmakos'"</f>
        <v xml:space="preserve">  - '&amp;aVenta: &amp;61430 &amp;aAlmakos'</v>
      </c>
      <c r="J64" s="20"/>
      <c r="K64" s="20"/>
      <c r="L64" s="20"/>
      <c r="M64" s="20" t="str">
        <f>"  - '&amp;aVenta: &amp;6"&amp;(MAIN!$I$3+(MAIN!$G$18+MAIN!$G$19)/2*MAIN!$B$9+(MAIN!$G$20+MAIN!$G$21)/2*MAIN!$B$8+(MAIN!$G$69*MAIN!$B$11)+($C$2*MAIN!$B$10))/10&amp;" &amp;aAlmakos'"</f>
        <v xml:space="preserve">  - '&amp;aVenta: &amp;62070 &amp;aAlmakos'</v>
      </c>
      <c r="N64" s="20"/>
      <c r="O64" s="20"/>
      <c r="P64" s="20"/>
      <c r="Q64" s="20" t="str">
        <f>"  - '&amp;aVenta: &amp;6"&amp;(MAIN!$J$3+(MAIN!$G$18+MAIN!$G$19)/2*MAIN!$B$9+(MAIN!$G$20+MAIN!$G$21)/2*MAIN!$B$8+(MAIN!$G$69*MAIN!$B$11)+($C$2*MAIN!$B$10))/10&amp;" &amp;aAlmakos'"</f>
        <v xml:space="preserve">  - '&amp;aVenta: &amp;63350 &amp;aAlmakos'</v>
      </c>
      <c r="R64" s="20"/>
      <c r="S64" s="20"/>
      <c r="T64" s="20"/>
    </row>
    <row r="65" spans="1:20" x14ac:dyDescent="0.25">
      <c r="A65" s="9" t="s">
        <v>30</v>
      </c>
      <c r="B65" s="9"/>
      <c r="C65" s="9"/>
      <c r="D65" s="9"/>
      <c r="E65" s="9" t="s">
        <v>30</v>
      </c>
      <c r="F65" s="9"/>
      <c r="G65" s="9"/>
      <c r="H65" s="9"/>
      <c r="I65" s="9" t="s">
        <v>30</v>
      </c>
      <c r="J65" s="9"/>
      <c r="K65" s="9"/>
      <c r="L65" s="9"/>
      <c r="M65" s="9" t="s">
        <v>30</v>
      </c>
      <c r="N65" s="9"/>
      <c r="O65" s="9"/>
      <c r="P65" s="9"/>
      <c r="Q65" s="9" t="s">
        <v>30</v>
      </c>
      <c r="R65" s="9"/>
      <c r="S65" s="9"/>
      <c r="T65" s="9"/>
    </row>
    <row r="66" spans="1:20" x14ac:dyDescent="0.25">
      <c r="A66" s="9" t="s">
        <v>31</v>
      </c>
      <c r="B66" s="9"/>
      <c r="C66" s="9"/>
      <c r="D66" s="9"/>
      <c r="E66" s="9" t="s">
        <v>31</v>
      </c>
      <c r="F66" s="9"/>
      <c r="G66" s="9"/>
      <c r="H66" s="9"/>
      <c r="I66" s="9" t="s">
        <v>31</v>
      </c>
      <c r="J66" s="9"/>
      <c r="K66" s="9"/>
      <c r="L66" s="9"/>
      <c r="M66" s="9" t="s">
        <v>31</v>
      </c>
      <c r="N66" s="9"/>
      <c r="O66" s="9"/>
      <c r="P66" s="9"/>
      <c r="Q66" s="9" t="s">
        <v>31</v>
      </c>
      <c r="R66" s="9"/>
      <c r="S66" s="9"/>
      <c r="T66" s="9"/>
    </row>
    <row r="67" spans="1:20" s="262" customFormat="1" x14ac:dyDescent="0.25">
      <c r="A67" s="9" t="s">
        <v>1032</v>
      </c>
      <c r="B67" s="9"/>
      <c r="C67" s="9"/>
      <c r="D67" s="9"/>
      <c r="E67" s="9" t="s">
        <v>1032</v>
      </c>
      <c r="F67" s="9"/>
      <c r="G67" s="9"/>
      <c r="H67" s="9"/>
      <c r="I67" s="9" t="s">
        <v>1032</v>
      </c>
      <c r="J67" s="9"/>
      <c r="K67" s="9"/>
      <c r="L67" s="9"/>
      <c r="M67" s="9" t="s">
        <v>1032</v>
      </c>
      <c r="N67" s="9"/>
      <c r="O67" s="9"/>
      <c r="P67" s="9"/>
      <c r="Q67" s="9" t="s">
        <v>1032</v>
      </c>
      <c r="R67" s="9"/>
      <c r="S67" s="9"/>
      <c r="T67" s="9"/>
    </row>
    <row r="68" spans="1:20" x14ac:dyDescent="0.25">
      <c r="A68" s="10" t="str">
        <f>"  - '&amp;7• &amp;8Nivel: &amp;a"&amp;MAIN!$C$71+($C$2*MAIN!$I$27)&amp;"'"</f>
        <v xml:space="preserve">  - '&amp;7• &amp;8Nivel: &amp;a59'</v>
      </c>
      <c r="B68" s="10"/>
      <c r="C68" s="10"/>
      <c r="D68" s="10"/>
      <c r="E68" s="10" t="str">
        <f>"  - '&amp;7• &amp;8Nivel: &amp;a"&amp;MAIN!$D$71+($C$2*MAIN!$I$27)&amp;"'"</f>
        <v xml:space="preserve">  - '&amp;7• &amp;8Nivel: &amp;a87'</v>
      </c>
      <c r="F68" s="10"/>
      <c r="G68" s="10"/>
      <c r="H68" s="10"/>
      <c r="I68" s="10" t="str">
        <f>"  - '&amp;7• &amp;8Nivel: &amp;a"&amp;MAIN!$E$71+($C$2*MAIN!$I$27)&amp;"'"</f>
        <v xml:space="preserve">  - '&amp;7• &amp;8Nivel: &amp;a173'</v>
      </c>
      <c r="J68" s="10"/>
      <c r="K68" s="10"/>
      <c r="L68" s="10"/>
      <c r="M68" s="10" t="str">
        <f>"  - '&amp;7• &amp;8Nivel: &amp;a"&amp;MAIN!$F$71+($C$2*MAIN!$I$27)&amp;"'"</f>
        <v xml:space="preserve">  - '&amp;7• &amp;8Nivel: &amp;a429'</v>
      </c>
      <c r="N68" s="10"/>
      <c r="O68" s="10"/>
      <c r="P68" s="10"/>
      <c r="Q68" s="10" t="str">
        <f>"  - '&amp;7• &amp;8Nivel: &amp;a"&amp;MAIN!$G$71+($C$2*MAIN!$I$27)&amp;"'"</f>
        <v xml:space="preserve">  - '&amp;7• &amp;8Nivel: &amp;a813'</v>
      </c>
      <c r="R68" s="10"/>
      <c r="S68" s="10"/>
      <c r="T68" s="10"/>
    </row>
    <row r="69" spans="1:20" x14ac:dyDescent="0.25">
      <c r="A69" s="12" t="str">
        <f>"  - '&amp;7• &amp;8"&amp;MAIN!$C$12&amp;" lvl: &amp;a"&amp;ROUNDUP((MAIN!$C$71+($C$2*MAIN!$I$27))/3,0)&amp;"'"</f>
        <v xml:space="preserve">  - '&amp;7• &amp;8Esencia lvl: &amp;a20'</v>
      </c>
      <c r="B69" s="12"/>
      <c r="C69" s="12"/>
      <c r="D69" s="12"/>
      <c r="E69" s="12" t="str">
        <f>"  - '&amp;7• &amp;8"&amp;MAIN!$C$12&amp;" lvl: &amp;a"&amp;ROUNDUP((MAIN!$D$71+($C$2*MAIN!$I$27))/3,0)&amp;"'"</f>
        <v xml:space="preserve">  - '&amp;7• &amp;8Esencia lvl: &amp;a29'</v>
      </c>
      <c r="F69" s="12"/>
      <c r="G69" s="12"/>
      <c r="H69" s="12"/>
      <c r="I69" s="12" t="str">
        <f>"  - '&amp;7• &amp;8"&amp;MAIN!$C$12&amp;" lvl: &amp;a"&amp;ROUNDUP((MAIN!$E$71+($C$2*MAIN!$I$27))/3,0)&amp;"'"</f>
        <v xml:space="preserve">  - '&amp;7• &amp;8Esencia lvl: &amp;a58'</v>
      </c>
      <c r="J69" s="12"/>
      <c r="K69" s="12"/>
      <c r="L69" s="12"/>
      <c r="M69" s="12" t="str">
        <f>"  - '&amp;7• &amp;8"&amp;MAIN!$C$12&amp;" lvl: &amp;a"&amp;ROUNDUP((MAIN!$F$71+($C$2*MAIN!$I$27))/3,0)&amp;"'"</f>
        <v xml:space="preserve">  - '&amp;7• &amp;8Esencia lvl: &amp;a143'</v>
      </c>
      <c r="N69" s="12"/>
      <c r="O69" s="12"/>
      <c r="P69" s="12"/>
      <c r="Q69" s="12" t="str">
        <f>"  - '&amp;7• &amp;8"&amp;MAIN!$C$12&amp;" lvl: &amp;a"&amp;ROUNDUP((MAIN!$G$71+($C$2*MAIN!$I$27))/3,0)&amp;"'"</f>
        <v xml:space="preserve">  - '&amp;7• &amp;8Esencia lvl: &amp;a271'</v>
      </c>
      <c r="R69" s="12"/>
      <c r="S69" s="12"/>
      <c r="T69" s="12"/>
    </row>
    <row r="70" spans="1:20" x14ac:dyDescent="0.25">
      <c r="A70" s="9" t="s">
        <v>32</v>
      </c>
      <c r="B70" s="9"/>
      <c r="C70" s="9"/>
      <c r="D70" s="9"/>
      <c r="E70" s="9" t="s">
        <v>32</v>
      </c>
      <c r="F70" s="9"/>
      <c r="G70" s="9"/>
      <c r="H70" s="9"/>
      <c r="I70" s="9" t="s">
        <v>32</v>
      </c>
      <c r="J70" s="9"/>
      <c r="K70" s="9"/>
      <c r="L70" s="9"/>
      <c r="M70" s="9" t="s">
        <v>32</v>
      </c>
      <c r="N70" s="9"/>
      <c r="O70" s="9"/>
      <c r="P70" s="9"/>
      <c r="Q70" s="9" t="s">
        <v>32</v>
      </c>
      <c r="R70" s="9"/>
      <c r="S70" s="9"/>
      <c r="T70" s="9"/>
    </row>
    <row r="71" spans="1:20" s="291" customFormat="1" x14ac:dyDescent="0.25">
      <c r="A71" s="9" t="s">
        <v>1196</v>
      </c>
      <c r="B71" s="9"/>
      <c r="C71" s="9"/>
      <c r="D71" s="9"/>
      <c r="E71" s="9" t="str">
        <f>A71</f>
        <v xml:space="preserve">  - '%tierlore%'</v>
      </c>
      <c r="F71" s="9"/>
      <c r="G71" s="9"/>
      <c r="H71" s="9"/>
      <c r="I71" s="9" t="str">
        <f>E71</f>
        <v xml:space="preserve">  - '%tierlore%'</v>
      </c>
      <c r="J71" s="9"/>
      <c r="K71" s="9"/>
      <c r="L71" s="9"/>
      <c r="M71" s="9" t="str">
        <f>I71</f>
        <v xml:space="preserve">  - '%tierlore%'</v>
      </c>
      <c r="N71" s="9"/>
      <c r="O71" s="9"/>
      <c r="P71" s="9"/>
      <c r="Q71" s="9" t="str">
        <f>M71</f>
        <v xml:space="preserve">  - '%tierlore%'</v>
      </c>
      <c r="R71" s="9"/>
      <c r="S71" s="9"/>
      <c r="T71" s="9"/>
    </row>
    <row r="72" spans="1:20" x14ac:dyDescent="0.25">
      <c r="A72" s="9" t="s">
        <v>33</v>
      </c>
      <c r="B72" s="9"/>
      <c r="C72" s="9"/>
      <c r="D72" s="9"/>
      <c r="E72" s="9" t="s">
        <v>33</v>
      </c>
      <c r="F72" s="9"/>
      <c r="G72" s="9"/>
      <c r="H72" s="9"/>
      <c r="I72" s="9" t="s">
        <v>33</v>
      </c>
      <c r="J72" s="9"/>
      <c r="K72" s="9"/>
      <c r="L72" s="9"/>
      <c r="M72" s="9" t="s">
        <v>33</v>
      </c>
      <c r="N72" s="9"/>
      <c r="O72" s="9"/>
      <c r="P72" s="9"/>
      <c r="Q72" s="9" t="s">
        <v>33</v>
      </c>
      <c r="R72" s="9"/>
      <c r="S72" s="9"/>
      <c r="T72" s="9"/>
    </row>
    <row r="73" spans="1:20" x14ac:dyDescent="0.25">
      <c r="A73" s="10" t="str">
        <f>"  - '&amp;4• &amp;f"&amp;MAIN!$C$9&amp;": &amp;a"&amp;MAIN!$C$66*$C$2&amp;"'"</f>
        <v xml:space="preserve">  - '&amp;4• &amp;fFuerza: &amp;a72'</v>
      </c>
      <c r="B73" s="10"/>
      <c r="C73" s="10"/>
      <c r="D73" s="10"/>
      <c r="E73" s="10" t="str">
        <f>"  - '&amp;4• &amp;f"&amp;MAIN!$C$9&amp;": &amp;a"&amp;MAIN!$D$66*$C$2&amp;"'"</f>
        <v xml:space="preserve">  - '&amp;4• &amp;fFuerza: &amp;a117'</v>
      </c>
      <c r="F73" s="10"/>
      <c r="G73" s="10"/>
      <c r="H73" s="10"/>
      <c r="I73" s="10" t="str">
        <f>"  - '&amp;4• &amp;f"&amp;MAIN!$C$9&amp;": &amp;a"&amp;MAIN!$E$66*$C$2&amp;"'"</f>
        <v xml:space="preserve">  - '&amp;4• &amp;fFuerza: &amp;a198'</v>
      </c>
      <c r="J73" s="10"/>
      <c r="K73" s="10"/>
      <c r="L73" s="10"/>
      <c r="M73" s="10" t="str">
        <f>"  - '&amp;4• &amp;f"&amp;MAIN!$C$9&amp;": &amp;a"&amp;MAIN!$F$66*$C$2&amp;"'"</f>
        <v xml:space="preserve">  - '&amp;4• &amp;fFuerza: &amp;a333'</v>
      </c>
      <c r="N73" s="10"/>
      <c r="O73" s="10"/>
      <c r="P73" s="10"/>
      <c r="Q73" s="10" t="str">
        <f>"  - '&amp;4• &amp;f"&amp;MAIN!$C$9&amp;": &amp;a"&amp;MAIN!$G$66*$C$2&amp;"'"</f>
        <v xml:space="preserve">  - '&amp;4• &amp;fFuerza: &amp;a558'</v>
      </c>
      <c r="R73" s="10"/>
      <c r="S73" s="10"/>
      <c r="T73" s="10"/>
    </row>
    <row r="74" spans="1:20" x14ac:dyDescent="0.25">
      <c r="A74" s="10" t="str">
        <f>"  - '&amp;4• &amp;f"&amp;MAIN!$C$8&amp;": &amp;a"&amp;MAIN!$C$66*$C$2&amp;"'"</f>
        <v xml:space="preserve">  - '&amp;4• &amp;fVitalidad: &amp;a72'</v>
      </c>
      <c r="B74" s="10"/>
      <c r="C74" s="10"/>
      <c r="D74" s="10"/>
      <c r="E74" s="10" t="str">
        <f>"  - '&amp;4• &amp;f"&amp;MAIN!$C$8&amp;": &amp;a"&amp;MAIN!$D$66*$C$2&amp;"'"</f>
        <v xml:space="preserve">  - '&amp;4• &amp;fVitalidad: &amp;a117'</v>
      </c>
      <c r="F74" s="10"/>
      <c r="G74" s="10"/>
      <c r="H74" s="10"/>
      <c r="I74" s="10" t="str">
        <f>"  - '&amp;4• &amp;f"&amp;MAIN!$C$8&amp;": &amp;a"&amp;MAIN!$E$66*$C$2&amp;"'"</f>
        <v xml:space="preserve">  - '&amp;4• &amp;fVitalidad: &amp;a198'</v>
      </c>
      <c r="J74" s="10"/>
      <c r="K74" s="10"/>
      <c r="L74" s="10"/>
      <c r="M74" s="10" t="str">
        <f>"  - '&amp;4• &amp;f"&amp;MAIN!$C$8&amp;": &amp;a"&amp;MAIN!$F$66*$C$2&amp;"'"</f>
        <v xml:space="preserve">  - '&amp;4• &amp;fVitalidad: &amp;a333'</v>
      </c>
      <c r="N74" s="10"/>
      <c r="O74" s="10"/>
      <c r="P74" s="10"/>
      <c r="Q74" s="10" t="str">
        <f>"  - '&amp;4• &amp;f"&amp;MAIN!$C$8&amp;": &amp;a"&amp;MAIN!$G$66*$C$2&amp;"'"</f>
        <v xml:space="preserve">  - '&amp;4• &amp;fVitalidad: &amp;a558'</v>
      </c>
      <c r="R74" s="10"/>
      <c r="S74" s="10"/>
      <c r="T74" s="10"/>
    </row>
    <row r="75" spans="1:20" x14ac:dyDescent="0.25">
      <c r="A75" s="10" t="str">
        <f>"  - '&amp;4• &amp;f"&amp;MAIN!$C$11&amp;": &amp;a"&amp;MAIN!$C$68*$C$2&amp;"'"</f>
        <v xml:space="preserve">  - '&amp;4• &amp;fInteligencia: &amp;a72'</v>
      </c>
      <c r="B75" s="10"/>
      <c r="C75" s="10"/>
      <c r="D75" s="10"/>
      <c r="E75" s="10" t="str">
        <f>"  - '&amp;4• &amp;f"&amp;MAIN!$C$11&amp;": &amp;a"&amp;MAIN!$D$68*$C$2&amp;"'"</f>
        <v xml:space="preserve">  - '&amp;4• &amp;fInteligencia: &amp;a117'</v>
      </c>
      <c r="F75" s="10"/>
      <c r="G75" s="10"/>
      <c r="H75" s="10"/>
      <c r="I75" s="10" t="str">
        <f>"  - '&amp;4• &amp;f"&amp;MAIN!$C$11&amp;": &amp;a"&amp;MAIN!$E$67*$C$2&amp;"'"</f>
        <v xml:space="preserve">  - '&amp;4• &amp;fInteligencia: &amp;a198'</v>
      </c>
      <c r="J75" s="10"/>
      <c r="K75" s="10"/>
      <c r="L75" s="10"/>
      <c r="M75" s="10" t="str">
        <f>"  - '&amp;4• &amp;f"&amp;MAIN!$C$11&amp;": &amp;a"&amp;MAIN!$F$68*$C$2&amp;"'"</f>
        <v xml:space="preserve">  - '&amp;4• &amp;fInteligencia: &amp;a333'</v>
      </c>
      <c r="N75" s="10"/>
      <c r="O75" s="10"/>
      <c r="P75" s="10"/>
      <c r="Q75" s="10" t="str">
        <f>"  - '&amp;4• &amp;f"&amp;MAIN!$C$11&amp;": &amp;a"&amp;MAIN!$G$68*$C$2&amp;"'"</f>
        <v xml:space="preserve">  - '&amp;4• &amp;fInteligencia: &amp;a558'</v>
      </c>
      <c r="R75" s="10"/>
      <c r="S75" s="10"/>
      <c r="T75" s="10"/>
    </row>
    <row r="76" spans="1:20" x14ac:dyDescent="0.25">
      <c r="A76" s="10" t="str">
        <f>"  - '&amp;4• &amp;f"&amp;MAIN!$C$10&amp;": &amp;a"&amp;MAIN!$C$67*$C$2&amp;"'"</f>
        <v xml:space="preserve">  - '&amp;4• &amp;fAgilidad: &amp;a72'</v>
      </c>
      <c r="B76" s="10"/>
      <c r="C76" s="10"/>
      <c r="D76" s="10"/>
      <c r="E76" s="10" t="str">
        <f>"  - '&amp;4• &amp;f"&amp;MAIN!$C$10&amp;": &amp;a"&amp;MAIN!$D$67*$C$2&amp;"'"</f>
        <v xml:space="preserve">  - '&amp;4• &amp;fAgilidad: &amp;a117'</v>
      </c>
      <c r="F76" s="10"/>
      <c r="G76" s="10"/>
      <c r="H76" s="10"/>
      <c r="I76" s="10" t="str">
        <f>"  - '&amp;4• &amp;f"&amp;MAIN!$C$10&amp;": &amp;a"&amp;MAIN!$E$67*$C$2&amp;"'"</f>
        <v xml:space="preserve">  - '&amp;4• &amp;fAgilidad: &amp;a198'</v>
      </c>
      <c r="J76" s="10"/>
      <c r="K76" s="10"/>
      <c r="L76" s="10"/>
      <c r="M76" s="10" t="str">
        <f>"  - '&amp;4• &amp;f"&amp;MAIN!$C$10&amp;": &amp;a"&amp;MAIN!$F$67*$C$2&amp;"'"</f>
        <v xml:space="preserve">  - '&amp;4• &amp;fAgilidad: &amp;a333'</v>
      </c>
      <c r="N76" s="10"/>
      <c r="O76" s="10"/>
      <c r="P76" s="10"/>
      <c r="Q76" s="10" t="str">
        <f>"  - '&amp;4• &amp;f"&amp;MAIN!$C$10&amp;": &amp;a"&amp;MAIN!$G$67*$C$2&amp;"'"</f>
        <v xml:space="preserve">  - '&amp;4• &amp;fAgilidad: &amp;a558'</v>
      </c>
      <c r="R76" s="10"/>
      <c r="S76" s="10"/>
      <c r="T76" s="10"/>
    </row>
    <row r="77" spans="1:20" x14ac:dyDescent="0.25">
      <c r="A77" s="9" t="s">
        <v>71</v>
      </c>
      <c r="B77" s="9"/>
      <c r="C77" s="9"/>
      <c r="D77" s="9"/>
      <c r="E77" s="9" t="s">
        <v>71</v>
      </c>
      <c r="F77" s="9"/>
      <c r="G77" s="9"/>
      <c r="H77" s="9"/>
      <c r="I77" s="9" t="s">
        <v>71</v>
      </c>
      <c r="J77" s="9"/>
      <c r="K77" s="9"/>
      <c r="L77" s="9"/>
      <c r="M77" s="9" t="s">
        <v>71</v>
      </c>
      <c r="N77" s="9"/>
      <c r="O77" s="9"/>
      <c r="P77" s="9"/>
      <c r="Q77" s="9" t="s">
        <v>71</v>
      </c>
      <c r="R77" s="9"/>
      <c r="S77" s="9"/>
      <c r="T77" s="9"/>
    </row>
    <row r="78" spans="1:20" x14ac:dyDescent="0.25">
      <c r="A78" s="9" t="s">
        <v>72</v>
      </c>
      <c r="B78" s="9"/>
      <c r="C78" s="9"/>
      <c r="D78" s="9"/>
      <c r="E78" s="9" t="s">
        <v>72</v>
      </c>
      <c r="F78" s="9"/>
      <c r="G78" s="9"/>
      <c r="H78" s="9"/>
      <c r="I78" s="9" t="s">
        <v>72</v>
      </c>
      <c r="J78" s="9"/>
      <c r="K78" s="9"/>
      <c r="L78" s="9"/>
      <c r="M78" s="9" t="s">
        <v>72</v>
      </c>
      <c r="N78" s="9"/>
      <c r="O78" s="9"/>
      <c r="P78" s="9"/>
      <c r="Q78" s="9" t="s">
        <v>72</v>
      </c>
      <c r="R78" s="9"/>
      <c r="S78" s="9"/>
      <c r="T78" s="9"/>
    </row>
    <row r="79" spans="1:20" x14ac:dyDescent="0.25">
      <c r="A79" s="11" t="str">
        <f>'armas ancestral'!$A$79</f>
        <v>minimumSockets: 2</v>
      </c>
      <c r="B79" s="11"/>
      <c r="C79" s="11"/>
      <c r="D79" s="11"/>
      <c r="E79" s="11" t="str">
        <f>$A$79</f>
        <v>minimumSockets: 2</v>
      </c>
      <c r="F79" s="11"/>
      <c r="G79" s="11"/>
      <c r="H79" s="11"/>
      <c r="I79" s="11" t="str">
        <f>$A$79</f>
        <v>minimumSockets: 2</v>
      </c>
      <c r="J79" s="11"/>
      <c r="K79" s="11"/>
      <c r="L79" s="11"/>
      <c r="M79" s="11" t="str">
        <f>$A$79</f>
        <v>minimumSockets: 2</v>
      </c>
      <c r="N79" s="11"/>
      <c r="O79" s="11"/>
      <c r="P79" s="11"/>
      <c r="Q79" s="11" t="str">
        <f>$A$79</f>
        <v>minimumSockets: 2</v>
      </c>
      <c r="R79" s="11"/>
      <c r="S79" s="11"/>
      <c r="T79" s="11"/>
    </row>
    <row r="80" spans="1:20" x14ac:dyDescent="0.25">
      <c r="A80" s="11" t="str">
        <f>'armas ancestral'!$A$80</f>
        <v>maximumSockets: 4</v>
      </c>
      <c r="B80" s="11"/>
      <c r="C80" s="11"/>
      <c r="D80" s="11"/>
      <c r="E80" s="11" t="str">
        <f>$A$80</f>
        <v>maximumSockets: 4</v>
      </c>
      <c r="F80" s="11"/>
      <c r="G80" s="11"/>
      <c r="H80" s="11"/>
      <c r="I80" s="11" t="str">
        <f>$A$80</f>
        <v>maximumSockets: 4</v>
      </c>
      <c r="J80" s="11"/>
      <c r="K80" s="11"/>
      <c r="L80" s="11"/>
      <c r="M80" s="11" t="str">
        <f>$A$80</f>
        <v>maximumSockets: 4</v>
      </c>
      <c r="N80" s="11"/>
      <c r="O80" s="11"/>
      <c r="P80" s="11"/>
      <c r="Q80" s="11" t="str">
        <f>$A$80</f>
        <v>maximumSockets: 4</v>
      </c>
      <c r="R80" s="11"/>
      <c r="S80" s="11"/>
      <c r="T80" s="11"/>
    </row>
    <row r="81" spans="1:20" x14ac:dyDescent="0.25">
      <c r="A81" s="11" t="str">
        <f>'armas ancestral'!$A$81</f>
        <v>chanceToSpawnOnAMonster: 0.0375</v>
      </c>
      <c r="B81" s="11"/>
      <c r="C81" s="11"/>
      <c r="D81" s="11"/>
      <c r="E81" s="11" t="str">
        <f>$A$81</f>
        <v>chanceToSpawnOnAMonster: 0.0375</v>
      </c>
      <c r="F81" s="11"/>
      <c r="G81" s="11"/>
      <c r="H81" s="11"/>
      <c r="I81" s="11" t="str">
        <f>$A$81</f>
        <v>chanceToSpawnOnAMonster: 0.0375</v>
      </c>
      <c r="J81" s="11"/>
      <c r="K81" s="11"/>
      <c r="L81" s="11"/>
      <c r="M81" s="11" t="str">
        <f>$A$81</f>
        <v>chanceToSpawnOnAMonster: 0.0375</v>
      </c>
      <c r="N81" s="11"/>
      <c r="O81" s="11"/>
      <c r="P81" s="11"/>
      <c r="Q81" s="11" t="str">
        <f>$A$81</f>
        <v>chanceToSpawnOnAMonster: 0.0375</v>
      </c>
      <c r="R81" s="11"/>
      <c r="S81" s="11"/>
      <c r="T81" s="11"/>
    </row>
    <row r="82" spans="1:20" x14ac:dyDescent="0.25">
      <c r="A82" s="9" t="s">
        <v>34</v>
      </c>
      <c r="B82" s="9"/>
      <c r="C82" s="9"/>
      <c r="D82" s="9"/>
      <c r="E82" s="9" t="s">
        <v>34</v>
      </c>
      <c r="F82" s="9"/>
      <c r="G82" s="9"/>
      <c r="H82" s="9"/>
      <c r="I82" s="9" t="s">
        <v>34</v>
      </c>
      <c r="J82" s="9"/>
      <c r="K82" s="9"/>
      <c r="L82" s="9"/>
      <c r="M82" s="9" t="s">
        <v>34</v>
      </c>
      <c r="N82" s="9"/>
      <c r="O82" s="9"/>
      <c r="P82" s="9"/>
      <c r="Q82" s="9" t="s">
        <v>34</v>
      </c>
      <c r="R82" s="9"/>
      <c r="S82" s="9"/>
      <c r="T82" s="9"/>
    </row>
    <row r="83" spans="1:20" x14ac:dyDescent="0.25">
      <c r="A83" s="11" t="str">
        <f>'armas ancestral'!$A$83</f>
        <v>chanceToBeIdentified: 0.01875</v>
      </c>
      <c r="B83" s="11"/>
      <c r="C83" s="11"/>
      <c r="D83" s="11"/>
      <c r="E83" s="11" t="str">
        <f>$A$83</f>
        <v>chanceToBeIdentified: 0.01875</v>
      </c>
      <c r="F83" s="11"/>
      <c r="G83" s="11"/>
      <c r="H83" s="11"/>
      <c r="I83" s="11" t="str">
        <f>$A$83</f>
        <v>chanceToBeIdentified: 0.01875</v>
      </c>
      <c r="J83" s="11"/>
      <c r="K83" s="11"/>
      <c r="L83" s="11"/>
      <c r="M83" s="11" t="str">
        <f>$A$83</f>
        <v>chanceToBeIdentified: 0.01875</v>
      </c>
      <c r="N83" s="11"/>
      <c r="O83" s="11"/>
      <c r="P83" s="11"/>
      <c r="Q83" s="11" t="str">
        <f>$A$83</f>
        <v>chanceToBeIdentified: 0.01875</v>
      </c>
      <c r="R83" s="11"/>
      <c r="S83" s="11"/>
      <c r="T83" s="11"/>
    </row>
    <row r="84" spans="1:20" x14ac:dyDescent="0.25">
      <c r="A84" s="9" t="s">
        <v>79</v>
      </c>
      <c r="B84" s="9"/>
      <c r="C84" s="9"/>
      <c r="D84" s="9"/>
      <c r="E84" s="9" t="s">
        <v>79</v>
      </c>
      <c r="F84" s="9"/>
      <c r="G84" s="9"/>
      <c r="H84" s="9"/>
      <c r="I84" s="9" t="s">
        <v>79</v>
      </c>
      <c r="J84" s="9"/>
      <c r="K84" s="9"/>
      <c r="L84" s="9"/>
      <c r="M84" s="9" t="s">
        <v>79</v>
      </c>
      <c r="N84" s="9"/>
      <c r="O84" s="9"/>
      <c r="P84" s="9"/>
      <c r="Q84" s="9" t="s">
        <v>79</v>
      </c>
      <c r="R84" s="9"/>
      <c r="S84" s="9"/>
      <c r="T84" s="9"/>
    </row>
    <row r="85" spans="1:20" x14ac:dyDescent="0.25">
      <c r="A85" s="11" t="str">
        <f>'armas ancestral'!$A$85</f>
        <v>broadcastOnFind: true</v>
      </c>
      <c r="B85" s="11"/>
      <c r="C85" s="11"/>
      <c r="D85" s="11"/>
      <c r="E85" s="11" t="str">
        <f>$A$85</f>
        <v>broadcastOnFind: true</v>
      </c>
      <c r="F85" s="11"/>
      <c r="G85" s="11"/>
      <c r="H85" s="11"/>
      <c r="I85" s="11" t="str">
        <f>$A$85</f>
        <v>broadcastOnFind: true</v>
      </c>
      <c r="J85" s="11"/>
      <c r="K85" s="11"/>
      <c r="L85" s="11"/>
      <c r="M85" s="11" t="str">
        <f>$A$85</f>
        <v>broadcastOnFind: true</v>
      </c>
      <c r="N85" s="11"/>
      <c r="O85" s="11"/>
      <c r="P85" s="11"/>
      <c r="Q85" s="11" t="str">
        <f>$A$85</f>
        <v>broadcastOnFind: true</v>
      </c>
      <c r="R85" s="11"/>
      <c r="S85" s="11"/>
      <c r="T85" s="11"/>
    </row>
    <row r="86" spans="1:20" x14ac:dyDescent="0.25">
      <c r="A86" s="11" t="str">
        <f>'armas ancestral'!$A$86</f>
        <v>optimalDistance: 3000</v>
      </c>
      <c r="B86" s="11"/>
      <c r="C86" s="11"/>
      <c r="D86" s="11"/>
      <c r="E86" s="11" t="str">
        <f>$A$86</f>
        <v>optimalDistance: 3000</v>
      </c>
      <c r="F86" s="11"/>
      <c r="G86" s="11"/>
      <c r="H86" s="11"/>
      <c r="I86" s="11" t="str">
        <f>$A$86</f>
        <v>optimalDistance: 3000</v>
      </c>
      <c r="J86" s="11"/>
      <c r="K86" s="11"/>
      <c r="L86" s="11"/>
      <c r="M86" s="11" t="str">
        <f>$A$86</f>
        <v>optimalDistance: 3000</v>
      </c>
      <c r="N86" s="11"/>
      <c r="O86" s="11"/>
      <c r="P86" s="11"/>
      <c r="Q86" s="11" t="str">
        <f>$A$86</f>
        <v>optimalDistance: 3000</v>
      </c>
      <c r="R86" s="11"/>
      <c r="S86" s="11"/>
      <c r="T86" s="11"/>
    </row>
    <row r="87" spans="1:20" x14ac:dyDescent="0.25">
      <c r="A87" s="11" t="str">
        <f>'armas ancestral'!$A$87</f>
        <v>maximumDistance: 1800</v>
      </c>
      <c r="B87" s="11"/>
      <c r="C87" s="11"/>
      <c r="D87" s="11"/>
      <c r="E87" s="11" t="str">
        <f>$A$87</f>
        <v>maximumDistance: 1800</v>
      </c>
      <c r="F87" s="11"/>
      <c r="G87" s="11"/>
      <c r="H87" s="11"/>
      <c r="I87" s="11" t="str">
        <f>$A$87</f>
        <v>maximumDistance: 1800</v>
      </c>
      <c r="J87" s="11"/>
      <c r="K87" s="11"/>
      <c r="L87" s="11"/>
      <c r="M87" s="11" t="str">
        <f>$A$87</f>
        <v>maximumDistance: 1800</v>
      </c>
      <c r="N87" s="11"/>
      <c r="O87" s="11"/>
      <c r="P87" s="11"/>
      <c r="Q87" s="11" t="str">
        <f>$A$87</f>
        <v>maximumDistance: 1800</v>
      </c>
      <c r="R87" s="11"/>
      <c r="S87" s="11"/>
      <c r="T87" s="11"/>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9" x14ac:dyDescent="0.25">
      <c r="A97" s="9"/>
      <c r="B97" s="9"/>
      <c r="C97" s="9"/>
      <c r="D97" s="9"/>
      <c r="G97" s="13"/>
      <c r="H97" s="13"/>
      <c r="I97" s="13"/>
    </row>
    <row r="98" spans="1:9" x14ac:dyDescent="0.25">
      <c r="A98" s="9"/>
      <c r="B98" s="9"/>
      <c r="C98" s="9"/>
      <c r="D98" s="9"/>
      <c r="G98" s="13"/>
      <c r="H98" s="13"/>
      <c r="I98" s="13"/>
    </row>
    <row r="99" spans="1:9" x14ac:dyDescent="0.25">
      <c r="A99" s="9"/>
      <c r="B99" s="9"/>
      <c r="C99" s="9"/>
      <c r="D99" s="9"/>
    </row>
    <row r="100" spans="1:9" x14ac:dyDescent="0.25">
      <c r="A100" s="9"/>
      <c r="B100" s="9"/>
      <c r="C100" s="9"/>
      <c r="D100" s="9"/>
    </row>
    <row r="101" spans="1:9" x14ac:dyDescent="0.25">
      <c r="A101" s="9"/>
      <c r="B101" s="9"/>
      <c r="C101" s="9"/>
      <c r="D101" s="9"/>
    </row>
    <row r="102" spans="1:9" x14ac:dyDescent="0.25">
      <c r="A102" s="9"/>
      <c r="B102" s="9"/>
      <c r="C102" s="9"/>
      <c r="D102" s="9"/>
    </row>
    <row r="103" spans="1:9" x14ac:dyDescent="0.25">
      <c r="A103" s="9"/>
      <c r="B103" s="9"/>
      <c r="C103" s="9"/>
      <c r="D103" s="9"/>
    </row>
    <row r="104" spans="1:9" x14ac:dyDescent="0.25">
      <c r="A104" s="9"/>
      <c r="B104" s="9"/>
      <c r="C104" s="9"/>
      <c r="D104" s="9"/>
    </row>
    <row r="105" spans="1:9" x14ac:dyDescent="0.25">
      <c r="A105" s="9"/>
      <c r="B105" s="9"/>
      <c r="C105" s="9"/>
      <c r="D105" s="9"/>
    </row>
    <row r="106" spans="1:9" x14ac:dyDescent="0.25">
      <c r="A106" s="9"/>
      <c r="B106" s="9"/>
      <c r="C106" s="9"/>
      <c r="D106" s="9"/>
    </row>
    <row r="107" spans="1:9" x14ac:dyDescent="0.25">
      <c r="A107" s="9"/>
      <c r="B107" s="9"/>
      <c r="C107" s="9"/>
      <c r="D107" s="9"/>
    </row>
    <row r="108" spans="1:9" x14ac:dyDescent="0.25">
      <c r="A108" s="9"/>
      <c r="B108" s="9"/>
      <c r="C108" s="9"/>
      <c r="D108" s="9"/>
    </row>
    <row r="109" spans="1:9" x14ac:dyDescent="0.25">
      <c r="A109" s="9"/>
      <c r="B109" s="9"/>
      <c r="C109" s="9"/>
      <c r="D109" s="9"/>
    </row>
    <row r="110" spans="1:9" x14ac:dyDescent="0.25">
      <c r="A110" s="9"/>
      <c r="B110" s="9"/>
      <c r="C110" s="9"/>
      <c r="D110" s="9"/>
    </row>
    <row r="111" spans="1:9" x14ac:dyDescent="0.25">
      <c r="A111" s="9"/>
      <c r="B111" s="9"/>
      <c r="C111" s="9"/>
      <c r="D111" s="9"/>
    </row>
    <row r="112" spans="1:9"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row r="190" spans="1:4" x14ac:dyDescent="0.25">
      <c r="A190" s="9"/>
      <c r="B190" s="9"/>
      <c r="C190" s="9"/>
      <c r="D190" s="9"/>
    </row>
    <row r="191" spans="1:4" x14ac:dyDescent="0.25">
      <c r="A191" s="9"/>
      <c r="B191" s="9"/>
      <c r="C191" s="9"/>
      <c r="D191"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7"/>
  <dimension ref="A1:Z191"/>
  <sheetViews>
    <sheetView topLeftCell="N65" workbookViewId="0">
      <selection activeCell="Q4" sqref="Q4:Q87"/>
    </sheetView>
  </sheetViews>
  <sheetFormatPr baseColWidth="10" defaultColWidth="11.5703125" defaultRowHeight="15" x14ac:dyDescent="0.25"/>
  <cols>
    <col min="1" max="16384" width="11.5703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105</v>
      </c>
      <c r="B2" s="293"/>
      <c r="C2" s="293">
        <f>'ECONOMIA &amp; PROFESIONES'!$R$3</f>
        <v>9</v>
      </c>
      <c r="D2" s="293"/>
      <c r="E2" s="293" t="s">
        <v>107</v>
      </c>
      <c r="F2" s="293"/>
      <c r="G2" s="293" t="s">
        <v>106</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$A$38</f>
        <v xml:space="preserve">  - ARROW_INFINITE:4:7</v>
      </c>
      <c r="J15" s="22"/>
      <c r="K15" s="22"/>
      <c r="L15" s="22"/>
      <c r="M15" s="22" t="str">
        <f>$A$38</f>
        <v xml:space="preserve">  - ARROW_INFINITE:4:7</v>
      </c>
      <c r="N15" s="22"/>
      <c r="O15" s="22"/>
      <c r="P15" s="22"/>
      <c r="Q15" s="22" t="str">
        <f>$A$38</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$A$39</f>
        <v xml:space="preserve">  - ARROW_DAMAGE:4:7</v>
      </c>
      <c r="J16" s="22"/>
      <c r="K16" s="22"/>
      <c r="L16" s="22"/>
      <c r="M16" s="22" t="str">
        <f>$A$39</f>
        <v xml:space="preserve">  - ARROW_DAMAGE:4:7</v>
      </c>
      <c r="N16" s="22"/>
      <c r="O16" s="22"/>
      <c r="P16" s="22"/>
      <c r="Q16" s="22" t="str">
        <f>$A$39</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$A$40</f>
        <v xml:space="preserve">  - ARROW_FIRE:4:7</v>
      </c>
      <c r="J17" s="22"/>
      <c r="K17" s="22"/>
      <c r="L17" s="22"/>
      <c r="M17" s="22" t="str">
        <f>$A$40</f>
        <v xml:space="preserve">  - ARROW_FIRE:4:7</v>
      </c>
      <c r="N17" s="22"/>
      <c r="O17" s="22"/>
      <c r="P17" s="22"/>
      <c r="Q17" s="22" t="str">
        <f>$A$40</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$A$41</f>
        <v xml:space="preserve">  - ARROW_KNOCKBACK:4:7</v>
      </c>
      <c r="J18" s="22"/>
      <c r="K18" s="22"/>
      <c r="L18" s="22"/>
      <c r="M18" s="22" t="str">
        <f>$A$41</f>
        <v xml:space="preserve">  - ARROW_KNOCKBACK:4:7</v>
      </c>
      <c r="N18" s="22"/>
      <c r="O18" s="22"/>
      <c r="P18" s="22"/>
      <c r="Q18" s="22" t="str">
        <f>$A$41</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$A$42</f>
        <v xml:space="preserve">  - DAMAGE_ALL:4:7</v>
      </c>
      <c r="J19" s="22"/>
      <c r="K19" s="22"/>
      <c r="L19" s="22"/>
      <c r="M19" s="22" t="str">
        <f>$A$42</f>
        <v xml:space="preserve">  - DAMAGE_ALL:4:7</v>
      </c>
      <c r="N19" s="22"/>
      <c r="O19" s="22"/>
      <c r="P19" s="22"/>
      <c r="Q19" s="22" t="str">
        <f>$A$42</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$A$43</f>
        <v xml:space="preserve">  - DAMAGE_ARTHROPODS:4:7</v>
      </c>
      <c r="J20" s="22"/>
      <c r="K20" s="22"/>
      <c r="L20" s="22"/>
      <c r="M20" s="22" t="str">
        <f>$A$43</f>
        <v xml:space="preserve">  - DAMAGE_ARTHROPODS:4:7</v>
      </c>
      <c r="N20" s="22"/>
      <c r="O20" s="22"/>
      <c r="P20" s="22"/>
      <c r="Q20" s="22" t="str">
        <f>$A$43</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$A$44</f>
        <v xml:space="preserve">  - DAMAGE_UNDEAD:4:7</v>
      </c>
      <c r="J21" s="22"/>
      <c r="K21" s="22"/>
      <c r="L21" s="22"/>
      <c r="M21" s="22" t="str">
        <f>$A$44</f>
        <v xml:space="preserve">  - DAMAGE_UNDEAD:4:7</v>
      </c>
      <c r="N21" s="22"/>
      <c r="O21" s="22"/>
      <c r="P21" s="22"/>
      <c r="Q21" s="22" t="str">
        <f>$A$44</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$A$45</f>
        <v xml:space="preserve">  - DIG_SPEED:4:7</v>
      </c>
      <c r="J22" s="22"/>
      <c r="K22" s="22"/>
      <c r="L22" s="22"/>
      <c r="M22" s="22" t="str">
        <f>$A$45</f>
        <v xml:space="preserve">  - DIG_SPEED:4:7</v>
      </c>
      <c r="N22" s="22"/>
      <c r="O22" s="22"/>
      <c r="P22" s="22"/>
      <c r="Q22" s="22" t="str">
        <f>$A$45</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$A$46</f>
        <v xml:space="preserve">  - DURABILITY:4:7</v>
      </c>
      <c r="J23" s="22"/>
      <c r="K23" s="22"/>
      <c r="L23" s="22"/>
      <c r="M23" s="22" t="str">
        <f>$A$46</f>
        <v xml:space="preserve">  - DURABILITY:4:7</v>
      </c>
      <c r="N23" s="22"/>
      <c r="O23" s="22"/>
      <c r="P23" s="22"/>
      <c r="Q23" s="22" t="str">
        <f>$A$46</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$A$47</f>
        <v xml:space="preserve">  - FIRE_ASPECT:4:7</v>
      </c>
      <c r="J24" s="22"/>
      <c r="K24" s="22"/>
      <c r="L24" s="22"/>
      <c r="M24" s="22" t="str">
        <f>$A$47</f>
        <v xml:space="preserve">  - FIRE_ASPECT:4:7</v>
      </c>
      <c r="N24" s="22"/>
      <c r="O24" s="22"/>
      <c r="P24" s="22"/>
      <c r="Q24" s="22" t="str">
        <f>$A$47</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$A$48</f>
        <v xml:space="preserve">  - KNOCKBACK:4:7</v>
      </c>
      <c r="J25" s="22"/>
      <c r="K25" s="22"/>
      <c r="L25" s="22"/>
      <c r="M25" s="22" t="str">
        <f>$A$48</f>
        <v xml:space="preserve">  - KNOCKBACK:4:7</v>
      </c>
      <c r="N25" s="22"/>
      <c r="O25" s="22"/>
      <c r="P25" s="22"/>
      <c r="Q25" s="22" t="str">
        <f>$A$48</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$A$49</f>
        <v xml:space="preserve">  - LOOT_BONUS_BLOCKS:4:7</v>
      </c>
      <c r="J26" s="22"/>
      <c r="K26" s="22"/>
      <c r="L26" s="22"/>
      <c r="M26" s="22" t="str">
        <f>$A$49</f>
        <v xml:space="preserve">  - LOOT_BONUS_BLOCKS:4:7</v>
      </c>
      <c r="N26" s="22"/>
      <c r="O26" s="22"/>
      <c r="P26" s="22"/>
      <c r="Q26" s="22" t="str">
        <f>$A$49</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$A$50</f>
        <v xml:space="preserve">  - LOOT_BONUS_MOBS:4:7</v>
      </c>
      <c r="J27" s="22"/>
      <c r="K27" s="22"/>
      <c r="L27" s="22"/>
      <c r="M27" s="22" t="str">
        <f>$A$50</f>
        <v xml:space="preserve">  - LOOT_BONUS_MOBS:4:7</v>
      </c>
      <c r="N27" s="22"/>
      <c r="O27" s="22"/>
      <c r="P27" s="22"/>
      <c r="Q27" s="22" t="str">
        <f>$A$50</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$A$51</f>
        <v xml:space="preserve">  - OXYGEN:4:7</v>
      </c>
      <c r="J28" s="22"/>
      <c r="K28" s="22"/>
      <c r="L28" s="22"/>
      <c r="M28" s="22" t="str">
        <f>$A$51</f>
        <v xml:space="preserve">  - OXYGEN:4:7</v>
      </c>
      <c r="N28" s="22"/>
      <c r="O28" s="22"/>
      <c r="P28" s="22"/>
      <c r="Q28" s="22" t="str">
        <f>$A$51</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$A$52</f>
        <v xml:space="preserve">  - PROTECTION_ENVIRONMENT:4:7</v>
      </c>
      <c r="J29" s="22"/>
      <c r="K29" s="22"/>
      <c r="L29" s="22"/>
      <c r="M29" s="22" t="str">
        <f>$A$52</f>
        <v xml:space="preserve">  - PROTECTION_ENVIRONMENT:4:7</v>
      </c>
      <c r="N29" s="22"/>
      <c r="O29" s="22"/>
      <c r="P29" s="22"/>
      <c r="Q29" s="22" t="str">
        <f>$A$52</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$A$53</f>
        <v xml:space="preserve">  - PROTECTION_EXPLOSIONS:4:7</v>
      </c>
      <c r="J30" s="22"/>
      <c r="K30" s="22"/>
      <c r="L30" s="22"/>
      <c r="M30" s="22" t="str">
        <f>$A$53</f>
        <v xml:space="preserve">  - PROTECTION_EXPLOSIONS:4:7</v>
      </c>
      <c r="N30" s="22"/>
      <c r="O30" s="22"/>
      <c r="P30" s="22"/>
      <c r="Q30" s="22" t="str">
        <f>$A$53</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$A$54</f>
        <v xml:space="preserve">  - PROTECTION_FALL:4:7</v>
      </c>
      <c r="J31" s="22"/>
      <c r="K31" s="22"/>
      <c r="L31" s="22"/>
      <c r="M31" s="22" t="str">
        <f>$A$54</f>
        <v xml:space="preserve">  - PROTECTION_FALL:4:7</v>
      </c>
      <c r="N31" s="22"/>
      <c r="O31" s="22"/>
      <c r="P31" s="22"/>
      <c r="Q31" s="22" t="str">
        <f>$A$54</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$A$55</f>
        <v xml:space="preserve">  - PROTECTION_FIRE:4:7</v>
      </c>
      <c r="J32" s="22"/>
      <c r="K32" s="22"/>
      <c r="L32" s="22"/>
      <c r="M32" s="22" t="str">
        <f>$A$55</f>
        <v xml:space="preserve">  - PROTECTION_FIRE:4:7</v>
      </c>
      <c r="N32" s="22"/>
      <c r="O32" s="22"/>
      <c r="P32" s="22"/>
      <c r="Q32" s="22" t="str">
        <f>$A$55</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$A$56</f>
        <v xml:space="preserve">  - PROTECTION_PROJECTILE:4:7</v>
      </c>
      <c r="J33" s="22"/>
      <c r="K33" s="22"/>
      <c r="L33" s="22"/>
      <c r="M33" s="22" t="str">
        <f>$A$56</f>
        <v xml:space="preserve">  - PROTECTION_PROJECTILE:4:7</v>
      </c>
      <c r="N33" s="22"/>
      <c r="O33" s="22"/>
      <c r="P33" s="22"/>
      <c r="Q33" s="22" t="str">
        <f>$A$56</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$A$57</f>
        <v xml:space="preserve">  - SILK_TOUCH:4:7</v>
      </c>
      <c r="J34" s="22"/>
      <c r="K34" s="22"/>
      <c r="L34" s="22"/>
      <c r="M34" s="22" t="str">
        <f>$A$57</f>
        <v xml:space="preserve">  - SILK_TOUCH:4:7</v>
      </c>
      <c r="N34" s="22"/>
      <c r="O34" s="22"/>
      <c r="P34" s="22"/>
      <c r="Q34" s="22" t="str">
        <f>$A$57</f>
        <v xml:space="preserve">  - SILK_TOUCH:4:7</v>
      </c>
      <c r="R34" s="22"/>
      <c r="S34" s="22"/>
      <c r="T34" s="22"/>
    </row>
    <row r="35" spans="1:20" x14ac:dyDescent="0.25">
      <c r="A35" s="22" t="str">
        <f>'armas ancestral'!$A$35</f>
        <v xml:space="preserve">  - THORNS:4:7</v>
      </c>
      <c r="B35" s="22"/>
      <c r="C35" s="22"/>
      <c r="D35" s="22"/>
      <c r="E35" s="22" t="str">
        <f>$A$35</f>
        <v xml:space="preserve">  - THORNS:4:7</v>
      </c>
      <c r="F35" s="22"/>
      <c r="G35" s="22"/>
      <c r="H35" s="22"/>
      <c r="I35" s="22" t="str">
        <f>$A$58</f>
        <v xml:space="preserve">  - THORNS:4:7</v>
      </c>
      <c r="J35" s="22"/>
      <c r="K35" s="22"/>
      <c r="L35" s="22"/>
      <c r="M35" s="22" t="str">
        <f>$A$58</f>
        <v xml:space="preserve">  - THORNS:4:7</v>
      </c>
      <c r="N35" s="22"/>
      <c r="O35" s="22"/>
      <c r="P35" s="22"/>
      <c r="Q35" s="22" t="str">
        <f>$A$58</f>
        <v xml:space="preserve">  - THORNS:4:7</v>
      </c>
      <c r="R35" s="22"/>
      <c r="S35" s="22"/>
      <c r="T35" s="22"/>
    </row>
    <row r="36" spans="1:20" x14ac:dyDescent="0.25">
      <c r="A36" s="22" t="str">
        <f>'armas ancestral'!$A$36</f>
        <v xml:space="preserve">  - WATER_WORKER:4:7</v>
      </c>
      <c r="B36" s="22"/>
      <c r="C36" s="22"/>
      <c r="D36" s="22"/>
      <c r="E36" s="22" t="str">
        <f>$A$36</f>
        <v xml:space="preserve">  - WATER_WORKER:4:7</v>
      </c>
      <c r="F36" s="22"/>
      <c r="G36" s="22"/>
      <c r="H36" s="22"/>
      <c r="I36" s="22" t="str">
        <f>$A$59</f>
        <v xml:space="preserve">  - WATER_WORKER:4:7</v>
      </c>
      <c r="J36" s="22"/>
      <c r="K36" s="22"/>
      <c r="L36" s="22"/>
      <c r="M36" s="22" t="str">
        <f>$A$59</f>
        <v xml:space="preserve">  - WATER_WORKER:4:7</v>
      </c>
      <c r="N36" s="22"/>
      <c r="O36" s="22"/>
      <c r="P36" s="22"/>
      <c r="Q36" s="22" t="str">
        <f>$A$59</f>
        <v xml:space="preserve">  - WATER_WORKER:4:7</v>
      </c>
      <c r="R36" s="22"/>
      <c r="S36" s="22"/>
      <c r="T36" s="22"/>
    </row>
    <row r="37" spans="1:20" x14ac:dyDescent="0.25">
      <c r="A37" s="9" t="s">
        <v>101</v>
      </c>
      <c r="B37" s="9"/>
      <c r="C37" s="9"/>
      <c r="D37" s="9"/>
      <c r="E37" s="9" t="s">
        <v>101</v>
      </c>
      <c r="F37" s="9"/>
      <c r="G37" s="9"/>
      <c r="H37" s="9"/>
      <c r="I37" s="9" t="s">
        <v>101</v>
      </c>
      <c r="J37" s="9"/>
      <c r="K37" s="9"/>
      <c r="L37" s="9"/>
      <c r="M37" s="9" t="s">
        <v>101</v>
      </c>
      <c r="N37" s="9"/>
      <c r="O37" s="9"/>
      <c r="P37" s="9"/>
      <c r="Q37" s="9" t="s">
        <v>101</v>
      </c>
      <c r="R37" s="9"/>
      <c r="S37" s="9"/>
      <c r="T37" s="9"/>
    </row>
    <row r="38" spans="1:20" x14ac:dyDescent="0.25">
      <c r="A38" s="22" t="str">
        <f>$A$15</f>
        <v xml:space="preserve">  - ARROW_INFINITE:4:7</v>
      </c>
      <c r="B38" s="22"/>
      <c r="C38" s="22"/>
      <c r="D38" s="22"/>
      <c r="E38" s="22" t="str">
        <f>$A$38</f>
        <v xml:space="preserve">  - ARROW_INFINITE:4:7</v>
      </c>
      <c r="F38" s="22"/>
      <c r="G38" s="22"/>
      <c r="H38" s="22"/>
      <c r="I38" s="22" t="str">
        <f>$A$38</f>
        <v xml:space="preserve">  - ARROW_INFINITE:4:7</v>
      </c>
      <c r="J38" s="22"/>
      <c r="K38" s="22"/>
      <c r="L38" s="22"/>
      <c r="M38" s="22" t="str">
        <f>$A$38</f>
        <v xml:space="preserve">  - ARROW_INFINITE:4:7</v>
      </c>
      <c r="N38" s="22"/>
      <c r="O38" s="22"/>
      <c r="P38" s="22"/>
      <c r="Q38" s="22" t="str">
        <f>$A$38</f>
        <v xml:space="preserve">  - ARROW_INFINITE:4:7</v>
      </c>
      <c r="R38" s="22"/>
      <c r="S38" s="22"/>
      <c r="T38" s="22"/>
    </row>
    <row r="39" spans="1:20" x14ac:dyDescent="0.25">
      <c r="A39" s="22" t="str">
        <f>$A$16</f>
        <v xml:space="preserve">  - ARROW_DAMAGE:4:7</v>
      </c>
      <c r="B39" s="22"/>
      <c r="C39" s="22"/>
      <c r="D39" s="22"/>
      <c r="E39" s="22" t="str">
        <f>$A$39</f>
        <v xml:space="preserve">  - ARROW_DAMAGE:4:7</v>
      </c>
      <c r="F39" s="22"/>
      <c r="G39" s="22"/>
      <c r="H39" s="22"/>
      <c r="I39" s="22" t="str">
        <f>$A$39</f>
        <v xml:space="preserve">  - ARROW_DAMAGE:4:7</v>
      </c>
      <c r="J39" s="22"/>
      <c r="K39" s="22"/>
      <c r="L39" s="22"/>
      <c r="M39" s="22" t="str">
        <f>$A$39</f>
        <v xml:space="preserve">  - ARROW_DAMAGE:4:7</v>
      </c>
      <c r="N39" s="22"/>
      <c r="O39" s="22"/>
      <c r="P39" s="22"/>
      <c r="Q39" s="22" t="str">
        <f>$A$39</f>
        <v xml:space="preserve">  - ARROW_DAMAGE:4:7</v>
      </c>
      <c r="R39" s="22"/>
      <c r="S39" s="22"/>
      <c r="T39" s="22"/>
    </row>
    <row r="40" spans="1:20" x14ac:dyDescent="0.25">
      <c r="A40" s="22" t="str">
        <f>$A$17</f>
        <v xml:space="preserve">  - ARROW_FIRE:4:7</v>
      </c>
      <c r="B40" s="22"/>
      <c r="C40" s="22"/>
      <c r="D40" s="22"/>
      <c r="E40" s="22" t="str">
        <f>$A$40</f>
        <v xml:space="preserve">  - ARROW_FIRE:4:7</v>
      </c>
      <c r="F40" s="22"/>
      <c r="G40" s="22"/>
      <c r="H40" s="22"/>
      <c r="I40" s="22" t="str">
        <f>$A$40</f>
        <v xml:space="preserve">  - ARROW_FIRE:4:7</v>
      </c>
      <c r="J40" s="22"/>
      <c r="K40" s="22"/>
      <c r="L40" s="22"/>
      <c r="M40" s="22" t="str">
        <f>$A$40</f>
        <v xml:space="preserve">  - ARROW_FIRE:4:7</v>
      </c>
      <c r="N40" s="22"/>
      <c r="O40" s="22"/>
      <c r="P40" s="22"/>
      <c r="Q40" s="22" t="str">
        <f>$A$40</f>
        <v xml:space="preserve">  - ARROW_FIRE:4:7</v>
      </c>
      <c r="R40" s="22"/>
      <c r="S40" s="22"/>
      <c r="T40" s="22"/>
    </row>
    <row r="41" spans="1:20" x14ac:dyDescent="0.25">
      <c r="A41" s="22" t="str">
        <f>$A$18</f>
        <v xml:space="preserve">  - ARROW_KNOCKBACK:4:7</v>
      </c>
      <c r="B41" s="22"/>
      <c r="C41" s="22"/>
      <c r="D41" s="22"/>
      <c r="E41" s="22" t="str">
        <f>$A$41</f>
        <v xml:space="preserve">  - ARROW_KNOCKBACK:4:7</v>
      </c>
      <c r="F41" s="22"/>
      <c r="G41" s="22"/>
      <c r="H41" s="22"/>
      <c r="I41" s="22" t="str">
        <f>$A$41</f>
        <v xml:space="preserve">  - ARROW_KNOCKBACK:4:7</v>
      </c>
      <c r="J41" s="22"/>
      <c r="K41" s="22"/>
      <c r="L41" s="22"/>
      <c r="M41" s="22" t="str">
        <f>$A$41</f>
        <v xml:space="preserve">  - ARROW_KNOCKBACK:4:7</v>
      </c>
      <c r="N41" s="22"/>
      <c r="O41" s="22"/>
      <c r="P41" s="22"/>
      <c r="Q41" s="22" t="str">
        <f>$A$41</f>
        <v xml:space="preserve">  - ARROW_KNOCKBACK:4:7</v>
      </c>
      <c r="R41" s="22"/>
      <c r="S41" s="22"/>
      <c r="T41" s="22"/>
    </row>
    <row r="42" spans="1:20" x14ac:dyDescent="0.25">
      <c r="A42" s="22" t="str">
        <f>$A$19</f>
        <v xml:space="preserve">  - DAMAGE_ALL:4:7</v>
      </c>
      <c r="B42" s="22"/>
      <c r="C42" s="22"/>
      <c r="D42" s="22"/>
      <c r="E42" s="22" t="str">
        <f>$A$42</f>
        <v xml:space="preserve">  - DAMAGE_ALL:4:7</v>
      </c>
      <c r="F42" s="22"/>
      <c r="G42" s="22"/>
      <c r="H42" s="22"/>
      <c r="I42" s="22" t="str">
        <f>$A$42</f>
        <v xml:space="preserve">  - DAMAGE_ALL:4:7</v>
      </c>
      <c r="J42" s="22"/>
      <c r="K42" s="22"/>
      <c r="L42" s="22"/>
      <c r="M42" s="22" t="str">
        <f>$A$42</f>
        <v xml:space="preserve">  - DAMAGE_ALL:4:7</v>
      </c>
      <c r="N42" s="22"/>
      <c r="O42" s="22"/>
      <c r="P42" s="22"/>
      <c r="Q42" s="22" t="str">
        <f>$A$42</f>
        <v xml:space="preserve">  - DAMAGE_ALL:4:7</v>
      </c>
      <c r="R42" s="22"/>
      <c r="S42" s="22"/>
      <c r="T42" s="22"/>
    </row>
    <row r="43" spans="1:20" x14ac:dyDescent="0.25">
      <c r="A43" s="22" t="str">
        <f>$A$20</f>
        <v xml:space="preserve">  - DAMAGE_ARTHROPODS:4:7</v>
      </c>
      <c r="B43" s="22"/>
      <c r="C43" s="22"/>
      <c r="D43" s="22"/>
      <c r="E43" s="22" t="str">
        <f>$A$43</f>
        <v xml:space="preserve">  - DAMAGE_ARTHROPODS:4:7</v>
      </c>
      <c r="F43" s="22"/>
      <c r="G43" s="22"/>
      <c r="H43" s="22"/>
      <c r="I43" s="22" t="str">
        <f>$A$43</f>
        <v xml:space="preserve">  - DAMAGE_ARTHROPODS:4:7</v>
      </c>
      <c r="J43" s="22"/>
      <c r="K43" s="22"/>
      <c r="L43" s="22"/>
      <c r="M43" s="22" t="str">
        <f>$A$43</f>
        <v xml:space="preserve">  - DAMAGE_ARTHROPODS:4:7</v>
      </c>
      <c r="N43" s="22"/>
      <c r="O43" s="22"/>
      <c r="P43" s="22"/>
      <c r="Q43" s="22" t="str">
        <f>$A$43</f>
        <v xml:space="preserve">  - DAMAGE_ARTHROPODS:4:7</v>
      </c>
      <c r="R43" s="22"/>
      <c r="S43" s="22"/>
      <c r="T43" s="22"/>
    </row>
    <row r="44" spans="1:20" x14ac:dyDescent="0.25">
      <c r="A44" s="22" t="str">
        <f>$A$21</f>
        <v xml:space="preserve">  - DAMAGE_UNDEAD:4:7</v>
      </c>
      <c r="B44" s="22"/>
      <c r="C44" s="22"/>
      <c r="D44" s="22"/>
      <c r="E44" s="22" t="str">
        <f>$A$44</f>
        <v xml:space="preserve">  - DAMAGE_UNDEAD:4:7</v>
      </c>
      <c r="F44" s="22"/>
      <c r="G44" s="22"/>
      <c r="H44" s="22"/>
      <c r="I44" s="22" t="str">
        <f>$A$44</f>
        <v xml:space="preserve">  - DAMAGE_UNDEAD:4:7</v>
      </c>
      <c r="J44" s="22"/>
      <c r="K44" s="22"/>
      <c r="L44" s="22"/>
      <c r="M44" s="22" t="str">
        <f>$A$44</f>
        <v xml:space="preserve">  - DAMAGE_UNDEAD:4:7</v>
      </c>
      <c r="N44" s="22"/>
      <c r="O44" s="22"/>
      <c r="P44" s="22"/>
      <c r="Q44" s="22" t="str">
        <f>$A$44</f>
        <v xml:space="preserve">  - DAMAGE_UNDEAD:4:7</v>
      </c>
      <c r="R44" s="22"/>
      <c r="S44" s="22"/>
      <c r="T44" s="22"/>
    </row>
    <row r="45" spans="1:20" x14ac:dyDescent="0.25">
      <c r="A45" s="22" t="str">
        <f>$A$22</f>
        <v xml:space="preserve">  - DIG_SPEED:4:7</v>
      </c>
      <c r="B45" s="22"/>
      <c r="C45" s="22"/>
      <c r="D45" s="22"/>
      <c r="E45" s="22" t="str">
        <f>$A$45</f>
        <v xml:space="preserve">  - DIG_SPEED:4:7</v>
      </c>
      <c r="F45" s="22"/>
      <c r="G45" s="22"/>
      <c r="H45" s="22"/>
      <c r="I45" s="22" t="str">
        <f>$A$45</f>
        <v xml:space="preserve">  - DIG_SPEED:4:7</v>
      </c>
      <c r="J45" s="22"/>
      <c r="K45" s="22"/>
      <c r="L45" s="22"/>
      <c r="M45" s="22" t="str">
        <f>$A$45</f>
        <v xml:space="preserve">  - DIG_SPEED:4:7</v>
      </c>
      <c r="N45" s="22"/>
      <c r="O45" s="22"/>
      <c r="P45" s="22"/>
      <c r="Q45" s="22" t="str">
        <f>$A$45</f>
        <v xml:space="preserve">  - DIG_SPEED:4:7</v>
      </c>
      <c r="R45" s="22"/>
      <c r="S45" s="22"/>
      <c r="T45" s="22"/>
    </row>
    <row r="46" spans="1:20" x14ac:dyDescent="0.25">
      <c r="A46" s="22" t="str">
        <f>$A$23</f>
        <v xml:space="preserve">  - DURABILITY:4:7</v>
      </c>
      <c r="B46" s="22"/>
      <c r="C46" s="22"/>
      <c r="D46" s="22"/>
      <c r="E46" s="22" t="str">
        <f>$A$46</f>
        <v xml:space="preserve">  - DURABILITY:4:7</v>
      </c>
      <c r="F46" s="22"/>
      <c r="G46" s="22"/>
      <c r="H46" s="22"/>
      <c r="I46" s="22" t="str">
        <f>$A$46</f>
        <v xml:space="preserve">  - DURABILITY:4:7</v>
      </c>
      <c r="J46" s="22"/>
      <c r="K46" s="22"/>
      <c r="L46" s="22"/>
      <c r="M46" s="22" t="str">
        <f>$A$46</f>
        <v xml:space="preserve">  - DURABILITY:4:7</v>
      </c>
      <c r="N46" s="22"/>
      <c r="O46" s="22"/>
      <c r="P46" s="22"/>
      <c r="Q46" s="22" t="str">
        <f>$A$46</f>
        <v xml:space="preserve">  - DURABILITY:4:7</v>
      </c>
      <c r="R46" s="22"/>
      <c r="S46" s="22"/>
      <c r="T46" s="22"/>
    </row>
    <row r="47" spans="1:20" x14ac:dyDescent="0.25">
      <c r="A47" s="22" t="str">
        <f>$A$24</f>
        <v xml:space="preserve">  - FIRE_ASPECT:4:7</v>
      </c>
      <c r="B47" s="22"/>
      <c r="C47" s="22"/>
      <c r="D47" s="22"/>
      <c r="E47" s="22" t="str">
        <f>$A$47</f>
        <v xml:space="preserve">  - FIRE_ASPECT:4:7</v>
      </c>
      <c r="F47" s="22"/>
      <c r="G47" s="22"/>
      <c r="H47" s="22"/>
      <c r="I47" s="22" t="str">
        <f>$A$47</f>
        <v xml:space="preserve">  - FIRE_ASPECT:4:7</v>
      </c>
      <c r="J47" s="22"/>
      <c r="K47" s="22"/>
      <c r="L47" s="22"/>
      <c r="M47" s="22" t="str">
        <f>$A$47</f>
        <v xml:space="preserve">  - FIRE_ASPECT:4:7</v>
      </c>
      <c r="N47" s="22"/>
      <c r="O47" s="22"/>
      <c r="P47" s="22"/>
      <c r="Q47" s="22" t="str">
        <f>$A$47</f>
        <v xml:space="preserve">  - FIRE_ASPECT:4:7</v>
      </c>
      <c r="R47" s="22"/>
      <c r="S47" s="22"/>
      <c r="T47" s="22"/>
    </row>
    <row r="48" spans="1:20" x14ac:dyDescent="0.25">
      <c r="A48" s="22" t="str">
        <f>$A$25</f>
        <v xml:space="preserve">  - KNOCKBACK:4:7</v>
      </c>
      <c r="B48" s="22"/>
      <c r="C48" s="22"/>
      <c r="D48" s="22"/>
      <c r="E48" s="22" t="str">
        <f>$A$48</f>
        <v xml:space="preserve">  - KNOCKBACK:4:7</v>
      </c>
      <c r="F48" s="22"/>
      <c r="G48" s="22"/>
      <c r="H48" s="22"/>
      <c r="I48" s="22" t="str">
        <f>$A$48</f>
        <v xml:space="preserve">  - KNOCKBACK:4:7</v>
      </c>
      <c r="J48" s="22"/>
      <c r="K48" s="22"/>
      <c r="L48" s="22"/>
      <c r="M48" s="22" t="str">
        <f>$A$48</f>
        <v xml:space="preserve">  - KNOCKBACK:4:7</v>
      </c>
      <c r="N48" s="22"/>
      <c r="O48" s="22"/>
      <c r="P48" s="22"/>
      <c r="Q48" s="22" t="str">
        <f>$A$48</f>
        <v xml:space="preserve">  - KNOCKBACK:4:7</v>
      </c>
      <c r="R48" s="22"/>
      <c r="S48" s="22"/>
      <c r="T48" s="22"/>
    </row>
    <row r="49" spans="1:20" x14ac:dyDescent="0.25">
      <c r="A49" s="22" t="str">
        <f>$A$26</f>
        <v xml:space="preserve">  - LOOT_BONUS_BLOCKS:4:7</v>
      </c>
      <c r="B49" s="22"/>
      <c r="C49" s="22"/>
      <c r="D49" s="22"/>
      <c r="E49" s="22" t="str">
        <f>$A$49</f>
        <v xml:space="preserve">  - LOOT_BONUS_BLOCKS:4:7</v>
      </c>
      <c r="F49" s="22"/>
      <c r="G49" s="22"/>
      <c r="H49" s="22"/>
      <c r="I49" s="22" t="str">
        <f>$A$49</f>
        <v xml:space="preserve">  - LOOT_BONUS_BLOCKS:4:7</v>
      </c>
      <c r="J49" s="22"/>
      <c r="K49" s="22"/>
      <c r="L49" s="22"/>
      <c r="M49" s="22" t="str">
        <f>$A$49</f>
        <v xml:space="preserve">  - LOOT_BONUS_BLOCKS:4:7</v>
      </c>
      <c r="N49" s="22"/>
      <c r="O49" s="22"/>
      <c r="P49" s="22"/>
      <c r="Q49" s="22" t="str">
        <f>$A$49</f>
        <v xml:space="preserve">  - LOOT_BONUS_BLOCKS:4:7</v>
      </c>
      <c r="R49" s="22"/>
      <c r="S49" s="22"/>
      <c r="T49" s="22"/>
    </row>
    <row r="50" spans="1:20" x14ac:dyDescent="0.25">
      <c r="A50" s="22" t="str">
        <f>$A$27</f>
        <v xml:space="preserve">  - LOOT_BONUS_MOBS:4:7</v>
      </c>
      <c r="B50" s="22"/>
      <c r="C50" s="22"/>
      <c r="D50" s="22"/>
      <c r="E50" s="22" t="str">
        <f>$A$50</f>
        <v xml:space="preserve">  - LOOT_BONUS_MOBS:4:7</v>
      </c>
      <c r="F50" s="22"/>
      <c r="G50" s="22"/>
      <c r="H50" s="22"/>
      <c r="I50" s="22" t="str">
        <f>$A$50</f>
        <v xml:space="preserve">  - LOOT_BONUS_MOBS:4:7</v>
      </c>
      <c r="J50" s="22"/>
      <c r="K50" s="22"/>
      <c r="L50" s="22"/>
      <c r="M50" s="22" t="str">
        <f>$A$50</f>
        <v xml:space="preserve">  - LOOT_BONUS_MOBS:4:7</v>
      </c>
      <c r="N50" s="22"/>
      <c r="O50" s="22"/>
      <c r="P50" s="22"/>
      <c r="Q50" s="22" t="str">
        <f>$A$50</f>
        <v xml:space="preserve">  - LOOT_BONUS_MOBS:4:7</v>
      </c>
      <c r="R50" s="22"/>
      <c r="S50" s="22"/>
      <c r="T50" s="22"/>
    </row>
    <row r="51" spans="1:20" x14ac:dyDescent="0.25">
      <c r="A51" s="22" t="str">
        <f>$A$28</f>
        <v xml:space="preserve">  - OXYGEN:4:7</v>
      </c>
      <c r="B51" s="22"/>
      <c r="C51" s="22"/>
      <c r="D51" s="22"/>
      <c r="E51" s="22" t="str">
        <f>$A$51</f>
        <v xml:space="preserve">  - OXYGEN:4:7</v>
      </c>
      <c r="F51" s="22"/>
      <c r="G51" s="22"/>
      <c r="H51" s="22"/>
      <c r="I51" s="22" t="str">
        <f>$A$51</f>
        <v xml:space="preserve">  - OXYGEN:4:7</v>
      </c>
      <c r="J51" s="22"/>
      <c r="K51" s="22"/>
      <c r="L51" s="22"/>
      <c r="M51" s="22" t="str">
        <f>$A$51</f>
        <v xml:space="preserve">  - OXYGEN:4:7</v>
      </c>
      <c r="N51" s="22"/>
      <c r="O51" s="22"/>
      <c r="P51" s="22"/>
      <c r="Q51" s="22" t="str">
        <f>$A$51</f>
        <v xml:space="preserve">  - OXYGEN:4:7</v>
      </c>
      <c r="R51" s="22"/>
      <c r="S51" s="22"/>
      <c r="T51" s="22"/>
    </row>
    <row r="52" spans="1:20" x14ac:dyDescent="0.25">
      <c r="A52" s="22" t="str">
        <f>$A$29</f>
        <v xml:space="preserve">  - PROTECTION_ENVIRONMENT:4:7</v>
      </c>
      <c r="B52" s="22"/>
      <c r="C52" s="22"/>
      <c r="D52" s="22"/>
      <c r="E52" s="22" t="str">
        <f>$A$52</f>
        <v xml:space="preserve">  - PROTECTION_ENVIRONMENT:4:7</v>
      </c>
      <c r="F52" s="22"/>
      <c r="G52" s="22"/>
      <c r="H52" s="22"/>
      <c r="I52" s="22" t="str">
        <f>$A$52</f>
        <v xml:space="preserve">  - PROTECTION_ENVIRONMENT:4:7</v>
      </c>
      <c r="J52" s="22"/>
      <c r="K52" s="22"/>
      <c r="L52" s="22"/>
      <c r="M52" s="22" t="str">
        <f>$A$52</f>
        <v xml:space="preserve">  - PROTECTION_ENVIRONMENT:4:7</v>
      </c>
      <c r="N52" s="22"/>
      <c r="O52" s="22"/>
      <c r="P52" s="22"/>
      <c r="Q52" s="22" t="str">
        <f>$A$52</f>
        <v xml:space="preserve">  - PROTECTION_ENVIRONMENT:4:7</v>
      </c>
      <c r="R52" s="22"/>
      <c r="S52" s="22"/>
      <c r="T52" s="22"/>
    </row>
    <row r="53" spans="1:20" x14ac:dyDescent="0.25">
      <c r="A53" s="22" t="str">
        <f>$A$30</f>
        <v xml:space="preserve">  - PROTECTION_EXPLOSIONS:4:7</v>
      </c>
      <c r="B53" s="22"/>
      <c r="C53" s="22"/>
      <c r="D53" s="22"/>
      <c r="E53" s="22" t="str">
        <f>$A$53</f>
        <v xml:space="preserve">  - PROTECTION_EXPLOSIONS:4:7</v>
      </c>
      <c r="F53" s="22"/>
      <c r="G53" s="22"/>
      <c r="H53" s="22"/>
      <c r="I53" s="22" t="str">
        <f>$A$53</f>
        <v xml:space="preserve">  - PROTECTION_EXPLOSIONS:4:7</v>
      </c>
      <c r="J53" s="22"/>
      <c r="K53" s="22"/>
      <c r="L53" s="22"/>
      <c r="M53" s="22" t="str">
        <f>$A$53</f>
        <v xml:space="preserve">  - PROTECTION_EXPLOSIONS:4:7</v>
      </c>
      <c r="N53" s="22"/>
      <c r="O53" s="22"/>
      <c r="P53" s="22"/>
      <c r="Q53" s="22" t="str">
        <f>$A$53</f>
        <v xml:space="preserve">  - PROTECTION_EXPLOSIONS:4:7</v>
      </c>
      <c r="R53" s="22"/>
      <c r="S53" s="22"/>
      <c r="T53" s="22"/>
    </row>
    <row r="54" spans="1:20" x14ac:dyDescent="0.25">
      <c r="A54" s="22" t="str">
        <f>$A$31</f>
        <v xml:space="preserve">  - PROTECTION_FALL:4:7</v>
      </c>
      <c r="B54" s="22"/>
      <c r="C54" s="22"/>
      <c r="D54" s="22"/>
      <c r="E54" s="22" t="str">
        <f>$A$54</f>
        <v xml:space="preserve">  - PROTECTION_FALL:4:7</v>
      </c>
      <c r="F54" s="22"/>
      <c r="G54" s="22"/>
      <c r="H54" s="22"/>
      <c r="I54" s="22" t="str">
        <f>$A$54</f>
        <v xml:space="preserve">  - PROTECTION_FALL:4:7</v>
      </c>
      <c r="J54" s="22"/>
      <c r="K54" s="22"/>
      <c r="L54" s="22"/>
      <c r="M54" s="22" t="str">
        <f>$A$54</f>
        <v xml:space="preserve">  - PROTECTION_FALL:4:7</v>
      </c>
      <c r="N54" s="22"/>
      <c r="O54" s="22"/>
      <c r="P54" s="22"/>
      <c r="Q54" s="22" t="str">
        <f>$A$54</f>
        <v xml:space="preserve">  - PROTECTION_FALL:4:7</v>
      </c>
      <c r="R54" s="22"/>
      <c r="S54" s="22"/>
      <c r="T54" s="22"/>
    </row>
    <row r="55" spans="1:20" x14ac:dyDescent="0.25">
      <c r="A55" s="22" t="str">
        <f>$A$32</f>
        <v xml:space="preserve">  - PROTECTION_FIRE:4:7</v>
      </c>
      <c r="B55" s="22"/>
      <c r="C55" s="22"/>
      <c r="D55" s="22"/>
      <c r="E55" s="22" t="str">
        <f>$A$55</f>
        <v xml:space="preserve">  - PROTECTION_FIRE:4:7</v>
      </c>
      <c r="F55" s="22"/>
      <c r="G55" s="22"/>
      <c r="H55" s="22"/>
      <c r="I55" s="22" t="str">
        <f>$A$55</f>
        <v xml:space="preserve">  - PROTECTION_FIRE:4:7</v>
      </c>
      <c r="J55" s="22"/>
      <c r="K55" s="22"/>
      <c r="L55" s="22"/>
      <c r="M55" s="22" t="str">
        <f>$A$55</f>
        <v xml:space="preserve">  - PROTECTION_FIRE:4:7</v>
      </c>
      <c r="N55" s="22"/>
      <c r="O55" s="22"/>
      <c r="P55" s="22"/>
      <c r="Q55" s="22" t="str">
        <f>$A$55</f>
        <v xml:space="preserve">  - PROTECTION_FIRE:4:7</v>
      </c>
      <c r="R55" s="22"/>
      <c r="S55" s="22"/>
      <c r="T55" s="22"/>
    </row>
    <row r="56" spans="1:20" x14ac:dyDescent="0.25">
      <c r="A56" s="22" t="str">
        <f>$A$33</f>
        <v xml:space="preserve">  - PROTECTION_PROJECTILE:4:7</v>
      </c>
      <c r="B56" s="22"/>
      <c r="C56" s="22"/>
      <c r="D56" s="22"/>
      <c r="E56" s="22" t="str">
        <f>$A$56</f>
        <v xml:space="preserve">  - PROTECTION_PROJECTILE:4:7</v>
      </c>
      <c r="F56" s="22"/>
      <c r="G56" s="22"/>
      <c r="H56" s="22"/>
      <c r="I56" s="22" t="str">
        <f>$A$56</f>
        <v xml:space="preserve">  - PROTECTION_PROJECTILE:4:7</v>
      </c>
      <c r="J56" s="22"/>
      <c r="K56" s="22"/>
      <c r="L56" s="22"/>
      <c r="M56" s="22" t="str">
        <f>$A$56</f>
        <v xml:space="preserve">  - PROTECTION_PROJECTILE:4:7</v>
      </c>
      <c r="N56" s="22"/>
      <c r="O56" s="22"/>
      <c r="P56" s="22"/>
      <c r="Q56" s="22" t="str">
        <f>$A$56</f>
        <v xml:space="preserve">  - PROTECTION_PROJECTILE:4:7</v>
      </c>
      <c r="R56" s="22"/>
      <c r="S56" s="22"/>
      <c r="T56" s="22"/>
    </row>
    <row r="57" spans="1:20" x14ac:dyDescent="0.25">
      <c r="A57" s="22" t="str">
        <f>$A$34</f>
        <v xml:space="preserve">  - SILK_TOUCH:4:7</v>
      </c>
      <c r="B57" s="22"/>
      <c r="C57" s="22"/>
      <c r="D57" s="22"/>
      <c r="E57" s="22" t="str">
        <f>$A$57</f>
        <v xml:space="preserve">  - SILK_TOUCH:4:7</v>
      </c>
      <c r="F57" s="22"/>
      <c r="G57" s="22"/>
      <c r="H57" s="22"/>
      <c r="I57" s="22" t="str">
        <f>$A$57</f>
        <v xml:space="preserve">  - SILK_TOUCH:4:7</v>
      </c>
      <c r="J57" s="22"/>
      <c r="K57" s="22"/>
      <c r="L57" s="22"/>
      <c r="M57" s="22" t="str">
        <f>$A$57</f>
        <v xml:space="preserve">  - SILK_TOUCH:4:7</v>
      </c>
      <c r="N57" s="22"/>
      <c r="O57" s="22"/>
      <c r="P57" s="22"/>
      <c r="Q57" s="22" t="str">
        <f>$A$57</f>
        <v xml:space="preserve">  - SILK_TOUCH:4:7</v>
      </c>
      <c r="R57" s="22"/>
      <c r="S57" s="22"/>
      <c r="T57" s="22"/>
    </row>
    <row r="58" spans="1:20" x14ac:dyDescent="0.25">
      <c r="A58" s="22" t="str">
        <f>$A$35</f>
        <v xml:space="preserve">  - THORNS:4:7</v>
      </c>
      <c r="B58" s="22"/>
      <c r="C58" s="22"/>
      <c r="D58" s="22"/>
      <c r="E58" s="22" t="str">
        <f>$A$58</f>
        <v xml:space="preserve">  - THORNS:4:7</v>
      </c>
      <c r="F58" s="22"/>
      <c r="G58" s="22"/>
      <c r="H58" s="22"/>
      <c r="I58" s="22" t="str">
        <f>$A$58</f>
        <v xml:space="preserve">  - THORNS:4:7</v>
      </c>
      <c r="J58" s="22"/>
      <c r="K58" s="22"/>
      <c r="L58" s="22"/>
      <c r="M58" s="22" t="str">
        <f>$A$58</f>
        <v xml:space="preserve">  - THORNS:4:7</v>
      </c>
      <c r="N58" s="22"/>
      <c r="O58" s="22"/>
      <c r="P58" s="22"/>
      <c r="Q58" s="22" t="str">
        <f>$A$58</f>
        <v xml:space="preserve">  - THORNS:4:7</v>
      </c>
      <c r="R58" s="22"/>
      <c r="S58" s="22"/>
      <c r="T58" s="22"/>
    </row>
    <row r="59" spans="1:20" x14ac:dyDescent="0.25">
      <c r="A59" s="22" t="str">
        <f>$A$36</f>
        <v xml:space="preserve">  - WATER_WORKER:4:7</v>
      </c>
      <c r="B59" s="22"/>
      <c r="C59" s="22"/>
      <c r="D59" s="22"/>
      <c r="E59" s="22" t="str">
        <f>$A$59</f>
        <v xml:space="preserve">  - WATER_WORKER:4:7</v>
      </c>
      <c r="F59" s="22"/>
      <c r="G59" s="22"/>
      <c r="H59" s="22"/>
      <c r="I59" s="22" t="str">
        <f>$A$59</f>
        <v xml:space="preserve">  - WATER_WORKER:4:7</v>
      </c>
      <c r="J59" s="22"/>
      <c r="K59" s="22"/>
      <c r="L59" s="22"/>
      <c r="M59" s="22" t="str">
        <f>$A$59</f>
        <v xml:space="preserve">  - WATER_WORKER:4:7</v>
      </c>
      <c r="N59" s="22"/>
      <c r="O59" s="22"/>
      <c r="P59" s="22"/>
      <c r="Q59" s="22" t="str">
        <f>$A$59</f>
        <v xml:space="preserve">  - WATER_WORKER:4:7</v>
      </c>
      <c r="R59" s="22"/>
      <c r="S59" s="22"/>
      <c r="T59" s="22"/>
    </row>
    <row r="60" spans="1:20" x14ac:dyDescent="0.25">
      <c r="A60" s="9" t="s">
        <v>28</v>
      </c>
      <c r="B60" s="9"/>
      <c r="C60" s="9"/>
      <c r="D60" s="9"/>
      <c r="E60" s="9" t="s">
        <v>28</v>
      </c>
      <c r="F60" s="9"/>
      <c r="G60" s="9"/>
      <c r="H60" s="9"/>
      <c r="I60" s="9" t="s">
        <v>28</v>
      </c>
      <c r="J60" s="9"/>
      <c r="K60" s="9"/>
      <c r="L60" s="9"/>
      <c r="M60" s="9" t="s">
        <v>28</v>
      </c>
      <c r="N60" s="9"/>
      <c r="O60" s="9"/>
      <c r="P60" s="9"/>
      <c r="Q60" s="9" t="s">
        <v>28</v>
      </c>
      <c r="R60" s="9"/>
      <c r="S60" s="9"/>
      <c r="T60" s="9"/>
    </row>
    <row r="61" spans="1:20" x14ac:dyDescent="0.25">
      <c r="A61" s="11" t="str">
        <f>'armas ancestral'!$A$61</f>
        <v xml:space="preserve">  minimumBonusLore: 3</v>
      </c>
      <c r="B61" s="11"/>
      <c r="C61" s="11"/>
      <c r="D61" s="11"/>
      <c r="E61" s="11" t="str">
        <f>$A$61</f>
        <v xml:space="preserve">  minimumBonusLore: 3</v>
      </c>
      <c r="F61" s="11"/>
      <c r="G61" s="11"/>
      <c r="H61" s="11"/>
      <c r="I61" s="11" t="str">
        <f t="shared" ref="I61" si="12">$A$61</f>
        <v xml:space="preserve">  minimumBonusLore: 3</v>
      </c>
      <c r="J61" s="11"/>
      <c r="K61" s="11"/>
      <c r="L61" s="11"/>
      <c r="M61" s="11" t="str">
        <f t="shared" ref="M61" si="13">$A$61</f>
        <v xml:space="preserve">  minimumBonusLore: 3</v>
      </c>
      <c r="N61" s="11"/>
      <c r="O61" s="11"/>
      <c r="P61" s="11"/>
      <c r="Q61" s="11" t="str">
        <f t="shared" ref="Q61" si="14">$A$61</f>
        <v xml:space="preserve">  minimumBonusLore: 3</v>
      </c>
      <c r="R61" s="11"/>
      <c r="S61" s="11"/>
      <c r="T61" s="11"/>
    </row>
    <row r="62" spans="1:20" x14ac:dyDescent="0.25">
      <c r="A62" s="11" t="str">
        <f>'armas ancestral'!$A$62</f>
        <v xml:space="preserve">  maximumBonusLore: 4</v>
      </c>
      <c r="B62" s="11"/>
      <c r="C62" s="11"/>
      <c r="D62" s="11"/>
      <c r="E62" s="11" t="str">
        <f>$A$62</f>
        <v xml:space="preserve">  maximumBonusLore: 4</v>
      </c>
      <c r="F62" s="11"/>
      <c r="G62" s="11"/>
      <c r="H62" s="11"/>
      <c r="I62" s="11" t="str">
        <f t="shared" ref="I62" si="15">$A$62</f>
        <v xml:space="preserve">  maximumBonusLore: 4</v>
      </c>
      <c r="J62" s="11"/>
      <c r="K62" s="11"/>
      <c r="L62" s="11"/>
      <c r="M62" s="11" t="str">
        <f t="shared" ref="M62" si="16">$A$62</f>
        <v xml:space="preserve">  maximumBonusLore: 4</v>
      </c>
      <c r="N62" s="11"/>
      <c r="O62" s="11"/>
      <c r="P62" s="11"/>
      <c r="Q62" s="11" t="str">
        <f t="shared" ref="Q62" si="17">$A$62</f>
        <v xml:space="preserve">  maximumBonusLore: 4</v>
      </c>
      <c r="R62" s="11"/>
      <c r="S62" s="11"/>
      <c r="T62" s="11"/>
    </row>
    <row r="63" spans="1:20" x14ac:dyDescent="0.25">
      <c r="A63" s="9" t="s">
        <v>29</v>
      </c>
      <c r="B63" s="9"/>
      <c r="C63" s="9"/>
      <c r="D63" s="9"/>
      <c r="E63" s="9" t="s">
        <v>29</v>
      </c>
      <c r="F63" s="9"/>
      <c r="G63" s="9"/>
      <c r="H63" s="9"/>
      <c r="I63" s="9" t="s">
        <v>29</v>
      </c>
      <c r="J63" s="9"/>
      <c r="K63" s="9"/>
      <c r="L63" s="9"/>
      <c r="M63" s="9" t="s">
        <v>29</v>
      </c>
      <c r="N63" s="9"/>
      <c r="O63" s="9"/>
      <c r="P63" s="9"/>
      <c r="Q63" s="9" t="s">
        <v>29</v>
      </c>
      <c r="R63" s="9"/>
      <c r="S63" s="9"/>
      <c r="T63" s="9"/>
    </row>
    <row r="64" spans="1:20" x14ac:dyDescent="0.25">
      <c r="A64" s="20" t="str">
        <f>"  - '&amp;aVenta: &amp;6"&amp;(MAIN!$F$4+(MAIN!$G$18+MAIN!$G$19)/2*MAIN!$B$9+(MAIN!$G$20+MAIN!$G$21)/2*MAIN!$B$8+(MAIN!$G$80*MAIN!$B$11)+($C$2*MAIN!$B$10))/10&amp;" &amp;aAlmakos'"</f>
        <v xml:space="preserve">  - '&amp;aVenta: &amp;6912.5 &amp;aAlmakos'</v>
      </c>
      <c r="B64" s="20"/>
      <c r="C64" s="20"/>
      <c r="D64" s="20"/>
      <c r="E64" s="20" t="str">
        <f>"  - '&amp;aVenta: &amp;6"&amp;(MAIN!$G$4+(MAIN!$G$18+MAIN!$G$19)/2*MAIN!$B$9+(MAIN!$G$20+MAIN!$G$21)/2*MAIN!$B$8+(MAIN!$G$80*MAIN!$B$11)+($C$2*MAIN!$B$10))/10&amp;" &amp;aAlmakos'"</f>
        <v xml:space="preserve">  - '&amp;aVenta: &amp;61052.5 &amp;aAlmakos'</v>
      </c>
      <c r="F64" s="20"/>
      <c r="G64" s="20"/>
      <c r="H64" s="20"/>
      <c r="I64" s="20" t="str">
        <f>"  - '&amp;aVenta: &amp;6"&amp;(MAIN!$H$4+(MAIN!$G$18+MAIN!$G$19)/2*MAIN!$B$9+(MAIN!$G$20+MAIN!$G$21)/2*MAIN!$B$8+(MAIN!$G$80*MAIN!$B$11)+($C$2*MAIN!$B$10))/10&amp;" &amp;aAlmakos'"</f>
        <v xml:space="preserve">  - '&amp;aVenta: &amp;61332.5 &amp;aAlmakos'</v>
      </c>
      <c r="J64" s="20"/>
      <c r="K64" s="20"/>
      <c r="L64" s="20"/>
      <c r="M64" s="20" t="str">
        <f>"  - '&amp;aVenta: &amp;6"&amp;(MAIN!$I$4+(MAIN!$G$18+MAIN!$G$19)/2*MAIN!$B$9+(MAIN!$G$20+MAIN!$G$21)/2*MAIN!$B$8+(MAIN!$G$80*MAIN!$B$11)+($C$2*MAIN!$B$10))/10&amp;" &amp;aAlmakos'"</f>
        <v xml:space="preserve">  - '&amp;aVenta: &amp;61892.5 &amp;aAlmakos'</v>
      </c>
      <c r="N64" s="20"/>
      <c r="O64" s="20"/>
      <c r="P64" s="20"/>
      <c r="Q64" s="20" t="str">
        <f>"  - '&amp;aVenta: &amp;6"&amp;(MAIN!$J$4+(MAIN!$G$18+MAIN!$G$19)/2*MAIN!$B$9+(MAIN!$G$20+MAIN!$G$21)/2*MAIN!$B$8+(MAIN!$G$80*MAIN!$B$11)+($C$2*MAIN!$B$10))/10&amp;" &amp;aAlmakos'"</f>
        <v xml:space="preserve">  - '&amp;aVenta: &amp;63012.5 &amp;aAlmakos'</v>
      </c>
      <c r="R64" s="20"/>
      <c r="S64" s="20"/>
      <c r="T64" s="20"/>
    </row>
    <row r="65" spans="1:20" x14ac:dyDescent="0.25">
      <c r="A65" s="9" t="s">
        <v>30</v>
      </c>
      <c r="B65" s="9"/>
      <c r="C65" s="9"/>
      <c r="D65" s="9"/>
      <c r="E65" s="9" t="s">
        <v>30</v>
      </c>
      <c r="F65" s="9"/>
      <c r="G65" s="9"/>
      <c r="H65" s="9"/>
      <c r="I65" s="9" t="s">
        <v>30</v>
      </c>
      <c r="J65" s="9"/>
      <c r="K65" s="9"/>
      <c r="L65" s="9"/>
      <c r="M65" s="9" t="s">
        <v>30</v>
      </c>
      <c r="N65" s="9"/>
      <c r="O65" s="9"/>
      <c r="P65" s="9"/>
      <c r="Q65" s="9" t="s">
        <v>30</v>
      </c>
      <c r="R65" s="9"/>
      <c r="S65" s="9"/>
      <c r="T65" s="9"/>
    </row>
    <row r="66" spans="1:20" x14ac:dyDescent="0.25">
      <c r="A66" s="9" t="s">
        <v>31</v>
      </c>
      <c r="B66" s="9"/>
      <c r="C66" s="9"/>
      <c r="D66" s="9"/>
      <c r="E66" s="9" t="s">
        <v>31</v>
      </c>
      <c r="F66" s="9"/>
      <c r="G66" s="9"/>
      <c r="H66" s="9"/>
      <c r="I66" s="9" t="s">
        <v>31</v>
      </c>
      <c r="J66" s="9"/>
      <c r="K66" s="9"/>
      <c r="L66" s="9"/>
      <c r="M66" s="9" t="s">
        <v>31</v>
      </c>
      <c r="N66" s="9"/>
      <c r="O66" s="9"/>
      <c r="P66" s="9"/>
      <c r="Q66" s="9" t="s">
        <v>31</v>
      </c>
      <c r="R66" s="9"/>
      <c r="S66" s="9"/>
      <c r="T66" s="9"/>
    </row>
    <row r="67" spans="1:20" s="262" customFormat="1" x14ac:dyDescent="0.25">
      <c r="A67" s="9" t="s">
        <v>1032</v>
      </c>
      <c r="B67" s="9"/>
      <c r="C67" s="9"/>
      <c r="D67" s="9"/>
      <c r="E67" s="9" t="s">
        <v>1032</v>
      </c>
      <c r="F67" s="9"/>
      <c r="G67" s="9"/>
      <c r="H67" s="9"/>
      <c r="I67" s="9" t="s">
        <v>1032</v>
      </c>
      <c r="J67" s="9"/>
      <c r="K67" s="9"/>
      <c r="L67" s="9"/>
      <c r="M67" s="9" t="s">
        <v>1032</v>
      </c>
      <c r="N67" s="9"/>
      <c r="O67" s="9"/>
      <c r="P67" s="9"/>
      <c r="Q67" s="9" t="s">
        <v>1032</v>
      </c>
      <c r="R67" s="9"/>
      <c r="S67" s="9"/>
      <c r="T67" s="9"/>
    </row>
    <row r="68" spans="1:20" x14ac:dyDescent="0.25">
      <c r="A68" s="10" t="str">
        <f>"  - '&amp;7• &amp;8Nivel: &amp;a"&amp;MAIN!$C$82+($C$2*MAIN!$I$27)&amp;"'"</f>
        <v xml:space="preserve">  - '&amp;7• &amp;8Nivel: &amp;a57'</v>
      </c>
      <c r="B68" s="10"/>
      <c r="C68" s="10"/>
      <c r="D68" s="10"/>
      <c r="E68" s="10" t="str">
        <f>"  - '&amp;7• &amp;8Nivel: &amp;a"&amp;MAIN!$D$82+($C$2*MAIN!$I$27)&amp;"'"</f>
        <v xml:space="preserve">  - '&amp;7• &amp;8Nivel: &amp;a82'</v>
      </c>
      <c r="F68" s="10"/>
      <c r="G68" s="10"/>
      <c r="H68" s="10"/>
      <c r="I68" s="10" t="str">
        <f>"  - '&amp;7• &amp;8Nivel: &amp;a"&amp;MAIN!$E$82+($C$2*MAIN!$I$27)&amp;"'"</f>
        <v xml:space="preserve">  - '&amp;7• &amp;8Nivel: &amp;a157'</v>
      </c>
      <c r="J68" s="10"/>
      <c r="K68" s="10"/>
      <c r="L68" s="10"/>
      <c r="M68" s="10" t="str">
        <f>"  - '&amp;7• &amp;8Nivel: &amp;a"&amp;MAIN!$F$82+($C$2*MAIN!$I$27)&amp;"'"</f>
        <v xml:space="preserve">  - '&amp;7• &amp;8Nivel: &amp;a381'</v>
      </c>
      <c r="N68" s="10"/>
      <c r="O68" s="10"/>
      <c r="P68" s="10"/>
      <c r="Q68" s="10" t="str">
        <f>"  - '&amp;7• &amp;8Nivel: &amp;a"&amp;MAIN!$G$82+($C$2*MAIN!$I$27)&amp;"'"</f>
        <v xml:space="preserve">  - '&amp;7• &amp;8Nivel: &amp;a717'</v>
      </c>
      <c r="R68" s="10"/>
      <c r="S68" s="10"/>
      <c r="T68" s="10"/>
    </row>
    <row r="69" spans="1:20" x14ac:dyDescent="0.25">
      <c r="A69" s="12" t="str">
        <f>"  - '&amp;7• &amp;8"&amp;MAIN!$C$12&amp;" lvl: &amp;a"&amp;ROUNDUP((MAIN!$C$82+($C$2*MAIN!$I$27))/3,0)&amp;"'"</f>
        <v xml:space="preserve">  - '&amp;7• &amp;8Esencia lvl: &amp;a19'</v>
      </c>
      <c r="B69" s="12"/>
      <c r="C69" s="12"/>
      <c r="D69" s="12"/>
      <c r="E69" s="12" t="str">
        <f>"  - '&amp;7• &amp;8"&amp;MAIN!$C$12&amp;" lvl: &amp;a"&amp;ROUNDUP((MAIN!$D$82+($C$2*MAIN!$I$27))/3,0)&amp;"'"</f>
        <v xml:space="preserve">  - '&amp;7• &amp;8Esencia lvl: &amp;a28'</v>
      </c>
      <c r="F69" s="12"/>
      <c r="G69" s="12"/>
      <c r="H69" s="12"/>
      <c r="I69" s="12" t="str">
        <f>"  - '&amp;7• &amp;8"&amp;MAIN!$C$12&amp;" lvl: &amp;a"&amp;ROUNDUP((MAIN!$E$82+($C$2*MAIN!$I$27))/3,0)&amp;"'"</f>
        <v xml:space="preserve">  - '&amp;7• &amp;8Esencia lvl: &amp;a53'</v>
      </c>
      <c r="J69" s="12"/>
      <c r="K69" s="12"/>
      <c r="L69" s="12"/>
      <c r="M69" s="12" t="str">
        <f>"  - '&amp;7• &amp;8"&amp;MAIN!$C$12&amp;" lvl: &amp;a"&amp;ROUNDUP((MAIN!$F$82+($C$2*MAIN!$I$27))/3,0)&amp;"'"</f>
        <v xml:space="preserve">  - '&amp;7• &amp;8Esencia lvl: &amp;a127'</v>
      </c>
      <c r="N69" s="12"/>
      <c r="O69" s="12"/>
      <c r="P69" s="12"/>
      <c r="Q69" s="12" t="str">
        <f>"  - '&amp;7• &amp;8"&amp;MAIN!$C$12&amp;" lvl: &amp;a"&amp;ROUNDUP((MAIN!$G$82+($C$2*MAIN!$I$27))/3,0)&amp;"'"</f>
        <v xml:space="preserve">  - '&amp;7• &amp;8Esencia lvl: &amp;a239'</v>
      </c>
      <c r="R69" s="12"/>
      <c r="S69" s="12"/>
      <c r="T69" s="12"/>
    </row>
    <row r="70" spans="1:20" x14ac:dyDescent="0.25">
      <c r="A70" s="9" t="s">
        <v>32</v>
      </c>
      <c r="B70" s="9"/>
      <c r="C70" s="9"/>
      <c r="D70" s="9"/>
      <c r="E70" s="9" t="s">
        <v>32</v>
      </c>
      <c r="F70" s="9"/>
      <c r="G70" s="9"/>
      <c r="H70" s="9"/>
      <c r="I70" s="9" t="s">
        <v>32</v>
      </c>
      <c r="J70" s="9"/>
      <c r="K70" s="9"/>
      <c r="L70" s="9"/>
      <c r="M70" s="9" t="s">
        <v>32</v>
      </c>
      <c r="N70" s="9"/>
      <c r="O70" s="9"/>
      <c r="P70" s="9"/>
      <c r="Q70" s="9" t="s">
        <v>32</v>
      </c>
      <c r="R70" s="9"/>
      <c r="S70" s="9"/>
      <c r="T70" s="9"/>
    </row>
    <row r="71" spans="1:20" s="291" customFormat="1" x14ac:dyDescent="0.25">
      <c r="A71" s="9" t="s">
        <v>1196</v>
      </c>
      <c r="B71" s="9"/>
      <c r="C71" s="9"/>
      <c r="D71" s="9"/>
      <c r="E71" s="9" t="str">
        <f>A71</f>
        <v xml:space="preserve">  - '%tierlore%'</v>
      </c>
      <c r="F71" s="9"/>
      <c r="G71" s="9"/>
      <c r="H71" s="9"/>
      <c r="I71" s="9" t="str">
        <f>E71</f>
        <v xml:space="preserve">  - '%tierlore%'</v>
      </c>
      <c r="J71" s="9"/>
      <c r="K71" s="9"/>
      <c r="L71" s="9"/>
      <c r="M71" s="9" t="str">
        <f>I71</f>
        <v xml:space="preserve">  - '%tierlore%'</v>
      </c>
      <c r="N71" s="9"/>
      <c r="O71" s="9"/>
      <c r="P71" s="9"/>
      <c r="Q71" s="9" t="str">
        <f>M71</f>
        <v xml:space="preserve">  - '%tierlore%'</v>
      </c>
      <c r="R71" s="9"/>
      <c r="S71" s="9"/>
      <c r="T71" s="9"/>
    </row>
    <row r="72" spans="1:20" x14ac:dyDescent="0.25">
      <c r="A72" s="9" t="s">
        <v>33</v>
      </c>
      <c r="B72" s="9"/>
      <c r="C72" s="9"/>
      <c r="D72" s="9"/>
      <c r="E72" s="9" t="s">
        <v>33</v>
      </c>
      <c r="F72" s="9"/>
      <c r="G72" s="9"/>
      <c r="H72" s="9"/>
      <c r="I72" s="9" t="s">
        <v>33</v>
      </c>
      <c r="J72" s="9"/>
      <c r="K72" s="9"/>
      <c r="L72" s="9"/>
      <c r="M72" s="9" t="s">
        <v>33</v>
      </c>
      <c r="N72" s="9"/>
      <c r="O72" s="9"/>
      <c r="P72" s="9"/>
      <c r="Q72" s="9" t="s">
        <v>33</v>
      </c>
      <c r="R72" s="9"/>
      <c r="S72" s="9"/>
      <c r="T72" s="9"/>
    </row>
    <row r="73" spans="1:20" x14ac:dyDescent="0.25">
      <c r="A73" s="10" t="str">
        <f>"  - '&amp;4• &amp;f"&amp;MAIN!$C$9&amp;": &amp;a"&amp;MAIN!$C$77*$C$2&amp;"'"</f>
        <v xml:space="preserve">  - '&amp;4• &amp;fFuerza: &amp;a63'</v>
      </c>
      <c r="B73" s="10"/>
      <c r="C73" s="10"/>
      <c r="D73" s="10"/>
      <c r="E73" s="10" t="str">
        <f>"  - '&amp;4• &amp;f"&amp;MAIN!$C$9&amp;": &amp;a"&amp;MAIN!$D$77*$C$2&amp;"'"</f>
        <v xml:space="preserve">  - '&amp;4• &amp;fFuerza: &amp;a99'</v>
      </c>
      <c r="F73" s="10"/>
      <c r="G73" s="10"/>
      <c r="H73" s="10"/>
      <c r="I73" s="10" t="str">
        <f>"  - '&amp;4• &amp;f"&amp;MAIN!$C$9&amp;": &amp;a"&amp;MAIN!$E$77*$C$2&amp;"'"</f>
        <v xml:space="preserve">  - '&amp;4• &amp;fFuerza: &amp;a162'</v>
      </c>
      <c r="J73" s="10"/>
      <c r="K73" s="10"/>
      <c r="L73" s="10"/>
      <c r="M73" s="10" t="str">
        <f>"  - '&amp;4• &amp;f"&amp;MAIN!$C$9&amp;": &amp;a"&amp;MAIN!$F$77*$C$2&amp;"'"</f>
        <v xml:space="preserve">  - '&amp;4• &amp;fFuerza: &amp;a270'</v>
      </c>
      <c r="N73" s="10"/>
      <c r="O73" s="10"/>
      <c r="P73" s="10"/>
      <c r="Q73" s="10" t="str">
        <f>"  - '&amp;4• &amp;f"&amp;MAIN!$C$9&amp;": &amp;a"&amp;MAIN!$G$77*$C$2&amp;"'"</f>
        <v xml:space="preserve">  - '&amp;4• &amp;fFuerza: &amp;a459'</v>
      </c>
      <c r="R73" s="10"/>
      <c r="S73" s="10"/>
      <c r="T73" s="10"/>
    </row>
    <row r="74" spans="1:20" x14ac:dyDescent="0.25">
      <c r="A74" s="10" t="str">
        <f>"  - '&amp;4• &amp;f"&amp;MAIN!$C$8&amp;": &amp;a"&amp;MAIN!$C$77*$C$2&amp;"'"</f>
        <v xml:space="preserve">  - '&amp;4• &amp;fVitalidad: &amp;a63'</v>
      </c>
      <c r="B74" s="10"/>
      <c r="C74" s="10"/>
      <c r="D74" s="10"/>
      <c r="E74" s="10" t="str">
        <f>"  - '&amp;4• &amp;f"&amp;MAIN!$C$8&amp;": &amp;a"&amp;MAIN!$D$77*$C$2&amp;"'"</f>
        <v xml:space="preserve">  - '&amp;4• &amp;fVitalidad: &amp;a99'</v>
      </c>
      <c r="F74" s="10"/>
      <c r="G74" s="10"/>
      <c r="H74" s="10"/>
      <c r="I74" s="10" t="str">
        <f>"  - '&amp;4• &amp;f"&amp;MAIN!$C$8&amp;": &amp;a"&amp;MAIN!$E$77*$C$2&amp;"'"</f>
        <v xml:space="preserve">  - '&amp;4• &amp;fVitalidad: &amp;a162'</v>
      </c>
      <c r="J74" s="10"/>
      <c r="K74" s="10"/>
      <c r="L74" s="10"/>
      <c r="M74" s="10" t="str">
        <f>"  - '&amp;4• &amp;f"&amp;MAIN!$C$8&amp;": &amp;a"&amp;MAIN!$F$77*$C$2&amp;"'"</f>
        <v xml:space="preserve">  - '&amp;4• &amp;fVitalidad: &amp;a270'</v>
      </c>
      <c r="N74" s="10"/>
      <c r="O74" s="10"/>
      <c r="P74" s="10"/>
      <c r="Q74" s="10" t="str">
        <f>"  - '&amp;4• &amp;f"&amp;MAIN!$C$8&amp;": &amp;a"&amp;MAIN!$G$77*$C$2&amp;"'"</f>
        <v xml:space="preserve">  - '&amp;4• &amp;fVitalidad: &amp;a459'</v>
      </c>
      <c r="R74" s="10"/>
      <c r="S74" s="10"/>
      <c r="T74" s="10"/>
    </row>
    <row r="75" spans="1:20" x14ac:dyDescent="0.25">
      <c r="A75" s="10" t="str">
        <f>"  - '&amp;4• &amp;f"&amp;MAIN!$C$11&amp;": &amp;a"&amp;MAIN!$C$79*$C$2&amp;"'"</f>
        <v xml:space="preserve">  - '&amp;4• &amp;fInteligencia: &amp;a63'</v>
      </c>
      <c r="B75" s="10"/>
      <c r="C75" s="10"/>
      <c r="D75" s="10"/>
      <c r="E75" s="10" t="str">
        <f>"  - '&amp;4• &amp;f"&amp;MAIN!$C$11&amp;": &amp;a"&amp;MAIN!$D$79*$C$2&amp;"'"</f>
        <v xml:space="preserve">  - '&amp;4• &amp;fInteligencia: &amp;a99'</v>
      </c>
      <c r="F75" s="10"/>
      <c r="G75" s="10"/>
      <c r="H75" s="10"/>
      <c r="I75" s="10" t="str">
        <f>"  - '&amp;4• &amp;f"&amp;MAIN!$C$11&amp;": &amp;a"&amp;MAIN!$E$79*$C$2&amp;"'"</f>
        <v xml:space="preserve">  - '&amp;4• &amp;fInteligencia: &amp;a162'</v>
      </c>
      <c r="J75" s="10"/>
      <c r="K75" s="10"/>
      <c r="L75" s="10"/>
      <c r="M75" s="10" t="str">
        <f>"  - '&amp;4• &amp;f"&amp;MAIN!$C$11&amp;": &amp;a"&amp;MAIN!$F$79*$C$2&amp;"'"</f>
        <v xml:space="preserve">  - '&amp;4• &amp;fInteligencia: &amp;a270'</v>
      </c>
      <c r="N75" s="10"/>
      <c r="O75" s="10"/>
      <c r="P75" s="10"/>
      <c r="Q75" s="10" t="str">
        <f>"  - '&amp;4• &amp;f"&amp;MAIN!$C$11&amp;": &amp;a"&amp;MAIN!$G$79*$C$2&amp;"'"</f>
        <v xml:space="preserve">  - '&amp;4• &amp;fInteligencia: &amp;a459'</v>
      </c>
      <c r="R75" s="10"/>
      <c r="S75" s="10"/>
      <c r="T75" s="10"/>
    </row>
    <row r="76" spans="1:20" x14ac:dyDescent="0.25">
      <c r="A76" s="10" t="str">
        <f>"  - '&amp;4• &amp;f"&amp;MAIN!$C$10&amp;": &amp;a"&amp;MAIN!$C$78*$C$2&amp;"'"</f>
        <v xml:space="preserve">  - '&amp;4• &amp;fAgilidad: &amp;a63'</v>
      </c>
      <c r="B76" s="10"/>
      <c r="C76" s="10"/>
      <c r="D76" s="10"/>
      <c r="E76" s="10" t="str">
        <f>"  - '&amp;4• &amp;f"&amp;MAIN!$C$10&amp;": &amp;a"&amp;MAIN!$D$78*$C$2&amp;"'"</f>
        <v xml:space="preserve">  - '&amp;4• &amp;fAgilidad: &amp;a99'</v>
      </c>
      <c r="F76" s="10"/>
      <c r="G76" s="10"/>
      <c r="H76" s="10"/>
      <c r="I76" s="10" t="str">
        <f>"  - '&amp;4• &amp;f"&amp;MAIN!$C$10&amp;": &amp;a"&amp;MAIN!$E$78*$C$2&amp;"'"</f>
        <v xml:space="preserve">  - '&amp;4• &amp;fAgilidad: &amp;a162'</v>
      </c>
      <c r="J76" s="10"/>
      <c r="K76" s="10"/>
      <c r="L76" s="10"/>
      <c r="M76" s="10" t="str">
        <f>"  - '&amp;4• &amp;f"&amp;MAIN!$C$10&amp;": &amp;a"&amp;MAIN!$F$78*$C$2&amp;"'"</f>
        <v xml:space="preserve">  - '&amp;4• &amp;fAgilidad: &amp;a270'</v>
      </c>
      <c r="N76" s="10"/>
      <c r="O76" s="10"/>
      <c r="P76" s="10"/>
      <c r="Q76" s="10" t="str">
        <f>"  - '&amp;4• &amp;f"&amp;MAIN!$C$10&amp;": &amp;a"&amp;MAIN!$G$78*$C$2&amp;"'"</f>
        <v xml:space="preserve">  - '&amp;4• &amp;fAgilidad: &amp;a459'</v>
      </c>
      <c r="R76" s="10"/>
      <c r="S76" s="10"/>
      <c r="T76" s="10"/>
    </row>
    <row r="77" spans="1:20" x14ac:dyDescent="0.25">
      <c r="A77" s="9" t="s">
        <v>71</v>
      </c>
      <c r="B77" s="9"/>
      <c r="C77" s="9"/>
      <c r="D77" s="9"/>
      <c r="E77" s="9" t="s">
        <v>71</v>
      </c>
      <c r="F77" s="9"/>
      <c r="G77" s="9"/>
      <c r="H77" s="9"/>
      <c r="I77" s="9" t="s">
        <v>71</v>
      </c>
      <c r="J77" s="9"/>
      <c r="K77" s="9"/>
      <c r="L77" s="9"/>
      <c r="M77" s="9" t="s">
        <v>71</v>
      </c>
      <c r="N77" s="9"/>
      <c r="O77" s="9"/>
      <c r="P77" s="9"/>
      <c r="Q77" s="9" t="s">
        <v>71</v>
      </c>
      <c r="R77" s="9"/>
      <c r="S77" s="9"/>
      <c r="T77" s="9"/>
    </row>
    <row r="78" spans="1:20" x14ac:dyDescent="0.25">
      <c r="A78" s="9" t="s">
        <v>72</v>
      </c>
      <c r="B78" s="9"/>
      <c r="C78" s="9"/>
      <c r="D78" s="9"/>
      <c r="E78" s="9" t="s">
        <v>72</v>
      </c>
      <c r="F78" s="9"/>
      <c r="G78" s="9"/>
      <c r="H78" s="9"/>
      <c r="I78" s="9" t="s">
        <v>72</v>
      </c>
      <c r="J78" s="9"/>
      <c r="K78" s="9"/>
      <c r="L78" s="9"/>
      <c r="M78" s="9" t="s">
        <v>72</v>
      </c>
      <c r="N78" s="9"/>
      <c r="O78" s="9"/>
      <c r="P78" s="9"/>
      <c r="Q78" s="9" t="s">
        <v>72</v>
      </c>
      <c r="R78" s="9"/>
      <c r="S78" s="9"/>
      <c r="T78" s="9"/>
    </row>
    <row r="79" spans="1:20" x14ac:dyDescent="0.25">
      <c r="A79" s="11" t="str">
        <f>'armas ancestral'!$A$79</f>
        <v>minimumSockets: 2</v>
      </c>
      <c r="B79" s="11"/>
      <c r="C79" s="11"/>
      <c r="D79" s="11"/>
      <c r="E79" s="11" t="str">
        <f>$A$79</f>
        <v>minimumSockets: 2</v>
      </c>
      <c r="F79" s="11"/>
      <c r="G79" s="11"/>
      <c r="H79" s="11"/>
      <c r="I79" s="11" t="str">
        <f>$A$79</f>
        <v>minimumSockets: 2</v>
      </c>
      <c r="J79" s="11"/>
      <c r="K79" s="11"/>
      <c r="L79" s="11"/>
      <c r="M79" s="11" t="str">
        <f>$A$79</f>
        <v>minimumSockets: 2</v>
      </c>
      <c r="N79" s="11"/>
      <c r="O79" s="11"/>
      <c r="P79" s="11"/>
      <c r="Q79" s="11" t="str">
        <f>$A$79</f>
        <v>minimumSockets: 2</v>
      </c>
      <c r="R79" s="11"/>
      <c r="S79" s="11"/>
      <c r="T79" s="11"/>
    </row>
    <row r="80" spans="1:20" x14ac:dyDescent="0.25">
      <c r="A80" s="11" t="str">
        <f>'armas ancestral'!$A$80</f>
        <v>maximumSockets: 4</v>
      </c>
      <c r="B80" s="11"/>
      <c r="C80" s="11"/>
      <c r="D80" s="11"/>
      <c r="E80" s="11" t="str">
        <f>$A$80</f>
        <v>maximumSockets: 4</v>
      </c>
      <c r="F80" s="11"/>
      <c r="G80" s="11"/>
      <c r="H80" s="11"/>
      <c r="I80" s="11" t="str">
        <f>$A$80</f>
        <v>maximumSockets: 4</v>
      </c>
      <c r="J80" s="11"/>
      <c r="K80" s="11"/>
      <c r="L80" s="11"/>
      <c r="M80" s="11" t="str">
        <f>$A$80</f>
        <v>maximumSockets: 4</v>
      </c>
      <c r="N80" s="11"/>
      <c r="O80" s="11"/>
      <c r="P80" s="11"/>
      <c r="Q80" s="11" t="str">
        <f>$A$80</f>
        <v>maximumSockets: 4</v>
      </c>
      <c r="R80" s="11"/>
      <c r="S80" s="11"/>
      <c r="T80" s="11"/>
    </row>
    <row r="81" spans="1:20" x14ac:dyDescent="0.25">
      <c r="A81" s="11" t="str">
        <f>'armas ancestral'!$A$81</f>
        <v>chanceToSpawnOnAMonster: 0.0375</v>
      </c>
      <c r="B81" s="11"/>
      <c r="C81" s="11"/>
      <c r="D81" s="11"/>
      <c r="E81" s="11" t="str">
        <f>$A$81</f>
        <v>chanceToSpawnOnAMonster: 0.0375</v>
      </c>
      <c r="F81" s="11"/>
      <c r="G81" s="11"/>
      <c r="H81" s="11"/>
      <c r="I81" s="11" t="str">
        <f>$A$81</f>
        <v>chanceToSpawnOnAMonster: 0.0375</v>
      </c>
      <c r="J81" s="11"/>
      <c r="K81" s="11"/>
      <c r="L81" s="11"/>
      <c r="M81" s="11" t="str">
        <f>$A$81</f>
        <v>chanceToSpawnOnAMonster: 0.0375</v>
      </c>
      <c r="N81" s="11"/>
      <c r="O81" s="11"/>
      <c r="P81" s="11"/>
      <c r="Q81" s="11" t="str">
        <f>$A$81</f>
        <v>chanceToSpawnOnAMonster: 0.0375</v>
      </c>
      <c r="R81" s="11"/>
      <c r="S81" s="11"/>
      <c r="T81" s="11"/>
    </row>
    <row r="82" spans="1:20" x14ac:dyDescent="0.25">
      <c r="A82" s="9" t="s">
        <v>34</v>
      </c>
      <c r="B82" s="9"/>
      <c r="C82" s="9"/>
      <c r="D82" s="9"/>
      <c r="E82" s="9" t="s">
        <v>34</v>
      </c>
      <c r="F82" s="9"/>
      <c r="G82" s="9"/>
      <c r="H82" s="9"/>
      <c r="I82" s="9" t="s">
        <v>34</v>
      </c>
      <c r="J82" s="9"/>
      <c r="K82" s="9"/>
      <c r="L82" s="9"/>
      <c r="M82" s="9" t="s">
        <v>34</v>
      </c>
      <c r="N82" s="9"/>
      <c r="O82" s="9"/>
      <c r="P82" s="9"/>
      <c r="Q82" s="9" t="s">
        <v>34</v>
      </c>
      <c r="R82" s="9"/>
      <c r="S82" s="9"/>
      <c r="T82" s="9"/>
    </row>
    <row r="83" spans="1:20" x14ac:dyDescent="0.25">
      <c r="A83" s="11" t="str">
        <f>'armas ancestral'!$A$83</f>
        <v>chanceToBeIdentified: 0.01875</v>
      </c>
      <c r="B83" s="11"/>
      <c r="C83" s="11"/>
      <c r="D83" s="11"/>
      <c r="E83" s="11" t="str">
        <f>$A$83</f>
        <v>chanceToBeIdentified: 0.01875</v>
      </c>
      <c r="F83" s="11"/>
      <c r="G83" s="11"/>
      <c r="H83" s="11"/>
      <c r="I83" s="11" t="str">
        <f>$A$83</f>
        <v>chanceToBeIdentified: 0.01875</v>
      </c>
      <c r="J83" s="11"/>
      <c r="K83" s="11"/>
      <c r="L83" s="11"/>
      <c r="M83" s="11" t="str">
        <f>$A$83</f>
        <v>chanceToBeIdentified: 0.01875</v>
      </c>
      <c r="N83" s="11"/>
      <c r="O83" s="11"/>
      <c r="P83" s="11"/>
      <c r="Q83" s="11" t="str">
        <f>$A$83</f>
        <v>chanceToBeIdentified: 0.01875</v>
      </c>
      <c r="R83" s="11"/>
      <c r="S83" s="11"/>
      <c r="T83" s="11"/>
    </row>
    <row r="84" spans="1:20" x14ac:dyDescent="0.25">
      <c r="A84" s="9" t="s">
        <v>79</v>
      </c>
      <c r="B84" s="9"/>
      <c r="C84" s="9"/>
      <c r="D84" s="9"/>
      <c r="E84" s="9" t="s">
        <v>79</v>
      </c>
      <c r="F84" s="9"/>
      <c r="G84" s="9"/>
      <c r="H84" s="9"/>
      <c r="I84" s="9" t="s">
        <v>79</v>
      </c>
      <c r="J84" s="9"/>
      <c r="K84" s="9"/>
      <c r="L84" s="9"/>
      <c r="M84" s="9" t="s">
        <v>79</v>
      </c>
      <c r="N84" s="9"/>
      <c r="O84" s="9"/>
      <c r="P84" s="9"/>
      <c r="Q84" s="9" t="s">
        <v>79</v>
      </c>
      <c r="R84" s="9"/>
      <c r="S84" s="9"/>
      <c r="T84" s="9"/>
    </row>
    <row r="85" spans="1:20" x14ac:dyDescent="0.25">
      <c r="A85" s="11" t="str">
        <f>'armas ancestral'!$A$85</f>
        <v>broadcastOnFind: true</v>
      </c>
      <c r="B85" s="11"/>
      <c r="C85" s="11"/>
      <c r="D85" s="11"/>
      <c r="E85" s="11" t="str">
        <f>$A$85</f>
        <v>broadcastOnFind: true</v>
      </c>
      <c r="F85" s="11"/>
      <c r="G85" s="11"/>
      <c r="H85" s="11"/>
      <c r="I85" s="11" t="str">
        <f>$A$85</f>
        <v>broadcastOnFind: true</v>
      </c>
      <c r="J85" s="11"/>
      <c r="K85" s="11"/>
      <c r="L85" s="11"/>
      <c r="M85" s="11" t="str">
        <f>$A$85</f>
        <v>broadcastOnFind: true</v>
      </c>
      <c r="N85" s="11"/>
      <c r="O85" s="11"/>
      <c r="P85" s="11"/>
      <c r="Q85" s="11" t="str">
        <f>$A$85</f>
        <v>broadcastOnFind: true</v>
      </c>
      <c r="R85" s="11"/>
      <c r="S85" s="11"/>
      <c r="T85" s="11"/>
    </row>
    <row r="86" spans="1:20" x14ac:dyDescent="0.25">
      <c r="A86" s="11" t="str">
        <f>'armas ancestral'!$A$86</f>
        <v>optimalDistance: 3000</v>
      </c>
      <c r="B86" s="11"/>
      <c r="C86" s="11"/>
      <c r="D86" s="11"/>
      <c r="E86" s="11" t="str">
        <f>$A$86</f>
        <v>optimalDistance: 3000</v>
      </c>
      <c r="F86" s="11"/>
      <c r="G86" s="11"/>
      <c r="H86" s="11"/>
      <c r="I86" s="11" t="str">
        <f>$A$86</f>
        <v>optimalDistance: 3000</v>
      </c>
      <c r="J86" s="11"/>
      <c r="K86" s="11"/>
      <c r="L86" s="11"/>
      <c r="M86" s="11" t="str">
        <f>$A$86</f>
        <v>optimalDistance: 3000</v>
      </c>
      <c r="N86" s="11"/>
      <c r="O86" s="11"/>
      <c r="P86" s="11"/>
      <c r="Q86" s="11" t="str">
        <f>$A$86</f>
        <v>optimalDistance: 3000</v>
      </c>
      <c r="R86" s="11"/>
      <c r="S86" s="11"/>
      <c r="T86" s="11"/>
    </row>
    <row r="87" spans="1:20" x14ac:dyDescent="0.25">
      <c r="A87" s="11" t="str">
        <f>'armas ancestral'!$A$87</f>
        <v>maximumDistance: 1800</v>
      </c>
      <c r="B87" s="11"/>
      <c r="C87" s="11"/>
      <c r="D87" s="11"/>
      <c r="E87" s="11" t="str">
        <f>$A$87</f>
        <v>maximumDistance: 1800</v>
      </c>
      <c r="F87" s="11"/>
      <c r="G87" s="11"/>
      <c r="H87" s="11"/>
      <c r="I87" s="11" t="str">
        <f>$A$87</f>
        <v>maximumDistance: 1800</v>
      </c>
      <c r="J87" s="11"/>
      <c r="K87" s="11"/>
      <c r="L87" s="11"/>
      <c r="M87" s="11" t="str">
        <f>$A$87</f>
        <v>maximumDistance: 1800</v>
      </c>
      <c r="N87" s="11"/>
      <c r="O87" s="11"/>
      <c r="P87" s="11"/>
      <c r="Q87" s="11" t="str">
        <f>$A$87</f>
        <v>maximumDistance: 1800</v>
      </c>
      <c r="R87" s="11"/>
      <c r="S87" s="11"/>
      <c r="T87" s="11"/>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9" x14ac:dyDescent="0.25">
      <c r="A97" s="9"/>
      <c r="B97" s="9"/>
      <c r="C97" s="9"/>
      <c r="D97" s="9"/>
      <c r="G97" s="13"/>
      <c r="H97" s="13"/>
      <c r="I97" s="13"/>
    </row>
    <row r="98" spans="1:9" x14ac:dyDescent="0.25">
      <c r="A98" s="9"/>
      <c r="B98" s="9"/>
      <c r="C98" s="9"/>
      <c r="D98" s="9"/>
      <c r="G98" s="13"/>
      <c r="H98" s="13"/>
      <c r="I98" s="13"/>
    </row>
    <row r="99" spans="1:9" x14ac:dyDescent="0.25">
      <c r="A99" s="9"/>
      <c r="B99" s="9"/>
      <c r="C99" s="9"/>
      <c r="D99" s="9"/>
    </row>
    <row r="100" spans="1:9" x14ac:dyDescent="0.25">
      <c r="A100" s="9"/>
      <c r="B100" s="9"/>
      <c r="C100" s="9"/>
      <c r="D100" s="9"/>
    </row>
    <row r="101" spans="1:9" x14ac:dyDescent="0.25">
      <c r="A101" s="9"/>
      <c r="B101" s="9"/>
      <c r="C101" s="9"/>
      <c r="D101" s="9"/>
    </row>
    <row r="102" spans="1:9" x14ac:dyDescent="0.25">
      <c r="A102" s="9"/>
      <c r="B102" s="9"/>
      <c r="C102" s="9"/>
      <c r="D102" s="9"/>
    </row>
    <row r="103" spans="1:9" x14ac:dyDescent="0.25">
      <c r="A103" s="9"/>
      <c r="B103" s="9"/>
      <c r="C103" s="9"/>
      <c r="D103" s="9"/>
    </row>
    <row r="104" spans="1:9" x14ac:dyDescent="0.25">
      <c r="A104" s="9"/>
      <c r="B104" s="9"/>
      <c r="C104" s="9"/>
      <c r="D104" s="9"/>
    </row>
    <row r="105" spans="1:9" x14ac:dyDescent="0.25">
      <c r="A105" s="9"/>
      <c r="B105" s="9"/>
      <c r="C105" s="9"/>
      <c r="D105" s="9"/>
    </row>
    <row r="106" spans="1:9" x14ac:dyDescent="0.25">
      <c r="A106" s="9"/>
      <c r="B106" s="9"/>
      <c r="C106" s="9"/>
      <c r="D106" s="9"/>
    </row>
    <row r="107" spans="1:9" x14ac:dyDescent="0.25">
      <c r="A107" s="9"/>
      <c r="B107" s="9"/>
      <c r="C107" s="9"/>
      <c r="D107" s="9"/>
    </row>
    <row r="108" spans="1:9" x14ac:dyDescent="0.25">
      <c r="A108" s="9"/>
      <c r="B108" s="9"/>
      <c r="C108" s="9"/>
      <c r="D108" s="9"/>
    </row>
    <row r="109" spans="1:9" x14ac:dyDescent="0.25">
      <c r="A109" s="9"/>
      <c r="B109" s="9"/>
      <c r="C109" s="9"/>
      <c r="D109" s="9"/>
    </row>
    <row r="110" spans="1:9" x14ac:dyDescent="0.25">
      <c r="A110" s="9"/>
      <c r="B110" s="9"/>
      <c r="C110" s="9"/>
      <c r="D110" s="9"/>
    </row>
    <row r="111" spans="1:9" x14ac:dyDescent="0.25">
      <c r="A111" s="9"/>
      <c r="B111" s="9"/>
      <c r="C111" s="9"/>
      <c r="D111" s="9"/>
    </row>
    <row r="112" spans="1:9"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row r="190" spans="1:4" x14ac:dyDescent="0.25">
      <c r="A190" s="9"/>
      <c r="B190" s="9"/>
      <c r="C190" s="9"/>
      <c r="D190" s="9"/>
    </row>
    <row r="191" spans="1:4" x14ac:dyDescent="0.25">
      <c r="A191" s="9"/>
      <c r="B191" s="9"/>
      <c r="C191" s="9"/>
      <c r="D191"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8"/>
  <dimension ref="A1:Z191"/>
  <sheetViews>
    <sheetView tabSelected="1" topLeftCell="N65" workbookViewId="0">
      <selection activeCell="Q4" sqref="Q4:Q87"/>
    </sheetView>
  </sheetViews>
  <sheetFormatPr baseColWidth="10" defaultColWidth="11.5703125" defaultRowHeight="15" x14ac:dyDescent="0.25"/>
  <cols>
    <col min="1" max="16384" width="11.5703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293" t="s">
        <v>105</v>
      </c>
      <c r="B2" s="293"/>
      <c r="C2" s="293">
        <f>'ECONOMIA &amp; PROFESIONES'!$R$3</f>
        <v>9</v>
      </c>
      <c r="D2" s="293"/>
      <c r="E2" s="293" t="s">
        <v>107</v>
      </c>
      <c r="F2" s="293"/>
      <c r="G2" s="293" t="s">
        <v>106</v>
      </c>
      <c r="H2" s="293"/>
      <c r="I2" s="293" t="str">
        <f>MAIN!$J$53</f>
        <v>Armor</v>
      </c>
      <c r="J2" s="293"/>
      <c r="K2" s="293">
        <f>MAIN!$L$53</f>
        <v>1</v>
      </c>
      <c r="L2" s="293"/>
    </row>
    <row r="3" spans="1:26" ht="29.25" customHeight="1" x14ac:dyDescent="0.25">
      <c r="A3" s="355" t="s">
        <v>0</v>
      </c>
      <c r="B3" s="355"/>
      <c r="C3" s="355"/>
      <c r="D3" s="355"/>
      <c r="E3" s="355" t="s">
        <v>86</v>
      </c>
      <c r="F3" s="355"/>
      <c r="G3" s="355"/>
      <c r="H3" s="355"/>
      <c r="I3" s="355" t="s">
        <v>83</v>
      </c>
      <c r="J3" s="355"/>
      <c r="K3" s="355"/>
      <c r="L3" s="355"/>
      <c r="M3" s="355" t="s">
        <v>84</v>
      </c>
      <c r="N3" s="355"/>
      <c r="O3" s="355"/>
      <c r="P3" s="355"/>
      <c r="Q3" s="355" t="s">
        <v>85</v>
      </c>
      <c r="R3" s="355"/>
      <c r="S3" s="355"/>
      <c r="T3" s="355"/>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$A$38</f>
        <v xml:space="preserve">  - ARROW_INFINITE:4:7</v>
      </c>
      <c r="J15" s="22"/>
      <c r="K15" s="22"/>
      <c r="L15" s="22"/>
      <c r="M15" s="22" t="str">
        <f>$A$38</f>
        <v xml:space="preserve">  - ARROW_INFINITE:4:7</v>
      </c>
      <c r="N15" s="22"/>
      <c r="O15" s="22"/>
      <c r="P15" s="22"/>
      <c r="Q15" s="22" t="str">
        <f>$A$38</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$A$39</f>
        <v xml:space="preserve">  - ARROW_DAMAGE:4:7</v>
      </c>
      <c r="J16" s="22"/>
      <c r="K16" s="22"/>
      <c r="L16" s="22"/>
      <c r="M16" s="22" t="str">
        <f>$A$39</f>
        <v xml:space="preserve">  - ARROW_DAMAGE:4:7</v>
      </c>
      <c r="N16" s="22"/>
      <c r="O16" s="22"/>
      <c r="P16" s="22"/>
      <c r="Q16" s="22" t="str">
        <f>$A$39</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$A$40</f>
        <v xml:space="preserve">  - ARROW_FIRE:4:7</v>
      </c>
      <c r="J17" s="22"/>
      <c r="K17" s="22"/>
      <c r="L17" s="22"/>
      <c r="M17" s="22" t="str">
        <f>$A$40</f>
        <v xml:space="preserve">  - ARROW_FIRE:4:7</v>
      </c>
      <c r="N17" s="22"/>
      <c r="O17" s="22"/>
      <c r="P17" s="22"/>
      <c r="Q17" s="22" t="str">
        <f>$A$40</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$A$41</f>
        <v xml:space="preserve">  - ARROW_KNOCKBACK:4:7</v>
      </c>
      <c r="J18" s="22"/>
      <c r="K18" s="22"/>
      <c r="L18" s="22"/>
      <c r="M18" s="22" t="str">
        <f>$A$41</f>
        <v xml:space="preserve">  - ARROW_KNOCKBACK:4:7</v>
      </c>
      <c r="N18" s="22"/>
      <c r="O18" s="22"/>
      <c r="P18" s="22"/>
      <c r="Q18" s="22" t="str">
        <f>$A$41</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$A$42</f>
        <v xml:space="preserve">  - DAMAGE_ALL:4:7</v>
      </c>
      <c r="J19" s="22"/>
      <c r="K19" s="22"/>
      <c r="L19" s="22"/>
      <c r="M19" s="22" t="str">
        <f>$A$42</f>
        <v xml:space="preserve">  - DAMAGE_ALL:4:7</v>
      </c>
      <c r="N19" s="22"/>
      <c r="O19" s="22"/>
      <c r="P19" s="22"/>
      <c r="Q19" s="22" t="str">
        <f>$A$42</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$A$43</f>
        <v xml:space="preserve">  - DAMAGE_ARTHROPODS:4:7</v>
      </c>
      <c r="J20" s="22"/>
      <c r="K20" s="22"/>
      <c r="L20" s="22"/>
      <c r="M20" s="22" t="str">
        <f>$A$43</f>
        <v xml:space="preserve">  - DAMAGE_ARTHROPODS:4:7</v>
      </c>
      <c r="N20" s="22"/>
      <c r="O20" s="22"/>
      <c r="P20" s="22"/>
      <c r="Q20" s="22" t="str">
        <f>$A$43</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$A$44</f>
        <v xml:space="preserve">  - DAMAGE_UNDEAD:4:7</v>
      </c>
      <c r="J21" s="22"/>
      <c r="K21" s="22"/>
      <c r="L21" s="22"/>
      <c r="M21" s="22" t="str">
        <f>$A$44</f>
        <v xml:space="preserve">  - DAMAGE_UNDEAD:4:7</v>
      </c>
      <c r="N21" s="22"/>
      <c r="O21" s="22"/>
      <c r="P21" s="22"/>
      <c r="Q21" s="22" t="str">
        <f>$A$44</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$A$45</f>
        <v xml:space="preserve">  - DIG_SPEED:4:7</v>
      </c>
      <c r="J22" s="22"/>
      <c r="K22" s="22"/>
      <c r="L22" s="22"/>
      <c r="M22" s="22" t="str">
        <f>$A$45</f>
        <v xml:space="preserve">  - DIG_SPEED:4:7</v>
      </c>
      <c r="N22" s="22"/>
      <c r="O22" s="22"/>
      <c r="P22" s="22"/>
      <c r="Q22" s="22" t="str">
        <f>$A$45</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$A$46</f>
        <v xml:space="preserve">  - DURABILITY:4:7</v>
      </c>
      <c r="J23" s="22"/>
      <c r="K23" s="22"/>
      <c r="L23" s="22"/>
      <c r="M23" s="22" t="str">
        <f>$A$46</f>
        <v xml:space="preserve">  - DURABILITY:4:7</v>
      </c>
      <c r="N23" s="22"/>
      <c r="O23" s="22"/>
      <c r="P23" s="22"/>
      <c r="Q23" s="22" t="str">
        <f>$A$46</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$A$47</f>
        <v xml:space="preserve">  - FIRE_ASPECT:4:7</v>
      </c>
      <c r="J24" s="22"/>
      <c r="K24" s="22"/>
      <c r="L24" s="22"/>
      <c r="M24" s="22" t="str">
        <f>$A$47</f>
        <v xml:space="preserve">  - FIRE_ASPECT:4:7</v>
      </c>
      <c r="N24" s="22"/>
      <c r="O24" s="22"/>
      <c r="P24" s="22"/>
      <c r="Q24" s="22" t="str">
        <f>$A$47</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$A$48</f>
        <v xml:space="preserve">  - KNOCKBACK:4:7</v>
      </c>
      <c r="J25" s="22"/>
      <c r="K25" s="22"/>
      <c r="L25" s="22"/>
      <c r="M25" s="22" t="str">
        <f>$A$48</f>
        <v xml:space="preserve">  - KNOCKBACK:4:7</v>
      </c>
      <c r="N25" s="22"/>
      <c r="O25" s="22"/>
      <c r="P25" s="22"/>
      <c r="Q25" s="22" t="str">
        <f>$A$48</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$A$49</f>
        <v xml:space="preserve">  - LOOT_BONUS_BLOCKS:4:7</v>
      </c>
      <c r="J26" s="22"/>
      <c r="K26" s="22"/>
      <c r="L26" s="22"/>
      <c r="M26" s="22" t="str">
        <f>$A$49</f>
        <v xml:space="preserve">  - LOOT_BONUS_BLOCKS:4:7</v>
      </c>
      <c r="N26" s="22"/>
      <c r="O26" s="22"/>
      <c r="P26" s="22"/>
      <c r="Q26" s="22" t="str">
        <f>$A$49</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$A$50</f>
        <v xml:space="preserve">  - LOOT_BONUS_MOBS:4:7</v>
      </c>
      <c r="J27" s="22"/>
      <c r="K27" s="22"/>
      <c r="L27" s="22"/>
      <c r="M27" s="22" t="str">
        <f>$A$50</f>
        <v xml:space="preserve">  - LOOT_BONUS_MOBS:4:7</v>
      </c>
      <c r="N27" s="22"/>
      <c r="O27" s="22"/>
      <c r="P27" s="22"/>
      <c r="Q27" s="22" t="str">
        <f>$A$50</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$A$51</f>
        <v xml:space="preserve">  - OXYGEN:4:7</v>
      </c>
      <c r="J28" s="22"/>
      <c r="K28" s="22"/>
      <c r="L28" s="22"/>
      <c r="M28" s="22" t="str">
        <f>$A$51</f>
        <v xml:space="preserve">  - OXYGEN:4:7</v>
      </c>
      <c r="N28" s="22"/>
      <c r="O28" s="22"/>
      <c r="P28" s="22"/>
      <c r="Q28" s="22" t="str">
        <f>$A$51</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$A$52</f>
        <v xml:space="preserve">  - PROTECTION_ENVIRONMENT:4:7</v>
      </c>
      <c r="J29" s="22"/>
      <c r="K29" s="22"/>
      <c r="L29" s="22"/>
      <c r="M29" s="22" t="str">
        <f>$A$52</f>
        <v xml:space="preserve">  - PROTECTION_ENVIRONMENT:4:7</v>
      </c>
      <c r="N29" s="22"/>
      <c r="O29" s="22"/>
      <c r="P29" s="22"/>
      <c r="Q29" s="22" t="str">
        <f>$A$52</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$A$53</f>
        <v xml:space="preserve">  - PROTECTION_EXPLOSIONS:4:7</v>
      </c>
      <c r="J30" s="22"/>
      <c r="K30" s="22"/>
      <c r="L30" s="22"/>
      <c r="M30" s="22" t="str">
        <f>$A$53</f>
        <v xml:space="preserve">  - PROTECTION_EXPLOSIONS:4:7</v>
      </c>
      <c r="N30" s="22"/>
      <c r="O30" s="22"/>
      <c r="P30" s="22"/>
      <c r="Q30" s="22" t="str">
        <f>$A$53</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$A$54</f>
        <v xml:space="preserve">  - PROTECTION_FALL:4:7</v>
      </c>
      <c r="J31" s="22"/>
      <c r="K31" s="22"/>
      <c r="L31" s="22"/>
      <c r="M31" s="22" t="str">
        <f>$A$54</f>
        <v xml:space="preserve">  - PROTECTION_FALL:4:7</v>
      </c>
      <c r="N31" s="22"/>
      <c r="O31" s="22"/>
      <c r="P31" s="22"/>
      <c r="Q31" s="22" t="str">
        <f>$A$54</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$A$55</f>
        <v xml:space="preserve">  - PROTECTION_FIRE:4:7</v>
      </c>
      <c r="J32" s="22"/>
      <c r="K32" s="22"/>
      <c r="L32" s="22"/>
      <c r="M32" s="22" t="str">
        <f>$A$55</f>
        <v xml:space="preserve">  - PROTECTION_FIRE:4:7</v>
      </c>
      <c r="N32" s="22"/>
      <c r="O32" s="22"/>
      <c r="P32" s="22"/>
      <c r="Q32" s="22" t="str">
        <f>$A$55</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$A$56</f>
        <v xml:space="preserve">  - PROTECTION_PROJECTILE:4:7</v>
      </c>
      <c r="J33" s="22"/>
      <c r="K33" s="22"/>
      <c r="L33" s="22"/>
      <c r="M33" s="22" t="str">
        <f>$A$56</f>
        <v xml:space="preserve">  - PROTECTION_PROJECTILE:4:7</v>
      </c>
      <c r="N33" s="22"/>
      <c r="O33" s="22"/>
      <c r="P33" s="22"/>
      <c r="Q33" s="22" t="str">
        <f>$A$56</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$A$57</f>
        <v xml:space="preserve">  - SILK_TOUCH:4:7</v>
      </c>
      <c r="J34" s="22"/>
      <c r="K34" s="22"/>
      <c r="L34" s="22"/>
      <c r="M34" s="22" t="str">
        <f>$A$57</f>
        <v xml:space="preserve">  - SILK_TOUCH:4:7</v>
      </c>
      <c r="N34" s="22"/>
      <c r="O34" s="22"/>
      <c r="P34" s="22"/>
      <c r="Q34" s="22" t="str">
        <f>$A$57</f>
        <v xml:space="preserve">  - SILK_TOUCH:4:7</v>
      </c>
      <c r="R34" s="22"/>
      <c r="S34" s="22"/>
      <c r="T34" s="22"/>
    </row>
    <row r="35" spans="1:20" x14ac:dyDescent="0.25">
      <c r="A35" s="22" t="str">
        <f>'armas ancestral'!$A$35</f>
        <v xml:space="preserve">  - THORNS:4:7</v>
      </c>
      <c r="B35" s="22"/>
      <c r="C35" s="22"/>
      <c r="D35" s="22"/>
      <c r="E35" s="22" t="str">
        <f>$A$35</f>
        <v xml:space="preserve">  - THORNS:4:7</v>
      </c>
      <c r="F35" s="22"/>
      <c r="G35" s="22"/>
      <c r="H35" s="22"/>
      <c r="I35" s="22" t="str">
        <f>$A$58</f>
        <v xml:space="preserve">  - THORNS:4:7</v>
      </c>
      <c r="J35" s="22"/>
      <c r="K35" s="22"/>
      <c r="L35" s="22"/>
      <c r="M35" s="22" t="str">
        <f>$A$58</f>
        <v xml:space="preserve">  - THORNS:4:7</v>
      </c>
      <c r="N35" s="22"/>
      <c r="O35" s="22"/>
      <c r="P35" s="22"/>
      <c r="Q35" s="22" t="str">
        <f>$A$58</f>
        <v xml:space="preserve">  - THORNS:4:7</v>
      </c>
      <c r="R35" s="22"/>
      <c r="S35" s="22"/>
      <c r="T35" s="22"/>
    </row>
    <row r="36" spans="1:20" x14ac:dyDescent="0.25">
      <c r="A36" s="22" t="str">
        <f>'armas ancestral'!$A$36</f>
        <v xml:space="preserve">  - WATER_WORKER:4:7</v>
      </c>
      <c r="B36" s="22"/>
      <c r="C36" s="22"/>
      <c r="D36" s="22"/>
      <c r="E36" s="22" t="str">
        <f>$A$36</f>
        <v xml:space="preserve">  - WATER_WORKER:4:7</v>
      </c>
      <c r="F36" s="22"/>
      <c r="G36" s="22"/>
      <c r="H36" s="22"/>
      <c r="I36" s="22" t="str">
        <f>$A$59</f>
        <v xml:space="preserve">  - WATER_WORKER:4:7</v>
      </c>
      <c r="J36" s="22"/>
      <c r="K36" s="22"/>
      <c r="L36" s="22"/>
      <c r="M36" s="22" t="str">
        <f>$A$59</f>
        <v xml:space="preserve">  - WATER_WORKER:4:7</v>
      </c>
      <c r="N36" s="22"/>
      <c r="O36" s="22"/>
      <c r="P36" s="22"/>
      <c r="Q36" s="22" t="str">
        <f>$A$59</f>
        <v xml:space="preserve">  - WATER_WORKER:4:7</v>
      </c>
      <c r="R36" s="22"/>
      <c r="S36" s="22"/>
      <c r="T36" s="22"/>
    </row>
    <row r="37" spans="1:20" x14ac:dyDescent="0.25">
      <c r="A37" s="9" t="s">
        <v>101</v>
      </c>
      <c r="B37" s="9"/>
      <c r="C37" s="9"/>
      <c r="D37" s="9"/>
      <c r="E37" s="9" t="s">
        <v>101</v>
      </c>
      <c r="F37" s="9"/>
      <c r="G37" s="9"/>
      <c r="H37" s="9"/>
      <c r="I37" s="9" t="s">
        <v>101</v>
      </c>
      <c r="J37" s="9"/>
      <c r="K37" s="9"/>
      <c r="L37" s="9"/>
      <c r="M37" s="9" t="s">
        <v>101</v>
      </c>
      <c r="N37" s="9"/>
      <c r="O37" s="9"/>
      <c r="P37" s="9"/>
      <c r="Q37" s="9" t="s">
        <v>101</v>
      </c>
      <c r="R37" s="9"/>
      <c r="S37" s="9"/>
      <c r="T37" s="9"/>
    </row>
    <row r="38" spans="1:20" x14ac:dyDescent="0.25">
      <c r="A38" s="22" t="str">
        <f>$A$15</f>
        <v xml:space="preserve">  - ARROW_INFINITE:4:7</v>
      </c>
      <c r="B38" s="22"/>
      <c r="C38" s="22"/>
      <c r="D38" s="22"/>
      <c r="E38" s="22" t="str">
        <f>$A$38</f>
        <v xml:space="preserve">  - ARROW_INFINITE:4:7</v>
      </c>
      <c r="F38" s="22"/>
      <c r="G38" s="22"/>
      <c r="H38" s="22"/>
      <c r="I38" s="22" t="str">
        <f>$A$38</f>
        <v xml:space="preserve">  - ARROW_INFINITE:4:7</v>
      </c>
      <c r="J38" s="22"/>
      <c r="K38" s="22"/>
      <c r="L38" s="22"/>
      <c r="M38" s="22" t="str">
        <f>$A$38</f>
        <v xml:space="preserve">  - ARROW_INFINITE:4:7</v>
      </c>
      <c r="N38" s="22"/>
      <c r="O38" s="22"/>
      <c r="P38" s="22"/>
      <c r="Q38" s="22" t="str">
        <f>$A$38</f>
        <v xml:space="preserve">  - ARROW_INFINITE:4:7</v>
      </c>
      <c r="R38" s="22"/>
      <c r="S38" s="22"/>
      <c r="T38" s="22"/>
    </row>
    <row r="39" spans="1:20" x14ac:dyDescent="0.25">
      <c r="A39" s="22" t="str">
        <f>$A$16</f>
        <v xml:space="preserve">  - ARROW_DAMAGE:4:7</v>
      </c>
      <c r="B39" s="22"/>
      <c r="C39" s="22"/>
      <c r="D39" s="22"/>
      <c r="E39" s="22" t="str">
        <f>$A$39</f>
        <v xml:space="preserve">  - ARROW_DAMAGE:4:7</v>
      </c>
      <c r="F39" s="22"/>
      <c r="G39" s="22"/>
      <c r="H39" s="22"/>
      <c r="I39" s="22" t="str">
        <f>$A$39</f>
        <v xml:space="preserve">  - ARROW_DAMAGE:4:7</v>
      </c>
      <c r="J39" s="22"/>
      <c r="K39" s="22"/>
      <c r="L39" s="22"/>
      <c r="M39" s="22" t="str">
        <f>$A$39</f>
        <v xml:space="preserve">  - ARROW_DAMAGE:4:7</v>
      </c>
      <c r="N39" s="22"/>
      <c r="O39" s="22"/>
      <c r="P39" s="22"/>
      <c r="Q39" s="22" t="str">
        <f>$A$39</f>
        <v xml:space="preserve">  - ARROW_DAMAGE:4:7</v>
      </c>
      <c r="R39" s="22"/>
      <c r="S39" s="22"/>
      <c r="T39" s="22"/>
    </row>
    <row r="40" spans="1:20" x14ac:dyDescent="0.25">
      <c r="A40" s="22" t="str">
        <f>$A$17</f>
        <v xml:space="preserve">  - ARROW_FIRE:4:7</v>
      </c>
      <c r="B40" s="22"/>
      <c r="C40" s="22"/>
      <c r="D40" s="22"/>
      <c r="E40" s="22" t="str">
        <f>$A$40</f>
        <v xml:space="preserve">  - ARROW_FIRE:4:7</v>
      </c>
      <c r="F40" s="22"/>
      <c r="G40" s="22"/>
      <c r="H40" s="22"/>
      <c r="I40" s="22" t="str">
        <f>$A$40</f>
        <v xml:space="preserve">  - ARROW_FIRE:4:7</v>
      </c>
      <c r="J40" s="22"/>
      <c r="K40" s="22"/>
      <c r="L40" s="22"/>
      <c r="M40" s="22" t="str">
        <f>$A$40</f>
        <v xml:space="preserve">  - ARROW_FIRE:4:7</v>
      </c>
      <c r="N40" s="22"/>
      <c r="O40" s="22"/>
      <c r="P40" s="22"/>
      <c r="Q40" s="22" t="str">
        <f>$A$40</f>
        <v xml:space="preserve">  - ARROW_FIRE:4:7</v>
      </c>
      <c r="R40" s="22"/>
      <c r="S40" s="22"/>
      <c r="T40" s="22"/>
    </row>
    <row r="41" spans="1:20" x14ac:dyDescent="0.25">
      <c r="A41" s="22" t="str">
        <f>$A$18</f>
        <v xml:space="preserve">  - ARROW_KNOCKBACK:4:7</v>
      </c>
      <c r="B41" s="22"/>
      <c r="C41" s="22"/>
      <c r="D41" s="22"/>
      <c r="E41" s="22" t="str">
        <f>$A$41</f>
        <v xml:space="preserve">  - ARROW_KNOCKBACK:4:7</v>
      </c>
      <c r="F41" s="22"/>
      <c r="G41" s="22"/>
      <c r="H41" s="22"/>
      <c r="I41" s="22" t="str">
        <f>$A$41</f>
        <v xml:space="preserve">  - ARROW_KNOCKBACK:4:7</v>
      </c>
      <c r="J41" s="22"/>
      <c r="K41" s="22"/>
      <c r="L41" s="22"/>
      <c r="M41" s="22" t="str">
        <f>$A$41</f>
        <v xml:space="preserve">  - ARROW_KNOCKBACK:4:7</v>
      </c>
      <c r="N41" s="22"/>
      <c r="O41" s="22"/>
      <c r="P41" s="22"/>
      <c r="Q41" s="22" t="str">
        <f>$A$41</f>
        <v xml:space="preserve">  - ARROW_KNOCKBACK:4:7</v>
      </c>
      <c r="R41" s="22"/>
      <c r="S41" s="22"/>
      <c r="T41" s="22"/>
    </row>
    <row r="42" spans="1:20" x14ac:dyDescent="0.25">
      <c r="A42" s="22" t="str">
        <f>$A$19</f>
        <v xml:space="preserve">  - DAMAGE_ALL:4:7</v>
      </c>
      <c r="B42" s="22"/>
      <c r="C42" s="22"/>
      <c r="D42" s="22"/>
      <c r="E42" s="22" t="str">
        <f>$A$42</f>
        <v xml:space="preserve">  - DAMAGE_ALL:4:7</v>
      </c>
      <c r="F42" s="22"/>
      <c r="G42" s="22"/>
      <c r="H42" s="22"/>
      <c r="I42" s="22" t="str">
        <f>$A$42</f>
        <v xml:space="preserve">  - DAMAGE_ALL:4:7</v>
      </c>
      <c r="J42" s="22"/>
      <c r="K42" s="22"/>
      <c r="L42" s="22"/>
      <c r="M42" s="22" t="str">
        <f>$A$42</f>
        <v xml:space="preserve">  - DAMAGE_ALL:4:7</v>
      </c>
      <c r="N42" s="22"/>
      <c r="O42" s="22"/>
      <c r="P42" s="22"/>
      <c r="Q42" s="22" t="str">
        <f>$A$42</f>
        <v xml:space="preserve">  - DAMAGE_ALL:4:7</v>
      </c>
      <c r="R42" s="22"/>
      <c r="S42" s="22"/>
      <c r="T42" s="22"/>
    </row>
    <row r="43" spans="1:20" x14ac:dyDescent="0.25">
      <c r="A43" s="22" t="str">
        <f>$A$20</f>
        <v xml:space="preserve">  - DAMAGE_ARTHROPODS:4:7</v>
      </c>
      <c r="B43" s="22"/>
      <c r="C43" s="22"/>
      <c r="D43" s="22"/>
      <c r="E43" s="22" t="str">
        <f>$A$43</f>
        <v xml:space="preserve">  - DAMAGE_ARTHROPODS:4:7</v>
      </c>
      <c r="F43" s="22"/>
      <c r="G43" s="22"/>
      <c r="H43" s="22"/>
      <c r="I43" s="22" t="str">
        <f>$A$43</f>
        <v xml:space="preserve">  - DAMAGE_ARTHROPODS:4:7</v>
      </c>
      <c r="J43" s="22"/>
      <c r="K43" s="22"/>
      <c r="L43" s="22"/>
      <c r="M43" s="22" t="str">
        <f>$A$43</f>
        <v xml:space="preserve">  - DAMAGE_ARTHROPODS:4:7</v>
      </c>
      <c r="N43" s="22"/>
      <c r="O43" s="22"/>
      <c r="P43" s="22"/>
      <c r="Q43" s="22" t="str">
        <f>$A$43</f>
        <v xml:space="preserve">  - DAMAGE_ARTHROPODS:4:7</v>
      </c>
      <c r="R43" s="22"/>
      <c r="S43" s="22"/>
      <c r="T43" s="22"/>
    </row>
    <row r="44" spans="1:20" x14ac:dyDescent="0.25">
      <c r="A44" s="22" t="str">
        <f>$A$21</f>
        <v xml:space="preserve">  - DAMAGE_UNDEAD:4:7</v>
      </c>
      <c r="B44" s="22"/>
      <c r="C44" s="22"/>
      <c r="D44" s="22"/>
      <c r="E44" s="22" t="str">
        <f>$A$44</f>
        <v xml:space="preserve">  - DAMAGE_UNDEAD:4:7</v>
      </c>
      <c r="F44" s="22"/>
      <c r="G44" s="22"/>
      <c r="H44" s="22"/>
      <c r="I44" s="22" t="str">
        <f>$A$44</f>
        <v xml:space="preserve">  - DAMAGE_UNDEAD:4:7</v>
      </c>
      <c r="J44" s="22"/>
      <c r="K44" s="22"/>
      <c r="L44" s="22"/>
      <c r="M44" s="22" t="str">
        <f>$A$44</f>
        <v xml:space="preserve">  - DAMAGE_UNDEAD:4:7</v>
      </c>
      <c r="N44" s="22"/>
      <c r="O44" s="22"/>
      <c r="P44" s="22"/>
      <c r="Q44" s="22" t="str">
        <f>$A$44</f>
        <v xml:space="preserve">  - DAMAGE_UNDEAD:4:7</v>
      </c>
      <c r="R44" s="22"/>
      <c r="S44" s="22"/>
      <c r="T44" s="22"/>
    </row>
    <row r="45" spans="1:20" x14ac:dyDescent="0.25">
      <c r="A45" s="22" t="str">
        <f>$A$22</f>
        <v xml:space="preserve">  - DIG_SPEED:4:7</v>
      </c>
      <c r="B45" s="22"/>
      <c r="C45" s="22"/>
      <c r="D45" s="22"/>
      <c r="E45" s="22" t="str">
        <f>$A$45</f>
        <v xml:space="preserve">  - DIG_SPEED:4:7</v>
      </c>
      <c r="F45" s="22"/>
      <c r="G45" s="22"/>
      <c r="H45" s="22"/>
      <c r="I45" s="22" t="str">
        <f>$A$45</f>
        <v xml:space="preserve">  - DIG_SPEED:4:7</v>
      </c>
      <c r="J45" s="22"/>
      <c r="K45" s="22"/>
      <c r="L45" s="22"/>
      <c r="M45" s="22" t="str">
        <f>$A$45</f>
        <v xml:space="preserve">  - DIG_SPEED:4:7</v>
      </c>
      <c r="N45" s="22"/>
      <c r="O45" s="22"/>
      <c r="P45" s="22"/>
      <c r="Q45" s="22" t="str">
        <f>$A$45</f>
        <v xml:space="preserve">  - DIG_SPEED:4:7</v>
      </c>
      <c r="R45" s="22"/>
      <c r="S45" s="22"/>
      <c r="T45" s="22"/>
    </row>
    <row r="46" spans="1:20" x14ac:dyDescent="0.25">
      <c r="A46" s="22" t="str">
        <f>$A$23</f>
        <v xml:space="preserve">  - DURABILITY:4:7</v>
      </c>
      <c r="B46" s="22"/>
      <c r="C46" s="22"/>
      <c r="D46" s="22"/>
      <c r="E46" s="22" t="str">
        <f>$A$46</f>
        <v xml:space="preserve">  - DURABILITY:4:7</v>
      </c>
      <c r="F46" s="22"/>
      <c r="G46" s="22"/>
      <c r="H46" s="22"/>
      <c r="I46" s="22" t="str">
        <f>$A$46</f>
        <v xml:space="preserve">  - DURABILITY:4:7</v>
      </c>
      <c r="J46" s="22"/>
      <c r="K46" s="22"/>
      <c r="L46" s="22"/>
      <c r="M46" s="22" t="str">
        <f>$A$46</f>
        <v xml:space="preserve">  - DURABILITY:4:7</v>
      </c>
      <c r="N46" s="22"/>
      <c r="O46" s="22"/>
      <c r="P46" s="22"/>
      <c r="Q46" s="22" t="str">
        <f>$A$46</f>
        <v xml:space="preserve">  - DURABILITY:4:7</v>
      </c>
      <c r="R46" s="22"/>
      <c r="S46" s="22"/>
      <c r="T46" s="22"/>
    </row>
    <row r="47" spans="1:20" x14ac:dyDescent="0.25">
      <c r="A47" s="22" t="str">
        <f>$A$24</f>
        <v xml:space="preserve">  - FIRE_ASPECT:4:7</v>
      </c>
      <c r="B47" s="22"/>
      <c r="C47" s="22"/>
      <c r="D47" s="22"/>
      <c r="E47" s="22" t="str">
        <f>$A$47</f>
        <v xml:space="preserve">  - FIRE_ASPECT:4:7</v>
      </c>
      <c r="F47" s="22"/>
      <c r="G47" s="22"/>
      <c r="H47" s="22"/>
      <c r="I47" s="22" t="str">
        <f>$A$47</f>
        <v xml:space="preserve">  - FIRE_ASPECT:4:7</v>
      </c>
      <c r="J47" s="22"/>
      <c r="K47" s="22"/>
      <c r="L47" s="22"/>
      <c r="M47" s="22" t="str">
        <f>$A$47</f>
        <v xml:space="preserve">  - FIRE_ASPECT:4:7</v>
      </c>
      <c r="N47" s="22"/>
      <c r="O47" s="22"/>
      <c r="P47" s="22"/>
      <c r="Q47" s="22" t="str">
        <f>$A$47</f>
        <v xml:space="preserve">  - FIRE_ASPECT:4:7</v>
      </c>
      <c r="R47" s="22"/>
      <c r="S47" s="22"/>
      <c r="T47" s="22"/>
    </row>
    <row r="48" spans="1:20" x14ac:dyDescent="0.25">
      <c r="A48" s="22" t="str">
        <f>$A$25</f>
        <v xml:space="preserve">  - KNOCKBACK:4:7</v>
      </c>
      <c r="B48" s="22"/>
      <c r="C48" s="22"/>
      <c r="D48" s="22"/>
      <c r="E48" s="22" t="str">
        <f>$A$48</f>
        <v xml:space="preserve">  - KNOCKBACK:4:7</v>
      </c>
      <c r="F48" s="22"/>
      <c r="G48" s="22"/>
      <c r="H48" s="22"/>
      <c r="I48" s="22" t="str">
        <f>$A$48</f>
        <v xml:space="preserve">  - KNOCKBACK:4:7</v>
      </c>
      <c r="J48" s="22"/>
      <c r="K48" s="22"/>
      <c r="L48" s="22"/>
      <c r="M48" s="22" t="str">
        <f>$A$48</f>
        <v xml:space="preserve">  - KNOCKBACK:4:7</v>
      </c>
      <c r="N48" s="22"/>
      <c r="O48" s="22"/>
      <c r="P48" s="22"/>
      <c r="Q48" s="22" t="str">
        <f>$A$48</f>
        <v xml:space="preserve">  - KNOCKBACK:4:7</v>
      </c>
      <c r="R48" s="22"/>
      <c r="S48" s="22"/>
      <c r="T48" s="22"/>
    </row>
    <row r="49" spans="1:20" x14ac:dyDescent="0.25">
      <c r="A49" s="22" t="str">
        <f>$A$26</f>
        <v xml:space="preserve">  - LOOT_BONUS_BLOCKS:4:7</v>
      </c>
      <c r="B49" s="22"/>
      <c r="C49" s="22"/>
      <c r="D49" s="22"/>
      <c r="E49" s="22" t="str">
        <f>$A$49</f>
        <v xml:space="preserve">  - LOOT_BONUS_BLOCKS:4:7</v>
      </c>
      <c r="F49" s="22"/>
      <c r="G49" s="22"/>
      <c r="H49" s="22"/>
      <c r="I49" s="22" t="str">
        <f>$A$49</f>
        <v xml:space="preserve">  - LOOT_BONUS_BLOCKS:4:7</v>
      </c>
      <c r="J49" s="22"/>
      <c r="K49" s="22"/>
      <c r="L49" s="22"/>
      <c r="M49" s="22" t="str">
        <f>$A$49</f>
        <v xml:space="preserve">  - LOOT_BONUS_BLOCKS:4:7</v>
      </c>
      <c r="N49" s="22"/>
      <c r="O49" s="22"/>
      <c r="P49" s="22"/>
      <c r="Q49" s="22" t="str">
        <f>$A$49</f>
        <v xml:space="preserve">  - LOOT_BONUS_BLOCKS:4:7</v>
      </c>
      <c r="R49" s="22"/>
      <c r="S49" s="22"/>
      <c r="T49" s="22"/>
    </row>
    <row r="50" spans="1:20" x14ac:dyDescent="0.25">
      <c r="A50" s="22" t="str">
        <f>$A$27</f>
        <v xml:space="preserve">  - LOOT_BONUS_MOBS:4:7</v>
      </c>
      <c r="B50" s="22"/>
      <c r="C50" s="22"/>
      <c r="D50" s="22"/>
      <c r="E50" s="22" t="str">
        <f>$A$50</f>
        <v xml:space="preserve">  - LOOT_BONUS_MOBS:4:7</v>
      </c>
      <c r="F50" s="22"/>
      <c r="G50" s="22"/>
      <c r="H50" s="22"/>
      <c r="I50" s="22" t="str">
        <f>$A$50</f>
        <v xml:space="preserve">  - LOOT_BONUS_MOBS:4:7</v>
      </c>
      <c r="J50" s="22"/>
      <c r="K50" s="22"/>
      <c r="L50" s="22"/>
      <c r="M50" s="22" t="str">
        <f>$A$50</f>
        <v xml:space="preserve">  - LOOT_BONUS_MOBS:4:7</v>
      </c>
      <c r="N50" s="22"/>
      <c r="O50" s="22"/>
      <c r="P50" s="22"/>
      <c r="Q50" s="22" t="str">
        <f>$A$50</f>
        <v xml:space="preserve">  - LOOT_BONUS_MOBS:4:7</v>
      </c>
      <c r="R50" s="22"/>
      <c r="S50" s="22"/>
      <c r="T50" s="22"/>
    </row>
    <row r="51" spans="1:20" x14ac:dyDescent="0.25">
      <c r="A51" s="22" t="str">
        <f>$A$28</f>
        <v xml:space="preserve">  - OXYGEN:4:7</v>
      </c>
      <c r="B51" s="22"/>
      <c r="C51" s="22"/>
      <c r="D51" s="22"/>
      <c r="E51" s="22" t="str">
        <f>$A$51</f>
        <v xml:space="preserve">  - OXYGEN:4:7</v>
      </c>
      <c r="F51" s="22"/>
      <c r="G51" s="22"/>
      <c r="H51" s="22"/>
      <c r="I51" s="22" t="str">
        <f>$A$51</f>
        <v xml:space="preserve">  - OXYGEN:4:7</v>
      </c>
      <c r="J51" s="22"/>
      <c r="K51" s="22"/>
      <c r="L51" s="22"/>
      <c r="M51" s="22" t="str">
        <f>$A$51</f>
        <v xml:space="preserve">  - OXYGEN:4:7</v>
      </c>
      <c r="N51" s="22"/>
      <c r="O51" s="22"/>
      <c r="P51" s="22"/>
      <c r="Q51" s="22" t="str">
        <f>$A$51</f>
        <v xml:space="preserve">  - OXYGEN:4:7</v>
      </c>
      <c r="R51" s="22"/>
      <c r="S51" s="22"/>
      <c r="T51" s="22"/>
    </row>
    <row r="52" spans="1:20" x14ac:dyDescent="0.25">
      <c r="A52" s="22" t="str">
        <f>$A$29</f>
        <v xml:space="preserve">  - PROTECTION_ENVIRONMENT:4:7</v>
      </c>
      <c r="B52" s="22"/>
      <c r="C52" s="22"/>
      <c r="D52" s="22"/>
      <c r="E52" s="22" t="str">
        <f>$A$52</f>
        <v xml:space="preserve">  - PROTECTION_ENVIRONMENT:4:7</v>
      </c>
      <c r="F52" s="22"/>
      <c r="G52" s="22"/>
      <c r="H52" s="22"/>
      <c r="I52" s="22" t="str">
        <f>$A$52</f>
        <v xml:space="preserve">  - PROTECTION_ENVIRONMENT:4:7</v>
      </c>
      <c r="J52" s="22"/>
      <c r="K52" s="22"/>
      <c r="L52" s="22"/>
      <c r="M52" s="22" t="str">
        <f>$A$52</f>
        <v xml:space="preserve">  - PROTECTION_ENVIRONMENT:4:7</v>
      </c>
      <c r="N52" s="22"/>
      <c r="O52" s="22"/>
      <c r="P52" s="22"/>
      <c r="Q52" s="22" t="str">
        <f>$A$52</f>
        <v xml:space="preserve">  - PROTECTION_ENVIRONMENT:4:7</v>
      </c>
      <c r="R52" s="22"/>
      <c r="S52" s="22"/>
      <c r="T52" s="22"/>
    </row>
    <row r="53" spans="1:20" x14ac:dyDescent="0.25">
      <c r="A53" s="22" t="str">
        <f>$A$30</f>
        <v xml:space="preserve">  - PROTECTION_EXPLOSIONS:4:7</v>
      </c>
      <c r="B53" s="22"/>
      <c r="C53" s="22"/>
      <c r="D53" s="22"/>
      <c r="E53" s="22" t="str">
        <f>$A$53</f>
        <v xml:space="preserve">  - PROTECTION_EXPLOSIONS:4:7</v>
      </c>
      <c r="F53" s="22"/>
      <c r="G53" s="22"/>
      <c r="H53" s="22"/>
      <c r="I53" s="22" t="str">
        <f>$A$53</f>
        <v xml:space="preserve">  - PROTECTION_EXPLOSIONS:4:7</v>
      </c>
      <c r="J53" s="22"/>
      <c r="K53" s="22"/>
      <c r="L53" s="22"/>
      <c r="M53" s="22" t="str">
        <f>$A$53</f>
        <v xml:space="preserve">  - PROTECTION_EXPLOSIONS:4:7</v>
      </c>
      <c r="N53" s="22"/>
      <c r="O53" s="22"/>
      <c r="P53" s="22"/>
      <c r="Q53" s="22" t="str">
        <f>$A$53</f>
        <v xml:space="preserve">  - PROTECTION_EXPLOSIONS:4:7</v>
      </c>
      <c r="R53" s="22"/>
      <c r="S53" s="22"/>
      <c r="T53" s="22"/>
    </row>
    <row r="54" spans="1:20" x14ac:dyDescent="0.25">
      <c r="A54" s="22" t="str">
        <f>$A$31</f>
        <v xml:space="preserve">  - PROTECTION_FALL:4:7</v>
      </c>
      <c r="B54" s="22"/>
      <c r="C54" s="22"/>
      <c r="D54" s="22"/>
      <c r="E54" s="22" t="str">
        <f>$A$54</f>
        <v xml:space="preserve">  - PROTECTION_FALL:4:7</v>
      </c>
      <c r="F54" s="22"/>
      <c r="G54" s="22"/>
      <c r="H54" s="22"/>
      <c r="I54" s="22" t="str">
        <f>$A$54</f>
        <v xml:space="preserve">  - PROTECTION_FALL:4:7</v>
      </c>
      <c r="J54" s="22"/>
      <c r="K54" s="22"/>
      <c r="L54" s="22"/>
      <c r="M54" s="22" t="str">
        <f>$A$54</f>
        <v xml:space="preserve">  - PROTECTION_FALL:4:7</v>
      </c>
      <c r="N54" s="22"/>
      <c r="O54" s="22"/>
      <c r="P54" s="22"/>
      <c r="Q54" s="22" t="str">
        <f>$A$54</f>
        <v xml:space="preserve">  - PROTECTION_FALL:4:7</v>
      </c>
      <c r="R54" s="22"/>
      <c r="S54" s="22"/>
      <c r="T54" s="22"/>
    </row>
    <row r="55" spans="1:20" x14ac:dyDescent="0.25">
      <c r="A55" s="22" t="str">
        <f>$A$32</f>
        <v xml:space="preserve">  - PROTECTION_FIRE:4:7</v>
      </c>
      <c r="B55" s="22"/>
      <c r="C55" s="22"/>
      <c r="D55" s="22"/>
      <c r="E55" s="22" t="str">
        <f>$A$55</f>
        <v xml:space="preserve">  - PROTECTION_FIRE:4:7</v>
      </c>
      <c r="F55" s="22"/>
      <c r="G55" s="22"/>
      <c r="H55" s="22"/>
      <c r="I55" s="22" t="str">
        <f>$A$55</f>
        <v xml:space="preserve">  - PROTECTION_FIRE:4:7</v>
      </c>
      <c r="J55" s="22"/>
      <c r="K55" s="22"/>
      <c r="L55" s="22"/>
      <c r="M55" s="22" t="str">
        <f>$A$55</f>
        <v xml:space="preserve">  - PROTECTION_FIRE:4:7</v>
      </c>
      <c r="N55" s="22"/>
      <c r="O55" s="22"/>
      <c r="P55" s="22"/>
      <c r="Q55" s="22" t="str">
        <f>$A$55</f>
        <v xml:space="preserve">  - PROTECTION_FIRE:4:7</v>
      </c>
      <c r="R55" s="22"/>
      <c r="S55" s="22"/>
      <c r="T55" s="22"/>
    </row>
    <row r="56" spans="1:20" x14ac:dyDescent="0.25">
      <c r="A56" s="22" t="str">
        <f>$A$33</f>
        <v xml:space="preserve">  - PROTECTION_PROJECTILE:4:7</v>
      </c>
      <c r="B56" s="22"/>
      <c r="C56" s="22"/>
      <c r="D56" s="22"/>
      <c r="E56" s="22" t="str">
        <f>$A$56</f>
        <v xml:space="preserve">  - PROTECTION_PROJECTILE:4:7</v>
      </c>
      <c r="F56" s="22"/>
      <c r="G56" s="22"/>
      <c r="H56" s="22"/>
      <c r="I56" s="22" t="str">
        <f>$A$56</f>
        <v xml:space="preserve">  - PROTECTION_PROJECTILE:4:7</v>
      </c>
      <c r="J56" s="22"/>
      <c r="K56" s="22"/>
      <c r="L56" s="22"/>
      <c r="M56" s="22" t="str">
        <f>$A$56</f>
        <v xml:space="preserve">  - PROTECTION_PROJECTILE:4:7</v>
      </c>
      <c r="N56" s="22"/>
      <c r="O56" s="22"/>
      <c r="P56" s="22"/>
      <c r="Q56" s="22" t="str">
        <f>$A$56</f>
        <v xml:space="preserve">  - PROTECTION_PROJECTILE:4:7</v>
      </c>
      <c r="R56" s="22"/>
      <c r="S56" s="22"/>
      <c r="T56" s="22"/>
    </row>
    <row r="57" spans="1:20" x14ac:dyDescent="0.25">
      <c r="A57" s="22" t="str">
        <f>$A$34</f>
        <v xml:space="preserve">  - SILK_TOUCH:4:7</v>
      </c>
      <c r="B57" s="22"/>
      <c r="C57" s="22"/>
      <c r="D57" s="22"/>
      <c r="E57" s="22" t="str">
        <f>$A$57</f>
        <v xml:space="preserve">  - SILK_TOUCH:4:7</v>
      </c>
      <c r="F57" s="22"/>
      <c r="G57" s="22"/>
      <c r="H57" s="22"/>
      <c r="I57" s="22" t="str">
        <f>$A$57</f>
        <v xml:space="preserve">  - SILK_TOUCH:4:7</v>
      </c>
      <c r="J57" s="22"/>
      <c r="K57" s="22"/>
      <c r="L57" s="22"/>
      <c r="M57" s="22" t="str">
        <f>$A$57</f>
        <v xml:space="preserve">  - SILK_TOUCH:4:7</v>
      </c>
      <c r="N57" s="22"/>
      <c r="O57" s="22"/>
      <c r="P57" s="22"/>
      <c r="Q57" s="22" t="str">
        <f>$A$57</f>
        <v xml:space="preserve">  - SILK_TOUCH:4:7</v>
      </c>
      <c r="R57" s="22"/>
      <c r="S57" s="22"/>
      <c r="T57" s="22"/>
    </row>
    <row r="58" spans="1:20" x14ac:dyDescent="0.25">
      <c r="A58" s="22" t="str">
        <f>$A$35</f>
        <v xml:space="preserve">  - THORNS:4:7</v>
      </c>
      <c r="B58" s="22"/>
      <c r="C58" s="22"/>
      <c r="D58" s="22"/>
      <c r="E58" s="22" t="str">
        <f>$A$58</f>
        <v xml:space="preserve">  - THORNS:4:7</v>
      </c>
      <c r="F58" s="22"/>
      <c r="G58" s="22"/>
      <c r="H58" s="22"/>
      <c r="I58" s="22" t="str">
        <f>$A$58</f>
        <v xml:space="preserve">  - THORNS:4:7</v>
      </c>
      <c r="J58" s="22"/>
      <c r="K58" s="22"/>
      <c r="L58" s="22"/>
      <c r="M58" s="22" t="str">
        <f>$A$58</f>
        <v xml:space="preserve">  - THORNS:4:7</v>
      </c>
      <c r="N58" s="22"/>
      <c r="O58" s="22"/>
      <c r="P58" s="22"/>
      <c r="Q58" s="22" t="str">
        <f>$A$58</f>
        <v xml:space="preserve">  - THORNS:4:7</v>
      </c>
      <c r="R58" s="22"/>
      <c r="S58" s="22"/>
      <c r="T58" s="22"/>
    </row>
    <row r="59" spans="1:20" x14ac:dyDescent="0.25">
      <c r="A59" s="22" t="str">
        <f>$A$36</f>
        <v xml:space="preserve">  - WATER_WORKER:4:7</v>
      </c>
      <c r="B59" s="22"/>
      <c r="C59" s="22"/>
      <c r="D59" s="22"/>
      <c r="E59" s="22" t="str">
        <f>$A$59</f>
        <v xml:space="preserve">  - WATER_WORKER:4:7</v>
      </c>
      <c r="F59" s="22"/>
      <c r="G59" s="22"/>
      <c r="H59" s="22"/>
      <c r="I59" s="22" t="str">
        <f>$A$59</f>
        <v xml:space="preserve">  - WATER_WORKER:4:7</v>
      </c>
      <c r="J59" s="22"/>
      <c r="K59" s="22"/>
      <c r="L59" s="22"/>
      <c r="M59" s="22" t="str">
        <f>$A$59</f>
        <v xml:space="preserve">  - WATER_WORKER:4:7</v>
      </c>
      <c r="N59" s="22"/>
      <c r="O59" s="22"/>
      <c r="P59" s="22"/>
      <c r="Q59" s="22" t="str">
        <f>$A$59</f>
        <v xml:space="preserve">  - WATER_WORKER:4:7</v>
      </c>
      <c r="R59" s="22"/>
      <c r="S59" s="22"/>
      <c r="T59" s="22"/>
    </row>
    <row r="60" spans="1:20" x14ac:dyDescent="0.25">
      <c r="A60" s="9" t="s">
        <v>28</v>
      </c>
      <c r="B60" s="9"/>
      <c r="C60" s="9"/>
      <c r="D60" s="9"/>
      <c r="E60" s="9" t="s">
        <v>28</v>
      </c>
      <c r="F60" s="9"/>
      <c r="G60" s="9"/>
      <c r="H60" s="9"/>
      <c r="I60" s="9" t="s">
        <v>28</v>
      </c>
      <c r="J60" s="9"/>
      <c r="K60" s="9"/>
      <c r="L60" s="9"/>
      <c r="M60" s="9" t="s">
        <v>28</v>
      </c>
      <c r="N60" s="9"/>
      <c r="O60" s="9"/>
      <c r="P60" s="9"/>
      <c r="Q60" s="9" t="s">
        <v>28</v>
      </c>
      <c r="R60" s="9"/>
      <c r="S60" s="9"/>
      <c r="T60" s="9"/>
    </row>
    <row r="61" spans="1:20" x14ac:dyDescent="0.25">
      <c r="A61" s="11" t="str">
        <f>'armas ancestral'!$A$61</f>
        <v xml:space="preserve">  minimumBonusLore: 3</v>
      </c>
      <c r="B61" s="11"/>
      <c r="C61" s="11"/>
      <c r="D61" s="11"/>
      <c r="E61" s="11" t="str">
        <f>$A$61</f>
        <v xml:space="preserve">  minimumBonusLore: 3</v>
      </c>
      <c r="F61" s="11"/>
      <c r="G61" s="11"/>
      <c r="H61" s="11"/>
      <c r="I61" s="11" t="str">
        <f t="shared" ref="I61" si="12">$A$61</f>
        <v xml:space="preserve">  minimumBonusLore: 3</v>
      </c>
      <c r="J61" s="11"/>
      <c r="K61" s="11"/>
      <c r="L61" s="11"/>
      <c r="M61" s="11" t="str">
        <f t="shared" ref="M61" si="13">$A$61</f>
        <v xml:space="preserve">  minimumBonusLore: 3</v>
      </c>
      <c r="N61" s="11"/>
      <c r="O61" s="11"/>
      <c r="P61" s="11"/>
      <c r="Q61" s="11" t="str">
        <f t="shared" ref="Q61" si="14">$A$61</f>
        <v xml:space="preserve">  minimumBonusLore: 3</v>
      </c>
      <c r="R61" s="11"/>
      <c r="S61" s="11"/>
      <c r="T61" s="11"/>
    </row>
    <row r="62" spans="1:20" x14ac:dyDescent="0.25">
      <c r="A62" s="11" t="str">
        <f>'armas ancestral'!$A$62</f>
        <v xml:space="preserve">  maximumBonusLore: 4</v>
      </c>
      <c r="B62" s="11"/>
      <c r="C62" s="11"/>
      <c r="D62" s="11"/>
      <c r="E62" s="11" t="str">
        <f>$A$62</f>
        <v xml:space="preserve">  maximumBonusLore: 4</v>
      </c>
      <c r="F62" s="11"/>
      <c r="G62" s="11"/>
      <c r="H62" s="11"/>
      <c r="I62" s="11" t="str">
        <f t="shared" ref="I62" si="15">$A$62</f>
        <v xml:space="preserve">  maximumBonusLore: 4</v>
      </c>
      <c r="J62" s="11"/>
      <c r="K62" s="11"/>
      <c r="L62" s="11"/>
      <c r="M62" s="11" t="str">
        <f t="shared" ref="M62" si="16">$A$62</f>
        <v xml:space="preserve">  maximumBonusLore: 4</v>
      </c>
      <c r="N62" s="11"/>
      <c r="O62" s="11"/>
      <c r="P62" s="11"/>
      <c r="Q62" s="11" t="str">
        <f t="shared" ref="Q62" si="17">$A$62</f>
        <v xml:space="preserve">  maximumBonusLore: 4</v>
      </c>
      <c r="R62" s="11"/>
      <c r="S62" s="11"/>
      <c r="T62" s="11"/>
    </row>
    <row r="63" spans="1:20" x14ac:dyDescent="0.25">
      <c r="A63" s="9" t="s">
        <v>29</v>
      </c>
      <c r="B63" s="9"/>
      <c r="C63" s="9"/>
      <c r="D63" s="9"/>
      <c r="E63" s="9" t="s">
        <v>29</v>
      </c>
      <c r="F63" s="9"/>
      <c r="G63" s="9"/>
      <c r="H63" s="9"/>
      <c r="I63" s="9" t="s">
        <v>29</v>
      </c>
      <c r="J63" s="9"/>
      <c r="K63" s="9"/>
      <c r="L63" s="9"/>
      <c r="M63" s="9" t="s">
        <v>29</v>
      </c>
      <c r="N63" s="9"/>
      <c r="O63" s="9"/>
      <c r="P63" s="9"/>
      <c r="Q63" s="9" t="s">
        <v>29</v>
      </c>
      <c r="R63" s="9"/>
      <c r="S63" s="9"/>
      <c r="T63" s="9"/>
    </row>
    <row r="64" spans="1:20" x14ac:dyDescent="0.25">
      <c r="A64" s="20" t="str">
        <f>"  - '&amp;aVenta: &amp;6"&amp;(MAIN!$F$5+(MAIN!$G$18+MAIN!$G$19)/2*MAIN!$B$9+(MAIN!$G$20+MAIN!$G$21)/2*MAIN!$B$8+(MAIN!$G$91*MAIN!$B$11)+($C$2*MAIN!$B$10))/10&amp;" &amp;aAlmakos'"</f>
        <v xml:space="preserve">  - '&amp;aVenta: &amp;6800 &amp;aAlmakos'</v>
      </c>
      <c r="B64" s="20"/>
      <c r="C64" s="20"/>
      <c r="D64" s="20"/>
      <c r="E64" s="20" t="str">
        <f>"  - '&amp;aVenta: &amp;6"&amp;(MAIN!$G$5+(MAIN!$G$18+MAIN!$G$19)/2*MAIN!$B$9+(MAIN!$G$20+MAIN!$G$21)/2*MAIN!$B$8+(MAIN!$G$91*MAIN!$B$11)+($C$2*MAIN!$B$10))/10&amp;" &amp;aAlmakos'"</f>
        <v xml:space="preserve">  - '&amp;aVenta: &amp;6880 &amp;aAlmakos'</v>
      </c>
      <c r="F64" s="20"/>
      <c r="G64" s="20"/>
      <c r="H64" s="20"/>
      <c r="I64" s="20" t="str">
        <f>"  - '&amp;aVenta: &amp;6"&amp;(MAIN!$H$5+(MAIN!$G$18+MAIN!$G$19)/2*MAIN!$B$9+(MAIN!$G$20+MAIN!$G$21)/2*MAIN!$B$8+(MAIN!$G$91*MAIN!$B$11)+($C$2*MAIN!$B$10))/10&amp;" &amp;aAlmakos'"</f>
        <v xml:space="preserve">  - '&amp;aVenta: &amp;61040 &amp;aAlmakos'</v>
      </c>
      <c r="J64" s="20"/>
      <c r="K64" s="20"/>
      <c r="L64" s="20"/>
      <c r="M64" s="20" t="str">
        <f>"  - '&amp;aVenta: &amp;6"&amp;(MAIN!$I$5+(MAIN!$G$18+MAIN!$G$19)/2*MAIN!$B$9+(MAIN!$G$20+MAIN!$G$21)/2*MAIN!$B$8+(MAIN!$G$91*MAIN!$B$11)+($C$2*MAIN!$B$10))/10&amp;" &amp;aAlmakos'"</f>
        <v xml:space="preserve">  - '&amp;aVenta: &amp;61360 &amp;aAlmakos'</v>
      </c>
      <c r="N64" s="20"/>
      <c r="O64" s="20"/>
      <c r="P64" s="20"/>
      <c r="Q64" s="20" t="str">
        <f>"  - '&amp;aVenta: &amp;6"&amp;(MAIN!$J$5+(MAIN!$G$18+MAIN!$G$19)/2*MAIN!$B$9+(MAIN!$G$20+MAIN!$G$21)/2*MAIN!$B$8+(MAIN!$G$91*MAIN!$B$11)+($C$2*MAIN!$B$10))/10&amp;" &amp;aAlmakos'"</f>
        <v xml:space="preserve">  - '&amp;aVenta: &amp;62000 &amp;aAlmakos'</v>
      </c>
      <c r="R64" s="20"/>
      <c r="S64" s="20"/>
      <c r="T64" s="20"/>
    </row>
    <row r="65" spans="1:20" x14ac:dyDescent="0.25">
      <c r="A65" s="9" t="s">
        <v>30</v>
      </c>
      <c r="B65" s="9"/>
      <c r="C65" s="9"/>
      <c r="D65" s="9"/>
      <c r="E65" s="9" t="s">
        <v>30</v>
      </c>
      <c r="F65" s="9"/>
      <c r="G65" s="9"/>
      <c r="H65" s="9"/>
      <c r="I65" s="9" t="s">
        <v>30</v>
      </c>
      <c r="J65" s="9"/>
      <c r="K65" s="9"/>
      <c r="L65" s="9"/>
      <c r="M65" s="9" t="s">
        <v>30</v>
      </c>
      <c r="N65" s="9"/>
      <c r="O65" s="9"/>
      <c r="P65" s="9"/>
      <c r="Q65" s="9" t="s">
        <v>30</v>
      </c>
      <c r="R65" s="9"/>
      <c r="S65" s="9"/>
      <c r="T65" s="9"/>
    </row>
    <row r="66" spans="1:20" x14ac:dyDescent="0.25">
      <c r="A66" s="9" t="s">
        <v>31</v>
      </c>
      <c r="B66" s="9"/>
      <c r="C66" s="9"/>
      <c r="D66" s="9"/>
      <c r="E66" s="9" t="s">
        <v>31</v>
      </c>
      <c r="F66" s="9"/>
      <c r="G66" s="9"/>
      <c r="H66" s="9"/>
      <c r="I66" s="9" t="s">
        <v>31</v>
      </c>
      <c r="J66" s="9"/>
      <c r="K66" s="9"/>
      <c r="L66" s="9"/>
      <c r="M66" s="9" t="s">
        <v>31</v>
      </c>
      <c r="N66" s="9"/>
      <c r="O66" s="9"/>
      <c r="P66" s="9"/>
      <c r="Q66" s="9" t="s">
        <v>31</v>
      </c>
      <c r="R66" s="9"/>
      <c r="S66" s="9"/>
      <c r="T66" s="9"/>
    </row>
    <row r="67" spans="1:20" s="262" customFormat="1" x14ac:dyDescent="0.25">
      <c r="A67" s="9" t="s">
        <v>1032</v>
      </c>
      <c r="B67" s="9"/>
      <c r="C67" s="9"/>
      <c r="D67" s="9"/>
      <c r="E67" s="9" t="s">
        <v>1032</v>
      </c>
      <c r="F67" s="9"/>
      <c r="G67" s="9"/>
      <c r="H67" s="9"/>
      <c r="I67" s="9" t="s">
        <v>1032</v>
      </c>
      <c r="J67" s="9"/>
      <c r="K67" s="9"/>
      <c r="L67" s="9"/>
      <c r="M67" s="9" t="s">
        <v>1032</v>
      </c>
      <c r="N67" s="9"/>
      <c r="O67" s="9"/>
      <c r="P67" s="9"/>
      <c r="Q67" s="9" t="s">
        <v>1032</v>
      </c>
      <c r="R67" s="9"/>
      <c r="S67" s="9"/>
      <c r="T67" s="9"/>
    </row>
    <row r="68" spans="1:20" x14ac:dyDescent="0.25">
      <c r="A68" s="10" t="str">
        <f>"  - '&amp;7• &amp;8Nivel: &amp;a"&amp;MAIN!$C$93+($C$2*MAIN!$I$27)&amp;"'"</f>
        <v xml:space="preserve">  - '&amp;7• &amp;8Nivel: &amp;a52'</v>
      </c>
      <c r="B68" s="10"/>
      <c r="C68" s="10"/>
      <c r="D68" s="10"/>
      <c r="E68" s="10" t="str">
        <f>"  - '&amp;7• &amp;8Nivel: &amp;a"&amp;MAIN!$D$93+($C$2*MAIN!$I$27)&amp;"'"</f>
        <v xml:space="preserve">  - '&amp;7• &amp;8Nivel: &amp;a66'</v>
      </c>
      <c r="F68" s="10"/>
      <c r="G68" s="10"/>
      <c r="H68" s="10"/>
      <c r="I68" s="10" t="str">
        <f>"  - '&amp;7• &amp;8Nivel: &amp;a"&amp;MAIN!$E$93+($C$2*MAIN!$I$27)&amp;"'"</f>
        <v xml:space="preserve">  - '&amp;7• &amp;8Nivel: &amp;a109'</v>
      </c>
      <c r="J68" s="10"/>
      <c r="K68" s="10"/>
      <c r="L68" s="10"/>
      <c r="M68" s="10" t="str">
        <f>"  - '&amp;7• &amp;8Nivel: &amp;a"&amp;MAIN!$F$93+($C$2*MAIN!$I$27)&amp;"'"</f>
        <v xml:space="preserve">  - '&amp;7• &amp;8Nivel: &amp;a237'</v>
      </c>
      <c r="N68" s="10"/>
      <c r="O68" s="10"/>
      <c r="P68" s="10"/>
      <c r="Q68" s="10" t="str">
        <f>"  - '&amp;7• &amp;8Nivel: &amp;a"&amp;MAIN!$G$93+($C$2*MAIN!$I$27)&amp;"'"</f>
        <v xml:space="preserve">  - '&amp;7• &amp;8Nivel: &amp;a429'</v>
      </c>
      <c r="R68" s="10"/>
      <c r="S68" s="10"/>
      <c r="T68" s="10"/>
    </row>
    <row r="69" spans="1:20" x14ac:dyDescent="0.25">
      <c r="A69" s="12" t="str">
        <f>"  - '&amp;7• &amp;8"&amp;MAIN!$C$12&amp;" lvl: &amp;a"&amp;ROUNDUP((MAIN!$C$93+($C$2*MAIN!$I$27))/3,0)&amp;"'"</f>
        <v xml:space="preserve">  - '&amp;7• &amp;8Esencia lvl: &amp;a18'</v>
      </c>
      <c r="B69" s="12"/>
      <c r="C69" s="12"/>
      <c r="D69" s="12"/>
      <c r="E69" s="12" t="str">
        <f>"  - '&amp;7• &amp;8"&amp;MAIN!$C$12&amp;" lvl: &amp;a"&amp;ROUNDUP((MAIN!$D$93+($C$2*MAIN!$I$27))/3,0)&amp;"'"</f>
        <v xml:space="preserve">  - '&amp;7• &amp;8Esencia lvl: &amp;a22'</v>
      </c>
      <c r="F69" s="12"/>
      <c r="G69" s="12"/>
      <c r="H69" s="12"/>
      <c r="I69" s="12" t="str">
        <f>"  - '&amp;7• &amp;8"&amp;MAIN!$C$12&amp;" lvl: &amp;a"&amp;ROUNDUP((MAIN!$E$93+($C$2*MAIN!$I$27))/3,0)&amp;"'"</f>
        <v xml:space="preserve">  - '&amp;7• &amp;8Esencia lvl: &amp;a37'</v>
      </c>
      <c r="J69" s="12"/>
      <c r="K69" s="12"/>
      <c r="L69" s="12"/>
      <c r="M69" s="12" t="str">
        <f>"  - '&amp;7• &amp;8"&amp;MAIN!$C$12&amp;" lvl: &amp;a"&amp;ROUNDUP((MAIN!$F$93+($C$2*MAIN!$I$27))/3,0)&amp;"'"</f>
        <v xml:space="preserve">  - '&amp;7• &amp;8Esencia lvl: &amp;a79'</v>
      </c>
      <c r="N69" s="12"/>
      <c r="O69" s="12"/>
      <c r="P69" s="12"/>
      <c r="Q69" s="12" t="str">
        <f>"  - '&amp;7• &amp;8"&amp;MAIN!$C$12&amp;" lvl: &amp;a"&amp;ROUNDUP((MAIN!$G$93+($C$2*MAIN!$I$27))/3,0)&amp;"'"</f>
        <v xml:space="preserve">  - '&amp;7• &amp;8Esencia lvl: &amp;a143'</v>
      </c>
      <c r="R69" s="12"/>
      <c r="S69" s="12"/>
      <c r="T69" s="12"/>
    </row>
    <row r="70" spans="1:20" x14ac:dyDescent="0.25">
      <c r="A70" s="9" t="s">
        <v>32</v>
      </c>
      <c r="B70" s="9"/>
      <c r="C70" s="9"/>
      <c r="D70" s="9"/>
      <c r="E70" s="9" t="s">
        <v>32</v>
      </c>
      <c r="F70" s="9"/>
      <c r="G70" s="9"/>
      <c r="H70" s="9"/>
      <c r="I70" s="9" t="s">
        <v>32</v>
      </c>
      <c r="J70" s="9"/>
      <c r="K70" s="9"/>
      <c r="L70" s="9"/>
      <c r="M70" s="9" t="s">
        <v>32</v>
      </c>
      <c r="N70" s="9"/>
      <c r="O70" s="9"/>
      <c r="P70" s="9"/>
      <c r="Q70" s="9" t="s">
        <v>32</v>
      </c>
      <c r="R70" s="9"/>
      <c r="S70" s="9"/>
      <c r="T70" s="9"/>
    </row>
    <row r="71" spans="1:20" s="291" customFormat="1" x14ac:dyDescent="0.25">
      <c r="A71" s="9" t="s">
        <v>1196</v>
      </c>
      <c r="B71" s="9"/>
      <c r="C71" s="9"/>
      <c r="D71" s="9"/>
      <c r="E71" s="9" t="str">
        <f>A71</f>
        <v xml:space="preserve">  - '%tierlore%'</v>
      </c>
      <c r="F71" s="9"/>
      <c r="G71" s="9"/>
      <c r="H71" s="9"/>
      <c r="I71" s="9" t="str">
        <f>E71</f>
        <v xml:space="preserve">  - '%tierlore%'</v>
      </c>
      <c r="J71" s="9"/>
      <c r="K71" s="9"/>
      <c r="L71" s="9"/>
      <c r="M71" s="9" t="str">
        <f>I71</f>
        <v xml:space="preserve">  - '%tierlore%'</v>
      </c>
      <c r="N71" s="9"/>
      <c r="O71" s="9"/>
      <c r="P71" s="9"/>
      <c r="Q71" s="9" t="str">
        <f>M71</f>
        <v xml:space="preserve">  - '%tierlore%'</v>
      </c>
      <c r="R71" s="9"/>
      <c r="S71" s="9"/>
      <c r="T71" s="9"/>
    </row>
    <row r="72" spans="1:20" x14ac:dyDescent="0.25">
      <c r="A72" s="9" t="s">
        <v>33</v>
      </c>
      <c r="B72" s="9"/>
      <c r="C72" s="9"/>
      <c r="D72" s="9"/>
      <c r="E72" s="9" t="s">
        <v>33</v>
      </c>
      <c r="F72" s="9"/>
      <c r="G72" s="9"/>
      <c r="H72" s="9"/>
      <c r="I72" s="9" t="s">
        <v>33</v>
      </c>
      <c r="J72" s="9"/>
      <c r="K72" s="9"/>
      <c r="L72" s="9"/>
      <c r="M72" s="9" t="s">
        <v>33</v>
      </c>
      <c r="N72" s="9"/>
      <c r="O72" s="9"/>
      <c r="P72" s="9"/>
      <c r="Q72" s="9" t="s">
        <v>33</v>
      </c>
      <c r="R72" s="9"/>
      <c r="S72" s="9"/>
      <c r="T72" s="9"/>
    </row>
    <row r="73" spans="1:20" x14ac:dyDescent="0.25">
      <c r="A73" s="10" t="str">
        <f>"  - '&amp;4• &amp;f"&amp;MAIN!$C$9&amp;": &amp;a"&amp;MAIN!$C$88*$C$2&amp;"'"</f>
        <v xml:space="preserve">  - '&amp;4• &amp;fFuerza: &amp;a36'</v>
      </c>
      <c r="B73" s="10"/>
      <c r="C73" s="10"/>
      <c r="D73" s="10"/>
      <c r="E73" s="10" t="str">
        <f>"  - '&amp;4• &amp;f"&amp;MAIN!$C$9&amp;": &amp;a"&amp;MAIN!$D$88*$C$2&amp;"'"</f>
        <v xml:space="preserve">  - '&amp;4• &amp;fFuerza: &amp;a54'</v>
      </c>
      <c r="F73" s="10"/>
      <c r="G73" s="10"/>
      <c r="H73" s="10"/>
      <c r="I73" s="10" t="str">
        <f>"  - '&amp;4• &amp;f"&amp;MAIN!$C$9&amp;": &amp;a"&amp;MAIN!$E$88*$C$2&amp;"'"</f>
        <v xml:space="preserve">  - '&amp;4• &amp;fFuerza: &amp;a90'</v>
      </c>
      <c r="J73" s="10"/>
      <c r="K73" s="10"/>
      <c r="L73" s="10"/>
      <c r="M73" s="10" t="str">
        <f>"  - '&amp;4• &amp;f"&amp;MAIN!$C$9&amp;": &amp;a"&amp;MAIN!$F$88*$C$2&amp;"'"</f>
        <v xml:space="preserve">  - '&amp;4• &amp;fFuerza: &amp;a153'</v>
      </c>
      <c r="N73" s="10"/>
      <c r="O73" s="10"/>
      <c r="P73" s="10"/>
      <c r="Q73" s="10" t="str">
        <f>"  - '&amp;4• &amp;f"&amp;MAIN!$C$9&amp;": &amp;a"&amp;MAIN!$G$88*$C$2&amp;"'"</f>
        <v xml:space="preserve">  - '&amp;4• &amp;fFuerza: &amp;a252'</v>
      </c>
      <c r="R73" s="10"/>
      <c r="S73" s="10"/>
      <c r="T73" s="10"/>
    </row>
    <row r="74" spans="1:20" x14ac:dyDescent="0.25">
      <c r="A74" s="10" t="str">
        <f>"  - '&amp;4• &amp;f"&amp;MAIN!$C$8&amp;": &amp;a"&amp;MAIN!$C$88*$C$2&amp;"'"</f>
        <v xml:space="preserve">  - '&amp;4• &amp;fVitalidad: &amp;a36'</v>
      </c>
      <c r="B74" s="10"/>
      <c r="C74" s="10"/>
      <c r="D74" s="10"/>
      <c r="E74" s="10" t="str">
        <f>"  - '&amp;4• &amp;f"&amp;MAIN!$C$8&amp;": &amp;a"&amp;MAIN!$D$88*$C$2&amp;"'"</f>
        <v xml:space="preserve">  - '&amp;4• &amp;fVitalidad: &amp;a54'</v>
      </c>
      <c r="F74" s="10"/>
      <c r="G74" s="10"/>
      <c r="H74" s="10"/>
      <c r="I74" s="10" t="str">
        <f>"  - '&amp;4• &amp;f"&amp;MAIN!$C$8&amp;": &amp;a"&amp;MAIN!$E$88*$C$2&amp;"'"</f>
        <v xml:space="preserve">  - '&amp;4• &amp;fVitalidad: &amp;a90'</v>
      </c>
      <c r="J74" s="10"/>
      <c r="K74" s="10"/>
      <c r="L74" s="10"/>
      <c r="M74" s="10" t="str">
        <f>"  - '&amp;4• &amp;f"&amp;MAIN!$C$8&amp;": &amp;a"&amp;MAIN!$F$88*$C$2&amp;"'"</f>
        <v xml:space="preserve">  - '&amp;4• &amp;fVitalidad: &amp;a153'</v>
      </c>
      <c r="N74" s="10"/>
      <c r="O74" s="10"/>
      <c r="P74" s="10"/>
      <c r="Q74" s="10" t="str">
        <f>"  - '&amp;4• &amp;f"&amp;MAIN!$C$8&amp;": &amp;a"&amp;MAIN!$G$88*$C$2&amp;"'"</f>
        <v xml:space="preserve">  - '&amp;4• &amp;fVitalidad: &amp;a252'</v>
      </c>
      <c r="R74" s="10"/>
      <c r="S74" s="10"/>
      <c r="T74" s="10"/>
    </row>
    <row r="75" spans="1:20" x14ac:dyDescent="0.25">
      <c r="A75" s="10" t="str">
        <f>"  - '&amp;4• &amp;f"&amp;MAIN!$C$11&amp;": &amp;a"&amp;MAIN!$C$90*$C$2&amp;"'"</f>
        <v xml:space="preserve">  - '&amp;4• &amp;fInteligencia: &amp;a36'</v>
      </c>
      <c r="B75" s="10"/>
      <c r="C75" s="10"/>
      <c r="D75" s="10"/>
      <c r="E75" s="10" t="str">
        <f>"  - '&amp;4• &amp;f"&amp;MAIN!$C$11&amp;": &amp;a"&amp;MAIN!$D$90*$C$2&amp;"'"</f>
        <v xml:space="preserve">  - '&amp;4• &amp;fInteligencia: &amp;a54'</v>
      </c>
      <c r="F75" s="10"/>
      <c r="G75" s="10"/>
      <c r="H75" s="10"/>
      <c r="I75" s="10" t="str">
        <f>"  - '&amp;4• &amp;f"&amp;MAIN!$C$11&amp;": &amp;a"&amp;MAIN!$E$90*$C$2&amp;"'"</f>
        <v xml:space="preserve">  - '&amp;4• &amp;fInteligencia: &amp;a90'</v>
      </c>
      <c r="J75" s="10"/>
      <c r="K75" s="10"/>
      <c r="L75" s="10"/>
      <c r="M75" s="10" t="str">
        <f>"  - '&amp;4• &amp;f"&amp;MAIN!$C$11&amp;": &amp;a"&amp;MAIN!$F$90*$C$2&amp;"'"</f>
        <v xml:space="preserve">  - '&amp;4• &amp;fInteligencia: &amp;a153'</v>
      </c>
      <c r="N75" s="10"/>
      <c r="O75" s="10"/>
      <c r="P75" s="10"/>
      <c r="Q75" s="10" t="str">
        <f>"  - '&amp;4• &amp;f"&amp;MAIN!$C$11&amp;": &amp;a"&amp;MAIN!$G$90*$C$2&amp;"'"</f>
        <v xml:space="preserve">  - '&amp;4• &amp;fInteligencia: &amp;a252'</v>
      </c>
      <c r="R75" s="10"/>
      <c r="S75" s="10"/>
      <c r="T75" s="10"/>
    </row>
    <row r="76" spans="1:20" x14ac:dyDescent="0.25">
      <c r="A76" s="10" t="str">
        <f>"  - '&amp;4• &amp;f"&amp;MAIN!$C$10&amp;": &amp;a"&amp;MAIN!$C$89*$C$2&amp;"'"</f>
        <v xml:space="preserve">  - '&amp;4• &amp;fAgilidad: &amp;a36'</v>
      </c>
      <c r="B76" s="10"/>
      <c r="C76" s="10"/>
      <c r="D76" s="10"/>
      <c r="E76" s="10" t="str">
        <f>"  - '&amp;4• &amp;f"&amp;MAIN!$C$10&amp;": &amp;a"&amp;MAIN!$D$89*$C$2&amp;"'"</f>
        <v xml:space="preserve">  - '&amp;4• &amp;fAgilidad: &amp;a54'</v>
      </c>
      <c r="F76" s="10"/>
      <c r="G76" s="10"/>
      <c r="H76" s="10"/>
      <c r="I76" s="10" t="str">
        <f>"  - '&amp;4• &amp;f"&amp;MAIN!$C$10&amp;": &amp;a"&amp;MAIN!$E$89*$C$2&amp;"'"</f>
        <v xml:space="preserve">  - '&amp;4• &amp;fAgilidad: &amp;a90'</v>
      </c>
      <c r="J76" s="10"/>
      <c r="K76" s="10"/>
      <c r="L76" s="10"/>
      <c r="M76" s="10" t="str">
        <f>"  - '&amp;4• &amp;f"&amp;MAIN!$C$10&amp;": &amp;a"&amp;MAIN!$F$89*$C$2&amp;"'"</f>
        <v xml:space="preserve">  - '&amp;4• &amp;fAgilidad: &amp;a153'</v>
      </c>
      <c r="N76" s="10"/>
      <c r="O76" s="10"/>
      <c r="P76" s="10"/>
      <c r="Q76" s="10" t="str">
        <f>"  - '&amp;4• &amp;f"&amp;MAIN!$C$10&amp;": &amp;a"&amp;MAIN!$G$89*$C$2&amp;"'"</f>
        <v xml:space="preserve">  - '&amp;4• &amp;fAgilidad: &amp;a252'</v>
      </c>
      <c r="R76" s="10"/>
      <c r="S76" s="10"/>
      <c r="T76" s="10"/>
    </row>
    <row r="77" spans="1:20" x14ac:dyDescent="0.25">
      <c r="A77" s="9" t="s">
        <v>71</v>
      </c>
      <c r="B77" s="9"/>
      <c r="C77" s="9"/>
      <c r="D77" s="9"/>
      <c r="E77" s="9" t="s">
        <v>71</v>
      </c>
      <c r="F77" s="9"/>
      <c r="G77" s="9"/>
      <c r="H77" s="9"/>
      <c r="I77" s="9" t="s">
        <v>71</v>
      </c>
      <c r="J77" s="9"/>
      <c r="K77" s="9"/>
      <c r="L77" s="9"/>
      <c r="M77" s="9" t="s">
        <v>71</v>
      </c>
      <c r="N77" s="9"/>
      <c r="O77" s="9"/>
      <c r="P77" s="9"/>
      <c r="Q77" s="9" t="s">
        <v>71</v>
      </c>
      <c r="R77" s="9"/>
      <c r="S77" s="9"/>
      <c r="T77" s="9"/>
    </row>
    <row r="78" spans="1:20" x14ac:dyDescent="0.25">
      <c r="A78" s="9" t="s">
        <v>72</v>
      </c>
      <c r="B78" s="9"/>
      <c r="C78" s="9"/>
      <c r="D78" s="9"/>
      <c r="E78" s="9" t="s">
        <v>72</v>
      </c>
      <c r="F78" s="9"/>
      <c r="G78" s="9"/>
      <c r="H78" s="9"/>
      <c r="I78" s="9" t="s">
        <v>72</v>
      </c>
      <c r="J78" s="9"/>
      <c r="K78" s="9"/>
      <c r="L78" s="9"/>
      <c r="M78" s="9" t="s">
        <v>72</v>
      </c>
      <c r="N78" s="9"/>
      <c r="O78" s="9"/>
      <c r="P78" s="9"/>
      <c r="Q78" s="9" t="s">
        <v>72</v>
      </c>
      <c r="R78" s="9"/>
      <c r="S78" s="9"/>
      <c r="T78" s="9"/>
    </row>
    <row r="79" spans="1:20" x14ac:dyDescent="0.25">
      <c r="A79" s="11" t="str">
        <f>'armas ancestral'!$A$79</f>
        <v>minimumSockets: 2</v>
      </c>
      <c r="B79" s="11"/>
      <c r="C79" s="11"/>
      <c r="D79" s="11"/>
      <c r="E79" s="11" t="str">
        <f>$A$79</f>
        <v>minimumSockets: 2</v>
      </c>
      <c r="F79" s="11"/>
      <c r="G79" s="11"/>
      <c r="H79" s="11"/>
      <c r="I79" s="11" t="str">
        <f>$A$79</f>
        <v>minimumSockets: 2</v>
      </c>
      <c r="J79" s="11"/>
      <c r="K79" s="11"/>
      <c r="L79" s="11"/>
      <c r="M79" s="11" t="str">
        <f>$A$79</f>
        <v>minimumSockets: 2</v>
      </c>
      <c r="N79" s="11"/>
      <c r="O79" s="11"/>
      <c r="P79" s="11"/>
      <c r="Q79" s="11" t="str">
        <f>$A$79</f>
        <v>minimumSockets: 2</v>
      </c>
      <c r="R79" s="11"/>
      <c r="S79" s="11"/>
      <c r="T79" s="11"/>
    </row>
    <row r="80" spans="1:20" x14ac:dyDescent="0.25">
      <c r="A80" s="11" t="str">
        <f>'armas ancestral'!$A$80</f>
        <v>maximumSockets: 4</v>
      </c>
      <c r="B80" s="11"/>
      <c r="C80" s="11"/>
      <c r="D80" s="11"/>
      <c r="E80" s="11" t="str">
        <f>$A$80</f>
        <v>maximumSockets: 4</v>
      </c>
      <c r="F80" s="11"/>
      <c r="G80" s="11"/>
      <c r="H80" s="11"/>
      <c r="I80" s="11" t="str">
        <f>$A$80</f>
        <v>maximumSockets: 4</v>
      </c>
      <c r="J80" s="11"/>
      <c r="K80" s="11"/>
      <c r="L80" s="11"/>
      <c r="M80" s="11" t="str">
        <f>$A$80</f>
        <v>maximumSockets: 4</v>
      </c>
      <c r="N80" s="11"/>
      <c r="O80" s="11"/>
      <c r="P80" s="11"/>
      <c r="Q80" s="11" t="str">
        <f>$A$80</f>
        <v>maximumSockets: 4</v>
      </c>
      <c r="R80" s="11"/>
      <c r="S80" s="11"/>
      <c r="T80" s="11"/>
    </row>
    <row r="81" spans="1:20" x14ac:dyDescent="0.25">
      <c r="A81" s="11" t="str">
        <f>'armas ancestral'!$A$81</f>
        <v>chanceToSpawnOnAMonster: 0.0375</v>
      </c>
      <c r="B81" s="11"/>
      <c r="C81" s="11"/>
      <c r="D81" s="11"/>
      <c r="E81" s="11" t="str">
        <f>$A$81</f>
        <v>chanceToSpawnOnAMonster: 0.0375</v>
      </c>
      <c r="F81" s="11"/>
      <c r="G81" s="11"/>
      <c r="H81" s="11"/>
      <c r="I81" s="11" t="str">
        <f>$A$81</f>
        <v>chanceToSpawnOnAMonster: 0.0375</v>
      </c>
      <c r="J81" s="11"/>
      <c r="K81" s="11"/>
      <c r="L81" s="11"/>
      <c r="M81" s="11" t="str">
        <f>$A$81</f>
        <v>chanceToSpawnOnAMonster: 0.0375</v>
      </c>
      <c r="N81" s="11"/>
      <c r="O81" s="11"/>
      <c r="P81" s="11"/>
      <c r="Q81" s="11" t="str">
        <f>$A$81</f>
        <v>chanceToSpawnOnAMonster: 0.0375</v>
      </c>
      <c r="R81" s="11"/>
      <c r="S81" s="11"/>
      <c r="T81" s="11"/>
    </row>
    <row r="82" spans="1:20" x14ac:dyDescent="0.25">
      <c r="A82" s="9" t="s">
        <v>34</v>
      </c>
      <c r="B82" s="9"/>
      <c r="C82" s="9"/>
      <c r="D82" s="9"/>
      <c r="E82" s="9" t="s">
        <v>34</v>
      </c>
      <c r="F82" s="9"/>
      <c r="G82" s="9"/>
      <c r="H82" s="9"/>
      <c r="I82" s="9" t="s">
        <v>34</v>
      </c>
      <c r="J82" s="9"/>
      <c r="K82" s="9"/>
      <c r="L82" s="9"/>
      <c r="M82" s="9" t="s">
        <v>34</v>
      </c>
      <c r="N82" s="9"/>
      <c r="O82" s="9"/>
      <c r="P82" s="9"/>
      <c r="Q82" s="9" t="s">
        <v>34</v>
      </c>
      <c r="R82" s="9"/>
      <c r="S82" s="9"/>
      <c r="T82" s="9"/>
    </row>
    <row r="83" spans="1:20" x14ac:dyDescent="0.25">
      <c r="A83" s="11" t="str">
        <f>'armas ancestral'!$A$83</f>
        <v>chanceToBeIdentified: 0.01875</v>
      </c>
      <c r="B83" s="11"/>
      <c r="C83" s="11"/>
      <c r="D83" s="11"/>
      <c r="E83" s="11" t="str">
        <f>$A$83</f>
        <v>chanceToBeIdentified: 0.01875</v>
      </c>
      <c r="F83" s="11"/>
      <c r="G83" s="11"/>
      <c r="H83" s="11"/>
      <c r="I83" s="11" t="str">
        <f>$A$83</f>
        <v>chanceToBeIdentified: 0.01875</v>
      </c>
      <c r="J83" s="11"/>
      <c r="K83" s="11"/>
      <c r="L83" s="11"/>
      <c r="M83" s="11" t="str">
        <f>$A$83</f>
        <v>chanceToBeIdentified: 0.01875</v>
      </c>
      <c r="N83" s="11"/>
      <c r="O83" s="11"/>
      <c r="P83" s="11"/>
      <c r="Q83" s="11" t="str">
        <f>$A$83</f>
        <v>chanceToBeIdentified: 0.01875</v>
      </c>
      <c r="R83" s="11"/>
      <c r="S83" s="11"/>
      <c r="T83" s="11"/>
    </row>
    <row r="84" spans="1:20" x14ac:dyDescent="0.25">
      <c r="A84" s="9" t="s">
        <v>79</v>
      </c>
      <c r="B84" s="9"/>
      <c r="C84" s="9"/>
      <c r="D84" s="9"/>
      <c r="E84" s="9" t="s">
        <v>79</v>
      </c>
      <c r="F84" s="9"/>
      <c r="G84" s="9"/>
      <c r="H84" s="9"/>
      <c r="I84" s="9" t="s">
        <v>79</v>
      </c>
      <c r="J84" s="9"/>
      <c r="K84" s="9"/>
      <c r="L84" s="9"/>
      <c r="M84" s="9" t="s">
        <v>79</v>
      </c>
      <c r="N84" s="9"/>
      <c r="O84" s="9"/>
      <c r="P84" s="9"/>
      <c r="Q84" s="9" t="s">
        <v>79</v>
      </c>
      <c r="R84" s="9"/>
      <c r="S84" s="9"/>
      <c r="T84" s="9"/>
    </row>
    <row r="85" spans="1:20" x14ac:dyDescent="0.25">
      <c r="A85" s="11" t="str">
        <f>'armas ancestral'!$A$85</f>
        <v>broadcastOnFind: true</v>
      </c>
      <c r="B85" s="11"/>
      <c r="C85" s="11"/>
      <c r="D85" s="11"/>
      <c r="E85" s="11" t="str">
        <f>$A$85</f>
        <v>broadcastOnFind: true</v>
      </c>
      <c r="F85" s="11"/>
      <c r="G85" s="11"/>
      <c r="H85" s="11"/>
      <c r="I85" s="11" t="str">
        <f>$A$85</f>
        <v>broadcastOnFind: true</v>
      </c>
      <c r="J85" s="11"/>
      <c r="K85" s="11"/>
      <c r="L85" s="11"/>
      <c r="M85" s="11" t="str">
        <f>$A$85</f>
        <v>broadcastOnFind: true</v>
      </c>
      <c r="N85" s="11"/>
      <c r="O85" s="11"/>
      <c r="P85" s="11"/>
      <c r="Q85" s="11" t="str">
        <f>$A$85</f>
        <v>broadcastOnFind: true</v>
      </c>
      <c r="R85" s="11"/>
      <c r="S85" s="11"/>
      <c r="T85" s="11"/>
    </row>
    <row r="86" spans="1:20" x14ac:dyDescent="0.25">
      <c r="A86" s="11" t="str">
        <f>'armas ancestral'!$A$86</f>
        <v>optimalDistance: 3000</v>
      </c>
      <c r="B86" s="11"/>
      <c r="C86" s="11"/>
      <c r="D86" s="11"/>
      <c r="E86" s="11" t="str">
        <f>$A$86</f>
        <v>optimalDistance: 3000</v>
      </c>
      <c r="F86" s="11"/>
      <c r="G86" s="11"/>
      <c r="H86" s="11"/>
      <c r="I86" s="11" t="str">
        <f>$A$86</f>
        <v>optimalDistance: 3000</v>
      </c>
      <c r="J86" s="11"/>
      <c r="K86" s="11"/>
      <c r="L86" s="11"/>
      <c r="M86" s="11" t="str">
        <f>$A$86</f>
        <v>optimalDistance: 3000</v>
      </c>
      <c r="N86" s="11"/>
      <c r="O86" s="11"/>
      <c r="P86" s="11"/>
      <c r="Q86" s="11" t="str">
        <f>$A$86</f>
        <v>optimalDistance: 3000</v>
      </c>
      <c r="R86" s="11"/>
      <c r="S86" s="11"/>
      <c r="T86" s="11"/>
    </row>
    <row r="87" spans="1:20" x14ac:dyDescent="0.25">
      <c r="A87" s="11" t="str">
        <f>'armas ancestral'!$A$87</f>
        <v>maximumDistance: 1800</v>
      </c>
      <c r="B87" s="11"/>
      <c r="C87" s="11"/>
      <c r="D87" s="11"/>
      <c r="E87" s="11" t="str">
        <f>$A$87</f>
        <v>maximumDistance: 1800</v>
      </c>
      <c r="F87" s="11"/>
      <c r="G87" s="11"/>
      <c r="H87" s="11"/>
      <c r="I87" s="11" t="str">
        <f>$A$87</f>
        <v>maximumDistance: 1800</v>
      </c>
      <c r="J87" s="11"/>
      <c r="K87" s="11"/>
      <c r="L87" s="11"/>
      <c r="M87" s="11" t="str">
        <f>$A$87</f>
        <v>maximumDistance: 1800</v>
      </c>
      <c r="N87" s="11"/>
      <c r="O87" s="11"/>
      <c r="P87" s="11"/>
      <c r="Q87" s="11" t="str">
        <f>$A$87</f>
        <v>maximumDistance: 1800</v>
      </c>
      <c r="R87" s="11"/>
      <c r="S87" s="11"/>
      <c r="T87" s="11"/>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9" x14ac:dyDescent="0.25">
      <c r="A97" s="9"/>
      <c r="B97" s="9"/>
      <c r="C97" s="9"/>
      <c r="D97" s="9"/>
      <c r="G97" s="13"/>
      <c r="H97" s="13"/>
      <c r="I97" s="13"/>
    </row>
    <row r="98" spans="1:9" x14ac:dyDescent="0.25">
      <c r="A98" s="9"/>
      <c r="B98" s="9"/>
      <c r="C98" s="9"/>
      <c r="D98" s="9"/>
      <c r="G98" s="13"/>
      <c r="H98" s="13"/>
      <c r="I98" s="13"/>
    </row>
    <row r="99" spans="1:9" x14ac:dyDescent="0.25">
      <c r="A99" s="9"/>
      <c r="B99" s="9"/>
      <c r="C99" s="9"/>
      <c r="D99" s="9"/>
    </row>
    <row r="100" spans="1:9" x14ac:dyDescent="0.25">
      <c r="A100" s="9"/>
      <c r="B100" s="9"/>
      <c r="C100" s="9"/>
      <c r="D100" s="9"/>
    </row>
    <row r="101" spans="1:9" x14ac:dyDescent="0.25">
      <c r="A101" s="9"/>
      <c r="B101" s="9"/>
      <c r="C101" s="9"/>
      <c r="D101" s="9"/>
    </row>
    <row r="102" spans="1:9" x14ac:dyDescent="0.25">
      <c r="A102" s="9"/>
      <c r="B102" s="9"/>
      <c r="C102" s="9"/>
      <c r="D102" s="9"/>
    </row>
    <row r="103" spans="1:9" x14ac:dyDescent="0.25">
      <c r="A103" s="9"/>
      <c r="B103" s="9"/>
      <c r="C103" s="9"/>
      <c r="D103" s="9"/>
    </row>
    <row r="104" spans="1:9" x14ac:dyDescent="0.25">
      <c r="A104" s="9"/>
      <c r="B104" s="9"/>
      <c r="C104" s="9"/>
      <c r="D104" s="9"/>
    </row>
    <row r="105" spans="1:9" x14ac:dyDescent="0.25">
      <c r="A105" s="9"/>
      <c r="B105" s="9"/>
      <c r="C105" s="9"/>
      <c r="D105" s="9"/>
    </row>
    <row r="106" spans="1:9" x14ac:dyDescent="0.25">
      <c r="A106" s="9"/>
      <c r="B106" s="9"/>
      <c r="C106" s="9"/>
      <c r="D106" s="9"/>
    </row>
    <row r="107" spans="1:9" x14ac:dyDescent="0.25">
      <c r="A107" s="9"/>
      <c r="B107" s="9"/>
      <c r="C107" s="9"/>
      <c r="D107" s="9"/>
    </row>
    <row r="108" spans="1:9" x14ac:dyDescent="0.25">
      <c r="A108" s="9"/>
      <c r="B108" s="9"/>
      <c r="C108" s="9"/>
      <c r="D108" s="9"/>
    </row>
    <row r="109" spans="1:9" x14ac:dyDescent="0.25">
      <c r="A109" s="9"/>
      <c r="B109" s="9"/>
      <c r="C109" s="9"/>
      <c r="D109" s="9"/>
    </row>
    <row r="110" spans="1:9" x14ac:dyDescent="0.25">
      <c r="A110" s="9"/>
      <c r="B110" s="9"/>
      <c r="C110" s="9"/>
      <c r="D110" s="9"/>
    </row>
    <row r="111" spans="1:9" x14ac:dyDescent="0.25">
      <c r="A111" s="9"/>
      <c r="B111" s="9"/>
      <c r="C111" s="9"/>
      <c r="D111" s="9"/>
    </row>
    <row r="112" spans="1:9"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row r="190" spans="1:4" x14ac:dyDescent="0.25">
      <c r="A190" s="9"/>
      <c r="B190" s="9"/>
      <c r="C190" s="9"/>
      <c r="D190" s="9"/>
    </row>
    <row r="191" spans="1:4" x14ac:dyDescent="0.25">
      <c r="A191" s="9"/>
      <c r="B191" s="9"/>
      <c r="C191" s="9"/>
      <c r="D191"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23</vt:i4>
      </vt:variant>
    </vt:vector>
  </HeadingPairs>
  <TitlesOfParts>
    <vt:vector size="55" baseType="lpstr">
      <vt:lpstr>Clases</vt:lpstr>
      <vt:lpstr>ECONOMIA &amp; PROFESIONES</vt:lpstr>
      <vt:lpstr>ITEM CRAFT</vt:lpstr>
      <vt:lpstr>ITEM CORE</vt:lpstr>
      <vt:lpstr>PROFESION CORE</vt:lpstr>
      <vt:lpstr>Crafteos ESP</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2018-03-20T05:52:46Z</dcterms:modified>
</cp:coreProperties>
</file>