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8D722E08-3440-421C-BEAC-A9F005E9981E}" xr6:coauthVersionLast="31" xr6:coauthVersionMax="31" xr10:uidLastSave="{00000000-0000-0000-0000-000000000000}"/>
  <bookViews>
    <workbookView xWindow="0" yWindow="4500" windowWidth="20400" windowHeight="7680" tabRatio="893" activeTab="6" xr2:uid="{00000000-000D-0000-FFFF-FFFF00000000}"/>
  </bookViews>
  <sheets>
    <sheet name="Clases" sheetId="37" r:id="rId1"/>
    <sheet name="ECONOMIA &amp; PROFESIONES" sheetId="32" r:id="rId2"/>
    <sheet name="ITEM CRAFT" sheetId="33" r:id="rId3"/>
    <sheet name="ITEM CORE" sheetId="34" r:id="rId4"/>
    <sheet name="PROFESION Level" sheetId="35" r:id="rId5"/>
    <sheet name="Crafteos Prof ESP" sheetId="36" r:id="rId6"/>
    <sheet name="Crafteos MD" sheetId="38" r:id="rId7"/>
    <sheet name="Crafteos Mechanics" sheetId="39" r:id="rId8"/>
    <sheet name="MAIN" sheetId="1" r:id="rId9"/>
    <sheet name="armas comun" sheetId="4" r:id="rId10"/>
    <sheet name="helmet comun" sheetId="5" r:id="rId11"/>
    <sheet name="chestplate comun" sheetId="6" r:id="rId12"/>
    <sheet name="leggins comun" sheetId="7" r:id="rId13"/>
    <sheet name="boots comun" sheetId="9" r:id="rId14"/>
    <sheet name="armas magico" sheetId="10" r:id="rId15"/>
    <sheet name="helmet magico" sheetId="12" r:id="rId16"/>
    <sheet name="chestplate magico" sheetId="13" r:id="rId17"/>
    <sheet name="leggins magico" sheetId="14" r:id="rId18"/>
    <sheet name="boots magico" sheetId="15" r:id="rId19"/>
    <sheet name="armas raro" sheetId="16" r:id="rId20"/>
    <sheet name="helmet raro" sheetId="17" r:id="rId21"/>
    <sheet name="chestplate raro" sheetId="18" r:id="rId22"/>
    <sheet name="leggins raro" sheetId="19" r:id="rId23"/>
    <sheet name="boots raro" sheetId="20" r:id="rId24"/>
    <sheet name="armas legendario" sheetId="21" r:id="rId25"/>
    <sheet name="helmet legendario" sheetId="22" r:id="rId26"/>
    <sheet name="chestplate legendario" sheetId="23" r:id="rId27"/>
    <sheet name="leggins legendario" sheetId="24" r:id="rId28"/>
    <sheet name="boots legendario" sheetId="25" r:id="rId29"/>
    <sheet name="armas ancestral" sheetId="26" r:id="rId30"/>
    <sheet name="helmet ancestral" sheetId="27" r:id="rId31"/>
    <sheet name="chestplate ancestral" sheetId="28" r:id="rId32"/>
    <sheet name="leggins ancestral" sheetId="29" r:id="rId33"/>
    <sheet name="boots ancestral" sheetId="31" r:id="rId34"/>
  </sheets>
  <definedNames>
    <definedName name="ACCIONES">'ECONOMIA &amp; PROFESIONES'!$C$18:$C$23</definedName>
    <definedName name="craftedesp">'Crafteos Prof ESP'!$A$40:$C$159</definedName>
    <definedName name="craftspar">'Crafteos Prof ESP'!$A$40:$A$144</definedName>
    <definedName name="ECONLIST">'ITEM CRAFT'!$A$4:$F$796</definedName>
    <definedName name="IDALQUIMIA">'PROFESION Level'!$I$8:$I$187</definedName>
    <definedName name="IDCARPINTERIA">'PROFESION Level'!$E$8:$E$187</definedName>
    <definedName name="IDCORE">'ITEM CORE'!$A$4:$A$521</definedName>
    <definedName name="IDGANADERIA">'PROFESION Level'!$M$8:$M$187</definedName>
    <definedName name="IDMINERIA">'PROFESION Level'!$A$8:$A$187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Level'!$A$8:$D$187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26" i="39" l="1"/>
  <c r="W26" i="39"/>
  <c r="T26" i="39"/>
  <c r="Q26" i="39"/>
  <c r="N26" i="39"/>
  <c r="K26" i="39"/>
  <c r="H26" i="39"/>
  <c r="D26" i="39"/>
  <c r="Z25" i="39"/>
  <c r="W25" i="39"/>
  <c r="T25" i="39"/>
  <c r="Q25" i="39"/>
  <c r="N25" i="39"/>
  <c r="K25" i="39"/>
  <c r="H25" i="39"/>
  <c r="D25" i="39"/>
  <c r="Z24" i="39"/>
  <c r="W24" i="39"/>
  <c r="T24" i="39"/>
  <c r="Q24" i="39"/>
  <c r="N24" i="39"/>
  <c r="K24" i="39"/>
  <c r="H24" i="39"/>
  <c r="D24" i="39"/>
  <c r="Z23" i="39"/>
  <c r="W23" i="39"/>
  <c r="T23" i="39"/>
  <c r="Q23" i="39"/>
  <c r="N23" i="39"/>
  <c r="K23" i="39"/>
  <c r="H23" i="39"/>
  <c r="D23" i="39"/>
  <c r="Z22" i="39"/>
  <c r="W22" i="39"/>
  <c r="T22" i="39"/>
  <c r="Q22" i="39"/>
  <c r="N22" i="39"/>
  <c r="K22" i="39"/>
  <c r="H22" i="39"/>
  <c r="D22" i="39"/>
  <c r="Z21" i="39"/>
  <c r="W21" i="39"/>
  <c r="T21" i="39"/>
  <c r="Q21" i="39"/>
  <c r="N21" i="39"/>
  <c r="K21" i="39"/>
  <c r="H21" i="39"/>
  <c r="D21" i="39"/>
  <c r="Z20" i="39"/>
  <c r="W20" i="39"/>
  <c r="T20" i="39"/>
  <c r="Q20" i="39"/>
  <c r="N20" i="39"/>
  <c r="K20" i="39"/>
  <c r="H20" i="39"/>
  <c r="D20" i="39"/>
  <c r="Z19" i="39"/>
  <c r="W19" i="39"/>
  <c r="T19" i="39"/>
  <c r="Q19" i="39"/>
  <c r="N19" i="39"/>
  <c r="K19" i="39"/>
  <c r="H19" i="39"/>
  <c r="D19" i="39"/>
  <c r="Z18" i="39"/>
  <c r="W18" i="39"/>
  <c r="T18" i="39"/>
  <c r="Q18" i="39"/>
  <c r="N18" i="39"/>
  <c r="K18" i="39"/>
  <c r="H18" i="39"/>
  <c r="D18" i="39"/>
  <c r="Z17" i="39"/>
  <c r="W17" i="39"/>
  <c r="T17" i="39"/>
  <c r="Q17" i="39"/>
  <c r="N17" i="39"/>
  <c r="K17" i="39"/>
  <c r="H17" i="39"/>
  <c r="D17" i="39"/>
  <c r="Z16" i="39"/>
  <c r="W16" i="39"/>
  <c r="T16" i="39"/>
  <c r="Q16" i="39"/>
  <c r="N16" i="39"/>
  <c r="K16" i="39"/>
  <c r="H16" i="39"/>
  <c r="D16" i="39"/>
  <c r="Z15" i="39"/>
  <c r="W15" i="39"/>
  <c r="T15" i="39"/>
  <c r="Q15" i="39"/>
  <c r="N15" i="39"/>
  <c r="K15" i="39"/>
  <c r="H15" i="39"/>
  <c r="D15" i="39"/>
  <c r="Z14" i="39"/>
  <c r="W14" i="39"/>
  <c r="T14" i="39"/>
  <c r="Q14" i="39"/>
  <c r="N14" i="39"/>
  <c r="K14" i="39"/>
  <c r="H14" i="39"/>
  <c r="D14" i="39"/>
  <c r="Z13" i="39"/>
  <c r="W13" i="39"/>
  <c r="T13" i="39"/>
  <c r="Q13" i="39"/>
  <c r="N13" i="39"/>
  <c r="K13" i="39"/>
  <c r="H13" i="39"/>
  <c r="D13" i="39"/>
  <c r="Z12" i="39"/>
  <c r="W12" i="39"/>
  <c r="T12" i="39"/>
  <c r="Q12" i="39"/>
  <c r="N12" i="39"/>
  <c r="K12" i="39"/>
  <c r="H12" i="39"/>
  <c r="D12" i="39"/>
  <c r="Z11" i="39"/>
  <c r="W11" i="39"/>
  <c r="T11" i="39"/>
  <c r="Q11" i="39"/>
  <c r="N11" i="39"/>
  <c r="K11" i="39"/>
  <c r="H11" i="39"/>
  <c r="D11" i="39"/>
  <c r="Z10" i="39"/>
  <c r="W10" i="39"/>
  <c r="T10" i="39"/>
  <c r="Q10" i="39"/>
  <c r="N10" i="39"/>
  <c r="K10" i="39"/>
  <c r="H10" i="39"/>
  <c r="D10" i="39"/>
  <c r="Z9" i="39"/>
  <c r="W9" i="39"/>
  <c r="T9" i="39"/>
  <c r="Q9" i="39"/>
  <c r="N9" i="39"/>
  <c r="K9" i="39"/>
  <c r="H9" i="39"/>
  <c r="D9" i="39"/>
  <c r="Z8" i="39"/>
  <c r="W8" i="39"/>
  <c r="T8" i="39"/>
  <c r="Q8" i="39"/>
  <c r="N8" i="39"/>
  <c r="K8" i="39"/>
  <c r="H8" i="39"/>
  <c r="D8" i="39"/>
  <c r="Z7" i="39"/>
  <c r="W7" i="39"/>
  <c r="T7" i="39"/>
  <c r="Q7" i="39"/>
  <c r="N7" i="39"/>
  <c r="K7" i="39"/>
  <c r="H7" i="39"/>
  <c r="D7" i="39"/>
  <c r="Z6" i="39"/>
  <c r="W6" i="39"/>
  <c r="T6" i="39"/>
  <c r="Q6" i="39"/>
  <c r="N6" i="39"/>
  <c r="K6" i="39"/>
  <c r="H6" i="39"/>
  <c r="D6" i="39"/>
  <c r="Z5" i="39"/>
  <c r="W5" i="39"/>
  <c r="T5" i="39"/>
  <c r="Q5" i="39"/>
  <c r="N5" i="39"/>
  <c r="K5" i="39"/>
  <c r="H5" i="39"/>
  <c r="D5" i="39"/>
  <c r="Z4" i="39"/>
  <c r="W4" i="39"/>
  <c r="T4" i="39"/>
  <c r="Q4" i="39"/>
  <c r="N4" i="39"/>
  <c r="K4" i="39"/>
  <c r="D4" i="39"/>
  <c r="Z3" i="39"/>
  <c r="W3" i="39"/>
  <c r="T3" i="39"/>
  <c r="Q3" i="39"/>
  <c r="N3" i="39"/>
  <c r="K3" i="39"/>
  <c r="H3" i="39"/>
  <c r="D3" i="39"/>
  <c r="Z2" i="39"/>
  <c r="W2" i="39"/>
  <c r="T2" i="39"/>
  <c r="Q2" i="39"/>
  <c r="N2" i="39"/>
  <c r="K2" i="39"/>
  <c r="H2" i="39"/>
  <c r="D2" i="39"/>
  <c r="J47" i="36"/>
  <c r="J51" i="36"/>
  <c r="AE51" i="36"/>
  <c r="AD51" i="36"/>
  <c r="AA51" i="36"/>
  <c r="Z51" i="36"/>
  <c r="W51" i="36"/>
  <c r="V51" i="36"/>
  <c r="S51" i="36"/>
  <c r="R51" i="36"/>
  <c r="O51" i="36"/>
  <c r="N51" i="36"/>
  <c r="G51" i="36"/>
  <c r="F51" i="36"/>
  <c r="AE47" i="36"/>
  <c r="AD47" i="36"/>
  <c r="AA47" i="36"/>
  <c r="Z47" i="36"/>
  <c r="W47" i="36"/>
  <c r="V47" i="36"/>
  <c r="S47" i="36"/>
  <c r="R47" i="36"/>
  <c r="O47" i="36"/>
  <c r="N47" i="36"/>
  <c r="G47" i="36"/>
  <c r="F47" i="36"/>
  <c r="AE66" i="36"/>
  <c r="AD66" i="36"/>
  <c r="AA66" i="36"/>
  <c r="Z66" i="36"/>
  <c r="W66" i="36"/>
  <c r="V66" i="36"/>
  <c r="S66" i="36"/>
  <c r="R66" i="36"/>
  <c r="O66" i="36"/>
  <c r="N66" i="36"/>
  <c r="K66" i="36"/>
  <c r="J66" i="36"/>
  <c r="G66" i="36"/>
  <c r="F66" i="36"/>
  <c r="G74" i="36"/>
  <c r="F74" i="36"/>
  <c r="AE74" i="36"/>
  <c r="AD74" i="36"/>
  <c r="AA74" i="36"/>
  <c r="Z74" i="36"/>
  <c r="W74" i="36"/>
  <c r="V74" i="36"/>
  <c r="S74" i="36"/>
  <c r="R74" i="36"/>
  <c r="O74" i="36"/>
  <c r="N74" i="36"/>
  <c r="J74" i="36"/>
  <c r="J80" i="36"/>
  <c r="F80" i="36"/>
  <c r="E20" i="39" l="1"/>
  <c r="E16" i="39"/>
  <c r="E17" i="39"/>
  <c r="E18" i="39"/>
  <c r="E19" i="39"/>
  <c r="E24" i="39"/>
  <c r="E12" i="39"/>
  <c r="E8" i="39"/>
  <c r="E21" i="39"/>
  <c r="E22" i="39"/>
  <c r="E23" i="39"/>
  <c r="E2" i="39"/>
  <c r="E3" i="39"/>
  <c r="E5" i="39"/>
  <c r="E7" i="39"/>
  <c r="E9" i="39"/>
  <c r="E11" i="39"/>
  <c r="E25" i="39"/>
  <c r="E26" i="39"/>
  <c r="E6" i="39"/>
  <c r="E10" i="39"/>
  <c r="E13" i="39"/>
  <c r="E14" i="39"/>
  <c r="E15" i="39"/>
  <c r="C66" i="36"/>
  <c r="AE80" i="36"/>
  <c r="AD80" i="36"/>
  <c r="AA80" i="36"/>
  <c r="Z80" i="36"/>
  <c r="W80" i="36"/>
  <c r="V80" i="36"/>
  <c r="S80" i="36"/>
  <c r="R80" i="36"/>
  <c r="O80" i="36"/>
  <c r="N80"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57" i="36"/>
  <c r="AD57" i="36"/>
  <c r="AA57" i="36"/>
  <c r="Z57" i="36"/>
  <c r="W57" i="36"/>
  <c r="V57" i="36"/>
  <c r="S57" i="36"/>
  <c r="R57" i="36"/>
  <c r="O57" i="36"/>
  <c r="N57" i="36"/>
  <c r="K57" i="36"/>
  <c r="J57" i="36"/>
  <c r="F57" i="36"/>
  <c r="AE56" i="36"/>
  <c r="AD56" i="36"/>
  <c r="AA56" i="36"/>
  <c r="Z56" i="36"/>
  <c r="W56" i="36"/>
  <c r="V56" i="36"/>
  <c r="S56" i="36"/>
  <c r="R56" i="36"/>
  <c r="O56" i="36"/>
  <c r="N56" i="36"/>
  <c r="K56" i="36"/>
  <c r="J56" i="36"/>
  <c r="F56" i="36"/>
  <c r="AE55" i="36"/>
  <c r="AD55" i="36"/>
  <c r="AA55" i="36"/>
  <c r="Z55" i="36"/>
  <c r="W55" i="36"/>
  <c r="V55" i="36"/>
  <c r="S55" i="36"/>
  <c r="R55" i="36"/>
  <c r="O55" i="36"/>
  <c r="N55" i="36"/>
  <c r="K55" i="36"/>
  <c r="J55" i="36"/>
  <c r="F55" i="36"/>
  <c r="AE43" i="36"/>
  <c r="AD43" i="36"/>
  <c r="AA43" i="36"/>
  <c r="Z43" i="36"/>
  <c r="F43" i="36"/>
  <c r="J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K32" i="38"/>
  <c r="H32" i="38"/>
  <c r="Z31" i="38"/>
  <c r="W31" i="38"/>
  <c r="T31" i="38"/>
  <c r="Q31" i="38"/>
  <c r="N31" i="38"/>
  <c r="K31" i="38"/>
  <c r="H31" i="38"/>
  <c r="Z30" i="38"/>
  <c r="W30" i="38"/>
  <c r="T30" i="38"/>
  <c r="Q30" i="38"/>
  <c r="N30" i="38"/>
  <c r="K30" i="38"/>
  <c r="H30" i="38"/>
  <c r="Z29" i="38"/>
  <c r="W29" i="38"/>
  <c r="T29" i="38"/>
  <c r="Q29" i="38"/>
  <c r="N29" i="38"/>
  <c r="K29" i="38"/>
  <c r="H29" i="38"/>
  <c r="Z28" i="38"/>
  <c r="W28" i="38"/>
  <c r="T28" i="38"/>
  <c r="Q28" i="38"/>
  <c r="N28" i="38"/>
  <c r="K28" i="38"/>
  <c r="H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E86" i="38" l="1"/>
  <c r="E96" i="38"/>
  <c r="E108" i="38"/>
  <c r="E82" i="38"/>
  <c r="E101" i="38"/>
  <c r="E106" i="38"/>
  <c r="E57" i="38"/>
  <c r="E61" i="38"/>
  <c r="E65" i="38"/>
  <c r="E78" i="38"/>
  <c r="E73" i="38"/>
  <c r="E81" i="38"/>
  <c r="E94" i="38"/>
  <c r="E98" i="38"/>
  <c r="E107" i="38"/>
  <c r="E69" i="38"/>
  <c r="E90" i="38"/>
  <c r="E109" i="38"/>
  <c r="E32"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29" i="38"/>
  <c r="E31" i="38"/>
  <c r="E33" i="38"/>
  <c r="E35" i="38"/>
  <c r="E37" i="38"/>
  <c r="E49" i="38"/>
  <c r="E50" i="38"/>
  <c r="E51" i="38"/>
  <c r="E34" i="38"/>
  <c r="E38" i="38"/>
  <c r="E42" i="38"/>
  <c r="E30" i="38"/>
  <c r="E39" i="38"/>
  <c r="E41" i="38"/>
  <c r="E43" i="38"/>
  <c r="E45" i="38"/>
  <c r="E46" i="38"/>
  <c r="E47" i="38"/>
  <c r="E28" i="38"/>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K280" i="34" l="1"/>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E58" i="33"/>
  <c r="E52" i="33"/>
  <c r="K43"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439" i="33" l="1"/>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D56" i="38" s="1"/>
  <c r="P8" i="32"/>
  <c r="D57" i="38" s="1"/>
  <c r="O9" i="32"/>
  <c r="D32" i="38" s="1"/>
  <c r="O5" i="32"/>
  <c r="D28" i="38"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W5" i="6" l="1"/>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D61" i="38" s="1"/>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F77" i="1" l="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D66" i="38" s="1"/>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G88" i="1" l="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D71" i="38" s="1"/>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Q30" i="4" l="1"/>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D76" i="38" s="1"/>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87" i="36" s="1"/>
  <c r="G80" i="36" s="1"/>
  <c r="Q33" i="5"/>
  <c r="M74" i="22"/>
  <c r="M74" i="27"/>
  <c r="M54" i="12"/>
  <c r="M74" i="17"/>
  <c r="M31" i="5"/>
  <c r="M32" i="5"/>
  <c r="G55" i="1" l="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27" i="32"/>
  <c r="E301" i="33" s="1"/>
  <c r="G31" i="32"/>
  <c r="E195" i="33" s="1"/>
  <c r="G59" i="36" s="1"/>
  <c r="C59" i="36" s="1"/>
  <c r="G29" i="32"/>
  <c r="E23" i="33" s="1"/>
  <c r="G57" i="36" s="1"/>
  <c r="C57"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56" i="36" s="1"/>
  <c r="C56" i="36" s="1"/>
  <c r="G30" i="32"/>
  <c r="E24" i="33" s="1"/>
  <c r="G58" i="36" s="1"/>
  <c r="C58" i="36" s="1"/>
  <c r="E27" i="32"/>
  <c r="E11" i="33" s="1"/>
  <c r="E38" i="32"/>
  <c r="E78" i="33" s="1"/>
  <c r="F78" i="33" s="1"/>
  <c r="K31" i="32"/>
  <c r="I48" i="32" s="1"/>
  <c r="K48" i="32" s="1"/>
  <c r="E547" i="33" s="1"/>
  <c r="K28" i="32"/>
  <c r="I45" i="32" s="1"/>
  <c r="K45" i="32" s="1"/>
  <c r="K32" i="32"/>
  <c r="I49" i="32" s="1"/>
  <c r="K49" i="32" s="1"/>
  <c r="E559" i="33"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I44" i="32"/>
  <c r="K44" i="32" s="1"/>
  <c r="E21" i="33"/>
  <c r="E196" i="33"/>
  <c r="G60" i="36" s="1"/>
  <c r="C60"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G55" i="36" l="1"/>
  <c r="C55" i="36" s="1"/>
  <c r="H2" i="38" s="1"/>
  <c r="G43" i="36"/>
  <c r="C43" i="36" s="1"/>
  <c r="D194" i="34"/>
  <c r="M540" i="33"/>
  <c r="I47" i="32"/>
  <c r="K47"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D141" i="34" s="1"/>
  <c r="C194" i="34"/>
  <c r="J194" i="34" s="1"/>
  <c r="F195" i="33"/>
  <c r="I534" i="33"/>
  <c r="E63" i="33"/>
  <c r="Q324" i="33" s="1"/>
  <c r="I560" i="33"/>
  <c r="E560" i="33" s="1"/>
  <c r="F560" i="33" s="1"/>
  <c r="F559" i="33"/>
  <c r="I428" i="33"/>
  <c r="E428" i="33" s="1"/>
  <c r="F428" i="33" s="1"/>
  <c r="Q549" i="33"/>
  <c r="E545" i="33"/>
  <c r="I204" i="33" s="1"/>
  <c r="D496" i="34"/>
  <c r="M533" i="33"/>
  <c r="E533" i="33" s="1"/>
  <c r="M450" i="33" s="1"/>
  <c r="E529" i="33"/>
  <c r="C475" i="34" s="1"/>
  <c r="J475" i="34" s="1"/>
  <c r="C496" i="34"/>
  <c r="J496" i="34" s="1"/>
  <c r="Q53" i="12"/>
  <c r="Q73" i="27"/>
  <c r="Q73" i="22"/>
  <c r="Q73" i="17"/>
  <c r="M7" i="33"/>
  <c r="E7" i="33" s="1"/>
  <c r="M5" i="33" s="1"/>
  <c r="C484" i="34"/>
  <c r="J484" i="34" s="1"/>
  <c r="D95" i="34"/>
  <c r="I157" i="33"/>
  <c r="E157" i="33" s="1"/>
  <c r="F157" i="33" s="1"/>
  <c r="E122" i="33"/>
  <c r="F122" i="33" s="1"/>
  <c r="I5" i="33"/>
  <c r="Q154" i="33"/>
  <c r="M536" i="33"/>
  <c r="Q248" i="33"/>
  <c r="C95" i="34"/>
  <c r="J95" i="34" s="1"/>
  <c r="I99" i="33"/>
  <c r="E304" i="33"/>
  <c r="M265" i="33" s="1"/>
  <c r="E432" i="33"/>
  <c r="I371" i="33"/>
  <c r="E371" i="33" s="1"/>
  <c r="F371" i="33" s="1"/>
  <c r="I548" i="33"/>
  <c r="E548" i="33" s="1"/>
  <c r="F548" i="33"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D475" i="34"/>
  <c r="C327" i="34"/>
  <c r="J327" i="34" s="1"/>
  <c r="D327" i="34"/>
  <c r="F360" i="33"/>
  <c r="F63" i="33"/>
  <c r="C64" i="34"/>
  <c r="J64" i="34" s="1"/>
  <c r="D64" i="34"/>
  <c r="C195" i="34"/>
  <c r="J195" i="34" s="1"/>
  <c r="D195" i="34"/>
  <c r="C24" i="34"/>
  <c r="J24" i="34" s="1"/>
  <c r="D24" i="34"/>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C204" i="34"/>
  <c r="J204" i="34" s="1"/>
  <c r="F352" i="33"/>
  <c r="F25" i="33"/>
  <c r="D27" i="34"/>
  <c r="C27" i="34"/>
  <c r="J27" i="34" s="1"/>
  <c r="F142" i="33"/>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I239" i="33"/>
  <c r="E239" i="33" s="1"/>
  <c r="I155" i="33"/>
  <c r="E155" i="33" s="1"/>
  <c r="Q31" i="33"/>
  <c r="Q27" i="33"/>
  <c r="M132" i="33"/>
  <c r="Q35" i="33"/>
  <c r="I27" i="33"/>
  <c r="M88" i="33"/>
  <c r="I69" i="33"/>
  <c r="E69" i="33"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K80" i="36" l="1"/>
  <c r="C346" i="34"/>
  <c r="J346" i="34" s="1"/>
  <c r="M238" i="33"/>
  <c r="F205" i="33"/>
  <c r="I426" i="33"/>
  <c r="E426" i="33" s="1"/>
  <c r="F386" i="33"/>
  <c r="E5" i="33"/>
  <c r="D386" i="34"/>
  <c r="C386" i="34"/>
  <c r="J386" i="34" s="1"/>
  <c r="F545" i="33"/>
  <c r="D490" i="34"/>
  <c r="I201" i="33"/>
  <c r="E201" i="33" s="1"/>
  <c r="D200" i="34" s="1"/>
  <c r="I203" i="33"/>
  <c r="E203" i="33" s="1"/>
  <c r="C202" i="34" s="1"/>
  <c r="J202" i="34" s="1"/>
  <c r="F385" i="33"/>
  <c r="D487" i="34"/>
  <c r="D121" i="34"/>
  <c r="I433" i="33"/>
  <c r="E433" i="33" s="1"/>
  <c r="F433" i="33" s="1"/>
  <c r="D7" i="34"/>
  <c r="C7" i="34"/>
  <c r="J7" i="34" s="1"/>
  <c r="D477" i="34"/>
  <c r="M9" i="33"/>
  <c r="D389" i="34"/>
  <c r="C121" i="34"/>
  <c r="J121" i="34" s="1"/>
  <c r="I8" i="33"/>
  <c r="E8" i="33" s="1"/>
  <c r="F8" i="33" s="1"/>
  <c r="F7" i="33"/>
  <c r="C477" i="34"/>
  <c r="J477" i="34" s="1"/>
  <c r="E450" i="33"/>
  <c r="D399" i="34" s="1"/>
  <c r="F533" i="33"/>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C80" i="36" l="1"/>
  <c r="H4" i="39" s="1"/>
  <c r="E4" i="39" s="1"/>
  <c r="C8" i="34"/>
  <c r="J8" i="34" s="1"/>
  <c r="D202" i="34"/>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K4" i="38" l="1"/>
  <c r="K6" i="38"/>
  <c r="K5" i="38"/>
  <c r="K3" i="38"/>
  <c r="K51" i="36"/>
  <c r="C51" i="36" s="1"/>
  <c r="K47" i="36" s="1"/>
  <c r="C47" i="36" s="1"/>
  <c r="C422" i="34"/>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K2" i="38" l="1"/>
  <c r="E2" i="38" s="1"/>
  <c r="K74" i="36"/>
  <c r="C74" i="36" s="1"/>
  <c r="F502" i="33"/>
  <c r="I265" i="33"/>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H3" i="38" l="1"/>
  <c r="E3" i="38" s="1"/>
  <c r="H6" i="38"/>
  <c r="E6" i="38" s="1"/>
  <c r="H5" i="38"/>
  <c r="E5" i="38" s="1"/>
  <c r="H4" i="38"/>
  <c r="E4" i="38" s="1"/>
  <c r="F276" i="33"/>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AABC8A43-D96A-4C2B-81FE-EBE6A417BE5A}">
      <text>
        <r>
          <rPr>
            <b/>
            <sz val="9"/>
            <color indexed="81"/>
            <rFont val="Tahoma"/>
            <charset val="1"/>
          </rPr>
          <t>Rickter</t>
        </r>
      </text>
    </comment>
    <comment ref="C2" authorId="0" shapeId="0" xr:uid="{54C9FE48-03D7-4DC5-902C-FFC06CC62691}">
      <text>
        <r>
          <rPr>
            <b/>
            <sz val="9"/>
            <color indexed="81"/>
            <rFont val="Tahoma"/>
            <charset val="1"/>
          </rPr>
          <t>Aloys</t>
        </r>
      </text>
    </comment>
    <comment ref="E2" authorId="0" shapeId="0" xr:uid="{69624994-6362-46CD-B16D-45D1B0E4A8F9}">
      <text>
        <r>
          <rPr>
            <b/>
            <sz val="9"/>
            <color indexed="81"/>
            <rFont val="Tahoma"/>
            <charset val="1"/>
          </rPr>
          <t>Bronson</t>
        </r>
      </text>
    </comment>
    <comment ref="G2" authorId="0" shapeId="0" xr:uid="{D53D8FF1-A679-40CA-BCB0-84B699900EE5}">
      <text>
        <r>
          <rPr>
            <b/>
            <sz val="9"/>
            <color indexed="81"/>
            <rFont val="Tahoma"/>
            <charset val="1"/>
          </rPr>
          <t>Brayton</t>
        </r>
      </text>
    </comment>
    <comment ref="I2" authorId="0" shapeId="0" xr:uid="{E5D70911-EB6D-4C08-91B6-5EEE239F2EB3}">
      <text>
        <r>
          <rPr>
            <b/>
            <sz val="9"/>
            <color indexed="81"/>
            <rFont val="Tahoma"/>
            <charset val="1"/>
          </rPr>
          <t>Jurian</t>
        </r>
      </text>
    </comment>
    <comment ref="K2" authorId="0" shapeId="0" xr:uid="{AFEA4EE1-D7D9-46D8-90B0-DF9E3293AAA4}">
      <text>
        <r>
          <rPr>
            <b/>
            <sz val="9"/>
            <color indexed="81"/>
            <rFont val="Tahoma"/>
            <charset val="1"/>
          </rPr>
          <t>Mack</t>
        </r>
      </text>
    </comment>
    <comment ref="M2" authorId="0" shapeId="0" xr:uid="{449069F6-5FBF-4495-B0BC-D54E5EA09ED8}">
      <text>
        <r>
          <rPr>
            <b/>
            <sz val="9"/>
            <color indexed="81"/>
            <rFont val="Tahoma"/>
            <charset val="1"/>
          </rPr>
          <t>Ladislao</t>
        </r>
      </text>
    </comment>
    <comment ref="O2" authorId="0" shapeId="0" xr:uid="{812E0C8B-7F79-4592-BC85-BC1F9A280A8B}">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<sst xmlns="http://schemas.openxmlformats.org/spreadsheetml/2006/main" count="10150" uniqueCount="1250">
  <si>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</si>
  <si>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</si>
  <si>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</si>
  <si>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</si>
  <si>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</si>
  <si>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</si>
  <si>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</si>
  <si>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</si>
  <si>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</si>
  <si>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</si>
  <si>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</si>
  <si>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</si>
  <si>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</si>
  <si>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</si>
  <si>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</si>
  <si>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</si>
  <si>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</si>
  <si>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</si>
  <si>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</si>
  <si>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</si>
  <si>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</si>
  <si>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</si>
  <si>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</si>
  <si>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</si>
  <si>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</si>
  <si>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</si>
  <si>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</si>
  <si>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</si>
  <si>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</si>
  <si>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</si>
  <si>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</si>
  <si>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</si>
  <si>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</si>
  <si>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</si>
  <si>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</si>
  <si>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</si>
  <si>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</si>
  <si>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</si>
  <si>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</si>
  <si>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</si>
  <si>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</si>
  <si>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</si>
  <si>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</si>
  <si>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</si>
  <si>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</si>
  <si>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</si>
  <si>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</si>
  <si>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</si>
  <si>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</si>
  <si>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</si>
  <si>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</si>
  <si>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</si>
  <si>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</si>
  <si>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</si>
  <si>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</si>
  <si>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</si>
  <si>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</si>
  <si>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</si>
  <si>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</si>
  <si>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</si>
  <si>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</si>
  <si>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</si>
  <si>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</si>
  <si>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</si>
  <si>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</si>
  <si>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</si>
  <si>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</si>
  <si>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</si>
  <si>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</si>
  <si>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</si>
  <si>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</si>
  <si>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</si>
  <si>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</si>
  <si>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</si>
  <si>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</si>
  <si>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</si>
  <si>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</si>
  <si>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</si>
  <si>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</si>
  <si>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</si>
  <si>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</si>
  <si>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</si>
  <si>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</si>
  <si>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</si>
  <si>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</si>
  <si>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</si>
  <si>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</si>
  <si>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</si>
  <si>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</si>
  <si>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</si>
  <si>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</si>
  <si>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</si>
  <si>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</si>
  <si>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</si>
  <si>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</si>
  <si>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</si>
  <si>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</si>
  <si>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</si>
  <si>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</si>
  <si>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</si>
  <si>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</si>
  <si>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</si>
  <si>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</si>
  <si>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</si>
  <si>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</si>
  <si>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</si>
  <si>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</si>
  <si>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</si>
  <si>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</si>
  <si>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</si>
  <si>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</si>
  <si>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</si>
  <si>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</si>
  <si>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</si>
  <si>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</si>
  <si>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</si>
  <si>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</si>
  <si>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</si>
  <si>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</si>
  <si>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</si>
  <si>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</si>
  <si>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</si>
  <si>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</si>
  <si>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</si>
  <si>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</si>
  <si>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</si>
  <si>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</si>
  <si>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</si>
  <si>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</si>
  <si>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</si>
  <si>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</si>
  <si>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</si>
  <si>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</si>
  <si>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</si>
  <si>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</si>
  <si>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</si>
  <si>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</si>
  <si>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</si>
  <si>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</si>
  <si>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</si>
  <si>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</si>
  <si>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</si>
  <si>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</si>
  <si>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</si>
  <si>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</si>
  <si>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</si>
  <si>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</si>
  <si>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</si>
  <si>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</si>
  <si>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</si>
  <si>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</si>
  <si>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</si>
  <si>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</si>
  <si>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</si>
  <si>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</si>
  <si>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</si>
  <si>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</si>
  <si>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</si>
  <si>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</si>
  <si>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</si>
  <si>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</si>
  <si>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</si>
  <si>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</si>
  <si>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</si>
  <si>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</si>
  <si>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</si>
  <si>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</si>
  <si>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</si>
  <si>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</si>
  <si>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</si>
  <si>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</si>
  <si>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</si>
  <si>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</si>
  <si>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</si>
  <si>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</si>
  <si>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</si>
  <si>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</si>
  <si>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</si>
  <si>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</si>
  <si>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</si>
  <si>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</si>
  <si>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</si>
  <si>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</si>
  <si>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</si>
  <si>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</si>
  <si>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</si>
  <si>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</si>
  <si>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</si>
  <si>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</si>
  <si>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</si>
  <si>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</si>
  <si>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</si>
  <si>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</si>
  <si>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</si>
  <si>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</si>
  <si>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</si>
  <si>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</si>
  <si>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</si>
  <si>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</si>
  <si>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</si>
  <si>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</si>
  <si>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</si>
  <si>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</si>
  <si>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</si>
  <si>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</si>
  <si>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</si>
  <si>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</si>
  <si>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</si>
  <si>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</si>
  <si>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</si>
  <si>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</si>
  <si>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</si>
  <si>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</si>
  <si>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</si>
  <si>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</si>
  <si>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</si>
  <si>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</si>
  <si>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</si>
  <si>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</si>
  <si>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</si>
  <si>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</si>
  <si>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</si>
  <si>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</si>
  <si>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</si>
  <si>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</si>
  <si>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</si>
  <si>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</si>
  <si>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</si>
  <si>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</si>
  <si>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</si>
  <si>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</si>
  <si>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</si>
  <si>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</si>
  <si>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</si>
  <si>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</si>
  <si>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</si>
  <si>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</si>
  <si>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</si>
  <si>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</si>
  <si>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</si>
  <si>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</si>
  <si>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</si>
  <si>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</si>
  <si>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</si>
  <si>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</si>
  <si>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</si>
  <si>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</si>
  <si>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</si>
  <si>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</si>
  <si>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</si>
  <si>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</si>
  <si>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</si>
  <si>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</si>
  <si>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</si>
  <si>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</si>
  <si>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</si>
  <si>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</si>
  <si>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</si>
  <si>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</si>
  <si>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</si>
  <si>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</si>
  <si>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</si>
  <si>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</si>
  <si>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</si>
  <si>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</si>
  <si>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</si>
  <si>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</si>
  <si>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</si>
  <si>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</si>
  <si>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</si>
  <si>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</si>
  <si>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</si>
  <si>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</si>
  <si>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</si>
  <si>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</si>
  <si>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</si>
  <si>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</si>
  <si>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</si>
  <si>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</si>
  <si>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</si>
  <si>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</si>
  <si>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</si>
  <si>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</si>
  <si>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</si>
  <si>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</si>
  <si>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</si>
  <si>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</si>
  <si>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</si>
  <si>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</si>
  <si>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</si>
  <si>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</si>
  <si>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</si>
  <si>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</si>
  <si>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</si>
  <si>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</si>
  <si>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</si>
  <si>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</si>
  <si>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</si>
  <si>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</si>
  <si>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</si>
  <si>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</si>
  <si>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</si>
  <si>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</si>
  <si>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</si>
  <si>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</si>
  <si>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</si>
  <si>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</si>
  <si>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</si>
  <si>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</si>
  <si>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</si>
  <si>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</si>
  <si>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</si>
  <si>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</si>
  <si>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</si>
  <si>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</si>
  <si>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</si>
  <si>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</si>
  <si>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</si>
  <si>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</si>
  <si>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</si>
  <si>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</si>
  <si>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</si>
  <si>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</si>
  <si>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</si>
  <si>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</si>
  <si>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</si>
  <si>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</si>
  <si>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</si>
  <si>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</si>
  <si>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</si>
  <si>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</si>
  <si>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</si>
  <si>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</si>
  <si>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</si>
  <si>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</si>
  <si>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</si>
  <si>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</si>
  <si>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</si>
  <si>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</si>
  <si>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</si>
  <si>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</si>
  <si>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</si>
  <si>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</si>
  <si>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</si>
  <si>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</si>
  <si>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</si>
  <si>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</si>
  <si>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</si>
  <si>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</si>
  <si>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</si>
  <si>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</si>
  <si>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</si>
  <si>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</si>
  <si>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</si>
  <si>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</si>
  <si>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</si>
  <si>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</si>
  <si>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</si>
  <si>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</si>
  <si>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</si>
  <si>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</si>
  <si>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</si>
  <si>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</si>
  <si>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</si>
  <si>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</si>
  <si>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</si>
  <si>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</si>
  <si>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</si>
  <si>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</si>
  <si>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</si>
  <si>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</si>
  <si>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</si>
  <si>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</si>
  <si>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</si>
  <si>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</si>
  <si>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</si>
  <si>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</si>
  <si>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</si>
  <si>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</si>
  <si>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</si>
  <si>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</si>
  <si>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</si>
  <si>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</si>
  <si>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</si>
  <si>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</si>
  <si>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</si>
  <si>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</si>
  <si>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</si>
  <si>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</si>
  <si>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</si>
  <si>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</si>
  <si>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</si>
  <si>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</si>
  <si>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</si>
  <si>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</si>
  <si>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</si>
  <si>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</si>
  <si>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</si>
  <si>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</si>
  <si>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</si>
  <si>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</si>
  <si>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</si>
  <si>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</si>
  <si>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</si>
  <si>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</si>
  <si>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</si>
  <si>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</si>
  <si>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</si>
  <si>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</si>
  <si>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</si>
  <si>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</si>
  <si>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</si>
  <si>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</si>
  <si>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</si>
  <si>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</si>
  <si>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</si>
  <si>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</si>
  <si>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</si>
  <si>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</si>
  <si>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</si>
  <si>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</si>
  <si>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</si>
  <si>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</si>
  <si>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</si>
  <si>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</si>
  <si>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</si>
  <si>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</si>
  <si>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</si>
  <si>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</si>
  <si>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</si>
  <si>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</si>
  <si>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</si>
  <si>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</si>
  <si>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</si>
  <si>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</si>
  <si>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</si>
  <si>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</si>
  <si>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</si>
  <si>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</si>
  <si>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</si>
  <si>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</si>
  <si>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</si>
  <si>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</si>
  <si>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</si>
  <si>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</si>
  <si>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</si>
  <si>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</si>
  <si>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</si>
  <si>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</si>
  <si>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</si>
  <si>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</si>
  <si>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</si>
  <si>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</si>
  <si>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</si>
  <si>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</si>
  <si>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</si>
  <si>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</si>
  <si>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</si>
  <si>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</si>
  <si>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</si>
  <si>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</si>
  <si>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</si>
  <si>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</si>
  <si>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</si>
  <si>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</si>
  <si>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</si>
  <si>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</si>
  <si>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</si>
  <si>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</si>
  <si>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</si>
  <si>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</si>
  <si>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</si>
  <si>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</si>
  <si>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</si>
  <si>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</si>
  <si>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</si>
  <si>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</si>
  <si>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</si>
  <si>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</si>
  <si>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</si>
  <si>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</si>
  <si>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</si>
  <si>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</si>
  <si>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</si>
  <si>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</si>
  <si>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</si>
  <si>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</si>
  <si>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</si>
  <si>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</si>
  <si>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</si>
  <si>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</si>
  <si>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</si>
  <si>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</si>
  <si>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</si>
  <si>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</si>
  <si>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</si>
  <si>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</si>
  <si>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</si>
  <si>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</si>
  <si>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</si>
  <si>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</si>
  <si>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</si>
  <si>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</si>
  <si>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</si>
  <si>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</si>
  <si>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</si>
  <si>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</si>
  <si>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</si>
  <si>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</si>
  <si>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</si>
  <si>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</si>
  <si>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</si>
  <si>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</si>
  <si>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</si>
  <si>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</si>
  <si>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</si>
  <si>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</si>
  <si>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</si>
  <si>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</si>
  <si>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</si>
  <si>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</si>
  <si>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</si>
  <si>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</si>
  <si>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</si>
  <si>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</si>
  <si>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</si>
  <si>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</si>
  <si>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</si>
  <si>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</si>
  <si>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</si>
  <si>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</si>
  <si>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</si>
  <si>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</si>
  <si>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</si>
  <si>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</si>
  <si>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</si>
  <si>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</si>
  <si>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</si>
  <si>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</si>
  <si>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</si>
  <si>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</si>
  <si>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</si>
  <si>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</si>
  <si>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</si>
  <si>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</si>
  <si>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</si>
  <si>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</si>
  <si>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</si>
  <si>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</si>
  <si>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</si>
  <si>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</si>
  <si>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</si>
  <si>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</si>
  <si>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</si>
  <si>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</si>
  <si>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</si>
  <si>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</si>
  <si>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</si>
  <si>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</si>
  <si>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</si>
  <si>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</si>
  <si>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</si>
  <si>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</si>
  <si>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</si>
  <si>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</si>
  <si>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</si>
  <si>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</si>
  <si>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</si>
  <si>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</si>
  <si>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</si>
  <si>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</si>
  <si>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</si>
  <si>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</si>
  <si>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</si>
  <si>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</si>
  <si>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</si>
  <si>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</si>
  <si>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</si>
  <si>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</si>
  <si>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</si>
  <si>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</si>
  <si>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</si>
  <si>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</si>
  <si>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</si>
  <si>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</si>
  <si>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</si>
  <si>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</si>
  <si>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</si>
  <si>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</si>
  <si>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</si>
  <si>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</si>
  <si>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</si>
  <si>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</si>
  <si>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</si>
  <si>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</si>
  <si>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</si>
  <si>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</si>
  <si>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</si>
  <si>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</si>
  <si>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</si>
  <si>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</si>
  <si>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</si>
  <si>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</si>
  <si>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</si>
  <si>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</si>
  <si>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</si>
  <si>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</si>
  <si>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</si>
  <si>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</si>
  <si>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</si>
  <si>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</si>
  <si>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</si>
  <si>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</si>
  <si>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</si>
  <si>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</si>
  <si>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</si>
  <si>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</si>
  <si>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</si>
  <si>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</si>
  <si>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</si>
  <si>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</si>
  <si>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</si>
  <si>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</si>
  <si>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</si>
  <si>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</si>
  <si>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</si>
  <si>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</si>
  <si>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</si>
  <si>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</si>
  <si>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</si>
  <si>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</si>
  <si>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</si>
  <si>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</si>
  <si>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</si>
  <si>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</si>
  <si>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</si>
  <si>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</si>
  <si>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</si>
  <si>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</si>
  <si>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</si>
  <si>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</si>
  <si>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</si>
  <si>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</si>
  <si>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</si>
  <si>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</si>
  <si>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</si>
  <si>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</si>
  <si>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</si>
  <si>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</si>
  <si>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</si>
  <si>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</si>
  <si>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</si>
  <si>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</si>
  <si>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</si>
  <si>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</si>
  <si>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</si>
  <si>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</si>
  <si>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</si>
  <si>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</si>
  <si>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</si>
  <si>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</si>
  <si>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</si>
  <si>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</si>
  <si>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</si>
  <si>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</si>
  <si>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</si>
  <si>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</si>
  <si>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</si>
  <si>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</si>
  <si>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</si>
  <si>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</si>
  <si>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</si>
  <si>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</si>
  <si>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</si>
  <si>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</si>
  <si>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</si>
  <si>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</si>
  <si>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</si>
  <si>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</si>
  <si>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</si>
  <si>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</si>
  <si>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</si>
  <si>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</si>
  <si>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</si>
  <si>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</si>
  <si>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</si>
  <si>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</si>
  <si>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</si>
  <si>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</si>
  <si>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</si>
  <si>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</si>
  <si>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</si>
  <si>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</si>
  <si>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</si>
  <si>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</si>
  <si>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</si>
  <si>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</si>
  <si>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</si>
  <si>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</si>
  <si>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</si>
  <si>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</si>
  <si>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</si>
  <si>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</si>
  <si>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</si>
  <si>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</si>
  <si>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</si>
  <si>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</si>
  <si>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</si>
  <si>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</si>
  <si>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</si>
  <si>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</si>
  <si>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</si>
  <si>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</si>
  <si>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</si>
  <si>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</si>
  <si>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</si>
  <si>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</si>
  <si>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</si>
  <si>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</si>
  <si>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</si>
  <si>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</si>
  <si>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</si>
  <si>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</si>
  <si>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</si>
  <si>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</si>
  <si>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</si>
  <si>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</si>
  <si>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</si>
  <si>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</si>
  <si>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</si>
  <si>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</si>
  <si>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</si>
  <si>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</si>
  <si>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</si>
  <si>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</si>
  <si>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</si>
  <si>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</si>
  <si>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</si>
  <si>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</si>
  <si>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</si>
  <si>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</si>
  <si>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</si>
  <si>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</si>
  <si>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</si>
  <si>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</si>
  <si>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</si>
  <si>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</si>
  <si>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</si>
  <si>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</si>
  <si>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</si>
  <si>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</si>
  <si>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</si>
  <si>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</si>
  <si>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</si>
  <si>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</si>
  <si>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</si>
  <si>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</si>
  <si>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</si>
  <si>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</si>
  <si>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</si>
  <si>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</si>
  <si>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</si>
  <si>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</si>
  <si>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</si>
  <si>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</si>
  <si>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</si>
  <si>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</si>
  <si>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</si>
  <si>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</si>
  <si>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</si>
  <si>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</si>
  <si>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</si>
  <si>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</si>
  <si>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</si>
  <si>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</si>
  <si>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</si>
  <si>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</si>
  <si>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</si>
  <si>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</si>
  <si>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</si>
  <si>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</si>
  <si>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</si>
  <si>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</si>
  <si>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</si>
  <si>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</si>
  <si>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</si>
  <si>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</si>
  <si>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</si>
  <si>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</si>
  <si>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</si>
  <si>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</si>
  <si>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</si>
  <si>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</si>
  <si>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</si>
  <si>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</si>
  <si>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</si>
  <si>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</si>
  <si>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</si>
  <si>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</si>
  <si>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</si>
  <si>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</si>
  <si>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</si>
  <si>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</si>
  <si>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</si>
  <si>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</si>
  <si>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</si>
  <si>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</si>
  <si>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</si>
  <si>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</si>
  <si>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</si>
  <si>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</si>
  <si>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</si>
  <si>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</si>
  <si>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</si>
  <si>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</si>
  <si>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</si>
  <si>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</si>
  <si>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</si>
  <si>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</si>
  <si>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</si>
  <si>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</si>
  <si>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</si>
  <si>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</si>
  <si>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</si>
  <si>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</si>
  <si>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</si>
  <si>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</si>
  <si>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</si>
  <si>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</si>
  <si>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</si>
  <si>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</si>
  <si>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</si>
  <si>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</si>
  <si>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</si>
  <si>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</si>
  <si>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</si>
  <si>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</si>
  <si>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</si>
  <si>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</si>
  <si>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</si>
  <si>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</si>
  <si>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</si>
  <si>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</si>
  <si>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</si>
  <si>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</si>
  <si>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</si>
  <si>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</si>
  <si>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</si>
  <si>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</si>
  <si>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</si>
  <si>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</si>
  <si>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</si>
  <si>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</si>
  <si>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</si>
  <si>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</si>
  <si>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</si>
  <si>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</si>
  <si>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</si>
  <si>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</si>
  <si>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</si>
  <si>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</si>
  <si>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</si>
  <si>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</si>
  <si>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</si>
  <si>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</si>
  <si>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</si>
  <si>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</si>
  <si>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</si>
  <si>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</si>
  <si>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</si>
  <si>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</si>
  <si>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</si>
  <si>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</si>
  <si>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</si>
  <si>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</si>
  <si>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</si>
  <si>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</si>
  <si>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</si>
  <si>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</si>
  <si>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</si>
  <si>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</si>
  <si>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</si>
  <si>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</si>
  <si>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</si>
  <si>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</si>
  <si>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</si>
  <si>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</si>
  <si>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</si>
  <si>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</si>
  <si>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</si>
  <si>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</si>
  <si>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</si>
  <si>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</si>
  <si>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</si>
  <si>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</si>
  <si>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</si>
  <si>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</si>
  <si>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</si>
  <si>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</si>
  <si>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</si>
  <si>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</si>
  <si>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</si>
  <si>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</si>
  <si>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</si>
  <si>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</si>
  <si>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</si>
  <si>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</si>
  <si>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</si>
  <si>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</si>
  <si>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</si>
  <si>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</si>
  <si>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</si>
  <si>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</si>
  <si>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</si>
  <si>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</si>
  <si>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</si>
  <si>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</si>
  <si>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</si>
  <si>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</si>
  <si>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</si>
  <si>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</si>
  <si>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</si>
  <si>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</si>
  <si>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</si>
  <si>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</si>
  <si>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</si>
  <si>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</si>
  <si>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</si>
  <si>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</si>
  <si>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</si>
  <si>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</si>
  <si>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</si>
  <si>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</si>
  <si>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</si>
  <si>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</si>
  <si>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</si>
  <si>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</si>
  <si>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</si>
  <si>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</si>
  <si>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</si>
  <si>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</si>
  <si>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</si>
  <si>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</si>
  <si>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</si>
  <si>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</si>
  <si>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</si>
  <si>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</si>
  <si>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</si>
  <si>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</si>
  <si>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</si>
  <si>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</si>
  <si>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</si>
  <si>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</si>
  <si>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</si>
  <si>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</si>
  <si>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</si>
  <si>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</si>
  <si>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</si>
  <si>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</si>
  <si>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</si>
  <si>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</si>
  <si>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</si>
  <si>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</si>
  <si>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</si>
  <si>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</si>
  <si>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</si>
  <si>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</si>
  <si>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</si>
  <si>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</si>
  <si>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</si>
  <si>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</si>
  <si>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</si>
  <si>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</si>
  <si>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</si>
  <si>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</si>
  <si>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</si>
  <si>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</si>
  <si>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</si>
  <si>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</si>
  <si>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</si>
  <si>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</si>
  <si>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</si>
  <si>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</si>
  <si>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</si>
  <si>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</si>
  <si>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</si>
  <si>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</si>
  <si>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</si>
  <si>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</si>
  <si>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</si>
  <si>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</si>
  <si>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</si>
  <si>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</si>
  <si>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</si>
  <si>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</si>
  <si>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</si>
  <si>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</si>
  <si>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</si>
  <si>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</si>
  <si>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</si>
  <si>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</si>
  <si>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</si>
  <si>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</si>
  <si>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</si>
  <si>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</si>
  <si>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</si>
  <si>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</si>
  <si>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</si>
  <si>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</si>
  <si>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</si>
  <si>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</si>
  <si>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</si>
  <si>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</si>
  <si>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</si>
  <si>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</si>
  <si>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</si>
  <si>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</si>
  <si>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</si>
  <si>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</si>
  <si>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</si>
  <si>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</si>
  <si>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</si>
  <si>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</si>
  <si>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</si>
  <si>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</si>
  <si>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</si>
  <si>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</si>
  <si>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</si>
  <si>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</si>
  <si>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</si>
  <si>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</si>
  <si>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</si>
  <si>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</si>
  <si>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</si>
  <si>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</si>
  <si>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</si>
  <si>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</si>
  <si>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</si>
  <si>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</si>
  <si>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</si>
  <si>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</si>
  <si>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</si>
  <si>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</si>
  <si>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</si>
  <si>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</si>
  <si>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</si>
  <si>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</si>
  <si>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</si>
  <si>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</si>
  <si>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</si>
  <si>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</si>
  <si>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</si>
  <si>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</si>
  <si>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</si>
  <si>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</si>
  <si>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</si>
  <si>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</si>
  <si>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</si>
  <si>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</si>
  <si>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</si>
  <si>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</si>
  <si>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</si>
  <si>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</si>
  <si>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</si>
  <si>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</si>
  <si>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</si>
  <si>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</si>
  <si>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</si>
  <si>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</si>
  <si>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</si>
  <si>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</si>
  <si>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</si>
  <si>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</si>
  <si>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</si>
  <si>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</si>
  <si>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</si>
  <si>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</si>
  <si>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</si>
  <si>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</si>
  <si>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</si>
  <si>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</si>
  <si>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</si>
  <si>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</si>
  <si>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</si>
  <si>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</si>
  <si>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</si>
  <si>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</si>
  <si>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</si>
  <si>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</si>
  <si>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</si>
  <si>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</si>
  <si>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</si>
  <si>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</si>
  <si>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</si>
  <si>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</si>
  <si>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</si>
  <si>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</si>
  <si>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</si>
  <si>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</si>
  <si>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</si>
  <si>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</si>
  <si>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</si>
  <si>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</si>
  <si>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</si>
  <si>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</si>
  <si>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</si>
  <si>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</si>
  <si>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</si>
  <si>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</si>
  <si>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</si>
  <si>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</si>
  <si>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</si>
  <si>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</si>
  <si>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</si>
  <si>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</si>
  <si>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</si>
  <si>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</si>
  <si>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</si>
  <si>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</si>
  <si>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</si>
  <si>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</si>
  <si>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</si>
  <si>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</si>
  <si>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</si>
  <si>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</si>
  <si>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</si>
  <si>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</si>
  <si>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</si>
  <si>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</si>
  <si>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</si>
  <si>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</si>
  <si>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</si>
  <si>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</si>
  <si>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</si>
  <si>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</si>
  <si>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</si>
  <si>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</si>
  <si>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</si>
  <si>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</si>
  <si>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</si>
  <si>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</si>
  <si>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</si>
  <si>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</si>
  <si>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</si>
  <si>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</si>
  <si>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</si>
  <si>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</si>
  <si>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</si>
  <si>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</si>
  <si>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</si>
  <si>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</si>
  <si>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</si>
  <si>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</si>
  <si>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Mendigo</t>
  </si>
  <si>
    <t>Esencia</t>
  </si>
  <si>
    <t>Inteligencia</t>
  </si>
  <si>
    <t xml:space="preserve">  - '%tierlore%'</t>
  </si>
  <si>
    <t>ATRIBUTO ESPECIAL</t>
  </si>
  <si>
    <t>Armor</t>
  </si>
  <si>
    <t>Multiplo de atributo</t>
  </si>
  <si>
    <t>&amp;7Ataque:</t>
  </si>
  <si>
    <t>comun x2</t>
  </si>
  <si>
    <t>magico x3</t>
  </si>
  <si>
    <t>EMPLASTOS x2</t>
  </si>
  <si>
    <t>ACEITES x3</t>
  </si>
  <si>
    <t>Emplasto Maderico</t>
  </si>
  <si>
    <t>Corteza de roble</t>
  </si>
  <si>
    <t>FRAGUA</t>
  </si>
  <si>
    <t>Corteza de abeto</t>
  </si>
  <si>
    <t>Corteza de abedul</t>
  </si>
  <si>
    <t>Corteza de acacia</t>
  </si>
  <si>
    <t>ITEM 3</t>
  </si>
  <si>
    <t>PELLEJOS</t>
  </si>
  <si>
    <t>CUEROS</t>
  </si>
  <si>
    <t>CADABER POLLO</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</si>
  <si>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</si>
  <si>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</si>
  <si>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</si>
  <si>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</si>
  <si>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</si>
  <si>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</si>
  <si>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</si>
  <si>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</si>
  <si>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</si>
  <si>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</si>
  <si>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</si>
  <si>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</si>
  <si>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</si>
  <si>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</si>
  <si>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</si>
  <si>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</si>
  <si>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</si>
  <si>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</si>
  <si>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</si>
  <si>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</si>
  <si>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</si>
  <si>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</si>
  <si>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</si>
  <si>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</si>
  <si>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</si>
  <si>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</si>
  <si>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</si>
  <si>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</si>
  <si>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</si>
  <si>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</si>
  <si>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</si>
  <si>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</si>
  <si>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</si>
  <si>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</si>
  <si>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</si>
  <si>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POLLO</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</si>
  <si>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</si>
  <si>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</si>
  <si>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</si>
  <si>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</si>
  <si>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</si>
  <si>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</si>
  <si>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</si>
  <si>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</si>
  <si>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</si>
  <si>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</si>
  <si>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</si>
  <si>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</si>
  <si>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</si>
  <si>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</si>
  <si>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</si>
  <si>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</si>
  <si>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</si>
  <si>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</si>
  <si>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</si>
  <si>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</si>
  <si>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</si>
  <si>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</si>
  <si>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LEATHER/CHAIN</t>
  </si>
  <si>
    <t>CTD</t>
  </si>
  <si>
    <t>PIELES TTDS</t>
  </si>
  <si>
    <t>TRANSMTCIONS</t>
  </si>
  <si>
    <t>ID 6</t>
  </si>
  <si>
    <t>ID 7</t>
  </si>
  <si>
    <t>Corteza de Jungla</t>
  </si>
  <si>
    <t>Corteza de Roble oscuro</t>
  </si>
  <si>
    <t>PEDRUZCO</t>
  </si>
  <si>
    <t>cadaber de pollo</t>
  </si>
  <si>
    <t>Pellejo Astillado</t>
  </si>
  <si>
    <t>Pdzco llameante</t>
  </si>
  <si>
    <t>Ppl Astillado</t>
  </si>
  <si>
    <t>MOCHILA</t>
  </si>
  <si>
    <t>CRAFTEO DE MECANICAS</t>
  </si>
  <si>
    <t>Artl Flamante</t>
  </si>
  <si>
    <t>Dije Rojo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</si>
</sst>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7"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s>
  <fills count="34">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
      <patternFill patternType="solid">
        <fgColor theme="9"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74">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8" borderId="1" xfId="0" applyFont="1" applyFill="1" applyBorder="1" applyAlignment="1">
      <alignment horizontal="center"/>
    </xf>
    <xf numFmtId="0" fontId="7" fillId="28" borderId="0" xfId="0" applyFont="1" applyFill="1" applyAlignment="1">
      <alignment vertical="center"/>
    </xf>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7" fillId="2" borderId="0" xfId="0" applyFont="1" applyFill="1" applyAlignment="1">
      <alignment horizontal="center" vertical="center"/>
    </xf>
    <xf numFmtId="0" fontId="0" fillId="0" borderId="0" xfId="0" applyAlignment="1">
      <alignment horizontal="left"/>
    </xf>
    <xf numFmtId="0" fontId="7" fillId="3" borderId="0" xfId="0" applyFont="1" applyFill="1" applyAlignment="1">
      <alignment horizontal="center"/>
    </xf>
    <xf numFmtId="0" fontId="7" fillId="27" borderId="0" xfId="0" applyFont="1" applyFill="1" applyAlignment="1">
      <alignment horizontal="center"/>
    </xf>
    <xf numFmtId="0" fontId="0" fillId="0" borderId="0" xfId="0" applyFont="1" applyAlignment="1">
      <alignment horizontal="left"/>
    </xf>
    <xf numFmtId="0" fontId="7" fillId="8" borderId="0" xfId="0" applyFont="1" applyFill="1" applyAlignment="1">
      <alignment horizontal="center"/>
    </xf>
    <xf numFmtId="0" fontId="13" fillId="33" borderId="0" xfId="0" applyFont="1" applyFill="1" applyAlignment="1">
      <alignment horizontal="center"/>
    </xf>
    <xf numFmtId="0" fontId="14" fillId="28" borderId="0" xfId="0" applyFont="1" applyFill="1" applyAlignment="1">
      <alignment horizontal="center" vertical="center" textRotation="90"/>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7" t="s">
        <v>1153</v>
      </c>
      <c r="B1" s="297"/>
      <c r="C1" s="286"/>
      <c r="D1" s="286"/>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A18" workbookViewId="0">
      <selection activeCell="K27" sqref="K27"/>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18" t="s">
        <v>146</v>
      </c>
      <c r="E1" s="318"/>
      <c r="F1" s="318"/>
      <c r="G1" s="318"/>
      <c r="H1" s="318"/>
      <c r="I1" s="318"/>
      <c r="J1" s="318"/>
      <c r="K1" s="319"/>
      <c r="L1" s="305" t="s">
        <v>199</v>
      </c>
      <c r="M1" s="306"/>
      <c r="N1" s="304" t="s">
        <v>164</v>
      </c>
      <c r="O1" s="304"/>
      <c r="P1" s="304"/>
      <c r="Q1" s="304"/>
      <c r="R1" s="304"/>
      <c r="S1" s="25"/>
    </row>
    <row r="2" spans="1:24" x14ac:dyDescent="0.25">
      <c r="B2" s="50" t="s">
        <v>147</v>
      </c>
      <c r="C2" s="50" t="s">
        <v>62</v>
      </c>
      <c r="D2" s="302" t="s">
        <v>152</v>
      </c>
      <c r="E2" s="302"/>
      <c r="F2" s="302" t="s">
        <v>150</v>
      </c>
      <c r="G2" s="302"/>
      <c r="H2" s="302" t="s">
        <v>151</v>
      </c>
      <c r="I2" s="302"/>
      <c r="J2" s="302" t="s">
        <v>160</v>
      </c>
      <c r="K2" s="317"/>
      <c r="L2" s="307"/>
      <c r="M2" s="308"/>
      <c r="N2" s="29" t="s">
        <v>35</v>
      </c>
      <c r="O2" s="30" t="s">
        <v>51</v>
      </c>
      <c r="P2" s="29" t="s">
        <v>52</v>
      </c>
      <c r="Q2" s="30" t="s">
        <v>53</v>
      </c>
      <c r="R2" s="29" t="s">
        <v>54</v>
      </c>
    </row>
    <row r="3" spans="1:24" x14ac:dyDescent="0.25">
      <c r="B3" s="28">
        <v>1</v>
      </c>
      <c r="C3" s="53">
        <v>1</v>
      </c>
      <c r="D3" s="303" t="s">
        <v>122</v>
      </c>
      <c r="E3" s="303"/>
      <c r="F3" s="298" t="s">
        <v>128</v>
      </c>
      <c r="G3" s="298"/>
      <c r="H3" s="303" t="s">
        <v>134</v>
      </c>
      <c r="I3" s="303"/>
      <c r="J3" s="303" t="s">
        <v>135</v>
      </c>
      <c r="K3" s="327"/>
      <c r="L3" s="307"/>
      <c r="M3" s="308"/>
      <c r="N3" s="33">
        <v>1</v>
      </c>
      <c r="O3" s="33">
        <v>3</v>
      </c>
      <c r="P3" s="33">
        <v>5</v>
      </c>
      <c r="Q3" s="33">
        <v>7</v>
      </c>
      <c r="R3" s="33">
        <v>9</v>
      </c>
      <c r="S3" s="328" t="s">
        <v>165</v>
      </c>
      <c r="T3" s="329"/>
      <c r="U3" s="329"/>
      <c r="V3" s="329"/>
      <c r="W3" s="329"/>
      <c r="X3" s="329"/>
    </row>
    <row r="4" spans="1:24" s="24" customFormat="1" x14ac:dyDescent="0.25">
      <c r="B4" s="28">
        <v>2</v>
      </c>
      <c r="C4" s="54">
        <f>$C$3+2</f>
        <v>3</v>
      </c>
      <c r="D4" s="303" t="s">
        <v>123</v>
      </c>
      <c r="E4" s="303"/>
      <c r="F4" s="298" t="s">
        <v>129</v>
      </c>
      <c r="G4" s="298"/>
      <c r="H4" s="303" t="s">
        <v>136</v>
      </c>
      <c r="I4" s="303"/>
      <c r="J4" s="303" t="s">
        <v>137</v>
      </c>
      <c r="K4" s="327"/>
      <c r="L4" s="309"/>
      <c r="M4" s="310"/>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3" t="s">
        <v>124</v>
      </c>
      <c r="E5" s="303"/>
      <c r="F5" s="298" t="s">
        <v>130</v>
      </c>
      <c r="G5" s="298"/>
      <c r="H5" s="303" t="s">
        <v>139</v>
      </c>
      <c r="I5" s="303"/>
      <c r="J5" s="303" t="s">
        <v>138</v>
      </c>
      <c r="K5" s="327"/>
      <c r="L5" s="311"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3" t="s">
        <v>127</v>
      </c>
      <c r="E6" s="303"/>
      <c r="F6" s="298" t="s">
        <v>131</v>
      </c>
      <c r="G6" s="298"/>
      <c r="H6" s="303" t="s">
        <v>140</v>
      </c>
      <c r="I6" s="303"/>
      <c r="J6" s="303" t="s">
        <v>141</v>
      </c>
      <c r="K6" s="327"/>
      <c r="L6" s="312"/>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3" t="s">
        <v>126</v>
      </c>
      <c r="E7" s="303"/>
      <c r="F7" s="298" t="s">
        <v>132</v>
      </c>
      <c r="G7" s="298"/>
      <c r="H7" s="303" t="s">
        <v>142</v>
      </c>
      <c r="I7" s="303"/>
      <c r="J7" s="303" t="s">
        <v>143</v>
      </c>
      <c r="K7" s="327"/>
      <c r="L7" s="312"/>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3" t="s">
        <v>125</v>
      </c>
      <c r="E8" s="303"/>
      <c r="F8" s="298" t="s">
        <v>133</v>
      </c>
      <c r="G8" s="298"/>
      <c r="H8" s="303" t="s">
        <v>144</v>
      </c>
      <c r="I8" s="303"/>
      <c r="J8" s="303" t="s">
        <v>145</v>
      </c>
      <c r="K8" s="327"/>
      <c r="L8" s="312"/>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18" t="s">
        <v>163</v>
      </c>
      <c r="E9" s="318"/>
      <c r="F9" s="318"/>
      <c r="G9" s="318"/>
      <c r="H9" s="318"/>
      <c r="I9" s="318"/>
      <c r="J9" s="318"/>
      <c r="K9" s="319"/>
      <c r="L9" s="313"/>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298">
        <v>1.5</v>
      </c>
      <c r="E10" s="298"/>
      <c r="F10" s="298">
        <v>2.5</v>
      </c>
      <c r="G10" s="298"/>
      <c r="H10" s="298">
        <v>64</v>
      </c>
      <c r="I10" s="298"/>
      <c r="J10" s="298">
        <v>64</v>
      </c>
      <c r="K10" s="330"/>
      <c r="L10" s="314"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298">
        <v>64</v>
      </c>
      <c r="E11" s="298"/>
      <c r="F11" s="298">
        <v>64</v>
      </c>
      <c r="G11" s="298"/>
      <c r="H11" s="298">
        <v>64</v>
      </c>
      <c r="I11" s="298"/>
      <c r="J11" s="298">
        <v>64</v>
      </c>
      <c r="K11" s="330"/>
      <c r="L11" s="315"/>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18" t="s">
        <v>169</v>
      </c>
      <c r="B12" s="318"/>
      <c r="C12" s="27"/>
      <c r="D12" s="318" t="s">
        <v>167</v>
      </c>
      <c r="E12" s="318"/>
      <c r="F12" s="318"/>
      <c r="G12" s="318"/>
      <c r="H12" s="318"/>
      <c r="I12" s="318"/>
      <c r="J12" s="318"/>
      <c r="K12" s="319"/>
      <c r="L12" s="315"/>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2" t="s">
        <v>152</v>
      </c>
      <c r="E13" s="302"/>
      <c r="F13" s="302" t="s">
        <v>150</v>
      </c>
      <c r="G13" s="302"/>
      <c r="H13" s="302" t="s">
        <v>151</v>
      </c>
      <c r="I13" s="302"/>
      <c r="J13" s="302" t="s">
        <v>160</v>
      </c>
      <c r="K13" s="317"/>
      <c r="L13" s="315"/>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21">
        <f>ROUND((D10*$B$13)/$B$14,2)</f>
        <v>128.33000000000001</v>
      </c>
      <c r="E14" s="321"/>
      <c r="F14" s="321">
        <f>ROUND((F10*$B$13)/$B$14,2)</f>
        <v>213.89</v>
      </c>
      <c r="G14" s="321"/>
      <c r="H14" s="321">
        <f>ROUND((H10*$B$13)/$B$14,2)</f>
        <v>5475.56</v>
      </c>
      <c r="I14" s="321"/>
      <c r="J14" s="321">
        <f>ROUND((J10*$B$13)/$B$14,2)</f>
        <v>5475.56</v>
      </c>
      <c r="K14" s="321"/>
      <c r="L14" s="316"/>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18" t="s">
        <v>171</v>
      </c>
      <c r="B15" s="318"/>
      <c r="C15" s="51" t="s">
        <v>162</v>
      </c>
      <c r="D15" s="321">
        <f>ROUND($D$14/$D$11,2)</f>
        <v>2.0099999999999998</v>
      </c>
      <c r="E15" s="321"/>
      <c r="F15" s="321">
        <f>ROUND($F$14/$F$11,2)</f>
        <v>3.34</v>
      </c>
      <c r="G15" s="321"/>
      <c r="H15" s="321">
        <f>ROUND($H$14/$H$11,2)</f>
        <v>85.56</v>
      </c>
      <c r="I15" s="321"/>
      <c r="J15" s="321">
        <f>ROUND($J$14/$J$11,2)</f>
        <v>85.56</v>
      </c>
      <c r="K15" s="321"/>
      <c r="L15" s="320"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6"/>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6"/>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20"/>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20"/>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23"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24"/>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24"/>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5"/>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18" t="s">
        <v>198</v>
      </c>
      <c r="E24" s="318"/>
      <c r="F24" s="318"/>
      <c r="G24" s="318"/>
      <c r="H24" s="318"/>
      <c r="I24" s="318"/>
      <c r="J24" s="318"/>
      <c r="K24" s="319"/>
      <c r="L24" s="325"/>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22" t="s">
        <v>152</v>
      </c>
      <c r="E25" s="322"/>
      <c r="F25" s="322" t="s">
        <v>150</v>
      </c>
      <c r="G25" s="322"/>
      <c r="H25" s="322" t="s">
        <v>151</v>
      </c>
      <c r="I25" s="322"/>
      <c r="J25" s="322" t="s">
        <v>160</v>
      </c>
      <c r="K25" s="322"/>
      <c r="L25" s="320"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20"/>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20"/>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20"/>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20"/>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299" t="s">
        <v>985</v>
      </c>
      <c r="E41" s="299"/>
      <c r="F41" s="299"/>
      <c r="G41" s="299"/>
      <c r="H41" s="299" t="s">
        <v>1005</v>
      </c>
      <c r="I41" s="299"/>
      <c r="J41" s="299"/>
      <c r="K41" s="299"/>
    </row>
    <row r="42" spans="1:23" x14ac:dyDescent="0.25">
      <c r="B42" s="166"/>
      <c r="C42" s="165"/>
      <c r="D42" s="300" t="s">
        <v>986</v>
      </c>
      <c r="E42" s="301"/>
      <c r="F42" s="301"/>
      <c r="G42" s="301"/>
      <c r="H42" s="300" t="s">
        <v>988</v>
      </c>
      <c r="I42" s="301"/>
      <c r="J42" s="301"/>
      <c r="K42" s="301"/>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569" activePane="bottomLeft" state="frozen"/>
      <selection pane="bottomLeft" activeCell="A589" sqref="A589"/>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32" t="s">
        <v>925</v>
      </c>
      <c r="H1" s="333"/>
      <c r="I1" s="333"/>
      <c r="J1" s="333"/>
      <c r="K1" s="331" t="s">
        <v>927</v>
      </c>
      <c r="L1" s="331"/>
      <c r="M1" s="331"/>
      <c r="N1" s="331"/>
      <c r="O1" s="334" t="s">
        <v>928</v>
      </c>
      <c r="P1" s="334"/>
      <c r="Q1" s="334"/>
      <c r="R1" s="334"/>
      <c r="S1" s="331" t="s">
        <v>929</v>
      </c>
      <c r="T1" s="331"/>
      <c r="U1" s="331"/>
      <c r="V1" s="331"/>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379" activePane="bottomLeft" state="frozen"/>
      <selection pane="bottomLeft" activeCell="D534" sqref="D534"/>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J14" sqref="J14"/>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39" t="s">
        <v>152</v>
      </c>
      <c r="B1" s="339"/>
      <c r="C1" s="339"/>
      <c r="D1" s="339"/>
      <c r="E1" s="339" t="s">
        <v>150</v>
      </c>
      <c r="F1" s="339"/>
      <c r="G1" s="339"/>
      <c r="H1" s="339"/>
      <c r="I1" s="339" t="s">
        <v>151</v>
      </c>
      <c r="J1" s="339"/>
      <c r="K1" s="339"/>
      <c r="L1" s="339"/>
      <c r="M1" s="339" t="s">
        <v>160</v>
      </c>
      <c r="N1" s="339"/>
      <c r="O1" s="339"/>
      <c r="P1" s="339"/>
      <c r="Q1" s="187"/>
      <c r="R1" s="187"/>
    </row>
    <row r="2" spans="1:18" x14ac:dyDescent="0.25">
      <c r="A2" s="340" t="s">
        <v>1010</v>
      </c>
      <c r="B2" s="341"/>
      <c r="C2" s="341"/>
      <c r="D2" s="341"/>
      <c r="E2" s="340" t="s">
        <v>1010</v>
      </c>
      <c r="F2" s="341"/>
      <c r="G2" s="341"/>
      <c r="H2" s="341"/>
      <c r="I2" s="340" t="s">
        <v>1010</v>
      </c>
      <c r="J2" s="341"/>
      <c r="K2" s="341"/>
      <c r="L2" s="341"/>
      <c r="M2" s="340" t="s">
        <v>1010</v>
      </c>
      <c r="N2" s="341"/>
      <c r="O2" s="341"/>
      <c r="P2" s="341"/>
    </row>
    <row r="3" spans="1:18" x14ac:dyDescent="0.25">
      <c r="A3" s="335" t="s">
        <v>1008</v>
      </c>
      <c r="B3" s="336"/>
      <c r="C3" s="337">
        <f>COUNTA(A8:A30)</f>
        <v>16</v>
      </c>
      <c r="D3" s="338"/>
      <c r="E3" s="335" t="s">
        <v>1008</v>
      </c>
      <c r="F3" s="336"/>
      <c r="G3" s="337">
        <f>COUNTA(E8:E30)</f>
        <v>16</v>
      </c>
      <c r="H3" s="338"/>
      <c r="I3" s="335" t="s">
        <v>1008</v>
      </c>
      <c r="J3" s="336"/>
      <c r="K3" s="337">
        <f>COUNTA(I8:I30)</f>
        <v>19</v>
      </c>
      <c r="L3" s="338"/>
      <c r="M3" s="335" t="s">
        <v>1008</v>
      </c>
      <c r="N3" s="336"/>
      <c r="O3" s="337">
        <f>COUNTA(M8:M30)</f>
        <v>2</v>
      </c>
      <c r="P3" s="338"/>
    </row>
    <row r="4" spans="1:18" s="181" customFormat="1" x14ac:dyDescent="0.25">
      <c r="A4" s="335" t="s">
        <v>1009</v>
      </c>
      <c r="B4" s="336"/>
      <c r="C4" s="337">
        <f>ROUNDDOWN((C5+C6)/C3,1)</f>
        <v>3.1</v>
      </c>
      <c r="D4" s="338"/>
      <c r="E4" s="335" t="s">
        <v>1009</v>
      </c>
      <c r="F4" s="336"/>
      <c r="G4" s="337">
        <f>ROUNDDOWN((G5+G6)/G3,1)</f>
        <v>3.1</v>
      </c>
      <c r="H4" s="338"/>
      <c r="I4" s="335" t="s">
        <v>1009</v>
      </c>
      <c r="J4" s="336"/>
      <c r="K4" s="337">
        <f>ROUNDDOWN((K5+K6)/K3,1)</f>
        <v>2.6</v>
      </c>
      <c r="L4" s="338"/>
      <c r="M4" s="335" t="s">
        <v>1009</v>
      </c>
      <c r="N4" s="336"/>
      <c r="O4" s="337">
        <f>ROUNDDOWN((O5+O6)/O3,1)</f>
        <v>25</v>
      </c>
      <c r="P4" s="338"/>
    </row>
    <row r="5" spans="1:18" x14ac:dyDescent="0.25">
      <c r="A5" s="335" t="s">
        <v>1007</v>
      </c>
      <c r="B5" s="336"/>
      <c r="C5" s="337">
        <v>0</v>
      </c>
      <c r="D5" s="338"/>
      <c r="E5" s="335" t="s">
        <v>1007</v>
      </c>
      <c r="F5" s="336"/>
      <c r="G5" s="337">
        <v>0</v>
      </c>
      <c r="H5" s="338"/>
      <c r="I5" s="335" t="s">
        <v>1007</v>
      </c>
      <c r="J5" s="336"/>
      <c r="K5" s="337">
        <v>0</v>
      </c>
      <c r="L5" s="338"/>
      <c r="M5" s="335" t="s">
        <v>1007</v>
      </c>
      <c r="N5" s="336"/>
      <c r="O5" s="337">
        <v>0</v>
      </c>
      <c r="P5" s="338"/>
    </row>
    <row r="6" spans="1:18" x14ac:dyDescent="0.25">
      <c r="A6" s="335" t="s">
        <v>1016</v>
      </c>
      <c r="B6" s="336"/>
      <c r="C6" s="344">
        <v>50</v>
      </c>
      <c r="D6" s="345"/>
      <c r="E6" s="335" t="s">
        <v>1016</v>
      </c>
      <c r="F6" s="336"/>
      <c r="G6" s="344">
        <v>50</v>
      </c>
      <c r="H6" s="345"/>
      <c r="I6" s="335" t="s">
        <v>1016</v>
      </c>
      <c r="J6" s="336"/>
      <c r="K6" s="344">
        <v>50</v>
      </c>
      <c r="L6" s="345"/>
      <c r="M6" s="335" t="s">
        <v>1016</v>
      </c>
      <c r="N6" s="336"/>
      <c r="O6" s="344">
        <v>50</v>
      </c>
      <c r="P6" s="345"/>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42" t="s">
        <v>1011</v>
      </c>
      <c r="C31" s="342"/>
      <c r="D31" s="343"/>
      <c r="E31" s="257"/>
      <c r="F31" s="342" t="s">
        <v>1011</v>
      </c>
      <c r="G31" s="342"/>
      <c r="H31" s="343"/>
      <c r="I31" s="257"/>
      <c r="J31" s="342" t="s">
        <v>1011</v>
      </c>
      <c r="K31" s="342"/>
      <c r="L31" s="343"/>
      <c r="M31" s="257"/>
      <c r="N31" s="342" t="s">
        <v>1011</v>
      </c>
      <c r="O31" s="342"/>
      <c r="P31" s="343"/>
    </row>
    <row r="32" spans="1:16" x14ac:dyDescent="0.25">
      <c r="A32" s="258"/>
      <c r="B32" s="258" t="s">
        <v>1008</v>
      </c>
      <c r="C32" s="337">
        <f>COUNTA(A37:A59)</f>
        <v>5</v>
      </c>
      <c r="D32" s="338"/>
      <c r="E32" s="258"/>
      <c r="F32" s="258" t="s">
        <v>1008</v>
      </c>
      <c r="G32" s="337">
        <f>COUNTA(E37:E59)</f>
        <v>10</v>
      </c>
      <c r="H32" s="338"/>
      <c r="I32" s="258"/>
      <c r="J32" s="258" t="s">
        <v>1008</v>
      </c>
      <c r="K32" s="337">
        <f>COUNTA(I37:I59)</f>
        <v>13</v>
      </c>
      <c r="L32" s="338"/>
      <c r="M32" s="258"/>
      <c r="N32" s="258" t="s">
        <v>1008</v>
      </c>
      <c r="O32" s="337">
        <f>COUNTA(M37:M59)</f>
        <v>3</v>
      </c>
      <c r="P32" s="338"/>
    </row>
    <row r="33" spans="1:16" x14ac:dyDescent="0.25">
      <c r="A33" s="258"/>
      <c r="B33" s="258" t="s">
        <v>1009</v>
      </c>
      <c r="C33" s="337">
        <f>ROUNDDOWN(C34/C32,1)</f>
        <v>10</v>
      </c>
      <c r="D33" s="338"/>
      <c r="E33" s="258"/>
      <c r="F33" s="258" t="s">
        <v>1009</v>
      </c>
      <c r="G33" s="337">
        <f>ROUNDDOWN(G34/G32,1)</f>
        <v>5</v>
      </c>
      <c r="H33" s="338"/>
      <c r="I33" s="258"/>
      <c r="J33" s="258" t="s">
        <v>1009</v>
      </c>
      <c r="K33" s="337">
        <f>ROUNDDOWN(K34/K32,1)</f>
        <v>3.8</v>
      </c>
      <c r="L33" s="338"/>
      <c r="M33" s="258"/>
      <c r="N33" s="258" t="s">
        <v>1009</v>
      </c>
      <c r="O33" s="337">
        <f>ROUNDDOWN(O34/O32,1)</f>
        <v>16.600000000000001</v>
      </c>
      <c r="P33" s="338"/>
    </row>
    <row r="34" spans="1:16" x14ac:dyDescent="0.25">
      <c r="A34" s="258"/>
      <c r="B34" s="258" t="s">
        <v>1007</v>
      </c>
      <c r="C34" s="337">
        <v>50</v>
      </c>
      <c r="D34" s="338"/>
      <c r="E34" s="258"/>
      <c r="F34" s="258" t="s">
        <v>1007</v>
      </c>
      <c r="G34" s="337">
        <v>50</v>
      </c>
      <c r="H34" s="338"/>
      <c r="I34" s="258"/>
      <c r="J34" s="258" t="s">
        <v>1007</v>
      </c>
      <c r="K34" s="337">
        <v>50</v>
      </c>
      <c r="L34" s="338"/>
      <c r="M34" s="258"/>
      <c r="N34" s="258" t="s">
        <v>1007</v>
      </c>
      <c r="O34" s="337">
        <v>50</v>
      </c>
      <c r="P34" s="338"/>
    </row>
    <row r="35" spans="1:16" x14ac:dyDescent="0.25">
      <c r="A35" s="258"/>
      <c r="B35" s="258" t="s">
        <v>1016</v>
      </c>
      <c r="C35" s="344">
        <v>50</v>
      </c>
      <c r="D35" s="345"/>
      <c r="E35" s="258"/>
      <c r="F35" s="258" t="s">
        <v>1016</v>
      </c>
      <c r="G35" s="344">
        <v>50</v>
      </c>
      <c r="H35" s="345"/>
      <c r="I35" s="258"/>
      <c r="J35" s="258" t="s">
        <v>1016</v>
      </c>
      <c r="K35" s="344">
        <v>50</v>
      </c>
      <c r="L35" s="345"/>
      <c r="M35" s="258"/>
      <c r="N35" s="258" t="s">
        <v>1016</v>
      </c>
      <c r="O35" s="344">
        <v>50</v>
      </c>
      <c r="P35" s="345"/>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42" t="s">
        <v>1012</v>
      </c>
      <c r="C60" s="342"/>
      <c r="D60" s="343"/>
      <c r="E60" s="259"/>
      <c r="F60" s="342" t="s">
        <v>1012</v>
      </c>
      <c r="G60" s="342"/>
      <c r="H60" s="343"/>
      <c r="I60" s="259"/>
      <c r="J60" s="342" t="s">
        <v>1012</v>
      </c>
      <c r="K60" s="342"/>
      <c r="L60" s="343"/>
      <c r="M60" s="259"/>
      <c r="N60" s="342" t="s">
        <v>1012</v>
      </c>
      <c r="O60" s="342"/>
      <c r="P60" s="343"/>
    </row>
    <row r="61" spans="1:16" x14ac:dyDescent="0.25">
      <c r="A61" s="258"/>
      <c r="B61" s="258" t="s">
        <v>1008</v>
      </c>
      <c r="C61" s="337">
        <f>COUNTA(A66:A88)</f>
        <v>18</v>
      </c>
      <c r="D61" s="317"/>
      <c r="E61" s="258"/>
      <c r="F61" s="258" t="s">
        <v>1008</v>
      </c>
      <c r="G61" s="337">
        <f>COUNTA(E66:E88)</f>
        <v>14</v>
      </c>
      <c r="H61" s="317"/>
      <c r="I61" s="258"/>
      <c r="J61" s="258" t="s">
        <v>1008</v>
      </c>
      <c r="K61" s="337">
        <f>COUNTA(I66:I88)</f>
        <v>12</v>
      </c>
      <c r="L61" s="317"/>
      <c r="M61" s="258"/>
      <c r="N61" s="258" t="s">
        <v>1008</v>
      </c>
      <c r="O61" s="337">
        <f>COUNTA(M66:M88)</f>
        <v>1</v>
      </c>
      <c r="P61" s="317"/>
    </row>
    <row r="62" spans="1:16" x14ac:dyDescent="0.25">
      <c r="A62" s="258"/>
      <c r="B62" s="258" t="s">
        <v>1009</v>
      </c>
      <c r="C62" s="337">
        <f>ROUNDDOWN(C64/C61,1)</f>
        <v>2.7</v>
      </c>
      <c r="D62" s="317"/>
      <c r="E62" s="258"/>
      <c r="F62" s="258" t="s">
        <v>1009</v>
      </c>
      <c r="G62" s="337">
        <f>ROUNDDOWN(G64/G61,1)</f>
        <v>3.5</v>
      </c>
      <c r="H62" s="317"/>
      <c r="I62" s="258"/>
      <c r="J62" s="258" t="s">
        <v>1009</v>
      </c>
      <c r="K62" s="337">
        <f>ROUNDDOWN(K64/K61,1)</f>
        <v>4.0999999999999996</v>
      </c>
      <c r="L62" s="317"/>
      <c r="M62" s="258"/>
      <c r="N62" s="258" t="s">
        <v>1009</v>
      </c>
      <c r="O62" s="337">
        <f>ROUNDDOWN(O64/O61,1)</f>
        <v>50</v>
      </c>
      <c r="P62" s="317"/>
    </row>
    <row r="63" spans="1:16" x14ac:dyDescent="0.25">
      <c r="A63" s="258"/>
      <c r="B63" s="258" t="s">
        <v>1007</v>
      </c>
      <c r="C63" s="337">
        <v>100</v>
      </c>
      <c r="D63" s="317"/>
      <c r="E63" s="258"/>
      <c r="F63" s="258" t="s">
        <v>1007</v>
      </c>
      <c r="G63" s="337">
        <v>100</v>
      </c>
      <c r="H63" s="317"/>
      <c r="I63" s="258"/>
      <c r="J63" s="258" t="s">
        <v>1007</v>
      </c>
      <c r="K63" s="337">
        <v>100</v>
      </c>
      <c r="L63" s="317"/>
      <c r="M63" s="258"/>
      <c r="N63" s="258" t="s">
        <v>1007</v>
      </c>
      <c r="O63" s="337">
        <v>100</v>
      </c>
      <c r="P63" s="317"/>
    </row>
    <row r="64" spans="1:16" x14ac:dyDescent="0.25">
      <c r="A64" s="258"/>
      <c r="B64" s="258" t="s">
        <v>1016</v>
      </c>
      <c r="C64" s="344">
        <v>50</v>
      </c>
      <c r="D64" s="347"/>
      <c r="E64" s="258"/>
      <c r="F64" s="258" t="s">
        <v>1016</v>
      </c>
      <c r="G64" s="344">
        <v>50</v>
      </c>
      <c r="H64" s="347"/>
      <c r="I64" s="258"/>
      <c r="J64" s="258" t="s">
        <v>1016</v>
      </c>
      <c r="K64" s="344">
        <v>50</v>
      </c>
      <c r="L64" s="347"/>
      <c r="M64" s="258"/>
      <c r="N64" s="258" t="s">
        <v>1016</v>
      </c>
      <c r="O64" s="344">
        <v>50</v>
      </c>
      <c r="P64" s="347"/>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42" t="s">
        <v>1013</v>
      </c>
      <c r="C89" s="342"/>
      <c r="D89" s="343"/>
      <c r="E89" s="259"/>
      <c r="F89" s="342" t="s">
        <v>1013</v>
      </c>
      <c r="G89" s="342"/>
      <c r="H89" s="343"/>
      <c r="I89" s="259"/>
      <c r="J89" s="342" t="s">
        <v>1013</v>
      </c>
      <c r="K89" s="342"/>
      <c r="L89" s="343"/>
      <c r="M89" s="259"/>
      <c r="N89" s="342" t="s">
        <v>1013</v>
      </c>
      <c r="O89" s="342"/>
      <c r="P89" s="343"/>
    </row>
    <row r="90" spans="1:16" x14ac:dyDescent="0.25">
      <c r="A90" s="258"/>
      <c r="B90" s="258" t="s">
        <v>1008</v>
      </c>
      <c r="C90" s="337">
        <f>COUNTA(A95:A129)</f>
        <v>35</v>
      </c>
      <c r="D90" s="317"/>
      <c r="E90" s="258"/>
      <c r="F90" s="258" t="s">
        <v>1008</v>
      </c>
      <c r="G90" s="337">
        <f>COUNTA(E95:E129)</f>
        <v>7</v>
      </c>
      <c r="H90" s="317"/>
      <c r="I90" s="258"/>
      <c r="J90" s="258" t="s">
        <v>1008</v>
      </c>
      <c r="K90" s="337">
        <f>COUNTA(I95:I129)</f>
        <v>17</v>
      </c>
      <c r="L90" s="317"/>
      <c r="M90" s="258"/>
      <c r="N90" s="258" t="s">
        <v>1008</v>
      </c>
      <c r="O90" s="337">
        <f>COUNTA(M95:M129)</f>
        <v>4</v>
      </c>
      <c r="P90" s="317"/>
    </row>
    <row r="91" spans="1:16" x14ac:dyDescent="0.25">
      <c r="A91" s="258"/>
      <c r="B91" s="258" t="s">
        <v>1009</v>
      </c>
      <c r="C91" s="337">
        <f>ROUNDDOWN(C93/C90,1)</f>
        <v>1.4</v>
      </c>
      <c r="D91" s="338"/>
      <c r="E91" s="258"/>
      <c r="F91" s="258" t="s">
        <v>1009</v>
      </c>
      <c r="G91" s="337">
        <f>ROUNDDOWN(G93/G90,1)</f>
        <v>7.1</v>
      </c>
      <c r="H91" s="338"/>
      <c r="I91" s="258"/>
      <c r="J91" s="258" t="s">
        <v>1009</v>
      </c>
      <c r="K91" s="337">
        <f>ROUNDDOWN(K93/K90,1)</f>
        <v>2.9</v>
      </c>
      <c r="L91" s="338"/>
      <c r="M91" s="258"/>
      <c r="N91" s="258" t="s">
        <v>1009</v>
      </c>
      <c r="O91" s="337">
        <f>ROUNDDOWN(O93/O90,1)</f>
        <v>12.5</v>
      </c>
      <c r="P91" s="338"/>
    </row>
    <row r="92" spans="1:16" x14ac:dyDescent="0.25">
      <c r="A92" s="258"/>
      <c r="B92" s="258" t="s">
        <v>1007</v>
      </c>
      <c r="C92" s="337">
        <v>150</v>
      </c>
      <c r="D92" s="338"/>
      <c r="E92" s="258"/>
      <c r="F92" s="258" t="s">
        <v>1007</v>
      </c>
      <c r="G92" s="337">
        <v>150</v>
      </c>
      <c r="H92" s="338"/>
      <c r="I92" s="258"/>
      <c r="J92" s="258" t="s">
        <v>1007</v>
      </c>
      <c r="K92" s="337">
        <v>150</v>
      </c>
      <c r="L92" s="338"/>
      <c r="M92" s="258"/>
      <c r="N92" s="258" t="s">
        <v>1007</v>
      </c>
      <c r="O92" s="337">
        <v>150</v>
      </c>
      <c r="P92" s="338"/>
    </row>
    <row r="93" spans="1:16" x14ac:dyDescent="0.25">
      <c r="A93" s="258"/>
      <c r="B93" s="258" t="s">
        <v>1016</v>
      </c>
      <c r="C93" s="344">
        <v>50</v>
      </c>
      <c r="D93" s="345"/>
      <c r="E93" s="258"/>
      <c r="F93" s="258" t="s">
        <v>1016</v>
      </c>
      <c r="G93" s="344">
        <v>50</v>
      </c>
      <c r="H93" s="345"/>
      <c r="I93" s="258"/>
      <c r="J93" s="258" t="s">
        <v>1016</v>
      </c>
      <c r="K93" s="344">
        <v>50</v>
      </c>
      <c r="L93" s="345"/>
      <c r="M93" s="258"/>
      <c r="N93" s="258" t="s">
        <v>1016</v>
      </c>
      <c r="O93" s="344">
        <v>50</v>
      </c>
      <c r="P93" s="345"/>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42" t="s">
        <v>1014</v>
      </c>
      <c r="C130" s="342"/>
      <c r="D130" s="343"/>
      <c r="E130" s="257"/>
      <c r="F130" s="342" t="s">
        <v>1014</v>
      </c>
      <c r="G130" s="342"/>
      <c r="H130" s="343"/>
      <c r="I130" s="257"/>
      <c r="J130" s="342" t="s">
        <v>1014</v>
      </c>
      <c r="K130" s="342"/>
      <c r="L130" s="343"/>
      <c r="M130" s="257"/>
      <c r="N130" s="342" t="s">
        <v>1014</v>
      </c>
      <c r="O130" s="342"/>
      <c r="P130" s="343"/>
    </row>
    <row r="131" spans="1:16" x14ac:dyDescent="0.25">
      <c r="A131" s="258"/>
      <c r="B131" s="258" t="s">
        <v>1008</v>
      </c>
      <c r="C131" s="337">
        <f>COUNTA(A136:A158)</f>
        <v>20</v>
      </c>
      <c r="D131" s="317"/>
      <c r="E131" s="258"/>
      <c r="F131" s="258" t="s">
        <v>1008</v>
      </c>
      <c r="G131" s="337">
        <f>COUNTA(E136:E158)</f>
        <v>7</v>
      </c>
      <c r="H131" s="317"/>
      <c r="I131" s="258"/>
      <c r="J131" s="258" t="s">
        <v>1008</v>
      </c>
      <c r="K131" s="337">
        <f>COUNTA(I136:I158)</f>
        <v>21</v>
      </c>
      <c r="L131" s="317"/>
      <c r="M131" s="258"/>
      <c r="N131" s="258" t="s">
        <v>1008</v>
      </c>
      <c r="O131" s="337">
        <f>COUNTA(M136:M158)</f>
        <v>2</v>
      </c>
      <c r="P131" s="317"/>
    </row>
    <row r="132" spans="1:16" x14ac:dyDescent="0.25">
      <c r="A132" s="258"/>
      <c r="B132" s="258" t="s">
        <v>1009</v>
      </c>
      <c r="C132" s="337">
        <f>ROUNDDOWN(C134/C131,1)</f>
        <v>2.5</v>
      </c>
      <c r="D132" s="317"/>
      <c r="E132" s="258"/>
      <c r="F132" s="258" t="s">
        <v>1009</v>
      </c>
      <c r="G132" s="337">
        <f>ROUNDDOWN(G134/G131,1)</f>
        <v>7.1</v>
      </c>
      <c r="H132" s="317"/>
      <c r="I132" s="258"/>
      <c r="J132" s="258" t="s">
        <v>1009</v>
      </c>
      <c r="K132" s="337">
        <f>ROUNDDOWN(K134/K131,1)</f>
        <v>2.2999999999999998</v>
      </c>
      <c r="L132" s="317"/>
      <c r="M132" s="258"/>
      <c r="N132" s="258" t="s">
        <v>1009</v>
      </c>
      <c r="O132" s="337">
        <f>ROUNDDOWN(O134/O131,1)</f>
        <v>25</v>
      </c>
      <c r="P132" s="317"/>
    </row>
    <row r="133" spans="1:16" x14ac:dyDescent="0.25">
      <c r="A133" s="258"/>
      <c r="B133" s="258" t="s">
        <v>1007</v>
      </c>
      <c r="C133" s="337">
        <v>200</v>
      </c>
      <c r="D133" s="317"/>
      <c r="E133" s="258"/>
      <c r="F133" s="258" t="s">
        <v>1007</v>
      </c>
      <c r="G133" s="337">
        <v>200</v>
      </c>
      <c r="H133" s="317"/>
      <c r="I133" s="258"/>
      <c r="J133" s="258" t="s">
        <v>1007</v>
      </c>
      <c r="K133" s="337">
        <v>200</v>
      </c>
      <c r="L133" s="317"/>
      <c r="M133" s="258"/>
      <c r="N133" s="258" t="s">
        <v>1007</v>
      </c>
      <c r="O133" s="337">
        <v>200</v>
      </c>
      <c r="P133" s="317"/>
    </row>
    <row r="134" spans="1:16" x14ac:dyDescent="0.25">
      <c r="A134" s="258"/>
      <c r="B134" s="258" t="s">
        <v>1016</v>
      </c>
      <c r="C134" s="344">
        <v>50</v>
      </c>
      <c r="D134" s="347"/>
      <c r="E134" s="258"/>
      <c r="F134" s="258" t="s">
        <v>1016</v>
      </c>
      <c r="G134" s="344">
        <v>50</v>
      </c>
      <c r="H134" s="347"/>
      <c r="I134" s="258"/>
      <c r="J134" s="258" t="s">
        <v>1016</v>
      </c>
      <c r="K134" s="344">
        <v>50</v>
      </c>
      <c r="L134" s="347"/>
      <c r="M134" s="258"/>
      <c r="N134" s="258" t="s">
        <v>1016</v>
      </c>
      <c r="O134" s="344">
        <v>50</v>
      </c>
      <c r="P134" s="347"/>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6" t="s">
        <v>1015</v>
      </c>
      <c r="C159" s="342"/>
      <c r="D159" s="343"/>
      <c r="E159" s="257"/>
      <c r="F159" s="346" t="s">
        <v>1015</v>
      </c>
      <c r="G159" s="342"/>
      <c r="H159" s="343"/>
      <c r="I159" s="257"/>
      <c r="J159" s="346" t="s">
        <v>1015</v>
      </c>
      <c r="K159" s="342"/>
      <c r="L159" s="343"/>
      <c r="M159" s="257"/>
      <c r="N159" s="346" t="s">
        <v>1015</v>
      </c>
      <c r="O159" s="342"/>
      <c r="P159" s="343"/>
    </row>
    <row r="160" spans="1:16" x14ac:dyDescent="0.25">
      <c r="A160" s="258"/>
      <c r="B160" s="258" t="s">
        <v>1008</v>
      </c>
      <c r="C160" s="337">
        <f>COUNTA(A165:A187)</f>
        <v>12</v>
      </c>
      <c r="D160" s="338"/>
      <c r="E160" s="258"/>
      <c r="F160" s="258" t="s">
        <v>1008</v>
      </c>
      <c r="G160" s="337">
        <f>COUNTA(E165:E187)</f>
        <v>7</v>
      </c>
      <c r="H160" s="338"/>
      <c r="I160" s="258"/>
      <c r="J160" s="258" t="s">
        <v>1008</v>
      </c>
      <c r="K160" s="337">
        <f>COUNTA(I165:I187)</f>
        <v>22</v>
      </c>
      <c r="L160" s="338"/>
      <c r="M160" s="258"/>
      <c r="N160" s="258" t="s">
        <v>1008</v>
      </c>
      <c r="O160" s="337">
        <f>COUNTA(M165:M187)</f>
        <v>4</v>
      </c>
      <c r="P160" s="338"/>
    </row>
    <row r="161" spans="1:16" x14ac:dyDescent="0.25">
      <c r="A161" s="258"/>
      <c r="B161" s="258" t="s">
        <v>1009</v>
      </c>
      <c r="C161" s="337">
        <f>ROUNDDOWN(C163/C160,1)</f>
        <v>4.0999999999999996</v>
      </c>
      <c r="D161" s="338"/>
      <c r="E161" s="258"/>
      <c r="F161" s="258" t="s">
        <v>1009</v>
      </c>
      <c r="G161" s="337">
        <f>ROUNDDOWN(G163/G160,1)</f>
        <v>7.1</v>
      </c>
      <c r="H161" s="338"/>
      <c r="I161" s="258"/>
      <c r="J161" s="258" t="s">
        <v>1009</v>
      </c>
      <c r="K161" s="337">
        <f>ROUNDDOWN(K163/K160,1)</f>
        <v>2.2000000000000002</v>
      </c>
      <c r="L161" s="338"/>
      <c r="M161" s="258"/>
      <c r="N161" s="258" t="s">
        <v>1009</v>
      </c>
      <c r="O161" s="337">
        <f>ROUNDDOWN(O163/O160,1)</f>
        <v>12.5</v>
      </c>
      <c r="P161" s="338"/>
    </row>
    <row r="162" spans="1:16" x14ac:dyDescent="0.25">
      <c r="A162" s="258"/>
      <c r="B162" s="258" t="s">
        <v>1007</v>
      </c>
      <c r="C162" s="337">
        <v>250</v>
      </c>
      <c r="D162" s="338"/>
      <c r="E162" s="258"/>
      <c r="F162" s="258" t="s">
        <v>1007</v>
      </c>
      <c r="G162" s="337">
        <v>250</v>
      </c>
      <c r="H162" s="338"/>
      <c r="I162" s="258"/>
      <c r="J162" s="258" t="s">
        <v>1007</v>
      </c>
      <c r="K162" s="337">
        <v>250</v>
      </c>
      <c r="L162" s="338"/>
      <c r="M162" s="258"/>
      <c r="N162" s="258" t="s">
        <v>1007</v>
      </c>
      <c r="O162" s="337">
        <v>250</v>
      </c>
      <c r="P162" s="338"/>
    </row>
    <row r="163" spans="1:16" x14ac:dyDescent="0.25">
      <c r="A163" s="258"/>
      <c r="B163" s="258" t="s">
        <v>1016</v>
      </c>
      <c r="C163" s="344">
        <v>50</v>
      </c>
      <c r="D163" s="345"/>
      <c r="E163" s="258"/>
      <c r="F163" s="258" t="s">
        <v>1016</v>
      </c>
      <c r="G163" s="344">
        <v>50</v>
      </c>
      <c r="H163" s="345"/>
      <c r="I163" s="258"/>
      <c r="J163" s="258" t="s">
        <v>1016</v>
      </c>
      <c r="K163" s="344">
        <v>50</v>
      </c>
      <c r="L163" s="345"/>
      <c r="M163" s="258"/>
      <c r="N163" s="258" t="s">
        <v>1016</v>
      </c>
      <c r="O163" s="344">
        <v>50</v>
      </c>
      <c r="P163" s="345"/>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190"/>
  <sheetViews>
    <sheetView topLeftCell="A61" workbookViewId="0">
      <selection activeCell="A75" sqref="A75"/>
    </sheetView>
  </sheetViews>
  <sheetFormatPr baseColWidth="10" defaultRowHeight="15" x14ac:dyDescent="0.25"/>
  <cols>
    <col min="1" max="4" width="14.7109375" customWidth="1"/>
    <col min="5" max="5" width="17.28515625" customWidth="1"/>
    <col min="6"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x14ac:dyDescent="0.25">
      <c r="A1" s="351" t="s">
        <v>151</v>
      </c>
      <c r="B1" s="351"/>
      <c r="C1" s="351"/>
      <c r="D1" s="351"/>
      <c r="E1" s="353" t="s">
        <v>160</v>
      </c>
      <c r="F1" s="353"/>
      <c r="G1" s="353"/>
      <c r="H1" s="353"/>
      <c r="I1" s="351" t="s">
        <v>152</v>
      </c>
      <c r="J1" s="351"/>
      <c r="K1" s="351"/>
      <c r="L1" s="351"/>
      <c r="M1" s="353" t="s">
        <v>150</v>
      </c>
      <c r="N1" s="353"/>
      <c r="O1" s="353"/>
      <c r="P1" s="353"/>
    </row>
    <row r="2" spans="1:16" ht="15" customHeight="1" x14ac:dyDescent="0.25">
      <c r="A2" s="350" t="s">
        <v>1111</v>
      </c>
      <c r="B2" s="350"/>
      <c r="C2" s="350" t="s">
        <v>1112</v>
      </c>
      <c r="D2" s="350"/>
      <c r="E2" s="318" t="s">
        <v>1122</v>
      </c>
      <c r="F2" s="318"/>
      <c r="G2" s="318" t="s">
        <v>1125</v>
      </c>
      <c r="H2" s="318"/>
      <c r="I2" s="350" t="s">
        <v>1167</v>
      </c>
      <c r="J2" s="350"/>
      <c r="K2" s="350" t="s">
        <v>1127</v>
      </c>
      <c r="L2" s="350"/>
      <c r="M2" s="318" t="s">
        <v>1129</v>
      </c>
      <c r="N2" s="318"/>
      <c r="O2" s="318" t="s">
        <v>1130</v>
      </c>
      <c r="P2" s="318"/>
    </row>
    <row r="3" spans="1:16" ht="15" customHeight="1" x14ac:dyDescent="0.25">
      <c r="A3" s="349" t="s">
        <v>1113</v>
      </c>
      <c r="B3" s="349"/>
      <c r="C3" s="349" t="s">
        <v>1117</v>
      </c>
      <c r="D3" s="349"/>
      <c r="E3" s="349" t="s">
        <v>1172</v>
      </c>
      <c r="F3" s="349"/>
      <c r="G3" s="349" t="s">
        <v>1174</v>
      </c>
      <c r="H3" s="349"/>
      <c r="I3" s="349" t="s">
        <v>1185</v>
      </c>
      <c r="J3" s="349"/>
      <c r="K3" s="349" t="s">
        <v>1199</v>
      </c>
      <c r="L3" s="349"/>
      <c r="M3" s="349" t="s">
        <v>1193</v>
      </c>
      <c r="N3" s="349"/>
      <c r="O3" s="349" t="s">
        <v>1131</v>
      </c>
      <c r="P3" s="349"/>
    </row>
    <row r="4" spans="1:16" ht="15" customHeight="1" x14ac:dyDescent="0.25">
      <c r="A4" s="349" t="s">
        <v>1115</v>
      </c>
      <c r="B4" s="349"/>
      <c r="C4" s="349" t="s">
        <v>1183</v>
      </c>
      <c r="D4" s="349"/>
      <c r="E4" s="349" t="s">
        <v>1123</v>
      </c>
      <c r="F4" s="349"/>
      <c r="G4" s="349" t="s">
        <v>1175</v>
      </c>
      <c r="H4" s="349"/>
      <c r="I4" s="349" t="s">
        <v>1142</v>
      </c>
      <c r="J4" s="349"/>
      <c r="K4" s="349" t="s">
        <v>1198</v>
      </c>
      <c r="L4" s="349"/>
      <c r="M4" s="349" t="s">
        <v>1189</v>
      </c>
      <c r="N4" s="349"/>
      <c r="O4" s="349" t="s">
        <v>1201</v>
      </c>
      <c r="P4" s="349"/>
    </row>
    <row r="5" spans="1:16" ht="15" customHeight="1" x14ac:dyDescent="0.25">
      <c r="A5" s="349" t="s">
        <v>1182</v>
      </c>
      <c r="B5" s="349"/>
      <c r="C5" s="349" t="s">
        <v>1118</v>
      </c>
      <c r="D5" s="349"/>
      <c r="E5" s="349" t="s">
        <v>1173</v>
      </c>
      <c r="F5" s="349"/>
      <c r="G5" s="352" t="s">
        <v>1176</v>
      </c>
      <c r="H5" s="352"/>
      <c r="I5" s="352" t="s">
        <v>1143</v>
      </c>
      <c r="J5" s="352"/>
      <c r="K5" s="352" t="s">
        <v>1192</v>
      </c>
      <c r="L5" s="352"/>
      <c r="M5" s="349" t="s">
        <v>1132</v>
      </c>
      <c r="N5" s="349"/>
      <c r="O5" s="352" t="s">
        <v>1196</v>
      </c>
      <c r="P5" s="352"/>
    </row>
    <row r="6" spans="1:16" ht="15" customHeight="1" x14ac:dyDescent="0.25">
      <c r="A6" s="349" t="s">
        <v>1138</v>
      </c>
      <c r="B6" s="349"/>
      <c r="C6" s="349" t="s">
        <v>1119</v>
      </c>
      <c r="D6" s="349"/>
      <c r="E6" s="349" t="s">
        <v>1180</v>
      </c>
      <c r="F6" s="349"/>
      <c r="G6" s="349" t="s">
        <v>1177</v>
      </c>
      <c r="H6" s="349"/>
      <c r="I6" s="349" t="s">
        <v>1224</v>
      </c>
      <c r="J6" s="349"/>
      <c r="K6" s="349" t="s">
        <v>1203</v>
      </c>
      <c r="L6" s="349"/>
      <c r="M6" s="349" t="s">
        <v>1190</v>
      </c>
      <c r="N6" s="349"/>
      <c r="O6" s="349" t="s">
        <v>1195</v>
      </c>
      <c r="P6" s="349"/>
    </row>
    <row r="7" spans="1:16" ht="15" customHeight="1" x14ac:dyDescent="0.25">
      <c r="A7" s="349" t="s">
        <v>1140</v>
      </c>
      <c r="B7" s="349"/>
      <c r="C7" s="349" t="s">
        <v>1120</v>
      </c>
      <c r="D7" s="349"/>
      <c r="E7" s="349" t="s">
        <v>1124</v>
      </c>
      <c r="F7" s="349"/>
      <c r="G7" s="349" t="s">
        <v>1178</v>
      </c>
      <c r="H7" s="349"/>
      <c r="I7" s="349" t="s">
        <v>1187</v>
      </c>
      <c r="J7" s="349"/>
      <c r="K7" s="349" t="s">
        <v>1202</v>
      </c>
      <c r="L7" s="349"/>
      <c r="M7" s="349" t="s">
        <v>1191</v>
      </c>
      <c r="N7" s="349"/>
      <c r="O7" s="349" t="s">
        <v>1197</v>
      </c>
      <c r="P7" s="349"/>
    </row>
    <row r="8" spans="1:16" ht="15" customHeight="1" x14ac:dyDescent="0.25">
      <c r="A8" s="349" t="s">
        <v>1116</v>
      </c>
      <c r="B8" s="349"/>
      <c r="C8" s="349" t="s">
        <v>1121</v>
      </c>
      <c r="D8" s="349"/>
      <c r="E8" s="349" t="s">
        <v>1181</v>
      </c>
      <c r="F8" s="349"/>
      <c r="G8" s="349" t="s">
        <v>1179</v>
      </c>
      <c r="H8" s="349"/>
      <c r="I8" s="349" t="s">
        <v>1188</v>
      </c>
      <c r="J8" s="349"/>
      <c r="K8" s="349" t="s">
        <v>1200</v>
      </c>
      <c r="L8" s="349"/>
      <c r="M8" s="349" t="s">
        <v>1133</v>
      </c>
      <c r="N8" s="349"/>
      <c r="O8" s="349" t="s">
        <v>1194</v>
      </c>
      <c r="P8" s="349"/>
    </row>
    <row r="9" spans="1:16" x14ac:dyDescent="0.25">
      <c r="A9" s="354" t="s">
        <v>1204</v>
      </c>
      <c r="B9" s="354"/>
      <c r="C9" s="354" t="s">
        <v>1205</v>
      </c>
      <c r="D9" s="354"/>
      <c r="E9" s="354" t="s">
        <v>1184</v>
      </c>
      <c r="F9" s="354"/>
      <c r="G9" s="354" t="s">
        <v>1126</v>
      </c>
      <c r="H9" s="354"/>
      <c r="I9" s="354" t="s">
        <v>1128</v>
      </c>
      <c r="J9" s="354"/>
      <c r="K9" s="354" t="s">
        <v>38</v>
      </c>
      <c r="L9" s="354"/>
      <c r="M9" s="354" t="s">
        <v>1134</v>
      </c>
      <c r="N9" s="354"/>
      <c r="O9" s="354" t="s">
        <v>1136</v>
      </c>
      <c r="P9" s="354"/>
    </row>
    <row r="10" spans="1:16" ht="15" customHeight="1" x14ac:dyDescent="0.25">
      <c r="A10" s="348" t="s">
        <v>1163</v>
      </c>
      <c r="B10" s="348"/>
      <c r="C10" s="348" t="s">
        <v>1117</v>
      </c>
      <c r="D10" s="348"/>
      <c r="E10" s="348" t="s">
        <v>1172</v>
      </c>
      <c r="F10" s="348"/>
      <c r="G10" s="348" t="s">
        <v>1210</v>
      </c>
      <c r="H10" s="348"/>
      <c r="I10" s="348" t="s">
        <v>1185</v>
      </c>
      <c r="J10" s="348"/>
      <c r="K10" s="348" t="s">
        <v>1199</v>
      </c>
      <c r="L10" s="348"/>
      <c r="M10" s="348" t="s">
        <v>1193</v>
      </c>
      <c r="N10" s="348"/>
      <c r="O10" s="348" t="s">
        <v>1131</v>
      </c>
      <c r="P10" s="348"/>
    </row>
    <row r="11" spans="1:16" ht="15" customHeight="1" x14ac:dyDescent="0.25">
      <c r="A11" t="s">
        <v>1137</v>
      </c>
      <c r="B11" t="s">
        <v>1131</v>
      </c>
      <c r="C11" s="275" t="s">
        <v>1219</v>
      </c>
      <c r="D11" s="275" t="s">
        <v>1193</v>
      </c>
      <c r="E11" s="275" t="s">
        <v>1217</v>
      </c>
      <c r="F11" s="275" t="s">
        <v>1113</v>
      </c>
      <c r="G11" s="275" t="s">
        <v>1217</v>
      </c>
      <c r="H11" s="275" t="s">
        <v>1193</v>
      </c>
      <c r="I11" s="293" t="s">
        <v>1135</v>
      </c>
      <c r="J11" s="293" t="s">
        <v>1131</v>
      </c>
      <c r="K11" s="293" t="s">
        <v>1135</v>
      </c>
      <c r="L11" s="293"/>
      <c r="M11" s="275" t="s">
        <v>7</v>
      </c>
      <c r="N11" s="275" t="s">
        <v>1113</v>
      </c>
      <c r="O11" s="275" t="s">
        <v>7</v>
      </c>
      <c r="P11" s="275"/>
    </row>
    <row r="12" spans="1:16" ht="15" customHeight="1" x14ac:dyDescent="0.25">
      <c r="C12" s="275"/>
      <c r="D12" s="275" t="s">
        <v>1199</v>
      </c>
      <c r="E12" s="275"/>
      <c r="F12" s="275" t="s">
        <v>1131</v>
      </c>
      <c r="G12" s="275"/>
      <c r="H12" s="275" t="s">
        <v>1113</v>
      </c>
      <c r="I12" s="293"/>
      <c r="J12" s="293" t="s">
        <v>1172</v>
      </c>
      <c r="K12" s="293" t="s">
        <v>1218</v>
      </c>
      <c r="L12" s="293"/>
      <c r="M12" s="275"/>
      <c r="N12" s="275" t="s">
        <v>1172</v>
      </c>
      <c r="O12" s="275"/>
      <c r="P12" s="275"/>
    </row>
    <row r="13" spans="1:16" ht="15" customHeight="1" x14ac:dyDescent="0.25">
      <c r="C13" s="275"/>
      <c r="D13" s="275"/>
      <c r="E13" s="275"/>
      <c r="F13" s="275"/>
      <c r="G13" s="275"/>
      <c r="H13" s="275"/>
      <c r="I13" s="293"/>
      <c r="J13" s="293" t="s">
        <v>1217</v>
      </c>
      <c r="K13" s="293"/>
      <c r="L13" s="293"/>
      <c r="M13" s="275"/>
      <c r="N13" s="275"/>
      <c r="O13" s="275"/>
      <c r="P13" s="275"/>
    </row>
    <row r="14" spans="1:16" ht="15" customHeight="1" x14ac:dyDescent="0.25">
      <c r="C14" s="275"/>
      <c r="D14" s="275"/>
      <c r="E14" s="275"/>
      <c r="F14" s="275"/>
      <c r="G14" s="275"/>
      <c r="H14" s="275"/>
      <c r="I14" s="293"/>
      <c r="J14" s="293" t="s">
        <v>1117</v>
      </c>
      <c r="K14" s="293"/>
      <c r="L14" s="293"/>
      <c r="M14" s="275"/>
      <c r="N14" s="275"/>
      <c r="O14" s="275"/>
      <c r="P14" s="275"/>
    </row>
    <row r="15" spans="1:16" ht="15" customHeight="1" x14ac:dyDescent="0.25">
      <c r="A15" s="348" t="s">
        <v>1164</v>
      </c>
      <c r="B15" s="348"/>
      <c r="C15" s="348" t="s">
        <v>1183</v>
      </c>
      <c r="D15" s="348"/>
      <c r="E15" s="348" t="s">
        <v>1141</v>
      </c>
      <c r="F15" s="348"/>
      <c r="G15" s="348" t="s">
        <v>1211</v>
      </c>
      <c r="H15" s="348"/>
      <c r="I15" s="348" t="s">
        <v>1142</v>
      </c>
      <c r="J15" s="348"/>
      <c r="K15" s="348" t="s">
        <v>1198</v>
      </c>
      <c r="L15" s="348"/>
      <c r="M15" s="348" t="s">
        <v>1189</v>
      </c>
      <c r="N15" s="348"/>
      <c r="O15" s="348" t="s">
        <v>1201</v>
      </c>
      <c r="P15" s="348"/>
    </row>
    <row r="16" spans="1:16" ht="15" customHeight="1" x14ac:dyDescent="0.25">
      <c r="A16" s="275" t="s">
        <v>1113</v>
      </c>
      <c r="B16" s="2" t="s">
        <v>1172</v>
      </c>
      <c r="C16" s="275" t="s">
        <v>1117</v>
      </c>
      <c r="D16" s="275" t="s">
        <v>1198</v>
      </c>
      <c r="E16" s="275" t="s">
        <v>1172</v>
      </c>
      <c r="F16" s="275" t="s">
        <v>1113</v>
      </c>
      <c r="G16" s="275" t="s">
        <v>1217</v>
      </c>
      <c r="H16" s="275" t="s">
        <v>1115</v>
      </c>
      <c r="I16" s="293" t="s">
        <v>1198</v>
      </c>
      <c r="J16" s="293" t="s">
        <v>1201</v>
      </c>
      <c r="K16" s="293" t="s">
        <v>1199</v>
      </c>
      <c r="L16" s="293" t="s">
        <v>1115</v>
      </c>
      <c r="M16" s="275" t="s">
        <v>1115</v>
      </c>
      <c r="N16" s="275" t="s">
        <v>1217</v>
      </c>
      <c r="O16" s="275" t="s">
        <v>1131</v>
      </c>
      <c r="P16" s="275" t="s">
        <v>1189</v>
      </c>
    </row>
    <row r="17" spans="1:16" ht="15" customHeight="1" x14ac:dyDescent="0.25">
      <c r="A17" s="275" t="s">
        <v>1137</v>
      </c>
      <c r="B17" t="s">
        <v>1141</v>
      </c>
      <c r="C17" s="275" t="s">
        <v>1219</v>
      </c>
      <c r="D17" s="2" t="s">
        <v>1201</v>
      </c>
      <c r="E17" s="275"/>
      <c r="F17" s="275" t="s">
        <v>1131</v>
      </c>
      <c r="G17" s="275"/>
      <c r="H17" s="275" t="s">
        <v>1189</v>
      </c>
      <c r="I17" s="293" t="s">
        <v>1185</v>
      </c>
      <c r="J17" s="293" t="s">
        <v>1189</v>
      </c>
      <c r="K17" s="293" t="s">
        <v>1218</v>
      </c>
      <c r="L17" s="293"/>
      <c r="M17" s="275" t="s">
        <v>1137</v>
      </c>
      <c r="N17" s="275" t="s">
        <v>1131</v>
      </c>
      <c r="O17" s="275" t="s">
        <v>1139</v>
      </c>
      <c r="P17" s="275" t="s">
        <v>1142</v>
      </c>
    </row>
    <row r="18" spans="1:16" ht="15" customHeight="1" x14ac:dyDescent="0.25">
      <c r="A18" s="275"/>
      <c r="B18" t="s">
        <v>1217</v>
      </c>
      <c r="C18" s="275"/>
      <c r="D18" s="275" t="s">
        <v>1142</v>
      </c>
      <c r="E18" s="275"/>
      <c r="F18" s="275"/>
      <c r="G18" s="275"/>
      <c r="H18" s="275"/>
      <c r="I18" s="293"/>
      <c r="J18" s="293" t="s">
        <v>1183</v>
      </c>
      <c r="K18" s="293"/>
      <c r="L18" s="293"/>
      <c r="M18" s="275"/>
      <c r="N18" s="275" t="s">
        <v>1113</v>
      </c>
      <c r="O18" s="275"/>
      <c r="P18" s="275" t="s">
        <v>1183</v>
      </c>
    </row>
    <row r="19" spans="1:16" ht="15" customHeight="1" x14ac:dyDescent="0.25">
      <c r="A19" s="2"/>
      <c r="B19" s="275" t="s">
        <v>1131</v>
      </c>
      <c r="C19" s="275"/>
      <c r="D19" s="275" t="s">
        <v>1115</v>
      </c>
      <c r="E19" s="275"/>
      <c r="F19" s="275"/>
      <c r="G19" s="275"/>
      <c r="H19" s="275"/>
      <c r="I19" s="293"/>
      <c r="J19" s="293"/>
      <c r="K19" s="293"/>
      <c r="L19" s="293"/>
      <c r="M19" s="275"/>
      <c r="N19" s="275"/>
      <c r="O19" s="275"/>
      <c r="P19" s="275" t="s">
        <v>1115</v>
      </c>
    </row>
    <row r="20" spans="1:16" ht="15" customHeight="1" x14ac:dyDescent="0.25">
      <c r="A20" s="348" t="s">
        <v>1206</v>
      </c>
      <c r="B20" s="348"/>
      <c r="C20" s="348" t="s">
        <v>1118</v>
      </c>
      <c r="D20" s="348"/>
      <c r="E20" s="348" t="s">
        <v>1173</v>
      </c>
      <c r="F20" s="348"/>
      <c r="G20" s="348" t="s">
        <v>1212</v>
      </c>
      <c r="H20" s="348"/>
      <c r="I20" s="348" t="s">
        <v>1143</v>
      </c>
      <c r="J20" s="348"/>
      <c r="K20" s="348" t="s">
        <v>1192</v>
      </c>
      <c r="L20" s="348"/>
      <c r="M20" s="348" t="s">
        <v>1132</v>
      </c>
      <c r="N20" s="348"/>
      <c r="O20" s="348" t="s">
        <v>1196</v>
      </c>
      <c r="P20" s="348"/>
    </row>
    <row r="21" spans="1:16" ht="15" customHeight="1" x14ac:dyDescent="0.25">
      <c r="A21" s="275" t="s">
        <v>1115</v>
      </c>
      <c r="B21" s="275" t="s">
        <v>1173</v>
      </c>
      <c r="C21" s="275" t="s">
        <v>1183</v>
      </c>
      <c r="D21" s="275" t="s">
        <v>1173</v>
      </c>
      <c r="E21" s="293" t="s">
        <v>1172</v>
      </c>
      <c r="F21" s="293" t="s">
        <v>1221</v>
      </c>
      <c r="G21" s="275" t="s">
        <v>1217</v>
      </c>
      <c r="H21" s="275" t="s">
        <v>1222</v>
      </c>
      <c r="I21" s="293" t="s">
        <v>1142</v>
      </c>
      <c r="J21" s="293" t="s">
        <v>1192</v>
      </c>
      <c r="K21" s="293" t="s">
        <v>1198</v>
      </c>
      <c r="L21" s="293" t="s">
        <v>1118</v>
      </c>
      <c r="M21" s="275" t="s">
        <v>1189</v>
      </c>
      <c r="N21" s="275" t="s">
        <v>1217</v>
      </c>
      <c r="O21" s="275" t="s">
        <v>1201</v>
      </c>
      <c r="P21" s="275" t="s">
        <v>1192</v>
      </c>
    </row>
    <row r="22" spans="1:16" ht="15" customHeight="1" x14ac:dyDescent="0.25">
      <c r="A22" s="275" t="s">
        <v>1113</v>
      </c>
      <c r="B22" s="275" t="s">
        <v>1217</v>
      </c>
      <c r="C22" s="275" t="s">
        <v>1220</v>
      </c>
      <c r="D22" s="275" t="s">
        <v>1143</v>
      </c>
      <c r="E22" s="293"/>
      <c r="F22" s="293" t="s">
        <v>1217</v>
      </c>
      <c r="G22" s="275"/>
      <c r="H22" s="275" t="s">
        <v>1132</v>
      </c>
      <c r="I22" s="293"/>
      <c r="J22" s="293" t="s">
        <v>1183</v>
      </c>
      <c r="K22" s="293" t="s">
        <v>1199</v>
      </c>
      <c r="L22" s="293"/>
      <c r="M22" s="275" t="s">
        <v>1221</v>
      </c>
      <c r="N22" s="275" t="s">
        <v>1131</v>
      </c>
      <c r="O22" s="275" t="s">
        <v>1131</v>
      </c>
      <c r="P22" s="275" t="s">
        <v>1173</v>
      </c>
    </row>
    <row r="23" spans="1:16" ht="15" customHeight="1" x14ac:dyDescent="0.25">
      <c r="A23" s="275"/>
      <c r="B23" s="275" t="s">
        <v>1189</v>
      </c>
      <c r="C23" s="275"/>
      <c r="D23" s="275" t="s">
        <v>1192</v>
      </c>
      <c r="E23" s="293"/>
      <c r="F23" s="293" t="s">
        <v>1132</v>
      </c>
      <c r="G23" s="275"/>
      <c r="H23" s="275" t="s">
        <v>1141</v>
      </c>
      <c r="I23" s="293"/>
      <c r="J23" s="293" t="s">
        <v>1118</v>
      </c>
      <c r="K23" s="293" t="s">
        <v>1218</v>
      </c>
      <c r="L23" s="293"/>
      <c r="M23" s="275"/>
      <c r="N23" s="275" t="s">
        <v>1115</v>
      </c>
      <c r="O23" s="275"/>
      <c r="P23" s="275" t="s">
        <v>1118</v>
      </c>
    </row>
    <row r="24" spans="1:16" ht="15" customHeight="1" x14ac:dyDescent="0.25">
      <c r="A24" s="275"/>
      <c r="B24" s="275" t="s">
        <v>1131</v>
      </c>
      <c r="C24" s="275"/>
      <c r="D24" s="275" t="s">
        <v>1195</v>
      </c>
      <c r="E24" s="293"/>
      <c r="F24" s="293" t="s">
        <v>1189</v>
      </c>
      <c r="G24" s="275"/>
      <c r="H24" s="275" t="s">
        <v>1115</v>
      </c>
      <c r="I24" s="293"/>
      <c r="J24" s="293" t="s">
        <v>1195</v>
      </c>
      <c r="K24" s="293"/>
      <c r="L24" s="293"/>
      <c r="M24" s="275"/>
      <c r="N24" s="275" t="s">
        <v>1199</v>
      </c>
      <c r="O24" s="275"/>
      <c r="P24" s="275"/>
    </row>
    <row r="25" spans="1:16" ht="15" customHeight="1" x14ac:dyDescent="0.25">
      <c r="A25" s="348" t="s">
        <v>1207</v>
      </c>
      <c r="B25" s="348"/>
      <c r="C25" s="348" t="s">
        <v>1119</v>
      </c>
      <c r="D25" s="348"/>
      <c r="E25" s="348" t="s">
        <v>1180</v>
      </c>
      <c r="F25" s="348"/>
      <c r="G25" s="348" t="s">
        <v>1213</v>
      </c>
      <c r="H25" s="348"/>
      <c r="I25" s="348" t="s">
        <v>1224</v>
      </c>
      <c r="J25" s="348"/>
      <c r="K25" s="348" t="s">
        <v>1203</v>
      </c>
      <c r="L25" s="348"/>
      <c r="M25" s="348" t="s">
        <v>1190</v>
      </c>
      <c r="N25" s="348"/>
      <c r="O25" s="348" t="s">
        <v>1195</v>
      </c>
      <c r="P25" s="348"/>
    </row>
    <row r="26" spans="1:16" x14ac:dyDescent="0.25">
      <c r="A26" s="275" t="s">
        <v>1221</v>
      </c>
      <c r="B26" s="275" t="s">
        <v>1223</v>
      </c>
      <c r="C26" s="275" t="s">
        <v>1118</v>
      </c>
      <c r="D26" s="275" t="s">
        <v>1223</v>
      </c>
      <c r="E26" s="293" t="s">
        <v>1173</v>
      </c>
      <c r="F26" s="293" t="s">
        <v>1114</v>
      </c>
      <c r="G26" s="275" t="s">
        <v>1217</v>
      </c>
      <c r="H26" s="275" t="s">
        <v>1114</v>
      </c>
      <c r="I26" s="293" t="s">
        <v>1143</v>
      </c>
      <c r="J26" s="293" t="s">
        <v>1119</v>
      </c>
      <c r="K26" s="293" t="s">
        <v>1192</v>
      </c>
      <c r="L26" s="293" t="s">
        <v>1119</v>
      </c>
      <c r="M26" s="275" t="s">
        <v>1193</v>
      </c>
      <c r="N26" s="275" t="s">
        <v>1131</v>
      </c>
      <c r="O26" s="275" t="s">
        <v>1201</v>
      </c>
      <c r="P26" s="275" t="s">
        <v>1224</v>
      </c>
    </row>
    <row r="27" spans="1:16" x14ac:dyDescent="0.25">
      <c r="A27" s="275" t="s">
        <v>1115</v>
      </c>
      <c r="B27" s="275" t="s">
        <v>1217</v>
      </c>
      <c r="C27" s="275" t="s">
        <v>1183</v>
      </c>
      <c r="D27" s="275" t="s">
        <v>1186</v>
      </c>
      <c r="E27" s="293" t="s">
        <v>1172</v>
      </c>
      <c r="F27" s="293" t="s">
        <v>1190</v>
      </c>
      <c r="G27" s="275"/>
      <c r="H27" s="275" t="s">
        <v>1119</v>
      </c>
      <c r="I27" s="293" t="s">
        <v>1142</v>
      </c>
      <c r="J27" s="293" t="s">
        <v>1118</v>
      </c>
      <c r="K27" s="293" t="s">
        <v>1198</v>
      </c>
      <c r="L27" s="293" t="s">
        <v>1190</v>
      </c>
      <c r="M27" s="275" t="s">
        <v>1132</v>
      </c>
      <c r="N27" s="275" t="s">
        <v>1223</v>
      </c>
      <c r="O27" s="275" t="s">
        <v>1196</v>
      </c>
      <c r="P27" s="275" t="s">
        <v>1223</v>
      </c>
    </row>
    <row r="28" spans="1:16" x14ac:dyDescent="0.25">
      <c r="A28" s="275"/>
      <c r="B28" s="275" t="s">
        <v>1189</v>
      </c>
      <c r="C28" s="275" t="s">
        <v>1218</v>
      </c>
      <c r="D28" s="275" t="s">
        <v>1203</v>
      </c>
      <c r="E28" s="293"/>
      <c r="F28" s="293" t="s">
        <v>1132</v>
      </c>
      <c r="G28" s="275"/>
      <c r="H28" s="275" t="s">
        <v>1132</v>
      </c>
      <c r="I28" s="293"/>
      <c r="J28" s="293" t="s">
        <v>1203</v>
      </c>
      <c r="K28" s="293" t="s">
        <v>1218</v>
      </c>
      <c r="L28" s="293" t="s">
        <v>1196</v>
      </c>
      <c r="M28" s="275"/>
      <c r="N28" s="275" t="s">
        <v>1114</v>
      </c>
      <c r="O28" s="275"/>
      <c r="P28" s="275" t="s">
        <v>1119</v>
      </c>
    </row>
    <row r="29" spans="1:16" x14ac:dyDescent="0.25">
      <c r="C29" s="275"/>
      <c r="D29" s="275" t="s">
        <v>1196</v>
      </c>
      <c r="E29" s="293"/>
      <c r="F29" s="293" t="s">
        <v>1115</v>
      </c>
      <c r="G29" s="275"/>
      <c r="H29" s="275" t="s">
        <v>1196</v>
      </c>
      <c r="I29" s="293"/>
      <c r="J29" s="293" t="s">
        <v>1196</v>
      </c>
      <c r="K29" s="293"/>
      <c r="L29" s="293"/>
      <c r="M29" s="275"/>
      <c r="N29" s="275" t="s">
        <v>1142</v>
      </c>
      <c r="O29" s="275"/>
      <c r="P29" s="275" t="s">
        <v>1142</v>
      </c>
    </row>
    <row r="30" spans="1:16" x14ac:dyDescent="0.25">
      <c r="A30" s="348" t="s">
        <v>1208</v>
      </c>
      <c r="B30" s="348"/>
      <c r="C30" s="348" t="s">
        <v>1120</v>
      </c>
      <c r="D30" s="348"/>
      <c r="E30" s="348" t="s">
        <v>1124</v>
      </c>
      <c r="F30" s="348"/>
      <c r="G30" s="348" t="s">
        <v>1214</v>
      </c>
      <c r="H30" s="348"/>
      <c r="I30" s="348" t="s">
        <v>1187</v>
      </c>
      <c r="J30" s="348"/>
      <c r="K30" s="348" t="s">
        <v>1216</v>
      </c>
      <c r="L30" s="348"/>
      <c r="M30" s="348" t="s">
        <v>1191</v>
      </c>
      <c r="N30" s="348"/>
      <c r="O30" s="348" t="s">
        <v>1197</v>
      </c>
      <c r="P30" s="348"/>
    </row>
    <row r="31" spans="1:16" x14ac:dyDescent="0.25">
      <c r="A31" s="275" t="s">
        <v>1114</v>
      </c>
      <c r="B31" s="275" t="s">
        <v>1201</v>
      </c>
      <c r="C31" s="275" t="s">
        <v>1119</v>
      </c>
      <c r="D31" s="275" t="s">
        <v>1216</v>
      </c>
      <c r="E31" s="293" t="s">
        <v>1223</v>
      </c>
      <c r="F31" s="293" t="s">
        <v>1140</v>
      </c>
      <c r="G31" s="275" t="s">
        <v>1217</v>
      </c>
      <c r="H31" s="275" t="s">
        <v>1140</v>
      </c>
      <c r="I31" s="293" t="s">
        <v>1224</v>
      </c>
      <c r="J31" s="293" t="s">
        <v>1120</v>
      </c>
      <c r="K31" s="293" t="s">
        <v>1203</v>
      </c>
      <c r="L31" s="293" t="s">
        <v>1120</v>
      </c>
      <c r="M31" s="275" t="s">
        <v>1190</v>
      </c>
      <c r="N31" s="275" t="s">
        <v>1222</v>
      </c>
      <c r="O31" s="275" t="s">
        <v>1195</v>
      </c>
      <c r="P31" s="275" t="s">
        <v>1187</v>
      </c>
    </row>
    <row r="32" spans="1:16" x14ac:dyDescent="0.25">
      <c r="A32" s="275" t="s">
        <v>1221</v>
      </c>
      <c r="B32" s="275" t="s">
        <v>1190</v>
      </c>
      <c r="C32" s="275" t="s">
        <v>1118</v>
      </c>
      <c r="D32" s="275" t="s">
        <v>1187</v>
      </c>
      <c r="E32" s="293"/>
      <c r="F32" s="293" t="s">
        <v>1187</v>
      </c>
      <c r="G32" s="275"/>
      <c r="H32" s="275" t="s">
        <v>1224</v>
      </c>
      <c r="I32" s="293" t="s">
        <v>1143</v>
      </c>
      <c r="J32" s="293" t="s">
        <v>1124</v>
      </c>
      <c r="K32" s="293" t="s">
        <v>1192</v>
      </c>
      <c r="L32" s="293" t="s">
        <v>1217</v>
      </c>
      <c r="M32" s="275" t="s">
        <v>1132</v>
      </c>
      <c r="N32" s="275" t="s">
        <v>1131</v>
      </c>
      <c r="O32" s="275" t="s">
        <v>1196</v>
      </c>
      <c r="P32" s="275" t="s">
        <v>1224</v>
      </c>
    </row>
    <row r="33" spans="1:31" x14ac:dyDescent="0.25">
      <c r="A33" s="275"/>
      <c r="B33" s="275" t="s">
        <v>1132</v>
      </c>
      <c r="C33" s="275"/>
      <c r="D33" s="275" t="s">
        <v>1124</v>
      </c>
      <c r="E33" s="293"/>
      <c r="F33" s="293" t="s">
        <v>1132</v>
      </c>
      <c r="G33" s="275"/>
      <c r="H33" s="275" t="s">
        <v>1132</v>
      </c>
      <c r="I33" s="293" t="s">
        <v>1142</v>
      </c>
      <c r="J33" s="293" t="s">
        <v>1217</v>
      </c>
      <c r="K33" s="293" t="s">
        <v>1198</v>
      </c>
      <c r="L33" s="293" t="s">
        <v>1197</v>
      </c>
      <c r="M33" s="275"/>
      <c r="N33" s="275" t="s">
        <v>1124</v>
      </c>
      <c r="O33" s="275"/>
      <c r="P33" s="275" t="s">
        <v>1120</v>
      </c>
    </row>
    <row r="34" spans="1:31" x14ac:dyDescent="0.25">
      <c r="B34" s="275" t="s">
        <v>1216</v>
      </c>
      <c r="C34" s="275"/>
      <c r="D34" t="s">
        <v>1192</v>
      </c>
      <c r="E34" s="293"/>
      <c r="F34" s="293" t="s">
        <v>1224</v>
      </c>
      <c r="H34" t="s">
        <v>1143</v>
      </c>
      <c r="I34" s="293"/>
      <c r="J34" s="293" t="s">
        <v>1197</v>
      </c>
      <c r="K34" s="293"/>
      <c r="L34" s="293" t="s">
        <v>1118</v>
      </c>
      <c r="N34" t="s">
        <v>1187</v>
      </c>
      <c r="P34" t="s">
        <v>1216</v>
      </c>
    </row>
    <row r="35" spans="1:31" s="293" customFormat="1" x14ac:dyDescent="0.25">
      <c r="A35" s="348" t="s">
        <v>1209</v>
      </c>
      <c r="B35" s="348"/>
      <c r="C35" s="348" t="s">
        <v>1121</v>
      </c>
      <c r="D35" s="348"/>
      <c r="E35" s="348" t="s">
        <v>1181</v>
      </c>
      <c r="F35" s="348"/>
      <c r="G35" s="348" t="s">
        <v>1215</v>
      </c>
      <c r="H35" s="348"/>
      <c r="I35" s="348" t="s">
        <v>1188</v>
      </c>
      <c r="J35" s="348"/>
      <c r="K35" s="348" t="s">
        <v>1200</v>
      </c>
      <c r="L35" s="348"/>
      <c r="M35" s="348" t="s">
        <v>1133</v>
      </c>
      <c r="N35" s="348"/>
      <c r="O35" s="348" t="s">
        <v>1194</v>
      </c>
      <c r="P35" s="348"/>
    </row>
    <row r="36" spans="1:31" s="293" customFormat="1" x14ac:dyDescent="0.25">
      <c r="A36" s="293" t="s">
        <v>1140</v>
      </c>
      <c r="B36" s="293" t="s">
        <v>1235</v>
      </c>
      <c r="C36" s="293" t="s">
        <v>1120</v>
      </c>
      <c r="D36" s="293" t="s">
        <v>1200</v>
      </c>
      <c r="E36" s="293" t="s">
        <v>1124</v>
      </c>
      <c r="F36" s="293" t="s">
        <v>1116</v>
      </c>
      <c r="G36" s="293" t="s">
        <v>1217</v>
      </c>
      <c r="H36" s="293" t="s">
        <v>1116</v>
      </c>
      <c r="I36" s="293" t="s">
        <v>1224</v>
      </c>
      <c r="J36" s="293" t="s">
        <v>1236</v>
      </c>
    </row>
    <row r="37" spans="1:31" x14ac:dyDescent="0.25">
      <c r="A37" s="293" t="s">
        <v>1114</v>
      </c>
      <c r="B37" s="293" t="s">
        <v>1217</v>
      </c>
      <c r="C37" s="293" t="s">
        <v>1119</v>
      </c>
      <c r="D37" s="293" t="s">
        <v>1188</v>
      </c>
      <c r="E37" s="293" t="s">
        <v>1223</v>
      </c>
      <c r="F37" s="293" t="s">
        <v>1188</v>
      </c>
      <c r="G37" s="293"/>
      <c r="H37" s="293" t="s">
        <v>1200</v>
      </c>
      <c r="I37" s="293" t="s">
        <v>1187</v>
      </c>
      <c r="J37" s="293" t="s">
        <v>1200</v>
      </c>
      <c r="K37" s="293"/>
      <c r="L37" s="293"/>
      <c r="M37" s="293"/>
      <c r="N37" s="293"/>
      <c r="O37" s="293"/>
      <c r="P37" s="293"/>
    </row>
    <row r="38" spans="1:31" x14ac:dyDescent="0.25">
      <c r="A38" s="293"/>
      <c r="B38" s="293" t="s">
        <v>1133</v>
      </c>
      <c r="C38" s="293"/>
      <c r="D38" s="293" t="s">
        <v>1133</v>
      </c>
      <c r="E38" s="293"/>
      <c r="F38" s="293" t="s">
        <v>1194</v>
      </c>
      <c r="G38" s="293"/>
      <c r="H38" s="293" t="s">
        <v>1133</v>
      </c>
      <c r="I38" s="293"/>
      <c r="J38" s="293" t="s">
        <v>1194</v>
      </c>
      <c r="K38" s="293"/>
      <c r="L38" s="293"/>
      <c r="M38" s="293"/>
      <c r="N38" s="293"/>
      <c r="O38" s="293"/>
      <c r="P38" s="293"/>
    </row>
    <row r="39" spans="1:31" x14ac:dyDescent="0.25">
      <c r="A39" s="293"/>
      <c r="B39" s="293" t="s">
        <v>1194</v>
      </c>
      <c r="C39" s="293"/>
      <c r="D39" s="293" t="s">
        <v>1194</v>
      </c>
      <c r="E39" s="293"/>
      <c r="F39" s="293" t="s">
        <v>1200</v>
      </c>
      <c r="G39" s="293"/>
      <c r="H39" s="293" t="s">
        <v>1194</v>
      </c>
      <c r="I39" s="293"/>
      <c r="J39" s="293" t="s">
        <v>1120</v>
      </c>
      <c r="K39" s="293"/>
      <c r="L39" s="293"/>
      <c r="M39" s="293"/>
      <c r="N39" s="293"/>
      <c r="O39" s="293"/>
      <c r="P39" s="293"/>
    </row>
    <row r="40" spans="1:31" x14ac:dyDescent="0.25">
      <c r="A40" s="296"/>
      <c r="B40" s="296" t="s">
        <v>1113</v>
      </c>
      <c r="C40" s="296"/>
      <c r="D40" s="296"/>
      <c r="E40" s="296"/>
      <c r="F40" s="296"/>
      <c r="G40" s="296"/>
      <c r="H40" s="296"/>
      <c r="I40" s="296"/>
      <c r="J40" s="296"/>
      <c r="K40" s="296"/>
      <c r="L40" s="296"/>
      <c r="M40" s="296"/>
      <c r="N40" s="296"/>
      <c r="O40" s="296"/>
      <c r="P40" s="296"/>
      <c r="Q40" s="296"/>
      <c r="R40" s="296"/>
      <c r="S40" s="296"/>
      <c r="T40" s="296"/>
      <c r="U40" s="296"/>
      <c r="V40" s="296"/>
      <c r="W40" s="296"/>
      <c r="X40" s="176"/>
      <c r="Y40" s="176"/>
      <c r="Z40" s="176"/>
      <c r="AA40" s="176"/>
      <c r="AB40" s="176"/>
      <c r="AC40" s="176"/>
      <c r="AD40" s="176"/>
      <c r="AE40" s="176"/>
    </row>
    <row r="41" spans="1:31" x14ac:dyDescent="0.25">
      <c r="A41" s="296" t="s">
        <v>926</v>
      </c>
      <c r="B41" s="296"/>
      <c r="C41" s="296">
        <v>0</v>
      </c>
      <c r="D41" s="296"/>
      <c r="E41" s="296"/>
      <c r="F41" s="296"/>
      <c r="G41" s="296"/>
      <c r="H41" s="296"/>
      <c r="I41" s="296"/>
      <c r="J41" s="296"/>
      <c r="K41" s="296"/>
      <c r="L41" s="296"/>
      <c r="M41" s="296"/>
      <c r="N41" s="296"/>
      <c r="O41" s="296"/>
      <c r="P41" s="296"/>
      <c r="Q41" s="296"/>
      <c r="R41" s="296"/>
      <c r="S41" s="296"/>
      <c r="T41" s="296"/>
      <c r="U41" s="296"/>
      <c r="V41" s="296"/>
      <c r="W41" s="296"/>
      <c r="X41" s="176"/>
      <c r="Y41" s="176"/>
      <c r="Z41" s="176"/>
      <c r="AA41" s="176"/>
      <c r="AB41" s="176"/>
      <c r="AC41" s="176"/>
      <c r="AD41" s="176"/>
      <c r="AE41" s="176"/>
    </row>
    <row r="42" spans="1:31" x14ac:dyDescent="0.25">
      <c r="A42" s="276"/>
      <c r="B42" s="276" t="s">
        <v>203</v>
      </c>
      <c r="C42" s="279" t="s">
        <v>202</v>
      </c>
      <c r="D42" s="283" t="s">
        <v>149</v>
      </c>
      <c r="E42" s="283" t="s">
        <v>1144</v>
      </c>
      <c r="F42" s="279" t="s">
        <v>203</v>
      </c>
      <c r="G42" s="283" t="s">
        <v>1149</v>
      </c>
      <c r="H42" s="283" t="s">
        <v>149</v>
      </c>
      <c r="I42" s="283" t="s">
        <v>1145</v>
      </c>
      <c r="J42" s="279" t="s">
        <v>203</v>
      </c>
      <c r="K42" s="283" t="s">
        <v>1149</v>
      </c>
      <c r="L42" s="283" t="s">
        <v>149</v>
      </c>
      <c r="M42" s="283" t="s">
        <v>1146</v>
      </c>
      <c r="N42" s="279" t="s">
        <v>203</v>
      </c>
      <c r="O42" s="283" t="s">
        <v>1149</v>
      </c>
      <c r="P42" s="283" t="s">
        <v>149</v>
      </c>
      <c r="Q42" s="283" t="s">
        <v>1147</v>
      </c>
      <c r="R42" s="279" t="s">
        <v>203</v>
      </c>
      <c r="S42" s="283" t="s">
        <v>1149</v>
      </c>
      <c r="T42" s="283" t="s">
        <v>149</v>
      </c>
      <c r="U42" s="283" t="s">
        <v>1148</v>
      </c>
      <c r="V42" s="279" t="s">
        <v>203</v>
      </c>
      <c r="W42" s="283" t="s">
        <v>1149</v>
      </c>
      <c r="X42" s="283" t="s">
        <v>149</v>
      </c>
      <c r="Y42" s="283" t="s">
        <v>1237</v>
      </c>
      <c r="Z42" s="279" t="s">
        <v>203</v>
      </c>
      <c r="AA42" s="283" t="s">
        <v>1149</v>
      </c>
      <c r="AB42" s="283" t="s">
        <v>149</v>
      </c>
      <c r="AC42" s="283" t="s">
        <v>1238</v>
      </c>
      <c r="AD42" s="279" t="s">
        <v>203</v>
      </c>
      <c r="AE42" s="283" t="s">
        <v>1149</v>
      </c>
    </row>
    <row r="43" spans="1:31" x14ac:dyDescent="0.25">
      <c r="A43" s="282" t="s">
        <v>1165</v>
      </c>
      <c r="B43" s="282"/>
      <c r="C43" s="277">
        <f>((D43*G43)+(K43*H43)+(O43*L43)+(S43*P43)+(W43*T43)+(X43*AA43)+(AB43*AE43))</f>
        <v>248</v>
      </c>
      <c r="D43" s="280">
        <v>32</v>
      </c>
      <c r="E43" s="281">
        <v>17</v>
      </c>
      <c r="F43" s="59" t="str">
        <f t="shared" ref="F43" si="0">VLOOKUP(E43,LISTAITEMS,2,FALSE)</f>
        <v>Oak Log</v>
      </c>
      <c r="G43" s="278">
        <f>VLOOKUP(E43,LISTAITEMS,5,FALSE)</f>
        <v>4</v>
      </c>
      <c r="H43" s="280">
        <v>16</v>
      </c>
      <c r="I43" s="281">
        <v>37</v>
      </c>
      <c r="J43" s="59" t="str">
        <f t="shared" ref="J43" si="1">VLOOKUP(I43,LISTAITEMS,2,FALSE)</f>
        <v>Dandilion</v>
      </c>
      <c r="K43" s="278">
        <f>VLOOKUP(I43,LISTAITEMS,5,FALSE)</f>
        <v>7.5</v>
      </c>
      <c r="L43" s="280">
        <v>0</v>
      </c>
      <c r="M43" s="281" t="s">
        <v>926</v>
      </c>
      <c r="N43" s="59" t="str">
        <f t="shared" ref="N43" si="2">VLOOKUP(M43,LISTAITEMS,2,FALSE)</f>
        <v>ninguno</v>
      </c>
      <c r="O43" s="278">
        <f>VLOOKUP(M43,LISTAITEMS,5,FALSE)</f>
        <v>0</v>
      </c>
      <c r="P43" s="280">
        <v>0</v>
      </c>
      <c r="Q43" s="281" t="s">
        <v>926</v>
      </c>
      <c r="R43" s="59" t="str">
        <f t="shared" ref="R43" si="3">VLOOKUP(Q43,LISTAITEMS,2,FALSE)</f>
        <v>ninguno</v>
      </c>
      <c r="S43" s="278">
        <f>VLOOKUP(Q43,LISTAITEMS,5,FALSE)</f>
        <v>0</v>
      </c>
      <c r="T43" s="280">
        <v>0</v>
      </c>
      <c r="U43" s="281" t="s">
        <v>926</v>
      </c>
      <c r="V43" s="59" t="str">
        <f t="shared" ref="V43" si="4">VLOOKUP(U43,LISTAITEMS,2,FALSE)</f>
        <v>ninguno</v>
      </c>
      <c r="W43" s="278">
        <f>VLOOKUP(U43,LISTAITEMS,5,FALSE)</f>
        <v>0</v>
      </c>
      <c r="X43" s="280">
        <v>0</v>
      </c>
      <c r="Y43" s="281" t="s">
        <v>926</v>
      </c>
      <c r="Z43" s="59" t="str">
        <f t="shared" ref="Z43" si="5">VLOOKUP(Y43,LISTAITEMS,2,FALSE)</f>
        <v>ninguno</v>
      </c>
      <c r="AA43" s="278">
        <f>VLOOKUP(Y43,LISTAITEMS,5,FALSE)</f>
        <v>0</v>
      </c>
      <c r="AB43" s="280">
        <v>0</v>
      </c>
      <c r="AC43" s="281" t="s">
        <v>926</v>
      </c>
      <c r="AD43" s="59" t="str">
        <f t="shared" ref="AD43" si="6">VLOOKUP(AC43,LISTAITEMS,2,FALSE)</f>
        <v>ninguno</v>
      </c>
      <c r="AE43" s="278">
        <f>VLOOKUP(AC43,LISTAITEMS,5,FALSE)</f>
        <v>0</v>
      </c>
    </row>
    <row r="44" spans="1:31" s="275" customFormat="1" x14ac:dyDescent="0.25">
      <c r="A44"/>
      <c r="B44"/>
      <c r="C44"/>
      <c r="D44"/>
      <c r="E44"/>
      <c r="F44"/>
      <c r="G44"/>
      <c r="H44"/>
      <c r="I44"/>
      <c r="J44"/>
      <c r="K44"/>
      <c r="L44"/>
      <c r="M44"/>
      <c r="N44"/>
      <c r="O44"/>
      <c r="P44"/>
      <c r="Q44"/>
      <c r="R44"/>
      <c r="S44"/>
      <c r="T44"/>
      <c r="U44"/>
      <c r="V44"/>
      <c r="W44"/>
    </row>
    <row r="45" spans="1:31" s="294" customFormat="1" x14ac:dyDescent="0.25">
      <c r="A45" s="296"/>
      <c r="B45" s="296" t="s">
        <v>1117</v>
      </c>
      <c r="C45" s="296"/>
      <c r="D45" s="296"/>
      <c r="E45" s="296"/>
      <c r="F45" s="296"/>
      <c r="G45" s="296"/>
      <c r="H45" s="296"/>
      <c r="I45" s="296"/>
      <c r="J45" s="296"/>
      <c r="K45" s="296"/>
      <c r="L45" s="296"/>
      <c r="M45" s="296"/>
      <c r="N45" s="296"/>
      <c r="O45" s="296"/>
      <c r="P45" s="296"/>
      <c r="Q45" s="296"/>
      <c r="R45" s="296"/>
      <c r="S45" s="296"/>
      <c r="T45" s="296"/>
      <c r="U45" s="296"/>
      <c r="V45" s="296"/>
      <c r="W45" s="296"/>
      <c r="X45" s="176"/>
      <c r="Y45" s="176"/>
      <c r="Z45" s="176"/>
      <c r="AA45" s="176"/>
      <c r="AB45" s="176"/>
      <c r="AC45" s="176"/>
      <c r="AD45" s="176"/>
      <c r="AE45" s="176"/>
    </row>
    <row r="46" spans="1:31" s="294" customFormat="1" x14ac:dyDescent="0.25">
      <c r="A46" s="276"/>
      <c r="B46" s="276" t="s">
        <v>203</v>
      </c>
      <c r="C46" s="279" t="s">
        <v>202</v>
      </c>
      <c r="D46" s="283" t="s">
        <v>149</v>
      </c>
      <c r="E46" s="283" t="s">
        <v>1144</v>
      </c>
      <c r="F46" s="279" t="s">
        <v>203</v>
      </c>
      <c r="G46" s="283" t="s">
        <v>1149</v>
      </c>
      <c r="H46" s="283" t="s">
        <v>149</v>
      </c>
      <c r="I46" s="283" t="s">
        <v>1145</v>
      </c>
      <c r="J46" s="279" t="s">
        <v>203</v>
      </c>
      <c r="K46" s="283" t="s">
        <v>1149</v>
      </c>
      <c r="L46" s="283" t="s">
        <v>149</v>
      </c>
      <c r="M46" s="283" t="s">
        <v>1146</v>
      </c>
      <c r="N46" s="279" t="s">
        <v>203</v>
      </c>
      <c r="O46" s="283" t="s">
        <v>1149</v>
      </c>
      <c r="P46" s="283" t="s">
        <v>149</v>
      </c>
      <c r="Q46" s="283" t="s">
        <v>1147</v>
      </c>
      <c r="R46" s="279" t="s">
        <v>203</v>
      </c>
      <c r="S46" s="283" t="s">
        <v>1149</v>
      </c>
      <c r="T46" s="283" t="s">
        <v>149</v>
      </c>
      <c r="U46" s="283" t="s">
        <v>1148</v>
      </c>
      <c r="V46" s="279" t="s">
        <v>203</v>
      </c>
      <c r="W46" s="283" t="s">
        <v>1149</v>
      </c>
      <c r="X46" s="283" t="s">
        <v>149</v>
      </c>
      <c r="Y46" s="283" t="s">
        <v>1237</v>
      </c>
      <c r="Z46" s="279" t="s">
        <v>203</v>
      </c>
      <c r="AA46" s="283" t="s">
        <v>1149</v>
      </c>
      <c r="AB46" s="283" t="s">
        <v>149</v>
      </c>
      <c r="AC46" s="283" t="s">
        <v>1238</v>
      </c>
      <c r="AD46" s="279" t="s">
        <v>203</v>
      </c>
      <c r="AE46" s="283" t="s">
        <v>1149</v>
      </c>
    </row>
    <row r="47" spans="1:31" s="294" customFormat="1" x14ac:dyDescent="0.25">
      <c r="A47" s="282" t="s">
        <v>1248</v>
      </c>
      <c r="B47" s="282"/>
      <c r="C47" s="277">
        <f t="shared" ref="C47" si="7">((D47*G47)+(K47*H47)+(O47*L47)+(S47*P47)+(W47*T47)+(X47*AA47)+(AB47*AE47))</f>
        <v>625.4</v>
      </c>
      <c r="D47" s="280">
        <v>14</v>
      </c>
      <c r="E47" s="281">
        <v>377</v>
      </c>
      <c r="F47" s="59" t="str">
        <f t="shared" ref="F47" si="8">VLOOKUP(E47,LISTAITEMS,2,FALSE)</f>
        <v>Blaze Powder</v>
      </c>
      <c r="G47" s="278">
        <f t="shared" ref="G47" si="9">VLOOKUP(E47,LISTAITEMS,5,FALSE)</f>
        <v>8.1</v>
      </c>
      <c r="H47" s="280">
        <v>1</v>
      </c>
      <c r="I47" s="281" t="s">
        <v>1245</v>
      </c>
      <c r="J47" s="59" t="str">
        <f>I47</f>
        <v>Ppl Astillado</v>
      </c>
      <c r="K47" s="278">
        <f t="shared" ref="K47" si="10">VLOOKUP(I47,craftedesp,3,FALSE)</f>
        <v>512</v>
      </c>
      <c r="L47" s="280">
        <v>0</v>
      </c>
      <c r="M47" s="281" t="s">
        <v>926</v>
      </c>
      <c r="N47" s="59" t="str">
        <f t="shared" ref="N47" si="11">VLOOKUP(M47,LISTAITEMS,2,FALSE)</f>
        <v>ninguno</v>
      </c>
      <c r="O47" s="278">
        <f t="shared" ref="O47" si="12">VLOOKUP(M47,LISTAITEMS,5,FALSE)</f>
        <v>0</v>
      </c>
      <c r="P47" s="280">
        <v>0</v>
      </c>
      <c r="Q47" s="281" t="s">
        <v>926</v>
      </c>
      <c r="R47" s="59" t="str">
        <f t="shared" ref="R47" si="13">VLOOKUP(Q47,LISTAITEMS,2,FALSE)</f>
        <v>ninguno</v>
      </c>
      <c r="S47" s="278">
        <f t="shared" ref="S47" si="14">VLOOKUP(Q47,LISTAITEMS,5,FALSE)</f>
        <v>0</v>
      </c>
      <c r="T47" s="280">
        <v>0</v>
      </c>
      <c r="U47" s="281" t="s">
        <v>926</v>
      </c>
      <c r="V47" s="59" t="str">
        <f t="shared" ref="V47" si="15">VLOOKUP(U47,LISTAITEMS,2,FALSE)</f>
        <v>ninguno</v>
      </c>
      <c r="W47" s="278">
        <f t="shared" ref="W47" si="16">VLOOKUP(U47,LISTAITEMS,5,FALSE)</f>
        <v>0</v>
      </c>
      <c r="X47" s="280">
        <v>0</v>
      </c>
      <c r="Y47" s="281" t="s">
        <v>926</v>
      </c>
      <c r="Z47" s="59" t="str">
        <f t="shared" ref="Z47" si="17">VLOOKUP(Y47,LISTAITEMS,2,FALSE)</f>
        <v>ninguno</v>
      </c>
      <c r="AA47" s="278">
        <f t="shared" ref="AA47" si="18">VLOOKUP(Y47,LISTAITEMS,5,FALSE)</f>
        <v>0</v>
      </c>
      <c r="AB47" s="280">
        <v>0</v>
      </c>
      <c r="AC47" s="281" t="s">
        <v>926</v>
      </c>
      <c r="AD47" s="59" t="str">
        <f t="shared" ref="AD47" si="19">VLOOKUP(AC47,LISTAITEMS,2,FALSE)</f>
        <v>ninguno</v>
      </c>
      <c r="AE47" s="278">
        <f t="shared" ref="AE47" si="20">VLOOKUP(AC47,LISTAITEMS,5,FALSE)</f>
        <v>0</v>
      </c>
    </row>
    <row r="49" spans="1:31" s="294" customFormat="1" x14ac:dyDescent="0.25">
      <c r="A49" s="296"/>
      <c r="B49" s="296" t="s">
        <v>1193</v>
      </c>
      <c r="C49" s="296"/>
      <c r="D49" s="296"/>
      <c r="E49" s="296"/>
      <c r="F49" s="296"/>
      <c r="G49" s="296"/>
      <c r="H49" s="296"/>
      <c r="I49" s="296"/>
      <c r="J49" s="296"/>
      <c r="K49" s="296"/>
      <c r="L49" s="296"/>
      <c r="M49" s="296"/>
      <c r="N49" s="296"/>
      <c r="O49" s="296"/>
      <c r="P49" s="296"/>
      <c r="Q49" s="296"/>
      <c r="R49" s="296"/>
      <c r="S49" s="296"/>
      <c r="T49" s="296"/>
      <c r="U49" s="296"/>
      <c r="V49" s="296"/>
      <c r="W49" s="296"/>
      <c r="X49" s="176"/>
      <c r="Y49" s="176"/>
      <c r="Z49" s="176"/>
      <c r="AA49" s="176"/>
      <c r="AB49" s="176"/>
      <c r="AC49" s="176"/>
      <c r="AD49" s="176"/>
      <c r="AE49" s="176"/>
    </row>
    <row r="50" spans="1:31" s="294" customFormat="1" x14ac:dyDescent="0.25">
      <c r="A50" s="276"/>
      <c r="B50" s="276" t="s">
        <v>203</v>
      </c>
      <c r="C50" s="279" t="s">
        <v>202</v>
      </c>
      <c r="D50" s="283" t="s">
        <v>149</v>
      </c>
      <c r="E50" s="283" t="s">
        <v>1144</v>
      </c>
      <c r="F50" s="279" t="s">
        <v>203</v>
      </c>
      <c r="G50" s="283" t="s">
        <v>1149</v>
      </c>
      <c r="H50" s="283" t="s">
        <v>149</v>
      </c>
      <c r="I50" s="283" t="s">
        <v>1145</v>
      </c>
      <c r="J50" s="279" t="s">
        <v>203</v>
      </c>
      <c r="K50" s="283" t="s">
        <v>1149</v>
      </c>
      <c r="L50" s="283" t="s">
        <v>149</v>
      </c>
      <c r="M50" s="283" t="s">
        <v>1146</v>
      </c>
      <c r="N50" s="279" t="s">
        <v>203</v>
      </c>
      <c r="O50" s="283" t="s">
        <v>1149</v>
      </c>
      <c r="P50" s="283" t="s">
        <v>149</v>
      </c>
      <c r="Q50" s="283" t="s">
        <v>1147</v>
      </c>
      <c r="R50" s="279" t="s">
        <v>203</v>
      </c>
      <c r="S50" s="283" t="s">
        <v>1149</v>
      </c>
      <c r="T50" s="283" t="s">
        <v>149</v>
      </c>
      <c r="U50" s="283" t="s">
        <v>1148</v>
      </c>
      <c r="V50" s="279" t="s">
        <v>203</v>
      </c>
      <c r="W50" s="283" t="s">
        <v>1149</v>
      </c>
      <c r="X50" s="283" t="s">
        <v>149</v>
      </c>
      <c r="Y50" s="283" t="s">
        <v>1237</v>
      </c>
      <c r="Z50" s="279" t="s">
        <v>203</v>
      </c>
      <c r="AA50" s="283" t="s">
        <v>1149</v>
      </c>
      <c r="AB50" s="283" t="s">
        <v>149</v>
      </c>
      <c r="AC50" s="283" t="s">
        <v>1238</v>
      </c>
      <c r="AD50" s="279" t="s">
        <v>203</v>
      </c>
      <c r="AE50" s="283" t="s">
        <v>1149</v>
      </c>
    </row>
    <row r="51" spans="1:31" s="294" customFormat="1" x14ac:dyDescent="0.25">
      <c r="A51" s="282" t="s">
        <v>1245</v>
      </c>
      <c r="B51" s="282"/>
      <c r="C51" s="277">
        <f t="shared" ref="C51" si="21">((D51*G51)+(K51*H51)+(O51*L51)+(S51*P51)+(W51*T51)+(X51*AA51)+(AB51*AE51))</f>
        <v>512</v>
      </c>
      <c r="D51" s="280">
        <v>64</v>
      </c>
      <c r="E51" s="281">
        <v>17</v>
      </c>
      <c r="F51" s="59" t="str">
        <f t="shared" ref="F51" si="22">VLOOKUP(E51,LISTAITEMS,2,FALSE)</f>
        <v>Oak Log</v>
      </c>
      <c r="G51" s="278">
        <f t="shared" ref="G51" si="23">VLOOKUP(E51,LISTAITEMS,5,FALSE)</f>
        <v>4</v>
      </c>
      <c r="H51" s="280">
        <v>1</v>
      </c>
      <c r="I51" s="281" t="s">
        <v>1166</v>
      </c>
      <c r="J51" s="59" t="str">
        <f>I51</f>
        <v>Corteza de roble</v>
      </c>
      <c r="K51" s="278">
        <f t="shared" ref="K51" si="24">VLOOKUP(I51,craftedesp,3,FALSE)</f>
        <v>256</v>
      </c>
      <c r="L51" s="280">
        <v>0</v>
      </c>
      <c r="M51" s="281" t="s">
        <v>926</v>
      </c>
      <c r="N51" s="59" t="str">
        <f t="shared" ref="N51" si="25">VLOOKUP(M51,LISTAITEMS,2,FALSE)</f>
        <v>ninguno</v>
      </c>
      <c r="O51" s="278">
        <f t="shared" ref="O51" si="26">VLOOKUP(M51,LISTAITEMS,5,FALSE)</f>
        <v>0</v>
      </c>
      <c r="P51" s="280">
        <v>0</v>
      </c>
      <c r="Q51" s="281" t="s">
        <v>926</v>
      </c>
      <c r="R51" s="59" t="str">
        <f t="shared" ref="R51" si="27">VLOOKUP(Q51,LISTAITEMS,2,FALSE)</f>
        <v>ninguno</v>
      </c>
      <c r="S51" s="278">
        <f t="shared" ref="S51" si="28">VLOOKUP(Q51,LISTAITEMS,5,FALSE)</f>
        <v>0</v>
      </c>
      <c r="T51" s="280">
        <v>0</v>
      </c>
      <c r="U51" s="281" t="s">
        <v>926</v>
      </c>
      <c r="V51" s="59" t="str">
        <f t="shared" ref="V51" si="29">VLOOKUP(U51,LISTAITEMS,2,FALSE)</f>
        <v>ninguno</v>
      </c>
      <c r="W51" s="278">
        <f t="shared" ref="W51" si="30">VLOOKUP(U51,LISTAITEMS,5,FALSE)</f>
        <v>0</v>
      </c>
      <c r="X51" s="280">
        <v>0</v>
      </c>
      <c r="Y51" s="281" t="s">
        <v>926</v>
      </c>
      <c r="Z51" s="59" t="str">
        <f t="shared" ref="Z51" si="31">VLOOKUP(Y51,LISTAITEMS,2,FALSE)</f>
        <v>ninguno</v>
      </c>
      <c r="AA51" s="278">
        <f t="shared" ref="AA51" si="32">VLOOKUP(Y51,LISTAITEMS,5,FALSE)</f>
        <v>0</v>
      </c>
      <c r="AB51" s="280">
        <v>0</v>
      </c>
      <c r="AC51" s="281" t="s">
        <v>926</v>
      </c>
      <c r="AD51" s="59" t="str">
        <f t="shared" ref="AD51" si="33">VLOOKUP(AC51,LISTAITEMS,2,FALSE)</f>
        <v>ninguno</v>
      </c>
      <c r="AE51" s="278">
        <f t="shared" ref="AE51" si="34">VLOOKUP(AC51,LISTAITEMS,5,FALSE)</f>
        <v>0</v>
      </c>
    </row>
    <row r="52" spans="1:31" s="292" customFormat="1" x14ac:dyDescent="0.25">
      <c r="A52"/>
      <c r="B52"/>
      <c r="C52"/>
      <c r="D52"/>
      <c r="E52"/>
      <c r="F52"/>
      <c r="G52"/>
      <c r="H52"/>
      <c r="I52"/>
      <c r="J52"/>
      <c r="K52"/>
      <c r="L52"/>
      <c r="M52"/>
      <c r="N52"/>
      <c r="O52"/>
      <c r="P52"/>
      <c r="Q52"/>
      <c r="R52"/>
      <c r="S52"/>
      <c r="T52"/>
      <c r="U52"/>
      <c r="V52"/>
      <c r="W52"/>
    </row>
    <row r="53" spans="1:31" s="292" customFormat="1" x14ac:dyDescent="0.25">
      <c r="A53" s="296"/>
      <c r="B53" s="296" t="s">
        <v>1131</v>
      </c>
      <c r="C53" s="296"/>
      <c r="D53" s="296"/>
      <c r="E53" s="296"/>
      <c r="F53" s="296"/>
      <c r="G53" s="296"/>
      <c r="H53" s="296"/>
      <c r="I53" s="296"/>
      <c r="J53" s="296"/>
      <c r="K53" s="296"/>
      <c r="L53" s="296"/>
      <c r="M53" s="296"/>
      <c r="N53" s="296"/>
      <c r="O53" s="296"/>
      <c r="P53" s="296"/>
      <c r="Q53" s="296"/>
      <c r="R53" s="296"/>
      <c r="S53" s="296"/>
      <c r="T53" s="296"/>
      <c r="U53" s="296"/>
      <c r="V53" s="296"/>
      <c r="W53" s="296"/>
      <c r="X53" s="176"/>
      <c r="Y53" s="176"/>
      <c r="Z53" s="176"/>
      <c r="AA53" s="176"/>
      <c r="AB53" s="176"/>
      <c r="AC53" s="176"/>
      <c r="AD53" s="176"/>
      <c r="AE53" s="176"/>
    </row>
    <row r="54" spans="1:31" x14ac:dyDescent="0.25">
      <c r="A54" s="276"/>
      <c r="B54" s="276" t="s">
        <v>203</v>
      </c>
      <c r="C54" s="279" t="s">
        <v>202</v>
      </c>
      <c r="D54" s="283" t="s">
        <v>149</v>
      </c>
      <c r="E54" s="283" t="s">
        <v>1144</v>
      </c>
      <c r="F54" s="279" t="s">
        <v>203</v>
      </c>
      <c r="G54" s="283" t="s">
        <v>1149</v>
      </c>
      <c r="H54" s="283" t="s">
        <v>149</v>
      </c>
      <c r="I54" s="283" t="s">
        <v>1145</v>
      </c>
      <c r="J54" s="279" t="s">
        <v>203</v>
      </c>
      <c r="K54" s="283" t="s">
        <v>1149</v>
      </c>
      <c r="L54" s="283" t="s">
        <v>149</v>
      </c>
      <c r="M54" s="283" t="s">
        <v>1146</v>
      </c>
      <c r="N54" s="279" t="s">
        <v>203</v>
      </c>
      <c r="O54" s="283" t="s">
        <v>1149</v>
      </c>
      <c r="P54" s="283" t="s">
        <v>149</v>
      </c>
      <c r="Q54" s="283" t="s">
        <v>1147</v>
      </c>
      <c r="R54" s="279" t="s">
        <v>203</v>
      </c>
      <c r="S54" s="283" t="s">
        <v>1149</v>
      </c>
      <c r="T54" s="283" t="s">
        <v>149</v>
      </c>
      <c r="U54" s="283" t="s">
        <v>1148</v>
      </c>
      <c r="V54" s="279" t="s">
        <v>203</v>
      </c>
      <c r="W54" s="283" t="s">
        <v>1149</v>
      </c>
      <c r="X54" s="283" t="s">
        <v>149</v>
      </c>
      <c r="Y54" s="283" t="s">
        <v>1237</v>
      </c>
      <c r="Z54" s="279" t="s">
        <v>203</v>
      </c>
      <c r="AA54" s="283" t="s">
        <v>1149</v>
      </c>
      <c r="AB54" s="283" t="s">
        <v>149</v>
      </c>
      <c r="AC54" s="283" t="s">
        <v>1238</v>
      </c>
      <c r="AD54" s="279" t="s">
        <v>203</v>
      </c>
      <c r="AE54" s="283" t="s">
        <v>1149</v>
      </c>
    </row>
    <row r="55" spans="1:31" x14ac:dyDescent="0.25">
      <c r="A55" s="282" t="s">
        <v>1166</v>
      </c>
      <c r="B55" s="282"/>
      <c r="C55" s="277">
        <f t="shared" ref="C55:C60" si="35">((D55*G55)+(K55*H55)+(O55*L55)+(S55*P55)+(W55*T55)+(X55*AA55)+(AB55*AE55))</f>
        <v>256</v>
      </c>
      <c r="D55" s="280">
        <v>64</v>
      </c>
      <c r="E55" s="281">
        <v>17</v>
      </c>
      <c r="F55" s="59" t="str">
        <f t="shared" ref="F55:F56" si="36">VLOOKUP(E55,LISTAITEMS,2,FALSE)</f>
        <v>Oak Log</v>
      </c>
      <c r="G55" s="278">
        <f t="shared" ref="G55:G60" si="37">VLOOKUP(E55,LISTAITEMS,5,FALSE)</f>
        <v>4</v>
      </c>
      <c r="H55" s="280">
        <v>0</v>
      </c>
      <c r="I55" s="281" t="s">
        <v>926</v>
      </c>
      <c r="J55" s="59" t="str">
        <f t="shared" ref="J55:J56" si="38">VLOOKUP(I55,LISTAITEMS,2,FALSE)</f>
        <v>ninguno</v>
      </c>
      <c r="K55" s="278">
        <f t="shared" ref="K55:K60" si="39">VLOOKUP(I55,LISTAITEMS,5,FALSE)</f>
        <v>0</v>
      </c>
      <c r="L55" s="280">
        <v>0</v>
      </c>
      <c r="M55" s="281" t="s">
        <v>926</v>
      </c>
      <c r="N55" s="59" t="str">
        <f t="shared" ref="N55:N56" si="40">VLOOKUP(M55,LISTAITEMS,2,FALSE)</f>
        <v>ninguno</v>
      </c>
      <c r="O55" s="278">
        <f t="shared" ref="O55:O60" si="41">VLOOKUP(M55,LISTAITEMS,5,FALSE)</f>
        <v>0</v>
      </c>
      <c r="P55" s="280">
        <v>0</v>
      </c>
      <c r="Q55" s="281" t="s">
        <v>926</v>
      </c>
      <c r="R55" s="59" t="str">
        <f t="shared" ref="R55:R56" si="42">VLOOKUP(Q55,LISTAITEMS,2,FALSE)</f>
        <v>ninguno</v>
      </c>
      <c r="S55" s="278">
        <f t="shared" ref="S55:S60" si="43">VLOOKUP(Q55,LISTAITEMS,5,FALSE)</f>
        <v>0</v>
      </c>
      <c r="T55" s="280">
        <v>0</v>
      </c>
      <c r="U55" s="281" t="s">
        <v>926</v>
      </c>
      <c r="V55" s="59" t="str">
        <f t="shared" ref="V55:V56" si="44">VLOOKUP(U55,LISTAITEMS,2,FALSE)</f>
        <v>ninguno</v>
      </c>
      <c r="W55" s="278">
        <f t="shared" ref="W55:W60" si="45">VLOOKUP(U55,LISTAITEMS,5,FALSE)</f>
        <v>0</v>
      </c>
      <c r="X55" s="280">
        <v>0</v>
      </c>
      <c r="Y55" s="281" t="s">
        <v>926</v>
      </c>
      <c r="Z55" s="59" t="str">
        <f t="shared" ref="Z55:Z56" si="46">VLOOKUP(Y55,LISTAITEMS,2,FALSE)</f>
        <v>ninguno</v>
      </c>
      <c r="AA55" s="278">
        <f t="shared" ref="AA55:AA60" si="47">VLOOKUP(Y55,LISTAITEMS,5,FALSE)</f>
        <v>0</v>
      </c>
      <c r="AB55" s="280">
        <v>0</v>
      </c>
      <c r="AC55" s="281" t="s">
        <v>926</v>
      </c>
      <c r="AD55" s="59" t="str">
        <f t="shared" ref="AD55:AD56" si="48">VLOOKUP(AC55,LISTAITEMS,2,FALSE)</f>
        <v>ninguno</v>
      </c>
      <c r="AE55" s="278">
        <f t="shared" ref="AE55:AE60" si="49">VLOOKUP(AC55,LISTAITEMS,5,FALSE)</f>
        <v>0</v>
      </c>
    </row>
    <row r="56" spans="1:31" x14ac:dyDescent="0.25">
      <c r="A56" s="282" t="s">
        <v>1168</v>
      </c>
      <c r="B56" s="282"/>
      <c r="C56" s="277">
        <f t="shared" si="35"/>
        <v>704</v>
      </c>
      <c r="D56" s="280">
        <v>64</v>
      </c>
      <c r="E56" s="281" t="s">
        <v>244</v>
      </c>
      <c r="F56" s="59" t="str">
        <f t="shared" si="36"/>
        <v>Spruce Log</v>
      </c>
      <c r="G56" s="278">
        <f t="shared" si="37"/>
        <v>11</v>
      </c>
      <c r="H56" s="280">
        <v>0</v>
      </c>
      <c r="I56" s="281" t="s">
        <v>926</v>
      </c>
      <c r="J56" s="59" t="str">
        <f t="shared" si="38"/>
        <v>ninguno</v>
      </c>
      <c r="K56" s="278">
        <f t="shared" si="39"/>
        <v>0</v>
      </c>
      <c r="L56" s="280">
        <v>0</v>
      </c>
      <c r="M56" s="281" t="s">
        <v>926</v>
      </c>
      <c r="N56" s="59" t="str">
        <f t="shared" si="40"/>
        <v>ninguno</v>
      </c>
      <c r="O56" s="278">
        <f t="shared" si="41"/>
        <v>0</v>
      </c>
      <c r="P56" s="280">
        <v>0</v>
      </c>
      <c r="Q56" s="281" t="s">
        <v>926</v>
      </c>
      <c r="R56" s="59" t="str">
        <f t="shared" si="42"/>
        <v>ninguno</v>
      </c>
      <c r="S56" s="278">
        <f t="shared" si="43"/>
        <v>0</v>
      </c>
      <c r="T56" s="280">
        <v>0</v>
      </c>
      <c r="U56" s="281" t="s">
        <v>926</v>
      </c>
      <c r="V56" s="59" t="str">
        <f t="shared" si="44"/>
        <v>ninguno</v>
      </c>
      <c r="W56" s="278">
        <f t="shared" si="45"/>
        <v>0</v>
      </c>
      <c r="X56" s="280">
        <v>0</v>
      </c>
      <c r="Y56" s="281" t="s">
        <v>926</v>
      </c>
      <c r="Z56" s="59" t="str">
        <f t="shared" si="46"/>
        <v>ninguno</v>
      </c>
      <c r="AA56" s="278">
        <f t="shared" si="47"/>
        <v>0</v>
      </c>
      <c r="AB56" s="280">
        <v>0</v>
      </c>
      <c r="AC56" s="281" t="s">
        <v>926</v>
      </c>
      <c r="AD56" s="59" t="str">
        <f t="shared" si="48"/>
        <v>ninguno</v>
      </c>
      <c r="AE56" s="278">
        <f t="shared" si="49"/>
        <v>0</v>
      </c>
    </row>
    <row r="57" spans="1:31" s="293" customFormat="1" x14ac:dyDescent="0.25">
      <c r="A57" s="282" t="s">
        <v>1169</v>
      </c>
      <c r="B57" s="282"/>
      <c r="C57" s="277">
        <f t="shared" si="35"/>
        <v>1088</v>
      </c>
      <c r="D57" s="280">
        <v>64</v>
      </c>
      <c r="E57" s="281" t="s">
        <v>246</v>
      </c>
      <c r="F57" s="59" t="str">
        <f t="shared" ref="F57:F58" si="50">VLOOKUP(E57,LISTAITEMS,2,FALSE)</f>
        <v>Birch Log</v>
      </c>
      <c r="G57" s="278">
        <f t="shared" si="37"/>
        <v>17</v>
      </c>
      <c r="H57" s="280">
        <v>0</v>
      </c>
      <c r="I57" s="281" t="s">
        <v>926</v>
      </c>
      <c r="J57" s="59" t="str">
        <f t="shared" ref="J57:J58" si="51">VLOOKUP(I57,LISTAITEMS,2,FALSE)</f>
        <v>ninguno</v>
      </c>
      <c r="K57" s="278">
        <f t="shared" si="39"/>
        <v>0</v>
      </c>
      <c r="L57" s="280">
        <v>0</v>
      </c>
      <c r="M57" s="281" t="s">
        <v>926</v>
      </c>
      <c r="N57" s="59" t="str">
        <f t="shared" ref="N57:N58" si="52">VLOOKUP(M57,LISTAITEMS,2,FALSE)</f>
        <v>ninguno</v>
      </c>
      <c r="O57" s="278">
        <f t="shared" si="41"/>
        <v>0</v>
      </c>
      <c r="P57" s="280">
        <v>0</v>
      </c>
      <c r="Q57" s="281" t="s">
        <v>926</v>
      </c>
      <c r="R57" s="59" t="str">
        <f t="shared" ref="R57:R58" si="53">VLOOKUP(Q57,LISTAITEMS,2,FALSE)</f>
        <v>ninguno</v>
      </c>
      <c r="S57" s="278">
        <f t="shared" si="43"/>
        <v>0</v>
      </c>
      <c r="T57" s="280">
        <v>0</v>
      </c>
      <c r="U57" s="281" t="s">
        <v>926</v>
      </c>
      <c r="V57" s="59" t="str">
        <f t="shared" ref="V57:V58" si="54">VLOOKUP(U57,LISTAITEMS,2,FALSE)</f>
        <v>ninguno</v>
      </c>
      <c r="W57" s="278">
        <f t="shared" si="45"/>
        <v>0</v>
      </c>
      <c r="X57" s="280">
        <v>0</v>
      </c>
      <c r="Y57" s="281" t="s">
        <v>926</v>
      </c>
      <c r="Z57" s="59" t="str">
        <f t="shared" ref="Z57:Z58" si="55">VLOOKUP(Y57,LISTAITEMS,2,FALSE)</f>
        <v>ninguno</v>
      </c>
      <c r="AA57" s="278">
        <f t="shared" si="47"/>
        <v>0</v>
      </c>
      <c r="AB57" s="280">
        <v>0</v>
      </c>
      <c r="AC57" s="281" t="s">
        <v>926</v>
      </c>
      <c r="AD57" s="59" t="str">
        <f t="shared" ref="AD57:AD58" si="56">VLOOKUP(AC57,LISTAITEMS,2,FALSE)</f>
        <v>ninguno</v>
      </c>
      <c r="AE57" s="278">
        <f t="shared" si="49"/>
        <v>0</v>
      </c>
    </row>
    <row r="58" spans="1:31" s="293" customFormat="1" x14ac:dyDescent="0.25">
      <c r="A58" s="282" t="s">
        <v>1239</v>
      </c>
      <c r="B58" s="282"/>
      <c r="C58" s="277">
        <f t="shared" si="35"/>
        <v>1536</v>
      </c>
      <c r="D58" s="280">
        <v>64</v>
      </c>
      <c r="E58" s="281" t="s">
        <v>248</v>
      </c>
      <c r="F58" s="59" t="str">
        <f t="shared" si="50"/>
        <v>Jungle Log</v>
      </c>
      <c r="G58" s="278">
        <f t="shared" si="37"/>
        <v>24</v>
      </c>
      <c r="H58" s="280">
        <v>0</v>
      </c>
      <c r="I58" s="281" t="s">
        <v>926</v>
      </c>
      <c r="J58" s="59" t="str">
        <f t="shared" si="51"/>
        <v>ninguno</v>
      </c>
      <c r="K58" s="278">
        <f t="shared" si="39"/>
        <v>0</v>
      </c>
      <c r="L58" s="280">
        <v>0</v>
      </c>
      <c r="M58" s="281" t="s">
        <v>926</v>
      </c>
      <c r="N58" s="59" t="str">
        <f t="shared" si="52"/>
        <v>ninguno</v>
      </c>
      <c r="O58" s="278">
        <f t="shared" si="41"/>
        <v>0</v>
      </c>
      <c r="P58" s="280">
        <v>0</v>
      </c>
      <c r="Q58" s="281" t="s">
        <v>926</v>
      </c>
      <c r="R58" s="59" t="str">
        <f t="shared" si="53"/>
        <v>ninguno</v>
      </c>
      <c r="S58" s="278">
        <f t="shared" si="43"/>
        <v>0</v>
      </c>
      <c r="T58" s="280">
        <v>0</v>
      </c>
      <c r="U58" s="281" t="s">
        <v>926</v>
      </c>
      <c r="V58" s="59" t="str">
        <f t="shared" si="54"/>
        <v>ninguno</v>
      </c>
      <c r="W58" s="278">
        <f t="shared" si="45"/>
        <v>0</v>
      </c>
      <c r="X58" s="280">
        <v>0</v>
      </c>
      <c r="Y58" s="281" t="s">
        <v>926</v>
      </c>
      <c r="Z58" s="59" t="str">
        <f t="shared" si="55"/>
        <v>ninguno</v>
      </c>
      <c r="AA58" s="278">
        <f t="shared" si="47"/>
        <v>0</v>
      </c>
      <c r="AB58" s="280">
        <v>0</v>
      </c>
      <c r="AC58" s="281" t="s">
        <v>926</v>
      </c>
      <c r="AD58" s="59" t="str">
        <f t="shared" si="56"/>
        <v>ninguno</v>
      </c>
      <c r="AE58" s="278">
        <f t="shared" si="49"/>
        <v>0</v>
      </c>
    </row>
    <row r="59" spans="1:31" s="293" customFormat="1" x14ac:dyDescent="0.25">
      <c r="A59" s="282" t="s">
        <v>1170</v>
      </c>
      <c r="B59" s="282"/>
      <c r="C59" s="277">
        <f t="shared" si="35"/>
        <v>1984</v>
      </c>
      <c r="D59" s="280">
        <v>64</v>
      </c>
      <c r="E59" s="281">
        <v>162</v>
      </c>
      <c r="F59" s="59" t="str">
        <f t="shared" ref="F59:F60" si="57">VLOOKUP(E59,LISTAITEMS,2,FALSE)</f>
        <v>Acacia Log</v>
      </c>
      <c r="G59" s="278">
        <f t="shared" si="37"/>
        <v>31</v>
      </c>
      <c r="H59" s="280">
        <v>0</v>
      </c>
      <c r="I59" s="281" t="s">
        <v>926</v>
      </c>
      <c r="J59" s="59" t="str">
        <f t="shared" ref="J59:J60" si="58">VLOOKUP(I59,LISTAITEMS,2,FALSE)</f>
        <v>ninguno</v>
      </c>
      <c r="K59" s="278">
        <f t="shared" si="39"/>
        <v>0</v>
      </c>
      <c r="L59" s="280">
        <v>0</v>
      </c>
      <c r="M59" s="281" t="s">
        <v>926</v>
      </c>
      <c r="N59" s="59" t="str">
        <f t="shared" ref="N59:N60" si="59">VLOOKUP(M59,LISTAITEMS,2,FALSE)</f>
        <v>ninguno</v>
      </c>
      <c r="O59" s="278">
        <f t="shared" si="41"/>
        <v>0</v>
      </c>
      <c r="P59" s="280">
        <v>0</v>
      </c>
      <c r="Q59" s="281" t="s">
        <v>926</v>
      </c>
      <c r="R59" s="59" t="str">
        <f t="shared" ref="R59:R60" si="60">VLOOKUP(Q59,LISTAITEMS,2,FALSE)</f>
        <v>ninguno</v>
      </c>
      <c r="S59" s="278">
        <f t="shared" si="43"/>
        <v>0</v>
      </c>
      <c r="T59" s="280">
        <v>0</v>
      </c>
      <c r="U59" s="281" t="s">
        <v>926</v>
      </c>
      <c r="V59" s="59" t="str">
        <f t="shared" ref="V59:V60" si="61">VLOOKUP(U59,LISTAITEMS,2,FALSE)</f>
        <v>ninguno</v>
      </c>
      <c r="W59" s="278">
        <f t="shared" si="45"/>
        <v>0</v>
      </c>
      <c r="X59" s="280">
        <v>0</v>
      </c>
      <c r="Y59" s="281" t="s">
        <v>926</v>
      </c>
      <c r="Z59" s="59" t="str">
        <f t="shared" ref="Z59:Z60" si="62">VLOOKUP(Y59,LISTAITEMS,2,FALSE)</f>
        <v>ninguno</v>
      </c>
      <c r="AA59" s="278">
        <f t="shared" si="47"/>
        <v>0</v>
      </c>
      <c r="AB59" s="280">
        <v>0</v>
      </c>
      <c r="AC59" s="281" t="s">
        <v>926</v>
      </c>
      <c r="AD59" s="59" t="str">
        <f t="shared" ref="AD59:AD60" si="63">VLOOKUP(AC59,LISTAITEMS,2,FALSE)</f>
        <v>ninguno</v>
      </c>
      <c r="AE59" s="278">
        <f t="shared" si="49"/>
        <v>0</v>
      </c>
    </row>
    <row r="60" spans="1:31" s="293" customFormat="1" x14ac:dyDescent="0.25">
      <c r="A60" s="282" t="s">
        <v>1240</v>
      </c>
      <c r="B60" s="282"/>
      <c r="C60" s="277">
        <f t="shared" si="35"/>
        <v>2368</v>
      </c>
      <c r="D60" s="280">
        <v>64</v>
      </c>
      <c r="E60" s="281" t="s">
        <v>495</v>
      </c>
      <c r="F60" s="59" t="str">
        <f t="shared" si="57"/>
        <v>Dark Oak Log</v>
      </c>
      <c r="G60" s="278">
        <f t="shared" si="37"/>
        <v>37</v>
      </c>
      <c r="H60" s="280">
        <v>0</v>
      </c>
      <c r="I60" s="281" t="s">
        <v>926</v>
      </c>
      <c r="J60" s="59" t="str">
        <f t="shared" si="58"/>
        <v>ninguno</v>
      </c>
      <c r="K60" s="278">
        <f t="shared" si="39"/>
        <v>0</v>
      </c>
      <c r="L60" s="280">
        <v>0</v>
      </c>
      <c r="M60" s="281" t="s">
        <v>926</v>
      </c>
      <c r="N60" s="59" t="str">
        <f t="shared" si="59"/>
        <v>ninguno</v>
      </c>
      <c r="O60" s="278">
        <f t="shared" si="41"/>
        <v>0</v>
      </c>
      <c r="P60" s="280">
        <v>0</v>
      </c>
      <c r="Q60" s="281" t="s">
        <v>926</v>
      </c>
      <c r="R60" s="59" t="str">
        <f t="shared" si="60"/>
        <v>ninguno</v>
      </c>
      <c r="S60" s="278">
        <f t="shared" si="43"/>
        <v>0</v>
      </c>
      <c r="T60" s="280">
        <v>0</v>
      </c>
      <c r="U60" s="281" t="s">
        <v>926</v>
      </c>
      <c r="V60" s="59" t="str">
        <f t="shared" si="61"/>
        <v>ninguno</v>
      </c>
      <c r="W60" s="278">
        <f t="shared" si="45"/>
        <v>0</v>
      </c>
      <c r="X60" s="280">
        <v>0</v>
      </c>
      <c r="Y60" s="281" t="s">
        <v>926</v>
      </c>
      <c r="Z60" s="59" t="str">
        <f t="shared" si="62"/>
        <v>ninguno</v>
      </c>
      <c r="AA60" s="278">
        <f t="shared" si="47"/>
        <v>0</v>
      </c>
      <c r="AB60" s="280">
        <v>0</v>
      </c>
      <c r="AC60" s="281" t="s">
        <v>926</v>
      </c>
      <c r="AD60" s="59" t="str">
        <f t="shared" si="63"/>
        <v>ninguno</v>
      </c>
      <c r="AE60" s="278">
        <f t="shared" si="49"/>
        <v>0</v>
      </c>
    </row>
    <row r="64" spans="1:31" s="293" customFormat="1" x14ac:dyDescent="0.25">
      <c r="A64" s="296"/>
      <c r="B64" s="296" t="s">
        <v>1241</v>
      </c>
      <c r="C64" s="296"/>
      <c r="D64" s="296"/>
      <c r="E64" s="296"/>
      <c r="F64" s="296"/>
      <c r="G64" s="296"/>
      <c r="H64" s="296"/>
      <c r="I64" s="296"/>
      <c r="J64" s="296"/>
      <c r="K64" s="296"/>
      <c r="L64" s="296"/>
      <c r="M64" s="296"/>
      <c r="N64" s="296"/>
      <c r="O64" s="296"/>
      <c r="P64" s="296"/>
      <c r="Q64" s="296"/>
      <c r="R64" s="296"/>
      <c r="S64" s="296"/>
      <c r="T64" s="296"/>
      <c r="U64" s="296"/>
      <c r="V64" s="296"/>
      <c r="W64" s="296"/>
      <c r="X64" s="176"/>
      <c r="Y64" s="176"/>
      <c r="Z64" s="176"/>
      <c r="AA64" s="176"/>
      <c r="AB64" s="176"/>
      <c r="AC64" s="176"/>
      <c r="AD64" s="176"/>
      <c r="AE64" s="176"/>
    </row>
    <row r="65" spans="1:31" s="293" customFormat="1" x14ac:dyDescent="0.25">
      <c r="A65" s="276"/>
      <c r="B65" s="276" t="s">
        <v>203</v>
      </c>
      <c r="C65" s="279" t="s">
        <v>202</v>
      </c>
      <c r="D65" s="283" t="s">
        <v>149</v>
      </c>
      <c r="E65" s="283" t="s">
        <v>1144</v>
      </c>
      <c r="F65" s="279" t="s">
        <v>203</v>
      </c>
      <c r="G65" s="283" t="s">
        <v>1149</v>
      </c>
      <c r="H65" s="283" t="s">
        <v>149</v>
      </c>
      <c r="I65" s="283" t="s">
        <v>1145</v>
      </c>
      <c r="J65" s="279" t="s">
        <v>203</v>
      </c>
      <c r="K65" s="283" t="s">
        <v>1149</v>
      </c>
      <c r="L65" s="283" t="s">
        <v>149</v>
      </c>
      <c r="M65" s="283" t="s">
        <v>1146</v>
      </c>
      <c r="N65" s="279" t="s">
        <v>203</v>
      </c>
      <c r="O65" s="283" t="s">
        <v>1149</v>
      </c>
      <c r="P65" s="283" t="s">
        <v>149</v>
      </c>
      <c r="Q65" s="283" t="s">
        <v>1147</v>
      </c>
      <c r="R65" s="279" t="s">
        <v>203</v>
      </c>
      <c r="S65" s="283" t="s">
        <v>1149</v>
      </c>
      <c r="T65" s="283" t="s">
        <v>149</v>
      </c>
      <c r="U65" s="283" t="s">
        <v>1148</v>
      </c>
      <c r="V65" s="279" t="s">
        <v>203</v>
      </c>
      <c r="W65" s="283" t="s">
        <v>1149</v>
      </c>
      <c r="X65" s="283" t="s">
        <v>149</v>
      </c>
      <c r="Y65" s="283" t="s">
        <v>1237</v>
      </c>
      <c r="Z65" s="279" t="s">
        <v>203</v>
      </c>
      <c r="AA65" s="283" t="s">
        <v>1149</v>
      </c>
      <c r="AB65" s="283" t="s">
        <v>149</v>
      </c>
      <c r="AC65" s="283" t="s">
        <v>1238</v>
      </c>
      <c r="AD65" s="279" t="s">
        <v>203</v>
      </c>
      <c r="AE65" s="283" t="s">
        <v>1149</v>
      </c>
    </row>
    <row r="66" spans="1:31" s="294" customFormat="1" x14ac:dyDescent="0.25">
      <c r="A66" s="282" t="s">
        <v>1244</v>
      </c>
      <c r="B66" s="282"/>
      <c r="C66" s="277">
        <f t="shared" ref="C66" si="64">((D66*G66)+(K66*H66)+(O66*L66)+(S66*P66)+(W66*T66)+(X66*AA66)+(AB66*AE66))</f>
        <v>172.79999999999998</v>
      </c>
      <c r="D66" s="280">
        <v>64</v>
      </c>
      <c r="E66" s="281" t="s">
        <v>312</v>
      </c>
      <c r="F66" s="59" t="str">
        <f t="shared" ref="F66" si="65">VLOOKUP(E66,LISTAITEMS,2,FALSE)</f>
        <v>Cobblestone Slab</v>
      </c>
      <c r="G66" s="278">
        <f t="shared" ref="G66" si="66">VLOOKUP(E66,LISTAITEMS,5,FALSE)</f>
        <v>1.7999999999999998</v>
      </c>
      <c r="H66" s="280">
        <v>2</v>
      </c>
      <c r="I66" s="281">
        <v>61</v>
      </c>
      <c r="J66" s="59" t="str">
        <f t="shared" ref="J66" si="67">VLOOKUP(I66,LISTAITEMS,2,FALSE)</f>
        <v>Furnace</v>
      </c>
      <c r="K66" s="278">
        <f t="shared" ref="K66" si="68">VLOOKUP(I66,LISTAITEMS,5,FALSE)</f>
        <v>28.799999999999997</v>
      </c>
      <c r="L66" s="280">
        <v>0</v>
      </c>
      <c r="M66" s="281" t="s">
        <v>926</v>
      </c>
      <c r="N66" s="59" t="str">
        <f t="shared" ref="N66" si="69">VLOOKUP(M66,LISTAITEMS,2,FALSE)</f>
        <v>ninguno</v>
      </c>
      <c r="O66" s="278">
        <f t="shared" ref="O66" si="70">VLOOKUP(M66,LISTAITEMS,5,FALSE)</f>
        <v>0</v>
      </c>
      <c r="P66" s="280">
        <v>0</v>
      </c>
      <c r="Q66" s="281" t="s">
        <v>926</v>
      </c>
      <c r="R66" s="59" t="str">
        <f t="shared" ref="R66" si="71">VLOOKUP(Q66,LISTAITEMS,2,FALSE)</f>
        <v>ninguno</v>
      </c>
      <c r="S66" s="278">
        <f t="shared" ref="S66" si="72">VLOOKUP(Q66,LISTAITEMS,5,FALSE)</f>
        <v>0</v>
      </c>
      <c r="T66" s="280">
        <v>0</v>
      </c>
      <c r="U66" s="281" t="s">
        <v>926</v>
      </c>
      <c r="V66" s="59" t="str">
        <f t="shared" ref="V66" si="73">VLOOKUP(U66,LISTAITEMS,2,FALSE)</f>
        <v>ninguno</v>
      </c>
      <c r="W66" s="278">
        <f t="shared" ref="W66" si="74">VLOOKUP(U66,LISTAITEMS,5,FALSE)</f>
        <v>0</v>
      </c>
      <c r="X66" s="280">
        <v>0</v>
      </c>
      <c r="Y66" s="281" t="s">
        <v>926</v>
      </c>
      <c r="Z66" s="59" t="str">
        <f t="shared" ref="Z66" si="75">VLOOKUP(Y66,LISTAITEMS,2,FALSE)</f>
        <v>ninguno</v>
      </c>
      <c r="AA66" s="278">
        <f t="shared" ref="AA66" si="76">VLOOKUP(Y66,LISTAITEMS,5,FALSE)</f>
        <v>0</v>
      </c>
      <c r="AB66" s="280">
        <v>0</v>
      </c>
      <c r="AC66" s="281" t="s">
        <v>926</v>
      </c>
      <c r="AD66" s="59" t="str">
        <f t="shared" ref="AD66" si="77">VLOOKUP(AC66,LISTAITEMS,2,FALSE)</f>
        <v>ninguno</v>
      </c>
      <c r="AE66" s="278">
        <f t="shared" ref="AE66" si="78">VLOOKUP(AC66,LISTAITEMS,5,FALSE)</f>
        <v>0</v>
      </c>
    </row>
    <row r="72" spans="1:31" s="293" customFormat="1" x14ac:dyDescent="0.25">
      <c r="A72" s="296"/>
      <c r="B72" s="296" t="s">
        <v>1185</v>
      </c>
      <c r="C72" s="296"/>
      <c r="D72" s="296"/>
      <c r="E72" s="296"/>
      <c r="F72" s="296"/>
      <c r="G72" s="296"/>
      <c r="H72" s="296"/>
      <c r="I72" s="296"/>
      <c r="J72" s="296"/>
      <c r="K72" s="296"/>
      <c r="L72" s="296"/>
      <c r="M72" s="296"/>
      <c r="N72" s="296"/>
      <c r="O72" s="296"/>
      <c r="P72" s="296"/>
      <c r="Q72" s="296"/>
      <c r="R72" s="296"/>
      <c r="S72" s="296"/>
      <c r="T72" s="296"/>
      <c r="U72" s="296"/>
      <c r="V72" s="296"/>
      <c r="W72" s="296"/>
      <c r="X72" s="176"/>
      <c r="Y72" s="176"/>
      <c r="Z72" s="176"/>
      <c r="AA72" s="176"/>
      <c r="AB72" s="176"/>
      <c r="AC72" s="176"/>
      <c r="AD72" s="176"/>
      <c r="AE72" s="176"/>
    </row>
    <row r="73" spans="1:31" s="293" customFormat="1" x14ac:dyDescent="0.25">
      <c r="A73" s="276"/>
      <c r="B73" s="276" t="s">
        <v>203</v>
      </c>
      <c r="C73" s="279" t="s">
        <v>202</v>
      </c>
      <c r="D73" s="283" t="s">
        <v>149</v>
      </c>
      <c r="E73" s="283" t="s">
        <v>1144</v>
      </c>
      <c r="F73" s="279" t="s">
        <v>203</v>
      </c>
      <c r="G73" s="283" t="s">
        <v>1149</v>
      </c>
      <c r="H73" s="283" t="s">
        <v>149</v>
      </c>
      <c r="I73" s="283" t="s">
        <v>1145</v>
      </c>
      <c r="J73" s="279" t="s">
        <v>203</v>
      </c>
      <c r="K73" s="283" t="s">
        <v>1149</v>
      </c>
      <c r="L73" s="283" t="s">
        <v>149</v>
      </c>
      <c r="M73" s="283" t="s">
        <v>1146</v>
      </c>
      <c r="N73" s="279" t="s">
        <v>203</v>
      </c>
      <c r="O73" s="283" t="s">
        <v>1149</v>
      </c>
      <c r="P73" s="283" t="s">
        <v>149</v>
      </c>
      <c r="Q73" s="283" t="s">
        <v>1147</v>
      </c>
      <c r="R73" s="279" t="s">
        <v>203</v>
      </c>
      <c r="S73" s="283" t="s">
        <v>1149</v>
      </c>
      <c r="T73" s="283" t="s">
        <v>149</v>
      </c>
      <c r="U73" s="283" t="s">
        <v>1148</v>
      </c>
      <c r="V73" s="279" t="s">
        <v>203</v>
      </c>
      <c r="W73" s="283" t="s">
        <v>1149</v>
      </c>
      <c r="X73" s="283" t="s">
        <v>149</v>
      </c>
      <c r="Y73" s="283" t="s">
        <v>1237</v>
      </c>
      <c r="Z73" s="279" t="s">
        <v>203</v>
      </c>
      <c r="AA73" s="283" t="s">
        <v>1149</v>
      </c>
      <c r="AB73" s="283" t="s">
        <v>149</v>
      </c>
      <c r="AC73" s="283" t="s">
        <v>1238</v>
      </c>
      <c r="AD73" s="279" t="s">
        <v>203</v>
      </c>
      <c r="AE73" s="283" t="s">
        <v>1149</v>
      </c>
    </row>
    <row r="74" spans="1:31" s="294" customFormat="1" x14ac:dyDescent="0.25">
      <c r="A74" s="282" t="s">
        <v>1249</v>
      </c>
      <c r="B74" s="282"/>
      <c r="C74" s="277">
        <f>((D74*G74)+(K74*H74)+(O74*L74)+(S74*P74)+(W74*T74)+(X74*AA74)+(AB74*AE74))</f>
        <v>740.59999999999991</v>
      </c>
      <c r="D74" s="280">
        <v>64</v>
      </c>
      <c r="E74" s="281" t="s">
        <v>312</v>
      </c>
      <c r="F74" s="59" t="str">
        <f t="shared" ref="F74" si="79">VLOOKUP(E74,LISTAITEMS,2,FALSE)</f>
        <v>Cobblestone Slab</v>
      </c>
      <c r="G74" s="278">
        <f>VLOOKUP(E74,LISTAITEMS,5,FALSE)</f>
        <v>1.7999999999999998</v>
      </c>
      <c r="H74" s="280">
        <v>1</v>
      </c>
      <c r="I74" s="281" t="s">
        <v>1248</v>
      </c>
      <c r="J74" s="59" t="str">
        <f>I74</f>
        <v>Artl Flamante</v>
      </c>
      <c r="K74" s="278">
        <f t="shared" ref="K74" si="80">VLOOKUP(I74,craftedesp,3,FALSE)</f>
        <v>625.4</v>
      </c>
      <c r="L74" s="280">
        <v>0</v>
      </c>
      <c r="M74" s="281" t="s">
        <v>926</v>
      </c>
      <c r="N74" s="59" t="str">
        <f t="shared" ref="N74" si="81">VLOOKUP(M74,LISTAITEMS,2,FALSE)</f>
        <v>ninguno</v>
      </c>
      <c r="O74" s="278">
        <f>VLOOKUP(M74,LISTAITEMS,5,FALSE)</f>
        <v>0</v>
      </c>
      <c r="P74" s="280">
        <v>0</v>
      </c>
      <c r="Q74" s="281" t="s">
        <v>926</v>
      </c>
      <c r="R74" s="59" t="str">
        <f t="shared" ref="R74" si="82">VLOOKUP(Q74,LISTAITEMS,2,FALSE)</f>
        <v>ninguno</v>
      </c>
      <c r="S74" s="278">
        <f>VLOOKUP(Q74,LISTAITEMS,5,FALSE)</f>
        <v>0</v>
      </c>
      <c r="T74" s="280">
        <v>0</v>
      </c>
      <c r="U74" s="281" t="s">
        <v>926</v>
      </c>
      <c r="V74" s="59" t="str">
        <f t="shared" ref="V74" si="83">VLOOKUP(U74,LISTAITEMS,2,FALSE)</f>
        <v>ninguno</v>
      </c>
      <c r="W74" s="278">
        <f>VLOOKUP(U74,LISTAITEMS,5,FALSE)</f>
        <v>0</v>
      </c>
      <c r="X74" s="280">
        <v>0</v>
      </c>
      <c r="Y74" s="281" t="s">
        <v>926</v>
      </c>
      <c r="Z74" s="59" t="str">
        <f t="shared" ref="Z74" si="84">VLOOKUP(Y74,LISTAITEMS,2,FALSE)</f>
        <v>ninguno</v>
      </c>
      <c r="AA74" s="278">
        <f>VLOOKUP(Y74,LISTAITEMS,5,FALSE)</f>
        <v>0</v>
      </c>
      <c r="AB74" s="280">
        <v>0</v>
      </c>
      <c r="AC74" s="281" t="s">
        <v>926</v>
      </c>
      <c r="AD74" s="59" t="str">
        <f t="shared" ref="AD74" si="85">VLOOKUP(AC74,LISTAITEMS,2,FALSE)</f>
        <v>ninguno</v>
      </c>
      <c r="AE74" s="278">
        <f>VLOOKUP(AC74,LISTAITEMS,5,FALSE)</f>
        <v>0</v>
      </c>
    </row>
    <row r="78" spans="1:31" s="293" customFormat="1" x14ac:dyDescent="0.25">
      <c r="A78" s="296"/>
      <c r="B78" s="296" t="s">
        <v>1172</v>
      </c>
      <c r="C78" s="296"/>
      <c r="D78" s="296"/>
      <c r="E78" s="296"/>
      <c r="F78" s="296"/>
      <c r="G78" s="296"/>
      <c r="H78" s="296"/>
      <c r="I78" s="296"/>
      <c r="J78" s="296"/>
      <c r="K78" s="296"/>
      <c r="L78" s="296"/>
      <c r="M78" s="296"/>
      <c r="N78" s="296"/>
      <c r="O78" s="296"/>
      <c r="P78" s="296"/>
      <c r="Q78" s="296"/>
      <c r="R78" s="296"/>
      <c r="S78" s="296"/>
      <c r="T78" s="296"/>
      <c r="U78" s="296"/>
      <c r="V78" s="296"/>
      <c r="W78" s="296"/>
      <c r="X78" s="176"/>
      <c r="Y78" s="176"/>
      <c r="Z78" s="176"/>
      <c r="AA78" s="176"/>
      <c r="AB78" s="176"/>
      <c r="AC78" s="176"/>
      <c r="AD78" s="176"/>
      <c r="AE78" s="176"/>
    </row>
    <row r="79" spans="1:31" s="293" customFormat="1" x14ac:dyDescent="0.25">
      <c r="A79" s="276"/>
      <c r="B79" s="276" t="s">
        <v>203</v>
      </c>
      <c r="C79" s="279" t="s">
        <v>202</v>
      </c>
      <c r="D79" s="283" t="s">
        <v>149</v>
      </c>
      <c r="E79" s="283" t="s">
        <v>1144</v>
      </c>
      <c r="F79" s="279" t="s">
        <v>203</v>
      </c>
      <c r="G79" s="283" t="s">
        <v>1149</v>
      </c>
      <c r="H79" s="283" t="s">
        <v>149</v>
      </c>
      <c r="I79" s="283" t="s">
        <v>1145</v>
      </c>
      <c r="J79" s="279" t="s">
        <v>203</v>
      </c>
      <c r="K79" s="283" t="s">
        <v>1149</v>
      </c>
      <c r="L79" s="283" t="s">
        <v>149</v>
      </c>
      <c r="M79" s="283" t="s">
        <v>1146</v>
      </c>
      <c r="N79" s="279" t="s">
        <v>203</v>
      </c>
      <c r="O79" s="283" t="s">
        <v>1149</v>
      </c>
      <c r="P79" s="283" t="s">
        <v>149</v>
      </c>
      <c r="Q79" s="283" t="s">
        <v>1147</v>
      </c>
      <c r="R79" s="279" t="s">
        <v>203</v>
      </c>
      <c r="S79" s="283" t="s">
        <v>1149</v>
      </c>
      <c r="T79" s="283" t="s">
        <v>149</v>
      </c>
      <c r="U79" s="283" t="s">
        <v>1148</v>
      </c>
      <c r="V79" s="279" t="s">
        <v>203</v>
      </c>
      <c r="W79" s="283" t="s">
        <v>1149</v>
      </c>
      <c r="X79" s="283" t="s">
        <v>149</v>
      </c>
      <c r="Y79" s="283" t="s">
        <v>1237</v>
      </c>
      <c r="Z79" s="279" t="s">
        <v>203</v>
      </c>
      <c r="AA79" s="283" t="s">
        <v>1149</v>
      </c>
      <c r="AB79" s="283" t="s">
        <v>149</v>
      </c>
      <c r="AC79" s="283" t="s">
        <v>1238</v>
      </c>
      <c r="AD79" s="279" t="s">
        <v>203</v>
      </c>
      <c r="AE79" s="283" t="s">
        <v>1149</v>
      </c>
    </row>
    <row r="80" spans="1:31" s="293" customFormat="1" x14ac:dyDescent="0.25">
      <c r="A80" s="282" t="s">
        <v>1243</v>
      </c>
      <c r="B80" s="282"/>
      <c r="C80" s="277">
        <f>((D80*G80)+(K80*H80)+(O80*L80)+(S80*P80)+(W80*T80)+(X80*AA80)+(AB80*AE80))</f>
        <v>420</v>
      </c>
      <c r="D80" s="280">
        <v>2</v>
      </c>
      <c r="E80" s="281" t="s">
        <v>1242</v>
      </c>
      <c r="F80" s="59" t="str">
        <f>E80</f>
        <v>cadaber de pollo</v>
      </c>
      <c r="G80" s="278">
        <f t="shared" ref="G80" si="86">VLOOKUP(E80,craftedesp,3,FALSE)</f>
        <v>86</v>
      </c>
      <c r="H80" s="280">
        <v>1</v>
      </c>
      <c r="I80" s="281" t="s">
        <v>1165</v>
      </c>
      <c r="J80" s="59" t="str">
        <f>I80</f>
        <v>Emplasto Maderico</v>
      </c>
      <c r="K80" s="278">
        <f t="shared" ref="K80" si="87">VLOOKUP(I80,craftedesp,3,FALSE)</f>
        <v>248</v>
      </c>
      <c r="L80" s="280">
        <v>0</v>
      </c>
      <c r="M80" s="281" t="s">
        <v>926</v>
      </c>
      <c r="N80" s="59" t="str">
        <f t="shared" ref="N80" si="88">VLOOKUP(M80,LISTAITEMS,2,FALSE)</f>
        <v>ninguno</v>
      </c>
      <c r="O80" s="278">
        <f>VLOOKUP(M80,LISTAITEMS,5,FALSE)</f>
        <v>0</v>
      </c>
      <c r="P80" s="280">
        <v>0</v>
      </c>
      <c r="Q80" s="281" t="s">
        <v>926</v>
      </c>
      <c r="R80" s="59" t="str">
        <f t="shared" ref="R80" si="89">VLOOKUP(Q80,LISTAITEMS,2,FALSE)</f>
        <v>ninguno</v>
      </c>
      <c r="S80" s="278">
        <f>VLOOKUP(Q80,LISTAITEMS,5,FALSE)</f>
        <v>0</v>
      </c>
      <c r="T80" s="280">
        <v>0</v>
      </c>
      <c r="U80" s="281" t="s">
        <v>926</v>
      </c>
      <c r="V80" s="59" t="str">
        <f t="shared" ref="V80" si="90">VLOOKUP(U80,LISTAITEMS,2,FALSE)</f>
        <v>ninguno</v>
      </c>
      <c r="W80" s="278">
        <f>VLOOKUP(U80,LISTAITEMS,5,FALSE)</f>
        <v>0</v>
      </c>
      <c r="X80" s="280">
        <v>0</v>
      </c>
      <c r="Y80" s="281" t="s">
        <v>926</v>
      </c>
      <c r="Z80" s="59" t="str">
        <f t="shared" ref="Z80" si="91">VLOOKUP(Y80,LISTAITEMS,2,FALSE)</f>
        <v>ninguno</v>
      </c>
      <c r="AA80" s="278">
        <f>VLOOKUP(Y80,LISTAITEMS,5,FALSE)</f>
        <v>0</v>
      </c>
      <c r="AB80" s="280">
        <v>0</v>
      </c>
      <c r="AC80" s="281" t="s">
        <v>926</v>
      </c>
      <c r="AD80" s="59" t="str">
        <f t="shared" ref="AD80" si="92">VLOOKUP(AC80,LISTAITEMS,2,FALSE)</f>
        <v>ninguno</v>
      </c>
      <c r="AE80" s="278">
        <f>VLOOKUP(AC80,LISTAITEMS,5,FALSE)</f>
        <v>0</v>
      </c>
    </row>
    <row r="85" spans="1:31" s="293" customFormat="1" x14ac:dyDescent="0.25">
      <c r="A85" s="296"/>
      <c r="B85" s="296" t="s">
        <v>1217</v>
      </c>
      <c r="C85" s="296"/>
      <c r="D85" s="296"/>
      <c r="E85" s="296"/>
      <c r="F85" s="296"/>
      <c r="G85" s="296"/>
      <c r="H85" s="296"/>
      <c r="I85" s="296"/>
      <c r="J85" s="296"/>
      <c r="K85" s="296"/>
      <c r="L85" s="296"/>
      <c r="M85" s="296"/>
      <c r="N85" s="296"/>
      <c r="O85" s="296"/>
      <c r="P85" s="296"/>
      <c r="Q85" s="296"/>
      <c r="R85" s="296"/>
      <c r="S85" s="296"/>
      <c r="T85" s="296"/>
      <c r="U85" s="296"/>
      <c r="V85" s="296"/>
      <c r="W85" s="296"/>
      <c r="X85" s="176"/>
      <c r="Y85" s="176"/>
      <c r="Z85" s="176"/>
      <c r="AA85" s="176"/>
      <c r="AB85" s="176"/>
      <c r="AC85" s="176"/>
      <c r="AD85" s="176"/>
      <c r="AE85" s="176"/>
    </row>
    <row r="86" spans="1:31" s="293" customFormat="1" x14ac:dyDescent="0.25">
      <c r="A86" s="276"/>
      <c r="B86" s="276" t="s">
        <v>203</v>
      </c>
      <c r="C86" s="279" t="s">
        <v>202</v>
      </c>
      <c r="D86" s="283"/>
      <c r="E86" s="283"/>
      <c r="F86" s="279"/>
      <c r="G86" s="283"/>
      <c r="H86" s="283"/>
      <c r="I86" s="283"/>
      <c r="J86" s="279"/>
      <c r="K86" s="283"/>
      <c r="L86" s="283"/>
      <c r="M86" s="283"/>
      <c r="N86" s="279"/>
      <c r="O86" s="283"/>
      <c r="P86" s="283"/>
      <c r="Q86" s="283"/>
      <c r="R86" s="279"/>
      <c r="S86" s="283"/>
      <c r="T86" s="283"/>
      <c r="U86" s="283"/>
      <c r="V86" s="279"/>
      <c r="W86" s="283"/>
      <c r="X86" s="283"/>
      <c r="Y86" s="283"/>
      <c r="Z86" s="279"/>
      <c r="AA86" s="283"/>
      <c r="AB86" s="283"/>
      <c r="AC86" s="283"/>
      <c r="AD86" s="279"/>
      <c r="AE86" s="283"/>
    </row>
    <row r="87" spans="1:31" s="293" customFormat="1" x14ac:dyDescent="0.25">
      <c r="A87" s="282" t="s">
        <v>1242</v>
      </c>
      <c r="B87" s="282"/>
      <c r="C87" s="277">
        <f>'ECONOMIA &amp; PROFESIONES'!K27</f>
        <v>86</v>
      </c>
      <c r="D87" s="280"/>
      <c r="E87" s="281"/>
      <c r="F87" s="59"/>
      <c r="G87" s="278"/>
      <c r="H87" s="280"/>
      <c r="I87" s="281"/>
      <c r="J87" s="59"/>
      <c r="K87" s="278"/>
      <c r="L87" s="280"/>
      <c r="M87" s="281"/>
      <c r="N87" s="59"/>
      <c r="O87" s="278"/>
      <c r="P87" s="280"/>
      <c r="Q87" s="281"/>
      <c r="R87" s="59"/>
      <c r="S87" s="278"/>
      <c r="T87" s="280"/>
      <c r="U87" s="281"/>
      <c r="V87" s="59"/>
      <c r="W87" s="278"/>
      <c r="X87" s="280"/>
      <c r="Y87" s="281"/>
      <c r="Z87" s="59"/>
      <c r="AA87" s="278"/>
      <c r="AB87" s="280"/>
      <c r="AC87" s="281"/>
      <c r="AD87" s="59"/>
      <c r="AE87" s="278"/>
    </row>
    <row r="117" spans="1:23" s="275" customFormat="1" x14ac:dyDescent="0.25">
      <c r="A117"/>
      <c r="B117"/>
      <c r="C117"/>
      <c r="D117"/>
      <c r="E117"/>
      <c r="F117"/>
      <c r="G117"/>
      <c r="H117"/>
      <c r="I117"/>
      <c r="J117"/>
      <c r="K117"/>
      <c r="L117"/>
      <c r="M117"/>
      <c r="N117"/>
      <c r="O117"/>
      <c r="P117"/>
      <c r="Q117"/>
      <c r="R117"/>
      <c r="S117"/>
      <c r="T117"/>
      <c r="U117"/>
      <c r="V117"/>
      <c r="W117"/>
    </row>
    <row r="118" spans="1:23" s="275" customFormat="1" x14ac:dyDescent="0.25">
      <c r="A118"/>
      <c r="B118"/>
      <c r="C118"/>
      <c r="D118"/>
      <c r="E118"/>
      <c r="F118"/>
      <c r="G118"/>
      <c r="H118"/>
      <c r="I118"/>
      <c r="J118"/>
      <c r="K118"/>
      <c r="L118"/>
      <c r="M118"/>
      <c r="N118"/>
      <c r="O118"/>
      <c r="P118"/>
      <c r="Q118"/>
      <c r="R118"/>
      <c r="S118"/>
      <c r="T118"/>
      <c r="U118"/>
      <c r="V118"/>
      <c r="W118"/>
    </row>
    <row r="119" spans="1:23" s="275" customFormat="1" x14ac:dyDescent="0.25">
      <c r="A119"/>
      <c r="B119"/>
      <c r="C119"/>
      <c r="D119"/>
      <c r="E119"/>
      <c r="F119"/>
      <c r="G119"/>
      <c r="H119"/>
      <c r="I119"/>
      <c r="J119"/>
      <c r="K119"/>
      <c r="L119"/>
      <c r="M119"/>
      <c r="N119"/>
      <c r="O119"/>
      <c r="P119"/>
      <c r="Q119"/>
      <c r="R119"/>
      <c r="S119"/>
      <c r="T119"/>
      <c r="U119"/>
      <c r="V119"/>
      <c r="W119"/>
    </row>
    <row r="120" spans="1:23" s="275" customFormat="1" x14ac:dyDescent="0.25">
      <c r="A120"/>
      <c r="B120"/>
      <c r="C120"/>
      <c r="D120"/>
      <c r="E120"/>
      <c r="F120"/>
      <c r="G120"/>
      <c r="H120"/>
      <c r="I120"/>
      <c r="J120"/>
      <c r="K120"/>
      <c r="L120"/>
      <c r="M120"/>
      <c r="N120"/>
      <c r="O120"/>
      <c r="P120"/>
      <c r="Q120"/>
      <c r="R120"/>
      <c r="S120"/>
      <c r="T120"/>
      <c r="U120"/>
      <c r="V120"/>
      <c r="W120"/>
    </row>
    <row r="121" spans="1:23" s="275" customFormat="1" x14ac:dyDescent="0.25">
      <c r="A121"/>
      <c r="B121"/>
      <c r="C121"/>
      <c r="D121"/>
      <c r="E121"/>
      <c r="F121"/>
      <c r="G121"/>
      <c r="H121"/>
      <c r="I121"/>
      <c r="J121"/>
      <c r="K121"/>
      <c r="L121"/>
      <c r="M121"/>
      <c r="N121"/>
      <c r="O121"/>
      <c r="P121"/>
      <c r="Q121"/>
      <c r="R121"/>
      <c r="S121"/>
      <c r="T121"/>
      <c r="U121"/>
      <c r="V121"/>
      <c r="W121"/>
    </row>
    <row r="127" spans="1:23" s="275" customFormat="1" x14ac:dyDescent="0.25">
      <c r="A127"/>
      <c r="B127"/>
      <c r="C127"/>
      <c r="D127"/>
      <c r="E127"/>
      <c r="F127"/>
      <c r="G127"/>
      <c r="H127"/>
      <c r="I127"/>
      <c r="J127"/>
      <c r="K127"/>
      <c r="L127"/>
      <c r="M127"/>
      <c r="N127"/>
      <c r="O127"/>
      <c r="P127"/>
      <c r="Q127"/>
      <c r="R127"/>
      <c r="S127"/>
      <c r="T127"/>
      <c r="U127"/>
      <c r="V127"/>
      <c r="W127"/>
    </row>
    <row r="144" spans="1:23" s="291" customFormat="1" x14ac:dyDescent="0.25">
      <c r="A144"/>
      <c r="B144"/>
      <c r="C144"/>
      <c r="D144"/>
      <c r="E144"/>
      <c r="F144"/>
      <c r="G144"/>
      <c r="H144"/>
      <c r="I144"/>
      <c r="J144"/>
      <c r="K144"/>
      <c r="L144"/>
      <c r="M144"/>
      <c r="N144"/>
      <c r="O144"/>
      <c r="P144"/>
      <c r="Q144"/>
      <c r="R144"/>
      <c r="S144"/>
      <c r="T144"/>
      <c r="U144"/>
      <c r="V144"/>
      <c r="W144"/>
    </row>
    <row r="145" spans="1:23" s="291" customFormat="1" x14ac:dyDescent="0.25">
      <c r="A145"/>
      <c r="B145"/>
      <c r="C145"/>
      <c r="D145"/>
      <c r="E145"/>
      <c r="F145"/>
      <c r="G145"/>
      <c r="H145"/>
      <c r="I145"/>
      <c r="J145"/>
      <c r="K145"/>
      <c r="L145"/>
      <c r="M145"/>
      <c r="N145"/>
      <c r="O145"/>
      <c r="P145"/>
      <c r="Q145"/>
      <c r="R145"/>
      <c r="S145"/>
      <c r="T145"/>
      <c r="U145"/>
      <c r="V145"/>
      <c r="W145"/>
    </row>
    <row r="175" spans="1:23" s="292" customFormat="1" x14ac:dyDescent="0.25">
      <c r="A175"/>
      <c r="B175"/>
      <c r="C175"/>
      <c r="D175"/>
      <c r="E175"/>
      <c r="F175"/>
      <c r="G175"/>
      <c r="H175"/>
      <c r="I175"/>
      <c r="J175"/>
      <c r="K175"/>
      <c r="L175"/>
      <c r="M175"/>
      <c r="N175"/>
      <c r="O175"/>
      <c r="P175"/>
      <c r="Q175"/>
      <c r="R175"/>
      <c r="S175"/>
      <c r="T175"/>
      <c r="U175"/>
      <c r="V175"/>
      <c r="W175"/>
    </row>
    <row r="176" spans="1:23" s="292" customFormat="1" x14ac:dyDescent="0.25">
      <c r="A176"/>
      <c r="B176"/>
      <c r="C176"/>
      <c r="D176"/>
      <c r="E176"/>
      <c r="F176"/>
      <c r="G176"/>
      <c r="H176"/>
      <c r="I176"/>
      <c r="J176"/>
      <c r="K176"/>
      <c r="L176"/>
      <c r="M176"/>
      <c r="N176"/>
      <c r="O176"/>
      <c r="P176"/>
      <c r="Q176"/>
      <c r="R176"/>
      <c r="S176"/>
      <c r="T176"/>
      <c r="U176"/>
      <c r="V176"/>
      <c r="W176"/>
    </row>
    <row r="177" spans="1:23" s="292" customFormat="1" x14ac:dyDescent="0.25">
      <c r="A177"/>
      <c r="B177"/>
      <c r="C177"/>
      <c r="D177"/>
      <c r="E177"/>
      <c r="F177"/>
      <c r="G177"/>
      <c r="H177"/>
      <c r="I177"/>
      <c r="J177"/>
      <c r="K177"/>
      <c r="L177"/>
      <c r="M177"/>
      <c r="N177"/>
      <c r="O177"/>
      <c r="P177"/>
      <c r="Q177"/>
      <c r="R177"/>
      <c r="S177"/>
      <c r="T177"/>
      <c r="U177"/>
      <c r="V177"/>
      <c r="W177"/>
    </row>
    <row r="178" spans="1:23" s="292" customFormat="1" x14ac:dyDescent="0.25">
      <c r="A178"/>
      <c r="B178"/>
      <c r="C178"/>
      <c r="D178"/>
      <c r="E178"/>
      <c r="F178"/>
      <c r="G178"/>
      <c r="H178"/>
      <c r="I178"/>
      <c r="J178"/>
      <c r="K178"/>
      <c r="L178"/>
      <c r="M178"/>
      <c r="N178"/>
      <c r="O178"/>
      <c r="P178"/>
      <c r="Q178"/>
      <c r="R178"/>
      <c r="S178"/>
      <c r="T178"/>
      <c r="U178"/>
      <c r="V178"/>
      <c r="W178"/>
    </row>
    <row r="179" spans="1:23" s="292" customFormat="1" x14ac:dyDescent="0.25">
      <c r="A179"/>
      <c r="B179"/>
      <c r="C179"/>
      <c r="D179"/>
      <c r="E179"/>
      <c r="F179"/>
      <c r="G179"/>
      <c r="H179"/>
      <c r="I179"/>
      <c r="J179"/>
      <c r="K179"/>
      <c r="L179"/>
      <c r="M179"/>
      <c r="N179"/>
      <c r="O179"/>
      <c r="P179"/>
      <c r="Q179"/>
      <c r="R179"/>
      <c r="S179"/>
      <c r="T179"/>
      <c r="U179"/>
      <c r="V179"/>
      <c r="W179"/>
    </row>
    <row r="186" spans="1:23" s="275" customFormat="1" x14ac:dyDescent="0.25">
      <c r="A186"/>
      <c r="B186"/>
      <c r="C186"/>
      <c r="D186"/>
      <c r="E186"/>
      <c r="F186"/>
      <c r="G186"/>
      <c r="H186"/>
      <c r="I186"/>
      <c r="J186"/>
      <c r="K186"/>
      <c r="L186"/>
      <c r="M186"/>
      <c r="N186"/>
      <c r="O186"/>
      <c r="P186"/>
      <c r="Q186"/>
      <c r="R186"/>
      <c r="S186"/>
      <c r="T186"/>
      <c r="U186"/>
      <c r="V186"/>
      <c r="W186"/>
    </row>
    <row r="187" spans="1:23" s="275" customFormat="1" x14ac:dyDescent="0.25">
      <c r="A187"/>
      <c r="B187"/>
      <c r="C187"/>
      <c r="D187"/>
      <c r="E187"/>
      <c r="F187"/>
      <c r="G187"/>
      <c r="H187"/>
      <c r="I187"/>
      <c r="J187"/>
      <c r="K187"/>
      <c r="L187"/>
      <c r="M187"/>
      <c r="N187"/>
      <c r="O187"/>
      <c r="P187"/>
      <c r="Q187"/>
      <c r="R187"/>
      <c r="S187"/>
      <c r="T187"/>
      <c r="U187"/>
      <c r="V187"/>
      <c r="W187"/>
    </row>
    <row r="188" spans="1:23" s="275" customFormat="1" x14ac:dyDescent="0.25">
      <c r="A188"/>
      <c r="B188"/>
      <c r="C188"/>
      <c r="D188"/>
      <c r="E188"/>
      <c r="F188"/>
      <c r="G188"/>
      <c r="H188"/>
      <c r="I188"/>
      <c r="J188"/>
      <c r="K188"/>
      <c r="L188"/>
      <c r="M188"/>
      <c r="N188"/>
      <c r="O188"/>
      <c r="P188"/>
      <c r="Q188"/>
      <c r="R188"/>
      <c r="S188"/>
      <c r="T188"/>
      <c r="U188"/>
      <c r="V188"/>
      <c r="W188"/>
    </row>
    <row r="189" spans="1:23" s="275" customFormat="1" x14ac:dyDescent="0.25">
      <c r="A189"/>
      <c r="B189"/>
      <c r="C189"/>
      <c r="D189"/>
      <c r="E189"/>
      <c r="F189"/>
      <c r="G189"/>
      <c r="H189"/>
      <c r="I189"/>
      <c r="J189"/>
      <c r="K189"/>
      <c r="L189"/>
      <c r="M189"/>
      <c r="N189"/>
      <c r="O189"/>
      <c r="P189"/>
      <c r="Q189"/>
      <c r="R189"/>
      <c r="S189"/>
      <c r="T189"/>
      <c r="U189"/>
      <c r="V189"/>
      <c r="W189"/>
    </row>
    <row r="190" spans="1:23" s="275" customFormat="1" x14ac:dyDescent="0.25">
      <c r="A190"/>
      <c r="B190"/>
      <c r="C190"/>
      <c r="D190"/>
      <c r="E190"/>
      <c r="F190"/>
      <c r="G190"/>
      <c r="H190"/>
      <c r="I190"/>
      <c r="J190"/>
      <c r="K190"/>
      <c r="L190"/>
      <c r="M190"/>
      <c r="N190"/>
      <c r="O190"/>
      <c r="P190"/>
      <c r="Q190"/>
      <c r="R190"/>
      <c r="S190"/>
      <c r="T190"/>
      <c r="U190"/>
      <c r="V190"/>
      <c r="W190"/>
    </row>
  </sheetData>
  <mergeCells count="116">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E10:F10"/>
    <mergeCell ref="E15:F15"/>
    <mergeCell ref="E20:F20"/>
    <mergeCell ref="G25:H25"/>
    <mergeCell ref="G30:H30"/>
    <mergeCell ref="K10:L10"/>
    <mergeCell ref="O20:P20"/>
    <mergeCell ref="G10:H10"/>
    <mergeCell ref="G15:H15"/>
    <mergeCell ref="G20:H20"/>
    <mergeCell ref="I10:J10"/>
    <mergeCell ref="M25:N25"/>
    <mergeCell ref="O25:P25"/>
    <mergeCell ref="M30:N30"/>
    <mergeCell ref="O30:P30"/>
    <mergeCell ref="I7:J7"/>
    <mergeCell ref="K7:L7"/>
    <mergeCell ref="M10:N10"/>
    <mergeCell ref="O10:P10"/>
    <mergeCell ref="M15:N15"/>
    <mergeCell ref="O15:P15"/>
    <mergeCell ref="M20:N20"/>
    <mergeCell ref="M1:P1"/>
    <mergeCell ref="M2:N2"/>
    <mergeCell ref="O2:P2"/>
    <mergeCell ref="M3:N3"/>
    <mergeCell ref="O3:P3"/>
    <mergeCell ref="M4:N4"/>
    <mergeCell ref="O4:P4"/>
    <mergeCell ref="I5:J5"/>
    <mergeCell ref="K5:L5"/>
    <mergeCell ref="I6:J6"/>
    <mergeCell ref="K6:L6"/>
    <mergeCell ref="I4:J4"/>
    <mergeCell ref="K4:L4"/>
    <mergeCell ref="M5:N5"/>
    <mergeCell ref="O5:P5"/>
    <mergeCell ref="M6:N6"/>
    <mergeCell ref="O7:P7"/>
    <mergeCell ref="I1:L1"/>
    <mergeCell ref="I2:J2"/>
    <mergeCell ref="K2:L2"/>
    <mergeCell ref="I3:J3"/>
    <mergeCell ref="K3:L3"/>
    <mergeCell ref="E1:H1"/>
    <mergeCell ref="E2:F2"/>
    <mergeCell ref="G2:H2"/>
    <mergeCell ref="E3:F3"/>
    <mergeCell ref="G3:H3"/>
    <mergeCell ref="E4:F4"/>
    <mergeCell ref="G4:H4"/>
    <mergeCell ref="C5:D5"/>
    <mergeCell ref="C6:D6"/>
    <mergeCell ref="C7:D7"/>
    <mergeCell ref="E5:F5"/>
    <mergeCell ref="G5:H5"/>
    <mergeCell ref="E6:F6"/>
    <mergeCell ref="G6:H6"/>
    <mergeCell ref="E7:F7"/>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s>
  <dataValidations count="2">
    <dataValidation type="list" allowBlank="1" showInputMessage="1" showErrorMessage="1" sqref="E43 I43 M43 Q43 U43 Y43 AC43 M55:M60 Q55:Q60 U55:U60 Y55:Y60 AC55:AC60 E55:E60 I55:I60 Y80 AC74 M74 Q74 U74 E87 Y74 AC80 I87 M87 Q87 U87 Y87 AC87 M80 Q80 U80 M66 Q66 U66 Y66 AC66 E66 I66 M47 Q47 U47 Y47 AC47 E47 E51 M51 Q51 U51 Y51 AC51" xr:uid="{00000000-0002-0000-0500-000000000000}">
      <formula1>IDS</formula1>
    </dataValidation>
    <dataValidation type="list" allowBlank="1" showInputMessage="1" showErrorMessage="1" sqref="E74 E80 I80 I74 I51 I47" xr:uid="{00000000-0002-0000-0500-000001000000}">
      <formula1>craftspar</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30"/>
  <sheetViews>
    <sheetView tabSelected="1" workbookViewId="0">
      <selection activeCell="F3" sqref="F3:F6"/>
    </sheetView>
  </sheetViews>
  <sheetFormatPr baseColWidth="10" defaultRowHeight="15" x14ac:dyDescent="0.25"/>
  <cols>
    <col min="2" max="2" width="17.42578125" customWidth="1"/>
    <col min="3" max="3" width="15" customWidth="1"/>
    <col min="5" max="5" width="13.7109375" customWidth="1"/>
    <col min="6" max="6" width="16.42578125" customWidth="1"/>
    <col min="7" max="7" width="5.42578125"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x14ac:dyDescent="0.25">
      <c r="A1" s="355" t="s">
        <v>1225</v>
      </c>
      <c r="B1" s="176"/>
      <c r="C1" s="176"/>
      <c r="D1" s="295"/>
      <c r="E1" s="284" t="s">
        <v>1150</v>
      </c>
      <c r="F1" s="284" t="s">
        <v>1151</v>
      </c>
      <c r="G1" s="284" t="s">
        <v>1234</v>
      </c>
      <c r="H1" s="284" t="s">
        <v>202</v>
      </c>
      <c r="I1" s="284" t="s">
        <v>1152</v>
      </c>
      <c r="J1" s="284" t="s">
        <v>1234</v>
      </c>
      <c r="K1" s="284" t="s">
        <v>202</v>
      </c>
      <c r="L1" s="284" t="s">
        <v>1171</v>
      </c>
      <c r="M1" s="284" t="s">
        <v>1234</v>
      </c>
      <c r="N1" s="284" t="s">
        <v>202</v>
      </c>
      <c r="O1" s="284" t="s">
        <v>1226</v>
      </c>
      <c r="P1" s="284" t="s">
        <v>1234</v>
      </c>
      <c r="Q1" s="284" t="s">
        <v>202</v>
      </c>
      <c r="R1" s="284" t="s">
        <v>1227</v>
      </c>
      <c r="S1" s="284" t="s">
        <v>1234</v>
      </c>
      <c r="T1" s="284" t="s">
        <v>202</v>
      </c>
      <c r="U1" s="284" t="s">
        <v>1228</v>
      </c>
      <c r="V1" s="284" t="s">
        <v>1234</v>
      </c>
      <c r="W1" s="284" t="s">
        <v>202</v>
      </c>
      <c r="X1" s="284" t="s">
        <v>1229</v>
      </c>
      <c r="Y1" s="284" t="s">
        <v>1234</v>
      </c>
      <c r="Z1" s="284" t="s">
        <v>202</v>
      </c>
    </row>
    <row r="2" spans="1:26" x14ac:dyDescent="0.25">
      <c r="A2" s="355"/>
      <c r="B2" s="356" t="s">
        <v>1161</v>
      </c>
      <c r="C2" s="31" t="s">
        <v>6</v>
      </c>
      <c r="D2" s="34">
        <f>'ECONOMIA &amp; PROFESIONES'!$N$5</f>
        <v>900</v>
      </c>
      <c r="E2" s="53">
        <f>(H2*G2)+(K2*J2)+(M2*N2)+(P2*Q2)+(S2*T2)+(V2*W2)+(Y2*Z2)</f>
        <v>857.59999999999991</v>
      </c>
      <c r="F2" s="281" t="s">
        <v>1244</v>
      </c>
      <c r="G2" s="285">
        <v>2</v>
      </c>
      <c r="H2" s="278">
        <f t="shared" ref="H2:H26" si="0">VLOOKUP(F2,craftedesp,3,FALSE)</f>
        <v>172.79999999999998</v>
      </c>
      <c r="I2" s="281" t="s">
        <v>1166</v>
      </c>
      <c r="J2" s="285">
        <v>2</v>
      </c>
      <c r="K2" s="278">
        <f>VLOOKUP(I2,craftedesp,3,FALSE)</f>
        <v>256</v>
      </c>
      <c r="L2" s="281" t="s">
        <v>926</v>
      </c>
      <c r="M2" s="285">
        <v>0</v>
      </c>
      <c r="N2" s="278">
        <f t="shared" ref="N2:N26" si="1">VLOOKUP(L2,craftedesp,3,FALSE)</f>
        <v>0</v>
      </c>
      <c r="O2" s="281" t="s">
        <v>926</v>
      </c>
      <c r="P2" s="285">
        <v>0</v>
      </c>
      <c r="Q2" s="278">
        <f t="shared" ref="Q2:Q26" si="2">VLOOKUP(O2,craftedesp,3,FALSE)</f>
        <v>0</v>
      </c>
      <c r="R2" s="281" t="s">
        <v>926</v>
      </c>
      <c r="S2" s="285">
        <v>0</v>
      </c>
      <c r="T2" s="278">
        <f t="shared" ref="T2:T26" si="3">VLOOKUP(R2,craftedesp,3,FALSE)</f>
        <v>0</v>
      </c>
      <c r="U2" s="281" t="s">
        <v>926</v>
      </c>
      <c r="V2" s="285">
        <v>0</v>
      </c>
      <c r="W2" s="278">
        <f t="shared" ref="W2:W26" si="4">VLOOKUP(U2,craftedesp,3,FALSE)</f>
        <v>0</v>
      </c>
      <c r="X2" s="281" t="s">
        <v>926</v>
      </c>
      <c r="Y2" s="285">
        <v>0</v>
      </c>
      <c r="Z2" s="278">
        <f t="shared" ref="Z2:Z26" si="5">VLOOKUP(X2,craftedesp,3,FALSE)</f>
        <v>0</v>
      </c>
    </row>
    <row r="3" spans="1:26" x14ac:dyDescent="0.25">
      <c r="A3" s="355"/>
      <c r="B3" s="357"/>
      <c r="C3" s="32" t="s">
        <v>113</v>
      </c>
      <c r="D3" s="34">
        <f>'ECONOMIA &amp; PROFESIONES'!$N$6</f>
        <v>1500</v>
      </c>
      <c r="E3" s="53">
        <f t="shared" ref="E3:E26" si="6">(H3*G3)+(K3*J3)+(M3*N3)+(P3*Q3)+(S3*T3)+(V3*W3)+(Y3*Z3)</f>
        <v>1580.6</v>
      </c>
      <c r="F3" s="281" t="s">
        <v>1249</v>
      </c>
      <c r="G3" s="285">
        <v>1</v>
      </c>
      <c r="H3" s="278">
        <f t="shared" si="0"/>
        <v>740.59999999999991</v>
      </c>
      <c r="I3" s="281" t="s">
        <v>1243</v>
      </c>
      <c r="J3" s="285">
        <v>2</v>
      </c>
      <c r="K3" s="278">
        <f t="shared" ref="K2:K26" si="7">VLOOKUP(I3,craftedesp,3,FALSE)</f>
        <v>420</v>
      </c>
      <c r="L3" s="281" t="s">
        <v>926</v>
      </c>
      <c r="M3" s="285">
        <v>0</v>
      </c>
      <c r="N3" s="278">
        <f t="shared" si="1"/>
        <v>0</v>
      </c>
      <c r="O3" s="281" t="s">
        <v>926</v>
      </c>
      <c r="P3" s="285">
        <v>0</v>
      </c>
      <c r="Q3" s="278">
        <f t="shared" si="2"/>
        <v>0</v>
      </c>
      <c r="R3" s="281" t="s">
        <v>926</v>
      </c>
      <c r="S3" s="285">
        <v>0</v>
      </c>
      <c r="T3" s="278">
        <f t="shared" si="3"/>
        <v>0</v>
      </c>
      <c r="U3" s="281" t="s">
        <v>926</v>
      </c>
      <c r="V3" s="285">
        <v>0</v>
      </c>
      <c r="W3" s="278">
        <f t="shared" si="4"/>
        <v>0</v>
      </c>
      <c r="X3" s="281" t="s">
        <v>926</v>
      </c>
      <c r="Y3" s="285">
        <v>0</v>
      </c>
      <c r="Z3" s="278">
        <f t="shared" si="5"/>
        <v>0</v>
      </c>
    </row>
    <row r="4" spans="1:26" x14ac:dyDescent="0.25">
      <c r="A4" s="355"/>
      <c r="B4" s="357"/>
      <c r="C4" s="31" t="s">
        <v>114</v>
      </c>
      <c r="D4" s="34">
        <f>'ECONOMIA &amp; PROFESIONES'!$N$7</f>
        <v>2100</v>
      </c>
      <c r="E4" s="53">
        <f t="shared" si="6"/>
        <v>2321.1999999999998</v>
      </c>
      <c r="F4" s="281" t="s">
        <v>1249</v>
      </c>
      <c r="G4" s="285">
        <v>2</v>
      </c>
      <c r="H4" s="278">
        <f t="shared" si="0"/>
        <v>740.59999999999991</v>
      </c>
      <c r="I4" s="281" t="s">
        <v>1243</v>
      </c>
      <c r="J4" s="285">
        <v>2</v>
      </c>
      <c r="K4" s="278">
        <f t="shared" si="7"/>
        <v>420</v>
      </c>
      <c r="L4" s="281" t="s">
        <v>926</v>
      </c>
      <c r="M4" s="285">
        <v>0</v>
      </c>
      <c r="N4" s="278">
        <f t="shared" si="1"/>
        <v>0</v>
      </c>
      <c r="O4" s="281" t="s">
        <v>926</v>
      </c>
      <c r="P4" s="285">
        <v>0</v>
      </c>
      <c r="Q4" s="278">
        <f t="shared" si="2"/>
        <v>0</v>
      </c>
      <c r="R4" s="281" t="s">
        <v>926</v>
      </c>
      <c r="S4" s="285">
        <v>0</v>
      </c>
      <c r="T4" s="278">
        <f t="shared" si="3"/>
        <v>0</v>
      </c>
      <c r="U4" s="281" t="s">
        <v>926</v>
      </c>
      <c r="V4" s="285">
        <v>0</v>
      </c>
      <c r="W4" s="278">
        <f t="shared" si="4"/>
        <v>0</v>
      </c>
      <c r="X4" s="281" t="s">
        <v>926</v>
      </c>
      <c r="Y4" s="285">
        <v>0</v>
      </c>
      <c r="Z4" s="278">
        <f t="shared" si="5"/>
        <v>0</v>
      </c>
    </row>
    <row r="5" spans="1:26" x14ac:dyDescent="0.25">
      <c r="A5" s="355"/>
      <c r="B5" s="357"/>
      <c r="C5" s="32" t="s">
        <v>115</v>
      </c>
      <c r="D5" s="34">
        <f>'ECONOMIA &amp; PROFESIONES'!$N$8</f>
        <v>1900</v>
      </c>
      <c r="E5" s="53">
        <f t="shared" si="6"/>
        <v>2000.6</v>
      </c>
      <c r="F5" s="281" t="s">
        <v>1249</v>
      </c>
      <c r="G5" s="285">
        <v>1</v>
      </c>
      <c r="H5" s="278">
        <f t="shared" si="0"/>
        <v>740.59999999999991</v>
      </c>
      <c r="I5" s="281" t="s">
        <v>1243</v>
      </c>
      <c r="J5" s="285">
        <v>3</v>
      </c>
      <c r="K5" s="278">
        <f t="shared" si="7"/>
        <v>420</v>
      </c>
      <c r="L5" s="281" t="s">
        <v>926</v>
      </c>
      <c r="M5" s="285">
        <v>0</v>
      </c>
      <c r="N5" s="278">
        <f t="shared" si="1"/>
        <v>0</v>
      </c>
      <c r="O5" s="281" t="s">
        <v>926</v>
      </c>
      <c r="P5" s="285">
        <v>0</v>
      </c>
      <c r="Q5" s="278">
        <f t="shared" si="2"/>
        <v>0</v>
      </c>
      <c r="R5" s="281" t="s">
        <v>926</v>
      </c>
      <c r="S5" s="285">
        <v>0</v>
      </c>
      <c r="T5" s="278">
        <f t="shared" si="3"/>
        <v>0</v>
      </c>
      <c r="U5" s="281" t="s">
        <v>926</v>
      </c>
      <c r="V5" s="285">
        <v>0</v>
      </c>
      <c r="W5" s="278">
        <f t="shared" si="4"/>
        <v>0</v>
      </c>
      <c r="X5" s="281" t="s">
        <v>926</v>
      </c>
      <c r="Y5" s="285">
        <v>0</v>
      </c>
      <c r="Z5" s="278">
        <f t="shared" si="5"/>
        <v>0</v>
      </c>
    </row>
    <row r="6" spans="1:26" x14ac:dyDescent="0.25">
      <c r="A6" s="355"/>
      <c r="B6" s="358"/>
      <c r="C6" s="31" t="s">
        <v>116</v>
      </c>
      <c r="D6" s="34">
        <f>'ECONOMIA &amp; PROFESIONES'!$N$9</f>
        <v>1300</v>
      </c>
      <c r="E6" s="53">
        <f t="shared" si="6"/>
        <v>1160.5999999999999</v>
      </c>
      <c r="F6" s="281" t="s">
        <v>1249</v>
      </c>
      <c r="G6" s="285">
        <v>1</v>
      </c>
      <c r="H6" s="278">
        <f t="shared" si="0"/>
        <v>740.59999999999991</v>
      </c>
      <c r="I6" s="281" t="s">
        <v>1243</v>
      </c>
      <c r="J6" s="285">
        <v>1</v>
      </c>
      <c r="K6" s="278">
        <f t="shared" si="7"/>
        <v>420</v>
      </c>
      <c r="L6" s="281" t="s">
        <v>926</v>
      </c>
      <c r="M6" s="285">
        <v>0</v>
      </c>
      <c r="N6" s="278">
        <f t="shared" si="1"/>
        <v>0</v>
      </c>
      <c r="O6" s="281" t="s">
        <v>926</v>
      </c>
      <c r="P6" s="285">
        <v>0</v>
      </c>
      <c r="Q6" s="278">
        <f t="shared" si="2"/>
        <v>0</v>
      </c>
      <c r="R6" s="281" t="s">
        <v>926</v>
      </c>
      <c r="S6" s="285">
        <v>0</v>
      </c>
      <c r="T6" s="278">
        <f t="shared" si="3"/>
        <v>0</v>
      </c>
      <c r="U6" s="281" t="s">
        <v>926</v>
      </c>
      <c r="V6" s="285">
        <v>0</v>
      </c>
      <c r="W6" s="278">
        <f t="shared" si="4"/>
        <v>0</v>
      </c>
      <c r="X6" s="281" t="s">
        <v>926</v>
      </c>
      <c r="Y6" s="285">
        <v>0</v>
      </c>
      <c r="Z6" s="278">
        <f t="shared" si="5"/>
        <v>0</v>
      </c>
    </row>
    <row r="7" spans="1:26" x14ac:dyDescent="0.25">
      <c r="A7" s="355"/>
      <c r="B7" s="359" t="s">
        <v>1162</v>
      </c>
      <c r="C7" s="32" t="s">
        <v>6</v>
      </c>
      <c r="D7" s="34">
        <f>'ECONOMIA &amp; PROFESIONES'!$N$10</f>
        <v>2450</v>
      </c>
      <c r="E7" s="53">
        <f t="shared" si="6"/>
        <v>0</v>
      </c>
      <c r="F7" s="281" t="s">
        <v>926</v>
      </c>
      <c r="G7" s="285">
        <v>0</v>
      </c>
      <c r="H7" s="278">
        <f t="shared" si="0"/>
        <v>0</v>
      </c>
      <c r="I7" s="281" t="s">
        <v>926</v>
      </c>
      <c r="J7" s="285">
        <v>0</v>
      </c>
      <c r="K7" s="278">
        <f t="shared" si="7"/>
        <v>0</v>
      </c>
      <c r="L7" s="281" t="s">
        <v>926</v>
      </c>
      <c r="M7" s="285">
        <v>0</v>
      </c>
      <c r="N7" s="278">
        <f t="shared" si="1"/>
        <v>0</v>
      </c>
      <c r="O7" s="281" t="s">
        <v>926</v>
      </c>
      <c r="P7" s="285">
        <v>0</v>
      </c>
      <c r="Q7" s="278">
        <f t="shared" si="2"/>
        <v>0</v>
      </c>
      <c r="R7" s="281" t="s">
        <v>926</v>
      </c>
      <c r="S7" s="285">
        <v>0</v>
      </c>
      <c r="T7" s="278">
        <f t="shared" si="3"/>
        <v>0</v>
      </c>
      <c r="U7" s="281" t="s">
        <v>926</v>
      </c>
      <c r="V7" s="285">
        <v>0</v>
      </c>
      <c r="W7" s="278">
        <f t="shared" si="4"/>
        <v>0</v>
      </c>
      <c r="X7" s="281" t="s">
        <v>926</v>
      </c>
      <c r="Y7" s="285">
        <v>0</v>
      </c>
      <c r="Z7" s="278">
        <f t="shared" si="5"/>
        <v>0</v>
      </c>
    </row>
    <row r="8" spans="1:26" x14ac:dyDescent="0.25">
      <c r="A8" s="355"/>
      <c r="B8" s="360"/>
      <c r="C8" s="31" t="s">
        <v>113</v>
      </c>
      <c r="D8" s="34">
        <f>'ECONOMIA &amp; PROFESIONES'!$N$11</f>
        <v>3125</v>
      </c>
      <c r="E8" s="53">
        <f t="shared" si="6"/>
        <v>0</v>
      </c>
      <c r="F8" s="281" t="s">
        <v>926</v>
      </c>
      <c r="G8" s="285">
        <v>0</v>
      </c>
      <c r="H8" s="278">
        <f t="shared" si="0"/>
        <v>0</v>
      </c>
      <c r="I8" s="281" t="s">
        <v>926</v>
      </c>
      <c r="J8" s="285">
        <v>0</v>
      </c>
      <c r="K8" s="278">
        <f t="shared" si="7"/>
        <v>0</v>
      </c>
      <c r="L8" s="281" t="s">
        <v>926</v>
      </c>
      <c r="M8" s="285">
        <v>0</v>
      </c>
      <c r="N8" s="278">
        <f t="shared" si="1"/>
        <v>0</v>
      </c>
      <c r="O8" s="281" t="s">
        <v>926</v>
      </c>
      <c r="P8" s="285">
        <v>0</v>
      </c>
      <c r="Q8" s="278">
        <f t="shared" si="2"/>
        <v>0</v>
      </c>
      <c r="R8" s="281" t="s">
        <v>926</v>
      </c>
      <c r="S8" s="285">
        <v>0</v>
      </c>
      <c r="T8" s="278">
        <f t="shared" si="3"/>
        <v>0</v>
      </c>
      <c r="U8" s="281" t="s">
        <v>926</v>
      </c>
      <c r="V8" s="285">
        <v>0</v>
      </c>
      <c r="W8" s="278">
        <f t="shared" si="4"/>
        <v>0</v>
      </c>
      <c r="X8" s="281" t="s">
        <v>926</v>
      </c>
      <c r="Y8" s="285">
        <v>0</v>
      </c>
      <c r="Z8" s="278">
        <f t="shared" si="5"/>
        <v>0</v>
      </c>
    </row>
    <row r="9" spans="1:26" x14ac:dyDescent="0.25">
      <c r="A9" s="355"/>
      <c r="B9" s="360"/>
      <c r="C9" s="32" t="s">
        <v>114</v>
      </c>
      <c r="D9" s="34">
        <f>'ECONOMIA &amp; PROFESIONES'!$N$12</f>
        <v>3800</v>
      </c>
      <c r="E9" s="53">
        <f t="shared" si="6"/>
        <v>0</v>
      </c>
      <c r="F9" s="281" t="s">
        <v>926</v>
      </c>
      <c r="G9" s="285">
        <v>0</v>
      </c>
      <c r="H9" s="278">
        <f t="shared" si="0"/>
        <v>0</v>
      </c>
      <c r="I9" s="281" t="s">
        <v>926</v>
      </c>
      <c r="J9" s="285">
        <v>0</v>
      </c>
      <c r="K9" s="278">
        <f t="shared" si="7"/>
        <v>0</v>
      </c>
      <c r="L9" s="281" t="s">
        <v>926</v>
      </c>
      <c r="M9" s="285">
        <v>0</v>
      </c>
      <c r="N9" s="278">
        <f t="shared" si="1"/>
        <v>0</v>
      </c>
      <c r="O9" s="281" t="s">
        <v>926</v>
      </c>
      <c r="P9" s="285">
        <v>0</v>
      </c>
      <c r="Q9" s="278">
        <f t="shared" si="2"/>
        <v>0</v>
      </c>
      <c r="R9" s="281" t="s">
        <v>926</v>
      </c>
      <c r="S9" s="285">
        <v>0</v>
      </c>
      <c r="T9" s="278">
        <f t="shared" si="3"/>
        <v>0</v>
      </c>
      <c r="U9" s="281" t="s">
        <v>926</v>
      </c>
      <c r="V9" s="285">
        <v>0</v>
      </c>
      <c r="W9" s="278">
        <f t="shared" si="4"/>
        <v>0</v>
      </c>
      <c r="X9" s="281" t="s">
        <v>926</v>
      </c>
      <c r="Y9" s="285">
        <v>0</v>
      </c>
      <c r="Z9" s="278">
        <f t="shared" si="5"/>
        <v>0</v>
      </c>
    </row>
    <row r="10" spans="1:26" x14ac:dyDescent="0.25">
      <c r="A10" s="355"/>
      <c r="B10" s="360"/>
      <c r="C10" s="31" t="s">
        <v>115</v>
      </c>
      <c r="D10" s="34">
        <f>'ECONOMIA &amp; PROFESIONES'!$N$13</f>
        <v>3575</v>
      </c>
      <c r="E10" s="53">
        <f t="shared" si="6"/>
        <v>0</v>
      </c>
      <c r="F10" s="281" t="s">
        <v>926</v>
      </c>
      <c r="G10" s="285">
        <v>0</v>
      </c>
      <c r="H10" s="278">
        <f t="shared" si="0"/>
        <v>0</v>
      </c>
      <c r="I10" s="281" t="s">
        <v>926</v>
      </c>
      <c r="J10" s="285">
        <v>0</v>
      </c>
      <c r="K10" s="278">
        <f t="shared" si="7"/>
        <v>0</v>
      </c>
      <c r="L10" s="281" t="s">
        <v>926</v>
      </c>
      <c r="M10" s="285">
        <v>0</v>
      </c>
      <c r="N10" s="278">
        <f t="shared" si="1"/>
        <v>0</v>
      </c>
      <c r="O10" s="281" t="s">
        <v>926</v>
      </c>
      <c r="P10" s="285">
        <v>0</v>
      </c>
      <c r="Q10" s="278">
        <f t="shared" si="2"/>
        <v>0</v>
      </c>
      <c r="R10" s="281" t="s">
        <v>926</v>
      </c>
      <c r="S10" s="285">
        <v>0</v>
      </c>
      <c r="T10" s="278">
        <f t="shared" si="3"/>
        <v>0</v>
      </c>
      <c r="U10" s="281" t="s">
        <v>926</v>
      </c>
      <c r="V10" s="285">
        <v>0</v>
      </c>
      <c r="W10" s="278">
        <f t="shared" si="4"/>
        <v>0</v>
      </c>
      <c r="X10" s="281" t="s">
        <v>926</v>
      </c>
      <c r="Y10" s="285">
        <v>0</v>
      </c>
      <c r="Z10" s="278">
        <f t="shared" si="5"/>
        <v>0</v>
      </c>
    </row>
    <row r="11" spans="1:26" x14ac:dyDescent="0.25">
      <c r="A11" s="355"/>
      <c r="B11" s="361"/>
      <c r="C11" s="32" t="s">
        <v>116</v>
      </c>
      <c r="D11" s="34">
        <f>'ECONOMIA &amp; PROFESIONES'!$N$14</f>
        <v>2900</v>
      </c>
      <c r="E11" s="53">
        <f t="shared" si="6"/>
        <v>0</v>
      </c>
      <c r="F11" s="281" t="s">
        <v>926</v>
      </c>
      <c r="G11" s="285">
        <v>0</v>
      </c>
      <c r="H11" s="278">
        <f t="shared" si="0"/>
        <v>0</v>
      </c>
      <c r="I11" s="281" t="s">
        <v>926</v>
      </c>
      <c r="J11" s="285">
        <v>0</v>
      </c>
      <c r="K11" s="278">
        <f t="shared" si="7"/>
        <v>0</v>
      </c>
      <c r="L11" s="281" t="s">
        <v>926</v>
      </c>
      <c r="M11" s="285">
        <v>0</v>
      </c>
      <c r="N11" s="278">
        <f t="shared" si="1"/>
        <v>0</v>
      </c>
      <c r="O11" s="281" t="s">
        <v>926</v>
      </c>
      <c r="P11" s="285">
        <v>0</v>
      </c>
      <c r="Q11" s="278">
        <f t="shared" si="2"/>
        <v>0</v>
      </c>
      <c r="R11" s="281" t="s">
        <v>926</v>
      </c>
      <c r="S11" s="285">
        <v>0</v>
      </c>
      <c r="T11" s="278">
        <f t="shared" si="3"/>
        <v>0</v>
      </c>
      <c r="U11" s="281" t="s">
        <v>926</v>
      </c>
      <c r="V11" s="285">
        <v>0</v>
      </c>
      <c r="W11" s="278">
        <f t="shared" si="4"/>
        <v>0</v>
      </c>
      <c r="X11" s="281" t="s">
        <v>926</v>
      </c>
      <c r="Y11" s="285">
        <v>0</v>
      </c>
      <c r="Z11" s="278">
        <f t="shared" si="5"/>
        <v>0</v>
      </c>
    </row>
    <row r="12" spans="1:26" x14ac:dyDescent="0.25">
      <c r="A12" s="355"/>
      <c r="B12" s="362" t="s">
        <v>1231</v>
      </c>
      <c r="C12" s="31" t="s">
        <v>6</v>
      </c>
      <c r="D12" s="34">
        <f>'ECONOMIA &amp; PROFESIONES'!$N$15</f>
        <v>4050</v>
      </c>
      <c r="E12" s="53">
        <f t="shared" si="6"/>
        <v>0</v>
      </c>
      <c r="F12" s="281" t="s">
        <v>926</v>
      </c>
      <c r="G12" s="285">
        <v>0</v>
      </c>
      <c r="H12" s="278">
        <f t="shared" si="0"/>
        <v>0</v>
      </c>
      <c r="I12" s="281" t="s">
        <v>926</v>
      </c>
      <c r="J12" s="285">
        <v>0</v>
      </c>
      <c r="K12" s="278">
        <f t="shared" si="7"/>
        <v>0</v>
      </c>
      <c r="L12" s="281" t="s">
        <v>926</v>
      </c>
      <c r="M12" s="285">
        <v>0</v>
      </c>
      <c r="N12" s="278">
        <f t="shared" si="1"/>
        <v>0</v>
      </c>
      <c r="O12" s="281" t="s">
        <v>926</v>
      </c>
      <c r="P12" s="285">
        <v>0</v>
      </c>
      <c r="Q12" s="278">
        <f t="shared" si="2"/>
        <v>0</v>
      </c>
      <c r="R12" s="281" t="s">
        <v>926</v>
      </c>
      <c r="S12" s="285">
        <v>0</v>
      </c>
      <c r="T12" s="278">
        <f t="shared" si="3"/>
        <v>0</v>
      </c>
      <c r="U12" s="281" t="s">
        <v>926</v>
      </c>
      <c r="V12" s="285">
        <v>0</v>
      </c>
      <c r="W12" s="278">
        <f t="shared" si="4"/>
        <v>0</v>
      </c>
      <c r="X12" s="281" t="s">
        <v>926</v>
      </c>
      <c r="Y12" s="285">
        <v>0</v>
      </c>
      <c r="Z12" s="278">
        <f t="shared" si="5"/>
        <v>0</v>
      </c>
    </row>
    <row r="13" spans="1:26" x14ac:dyDescent="0.25">
      <c r="A13" s="355"/>
      <c r="B13" s="363"/>
      <c r="C13" s="32" t="s">
        <v>113</v>
      </c>
      <c r="D13" s="34">
        <f>'ECONOMIA &amp; PROFESIONES'!$N$16</f>
        <v>4875</v>
      </c>
      <c r="E13" s="53">
        <f t="shared" si="6"/>
        <v>0</v>
      </c>
      <c r="F13" s="281" t="s">
        <v>926</v>
      </c>
      <c r="G13" s="285">
        <v>0</v>
      </c>
      <c r="H13" s="278">
        <f t="shared" si="0"/>
        <v>0</v>
      </c>
      <c r="I13" s="281" t="s">
        <v>926</v>
      </c>
      <c r="J13" s="285">
        <v>0</v>
      </c>
      <c r="K13" s="278">
        <f t="shared" si="7"/>
        <v>0</v>
      </c>
      <c r="L13" s="281" t="s">
        <v>926</v>
      </c>
      <c r="M13" s="285">
        <v>0</v>
      </c>
      <c r="N13" s="278">
        <f t="shared" si="1"/>
        <v>0</v>
      </c>
      <c r="O13" s="281" t="s">
        <v>926</v>
      </c>
      <c r="P13" s="285">
        <v>0</v>
      </c>
      <c r="Q13" s="278">
        <f t="shared" si="2"/>
        <v>0</v>
      </c>
      <c r="R13" s="281" t="s">
        <v>926</v>
      </c>
      <c r="S13" s="285">
        <v>0</v>
      </c>
      <c r="T13" s="278">
        <f t="shared" si="3"/>
        <v>0</v>
      </c>
      <c r="U13" s="281" t="s">
        <v>926</v>
      </c>
      <c r="V13" s="285">
        <v>0</v>
      </c>
      <c r="W13" s="278">
        <f t="shared" si="4"/>
        <v>0</v>
      </c>
      <c r="X13" s="281" t="s">
        <v>926</v>
      </c>
      <c r="Y13" s="285">
        <v>0</v>
      </c>
      <c r="Z13" s="278">
        <f t="shared" si="5"/>
        <v>0</v>
      </c>
    </row>
    <row r="14" spans="1:26" x14ac:dyDescent="0.25">
      <c r="A14" s="355"/>
      <c r="B14" s="363"/>
      <c r="C14" s="31" t="s">
        <v>114</v>
      </c>
      <c r="D14" s="34">
        <f>'ECONOMIA &amp; PROFESIONES'!$N$17</f>
        <v>5700</v>
      </c>
      <c r="E14" s="53">
        <f t="shared" si="6"/>
        <v>0</v>
      </c>
      <c r="F14" s="281" t="s">
        <v>926</v>
      </c>
      <c r="G14" s="285">
        <v>0</v>
      </c>
      <c r="H14" s="278">
        <f t="shared" si="0"/>
        <v>0</v>
      </c>
      <c r="I14" s="281" t="s">
        <v>926</v>
      </c>
      <c r="J14" s="285">
        <v>0</v>
      </c>
      <c r="K14" s="278">
        <f t="shared" si="7"/>
        <v>0</v>
      </c>
      <c r="L14" s="281" t="s">
        <v>926</v>
      </c>
      <c r="M14" s="285">
        <v>0</v>
      </c>
      <c r="N14" s="278">
        <f t="shared" si="1"/>
        <v>0</v>
      </c>
      <c r="O14" s="281" t="s">
        <v>926</v>
      </c>
      <c r="P14" s="285">
        <v>0</v>
      </c>
      <c r="Q14" s="278">
        <f t="shared" si="2"/>
        <v>0</v>
      </c>
      <c r="R14" s="281" t="s">
        <v>926</v>
      </c>
      <c r="S14" s="285">
        <v>0</v>
      </c>
      <c r="T14" s="278">
        <f t="shared" si="3"/>
        <v>0</v>
      </c>
      <c r="U14" s="281" t="s">
        <v>926</v>
      </c>
      <c r="V14" s="285">
        <v>0</v>
      </c>
      <c r="W14" s="278">
        <f t="shared" si="4"/>
        <v>0</v>
      </c>
      <c r="X14" s="281" t="s">
        <v>926</v>
      </c>
      <c r="Y14" s="285">
        <v>0</v>
      </c>
      <c r="Z14" s="278">
        <f t="shared" si="5"/>
        <v>0</v>
      </c>
    </row>
    <row r="15" spans="1:26" x14ac:dyDescent="0.25">
      <c r="A15" s="355"/>
      <c r="B15" s="362"/>
      <c r="C15" s="32" t="s">
        <v>115</v>
      </c>
      <c r="D15" s="34">
        <f>'ECONOMIA &amp; PROFESIONES'!$N$18</f>
        <v>5425</v>
      </c>
      <c r="E15" s="53">
        <f t="shared" si="6"/>
        <v>0</v>
      </c>
      <c r="F15" s="281" t="s">
        <v>926</v>
      </c>
      <c r="G15" s="285">
        <v>0</v>
      </c>
      <c r="H15" s="278">
        <f t="shared" si="0"/>
        <v>0</v>
      </c>
      <c r="I15" s="281" t="s">
        <v>926</v>
      </c>
      <c r="J15" s="285">
        <v>0</v>
      </c>
      <c r="K15" s="278">
        <f t="shared" si="7"/>
        <v>0</v>
      </c>
      <c r="L15" s="281" t="s">
        <v>926</v>
      </c>
      <c r="M15" s="285">
        <v>0</v>
      </c>
      <c r="N15" s="278">
        <f t="shared" si="1"/>
        <v>0</v>
      </c>
      <c r="O15" s="281" t="s">
        <v>926</v>
      </c>
      <c r="P15" s="285">
        <v>0</v>
      </c>
      <c r="Q15" s="278">
        <f t="shared" si="2"/>
        <v>0</v>
      </c>
      <c r="R15" s="281" t="s">
        <v>926</v>
      </c>
      <c r="S15" s="285">
        <v>0</v>
      </c>
      <c r="T15" s="278">
        <f t="shared" si="3"/>
        <v>0</v>
      </c>
      <c r="U15" s="281" t="s">
        <v>926</v>
      </c>
      <c r="V15" s="285">
        <v>0</v>
      </c>
      <c r="W15" s="278">
        <f t="shared" si="4"/>
        <v>0</v>
      </c>
      <c r="X15" s="281" t="s">
        <v>926</v>
      </c>
      <c r="Y15" s="285">
        <v>0</v>
      </c>
      <c r="Z15" s="278">
        <f t="shared" si="5"/>
        <v>0</v>
      </c>
    </row>
    <row r="16" spans="1:26" x14ac:dyDescent="0.25">
      <c r="A16" s="355"/>
      <c r="B16" s="362"/>
      <c r="C16" s="31" t="s">
        <v>116</v>
      </c>
      <c r="D16" s="34">
        <f>'ECONOMIA &amp; PROFESIONES'!$N$19</f>
        <v>4600</v>
      </c>
      <c r="E16" s="53">
        <f t="shared" si="6"/>
        <v>0</v>
      </c>
      <c r="F16" s="281" t="s">
        <v>926</v>
      </c>
      <c r="G16" s="285">
        <v>0</v>
      </c>
      <c r="H16" s="278">
        <f t="shared" si="0"/>
        <v>0</v>
      </c>
      <c r="I16" s="281" t="s">
        <v>926</v>
      </c>
      <c r="J16" s="285">
        <v>0</v>
      </c>
      <c r="K16" s="278">
        <f t="shared" si="7"/>
        <v>0</v>
      </c>
      <c r="L16" s="281" t="s">
        <v>926</v>
      </c>
      <c r="M16" s="285">
        <v>0</v>
      </c>
      <c r="N16" s="278">
        <f t="shared" si="1"/>
        <v>0</v>
      </c>
      <c r="O16" s="281" t="s">
        <v>926</v>
      </c>
      <c r="P16" s="285">
        <v>0</v>
      </c>
      <c r="Q16" s="278">
        <f t="shared" si="2"/>
        <v>0</v>
      </c>
      <c r="R16" s="281" t="s">
        <v>926</v>
      </c>
      <c r="S16" s="285">
        <v>0</v>
      </c>
      <c r="T16" s="278">
        <f t="shared" si="3"/>
        <v>0</v>
      </c>
      <c r="U16" s="281" t="s">
        <v>926</v>
      </c>
      <c r="V16" s="285">
        <v>0</v>
      </c>
      <c r="W16" s="278">
        <f t="shared" si="4"/>
        <v>0</v>
      </c>
      <c r="X16" s="281" t="s">
        <v>926</v>
      </c>
      <c r="Y16" s="285">
        <v>0</v>
      </c>
      <c r="Z16" s="278">
        <f t="shared" si="5"/>
        <v>0</v>
      </c>
    </row>
    <row r="17" spans="1:26" x14ac:dyDescent="0.25">
      <c r="A17" s="355"/>
      <c r="B17" s="364" t="s">
        <v>1232</v>
      </c>
      <c r="C17" s="32" t="s">
        <v>6</v>
      </c>
      <c r="D17" s="34">
        <f>'ECONOMIA &amp; PROFESIONES'!$N$20</f>
        <v>5650</v>
      </c>
      <c r="E17" s="53">
        <f t="shared" si="6"/>
        <v>0</v>
      </c>
      <c r="F17" s="281" t="s">
        <v>926</v>
      </c>
      <c r="G17" s="285">
        <v>0</v>
      </c>
      <c r="H17" s="278">
        <f t="shared" si="0"/>
        <v>0</v>
      </c>
      <c r="I17" s="281" t="s">
        <v>926</v>
      </c>
      <c r="J17" s="285">
        <v>0</v>
      </c>
      <c r="K17" s="278">
        <f t="shared" si="7"/>
        <v>0</v>
      </c>
      <c r="L17" s="281" t="s">
        <v>926</v>
      </c>
      <c r="M17" s="285">
        <v>0</v>
      </c>
      <c r="N17" s="278">
        <f t="shared" si="1"/>
        <v>0</v>
      </c>
      <c r="O17" s="281" t="s">
        <v>926</v>
      </c>
      <c r="P17" s="285">
        <v>0</v>
      </c>
      <c r="Q17" s="278">
        <f t="shared" si="2"/>
        <v>0</v>
      </c>
      <c r="R17" s="281" t="s">
        <v>926</v>
      </c>
      <c r="S17" s="285">
        <v>0</v>
      </c>
      <c r="T17" s="278">
        <f t="shared" si="3"/>
        <v>0</v>
      </c>
      <c r="U17" s="281" t="s">
        <v>926</v>
      </c>
      <c r="V17" s="285">
        <v>0</v>
      </c>
      <c r="W17" s="278">
        <f t="shared" si="4"/>
        <v>0</v>
      </c>
      <c r="X17" s="281" t="s">
        <v>926</v>
      </c>
      <c r="Y17" s="285">
        <v>0</v>
      </c>
      <c r="Z17" s="278">
        <f t="shared" si="5"/>
        <v>0</v>
      </c>
    </row>
    <row r="18" spans="1:26" x14ac:dyDescent="0.25">
      <c r="A18" s="355"/>
      <c r="B18" s="365"/>
      <c r="C18" s="31" t="s">
        <v>113</v>
      </c>
      <c r="D18" s="34">
        <f>'ECONOMIA &amp; PROFESIONES'!$N$21</f>
        <v>6625</v>
      </c>
      <c r="E18" s="53">
        <f t="shared" si="6"/>
        <v>0</v>
      </c>
      <c r="F18" s="281" t="s">
        <v>926</v>
      </c>
      <c r="G18" s="285">
        <v>0</v>
      </c>
      <c r="H18" s="278">
        <f t="shared" si="0"/>
        <v>0</v>
      </c>
      <c r="I18" s="281" t="s">
        <v>926</v>
      </c>
      <c r="J18" s="285">
        <v>0</v>
      </c>
      <c r="K18" s="278">
        <f t="shared" si="7"/>
        <v>0</v>
      </c>
      <c r="L18" s="281" t="s">
        <v>926</v>
      </c>
      <c r="M18" s="285">
        <v>0</v>
      </c>
      <c r="N18" s="278">
        <f t="shared" si="1"/>
        <v>0</v>
      </c>
      <c r="O18" s="281" t="s">
        <v>926</v>
      </c>
      <c r="P18" s="285">
        <v>0</v>
      </c>
      <c r="Q18" s="278">
        <f t="shared" si="2"/>
        <v>0</v>
      </c>
      <c r="R18" s="281" t="s">
        <v>926</v>
      </c>
      <c r="S18" s="285">
        <v>0</v>
      </c>
      <c r="T18" s="278">
        <f t="shared" si="3"/>
        <v>0</v>
      </c>
      <c r="U18" s="281" t="s">
        <v>926</v>
      </c>
      <c r="V18" s="285">
        <v>0</v>
      </c>
      <c r="W18" s="278">
        <f t="shared" si="4"/>
        <v>0</v>
      </c>
      <c r="X18" s="281" t="s">
        <v>926</v>
      </c>
      <c r="Y18" s="285">
        <v>0</v>
      </c>
      <c r="Z18" s="278">
        <f t="shared" si="5"/>
        <v>0</v>
      </c>
    </row>
    <row r="19" spans="1:26" x14ac:dyDescent="0.25">
      <c r="A19" s="355"/>
      <c r="B19" s="365"/>
      <c r="C19" s="32" t="s">
        <v>114</v>
      </c>
      <c r="D19" s="34">
        <f>'ECONOMIA &amp; PROFESIONES'!$N$22</f>
        <v>7600</v>
      </c>
      <c r="E19" s="53">
        <f t="shared" si="6"/>
        <v>0</v>
      </c>
      <c r="F19" s="281" t="s">
        <v>926</v>
      </c>
      <c r="G19" s="285">
        <v>0</v>
      </c>
      <c r="H19" s="278">
        <f t="shared" si="0"/>
        <v>0</v>
      </c>
      <c r="I19" s="281" t="s">
        <v>926</v>
      </c>
      <c r="J19" s="285">
        <v>0</v>
      </c>
      <c r="K19" s="278">
        <f t="shared" si="7"/>
        <v>0</v>
      </c>
      <c r="L19" s="281" t="s">
        <v>926</v>
      </c>
      <c r="M19" s="285">
        <v>0</v>
      </c>
      <c r="N19" s="278">
        <f t="shared" si="1"/>
        <v>0</v>
      </c>
      <c r="O19" s="281" t="s">
        <v>926</v>
      </c>
      <c r="P19" s="285">
        <v>0</v>
      </c>
      <c r="Q19" s="278">
        <f t="shared" si="2"/>
        <v>0</v>
      </c>
      <c r="R19" s="281" t="s">
        <v>926</v>
      </c>
      <c r="S19" s="285">
        <v>0</v>
      </c>
      <c r="T19" s="278">
        <f t="shared" si="3"/>
        <v>0</v>
      </c>
      <c r="U19" s="281" t="s">
        <v>926</v>
      </c>
      <c r="V19" s="285">
        <v>0</v>
      </c>
      <c r="W19" s="278">
        <f t="shared" si="4"/>
        <v>0</v>
      </c>
      <c r="X19" s="281" t="s">
        <v>926</v>
      </c>
      <c r="Y19" s="285">
        <v>0</v>
      </c>
      <c r="Z19" s="278">
        <f t="shared" si="5"/>
        <v>0</v>
      </c>
    </row>
    <row r="20" spans="1:26" x14ac:dyDescent="0.25">
      <c r="A20" s="355"/>
      <c r="B20" s="360"/>
      <c r="C20" s="31" t="s">
        <v>115</v>
      </c>
      <c r="D20" s="34">
        <f>'ECONOMIA &amp; PROFESIONES'!$N$23</f>
        <v>7275</v>
      </c>
      <c r="E20" s="53">
        <f t="shared" si="6"/>
        <v>0</v>
      </c>
      <c r="F20" s="281" t="s">
        <v>926</v>
      </c>
      <c r="G20" s="285">
        <v>0</v>
      </c>
      <c r="H20" s="278">
        <f t="shared" si="0"/>
        <v>0</v>
      </c>
      <c r="I20" s="281" t="s">
        <v>926</v>
      </c>
      <c r="J20" s="285">
        <v>0</v>
      </c>
      <c r="K20" s="278">
        <f t="shared" si="7"/>
        <v>0</v>
      </c>
      <c r="L20" s="281" t="s">
        <v>926</v>
      </c>
      <c r="M20" s="285">
        <v>0</v>
      </c>
      <c r="N20" s="278">
        <f t="shared" si="1"/>
        <v>0</v>
      </c>
      <c r="O20" s="281" t="s">
        <v>926</v>
      </c>
      <c r="P20" s="285">
        <v>0</v>
      </c>
      <c r="Q20" s="278">
        <f t="shared" si="2"/>
        <v>0</v>
      </c>
      <c r="R20" s="281" t="s">
        <v>926</v>
      </c>
      <c r="S20" s="285">
        <v>0</v>
      </c>
      <c r="T20" s="278">
        <f t="shared" si="3"/>
        <v>0</v>
      </c>
      <c r="U20" s="281" t="s">
        <v>926</v>
      </c>
      <c r="V20" s="285">
        <v>0</v>
      </c>
      <c r="W20" s="278">
        <f t="shared" si="4"/>
        <v>0</v>
      </c>
      <c r="X20" s="281" t="s">
        <v>926</v>
      </c>
      <c r="Y20" s="285">
        <v>0</v>
      </c>
      <c r="Z20" s="278">
        <f t="shared" si="5"/>
        <v>0</v>
      </c>
    </row>
    <row r="21" spans="1:26" x14ac:dyDescent="0.25">
      <c r="A21" s="355"/>
      <c r="B21" s="366"/>
      <c r="C21" s="32" t="s">
        <v>116</v>
      </c>
      <c r="D21" s="34">
        <f>'ECONOMIA &amp; PROFESIONES'!$N$24</f>
        <v>6300</v>
      </c>
      <c r="E21" s="53">
        <f t="shared" si="6"/>
        <v>0</v>
      </c>
      <c r="F21" s="281" t="s">
        <v>926</v>
      </c>
      <c r="G21" s="285">
        <v>0</v>
      </c>
      <c r="H21" s="278">
        <f t="shared" si="0"/>
        <v>0</v>
      </c>
      <c r="I21" s="281" t="s">
        <v>926</v>
      </c>
      <c r="J21" s="285">
        <v>0</v>
      </c>
      <c r="K21" s="278">
        <f t="shared" si="7"/>
        <v>0</v>
      </c>
      <c r="L21" s="281" t="s">
        <v>926</v>
      </c>
      <c r="M21" s="285">
        <v>0</v>
      </c>
      <c r="N21" s="278">
        <f t="shared" si="1"/>
        <v>0</v>
      </c>
      <c r="O21" s="281" t="s">
        <v>926</v>
      </c>
      <c r="P21" s="285">
        <v>0</v>
      </c>
      <c r="Q21" s="278">
        <f t="shared" si="2"/>
        <v>0</v>
      </c>
      <c r="R21" s="281" t="s">
        <v>926</v>
      </c>
      <c r="S21" s="285">
        <v>0</v>
      </c>
      <c r="T21" s="278">
        <f t="shared" si="3"/>
        <v>0</v>
      </c>
      <c r="U21" s="281" t="s">
        <v>926</v>
      </c>
      <c r="V21" s="285">
        <v>0</v>
      </c>
      <c r="W21" s="278">
        <f t="shared" si="4"/>
        <v>0</v>
      </c>
      <c r="X21" s="281" t="s">
        <v>926</v>
      </c>
      <c r="Y21" s="285">
        <v>0</v>
      </c>
      <c r="Z21" s="278">
        <f t="shared" si="5"/>
        <v>0</v>
      </c>
    </row>
    <row r="22" spans="1:26" x14ac:dyDescent="0.25">
      <c r="A22" s="355"/>
      <c r="B22" s="362" t="s">
        <v>1230</v>
      </c>
      <c r="C22" s="31" t="s">
        <v>6</v>
      </c>
      <c r="D22" s="34">
        <f>'ECONOMIA &amp; PROFESIONES'!$N$25</f>
        <v>7250</v>
      </c>
      <c r="E22" s="53">
        <f t="shared" si="6"/>
        <v>0</v>
      </c>
      <c r="F22" s="281" t="s">
        <v>926</v>
      </c>
      <c r="G22" s="285">
        <v>0</v>
      </c>
      <c r="H22" s="278">
        <f t="shared" si="0"/>
        <v>0</v>
      </c>
      <c r="I22" s="281" t="s">
        <v>926</v>
      </c>
      <c r="J22" s="285">
        <v>0</v>
      </c>
      <c r="K22" s="278">
        <f t="shared" si="7"/>
        <v>0</v>
      </c>
      <c r="L22" s="281" t="s">
        <v>926</v>
      </c>
      <c r="M22" s="285">
        <v>0</v>
      </c>
      <c r="N22" s="278">
        <f t="shared" si="1"/>
        <v>0</v>
      </c>
      <c r="O22" s="281" t="s">
        <v>926</v>
      </c>
      <c r="P22" s="285">
        <v>0</v>
      </c>
      <c r="Q22" s="278">
        <f t="shared" si="2"/>
        <v>0</v>
      </c>
      <c r="R22" s="281" t="s">
        <v>926</v>
      </c>
      <c r="S22" s="285">
        <v>0</v>
      </c>
      <c r="T22" s="278">
        <f t="shared" si="3"/>
        <v>0</v>
      </c>
      <c r="U22" s="281" t="s">
        <v>926</v>
      </c>
      <c r="V22" s="285">
        <v>0</v>
      </c>
      <c r="W22" s="278">
        <f t="shared" si="4"/>
        <v>0</v>
      </c>
      <c r="X22" s="281" t="s">
        <v>926</v>
      </c>
      <c r="Y22" s="285">
        <v>0</v>
      </c>
      <c r="Z22" s="278">
        <f t="shared" si="5"/>
        <v>0</v>
      </c>
    </row>
    <row r="23" spans="1:26" x14ac:dyDescent="0.25">
      <c r="A23" s="355"/>
      <c r="B23" s="362"/>
      <c r="C23" s="32" t="s">
        <v>113</v>
      </c>
      <c r="D23" s="34">
        <f>'ECONOMIA &amp; PROFESIONES'!$N$26</f>
        <v>8375</v>
      </c>
      <c r="E23" s="53">
        <f t="shared" si="6"/>
        <v>0</v>
      </c>
      <c r="F23" s="281" t="s">
        <v>926</v>
      </c>
      <c r="G23" s="285">
        <v>0</v>
      </c>
      <c r="H23" s="278">
        <f t="shared" si="0"/>
        <v>0</v>
      </c>
      <c r="I23" s="281" t="s">
        <v>926</v>
      </c>
      <c r="J23" s="285">
        <v>0</v>
      </c>
      <c r="K23" s="278">
        <f t="shared" si="7"/>
        <v>0</v>
      </c>
      <c r="L23" s="281" t="s">
        <v>926</v>
      </c>
      <c r="M23" s="285">
        <v>0</v>
      </c>
      <c r="N23" s="278">
        <f t="shared" si="1"/>
        <v>0</v>
      </c>
      <c r="O23" s="281" t="s">
        <v>926</v>
      </c>
      <c r="P23" s="285">
        <v>0</v>
      </c>
      <c r="Q23" s="278">
        <f t="shared" si="2"/>
        <v>0</v>
      </c>
      <c r="R23" s="281" t="s">
        <v>926</v>
      </c>
      <c r="S23" s="285">
        <v>0</v>
      </c>
      <c r="T23" s="278">
        <f t="shared" si="3"/>
        <v>0</v>
      </c>
      <c r="U23" s="281" t="s">
        <v>926</v>
      </c>
      <c r="V23" s="285">
        <v>0</v>
      </c>
      <c r="W23" s="278">
        <f t="shared" si="4"/>
        <v>0</v>
      </c>
      <c r="X23" s="281" t="s">
        <v>926</v>
      </c>
      <c r="Y23" s="285">
        <v>0</v>
      </c>
      <c r="Z23" s="278">
        <f t="shared" si="5"/>
        <v>0</v>
      </c>
    </row>
    <row r="24" spans="1:26" x14ac:dyDescent="0.25">
      <c r="A24" s="355"/>
      <c r="B24" s="362"/>
      <c r="C24" s="31" t="s">
        <v>114</v>
      </c>
      <c r="D24" s="34">
        <f>'ECONOMIA &amp; PROFESIONES'!$N$27</f>
        <v>9500</v>
      </c>
      <c r="E24" s="53">
        <f t="shared" si="6"/>
        <v>0</v>
      </c>
      <c r="F24" s="281" t="s">
        <v>926</v>
      </c>
      <c r="G24" s="285">
        <v>0</v>
      </c>
      <c r="H24" s="278">
        <f t="shared" si="0"/>
        <v>0</v>
      </c>
      <c r="I24" s="281" t="s">
        <v>926</v>
      </c>
      <c r="J24" s="285">
        <v>0</v>
      </c>
      <c r="K24" s="278">
        <f t="shared" si="7"/>
        <v>0</v>
      </c>
      <c r="L24" s="281" t="s">
        <v>926</v>
      </c>
      <c r="M24" s="285">
        <v>0</v>
      </c>
      <c r="N24" s="278">
        <f t="shared" si="1"/>
        <v>0</v>
      </c>
      <c r="O24" s="281" t="s">
        <v>926</v>
      </c>
      <c r="P24" s="285">
        <v>0</v>
      </c>
      <c r="Q24" s="278">
        <f t="shared" si="2"/>
        <v>0</v>
      </c>
      <c r="R24" s="281" t="s">
        <v>926</v>
      </c>
      <c r="S24" s="285">
        <v>0</v>
      </c>
      <c r="T24" s="278">
        <f t="shared" si="3"/>
        <v>0</v>
      </c>
      <c r="U24" s="281" t="s">
        <v>926</v>
      </c>
      <c r="V24" s="285">
        <v>0</v>
      </c>
      <c r="W24" s="278">
        <f t="shared" si="4"/>
        <v>0</v>
      </c>
      <c r="X24" s="281" t="s">
        <v>926</v>
      </c>
      <c r="Y24" s="285">
        <v>0</v>
      </c>
      <c r="Z24" s="278">
        <f t="shared" si="5"/>
        <v>0</v>
      </c>
    </row>
    <row r="25" spans="1:26" x14ac:dyDescent="0.25">
      <c r="A25" s="355"/>
      <c r="B25" s="362"/>
      <c r="C25" s="32" t="s">
        <v>115</v>
      </c>
      <c r="D25" s="34">
        <f>'ECONOMIA &amp; PROFESIONES'!$N$28</f>
        <v>9125</v>
      </c>
      <c r="E25" s="53">
        <f t="shared" si="6"/>
        <v>0</v>
      </c>
      <c r="F25" s="281" t="s">
        <v>926</v>
      </c>
      <c r="G25" s="285">
        <v>0</v>
      </c>
      <c r="H25" s="278">
        <f t="shared" si="0"/>
        <v>0</v>
      </c>
      <c r="I25" s="281" t="s">
        <v>926</v>
      </c>
      <c r="J25" s="285">
        <v>0</v>
      </c>
      <c r="K25" s="278">
        <f t="shared" si="7"/>
        <v>0</v>
      </c>
      <c r="L25" s="281" t="s">
        <v>926</v>
      </c>
      <c r="M25" s="285">
        <v>0</v>
      </c>
      <c r="N25" s="278">
        <f t="shared" si="1"/>
        <v>0</v>
      </c>
      <c r="O25" s="281" t="s">
        <v>926</v>
      </c>
      <c r="P25" s="285">
        <v>0</v>
      </c>
      <c r="Q25" s="278">
        <f t="shared" si="2"/>
        <v>0</v>
      </c>
      <c r="R25" s="281" t="s">
        <v>926</v>
      </c>
      <c r="S25" s="285">
        <v>0</v>
      </c>
      <c r="T25" s="278">
        <f t="shared" si="3"/>
        <v>0</v>
      </c>
      <c r="U25" s="281" t="s">
        <v>926</v>
      </c>
      <c r="V25" s="285">
        <v>0</v>
      </c>
      <c r="W25" s="278">
        <f t="shared" si="4"/>
        <v>0</v>
      </c>
      <c r="X25" s="281" t="s">
        <v>926</v>
      </c>
      <c r="Y25" s="285">
        <v>0</v>
      </c>
      <c r="Z25" s="278">
        <f t="shared" si="5"/>
        <v>0</v>
      </c>
    </row>
    <row r="26" spans="1:26" x14ac:dyDescent="0.25">
      <c r="A26" s="355"/>
      <c r="B26" s="362"/>
      <c r="C26" s="31" t="s">
        <v>116</v>
      </c>
      <c r="D26" s="34">
        <f>'ECONOMIA &amp; PROFESIONES'!$N$29</f>
        <v>8000</v>
      </c>
      <c r="E26" s="53">
        <f t="shared" si="6"/>
        <v>0</v>
      </c>
      <c r="F26" s="281" t="s">
        <v>926</v>
      </c>
      <c r="G26" s="285">
        <v>0</v>
      </c>
      <c r="H26" s="278">
        <f t="shared" si="0"/>
        <v>0</v>
      </c>
      <c r="I26" s="281" t="s">
        <v>926</v>
      </c>
      <c r="J26" s="285">
        <v>0</v>
      </c>
      <c r="K26" s="278">
        <f t="shared" si="7"/>
        <v>0</v>
      </c>
      <c r="L26" s="281" t="s">
        <v>926</v>
      </c>
      <c r="M26" s="285">
        <v>0</v>
      </c>
      <c r="N26" s="278">
        <f t="shared" si="1"/>
        <v>0</v>
      </c>
      <c r="O26" s="281" t="s">
        <v>926</v>
      </c>
      <c r="P26" s="285">
        <v>0</v>
      </c>
      <c r="Q26" s="278">
        <f t="shared" si="2"/>
        <v>0</v>
      </c>
      <c r="R26" s="281" t="s">
        <v>926</v>
      </c>
      <c r="S26" s="285">
        <v>0</v>
      </c>
      <c r="T26" s="278">
        <f t="shared" si="3"/>
        <v>0</v>
      </c>
      <c r="U26" s="281" t="s">
        <v>926</v>
      </c>
      <c r="V26" s="285">
        <v>0</v>
      </c>
      <c r="W26" s="278">
        <f t="shared" si="4"/>
        <v>0</v>
      </c>
      <c r="X26" s="281" t="s">
        <v>926</v>
      </c>
      <c r="Y26" s="285">
        <v>0</v>
      </c>
      <c r="Z26" s="278">
        <f t="shared" si="5"/>
        <v>0</v>
      </c>
    </row>
    <row r="27" spans="1:26" x14ac:dyDescent="0.25">
      <c r="A27" s="355" t="s">
        <v>1233</v>
      </c>
      <c r="B27" s="176"/>
      <c r="C27" s="176"/>
      <c r="D27" s="295"/>
      <c r="E27" s="284" t="s">
        <v>1150</v>
      </c>
      <c r="F27" s="284" t="s">
        <v>1151</v>
      </c>
      <c r="G27" s="284" t="s">
        <v>1234</v>
      </c>
      <c r="H27" s="284" t="s">
        <v>202</v>
      </c>
      <c r="I27" s="284" t="s">
        <v>1152</v>
      </c>
      <c r="J27" s="284" t="s">
        <v>1234</v>
      </c>
      <c r="K27" s="284" t="s">
        <v>202</v>
      </c>
      <c r="L27" s="284" t="s">
        <v>1171</v>
      </c>
      <c r="M27" s="284" t="s">
        <v>1234</v>
      </c>
      <c r="N27" s="284" t="s">
        <v>202</v>
      </c>
      <c r="O27" s="284" t="s">
        <v>1226</v>
      </c>
      <c r="P27" s="284" t="s">
        <v>1234</v>
      </c>
      <c r="Q27" s="284" t="s">
        <v>202</v>
      </c>
      <c r="R27" s="284" t="s">
        <v>1227</v>
      </c>
      <c r="S27" s="284" t="s">
        <v>1234</v>
      </c>
      <c r="T27" s="284" t="s">
        <v>202</v>
      </c>
      <c r="U27" s="284" t="s">
        <v>1228</v>
      </c>
      <c r="V27" s="284" t="s">
        <v>1234</v>
      </c>
      <c r="W27" s="284" t="s">
        <v>202</v>
      </c>
      <c r="X27" s="284" t="s">
        <v>1229</v>
      </c>
      <c r="Y27" s="284" t="s">
        <v>1234</v>
      </c>
      <c r="Z27" s="284" t="s">
        <v>202</v>
      </c>
    </row>
    <row r="28" spans="1:26" x14ac:dyDescent="0.25">
      <c r="A28" s="355"/>
      <c r="B28" s="356" t="s">
        <v>1161</v>
      </c>
      <c r="C28" s="31" t="s">
        <v>6</v>
      </c>
      <c r="D28" s="35">
        <f>'ECONOMIA &amp; PROFESIONES'!$O$5</f>
        <v>1300</v>
      </c>
      <c r="E28" s="53">
        <f>(H28*G28)+(K28*J28)+(M28*N28)+(P28*Q28)+(S28*T28)+(V28*W28)+(Y28*Z28)</f>
        <v>0</v>
      </c>
      <c r="F28" s="281" t="s">
        <v>926</v>
      </c>
      <c r="G28" s="285">
        <v>0</v>
      </c>
      <c r="H28" s="278">
        <f t="shared" ref="H28:H52" si="8">VLOOKUP(F28,craftedesp,3,FALSE)</f>
        <v>0</v>
      </c>
      <c r="I28" s="281" t="s">
        <v>926</v>
      </c>
      <c r="J28" s="285">
        <v>0</v>
      </c>
      <c r="K28" s="278">
        <f t="shared" ref="K28:K52" si="9">VLOOKUP(I28,craftedesp,3,FALSE)</f>
        <v>0</v>
      </c>
      <c r="L28" s="281" t="s">
        <v>926</v>
      </c>
      <c r="M28" s="285">
        <v>0</v>
      </c>
      <c r="N28" s="278">
        <f t="shared" ref="N28:N52" si="10">VLOOKUP(L28,craftedesp,3,FALSE)</f>
        <v>0</v>
      </c>
      <c r="O28" s="281" t="s">
        <v>926</v>
      </c>
      <c r="P28" s="285">
        <v>0</v>
      </c>
      <c r="Q28" s="278">
        <f t="shared" ref="Q28:Q52" si="11">VLOOKUP(O28,craftedesp,3,FALSE)</f>
        <v>0</v>
      </c>
      <c r="R28" s="281" t="s">
        <v>926</v>
      </c>
      <c r="S28" s="285">
        <v>0</v>
      </c>
      <c r="T28" s="278">
        <f t="shared" ref="T28:T52" si="12">VLOOKUP(R28,craftedesp,3,FALSE)</f>
        <v>0</v>
      </c>
      <c r="U28" s="281" t="s">
        <v>926</v>
      </c>
      <c r="V28" s="285">
        <v>0</v>
      </c>
      <c r="W28" s="278">
        <f t="shared" ref="W28:W52" si="13">VLOOKUP(U28,craftedesp,3,FALSE)</f>
        <v>0</v>
      </c>
      <c r="X28" s="281" t="s">
        <v>926</v>
      </c>
      <c r="Y28" s="285">
        <v>0</v>
      </c>
      <c r="Z28" s="278">
        <f t="shared" ref="Z28:Z52" si="14">VLOOKUP(X28,craftedesp,3,FALSE)</f>
        <v>0</v>
      </c>
    </row>
    <row r="29" spans="1:26" x14ac:dyDescent="0.25">
      <c r="A29" s="355"/>
      <c r="B29" s="357"/>
      <c r="C29" s="32" t="s">
        <v>113</v>
      </c>
      <c r="D29" s="35">
        <f>'ECONOMIA &amp; PROFESIONES'!$O$6</f>
        <v>2500</v>
      </c>
      <c r="E29" s="53">
        <f t="shared" ref="E29:E52" si="15">(H29*G29)+(K29*J29)+(M29*N29)+(P29*Q29)+(S29*T29)+(V29*W29)+(Y29*Z29)</f>
        <v>0</v>
      </c>
      <c r="F29" s="281" t="s">
        <v>926</v>
      </c>
      <c r="G29" s="285">
        <v>0</v>
      </c>
      <c r="H29" s="278">
        <f t="shared" si="8"/>
        <v>0</v>
      </c>
      <c r="I29" s="281" t="s">
        <v>926</v>
      </c>
      <c r="J29" s="285">
        <v>0</v>
      </c>
      <c r="K29" s="278">
        <f t="shared" si="9"/>
        <v>0</v>
      </c>
      <c r="L29" s="281" t="s">
        <v>926</v>
      </c>
      <c r="M29" s="285">
        <v>0</v>
      </c>
      <c r="N29" s="278">
        <f t="shared" si="10"/>
        <v>0</v>
      </c>
      <c r="O29" s="281" t="s">
        <v>926</v>
      </c>
      <c r="P29" s="285">
        <v>0</v>
      </c>
      <c r="Q29" s="278">
        <f t="shared" si="11"/>
        <v>0</v>
      </c>
      <c r="R29" s="281" t="s">
        <v>926</v>
      </c>
      <c r="S29" s="285">
        <v>0</v>
      </c>
      <c r="T29" s="278">
        <f t="shared" si="12"/>
        <v>0</v>
      </c>
      <c r="U29" s="281" t="s">
        <v>926</v>
      </c>
      <c r="V29" s="285">
        <v>0</v>
      </c>
      <c r="W29" s="278">
        <f t="shared" si="13"/>
        <v>0</v>
      </c>
      <c r="X29" s="281" t="s">
        <v>926</v>
      </c>
      <c r="Y29" s="285">
        <v>0</v>
      </c>
      <c r="Z29" s="278">
        <f t="shared" si="14"/>
        <v>0</v>
      </c>
    </row>
    <row r="30" spans="1:26" x14ac:dyDescent="0.25">
      <c r="A30" s="355"/>
      <c r="B30" s="357"/>
      <c r="C30" s="31" t="s">
        <v>114</v>
      </c>
      <c r="D30" s="35">
        <f>'ECONOMIA &amp; PROFESIONES'!$O$7</f>
        <v>3700</v>
      </c>
      <c r="E30" s="53">
        <f t="shared" si="15"/>
        <v>0</v>
      </c>
      <c r="F30" s="281" t="s">
        <v>926</v>
      </c>
      <c r="G30" s="285">
        <v>0</v>
      </c>
      <c r="H30" s="278">
        <f t="shared" si="8"/>
        <v>0</v>
      </c>
      <c r="I30" s="281" t="s">
        <v>926</v>
      </c>
      <c r="J30" s="285">
        <v>0</v>
      </c>
      <c r="K30" s="278">
        <f t="shared" si="9"/>
        <v>0</v>
      </c>
      <c r="L30" s="281" t="s">
        <v>926</v>
      </c>
      <c r="M30" s="285">
        <v>0</v>
      </c>
      <c r="N30" s="278">
        <f t="shared" si="10"/>
        <v>0</v>
      </c>
      <c r="O30" s="281" t="s">
        <v>926</v>
      </c>
      <c r="P30" s="285">
        <v>0</v>
      </c>
      <c r="Q30" s="278">
        <f t="shared" si="11"/>
        <v>0</v>
      </c>
      <c r="R30" s="281" t="s">
        <v>926</v>
      </c>
      <c r="S30" s="285">
        <v>0</v>
      </c>
      <c r="T30" s="278">
        <f t="shared" si="12"/>
        <v>0</v>
      </c>
      <c r="U30" s="281" t="s">
        <v>926</v>
      </c>
      <c r="V30" s="285">
        <v>0</v>
      </c>
      <c r="W30" s="278">
        <f t="shared" si="13"/>
        <v>0</v>
      </c>
      <c r="X30" s="281" t="s">
        <v>926</v>
      </c>
      <c r="Y30" s="285">
        <v>0</v>
      </c>
      <c r="Z30" s="278">
        <f t="shared" si="14"/>
        <v>0</v>
      </c>
    </row>
    <row r="31" spans="1:26" x14ac:dyDescent="0.25">
      <c r="A31" s="355"/>
      <c r="B31" s="357"/>
      <c r="C31" s="32" t="s">
        <v>115</v>
      </c>
      <c r="D31" s="35">
        <f>'ECONOMIA &amp; PROFESIONES'!$O$8</f>
        <v>3300</v>
      </c>
      <c r="E31" s="53">
        <f t="shared" si="15"/>
        <v>0</v>
      </c>
      <c r="F31" s="281" t="s">
        <v>926</v>
      </c>
      <c r="G31" s="285">
        <v>0</v>
      </c>
      <c r="H31" s="278">
        <f t="shared" si="8"/>
        <v>0</v>
      </c>
      <c r="I31" s="281" t="s">
        <v>926</v>
      </c>
      <c r="J31" s="285">
        <v>0</v>
      </c>
      <c r="K31" s="278">
        <f t="shared" si="9"/>
        <v>0</v>
      </c>
      <c r="L31" s="281" t="s">
        <v>926</v>
      </c>
      <c r="M31" s="285">
        <v>0</v>
      </c>
      <c r="N31" s="278">
        <f t="shared" si="10"/>
        <v>0</v>
      </c>
      <c r="O31" s="281" t="s">
        <v>926</v>
      </c>
      <c r="P31" s="285">
        <v>0</v>
      </c>
      <c r="Q31" s="278">
        <f t="shared" si="11"/>
        <v>0</v>
      </c>
      <c r="R31" s="281" t="s">
        <v>926</v>
      </c>
      <c r="S31" s="285">
        <v>0</v>
      </c>
      <c r="T31" s="278">
        <f t="shared" si="12"/>
        <v>0</v>
      </c>
      <c r="U31" s="281" t="s">
        <v>926</v>
      </c>
      <c r="V31" s="285">
        <v>0</v>
      </c>
      <c r="W31" s="278">
        <f t="shared" si="13"/>
        <v>0</v>
      </c>
      <c r="X31" s="281" t="s">
        <v>926</v>
      </c>
      <c r="Y31" s="285">
        <v>0</v>
      </c>
      <c r="Z31" s="278">
        <f t="shared" si="14"/>
        <v>0</v>
      </c>
    </row>
    <row r="32" spans="1:26" x14ac:dyDescent="0.25">
      <c r="A32" s="355"/>
      <c r="B32" s="358"/>
      <c r="C32" s="31" t="s">
        <v>116</v>
      </c>
      <c r="D32" s="35">
        <f>'ECONOMIA &amp; PROFESIONES'!$O$9</f>
        <v>2100</v>
      </c>
      <c r="E32" s="53">
        <f t="shared" si="15"/>
        <v>0</v>
      </c>
      <c r="F32" s="281" t="s">
        <v>926</v>
      </c>
      <c r="G32" s="285">
        <v>0</v>
      </c>
      <c r="H32" s="278">
        <f t="shared" si="8"/>
        <v>0</v>
      </c>
      <c r="I32" s="281" t="s">
        <v>926</v>
      </c>
      <c r="J32" s="285">
        <v>0</v>
      </c>
      <c r="K32" s="278">
        <f t="shared" si="9"/>
        <v>0</v>
      </c>
      <c r="L32" s="281" t="s">
        <v>926</v>
      </c>
      <c r="M32" s="285">
        <v>0</v>
      </c>
      <c r="N32" s="278">
        <f t="shared" si="10"/>
        <v>0</v>
      </c>
      <c r="O32" s="281" t="s">
        <v>926</v>
      </c>
      <c r="P32" s="285">
        <v>0</v>
      </c>
      <c r="Q32" s="278">
        <f t="shared" si="11"/>
        <v>0</v>
      </c>
      <c r="R32" s="281" t="s">
        <v>926</v>
      </c>
      <c r="S32" s="285">
        <v>0</v>
      </c>
      <c r="T32" s="278">
        <f t="shared" si="12"/>
        <v>0</v>
      </c>
      <c r="U32" s="281" t="s">
        <v>926</v>
      </c>
      <c r="V32" s="285">
        <v>0</v>
      </c>
      <c r="W32" s="278">
        <f t="shared" si="13"/>
        <v>0</v>
      </c>
      <c r="X32" s="281" t="s">
        <v>926</v>
      </c>
      <c r="Y32" s="285">
        <v>0</v>
      </c>
      <c r="Z32" s="278">
        <f t="shared" si="14"/>
        <v>0</v>
      </c>
    </row>
    <row r="33" spans="1:26" x14ac:dyDescent="0.25">
      <c r="A33" s="355"/>
      <c r="B33" s="359" t="s">
        <v>1162</v>
      </c>
      <c r="C33" s="32" t="s">
        <v>6</v>
      </c>
      <c r="D33" s="35">
        <f>'ECONOMIA &amp; PROFESIONES'!$O$10</f>
        <v>2850</v>
      </c>
      <c r="E33" s="53">
        <f t="shared" si="15"/>
        <v>0</v>
      </c>
      <c r="F33" s="281" t="s">
        <v>926</v>
      </c>
      <c r="G33" s="285">
        <v>0</v>
      </c>
      <c r="H33" s="278">
        <f t="shared" si="8"/>
        <v>0</v>
      </c>
      <c r="I33" s="281" t="s">
        <v>926</v>
      </c>
      <c r="J33" s="285">
        <v>0</v>
      </c>
      <c r="K33" s="278">
        <f t="shared" si="9"/>
        <v>0</v>
      </c>
      <c r="L33" s="281" t="s">
        <v>926</v>
      </c>
      <c r="M33" s="285">
        <v>0</v>
      </c>
      <c r="N33" s="278">
        <f t="shared" si="10"/>
        <v>0</v>
      </c>
      <c r="O33" s="281" t="s">
        <v>926</v>
      </c>
      <c r="P33" s="285">
        <v>0</v>
      </c>
      <c r="Q33" s="278">
        <f t="shared" si="11"/>
        <v>0</v>
      </c>
      <c r="R33" s="281" t="s">
        <v>926</v>
      </c>
      <c r="S33" s="285">
        <v>0</v>
      </c>
      <c r="T33" s="278">
        <f t="shared" si="12"/>
        <v>0</v>
      </c>
      <c r="U33" s="281" t="s">
        <v>926</v>
      </c>
      <c r="V33" s="285">
        <v>0</v>
      </c>
      <c r="W33" s="278">
        <f t="shared" si="13"/>
        <v>0</v>
      </c>
      <c r="X33" s="281" t="s">
        <v>926</v>
      </c>
      <c r="Y33" s="285">
        <v>0</v>
      </c>
      <c r="Z33" s="278">
        <f t="shared" si="14"/>
        <v>0</v>
      </c>
    </row>
    <row r="34" spans="1:26" x14ac:dyDescent="0.25">
      <c r="A34" s="355"/>
      <c r="B34" s="360"/>
      <c r="C34" s="31" t="s">
        <v>113</v>
      </c>
      <c r="D34" s="35">
        <f>'ECONOMIA &amp; PROFESIONES'!$O$11</f>
        <v>4125</v>
      </c>
      <c r="E34" s="53">
        <f t="shared" si="15"/>
        <v>0</v>
      </c>
      <c r="F34" s="281" t="s">
        <v>926</v>
      </c>
      <c r="G34" s="285">
        <v>0</v>
      </c>
      <c r="H34" s="278">
        <f t="shared" si="8"/>
        <v>0</v>
      </c>
      <c r="I34" s="281" t="s">
        <v>926</v>
      </c>
      <c r="J34" s="285">
        <v>0</v>
      </c>
      <c r="K34" s="278">
        <f t="shared" si="9"/>
        <v>0</v>
      </c>
      <c r="L34" s="281" t="s">
        <v>926</v>
      </c>
      <c r="M34" s="285">
        <v>0</v>
      </c>
      <c r="N34" s="278">
        <f t="shared" si="10"/>
        <v>0</v>
      </c>
      <c r="O34" s="281" t="s">
        <v>926</v>
      </c>
      <c r="P34" s="285">
        <v>0</v>
      </c>
      <c r="Q34" s="278">
        <f t="shared" si="11"/>
        <v>0</v>
      </c>
      <c r="R34" s="281" t="s">
        <v>926</v>
      </c>
      <c r="S34" s="285">
        <v>0</v>
      </c>
      <c r="T34" s="278">
        <f t="shared" si="12"/>
        <v>0</v>
      </c>
      <c r="U34" s="281" t="s">
        <v>926</v>
      </c>
      <c r="V34" s="285">
        <v>0</v>
      </c>
      <c r="W34" s="278">
        <f t="shared" si="13"/>
        <v>0</v>
      </c>
      <c r="X34" s="281" t="s">
        <v>926</v>
      </c>
      <c r="Y34" s="285">
        <v>0</v>
      </c>
      <c r="Z34" s="278">
        <f t="shared" si="14"/>
        <v>0</v>
      </c>
    </row>
    <row r="35" spans="1:26" x14ac:dyDescent="0.25">
      <c r="A35" s="355"/>
      <c r="B35" s="360"/>
      <c r="C35" s="32" t="s">
        <v>114</v>
      </c>
      <c r="D35" s="35">
        <f>'ECONOMIA &amp; PROFESIONES'!$O$12</f>
        <v>5400</v>
      </c>
      <c r="E35" s="53">
        <f t="shared" si="15"/>
        <v>0</v>
      </c>
      <c r="F35" s="281" t="s">
        <v>926</v>
      </c>
      <c r="G35" s="285">
        <v>0</v>
      </c>
      <c r="H35" s="278">
        <f t="shared" si="8"/>
        <v>0</v>
      </c>
      <c r="I35" s="281" t="s">
        <v>926</v>
      </c>
      <c r="J35" s="285">
        <v>0</v>
      </c>
      <c r="K35" s="278">
        <f t="shared" si="9"/>
        <v>0</v>
      </c>
      <c r="L35" s="281" t="s">
        <v>926</v>
      </c>
      <c r="M35" s="285">
        <v>0</v>
      </c>
      <c r="N35" s="278">
        <f t="shared" si="10"/>
        <v>0</v>
      </c>
      <c r="O35" s="281" t="s">
        <v>926</v>
      </c>
      <c r="P35" s="285">
        <v>0</v>
      </c>
      <c r="Q35" s="278">
        <f t="shared" si="11"/>
        <v>0</v>
      </c>
      <c r="R35" s="281" t="s">
        <v>926</v>
      </c>
      <c r="S35" s="285">
        <v>0</v>
      </c>
      <c r="T35" s="278">
        <f t="shared" si="12"/>
        <v>0</v>
      </c>
      <c r="U35" s="281" t="s">
        <v>926</v>
      </c>
      <c r="V35" s="285">
        <v>0</v>
      </c>
      <c r="W35" s="278">
        <f t="shared" si="13"/>
        <v>0</v>
      </c>
      <c r="X35" s="281" t="s">
        <v>926</v>
      </c>
      <c r="Y35" s="285">
        <v>0</v>
      </c>
      <c r="Z35" s="278">
        <f t="shared" si="14"/>
        <v>0</v>
      </c>
    </row>
    <row r="36" spans="1:26" x14ac:dyDescent="0.25">
      <c r="A36" s="355"/>
      <c r="B36" s="360"/>
      <c r="C36" s="31" t="s">
        <v>115</v>
      </c>
      <c r="D36" s="35">
        <f>'ECONOMIA &amp; PROFESIONES'!$O$13</f>
        <v>4975</v>
      </c>
      <c r="E36" s="53">
        <f t="shared" si="15"/>
        <v>0</v>
      </c>
      <c r="F36" s="281" t="s">
        <v>926</v>
      </c>
      <c r="G36" s="285">
        <v>0</v>
      </c>
      <c r="H36" s="278">
        <f t="shared" si="8"/>
        <v>0</v>
      </c>
      <c r="I36" s="281" t="s">
        <v>926</v>
      </c>
      <c r="J36" s="285">
        <v>0</v>
      </c>
      <c r="K36" s="278">
        <f t="shared" si="9"/>
        <v>0</v>
      </c>
      <c r="L36" s="281" t="s">
        <v>926</v>
      </c>
      <c r="M36" s="285">
        <v>0</v>
      </c>
      <c r="N36" s="278">
        <f t="shared" si="10"/>
        <v>0</v>
      </c>
      <c r="O36" s="281" t="s">
        <v>926</v>
      </c>
      <c r="P36" s="285">
        <v>0</v>
      </c>
      <c r="Q36" s="278">
        <f t="shared" si="11"/>
        <v>0</v>
      </c>
      <c r="R36" s="281" t="s">
        <v>926</v>
      </c>
      <c r="S36" s="285">
        <v>0</v>
      </c>
      <c r="T36" s="278">
        <f t="shared" si="12"/>
        <v>0</v>
      </c>
      <c r="U36" s="281" t="s">
        <v>926</v>
      </c>
      <c r="V36" s="285">
        <v>0</v>
      </c>
      <c r="W36" s="278">
        <f t="shared" si="13"/>
        <v>0</v>
      </c>
      <c r="X36" s="281" t="s">
        <v>926</v>
      </c>
      <c r="Y36" s="285">
        <v>0</v>
      </c>
      <c r="Z36" s="278">
        <f t="shared" si="14"/>
        <v>0</v>
      </c>
    </row>
    <row r="37" spans="1:26" x14ac:dyDescent="0.25">
      <c r="A37" s="355"/>
      <c r="B37" s="361"/>
      <c r="C37" s="32" t="s">
        <v>116</v>
      </c>
      <c r="D37" s="35">
        <f>'ECONOMIA &amp; PROFESIONES'!$O$14</f>
        <v>3700</v>
      </c>
      <c r="E37" s="53">
        <f t="shared" si="15"/>
        <v>0</v>
      </c>
      <c r="F37" s="281" t="s">
        <v>926</v>
      </c>
      <c r="G37" s="285">
        <v>0</v>
      </c>
      <c r="H37" s="278">
        <f t="shared" si="8"/>
        <v>0</v>
      </c>
      <c r="I37" s="281" t="s">
        <v>926</v>
      </c>
      <c r="J37" s="285">
        <v>0</v>
      </c>
      <c r="K37" s="278">
        <f t="shared" si="9"/>
        <v>0</v>
      </c>
      <c r="L37" s="281" t="s">
        <v>926</v>
      </c>
      <c r="M37" s="285">
        <v>0</v>
      </c>
      <c r="N37" s="278">
        <f t="shared" si="10"/>
        <v>0</v>
      </c>
      <c r="O37" s="281" t="s">
        <v>926</v>
      </c>
      <c r="P37" s="285">
        <v>0</v>
      </c>
      <c r="Q37" s="278">
        <f t="shared" si="11"/>
        <v>0</v>
      </c>
      <c r="R37" s="281" t="s">
        <v>926</v>
      </c>
      <c r="S37" s="285">
        <v>0</v>
      </c>
      <c r="T37" s="278">
        <f t="shared" si="12"/>
        <v>0</v>
      </c>
      <c r="U37" s="281" t="s">
        <v>926</v>
      </c>
      <c r="V37" s="285">
        <v>0</v>
      </c>
      <c r="W37" s="278">
        <f t="shared" si="13"/>
        <v>0</v>
      </c>
      <c r="X37" s="281" t="s">
        <v>926</v>
      </c>
      <c r="Y37" s="285">
        <v>0</v>
      </c>
      <c r="Z37" s="278">
        <f t="shared" si="14"/>
        <v>0</v>
      </c>
    </row>
    <row r="38" spans="1:26" x14ac:dyDescent="0.25">
      <c r="A38" s="355"/>
      <c r="B38" s="362" t="s">
        <v>1231</v>
      </c>
      <c r="C38" s="31" t="s">
        <v>6</v>
      </c>
      <c r="D38" s="35">
        <f>'ECONOMIA &amp; PROFESIONES'!$O$15</f>
        <v>4450</v>
      </c>
      <c r="E38" s="53">
        <f t="shared" si="15"/>
        <v>0</v>
      </c>
      <c r="F38" s="281" t="s">
        <v>926</v>
      </c>
      <c r="G38" s="285">
        <v>0</v>
      </c>
      <c r="H38" s="278">
        <f t="shared" si="8"/>
        <v>0</v>
      </c>
      <c r="I38" s="281" t="s">
        <v>926</v>
      </c>
      <c r="J38" s="285">
        <v>0</v>
      </c>
      <c r="K38" s="278">
        <f t="shared" si="9"/>
        <v>0</v>
      </c>
      <c r="L38" s="281" t="s">
        <v>926</v>
      </c>
      <c r="M38" s="285">
        <v>0</v>
      </c>
      <c r="N38" s="278">
        <f t="shared" si="10"/>
        <v>0</v>
      </c>
      <c r="O38" s="281" t="s">
        <v>926</v>
      </c>
      <c r="P38" s="285">
        <v>0</v>
      </c>
      <c r="Q38" s="278">
        <f t="shared" si="11"/>
        <v>0</v>
      </c>
      <c r="R38" s="281" t="s">
        <v>926</v>
      </c>
      <c r="S38" s="285">
        <v>0</v>
      </c>
      <c r="T38" s="278">
        <f t="shared" si="12"/>
        <v>0</v>
      </c>
      <c r="U38" s="281" t="s">
        <v>926</v>
      </c>
      <c r="V38" s="285">
        <v>0</v>
      </c>
      <c r="W38" s="278">
        <f t="shared" si="13"/>
        <v>0</v>
      </c>
      <c r="X38" s="281" t="s">
        <v>926</v>
      </c>
      <c r="Y38" s="285">
        <v>0</v>
      </c>
      <c r="Z38" s="278">
        <f t="shared" si="14"/>
        <v>0</v>
      </c>
    </row>
    <row r="39" spans="1:26" x14ac:dyDescent="0.25">
      <c r="A39" s="355"/>
      <c r="B39" s="363"/>
      <c r="C39" s="32" t="s">
        <v>113</v>
      </c>
      <c r="D39" s="35">
        <f>'ECONOMIA &amp; PROFESIONES'!$O$16</f>
        <v>5875</v>
      </c>
      <c r="E39" s="53">
        <f t="shared" si="15"/>
        <v>0</v>
      </c>
      <c r="F39" s="281" t="s">
        <v>926</v>
      </c>
      <c r="G39" s="285">
        <v>0</v>
      </c>
      <c r="H39" s="278">
        <f t="shared" si="8"/>
        <v>0</v>
      </c>
      <c r="I39" s="281" t="s">
        <v>926</v>
      </c>
      <c r="J39" s="285">
        <v>0</v>
      </c>
      <c r="K39" s="278">
        <f t="shared" si="9"/>
        <v>0</v>
      </c>
      <c r="L39" s="281" t="s">
        <v>926</v>
      </c>
      <c r="M39" s="285">
        <v>0</v>
      </c>
      <c r="N39" s="278">
        <f t="shared" si="10"/>
        <v>0</v>
      </c>
      <c r="O39" s="281" t="s">
        <v>926</v>
      </c>
      <c r="P39" s="285">
        <v>0</v>
      </c>
      <c r="Q39" s="278">
        <f t="shared" si="11"/>
        <v>0</v>
      </c>
      <c r="R39" s="281" t="s">
        <v>926</v>
      </c>
      <c r="S39" s="285">
        <v>0</v>
      </c>
      <c r="T39" s="278">
        <f t="shared" si="12"/>
        <v>0</v>
      </c>
      <c r="U39" s="281" t="s">
        <v>926</v>
      </c>
      <c r="V39" s="285">
        <v>0</v>
      </c>
      <c r="W39" s="278">
        <f t="shared" si="13"/>
        <v>0</v>
      </c>
      <c r="X39" s="281" t="s">
        <v>926</v>
      </c>
      <c r="Y39" s="285">
        <v>0</v>
      </c>
      <c r="Z39" s="278">
        <f t="shared" si="14"/>
        <v>0</v>
      </c>
    </row>
    <row r="40" spans="1:26" x14ac:dyDescent="0.25">
      <c r="A40" s="355"/>
      <c r="B40" s="363"/>
      <c r="C40" s="31" t="s">
        <v>114</v>
      </c>
      <c r="D40" s="35">
        <f>'ECONOMIA &amp; PROFESIONES'!$O$17</f>
        <v>7300</v>
      </c>
      <c r="E40" s="53">
        <f t="shared" si="15"/>
        <v>0</v>
      </c>
      <c r="F40" s="281" t="s">
        <v>926</v>
      </c>
      <c r="G40" s="285">
        <v>0</v>
      </c>
      <c r="H40" s="278">
        <f t="shared" si="8"/>
        <v>0</v>
      </c>
      <c r="I40" s="281" t="s">
        <v>926</v>
      </c>
      <c r="J40" s="285">
        <v>0</v>
      </c>
      <c r="K40" s="278">
        <f t="shared" si="9"/>
        <v>0</v>
      </c>
      <c r="L40" s="281" t="s">
        <v>926</v>
      </c>
      <c r="M40" s="285">
        <v>0</v>
      </c>
      <c r="N40" s="278">
        <f t="shared" si="10"/>
        <v>0</v>
      </c>
      <c r="O40" s="281" t="s">
        <v>926</v>
      </c>
      <c r="P40" s="285">
        <v>0</v>
      </c>
      <c r="Q40" s="278">
        <f t="shared" si="11"/>
        <v>0</v>
      </c>
      <c r="R40" s="281" t="s">
        <v>926</v>
      </c>
      <c r="S40" s="285">
        <v>0</v>
      </c>
      <c r="T40" s="278">
        <f t="shared" si="12"/>
        <v>0</v>
      </c>
      <c r="U40" s="281" t="s">
        <v>926</v>
      </c>
      <c r="V40" s="285">
        <v>0</v>
      </c>
      <c r="W40" s="278">
        <f t="shared" si="13"/>
        <v>0</v>
      </c>
      <c r="X40" s="281" t="s">
        <v>926</v>
      </c>
      <c r="Y40" s="285">
        <v>0</v>
      </c>
      <c r="Z40" s="278">
        <f t="shared" si="14"/>
        <v>0</v>
      </c>
    </row>
    <row r="41" spans="1:26" x14ac:dyDescent="0.25">
      <c r="A41" s="355"/>
      <c r="B41" s="362"/>
      <c r="C41" s="32" t="s">
        <v>115</v>
      </c>
      <c r="D41" s="35">
        <f>'ECONOMIA &amp; PROFESIONES'!$O$18</f>
        <v>6825</v>
      </c>
      <c r="E41" s="53">
        <f t="shared" si="15"/>
        <v>0</v>
      </c>
      <c r="F41" s="281" t="s">
        <v>926</v>
      </c>
      <c r="G41" s="285">
        <v>0</v>
      </c>
      <c r="H41" s="278">
        <f t="shared" si="8"/>
        <v>0</v>
      </c>
      <c r="I41" s="281" t="s">
        <v>926</v>
      </c>
      <c r="J41" s="285">
        <v>0</v>
      </c>
      <c r="K41" s="278">
        <f t="shared" si="9"/>
        <v>0</v>
      </c>
      <c r="L41" s="281" t="s">
        <v>926</v>
      </c>
      <c r="M41" s="285">
        <v>0</v>
      </c>
      <c r="N41" s="278">
        <f t="shared" si="10"/>
        <v>0</v>
      </c>
      <c r="O41" s="281" t="s">
        <v>926</v>
      </c>
      <c r="P41" s="285">
        <v>0</v>
      </c>
      <c r="Q41" s="278">
        <f t="shared" si="11"/>
        <v>0</v>
      </c>
      <c r="R41" s="281" t="s">
        <v>926</v>
      </c>
      <c r="S41" s="285">
        <v>0</v>
      </c>
      <c r="T41" s="278">
        <f t="shared" si="12"/>
        <v>0</v>
      </c>
      <c r="U41" s="281" t="s">
        <v>926</v>
      </c>
      <c r="V41" s="285">
        <v>0</v>
      </c>
      <c r="W41" s="278">
        <f t="shared" si="13"/>
        <v>0</v>
      </c>
      <c r="X41" s="281" t="s">
        <v>926</v>
      </c>
      <c r="Y41" s="285">
        <v>0</v>
      </c>
      <c r="Z41" s="278">
        <f t="shared" si="14"/>
        <v>0</v>
      </c>
    </row>
    <row r="42" spans="1:26" x14ac:dyDescent="0.25">
      <c r="A42" s="355"/>
      <c r="B42" s="362"/>
      <c r="C42" s="31" t="s">
        <v>116</v>
      </c>
      <c r="D42" s="35">
        <f>'ECONOMIA &amp; PROFESIONES'!$O$19</f>
        <v>5400</v>
      </c>
      <c r="E42" s="53">
        <f t="shared" si="15"/>
        <v>0</v>
      </c>
      <c r="F42" s="281" t="s">
        <v>926</v>
      </c>
      <c r="G42" s="285">
        <v>0</v>
      </c>
      <c r="H42" s="278">
        <f t="shared" si="8"/>
        <v>0</v>
      </c>
      <c r="I42" s="281" t="s">
        <v>926</v>
      </c>
      <c r="J42" s="285">
        <v>0</v>
      </c>
      <c r="K42" s="278">
        <f t="shared" si="9"/>
        <v>0</v>
      </c>
      <c r="L42" s="281" t="s">
        <v>926</v>
      </c>
      <c r="M42" s="285">
        <v>0</v>
      </c>
      <c r="N42" s="278">
        <f t="shared" si="10"/>
        <v>0</v>
      </c>
      <c r="O42" s="281" t="s">
        <v>926</v>
      </c>
      <c r="P42" s="285">
        <v>0</v>
      </c>
      <c r="Q42" s="278">
        <f t="shared" si="11"/>
        <v>0</v>
      </c>
      <c r="R42" s="281" t="s">
        <v>926</v>
      </c>
      <c r="S42" s="285">
        <v>0</v>
      </c>
      <c r="T42" s="278">
        <f t="shared" si="12"/>
        <v>0</v>
      </c>
      <c r="U42" s="281" t="s">
        <v>926</v>
      </c>
      <c r="V42" s="285">
        <v>0</v>
      </c>
      <c r="W42" s="278">
        <f t="shared" si="13"/>
        <v>0</v>
      </c>
      <c r="X42" s="281" t="s">
        <v>926</v>
      </c>
      <c r="Y42" s="285">
        <v>0</v>
      </c>
      <c r="Z42" s="278">
        <f t="shared" si="14"/>
        <v>0</v>
      </c>
    </row>
    <row r="43" spans="1:26" x14ac:dyDescent="0.25">
      <c r="A43" s="355"/>
      <c r="B43" s="364" t="s">
        <v>1232</v>
      </c>
      <c r="C43" s="32" t="s">
        <v>6</v>
      </c>
      <c r="D43" s="35">
        <f>'ECONOMIA &amp; PROFESIONES'!$O$20</f>
        <v>6050</v>
      </c>
      <c r="E43" s="53">
        <f t="shared" si="15"/>
        <v>0</v>
      </c>
      <c r="F43" s="281" t="s">
        <v>926</v>
      </c>
      <c r="G43" s="285">
        <v>0</v>
      </c>
      <c r="H43" s="278">
        <f t="shared" si="8"/>
        <v>0</v>
      </c>
      <c r="I43" s="281" t="s">
        <v>926</v>
      </c>
      <c r="J43" s="285">
        <v>0</v>
      </c>
      <c r="K43" s="278">
        <f t="shared" si="9"/>
        <v>0</v>
      </c>
      <c r="L43" s="281" t="s">
        <v>926</v>
      </c>
      <c r="M43" s="285">
        <v>0</v>
      </c>
      <c r="N43" s="278">
        <f t="shared" si="10"/>
        <v>0</v>
      </c>
      <c r="O43" s="281" t="s">
        <v>926</v>
      </c>
      <c r="P43" s="285">
        <v>0</v>
      </c>
      <c r="Q43" s="278">
        <f t="shared" si="11"/>
        <v>0</v>
      </c>
      <c r="R43" s="281" t="s">
        <v>926</v>
      </c>
      <c r="S43" s="285">
        <v>0</v>
      </c>
      <c r="T43" s="278">
        <f t="shared" si="12"/>
        <v>0</v>
      </c>
      <c r="U43" s="281" t="s">
        <v>926</v>
      </c>
      <c r="V43" s="285">
        <v>0</v>
      </c>
      <c r="W43" s="278">
        <f t="shared" si="13"/>
        <v>0</v>
      </c>
      <c r="X43" s="281" t="s">
        <v>926</v>
      </c>
      <c r="Y43" s="285">
        <v>0</v>
      </c>
      <c r="Z43" s="278">
        <f t="shared" si="14"/>
        <v>0</v>
      </c>
    </row>
    <row r="44" spans="1:26" x14ac:dyDescent="0.25">
      <c r="A44" s="355"/>
      <c r="B44" s="365"/>
      <c r="C44" s="31" t="s">
        <v>113</v>
      </c>
      <c r="D44" s="35">
        <f>'ECONOMIA &amp; PROFESIONES'!$O$21</f>
        <v>7625</v>
      </c>
      <c r="E44" s="53">
        <f t="shared" si="15"/>
        <v>0</v>
      </c>
      <c r="F44" s="281" t="s">
        <v>926</v>
      </c>
      <c r="G44" s="285">
        <v>0</v>
      </c>
      <c r="H44" s="278">
        <f t="shared" si="8"/>
        <v>0</v>
      </c>
      <c r="I44" s="281" t="s">
        <v>926</v>
      </c>
      <c r="J44" s="285">
        <v>0</v>
      </c>
      <c r="K44" s="278">
        <f t="shared" si="9"/>
        <v>0</v>
      </c>
      <c r="L44" s="281" t="s">
        <v>926</v>
      </c>
      <c r="M44" s="285">
        <v>0</v>
      </c>
      <c r="N44" s="278">
        <f t="shared" si="10"/>
        <v>0</v>
      </c>
      <c r="O44" s="281" t="s">
        <v>926</v>
      </c>
      <c r="P44" s="285">
        <v>0</v>
      </c>
      <c r="Q44" s="278">
        <f t="shared" si="11"/>
        <v>0</v>
      </c>
      <c r="R44" s="281" t="s">
        <v>926</v>
      </c>
      <c r="S44" s="285">
        <v>0</v>
      </c>
      <c r="T44" s="278">
        <f t="shared" si="12"/>
        <v>0</v>
      </c>
      <c r="U44" s="281" t="s">
        <v>926</v>
      </c>
      <c r="V44" s="285">
        <v>0</v>
      </c>
      <c r="W44" s="278">
        <f t="shared" si="13"/>
        <v>0</v>
      </c>
      <c r="X44" s="281" t="s">
        <v>926</v>
      </c>
      <c r="Y44" s="285">
        <v>0</v>
      </c>
      <c r="Z44" s="278">
        <f t="shared" si="14"/>
        <v>0</v>
      </c>
    </row>
    <row r="45" spans="1:26" x14ac:dyDescent="0.25">
      <c r="A45" s="355"/>
      <c r="B45" s="365"/>
      <c r="C45" s="32" t="s">
        <v>114</v>
      </c>
      <c r="D45" s="35">
        <f>'ECONOMIA &amp; PROFESIONES'!$O$22</f>
        <v>9200</v>
      </c>
      <c r="E45" s="53">
        <f t="shared" si="15"/>
        <v>0</v>
      </c>
      <c r="F45" s="281" t="s">
        <v>926</v>
      </c>
      <c r="G45" s="285">
        <v>0</v>
      </c>
      <c r="H45" s="278">
        <f t="shared" si="8"/>
        <v>0</v>
      </c>
      <c r="I45" s="281" t="s">
        <v>926</v>
      </c>
      <c r="J45" s="285">
        <v>0</v>
      </c>
      <c r="K45" s="278">
        <f t="shared" si="9"/>
        <v>0</v>
      </c>
      <c r="L45" s="281" t="s">
        <v>926</v>
      </c>
      <c r="M45" s="285">
        <v>0</v>
      </c>
      <c r="N45" s="278">
        <f t="shared" si="10"/>
        <v>0</v>
      </c>
      <c r="O45" s="281" t="s">
        <v>926</v>
      </c>
      <c r="P45" s="285">
        <v>0</v>
      </c>
      <c r="Q45" s="278">
        <f t="shared" si="11"/>
        <v>0</v>
      </c>
      <c r="R45" s="281" t="s">
        <v>926</v>
      </c>
      <c r="S45" s="285">
        <v>0</v>
      </c>
      <c r="T45" s="278">
        <f t="shared" si="12"/>
        <v>0</v>
      </c>
      <c r="U45" s="281" t="s">
        <v>926</v>
      </c>
      <c r="V45" s="285">
        <v>0</v>
      </c>
      <c r="W45" s="278">
        <f t="shared" si="13"/>
        <v>0</v>
      </c>
      <c r="X45" s="281" t="s">
        <v>926</v>
      </c>
      <c r="Y45" s="285">
        <v>0</v>
      </c>
      <c r="Z45" s="278">
        <f t="shared" si="14"/>
        <v>0</v>
      </c>
    </row>
    <row r="46" spans="1:26" x14ac:dyDescent="0.25">
      <c r="A46" s="355"/>
      <c r="B46" s="360"/>
      <c r="C46" s="31" t="s">
        <v>115</v>
      </c>
      <c r="D46" s="35">
        <f>'ECONOMIA &amp; PROFESIONES'!$O$23</f>
        <v>8675</v>
      </c>
      <c r="E46" s="53">
        <f t="shared" si="15"/>
        <v>0</v>
      </c>
      <c r="F46" s="281" t="s">
        <v>926</v>
      </c>
      <c r="G46" s="285">
        <v>0</v>
      </c>
      <c r="H46" s="278">
        <f t="shared" si="8"/>
        <v>0</v>
      </c>
      <c r="I46" s="281" t="s">
        <v>926</v>
      </c>
      <c r="J46" s="285">
        <v>0</v>
      </c>
      <c r="K46" s="278">
        <f t="shared" si="9"/>
        <v>0</v>
      </c>
      <c r="L46" s="281" t="s">
        <v>926</v>
      </c>
      <c r="M46" s="285">
        <v>0</v>
      </c>
      <c r="N46" s="278">
        <f t="shared" si="10"/>
        <v>0</v>
      </c>
      <c r="O46" s="281" t="s">
        <v>926</v>
      </c>
      <c r="P46" s="285">
        <v>0</v>
      </c>
      <c r="Q46" s="278">
        <f t="shared" si="11"/>
        <v>0</v>
      </c>
      <c r="R46" s="281" t="s">
        <v>926</v>
      </c>
      <c r="S46" s="285">
        <v>0</v>
      </c>
      <c r="T46" s="278">
        <f t="shared" si="12"/>
        <v>0</v>
      </c>
      <c r="U46" s="281" t="s">
        <v>926</v>
      </c>
      <c r="V46" s="285">
        <v>0</v>
      </c>
      <c r="W46" s="278">
        <f t="shared" si="13"/>
        <v>0</v>
      </c>
      <c r="X46" s="281" t="s">
        <v>926</v>
      </c>
      <c r="Y46" s="285">
        <v>0</v>
      </c>
      <c r="Z46" s="278">
        <f t="shared" si="14"/>
        <v>0</v>
      </c>
    </row>
    <row r="47" spans="1:26" x14ac:dyDescent="0.25">
      <c r="A47" s="355"/>
      <c r="B47" s="366"/>
      <c r="C47" s="32" t="s">
        <v>116</v>
      </c>
      <c r="D47" s="35">
        <f>'ECONOMIA &amp; PROFESIONES'!$O$24</f>
        <v>7100</v>
      </c>
      <c r="E47" s="53">
        <f t="shared" si="15"/>
        <v>0</v>
      </c>
      <c r="F47" s="281" t="s">
        <v>926</v>
      </c>
      <c r="G47" s="285">
        <v>0</v>
      </c>
      <c r="H47" s="278">
        <f t="shared" si="8"/>
        <v>0</v>
      </c>
      <c r="I47" s="281" t="s">
        <v>926</v>
      </c>
      <c r="J47" s="285">
        <v>0</v>
      </c>
      <c r="K47" s="278">
        <f t="shared" si="9"/>
        <v>0</v>
      </c>
      <c r="L47" s="281" t="s">
        <v>926</v>
      </c>
      <c r="M47" s="285">
        <v>0</v>
      </c>
      <c r="N47" s="278">
        <f t="shared" si="10"/>
        <v>0</v>
      </c>
      <c r="O47" s="281" t="s">
        <v>926</v>
      </c>
      <c r="P47" s="285">
        <v>0</v>
      </c>
      <c r="Q47" s="278">
        <f t="shared" si="11"/>
        <v>0</v>
      </c>
      <c r="R47" s="281" t="s">
        <v>926</v>
      </c>
      <c r="S47" s="285">
        <v>0</v>
      </c>
      <c r="T47" s="278">
        <f t="shared" si="12"/>
        <v>0</v>
      </c>
      <c r="U47" s="281" t="s">
        <v>926</v>
      </c>
      <c r="V47" s="285">
        <v>0</v>
      </c>
      <c r="W47" s="278">
        <f t="shared" si="13"/>
        <v>0</v>
      </c>
      <c r="X47" s="281" t="s">
        <v>926</v>
      </c>
      <c r="Y47" s="285">
        <v>0</v>
      </c>
      <c r="Z47" s="278">
        <f t="shared" si="14"/>
        <v>0</v>
      </c>
    </row>
    <row r="48" spans="1:26" x14ac:dyDescent="0.25">
      <c r="A48" s="355"/>
      <c r="B48" s="362" t="s">
        <v>1230</v>
      </c>
      <c r="C48" s="31" t="s">
        <v>6</v>
      </c>
      <c r="D48" s="35">
        <f>'ECONOMIA &amp; PROFESIONES'!$O$25</f>
        <v>7650</v>
      </c>
      <c r="E48" s="53">
        <f t="shared" si="15"/>
        <v>0</v>
      </c>
      <c r="F48" s="281" t="s">
        <v>926</v>
      </c>
      <c r="G48" s="285">
        <v>0</v>
      </c>
      <c r="H48" s="278">
        <f t="shared" si="8"/>
        <v>0</v>
      </c>
      <c r="I48" s="281" t="s">
        <v>926</v>
      </c>
      <c r="J48" s="285">
        <v>0</v>
      </c>
      <c r="K48" s="278">
        <f t="shared" si="9"/>
        <v>0</v>
      </c>
      <c r="L48" s="281" t="s">
        <v>926</v>
      </c>
      <c r="M48" s="285">
        <v>0</v>
      </c>
      <c r="N48" s="278">
        <f t="shared" si="10"/>
        <v>0</v>
      </c>
      <c r="O48" s="281" t="s">
        <v>926</v>
      </c>
      <c r="P48" s="285">
        <v>0</v>
      </c>
      <c r="Q48" s="278">
        <f t="shared" si="11"/>
        <v>0</v>
      </c>
      <c r="R48" s="281" t="s">
        <v>926</v>
      </c>
      <c r="S48" s="285">
        <v>0</v>
      </c>
      <c r="T48" s="278">
        <f t="shared" si="12"/>
        <v>0</v>
      </c>
      <c r="U48" s="281" t="s">
        <v>926</v>
      </c>
      <c r="V48" s="285">
        <v>0</v>
      </c>
      <c r="W48" s="278">
        <f t="shared" si="13"/>
        <v>0</v>
      </c>
      <c r="X48" s="281" t="s">
        <v>926</v>
      </c>
      <c r="Y48" s="285">
        <v>0</v>
      </c>
      <c r="Z48" s="278">
        <f t="shared" si="14"/>
        <v>0</v>
      </c>
    </row>
    <row r="49" spans="1:26" x14ac:dyDescent="0.25">
      <c r="A49" s="355"/>
      <c r="B49" s="362"/>
      <c r="C49" s="32" t="s">
        <v>113</v>
      </c>
      <c r="D49" s="35">
        <f>'ECONOMIA &amp; PROFESIONES'!$O$26</f>
        <v>9375</v>
      </c>
      <c r="E49" s="53">
        <f t="shared" si="15"/>
        <v>0</v>
      </c>
      <c r="F49" s="281" t="s">
        <v>926</v>
      </c>
      <c r="G49" s="285">
        <v>0</v>
      </c>
      <c r="H49" s="278">
        <f t="shared" si="8"/>
        <v>0</v>
      </c>
      <c r="I49" s="281" t="s">
        <v>926</v>
      </c>
      <c r="J49" s="285">
        <v>0</v>
      </c>
      <c r="K49" s="278">
        <f t="shared" si="9"/>
        <v>0</v>
      </c>
      <c r="L49" s="281" t="s">
        <v>926</v>
      </c>
      <c r="M49" s="285">
        <v>0</v>
      </c>
      <c r="N49" s="278">
        <f t="shared" si="10"/>
        <v>0</v>
      </c>
      <c r="O49" s="281" t="s">
        <v>926</v>
      </c>
      <c r="P49" s="285">
        <v>0</v>
      </c>
      <c r="Q49" s="278">
        <f t="shared" si="11"/>
        <v>0</v>
      </c>
      <c r="R49" s="281" t="s">
        <v>926</v>
      </c>
      <c r="S49" s="285">
        <v>0</v>
      </c>
      <c r="T49" s="278">
        <f t="shared" si="12"/>
        <v>0</v>
      </c>
      <c r="U49" s="281" t="s">
        <v>926</v>
      </c>
      <c r="V49" s="285">
        <v>0</v>
      </c>
      <c r="W49" s="278">
        <f t="shared" si="13"/>
        <v>0</v>
      </c>
      <c r="X49" s="281" t="s">
        <v>926</v>
      </c>
      <c r="Y49" s="285">
        <v>0</v>
      </c>
      <c r="Z49" s="278">
        <f t="shared" si="14"/>
        <v>0</v>
      </c>
    </row>
    <row r="50" spans="1:26" x14ac:dyDescent="0.25">
      <c r="A50" s="355"/>
      <c r="B50" s="362"/>
      <c r="C50" s="31" t="s">
        <v>114</v>
      </c>
      <c r="D50" s="35">
        <f>'ECONOMIA &amp; PROFESIONES'!$O$27</f>
        <v>11100</v>
      </c>
      <c r="E50" s="53">
        <f t="shared" si="15"/>
        <v>0</v>
      </c>
      <c r="F50" s="281" t="s">
        <v>926</v>
      </c>
      <c r="G50" s="285">
        <v>0</v>
      </c>
      <c r="H50" s="278">
        <f t="shared" si="8"/>
        <v>0</v>
      </c>
      <c r="I50" s="281" t="s">
        <v>926</v>
      </c>
      <c r="J50" s="285">
        <v>0</v>
      </c>
      <c r="K50" s="278">
        <f t="shared" si="9"/>
        <v>0</v>
      </c>
      <c r="L50" s="281" t="s">
        <v>926</v>
      </c>
      <c r="M50" s="285">
        <v>0</v>
      </c>
      <c r="N50" s="278">
        <f t="shared" si="10"/>
        <v>0</v>
      </c>
      <c r="O50" s="281" t="s">
        <v>926</v>
      </c>
      <c r="P50" s="285">
        <v>0</v>
      </c>
      <c r="Q50" s="278">
        <f t="shared" si="11"/>
        <v>0</v>
      </c>
      <c r="R50" s="281" t="s">
        <v>926</v>
      </c>
      <c r="S50" s="285">
        <v>0</v>
      </c>
      <c r="T50" s="278">
        <f t="shared" si="12"/>
        <v>0</v>
      </c>
      <c r="U50" s="281" t="s">
        <v>926</v>
      </c>
      <c r="V50" s="285">
        <v>0</v>
      </c>
      <c r="W50" s="278">
        <f t="shared" si="13"/>
        <v>0</v>
      </c>
      <c r="X50" s="281" t="s">
        <v>926</v>
      </c>
      <c r="Y50" s="285">
        <v>0</v>
      </c>
      <c r="Z50" s="278">
        <f t="shared" si="14"/>
        <v>0</v>
      </c>
    </row>
    <row r="51" spans="1:26" x14ac:dyDescent="0.25">
      <c r="A51" s="355"/>
      <c r="B51" s="362"/>
      <c r="C51" s="32" t="s">
        <v>115</v>
      </c>
      <c r="D51" s="35">
        <f>'ECONOMIA &amp; PROFESIONES'!$O$28</f>
        <v>10525</v>
      </c>
      <c r="E51" s="53">
        <f t="shared" si="15"/>
        <v>0</v>
      </c>
      <c r="F51" s="281" t="s">
        <v>926</v>
      </c>
      <c r="G51" s="285">
        <v>0</v>
      </c>
      <c r="H51" s="278">
        <f t="shared" si="8"/>
        <v>0</v>
      </c>
      <c r="I51" s="281" t="s">
        <v>926</v>
      </c>
      <c r="J51" s="285">
        <v>0</v>
      </c>
      <c r="K51" s="278">
        <f t="shared" si="9"/>
        <v>0</v>
      </c>
      <c r="L51" s="281" t="s">
        <v>926</v>
      </c>
      <c r="M51" s="285">
        <v>0</v>
      </c>
      <c r="N51" s="278">
        <f t="shared" si="10"/>
        <v>0</v>
      </c>
      <c r="O51" s="281" t="s">
        <v>926</v>
      </c>
      <c r="P51" s="285">
        <v>0</v>
      </c>
      <c r="Q51" s="278">
        <f t="shared" si="11"/>
        <v>0</v>
      </c>
      <c r="R51" s="281" t="s">
        <v>926</v>
      </c>
      <c r="S51" s="285">
        <v>0</v>
      </c>
      <c r="T51" s="278">
        <f t="shared" si="12"/>
        <v>0</v>
      </c>
      <c r="U51" s="281" t="s">
        <v>926</v>
      </c>
      <c r="V51" s="285">
        <v>0</v>
      </c>
      <c r="W51" s="278">
        <f t="shared" si="13"/>
        <v>0</v>
      </c>
      <c r="X51" s="281" t="s">
        <v>926</v>
      </c>
      <c r="Y51" s="285">
        <v>0</v>
      </c>
      <c r="Z51" s="278">
        <f t="shared" si="14"/>
        <v>0</v>
      </c>
    </row>
    <row r="52" spans="1:26" x14ac:dyDescent="0.25">
      <c r="A52" s="355"/>
      <c r="B52" s="362"/>
      <c r="C52" s="31" t="s">
        <v>116</v>
      </c>
      <c r="D52" s="35">
        <f>'ECONOMIA &amp; PROFESIONES'!$O$29</f>
        <v>8800</v>
      </c>
      <c r="E52" s="53">
        <f t="shared" si="15"/>
        <v>0</v>
      </c>
      <c r="F52" s="281" t="s">
        <v>926</v>
      </c>
      <c r="G52" s="285">
        <v>0</v>
      </c>
      <c r="H52" s="278">
        <f t="shared" si="8"/>
        <v>0</v>
      </c>
      <c r="I52" s="281" t="s">
        <v>926</v>
      </c>
      <c r="J52" s="285">
        <v>0</v>
      </c>
      <c r="K52" s="278">
        <f t="shared" si="9"/>
        <v>0</v>
      </c>
      <c r="L52" s="281" t="s">
        <v>926</v>
      </c>
      <c r="M52" s="285">
        <v>0</v>
      </c>
      <c r="N52" s="278">
        <f t="shared" si="10"/>
        <v>0</v>
      </c>
      <c r="O52" s="281" t="s">
        <v>926</v>
      </c>
      <c r="P52" s="285">
        <v>0</v>
      </c>
      <c r="Q52" s="278">
        <f t="shared" si="11"/>
        <v>0</v>
      </c>
      <c r="R52" s="281" t="s">
        <v>926</v>
      </c>
      <c r="S52" s="285">
        <v>0</v>
      </c>
      <c r="T52" s="278">
        <f t="shared" si="12"/>
        <v>0</v>
      </c>
      <c r="U52" s="281" t="s">
        <v>926</v>
      </c>
      <c r="V52" s="285">
        <v>0</v>
      </c>
      <c r="W52" s="278">
        <f t="shared" si="13"/>
        <v>0</v>
      </c>
      <c r="X52" s="281" t="s">
        <v>926</v>
      </c>
      <c r="Y52" s="285">
        <v>0</v>
      </c>
      <c r="Z52" s="278">
        <f t="shared" si="14"/>
        <v>0</v>
      </c>
    </row>
    <row r="53" spans="1:26" x14ac:dyDescent="0.25">
      <c r="A53" s="355" t="s">
        <v>2</v>
      </c>
      <c r="B53" s="176"/>
      <c r="C53" s="176"/>
      <c r="D53" s="295"/>
      <c r="E53" s="284" t="s">
        <v>1150</v>
      </c>
      <c r="F53" s="284" t="s">
        <v>1151</v>
      </c>
      <c r="G53" s="284" t="s">
        <v>1234</v>
      </c>
      <c r="H53" s="284" t="s">
        <v>202</v>
      </c>
      <c r="I53" s="284" t="s">
        <v>1152</v>
      </c>
      <c r="J53" s="284" t="s">
        <v>1234</v>
      </c>
      <c r="K53" s="284" t="s">
        <v>202</v>
      </c>
      <c r="L53" s="284" t="s">
        <v>1171</v>
      </c>
      <c r="M53" s="284" t="s">
        <v>1234</v>
      </c>
      <c r="N53" s="284" t="s">
        <v>202</v>
      </c>
      <c r="O53" s="284" t="s">
        <v>1226</v>
      </c>
      <c r="P53" s="284" t="s">
        <v>1234</v>
      </c>
      <c r="Q53" s="284" t="s">
        <v>202</v>
      </c>
      <c r="R53" s="284" t="s">
        <v>1227</v>
      </c>
      <c r="S53" s="284" t="s">
        <v>1234</v>
      </c>
      <c r="T53" s="284" t="s">
        <v>202</v>
      </c>
      <c r="U53" s="284" t="s">
        <v>1228</v>
      </c>
      <c r="V53" s="284" t="s">
        <v>1234</v>
      </c>
      <c r="W53" s="284" t="s">
        <v>202</v>
      </c>
      <c r="X53" s="284" t="s">
        <v>1229</v>
      </c>
      <c r="Y53" s="284" t="s">
        <v>1234</v>
      </c>
      <c r="Z53" s="284" t="s">
        <v>202</v>
      </c>
    </row>
    <row r="54" spans="1:26" x14ac:dyDescent="0.25">
      <c r="A54" s="355"/>
      <c r="B54" s="356" t="s">
        <v>1161</v>
      </c>
      <c r="C54" s="31" t="s">
        <v>6</v>
      </c>
      <c r="D54" s="34">
        <f>'ECONOMIA &amp; PROFESIONES'!$P$5</f>
        <v>2100</v>
      </c>
      <c r="E54" s="53">
        <f>(H54*G54)+(K54*J54)+(M54*N54)+(P54*Q54)+(S54*T54)+(V54*W54)+(Y54*Z54)</f>
        <v>0</v>
      </c>
      <c r="F54" s="281" t="s">
        <v>926</v>
      </c>
      <c r="G54" s="285">
        <v>0</v>
      </c>
      <c r="H54" s="278">
        <f t="shared" ref="H54:H78" si="16">VLOOKUP(F54,craftedesp,3,FALSE)</f>
        <v>0</v>
      </c>
      <c r="I54" s="281" t="s">
        <v>926</v>
      </c>
      <c r="J54" s="285">
        <v>0</v>
      </c>
      <c r="K54" s="278">
        <f t="shared" ref="K54:K78" si="17">VLOOKUP(I54,craftedesp,3,FALSE)</f>
        <v>0</v>
      </c>
      <c r="L54" s="281" t="s">
        <v>926</v>
      </c>
      <c r="M54" s="285">
        <v>0</v>
      </c>
      <c r="N54" s="278">
        <f t="shared" ref="N54:N78" si="18">VLOOKUP(L54,craftedesp,3,FALSE)</f>
        <v>0</v>
      </c>
      <c r="O54" s="281" t="s">
        <v>926</v>
      </c>
      <c r="P54" s="285">
        <v>0</v>
      </c>
      <c r="Q54" s="278">
        <f t="shared" ref="Q54:Q78" si="19">VLOOKUP(O54,craftedesp,3,FALSE)</f>
        <v>0</v>
      </c>
      <c r="R54" s="281" t="s">
        <v>926</v>
      </c>
      <c r="S54" s="285">
        <v>0</v>
      </c>
      <c r="T54" s="278">
        <f t="shared" ref="T54:T78" si="20">VLOOKUP(R54,craftedesp,3,FALSE)</f>
        <v>0</v>
      </c>
      <c r="U54" s="281" t="s">
        <v>926</v>
      </c>
      <c r="V54" s="285">
        <v>0</v>
      </c>
      <c r="W54" s="278">
        <f t="shared" ref="W54:W78" si="21">VLOOKUP(U54,craftedesp,3,FALSE)</f>
        <v>0</v>
      </c>
      <c r="X54" s="281" t="s">
        <v>926</v>
      </c>
      <c r="Y54" s="285">
        <v>0</v>
      </c>
      <c r="Z54" s="278">
        <f t="shared" ref="Z54:Z78" si="22">VLOOKUP(X54,craftedesp,3,FALSE)</f>
        <v>0</v>
      </c>
    </row>
    <row r="55" spans="1:26" x14ac:dyDescent="0.25">
      <c r="A55" s="355"/>
      <c r="B55" s="357"/>
      <c r="C55" s="32" t="s">
        <v>113</v>
      </c>
      <c r="D55" s="34">
        <f>'ECONOMIA &amp; PROFESIONES'!$P$6</f>
        <v>4500</v>
      </c>
      <c r="E55" s="53">
        <f t="shared" ref="E55:E78" si="23">(H55*G55)+(K55*J55)+(M55*N55)+(P55*Q55)+(S55*T55)+(V55*W55)+(Y55*Z55)</f>
        <v>0</v>
      </c>
      <c r="F55" s="281" t="s">
        <v>926</v>
      </c>
      <c r="G55" s="285">
        <v>0</v>
      </c>
      <c r="H55" s="278">
        <f t="shared" si="16"/>
        <v>0</v>
      </c>
      <c r="I55" s="281" t="s">
        <v>926</v>
      </c>
      <c r="J55" s="285">
        <v>0</v>
      </c>
      <c r="K55" s="278">
        <f t="shared" si="17"/>
        <v>0</v>
      </c>
      <c r="L55" s="281" t="s">
        <v>926</v>
      </c>
      <c r="M55" s="285">
        <v>0</v>
      </c>
      <c r="N55" s="278">
        <f t="shared" si="18"/>
        <v>0</v>
      </c>
      <c r="O55" s="281" t="s">
        <v>926</v>
      </c>
      <c r="P55" s="285">
        <v>0</v>
      </c>
      <c r="Q55" s="278">
        <f t="shared" si="19"/>
        <v>0</v>
      </c>
      <c r="R55" s="281" t="s">
        <v>926</v>
      </c>
      <c r="S55" s="285">
        <v>0</v>
      </c>
      <c r="T55" s="278">
        <f t="shared" si="20"/>
        <v>0</v>
      </c>
      <c r="U55" s="281" t="s">
        <v>926</v>
      </c>
      <c r="V55" s="285">
        <v>0</v>
      </c>
      <c r="W55" s="278">
        <f t="shared" si="21"/>
        <v>0</v>
      </c>
      <c r="X55" s="281" t="s">
        <v>926</v>
      </c>
      <c r="Y55" s="285">
        <v>0</v>
      </c>
      <c r="Z55" s="278">
        <f t="shared" si="22"/>
        <v>0</v>
      </c>
    </row>
    <row r="56" spans="1:26" x14ac:dyDescent="0.25">
      <c r="A56" s="355"/>
      <c r="B56" s="357"/>
      <c r="C56" s="31" t="s">
        <v>114</v>
      </c>
      <c r="D56" s="34">
        <f>'ECONOMIA &amp; PROFESIONES'!$P$7</f>
        <v>6900</v>
      </c>
      <c r="E56" s="53">
        <f t="shared" si="23"/>
        <v>0</v>
      </c>
      <c r="F56" s="281" t="s">
        <v>926</v>
      </c>
      <c r="G56" s="285">
        <v>0</v>
      </c>
      <c r="H56" s="278">
        <f t="shared" si="16"/>
        <v>0</v>
      </c>
      <c r="I56" s="281" t="s">
        <v>926</v>
      </c>
      <c r="J56" s="285">
        <v>0</v>
      </c>
      <c r="K56" s="278">
        <f t="shared" si="17"/>
        <v>0</v>
      </c>
      <c r="L56" s="281" t="s">
        <v>926</v>
      </c>
      <c r="M56" s="285">
        <v>0</v>
      </c>
      <c r="N56" s="278">
        <f t="shared" si="18"/>
        <v>0</v>
      </c>
      <c r="O56" s="281" t="s">
        <v>926</v>
      </c>
      <c r="P56" s="285">
        <v>0</v>
      </c>
      <c r="Q56" s="278">
        <f t="shared" si="19"/>
        <v>0</v>
      </c>
      <c r="R56" s="281" t="s">
        <v>926</v>
      </c>
      <c r="S56" s="285">
        <v>0</v>
      </c>
      <c r="T56" s="278">
        <f t="shared" si="20"/>
        <v>0</v>
      </c>
      <c r="U56" s="281" t="s">
        <v>926</v>
      </c>
      <c r="V56" s="285">
        <v>0</v>
      </c>
      <c r="W56" s="278">
        <f t="shared" si="21"/>
        <v>0</v>
      </c>
      <c r="X56" s="281" t="s">
        <v>926</v>
      </c>
      <c r="Y56" s="285">
        <v>0</v>
      </c>
      <c r="Z56" s="278">
        <f t="shared" si="22"/>
        <v>0</v>
      </c>
    </row>
    <row r="57" spans="1:26" x14ac:dyDescent="0.25">
      <c r="A57" s="355"/>
      <c r="B57" s="357"/>
      <c r="C57" s="32" t="s">
        <v>115</v>
      </c>
      <c r="D57" s="34">
        <f>'ECONOMIA &amp; PROFESIONES'!$P$8</f>
        <v>6100</v>
      </c>
      <c r="E57" s="53">
        <f t="shared" si="23"/>
        <v>0</v>
      </c>
      <c r="F57" s="281" t="s">
        <v>926</v>
      </c>
      <c r="G57" s="285">
        <v>0</v>
      </c>
      <c r="H57" s="278">
        <f t="shared" si="16"/>
        <v>0</v>
      </c>
      <c r="I57" s="281" t="s">
        <v>926</v>
      </c>
      <c r="J57" s="285">
        <v>0</v>
      </c>
      <c r="K57" s="278">
        <f t="shared" si="17"/>
        <v>0</v>
      </c>
      <c r="L57" s="281" t="s">
        <v>926</v>
      </c>
      <c r="M57" s="285">
        <v>0</v>
      </c>
      <c r="N57" s="278">
        <f t="shared" si="18"/>
        <v>0</v>
      </c>
      <c r="O57" s="281" t="s">
        <v>926</v>
      </c>
      <c r="P57" s="285">
        <v>0</v>
      </c>
      <c r="Q57" s="278">
        <f t="shared" si="19"/>
        <v>0</v>
      </c>
      <c r="R57" s="281" t="s">
        <v>926</v>
      </c>
      <c r="S57" s="285">
        <v>0</v>
      </c>
      <c r="T57" s="278">
        <f t="shared" si="20"/>
        <v>0</v>
      </c>
      <c r="U57" s="281" t="s">
        <v>926</v>
      </c>
      <c r="V57" s="285">
        <v>0</v>
      </c>
      <c r="W57" s="278">
        <f t="shared" si="21"/>
        <v>0</v>
      </c>
      <c r="X57" s="281" t="s">
        <v>926</v>
      </c>
      <c r="Y57" s="285">
        <v>0</v>
      </c>
      <c r="Z57" s="278">
        <f t="shared" si="22"/>
        <v>0</v>
      </c>
    </row>
    <row r="58" spans="1:26" x14ac:dyDescent="0.25">
      <c r="A58" s="355"/>
      <c r="B58" s="358"/>
      <c r="C58" s="31" t="s">
        <v>116</v>
      </c>
      <c r="D58" s="34">
        <f>'ECONOMIA &amp; PROFESIONES'!$P$9</f>
        <v>3700</v>
      </c>
      <c r="E58" s="53">
        <f t="shared" si="23"/>
        <v>0</v>
      </c>
      <c r="F58" s="281" t="s">
        <v>926</v>
      </c>
      <c r="G58" s="285">
        <v>0</v>
      </c>
      <c r="H58" s="278">
        <f t="shared" si="16"/>
        <v>0</v>
      </c>
      <c r="I58" s="281" t="s">
        <v>926</v>
      </c>
      <c r="J58" s="285">
        <v>0</v>
      </c>
      <c r="K58" s="278">
        <f t="shared" si="17"/>
        <v>0</v>
      </c>
      <c r="L58" s="281" t="s">
        <v>926</v>
      </c>
      <c r="M58" s="285">
        <v>0</v>
      </c>
      <c r="N58" s="278">
        <f t="shared" si="18"/>
        <v>0</v>
      </c>
      <c r="O58" s="281" t="s">
        <v>926</v>
      </c>
      <c r="P58" s="285">
        <v>0</v>
      </c>
      <c r="Q58" s="278">
        <f t="shared" si="19"/>
        <v>0</v>
      </c>
      <c r="R58" s="281" t="s">
        <v>926</v>
      </c>
      <c r="S58" s="285">
        <v>0</v>
      </c>
      <c r="T58" s="278">
        <f t="shared" si="20"/>
        <v>0</v>
      </c>
      <c r="U58" s="281" t="s">
        <v>926</v>
      </c>
      <c r="V58" s="285">
        <v>0</v>
      </c>
      <c r="W58" s="278">
        <f t="shared" si="21"/>
        <v>0</v>
      </c>
      <c r="X58" s="281" t="s">
        <v>926</v>
      </c>
      <c r="Y58" s="285">
        <v>0</v>
      </c>
      <c r="Z58" s="278">
        <f t="shared" si="22"/>
        <v>0</v>
      </c>
    </row>
    <row r="59" spans="1:26" x14ac:dyDescent="0.25">
      <c r="A59" s="355"/>
      <c r="B59" s="359" t="s">
        <v>1162</v>
      </c>
      <c r="C59" s="32" t="s">
        <v>6</v>
      </c>
      <c r="D59" s="34">
        <f>'ECONOMIA &amp; PROFESIONES'!$P$10</f>
        <v>3650</v>
      </c>
      <c r="E59" s="53">
        <f t="shared" si="23"/>
        <v>0</v>
      </c>
      <c r="F59" s="281" t="s">
        <v>926</v>
      </c>
      <c r="G59" s="285">
        <v>0</v>
      </c>
      <c r="H59" s="278">
        <f t="shared" si="16"/>
        <v>0</v>
      </c>
      <c r="I59" s="281" t="s">
        <v>926</v>
      </c>
      <c r="J59" s="285">
        <v>0</v>
      </c>
      <c r="K59" s="278">
        <f t="shared" si="17"/>
        <v>0</v>
      </c>
      <c r="L59" s="281" t="s">
        <v>926</v>
      </c>
      <c r="M59" s="285">
        <v>0</v>
      </c>
      <c r="N59" s="278">
        <f t="shared" si="18"/>
        <v>0</v>
      </c>
      <c r="O59" s="281" t="s">
        <v>926</v>
      </c>
      <c r="P59" s="285">
        <v>0</v>
      </c>
      <c r="Q59" s="278">
        <f t="shared" si="19"/>
        <v>0</v>
      </c>
      <c r="R59" s="281" t="s">
        <v>926</v>
      </c>
      <c r="S59" s="285">
        <v>0</v>
      </c>
      <c r="T59" s="278">
        <f t="shared" si="20"/>
        <v>0</v>
      </c>
      <c r="U59" s="281" t="s">
        <v>926</v>
      </c>
      <c r="V59" s="285">
        <v>0</v>
      </c>
      <c r="W59" s="278">
        <f t="shared" si="21"/>
        <v>0</v>
      </c>
      <c r="X59" s="281" t="s">
        <v>926</v>
      </c>
      <c r="Y59" s="285">
        <v>0</v>
      </c>
      <c r="Z59" s="278">
        <f t="shared" si="22"/>
        <v>0</v>
      </c>
    </row>
    <row r="60" spans="1:26" x14ac:dyDescent="0.25">
      <c r="A60" s="355"/>
      <c r="B60" s="360"/>
      <c r="C60" s="31" t="s">
        <v>113</v>
      </c>
      <c r="D60" s="34">
        <f>'ECONOMIA &amp; PROFESIONES'!$P$11</f>
        <v>6125</v>
      </c>
      <c r="E60" s="53">
        <f t="shared" si="23"/>
        <v>0</v>
      </c>
      <c r="F60" s="281" t="s">
        <v>926</v>
      </c>
      <c r="G60" s="285">
        <v>0</v>
      </c>
      <c r="H60" s="278">
        <f t="shared" si="16"/>
        <v>0</v>
      </c>
      <c r="I60" s="281" t="s">
        <v>926</v>
      </c>
      <c r="J60" s="285">
        <v>0</v>
      </c>
      <c r="K60" s="278">
        <f t="shared" si="17"/>
        <v>0</v>
      </c>
      <c r="L60" s="281" t="s">
        <v>926</v>
      </c>
      <c r="M60" s="285">
        <v>0</v>
      </c>
      <c r="N60" s="278">
        <f t="shared" si="18"/>
        <v>0</v>
      </c>
      <c r="O60" s="281" t="s">
        <v>926</v>
      </c>
      <c r="P60" s="285">
        <v>0</v>
      </c>
      <c r="Q60" s="278">
        <f t="shared" si="19"/>
        <v>0</v>
      </c>
      <c r="R60" s="281" t="s">
        <v>926</v>
      </c>
      <c r="S60" s="285">
        <v>0</v>
      </c>
      <c r="T60" s="278">
        <f t="shared" si="20"/>
        <v>0</v>
      </c>
      <c r="U60" s="281" t="s">
        <v>926</v>
      </c>
      <c r="V60" s="285">
        <v>0</v>
      </c>
      <c r="W60" s="278">
        <f t="shared" si="21"/>
        <v>0</v>
      </c>
      <c r="X60" s="281" t="s">
        <v>926</v>
      </c>
      <c r="Y60" s="285">
        <v>0</v>
      </c>
      <c r="Z60" s="278">
        <f t="shared" si="22"/>
        <v>0</v>
      </c>
    </row>
    <row r="61" spans="1:26" x14ac:dyDescent="0.25">
      <c r="A61" s="355"/>
      <c r="B61" s="360"/>
      <c r="C61" s="32" t="s">
        <v>114</v>
      </c>
      <c r="D61" s="34">
        <f>'ECONOMIA &amp; PROFESIONES'!$P$12</f>
        <v>8600</v>
      </c>
      <c r="E61" s="53">
        <f t="shared" si="23"/>
        <v>0</v>
      </c>
      <c r="F61" s="281" t="s">
        <v>926</v>
      </c>
      <c r="G61" s="285">
        <v>0</v>
      </c>
      <c r="H61" s="278">
        <f t="shared" si="16"/>
        <v>0</v>
      </c>
      <c r="I61" s="281" t="s">
        <v>926</v>
      </c>
      <c r="J61" s="285">
        <v>0</v>
      </c>
      <c r="K61" s="278">
        <f t="shared" si="17"/>
        <v>0</v>
      </c>
      <c r="L61" s="281" t="s">
        <v>926</v>
      </c>
      <c r="M61" s="285">
        <v>0</v>
      </c>
      <c r="N61" s="278">
        <f t="shared" si="18"/>
        <v>0</v>
      </c>
      <c r="O61" s="281" t="s">
        <v>926</v>
      </c>
      <c r="P61" s="285">
        <v>0</v>
      </c>
      <c r="Q61" s="278">
        <f t="shared" si="19"/>
        <v>0</v>
      </c>
      <c r="R61" s="281" t="s">
        <v>926</v>
      </c>
      <c r="S61" s="285">
        <v>0</v>
      </c>
      <c r="T61" s="278">
        <f t="shared" si="20"/>
        <v>0</v>
      </c>
      <c r="U61" s="281" t="s">
        <v>926</v>
      </c>
      <c r="V61" s="285">
        <v>0</v>
      </c>
      <c r="W61" s="278">
        <f t="shared" si="21"/>
        <v>0</v>
      </c>
      <c r="X61" s="281" t="s">
        <v>926</v>
      </c>
      <c r="Y61" s="285">
        <v>0</v>
      </c>
      <c r="Z61" s="278">
        <f t="shared" si="22"/>
        <v>0</v>
      </c>
    </row>
    <row r="62" spans="1:26" x14ac:dyDescent="0.25">
      <c r="A62" s="355"/>
      <c r="B62" s="360"/>
      <c r="C62" s="31" t="s">
        <v>115</v>
      </c>
      <c r="D62" s="34">
        <f>'ECONOMIA &amp; PROFESIONES'!$P$13</f>
        <v>7775</v>
      </c>
      <c r="E62" s="53">
        <f t="shared" si="23"/>
        <v>0</v>
      </c>
      <c r="F62" s="281" t="s">
        <v>926</v>
      </c>
      <c r="G62" s="285">
        <v>0</v>
      </c>
      <c r="H62" s="278">
        <f t="shared" si="16"/>
        <v>0</v>
      </c>
      <c r="I62" s="281" t="s">
        <v>926</v>
      </c>
      <c r="J62" s="285">
        <v>0</v>
      </c>
      <c r="K62" s="278">
        <f t="shared" si="17"/>
        <v>0</v>
      </c>
      <c r="L62" s="281" t="s">
        <v>926</v>
      </c>
      <c r="M62" s="285">
        <v>0</v>
      </c>
      <c r="N62" s="278">
        <f t="shared" si="18"/>
        <v>0</v>
      </c>
      <c r="O62" s="281" t="s">
        <v>926</v>
      </c>
      <c r="P62" s="285">
        <v>0</v>
      </c>
      <c r="Q62" s="278">
        <f t="shared" si="19"/>
        <v>0</v>
      </c>
      <c r="R62" s="281" t="s">
        <v>926</v>
      </c>
      <c r="S62" s="285">
        <v>0</v>
      </c>
      <c r="T62" s="278">
        <f t="shared" si="20"/>
        <v>0</v>
      </c>
      <c r="U62" s="281" t="s">
        <v>926</v>
      </c>
      <c r="V62" s="285">
        <v>0</v>
      </c>
      <c r="W62" s="278">
        <f t="shared" si="21"/>
        <v>0</v>
      </c>
      <c r="X62" s="281" t="s">
        <v>926</v>
      </c>
      <c r="Y62" s="285">
        <v>0</v>
      </c>
      <c r="Z62" s="278">
        <f t="shared" si="22"/>
        <v>0</v>
      </c>
    </row>
    <row r="63" spans="1:26" x14ac:dyDescent="0.25">
      <c r="A63" s="355"/>
      <c r="B63" s="361"/>
      <c r="C63" s="32" t="s">
        <v>116</v>
      </c>
      <c r="D63" s="34">
        <f>'ECONOMIA &amp; PROFESIONES'!$P$14</f>
        <v>5300</v>
      </c>
      <c r="E63" s="53">
        <f t="shared" si="23"/>
        <v>0</v>
      </c>
      <c r="F63" s="281" t="s">
        <v>926</v>
      </c>
      <c r="G63" s="285">
        <v>0</v>
      </c>
      <c r="H63" s="278">
        <f t="shared" si="16"/>
        <v>0</v>
      </c>
      <c r="I63" s="281" t="s">
        <v>926</v>
      </c>
      <c r="J63" s="285">
        <v>0</v>
      </c>
      <c r="K63" s="278">
        <f t="shared" si="17"/>
        <v>0</v>
      </c>
      <c r="L63" s="281" t="s">
        <v>926</v>
      </c>
      <c r="M63" s="285">
        <v>0</v>
      </c>
      <c r="N63" s="278">
        <f t="shared" si="18"/>
        <v>0</v>
      </c>
      <c r="O63" s="281" t="s">
        <v>926</v>
      </c>
      <c r="P63" s="285">
        <v>0</v>
      </c>
      <c r="Q63" s="278">
        <f t="shared" si="19"/>
        <v>0</v>
      </c>
      <c r="R63" s="281" t="s">
        <v>926</v>
      </c>
      <c r="S63" s="285">
        <v>0</v>
      </c>
      <c r="T63" s="278">
        <f t="shared" si="20"/>
        <v>0</v>
      </c>
      <c r="U63" s="281" t="s">
        <v>926</v>
      </c>
      <c r="V63" s="285">
        <v>0</v>
      </c>
      <c r="W63" s="278">
        <f t="shared" si="21"/>
        <v>0</v>
      </c>
      <c r="X63" s="281" t="s">
        <v>926</v>
      </c>
      <c r="Y63" s="285">
        <v>0</v>
      </c>
      <c r="Z63" s="278">
        <f t="shared" si="22"/>
        <v>0</v>
      </c>
    </row>
    <row r="64" spans="1:26" x14ac:dyDescent="0.25">
      <c r="A64" s="355"/>
      <c r="B64" s="362" t="s">
        <v>1231</v>
      </c>
      <c r="C64" s="31" t="s">
        <v>6</v>
      </c>
      <c r="D64" s="34">
        <f>'ECONOMIA &amp; PROFESIONES'!$P$15</f>
        <v>5250</v>
      </c>
      <c r="E64" s="53">
        <f t="shared" si="23"/>
        <v>0</v>
      </c>
      <c r="F64" s="281" t="s">
        <v>926</v>
      </c>
      <c r="G64" s="285">
        <v>0</v>
      </c>
      <c r="H64" s="278">
        <f t="shared" si="16"/>
        <v>0</v>
      </c>
      <c r="I64" s="281" t="s">
        <v>926</v>
      </c>
      <c r="J64" s="285">
        <v>0</v>
      </c>
      <c r="K64" s="278">
        <f t="shared" si="17"/>
        <v>0</v>
      </c>
      <c r="L64" s="281" t="s">
        <v>926</v>
      </c>
      <c r="M64" s="285">
        <v>0</v>
      </c>
      <c r="N64" s="278">
        <f t="shared" si="18"/>
        <v>0</v>
      </c>
      <c r="O64" s="281" t="s">
        <v>926</v>
      </c>
      <c r="P64" s="285">
        <v>0</v>
      </c>
      <c r="Q64" s="278">
        <f t="shared" si="19"/>
        <v>0</v>
      </c>
      <c r="R64" s="281" t="s">
        <v>926</v>
      </c>
      <c r="S64" s="285">
        <v>0</v>
      </c>
      <c r="T64" s="278">
        <f t="shared" si="20"/>
        <v>0</v>
      </c>
      <c r="U64" s="281" t="s">
        <v>926</v>
      </c>
      <c r="V64" s="285">
        <v>0</v>
      </c>
      <c r="W64" s="278">
        <f t="shared" si="21"/>
        <v>0</v>
      </c>
      <c r="X64" s="281" t="s">
        <v>926</v>
      </c>
      <c r="Y64" s="285">
        <v>0</v>
      </c>
      <c r="Z64" s="278">
        <f t="shared" si="22"/>
        <v>0</v>
      </c>
    </row>
    <row r="65" spans="1:26" x14ac:dyDescent="0.25">
      <c r="A65" s="355"/>
      <c r="B65" s="363"/>
      <c r="C65" s="32" t="s">
        <v>113</v>
      </c>
      <c r="D65" s="34">
        <f>'ECONOMIA &amp; PROFESIONES'!$P$16</f>
        <v>7875</v>
      </c>
      <c r="E65" s="53">
        <f t="shared" si="23"/>
        <v>0</v>
      </c>
      <c r="F65" s="281" t="s">
        <v>926</v>
      </c>
      <c r="G65" s="285">
        <v>0</v>
      </c>
      <c r="H65" s="278">
        <f t="shared" si="16"/>
        <v>0</v>
      </c>
      <c r="I65" s="281" t="s">
        <v>926</v>
      </c>
      <c r="J65" s="285">
        <v>0</v>
      </c>
      <c r="K65" s="278">
        <f t="shared" si="17"/>
        <v>0</v>
      </c>
      <c r="L65" s="281" t="s">
        <v>926</v>
      </c>
      <c r="M65" s="285">
        <v>0</v>
      </c>
      <c r="N65" s="278">
        <f t="shared" si="18"/>
        <v>0</v>
      </c>
      <c r="O65" s="281" t="s">
        <v>926</v>
      </c>
      <c r="P65" s="285">
        <v>0</v>
      </c>
      <c r="Q65" s="278">
        <f t="shared" si="19"/>
        <v>0</v>
      </c>
      <c r="R65" s="281" t="s">
        <v>926</v>
      </c>
      <c r="S65" s="285">
        <v>0</v>
      </c>
      <c r="T65" s="278">
        <f t="shared" si="20"/>
        <v>0</v>
      </c>
      <c r="U65" s="281" t="s">
        <v>926</v>
      </c>
      <c r="V65" s="285">
        <v>0</v>
      </c>
      <c r="W65" s="278">
        <f t="shared" si="21"/>
        <v>0</v>
      </c>
      <c r="X65" s="281" t="s">
        <v>926</v>
      </c>
      <c r="Y65" s="285">
        <v>0</v>
      </c>
      <c r="Z65" s="278">
        <f t="shared" si="22"/>
        <v>0</v>
      </c>
    </row>
    <row r="66" spans="1:26" x14ac:dyDescent="0.25">
      <c r="A66" s="355"/>
      <c r="B66" s="363"/>
      <c r="C66" s="31" t="s">
        <v>114</v>
      </c>
      <c r="D66" s="34">
        <f>'ECONOMIA &amp; PROFESIONES'!$P$17</f>
        <v>10500</v>
      </c>
      <c r="E66" s="53">
        <f t="shared" si="23"/>
        <v>0</v>
      </c>
      <c r="F66" s="281" t="s">
        <v>926</v>
      </c>
      <c r="G66" s="285">
        <v>0</v>
      </c>
      <c r="H66" s="278">
        <f t="shared" si="16"/>
        <v>0</v>
      </c>
      <c r="I66" s="281" t="s">
        <v>926</v>
      </c>
      <c r="J66" s="285">
        <v>0</v>
      </c>
      <c r="K66" s="278">
        <f t="shared" si="17"/>
        <v>0</v>
      </c>
      <c r="L66" s="281" t="s">
        <v>926</v>
      </c>
      <c r="M66" s="285">
        <v>0</v>
      </c>
      <c r="N66" s="278">
        <f t="shared" si="18"/>
        <v>0</v>
      </c>
      <c r="O66" s="281" t="s">
        <v>926</v>
      </c>
      <c r="P66" s="285">
        <v>0</v>
      </c>
      <c r="Q66" s="278">
        <f t="shared" si="19"/>
        <v>0</v>
      </c>
      <c r="R66" s="281" t="s">
        <v>926</v>
      </c>
      <c r="S66" s="285">
        <v>0</v>
      </c>
      <c r="T66" s="278">
        <f t="shared" si="20"/>
        <v>0</v>
      </c>
      <c r="U66" s="281" t="s">
        <v>926</v>
      </c>
      <c r="V66" s="285">
        <v>0</v>
      </c>
      <c r="W66" s="278">
        <f t="shared" si="21"/>
        <v>0</v>
      </c>
      <c r="X66" s="281" t="s">
        <v>926</v>
      </c>
      <c r="Y66" s="285">
        <v>0</v>
      </c>
      <c r="Z66" s="278">
        <f t="shared" si="22"/>
        <v>0</v>
      </c>
    </row>
    <row r="67" spans="1:26" x14ac:dyDescent="0.25">
      <c r="A67" s="355"/>
      <c r="B67" s="362"/>
      <c r="C67" s="32" t="s">
        <v>115</v>
      </c>
      <c r="D67" s="34">
        <f>'ECONOMIA &amp; PROFESIONES'!$P$18</f>
        <v>9625</v>
      </c>
      <c r="E67" s="53">
        <f t="shared" si="23"/>
        <v>0</v>
      </c>
      <c r="F67" s="281" t="s">
        <v>926</v>
      </c>
      <c r="G67" s="285">
        <v>0</v>
      </c>
      <c r="H67" s="278">
        <f t="shared" si="16"/>
        <v>0</v>
      </c>
      <c r="I67" s="281" t="s">
        <v>926</v>
      </c>
      <c r="J67" s="285">
        <v>0</v>
      </c>
      <c r="K67" s="278">
        <f t="shared" si="17"/>
        <v>0</v>
      </c>
      <c r="L67" s="281" t="s">
        <v>926</v>
      </c>
      <c r="M67" s="285">
        <v>0</v>
      </c>
      <c r="N67" s="278">
        <f t="shared" si="18"/>
        <v>0</v>
      </c>
      <c r="O67" s="281" t="s">
        <v>926</v>
      </c>
      <c r="P67" s="285">
        <v>0</v>
      </c>
      <c r="Q67" s="278">
        <f t="shared" si="19"/>
        <v>0</v>
      </c>
      <c r="R67" s="281" t="s">
        <v>926</v>
      </c>
      <c r="S67" s="285">
        <v>0</v>
      </c>
      <c r="T67" s="278">
        <f t="shared" si="20"/>
        <v>0</v>
      </c>
      <c r="U67" s="281" t="s">
        <v>926</v>
      </c>
      <c r="V67" s="285">
        <v>0</v>
      </c>
      <c r="W67" s="278">
        <f t="shared" si="21"/>
        <v>0</v>
      </c>
      <c r="X67" s="281" t="s">
        <v>926</v>
      </c>
      <c r="Y67" s="285">
        <v>0</v>
      </c>
      <c r="Z67" s="278">
        <f t="shared" si="22"/>
        <v>0</v>
      </c>
    </row>
    <row r="68" spans="1:26" x14ac:dyDescent="0.25">
      <c r="A68" s="355"/>
      <c r="B68" s="362"/>
      <c r="C68" s="31" t="s">
        <v>116</v>
      </c>
      <c r="D68" s="34">
        <f>'ECONOMIA &amp; PROFESIONES'!$P$19</f>
        <v>7000</v>
      </c>
      <c r="E68" s="53">
        <f t="shared" si="23"/>
        <v>0</v>
      </c>
      <c r="F68" s="281" t="s">
        <v>926</v>
      </c>
      <c r="G68" s="285">
        <v>0</v>
      </c>
      <c r="H68" s="278">
        <f t="shared" si="16"/>
        <v>0</v>
      </c>
      <c r="I68" s="281" t="s">
        <v>926</v>
      </c>
      <c r="J68" s="285">
        <v>0</v>
      </c>
      <c r="K68" s="278">
        <f t="shared" si="17"/>
        <v>0</v>
      </c>
      <c r="L68" s="281" t="s">
        <v>926</v>
      </c>
      <c r="M68" s="285">
        <v>0</v>
      </c>
      <c r="N68" s="278">
        <f t="shared" si="18"/>
        <v>0</v>
      </c>
      <c r="O68" s="281" t="s">
        <v>926</v>
      </c>
      <c r="P68" s="285">
        <v>0</v>
      </c>
      <c r="Q68" s="278">
        <f t="shared" si="19"/>
        <v>0</v>
      </c>
      <c r="R68" s="281" t="s">
        <v>926</v>
      </c>
      <c r="S68" s="285">
        <v>0</v>
      </c>
      <c r="T68" s="278">
        <f t="shared" si="20"/>
        <v>0</v>
      </c>
      <c r="U68" s="281" t="s">
        <v>926</v>
      </c>
      <c r="V68" s="285">
        <v>0</v>
      </c>
      <c r="W68" s="278">
        <f t="shared" si="21"/>
        <v>0</v>
      </c>
      <c r="X68" s="281" t="s">
        <v>926</v>
      </c>
      <c r="Y68" s="285">
        <v>0</v>
      </c>
      <c r="Z68" s="278">
        <f t="shared" si="22"/>
        <v>0</v>
      </c>
    </row>
    <row r="69" spans="1:26" x14ac:dyDescent="0.25">
      <c r="A69" s="355"/>
      <c r="B69" s="364" t="s">
        <v>1232</v>
      </c>
      <c r="C69" s="32" t="s">
        <v>6</v>
      </c>
      <c r="D69" s="34">
        <f>'ECONOMIA &amp; PROFESIONES'!$P$20</f>
        <v>6850</v>
      </c>
      <c r="E69" s="53">
        <f t="shared" si="23"/>
        <v>0</v>
      </c>
      <c r="F69" s="281" t="s">
        <v>926</v>
      </c>
      <c r="G69" s="285">
        <v>0</v>
      </c>
      <c r="H69" s="278">
        <f t="shared" si="16"/>
        <v>0</v>
      </c>
      <c r="I69" s="281" t="s">
        <v>926</v>
      </c>
      <c r="J69" s="285">
        <v>0</v>
      </c>
      <c r="K69" s="278">
        <f t="shared" si="17"/>
        <v>0</v>
      </c>
      <c r="L69" s="281" t="s">
        <v>926</v>
      </c>
      <c r="M69" s="285">
        <v>0</v>
      </c>
      <c r="N69" s="278">
        <f t="shared" si="18"/>
        <v>0</v>
      </c>
      <c r="O69" s="281" t="s">
        <v>926</v>
      </c>
      <c r="P69" s="285">
        <v>0</v>
      </c>
      <c r="Q69" s="278">
        <f t="shared" si="19"/>
        <v>0</v>
      </c>
      <c r="R69" s="281" t="s">
        <v>926</v>
      </c>
      <c r="S69" s="285">
        <v>0</v>
      </c>
      <c r="T69" s="278">
        <f t="shared" si="20"/>
        <v>0</v>
      </c>
      <c r="U69" s="281" t="s">
        <v>926</v>
      </c>
      <c r="V69" s="285">
        <v>0</v>
      </c>
      <c r="W69" s="278">
        <f t="shared" si="21"/>
        <v>0</v>
      </c>
      <c r="X69" s="281" t="s">
        <v>926</v>
      </c>
      <c r="Y69" s="285">
        <v>0</v>
      </c>
      <c r="Z69" s="278">
        <f t="shared" si="22"/>
        <v>0</v>
      </c>
    </row>
    <row r="70" spans="1:26" x14ac:dyDescent="0.25">
      <c r="A70" s="355"/>
      <c r="B70" s="365"/>
      <c r="C70" s="31" t="s">
        <v>113</v>
      </c>
      <c r="D70" s="34">
        <f>'ECONOMIA &amp; PROFESIONES'!$P$21</f>
        <v>9625</v>
      </c>
      <c r="E70" s="53">
        <f t="shared" si="23"/>
        <v>0</v>
      </c>
      <c r="F70" s="281" t="s">
        <v>926</v>
      </c>
      <c r="G70" s="285">
        <v>0</v>
      </c>
      <c r="H70" s="278">
        <f t="shared" si="16"/>
        <v>0</v>
      </c>
      <c r="I70" s="281" t="s">
        <v>926</v>
      </c>
      <c r="J70" s="285">
        <v>0</v>
      </c>
      <c r="K70" s="278">
        <f t="shared" si="17"/>
        <v>0</v>
      </c>
      <c r="L70" s="281" t="s">
        <v>926</v>
      </c>
      <c r="M70" s="285">
        <v>0</v>
      </c>
      <c r="N70" s="278">
        <f t="shared" si="18"/>
        <v>0</v>
      </c>
      <c r="O70" s="281" t="s">
        <v>926</v>
      </c>
      <c r="P70" s="285">
        <v>0</v>
      </c>
      <c r="Q70" s="278">
        <f t="shared" si="19"/>
        <v>0</v>
      </c>
      <c r="R70" s="281" t="s">
        <v>926</v>
      </c>
      <c r="S70" s="285">
        <v>0</v>
      </c>
      <c r="T70" s="278">
        <f t="shared" si="20"/>
        <v>0</v>
      </c>
      <c r="U70" s="281" t="s">
        <v>926</v>
      </c>
      <c r="V70" s="285">
        <v>0</v>
      </c>
      <c r="W70" s="278">
        <f t="shared" si="21"/>
        <v>0</v>
      </c>
      <c r="X70" s="281" t="s">
        <v>926</v>
      </c>
      <c r="Y70" s="285">
        <v>0</v>
      </c>
      <c r="Z70" s="278">
        <f t="shared" si="22"/>
        <v>0</v>
      </c>
    </row>
    <row r="71" spans="1:26" x14ac:dyDescent="0.25">
      <c r="A71" s="355"/>
      <c r="B71" s="365"/>
      <c r="C71" s="32" t="s">
        <v>114</v>
      </c>
      <c r="D71" s="34">
        <f>'ECONOMIA &amp; PROFESIONES'!$P$22</f>
        <v>12400</v>
      </c>
      <c r="E71" s="53">
        <f t="shared" si="23"/>
        <v>0</v>
      </c>
      <c r="F71" s="281" t="s">
        <v>926</v>
      </c>
      <c r="G71" s="285">
        <v>0</v>
      </c>
      <c r="H71" s="278">
        <f t="shared" si="16"/>
        <v>0</v>
      </c>
      <c r="I71" s="281" t="s">
        <v>926</v>
      </c>
      <c r="J71" s="285">
        <v>0</v>
      </c>
      <c r="K71" s="278">
        <f t="shared" si="17"/>
        <v>0</v>
      </c>
      <c r="L71" s="281" t="s">
        <v>926</v>
      </c>
      <c r="M71" s="285">
        <v>0</v>
      </c>
      <c r="N71" s="278">
        <f t="shared" si="18"/>
        <v>0</v>
      </c>
      <c r="O71" s="281" t="s">
        <v>926</v>
      </c>
      <c r="P71" s="285">
        <v>0</v>
      </c>
      <c r="Q71" s="278">
        <f t="shared" si="19"/>
        <v>0</v>
      </c>
      <c r="R71" s="281" t="s">
        <v>926</v>
      </c>
      <c r="S71" s="285">
        <v>0</v>
      </c>
      <c r="T71" s="278">
        <f t="shared" si="20"/>
        <v>0</v>
      </c>
      <c r="U71" s="281" t="s">
        <v>926</v>
      </c>
      <c r="V71" s="285">
        <v>0</v>
      </c>
      <c r="W71" s="278">
        <f t="shared" si="21"/>
        <v>0</v>
      </c>
      <c r="X71" s="281" t="s">
        <v>926</v>
      </c>
      <c r="Y71" s="285">
        <v>0</v>
      </c>
      <c r="Z71" s="278">
        <f t="shared" si="22"/>
        <v>0</v>
      </c>
    </row>
    <row r="72" spans="1:26" x14ac:dyDescent="0.25">
      <c r="A72" s="355"/>
      <c r="B72" s="360"/>
      <c r="C72" s="31" t="s">
        <v>115</v>
      </c>
      <c r="D72" s="34">
        <f>'ECONOMIA &amp; PROFESIONES'!$P$23</f>
        <v>11475</v>
      </c>
      <c r="E72" s="53">
        <f t="shared" si="23"/>
        <v>0</v>
      </c>
      <c r="F72" s="281" t="s">
        <v>926</v>
      </c>
      <c r="G72" s="285">
        <v>0</v>
      </c>
      <c r="H72" s="278">
        <f t="shared" si="16"/>
        <v>0</v>
      </c>
      <c r="I72" s="281" t="s">
        <v>926</v>
      </c>
      <c r="J72" s="285">
        <v>0</v>
      </c>
      <c r="K72" s="278">
        <f t="shared" si="17"/>
        <v>0</v>
      </c>
      <c r="L72" s="281" t="s">
        <v>926</v>
      </c>
      <c r="M72" s="285">
        <v>0</v>
      </c>
      <c r="N72" s="278">
        <f t="shared" si="18"/>
        <v>0</v>
      </c>
      <c r="O72" s="281" t="s">
        <v>926</v>
      </c>
      <c r="P72" s="285">
        <v>0</v>
      </c>
      <c r="Q72" s="278">
        <f t="shared" si="19"/>
        <v>0</v>
      </c>
      <c r="R72" s="281" t="s">
        <v>926</v>
      </c>
      <c r="S72" s="285">
        <v>0</v>
      </c>
      <c r="T72" s="278">
        <f t="shared" si="20"/>
        <v>0</v>
      </c>
      <c r="U72" s="281" t="s">
        <v>926</v>
      </c>
      <c r="V72" s="285">
        <v>0</v>
      </c>
      <c r="W72" s="278">
        <f t="shared" si="21"/>
        <v>0</v>
      </c>
      <c r="X72" s="281" t="s">
        <v>926</v>
      </c>
      <c r="Y72" s="285">
        <v>0</v>
      </c>
      <c r="Z72" s="278">
        <f t="shared" si="22"/>
        <v>0</v>
      </c>
    </row>
    <row r="73" spans="1:26" x14ac:dyDescent="0.25">
      <c r="A73" s="355"/>
      <c r="B73" s="366"/>
      <c r="C73" s="32" t="s">
        <v>116</v>
      </c>
      <c r="D73" s="34">
        <f>'ECONOMIA &amp; PROFESIONES'!$P$24</f>
        <v>8700</v>
      </c>
      <c r="E73" s="53">
        <f t="shared" si="23"/>
        <v>0</v>
      </c>
      <c r="F73" s="281" t="s">
        <v>926</v>
      </c>
      <c r="G73" s="285">
        <v>0</v>
      </c>
      <c r="H73" s="278">
        <f t="shared" si="16"/>
        <v>0</v>
      </c>
      <c r="I73" s="281" t="s">
        <v>926</v>
      </c>
      <c r="J73" s="285">
        <v>0</v>
      </c>
      <c r="K73" s="278">
        <f t="shared" si="17"/>
        <v>0</v>
      </c>
      <c r="L73" s="281" t="s">
        <v>926</v>
      </c>
      <c r="M73" s="285">
        <v>0</v>
      </c>
      <c r="N73" s="278">
        <f t="shared" si="18"/>
        <v>0</v>
      </c>
      <c r="O73" s="281" t="s">
        <v>926</v>
      </c>
      <c r="P73" s="285">
        <v>0</v>
      </c>
      <c r="Q73" s="278">
        <f t="shared" si="19"/>
        <v>0</v>
      </c>
      <c r="R73" s="281" t="s">
        <v>926</v>
      </c>
      <c r="S73" s="285">
        <v>0</v>
      </c>
      <c r="T73" s="278">
        <f t="shared" si="20"/>
        <v>0</v>
      </c>
      <c r="U73" s="281" t="s">
        <v>926</v>
      </c>
      <c r="V73" s="285">
        <v>0</v>
      </c>
      <c r="W73" s="278">
        <f t="shared" si="21"/>
        <v>0</v>
      </c>
      <c r="X73" s="281" t="s">
        <v>926</v>
      </c>
      <c r="Y73" s="285">
        <v>0</v>
      </c>
      <c r="Z73" s="278">
        <f t="shared" si="22"/>
        <v>0</v>
      </c>
    </row>
    <row r="74" spans="1:26" x14ac:dyDescent="0.25">
      <c r="A74" s="355"/>
      <c r="B74" s="362" t="s">
        <v>1230</v>
      </c>
      <c r="C74" s="31" t="s">
        <v>6</v>
      </c>
      <c r="D74" s="34">
        <f>'ECONOMIA &amp; PROFESIONES'!$P$25</f>
        <v>8450</v>
      </c>
      <c r="E74" s="53">
        <f t="shared" si="23"/>
        <v>0</v>
      </c>
      <c r="F74" s="281" t="s">
        <v>926</v>
      </c>
      <c r="G74" s="285">
        <v>0</v>
      </c>
      <c r="H74" s="278">
        <f t="shared" si="16"/>
        <v>0</v>
      </c>
      <c r="I74" s="281" t="s">
        <v>926</v>
      </c>
      <c r="J74" s="285">
        <v>0</v>
      </c>
      <c r="K74" s="278">
        <f t="shared" si="17"/>
        <v>0</v>
      </c>
      <c r="L74" s="281" t="s">
        <v>926</v>
      </c>
      <c r="M74" s="285">
        <v>0</v>
      </c>
      <c r="N74" s="278">
        <f t="shared" si="18"/>
        <v>0</v>
      </c>
      <c r="O74" s="281" t="s">
        <v>926</v>
      </c>
      <c r="P74" s="285">
        <v>0</v>
      </c>
      <c r="Q74" s="278">
        <f t="shared" si="19"/>
        <v>0</v>
      </c>
      <c r="R74" s="281" t="s">
        <v>926</v>
      </c>
      <c r="S74" s="285">
        <v>0</v>
      </c>
      <c r="T74" s="278">
        <f t="shared" si="20"/>
        <v>0</v>
      </c>
      <c r="U74" s="281" t="s">
        <v>926</v>
      </c>
      <c r="V74" s="285">
        <v>0</v>
      </c>
      <c r="W74" s="278">
        <f t="shared" si="21"/>
        <v>0</v>
      </c>
      <c r="X74" s="281" t="s">
        <v>926</v>
      </c>
      <c r="Y74" s="285">
        <v>0</v>
      </c>
      <c r="Z74" s="278">
        <f t="shared" si="22"/>
        <v>0</v>
      </c>
    </row>
    <row r="75" spans="1:26" x14ac:dyDescent="0.25">
      <c r="A75" s="355"/>
      <c r="B75" s="362"/>
      <c r="C75" s="32" t="s">
        <v>113</v>
      </c>
      <c r="D75" s="34">
        <f>'ECONOMIA &amp; PROFESIONES'!$P$26</f>
        <v>11375</v>
      </c>
      <c r="E75" s="53">
        <f t="shared" si="23"/>
        <v>0</v>
      </c>
      <c r="F75" s="281" t="s">
        <v>926</v>
      </c>
      <c r="G75" s="285">
        <v>0</v>
      </c>
      <c r="H75" s="278">
        <f t="shared" si="16"/>
        <v>0</v>
      </c>
      <c r="I75" s="281" t="s">
        <v>926</v>
      </c>
      <c r="J75" s="285">
        <v>0</v>
      </c>
      <c r="K75" s="278">
        <f t="shared" si="17"/>
        <v>0</v>
      </c>
      <c r="L75" s="281" t="s">
        <v>926</v>
      </c>
      <c r="M75" s="285">
        <v>0</v>
      </c>
      <c r="N75" s="278">
        <f t="shared" si="18"/>
        <v>0</v>
      </c>
      <c r="O75" s="281" t="s">
        <v>926</v>
      </c>
      <c r="P75" s="285">
        <v>0</v>
      </c>
      <c r="Q75" s="278">
        <f t="shared" si="19"/>
        <v>0</v>
      </c>
      <c r="R75" s="281" t="s">
        <v>926</v>
      </c>
      <c r="S75" s="285">
        <v>0</v>
      </c>
      <c r="T75" s="278">
        <f t="shared" si="20"/>
        <v>0</v>
      </c>
      <c r="U75" s="281" t="s">
        <v>926</v>
      </c>
      <c r="V75" s="285">
        <v>0</v>
      </c>
      <c r="W75" s="278">
        <f t="shared" si="21"/>
        <v>0</v>
      </c>
      <c r="X75" s="281" t="s">
        <v>926</v>
      </c>
      <c r="Y75" s="285">
        <v>0</v>
      </c>
      <c r="Z75" s="278">
        <f t="shared" si="22"/>
        <v>0</v>
      </c>
    </row>
    <row r="76" spans="1:26" x14ac:dyDescent="0.25">
      <c r="A76" s="355"/>
      <c r="B76" s="362"/>
      <c r="C76" s="31" t="s">
        <v>114</v>
      </c>
      <c r="D76" s="34">
        <f>'ECONOMIA &amp; PROFESIONES'!$P$27</f>
        <v>14300</v>
      </c>
      <c r="E76" s="53">
        <f t="shared" si="23"/>
        <v>0</v>
      </c>
      <c r="F76" s="281" t="s">
        <v>926</v>
      </c>
      <c r="G76" s="285">
        <v>0</v>
      </c>
      <c r="H76" s="278">
        <f t="shared" si="16"/>
        <v>0</v>
      </c>
      <c r="I76" s="281" t="s">
        <v>926</v>
      </c>
      <c r="J76" s="285">
        <v>0</v>
      </c>
      <c r="K76" s="278">
        <f t="shared" si="17"/>
        <v>0</v>
      </c>
      <c r="L76" s="281" t="s">
        <v>926</v>
      </c>
      <c r="M76" s="285">
        <v>0</v>
      </c>
      <c r="N76" s="278">
        <f t="shared" si="18"/>
        <v>0</v>
      </c>
      <c r="O76" s="281" t="s">
        <v>926</v>
      </c>
      <c r="P76" s="285">
        <v>0</v>
      </c>
      <c r="Q76" s="278">
        <f t="shared" si="19"/>
        <v>0</v>
      </c>
      <c r="R76" s="281" t="s">
        <v>926</v>
      </c>
      <c r="S76" s="285">
        <v>0</v>
      </c>
      <c r="T76" s="278">
        <f t="shared" si="20"/>
        <v>0</v>
      </c>
      <c r="U76" s="281" t="s">
        <v>926</v>
      </c>
      <c r="V76" s="285">
        <v>0</v>
      </c>
      <c r="W76" s="278">
        <f t="shared" si="21"/>
        <v>0</v>
      </c>
      <c r="X76" s="281" t="s">
        <v>926</v>
      </c>
      <c r="Y76" s="285">
        <v>0</v>
      </c>
      <c r="Z76" s="278">
        <f t="shared" si="22"/>
        <v>0</v>
      </c>
    </row>
    <row r="77" spans="1:26" x14ac:dyDescent="0.25">
      <c r="A77" s="355"/>
      <c r="B77" s="362"/>
      <c r="C77" s="32" t="s">
        <v>115</v>
      </c>
      <c r="D77" s="34">
        <f>'ECONOMIA &amp; PROFESIONES'!$P$28</f>
        <v>13325</v>
      </c>
      <c r="E77" s="53">
        <f t="shared" si="23"/>
        <v>0</v>
      </c>
      <c r="F77" s="281" t="s">
        <v>926</v>
      </c>
      <c r="G77" s="285">
        <v>0</v>
      </c>
      <c r="H77" s="278">
        <f t="shared" si="16"/>
        <v>0</v>
      </c>
      <c r="I77" s="281" t="s">
        <v>926</v>
      </c>
      <c r="J77" s="285">
        <v>0</v>
      </c>
      <c r="K77" s="278">
        <f t="shared" si="17"/>
        <v>0</v>
      </c>
      <c r="L77" s="281" t="s">
        <v>926</v>
      </c>
      <c r="M77" s="285">
        <v>0</v>
      </c>
      <c r="N77" s="278">
        <f t="shared" si="18"/>
        <v>0</v>
      </c>
      <c r="O77" s="281" t="s">
        <v>926</v>
      </c>
      <c r="P77" s="285">
        <v>0</v>
      </c>
      <c r="Q77" s="278">
        <f t="shared" si="19"/>
        <v>0</v>
      </c>
      <c r="R77" s="281" t="s">
        <v>926</v>
      </c>
      <c r="S77" s="285">
        <v>0</v>
      </c>
      <c r="T77" s="278">
        <f t="shared" si="20"/>
        <v>0</v>
      </c>
      <c r="U77" s="281" t="s">
        <v>926</v>
      </c>
      <c r="V77" s="285">
        <v>0</v>
      </c>
      <c r="W77" s="278">
        <f t="shared" si="21"/>
        <v>0</v>
      </c>
      <c r="X77" s="281" t="s">
        <v>926</v>
      </c>
      <c r="Y77" s="285">
        <v>0</v>
      </c>
      <c r="Z77" s="278">
        <f t="shared" si="22"/>
        <v>0</v>
      </c>
    </row>
    <row r="78" spans="1:26" x14ac:dyDescent="0.25">
      <c r="A78" s="355"/>
      <c r="B78" s="362"/>
      <c r="C78" s="31" t="s">
        <v>116</v>
      </c>
      <c r="D78" s="34">
        <f>'ECONOMIA &amp; PROFESIONES'!$P$29</f>
        <v>10400</v>
      </c>
      <c r="E78" s="53">
        <f t="shared" si="23"/>
        <v>0</v>
      </c>
      <c r="F78" s="281" t="s">
        <v>926</v>
      </c>
      <c r="G78" s="285">
        <v>0</v>
      </c>
      <c r="H78" s="278">
        <f t="shared" si="16"/>
        <v>0</v>
      </c>
      <c r="I78" s="281" t="s">
        <v>926</v>
      </c>
      <c r="J78" s="285">
        <v>0</v>
      </c>
      <c r="K78" s="278">
        <f t="shared" si="17"/>
        <v>0</v>
      </c>
      <c r="L78" s="281" t="s">
        <v>926</v>
      </c>
      <c r="M78" s="285">
        <v>0</v>
      </c>
      <c r="N78" s="278">
        <f t="shared" si="18"/>
        <v>0</v>
      </c>
      <c r="O78" s="281" t="s">
        <v>926</v>
      </c>
      <c r="P78" s="285">
        <v>0</v>
      </c>
      <c r="Q78" s="278">
        <f t="shared" si="19"/>
        <v>0</v>
      </c>
      <c r="R78" s="281" t="s">
        <v>926</v>
      </c>
      <c r="S78" s="285">
        <v>0</v>
      </c>
      <c r="T78" s="278">
        <f t="shared" si="20"/>
        <v>0</v>
      </c>
      <c r="U78" s="281" t="s">
        <v>926</v>
      </c>
      <c r="V78" s="285">
        <v>0</v>
      </c>
      <c r="W78" s="278">
        <f t="shared" si="21"/>
        <v>0</v>
      </c>
      <c r="X78" s="281" t="s">
        <v>926</v>
      </c>
      <c r="Y78" s="285">
        <v>0</v>
      </c>
      <c r="Z78" s="278">
        <f t="shared" si="22"/>
        <v>0</v>
      </c>
    </row>
    <row r="79" spans="1:26" x14ac:dyDescent="0.25">
      <c r="A79" s="355" t="s">
        <v>3</v>
      </c>
      <c r="B79" s="176"/>
      <c r="C79" s="176"/>
      <c r="D79" s="295"/>
      <c r="E79" s="284" t="s">
        <v>1150</v>
      </c>
      <c r="F79" s="284" t="s">
        <v>1151</v>
      </c>
      <c r="G79" s="284" t="s">
        <v>1234</v>
      </c>
      <c r="H79" s="284" t="s">
        <v>202</v>
      </c>
      <c r="I79" s="284" t="s">
        <v>1152</v>
      </c>
      <c r="J79" s="284" t="s">
        <v>1234</v>
      </c>
      <c r="K79" s="284" t="s">
        <v>202</v>
      </c>
      <c r="L79" s="284" t="s">
        <v>1171</v>
      </c>
      <c r="M79" s="284" t="s">
        <v>1234</v>
      </c>
      <c r="N79" s="284" t="s">
        <v>202</v>
      </c>
      <c r="O79" s="284" t="s">
        <v>1226</v>
      </c>
      <c r="P79" s="284" t="s">
        <v>1234</v>
      </c>
      <c r="Q79" s="284" t="s">
        <v>202</v>
      </c>
      <c r="R79" s="284" t="s">
        <v>1227</v>
      </c>
      <c r="S79" s="284" t="s">
        <v>1234</v>
      </c>
      <c r="T79" s="284" t="s">
        <v>202</v>
      </c>
      <c r="U79" s="284" t="s">
        <v>1228</v>
      </c>
      <c r="V79" s="284" t="s">
        <v>1234</v>
      </c>
      <c r="W79" s="284" t="s">
        <v>202</v>
      </c>
      <c r="X79" s="284" t="s">
        <v>1229</v>
      </c>
      <c r="Y79" s="284" t="s">
        <v>1234</v>
      </c>
      <c r="Z79" s="284" t="s">
        <v>202</v>
      </c>
    </row>
    <row r="80" spans="1:26" x14ac:dyDescent="0.25">
      <c r="A80" s="355"/>
      <c r="B80" s="356" t="s">
        <v>1161</v>
      </c>
      <c r="C80" s="31" t="s">
        <v>6</v>
      </c>
      <c r="D80" s="35">
        <f>'ECONOMIA &amp; PROFESIONES'!$Q$5</f>
        <v>3700</v>
      </c>
      <c r="E80" s="53">
        <f>(H80*G80)+(K80*J80)+(M80*N80)+(P80*Q80)+(S80*T80)+(V80*W80)+(Y80*Z80)</f>
        <v>0</v>
      </c>
      <c r="F80" s="281" t="s">
        <v>926</v>
      </c>
      <c r="G80" s="285">
        <v>0</v>
      </c>
      <c r="H80" s="278">
        <f t="shared" ref="H80:H104" si="24">VLOOKUP(F80,craftedesp,3,FALSE)</f>
        <v>0</v>
      </c>
      <c r="I80" s="281" t="s">
        <v>926</v>
      </c>
      <c r="J80" s="285">
        <v>0</v>
      </c>
      <c r="K80" s="278">
        <f t="shared" ref="K80:K104" si="25">VLOOKUP(I80,craftedesp,3,FALSE)</f>
        <v>0</v>
      </c>
      <c r="L80" s="281" t="s">
        <v>926</v>
      </c>
      <c r="M80" s="285">
        <v>0</v>
      </c>
      <c r="N80" s="278">
        <f t="shared" ref="N80:N104" si="26">VLOOKUP(L80,craftedesp,3,FALSE)</f>
        <v>0</v>
      </c>
      <c r="O80" s="281" t="s">
        <v>926</v>
      </c>
      <c r="P80" s="285">
        <v>0</v>
      </c>
      <c r="Q80" s="278">
        <f t="shared" ref="Q80:Q104" si="27">VLOOKUP(O80,craftedesp,3,FALSE)</f>
        <v>0</v>
      </c>
      <c r="R80" s="281" t="s">
        <v>926</v>
      </c>
      <c r="S80" s="285">
        <v>0</v>
      </c>
      <c r="T80" s="278">
        <f t="shared" ref="T80:T104" si="28">VLOOKUP(R80,craftedesp,3,FALSE)</f>
        <v>0</v>
      </c>
      <c r="U80" s="281" t="s">
        <v>926</v>
      </c>
      <c r="V80" s="285">
        <v>0</v>
      </c>
      <c r="W80" s="278">
        <f t="shared" ref="W80:W104" si="29">VLOOKUP(U80,craftedesp,3,FALSE)</f>
        <v>0</v>
      </c>
      <c r="X80" s="281" t="s">
        <v>926</v>
      </c>
      <c r="Y80" s="285">
        <v>0</v>
      </c>
      <c r="Z80" s="278">
        <f t="shared" ref="Z80:Z104" si="30">VLOOKUP(X80,craftedesp,3,FALSE)</f>
        <v>0</v>
      </c>
    </row>
    <row r="81" spans="1:26" x14ac:dyDescent="0.25">
      <c r="A81" s="355"/>
      <c r="B81" s="357"/>
      <c r="C81" s="32" t="s">
        <v>113</v>
      </c>
      <c r="D81" s="35">
        <f>'ECONOMIA &amp; PROFESIONES'!$Q$6</f>
        <v>8500</v>
      </c>
      <c r="E81" s="53">
        <f t="shared" ref="E81:E104" si="31">(H81*G81)+(K81*J81)+(M81*N81)+(P81*Q81)+(S81*T81)+(V81*W81)+(Y81*Z81)</f>
        <v>0</v>
      </c>
      <c r="F81" s="281" t="s">
        <v>926</v>
      </c>
      <c r="G81" s="285">
        <v>0</v>
      </c>
      <c r="H81" s="278">
        <f t="shared" si="24"/>
        <v>0</v>
      </c>
      <c r="I81" s="281" t="s">
        <v>926</v>
      </c>
      <c r="J81" s="285">
        <v>0</v>
      </c>
      <c r="K81" s="278">
        <f t="shared" si="25"/>
        <v>0</v>
      </c>
      <c r="L81" s="281" t="s">
        <v>926</v>
      </c>
      <c r="M81" s="285">
        <v>0</v>
      </c>
      <c r="N81" s="278">
        <f t="shared" si="26"/>
        <v>0</v>
      </c>
      <c r="O81" s="281" t="s">
        <v>926</v>
      </c>
      <c r="P81" s="285">
        <v>0</v>
      </c>
      <c r="Q81" s="278">
        <f t="shared" si="27"/>
        <v>0</v>
      </c>
      <c r="R81" s="281" t="s">
        <v>926</v>
      </c>
      <c r="S81" s="285">
        <v>0</v>
      </c>
      <c r="T81" s="278">
        <f t="shared" si="28"/>
        <v>0</v>
      </c>
      <c r="U81" s="281" t="s">
        <v>926</v>
      </c>
      <c r="V81" s="285">
        <v>0</v>
      </c>
      <c r="W81" s="278">
        <f t="shared" si="29"/>
        <v>0</v>
      </c>
      <c r="X81" s="281" t="s">
        <v>926</v>
      </c>
      <c r="Y81" s="285">
        <v>0</v>
      </c>
      <c r="Z81" s="278">
        <f t="shared" si="30"/>
        <v>0</v>
      </c>
    </row>
    <row r="82" spans="1:26" x14ac:dyDescent="0.25">
      <c r="A82" s="355"/>
      <c r="B82" s="357"/>
      <c r="C82" s="31" t="s">
        <v>114</v>
      </c>
      <c r="D82" s="35">
        <f>'ECONOMIA &amp; PROFESIONES'!$Q$7</f>
        <v>13300</v>
      </c>
      <c r="E82" s="53">
        <f t="shared" si="31"/>
        <v>0</v>
      </c>
      <c r="F82" s="281" t="s">
        <v>926</v>
      </c>
      <c r="G82" s="285">
        <v>0</v>
      </c>
      <c r="H82" s="278">
        <f t="shared" si="24"/>
        <v>0</v>
      </c>
      <c r="I82" s="281" t="s">
        <v>926</v>
      </c>
      <c r="J82" s="285">
        <v>0</v>
      </c>
      <c r="K82" s="278">
        <f t="shared" si="25"/>
        <v>0</v>
      </c>
      <c r="L82" s="281" t="s">
        <v>926</v>
      </c>
      <c r="M82" s="285">
        <v>0</v>
      </c>
      <c r="N82" s="278">
        <f t="shared" si="26"/>
        <v>0</v>
      </c>
      <c r="O82" s="281" t="s">
        <v>926</v>
      </c>
      <c r="P82" s="285">
        <v>0</v>
      </c>
      <c r="Q82" s="278">
        <f t="shared" si="27"/>
        <v>0</v>
      </c>
      <c r="R82" s="281" t="s">
        <v>926</v>
      </c>
      <c r="S82" s="285">
        <v>0</v>
      </c>
      <c r="T82" s="278">
        <f t="shared" si="28"/>
        <v>0</v>
      </c>
      <c r="U82" s="281" t="s">
        <v>926</v>
      </c>
      <c r="V82" s="285">
        <v>0</v>
      </c>
      <c r="W82" s="278">
        <f t="shared" si="29"/>
        <v>0</v>
      </c>
      <c r="X82" s="281" t="s">
        <v>926</v>
      </c>
      <c r="Y82" s="285">
        <v>0</v>
      </c>
      <c r="Z82" s="278">
        <f t="shared" si="30"/>
        <v>0</v>
      </c>
    </row>
    <row r="83" spans="1:26" x14ac:dyDescent="0.25">
      <c r="A83" s="355"/>
      <c r="B83" s="357"/>
      <c r="C83" s="32" t="s">
        <v>115</v>
      </c>
      <c r="D83" s="35">
        <f>'ECONOMIA &amp; PROFESIONES'!$Q$8</f>
        <v>11700</v>
      </c>
      <c r="E83" s="53">
        <f t="shared" si="31"/>
        <v>0</v>
      </c>
      <c r="F83" s="281" t="s">
        <v>926</v>
      </c>
      <c r="G83" s="285">
        <v>0</v>
      </c>
      <c r="H83" s="278">
        <f t="shared" si="24"/>
        <v>0</v>
      </c>
      <c r="I83" s="281" t="s">
        <v>926</v>
      </c>
      <c r="J83" s="285">
        <v>0</v>
      </c>
      <c r="K83" s="278">
        <f t="shared" si="25"/>
        <v>0</v>
      </c>
      <c r="L83" s="281" t="s">
        <v>926</v>
      </c>
      <c r="M83" s="285">
        <v>0</v>
      </c>
      <c r="N83" s="278">
        <f t="shared" si="26"/>
        <v>0</v>
      </c>
      <c r="O83" s="281" t="s">
        <v>926</v>
      </c>
      <c r="P83" s="285">
        <v>0</v>
      </c>
      <c r="Q83" s="278">
        <f t="shared" si="27"/>
        <v>0</v>
      </c>
      <c r="R83" s="281" t="s">
        <v>926</v>
      </c>
      <c r="S83" s="285">
        <v>0</v>
      </c>
      <c r="T83" s="278">
        <f t="shared" si="28"/>
        <v>0</v>
      </c>
      <c r="U83" s="281" t="s">
        <v>926</v>
      </c>
      <c r="V83" s="285">
        <v>0</v>
      </c>
      <c r="W83" s="278">
        <f t="shared" si="29"/>
        <v>0</v>
      </c>
      <c r="X83" s="281" t="s">
        <v>926</v>
      </c>
      <c r="Y83" s="285">
        <v>0</v>
      </c>
      <c r="Z83" s="278">
        <f t="shared" si="30"/>
        <v>0</v>
      </c>
    </row>
    <row r="84" spans="1:26" x14ac:dyDescent="0.25">
      <c r="A84" s="355"/>
      <c r="B84" s="358"/>
      <c r="C84" s="31" t="s">
        <v>116</v>
      </c>
      <c r="D84" s="35">
        <f>'ECONOMIA &amp; PROFESIONES'!$Q$9</f>
        <v>6900</v>
      </c>
      <c r="E84" s="53">
        <f t="shared" si="31"/>
        <v>0</v>
      </c>
      <c r="F84" s="281" t="s">
        <v>926</v>
      </c>
      <c r="G84" s="285">
        <v>0</v>
      </c>
      <c r="H84" s="278">
        <f t="shared" si="24"/>
        <v>0</v>
      </c>
      <c r="I84" s="281" t="s">
        <v>926</v>
      </c>
      <c r="J84" s="285">
        <v>0</v>
      </c>
      <c r="K84" s="278">
        <f t="shared" si="25"/>
        <v>0</v>
      </c>
      <c r="L84" s="281" t="s">
        <v>926</v>
      </c>
      <c r="M84" s="285">
        <v>0</v>
      </c>
      <c r="N84" s="278">
        <f t="shared" si="26"/>
        <v>0</v>
      </c>
      <c r="O84" s="281" t="s">
        <v>926</v>
      </c>
      <c r="P84" s="285">
        <v>0</v>
      </c>
      <c r="Q84" s="278">
        <f t="shared" si="27"/>
        <v>0</v>
      </c>
      <c r="R84" s="281" t="s">
        <v>926</v>
      </c>
      <c r="S84" s="285">
        <v>0</v>
      </c>
      <c r="T84" s="278">
        <f t="shared" si="28"/>
        <v>0</v>
      </c>
      <c r="U84" s="281" t="s">
        <v>926</v>
      </c>
      <c r="V84" s="285">
        <v>0</v>
      </c>
      <c r="W84" s="278">
        <f t="shared" si="29"/>
        <v>0</v>
      </c>
      <c r="X84" s="281" t="s">
        <v>926</v>
      </c>
      <c r="Y84" s="285">
        <v>0</v>
      </c>
      <c r="Z84" s="278">
        <f t="shared" si="30"/>
        <v>0</v>
      </c>
    </row>
    <row r="85" spans="1:26" x14ac:dyDescent="0.25">
      <c r="A85" s="355"/>
      <c r="B85" s="359" t="s">
        <v>1162</v>
      </c>
      <c r="C85" s="32" t="s">
        <v>6</v>
      </c>
      <c r="D85" s="35">
        <f>'ECONOMIA &amp; PROFESIONES'!$Q$10</f>
        <v>5250</v>
      </c>
      <c r="E85" s="53">
        <f t="shared" si="31"/>
        <v>0</v>
      </c>
      <c r="F85" s="281" t="s">
        <v>926</v>
      </c>
      <c r="G85" s="285">
        <v>0</v>
      </c>
      <c r="H85" s="278">
        <f t="shared" si="24"/>
        <v>0</v>
      </c>
      <c r="I85" s="281" t="s">
        <v>926</v>
      </c>
      <c r="J85" s="285">
        <v>0</v>
      </c>
      <c r="K85" s="278">
        <f t="shared" si="25"/>
        <v>0</v>
      </c>
      <c r="L85" s="281" t="s">
        <v>926</v>
      </c>
      <c r="M85" s="285">
        <v>0</v>
      </c>
      <c r="N85" s="278">
        <f t="shared" si="26"/>
        <v>0</v>
      </c>
      <c r="O85" s="281" t="s">
        <v>926</v>
      </c>
      <c r="P85" s="285">
        <v>0</v>
      </c>
      <c r="Q85" s="278">
        <f t="shared" si="27"/>
        <v>0</v>
      </c>
      <c r="R85" s="281" t="s">
        <v>926</v>
      </c>
      <c r="S85" s="285">
        <v>0</v>
      </c>
      <c r="T85" s="278">
        <f t="shared" si="28"/>
        <v>0</v>
      </c>
      <c r="U85" s="281" t="s">
        <v>926</v>
      </c>
      <c r="V85" s="285">
        <v>0</v>
      </c>
      <c r="W85" s="278">
        <f t="shared" si="29"/>
        <v>0</v>
      </c>
      <c r="X85" s="281" t="s">
        <v>926</v>
      </c>
      <c r="Y85" s="285">
        <v>0</v>
      </c>
      <c r="Z85" s="278">
        <f t="shared" si="30"/>
        <v>0</v>
      </c>
    </row>
    <row r="86" spans="1:26" x14ac:dyDescent="0.25">
      <c r="A86" s="355"/>
      <c r="B86" s="360"/>
      <c r="C86" s="31" t="s">
        <v>113</v>
      </c>
      <c r="D86" s="35">
        <f>'ECONOMIA &amp; PROFESIONES'!$Q$11</f>
        <v>10125</v>
      </c>
      <c r="E86" s="53">
        <f t="shared" si="31"/>
        <v>0</v>
      </c>
      <c r="F86" s="281" t="s">
        <v>926</v>
      </c>
      <c r="G86" s="285">
        <v>0</v>
      </c>
      <c r="H86" s="278">
        <f t="shared" si="24"/>
        <v>0</v>
      </c>
      <c r="I86" s="281" t="s">
        <v>926</v>
      </c>
      <c r="J86" s="285">
        <v>0</v>
      </c>
      <c r="K86" s="278">
        <f t="shared" si="25"/>
        <v>0</v>
      </c>
      <c r="L86" s="281" t="s">
        <v>926</v>
      </c>
      <c r="M86" s="285">
        <v>0</v>
      </c>
      <c r="N86" s="278">
        <f t="shared" si="26"/>
        <v>0</v>
      </c>
      <c r="O86" s="281" t="s">
        <v>926</v>
      </c>
      <c r="P86" s="285">
        <v>0</v>
      </c>
      <c r="Q86" s="278">
        <f t="shared" si="27"/>
        <v>0</v>
      </c>
      <c r="R86" s="281" t="s">
        <v>926</v>
      </c>
      <c r="S86" s="285">
        <v>0</v>
      </c>
      <c r="T86" s="278">
        <f t="shared" si="28"/>
        <v>0</v>
      </c>
      <c r="U86" s="281" t="s">
        <v>926</v>
      </c>
      <c r="V86" s="285">
        <v>0</v>
      </c>
      <c r="W86" s="278">
        <f t="shared" si="29"/>
        <v>0</v>
      </c>
      <c r="X86" s="281" t="s">
        <v>926</v>
      </c>
      <c r="Y86" s="285">
        <v>0</v>
      </c>
      <c r="Z86" s="278">
        <f t="shared" si="30"/>
        <v>0</v>
      </c>
    </row>
    <row r="87" spans="1:26" x14ac:dyDescent="0.25">
      <c r="A87" s="355"/>
      <c r="B87" s="360"/>
      <c r="C87" s="32" t="s">
        <v>114</v>
      </c>
      <c r="D87" s="35">
        <f>'ECONOMIA &amp; PROFESIONES'!$Q$12</f>
        <v>15000</v>
      </c>
      <c r="E87" s="53">
        <f t="shared" si="31"/>
        <v>0</v>
      </c>
      <c r="F87" s="281" t="s">
        <v>926</v>
      </c>
      <c r="G87" s="285">
        <v>0</v>
      </c>
      <c r="H87" s="278">
        <f t="shared" si="24"/>
        <v>0</v>
      </c>
      <c r="I87" s="281" t="s">
        <v>926</v>
      </c>
      <c r="J87" s="285">
        <v>0</v>
      </c>
      <c r="K87" s="278">
        <f t="shared" si="25"/>
        <v>0</v>
      </c>
      <c r="L87" s="281" t="s">
        <v>926</v>
      </c>
      <c r="M87" s="285">
        <v>0</v>
      </c>
      <c r="N87" s="278">
        <f t="shared" si="26"/>
        <v>0</v>
      </c>
      <c r="O87" s="281" t="s">
        <v>926</v>
      </c>
      <c r="P87" s="285">
        <v>0</v>
      </c>
      <c r="Q87" s="278">
        <f t="shared" si="27"/>
        <v>0</v>
      </c>
      <c r="R87" s="281" t="s">
        <v>926</v>
      </c>
      <c r="S87" s="285">
        <v>0</v>
      </c>
      <c r="T87" s="278">
        <f t="shared" si="28"/>
        <v>0</v>
      </c>
      <c r="U87" s="281" t="s">
        <v>926</v>
      </c>
      <c r="V87" s="285">
        <v>0</v>
      </c>
      <c r="W87" s="278">
        <f t="shared" si="29"/>
        <v>0</v>
      </c>
      <c r="X87" s="281" t="s">
        <v>926</v>
      </c>
      <c r="Y87" s="285">
        <v>0</v>
      </c>
      <c r="Z87" s="278">
        <f t="shared" si="30"/>
        <v>0</v>
      </c>
    </row>
    <row r="88" spans="1:26" x14ac:dyDescent="0.25">
      <c r="A88" s="355"/>
      <c r="B88" s="360"/>
      <c r="C88" s="31" t="s">
        <v>115</v>
      </c>
      <c r="D88" s="35">
        <f>'ECONOMIA &amp; PROFESIONES'!$Q$13</f>
        <v>13375</v>
      </c>
      <c r="E88" s="53">
        <f t="shared" si="31"/>
        <v>0</v>
      </c>
      <c r="F88" s="281" t="s">
        <v>926</v>
      </c>
      <c r="G88" s="285">
        <v>0</v>
      </c>
      <c r="H88" s="278">
        <f t="shared" si="24"/>
        <v>0</v>
      </c>
      <c r="I88" s="281" t="s">
        <v>926</v>
      </c>
      <c r="J88" s="285">
        <v>0</v>
      </c>
      <c r="K88" s="278">
        <f t="shared" si="25"/>
        <v>0</v>
      </c>
      <c r="L88" s="281" t="s">
        <v>926</v>
      </c>
      <c r="M88" s="285">
        <v>0</v>
      </c>
      <c r="N88" s="278">
        <f t="shared" si="26"/>
        <v>0</v>
      </c>
      <c r="O88" s="281" t="s">
        <v>926</v>
      </c>
      <c r="P88" s="285">
        <v>0</v>
      </c>
      <c r="Q88" s="278">
        <f t="shared" si="27"/>
        <v>0</v>
      </c>
      <c r="R88" s="281" t="s">
        <v>926</v>
      </c>
      <c r="S88" s="285">
        <v>0</v>
      </c>
      <c r="T88" s="278">
        <f t="shared" si="28"/>
        <v>0</v>
      </c>
      <c r="U88" s="281" t="s">
        <v>926</v>
      </c>
      <c r="V88" s="285">
        <v>0</v>
      </c>
      <c r="W88" s="278">
        <f t="shared" si="29"/>
        <v>0</v>
      </c>
      <c r="X88" s="281" t="s">
        <v>926</v>
      </c>
      <c r="Y88" s="285">
        <v>0</v>
      </c>
      <c r="Z88" s="278">
        <f t="shared" si="30"/>
        <v>0</v>
      </c>
    </row>
    <row r="89" spans="1:26" x14ac:dyDescent="0.25">
      <c r="A89" s="355"/>
      <c r="B89" s="361"/>
      <c r="C89" s="32" t="s">
        <v>116</v>
      </c>
      <c r="D89" s="35">
        <f>'ECONOMIA &amp; PROFESIONES'!$Q$14</f>
        <v>8500</v>
      </c>
      <c r="E89" s="53">
        <f t="shared" si="31"/>
        <v>0</v>
      </c>
      <c r="F89" s="281" t="s">
        <v>926</v>
      </c>
      <c r="G89" s="285">
        <v>0</v>
      </c>
      <c r="H89" s="278">
        <f t="shared" si="24"/>
        <v>0</v>
      </c>
      <c r="I89" s="281" t="s">
        <v>926</v>
      </c>
      <c r="J89" s="285">
        <v>0</v>
      </c>
      <c r="K89" s="278">
        <f t="shared" si="25"/>
        <v>0</v>
      </c>
      <c r="L89" s="281" t="s">
        <v>926</v>
      </c>
      <c r="M89" s="285">
        <v>0</v>
      </c>
      <c r="N89" s="278">
        <f t="shared" si="26"/>
        <v>0</v>
      </c>
      <c r="O89" s="281" t="s">
        <v>926</v>
      </c>
      <c r="P89" s="285">
        <v>0</v>
      </c>
      <c r="Q89" s="278">
        <f t="shared" si="27"/>
        <v>0</v>
      </c>
      <c r="R89" s="281" t="s">
        <v>926</v>
      </c>
      <c r="S89" s="285">
        <v>0</v>
      </c>
      <c r="T89" s="278">
        <f t="shared" si="28"/>
        <v>0</v>
      </c>
      <c r="U89" s="281" t="s">
        <v>926</v>
      </c>
      <c r="V89" s="285">
        <v>0</v>
      </c>
      <c r="W89" s="278">
        <f t="shared" si="29"/>
        <v>0</v>
      </c>
      <c r="X89" s="281" t="s">
        <v>926</v>
      </c>
      <c r="Y89" s="285">
        <v>0</v>
      </c>
      <c r="Z89" s="278">
        <f t="shared" si="30"/>
        <v>0</v>
      </c>
    </row>
    <row r="90" spans="1:26" x14ac:dyDescent="0.25">
      <c r="A90" s="355"/>
      <c r="B90" s="362" t="s">
        <v>1231</v>
      </c>
      <c r="C90" s="31" t="s">
        <v>6</v>
      </c>
      <c r="D90" s="35">
        <f>'ECONOMIA &amp; PROFESIONES'!$Q$15</f>
        <v>6850</v>
      </c>
      <c r="E90" s="53">
        <f t="shared" si="31"/>
        <v>0</v>
      </c>
      <c r="F90" s="281" t="s">
        <v>926</v>
      </c>
      <c r="G90" s="285">
        <v>0</v>
      </c>
      <c r="H90" s="278">
        <f t="shared" si="24"/>
        <v>0</v>
      </c>
      <c r="I90" s="281" t="s">
        <v>926</v>
      </c>
      <c r="J90" s="285">
        <v>0</v>
      </c>
      <c r="K90" s="278">
        <f t="shared" si="25"/>
        <v>0</v>
      </c>
      <c r="L90" s="281" t="s">
        <v>926</v>
      </c>
      <c r="M90" s="285">
        <v>0</v>
      </c>
      <c r="N90" s="278">
        <f t="shared" si="26"/>
        <v>0</v>
      </c>
      <c r="O90" s="281" t="s">
        <v>926</v>
      </c>
      <c r="P90" s="285">
        <v>0</v>
      </c>
      <c r="Q90" s="278">
        <f t="shared" si="27"/>
        <v>0</v>
      </c>
      <c r="R90" s="281" t="s">
        <v>926</v>
      </c>
      <c r="S90" s="285">
        <v>0</v>
      </c>
      <c r="T90" s="278">
        <f t="shared" si="28"/>
        <v>0</v>
      </c>
      <c r="U90" s="281" t="s">
        <v>926</v>
      </c>
      <c r="V90" s="285">
        <v>0</v>
      </c>
      <c r="W90" s="278">
        <f t="shared" si="29"/>
        <v>0</v>
      </c>
      <c r="X90" s="281" t="s">
        <v>926</v>
      </c>
      <c r="Y90" s="285">
        <v>0</v>
      </c>
      <c r="Z90" s="278">
        <f t="shared" si="30"/>
        <v>0</v>
      </c>
    </row>
    <row r="91" spans="1:26" x14ac:dyDescent="0.25">
      <c r="A91" s="355"/>
      <c r="B91" s="363"/>
      <c r="C91" s="32" t="s">
        <v>113</v>
      </c>
      <c r="D91" s="35">
        <f>'ECONOMIA &amp; PROFESIONES'!$Q$16</f>
        <v>11875</v>
      </c>
      <c r="E91" s="53">
        <f t="shared" si="31"/>
        <v>0</v>
      </c>
      <c r="F91" s="281" t="s">
        <v>926</v>
      </c>
      <c r="G91" s="285">
        <v>0</v>
      </c>
      <c r="H91" s="278">
        <f t="shared" si="24"/>
        <v>0</v>
      </c>
      <c r="I91" s="281" t="s">
        <v>926</v>
      </c>
      <c r="J91" s="285">
        <v>0</v>
      </c>
      <c r="K91" s="278">
        <f t="shared" si="25"/>
        <v>0</v>
      </c>
      <c r="L91" s="281" t="s">
        <v>926</v>
      </c>
      <c r="M91" s="285">
        <v>0</v>
      </c>
      <c r="N91" s="278">
        <f t="shared" si="26"/>
        <v>0</v>
      </c>
      <c r="O91" s="281" t="s">
        <v>926</v>
      </c>
      <c r="P91" s="285">
        <v>0</v>
      </c>
      <c r="Q91" s="278">
        <f t="shared" si="27"/>
        <v>0</v>
      </c>
      <c r="R91" s="281" t="s">
        <v>926</v>
      </c>
      <c r="S91" s="285">
        <v>0</v>
      </c>
      <c r="T91" s="278">
        <f t="shared" si="28"/>
        <v>0</v>
      </c>
      <c r="U91" s="281" t="s">
        <v>926</v>
      </c>
      <c r="V91" s="285">
        <v>0</v>
      </c>
      <c r="W91" s="278">
        <f t="shared" si="29"/>
        <v>0</v>
      </c>
      <c r="X91" s="281" t="s">
        <v>926</v>
      </c>
      <c r="Y91" s="285">
        <v>0</v>
      </c>
      <c r="Z91" s="278">
        <f t="shared" si="30"/>
        <v>0</v>
      </c>
    </row>
    <row r="92" spans="1:26" x14ac:dyDescent="0.25">
      <c r="A92" s="355"/>
      <c r="B92" s="363"/>
      <c r="C92" s="31" t="s">
        <v>114</v>
      </c>
      <c r="D92" s="35">
        <f>'ECONOMIA &amp; PROFESIONES'!$Q$17</f>
        <v>16900</v>
      </c>
      <c r="E92" s="53">
        <f t="shared" si="31"/>
        <v>0</v>
      </c>
      <c r="F92" s="281" t="s">
        <v>926</v>
      </c>
      <c r="G92" s="285">
        <v>0</v>
      </c>
      <c r="H92" s="278">
        <f t="shared" si="24"/>
        <v>0</v>
      </c>
      <c r="I92" s="281" t="s">
        <v>926</v>
      </c>
      <c r="J92" s="285">
        <v>0</v>
      </c>
      <c r="K92" s="278">
        <f t="shared" si="25"/>
        <v>0</v>
      </c>
      <c r="L92" s="281" t="s">
        <v>926</v>
      </c>
      <c r="M92" s="285">
        <v>0</v>
      </c>
      <c r="N92" s="278">
        <f t="shared" si="26"/>
        <v>0</v>
      </c>
      <c r="O92" s="281" t="s">
        <v>926</v>
      </c>
      <c r="P92" s="285">
        <v>0</v>
      </c>
      <c r="Q92" s="278">
        <f t="shared" si="27"/>
        <v>0</v>
      </c>
      <c r="R92" s="281" t="s">
        <v>926</v>
      </c>
      <c r="S92" s="285">
        <v>0</v>
      </c>
      <c r="T92" s="278">
        <f t="shared" si="28"/>
        <v>0</v>
      </c>
      <c r="U92" s="281" t="s">
        <v>926</v>
      </c>
      <c r="V92" s="285">
        <v>0</v>
      </c>
      <c r="W92" s="278">
        <f t="shared" si="29"/>
        <v>0</v>
      </c>
      <c r="X92" s="281" t="s">
        <v>926</v>
      </c>
      <c r="Y92" s="285">
        <v>0</v>
      </c>
      <c r="Z92" s="278">
        <f t="shared" si="30"/>
        <v>0</v>
      </c>
    </row>
    <row r="93" spans="1:26" x14ac:dyDescent="0.25">
      <c r="A93" s="355"/>
      <c r="B93" s="362"/>
      <c r="C93" s="32" t="s">
        <v>115</v>
      </c>
      <c r="D93" s="35">
        <f>'ECONOMIA &amp; PROFESIONES'!$Q$18</f>
        <v>15225</v>
      </c>
      <c r="E93" s="53">
        <f t="shared" si="31"/>
        <v>0</v>
      </c>
      <c r="F93" s="281" t="s">
        <v>926</v>
      </c>
      <c r="G93" s="285">
        <v>0</v>
      </c>
      <c r="H93" s="278">
        <f t="shared" si="24"/>
        <v>0</v>
      </c>
      <c r="I93" s="281" t="s">
        <v>926</v>
      </c>
      <c r="J93" s="285">
        <v>0</v>
      </c>
      <c r="K93" s="278">
        <f t="shared" si="25"/>
        <v>0</v>
      </c>
      <c r="L93" s="281" t="s">
        <v>926</v>
      </c>
      <c r="M93" s="285">
        <v>0</v>
      </c>
      <c r="N93" s="278">
        <f t="shared" si="26"/>
        <v>0</v>
      </c>
      <c r="O93" s="281" t="s">
        <v>926</v>
      </c>
      <c r="P93" s="285">
        <v>0</v>
      </c>
      <c r="Q93" s="278">
        <f t="shared" si="27"/>
        <v>0</v>
      </c>
      <c r="R93" s="281" t="s">
        <v>926</v>
      </c>
      <c r="S93" s="285">
        <v>0</v>
      </c>
      <c r="T93" s="278">
        <f t="shared" si="28"/>
        <v>0</v>
      </c>
      <c r="U93" s="281" t="s">
        <v>926</v>
      </c>
      <c r="V93" s="285">
        <v>0</v>
      </c>
      <c r="W93" s="278">
        <f t="shared" si="29"/>
        <v>0</v>
      </c>
      <c r="X93" s="281" t="s">
        <v>926</v>
      </c>
      <c r="Y93" s="285">
        <v>0</v>
      </c>
      <c r="Z93" s="278">
        <f t="shared" si="30"/>
        <v>0</v>
      </c>
    </row>
    <row r="94" spans="1:26" x14ac:dyDescent="0.25">
      <c r="A94" s="355"/>
      <c r="B94" s="362"/>
      <c r="C94" s="31" t="s">
        <v>116</v>
      </c>
      <c r="D94" s="35">
        <f>'ECONOMIA &amp; PROFESIONES'!$Q$19</f>
        <v>10200</v>
      </c>
      <c r="E94" s="53">
        <f t="shared" si="31"/>
        <v>0</v>
      </c>
      <c r="F94" s="281" t="s">
        <v>926</v>
      </c>
      <c r="G94" s="285">
        <v>0</v>
      </c>
      <c r="H94" s="278">
        <f t="shared" si="24"/>
        <v>0</v>
      </c>
      <c r="I94" s="281" t="s">
        <v>926</v>
      </c>
      <c r="J94" s="285">
        <v>0</v>
      </c>
      <c r="K94" s="278">
        <f t="shared" si="25"/>
        <v>0</v>
      </c>
      <c r="L94" s="281" t="s">
        <v>926</v>
      </c>
      <c r="M94" s="285">
        <v>0</v>
      </c>
      <c r="N94" s="278">
        <f t="shared" si="26"/>
        <v>0</v>
      </c>
      <c r="O94" s="281" t="s">
        <v>926</v>
      </c>
      <c r="P94" s="285">
        <v>0</v>
      </c>
      <c r="Q94" s="278">
        <f t="shared" si="27"/>
        <v>0</v>
      </c>
      <c r="R94" s="281" t="s">
        <v>926</v>
      </c>
      <c r="S94" s="285">
        <v>0</v>
      </c>
      <c r="T94" s="278">
        <f t="shared" si="28"/>
        <v>0</v>
      </c>
      <c r="U94" s="281" t="s">
        <v>926</v>
      </c>
      <c r="V94" s="285">
        <v>0</v>
      </c>
      <c r="W94" s="278">
        <f t="shared" si="29"/>
        <v>0</v>
      </c>
      <c r="X94" s="281" t="s">
        <v>926</v>
      </c>
      <c r="Y94" s="285">
        <v>0</v>
      </c>
      <c r="Z94" s="278">
        <f t="shared" si="30"/>
        <v>0</v>
      </c>
    </row>
    <row r="95" spans="1:26" x14ac:dyDescent="0.25">
      <c r="A95" s="355"/>
      <c r="B95" s="364" t="s">
        <v>1232</v>
      </c>
      <c r="C95" s="32" t="s">
        <v>6</v>
      </c>
      <c r="D95" s="35">
        <f>'ECONOMIA &amp; PROFESIONES'!$Q$20</f>
        <v>8450</v>
      </c>
      <c r="E95" s="53">
        <f t="shared" si="31"/>
        <v>0</v>
      </c>
      <c r="F95" s="281" t="s">
        <v>926</v>
      </c>
      <c r="G95" s="285">
        <v>0</v>
      </c>
      <c r="H95" s="278">
        <f t="shared" si="24"/>
        <v>0</v>
      </c>
      <c r="I95" s="281" t="s">
        <v>926</v>
      </c>
      <c r="J95" s="285">
        <v>0</v>
      </c>
      <c r="K95" s="278">
        <f t="shared" si="25"/>
        <v>0</v>
      </c>
      <c r="L95" s="281" t="s">
        <v>926</v>
      </c>
      <c r="M95" s="285">
        <v>0</v>
      </c>
      <c r="N95" s="278">
        <f t="shared" si="26"/>
        <v>0</v>
      </c>
      <c r="O95" s="281" t="s">
        <v>926</v>
      </c>
      <c r="P95" s="285">
        <v>0</v>
      </c>
      <c r="Q95" s="278">
        <f t="shared" si="27"/>
        <v>0</v>
      </c>
      <c r="R95" s="281" t="s">
        <v>926</v>
      </c>
      <c r="S95" s="285">
        <v>0</v>
      </c>
      <c r="T95" s="278">
        <f t="shared" si="28"/>
        <v>0</v>
      </c>
      <c r="U95" s="281" t="s">
        <v>926</v>
      </c>
      <c r="V95" s="285">
        <v>0</v>
      </c>
      <c r="W95" s="278">
        <f t="shared" si="29"/>
        <v>0</v>
      </c>
      <c r="X95" s="281" t="s">
        <v>926</v>
      </c>
      <c r="Y95" s="285">
        <v>0</v>
      </c>
      <c r="Z95" s="278">
        <f t="shared" si="30"/>
        <v>0</v>
      </c>
    </row>
    <row r="96" spans="1:26" x14ac:dyDescent="0.25">
      <c r="A96" s="355"/>
      <c r="B96" s="365"/>
      <c r="C96" s="31" t="s">
        <v>113</v>
      </c>
      <c r="D96" s="35">
        <f>'ECONOMIA &amp; PROFESIONES'!$Q$21</f>
        <v>13625</v>
      </c>
      <c r="E96" s="53">
        <f t="shared" si="31"/>
        <v>0</v>
      </c>
      <c r="F96" s="281" t="s">
        <v>926</v>
      </c>
      <c r="G96" s="285">
        <v>0</v>
      </c>
      <c r="H96" s="278">
        <f t="shared" si="24"/>
        <v>0</v>
      </c>
      <c r="I96" s="281" t="s">
        <v>926</v>
      </c>
      <c r="J96" s="285">
        <v>0</v>
      </c>
      <c r="K96" s="278">
        <f t="shared" si="25"/>
        <v>0</v>
      </c>
      <c r="L96" s="281" t="s">
        <v>926</v>
      </c>
      <c r="M96" s="285">
        <v>0</v>
      </c>
      <c r="N96" s="278">
        <f t="shared" si="26"/>
        <v>0</v>
      </c>
      <c r="O96" s="281" t="s">
        <v>926</v>
      </c>
      <c r="P96" s="285">
        <v>0</v>
      </c>
      <c r="Q96" s="278">
        <f t="shared" si="27"/>
        <v>0</v>
      </c>
      <c r="R96" s="281" t="s">
        <v>926</v>
      </c>
      <c r="S96" s="285">
        <v>0</v>
      </c>
      <c r="T96" s="278">
        <f t="shared" si="28"/>
        <v>0</v>
      </c>
      <c r="U96" s="281" t="s">
        <v>926</v>
      </c>
      <c r="V96" s="285">
        <v>0</v>
      </c>
      <c r="W96" s="278">
        <f t="shared" si="29"/>
        <v>0</v>
      </c>
      <c r="X96" s="281" t="s">
        <v>926</v>
      </c>
      <c r="Y96" s="285">
        <v>0</v>
      </c>
      <c r="Z96" s="278">
        <f t="shared" si="30"/>
        <v>0</v>
      </c>
    </row>
    <row r="97" spans="1:26" x14ac:dyDescent="0.25">
      <c r="A97" s="355"/>
      <c r="B97" s="365"/>
      <c r="C97" s="32" t="s">
        <v>114</v>
      </c>
      <c r="D97" s="35">
        <f>'ECONOMIA &amp; PROFESIONES'!$Q$22</f>
        <v>18800</v>
      </c>
      <c r="E97" s="53">
        <f t="shared" si="31"/>
        <v>0</v>
      </c>
      <c r="F97" s="281" t="s">
        <v>926</v>
      </c>
      <c r="G97" s="285">
        <v>0</v>
      </c>
      <c r="H97" s="278">
        <f t="shared" si="24"/>
        <v>0</v>
      </c>
      <c r="I97" s="281" t="s">
        <v>926</v>
      </c>
      <c r="J97" s="285">
        <v>0</v>
      </c>
      <c r="K97" s="278">
        <f t="shared" si="25"/>
        <v>0</v>
      </c>
      <c r="L97" s="281" t="s">
        <v>926</v>
      </c>
      <c r="M97" s="285">
        <v>0</v>
      </c>
      <c r="N97" s="278">
        <f t="shared" si="26"/>
        <v>0</v>
      </c>
      <c r="O97" s="281" t="s">
        <v>926</v>
      </c>
      <c r="P97" s="285">
        <v>0</v>
      </c>
      <c r="Q97" s="278">
        <f t="shared" si="27"/>
        <v>0</v>
      </c>
      <c r="R97" s="281" t="s">
        <v>926</v>
      </c>
      <c r="S97" s="285">
        <v>0</v>
      </c>
      <c r="T97" s="278">
        <f t="shared" si="28"/>
        <v>0</v>
      </c>
      <c r="U97" s="281" t="s">
        <v>926</v>
      </c>
      <c r="V97" s="285">
        <v>0</v>
      </c>
      <c r="W97" s="278">
        <f t="shared" si="29"/>
        <v>0</v>
      </c>
      <c r="X97" s="281" t="s">
        <v>926</v>
      </c>
      <c r="Y97" s="285">
        <v>0</v>
      </c>
      <c r="Z97" s="278">
        <f t="shared" si="30"/>
        <v>0</v>
      </c>
    </row>
    <row r="98" spans="1:26" x14ac:dyDescent="0.25">
      <c r="A98" s="355"/>
      <c r="B98" s="360"/>
      <c r="C98" s="31" t="s">
        <v>115</v>
      </c>
      <c r="D98" s="35">
        <f>'ECONOMIA &amp; PROFESIONES'!$Q$23</f>
        <v>17075</v>
      </c>
      <c r="E98" s="53">
        <f t="shared" si="31"/>
        <v>0</v>
      </c>
      <c r="F98" s="281" t="s">
        <v>926</v>
      </c>
      <c r="G98" s="285">
        <v>0</v>
      </c>
      <c r="H98" s="278">
        <f t="shared" si="24"/>
        <v>0</v>
      </c>
      <c r="I98" s="281" t="s">
        <v>926</v>
      </c>
      <c r="J98" s="285">
        <v>0</v>
      </c>
      <c r="K98" s="278">
        <f t="shared" si="25"/>
        <v>0</v>
      </c>
      <c r="L98" s="281" t="s">
        <v>926</v>
      </c>
      <c r="M98" s="285">
        <v>0</v>
      </c>
      <c r="N98" s="278">
        <f t="shared" si="26"/>
        <v>0</v>
      </c>
      <c r="O98" s="281" t="s">
        <v>926</v>
      </c>
      <c r="P98" s="285">
        <v>0</v>
      </c>
      <c r="Q98" s="278">
        <f t="shared" si="27"/>
        <v>0</v>
      </c>
      <c r="R98" s="281" t="s">
        <v>926</v>
      </c>
      <c r="S98" s="285">
        <v>0</v>
      </c>
      <c r="T98" s="278">
        <f t="shared" si="28"/>
        <v>0</v>
      </c>
      <c r="U98" s="281" t="s">
        <v>926</v>
      </c>
      <c r="V98" s="285">
        <v>0</v>
      </c>
      <c r="W98" s="278">
        <f t="shared" si="29"/>
        <v>0</v>
      </c>
      <c r="X98" s="281" t="s">
        <v>926</v>
      </c>
      <c r="Y98" s="285">
        <v>0</v>
      </c>
      <c r="Z98" s="278">
        <f t="shared" si="30"/>
        <v>0</v>
      </c>
    </row>
    <row r="99" spans="1:26" x14ac:dyDescent="0.25">
      <c r="A99" s="355"/>
      <c r="B99" s="366"/>
      <c r="C99" s="32" t="s">
        <v>116</v>
      </c>
      <c r="D99" s="35">
        <f>'ECONOMIA &amp; PROFESIONES'!$Q$24</f>
        <v>11900</v>
      </c>
      <c r="E99" s="53">
        <f t="shared" si="31"/>
        <v>0</v>
      </c>
      <c r="F99" s="281" t="s">
        <v>926</v>
      </c>
      <c r="G99" s="285">
        <v>0</v>
      </c>
      <c r="H99" s="278">
        <f t="shared" si="24"/>
        <v>0</v>
      </c>
      <c r="I99" s="281" t="s">
        <v>926</v>
      </c>
      <c r="J99" s="285">
        <v>0</v>
      </c>
      <c r="K99" s="278">
        <f t="shared" si="25"/>
        <v>0</v>
      </c>
      <c r="L99" s="281" t="s">
        <v>926</v>
      </c>
      <c r="M99" s="285">
        <v>0</v>
      </c>
      <c r="N99" s="278">
        <f t="shared" si="26"/>
        <v>0</v>
      </c>
      <c r="O99" s="281" t="s">
        <v>926</v>
      </c>
      <c r="P99" s="285">
        <v>0</v>
      </c>
      <c r="Q99" s="278">
        <f t="shared" si="27"/>
        <v>0</v>
      </c>
      <c r="R99" s="281" t="s">
        <v>926</v>
      </c>
      <c r="S99" s="285">
        <v>0</v>
      </c>
      <c r="T99" s="278">
        <f t="shared" si="28"/>
        <v>0</v>
      </c>
      <c r="U99" s="281" t="s">
        <v>926</v>
      </c>
      <c r="V99" s="285">
        <v>0</v>
      </c>
      <c r="W99" s="278">
        <f t="shared" si="29"/>
        <v>0</v>
      </c>
      <c r="X99" s="281" t="s">
        <v>926</v>
      </c>
      <c r="Y99" s="285">
        <v>0</v>
      </c>
      <c r="Z99" s="278">
        <f t="shared" si="30"/>
        <v>0</v>
      </c>
    </row>
    <row r="100" spans="1:26" x14ac:dyDescent="0.25">
      <c r="A100" s="355"/>
      <c r="B100" s="362" t="s">
        <v>1230</v>
      </c>
      <c r="C100" s="31" t="s">
        <v>6</v>
      </c>
      <c r="D100" s="35">
        <f>'ECONOMIA &amp; PROFESIONES'!$Q$25</f>
        <v>10050</v>
      </c>
      <c r="E100" s="53">
        <f t="shared" si="31"/>
        <v>0</v>
      </c>
      <c r="F100" s="281" t="s">
        <v>926</v>
      </c>
      <c r="G100" s="285">
        <v>0</v>
      </c>
      <c r="H100" s="278">
        <f t="shared" si="24"/>
        <v>0</v>
      </c>
      <c r="I100" s="281" t="s">
        <v>926</v>
      </c>
      <c r="J100" s="285">
        <v>0</v>
      </c>
      <c r="K100" s="278">
        <f t="shared" si="25"/>
        <v>0</v>
      </c>
      <c r="L100" s="281" t="s">
        <v>926</v>
      </c>
      <c r="M100" s="285">
        <v>0</v>
      </c>
      <c r="N100" s="278">
        <f t="shared" si="26"/>
        <v>0</v>
      </c>
      <c r="O100" s="281" t="s">
        <v>926</v>
      </c>
      <c r="P100" s="285">
        <v>0</v>
      </c>
      <c r="Q100" s="278">
        <f t="shared" si="27"/>
        <v>0</v>
      </c>
      <c r="R100" s="281" t="s">
        <v>926</v>
      </c>
      <c r="S100" s="285">
        <v>0</v>
      </c>
      <c r="T100" s="278">
        <f t="shared" si="28"/>
        <v>0</v>
      </c>
      <c r="U100" s="281" t="s">
        <v>926</v>
      </c>
      <c r="V100" s="285">
        <v>0</v>
      </c>
      <c r="W100" s="278">
        <f t="shared" si="29"/>
        <v>0</v>
      </c>
      <c r="X100" s="281" t="s">
        <v>926</v>
      </c>
      <c r="Y100" s="285">
        <v>0</v>
      </c>
      <c r="Z100" s="278">
        <f t="shared" si="30"/>
        <v>0</v>
      </c>
    </row>
    <row r="101" spans="1:26" x14ac:dyDescent="0.25">
      <c r="A101" s="355"/>
      <c r="B101" s="362"/>
      <c r="C101" s="32" t="s">
        <v>113</v>
      </c>
      <c r="D101" s="35">
        <f>'ECONOMIA &amp; PROFESIONES'!$Q$26</f>
        <v>15375</v>
      </c>
      <c r="E101" s="53">
        <f t="shared" si="31"/>
        <v>0</v>
      </c>
      <c r="F101" s="281" t="s">
        <v>926</v>
      </c>
      <c r="G101" s="285">
        <v>0</v>
      </c>
      <c r="H101" s="278">
        <f t="shared" si="24"/>
        <v>0</v>
      </c>
      <c r="I101" s="281" t="s">
        <v>926</v>
      </c>
      <c r="J101" s="285">
        <v>0</v>
      </c>
      <c r="K101" s="278">
        <f t="shared" si="25"/>
        <v>0</v>
      </c>
      <c r="L101" s="281" t="s">
        <v>926</v>
      </c>
      <c r="M101" s="285">
        <v>0</v>
      </c>
      <c r="N101" s="278">
        <f t="shared" si="26"/>
        <v>0</v>
      </c>
      <c r="O101" s="281" t="s">
        <v>926</v>
      </c>
      <c r="P101" s="285">
        <v>0</v>
      </c>
      <c r="Q101" s="278">
        <f t="shared" si="27"/>
        <v>0</v>
      </c>
      <c r="R101" s="281" t="s">
        <v>926</v>
      </c>
      <c r="S101" s="285">
        <v>0</v>
      </c>
      <c r="T101" s="278">
        <f t="shared" si="28"/>
        <v>0</v>
      </c>
      <c r="U101" s="281" t="s">
        <v>926</v>
      </c>
      <c r="V101" s="285">
        <v>0</v>
      </c>
      <c r="W101" s="278">
        <f t="shared" si="29"/>
        <v>0</v>
      </c>
      <c r="X101" s="281" t="s">
        <v>926</v>
      </c>
      <c r="Y101" s="285">
        <v>0</v>
      </c>
      <c r="Z101" s="278">
        <f t="shared" si="30"/>
        <v>0</v>
      </c>
    </row>
    <row r="102" spans="1:26" x14ac:dyDescent="0.25">
      <c r="A102" s="355"/>
      <c r="B102" s="362"/>
      <c r="C102" s="31" t="s">
        <v>114</v>
      </c>
      <c r="D102" s="35">
        <f>'ECONOMIA &amp; PROFESIONES'!$Q$27</f>
        <v>20700</v>
      </c>
      <c r="E102" s="53">
        <f t="shared" si="31"/>
        <v>0</v>
      </c>
      <c r="F102" s="281" t="s">
        <v>926</v>
      </c>
      <c r="G102" s="285">
        <v>0</v>
      </c>
      <c r="H102" s="278">
        <f t="shared" si="24"/>
        <v>0</v>
      </c>
      <c r="I102" s="281" t="s">
        <v>926</v>
      </c>
      <c r="J102" s="285">
        <v>0</v>
      </c>
      <c r="K102" s="278">
        <f t="shared" si="25"/>
        <v>0</v>
      </c>
      <c r="L102" s="281" t="s">
        <v>926</v>
      </c>
      <c r="M102" s="285">
        <v>0</v>
      </c>
      <c r="N102" s="278">
        <f t="shared" si="26"/>
        <v>0</v>
      </c>
      <c r="O102" s="281" t="s">
        <v>926</v>
      </c>
      <c r="P102" s="285">
        <v>0</v>
      </c>
      <c r="Q102" s="278">
        <f t="shared" si="27"/>
        <v>0</v>
      </c>
      <c r="R102" s="281" t="s">
        <v>926</v>
      </c>
      <c r="S102" s="285">
        <v>0</v>
      </c>
      <c r="T102" s="278">
        <f t="shared" si="28"/>
        <v>0</v>
      </c>
      <c r="U102" s="281" t="s">
        <v>926</v>
      </c>
      <c r="V102" s="285">
        <v>0</v>
      </c>
      <c r="W102" s="278">
        <f t="shared" si="29"/>
        <v>0</v>
      </c>
      <c r="X102" s="281" t="s">
        <v>926</v>
      </c>
      <c r="Y102" s="285">
        <v>0</v>
      </c>
      <c r="Z102" s="278">
        <f t="shared" si="30"/>
        <v>0</v>
      </c>
    </row>
    <row r="103" spans="1:26" x14ac:dyDescent="0.25">
      <c r="A103" s="355"/>
      <c r="B103" s="362"/>
      <c r="C103" s="32" t="s">
        <v>115</v>
      </c>
      <c r="D103" s="35">
        <f>'ECONOMIA &amp; PROFESIONES'!$Q$28</f>
        <v>18925</v>
      </c>
      <c r="E103" s="53">
        <f t="shared" si="31"/>
        <v>0</v>
      </c>
      <c r="F103" s="281" t="s">
        <v>926</v>
      </c>
      <c r="G103" s="285">
        <v>0</v>
      </c>
      <c r="H103" s="278">
        <f t="shared" si="24"/>
        <v>0</v>
      </c>
      <c r="I103" s="281" t="s">
        <v>926</v>
      </c>
      <c r="J103" s="285">
        <v>0</v>
      </c>
      <c r="K103" s="278">
        <f t="shared" si="25"/>
        <v>0</v>
      </c>
      <c r="L103" s="281" t="s">
        <v>926</v>
      </c>
      <c r="M103" s="285">
        <v>0</v>
      </c>
      <c r="N103" s="278">
        <f t="shared" si="26"/>
        <v>0</v>
      </c>
      <c r="O103" s="281" t="s">
        <v>926</v>
      </c>
      <c r="P103" s="285">
        <v>0</v>
      </c>
      <c r="Q103" s="278">
        <f t="shared" si="27"/>
        <v>0</v>
      </c>
      <c r="R103" s="281" t="s">
        <v>926</v>
      </c>
      <c r="S103" s="285">
        <v>0</v>
      </c>
      <c r="T103" s="278">
        <f t="shared" si="28"/>
        <v>0</v>
      </c>
      <c r="U103" s="281" t="s">
        <v>926</v>
      </c>
      <c r="V103" s="285">
        <v>0</v>
      </c>
      <c r="W103" s="278">
        <f t="shared" si="29"/>
        <v>0</v>
      </c>
      <c r="X103" s="281" t="s">
        <v>926</v>
      </c>
      <c r="Y103" s="285">
        <v>0</v>
      </c>
      <c r="Z103" s="278">
        <f t="shared" si="30"/>
        <v>0</v>
      </c>
    </row>
    <row r="104" spans="1:26" x14ac:dyDescent="0.25">
      <c r="A104" s="355"/>
      <c r="B104" s="362"/>
      <c r="C104" s="31" t="s">
        <v>116</v>
      </c>
      <c r="D104" s="35">
        <f>'ECONOMIA &amp; PROFESIONES'!$Q$29</f>
        <v>13600</v>
      </c>
      <c r="E104" s="53">
        <f t="shared" si="31"/>
        <v>0</v>
      </c>
      <c r="F104" s="281" t="s">
        <v>926</v>
      </c>
      <c r="G104" s="285">
        <v>0</v>
      </c>
      <c r="H104" s="278">
        <f t="shared" si="24"/>
        <v>0</v>
      </c>
      <c r="I104" s="281" t="s">
        <v>926</v>
      </c>
      <c r="J104" s="285">
        <v>0</v>
      </c>
      <c r="K104" s="278">
        <f t="shared" si="25"/>
        <v>0</v>
      </c>
      <c r="L104" s="281" t="s">
        <v>926</v>
      </c>
      <c r="M104" s="285">
        <v>0</v>
      </c>
      <c r="N104" s="278">
        <f t="shared" si="26"/>
        <v>0</v>
      </c>
      <c r="O104" s="281" t="s">
        <v>926</v>
      </c>
      <c r="P104" s="285">
        <v>0</v>
      </c>
      <c r="Q104" s="278">
        <f t="shared" si="27"/>
        <v>0</v>
      </c>
      <c r="R104" s="281" t="s">
        <v>926</v>
      </c>
      <c r="S104" s="285">
        <v>0</v>
      </c>
      <c r="T104" s="278">
        <f t="shared" si="28"/>
        <v>0</v>
      </c>
      <c r="U104" s="281" t="s">
        <v>926</v>
      </c>
      <c r="V104" s="285">
        <v>0</v>
      </c>
      <c r="W104" s="278">
        <f t="shared" si="29"/>
        <v>0</v>
      </c>
      <c r="X104" s="281" t="s">
        <v>926</v>
      </c>
      <c r="Y104" s="285">
        <v>0</v>
      </c>
      <c r="Z104" s="278">
        <f t="shared" si="30"/>
        <v>0</v>
      </c>
    </row>
    <row r="105" spans="1:26" x14ac:dyDescent="0.25">
      <c r="A105" s="355" t="s">
        <v>4</v>
      </c>
      <c r="B105" s="176"/>
      <c r="C105" s="176"/>
      <c r="D105" s="295"/>
      <c r="E105" s="284" t="s">
        <v>1150</v>
      </c>
      <c r="F105" s="284" t="s">
        <v>1151</v>
      </c>
      <c r="G105" s="284" t="s">
        <v>1234</v>
      </c>
      <c r="H105" s="284" t="s">
        <v>202</v>
      </c>
      <c r="I105" s="284" t="s">
        <v>1152</v>
      </c>
      <c r="J105" s="284" t="s">
        <v>1234</v>
      </c>
      <c r="K105" s="284" t="s">
        <v>202</v>
      </c>
      <c r="L105" s="284" t="s">
        <v>1171</v>
      </c>
      <c r="M105" s="284" t="s">
        <v>1234</v>
      </c>
      <c r="N105" s="284" t="s">
        <v>202</v>
      </c>
      <c r="O105" s="284" t="s">
        <v>1226</v>
      </c>
      <c r="P105" s="284" t="s">
        <v>1234</v>
      </c>
      <c r="Q105" s="284" t="s">
        <v>202</v>
      </c>
      <c r="R105" s="284" t="s">
        <v>1227</v>
      </c>
      <c r="S105" s="284" t="s">
        <v>1234</v>
      </c>
      <c r="T105" s="284" t="s">
        <v>202</v>
      </c>
      <c r="U105" s="284" t="s">
        <v>1228</v>
      </c>
      <c r="V105" s="284" t="s">
        <v>1234</v>
      </c>
      <c r="W105" s="284" t="s">
        <v>202</v>
      </c>
      <c r="X105" s="284" t="s">
        <v>1229</v>
      </c>
      <c r="Y105" s="284" t="s">
        <v>1234</v>
      </c>
      <c r="Z105" s="284" t="s">
        <v>202</v>
      </c>
    </row>
    <row r="106" spans="1:26" x14ac:dyDescent="0.25">
      <c r="A106" s="355"/>
      <c r="B106" s="356" t="s">
        <v>1161</v>
      </c>
      <c r="C106" s="31" t="s">
        <v>6</v>
      </c>
      <c r="D106" s="34">
        <f>'ECONOMIA &amp; PROFESIONES'!$R$5</f>
        <v>6900</v>
      </c>
      <c r="E106" s="53">
        <f>(H106*G106)+(K106*J106)+(M106*N106)+(P106*Q106)+(S106*T106)+(V106*W106)+(Y106*Z106)</f>
        <v>0</v>
      </c>
      <c r="F106" s="281" t="s">
        <v>926</v>
      </c>
      <c r="G106" s="285">
        <v>0</v>
      </c>
      <c r="H106" s="278">
        <f t="shared" ref="H106:H130" si="32">VLOOKUP(F106,craftedesp,3,FALSE)</f>
        <v>0</v>
      </c>
      <c r="I106" s="281" t="s">
        <v>926</v>
      </c>
      <c r="J106" s="285">
        <v>0</v>
      </c>
      <c r="K106" s="278">
        <f t="shared" ref="K106:K130" si="33">VLOOKUP(I106,craftedesp,3,FALSE)</f>
        <v>0</v>
      </c>
      <c r="L106" s="281" t="s">
        <v>926</v>
      </c>
      <c r="M106" s="285">
        <v>0</v>
      </c>
      <c r="N106" s="278">
        <f t="shared" ref="N106:N130" si="34">VLOOKUP(L106,craftedesp,3,FALSE)</f>
        <v>0</v>
      </c>
      <c r="O106" s="281" t="s">
        <v>926</v>
      </c>
      <c r="P106" s="285">
        <v>0</v>
      </c>
      <c r="Q106" s="278">
        <f t="shared" ref="Q106:Q130" si="35">VLOOKUP(O106,craftedesp,3,FALSE)</f>
        <v>0</v>
      </c>
      <c r="R106" s="281" t="s">
        <v>926</v>
      </c>
      <c r="S106" s="285">
        <v>0</v>
      </c>
      <c r="T106" s="278">
        <f t="shared" ref="T106:T130" si="36">VLOOKUP(R106,craftedesp,3,FALSE)</f>
        <v>0</v>
      </c>
      <c r="U106" s="281" t="s">
        <v>926</v>
      </c>
      <c r="V106" s="285">
        <v>0</v>
      </c>
      <c r="W106" s="278">
        <f t="shared" ref="W106:W130" si="37">VLOOKUP(U106,craftedesp,3,FALSE)</f>
        <v>0</v>
      </c>
      <c r="X106" s="281" t="s">
        <v>926</v>
      </c>
      <c r="Y106" s="285">
        <v>0</v>
      </c>
      <c r="Z106" s="278">
        <f t="shared" ref="Z106:Z130" si="38">VLOOKUP(X106,craftedesp,3,FALSE)</f>
        <v>0</v>
      </c>
    </row>
    <row r="107" spans="1:26" x14ac:dyDescent="0.25">
      <c r="A107" s="355"/>
      <c r="B107" s="357"/>
      <c r="C107" s="32" t="s">
        <v>113</v>
      </c>
      <c r="D107" s="34">
        <f>'ECONOMIA &amp; PROFESIONES'!$R$6</f>
        <v>16500</v>
      </c>
      <c r="E107" s="53">
        <f t="shared" ref="E107:E130" si="39">(H107*G107)+(K107*J107)+(M107*N107)+(P107*Q107)+(S107*T107)+(V107*W107)+(Y107*Z107)</f>
        <v>0</v>
      </c>
      <c r="F107" s="281" t="s">
        <v>926</v>
      </c>
      <c r="G107" s="285">
        <v>0</v>
      </c>
      <c r="H107" s="278">
        <f t="shared" si="32"/>
        <v>0</v>
      </c>
      <c r="I107" s="281" t="s">
        <v>926</v>
      </c>
      <c r="J107" s="285">
        <v>0</v>
      </c>
      <c r="K107" s="278">
        <f t="shared" si="33"/>
        <v>0</v>
      </c>
      <c r="L107" s="281" t="s">
        <v>926</v>
      </c>
      <c r="M107" s="285">
        <v>0</v>
      </c>
      <c r="N107" s="278">
        <f t="shared" si="34"/>
        <v>0</v>
      </c>
      <c r="O107" s="281" t="s">
        <v>926</v>
      </c>
      <c r="P107" s="285">
        <v>0</v>
      </c>
      <c r="Q107" s="278">
        <f t="shared" si="35"/>
        <v>0</v>
      </c>
      <c r="R107" s="281" t="s">
        <v>926</v>
      </c>
      <c r="S107" s="285">
        <v>0</v>
      </c>
      <c r="T107" s="278">
        <f t="shared" si="36"/>
        <v>0</v>
      </c>
      <c r="U107" s="281" t="s">
        <v>926</v>
      </c>
      <c r="V107" s="285">
        <v>0</v>
      </c>
      <c r="W107" s="278">
        <f t="shared" si="37"/>
        <v>0</v>
      </c>
      <c r="X107" s="281" t="s">
        <v>926</v>
      </c>
      <c r="Y107" s="285">
        <v>0</v>
      </c>
      <c r="Z107" s="278">
        <f t="shared" si="38"/>
        <v>0</v>
      </c>
    </row>
    <row r="108" spans="1:26" x14ac:dyDescent="0.25">
      <c r="A108" s="355"/>
      <c r="B108" s="357"/>
      <c r="C108" s="31" t="s">
        <v>114</v>
      </c>
      <c r="D108" s="34">
        <f>'ECONOMIA &amp; PROFESIONES'!$R$7</f>
        <v>26100</v>
      </c>
      <c r="E108" s="53">
        <f t="shared" si="39"/>
        <v>0</v>
      </c>
      <c r="F108" s="281" t="s">
        <v>926</v>
      </c>
      <c r="G108" s="285">
        <v>0</v>
      </c>
      <c r="H108" s="278">
        <f t="shared" si="32"/>
        <v>0</v>
      </c>
      <c r="I108" s="281" t="s">
        <v>926</v>
      </c>
      <c r="J108" s="285">
        <v>0</v>
      </c>
      <c r="K108" s="278">
        <f t="shared" si="33"/>
        <v>0</v>
      </c>
      <c r="L108" s="281" t="s">
        <v>926</v>
      </c>
      <c r="M108" s="285">
        <v>0</v>
      </c>
      <c r="N108" s="278">
        <f t="shared" si="34"/>
        <v>0</v>
      </c>
      <c r="O108" s="281" t="s">
        <v>926</v>
      </c>
      <c r="P108" s="285">
        <v>0</v>
      </c>
      <c r="Q108" s="278">
        <f t="shared" si="35"/>
        <v>0</v>
      </c>
      <c r="R108" s="281" t="s">
        <v>926</v>
      </c>
      <c r="S108" s="285">
        <v>0</v>
      </c>
      <c r="T108" s="278">
        <f t="shared" si="36"/>
        <v>0</v>
      </c>
      <c r="U108" s="281" t="s">
        <v>926</v>
      </c>
      <c r="V108" s="285">
        <v>0</v>
      </c>
      <c r="W108" s="278">
        <f t="shared" si="37"/>
        <v>0</v>
      </c>
      <c r="X108" s="281" t="s">
        <v>926</v>
      </c>
      <c r="Y108" s="285">
        <v>0</v>
      </c>
      <c r="Z108" s="278">
        <f t="shared" si="38"/>
        <v>0</v>
      </c>
    </row>
    <row r="109" spans="1:26" x14ac:dyDescent="0.25">
      <c r="A109" s="355"/>
      <c r="B109" s="357"/>
      <c r="C109" s="32" t="s">
        <v>115</v>
      </c>
      <c r="D109" s="34">
        <f>'ECONOMIA &amp; PROFESIONES'!$R$8</f>
        <v>22900</v>
      </c>
      <c r="E109" s="53">
        <f t="shared" si="39"/>
        <v>0</v>
      </c>
      <c r="F109" s="281" t="s">
        <v>926</v>
      </c>
      <c r="G109" s="285">
        <v>0</v>
      </c>
      <c r="H109" s="278">
        <f t="shared" si="32"/>
        <v>0</v>
      </c>
      <c r="I109" s="281" t="s">
        <v>926</v>
      </c>
      <c r="J109" s="285">
        <v>0</v>
      </c>
      <c r="K109" s="278">
        <f t="shared" si="33"/>
        <v>0</v>
      </c>
      <c r="L109" s="281" t="s">
        <v>926</v>
      </c>
      <c r="M109" s="285">
        <v>0</v>
      </c>
      <c r="N109" s="278">
        <f t="shared" si="34"/>
        <v>0</v>
      </c>
      <c r="O109" s="281" t="s">
        <v>926</v>
      </c>
      <c r="P109" s="285">
        <v>0</v>
      </c>
      <c r="Q109" s="278">
        <f t="shared" si="35"/>
        <v>0</v>
      </c>
      <c r="R109" s="281" t="s">
        <v>926</v>
      </c>
      <c r="S109" s="285">
        <v>0</v>
      </c>
      <c r="T109" s="278">
        <f t="shared" si="36"/>
        <v>0</v>
      </c>
      <c r="U109" s="281" t="s">
        <v>926</v>
      </c>
      <c r="V109" s="285">
        <v>0</v>
      </c>
      <c r="W109" s="278">
        <f t="shared" si="37"/>
        <v>0</v>
      </c>
      <c r="X109" s="281" t="s">
        <v>926</v>
      </c>
      <c r="Y109" s="285">
        <v>0</v>
      </c>
      <c r="Z109" s="278">
        <f t="shared" si="38"/>
        <v>0</v>
      </c>
    </row>
    <row r="110" spans="1:26" x14ac:dyDescent="0.25">
      <c r="A110" s="355"/>
      <c r="B110" s="358"/>
      <c r="C110" s="31" t="s">
        <v>116</v>
      </c>
      <c r="D110" s="34">
        <f>'ECONOMIA &amp; PROFESIONES'!$R$9</f>
        <v>13300</v>
      </c>
      <c r="E110" s="53">
        <f t="shared" si="39"/>
        <v>0</v>
      </c>
      <c r="F110" s="281" t="s">
        <v>926</v>
      </c>
      <c r="G110" s="285">
        <v>0</v>
      </c>
      <c r="H110" s="278">
        <f t="shared" si="32"/>
        <v>0</v>
      </c>
      <c r="I110" s="281" t="s">
        <v>926</v>
      </c>
      <c r="J110" s="285">
        <v>0</v>
      </c>
      <c r="K110" s="278">
        <f t="shared" si="33"/>
        <v>0</v>
      </c>
      <c r="L110" s="281" t="s">
        <v>926</v>
      </c>
      <c r="M110" s="285">
        <v>0</v>
      </c>
      <c r="N110" s="278">
        <f t="shared" si="34"/>
        <v>0</v>
      </c>
      <c r="O110" s="281" t="s">
        <v>926</v>
      </c>
      <c r="P110" s="285">
        <v>0</v>
      </c>
      <c r="Q110" s="278">
        <f t="shared" si="35"/>
        <v>0</v>
      </c>
      <c r="R110" s="281" t="s">
        <v>926</v>
      </c>
      <c r="S110" s="285">
        <v>0</v>
      </c>
      <c r="T110" s="278">
        <f t="shared" si="36"/>
        <v>0</v>
      </c>
      <c r="U110" s="281" t="s">
        <v>926</v>
      </c>
      <c r="V110" s="285">
        <v>0</v>
      </c>
      <c r="W110" s="278">
        <f t="shared" si="37"/>
        <v>0</v>
      </c>
      <c r="X110" s="281" t="s">
        <v>926</v>
      </c>
      <c r="Y110" s="285">
        <v>0</v>
      </c>
      <c r="Z110" s="278">
        <f t="shared" si="38"/>
        <v>0</v>
      </c>
    </row>
    <row r="111" spans="1:26" x14ac:dyDescent="0.25">
      <c r="A111" s="355"/>
      <c r="B111" s="359" t="s">
        <v>1162</v>
      </c>
      <c r="C111" s="32" t="s">
        <v>6</v>
      </c>
      <c r="D111" s="34">
        <f>'ECONOMIA &amp; PROFESIONES'!$R$10</f>
        <v>8450</v>
      </c>
      <c r="E111" s="53">
        <f t="shared" si="39"/>
        <v>0</v>
      </c>
      <c r="F111" s="281" t="s">
        <v>926</v>
      </c>
      <c r="G111" s="285">
        <v>0</v>
      </c>
      <c r="H111" s="278">
        <f t="shared" si="32"/>
        <v>0</v>
      </c>
      <c r="I111" s="281" t="s">
        <v>926</v>
      </c>
      <c r="J111" s="285">
        <v>0</v>
      </c>
      <c r="K111" s="278">
        <f t="shared" si="33"/>
        <v>0</v>
      </c>
      <c r="L111" s="281" t="s">
        <v>926</v>
      </c>
      <c r="M111" s="285">
        <v>0</v>
      </c>
      <c r="N111" s="278">
        <f t="shared" si="34"/>
        <v>0</v>
      </c>
      <c r="O111" s="281" t="s">
        <v>926</v>
      </c>
      <c r="P111" s="285">
        <v>0</v>
      </c>
      <c r="Q111" s="278">
        <f t="shared" si="35"/>
        <v>0</v>
      </c>
      <c r="R111" s="281" t="s">
        <v>926</v>
      </c>
      <c r="S111" s="285">
        <v>0</v>
      </c>
      <c r="T111" s="278">
        <f t="shared" si="36"/>
        <v>0</v>
      </c>
      <c r="U111" s="281" t="s">
        <v>926</v>
      </c>
      <c r="V111" s="285">
        <v>0</v>
      </c>
      <c r="W111" s="278">
        <f t="shared" si="37"/>
        <v>0</v>
      </c>
      <c r="X111" s="281" t="s">
        <v>926</v>
      </c>
      <c r="Y111" s="285">
        <v>0</v>
      </c>
      <c r="Z111" s="278">
        <f t="shared" si="38"/>
        <v>0</v>
      </c>
    </row>
    <row r="112" spans="1:26" x14ac:dyDescent="0.25">
      <c r="A112" s="355"/>
      <c r="B112" s="360"/>
      <c r="C112" s="31" t="s">
        <v>113</v>
      </c>
      <c r="D112" s="34">
        <f>'ECONOMIA &amp; PROFESIONES'!$R$11</f>
        <v>18125</v>
      </c>
      <c r="E112" s="53">
        <f t="shared" si="39"/>
        <v>0</v>
      </c>
      <c r="F112" s="281" t="s">
        <v>926</v>
      </c>
      <c r="G112" s="285">
        <v>0</v>
      </c>
      <c r="H112" s="278">
        <f t="shared" si="32"/>
        <v>0</v>
      </c>
      <c r="I112" s="281" t="s">
        <v>926</v>
      </c>
      <c r="J112" s="285">
        <v>0</v>
      </c>
      <c r="K112" s="278">
        <f t="shared" si="33"/>
        <v>0</v>
      </c>
      <c r="L112" s="281" t="s">
        <v>926</v>
      </c>
      <c r="M112" s="285">
        <v>0</v>
      </c>
      <c r="N112" s="278">
        <f t="shared" si="34"/>
        <v>0</v>
      </c>
      <c r="O112" s="281" t="s">
        <v>926</v>
      </c>
      <c r="P112" s="285">
        <v>0</v>
      </c>
      <c r="Q112" s="278">
        <f t="shared" si="35"/>
        <v>0</v>
      </c>
      <c r="R112" s="281" t="s">
        <v>926</v>
      </c>
      <c r="S112" s="285">
        <v>0</v>
      </c>
      <c r="T112" s="278">
        <f t="shared" si="36"/>
        <v>0</v>
      </c>
      <c r="U112" s="281" t="s">
        <v>926</v>
      </c>
      <c r="V112" s="285">
        <v>0</v>
      </c>
      <c r="W112" s="278">
        <f t="shared" si="37"/>
        <v>0</v>
      </c>
      <c r="X112" s="281" t="s">
        <v>926</v>
      </c>
      <c r="Y112" s="285">
        <v>0</v>
      </c>
      <c r="Z112" s="278">
        <f t="shared" si="38"/>
        <v>0</v>
      </c>
    </row>
    <row r="113" spans="1:26" x14ac:dyDescent="0.25">
      <c r="A113" s="355"/>
      <c r="B113" s="360"/>
      <c r="C113" s="32" t="s">
        <v>114</v>
      </c>
      <c r="D113" s="34">
        <f>'ECONOMIA &amp; PROFESIONES'!$R$12</f>
        <v>27800</v>
      </c>
      <c r="E113" s="53">
        <f t="shared" si="39"/>
        <v>0</v>
      </c>
      <c r="F113" s="281" t="s">
        <v>926</v>
      </c>
      <c r="G113" s="285">
        <v>0</v>
      </c>
      <c r="H113" s="278">
        <f t="shared" si="32"/>
        <v>0</v>
      </c>
      <c r="I113" s="281" t="s">
        <v>926</v>
      </c>
      <c r="J113" s="285">
        <v>0</v>
      </c>
      <c r="K113" s="278">
        <f t="shared" si="33"/>
        <v>0</v>
      </c>
      <c r="L113" s="281" t="s">
        <v>926</v>
      </c>
      <c r="M113" s="285">
        <v>0</v>
      </c>
      <c r="N113" s="278">
        <f t="shared" si="34"/>
        <v>0</v>
      </c>
      <c r="O113" s="281" t="s">
        <v>926</v>
      </c>
      <c r="P113" s="285">
        <v>0</v>
      </c>
      <c r="Q113" s="278">
        <f t="shared" si="35"/>
        <v>0</v>
      </c>
      <c r="R113" s="281" t="s">
        <v>926</v>
      </c>
      <c r="S113" s="285">
        <v>0</v>
      </c>
      <c r="T113" s="278">
        <f t="shared" si="36"/>
        <v>0</v>
      </c>
      <c r="U113" s="281" t="s">
        <v>926</v>
      </c>
      <c r="V113" s="285">
        <v>0</v>
      </c>
      <c r="W113" s="278">
        <f t="shared" si="37"/>
        <v>0</v>
      </c>
      <c r="X113" s="281" t="s">
        <v>926</v>
      </c>
      <c r="Y113" s="285">
        <v>0</v>
      </c>
      <c r="Z113" s="278">
        <f t="shared" si="38"/>
        <v>0</v>
      </c>
    </row>
    <row r="114" spans="1:26" x14ac:dyDescent="0.25">
      <c r="A114" s="355"/>
      <c r="B114" s="360"/>
      <c r="C114" s="31" t="s">
        <v>115</v>
      </c>
      <c r="D114" s="34">
        <f>'ECONOMIA &amp; PROFESIONES'!$R$13</f>
        <v>24575</v>
      </c>
      <c r="E114" s="53">
        <f t="shared" si="39"/>
        <v>0</v>
      </c>
      <c r="F114" s="281" t="s">
        <v>926</v>
      </c>
      <c r="G114" s="285">
        <v>0</v>
      </c>
      <c r="H114" s="278">
        <f t="shared" si="32"/>
        <v>0</v>
      </c>
      <c r="I114" s="281" t="s">
        <v>926</v>
      </c>
      <c r="J114" s="285">
        <v>0</v>
      </c>
      <c r="K114" s="278">
        <f t="shared" si="33"/>
        <v>0</v>
      </c>
      <c r="L114" s="281" t="s">
        <v>926</v>
      </c>
      <c r="M114" s="285">
        <v>0</v>
      </c>
      <c r="N114" s="278">
        <f t="shared" si="34"/>
        <v>0</v>
      </c>
      <c r="O114" s="281" t="s">
        <v>926</v>
      </c>
      <c r="P114" s="285">
        <v>0</v>
      </c>
      <c r="Q114" s="278">
        <f t="shared" si="35"/>
        <v>0</v>
      </c>
      <c r="R114" s="281" t="s">
        <v>926</v>
      </c>
      <c r="S114" s="285">
        <v>0</v>
      </c>
      <c r="T114" s="278">
        <f t="shared" si="36"/>
        <v>0</v>
      </c>
      <c r="U114" s="281" t="s">
        <v>926</v>
      </c>
      <c r="V114" s="285">
        <v>0</v>
      </c>
      <c r="W114" s="278">
        <f t="shared" si="37"/>
        <v>0</v>
      </c>
      <c r="X114" s="281" t="s">
        <v>926</v>
      </c>
      <c r="Y114" s="285">
        <v>0</v>
      </c>
      <c r="Z114" s="278">
        <f t="shared" si="38"/>
        <v>0</v>
      </c>
    </row>
    <row r="115" spans="1:26" x14ac:dyDescent="0.25">
      <c r="A115" s="355"/>
      <c r="B115" s="361"/>
      <c r="C115" s="32" t="s">
        <v>116</v>
      </c>
      <c r="D115" s="34">
        <f>'ECONOMIA &amp; PROFESIONES'!$R$14</f>
        <v>14900</v>
      </c>
      <c r="E115" s="53">
        <f t="shared" si="39"/>
        <v>0</v>
      </c>
      <c r="F115" s="281" t="s">
        <v>926</v>
      </c>
      <c r="G115" s="285">
        <v>0</v>
      </c>
      <c r="H115" s="278">
        <f t="shared" si="32"/>
        <v>0</v>
      </c>
      <c r="I115" s="281" t="s">
        <v>926</v>
      </c>
      <c r="J115" s="285">
        <v>0</v>
      </c>
      <c r="K115" s="278">
        <f t="shared" si="33"/>
        <v>0</v>
      </c>
      <c r="L115" s="281" t="s">
        <v>926</v>
      </c>
      <c r="M115" s="285">
        <v>0</v>
      </c>
      <c r="N115" s="278">
        <f t="shared" si="34"/>
        <v>0</v>
      </c>
      <c r="O115" s="281" t="s">
        <v>926</v>
      </c>
      <c r="P115" s="285">
        <v>0</v>
      </c>
      <c r="Q115" s="278">
        <f t="shared" si="35"/>
        <v>0</v>
      </c>
      <c r="R115" s="281" t="s">
        <v>926</v>
      </c>
      <c r="S115" s="285">
        <v>0</v>
      </c>
      <c r="T115" s="278">
        <f t="shared" si="36"/>
        <v>0</v>
      </c>
      <c r="U115" s="281" t="s">
        <v>926</v>
      </c>
      <c r="V115" s="285">
        <v>0</v>
      </c>
      <c r="W115" s="278">
        <f t="shared" si="37"/>
        <v>0</v>
      </c>
      <c r="X115" s="281" t="s">
        <v>926</v>
      </c>
      <c r="Y115" s="285">
        <v>0</v>
      </c>
      <c r="Z115" s="278">
        <f t="shared" si="38"/>
        <v>0</v>
      </c>
    </row>
    <row r="116" spans="1:26" x14ac:dyDescent="0.25">
      <c r="A116" s="355"/>
      <c r="B116" s="362" t="s">
        <v>1231</v>
      </c>
      <c r="C116" s="31" t="s">
        <v>6</v>
      </c>
      <c r="D116" s="34">
        <f>'ECONOMIA &amp; PROFESIONES'!$R$15</f>
        <v>10050</v>
      </c>
      <c r="E116" s="53">
        <f t="shared" si="39"/>
        <v>0</v>
      </c>
      <c r="F116" s="281" t="s">
        <v>926</v>
      </c>
      <c r="G116" s="285">
        <v>0</v>
      </c>
      <c r="H116" s="278">
        <f t="shared" si="32"/>
        <v>0</v>
      </c>
      <c r="I116" s="281" t="s">
        <v>926</v>
      </c>
      <c r="J116" s="285">
        <v>0</v>
      </c>
      <c r="K116" s="278">
        <f t="shared" si="33"/>
        <v>0</v>
      </c>
      <c r="L116" s="281" t="s">
        <v>926</v>
      </c>
      <c r="M116" s="285">
        <v>0</v>
      </c>
      <c r="N116" s="278">
        <f t="shared" si="34"/>
        <v>0</v>
      </c>
      <c r="O116" s="281" t="s">
        <v>926</v>
      </c>
      <c r="P116" s="285">
        <v>0</v>
      </c>
      <c r="Q116" s="278">
        <f t="shared" si="35"/>
        <v>0</v>
      </c>
      <c r="R116" s="281" t="s">
        <v>926</v>
      </c>
      <c r="S116" s="285">
        <v>0</v>
      </c>
      <c r="T116" s="278">
        <f t="shared" si="36"/>
        <v>0</v>
      </c>
      <c r="U116" s="281" t="s">
        <v>926</v>
      </c>
      <c r="V116" s="285">
        <v>0</v>
      </c>
      <c r="W116" s="278">
        <f t="shared" si="37"/>
        <v>0</v>
      </c>
      <c r="X116" s="281" t="s">
        <v>926</v>
      </c>
      <c r="Y116" s="285">
        <v>0</v>
      </c>
      <c r="Z116" s="278">
        <f t="shared" si="38"/>
        <v>0</v>
      </c>
    </row>
    <row r="117" spans="1:26" x14ac:dyDescent="0.25">
      <c r="A117" s="355"/>
      <c r="B117" s="363"/>
      <c r="C117" s="32" t="s">
        <v>113</v>
      </c>
      <c r="D117" s="34">
        <f>'ECONOMIA &amp; PROFESIONES'!$R$16</f>
        <v>19875</v>
      </c>
      <c r="E117" s="53">
        <f t="shared" si="39"/>
        <v>0</v>
      </c>
      <c r="F117" s="281" t="s">
        <v>926</v>
      </c>
      <c r="G117" s="285">
        <v>0</v>
      </c>
      <c r="H117" s="278">
        <f t="shared" si="32"/>
        <v>0</v>
      </c>
      <c r="I117" s="281" t="s">
        <v>926</v>
      </c>
      <c r="J117" s="285">
        <v>0</v>
      </c>
      <c r="K117" s="278">
        <f t="shared" si="33"/>
        <v>0</v>
      </c>
      <c r="L117" s="281" t="s">
        <v>926</v>
      </c>
      <c r="M117" s="285">
        <v>0</v>
      </c>
      <c r="N117" s="278">
        <f t="shared" si="34"/>
        <v>0</v>
      </c>
      <c r="O117" s="281" t="s">
        <v>926</v>
      </c>
      <c r="P117" s="285">
        <v>0</v>
      </c>
      <c r="Q117" s="278">
        <f t="shared" si="35"/>
        <v>0</v>
      </c>
      <c r="R117" s="281" t="s">
        <v>926</v>
      </c>
      <c r="S117" s="285">
        <v>0</v>
      </c>
      <c r="T117" s="278">
        <f t="shared" si="36"/>
        <v>0</v>
      </c>
      <c r="U117" s="281" t="s">
        <v>926</v>
      </c>
      <c r="V117" s="285">
        <v>0</v>
      </c>
      <c r="W117" s="278">
        <f t="shared" si="37"/>
        <v>0</v>
      </c>
      <c r="X117" s="281" t="s">
        <v>926</v>
      </c>
      <c r="Y117" s="285">
        <v>0</v>
      </c>
      <c r="Z117" s="278">
        <f t="shared" si="38"/>
        <v>0</v>
      </c>
    </row>
    <row r="118" spans="1:26" x14ac:dyDescent="0.25">
      <c r="A118" s="355"/>
      <c r="B118" s="363"/>
      <c r="C118" s="31" t="s">
        <v>114</v>
      </c>
      <c r="D118" s="34">
        <f>'ECONOMIA &amp; PROFESIONES'!$R$17</f>
        <v>29700</v>
      </c>
      <c r="E118" s="53">
        <f t="shared" si="39"/>
        <v>0</v>
      </c>
      <c r="F118" s="281" t="s">
        <v>926</v>
      </c>
      <c r="G118" s="285">
        <v>0</v>
      </c>
      <c r="H118" s="278">
        <f t="shared" si="32"/>
        <v>0</v>
      </c>
      <c r="I118" s="281" t="s">
        <v>926</v>
      </c>
      <c r="J118" s="285">
        <v>0</v>
      </c>
      <c r="K118" s="278">
        <f t="shared" si="33"/>
        <v>0</v>
      </c>
      <c r="L118" s="281" t="s">
        <v>926</v>
      </c>
      <c r="M118" s="285">
        <v>0</v>
      </c>
      <c r="N118" s="278">
        <f t="shared" si="34"/>
        <v>0</v>
      </c>
      <c r="O118" s="281" t="s">
        <v>926</v>
      </c>
      <c r="P118" s="285">
        <v>0</v>
      </c>
      <c r="Q118" s="278">
        <f t="shared" si="35"/>
        <v>0</v>
      </c>
      <c r="R118" s="281" t="s">
        <v>926</v>
      </c>
      <c r="S118" s="285">
        <v>0</v>
      </c>
      <c r="T118" s="278">
        <f t="shared" si="36"/>
        <v>0</v>
      </c>
      <c r="U118" s="281" t="s">
        <v>926</v>
      </c>
      <c r="V118" s="285">
        <v>0</v>
      </c>
      <c r="W118" s="278">
        <f t="shared" si="37"/>
        <v>0</v>
      </c>
      <c r="X118" s="281" t="s">
        <v>926</v>
      </c>
      <c r="Y118" s="285">
        <v>0</v>
      </c>
      <c r="Z118" s="278">
        <f t="shared" si="38"/>
        <v>0</v>
      </c>
    </row>
    <row r="119" spans="1:26" x14ac:dyDescent="0.25">
      <c r="A119" s="355"/>
      <c r="B119" s="362"/>
      <c r="C119" s="32" t="s">
        <v>115</v>
      </c>
      <c r="D119" s="34">
        <f>'ECONOMIA &amp; PROFESIONES'!$R$18</f>
        <v>26425</v>
      </c>
      <c r="E119" s="53">
        <f t="shared" si="39"/>
        <v>0</v>
      </c>
      <c r="F119" s="281" t="s">
        <v>926</v>
      </c>
      <c r="G119" s="285">
        <v>0</v>
      </c>
      <c r="H119" s="278">
        <f t="shared" si="32"/>
        <v>0</v>
      </c>
      <c r="I119" s="281" t="s">
        <v>926</v>
      </c>
      <c r="J119" s="285">
        <v>0</v>
      </c>
      <c r="K119" s="278">
        <f t="shared" si="33"/>
        <v>0</v>
      </c>
      <c r="L119" s="281" t="s">
        <v>926</v>
      </c>
      <c r="M119" s="285">
        <v>0</v>
      </c>
      <c r="N119" s="278">
        <f t="shared" si="34"/>
        <v>0</v>
      </c>
      <c r="O119" s="281" t="s">
        <v>926</v>
      </c>
      <c r="P119" s="285">
        <v>0</v>
      </c>
      <c r="Q119" s="278">
        <f t="shared" si="35"/>
        <v>0</v>
      </c>
      <c r="R119" s="281" t="s">
        <v>926</v>
      </c>
      <c r="S119" s="285">
        <v>0</v>
      </c>
      <c r="T119" s="278">
        <f t="shared" si="36"/>
        <v>0</v>
      </c>
      <c r="U119" s="281" t="s">
        <v>926</v>
      </c>
      <c r="V119" s="285">
        <v>0</v>
      </c>
      <c r="W119" s="278">
        <f t="shared" si="37"/>
        <v>0</v>
      </c>
      <c r="X119" s="281" t="s">
        <v>926</v>
      </c>
      <c r="Y119" s="285">
        <v>0</v>
      </c>
      <c r="Z119" s="278">
        <f t="shared" si="38"/>
        <v>0</v>
      </c>
    </row>
    <row r="120" spans="1:26" x14ac:dyDescent="0.25">
      <c r="A120" s="355"/>
      <c r="B120" s="362"/>
      <c r="C120" s="31" t="s">
        <v>116</v>
      </c>
      <c r="D120" s="34">
        <f>'ECONOMIA &amp; PROFESIONES'!$R$19</f>
        <v>16600</v>
      </c>
      <c r="E120" s="53">
        <f t="shared" si="39"/>
        <v>0</v>
      </c>
      <c r="F120" s="281" t="s">
        <v>926</v>
      </c>
      <c r="G120" s="285">
        <v>0</v>
      </c>
      <c r="H120" s="278">
        <f t="shared" si="32"/>
        <v>0</v>
      </c>
      <c r="I120" s="281" t="s">
        <v>926</v>
      </c>
      <c r="J120" s="285">
        <v>0</v>
      </c>
      <c r="K120" s="278">
        <f t="shared" si="33"/>
        <v>0</v>
      </c>
      <c r="L120" s="281" t="s">
        <v>926</v>
      </c>
      <c r="M120" s="285">
        <v>0</v>
      </c>
      <c r="N120" s="278">
        <f t="shared" si="34"/>
        <v>0</v>
      </c>
      <c r="O120" s="281" t="s">
        <v>926</v>
      </c>
      <c r="P120" s="285">
        <v>0</v>
      </c>
      <c r="Q120" s="278">
        <f t="shared" si="35"/>
        <v>0</v>
      </c>
      <c r="R120" s="281" t="s">
        <v>926</v>
      </c>
      <c r="S120" s="285">
        <v>0</v>
      </c>
      <c r="T120" s="278">
        <f t="shared" si="36"/>
        <v>0</v>
      </c>
      <c r="U120" s="281" t="s">
        <v>926</v>
      </c>
      <c r="V120" s="285">
        <v>0</v>
      </c>
      <c r="W120" s="278">
        <f t="shared" si="37"/>
        <v>0</v>
      </c>
      <c r="X120" s="281" t="s">
        <v>926</v>
      </c>
      <c r="Y120" s="285">
        <v>0</v>
      </c>
      <c r="Z120" s="278">
        <f t="shared" si="38"/>
        <v>0</v>
      </c>
    </row>
    <row r="121" spans="1:26" x14ac:dyDescent="0.25">
      <c r="A121" s="355"/>
      <c r="B121" s="364" t="s">
        <v>1232</v>
      </c>
      <c r="C121" s="32" t="s">
        <v>6</v>
      </c>
      <c r="D121" s="34">
        <f>'ECONOMIA &amp; PROFESIONES'!$R$20</f>
        <v>11650</v>
      </c>
      <c r="E121" s="53">
        <f t="shared" si="39"/>
        <v>0</v>
      </c>
      <c r="F121" s="281" t="s">
        <v>926</v>
      </c>
      <c r="G121" s="285">
        <v>0</v>
      </c>
      <c r="H121" s="278">
        <f t="shared" si="32"/>
        <v>0</v>
      </c>
      <c r="I121" s="281" t="s">
        <v>926</v>
      </c>
      <c r="J121" s="285">
        <v>0</v>
      </c>
      <c r="K121" s="278">
        <f t="shared" si="33"/>
        <v>0</v>
      </c>
      <c r="L121" s="281" t="s">
        <v>926</v>
      </c>
      <c r="M121" s="285">
        <v>0</v>
      </c>
      <c r="N121" s="278">
        <f t="shared" si="34"/>
        <v>0</v>
      </c>
      <c r="O121" s="281" t="s">
        <v>926</v>
      </c>
      <c r="P121" s="285">
        <v>0</v>
      </c>
      <c r="Q121" s="278">
        <f t="shared" si="35"/>
        <v>0</v>
      </c>
      <c r="R121" s="281" t="s">
        <v>926</v>
      </c>
      <c r="S121" s="285">
        <v>0</v>
      </c>
      <c r="T121" s="278">
        <f t="shared" si="36"/>
        <v>0</v>
      </c>
      <c r="U121" s="281" t="s">
        <v>926</v>
      </c>
      <c r="V121" s="285">
        <v>0</v>
      </c>
      <c r="W121" s="278">
        <f t="shared" si="37"/>
        <v>0</v>
      </c>
      <c r="X121" s="281" t="s">
        <v>926</v>
      </c>
      <c r="Y121" s="285">
        <v>0</v>
      </c>
      <c r="Z121" s="278">
        <f t="shared" si="38"/>
        <v>0</v>
      </c>
    </row>
    <row r="122" spans="1:26" x14ac:dyDescent="0.25">
      <c r="A122" s="355"/>
      <c r="B122" s="365"/>
      <c r="C122" s="31" t="s">
        <v>113</v>
      </c>
      <c r="D122" s="34">
        <f>'ECONOMIA &amp; PROFESIONES'!$R$21</f>
        <v>21625</v>
      </c>
      <c r="E122" s="53">
        <f t="shared" si="39"/>
        <v>0</v>
      </c>
      <c r="F122" s="281" t="s">
        <v>926</v>
      </c>
      <c r="G122" s="285">
        <v>0</v>
      </c>
      <c r="H122" s="278">
        <f t="shared" si="32"/>
        <v>0</v>
      </c>
      <c r="I122" s="281" t="s">
        <v>926</v>
      </c>
      <c r="J122" s="285">
        <v>0</v>
      </c>
      <c r="K122" s="278">
        <f t="shared" si="33"/>
        <v>0</v>
      </c>
      <c r="L122" s="281" t="s">
        <v>926</v>
      </c>
      <c r="M122" s="285">
        <v>0</v>
      </c>
      <c r="N122" s="278">
        <f t="shared" si="34"/>
        <v>0</v>
      </c>
      <c r="O122" s="281" t="s">
        <v>926</v>
      </c>
      <c r="P122" s="285">
        <v>0</v>
      </c>
      <c r="Q122" s="278">
        <f t="shared" si="35"/>
        <v>0</v>
      </c>
      <c r="R122" s="281" t="s">
        <v>926</v>
      </c>
      <c r="S122" s="285">
        <v>0</v>
      </c>
      <c r="T122" s="278">
        <f t="shared" si="36"/>
        <v>0</v>
      </c>
      <c r="U122" s="281" t="s">
        <v>926</v>
      </c>
      <c r="V122" s="285">
        <v>0</v>
      </c>
      <c r="W122" s="278">
        <f t="shared" si="37"/>
        <v>0</v>
      </c>
      <c r="X122" s="281" t="s">
        <v>926</v>
      </c>
      <c r="Y122" s="285">
        <v>0</v>
      </c>
      <c r="Z122" s="278">
        <f t="shared" si="38"/>
        <v>0</v>
      </c>
    </row>
    <row r="123" spans="1:26" x14ac:dyDescent="0.25">
      <c r="A123" s="355"/>
      <c r="B123" s="365"/>
      <c r="C123" s="32" t="s">
        <v>114</v>
      </c>
      <c r="D123" s="34">
        <f>'ECONOMIA &amp; PROFESIONES'!$R$22</f>
        <v>31600</v>
      </c>
      <c r="E123" s="53">
        <f t="shared" si="39"/>
        <v>0</v>
      </c>
      <c r="F123" s="281" t="s">
        <v>926</v>
      </c>
      <c r="G123" s="285">
        <v>0</v>
      </c>
      <c r="H123" s="278">
        <f t="shared" si="32"/>
        <v>0</v>
      </c>
      <c r="I123" s="281" t="s">
        <v>926</v>
      </c>
      <c r="J123" s="285">
        <v>0</v>
      </c>
      <c r="K123" s="278">
        <f t="shared" si="33"/>
        <v>0</v>
      </c>
      <c r="L123" s="281" t="s">
        <v>926</v>
      </c>
      <c r="M123" s="285">
        <v>0</v>
      </c>
      <c r="N123" s="278">
        <f t="shared" si="34"/>
        <v>0</v>
      </c>
      <c r="O123" s="281" t="s">
        <v>926</v>
      </c>
      <c r="P123" s="285">
        <v>0</v>
      </c>
      <c r="Q123" s="278">
        <f t="shared" si="35"/>
        <v>0</v>
      </c>
      <c r="R123" s="281" t="s">
        <v>926</v>
      </c>
      <c r="S123" s="285">
        <v>0</v>
      </c>
      <c r="T123" s="278">
        <f t="shared" si="36"/>
        <v>0</v>
      </c>
      <c r="U123" s="281" t="s">
        <v>926</v>
      </c>
      <c r="V123" s="285">
        <v>0</v>
      </c>
      <c r="W123" s="278">
        <f t="shared" si="37"/>
        <v>0</v>
      </c>
      <c r="X123" s="281" t="s">
        <v>926</v>
      </c>
      <c r="Y123" s="285">
        <v>0</v>
      </c>
      <c r="Z123" s="278">
        <f t="shared" si="38"/>
        <v>0</v>
      </c>
    </row>
    <row r="124" spans="1:26" x14ac:dyDescent="0.25">
      <c r="A124" s="355"/>
      <c r="B124" s="360"/>
      <c r="C124" s="31" t="s">
        <v>115</v>
      </c>
      <c r="D124" s="34">
        <f>'ECONOMIA &amp; PROFESIONES'!$R$23</f>
        <v>28275</v>
      </c>
      <c r="E124" s="53">
        <f t="shared" si="39"/>
        <v>0</v>
      </c>
      <c r="F124" s="281" t="s">
        <v>926</v>
      </c>
      <c r="G124" s="285">
        <v>0</v>
      </c>
      <c r="H124" s="278">
        <f t="shared" si="32"/>
        <v>0</v>
      </c>
      <c r="I124" s="281" t="s">
        <v>926</v>
      </c>
      <c r="J124" s="285">
        <v>0</v>
      </c>
      <c r="K124" s="278">
        <f t="shared" si="33"/>
        <v>0</v>
      </c>
      <c r="L124" s="281" t="s">
        <v>926</v>
      </c>
      <c r="M124" s="285">
        <v>0</v>
      </c>
      <c r="N124" s="278">
        <f t="shared" si="34"/>
        <v>0</v>
      </c>
      <c r="O124" s="281" t="s">
        <v>926</v>
      </c>
      <c r="P124" s="285">
        <v>0</v>
      </c>
      <c r="Q124" s="278">
        <f t="shared" si="35"/>
        <v>0</v>
      </c>
      <c r="R124" s="281" t="s">
        <v>926</v>
      </c>
      <c r="S124" s="285">
        <v>0</v>
      </c>
      <c r="T124" s="278">
        <f t="shared" si="36"/>
        <v>0</v>
      </c>
      <c r="U124" s="281" t="s">
        <v>926</v>
      </c>
      <c r="V124" s="285">
        <v>0</v>
      </c>
      <c r="W124" s="278">
        <f t="shared" si="37"/>
        <v>0</v>
      </c>
      <c r="X124" s="281" t="s">
        <v>926</v>
      </c>
      <c r="Y124" s="285">
        <v>0</v>
      </c>
      <c r="Z124" s="278">
        <f t="shared" si="38"/>
        <v>0</v>
      </c>
    </row>
    <row r="125" spans="1:26" x14ac:dyDescent="0.25">
      <c r="A125" s="355"/>
      <c r="B125" s="366"/>
      <c r="C125" s="32" t="s">
        <v>116</v>
      </c>
      <c r="D125" s="34">
        <f>'ECONOMIA &amp; PROFESIONES'!$R$24</f>
        <v>18300</v>
      </c>
      <c r="E125" s="53">
        <f t="shared" si="39"/>
        <v>0</v>
      </c>
      <c r="F125" s="281" t="s">
        <v>926</v>
      </c>
      <c r="G125" s="285">
        <v>0</v>
      </c>
      <c r="H125" s="278">
        <f t="shared" si="32"/>
        <v>0</v>
      </c>
      <c r="I125" s="281" t="s">
        <v>926</v>
      </c>
      <c r="J125" s="285">
        <v>0</v>
      </c>
      <c r="K125" s="278">
        <f t="shared" si="33"/>
        <v>0</v>
      </c>
      <c r="L125" s="281" t="s">
        <v>926</v>
      </c>
      <c r="M125" s="285">
        <v>0</v>
      </c>
      <c r="N125" s="278">
        <f t="shared" si="34"/>
        <v>0</v>
      </c>
      <c r="O125" s="281" t="s">
        <v>926</v>
      </c>
      <c r="P125" s="285">
        <v>0</v>
      </c>
      <c r="Q125" s="278">
        <f t="shared" si="35"/>
        <v>0</v>
      </c>
      <c r="R125" s="281" t="s">
        <v>926</v>
      </c>
      <c r="S125" s="285">
        <v>0</v>
      </c>
      <c r="T125" s="278">
        <f t="shared" si="36"/>
        <v>0</v>
      </c>
      <c r="U125" s="281" t="s">
        <v>926</v>
      </c>
      <c r="V125" s="285">
        <v>0</v>
      </c>
      <c r="W125" s="278">
        <f t="shared" si="37"/>
        <v>0</v>
      </c>
      <c r="X125" s="281" t="s">
        <v>926</v>
      </c>
      <c r="Y125" s="285">
        <v>0</v>
      </c>
      <c r="Z125" s="278">
        <f t="shared" si="38"/>
        <v>0</v>
      </c>
    </row>
    <row r="126" spans="1:26" x14ac:dyDescent="0.25">
      <c r="A126" s="355"/>
      <c r="B126" s="362" t="s">
        <v>1230</v>
      </c>
      <c r="C126" s="31" t="s">
        <v>6</v>
      </c>
      <c r="D126" s="34">
        <f>'ECONOMIA &amp; PROFESIONES'!$R$25</f>
        <v>13250</v>
      </c>
      <c r="E126" s="53">
        <f t="shared" si="39"/>
        <v>0</v>
      </c>
      <c r="F126" s="281" t="s">
        <v>926</v>
      </c>
      <c r="G126" s="285">
        <v>0</v>
      </c>
      <c r="H126" s="278">
        <f t="shared" si="32"/>
        <v>0</v>
      </c>
      <c r="I126" s="281" t="s">
        <v>926</v>
      </c>
      <c r="J126" s="285">
        <v>0</v>
      </c>
      <c r="K126" s="278">
        <f t="shared" si="33"/>
        <v>0</v>
      </c>
      <c r="L126" s="281" t="s">
        <v>926</v>
      </c>
      <c r="M126" s="285">
        <v>0</v>
      </c>
      <c r="N126" s="278">
        <f t="shared" si="34"/>
        <v>0</v>
      </c>
      <c r="O126" s="281" t="s">
        <v>926</v>
      </c>
      <c r="P126" s="285">
        <v>0</v>
      </c>
      <c r="Q126" s="278">
        <f t="shared" si="35"/>
        <v>0</v>
      </c>
      <c r="R126" s="281" t="s">
        <v>926</v>
      </c>
      <c r="S126" s="285">
        <v>0</v>
      </c>
      <c r="T126" s="278">
        <f t="shared" si="36"/>
        <v>0</v>
      </c>
      <c r="U126" s="281" t="s">
        <v>926</v>
      </c>
      <c r="V126" s="285">
        <v>0</v>
      </c>
      <c r="W126" s="278">
        <f t="shared" si="37"/>
        <v>0</v>
      </c>
      <c r="X126" s="281" t="s">
        <v>926</v>
      </c>
      <c r="Y126" s="285">
        <v>0</v>
      </c>
      <c r="Z126" s="278">
        <f t="shared" si="38"/>
        <v>0</v>
      </c>
    </row>
    <row r="127" spans="1:26" x14ac:dyDescent="0.25">
      <c r="A127" s="355"/>
      <c r="B127" s="362"/>
      <c r="C127" s="32" t="s">
        <v>113</v>
      </c>
      <c r="D127" s="34">
        <f>'ECONOMIA &amp; PROFESIONES'!$R$26</f>
        <v>23375</v>
      </c>
      <c r="E127" s="53">
        <f t="shared" si="39"/>
        <v>0</v>
      </c>
      <c r="F127" s="281" t="s">
        <v>926</v>
      </c>
      <c r="G127" s="285">
        <v>0</v>
      </c>
      <c r="H127" s="278">
        <f t="shared" si="32"/>
        <v>0</v>
      </c>
      <c r="I127" s="281" t="s">
        <v>926</v>
      </c>
      <c r="J127" s="285">
        <v>0</v>
      </c>
      <c r="K127" s="278">
        <f t="shared" si="33"/>
        <v>0</v>
      </c>
      <c r="L127" s="281" t="s">
        <v>926</v>
      </c>
      <c r="M127" s="285">
        <v>0</v>
      </c>
      <c r="N127" s="278">
        <f t="shared" si="34"/>
        <v>0</v>
      </c>
      <c r="O127" s="281" t="s">
        <v>926</v>
      </c>
      <c r="P127" s="285">
        <v>0</v>
      </c>
      <c r="Q127" s="278">
        <f t="shared" si="35"/>
        <v>0</v>
      </c>
      <c r="R127" s="281" t="s">
        <v>926</v>
      </c>
      <c r="S127" s="285">
        <v>0</v>
      </c>
      <c r="T127" s="278">
        <f t="shared" si="36"/>
        <v>0</v>
      </c>
      <c r="U127" s="281" t="s">
        <v>926</v>
      </c>
      <c r="V127" s="285">
        <v>0</v>
      </c>
      <c r="W127" s="278">
        <f t="shared" si="37"/>
        <v>0</v>
      </c>
      <c r="X127" s="281" t="s">
        <v>926</v>
      </c>
      <c r="Y127" s="285">
        <v>0</v>
      </c>
      <c r="Z127" s="278">
        <f t="shared" si="38"/>
        <v>0</v>
      </c>
    </row>
    <row r="128" spans="1:26" x14ac:dyDescent="0.25">
      <c r="A128" s="355"/>
      <c r="B128" s="362"/>
      <c r="C128" s="31" t="s">
        <v>114</v>
      </c>
      <c r="D128" s="34">
        <f>'ECONOMIA &amp; PROFESIONES'!$R$27</f>
        <v>33500</v>
      </c>
      <c r="E128" s="53">
        <f t="shared" si="39"/>
        <v>0</v>
      </c>
      <c r="F128" s="281" t="s">
        <v>926</v>
      </c>
      <c r="G128" s="285">
        <v>0</v>
      </c>
      <c r="H128" s="278">
        <f t="shared" si="32"/>
        <v>0</v>
      </c>
      <c r="I128" s="281" t="s">
        <v>926</v>
      </c>
      <c r="J128" s="285">
        <v>0</v>
      </c>
      <c r="K128" s="278">
        <f t="shared" si="33"/>
        <v>0</v>
      </c>
      <c r="L128" s="281" t="s">
        <v>926</v>
      </c>
      <c r="M128" s="285">
        <v>0</v>
      </c>
      <c r="N128" s="278">
        <f t="shared" si="34"/>
        <v>0</v>
      </c>
      <c r="O128" s="281" t="s">
        <v>926</v>
      </c>
      <c r="P128" s="285">
        <v>0</v>
      </c>
      <c r="Q128" s="278">
        <f t="shared" si="35"/>
        <v>0</v>
      </c>
      <c r="R128" s="281" t="s">
        <v>926</v>
      </c>
      <c r="S128" s="285">
        <v>0</v>
      </c>
      <c r="T128" s="278">
        <f t="shared" si="36"/>
        <v>0</v>
      </c>
      <c r="U128" s="281" t="s">
        <v>926</v>
      </c>
      <c r="V128" s="285">
        <v>0</v>
      </c>
      <c r="W128" s="278">
        <f t="shared" si="37"/>
        <v>0</v>
      </c>
      <c r="X128" s="281" t="s">
        <v>926</v>
      </c>
      <c r="Y128" s="285">
        <v>0</v>
      </c>
      <c r="Z128" s="278">
        <f t="shared" si="38"/>
        <v>0</v>
      </c>
    </row>
    <row r="129" spans="1:26" x14ac:dyDescent="0.25">
      <c r="A129" s="355"/>
      <c r="B129" s="362"/>
      <c r="C129" s="32" t="s">
        <v>115</v>
      </c>
      <c r="D129" s="34">
        <f>'ECONOMIA &amp; PROFESIONES'!$R$28</f>
        <v>30125</v>
      </c>
      <c r="E129" s="53">
        <f t="shared" si="39"/>
        <v>0</v>
      </c>
      <c r="F129" s="281" t="s">
        <v>926</v>
      </c>
      <c r="G129" s="285">
        <v>0</v>
      </c>
      <c r="H129" s="278">
        <f t="shared" si="32"/>
        <v>0</v>
      </c>
      <c r="I129" s="281" t="s">
        <v>926</v>
      </c>
      <c r="J129" s="285">
        <v>0</v>
      </c>
      <c r="K129" s="278">
        <f t="shared" si="33"/>
        <v>0</v>
      </c>
      <c r="L129" s="281" t="s">
        <v>926</v>
      </c>
      <c r="M129" s="285">
        <v>0</v>
      </c>
      <c r="N129" s="278">
        <f t="shared" si="34"/>
        <v>0</v>
      </c>
      <c r="O129" s="281" t="s">
        <v>926</v>
      </c>
      <c r="P129" s="285">
        <v>0</v>
      </c>
      <c r="Q129" s="278">
        <f t="shared" si="35"/>
        <v>0</v>
      </c>
      <c r="R129" s="281" t="s">
        <v>926</v>
      </c>
      <c r="S129" s="285">
        <v>0</v>
      </c>
      <c r="T129" s="278">
        <f t="shared" si="36"/>
        <v>0</v>
      </c>
      <c r="U129" s="281" t="s">
        <v>926</v>
      </c>
      <c r="V129" s="285">
        <v>0</v>
      </c>
      <c r="W129" s="278">
        <f t="shared" si="37"/>
        <v>0</v>
      </c>
      <c r="X129" s="281" t="s">
        <v>926</v>
      </c>
      <c r="Y129" s="285">
        <v>0</v>
      </c>
      <c r="Z129" s="278">
        <f t="shared" si="38"/>
        <v>0</v>
      </c>
    </row>
    <row r="130" spans="1:26" x14ac:dyDescent="0.25">
      <c r="A130" s="355"/>
      <c r="B130" s="362"/>
      <c r="C130" s="31" t="s">
        <v>116</v>
      </c>
      <c r="D130" s="34">
        <f>'ECONOMIA &amp; PROFESIONES'!$R$29</f>
        <v>20000</v>
      </c>
      <c r="E130" s="53">
        <f t="shared" si="39"/>
        <v>0</v>
      </c>
      <c r="F130" s="281" t="s">
        <v>926</v>
      </c>
      <c r="G130" s="285">
        <v>0</v>
      </c>
      <c r="H130" s="278">
        <f t="shared" si="32"/>
        <v>0</v>
      </c>
      <c r="I130" s="281" t="s">
        <v>926</v>
      </c>
      <c r="J130" s="285">
        <v>0</v>
      </c>
      <c r="K130" s="278">
        <f t="shared" si="33"/>
        <v>0</v>
      </c>
      <c r="L130" s="281" t="s">
        <v>926</v>
      </c>
      <c r="M130" s="285">
        <v>0</v>
      </c>
      <c r="N130" s="278">
        <f t="shared" si="34"/>
        <v>0</v>
      </c>
      <c r="O130" s="281" t="s">
        <v>926</v>
      </c>
      <c r="P130" s="285">
        <v>0</v>
      </c>
      <c r="Q130" s="278">
        <f t="shared" si="35"/>
        <v>0</v>
      </c>
      <c r="R130" s="281" t="s">
        <v>926</v>
      </c>
      <c r="S130" s="285">
        <v>0</v>
      </c>
      <c r="T130" s="278">
        <f t="shared" si="36"/>
        <v>0</v>
      </c>
      <c r="U130" s="281" t="s">
        <v>926</v>
      </c>
      <c r="V130" s="285">
        <v>0</v>
      </c>
      <c r="W130" s="278">
        <f t="shared" si="37"/>
        <v>0</v>
      </c>
      <c r="X130" s="281" t="s">
        <v>926</v>
      </c>
      <c r="Y130" s="285">
        <v>0</v>
      </c>
      <c r="Z130" s="278">
        <f t="shared" si="38"/>
        <v>0</v>
      </c>
    </row>
  </sheetData>
  <mergeCells count="30">
    <mergeCell ref="A1:A26"/>
    <mergeCell ref="B7:B11"/>
    <mergeCell ref="B12:B16"/>
    <mergeCell ref="B17:B21"/>
    <mergeCell ref="B22:B26"/>
    <mergeCell ref="B2:B6"/>
    <mergeCell ref="A27:A52"/>
    <mergeCell ref="B28:B32"/>
    <mergeCell ref="B33:B37"/>
    <mergeCell ref="B38:B42"/>
    <mergeCell ref="B43:B47"/>
    <mergeCell ref="B48:B52"/>
    <mergeCell ref="A53:A78"/>
    <mergeCell ref="B54:B58"/>
    <mergeCell ref="B59:B63"/>
    <mergeCell ref="B64:B68"/>
    <mergeCell ref="B69:B73"/>
    <mergeCell ref="B74:B78"/>
    <mergeCell ref="A79:A104"/>
    <mergeCell ref="B80:B84"/>
    <mergeCell ref="B85:B89"/>
    <mergeCell ref="B90:B94"/>
    <mergeCell ref="B95:B99"/>
    <mergeCell ref="B100:B104"/>
    <mergeCell ref="A105:A130"/>
    <mergeCell ref="B106:B110"/>
    <mergeCell ref="B111:B115"/>
    <mergeCell ref="B116:B120"/>
    <mergeCell ref="B121:B125"/>
    <mergeCell ref="B126:B130"/>
  </mergeCells>
  <dataValidations count="1">
    <dataValidation type="list" allowBlank="1" showInputMessage="1" showErrorMessage="1" sqref="X106:X130 L2:L26 I2:I26 O2:O26 R2:R26 U2:U26 X2:X26 F28:F52 L28:L52 I28:I52 O28:O52 R28:R52 U28:U52 X28:X52 F54:F78 L54:L78 I54:I78 O54:O78 R54:R78 U54:U78 X54:X78 F80:F104 L80:L104 I80:I104 O80:O104 R80:R104 U80:U104 X80:X104 F106:F130 L106:L130 I106:I130 O106:O130 R106:R130 U106:U130 F2:F26" xr:uid="{00000000-0002-0000-0600-000000000000}">
      <formula1>craftspar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4A35B-D307-470A-A5B4-7CE98925DAD9}">
  <dimension ref="A1:Z26"/>
  <sheetViews>
    <sheetView workbookViewId="0">
      <selection activeCell="G4" sqref="G4"/>
    </sheetView>
  </sheetViews>
  <sheetFormatPr baseColWidth="10" defaultRowHeight="15" x14ac:dyDescent="0.25"/>
  <cols>
    <col min="6" max="6" width="16.5703125" customWidth="1"/>
    <col min="9" max="9" width="16.42578125" customWidth="1"/>
  </cols>
  <sheetData>
    <row r="1" spans="1:26" x14ac:dyDescent="0.25">
      <c r="A1" s="355" t="s">
        <v>1247</v>
      </c>
      <c r="B1" s="176"/>
      <c r="C1" s="176"/>
      <c r="D1" s="295"/>
      <c r="E1" s="284" t="s">
        <v>1150</v>
      </c>
      <c r="F1" s="284" t="s">
        <v>1151</v>
      </c>
      <c r="G1" s="284" t="s">
        <v>1234</v>
      </c>
      <c r="H1" s="284" t="s">
        <v>202</v>
      </c>
      <c r="I1" s="284" t="s">
        <v>1152</v>
      </c>
      <c r="J1" s="284" t="s">
        <v>1234</v>
      </c>
      <c r="K1" s="284" t="s">
        <v>202</v>
      </c>
      <c r="L1" s="284" t="s">
        <v>1171</v>
      </c>
      <c r="M1" s="284" t="s">
        <v>1234</v>
      </c>
      <c r="N1" s="284" t="s">
        <v>202</v>
      </c>
      <c r="O1" s="284" t="s">
        <v>1226</v>
      </c>
      <c r="P1" s="284" t="s">
        <v>1234</v>
      </c>
      <c r="Q1" s="284" t="s">
        <v>202</v>
      </c>
      <c r="R1" s="284" t="s">
        <v>1227</v>
      </c>
      <c r="S1" s="284" t="s">
        <v>1234</v>
      </c>
      <c r="T1" s="284" t="s">
        <v>202</v>
      </c>
      <c r="U1" s="284" t="s">
        <v>1228</v>
      </c>
      <c r="V1" s="284" t="s">
        <v>1234</v>
      </c>
      <c r="W1" s="284" t="s">
        <v>202</v>
      </c>
      <c r="X1" s="284" t="s">
        <v>1229</v>
      </c>
      <c r="Y1" s="284" t="s">
        <v>1234</v>
      </c>
      <c r="Z1" s="284" t="s">
        <v>202</v>
      </c>
    </row>
    <row r="2" spans="1:26" x14ac:dyDescent="0.25">
      <c r="A2" s="355"/>
      <c r="B2" s="356" t="s">
        <v>1161</v>
      </c>
      <c r="C2" s="31" t="s">
        <v>6</v>
      </c>
      <c r="D2" s="34">
        <f>'ECONOMIA &amp; PROFESIONES'!$P$5</f>
        <v>2100</v>
      </c>
      <c r="E2" s="53">
        <f>(H2*G2)+(K2*J2)+(M2*N2)+(P2*Q2)+(S2*T2)+(V2*W2)+(Y2*Z2)</f>
        <v>0</v>
      </c>
      <c r="F2" s="281" t="s">
        <v>926</v>
      </c>
      <c r="G2" s="285">
        <v>0</v>
      </c>
      <c r="H2" s="278">
        <f t="shared" ref="H2:H26" si="0">VLOOKUP(F2,craftedesp,3,FALSE)</f>
        <v>0</v>
      </c>
      <c r="I2" s="281" t="s">
        <v>926</v>
      </c>
      <c r="J2" s="285">
        <v>0</v>
      </c>
      <c r="K2" s="278">
        <f t="shared" ref="K2:K26" si="1">VLOOKUP(I2,craftedesp,3,FALSE)</f>
        <v>0</v>
      </c>
      <c r="L2" s="281" t="s">
        <v>926</v>
      </c>
      <c r="M2" s="285">
        <v>0</v>
      </c>
      <c r="N2" s="278">
        <f t="shared" ref="N2:N26" si="2">VLOOKUP(L2,craftedesp,3,FALSE)</f>
        <v>0</v>
      </c>
      <c r="O2" s="281" t="s">
        <v>926</v>
      </c>
      <c r="P2" s="285">
        <v>0</v>
      </c>
      <c r="Q2" s="278">
        <f t="shared" ref="Q2:Q26" si="3">VLOOKUP(O2,craftedesp,3,FALSE)</f>
        <v>0</v>
      </c>
      <c r="R2" s="281" t="s">
        <v>926</v>
      </c>
      <c r="S2" s="285">
        <v>0</v>
      </c>
      <c r="T2" s="278">
        <f t="shared" ref="T2:T26" si="4">VLOOKUP(R2,craftedesp,3,FALSE)</f>
        <v>0</v>
      </c>
      <c r="U2" s="281" t="s">
        <v>926</v>
      </c>
      <c r="V2" s="285">
        <v>0</v>
      </c>
      <c r="W2" s="278">
        <f t="shared" ref="W2:W26" si="5">VLOOKUP(U2,craftedesp,3,FALSE)</f>
        <v>0</v>
      </c>
      <c r="X2" s="281" t="s">
        <v>926</v>
      </c>
      <c r="Y2" s="285">
        <v>0</v>
      </c>
      <c r="Z2" s="278">
        <f t="shared" ref="Z2:Z26" si="6">VLOOKUP(X2,craftedesp,3,FALSE)</f>
        <v>0</v>
      </c>
    </row>
    <row r="3" spans="1:26" x14ac:dyDescent="0.25">
      <c r="A3" s="355"/>
      <c r="B3" s="357"/>
      <c r="C3" s="32" t="s">
        <v>113</v>
      </c>
      <c r="D3" s="34">
        <f>'ECONOMIA &amp; PROFESIONES'!$P$6</f>
        <v>4500</v>
      </c>
      <c r="E3" s="53">
        <f t="shared" ref="E3:E26" si="7">(H3*G3)+(K3*J3)+(M3*N3)+(P3*Q3)+(S3*T3)+(V3*W3)+(Y3*Z3)</f>
        <v>0</v>
      </c>
      <c r="F3" s="281" t="s">
        <v>926</v>
      </c>
      <c r="G3" s="285">
        <v>0</v>
      </c>
      <c r="H3" s="278">
        <f t="shared" si="0"/>
        <v>0</v>
      </c>
      <c r="I3" s="281" t="s">
        <v>926</v>
      </c>
      <c r="J3" s="285">
        <v>0</v>
      </c>
      <c r="K3" s="278">
        <f t="shared" si="1"/>
        <v>0</v>
      </c>
      <c r="L3" s="281" t="s">
        <v>926</v>
      </c>
      <c r="M3" s="285">
        <v>0</v>
      </c>
      <c r="N3" s="278">
        <f t="shared" si="2"/>
        <v>0</v>
      </c>
      <c r="O3" s="281" t="s">
        <v>926</v>
      </c>
      <c r="P3" s="285">
        <v>0</v>
      </c>
      <c r="Q3" s="278">
        <f t="shared" si="3"/>
        <v>0</v>
      </c>
      <c r="R3" s="281" t="s">
        <v>926</v>
      </c>
      <c r="S3" s="285">
        <v>0</v>
      </c>
      <c r="T3" s="278">
        <f t="shared" si="4"/>
        <v>0</v>
      </c>
      <c r="U3" s="281" t="s">
        <v>926</v>
      </c>
      <c r="V3" s="285">
        <v>0</v>
      </c>
      <c r="W3" s="278">
        <f t="shared" si="5"/>
        <v>0</v>
      </c>
      <c r="X3" s="281" t="s">
        <v>926</v>
      </c>
      <c r="Y3" s="285">
        <v>0</v>
      </c>
      <c r="Z3" s="278">
        <f t="shared" si="6"/>
        <v>0</v>
      </c>
    </row>
    <row r="4" spans="1:26" x14ac:dyDescent="0.25">
      <c r="A4" s="355"/>
      <c r="B4" s="357"/>
      <c r="C4" s="31" t="s">
        <v>1246</v>
      </c>
      <c r="D4" s="34">
        <f>'ECONOMIA &amp; PROFESIONES'!$P$7</f>
        <v>6900</v>
      </c>
      <c r="E4" s="53">
        <f t="shared" si="7"/>
        <v>7104</v>
      </c>
      <c r="F4" s="281" t="s">
        <v>1243</v>
      </c>
      <c r="G4" s="285">
        <v>12</v>
      </c>
      <c r="H4" s="278">
        <f t="shared" si="0"/>
        <v>420</v>
      </c>
      <c r="I4" s="281" t="s">
        <v>1242</v>
      </c>
      <c r="J4" s="285">
        <v>24</v>
      </c>
      <c r="K4" s="278">
        <f t="shared" si="1"/>
        <v>86</v>
      </c>
      <c r="L4" s="281" t="s">
        <v>926</v>
      </c>
      <c r="M4" s="285">
        <v>0</v>
      </c>
      <c r="N4" s="278">
        <f t="shared" si="2"/>
        <v>0</v>
      </c>
      <c r="O4" s="281" t="s">
        <v>926</v>
      </c>
      <c r="P4" s="285">
        <v>0</v>
      </c>
      <c r="Q4" s="278">
        <f t="shared" si="3"/>
        <v>0</v>
      </c>
      <c r="R4" s="281" t="s">
        <v>926</v>
      </c>
      <c r="S4" s="285">
        <v>0</v>
      </c>
      <c r="T4" s="278">
        <f t="shared" si="4"/>
        <v>0</v>
      </c>
      <c r="U4" s="281" t="s">
        <v>926</v>
      </c>
      <c r="V4" s="285">
        <v>0</v>
      </c>
      <c r="W4" s="278">
        <f t="shared" si="5"/>
        <v>0</v>
      </c>
      <c r="X4" s="281" t="s">
        <v>926</v>
      </c>
      <c r="Y4" s="285">
        <v>0</v>
      </c>
      <c r="Z4" s="278">
        <f t="shared" si="6"/>
        <v>0</v>
      </c>
    </row>
    <row r="5" spans="1:26" x14ac:dyDescent="0.25">
      <c r="A5" s="355"/>
      <c r="B5" s="357"/>
      <c r="C5" s="32" t="s">
        <v>115</v>
      </c>
      <c r="D5" s="34">
        <f>'ECONOMIA &amp; PROFESIONES'!$P$8</f>
        <v>6100</v>
      </c>
      <c r="E5" s="53">
        <f t="shared" si="7"/>
        <v>0</v>
      </c>
      <c r="F5" s="281" t="s">
        <v>926</v>
      </c>
      <c r="G5" s="285">
        <v>0</v>
      </c>
      <c r="H5" s="278">
        <f t="shared" si="0"/>
        <v>0</v>
      </c>
      <c r="I5" s="281" t="s">
        <v>926</v>
      </c>
      <c r="J5" s="285">
        <v>0</v>
      </c>
      <c r="K5" s="278">
        <f t="shared" si="1"/>
        <v>0</v>
      </c>
      <c r="L5" s="281" t="s">
        <v>926</v>
      </c>
      <c r="M5" s="285">
        <v>0</v>
      </c>
      <c r="N5" s="278">
        <f t="shared" si="2"/>
        <v>0</v>
      </c>
      <c r="O5" s="281" t="s">
        <v>926</v>
      </c>
      <c r="P5" s="285">
        <v>0</v>
      </c>
      <c r="Q5" s="278">
        <f t="shared" si="3"/>
        <v>0</v>
      </c>
      <c r="R5" s="281" t="s">
        <v>926</v>
      </c>
      <c r="S5" s="285">
        <v>0</v>
      </c>
      <c r="T5" s="278">
        <f t="shared" si="4"/>
        <v>0</v>
      </c>
      <c r="U5" s="281" t="s">
        <v>926</v>
      </c>
      <c r="V5" s="285">
        <v>0</v>
      </c>
      <c r="W5" s="278">
        <f t="shared" si="5"/>
        <v>0</v>
      </c>
      <c r="X5" s="281" t="s">
        <v>926</v>
      </c>
      <c r="Y5" s="285">
        <v>0</v>
      </c>
      <c r="Z5" s="278">
        <f t="shared" si="6"/>
        <v>0</v>
      </c>
    </row>
    <row r="6" spans="1:26" x14ac:dyDescent="0.25">
      <c r="A6" s="355"/>
      <c r="B6" s="358"/>
      <c r="C6" s="31" t="s">
        <v>116</v>
      </c>
      <c r="D6" s="34">
        <f>'ECONOMIA &amp; PROFESIONES'!$P$9</f>
        <v>3700</v>
      </c>
      <c r="E6" s="53">
        <f t="shared" si="7"/>
        <v>0</v>
      </c>
      <c r="F6" s="281" t="s">
        <v>926</v>
      </c>
      <c r="G6" s="285">
        <v>0</v>
      </c>
      <c r="H6" s="278">
        <f t="shared" si="0"/>
        <v>0</v>
      </c>
      <c r="I6" s="281" t="s">
        <v>926</v>
      </c>
      <c r="J6" s="285">
        <v>0</v>
      </c>
      <c r="K6" s="278">
        <f t="shared" si="1"/>
        <v>0</v>
      </c>
      <c r="L6" s="281" t="s">
        <v>926</v>
      </c>
      <c r="M6" s="285">
        <v>0</v>
      </c>
      <c r="N6" s="278">
        <f t="shared" si="2"/>
        <v>0</v>
      </c>
      <c r="O6" s="281" t="s">
        <v>926</v>
      </c>
      <c r="P6" s="285">
        <v>0</v>
      </c>
      <c r="Q6" s="278">
        <f t="shared" si="3"/>
        <v>0</v>
      </c>
      <c r="R6" s="281" t="s">
        <v>926</v>
      </c>
      <c r="S6" s="285">
        <v>0</v>
      </c>
      <c r="T6" s="278">
        <f t="shared" si="4"/>
        <v>0</v>
      </c>
      <c r="U6" s="281" t="s">
        <v>926</v>
      </c>
      <c r="V6" s="285">
        <v>0</v>
      </c>
      <c r="W6" s="278">
        <f t="shared" si="5"/>
        <v>0</v>
      </c>
      <c r="X6" s="281" t="s">
        <v>926</v>
      </c>
      <c r="Y6" s="285">
        <v>0</v>
      </c>
      <c r="Z6" s="278">
        <f t="shared" si="6"/>
        <v>0</v>
      </c>
    </row>
    <row r="7" spans="1:26" x14ac:dyDescent="0.25">
      <c r="A7" s="355"/>
      <c r="B7" s="359" t="s">
        <v>1162</v>
      </c>
      <c r="C7" s="32" t="s">
        <v>6</v>
      </c>
      <c r="D7" s="34">
        <f>'ECONOMIA &amp; PROFESIONES'!$P$10</f>
        <v>3650</v>
      </c>
      <c r="E7" s="53">
        <f t="shared" si="7"/>
        <v>0</v>
      </c>
      <c r="F7" s="281" t="s">
        <v>926</v>
      </c>
      <c r="G7" s="285">
        <v>0</v>
      </c>
      <c r="H7" s="278">
        <f t="shared" si="0"/>
        <v>0</v>
      </c>
      <c r="I7" s="281" t="s">
        <v>926</v>
      </c>
      <c r="J7" s="285">
        <v>0</v>
      </c>
      <c r="K7" s="278">
        <f t="shared" si="1"/>
        <v>0</v>
      </c>
      <c r="L7" s="281" t="s">
        <v>926</v>
      </c>
      <c r="M7" s="285">
        <v>0</v>
      </c>
      <c r="N7" s="278">
        <f t="shared" si="2"/>
        <v>0</v>
      </c>
      <c r="O7" s="281" t="s">
        <v>926</v>
      </c>
      <c r="P7" s="285">
        <v>0</v>
      </c>
      <c r="Q7" s="278">
        <f t="shared" si="3"/>
        <v>0</v>
      </c>
      <c r="R7" s="281" t="s">
        <v>926</v>
      </c>
      <c r="S7" s="285">
        <v>0</v>
      </c>
      <c r="T7" s="278">
        <f t="shared" si="4"/>
        <v>0</v>
      </c>
      <c r="U7" s="281" t="s">
        <v>926</v>
      </c>
      <c r="V7" s="285">
        <v>0</v>
      </c>
      <c r="W7" s="278">
        <f t="shared" si="5"/>
        <v>0</v>
      </c>
      <c r="X7" s="281" t="s">
        <v>926</v>
      </c>
      <c r="Y7" s="285">
        <v>0</v>
      </c>
      <c r="Z7" s="278">
        <f t="shared" si="6"/>
        <v>0</v>
      </c>
    </row>
    <row r="8" spans="1:26" x14ac:dyDescent="0.25">
      <c r="A8" s="355"/>
      <c r="B8" s="360"/>
      <c r="C8" s="31" t="s">
        <v>113</v>
      </c>
      <c r="D8" s="34">
        <f>'ECONOMIA &amp; PROFESIONES'!$P$11</f>
        <v>6125</v>
      </c>
      <c r="E8" s="53">
        <f t="shared" si="7"/>
        <v>0</v>
      </c>
      <c r="F8" s="281" t="s">
        <v>926</v>
      </c>
      <c r="G8" s="285">
        <v>0</v>
      </c>
      <c r="H8" s="278">
        <f t="shared" si="0"/>
        <v>0</v>
      </c>
      <c r="I8" s="281" t="s">
        <v>926</v>
      </c>
      <c r="J8" s="285">
        <v>0</v>
      </c>
      <c r="K8" s="278">
        <f t="shared" si="1"/>
        <v>0</v>
      </c>
      <c r="L8" s="281" t="s">
        <v>926</v>
      </c>
      <c r="M8" s="285">
        <v>0</v>
      </c>
      <c r="N8" s="278">
        <f t="shared" si="2"/>
        <v>0</v>
      </c>
      <c r="O8" s="281" t="s">
        <v>926</v>
      </c>
      <c r="P8" s="285">
        <v>0</v>
      </c>
      <c r="Q8" s="278">
        <f t="shared" si="3"/>
        <v>0</v>
      </c>
      <c r="R8" s="281" t="s">
        <v>926</v>
      </c>
      <c r="S8" s="285">
        <v>0</v>
      </c>
      <c r="T8" s="278">
        <f t="shared" si="4"/>
        <v>0</v>
      </c>
      <c r="U8" s="281" t="s">
        <v>926</v>
      </c>
      <c r="V8" s="285">
        <v>0</v>
      </c>
      <c r="W8" s="278">
        <f t="shared" si="5"/>
        <v>0</v>
      </c>
      <c r="X8" s="281" t="s">
        <v>926</v>
      </c>
      <c r="Y8" s="285">
        <v>0</v>
      </c>
      <c r="Z8" s="278">
        <f t="shared" si="6"/>
        <v>0</v>
      </c>
    </row>
    <row r="9" spans="1:26" x14ac:dyDescent="0.25">
      <c r="A9" s="355"/>
      <c r="B9" s="360"/>
      <c r="C9" s="32" t="s">
        <v>114</v>
      </c>
      <c r="D9" s="34">
        <f>'ECONOMIA &amp; PROFESIONES'!$P$12</f>
        <v>8600</v>
      </c>
      <c r="E9" s="53">
        <f t="shared" si="7"/>
        <v>0</v>
      </c>
      <c r="F9" s="281" t="s">
        <v>926</v>
      </c>
      <c r="G9" s="285">
        <v>0</v>
      </c>
      <c r="H9" s="278">
        <f t="shared" si="0"/>
        <v>0</v>
      </c>
      <c r="I9" s="281" t="s">
        <v>926</v>
      </c>
      <c r="J9" s="285">
        <v>0</v>
      </c>
      <c r="K9" s="278">
        <f t="shared" si="1"/>
        <v>0</v>
      </c>
      <c r="L9" s="281" t="s">
        <v>926</v>
      </c>
      <c r="M9" s="285">
        <v>0</v>
      </c>
      <c r="N9" s="278">
        <f t="shared" si="2"/>
        <v>0</v>
      </c>
      <c r="O9" s="281" t="s">
        <v>926</v>
      </c>
      <c r="P9" s="285">
        <v>0</v>
      </c>
      <c r="Q9" s="278">
        <f t="shared" si="3"/>
        <v>0</v>
      </c>
      <c r="R9" s="281" t="s">
        <v>926</v>
      </c>
      <c r="S9" s="285">
        <v>0</v>
      </c>
      <c r="T9" s="278">
        <f t="shared" si="4"/>
        <v>0</v>
      </c>
      <c r="U9" s="281" t="s">
        <v>926</v>
      </c>
      <c r="V9" s="285">
        <v>0</v>
      </c>
      <c r="W9" s="278">
        <f t="shared" si="5"/>
        <v>0</v>
      </c>
      <c r="X9" s="281" t="s">
        <v>926</v>
      </c>
      <c r="Y9" s="285">
        <v>0</v>
      </c>
      <c r="Z9" s="278">
        <f t="shared" si="6"/>
        <v>0</v>
      </c>
    </row>
    <row r="10" spans="1:26" x14ac:dyDescent="0.25">
      <c r="A10" s="355"/>
      <c r="B10" s="360"/>
      <c r="C10" s="31" t="s">
        <v>115</v>
      </c>
      <c r="D10" s="34">
        <f>'ECONOMIA &amp; PROFESIONES'!$P$13</f>
        <v>7775</v>
      </c>
      <c r="E10" s="53">
        <f t="shared" si="7"/>
        <v>0</v>
      </c>
      <c r="F10" s="281" t="s">
        <v>926</v>
      </c>
      <c r="G10" s="285">
        <v>0</v>
      </c>
      <c r="H10" s="278">
        <f t="shared" si="0"/>
        <v>0</v>
      </c>
      <c r="I10" s="281" t="s">
        <v>926</v>
      </c>
      <c r="J10" s="285">
        <v>0</v>
      </c>
      <c r="K10" s="278">
        <f t="shared" si="1"/>
        <v>0</v>
      </c>
      <c r="L10" s="281" t="s">
        <v>926</v>
      </c>
      <c r="M10" s="285">
        <v>0</v>
      </c>
      <c r="N10" s="278">
        <f t="shared" si="2"/>
        <v>0</v>
      </c>
      <c r="O10" s="281" t="s">
        <v>926</v>
      </c>
      <c r="P10" s="285">
        <v>0</v>
      </c>
      <c r="Q10" s="278">
        <f t="shared" si="3"/>
        <v>0</v>
      </c>
      <c r="R10" s="281" t="s">
        <v>926</v>
      </c>
      <c r="S10" s="285">
        <v>0</v>
      </c>
      <c r="T10" s="278">
        <f t="shared" si="4"/>
        <v>0</v>
      </c>
      <c r="U10" s="281" t="s">
        <v>926</v>
      </c>
      <c r="V10" s="285">
        <v>0</v>
      </c>
      <c r="W10" s="278">
        <f t="shared" si="5"/>
        <v>0</v>
      </c>
      <c r="X10" s="281" t="s">
        <v>926</v>
      </c>
      <c r="Y10" s="285">
        <v>0</v>
      </c>
      <c r="Z10" s="278">
        <f t="shared" si="6"/>
        <v>0</v>
      </c>
    </row>
    <row r="11" spans="1:26" x14ac:dyDescent="0.25">
      <c r="A11" s="355"/>
      <c r="B11" s="361"/>
      <c r="C11" s="32" t="s">
        <v>116</v>
      </c>
      <c r="D11" s="34">
        <f>'ECONOMIA &amp; PROFESIONES'!$P$14</f>
        <v>5300</v>
      </c>
      <c r="E11" s="53">
        <f t="shared" si="7"/>
        <v>0</v>
      </c>
      <c r="F11" s="281" t="s">
        <v>926</v>
      </c>
      <c r="G11" s="285">
        <v>0</v>
      </c>
      <c r="H11" s="278">
        <f t="shared" si="0"/>
        <v>0</v>
      </c>
      <c r="I11" s="281" t="s">
        <v>926</v>
      </c>
      <c r="J11" s="285">
        <v>0</v>
      </c>
      <c r="K11" s="278">
        <f t="shared" si="1"/>
        <v>0</v>
      </c>
      <c r="L11" s="281" t="s">
        <v>926</v>
      </c>
      <c r="M11" s="285">
        <v>0</v>
      </c>
      <c r="N11" s="278">
        <f t="shared" si="2"/>
        <v>0</v>
      </c>
      <c r="O11" s="281" t="s">
        <v>926</v>
      </c>
      <c r="P11" s="285">
        <v>0</v>
      </c>
      <c r="Q11" s="278">
        <f t="shared" si="3"/>
        <v>0</v>
      </c>
      <c r="R11" s="281" t="s">
        <v>926</v>
      </c>
      <c r="S11" s="285">
        <v>0</v>
      </c>
      <c r="T11" s="278">
        <f t="shared" si="4"/>
        <v>0</v>
      </c>
      <c r="U11" s="281" t="s">
        <v>926</v>
      </c>
      <c r="V11" s="285">
        <v>0</v>
      </c>
      <c r="W11" s="278">
        <f t="shared" si="5"/>
        <v>0</v>
      </c>
      <c r="X11" s="281" t="s">
        <v>926</v>
      </c>
      <c r="Y11" s="285">
        <v>0</v>
      </c>
      <c r="Z11" s="278">
        <f t="shared" si="6"/>
        <v>0</v>
      </c>
    </row>
    <row r="12" spans="1:26" x14ac:dyDescent="0.25">
      <c r="A12" s="355"/>
      <c r="B12" s="362" t="s">
        <v>1231</v>
      </c>
      <c r="C12" s="31" t="s">
        <v>6</v>
      </c>
      <c r="D12" s="34">
        <f>'ECONOMIA &amp; PROFESIONES'!$P$15</f>
        <v>5250</v>
      </c>
      <c r="E12" s="53">
        <f t="shared" si="7"/>
        <v>0</v>
      </c>
      <c r="F12" s="281" t="s">
        <v>926</v>
      </c>
      <c r="G12" s="285">
        <v>0</v>
      </c>
      <c r="H12" s="278">
        <f t="shared" si="0"/>
        <v>0</v>
      </c>
      <c r="I12" s="281" t="s">
        <v>926</v>
      </c>
      <c r="J12" s="285">
        <v>0</v>
      </c>
      <c r="K12" s="278">
        <f t="shared" si="1"/>
        <v>0</v>
      </c>
      <c r="L12" s="281" t="s">
        <v>926</v>
      </c>
      <c r="M12" s="285">
        <v>0</v>
      </c>
      <c r="N12" s="278">
        <f t="shared" si="2"/>
        <v>0</v>
      </c>
      <c r="O12" s="281" t="s">
        <v>926</v>
      </c>
      <c r="P12" s="285">
        <v>0</v>
      </c>
      <c r="Q12" s="278">
        <f t="shared" si="3"/>
        <v>0</v>
      </c>
      <c r="R12" s="281" t="s">
        <v>926</v>
      </c>
      <c r="S12" s="285">
        <v>0</v>
      </c>
      <c r="T12" s="278">
        <f t="shared" si="4"/>
        <v>0</v>
      </c>
      <c r="U12" s="281" t="s">
        <v>926</v>
      </c>
      <c r="V12" s="285">
        <v>0</v>
      </c>
      <c r="W12" s="278">
        <f t="shared" si="5"/>
        <v>0</v>
      </c>
      <c r="X12" s="281" t="s">
        <v>926</v>
      </c>
      <c r="Y12" s="285">
        <v>0</v>
      </c>
      <c r="Z12" s="278">
        <f t="shared" si="6"/>
        <v>0</v>
      </c>
    </row>
    <row r="13" spans="1:26" x14ac:dyDescent="0.25">
      <c r="A13" s="355"/>
      <c r="B13" s="363"/>
      <c r="C13" s="32" t="s">
        <v>113</v>
      </c>
      <c r="D13" s="34">
        <f>'ECONOMIA &amp; PROFESIONES'!$P$16</f>
        <v>7875</v>
      </c>
      <c r="E13" s="53">
        <f t="shared" si="7"/>
        <v>0</v>
      </c>
      <c r="F13" s="281" t="s">
        <v>926</v>
      </c>
      <c r="G13" s="285">
        <v>0</v>
      </c>
      <c r="H13" s="278">
        <f t="shared" si="0"/>
        <v>0</v>
      </c>
      <c r="I13" s="281" t="s">
        <v>926</v>
      </c>
      <c r="J13" s="285">
        <v>0</v>
      </c>
      <c r="K13" s="278">
        <f t="shared" si="1"/>
        <v>0</v>
      </c>
      <c r="L13" s="281" t="s">
        <v>926</v>
      </c>
      <c r="M13" s="285">
        <v>0</v>
      </c>
      <c r="N13" s="278">
        <f t="shared" si="2"/>
        <v>0</v>
      </c>
      <c r="O13" s="281" t="s">
        <v>926</v>
      </c>
      <c r="P13" s="285">
        <v>0</v>
      </c>
      <c r="Q13" s="278">
        <f t="shared" si="3"/>
        <v>0</v>
      </c>
      <c r="R13" s="281" t="s">
        <v>926</v>
      </c>
      <c r="S13" s="285">
        <v>0</v>
      </c>
      <c r="T13" s="278">
        <f t="shared" si="4"/>
        <v>0</v>
      </c>
      <c r="U13" s="281" t="s">
        <v>926</v>
      </c>
      <c r="V13" s="285">
        <v>0</v>
      </c>
      <c r="W13" s="278">
        <f t="shared" si="5"/>
        <v>0</v>
      </c>
      <c r="X13" s="281" t="s">
        <v>926</v>
      </c>
      <c r="Y13" s="285">
        <v>0</v>
      </c>
      <c r="Z13" s="278">
        <f t="shared" si="6"/>
        <v>0</v>
      </c>
    </row>
    <row r="14" spans="1:26" x14ac:dyDescent="0.25">
      <c r="A14" s="355"/>
      <c r="B14" s="363"/>
      <c r="C14" s="31" t="s">
        <v>114</v>
      </c>
      <c r="D14" s="34">
        <f>'ECONOMIA &amp; PROFESIONES'!$P$17</f>
        <v>10500</v>
      </c>
      <c r="E14" s="53">
        <f t="shared" si="7"/>
        <v>0</v>
      </c>
      <c r="F14" s="281" t="s">
        <v>926</v>
      </c>
      <c r="G14" s="285">
        <v>0</v>
      </c>
      <c r="H14" s="278">
        <f t="shared" si="0"/>
        <v>0</v>
      </c>
      <c r="I14" s="281" t="s">
        <v>926</v>
      </c>
      <c r="J14" s="285">
        <v>0</v>
      </c>
      <c r="K14" s="278">
        <f t="shared" si="1"/>
        <v>0</v>
      </c>
      <c r="L14" s="281" t="s">
        <v>926</v>
      </c>
      <c r="M14" s="285">
        <v>0</v>
      </c>
      <c r="N14" s="278">
        <f t="shared" si="2"/>
        <v>0</v>
      </c>
      <c r="O14" s="281" t="s">
        <v>926</v>
      </c>
      <c r="P14" s="285">
        <v>0</v>
      </c>
      <c r="Q14" s="278">
        <f t="shared" si="3"/>
        <v>0</v>
      </c>
      <c r="R14" s="281" t="s">
        <v>926</v>
      </c>
      <c r="S14" s="285">
        <v>0</v>
      </c>
      <c r="T14" s="278">
        <f t="shared" si="4"/>
        <v>0</v>
      </c>
      <c r="U14" s="281" t="s">
        <v>926</v>
      </c>
      <c r="V14" s="285">
        <v>0</v>
      </c>
      <c r="W14" s="278">
        <f t="shared" si="5"/>
        <v>0</v>
      </c>
      <c r="X14" s="281" t="s">
        <v>926</v>
      </c>
      <c r="Y14" s="285">
        <v>0</v>
      </c>
      <c r="Z14" s="278">
        <f t="shared" si="6"/>
        <v>0</v>
      </c>
    </row>
    <row r="15" spans="1:26" x14ac:dyDescent="0.25">
      <c r="A15" s="355"/>
      <c r="B15" s="362"/>
      <c r="C15" s="32" t="s">
        <v>115</v>
      </c>
      <c r="D15" s="34">
        <f>'ECONOMIA &amp; PROFESIONES'!$P$18</f>
        <v>9625</v>
      </c>
      <c r="E15" s="53">
        <f t="shared" si="7"/>
        <v>0</v>
      </c>
      <c r="F15" s="281" t="s">
        <v>926</v>
      </c>
      <c r="G15" s="285">
        <v>0</v>
      </c>
      <c r="H15" s="278">
        <f t="shared" si="0"/>
        <v>0</v>
      </c>
      <c r="I15" s="281" t="s">
        <v>926</v>
      </c>
      <c r="J15" s="285">
        <v>0</v>
      </c>
      <c r="K15" s="278">
        <f t="shared" si="1"/>
        <v>0</v>
      </c>
      <c r="L15" s="281" t="s">
        <v>926</v>
      </c>
      <c r="M15" s="285">
        <v>0</v>
      </c>
      <c r="N15" s="278">
        <f t="shared" si="2"/>
        <v>0</v>
      </c>
      <c r="O15" s="281" t="s">
        <v>926</v>
      </c>
      <c r="P15" s="285">
        <v>0</v>
      </c>
      <c r="Q15" s="278">
        <f t="shared" si="3"/>
        <v>0</v>
      </c>
      <c r="R15" s="281" t="s">
        <v>926</v>
      </c>
      <c r="S15" s="285">
        <v>0</v>
      </c>
      <c r="T15" s="278">
        <f t="shared" si="4"/>
        <v>0</v>
      </c>
      <c r="U15" s="281" t="s">
        <v>926</v>
      </c>
      <c r="V15" s="285">
        <v>0</v>
      </c>
      <c r="W15" s="278">
        <f t="shared" si="5"/>
        <v>0</v>
      </c>
      <c r="X15" s="281" t="s">
        <v>926</v>
      </c>
      <c r="Y15" s="285">
        <v>0</v>
      </c>
      <c r="Z15" s="278">
        <f t="shared" si="6"/>
        <v>0</v>
      </c>
    </row>
    <row r="16" spans="1:26" x14ac:dyDescent="0.25">
      <c r="A16" s="355"/>
      <c r="B16" s="362"/>
      <c r="C16" s="31" t="s">
        <v>116</v>
      </c>
      <c r="D16" s="34">
        <f>'ECONOMIA &amp; PROFESIONES'!$P$19</f>
        <v>7000</v>
      </c>
      <c r="E16" s="53">
        <f t="shared" si="7"/>
        <v>0</v>
      </c>
      <c r="F16" s="281" t="s">
        <v>926</v>
      </c>
      <c r="G16" s="285">
        <v>0</v>
      </c>
      <c r="H16" s="278">
        <f t="shared" si="0"/>
        <v>0</v>
      </c>
      <c r="I16" s="281" t="s">
        <v>926</v>
      </c>
      <c r="J16" s="285">
        <v>0</v>
      </c>
      <c r="K16" s="278">
        <f t="shared" si="1"/>
        <v>0</v>
      </c>
      <c r="L16" s="281" t="s">
        <v>926</v>
      </c>
      <c r="M16" s="285">
        <v>0</v>
      </c>
      <c r="N16" s="278">
        <f t="shared" si="2"/>
        <v>0</v>
      </c>
      <c r="O16" s="281" t="s">
        <v>926</v>
      </c>
      <c r="P16" s="285">
        <v>0</v>
      </c>
      <c r="Q16" s="278">
        <f t="shared" si="3"/>
        <v>0</v>
      </c>
      <c r="R16" s="281" t="s">
        <v>926</v>
      </c>
      <c r="S16" s="285">
        <v>0</v>
      </c>
      <c r="T16" s="278">
        <f t="shared" si="4"/>
        <v>0</v>
      </c>
      <c r="U16" s="281" t="s">
        <v>926</v>
      </c>
      <c r="V16" s="285">
        <v>0</v>
      </c>
      <c r="W16" s="278">
        <f t="shared" si="5"/>
        <v>0</v>
      </c>
      <c r="X16" s="281" t="s">
        <v>926</v>
      </c>
      <c r="Y16" s="285">
        <v>0</v>
      </c>
      <c r="Z16" s="278">
        <f t="shared" si="6"/>
        <v>0</v>
      </c>
    </row>
    <row r="17" spans="1:26" x14ac:dyDescent="0.25">
      <c r="A17" s="355"/>
      <c r="B17" s="364" t="s">
        <v>1232</v>
      </c>
      <c r="C17" s="32" t="s">
        <v>6</v>
      </c>
      <c r="D17" s="34">
        <f>'ECONOMIA &amp; PROFESIONES'!$P$20</f>
        <v>6850</v>
      </c>
      <c r="E17" s="53">
        <f t="shared" si="7"/>
        <v>0</v>
      </c>
      <c r="F17" s="281" t="s">
        <v>926</v>
      </c>
      <c r="G17" s="285">
        <v>0</v>
      </c>
      <c r="H17" s="278">
        <f t="shared" si="0"/>
        <v>0</v>
      </c>
      <c r="I17" s="281" t="s">
        <v>926</v>
      </c>
      <c r="J17" s="285">
        <v>0</v>
      </c>
      <c r="K17" s="278">
        <f t="shared" si="1"/>
        <v>0</v>
      </c>
      <c r="L17" s="281" t="s">
        <v>926</v>
      </c>
      <c r="M17" s="285">
        <v>0</v>
      </c>
      <c r="N17" s="278">
        <f t="shared" si="2"/>
        <v>0</v>
      </c>
      <c r="O17" s="281" t="s">
        <v>926</v>
      </c>
      <c r="P17" s="285">
        <v>0</v>
      </c>
      <c r="Q17" s="278">
        <f t="shared" si="3"/>
        <v>0</v>
      </c>
      <c r="R17" s="281" t="s">
        <v>926</v>
      </c>
      <c r="S17" s="285">
        <v>0</v>
      </c>
      <c r="T17" s="278">
        <f t="shared" si="4"/>
        <v>0</v>
      </c>
      <c r="U17" s="281" t="s">
        <v>926</v>
      </c>
      <c r="V17" s="285">
        <v>0</v>
      </c>
      <c r="W17" s="278">
        <f t="shared" si="5"/>
        <v>0</v>
      </c>
      <c r="X17" s="281" t="s">
        <v>926</v>
      </c>
      <c r="Y17" s="285">
        <v>0</v>
      </c>
      <c r="Z17" s="278">
        <f t="shared" si="6"/>
        <v>0</v>
      </c>
    </row>
    <row r="18" spans="1:26" x14ac:dyDescent="0.25">
      <c r="A18" s="355"/>
      <c r="B18" s="365"/>
      <c r="C18" s="31" t="s">
        <v>113</v>
      </c>
      <c r="D18" s="34">
        <f>'ECONOMIA &amp; PROFESIONES'!$P$21</f>
        <v>9625</v>
      </c>
      <c r="E18" s="53">
        <f t="shared" si="7"/>
        <v>0</v>
      </c>
      <c r="F18" s="281" t="s">
        <v>926</v>
      </c>
      <c r="G18" s="285">
        <v>0</v>
      </c>
      <c r="H18" s="278">
        <f t="shared" si="0"/>
        <v>0</v>
      </c>
      <c r="I18" s="281" t="s">
        <v>926</v>
      </c>
      <c r="J18" s="285">
        <v>0</v>
      </c>
      <c r="K18" s="278">
        <f t="shared" si="1"/>
        <v>0</v>
      </c>
      <c r="L18" s="281" t="s">
        <v>926</v>
      </c>
      <c r="M18" s="285">
        <v>0</v>
      </c>
      <c r="N18" s="278">
        <f t="shared" si="2"/>
        <v>0</v>
      </c>
      <c r="O18" s="281" t="s">
        <v>926</v>
      </c>
      <c r="P18" s="285">
        <v>0</v>
      </c>
      <c r="Q18" s="278">
        <f t="shared" si="3"/>
        <v>0</v>
      </c>
      <c r="R18" s="281" t="s">
        <v>926</v>
      </c>
      <c r="S18" s="285">
        <v>0</v>
      </c>
      <c r="T18" s="278">
        <f t="shared" si="4"/>
        <v>0</v>
      </c>
      <c r="U18" s="281" t="s">
        <v>926</v>
      </c>
      <c r="V18" s="285">
        <v>0</v>
      </c>
      <c r="W18" s="278">
        <f t="shared" si="5"/>
        <v>0</v>
      </c>
      <c r="X18" s="281" t="s">
        <v>926</v>
      </c>
      <c r="Y18" s="285">
        <v>0</v>
      </c>
      <c r="Z18" s="278">
        <f t="shared" si="6"/>
        <v>0</v>
      </c>
    </row>
    <row r="19" spans="1:26" x14ac:dyDescent="0.25">
      <c r="A19" s="355"/>
      <c r="B19" s="365"/>
      <c r="C19" s="32" t="s">
        <v>114</v>
      </c>
      <c r="D19" s="34">
        <f>'ECONOMIA &amp; PROFESIONES'!$P$22</f>
        <v>12400</v>
      </c>
      <c r="E19" s="53">
        <f t="shared" si="7"/>
        <v>0</v>
      </c>
      <c r="F19" s="281" t="s">
        <v>926</v>
      </c>
      <c r="G19" s="285">
        <v>0</v>
      </c>
      <c r="H19" s="278">
        <f t="shared" si="0"/>
        <v>0</v>
      </c>
      <c r="I19" s="281" t="s">
        <v>926</v>
      </c>
      <c r="J19" s="285">
        <v>0</v>
      </c>
      <c r="K19" s="278">
        <f t="shared" si="1"/>
        <v>0</v>
      </c>
      <c r="L19" s="281" t="s">
        <v>926</v>
      </c>
      <c r="M19" s="285">
        <v>0</v>
      </c>
      <c r="N19" s="278">
        <f t="shared" si="2"/>
        <v>0</v>
      </c>
      <c r="O19" s="281" t="s">
        <v>926</v>
      </c>
      <c r="P19" s="285">
        <v>0</v>
      </c>
      <c r="Q19" s="278">
        <f t="shared" si="3"/>
        <v>0</v>
      </c>
      <c r="R19" s="281" t="s">
        <v>926</v>
      </c>
      <c r="S19" s="285">
        <v>0</v>
      </c>
      <c r="T19" s="278">
        <f t="shared" si="4"/>
        <v>0</v>
      </c>
      <c r="U19" s="281" t="s">
        <v>926</v>
      </c>
      <c r="V19" s="285">
        <v>0</v>
      </c>
      <c r="W19" s="278">
        <f t="shared" si="5"/>
        <v>0</v>
      </c>
      <c r="X19" s="281" t="s">
        <v>926</v>
      </c>
      <c r="Y19" s="285">
        <v>0</v>
      </c>
      <c r="Z19" s="278">
        <f t="shared" si="6"/>
        <v>0</v>
      </c>
    </row>
    <row r="20" spans="1:26" x14ac:dyDescent="0.25">
      <c r="A20" s="355"/>
      <c r="B20" s="360"/>
      <c r="C20" s="31" t="s">
        <v>115</v>
      </c>
      <c r="D20" s="34">
        <f>'ECONOMIA &amp; PROFESIONES'!$P$23</f>
        <v>11475</v>
      </c>
      <c r="E20" s="53">
        <f t="shared" si="7"/>
        <v>0</v>
      </c>
      <c r="F20" s="281" t="s">
        <v>926</v>
      </c>
      <c r="G20" s="285">
        <v>0</v>
      </c>
      <c r="H20" s="278">
        <f t="shared" si="0"/>
        <v>0</v>
      </c>
      <c r="I20" s="281" t="s">
        <v>926</v>
      </c>
      <c r="J20" s="285">
        <v>0</v>
      </c>
      <c r="K20" s="278">
        <f t="shared" si="1"/>
        <v>0</v>
      </c>
      <c r="L20" s="281" t="s">
        <v>926</v>
      </c>
      <c r="M20" s="285">
        <v>0</v>
      </c>
      <c r="N20" s="278">
        <f t="shared" si="2"/>
        <v>0</v>
      </c>
      <c r="O20" s="281" t="s">
        <v>926</v>
      </c>
      <c r="P20" s="285">
        <v>0</v>
      </c>
      <c r="Q20" s="278">
        <f t="shared" si="3"/>
        <v>0</v>
      </c>
      <c r="R20" s="281" t="s">
        <v>926</v>
      </c>
      <c r="S20" s="285">
        <v>0</v>
      </c>
      <c r="T20" s="278">
        <f t="shared" si="4"/>
        <v>0</v>
      </c>
      <c r="U20" s="281" t="s">
        <v>926</v>
      </c>
      <c r="V20" s="285">
        <v>0</v>
      </c>
      <c r="W20" s="278">
        <f t="shared" si="5"/>
        <v>0</v>
      </c>
      <c r="X20" s="281" t="s">
        <v>926</v>
      </c>
      <c r="Y20" s="285">
        <v>0</v>
      </c>
      <c r="Z20" s="278">
        <f t="shared" si="6"/>
        <v>0</v>
      </c>
    </row>
    <row r="21" spans="1:26" x14ac:dyDescent="0.25">
      <c r="A21" s="355"/>
      <c r="B21" s="366"/>
      <c r="C21" s="32" t="s">
        <v>116</v>
      </c>
      <c r="D21" s="34">
        <f>'ECONOMIA &amp; PROFESIONES'!$P$24</f>
        <v>8700</v>
      </c>
      <c r="E21" s="53">
        <f t="shared" si="7"/>
        <v>0</v>
      </c>
      <c r="F21" s="281" t="s">
        <v>926</v>
      </c>
      <c r="G21" s="285">
        <v>0</v>
      </c>
      <c r="H21" s="278">
        <f t="shared" si="0"/>
        <v>0</v>
      </c>
      <c r="I21" s="281" t="s">
        <v>926</v>
      </c>
      <c r="J21" s="285">
        <v>0</v>
      </c>
      <c r="K21" s="278">
        <f t="shared" si="1"/>
        <v>0</v>
      </c>
      <c r="L21" s="281" t="s">
        <v>926</v>
      </c>
      <c r="M21" s="285">
        <v>0</v>
      </c>
      <c r="N21" s="278">
        <f t="shared" si="2"/>
        <v>0</v>
      </c>
      <c r="O21" s="281" t="s">
        <v>926</v>
      </c>
      <c r="P21" s="285">
        <v>0</v>
      </c>
      <c r="Q21" s="278">
        <f t="shared" si="3"/>
        <v>0</v>
      </c>
      <c r="R21" s="281" t="s">
        <v>926</v>
      </c>
      <c r="S21" s="285">
        <v>0</v>
      </c>
      <c r="T21" s="278">
        <f t="shared" si="4"/>
        <v>0</v>
      </c>
      <c r="U21" s="281" t="s">
        <v>926</v>
      </c>
      <c r="V21" s="285">
        <v>0</v>
      </c>
      <c r="W21" s="278">
        <f t="shared" si="5"/>
        <v>0</v>
      </c>
      <c r="X21" s="281" t="s">
        <v>926</v>
      </c>
      <c r="Y21" s="285">
        <v>0</v>
      </c>
      <c r="Z21" s="278">
        <f t="shared" si="6"/>
        <v>0</v>
      </c>
    </row>
    <row r="22" spans="1:26" x14ac:dyDescent="0.25">
      <c r="A22" s="355"/>
      <c r="B22" s="362" t="s">
        <v>1230</v>
      </c>
      <c r="C22" s="31" t="s">
        <v>6</v>
      </c>
      <c r="D22" s="34">
        <f>'ECONOMIA &amp; PROFESIONES'!$P$25</f>
        <v>8450</v>
      </c>
      <c r="E22" s="53">
        <f t="shared" si="7"/>
        <v>0</v>
      </c>
      <c r="F22" s="281" t="s">
        <v>926</v>
      </c>
      <c r="G22" s="285">
        <v>0</v>
      </c>
      <c r="H22" s="278">
        <f t="shared" si="0"/>
        <v>0</v>
      </c>
      <c r="I22" s="281" t="s">
        <v>926</v>
      </c>
      <c r="J22" s="285">
        <v>0</v>
      </c>
      <c r="K22" s="278">
        <f t="shared" si="1"/>
        <v>0</v>
      </c>
      <c r="L22" s="281" t="s">
        <v>926</v>
      </c>
      <c r="M22" s="285">
        <v>0</v>
      </c>
      <c r="N22" s="278">
        <f t="shared" si="2"/>
        <v>0</v>
      </c>
      <c r="O22" s="281" t="s">
        <v>926</v>
      </c>
      <c r="P22" s="285">
        <v>0</v>
      </c>
      <c r="Q22" s="278">
        <f t="shared" si="3"/>
        <v>0</v>
      </c>
      <c r="R22" s="281" t="s">
        <v>926</v>
      </c>
      <c r="S22" s="285">
        <v>0</v>
      </c>
      <c r="T22" s="278">
        <f t="shared" si="4"/>
        <v>0</v>
      </c>
      <c r="U22" s="281" t="s">
        <v>926</v>
      </c>
      <c r="V22" s="285">
        <v>0</v>
      </c>
      <c r="W22" s="278">
        <f t="shared" si="5"/>
        <v>0</v>
      </c>
      <c r="X22" s="281" t="s">
        <v>926</v>
      </c>
      <c r="Y22" s="285">
        <v>0</v>
      </c>
      <c r="Z22" s="278">
        <f t="shared" si="6"/>
        <v>0</v>
      </c>
    </row>
    <row r="23" spans="1:26" x14ac:dyDescent="0.25">
      <c r="A23" s="355"/>
      <c r="B23" s="362"/>
      <c r="C23" s="32" t="s">
        <v>113</v>
      </c>
      <c r="D23" s="34">
        <f>'ECONOMIA &amp; PROFESIONES'!$P$26</f>
        <v>11375</v>
      </c>
      <c r="E23" s="53">
        <f t="shared" si="7"/>
        <v>0</v>
      </c>
      <c r="F23" s="281" t="s">
        <v>926</v>
      </c>
      <c r="G23" s="285">
        <v>0</v>
      </c>
      <c r="H23" s="278">
        <f t="shared" si="0"/>
        <v>0</v>
      </c>
      <c r="I23" s="281" t="s">
        <v>926</v>
      </c>
      <c r="J23" s="285">
        <v>0</v>
      </c>
      <c r="K23" s="278">
        <f t="shared" si="1"/>
        <v>0</v>
      </c>
      <c r="L23" s="281" t="s">
        <v>926</v>
      </c>
      <c r="M23" s="285">
        <v>0</v>
      </c>
      <c r="N23" s="278">
        <f t="shared" si="2"/>
        <v>0</v>
      </c>
      <c r="O23" s="281" t="s">
        <v>926</v>
      </c>
      <c r="P23" s="285">
        <v>0</v>
      </c>
      <c r="Q23" s="278">
        <f t="shared" si="3"/>
        <v>0</v>
      </c>
      <c r="R23" s="281" t="s">
        <v>926</v>
      </c>
      <c r="S23" s="285">
        <v>0</v>
      </c>
      <c r="T23" s="278">
        <f t="shared" si="4"/>
        <v>0</v>
      </c>
      <c r="U23" s="281" t="s">
        <v>926</v>
      </c>
      <c r="V23" s="285">
        <v>0</v>
      </c>
      <c r="W23" s="278">
        <f t="shared" si="5"/>
        <v>0</v>
      </c>
      <c r="X23" s="281" t="s">
        <v>926</v>
      </c>
      <c r="Y23" s="285">
        <v>0</v>
      </c>
      <c r="Z23" s="278">
        <f t="shared" si="6"/>
        <v>0</v>
      </c>
    </row>
    <row r="24" spans="1:26" x14ac:dyDescent="0.25">
      <c r="A24" s="355"/>
      <c r="B24" s="362"/>
      <c r="C24" s="31" t="s">
        <v>114</v>
      </c>
      <c r="D24" s="34">
        <f>'ECONOMIA &amp; PROFESIONES'!$P$27</f>
        <v>14300</v>
      </c>
      <c r="E24" s="53">
        <f t="shared" si="7"/>
        <v>0</v>
      </c>
      <c r="F24" s="281" t="s">
        <v>926</v>
      </c>
      <c r="G24" s="285">
        <v>0</v>
      </c>
      <c r="H24" s="278">
        <f t="shared" si="0"/>
        <v>0</v>
      </c>
      <c r="I24" s="281" t="s">
        <v>926</v>
      </c>
      <c r="J24" s="285">
        <v>0</v>
      </c>
      <c r="K24" s="278">
        <f t="shared" si="1"/>
        <v>0</v>
      </c>
      <c r="L24" s="281" t="s">
        <v>926</v>
      </c>
      <c r="M24" s="285">
        <v>0</v>
      </c>
      <c r="N24" s="278">
        <f t="shared" si="2"/>
        <v>0</v>
      </c>
      <c r="O24" s="281" t="s">
        <v>926</v>
      </c>
      <c r="P24" s="285">
        <v>0</v>
      </c>
      <c r="Q24" s="278">
        <f t="shared" si="3"/>
        <v>0</v>
      </c>
      <c r="R24" s="281" t="s">
        <v>926</v>
      </c>
      <c r="S24" s="285">
        <v>0</v>
      </c>
      <c r="T24" s="278">
        <f t="shared" si="4"/>
        <v>0</v>
      </c>
      <c r="U24" s="281" t="s">
        <v>926</v>
      </c>
      <c r="V24" s="285">
        <v>0</v>
      </c>
      <c r="W24" s="278">
        <f t="shared" si="5"/>
        <v>0</v>
      </c>
      <c r="X24" s="281" t="s">
        <v>926</v>
      </c>
      <c r="Y24" s="285">
        <v>0</v>
      </c>
      <c r="Z24" s="278">
        <f t="shared" si="6"/>
        <v>0</v>
      </c>
    </row>
    <row r="25" spans="1:26" x14ac:dyDescent="0.25">
      <c r="A25" s="355"/>
      <c r="B25" s="362"/>
      <c r="C25" s="32" t="s">
        <v>115</v>
      </c>
      <c r="D25" s="34">
        <f>'ECONOMIA &amp; PROFESIONES'!$P$28</f>
        <v>13325</v>
      </c>
      <c r="E25" s="53">
        <f t="shared" si="7"/>
        <v>0</v>
      </c>
      <c r="F25" s="281" t="s">
        <v>926</v>
      </c>
      <c r="G25" s="285">
        <v>0</v>
      </c>
      <c r="H25" s="278">
        <f t="shared" si="0"/>
        <v>0</v>
      </c>
      <c r="I25" s="281" t="s">
        <v>926</v>
      </c>
      <c r="J25" s="285">
        <v>0</v>
      </c>
      <c r="K25" s="278">
        <f t="shared" si="1"/>
        <v>0</v>
      </c>
      <c r="L25" s="281" t="s">
        <v>926</v>
      </c>
      <c r="M25" s="285">
        <v>0</v>
      </c>
      <c r="N25" s="278">
        <f t="shared" si="2"/>
        <v>0</v>
      </c>
      <c r="O25" s="281" t="s">
        <v>926</v>
      </c>
      <c r="P25" s="285">
        <v>0</v>
      </c>
      <c r="Q25" s="278">
        <f t="shared" si="3"/>
        <v>0</v>
      </c>
      <c r="R25" s="281" t="s">
        <v>926</v>
      </c>
      <c r="S25" s="285">
        <v>0</v>
      </c>
      <c r="T25" s="278">
        <f t="shared" si="4"/>
        <v>0</v>
      </c>
      <c r="U25" s="281" t="s">
        <v>926</v>
      </c>
      <c r="V25" s="285">
        <v>0</v>
      </c>
      <c r="W25" s="278">
        <f t="shared" si="5"/>
        <v>0</v>
      </c>
      <c r="X25" s="281" t="s">
        <v>926</v>
      </c>
      <c r="Y25" s="285">
        <v>0</v>
      </c>
      <c r="Z25" s="278">
        <f t="shared" si="6"/>
        <v>0</v>
      </c>
    </row>
    <row r="26" spans="1:26" x14ac:dyDescent="0.25">
      <c r="A26" s="355"/>
      <c r="B26" s="362"/>
      <c r="C26" s="31" t="s">
        <v>116</v>
      </c>
      <c r="D26" s="34">
        <f>'ECONOMIA &amp; PROFESIONES'!$P$29</f>
        <v>10400</v>
      </c>
      <c r="E26" s="53">
        <f t="shared" si="7"/>
        <v>0</v>
      </c>
      <c r="F26" s="281" t="s">
        <v>926</v>
      </c>
      <c r="G26" s="285">
        <v>0</v>
      </c>
      <c r="H26" s="278">
        <f t="shared" si="0"/>
        <v>0</v>
      </c>
      <c r="I26" s="281" t="s">
        <v>926</v>
      </c>
      <c r="J26" s="285">
        <v>0</v>
      </c>
      <c r="K26" s="278">
        <f t="shared" si="1"/>
        <v>0</v>
      </c>
      <c r="L26" s="281" t="s">
        <v>926</v>
      </c>
      <c r="M26" s="285">
        <v>0</v>
      </c>
      <c r="N26" s="278">
        <f t="shared" si="2"/>
        <v>0</v>
      </c>
      <c r="O26" s="281" t="s">
        <v>926</v>
      </c>
      <c r="P26" s="285">
        <v>0</v>
      </c>
      <c r="Q26" s="278">
        <f t="shared" si="3"/>
        <v>0</v>
      </c>
      <c r="R26" s="281" t="s">
        <v>926</v>
      </c>
      <c r="S26" s="285">
        <v>0</v>
      </c>
      <c r="T26" s="278">
        <f t="shared" si="4"/>
        <v>0</v>
      </c>
      <c r="U26" s="281" t="s">
        <v>926</v>
      </c>
      <c r="V26" s="285">
        <v>0</v>
      </c>
      <c r="W26" s="278">
        <f t="shared" si="5"/>
        <v>0</v>
      </c>
      <c r="X26" s="281" t="s">
        <v>926</v>
      </c>
      <c r="Y26" s="285">
        <v>0</v>
      </c>
      <c r="Z26" s="278">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I2:I26 O2:O26 R2:R26 U2:U26 X2:X26" xr:uid="{7E105AB5-9879-41EC-BA75-8A46DD33B8FE}">
      <formula1>craftspar</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dimension ref="A1:M94"/>
  <sheetViews>
    <sheetView topLeftCell="F38" workbookViewId="0">
      <selection activeCell="J43" sqref="J43"/>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1155</v>
      </c>
      <c r="D11" s="37">
        <v>1</v>
      </c>
      <c r="E11" s="28"/>
      <c r="G11" s="2"/>
    </row>
    <row r="12" spans="1:10" x14ac:dyDescent="0.25">
      <c r="C12" s="37" t="s">
        <v>1154</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68" t="s">
        <v>39</v>
      </c>
      <c r="B17" s="368"/>
      <c r="C17" s="3" t="s">
        <v>35</v>
      </c>
      <c r="D17" s="3" t="s">
        <v>51</v>
      </c>
      <c r="E17" s="3" t="s">
        <v>52</v>
      </c>
      <c r="F17" s="3" t="s">
        <v>53</v>
      </c>
      <c r="G17" s="3" t="s">
        <v>54</v>
      </c>
    </row>
    <row r="18" spans="1:9" x14ac:dyDescent="0.25">
      <c r="A18" s="349" t="s">
        <v>73</v>
      </c>
      <c r="B18" s="349"/>
      <c r="C18" s="37">
        <v>0</v>
      </c>
      <c r="D18" s="28">
        <f>$C$18+1</f>
        <v>1</v>
      </c>
      <c r="E18" s="28">
        <f>$D$18+1</f>
        <v>2</v>
      </c>
      <c r="F18" s="28">
        <f>$E$18+1</f>
        <v>3</v>
      </c>
      <c r="G18" s="28">
        <f>$F$18+1</f>
        <v>4</v>
      </c>
    </row>
    <row r="19" spans="1:9" x14ac:dyDescent="0.25">
      <c r="A19" s="349" t="s">
        <v>74</v>
      </c>
      <c r="B19" s="349"/>
      <c r="C19" s="37">
        <v>0</v>
      </c>
      <c r="D19" s="28">
        <f>$C$19+1</f>
        <v>1</v>
      </c>
      <c r="E19" s="28">
        <f>$D$19+2</f>
        <v>3</v>
      </c>
      <c r="F19" s="28">
        <f>$E$19+2</f>
        <v>5</v>
      </c>
      <c r="G19" s="28">
        <f>$F$19+2</f>
        <v>7</v>
      </c>
    </row>
    <row r="20" spans="1:9" x14ac:dyDescent="0.25">
      <c r="A20" s="349" t="s">
        <v>40</v>
      </c>
      <c r="B20" s="349"/>
      <c r="C20" s="37">
        <v>0</v>
      </c>
      <c r="D20" s="28">
        <f>$C$20+1</f>
        <v>1</v>
      </c>
      <c r="E20" s="28">
        <f>$D$20+1</f>
        <v>2</v>
      </c>
      <c r="F20" s="28">
        <f>$E$20+1</f>
        <v>3</v>
      </c>
      <c r="G20" s="28">
        <f>$F$20+1</f>
        <v>4</v>
      </c>
    </row>
    <row r="21" spans="1:9" x14ac:dyDescent="0.25">
      <c r="A21" s="349" t="s">
        <v>41</v>
      </c>
      <c r="B21" s="349"/>
      <c r="C21" s="37">
        <v>0</v>
      </c>
      <c r="D21" s="28">
        <f>$C$21+2</f>
        <v>2</v>
      </c>
      <c r="E21" s="28">
        <f>$D$21+1</f>
        <v>3</v>
      </c>
      <c r="F21" s="28">
        <f>$E$21+1</f>
        <v>4</v>
      </c>
      <c r="G21" s="28">
        <f>$F$21+1</f>
        <v>5</v>
      </c>
    </row>
    <row r="22" spans="1:9" x14ac:dyDescent="0.25">
      <c r="A22" s="349" t="s">
        <v>44</v>
      </c>
      <c r="B22" s="349"/>
      <c r="C22" s="37">
        <v>0</v>
      </c>
      <c r="D22" s="28">
        <f>$C$22+1</f>
        <v>1</v>
      </c>
      <c r="E22" s="28">
        <f>$D$22+1</f>
        <v>2</v>
      </c>
      <c r="F22" s="28">
        <f>$E$22+1</f>
        <v>3</v>
      </c>
      <c r="G22" s="28">
        <f>$F$22+1</f>
        <v>4</v>
      </c>
    </row>
    <row r="23" spans="1:9" x14ac:dyDescent="0.25">
      <c r="A23" s="349" t="s">
        <v>42</v>
      </c>
      <c r="B23" s="349"/>
      <c r="C23" s="37">
        <v>0</v>
      </c>
      <c r="D23" s="28">
        <f>C23</f>
        <v>0</v>
      </c>
      <c r="E23" s="28">
        <f>$D$23+1</f>
        <v>1</v>
      </c>
      <c r="F23" s="28">
        <f>$E$23+1</f>
        <v>2</v>
      </c>
      <c r="G23" s="28">
        <f>$F$23+1</f>
        <v>3</v>
      </c>
    </row>
    <row r="24" spans="1:9" x14ac:dyDescent="0.25">
      <c r="A24" s="349" t="s">
        <v>43</v>
      </c>
      <c r="B24" s="349"/>
      <c r="C24" s="37">
        <v>0</v>
      </c>
      <c r="D24" s="28">
        <f>$C$24+1</f>
        <v>1</v>
      </c>
      <c r="E24" s="28">
        <f>$D$24+1</f>
        <v>2</v>
      </c>
      <c r="F24" s="28">
        <f>$E$24+1</f>
        <v>3</v>
      </c>
      <c r="G24" s="28">
        <f>$F$24+1</f>
        <v>4</v>
      </c>
    </row>
    <row r="25" spans="1:9" x14ac:dyDescent="0.25">
      <c r="A25" s="349" t="s">
        <v>45</v>
      </c>
      <c r="B25" s="349"/>
      <c r="C25" s="37">
        <v>5</v>
      </c>
      <c r="D25" s="28">
        <f>$C$25+1</f>
        <v>6</v>
      </c>
      <c r="E25" s="28">
        <f>$D$25+1</f>
        <v>7</v>
      </c>
      <c r="F25" s="28">
        <f>$E$25+1</f>
        <v>8</v>
      </c>
      <c r="G25" s="28">
        <f>$F$25+1</f>
        <v>9</v>
      </c>
    </row>
    <row r="26" spans="1:9" x14ac:dyDescent="0.25">
      <c r="A26" s="349" t="s">
        <v>46</v>
      </c>
      <c r="B26" s="349"/>
      <c r="C26" s="37">
        <v>6</v>
      </c>
      <c r="D26" s="28">
        <f>$C$26+1</f>
        <v>7</v>
      </c>
      <c r="E26" s="28">
        <f>$D$26+1</f>
        <v>8</v>
      </c>
      <c r="F26" s="28">
        <f>$E$26+1</f>
        <v>9</v>
      </c>
      <c r="G26" s="28">
        <f>$F$26+1</f>
        <v>10</v>
      </c>
      <c r="I26" s="15" t="s">
        <v>99</v>
      </c>
    </row>
    <row r="27" spans="1:9" x14ac:dyDescent="0.25">
      <c r="A27" s="349" t="s">
        <v>47</v>
      </c>
      <c r="B27" s="349"/>
      <c r="C27" s="38">
        <v>0.7</v>
      </c>
      <c r="D27" s="28">
        <f>$C$27/2</f>
        <v>0.35</v>
      </c>
      <c r="E27" s="28">
        <f>$D$27/2</f>
        <v>0.17499999999999999</v>
      </c>
      <c r="F27" s="28">
        <f>$E$27/2</f>
        <v>8.7499999999999994E-2</v>
      </c>
      <c r="G27" s="28">
        <f>$F$27/2</f>
        <v>4.3749999999999997E-2</v>
      </c>
      <c r="I27" s="37">
        <v>5</v>
      </c>
    </row>
    <row r="28" spans="1:9" x14ac:dyDescent="0.25">
      <c r="A28" s="349" t="s">
        <v>48</v>
      </c>
      <c r="B28" s="349"/>
      <c r="C28" s="37">
        <f>C27/2</f>
        <v>0.35</v>
      </c>
      <c r="D28" s="28">
        <f>$D$27/2</f>
        <v>0.17499999999999999</v>
      </c>
      <c r="E28" s="28">
        <f>$E$27/2</f>
        <v>8.7499999999999994E-2</v>
      </c>
      <c r="F28" s="28">
        <f>$F$27/2</f>
        <v>4.3749999999999997E-2</v>
      </c>
      <c r="G28" s="28">
        <f>$G$27/2</f>
        <v>2.1874999999999999E-2</v>
      </c>
    </row>
    <row r="29" spans="1:9" x14ac:dyDescent="0.25">
      <c r="A29" s="349" t="s">
        <v>75</v>
      </c>
      <c r="B29" s="349"/>
      <c r="C29" s="37">
        <v>0</v>
      </c>
      <c r="D29" s="105">
        <v>1</v>
      </c>
      <c r="E29" s="105">
        <v>1</v>
      </c>
      <c r="F29" s="105">
        <v>2</v>
      </c>
      <c r="G29" s="105">
        <v>2</v>
      </c>
    </row>
    <row r="30" spans="1:9" x14ac:dyDescent="0.25">
      <c r="A30" s="349" t="s">
        <v>76</v>
      </c>
      <c r="B30" s="349"/>
      <c r="C30" s="37">
        <v>0</v>
      </c>
      <c r="D30" s="105">
        <v>1</v>
      </c>
      <c r="E30" s="105">
        <v>2</v>
      </c>
      <c r="F30" s="105">
        <v>3</v>
      </c>
      <c r="G30" s="105">
        <v>4</v>
      </c>
    </row>
    <row r="31" spans="1:9" x14ac:dyDescent="0.25">
      <c r="A31" s="367" t="s">
        <v>49</v>
      </c>
      <c r="B31" s="367"/>
      <c r="C31" s="367"/>
      <c r="D31" s="367"/>
      <c r="E31" s="367"/>
      <c r="F31" s="367"/>
      <c r="G31" s="367"/>
      <c r="H31" s="1" t="s">
        <v>65</v>
      </c>
      <c r="I31" s="15" t="s">
        <v>98</v>
      </c>
    </row>
    <row r="32" spans="1:9" x14ac:dyDescent="0.25">
      <c r="A32" s="349" t="s">
        <v>50</v>
      </c>
      <c r="B32" s="349"/>
      <c r="C32" s="37">
        <v>8.9</v>
      </c>
      <c r="D32" s="28">
        <f>C32*3</f>
        <v>26.700000000000003</v>
      </c>
      <c r="E32" s="28">
        <f>D32*3</f>
        <v>80.100000000000009</v>
      </c>
      <c r="F32" s="28">
        <f>E32*3</f>
        <v>240.3</v>
      </c>
      <c r="G32" s="28">
        <f>F32*2</f>
        <v>480.6</v>
      </c>
      <c r="H32" s="28">
        <f>ROUNDDOWN(G32/5*H64,0)</f>
        <v>768</v>
      </c>
      <c r="I32" s="28">
        <f>H32+(5*I27)</f>
        <v>793</v>
      </c>
    </row>
    <row r="33" spans="1:13" x14ac:dyDescent="0.25">
      <c r="A33" s="349" t="str">
        <f>C12</f>
        <v>Esencia</v>
      </c>
      <c r="B33" s="349"/>
      <c r="C33" s="37">
        <f>ROUNDDOWN(C32/2,0)</f>
        <v>4</v>
      </c>
      <c r="D33" s="28">
        <f>ROUNDDOWN(D32/2,0)</f>
        <v>13</v>
      </c>
      <c r="E33" s="28">
        <f t="shared" ref="D33:G35" si="0">ROUNDDOWN(E32/2,0)</f>
        <v>40</v>
      </c>
      <c r="F33" s="28">
        <f t="shared" si="0"/>
        <v>120</v>
      </c>
      <c r="G33" s="28">
        <f t="shared" si="0"/>
        <v>240</v>
      </c>
      <c r="H33" s="28"/>
      <c r="I33" s="28"/>
    </row>
    <row r="34" spans="1:13" x14ac:dyDescent="0.25">
      <c r="A34" s="349" t="str">
        <f>C12</f>
        <v>Esencia</v>
      </c>
      <c r="B34" s="349"/>
      <c r="C34" s="37">
        <f>ROUNDDOWN(C33/2,0)</f>
        <v>2</v>
      </c>
      <c r="D34" s="28">
        <f t="shared" si="0"/>
        <v>6</v>
      </c>
      <c r="E34" s="28">
        <f t="shared" si="0"/>
        <v>20</v>
      </c>
      <c r="F34" s="28">
        <f t="shared" si="0"/>
        <v>60</v>
      </c>
      <c r="G34" s="28">
        <f t="shared" si="0"/>
        <v>120</v>
      </c>
      <c r="H34" s="28"/>
      <c r="I34" s="28"/>
    </row>
    <row r="35" spans="1:13" x14ac:dyDescent="0.25">
      <c r="A35" s="352" t="str">
        <f>C11</f>
        <v>Inteligencia</v>
      </c>
      <c r="B35" s="352"/>
      <c r="C35" s="37">
        <f t="shared" ref="C35" si="1">ROUNDDOWN(C34/2,0)</f>
        <v>1</v>
      </c>
      <c r="D35" s="28">
        <f t="shared" si="0"/>
        <v>3</v>
      </c>
      <c r="E35" s="28">
        <f t="shared" si="0"/>
        <v>10</v>
      </c>
      <c r="F35" s="28">
        <f t="shared" si="0"/>
        <v>30</v>
      </c>
      <c r="G35" s="28">
        <f t="shared" si="0"/>
        <v>60</v>
      </c>
      <c r="H35" s="28"/>
      <c r="I35" s="28"/>
    </row>
    <row r="36" spans="1:13" x14ac:dyDescent="0.25">
      <c r="A36" s="367" t="s">
        <v>21</v>
      </c>
      <c r="B36" s="367"/>
      <c r="C36" s="367"/>
      <c r="D36" s="367"/>
      <c r="E36" s="367"/>
      <c r="F36" s="367"/>
      <c r="G36" s="367"/>
    </row>
    <row r="37" spans="1:13" x14ac:dyDescent="0.25">
      <c r="A37" s="369" t="s">
        <v>61</v>
      </c>
      <c r="B37" s="369"/>
      <c r="C37" s="369"/>
      <c r="D37" s="369"/>
      <c r="E37" s="369"/>
      <c r="F37" s="369"/>
      <c r="G37" s="369"/>
      <c r="H37" s="4" t="s">
        <v>82</v>
      </c>
    </row>
    <row r="38" spans="1:13" x14ac:dyDescent="0.25">
      <c r="A38" s="349" t="s">
        <v>69</v>
      </c>
      <c r="B38" s="349"/>
      <c r="C38" s="39"/>
      <c r="D38" s="28"/>
      <c r="E38" s="28"/>
      <c r="F38" s="28"/>
      <c r="G38" s="28"/>
      <c r="H38" s="28">
        <v>300</v>
      </c>
    </row>
    <row r="39" spans="1:13" x14ac:dyDescent="0.25">
      <c r="A39" s="349" t="s">
        <v>67</v>
      </c>
      <c r="B39" s="349"/>
      <c r="C39" s="105">
        <v>1800</v>
      </c>
      <c r="D39" s="28">
        <f>C39+$H$38</f>
        <v>2100</v>
      </c>
      <c r="E39" s="106">
        <f t="shared" ref="E39:G39" si="2">D39+$H$38</f>
        <v>2400</v>
      </c>
      <c r="F39" s="106">
        <f t="shared" si="2"/>
        <v>2700</v>
      </c>
      <c r="G39" s="106">
        <f t="shared" si="2"/>
        <v>3000</v>
      </c>
      <c r="H39" s="28"/>
    </row>
    <row r="40" spans="1:13" x14ac:dyDescent="0.25">
      <c r="A40" s="372" t="s">
        <v>68</v>
      </c>
      <c r="B40" s="372"/>
      <c r="C40" s="39">
        <v>1800</v>
      </c>
      <c r="D40" s="39">
        <v>1800</v>
      </c>
      <c r="E40" s="39">
        <v>1800</v>
      </c>
      <c r="F40" s="39">
        <v>1800</v>
      </c>
      <c r="G40" s="39">
        <v>1800</v>
      </c>
      <c r="H40" s="28"/>
    </row>
    <row r="41" spans="1:13" ht="27.75" customHeight="1" x14ac:dyDescent="0.25">
      <c r="A41" s="368" t="s">
        <v>38</v>
      </c>
      <c r="B41" s="368"/>
      <c r="C41" s="3" t="s">
        <v>7</v>
      </c>
      <c r="D41" s="3" t="s">
        <v>8</v>
      </c>
      <c r="E41" s="3" t="s">
        <v>83</v>
      </c>
      <c r="F41" s="3" t="s">
        <v>84</v>
      </c>
      <c r="G41" s="3" t="s">
        <v>85</v>
      </c>
      <c r="H41" s="3" t="s">
        <v>62</v>
      </c>
      <c r="I41" s="23" t="s">
        <v>119</v>
      </c>
      <c r="J41" s="368" t="s">
        <v>1157</v>
      </c>
      <c r="K41" s="368"/>
      <c r="L41" s="368" t="s">
        <v>1159</v>
      </c>
      <c r="M41" s="368"/>
    </row>
    <row r="42" spans="1:13" x14ac:dyDescent="0.25">
      <c r="A42" s="369" t="s">
        <v>20</v>
      </c>
      <c r="B42" s="369"/>
      <c r="C42" s="369"/>
      <c r="D42" s="369"/>
      <c r="E42" s="369"/>
      <c r="F42" s="369"/>
      <c r="G42" s="369"/>
      <c r="H42" s="6">
        <v>2</v>
      </c>
      <c r="I42" s="41">
        <v>1</v>
      </c>
      <c r="J42" s="298" t="s">
        <v>1160</v>
      </c>
      <c r="K42" s="298"/>
      <c r="L42" s="298">
        <v>2</v>
      </c>
      <c r="M42" s="298"/>
    </row>
    <row r="43" spans="1:13" x14ac:dyDescent="0.25">
      <c r="A43" s="349" t="str">
        <f>C8</f>
        <v>Vitalidad</v>
      </c>
      <c r="B43" s="349"/>
      <c r="C43" s="28">
        <f>D8*H42</f>
        <v>2</v>
      </c>
      <c r="D43" s="28">
        <f>C43*3</f>
        <v>6</v>
      </c>
      <c r="E43" s="28">
        <f>D43*3</f>
        <v>18</v>
      </c>
      <c r="F43" s="28">
        <f>E43*3</f>
        <v>54</v>
      </c>
      <c r="G43" s="28">
        <f>F43*3</f>
        <v>162</v>
      </c>
      <c r="H43" s="26" t="s">
        <v>120</v>
      </c>
    </row>
    <row r="44" spans="1:13" x14ac:dyDescent="0.25">
      <c r="A44" s="349" t="str">
        <f>C9</f>
        <v>Fuerza</v>
      </c>
      <c r="B44" s="349"/>
      <c r="C44" s="28">
        <f>D9*H42</f>
        <v>2</v>
      </c>
      <c r="D44" s="106">
        <f t="shared" ref="D44:G46" si="3">C44*3</f>
        <v>6</v>
      </c>
      <c r="E44" s="106">
        <f t="shared" si="3"/>
        <v>18</v>
      </c>
      <c r="F44" s="106">
        <f t="shared" si="3"/>
        <v>54</v>
      </c>
      <c r="G44" s="106">
        <f t="shared" si="3"/>
        <v>162</v>
      </c>
      <c r="H44" s="6">
        <v>2</v>
      </c>
    </row>
    <row r="45" spans="1:13" x14ac:dyDescent="0.25">
      <c r="A45" s="349" t="str">
        <f>C10</f>
        <v>Agilidad</v>
      </c>
      <c r="B45" s="349"/>
      <c r="C45" s="28">
        <f>D10*H42</f>
        <v>2</v>
      </c>
      <c r="D45" s="106">
        <f t="shared" si="3"/>
        <v>6</v>
      </c>
      <c r="E45" s="106">
        <f t="shared" si="3"/>
        <v>18</v>
      </c>
      <c r="F45" s="106">
        <f t="shared" si="3"/>
        <v>54</v>
      </c>
      <c r="G45" s="106">
        <f t="shared" si="3"/>
        <v>162</v>
      </c>
    </row>
    <row r="46" spans="1:13" x14ac:dyDescent="0.25">
      <c r="A46" s="349" t="str">
        <f>C11</f>
        <v>Inteligencia</v>
      </c>
      <c r="B46" s="349"/>
      <c r="C46" s="28">
        <f>D11*H42</f>
        <v>2</v>
      </c>
      <c r="D46" s="106">
        <f t="shared" si="3"/>
        <v>6</v>
      </c>
      <c r="E46" s="106">
        <f t="shared" si="3"/>
        <v>18</v>
      </c>
      <c r="F46" s="106">
        <f t="shared" si="3"/>
        <v>54</v>
      </c>
      <c r="G46" s="106">
        <f t="shared" si="3"/>
        <v>162</v>
      </c>
    </row>
    <row r="47" spans="1:13" x14ac:dyDescent="0.25">
      <c r="A47" s="349" t="s">
        <v>77</v>
      </c>
      <c r="B47" s="349"/>
      <c r="C47" s="28">
        <f>(C$23+C$24)/2*$H$42</f>
        <v>0</v>
      </c>
      <c r="D47" s="28">
        <f>($D$23+$D$24)/2*$H$42</f>
        <v>1</v>
      </c>
      <c r="E47" s="28">
        <f>($E$23+$E$24)/2*$H$42</f>
        <v>3</v>
      </c>
      <c r="F47" s="28">
        <f>($F$23+$F$24)/2*$H$42</f>
        <v>5</v>
      </c>
      <c r="G47" s="28">
        <f>($G$23+$G$24)/2*$H$42</f>
        <v>7</v>
      </c>
    </row>
    <row r="48" spans="1:13" x14ac:dyDescent="0.25">
      <c r="A48" s="369" t="s">
        <v>49</v>
      </c>
      <c r="B48" s="369"/>
      <c r="C48" s="369"/>
      <c r="D48" s="369"/>
      <c r="E48" s="369"/>
      <c r="F48" s="369"/>
      <c r="G48" s="369"/>
    </row>
    <row r="49" spans="1:13" x14ac:dyDescent="0.25">
      <c r="A49" s="349" t="s">
        <v>50</v>
      </c>
      <c r="B49" s="349"/>
      <c r="C49" s="40">
        <f>ROUNDDOWN(C32/5*H42,0)</f>
        <v>3</v>
      </c>
      <c r="D49" s="40">
        <f>ROUNDDOWN(D32/5*H42,0)</f>
        <v>10</v>
      </c>
      <c r="E49" s="40">
        <f>ROUNDDOWN(E32/5*H42,0)</f>
        <v>32</v>
      </c>
      <c r="F49" s="40">
        <f>ROUNDDOWN(F32/5*H42,0)</f>
        <v>96</v>
      </c>
      <c r="G49" s="40">
        <f>ROUNDDOWN(G32/5*H42,0)</f>
        <v>192</v>
      </c>
    </row>
    <row r="50" spans="1:13" x14ac:dyDescent="0.25">
      <c r="A50" s="349" t="str">
        <f>C12</f>
        <v>Esencia</v>
      </c>
      <c r="B50" s="349"/>
      <c r="C50" s="40">
        <f>ROUNDDOWN(C49/3,0)</f>
        <v>1</v>
      </c>
      <c r="D50" s="40">
        <f>ROUNDDOWN(D49/3,0)</f>
        <v>3</v>
      </c>
      <c r="E50" s="40">
        <f>ROUNDDOWN(E49/3,0)</f>
        <v>10</v>
      </c>
      <c r="F50" s="40">
        <f>ROUNDDOWN(F49/3,0)</f>
        <v>32</v>
      </c>
      <c r="G50" s="40">
        <f>ROUNDDOWN(G49/3,0)</f>
        <v>64</v>
      </c>
    </row>
    <row r="51" spans="1:13" x14ac:dyDescent="0.25">
      <c r="A51" s="349"/>
      <c r="B51" s="349"/>
    </row>
    <row r="52" spans="1:13" ht="27.75" customHeight="1" x14ac:dyDescent="0.25">
      <c r="A52" s="368" t="s">
        <v>63</v>
      </c>
      <c r="B52" s="368"/>
      <c r="C52" s="3" t="s">
        <v>0</v>
      </c>
      <c r="D52" s="3" t="s">
        <v>86</v>
      </c>
      <c r="E52" s="3" t="s">
        <v>83</v>
      </c>
      <c r="F52" s="3" t="s">
        <v>84</v>
      </c>
      <c r="G52" s="3" t="s">
        <v>85</v>
      </c>
      <c r="H52" s="3" t="s">
        <v>62</v>
      </c>
      <c r="J52" s="368" t="s">
        <v>1157</v>
      </c>
      <c r="K52" s="368"/>
      <c r="L52" s="368" t="s">
        <v>1159</v>
      </c>
      <c r="M52" s="368"/>
    </row>
    <row r="53" spans="1:13" x14ac:dyDescent="0.25">
      <c r="A53" s="369" t="s">
        <v>20</v>
      </c>
      <c r="B53" s="369"/>
      <c r="C53" s="369"/>
      <c r="D53" s="369"/>
      <c r="E53" s="369"/>
      <c r="F53" s="369"/>
      <c r="G53" s="369"/>
      <c r="H53" s="6">
        <f>$H$55*$I$42</f>
        <v>5</v>
      </c>
      <c r="J53" s="298" t="s">
        <v>1158</v>
      </c>
      <c r="K53" s="298"/>
      <c r="L53" s="298">
        <v>1</v>
      </c>
      <c r="M53" s="298"/>
    </row>
    <row r="54" spans="1:13" x14ac:dyDescent="0.25">
      <c r="A54" s="349" t="str">
        <f>C8</f>
        <v>Vitalidad</v>
      </c>
      <c r="B54" s="349"/>
      <c r="C54">
        <f>D8*H53</f>
        <v>5</v>
      </c>
      <c r="D54" s="288">
        <f>ROUNDDOWN(C54*1.7,0)</f>
        <v>8</v>
      </c>
      <c r="E54" s="288">
        <f>ROUNDDOWN(D54*1.7,0)</f>
        <v>13</v>
      </c>
      <c r="F54" s="288">
        <f>ROUNDDOWN(E54*1.7,0)</f>
        <v>22</v>
      </c>
      <c r="G54" s="288">
        <f>ROUNDDOWN(F54*1.7,0)</f>
        <v>37</v>
      </c>
      <c r="H54" s="26" t="s">
        <v>120</v>
      </c>
    </row>
    <row r="55" spans="1:13" x14ac:dyDescent="0.25">
      <c r="A55" s="349" t="str">
        <f>C9</f>
        <v>Fuerza</v>
      </c>
      <c r="B55" s="349"/>
      <c r="C55">
        <f>D9*H53</f>
        <v>5</v>
      </c>
      <c r="D55" s="288">
        <f t="shared" ref="D55:G55" si="4">ROUNDDOWN(C55*1.7,0)</f>
        <v>8</v>
      </c>
      <c r="E55" s="288">
        <f t="shared" si="4"/>
        <v>13</v>
      </c>
      <c r="F55" s="288">
        <f t="shared" si="4"/>
        <v>22</v>
      </c>
      <c r="G55" s="288">
        <f t="shared" si="4"/>
        <v>37</v>
      </c>
      <c r="H55" s="6">
        <v>5</v>
      </c>
    </row>
    <row r="56" spans="1:13" x14ac:dyDescent="0.25">
      <c r="A56" s="349" t="str">
        <f>C10</f>
        <v>Agilidad</v>
      </c>
      <c r="B56" s="349"/>
      <c r="C56">
        <f>D10*H53</f>
        <v>5</v>
      </c>
      <c r="D56" s="288">
        <f t="shared" ref="D56:G56" si="5">ROUNDDOWN(C56*1.7,0)</f>
        <v>8</v>
      </c>
      <c r="E56" s="288">
        <f t="shared" si="5"/>
        <v>13</v>
      </c>
      <c r="F56" s="288">
        <f t="shared" si="5"/>
        <v>22</v>
      </c>
      <c r="G56" s="288">
        <f t="shared" si="5"/>
        <v>37</v>
      </c>
    </row>
    <row r="57" spans="1:13" x14ac:dyDescent="0.25">
      <c r="A57" s="349" t="str">
        <f>C11</f>
        <v>Inteligencia</v>
      </c>
      <c r="B57" s="349"/>
      <c r="C57">
        <f>D11*H53</f>
        <v>5</v>
      </c>
      <c r="D57" s="288">
        <f t="shared" ref="D57:G57" si="6">ROUNDDOWN(C57*1.7,0)</f>
        <v>8</v>
      </c>
      <c r="E57" s="288">
        <f t="shared" si="6"/>
        <v>13</v>
      </c>
      <c r="F57" s="288">
        <f t="shared" si="6"/>
        <v>22</v>
      </c>
      <c r="G57" s="288">
        <f t="shared" si="6"/>
        <v>37</v>
      </c>
    </row>
    <row r="58" spans="1:13" x14ac:dyDescent="0.25">
      <c r="A58" s="349" t="s">
        <v>77</v>
      </c>
      <c r="B58" s="349"/>
      <c r="C58">
        <f>(C$23+C$24)/2*$H$53</f>
        <v>0</v>
      </c>
      <c r="D58">
        <f>(D$23+D$24)/2*$H$53</f>
        <v>2.5</v>
      </c>
      <c r="E58">
        <f>(E$23+E$24)/2*$H$53</f>
        <v>7.5</v>
      </c>
      <c r="F58">
        <f>(F$23+F$24)/2*$H$53</f>
        <v>12.5</v>
      </c>
      <c r="G58">
        <f>(G$23+G$24)/2*$H$53</f>
        <v>17.5</v>
      </c>
    </row>
    <row r="59" spans="1:13" x14ac:dyDescent="0.25">
      <c r="A59" s="369" t="s">
        <v>49</v>
      </c>
      <c r="B59" s="369"/>
      <c r="C59" s="369"/>
      <c r="D59" s="369"/>
      <c r="E59" s="369"/>
      <c r="F59" s="369"/>
      <c r="G59" s="369"/>
    </row>
    <row r="60" spans="1:13" x14ac:dyDescent="0.25">
      <c r="A60" s="349" t="s">
        <v>50</v>
      </c>
      <c r="B60" s="349"/>
      <c r="C60" s="5">
        <f>ROUNDDOWN(C32/5*H53,0)</f>
        <v>8</v>
      </c>
      <c r="D60" s="5">
        <f>ROUNDDOWN(D32/5*H53,0)</f>
        <v>26</v>
      </c>
      <c r="E60" s="5">
        <f>ROUNDDOWN(E32/5*H53,0)</f>
        <v>80</v>
      </c>
      <c r="F60" s="5">
        <f>ROUNDDOWN(F32/5*H53,0)</f>
        <v>240</v>
      </c>
      <c r="G60" s="5">
        <f>ROUNDDOWN(G32/5*H53,0)</f>
        <v>480</v>
      </c>
    </row>
    <row r="61" spans="1:13" x14ac:dyDescent="0.25">
      <c r="A61" s="349" t="str">
        <f>C12</f>
        <v>Esencia</v>
      </c>
      <c r="B61" s="349"/>
      <c r="C61" s="5">
        <f>ROUNDDOWN(C60/3,0)</f>
        <v>2</v>
      </c>
      <c r="D61" s="5">
        <f>ROUNDDOWN(D60/3,0)</f>
        <v>8</v>
      </c>
      <c r="E61" s="5">
        <f>ROUNDDOWN(E60/3,0)</f>
        <v>26</v>
      </c>
      <c r="F61" s="5">
        <f>ROUNDDOWN(F60/3,0)</f>
        <v>80</v>
      </c>
      <c r="G61" s="5">
        <f>ROUNDDOWN(G60/3,0)</f>
        <v>160</v>
      </c>
    </row>
    <row r="62" spans="1:13" x14ac:dyDescent="0.25">
      <c r="A62" s="370"/>
      <c r="B62" s="370"/>
    </row>
    <row r="63" spans="1:13" ht="27.75" customHeight="1" x14ac:dyDescent="0.25">
      <c r="A63" s="368" t="s">
        <v>64</v>
      </c>
      <c r="B63" s="368"/>
      <c r="C63" s="3" t="s">
        <v>0</v>
      </c>
      <c r="D63" s="3" t="s">
        <v>86</v>
      </c>
      <c r="E63" s="3" t="s">
        <v>83</v>
      </c>
      <c r="F63" s="3" t="s">
        <v>84</v>
      </c>
      <c r="G63" s="3" t="s">
        <v>85</v>
      </c>
      <c r="H63" s="3" t="s">
        <v>62</v>
      </c>
    </row>
    <row r="64" spans="1:13" x14ac:dyDescent="0.25">
      <c r="A64" s="369" t="s">
        <v>20</v>
      </c>
      <c r="B64" s="369"/>
      <c r="C64" s="369"/>
      <c r="D64" s="369"/>
      <c r="E64" s="369"/>
      <c r="F64" s="369"/>
      <c r="G64" s="369"/>
      <c r="H64" s="6">
        <f>$H$66*$I$42</f>
        <v>8</v>
      </c>
    </row>
    <row r="65" spans="1:8" x14ac:dyDescent="0.25">
      <c r="A65" s="349" t="str">
        <f>C8</f>
        <v>Vitalidad</v>
      </c>
      <c r="B65" s="349"/>
      <c r="C65">
        <f>D8*H64</f>
        <v>8</v>
      </c>
      <c r="D65">
        <f>ROUNDDOWN(C65*1.7,0)</f>
        <v>13</v>
      </c>
      <c r="E65">
        <f>ROUNDDOWN(D65*1.7,0)</f>
        <v>22</v>
      </c>
      <c r="F65">
        <f>ROUNDDOWN(E65*1.7,0)</f>
        <v>37</v>
      </c>
      <c r="G65">
        <f>ROUNDDOWN(F65*1.7,0)</f>
        <v>62</v>
      </c>
      <c r="H65" s="26" t="s">
        <v>120</v>
      </c>
    </row>
    <row r="66" spans="1:8" x14ac:dyDescent="0.25">
      <c r="A66" s="349" t="str">
        <f>C9</f>
        <v>Fuerza</v>
      </c>
      <c r="B66" s="349"/>
      <c r="C66">
        <f>D9*H64</f>
        <v>8</v>
      </c>
      <c r="D66" s="288">
        <f t="shared" ref="D66:G68" si="7">ROUNDDOWN(C66*1.7,0)</f>
        <v>13</v>
      </c>
      <c r="E66" s="288">
        <f t="shared" si="7"/>
        <v>22</v>
      </c>
      <c r="F66" s="288">
        <f t="shared" si="7"/>
        <v>37</v>
      </c>
      <c r="G66" s="288">
        <f t="shared" si="7"/>
        <v>62</v>
      </c>
      <c r="H66" s="6">
        <v>8</v>
      </c>
    </row>
    <row r="67" spans="1:8" x14ac:dyDescent="0.25">
      <c r="A67" s="349" t="str">
        <f>C10</f>
        <v>Agilidad</v>
      </c>
      <c r="B67" s="349"/>
      <c r="C67">
        <f>D9*H64</f>
        <v>8</v>
      </c>
      <c r="D67" s="288">
        <f t="shared" si="7"/>
        <v>13</v>
      </c>
      <c r="E67" s="288">
        <f t="shared" si="7"/>
        <v>22</v>
      </c>
      <c r="F67" s="288">
        <f t="shared" si="7"/>
        <v>37</v>
      </c>
      <c r="G67" s="288">
        <f t="shared" si="7"/>
        <v>62</v>
      </c>
    </row>
    <row r="68" spans="1:8" x14ac:dyDescent="0.25">
      <c r="A68" s="349" t="str">
        <f>C11</f>
        <v>Inteligencia</v>
      </c>
      <c r="B68" s="349"/>
      <c r="C68">
        <f>D9*H64</f>
        <v>8</v>
      </c>
      <c r="D68" s="288">
        <f t="shared" si="7"/>
        <v>13</v>
      </c>
      <c r="E68" s="288">
        <f t="shared" si="7"/>
        <v>22</v>
      </c>
      <c r="F68" s="288">
        <f t="shared" si="7"/>
        <v>37</v>
      </c>
      <c r="G68" s="288">
        <f t="shared" si="7"/>
        <v>62</v>
      </c>
    </row>
    <row r="69" spans="1:8" x14ac:dyDescent="0.25">
      <c r="A69" s="349" t="s">
        <v>77</v>
      </c>
      <c r="B69" s="349"/>
      <c r="C69">
        <f>(C$23+C$24)/2*$H$64</f>
        <v>0</v>
      </c>
      <c r="D69">
        <f>(D$23+D$24)/2*$H$64</f>
        <v>4</v>
      </c>
      <c r="E69">
        <f>(E$23+E$24)/2*$H$64</f>
        <v>12</v>
      </c>
      <c r="F69">
        <f>(F$23+F$24)/2*$H$64</f>
        <v>20</v>
      </c>
      <c r="G69">
        <f>(G$23+G$24)/2*$H$64</f>
        <v>28</v>
      </c>
    </row>
    <row r="70" spans="1:8" x14ac:dyDescent="0.25">
      <c r="A70" s="369" t="s">
        <v>49</v>
      </c>
      <c r="B70" s="369"/>
      <c r="C70" s="369"/>
      <c r="D70" s="369"/>
      <c r="E70" s="369"/>
      <c r="F70" s="369"/>
      <c r="G70" s="369"/>
    </row>
    <row r="71" spans="1:8" x14ac:dyDescent="0.25">
      <c r="A71" s="349" t="s">
        <v>50</v>
      </c>
      <c r="B71" s="349"/>
      <c r="C71" s="5">
        <f>ROUNDDOWN(C32/5*H64,0)</f>
        <v>14</v>
      </c>
      <c r="D71" s="5">
        <f>ROUNDDOWN(D32/5*H64,0)</f>
        <v>42</v>
      </c>
      <c r="E71" s="5">
        <f>ROUNDDOWN(E32/5*H64,0)</f>
        <v>128</v>
      </c>
      <c r="F71" s="5">
        <f>ROUNDDOWN(F32/5*H64,0)</f>
        <v>384</v>
      </c>
      <c r="G71" s="5">
        <f>ROUNDDOWN(G32/5*H64,0)</f>
        <v>768</v>
      </c>
    </row>
    <row r="72" spans="1:8" x14ac:dyDescent="0.25">
      <c r="A72" s="349" t="str">
        <f>C12</f>
        <v>Esencia</v>
      </c>
      <c r="B72" s="349"/>
      <c r="C72" s="5">
        <f>ROUNDDOWN(C71/3,0)</f>
        <v>4</v>
      </c>
      <c r="D72" s="5">
        <f>ROUNDDOWN(D71/3,0)</f>
        <v>14</v>
      </c>
      <c r="E72" s="5">
        <f>ROUNDDOWN(E71/3,0)</f>
        <v>42</v>
      </c>
      <c r="F72" s="5">
        <f>ROUNDDOWN(F71/3,0)</f>
        <v>128</v>
      </c>
      <c r="G72" s="5">
        <f>ROUNDDOWN(G71/3,0)</f>
        <v>256</v>
      </c>
    </row>
    <row r="73" spans="1:8" x14ac:dyDescent="0.25">
      <c r="A73" s="371"/>
      <c r="B73" s="371"/>
    </row>
    <row r="74" spans="1:8" ht="27.75" customHeight="1" x14ac:dyDescent="0.25">
      <c r="A74" s="368" t="s">
        <v>11</v>
      </c>
      <c r="B74" s="368"/>
      <c r="C74" s="3" t="s">
        <v>0</v>
      </c>
      <c r="D74" s="3" t="s">
        <v>86</v>
      </c>
      <c r="E74" s="3" t="s">
        <v>83</v>
      </c>
      <c r="F74" s="3" t="s">
        <v>84</v>
      </c>
      <c r="G74" s="3" t="s">
        <v>85</v>
      </c>
      <c r="H74" s="3" t="s">
        <v>62</v>
      </c>
    </row>
    <row r="75" spans="1:8" x14ac:dyDescent="0.25">
      <c r="A75" s="369" t="s">
        <v>20</v>
      </c>
      <c r="B75" s="369"/>
      <c r="C75" s="369"/>
      <c r="D75" s="369"/>
      <c r="E75" s="369"/>
      <c r="F75" s="369"/>
      <c r="G75" s="369"/>
      <c r="H75" s="6">
        <f>$H$77*$I$42</f>
        <v>7</v>
      </c>
    </row>
    <row r="76" spans="1:8" x14ac:dyDescent="0.25">
      <c r="A76" s="349" t="str">
        <f>C8</f>
        <v>Vitalidad</v>
      </c>
      <c r="B76" s="349"/>
      <c r="C76">
        <f>D8*H75</f>
        <v>7</v>
      </c>
      <c r="D76" s="288">
        <f>ROUNDDOWN(C76*1.7,0)</f>
        <v>11</v>
      </c>
      <c r="E76" s="288">
        <f>ROUNDDOWN(D76*1.7,0)</f>
        <v>18</v>
      </c>
      <c r="F76" s="288">
        <f>ROUNDDOWN(E76*1.7,0)</f>
        <v>30</v>
      </c>
      <c r="G76" s="288">
        <f>ROUNDDOWN(F76*1.7,0)</f>
        <v>51</v>
      </c>
      <c r="H76" s="26" t="s">
        <v>120</v>
      </c>
    </row>
    <row r="77" spans="1:8" x14ac:dyDescent="0.25">
      <c r="A77" s="349" t="str">
        <f>C9</f>
        <v>Fuerza</v>
      </c>
      <c r="B77" s="349"/>
      <c r="C77">
        <f>D9*H75</f>
        <v>7</v>
      </c>
      <c r="D77" s="288">
        <f t="shared" ref="D77:G77" si="8">ROUNDDOWN(C77*1.7,0)</f>
        <v>11</v>
      </c>
      <c r="E77" s="288">
        <f t="shared" si="8"/>
        <v>18</v>
      </c>
      <c r="F77" s="288">
        <f t="shared" si="8"/>
        <v>30</v>
      </c>
      <c r="G77" s="288">
        <f t="shared" si="8"/>
        <v>51</v>
      </c>
      <c r="H77" s="6">
        <v>7</v>
      </c>
    </row>
    <row r="78" spans="1:8" x14ac:dyDescent="0.25">
      <c r="A78" s="349" t="str">
        <f>C10</f>
        <v>Agilidad</v>
      </c>
      <c r="B78" s="349"/>
      <c r="C78">
        <f>D10*H75</f>
        <v>7</v>
      </c>
      <c r="D78" s="288">
        <f t="shared" ref="D78:G78" si="9">ROUNDDOWN(C78*1.7,0)</f>
        <v>11</v>
      </c>
      <c r="E78" s="288">
        <f t="shared" si="9"/>
        <v>18</v>
      </c>
      <c r="F78" s="288">
        <f t="shared" si="9"/>
        <v>30</v>
      </c>
      <c r="G78" s="288">
        <f t="shared" si="9"/>
        <v>51</v>
      </c>
    </row>
    <row r="79" spans="1:8" x14ac:dyDescent="0.25">
      <c r="A79" s="349" t="str">
        <f>C11</f>
        <v>Inteligencia</v>
      </c>
      <c r="B79" s="349"/>
      <c r="C79">
        <f>D11*H75</f>
        <v>7</v>
      </c>
      <c r="D79" s="288">
        <f t="shared" ref="D79:G79" si="10">ROUNDDOWN(C79*1.7,0)</f>
        <v>11</v>
      </c>
      <c r="E79" s="288">
        <f t="shared" si="10"/>
        <v>18</v>
      </c>
      <c r="F79" s="288">
        <f t="shared" si="10"/>
        <v>30</v>
      </c>
      <c r="G79" s="288">
        <f t="shared" si="10"/>
        <v>51</v>
      </c>
    </row>
    <row r="80" spans="1:8" x14ac:dyDescent="0.25">
      <c r="A80" s="349" t="s">
        <v>77</v>
      </c>
      <c r="B80" s="349"/>
      <c r="C80">
        <f>(C$23+C$24)/2*$H$75</f>
        <v>0</v>
      </c>
      <c r="D80">
        <f>(D$23+D$24)/2*$H$75</f>
        <v>3.5</v>
      </c>
      <c r="E80">
        <f>(E$23+E$24)/2*$H$75</f>
        <v>10.5</v>
      </c>
      <c r="F80">
        <f>(F$23+F$24)/2*$H$75</f>
        <v>17.5</v>
      </c>
      <c r="G80">
        <f>(G$23+G$24)/2*$H$75</f>
        <v>24.5</v>
      </c>
    </row>
    <row r="81" spans="1:8" x14ac:dyDescent="0.25">
      <c r="A81" s="369" t="s">
        <v>49</v>
      </c>
      <c r="B81" s="369"/>
      <c r="C81" s="369"/>
      <c r="D81" s="369"/>
      <c r="E81" s="369"/>
      <c r="F81" s="369"/>
      <c r="G81" s="369"/>
    </row>
    <row r="82" spans="1:8" x14ac:dyDescent="0.25">
      <c r="A82" s="349" t="s">
        <v>50</v>
      </c>
      <c r="B82" s="349"/>
      <c r="C82" s="5">
        <f>ROUNDDOWN(C32/5*H75,0)</f>
        <v>12</v>
      </c>
      <c r="D82" s="5">
        <f>ROUNDDOWN(D32/5*H75,0)</f>
        <v>37</v>
      </c>
      <c r="E82" s="5">
        <f>ROUNDDOWN(E32/5*H75,0)</f>
        <v>112</v>
      </c>
      <c r="F82" s="5">
        <f>ROUNDDOWN(F32/5*H75,0)</f>
        <v>336</v>
      </c>
      <c r="G82" s="5">
        <f>ROUNDDOWN(G32/5*H75,0)</f>
        <v>672</v>
      </c>
    </row>
    <row r="83" spans="1:8" x14ac:dyDescent="0.25">
      <c r="A83" s="349" t="str">
        <f>C12</f>
        <v>Esencia</v>
      </c>
      <c r="B83" s="349"/>
      <c r="C83" s="5">
        <f>ROUNDDOWN(C82/3,0)</f>
        <v>4</v>
      </c>
      <c r="D83" s="5">
        <f t="shared" ref="D83:G83" si="11">ROUNDDOWN(D82/3,0)</f>
        <v>12</v>
      </c>
      <c r="E83" s="5">
        <f t="shared" si="11"/>
        <v>37</v>
      </c>
      <c r="F83" s="5">
        <f t="shared" si="11"/>
        <v>112</v>
      </c>
      <c r="G83" s="5">
        <f t="shared" si="11"/>
        <v>224</v>
      </c>
    </row>
    <row r="84" spans="1:8" x14ac:dyDescent="0.25">
      <c r="A84" s="371"/>
      <c r="B84" s="371"/>
    </row>
    <row r="85" spans="1:8" ht="27.75" customHeight="1" x14ac:dyDescent="0.25">
      <c r="A85" s="368" t="s">
        <v>66</v>
      </c>
      <c r="B85" s="368"/>
      <c r="C85" s="3" t="s">
        <v>0</v>
      </c>
      <c r="D85" s="3" t="s">
        <v>86</v>
      </c>
      <c r="E85" s="3" t="s">
        <v>83</v>
      </c>
      <c r="F85" s="3" t="s">
        <v>84</v>
      </c>
      <c r="G85" s="3" t="s">
        <v>85</v>
      </c>
      <c r="H85" s="3" t="s">
        <v>62</v>
      </c>
    </row>
    <row r="86" spans="1:8" x14ac:dyDescent="0.25">
      <c r="A86" s="369" t="s">
        <v>20</v>
      </c>
      <c r="B86" s="369"/>
      <c r="C86" s="369"/>
      <c r="D86" s="369"/>
      <c r="E86" s="369"/>
      <c r="F86" s="369"/>
      <c r="G86" s="369"/>
      <c r="H86" s="6">
        <v>4</v>
      </c>
    </row>
    <row r="87" spans="1:8" x14ac:dyDescent="0.25">
      <c r="A87" s="349" t="str">
        <f>C8</f>
        <v>Vitalidad</v>
      </c>
      <c r="B87" s="349"/>
      <c r="C87">
        <f>D9*H86</f>
        <v>4</v>
      </c>
      <c r="D87" s="288">
        <f>ROUNDDOWN(C87*1.7,0)</f>
        <v>6</v>
      </c>
      <c r="E87" s="288">
        <f>ROUNDDOWN(D87*1.7,0)</f>
        <v>10</v>
      </c>
      <c r="F87" s="288">
        <f>ROUNDDOWN(E87*1.7,0)</f>
        <v>17</v>
      </c>
      <c r="G87" s="288">
        <f>ROUNDDOWN(F87*1.7,0)</f>
        <v>28</v>
      </c>
      <c r="H87" s="26" t="s">
        <v>120</v>
      </c>
    </row>
    <row r="88" spans="1:8" x14ac:dyDescent="0.25">
      <c r="A88" s="349" t="str">
        <f>C9</f>
        <v>Fuerza</v>
      </c>
      <c r="B88" s="349"/>
      <c r="C88">
        <f>D10*H86</f>
        <v>4</v>
      </c>
      <c r="D88" s="288">
        <f t="shared" ref="D88:G88" si="12">ROUNDDOWN(C88*1.7,0)</f>
        <v>6</v>
      </c>
      <c r="E88" s="288">
        <f t="shared" si="12"/>
        <v>10</v>
      </c>
      <c r="F88" s="288">
        <f t="shared" si="12"/>
        <v>17</v>
      </c>
      <c r="G88" s="288">
        <f t="shared" si="12"/>
        <v>28</v>
      </c>
      <c r="H88" s="6">
        <v>4</v>
      </c>
    </row>
    <row r="89" spans="1:8" x14ac:dyDescent="0.25">
      <c r="A89" s="349" t="str">
        <f>C10</f>
        <v>Agilidad</v>
      </c>
      <c r="B89" s="349"/>
      <c r="C89">
        <f>D11*H86</f>
        <v>4</v>
      </c>
      <c r="D89" s="288">
        <f t="shared" ref="D89:G89" si="13">ROUNDDOWN(C89*1.7,0)</f>
        <v>6</v>
      </c>
      <c r="E89" s="288">
        <f t="shared" si="13"/>
        <v>10</v>
      </c>
      <c r="F89" s="288">
        <f t="shared" si="13"/>
        <v>17</v>
      </c>
      <c r="G89" s="288">
        <f t="shared" si="13"/>
        <v>28</v>
      </c>
    </row>
    <row r="90" spans="1:8" x14ac:dyDescent="0.25">
      <c r="A90" s="349" t="str">
        <f>C11</f>
        <v>Inteligencia</v>
      </c>
      <c r="B90" s="349"/>
      <c r="C90">
        <f>D12*H86</f>
        <v>4</v>
      </c>
      <c r="D90" s="288">
        <f t="shared" ref="D90:G90" si="14">ROUNDDOWN(C90*1.7,0)</f>
        <v>6</v>
      </c>
      <c r="E90" s="288">
        <f t="shared" si="14"/>
        <v>10</v>
      </c>
      <c r="F90" s="288">
        <f t="shared" si="14"/>
        <v>17</v>
      </c>
      <c r="G90" s="288">
        <f t="shared" si="14"/>
        <v>28</v>
      </c>
    </row>
    <row r="91" spans="1:8" x14ac:dyDescent="0.25">
      <c r="A91" s="349" t="s">
        <v>77</v>
      </c>
      <c r="B91" s="349"/>
      <c r="C91">
        <f>(C$23+C$24)/2*$H$86</f>
        <v>0</v>
      </c>
      <c r="D91">
        <f>(D$23+D$24)/2*$H$86</f>
        <v>2</v>
      </c>
      <c r="E91">
        <f>(E$23+E$24)/2*$H$86</f>
        <v>6</v>
      </c>
      <c r="F91">
        <f>(F$23+F$24)/2*$H$86</f>
        <v>10</v>
      </c>
      <c r="G91">
        <f>(G$23+G$24)/2*$H$86</f>
        <v>14</v>
      </c>
    </row>
    <row r="92" spans="1:8" x14ac:dyDescent="0.25">
      <c r="A92" s="369" t="s">
        <v>49</v>
      </c>
      <c r="B92" s="369"/>
      <c r="C92" s="369"/>
      <c r="D92" s="369"/>
      <c r="E92" s="369"/>
      <c r="F92" s="369"/>
      <c r="G92" s="369"/>
    </row>
    <row r="93" spans="1:8" x14ac:dyDescent="0.25">
      <c r="A93" s="349" t="s">
        <v>50</v>
      </c>
      <c r="B93" s="349"/>
      <c r="C93" s="5">
        <f>ROUNDDOWN(C32/5*H86,0)</f>
        <v>7</v>
      </c>
      <c r="D93" s="5">
        <f>ROUNDDOWN(D32/5*H86,0)</f>
        <v>21</v>
      </c>
      <c r="E93" s="5">
        <f>ROUNDDOWN(E32/5*H86,0)</f>
        <v>64</v>
      </c>
      <c r="F93" s="5">
        <f>ROUNDDOWN(F32/5*H86,0)</f>
        <v>192</v>
      </c>
      <c r="G93" s="5">
        <f>ROUNDDOWN(G32/5*H86,0)</f>
        <v>384</v>
      </c>
    </row>
    <row r="94" spans="1:8" x14ac:dyDescent="0.25">
      <c r="A94" s="349" t="str">
        <f>C12</f>
        <v>Esencia</v>
      </c>
      <c r="B94" s="349"/>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4">
    <pageSetUpPr fitToPage="1"/>
  </sheetPr>
  <dimension ref="A1:Z148"/>
  <sheetViews>
    <sheetView workbookViewId="0">
      <selection activeCell="B25" sqref="B25"/>
    </sheetView>
  </sheetViews>
  <sheetFormatPr baseColWidth="10" defaultRowHeight="15" x14ac:dyDescent="0.25"/>
  <cols>
    <col min="22" max="26" width="17.140625" customWidth="1"/>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36</v>
      </c>
      <c r="B2" s="298"/>
      <c r="C2" s="298">
        <f>'ECONOMIA &amp; PROFESIONES'!$N$3</f>
        <v>1</v>
      </c>
      <c r="D2" s="298"/>
      <c r="E2" s="298" t="s">
        <v>81</v>
      </c>
      <c r="F2" s="298"/>
      <c r="G2" s="298" t="s">
        <v>90</v>
      </c>
      <c r="H2" s="298"/>
      <c r="I2" s="298" t="str">
        <f>MAIN!$J$42</f>
        <v>&amp;7Ataque:</v>
      </c>
      <c r="J2" s="298"/>
      <c r="K2" s="298">
        <f>MAIN!$L$42</f>
        <v>2</v>
      </c>
      <c r="L2" s="298"/>
    </row>
    <row r="3" spans="1:26" ht="29.25" customHeight="1" x14ac:dyDescent="0.25">
      <c r="A3" s="373" t="s">
        <v>7</v>
      </c>
      <c r="B3" s="373"/>
      <c r="C3" s="373"/>
      <c r="D3" s="373"/>
      <c r="E3" s="373" t="s">
        <v>8</v>
      </c>
      <c r="F3" s="373"/>
      <c r="G3" s="373"/>
      <c r="H3" s="373"/>
      <c r="I3" s="373" t="s">
        <v>83</v>
      </c>
      <c r="J3" s="373"/>
      <c r="K3" s="373"/>
      <c r="L3" s="373"/>
      <c r="M3" s="373" t="s">
        <v>84</v>
      </c>
      <c r="N3" s="373"/>
      <c r="O3" s="373"/>
      <c r="P3" s="373"/>
      <c r="Q3" s="373" t="s">
        <v>85</v>
      </c>
      <c r="R3" s="373"/>
      <c r="S3" s="373"/>
      <c r="T3" s="373"/>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88" t="str">
        <f>$I$2&amp;" "&amp;ROUND(MAIN!$C$44*$C$2*$K$2/5*$U$4,0)</f>
        <v>&amp;7Ataque: 1</v>
      </c>
      <c r="W4" s="288" t="str">
        <f>$I$2&amp;" "&amp;ROUND(MAIN!$D$44*$C$2*$K$2/5*$U$4,0)</f>
        <v>&amp;7Ataque: 2</v>
      </c>
      <c r="X4" s="288" t="str">
        <f>$I$2&amp;" "&amp;ROUND(MAIN!$E$44*$C$2*$K$2/5*$U$4,0)</f>
        <v>&amp;7Ataque: 7</v>
      </c>
      <c r="Y4" s="288" t="str">
        <f>$I$2&amp;" "&amp;ROUND(MAIN!$F$44*$C$2*$K$2/5*$U$4,0)</f>
        <v>&amp;7Ataque: 22</v>
      </c>
      <c r="Z4" s="288" t="str">
        <f>$I$2&amp;" "&amp;ROUND(MAIN!$G$44*$C$2*$K$2/5*$U$4,0)</f>
        <v>&amp;7Ataque: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88" t="str">
        <f>$I$2&amp;" "&amp;ROUND(MAIN!$C$44*$C$2*$K$2/5*$U$5,0)</f>
        <v>&amp;7Ataque: 2</v>
      </c>
      <c r="W5" s="288" t="str">
        <f>$I$2&amp;" "&amp;ROUND(MAIN!$D$44*$C$2*$K$2/5*$U$5,0)</f>
        <v>&amp;7Ataque: 5</v>
      </c>
      <c r="X5" s="288" t="str">
        <f>$I$2&amp;" "&amp;ROUND(MAIN!$E$44*$C$2*$K$2/5*$U$5,0)</f>
        <v>&amp;7Ataque: 14</v>
      </c>
      <c r="Y5" s="288" t="str">
        <f>$I$2&amp;" "&amp;ROUND(MAIN!$F$44*$C$2*$K$2/5*$U$5,0)</f>
        <v>&amp;7Ataque: 43</v>
      </c>
      <c r="Z5" s="288" t="str">
        <f>$I$2&amp;" "&amp;ROUND(MAIN!$G$44*$C$2*$K$2/5*$U$5,0)</f>
        <v>&amp;7Ataque: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88" t="str">
        <f>$I$2&amp;" "&amp;ROUND(MAIN!$C$44*$C$2*$K$2/5*$U$6,0)</f>
        <v>&amp;7Ataque: 2</v>
      </c>
      <c r="W6" s="288" t="str">
        <f>$I$2&amp;" "&amp;ROUND(MAIN!$D$44*$C$2*$K$2/5*$U$6,0)</f>
        <v>&amp;7Ataque: 7</v>
      </c>
      <c r="X6" s="288" t="str">
        <f>$I$2&amp;" "&amp;ROUND(MAIN!$E$44*$C$2*$K$2/5*$U$6,0)</f>
        <v>&amp;7Ataque: 22</v>
      </c>
      <c r="Y6" s="288" t="str">
        <f>$I$2&amp;" "&amp;ROUND(MAIN!$F$44*$C$2*$K$2/5*$U$6,0)</f>
        <v>&amp;7Ataque: 65</v>
      </c>
      <c r="Z6" s="288" t="str">
        <f>$I$2&amp;" "&amp;ROUND(MAIN!$G$44*$C$2*$K$2/5*$U$6,0)</f>
        <v>&amp;7Ataque: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88" t="str">
        <f>$I$2&amp;" "&amp;ROUND(MAIN!$C$44*$C$2*$K$2/5*$U$7,0)</f>
        <v>&amp;7Ataque: 3</v>
      </c>
      <c r="W7" s="288" t="str">
        <f>$I$2&amp;" "&amp;ROUND(MAIN!$D$44*$C$2*$K$2/5*$U$7,0)</f>
        <v>&amp;7Ataque: 10</v>
      </c>
      <c r="X7" s="288" t="str">
        <f>$I$2&amp;" "&amp;ROUND(MAIN!$E$44*$C$2*$K$2/5*$U$7,0)</f>
        <v>&amp;7Ataque: 29</v>
      </c>
      <c r="Y7" s="288" t="str">
        <f>$I$2&amp;" "&amp;ROUND(MAIN!$F$44*$C$2*$K$2/5*$U$7,0)</f>
        <v>&amp;7Ataque: 86</v>
      </c>
      <c r="Z7" s="288" t="str">
        <f>$I$2&amp;" "&amp;ROUND(MAIN!$G$44*$C$2*$K$2/5*$U$7,0)</f>
        <v>&amp;7Ataque: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88" t="str">
        <f>$I$2&amp;" "&amp;ROUND(MAIN!$C$44*$C$2*$K$2/5*$U$8,0)</f>
        <v>&amp;7Ataque: 4</v>
      </c>
      <c r="W8" s="288" t="str">
        <f>$I$2&amp;" "&amp;ROUND(MAIN!$D$44*$C$2*$K$2/5*$U$8,0)</f>
        <v>&amp;7Ataque: 12</v>
      </c>
      <c r="X8" s="288" t="str">
        <f>$I$2&amp;" "&amp;ROUND(MAIN!$E$44*$C$2*$K$2/5*$U$8,0)</f>
        <v>&amp;7Ataque: 36</v>
      </c>
      <c r="Y8" s="288" t="str">
        <f>$I$2&amp;" "&amp;ROUND(MAIN!$F$44*$C$2*$K$2/5*$U$8,0)</f>
        <v>&amp;7Ataque: 108</v>
      </c>
      <c r="Z8" s="288" t="str">
        <f>$I$2&amp;" "&amp;ROUND(MAIN!$G$44*$C$2*$K$2/5*$U$8,0)</f>
        <v>&amp;7Ataque: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36</v>
      </c>
      <c r="B2" s="298"/>
      <c r="C2" s="298">
        <f>'ECONOMIA &amp; PROFESIONES'!$N$3</f>
        <v>1</v>
      </c>
      <c r="D2" s="298"/>
      <c r="E2" s="298" t="s">
        <v>81</v>
      </c>
      <c r="F2" s="298"/>
      <c r="G2" s="298" t="s">
        <v>90</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88"/>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88">
        <v>1</v>
      </c>
      <c r="V4" s="288" t="str">
        <f>"+"&amp;ROUND(MAIN!$C$55*$C$2*$K$2/5*$U$4,0)&amp;" "&amp;$I$2</f>
        <v>+1 Armor</v>
      </c>
      <c r="W4" s="288" t="str">
        <f>"+"&amp;ROUND(MAIN!$D$55*$C$2*$K$2/5*$U$4,0)&amp;" "&amp;$I$2</f>
        <v>+2 Armor</v>
      </c>
      <c r="X4" s="288" t="str">
        <f>"+"&amp;ROUND(MAIN!$E$55*$C$2*$K$2/5*$U$4,0)&amp;" "&amp;$I$2</f>
        <v>+3 Armor</v>
      </c>
      <c r="Y4" s="288" t="str">
        <f>"+"&amp;ROUND(MAIN!$F$55*$C$2*$K$2/5*$U$4,0)&amp;" "&amp;$I$2</f>
        <v>+4 Armor</v>
      </c>
      <c r="Z4" s="288"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88">
        <v>2</v>
      </c>
      <c r="V5" s="288" t="str">
        <f>"+"&amp;ROUND(MAIN!$C$55*$C$2*$K$2/5*$U$5,0)&amp;" "&amp;$I$2</f>
        <v>+2 Armor</v>
      </c>
      <c r="W5" s="288" t="str">
        <f>"+"&amp;ROUND(MAIN!$D$55*$C$2*$K$2/5*$U$5,0)&amp;" "&amp;$I$2</f>
        <v>+3 Armor</v>
      </c>
      <c r="X5" s="288" t="str">
        <f>"+"&amp;ROUND(MAIN!$E$55*$C$2*$K$2/5*$U$5,0)&amp;" "&amp;$I$2</f>
        <v>+5 Armor</v>
      </c>
      <c r="Y5" s="288" t="str">
        <f>"+"&amp;ROUND(MAIN!$F$55*$C$2*$K$2/5*$U$5,0)&amp;" "&amp;$I$2</f>
        <v>+9 Armor</v>
      </c>
      <c r="Z5" s="288"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+3 Armor</v>
      </c>
      <c r="W6" s="288" t="str">
        <f>"+"&amp;ROUND(MAIN!$D$55*$C$2*$K$2/5*$U$6,0)&amp;" "&amp;$I$2</f>
        <v>+5 Armor</v>
      </c>
      <c r="X6" s="288" t="str">
        <f>"+"&amp;ROUND(MAIN!$E$55*$C$2*$K$2/5*$U$6,0)&amp;" "&amp;$I$2</f>
        <v>+8 Armor</v>
      </c>
      <c r="Y6" s="288" t="str">
        <f>"+"&amp;ROUND(MAIN!$F$55*$C$2*$K$2/5*$U$6,0)&amp;" "&amp;$I$2</f>
        <v>+13 Armor</v>
      </c>
      <c r="Z6" s="288"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+4 Armor</v>
      </c>
      <c r="W7" s="288" t="str">
        <f>"+"&amp;ROUND(MAIN!$D$55*$C$2*$K$2/5*$U$7,0)&amp;" "&amp;$I$2</f>
        <v>+6 Armor</v>
      </c>
      <c r="X7" s="288" t="str">
        <f>"+"&amp;ROUND(MAIN!$E$55*$C$2*$K$2/5*$U$7,0)&amp;" "&amp;$I$2</f>
        <v>+10 Armor</v>
      </c>
      <c r="Y7" s="288" t="str">
        <f>"+"&amp;ROUND(MAIN!$F$55*$C$2*$K$2/5*$U$7,0)&amp;" "&amp;$I$2</f>
        <v>+18 Armor</v>
      </c>
      <c r="Z7" s="288"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+5 Armor</v>
      </c>
      <c r="W8" s="288" t="str">
        <f>"+"&amp;ROUND(MAIN!$D$55*$C$2*$K$2/5*$U$8,0)&amp;" "&amp;$I$2</f>
        <v>+8 Armor</v>
      </c>
      <c r="X8" s="288" t="str">
        <f>"+"&amp;ROUND(MAIN!$E$55*$C$2*$K$2/5*$U$8,0)&amp;" "&amp;$I$2</f>
        <v>+13 Armor</v>
      </c>
      <c r="Y8" s="288" t="str">
        <f>"+"&amp;ROUND(MAIN!$F$55*$C$2*$K$2/5*$U$8,0)&amp;" "&amp;$I$2</f>
        <v>+22 Armor</v>
      </c>
      <c r="Z8" s="288"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36</v>
      </c>
      <c r="B2" s="298"/>
      <c r="C2" s="298">
        <f>'ECONOMIA &amp; PROFESIONES'!$N$3</f>
        <v>1</v>
      </c>
      <c r="D2" s="298"/>
      <c r="E2" s="298" t="s">
        <v>81</v>
      </c>
      <c r="F2" s="298"/>
      <c r="G2" s="298" t="s">
        <v>90</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 ref="K2:L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36</v>
      </c>
      <c r="B2" s="298"/>
      <c r="C2" s="298">
        <f>'ECONOMIA &amp; PROFESIONES'!$N$3</f>
        <v>1</v>
      </c>
      <c r="D2" s="298"/>
      <c r="E2" s="298" t="s">
        <v>81</v>
      </c>
      <c r="F2" s="298"/>
      <c r="G2" s="298" t="s">
        <v>90</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K2:L2"/>
    <mergeCell ref="M3:P3"/>
    <mergeCell ref="Q3:T3"/>
    <mergeCell ref="G1:H1"/>
    <mergeCell ref="G2:H2"/>
    <mergeCell ref="A3:D3"/>
    <mergeCell ref="E3:H3"/>
    <mergeCell ref="I3:L3"/>
    <mergeCell ref="I1:J1"/>
    <mergeCell ref="A1:B1"/>
    <mergeCell ref="C1:D1"/>
    <mergeCell ref="E1:F1"/>
    <mergeCell ref="A2:B2"/>
    <mergeCell ref="C2:D2"/>
    <mergeCell ref="E2:F2"/>
    <mergeCell ref="K1:L1"/>
    <mergeCell ref="I2:J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36</v>
      </c>
      <c r="B2" s="298"/>
      <c r="C2" s="298">
        <f>'ECONOMIA &amp; PROFESIONES'!$N$3</f>
        <v>1</v>
      </c>
      <c r="D2" s="298"/>
      <c r="E2" s="298" t="s">
        <v>81</v>
      </c>
      <c r="F2" s="298"/>
      <c r="G2" s="298" t="s">
        <v>90</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88" customFormat="1" x14ac:dyDescent="0.25">
      <c r="A28" s="9" t="s">
        <v>1156</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0"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89"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0"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9"/>
  <dimension ref="A1:Z170"/>
  <sheetViews>
    <sheetView topLeftCell="A22" workbookViewId="0">
      <selection activeCell="B47" sqref="B47"/>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100</v>
      </c>
      <c r="B2" s="298"/>
      <c r="C2" s="298">
        <f>'ECONOMIA &amp; PROFESIONES'!$O$3</f>
        <v>3</v>
      </c>
      <c r="D2" s="298"/>
      <c r="E2" s="298" t="s">
        <v>81</v>
      </c>
      <c r="F2" s="298"/>
      <c r="G2" s="298" t="s">
        <v>97</v>
      </c>
      <c r="H2" s="298"/>
      <c r="I2" s="298" t="str">
        <f>MAIN!$J$42</f>
        <v>&amp;7Ataque:</v>
      </c>
      <c r="J2" s="298"/>
      <c r="K2" s="298">
        <f>MAIN!$L$42</f>
        <v>2</v>
      </c>
      <c r="L2" s="298"/>
    </row>
    <row r="3" spans="1:26" ht="29.25" customHeight="1" x14ac:dyDescent="0.25">
      <c r="A3" s="373" t="s">
        <v>7</v>
      </c>
      <c r="B3" s="373"/>
      <c r="C3" s="373"/>
      <c r="D3" s="373"/>
      <c r="E3" s="373" t="s">
        <v>8</v>
      </c>
      <c r="F3" s="373"/>
      <c r="G3" s="373"/>
      <c r="H3" s="373"/>
      <c r="I3" s="373" t="s">
        <v>83</v>
      </c>
      <c r="J3" s="373"/>
      <c r="K3" s="373"/>
      <c r="L3" s="373"/>
      <c r="M3" s="373" t="s">
        <v>84</v>
      </c>
      <c r="N3" s="373"/>
      <c r="O3" s="373"/>
      <c r="P3" s="373"/>
      <c r="Q3" s="373" t="s">
        <v>85</v>
      </c>
      <c r="R3" s="373"/>
      <c r="S3" s="373"/>
      <c r="T3" s="373"/>
      <c r="U3" s="288"/>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$I$2&amp;" "&amp;ROUND(MAIN!$C$44*$C$2*$K$2/5*$U$4,0)</f>
        <v>&amp;7Ataque: 2</v>
      </c>
      <c r="W4" s="288" t="str">
        <f>$I$2&amp;" "&amp;ROUND(MAIN!$D$44*$C$2*$K$2/5*$U$4,0)</f>
        <v>&amp;7Ataque: 7</v>
      </c>
      <c r="X4" s="288" t="str">
        <f>$I$2&amp;" "&amp;ROUND(MAIN!$E$44*$C$2*$K$2/5*$U$4,0)</f>
        <v>&amp;7Ataque: 22</v>
      </c>
      <c r="Y4" s="288" t="str">
        <f>$I$2&amp;" "&amp;ROUND(MAIN!$F$44*$C$2*$K$2/5*$U$4,0)</f>
        <v>&amp;7Ataque: 65</v>
      </c>
      <c r="Z4" s="288" t="str">
        <f>$I$2&amp;" "&amp;ROUND(MAIN!$G$44*$C$2*$K$2/5*$U$4,0)</f>
        <v>&amp;7Ataque: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$I$2&amp;" "&amp;ROUND(MAIN!$C$44*$C$2*$K$2/5*$U$5,0)</f>
        <v>&amp;7Ataque: 5</v>
      </c>
      <c r="W5" s="288" t="str">
        <f>$I$2&amp;" "&amp;ROUND(MAIN!$D$44*$C$2*$K$2/5*$U$5,0)</f>
        <v>&amp;7Ataque: 14</v>
      </c>
      <c r="X5" s="288" t="str">
        <f>$I$2&amp;" "&amp;ROUND(MAIN!$E$44*$C$2*$K$2/5*$U$5,0)</f>
        <v>&amp;7Ataque: 43</v>
      </c>
      <c r="Y5" s="288" t="str">
        <f>$I$2&amp;" "&amp;ROUND(MAIN!$F$44*$C$2*$K$2/5*$U$5,0)</f>
        <v>&amp;7Ataque: 130</v>
      </c>
      <c r="Z5" s="288" t="str">
        <f>$I$2&amp;" "&amp;ROUND(MAIN!$G$44*$C$2*$K$2/5*$U$5,0)</f>
        <v>&amp;7Ataque: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7</v>
      </c>
      <c r="W6" s="288" t="str">
        <f>$I$2&amp;" "&amp;ROUND(MAIN!$D$44*$C$2*$K$2/5*$U$6,0)</f>
        <v>&amp;7Ataque: 22</v>
      </c>
      <c r="X6" s="288" t="str">
        <f>$I$2&amp;" "&amp;ROUND(MAIN!$E$44*$C$2*$K$2/5*$U$6,0)</f>
        <v>&amp;7Ataque: 65</v>
      </c>
      <c r="Y6" s="288" t="str">
        <f>$I$2&amp;" "&amp;ROUND(MAIN!$F$44*$C$2*$K$2/5*$U$6,0)</f>
        <v>&amp;7Ataque: 194</v>
      </c>
      <c r="Z6" s="288" t="str">
        <f>$I$2&amp;" "&amp;ROUND(MAIN!$G$44*$C$2*$K$2/5*$U$6,0)</f>
        <v>&amp;7Ataque: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10</v>
      </c>
      <c r="W7" s="288" t="str">
        <f>$I$2&amp;" "&amp;ROUND(MAIN!$D$44*$C$2*$K$2/5*$U$7,0)</f>
        <v>&amp;7Ataque: 29</v>
      </c>
      <c r="X7" s="288" t="str">
        <f>$I$2&amp;" "&amp;ROUND(MAIN!$E$44*$C$2*$K$2/5*$U$7,0)</f>
        <v>&amp;7Ataque: 86</v>
      </c>
      <c r="Y7" s="288" t="str">
        <f>$I$2&amp;" "&amp;ROUND(MAIN!$F$44*$C$2*$K$2/5*$U$7,0)</f>
        <v>&amp;7Ataque: 259</v>
      </c>
      <c r="Z7" s="288" t="str">
        <f>$I$2&amp;" "&amp;ROUND(MAIN!$G$44*$C$2*$K$2/5*$U$7,0)</f>
        <v>&amp;7Ataque: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12</v>
      </c>
      <c r="W8" s="288" t="str">
        <f>$I$2&amp;" "&amp;ROUND(MAIN!$D$44*$C$2*$K$2/5*$U$8,0)</f>
        <v>&amp;7Ataque: 36</v>
      </c>
      <c r="X8" s="288" t="str">
        <f>$I$2&amp;" "&amp;ROUND(MAIN!$E$44*$C$2*$K$2/5*$U$8,0)</f>
        <v>&amp;7Ataque: 108</v>
      </c>
      <c r="Y8" s="288" t="str">
        <f>$I$2&amp;" "&amp;ROUND(MAIN!$F$44*$C$2*$K$2/5*$U$8,0)</f>
        <v>&amp;7Ataque: 324</v>
      </c>
      <c r="Z8" s="288" t="str">
        <f>$I$2&amp;" "&amp;ROUND(MAIN!$G$44*$C$2*$K$2/5*$U$8,0)</f>
        <v>&amp;7Ataque: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88" customFormat="1" x14ac:dyDescent="0.25">
      <c r="A50" s="9" t="s">
        <v>1156</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0"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0"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100</v>
      </c>
      <c r="B2" s="298"/>
      <c r="C2" s="298">
        <f>'ECONOMIA &amp; PROFESIONES'!$O$3</f>
        <v>3</v>
      </c>
      <c r="D2" s="298"/>
      <c r="E2" s="298" t="s">
        <v>81</v>
      </c>
      <c r="F2" s="298"/>
      <c r="G2" s="298" t="s">
        <v>97</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88"/>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88">
        <v>1</v>
      </c>
      <c r="V4" s="288" t="str">
        <f>"+"&amp;ROUND(MAIN!$C$55*$C$2*$K$2/5*$U$4,0)&amp;" "&amp;$I$2</f>
        <v>+3 Armor</v>
      </c>
      <c r="W4" s="288" t="str">
        <f>"+"&amp;ROUND(MAIN!$D$55*$C$2*$K$2/5*$U$4,0)&amp;" "&amp;$I$2</f>
        <v>+5 Armor</v>
      </c>
      <c r="X4" s="288" t="str">
        <f>"+"&amp;ROUND(MAIN!$E$55*$C$2*$K$2/5*$U$4,0)&amp;" "&amp;$I$2</f>
        <v>+8 Armor</v>
      </c>
      <c r="Y4" s="288" t="str">
        <f>"+"&amp;ROUND(MAIN!$F$55*$C$2*$K$2/5*$U$4,0)&amp;" "&amp;$I$2</f>
        <v>+13 Armor</v>
      </c>
      <c r="Z4" s="288"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88">
        <v>2</v>
      </c>
      <c r="V5" s="288" t="str">
        <f>"+"&amp;ROUND(MAIN!$C$55*$C$2*$K$2/5*$U$5,0)&amp;" "&amp;$I$2</f>
        <v>+6 Armor</v>
      </c>
      <c r="W5" s="288" t="str">
        <f>"+"&amp;ROUND(MAIN!$D$55*$C$2*$K$2/5*$U$5,0)&amp;" "&amp;$I$2</f>
        <v>+10 Armor</v>
      </c>
      <c r="X5" s="288" t="str">
        <f>"+"&amp;ROUND(MAIN!$E$55*$C$2*$K$2/5*$U$5,0)&amp;" "&amp;$I$2</f>
        <v>+16 Armor</v>
      </c>
      <c r="Y5" s="288" t="str">
        <f>"+"&amp;ROUND(MAIN!$F$55*$C$2*$K$2/5*$U$5,0)&amp;" "&amp;$I$2</f>
        <v>+26 Armor</v>
      </c>
      <c r="Z5" s="288"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+9 Armor</v>
      </c>
      <c r="W6" s="288" t="str">
        <f>"+"&amp;ROUND(MAIN!$D$55*$C$2*$K$2/5*$U$6,0)&amp;" "&amp;$I$2</f>
        <v>+14 Armor</v>
      </c>
      <c r="X6" s="288" t="str">
        <f>"+"&amp;ROUND(MAIN!$E$55*$C$2*$K$2/5*$U$6,0)&amp;" "&amp;$I$2</f>
        <v>+23 Armor</v>
      </c>
      <c r="Y6" s="288" t="str">
        <f>"+"&amp;ROUND(MAIN!$F$55*$C$2*$K$2/5*$U$6,0)&amp;" "&amp;$I$2</f>
        <v>+40 Armor</v>
      </c>
      <c r="Z6" s="288"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+12 Armor</v>
      </c>
      <c r="W7" s="288" t="str">
        <f>"+"&amp;ROUND(MAIN!$D$55*$C$2*$K$2/5*$U$7,0)&amp;" "&amp;$I$2</f>
        <v>+19 Armor</v>
      </c>
      <c r="X7" s="288" t="str">
        <f>"+"&amp;ROUND(MAIN!$E$55*$C$2*$K$2/5*$U$7,0)&amp;" "&amp;$I$2</f>
        <v>+31 Armor</v>
      </c>
      <c r="Y7" s="288" t="str">
        <f>"+"&amp;ROUND(MAIN!$F$55*$C$2*$K$2/5*$U$7,0)&amp;" "&amp;$I$2</f>
        <v>+53 Armor</v>
      </c>
      <c r="Z7" s="288"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+15 Armor</v>
      </c>
      <c r="W8" s="288" t="str">
        <f>"+"&amp;ROUND(MAIN!$D$55*$C$2*$K$2/5*$U$8,0)&amp;" "&amp;$I$2</f>
        <v>+24 Armor</v>
      </c>
      <c r="X8" s="288" t="str">
        <f>"+"&amp;ROUND(MAIN!$E$55*$C$2*$K$2/5*$U$8,0)&amp;" "&amp;$I$2</f>
        <v>+39 Armor</v>
      </c>
      <c r="Y8" s="288" t="str">
        <f>"+"&amp;ROUND(MAIN!$F$55*$C$2*$K$2/5*$U$8,0)&amp;" "&amp;$I$2</f>
        <v>+66 Armor</v>
      </c>
      <c r="Z8" s="288"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100</v>
      </c>
      <c r="B2" s="298"/>
      <c r="C2" s="298">
        <f>'ECONOMIA &amp; PROFESIONES'!$O$3</f>
        <v>3</v>
      </c>
      <c r="D2" s="298"/>
      <c r="E2" s="298" t="s">
        <v>81</v>
      </c>
      <c r="F2" s="298"/>
      <c r="G2" s="298" t="s">
        <v>97</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100</v>
      </c>
      <c r="B2" s="298"/>
      <c r="C2" s="298">
        <f>'ECONOMIA &amp; PROFESIONES'!$O$3</f>
        <v>3</v>
      </c>
      <c r="D2" s="298"/>
      <c r="E2" s="298" t="s">
        <v>81</v>
      </c>
      <c r="F2" s="298"/>
      <c r="G2" s="298" t="s">
        <v>97</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100</v>
      </c>
      <c r="B2" s="298"/>
      <c r="C2" s="298">
        <f>'ECONOMIA &amp; PROFESIONES'!$O$3</f>
        <v>3</v>
      </c>
      <c r="D2" s="298"/>
      <c r="E2" s="298" t="s">
        <v>81</v>
      </c>
      <c r="F2" s="298"/>
      <c r="G2" s="298" t="s">
        <v>97</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88" customFormat="1" x14ac:dyDescent="0.25">
      <c r="A49" s="9" t="s">
        <v>1156</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0"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89"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0"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4"/>
  <dimension ref="A1:Z189"/>
  <sheetViews>
    <sheetView topLeftCell="T1" workbookViewId="0">
      <selection activeCell="V4" sqref="V4:V6"/>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102</v>
      </c>
      <c r="B2" s="298"/>
      <c r="C2" s="298">
        <f>'ECONOMIA &amp; PROFESIONES'!$P$3</f>
        <v>5</v>
      </c>
      <c r="D2" s="298"/>
      <c r="E2" s="298" t="s">
        <v>81</v>
      </c>
      <c r="F2" s="298"/>
      <c r="G2" s="298" t="s">
        <v>103</v>
      </c>
      <c r="H2" s="298"/>
      <c r="I2" s="298" t="str">
        <f>MAIN!$J$42</f>
        <v>&amp;7Ataque:</v>
      </c>
      <c r="J2" s="298"/>
      <c r="K2" s="298">
        <f>MAIN!$L$42</f>
        <v>2</v>
      </c>
      <c r="L2" s="298"/>
    </row>
    <row r="3" spans="1:26" ht="29.25" customHeight="1" x14ac:dyDescent="0.25">
      <c r="A3" s="373" t="s">
        <v>7</v>
      </c>
      <c r="B3" s="373"/>
      <c r="C3" s="373"/>
      <c r="D3" s="373"/>
      <c r="E3" s="373" t="s">
        <v>8</v>
      </c>
      <c r="F3" s="373"/>
      <c r="G3" s="373"/>
      <c r="H3" s="373"/>
      <c r="I3" s="373" t="s">
        <v>83</v>
      </c>
      <c r="J3" s="373"/>
      <c r="K3" s="373"/>
      <c r="L3" s="373"/>
      <c r="M3" s="373" t="s">
        <v>84</v>
      </c>
      <c r="N3" s="373"/>
      <c r="O3" s="373"/>
      <c r="P3" s="373"/>
      <c r="Q3" s="373" t="s">
        <v>85</v>
      </c>
      <c r="R3" s="373"/>
      <c r="S3" s="373"/>
      <c r="T3" s="373"/>
      <c r="U3" s="288"/>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$I$2&amp;" "&amp;ROUND(MAIN!$C$44*$C$2*$K$2/5*$U$4,0)</f>
        <v>&amp;7Ataque: 4</v>
      </c>
      <c r="W4" s="288" t="str">
        <f>$I$2&amp;" "&amp;ROUND(MAIN!$D$44*$C$2*$K$2/5*$U$4,0)</f>
        <v>&amp;7Ataque: 12</v>
      </c>
      <c r="X4" s="288" t="str">
        <f>$I$2&amp;" "&amp;ROUND(MAIN!$E$44*$C$2*$K$2/5*$U$4,0)</f>
        <v>&amp;7Ataque: 36</v>
      </c>
      <c r="Y4" s="288" t="str">
        <f>$I$2&amp;" "&amp;ROUND(MAIN!$F$44*$C$2*$K$2/5*$U$4,0)</f>
        <v>&amp;7Ataque: 108</v>
      </c>
      <c r="Z4" s="288" t="str">
        <f>$I$2&amp;" "&amp;ROUND(MAIN!$G$44*$C$2*$K$2/5*$U$4,0)</f>
        <v>&amp;7Ataque: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$I$2&amp;" "&amp;ROUND(MAIN!$C$44*$C$2*$K$2/5*$U$5,0)</f>
        <v>&amp;7Ataque: 8</v>
      </c>
      <c r="W5" s="288" t="str">
        <f>$I$2&amp;" "&amp;ROUND(MAIN!$D$44*$C$2*$K$2/5*$U$5,0)</f>
        <v>&amp;7Ataque: 24</v>
      </c>
      <c r="X5" s="288" t="str">
        <f>$I$2&amp;" "&amp;ROUND(MAIN!$E$44*$C$2*$K$2/5*$U$5,0)</f>
        <v>&amp;7Ataque: 72</v>
      </c>
      <c r="Y5" s="288" t="str">
        <f>$I$2&amp;" "&amp;ROUND(MAIN!$F$44*$C$2*$K$2/5*$U$5,0)</f>
        <v>&amp;7Ataque: 216</v>
      </c>
      <c r="Z5" s="288" t="str">
        <f>$I$2&amp;" "&amp;ROUND(MAIN!$G$44*$C$2*$K$2/5*$U$5,0)</f>
        <v>&amp;7Ataque: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12</v>
      </c>
      <c r="W6" s="288" t="str">
        <f>$I$2&amp;" "&amp;ROUND(MAIN!$D$44*$C$2*$K$2/5*$U$6,0)</f>
        <v>&amp;7Ataque: 36</v>
      </c>
      <c r="X6" s="288" t="str">
        <f>$I$2&amp;" "&amp;ROUND(MAIN!$E$44*$C$2*$K$2/5*$U$6,0)</f>
        <v>&amp;7Ataque: 108</v>
      </c>
      <c r="Y6" s="288" t="str">
        <f>$I$2&amp;" "&amp;ROUND(MAIN!$F$44*$C$2*$K$2/5*$U$6,0)</f>
        <v>&amp;7Ataque: 324</v>
      </c>
      <c r="Z6" s="288" t="str">
        <f>$I$2&amp;" "&amp;ROUND(MAIN!$G$44*$C$2*$K$2/5*$U$6,0)</f>
        <v>&amp;7Ataque: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16</v>
      </c>
      <c r="W7" s="288" t="str">
        <f>$I$2&amp;" "&amp;ROUND(MAIN!$D$44*$C$2*$K$2/5*$U$7,0)</f>
        <v>&amp;7Ataque: 48</v>
      </c>
      <c r="X7" s="288" t="str">
        <f>$I$2&amp;" "&amp;ROUND(MAIN!$E$44*$C$2*$K$2/5*$U$7,0)</f>
        <v>&amp;7Ataque: 144</v>
      </c>
      <c r="Y7" s="288" t="str">
        <f>$I$2&amp;" "&amp;ROUND(MAIN!$F$44*$C$2*$K$2/5*$U$7,0)</f>
        <v>&amp;7Ataque: 432</v>
      </c>
      <c r="Z7" s="288" t="str">
        <f>$I$2&amp;" "&amp;ROUND(MAIN!$G$44*$C$2*$K$2/5*$U$7,0)</f>
        <v>&amp;7Ataque: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20</v>
      </c>
      <c r="W8" s="288" t="str">
        <f>$I$2&amp;" "&amp;ROUND(MAIN!$D$44*$C$2*$K$2/5*$U$8,0)</f>
        <v>&amp;7Ataque: 60</v>
      </c>
      <c r="X8" s="288" t="str">
        <f>$I$2&amp;" "&amp;ROUND(MAIN!$E$44*$C$2*$K$2/5*$U$8,0)</f>
        <v>&amp;7Ataque: 180</v>
      </c>
      <c r="Y8" s="288" t="str">
        <f>$I$2&amp;" "&amp;ROUND(MAIN!$F$44*$C$2*$K$2/5*$U$8,0)</f>
        <v>&amp;7Ataque: 540</v>
      </c>
      <c r="Z8" s="288" t="str">
        <f>$I$2&amp;" "&amp;ROUND(MAIN!$G$44*$C$2*$K$2/5*$U$8,0)</f>
        <v>&amp;7Ataque: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102</v>
      </c>
      <c r="B2" s="298"/>
      <c r="C2" s="298">
        <f>'ECONOMIA &amp; PROFESIONES'!$P$3</f>
        <v>5</v>
      </c>
      <c r="D2" s="298"/>
      <c r="E2" s="298" t="s">
        <v>81</v>
      </c>
      <c r="F2" s="298"/>
      <c r="G2" s="298" t="s">
        <v>103</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88"/>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88">
        <v>1</v>
      </c>
      <c r="V4" s="288" t="str">
        <f>"+"&amp;ROUND(MAIN!$C$55*$C$2*$K$2/5*$U$4,0)&amp;" "&amp;$I$2</f>
        <v>+5 Armor</v>
      </c>
      <c r="W4" s="288" t="str">
        <f>"+"&amp;ROUND(MAIN!$D$55*$C$2*$K$2/5*$U$4,0)&amp;" "&amp;$I$2</f>
        <v>+8 Armor</v>
      </c>
      <c r="X4" s="288" t="str">
        <f>"+"&amp;ROUND(MAIN!$E$55*$C$2*$K$2/5*$U$4,0)&amp;" "&amp;$I$2</f>
        <v>+13 Armor</v>
      </c>
      <c r="Y4" s="288" t="str">
        <f>"+"&amp;ROUND(MAIN!$F$55*$C$2*$K$2/5*$U$4,0)&amp;" "&amp;$I$2</f>
        <v>+22 Armor</v>
      </c>
      <c r="Z4" s="288"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88">
        <v>2</v>
      </c>
      <c r="V5" s="288" t="str">
        <f>"+"&amp;ROUND(MAIN!$C$55*$C$2*$K$2/5*$U$5,0)&amp;" "&amp;$I$2</f>
        <v>+10 Armor</v>
      </c>
      <c r="W5" s="288" t="str">
        <f>"+"&amp;ROUND(MAIN!$D$55*$C$2*$K$2/5*$U$5,0)&amp;" "&amp;$I$2</f>
        <v>+16 Armor</v>
      </c>
      <c r="X5" s="288" t="str">
        <f>"+"&amp;ROUND(MAIN!$E$55*$C$2*$K$2/5*$U$5,0)&amp;" "&amp;$I$2</f>
        <v>+26 Armor</v>
      </c>
      <c r="Y5" s="288" t="str">
        <f>"+"&amp;ROUND(MAIN!$F$55*$C$2*$K$2/5*$U$5,0)&amp;" "&amp;$I$2</f>
        <v>+44 Armor</v>
      </c>
      <c r="Z5" s="288"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+15 Armor</v>
      </c>
      <c r="W6" s="288" t="str">
        <f>"+"&amp;ROUND(MAIN!$D$55*$C$2*$K$2/5*$U$6,0)&amp;" "&amp;$I$2</f>
        <v>+24 Armor</v>
      </c>
      <c r="X6" s="288" t="str">
        <f>"+"&amp;ROUND(MAIN!$E$55*$C$2*$K$2/5*$U$6,0)&amp;" "&amp;$I$2</f>
        <v>+39 Armor</v>
      </c>
      <c r="Y6" s="288" t="str">
        <f>"+"&amp;ROUND(MAIN!$F$55*$C$2*$K$2/5*$U$6,0)&amp;" "&amp;$I$2</f>
        <v>+66 Armor</v>
      </c>
      <c r="Z6" s="288"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+20 Armor</v>
      </c>
      <c r="W7" s="288" t="str">
        <f>"+"&amp;ROUND(MAIN!$D$55*$C$2*$K$2/5*$U$7,0)&amp;" "&amp;$I$2</f>
        <v>+32 Armor</v>
      </c>
      <c r="X7" s="288" t="str">
        <f>"+"&amp;ROUND(MAIN!$E$55*$C$2*$K$2/5*$U$7,0)&amp;" "&amp;$I$2</f>
        <v>+52 Armor</v>
      </c>
      <c r="Y7" s="288" t="str">
        <f>"+"&amp;ROUND(MAIN!$F$55*$C$2*$K$2/5*$U$7,0)&amp;" "&amp;$I$2</f>
        <v>+88 Armor</v>
      </c>
      <c r="Z7" s="288"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+25 Armor</v>
      </c>
      <c r="W8" s="288" t="str">
        <f>"+"&amp;ROUND(MAIN!$D$55*$C$2*$K$2/5*$U$8,0)&amp;" "&amp;$I$2</f>
        <v>+40 Armor</v>
      </c>
      <c r="X8" s="288" t="str">
        <f>"+"&amp;ROUND(MAIN!$E$55*$C$2*$K$2/5*$U$8,0)&amp;" "&amp;$I$2</f>
        <v>+65 Armor</v>
      </c>
      <c r="Y8" s="288" t="str">
        <f>"+"&amp;ROUND(MAIN!$F$55*$C$2*$K$2/5*$U$8,0)&amp;" "&amp;$I$2</f>
        <v>+110 Armor</v>
      </c>
      <c r="Z8" s="288"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102</v>
      </c>
      <c r="B2" s="298"/>
      <c r="C2" s="298">
        <f>'ECONOMIA &amp; PROFESIONES'!$P$3</f>
        <v>5</v>
      </c>
      <c r="D2" s="298"/>
      <c r="E2" s="298" t="s">
        <v>81</v>
      </c>
      <c r="F2" s="298"/>
      <c r="G2" s="298" t="s">
        <v>103</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102</v>
      </c>
      <c r="B2" s="298"/>
      <c r="C2" s="298">
        <f>'ECONOMIA &amp; PROFESIONES'!$P$3</f>
        <v>5</v>
      </c>
      <c r="D2" s="298"/>
      <c r="E2" s="298" t="s">
        <v>81</v>
      </c>
      <c r="F2" s="298"/>
      <c r="G2" s="298" t="s">
        <v>103</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102</v>
      </c>
      <c r="B2" s="298"/>
      <c r="C2" s="298">
        <f>'ECONOMIA &amp; PROFESIONES'!$P$3</f>
        <v>5</v>
      </c>
      <c r="D2" s="298"/>
      <c r="E2" s="298" t="s">
        <v>81</v>
      </c>
      <c r="F2" s="298"/>
      <c r="G2" s="298" t="s">
        <v>103</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0"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104</v>
      </c>
      <c r="B2" s="298"/>
      <c r="C2" s="298">
        <f>'ECONOMIA &amp; PROFESIONES'!$Q$3</f>
        <v>7</v>
      </c>
      <c r="D2" s="298"/>
      <c r="E2" s="298" t="s">
        <v>81</v>
      </c>
      <c r="F2" s="298"/>
      <c r="G2" s="298" t="s">
        <v>3</v>
      </c>
      <c r="H2" s="298"/>
      <c r="I2" s="298" t="str">
        <f>MAIN!$J$42</f>
        <v>&amp;7Ataque:</v>
      </c>
      <c r="J2" s="298"/>
      <c r="K2" s="298">
        <f>MAIN!$L$42</f>
        <v>2</v>
      </c>
      <c r="L2" s="298"/>
    </row>
    <row r="3" spans="1:26" ht="29.25" customHeight="1" x14ac:dyDescent="0.25">
      <c r="A3" s="373" t="s">
        <v>7</v>
      </c>
      <c r="B3" s="373"/>
      <c r="C3" s="373"/>
      <c r="D3" s="373"/>
      <c r="E3" s="373" t="s">
        <v>8</v>
      </c>
      <c r="F3" s="373"/>
      <c r="G3" s="373"/>
      <c r="H3" s="373"/>
      <c r="I3" s="373" t="s">
        <v>83</v>
      </c>
      <c r="J3" s="373"/>
      <c r="K3" s="373"/>
      <c r="L3" s="373"/>
      <c r="M3" s="373" t="s">
        <v>84</v>
      </c>
      <c r="N3" s="373"/>
      <c r="O3" s="373"/>
      <c r="P3" s="373"/>
      <c r="Q3" s="373" t="s">
        <v>85</v>
      </c>
      <c r="R3" s="373"/>
      <c r="S3" s="373"/>
      <c r="T3" s="373"/>
      <c r="U3" s="288"/>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$I$2&amp;" "&amp;ROUND(MAIN!$C$44*$C$2*$K$2/5*$U$4,0)</f>
        <v>&amp;7Ataque: 6</v>
      </c>
      <c r="W4" s="288" t="str">
        <f>$I$2&amp;" "&amp;ROUND(MAIN!$D$44*$C$2*$K$2/5*$U$4,0)</f>
        <v>&amp;7Ataque: 17</v>
      </c>
      <c r="X4" s="288" t="str">
        <f>$I$2&amp;" "&amp;ROUND(MAIN!$E$44*$C$2*$K$2/5*$U$4,0)</f>
        <v>&amp;7Ataque: 50</v>
      </c>
      <c r="Y4" s="288" t="str">
        <f>$I$2&amp;" "&amp;ROUND(MAIN!$F$44*$C$2*$K$2/5*$U$4,0)</f>
        <v>&amp;7Ataque: 151</v>
      </c>
      <c r="Z4" s="288" t="str">
        <f>$I$2&amp;" "&amp;ROUND(MAIN!$G$44*$C$2*$K$2/5*$U$4,0)</f>
        <v>&amp;7Ataque: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$I$2&amp;" "&amp;ROUND(MAIN!$C$44*$C$2*$K$2/5*$U$5,0)</f>
        <v>&amp;7Ataque: 11</v>
      </c>
      <c r="W5" s="288" t="str">
        <f>$I$2&amp;" "&amp;ROUND(MAIN!$D$44*$C$2*$K$2/5*$U$5,0)</f>
        <v>&amp;7Ataque: 34</v>
      </c>
      <c r="X5" s="288" t="str">
        <f>$I$2&amp;" "&amp;ROUND(MAIN!$E$44*$C$2*$K$2/5*$U$5,0)</f>
        <v>&amp;7Ataque: 101</v>
      </c>
      <c r="Y5" s="288" t="str">
        <f>$I$2&amp;" "&amp;ROUND(MAIN!$F$44*$C$2*$K$2/5*$U$5,0)</f>
        <v>&amp;7Ataque: 302</v>
      </c>
      <c r="Z5" s="288" t="str">
        <f>$I$2&amp;" "&amp;ROUND(MAIN!$G$44*$C$2*$K$2/5*$U$5,0)</f>
        <v>&amp;7Ataque: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17</v>
      </c>
      <c r="W6" s="288" t="str">
        <f>$I$2&amp;" "&amp;ROUND(MAIN!$D$44*$C$2*$K$2/5*$U$6,0)</f>
        <v>&amp;7Ataque: 50</v>
      </c>
      <c r="X6" s="288" t="str">
        <f>$I$2&amp;" "&amp;ROUND(MAIN!$E$44*$C$2*$K$2/5*$U$6,0)</f>
        <v>&amp;7Ataque: 151</v>
      </c>
      <c r="Y6" s="288" t="str">
        <f>$I$2&amp;" "&amp;ROUND(MAIN!$F$44*$C$2*$K$2/5*$U$6,0)</f>
        <v>&amp;7Ataque: 454</v>
      </c>
      <c r="Z6" s="288" t="str">
        <f>$I$2&amp;" "&amp;ROUND(MAIN!$G$44*$C$2*$K$2/5*$U$6,0)</f>
        <v>&amp;7Ataque: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22</v>
      </c>
      <c r="W7" s="288" t="str">
        <f>$I$2&amp;" "&amp;ROUND(MAIN!$D$44*$C$2*$K$2/5*$U$7,0)</f>
        <v>&amp;7Ataque: 67</v>
      </c>
      <c r="X7" s="288" t="str">
        <f>$I$2&amp;" "&amp;ROUND(MAIN!$E$44*$C$2*$K$2/5*$U$7,0)</f>
        <v>&amp;7Ataque: 202</v>
      </c>
      <c r="Y7" s="288" t="str">
        <f>$I$2&amp;" "&amp;ROUND(MAIN!$F$44*$C$2*$K$2/5*$U$7,0)</f>
        <v>&amp;7Ataque: 605</v>
      </c>
      <c r="Z7" s="288" t="str">
        <f>$I$2&amp;" "&amp;ROUND(MAIN!$G$44*$C$2*$K$2/5*$U$7,0)</f>
        <v>&amp;7Ataque: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28</v>
      </c>
      <c r="W8" s="288" t="str">
        <f>$I$2&amp;" "&amp;ROUND(MAIN!$D$44*$C$2*$K$2/5*$U$8,0)</f>
        <v>&amp;7Ataque: 84</v>
      </c>
      <c r="X8" s="288" t="str">
        <f>$I$2&amp;" "&amp;ROUND(MAIN!$E$44*$C$2*$K$2/5*$U$8,0)</f>
        <v>&amp;7Ataque: 252</v>
      </c>
      <c r="Y8" s="288" t="str">
        <f>$I$2&amp;" "&amp;ROUND(MAIN!$F$44*$C$2*$K$2/5*$U$8,0)</f>
        <v>&amp;7Ataque: 756</v>
      </c>
      <c r="Z8" s="288" t="str">
        <f>$I$2&amp;" "&amp;ROUND(MAIN!$G$44*$C$2*$K$2/5*$U$8,0)</f>
        <v>&amp;7Ataque: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104</v>
      </c>
      <c r="B2" s="298"/>
      <c r="C2" s="298">
        <f>'ECONOMIA &amp; PROFESIONES'!$Q$3</f>
        <v>7</v>
      </c>
      <c r="D2" s="298"/>
      <c r="E2" s="298" t="s">
        <v>81</v>
      </c>
      <c r="F2" s="298"/>
      <c r="G2" s="298" t="s">
        <v>3</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88"/>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88">
        <v>1</v>
      </c>
      <c r="V4" s="288" t="str">
        <f>"+"&amp;ROUND(MAIN!$C$55*$C$2*$K$2/5*$U$4,0)&amp;" "&amp;$I$2</f>
        <v>+7 Armor</v>
      </c>
      <c r="W4" s="288" t="str">
        <f>"+"&amp;ROUND(MAIN!$D$55*$C$2*$K$2/5*$U$4,0)&amp;" "&amp;$I$2</f>
        <v>+11 Armor</v>
      </c>
      <c r="X4" s="288" t="str">
        <f>"+"&amp;ROUND(MAIN!$E$55*$C$2*$K$2/5*$U$4,0)&amp;" "&amp;$I$2</f>
        <v>+18 Armor</v>
      </c>
      <c r="Y4" s="288" t="str">
        <f>"+"&amp;ROUND(MAIN!$F$55*$C$2*$K$2/5*$U$4,0)&amp;" "&amp;$I$2</f>
        <v>+31 Armor</v>
      </c>
      <c r="Z4" s="288"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88">
        <v>2</v>
      </c>
      <c r="V5" s="288" t="str">
        <f>"+"&amp;ROUND(MAIN!$C$55*$C$2*$K$2/5*$U$5,0)&amp;" "&amp;$I$2</f>
        <v>+14 Armor</v>
      </c>
      <c r="W5" s="288" t="str">
        <f>"+"&amp;ROUND(MAIN!$D$55*$C$2*$K$2/5*$U$5,0)&amp;" "&amp;$I$2</f>
        <v>+22 Armor</v>
      </c>
      <c r="X5" s="288" t="str">
        <f>"+"&amp;ROUND(MAIN!$E$55*$C$2*$K$2/5*$U$5,0)&amp;" "&amp;$I$2</f>
        <v>+36 Armor</v>
      </c>
      <c r="Y5" s="288" t="str">
        <f>"+"&amp;ROUND(MAIN!$F$55*$C$2*$K$2/5*$U$5,0)&amp;" "&amp;$I$2</f>
        <v>+62 Armor</v>
      </c>
      <c r="Z5" s="288"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+21 Armor</v>
      </c>
      <c r="W6" s="288" t="str">
        <f>"+"&amp;ROUND(MAIN!$D$55*$C$2*$K$2/5*$U$6,0)&amp;" "&amp;$I$2</f>
        <v>+34 Armor</v>
      </c>
      <c r="X6" s="288" t="str">
        <f>"+"&amp;ROUND(MAIN!$E$55*$C$2*$K$2/5*$U$6,0)&amp;" "&amp;$I$2</f>
        <v>+55 Armor</v>
      </c>
      <c r="Y6" s="288" t="str">
        <f>"+"&amp;ROUND(MAIN!$F$55*$C$2*$K$2/5*$U$6,0)&amp;" "&amp;$I$2</f>
        <v>+92 Armor</v>
      </c>
      <c r="Z6" s="288"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+28 Armor</v>
      </c>
      <c r="W7" s="288" t="str">
        <f>"+"&amp;ROUND(MAIN!$D$55*$C$2*$K$2/5*$U$7,0)&amp;" "&amp;$I$2</f>
        <v>+45 Armor</v>
      </c>
      <c r="X7" s="288" t="str">
        <f>"+"&amp;ROUND(MAIN!$E$55*$C$2*$K$2/5*$U$7,0)&amp;" "&amp;$I$2</f>
        <v>+73 Armor</v>
      </c>
      <c r="Y7" s="288" t="str">
        <f>"+"&amp;ROUND(MAIN!$F$55*$C$2*$K$2/5*$U$7,0)&amp;" "&amp;$I$2</f>
        <v>+123 Armor</v>
      </c>
      <c r="Z7" s="288"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+35 Armor</v>
      </c>
      <c r="W8" s="288" t="str">
        <f>"+"&amp;ROUND(MAIN!$D$55*$C$2*$K$2/5*$U$8,0)&amp;" "&amp;$I$2</f>
        <v>+56 Armor</v>
      </c>
      <c r="X8" s="288" t="str">
        <f>"+"&amp;ROUND(MAIN!$E$55*$C$2*$K$2/5*$U$8,0)&amp;" "&amp;$I$2</f>
        <v>+91 Armor</v>
      </c>
      <c r="Y8" s="288" t="str">
        <f>"+"&amp;ROUND(MAIN!$F$55*$C$2*$K$2/5*$U$8,0)&amp;" "&amp;$I$2</f>
        <v>+154 Armor</v>
      </c>
      <c r="Z8" s="288"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104</v>
      </c>
      <c r="B2" s="298"/>
      <c r="C2" s="298">
        <f>'ECONOMIA &amp; PROFESIONES'!$Q$3</f>
        <v>7</v>
      </c>
      <c r="D2" s="298"/>
      <c r="E2" s="298" t="s">
        <v>81</v>
      </c>
      <c r="F2" s="298"/>
      <c r="G2" s="298" t="s">
        <v>3</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104</v>
      </c>
      <c r="B2" s="298"/>
      <c r="C2" s="298">
        <f>'ECONOMIA &amp; PROFESIONES'!$Q$3</f>
        <v>7</v>
      </c>
      <c r="D2" s="298"/>
      <c r="E2" s="298" t="s">
        <v>81</v>
      </c>
      <c r="F2" s="298"/>
      <c r="G2" s="298" t="s">
        <v>3</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104</v>
      </c>
      <c r="B2" s="298"/>
      <c r="C2" s="298">
        <f>'ECONOMIA &amp; PROFESIONES'!$Q$3</f>
        <v>7</v>
      </c>
      <c r="D2" s="298"/>
      <c r="E2" s="298" t="s">
        <v>81</v>
      </c>
      <c r="F2" s="298"/>
      <c r="G2" s="298" t="s">
        <v>3</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0"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4"/>
  <dimension ref="A1:Z189"/>
  <sheetViews>
    <sheetView topLeftCell="S1" workbookViewId="0">
      <selection activeCell="W15" sqref="W15"/>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105</v>
      </c>
      <c r="B2" s="298"/>
      <c r="C2" s="298">
        <f>'ECONOMIA &amp; PROFESIONES'!$R$3</f>
        <v>9</v>
      </c>
      <c r="D2" s="298"/>
      <c r="E2" s="298" t="s">
        <v>107</v>
      </c>
      <c r="F2" s="298"/>
      <c r="G2" s="298" t="s">
        <v>106</v>
      </c>
      <c r="H2" s="298"/>
      <c r="I2" s="298" t="str">
        <f>MAIN!$J$42</f>
        <v>&amp;7Ataque:</v>
      </c>
      <c r="J2" s="298"/>
      <c r="K2" s="298">
        <f>MAIN!$L$42</f>
        <v>2</v>
      </c>
      <c r="L2" s="298"/>
    </row>
    <row r="3" spans="1:26" ht="29.25" customHeight="1" x14ac:dyDescent="0.25">
      <c r="A3" s="373" t="s">
        <v>7</v>
      </c>
      <c r="B3" s="373"/>
      <c r="C3" s="373"/>
      <c r="D3" s="373"/>
      <c r="E3" s="373" t="s">
        <v>8</v>
      </c>
      <c r="F3" s="373"/>
      <c r="G3" s="373"/>
      <c r="H3" s="373"/>
      <c r="I3" s="373" t="s">
        <v>83</v>
      </c>
      <c r="J3" s="373"/>
      <c r="K3" s="373"/>
      <c r="L3" s="373"/>
      <c r="M3" s="373" t="s">
        <v>84</v>
      </c>
      <c r="N3" s="373"/>
      <c r="O3" s="373"/>
      <c r="P3" s="373"/>
      <c r="Q3" s="373" t="s">
        <v>85</v>
      </c>
      <c r="R3" s="373"/>
      <c r="S3" s="373"/>
      <c r="T3" s="373"/>
      <c r="U3" s="288"/>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$I$2&amp;" "&amp;ROUND(MAIN!$C$44*$C$2*$K$2/5*$U$4,0)</f>
        <v>&amp;7Ataque: 7</v>
      </c>
      <c r="W4" s="288" t="str">
        <f>$I$2&amp;" "&amp;ROUND(MAIN!$D$44*$C$2*$K$2/5*$U$4,0)</f>
        <v>&amp;7Ataque: 22</v>
      </c>
      <c r="X4" s="288" t="str">
        <f>$I$2&amp;" "&amp;ROUND(MAIN!$E$44*$C$2*$K$2/5*$U$4,0)</f>
        <v>&amp;7Ataque: 65</v>
      </c>
      <c r="Y4" s="288" t="str">
        <f>$I$2&amp;" "&amp;ROUND(MAIN!$F$44*$C$2*$K$2/5*$U$4,0)</f>
        <v>&amp;7Ataque: 194</v>
      </c>
      <c r="Z4" s="288" t="str">
        <f>$I$2&amp;" "&amp;ROUND(MAIN!$G$44*$C$2*$K$2/5*$U$4,0)</f>
        <v>&amp;7Ataque: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$I$2&amp;" "&amp;ROUND(MAIN!$C$44*$C$2*$K$2/5*$U$5,0)</f>
        <v>&amp;7Ataque: 14</v>
      </c>
      <c r="W5" s="288" t="str">
        <f>$I$2&amp;" "&amp;ROUND(MAIN!$D$44*$C$2*$K$2/5*$U$5,0)</f>
        <v>&amp;7Ataque: 43</v>
      </c>
      <c r="X5" s="288" t="str">
        <f>$I$2&amp;" "&amp;ROUND(MAIN!$E$44*$C$2*$K$2/5*$U$5,0)</f>
        <v>&amp;7Ataque: 130</v>
      </c>
      <c r="Y5" s="288" t="str">
        <f>$I$2&amp;" "&amp;ROUND(MAIN!$F$44*$C$2*$K$2/5*$U$5,0)</f>
        <v>&amp;7Ataque: 389</v>
      </c>
      <c r="Z5" s="288" t="str">
        <f>$I$2&amp;" "&amp;ROUND(MAIN!$G$44*$C$2*$K$2/5*$U$5,0)</f>
        <v>&amp;7Ataque: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$I$2&amp;" "&amp;ROUND(MAIN!$C$44*$C$2*$K$2/5*$U$6,0)</f>
        <v>&amp;7Ataque: 22</v>
      </c>
      <c r="W6" s="288" t="str">
        <f>$I$2&amp;" "&amp;ROUND(MAIN!$D$44*$C$2*$K$2/5*$U$6,0)</f>
        <v>&amp;7Ataque: 65</v>
      </c>
      <c r="X6" s="288" t="str">
        <f>$I$2&amp;" "&amp;ROUND(MAIN!$E$44*$C$2*$K$2/5*$U$6,0)</f>
        <v>&amp;7Ataque: 194</v>
      </c>
      <c r="Y6" s="288" t="str">
        <f>$I$2&amp;" "&amp;ROUND(MAIN!$F$44*$C$2*$K$2/5*$U$6,0)</f>
        <v>&amp;7Ataque: 583</v>
      </c>
      <c r="Z6" s="288" t="str">
        <f>$I$2&amp;" "&amp;ROUND(MAIN!$G$44*$C$2*$K$2/5*$U$6,0)</f>
        <v>&amp;7Ataque: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$I$2&amp;" "&amp;ROUND(MAIN!$C$44*$C$2*$K$2/5*$U$7,0)</f>
        <v>&amp;7Ataque: 29</v>
      </c>
      <c r="W7" s="288" t="str">
        <f>$I$2&amp;" "&amp;ROUND(MAIN!$D$44*$C$2*$K$2/5*$U$7,0)</f>
        <v>&amp;7Ataque: 86</v>
      </c>
      <c r="X7" s="288" t="str">
        <f>$I$2&amp;" "&amp;ROUND(MAIN!$E$44*$C$2*$K$2/5*$U$7,0)</f>
        <v>&amp;7Ataque: 259</v>
      </c>
      <c r="Y7" s="288" t="str">
        <f>$I$2&amp;" "&amp;ROUND(MAIN!$F$44*$C$2*$K$2/5*$U$7,0)</f>
        <v>&amp;7Ataque: 778</v>
      </c>
      <c r="Z7" s="288" t="str">
        <f>$I$2&amp;" "&amp;ROUND(MAIN!$G$44*$C$2*$K$2/5*$U$7,0)</f>
        <v>&amp;7Ataque: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$I$2&amp;" "&amp;ROUND(MAIN!$C$44*$C$2*$K$2/5*$U$8,0)</f>
        <v>&amp;7Ataque: 36</v>
      </c>
      <c r="W8" s="288" t="str">
        <f>$I$2&amp;" "&amp;ROUND(MAIN!$D$44*$C$2*$K$2/5*$U$8,0)</f>
        <v>&amp;7Ataque: 108</v>
      </c>
      <c r="X8" s="288" t="str">
        <f>$I$2&amp;" "&amp;ROUND(MAIN!$E$44*$C$2*$K$2/5*$U$8,0)</f>
        <v>&amp;7Ataque: 324</v>
      </c>
      <c r="Y8" s="288" t="str">
        <f>$I$2&amp;" "&amp;ROUND(MAIN!$F$44*$C$2*$K$2/5*$U$8,0)</f>
        <v>&amp;7Ataque: 972</v>
      </c>
      <c r="Z8" s="288" t="str">
        <f>$I$2&amp;" "&amp;ROUND(MAIN!$G$44*$C$2*$K$2/5*$U$8,0)</f>
        <v>&amp;7Ataque: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105</v>
      </c>
      <c r="B2" s="298"/>
      <c r="C2" s="298">
        <f>'ECONOMIA &amp; PROFESIONES'!$R$3</f>
        <v>9</v>
      </c>
      <c r="D2" s="298"/>
      <c r="E2" s="298" t="s">
        <v>107</v>
      </c>
      <c r="F2" s="298"/>
      <c r="G2" s="298" t="s">
        <v>106</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88"/>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88">
        <v>1</v>
      </c>
      <c r="V4" s="288" t="str">
        <f>"+"&amp;ROUND(MAIN!$C$55*$C$2*$K$2/5*$U$4,0)&amp;" "&amp;$I$2</f>
        <v>+9 Armor</v>
      </c>
      <c r="W4" s="288" t="str">
        <f>"+"&amp;ROUND(MAIN!$D$55*$C$2*$K$2/5*$U$4,0)&amp;" "&amp;$I$2</f>
        <v>+14 Armor</v>
      </c>
      <c r="X4" s="288" t="str">
        <f>"+"&amp;ROUND(MAIN!$E$55*$C$2*$K$2/5*$U$4,0)&amp;" "&amp;$I$2</f>
        <v>+23 Armor</v>
      </c>
      <c r="Y4" s="288" t="str">
        <f>"+"&amp;ROUND(MAIN!$F$55*$C$2*$K$2/5*$U$4,0)&amp;" "&amp;$I$2</f>
        <v>+40 Armor</v>
      </c>
      <c r="Z4" s="288"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88">
        <v>2</v>
      </c>
      <c r="V5" s="288" t="str">
        <f>"+"&amp;ROUND(MAIN!$C$55*$C$2*$K$2/5*$U$5,0)&amp;" "&amp;$I$2</f>
        <v>+18 Armor</v>
      </c>
      <c r="W5" s="288" t="str">
        <f>"+"&amp;ROUND(MAIN!$D$55*$C$2*$K$2/5*$U$5,0)&amp;" "&amp;$I$2</f>
        <v>+29 Armor</v>
      </c>
      <c r="X5" s="288" t="str">
        <f>"+"&amp;ROUND(MAIN!$E$55*$C$2*$K$2/5*$U$5,0)&amp;" "&amp;$I$2</f>
        <v>+47 Armor</v>
      </c>
      <c r="Y5" s="288" t="str">
        <f>"+"&amp;ROUND(MAIN!$F$55*$C$2*$K$2/5*$U$5,0)&amp;" "&amp;$I$2</f>
        <v>+79 Armor</v>
      </c>
      <c r="Z5" s="288"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88">
        <v>3</v>
      </c>
      <c r="V6" s="288" t="str">
        <f>"+"&amp;ROUND(MAIN!$C$55*$C$2*$K$2/5*$U$6,0)&amp;" "&amp;$I$2</f>
        <v>+27 Armor</v>
      </c>
      <c r="W6" s="288" t="str">
        <f>"+"&amp;ROUND(MAIN!$D$55*$C$2*$K$2/5*$U$6,0)&amp;" "&amp;$I$2</f>
        <v>+43 Armor</v>
      </c>
      <c r="X6" s="288" t="str">
        <f>"+"&amp;ROUND(MAIN!$E$55*$C$2*$K$2/5*$U$6,0)&amp;" "&amp;$I$2</f>
        <v>+70 Armor</v>
      </c>
      <c r="Y6" s="288" t="str">
        <f>"+"&amp;ROUND(MAIN!$F$55*$C$2*$K$2/5*$U$6,0)&amp;" "&amp;$I$2</f>
        <v>+119 Armor</v>
      </c>
      <c r="Z6" s="288"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88">
        <v>4</v>
      </c>
      <c r="V7" s="288" t="str">
        <f>"+"&amp;ROUND(MAIN!$C$55*$C$2*$K$2/5*$U$7,0)&amp;" "&amp;$I$2</f>
        <v>+36 Armor</v>
      </c>
      <c r="W7" s="288" t="str">
        <f>"+"&amp;ROUND(MAIN!$D$55*$C$2*$K$2/5*$U$7,0)&amp;" "&amp;$I$2</f>
        <v>+58 Armor</v>
      </c>
      <c r="X7" s="288" t="str">
        <f>"+"&amp;ROUND(MAIN!$E$55*$C$2*$K$2/5*$U$7,0)&amp;" "&amp;$I$2</f>
        <v>+94 Armor</v>
      </c>
      <c r="Y7" s="288" t="str">
        <f>"+"&amp;ROUND(MAIN!$F$55*$C$2*$K$2/5*$U$7,0)&amp;" "&amp;$I$2</f>
        <v>+158 Armor</v>
      </c>
      <c r="Z7" s="288"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88">
        <v>5</v>
      </c>
      <c r="V8" s="288" t="str">
        <f>"+"&amp;ROUND(MAIN!$C$55*$C$2*$K$2/5*$U$8,0)&amp;" "&amp;$I$2</f>
        <v>+45 Armor</v>
      </c>
      <c r="W8" s="288" t="str">
        <f>"+"&amp;ROUND(MAIN!$D$55*$C$2*$K$2/5*$U$8,0)&amp;" "&amp;$I$2</f>
        <v>+72 Armor</v>
      </c>
      <c r="X8" s="288" t="str">
        <f>"+"&amp;ROUND(MAIN!$E$55*$C$2*$K$2/5*$U$8,0)&amp;" "&amp;$I$2</f>
        <v>+117 Armor</v>
      </c>
      <c r="Y8" s="288" t="str">
        <f>"+"&amp;ROUND(MAIN!$F$55*$C$2*$K$2/5*$U$8,0)&amp;" "&amp;$I$2</f>
        <v>+198 Armor</v>
      </c>
      <c r="Z8" s="288"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105</v>
      </c>
      <c r="B2" s="298"/>
      <c r="C2" s="298">
        <f>'ECONOMIA &amp; PROFESIONES'!$R$3</f>
        <v>9</v>
      </c>
      <c r="D2" s="298"/>
      <c r="E2" s="298" t="s">
        <v>107</v>
      </c>
      <c r="F2" s="298"/>
      <c r="G2" s="298" t="s">
        <v>106</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105</v>
      </c>
      <c r="B2" s="298"/>
      <c r="C2" s="298">
        <f>'ECONOMIA &amp; PROFESIONES'!$R$3</f>
        <v>9</v>
      </c>
      <c r="D2" s="298"/>
      <c r="E2" s="298" t="s">
        <v>107</v>
      </c>
      <c r="F2" s="298"/>
      <c r="G2" s="298" t="s">
        <v>106</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68" t="s">
        <v>19</v>
      </c>
      <c r="B1" s="368"/>
      <c r="C1" s="368" t="s">
        <v>70</v>
      </c>
      <c r="D1" s="368"/>
      <c r="E1" s="368" t="s">
        <v>80</v>
      </c>
      <c r="F1" s="368"/>
      <c r="G1" s="368" t="s">
        <v>89</v>
      </c>
      <c r="H1" s="368"/>
      <c r="I1" s="368" t="s">
        <v>1157</v>
      </c>
      <c r="J1" s="368"/>
      <c r="K1" s="368" t="s">
        <v>1159</v>
      </c>
      <c r="L1" s="368"/>
    </row>
    <row r="2" spans="1:26" x14ac:dyDescent="0.25">
      <c r="A2" s="298" t="s">
        <v>105</v>
      </c>
      <c r="B2" s="298"/>
      <c r="C2" s="298">
        <f>'ECONOMIA &amp; PROFESIONES'!$R$3</f>
        <v>9</v>
      </c>
      <c r="D2" s="298"/>
      <c r="E2" s="298" t="s">
        <v>107</v>
      </c>
      <c r="F2" s="298"/>
      <c r="G2" s="298" t="s">
        <v>106</v>
      </c>
      <c r="H2" s="298"/>
      <c r="I2" s="298" t="str">
        <f>MAIN!$J$53</f>
        <v>Armor</v>
      </c>
      <c r="J2" s="298"/>
      <c r="K2" s="298">
        <f>MAIN!$L$53</f>
        <v>1</v>
      </c>
      <c r="L2" s="298"/>
    </row>
    <row r="3" spans="1:26" ht="29.25" customHeight="1" x14ac:dyDescent="0.25">
      <c r="A3" s="373" t="s">
        <v>0</v>
      </c>
      <c r="B3" s="373"/>
      <c r="C3" s="373"/>
      <c r="D3" s="373"/>
      <c r="E3" s="373" t="s">
        <v>86</v>
      </c>
      <c r="F3" s="373"/>
      <c r="G3" s="373"/>
      <c r="H3" s="373"/>
      <c r="I3" s="373" t="s">
        <v>83</v>
      </c>
      <c r="J3" s="373"/>
      <c r="K3" s="373"/>
      <c r="L3" s="373"/>
      <c r="M3" s="373" t="s">
        <v>84</v>
      </c>
      <c r="N3" s="373"/>
      <c r="O3" s="373"/>
      <c r="P3" s="373"/>
      <c r="Q3" s="373" t="s">
        <v>85</v>
      </c>
      <c r="R3" s="373"/>
      <c r="S3" s="373"/>
      <c r="T3" s="373"/>
      <c r="U3" s="2"/>
      <c r="V3" s="287" t="s">
        <v>7</v>
      </c>
      <c r="W3" s="287" t="s">
        <v>8</v>
      </c>
      <c r="X3" s="287" t="s">
        <v>83</v>
      </c>
      <c r="Y3" s="287" t="s">
        <v>84</v>
      </c>
      <c r="Z3" s="287"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88" customFormat="1" x14ac:dyDescent="0.25">
      <c r="A69" s="9" t="s">
        <v>1156</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0"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89"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0"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34</vt:i4>
      </vt:variant>
      <vt:variant>
        <vt:lpstr>Rangos con nombre</vt:lpstr>
      </vt:variant>
      <vt:variant>
        <vt:i4>23</vt:i4>
      </vt:variant>
    </vt:vector>
  </HeadingPairs>
  <TitlesOfParts>
    <vt:vector size="57" baseType="lpstr">
      <vt:lpstr>Clases</vt:lpstr>
      <vt:lpstr>ECONOMIA &amp; PROFESIONES</vt:lpstr>
      <vt:lpstr>ITEM CRAFT</vt:lpstr>
      <vt:lpstr>ITEM CORE</vt:lpstr>
      <vt:lpstr>PROFESION Level</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2018-04-03T06:59:30Z</dcterms:modified>
</cp:coreProperties>
</file>