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95571\Documents\GitHub\Hell-Tech\"/>
    </mc:Choice>
  </mc:AlternateContent>
  <bookViews>
    <workbookView xWindow="0" yWindow="4956" windowWidth="20400" windowHeight="7680" tabRatio="893" activeTab="5"/>
  </bookViews>
  <sheets>
    <sheet name="Clases" sheetId="37" r:id="rId1"/>
    <sheet name="ECONOMIA &amp; PROFESIONES" sheetId="32" r:id="rId2"/>
    <sheet name="ITEM CRAFT" sheetId="33" r:id="rId3"/>
    <sheet name="ITEM CORE" sheetId="34" r:id="rId4"/>
    <sheet name="PROFESION Level" sheetId="35" r:id="rId5"/>
    <sheet name="Crafteos Prof ESP" sheetId="36" r:id="rId6"/>
    <sheet name="Crafteos MD" sheetId="38" r:id="rId7"/>
    <sheet name="Crafteos Mechanics" sheetId="39" r:id="rId8"/>
    <sheet name="MAIN" sheetId="1" r:id="rId9"/>
    <sheet name="armas comun" sheetId="4" r:id="rId10"/>
    <sheet name="helmet comun" sheetId="5" r:id="rId11"/>
    <sheet name="chestplate comun" sheetId="6" r:id="rId12"/>
    <sheet name="leggins comun" sheetId="7" r:id="rId13"/>
    <sheet name="boots comun" sheetId="9" r:id="rId14"/>
    <sheet name="armas magico" sheetId="10" r:id="rId15"/>
    <sheet name="helmet magico" sheetId="12" r:id="rId16"/>
    <sheet name="chestplate magico" sheetId="13" r:id="rId17"/>
    <sheet name="leggins magico" sheetId="14" r:id="rId18"/>
    <sheet name="boots magico" sheetId="15" r:id="rId19"/>
    <sheet name="armas raro" sheetId="16" r:id="rId20"/>
    <sheet name="helmet raro" sheetId="17" r:id="rId21"/>
    <sheet name="chestplate raro" sheetId="18" r:id="rId22"/>
    <sheet name="leggins raro" sheetId="19" r:id="rId23"/>
    <sheet name="boots raro" sheetId="20" r:id="rId24"/>
    <sheet name="armas legendario" sheetId="21" r:id="rId25"/>
    <sheet name="helmet legendario" sheetId="22" r:id="rId26"/>
    <sheet name="chestplate legendario" sheetId="23" r:id="rId27"/>
    <sheet name="leggins legendario" sheetId="24" r:id="rId28"/>
    <sheet name="boots legendario" sheetId="25" r:id="rId29"/>
    <sheet name="armas ancestral" sheetId="26" r:id="rId30"/>
    <sheet name="helmet ancestral" sheetId="27" r:id="rId31"/>
    <sheet name="chestplate ancestral" sheetId="28" r:id="rId32"/>
    <sheet name="leggins ancestral" sheetId="29" r:id="rId33"/>
    <sheet name="boots ancestral" sheetId="31" r:id="rId34"/>
  </sheets>
  <definedNames>
    <definedName name="ACCIONES">'ECONOMIA &amp; PROFESIONES'!$C$18:$C$23</definedName>
    <definedName name="craftedesp">'Crafteos Prof ESP'!$A$40:$C$165</definedName>
    <definedName name="craftspar">'Crafteos Prof ESP'!$A$40:$A$150</definedName>
    <definedName name="ECONLIST">'ITEM CRAFT'!$A$4:$F$796</definedName>
    <definedName name="IDALQUIMIA">'PROFESION Level'!$I$8:$I$187</definedName>
    <definedName name="IDCARPINTERIA">'PROFESION Level'!$E$8:$E$187</definedName>
    <definedName name="IDCORE">'ITEM CORE'!$A$4:$A$521</definedName>
    <definedName name="IDGANADERIA">'PROFESION Level'!$M$8:$M$187</definedName>
    <definedName name="IDMINERIA">'PROFESION Level'!$A$8:$A$187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Level'!$A$8:$D$187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46" i="36" l="1"/>
  <c r="J46" i="36"/>
  <c r="F46" i="36"/>
  <c r="F50" i="36"/>
  <c r="G50" i="36"/>
  <c r="AE46" i="36"/>
  <c r="AD46" i="36"/>
  <c r="AA46" i="36"/>
  <c r="Z46" i="36"/>
  <c r="W46" i="36"/>
  <c r="V46" i="36"/>
  <c r="S46" i="36"/>
  <c r="R46" i="36"/>
  <c r="O46" i="36"/>
  <c r="N46" i="36"/>
  <c r="D25" i="39" l="1"/>
  <c r="D26" i="39"/>
  <c r="D22" i="39"/>
  <c r="D23" i="39"/>
  <c r="D20" i="39"/>
  <c r="D21" i="39"/>
  <c r="D17" i="39"/>
  <c r="D18" i="39"/>
  <c r="D15" i="39"/>
  <c r="D16" i="39"/>
  <c r="D12" i="39"/>
  <c r="D13" i="39"/>
  <c r="D10" i="39"/>
  <c r="D11" i="39"/>
  <c r="D7" i="39"/>
  <c r="D8" i="39"/>
  <c r="D5" i="39"/>
  <c r="D6" i="39"/>
  <c r="D2" i="39"/>
  <c r="D3" i="39"/>
  <c r="K87" i="36"/>
  <c r="J87" i="36"/>
  <c r="G87" i="36"/>
  <c r="F87" i="36"/>
  <c r="AE87" i="36"/>
  <c r="AD87" i="36"/>
  <c r="AA87" i="36"/>
  <c r="Z87" i="36"/>
  <c r="W87" i="36"/>
  <c r="V87" i="36"/>
  <c r="S87" i="36"/>
  <c r="R87" i="36"/>
  <c r="O87" i="36"/>
  <c r="N87" i="36"/>
  <c r="K43" i="36"/>
  <c r="J43" i="36"/>
  <c r="Z26" i="39" l="1"/>
  <c r="W26" i="39"/>
  <c r="T26" i="39"/>
  <c r="Q26" i="39"/>
  <c r="N26" i="39"/>
  <c r="K26" i="39"/>
  <c r="H26" i="39"/>
  <c r="Z25" i="39"/>
  <c r="W25" i="39"/>
  <c r="T25" i="39"/>
  <c r="Q25" i="39"/>
  <c r="N25" i="39"/>
  <c r="K25" i="39"/>
  <c r="H25" i="39"/>
  <c r="Z24" i="39"/>
  <c r="W24" i="39"/>
  <c r="T24" i="39"/>
  <c r="Q24" i="39"/>
  <c r="N24" i="39"/>
  <c r="K24" i="39"/>
  <c r="H24" i="39"/>
  <c r="D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D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D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D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D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G54" i="36"/>
  <c r="F54" i="36"/>
  <c r="AE50" i="36"/>
  <c r="AD50" i="36"/>
  <c r="AA50" i="36"/>
  <c r="Z50" i="36"/>
  <c r="W50" i="36"/>
  <c r="V50" i="36"/>
  <c r="S50" i="36"/>
  <c r="R50" i="36"/>
  <c r="O50" i="36"/>
  <c r="N50" i="36"/>
  <c r="AE69" i="36"/>
  <c r="AD69" i="36"/>
  <c r="AA69" i="36"/>
  <c r="Z69" i="36"/>
  <c r="W69" i="36"/>
  <c r="V69" i="36"/>
  <c r="S69" i="36"/>
  <c r="R69" i="36"/>
  <c r="O69" i="36"/>
  <c r="N69" i="36"/>
  <c r="K69" i="36"/>
  <c r="J69" i="36"/>
  <c r="G69" i="36"/>
  <c r="F69" i="36"/>
  <c r="G77" i="36"/>
  <c r="F77" i="36"/>
  <c r="AE77" i="36"/>
  <c r="AD77" i="36"/>
  <c r="AA77" i="36"/>
  <c r="Z77" i="36"/>
  <c r="W77" i="36"/>
  <c r="V77" i="36"/>
  <c r="S77" i="36"/>
  <c r="R77" i="36"/>
  <c r="O77" i="36"/>
  <c r="N77" i="36"/>
  <c r="J77" i="36"/>
  <c r="J83" i="36"/>
  <c r="F83" i="36"/>
  <c r="E20" i="39" l="1"/>
  <c r="E16" i="39"/>
  <c r="E17" i="39"/>
  <c r="E18" i="39"/>
  <c r="E19" i="39"/>
  <c r="E24" i="39"/>
  <c r="E12" i="39"/>
  <c r="E8" i="39"/>
  <c r="E21" i="39"/>
  <c r="E22" i="39"/>
  <c r="E23" i="39"/>
  <c r="E2" i="39"/>
  <c r="E3" i="39"/>
  <c r="E5" i="39"/>
  <c r="E7" i="39"/>
  <c r="E9" i="39"/>
  <c r="E11" i="39"/>
  <c r="E25" i="39"/>
  <c r="E26" i="39"/>
  <c r="E6" i="39"/>
  <c r="E10" i="39"/>
  <c r="E13" i="39"/>
  <c r="E14" i="39"/>
  <c r="E15" i="39"/>
  <c r="C69" i="36"/>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K28" i="38"/>
  <c r="H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E86" i="38" l="1"/>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E28" i="38"/>
  <c r="Q38" i="9" l="1"/>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I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47" i="1" s="1"/>
  <c r="D24" i="1"/>
  <c r="C47" i="1"/>
  <c r="C43" i="1"/>
  <c r="D43" i="1" s="1"/>
  <c r="H64" i="1"/>
  <c r="C65" i="1" s="1"/>
  <c r="D65" i="1" s="1"/>
  <c r="E65" i="1" s="1"/>
  <c r="F65" i="1" s="1"/>
  <c r="G65" i="1" s="1"/>
  <c r="E43" i="1" l="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K280" i="34" l="1"/>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E58" i="33"/>
  <c r="E52" i="33"/>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F439" i="33" l="1"/>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M452"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I30" i="15" l="1"/>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D56" i="38" s="1"/>
  <c r="P8" i="32"/>
  <c r="D57" i="38" s="1"/>
  <c r="O9" i="32"/>
  <c r="D32" i="38" s="1"/>
  <c r="O5" i="32"/>
  <c r="D28" i="38"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W5" i="6" l="1"/>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D61" i="38" s="1"/>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F77" i="1" l="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D66" i="38" s="1"/>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G88" i="1" l="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D71" i="38" s="1"/>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Q30" i="4" l="1"/>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D76" i="38" s="1"/>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I84" i="22" l="1"/>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K27"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E356" i="33" s="1"/>
  <c r="G27" i="32"/>
  <c r="E301" i="33" s="1"/>
  <c r="G31" i="32"/>
  <c r="E195" i="33" s="1"/>
  <c r="G62" i="36" s="1"/>
  <c r="C62" i="36" s="1"/>
  <c r="G29" i="32"/>
  <c r="E23" i="33" s="1"/>
  <c r="G60" i="36" s="1"/>
  <c r="C60" i="36"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59" i="36" s="1"/>
  <c r="C59" i="36" s="1"/>
  <c r="G30" i="32"/>
  <c r="E24" i="33" s="1"/>
  <c r="G61" i="36" s="1"/>
  <c r="C61" i="36" s="1"/>
  <c r="E27" i="32"/>
  <c r="E11" i="33" s="1"/>
  <c r="E38" i="32"/>
  <c r="E78" i="33" s="1"/>
  <c r="F78" i="33" s="1"/>
  <c r="K31" i="32"/>
  <c r="I48" i="32" s="1"/>
  <c r="K48" i="32" s="1"/>
  <c r="E547" i="33" s="1"/>
  <c r="K28" i="32"/>
  <c r="I45" i="32" s="1"/>
  <c r="K45" i="32" s="1"/>
  <c r="K32" i="32"/>
  <c r="I49" i="32" s="1"/>
  <c r="K49" i="32" s="1"/>
  <c r="E559" i="33"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434" i="33"/>
  <c r="I44" i="32"/>
  <c r="K44" i="32" s="1"/>
  <c r="E21" i="33"/>
  <c r="E196" i="33"/>
  <c r="G63" i="36" s="1"/>
  <c r="C63" i="36" s="1"/>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G58" i="36" l="1"/>
  <c r="C58" i="36" s="1"/>
  <c r="H2" i="38" s="1"/>
  <c r="G43" i="36"/>
  <c r="D194" i="34"/>
  <c r="M540" i="33"/>
  <c r="I47" i="32"/>
  <c r="K47"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D141" i="34" s="1"/>
  <c r="C194" i="34"/>
  <c r="J194" i="34" s="1"/>
  <c r="F195" i="33"/>
  <c r="I534" i="33"/>
  <c r="E63" i="33"/>
  <c r="Q324" i="33" s="1"/>
  <c r="I560" i="33"/>
  <c r="E560" i="33" s="1"/>
  <c r="F560" i="33" s="1"/>
  <c r="F559" i="33"/>
  <c r="I428" i="33"/>
  <c r="E428" i="33" s="1"/>
  <c r="F428" i="33" s="1"/>
  <c r="Q549" i="33"/>
  <c r="E545" i="33"/>
  <c r="I204" i="33" s="1"/>
  <c r="D496" i="34"/>
  <c r="M533" i="33"/>
  <c r="E533" i="33" s="1"/>
  <c r="M450" i="33" s="1"/>
  <c r="E529" i="33"/>
  <c r="C475" i="34" s="1"/>
  <c r="J475" i="34" s="1"/>
  <c r="C496" i="34"/>
  <c r="J496" i="34" s="1"/>
  <c r="Q53" i="12"/>
  <c r="Q73" i="27"/>
  <c r="Q73" i="22"/>
  <c r="Q73" i="17"/>
  <c r="M7" i="33"/>
  <c r="E7" i="33" s="1"/>
  <c r="M5" i="33" s="1"/>
  <c r="C484" i="34"/>
  <c r="J484" i="34" s="1"/>
  <c r="D95" i="34"/>
  <c r="I157" i="33"/>
  <c r="E157" i="33" s="1"/>
  <c r="F157" i="33" s="1"/>
  <c r="E122" i="33"/>
  <c r="F122" i="33" s="1"/>
  <c r="I5" i="33"/>
  <c r="Q154" i="33"/>
  <c r="M536" i="33"/>
  <c r="Q248" i="33"/>
  <c r="C95" i="34"/>
  <c r="J95" i="34" s="1"/>
  <c r="I99" i="33"/>
  <c r="E304" i="33"/>
  <c r="M265" i="33" s="1"/>
  <c r="E432" i="33"/>
  <c r="I371" i="33"/>
  <c r="E371" i="33" s="1"/>
  <c r="F371" i="33" s="1"/>
  <c r="I548" i="33"/>
  <c r="E548" i="33" s="1"/>
  <c r="F548" i="33"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D475" i="34"/>
  <c r="C327" i="34"/>
  <c r="J327" i="34" s="1"/>
  <c r="D327" i="34"/>
  <c r="F360" i="33"/>
  <c r="F63" i="33"/>
  <c r="C64" i="34"/>
  <c r="J64" i="34" s="1"/>
  <c r="D64" i="34"/>
  <c r="C195" i="34"/>
  <c r="J195" i="34" s="1"/>
  <c r="D195" i="34"/>
  <c r="C24" i="34"/>
  <c r="J24" i="34" s="1"/>
  <c r="D24" i="34"/>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C204" i="34"/>
  <c r="J204" i="34" s="1"/>
  <c r="F352" i="33"/>
  <c r="F25" i="33"/>
  <c r="D27" i="34"/>
  <c r="C27" i="34"/>
  <c r="J27" i="34" s="1"/>
  <c r="F142" i="33"/>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C346" i="34" l="1"/>
  <c r="J346" i="34" s="1"/>
  <c r="M238" i="33"/>
  <c r="F205" i="33"/>
  <c r="I426" i="33"/>
  <c r="E426" i="33" s="1"/>
  <c r="F386" i="33"/>
  <c r="E5" i="33"/>
  <c r="D386" i="34"/>
  <c r="C386" i="34"/>
  <c r="J386" i="34" s="1"/>
  <c r="F545" i="33"/>
  <c r="D490" i="34"/>
  <c r="I201" i="33"/>
  <c r="E201" i="33" s="1"/>
  <c r="D200" i="34" s="1"/>
  <c r="I203" i="33"/>
  <c r="E203" i="33" s="1"/>
  <c r="C202" i="34" s="1"/>
  <c r="J202" i="34" s="1"/>
  <c r="F385" i="33"/>
  <c r="D487" i="34"/>
  <c r="D121" i="34"/>
  <c r="I433" i="33"/>
  <c r="E433" i="33" s="1"/>
  <c r="F433" i="33" s="1"/>
  <c r="D7" i="34"/>
  <c r="C7" i="34"/>
  <c r="J7" i="34" s="1"/>
  <c r="D477" i="34"/>
  <c r="M9" i="33"/>
  <c r="D389" i="34"/>
  <c r="C121" i="34"/>
  <c r="J121" i="34" s="1"/>
  <c r="I8" i="33"/>
  <c r="E8" i="33" s="1"/>
  <c r="F8" i="33" s="1"/>
  <c r="F7" i="33"/>
  <c r="C477" i="34"/>
  <c r="J477" i="34" s="1"/>
  <c r="E450" i="33"/>
  <c r="D399" i="34" s="1"/>
  <c r="F533" i="33"/>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M123"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C8" i="34" l="1"/>
  <c r="J8" i="34" s="1"/>
  <c r="D202" i="34"/>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K54" i="36" l="1"/>
  <c r="C54" i="36" s="1"/>
  <c r="G46" i="36" s="1"/>
  <c r="C422" i="34"/>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K50" i="36" l="1"/>
  <c r="C50" i="36" s="1"/>
  <c r="C46" i="36"/>
  <c r="K2" i="38"/>
  <c r="E2" i="38" s="1"/>
  <c r="F502" i="33"/>
  <c r="I265" i="33"/>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K77" i="36" l="1"/>
  <c r="C77" i="36" s="1"/>
  <c r="H32" i="38" s="1"/>
  <c r="H29" i="38"/>
  <c r="H31" i="38"/>
  <c r="H3" i="38"/>
  <c r="H6" i="38"/>
  <c r="H5" i="38"/>
  <c r="H4" i="38"/>
  <c r="F276" i="33"/>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H30" i="38" l="1"/>
  <c r="F294" i="33"/>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 r="C43" i="36"/>
  <c r="K83" i="36" l="1"/>
  <c r="C83" i="36" s="1"/>
  <c r="C87" i="36"/>
  <c r="K3" i="38" l="1"/>
  <c r="E3" i="38" s="1"/>
  <c r="K30" i="38"/>
  <c r="E30" i="38" s="1"/>
  <c r="K31" i="38"/>
  <c r="E31" i="38" s="1"/>
  <c r="K32" i="38"/>
  <c r="E32" i="38" s="1"/>
  <c r="K29" i="38"/>
  <c r="E29" i="38" s="1"/>
  <c r="H4" i="39"/>
  <c r="E4" i="39" s="1"/>
  <c r="K5" i="38"/>
  <c r="E5" i="38" s="1"/>
  <c r="K6" i="38"/>
  <c r="E6" i="38" s="1"/>
  <c r="K4" i="38"/>
  <c r="E4" i="38" s="1"/>
</calcChain>
</file>

<file path=xl/comments1.xml><?xml version="1.0" encoding="utf-8"?>
<comments xmlns="http://schemas.openxmlformats.org/spreadsheetml/2006/main">
  <authors>
    <author>Eduardo Miranda</author>
  </authors>
  <commentList>
    <comment ref="C2" authorId="0" shapeId="0">
      <text>
        <r>
          <rPr>
            <b/>
            <sz val="9"/>
            <color indexed="81"/>
            <rFont val="Tahoma"/>
            <family val="2"/>
          </rPr>
          <t xml:space="preserve">Multiplo por el cual se valora el valor de la materia prima en base al tier,
</t>
        </r>
      </text>
    </comment>
    <comment ref="N3" authorId="0" shapeId="0">
      <text>
        <r>
          <rPr>
            <b/>
            <sz val="9"/>
            <color indexed="81"/>
            <rFont val="Tahoma"/>
            <charset val="1"/>
          </rPr>
          <t>Este valor define el multiplo de los tiers!
Valores que modifica:
- requisitos 
- stats
- valor de venta</t>
        </r>
      </text>
    </comment>
    <comment ref="C10" authorId="0" shapeId="0">
      <text>
        <r>
          <rPr>
            <b/>
            <sz val="9"/>
            <color indexed="81"/>
            <rFont val="Tahoma"/>
            <family val="2"/>
          </rPr>
          <t>Tiempo en el que se tarda en recolectar 1 stack</t>
        </r>
      </text>
    </comment>
    <comment ref="C11" authorId="0" shapeId="0">
      <text>
        <r>
          <rPr>
            <b/>
            <sz val="9"/>
            <color indexed="81"/>
            <rFont val="Tahoma"/>
            <family val="2"/>
          </rPr>
          <t>el 64 representa el Stack</t>
        </r>
      </text>
    </comment>
    <comment ref="D12" authorId="0" shapeId="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text>
        <r>
          <rPr>
            <b/>
            <sz val="9"/>
            <color indexed="81"/>
            <rFont val="Tahoma"/>
            <family val="2"/>
          </rPr>
          <t xml:space="preserve">Tomado del costo total
del set comun,
</t>
        </r>
      </text>
    </comment>
    <comment ref="D13" authorId="0" shapeId="0">
      <text>
        <r>
          <rPr>
            <b/>
            <sz val="9"/>
            <color indexed="81"/>
            <rFont val="Tahoma"/>
            <family val="2"/>
          </rPr>
          <t>COBBLESTONE</t>
        </r>
      </text>
    </comment>
    <comment ref="F13" authorId="0" shapeId="0">
      <text>
        <r>
          <rPr>
            <b/>
            <sz val="9"/>
            <color indexed="81"/>
            <rFont val="Tahoma"/>
            <family val="2"/>
          </rPr>
          <t>TRONCO OAK</t>
        </r>
      </text>
    </comment>
    <comment ref="H13" authorId="0" shapeId="0">
      <text>
        <r>
          <rPr>
            <sz val="9"/>
            <color indexed="81"/>
            <rFont val="Tahoma"/>
            <family val="2"/>
          </rPr>
          <t xml:space="preserve">POTATO
</t>
        </r>
      </text>
    </comment>
    <comment ref="J13" authorId="0" shapeId="0">
      <text>
        <r>
          <rPr>
            <b/>
            <sz val="9"/>
            <color indexed="81"/>
            <rFont val="Tahoma"/>
            <family val="2"/>
          </rPr>
          <t>CHICKEN</t>
        </r>
      </text>
    </comment>
    <comment ref="B14" authorId="0" shapeId="0">
      <text>
        <r>
          <rPr>
            <b/>
            <sz val="9"/>
            <color indexed="81"/>
            <rFont val="Tahoma"/>
            <family val="2"/>
          </rPr>
          <t>Tiempo estimado
en el que se pretende
recolectar ese dinero</t>
        </r>
      </text>
    </comment>
    <comment ref="B16" authorId="0" shapeId="0">
      <text>
        <r>
          <rPr>
            <b/>
            <sz val="9"/>
            <color indexed="81"/>
            <rFont val="Tahoma"/>
            <family val="2"/>
          </rPr>
          <t xml:space="preserve">ESTE ES EL VALOR INICIAL DE TODA LA ECONOMIA,
</t>
        </r>
      </text>
    </comment>
    <comment ref="C17" authorId="0" shapeId="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authors>
    <author>Eduardo Miranda</author>
  </authors>
  <commentList>
    <comment ref="C1" authorId="0" shapeId="0">
      <text>
        <r>
          <rPr>
            <sz val="9"/>
            <color indexed="81"/>
            <rFont val="Tahoma"/>
            <family val="2"/>
          </rPr>
          <t>Esto se refiere a la cantidad de articulos
Que se obtiene al craftear</t>
        </r>
      </text>
    </comment>
    <comment ref="G1" authorId="0" shapeId="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authors>
    <author>Eduardo Miranda</author>
  </authors>
  <commentList>
    <comment ref="C1" authorId="0" shapeId="0">
      <text>
        <r>
          <rPr>
            <sz val="9"/>
            <color indexed="81"/>
            <rFont val="Tahoma"/>
            <family val="2"/>
          </rPr>
          <t>Esto se refiere a la cantidad de articulos
Que se obtiene al craftear</t>
        </r>
      </text>
    </comment>
  </commentList>
</comments>
</file>

<file path=xl/comments4.xml><?xml version="1.0" encoding="utf-8"?>
<comments xmlns="http://schemas.openxmlformats.org/spreadsheetml/2006/main">
  <authors>
    <author>Hell</author>
  </authors>
  <commentList>
    <comment ref="A2" authorId="0" shapeId="0">
      <text>
        <r>
          <rPr>
            <b/>
            <sz val="9"/>
            <color indexed="81"/>
            <rFont val="Tahoma"/>
            <charset val="1"/>
          </rPr>
          <t>Rickter</t>
        </r>
      </text>
    </comment>
    <comment ref="C2" authorId="0" shapeId="0">
      <text>
        <r>
          <rPr>
            <b/>
            <sz val="9"/>
            <color indexed="81"/>
            <rFont val="Tahoma"/>
            <charset val="1"/>
          </rPr>
          <t>Aloys</t>
        </r>
      </text>
    </comment>
    <comment ref="E2" authorId="0" shapeId="0">
      <text>
        <r>
          <rPr>
            <b/>
            <sz val="9"/>
            <color indexed="81"/>
            <rFont val="Tahoma"/>
            <charset val="1"/>
          </rPr>
          <t>Bronson</t>
        </r>
      </text>
    </comment>
    <comment ref="G2" authorId="0" shapeId="0">
      <text>
        <r>
          <rPr>
            <b/>
            <sz val="9"/>
            <color indexed="81"/>
            <rFont val="Tahoma"/>
            <charset val="1"/>
          </rPr>
          <t>Brayton</t>
        </r>
      </text>
    </comment>
    <comment ref="I2" authorId="0" shapeId="0">
      <text>
        <r>
          <rPr>
            <b/>
            <sz val="9"/>
            <color indexed="81"/>
            <rFont val="Tahoma"/>
            <charset val="1"/>
          </rPr>
          <t>Jurian</t>
        </r>
      </text>
    </comment>
    <comment ref="K2" authorId="0" shapeId="0">
      <text>
        <r>
          <rPr>
            <b/>
            <sz val="9"/>
            <color indexed="81"/>
            <rFont val="Tahoma"/>
            <charset val="1"/>
          </rPr>
          <t>Mack</t>
        </r>
      </text>
    </comment>
    <comment ref="M2" authorId="0" shapeId="0">
      <text>
        <r>
          <rPr>
            <b/>
            <sz val="9"/>
            <color indexed="81"/>
            <rFont val="Tahoma"/>
            <charset val="1"/>
          </rPr>
          <t>Ladislao</t>
        </r>
      </text>
    </comment>
    <comment ref="O2" authorId="0" shapeId="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<sst xmlns="http://schemas.openxmlformats.org/spreadsheetml/2006/main" count="10225" uniqueCount="1254">
  <si>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</si>
  <si>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</si>
  <si>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</si>
  <si>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</si>
  <si>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</si>
  <si>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</si>
  <si>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</si>
  <si>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</si>
  <si>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</si>
  <si>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</si>
  <si>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</si>
  <si>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</si>
  <si>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</si>
  <si>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</si>
  <si>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</si>
  <si>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</si>
  <si>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</si>
  <si>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</si>
  <si>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</si>
  <si>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</si>
  <si>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</si>
  <si>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</si>
  <si>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</si>
  <si>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</si>
  <si>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</si>
  <si>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</si>
  <si>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</si>
  <si>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</si>
  <si>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</si>
  <si>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</si>
  <si>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</si>
  <si>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</si>
  <si>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</si>
  <si>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</si>
  <si>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</si>
  <si>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</si>
  <si>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</si>
  <si>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</si>
  <si>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</si>
  <si>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</si>
  <si>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</si>
  <si>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</si>
  <si>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</si>
  <si>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</si>
  <si>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</si>
  <si>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</si>
  <si>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</si>
  <si>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</si>
  <si>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</si>
  <si>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</si>
  <si>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</si>
  <si>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</si>
  <si>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</si>
  <si>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</si>
  <si>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</si>
  <si>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</si>
  <si>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</si>
  <si>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</si>
  <si>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</si>
  <si>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</si>
  <si>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</si>
  <si>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</si>
  <si>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</si>
  <si>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</si>
  <si>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</si>
  <si>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</si>
  <si>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</si>
  <si>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</si>
  <si>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</si>
  <si>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</si>
  <si>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</si>
  <si>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</si>
  <si>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</si>
  <si>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</si>
  <si>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</si>
  <si>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</si>
  <si>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</si>
  <si>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</si>
  <si>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</si>
  <si>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</si>
  <si>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</si>
  <si>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</si>
  <si>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</si>
  <si>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</si>
  <si>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</si>
  <si>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</si>
  <si>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</si>
  <si>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</si>
  <si>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</si>
  <si>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</si>
  <si>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</si>
  <si>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</si>
  <si>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</si>
  <si>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</si>
  <si>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</si>
  <si>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</si>
  <si>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</si>
  <si>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</si>
  <si>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</si>
  <si>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</si>
  <si>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</si>
  <si>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</si>
  <si>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</si>
  <si>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</si>
  <si>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</si>
  <si>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</si>
  <si>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</si>
  <si>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</si>
  <si>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</si>
  <si>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</si>
  <si>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</si>
  <si>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</si>
  <si>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</si>
  <si>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</si>
  <si>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</si>
  <si>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</si>
  <si>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</si>
  <si>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</si>
  <si>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</si>
  <si>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</si>
  <si>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</si>
  <si>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</si>
  <si>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</si>
  <si>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</si>
  <si>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</si>
  <si>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</si>
  <si>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</si>
  <si>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</si>
  <si>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</si>
  <si>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</si>
  <si>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</si>
  <si>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</si>
  <si>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</si>
  <si>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</si>
  <si>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</si>
  <si>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</si>
  <si>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</si>
  <si>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</si>
  <si>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</si>
  <si>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</si>
  <si>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</si>
  <si>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</si>
  <si>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</si>
  <si>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</si>
  <si>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</si>
  <si>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</si>
  <si>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</si>
  <si>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</si>
  <si>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</si>
  <si>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</si>
  <si>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</si>
  <si>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</si>
  <si>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</si>
  <si>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</si>
  <si>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</si>
  <si>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</si>
  <si>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</si>
  <si>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</si>
  <si>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</si>
  <si>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</si>
  <si>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</si>
  <si>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</si>
  <si>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</si>
  <si>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</si>
  <si>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</si>
  <si>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</si>
  <si>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</si>
  <si>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</si>
  <si>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</si>
  <si>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</si>
  <si>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</si>
  <si>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</si>
  <si>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</si>
  <si>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</si>
  <si>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</si>
  <si>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</si>
  <si>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</si>
  <si>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</si>
  <si>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</si>
  <si>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</si>
  <si>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</si>
  <si>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</si>
  <si>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</si>
  <si>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</si>
  <si>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</si>
  <si>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</si>
  <si>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</si>
  <si>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</si>
  <si>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</si>
  <si>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</si>
  <si>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</si>
  <si>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</si>
  <si>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</si>
  <si>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</si>
  <si>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</si>
  <si>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</si>
  <si>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</si>
  <si>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</si>
  <si>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</si>
  <si>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</si>
  <si>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</si>
  <si>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</si>
  <si>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</si>
  <si>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</si>
  <si>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</si>
  <si>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</si>
  <si>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</si>
  <si>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</si>
  <si>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</si>
  <si>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</si>
  <si>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</si>
  <si>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</si>
  <si>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</si>
  <si>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</si>
  <si>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</si>
  <si>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</si>
  <si>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</si>
  <si>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</si>
  <si>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</si>
  <si>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</si>
  <si>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</si>
  <si>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</si>
  <si>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</si>
  <si>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</si>
  <si>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</si>
  <si>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</si>
  <si>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</si>
  <si>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</si>
  <si>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</si>
  <si>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</si>
  <si>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</si>
  <si>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</si>
  <si>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</si>
  <si>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</si>
  <si>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</si>
  <si>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</si>
  <si>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</si>
  <si>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</si>
  <si>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</si>
  <si>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</si>
  <si>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</si>
  <si>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</si>
  <si>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</si>
  <si>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</si>
  <si>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</si>
  <si>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</si>
  <si>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</si>
  <si>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</si>
  <si>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</si>
  <si>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</si>
  <si>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</si>
  <si>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</si>
  <si>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</si>
  <si>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</si>
  <si>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</si>
  <si>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</si>
  <si>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</si>
  <si>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</si>
  <si>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</si>
  <si>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</si>
  <si>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</si>
  <si>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</si>
  <si>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</si>
  <si>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</si>
  <si>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</si>
  <si>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</si>
  <si>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</si>
  <si>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</si>
  <si>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</si>
  <si>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</si>
  <si>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</si>
  <si>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</si>
  <si>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</si>
  <si>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</si>
  <si>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</si>
  <si>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</si>
  <si>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</si>
  <si>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</si>
  <si>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</si>
  <si>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</si>
  <si>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</si>
  <si>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</si>
  <si>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</si>
  <si>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</si>
  <si>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</si>
  <si>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</si>
  <si>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</si>
  <si>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</si>
  <si>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</si>
  <si>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</si>
  <si>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</si>
  <si>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</si>
  <si>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</si>
  <si>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</si>
  <si>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</si>
  <si>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</si>
  <si>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</si>
  <si>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</si>
  <si>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</si>
  <si>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</si>
  <si>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</si>
  <si>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</si>
  <si>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</si>
  <si>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</si>
  <si>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</si>
  <si>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</si>
  <si>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</si>
  <si>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</si>
  <si>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</si>
  <si>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</si>
  <si>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</si>
  <si>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</si>
  <si>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</si>
  <si>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</si>
  <si>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</si>
  <si>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</si>
  <si>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</si>
  <si>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</si>
  <si>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</si>
  <si>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</si>
  <si>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</si>
  <si>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</si>
  <si>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</si>
  <si>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</si>
  <si>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</si>
  <si>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</si>
  <si>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</si>
  <si>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</si>
  <si>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</si>
  <si>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</si>
  <si>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</si>
  <si>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</si>
  <si>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</si>
  <si>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</si>
  <si>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</si>
  <si>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</si>
  <si>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</si>
  <si>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</si>
  <si>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</si>
  <si>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</si>
  <si>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</si>
  <si>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</si>
  <si>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</si>
  <si>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</si>
  <si>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</si>
  <si>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</si>
  <si>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</si>
  <si>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</si>
  <si>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</si>
  <si>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</si>
  <si>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</si>
  <si>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</si>
  <si>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</si>
  <si>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</si>
  <si>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</si>
  <si>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</si>
  <si>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</si>
  <si>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</si>
  <si>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</si>
  <si>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</si>
  <si>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</si>
  <si>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</si>
  <si>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</si>
  <si>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</si>
  <si>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</si>
  <si>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</si>
  <si>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</si>
  <si>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</si>
  <si>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</si>
  <si>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</si>
  <si>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</si>
  <si>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</si>
  <si>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</si>
  <si>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</si>
  <si>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</si>
  <si>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</si>
  <si>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</si>
  <si>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</si>
  <si>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</si>
  <si>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</si>
  <si>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</si>
  <si>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</si>
  <si>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</si>
  <si>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</si>
  <si>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</si>
  <si>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</si>
  <si>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</si>
  <si>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</si>
  <si>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</si>
  <si>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</si>
  <si>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</si>
  <si>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</si>
  <si>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</si>
  <si>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</si>
  <si>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</si>
  <si>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</si>
  <si>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</si>
  <si>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</si>
  <si>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</si>
  <si>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</si>
  <si>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</si>
  <si>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</si>
  <si>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</si>
  <si>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</si>
  <si>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</si>
  <si>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</si>
  <si>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</si>
  <si>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</si>
  <si>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</si>
  <si>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</si>
  <si>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</si>
  <si>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</si>
  <si>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</si>
  <si>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</si>
  <si>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</si>
  <si>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</si>
  <si>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</si>
  <si>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</si>
  <si>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</si>
  <si>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</si>
  <si>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</si>
  <si>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</si>
  <si>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</si>
  <si>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</si>
  <si>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</si>
  <si>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</si>
  <si>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</si>
  <si>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</si>
  <si>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</si>
  <si>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</si>
  <si>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</si>
  <si>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</si>
  <si>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</si>
  <si>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</si>
  <si>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</si>
  <si>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</si>
  <si>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</si>
  <si>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</si>
  <si>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</si>
  <si>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</si>
  <si>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</si>
  <si>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</si>
  <si>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</si>
  <si>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</si>
  <si>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</si>
  <si>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</si>
  <si>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</si>
  <si>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</si>
  <si>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</si>
  <si>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</si>
  <si>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</si>
  <si>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</si>
  <si>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</si>
  <si>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</si>
  <si>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</si>
  <si>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</si>
  <si>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</si>
  <si>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</si>
  <si>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</si>
  <si>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</si>
  <si>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</si>
  <si>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</si>
  <si>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</si>
  <si>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</si>
  <si>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</si>
  <si>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</si>
  <si>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</si>
  <si>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</si>
  <si>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</si>
  <si>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</si>
  <si>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</si>
  <si>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</si>
  <si>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</si>
  <si>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</si>
  <si>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</si>
  <si>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</si>
  <si>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</si>
  <si>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</si>
  <si>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</si>
  <si>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</si>
  <si>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</si>
  <si>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</si>
  <si>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</si>
  <si>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</si>
  <si>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</si>
  <si>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</si>
  <si>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</si>
  <si>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</si>
  <si>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</si>
  <si>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</si>
  <si>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</si>
  <si>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</si>
  <si>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</si>
  <si>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</si>
  <si>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</si>
  <si>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</si>
  <si>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</si>
  <si>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</si>
  <si>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</si>
  <si>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</si>
  <si>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</si>
  <si>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</si>
  <si>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</si>
  <si>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</si>
  <si>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</si>
  <si>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</si>
  <si>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</si>
  <si>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</si>
  <si>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</si>
  <si>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</si>
  <si>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</si>
  <si>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</si>
  <si>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</si>
  <si>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</si>
  <si>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</si>
  <si>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</si>
  <si>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</si>
  <si>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</si>
  <si>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</si>
  <si>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</si>
  <si>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</si>
  <si>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</si>
  <si>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</si>
  <si>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</si>
  <si>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</si>
  <si>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</si>
  <si>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</si>
  <si>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</si>
  <si>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</si>
  <si>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</si>
  <si>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</si>
  <si>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</si>
  <si>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</si>
  <si>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</si>
  <si>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</si>
  <si>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</si>
  <si>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</si>
  <si>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</si>
  <si>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</si>
  <si>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</si>
  <si>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</si>
  <si>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</si>
  <si>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</si>
  <si>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</si>
  <si>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</si>
  <si>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</si>
  <si>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</si>
  <si>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</si>
  <si>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</si>
  <si>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</si>
  <si>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</si>
  <si>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</si>
  <si>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</si>
  <si>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</si>
  <si>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</si>
  <si>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</si>
  <si>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</si>
  <si>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</si>
  <si>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</si>
  <si>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</si>
  <si>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</si>
  <si>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</si>
  <si>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</si>
  <si>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</si>
  <si>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</si>
  <si>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</si>
  <si>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</si>
  <si>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</si>
  <si>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</si>
  <si>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</si>
  <si>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</si>
  <si>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</si>
  <si>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</si>
  <si>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</si>
  <si>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</si>
  <si>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</si>
  <si>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</si>
  <si>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</si>
  <si>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</si>
  <si>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</si>
  <si>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</si>
  <si>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</si>
  <si>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</si>
  <si>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</si>
  <si>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</si>
  <si>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</si>
  <si>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</si>
  <si>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</si>
  <si>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</si>
  <si>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</si>
  <si>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</si>
  <si>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</si>
  <si>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</si>
  <si>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</si>
  <si>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</si>
  <si>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</si>
  <si>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</si>
  <si>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</si>
  <si>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</si>
  <si>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</si>
  <si>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</si>
  <si>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</si>
  <si>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</si>
  <si>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</si>
  <si>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</si>
  <si>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</si>
  <si>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</si>
  <si>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</si>
  <si>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</si>
  <si>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</si>
  <si>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</si>
  <si>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</si>
  <si>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</si>
  <si>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</si>
  <si>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</si>
  <si>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</si>
  <si>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</si>
  <si>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</si>
  <si>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</si>
  <si>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</si>
  <si>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</si>
  <si>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</si>
  <si>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</si>
  <si>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</si>
  <si>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</si>
  <si>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</si>
  <si>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</si>
  <si>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</si>
  <si>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</si>
  <si>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</si>
  <si>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</si>
  <si>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</si>
  <si>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</si>
  <si>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</si>
  <si>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</si>
  <si>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</si>
  <si>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</si>
  <si>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</si>
  <si>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</si>
  <si>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</si>
  <si>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</si>
  <si>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</si>
  <si>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</si>
  <si>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</si>
  <si>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</si>
  <si>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</si>
  <si>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</si>
  <si>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</si>
  <si>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</si>
  <si>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</si>
  <si>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</si>
  <si>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</si>
  <si>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</si>
  <si>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</si>
  <si>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</si>
  <si>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</si>
  <si>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</si>
  <si>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</si>
  <si>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</si>
  <si>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</si>
  <si>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</si>
  <si>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</si>
  <si>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</si>
  <si>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</si>
  <si>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</si>
  <si>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</si>
  <si>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</si>
  <si>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</si>
  <si>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</si>
  <si>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</si>
  <si>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</si>
  <si>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</si>
  <si>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</si>
  <si>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</si>
  <si>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</si>
  <si>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</si>
  <si>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</si>
  <si>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</si>
  <si>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</si>
  <si>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</si>
  <si>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</si>
  <si>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</si>
  <si>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</si>
  <si>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</si>
  <si>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</si>
  <si>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</si>
  <si>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</si>
  <si>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</si>
  <si>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</si>
  <si>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</si>
  <si>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</si>
  <si>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</si>
  <si>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</si>
  <si>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</si>
  <si>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</si>
  <si>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</si>
  <si>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</si>
  <si>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</si>
  <si>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</si>
  <si>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</si>
  <si>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</si>
  <si>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</si>
  <si>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</si>
  <si>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</si>
  <si>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</si>
  <si>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</si>
  <si>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</si>
  <si>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</si>
  <si>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</si>
  <si>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</si>
  <si>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</si>
  <si>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</si>
  <si>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</si>
  <si>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</si>
  <si>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</si>
  <si>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</si>
  <si>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</si>
  <si>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</si>
  <si>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</si>
  <si>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</si>
  <si>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</si>
  <si>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</si>
  <si>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</si>
  <si>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</si>
  <si>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</si>
  <si>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</si>
  <si>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</si>
  <si>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</si>
  <si>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</si>
  <si>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</si>
  <si>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</si>
  <si>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</si>
  <si>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</si>
  <si>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</si>
  <si>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</si>
  <si>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</si>
  <si>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</si>
  <si>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</si>
  <si>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</si>
  <si>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</si>
  <si>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</si>
  <si>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</si>
  <si>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</si>
  <si>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</si>
  <si>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</si>
  <si>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</si>
  <si>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</si>
  <si>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</si>
  <si>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</si>
  <si>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</si>
  <si>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</si>
  <si>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</si>
  <si>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</si>
  <si>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</si>
  <si>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</si>
  <si>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</si>
  <si>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</si>
  <si>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</si>
  <si>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</si>
  <si>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</si>
  <si>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</si>
  <si>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</si>
  <si>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</si>
  <si>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</si>
  <si>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</si>
  <si>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</si>
  <si>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</si>
  <si>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</si>
  <si>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</si>
  <si>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</si>
  <si>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</si>
  <si>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</si>
  <si>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</si>
  <si>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</si>
  <si>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</si>
  <si>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</si>
  <si>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</si>
  <si>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</si>
  <si>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</si>
  <si>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</si>
  <si>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</si>
  <si>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</si>
  <si>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</si>
  <si>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</si>
  <si>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</si>
  <si>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</si>
  <si>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</si>
  <si>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</si>
  <si>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</si>
  <si>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</si>
  <si>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</si>
  <si>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</si>
  <si>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</si>
  <si>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</si>
  <si>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</si>
  <si>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</si>
  <si>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</si>
  <si>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</si>
  <si>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</si>
  <si>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</si>
  <si>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</si>
  <si>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</si>
  <si>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</si>
  <si>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</si>
  <si>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</si>
  <si>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</si>
  <si>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</si>
  <si>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</si>
  <si>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</si>
  <si>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</si>
  <si>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</si>
  <si>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</si>
  <si>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</si>
  <si>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</si>
  <si>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</si>
  <si>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</si>
  <si>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</si>
  <si>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</si>
  <si>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</si>
  <si>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</si>
  <si>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</si>
  <si>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</si>
  <si>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</si>
  <si>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</si>
  <si>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</si>
  <si>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</si>
  <si>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</si>
  <si>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</si>
  <si>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</si>
  <si>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</si>
  <si>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</si>
  <si>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</si>
  <si>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</si>
  <si>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</si>
  <si>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</si>
  <si>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</si>
  <si>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</si>
  <si>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</si>
  <si>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</si>
  <si>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</si>
  <si>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</si>
  <si>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</si>
  <si>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</si>
  <si>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</si>
  <si>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</si>
  <si>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</si>
  <si>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</si>
  <si>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</si>
  <si>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</si>
  <si>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</si>
  <si>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</si>
  <si>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</si>
  <si>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</si>
  <si>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</si>
  <si>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</si>
  <si>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</si>
  <si>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</si>
  <si>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</si>
  <si>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</si>
  <si>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</si>
  <si>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</si>
  <si>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</si>
  <si>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</si>
  <si>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</si>
  <si>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</si>
  <si>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</si>
  <si>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</si>
  <si>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</si>
  <si>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</si>
  <si>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</si>
  <si>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</si>
  <si>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</si>
  <si>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</si>
  <si>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</si>
  <si>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</si>
  <si>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</si>
  <si>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</si>
  <si>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</si>
  <si>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</si>
  <si>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</si>
  <si>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</si>
  <si>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</si>
  <si>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</si>
  <si>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</si>
  <si>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</si>
  <si>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</si>
  <si>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</si>
  <si>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</si>
  <si>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</si>
  <si>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</si>
  <si>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</si>
  <si>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</si>
  <si>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</si>
  <si>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</si>
  <si>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</si>
  <si>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</si>
  <si>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</si>
  <si>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</si>
  <si>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</si>
  <si>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</si>
  <si>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</si>
  <si>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</si>
  <si>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</si>
  <si>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</si>
  <si>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</si>
  <si>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</si>
  <si>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</si>
  <si>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</si>
  <si>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</si>
  <si>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</si>
  <si>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</si>
  <si>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</si>
  <si>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</si>
  <si>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</si>
  <si>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</si>
  <si>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</si>
  <si>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</si>
  <si>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</si>
  <si>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</si>
  <si>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</si>
  <si>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</si>
  <si>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</si>
  <si>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</si>
  <si>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</si>
  <si>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</si>
  <si>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</si>
  <si>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</si>
  <si>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</si>
  <si>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</si>
  <si>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</si>
  <si>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</si>
  <si>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</si>
  <si>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</si>
  <si>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</si>
  <si>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</si>
  <si>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</si>
  <si>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</si>
  <si>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</si>
  <si>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</si>
  <si>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</si>
  <si>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</si>
  <si>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</si>
  <si>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</si>
  <si>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</si>
  <si>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</si>
  <si>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</si>
  <si>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</si>
  <si>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</si>
  <si>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</si>
  <si>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</si>
  <si>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</si>
  <si>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</si>
  <si>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</si>
  <si>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</si>
  <si>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</si>
  <si>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</si>
  <si>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</si>
  <si>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</si>
  <si>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</si>
  <si>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</si>
  <si>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</si>
  <si>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</si>
  <si>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</si>
  <si>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</si>
  <si>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</si>
  <si>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</si>
  <si>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</si>
  <si>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</si>
  <si>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</si>
  <si>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</si>
  <si>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</si>
  <si>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</si>
  <si>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</si>
  <si>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</si>
  <si>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</si>
  <si>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</si>
  <si>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</si>
  <si>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</si>
  <si>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</si>
  <si>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</si>
  <si>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</si>
  <si>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</si>
  <si>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</si>
  <si>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</si>
  <si>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</si>
  <si>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</si>
  <si>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</si>
  <si>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</si>
  <si>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</si>
  <si>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</si>
  <si>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</si>
  <si>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</si>
  <si>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</si>
  <si>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</si>
  <si>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</si>
  <si>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</si>
  <si>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</si>
  <si>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</si>
  <si>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</si>
  <si>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</si>
  <si>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</si>
  <si>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</si>
  <si>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</si>
  <si>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</si>
  <si>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</si>
  <si>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</si>
  <si>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</si>
  <si>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</si>
  <si>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</si>
  <si>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</si>
  <si>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</si>
  <si>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</si>
  <si>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</si>
  <si>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</si>
  <si>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</si>
  <si>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</si>
  <si>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</si>
  <si>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</si>
  <si>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</si>
  <si>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</si>
  <si>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</si>
  <si>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</si>
  <si>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</si>
  <si>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</si>
  <si>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</si>
  <si>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</si>
  <si>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</si>
  <si>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</si>
  <si>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</si>
  <si>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</si>
  <si>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</si>
  <si>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</si>
  <si>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</si>
  <si>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</si>
  <si>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</si>
  <si>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</si>
  <si>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</si>
  <si>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</si>
  <si>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</si>
  <si>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</si>
  <si>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</si>
  <si>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</si>
  <si>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</si>
  <si>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</si>
  <si>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</si>
  <si>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</si>
  <si>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</si>
  <si>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</si>
  <si>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</si>
  <si>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</si>
  <si>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</si>
  <si>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</si>
  <si>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</si>
  <si>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</si>
  <si>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</si>
  <si>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</si>
  <si>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</si>
  <si>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</si>
  <si>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</si>
  <si>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</si>
  <si>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</si>
  <si>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</si>
  <si>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</si>
  <si>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</si>
  <si>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</si>
  <si>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</si>
  <si>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</si>
  <si>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</si>
  <si>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</si>
  <si>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</si>
  <si>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</si>
  <si>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</si>
  <si>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</si>
  <si>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</si>
  <si>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</si>
  <si>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</si>
  <si>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</si>
  <si>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</si>
  <si>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</si>
  <si>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</si>
  <si>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</si>
  <si>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</si>
  <si>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</si>
  <si>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</si>
  <si>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</si>
  <si>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</si>
  <si>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</si>
  <si>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</si>
  <si>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</si>
  <si>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</si>
  <si>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</si>
  <si>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</si>
  <si>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</si>
  <si>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</si>
  <si>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</si>
  <si>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</si>
  <si>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</si>
  <si>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</si>
  <si>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</si>
  <si>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</si>
  <si>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</si>
  <si>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</si>
  <si>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</si>
  <si>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</si>
  <si>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</si>
  <si>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</si>
  <si>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</si>
  <si>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</si>
  <si>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</si>
  <si>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</si>
  <si>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</si>
  <si>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</si>
  <si>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</si>
  <si>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</si>
  <si>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</si>
  <si>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</si>
  <si>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</si>
  <si>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</si>
  <si>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</si>
  <si>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</si>
  <si>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</si>
  <si>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</si>
  <si>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</si>
  <si>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</si>
  <si>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</si>
  <si>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</si>
  <si>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</si>
  <si>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</si>
  <si>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</si>
  <si>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</si>
  <si>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</si>
  <si>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</si>
  <si>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</si>
  <si>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</si>
  <si>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</si>
  <si>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</si>
  <si>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</si>
  <si>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</si>
  <si>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</si>
  <si>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</si>
  <si>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</si>
  <si>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</si>
  <si>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</si>
  <si>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</si>
  <si>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</si>
  <si>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</si>
  <si>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</si>
  <si>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</si>
  <si>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</si>
  <si>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</si>
  <si>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</si>
  <si>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</si>
  <si>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</si>
  <si>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Mendigo</t>
  </si>
  <si>
    <t>Esencia</t>
  </si>
  <si>
    <t>Inteligencia</t>
  </si>
  <si>
    <t xml:space="preserve">  - '%tierlore%'</t>
  </si>
  <si>
    <t>ATRIBUTO ESPECIAL</t>
  </si>
  <si>
    <t>Armor</t>
  </si>
  <si>
    <t>Multiplo de atributo</t>
  </si>
  <si>
    <t>&amp;7Ataque:</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</si>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</sst>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00"/>
  </numFmts>
  <fonts count="17"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s>
  <fills count="34">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rgb="FFFFFF00"/>
        <bgColor indexed="64"/>
      </patternFill>
    </fill>
    <fill>
      <patternFill patternType="solid">
        <fgColor theme="9"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5">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cellStyleXfs>
  <cellXfs count="376">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1" borderId="0" xfId="0" applyFont="1" applyFill="1" applyAlignment="1">
      <alignment horizontal="center" vertical="center"/>
    </xf>
    <xf numFmtId="0" fontId="6" fillId="30" borderId="0" xfId="0" applyFont="1" applyFill="1" applyAlignment="1">
      <alignment horizontal="center" vertical="center"/>
    </xf>
    <xf numFmtId="0" fontId="0" fillId="32" borderId="0" xfId="0"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8" borderId="1" xfId="0" applyFont="1" applyFill="1" applyBorder="1" applyAlignment="1">
      <alignment horizontal="center"/>
    </xf>
    <xf numFmtId="0" fontId="7" fillId="28" borderId="0" xfId="0" applyFont="1" applyFill="1" applyAlignment="1">
      <alignment vertical="center"/>
    </xf>
    <xf numFmtId="0" fontId="0" fillId="0" borderId="0" xfId="0"/>
    <xf numFmtId="0" fontId="0" fillId="0" borderId="0" xfId="0"/>
    <xf numFmtId="0" fontId="7" fillId="15"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5" fillId="2" borderId="12" xfId="0" applyFont="1" applyFill="1" applyBorder="1" applyAlignment="1">
      <alignment horizontal="center" vertical="center"/>
    </xf>
    <xf numFmtId="0" fontId="0" fillId="0" borderId="0" xfId="0" applyBorder="1" applyAlignment="1">
      <alignment horizont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9" borderId="7" xfId="0" applyFont="1" applyFill="1" applyBorder="1" applyAlignment="1">
      <alignment horizontal="center" vertical="center"/>
    </xf>
    <xf numFmtId="0" fontId="0" fillId="0" borderId="0" xfId="0" applyAlignment="1">
      <alignment horizontal="left"/>
    </xf>
    <xf numFmtId="0" fontId="7" fillId="2" borderId="0" xfId="0" applyFont="1" applyFill="1" applyAlignment="1">
      <alignment horizontal="center" vertical="center"/>
    </xf>
    <xf numFmtId="0" fontId="7" fillId="3" borderId="0" xfId="0" applyFont="1" applyFill="1" applyAlignment="1">
      <alignment horizontal="center"/>
    </xf>
    <xf numFmtId="0" fontId="7" fillId="27" borderId="0" xfId="0" applyFont="1" applyFill="1" applyAlignment="1">
      <alignment horizontal="center"/>
    </xf>
    <xf numFmtId="0" fontId="7" fillId="8" borderId="0" xfId="0" applyFont="1" applyFill="1" applyAlignment="1">
      <alignment horizontal="center"/>
    </xf>
    <xf numFmtId="0" fontId="0" fillId="0" borderId="0" xfId="0" applyFont="1" applyAlignment="1">
      <alignment horizontal="left"/>
    </xf>
    <xf numFmtId="0" fontId="13" fillId="33" borderId="0" xfId="0" applyFont="1" applyFill="1" applyAlignment="1">
      <alignment horizontal="center"/>
    </xf>
    <xf numFmtId="0" fontId="14" fillId="28" borderId="0" xfId="0" applyFont="1" applyFill="1" applyAlignment="1">
      <alignment horizontal="center" vertical="center" textRotation="90"/>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2" fillId="3" borderId="0" xfId="0" applyFont="1" applyFill="1" applyAlignment="1">
      <alignment horizontal="center"/>
    </xf>
    <xf numFmtId="0" fontId="3" fillId="2" borderId="0" xfId="0" applyFont="1" applyFill="1" applyAlignment="1">
      <alignment horizontal="center" vertical="center"/>
    </xf>
    <xf numFmtId="0" fontId="2" fillId="2" borderId="0" xfId="0" applyFont="1" applyFill="1" applyAlignment="1">
      <alignment horizontal="center"/>
    </xf>
    <xf numFmtId="0" fontId="0" fillId="0" borderId="0" xfId="0"/>
    <xf numFmtId="0" fontId="0" fillId="0" borderId="0" xfId="0" applyAlignment="1">
      <alignment horizontal="center"/>
    </xf>
    <xf numFmtId="0" fontId="0" fillId="0" borderId="0" xfId="0" applyAlignment="1"/>
    <xf numFmtId="0" fontId="3" fillId="3" borderId="0" xfId="0" applyFont="1" applyFill="1" applyAlignment="1">
      <alignment horizontal="center" vertical="center"/>
    </xf>
  </cellXfs>
  <cellStyles count="5">
    <cellStyle name="Cant Get" xfId="3"/>
    <cellStyle name="Data 1.8" xfId="2"/>
    <cellStyle name="Estilo 1" xfId="1"/>
    <cellStyle name="GM Only" xf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
  <sheetViews>
    <sheetView workbookViewId="0">
      <selection activeCell="A2" sqref="A2"/>
    </sheetView>
  </sheetViews>
  <sheetFormatPr baseColWidth="10" defaultRowHeight="14.4" x14ac:dyDescent="0.3"/>
  <cols>
    <col min="1" max="4" width="18" customWidth="1"/>
    <col min="5" max="5" width="16.6640625" customWidth="1"/>
  </cols>
  <sheetData>
    <row r="1" spans="1:4" ht="26.25" customHeight="1" x14ac:dyDescent="0.3">
      <c r="A1" s="299" t="s">
        <v>1153</v>
      </c>
      <c r="B1" s="299"/>
      <c r="C1" s="286"/>
      <c r="D1" s="286"/>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X505"/>
  <sheetViews>
    <sheetView topLeftCell="A18" workbookViewId="0">
      <selection activeCell="K27" sqref="K27"/>
    </sheetView>
  </sheetViews>
  <sheetFormatPr baseColWidth="10" defaultRowHeight="14.4" x14ac:dyDescent="0.3"/>
  <cols>
    <col min="1" max="1" width="13.109375" style="27" customWidth="1"/>
    <col min="2" max="2" width="13.44140625" style="27" customWidth="1"/>
    <col min="3" max="3" width="11.44140625" style="27"/>
    <col min="4" max="4" width="17.109375" style="27" customWidth="1"/>
    <col min="5" max="11" width="16.33203125" style="27" customWidth="1"/>
    <col min="12" max="13" width="13.44140625" style="24" customWidth="1"/>
    <col min="14" max="18" width="15" customWidth="1"/>
    <col min="19" max="19" width="12.88671875" customWidth="1"/>
    <col min="20" max="24" width="14.88671875" customWidth="1"/>
  </cols>
  <sheetData>
    <row r="1" spans="1:24" s="24" customFormat="1" x14ac:dyDescent="0.3">
      <c r="A1" s="27"/>
      <c r="B1" s="27"/>
      <c r="C1" s="27"/>
      <c r="D1" s="320" t="s">
        <v>146</v>
      </c>
      <c r="E1" s="320"/>
      <c r="F1" s="320"/>
      <c r="G1" s="320"/>
      <c r="H1" s="320"/>
      <c r="I1" s="320"/>
      <c r="J1" s="320"/>
      <c r="K1" s="321"/>
      <c r="L1" s="307" t="s">
        <v>199</v>
      </c>
      <c r="M1" s="308"/>
      <c r="N1" s="306" t="s">
        <v>164</v>
      </c>
      <c r="O1" s="306"/>
      <c r="P1" s="306"/>
      <c r="Q1" s="306"/>
      <c r="R1" s="306"/>
      <c r="S1" s="25"/>
    </row>
    <row r="2" spans="1:24" x14ac:dyDescent="0.3">
      <c r="B2" s="50" t="s">
        <v>147</v>
      </c>
      <c r="C2" s="50" t="s">
        <v>62</v>
      </c>
      <c r="D2" s="304" t="s">
        <v>152</v>
      </c>
      <c r="E2" s="304"/>
      <c r="F2" s="304" t="s">
        <v>150</v>
      </c>
      <c r="G2" s="304"/>
      <c r="H2" s="304" t="s">
        <v>151</v>
      </c>
      <c r="I2" s="304"/>
      <c r="J2" s="304" t="s">
        <v>160</v>
      </c>
      <c r="K2" s="319"/>
      <c r="L2" s="309"/>
      <c r="M2" s="310"/>
      <c r="N2" s="29" t="s">
        <v>35</v>
      </c>
      <c r="O2" s="30" t="s">
        <v>51</v>
      </c>
      <c r="P2" s="29" t="s">
        <v>52</v>
      </c>
      <c r="Q2" s="30" t="s">
        <v>53</v>
      </c>
      <c r="R2" s="29" t="s">
        <v>54</v>
      </c>
    </row>
    <row r="3" spans="1:24" x14ac:dyDescent="0.3">
      <c r="B3" s="28">
        <v>1</v>
      </c>
      <c r="C3" s="53">
        <v>1</v>
      </c>
      <c r="D3" s="305" t="s">
        <v>122</v>
      </c>
      <c r="E3" s="305"/>
      <c r="F3" s="300" t="s">
        <v>128</v>
      </c>
      <c r="G3" s="300"/>
      <c r="H3" s="305" t="s">
        <v>134</v>
      </c>
      <c r="I3" s="305"/>
      <c r="J3" s="305" t="s">
        <v>135</v>
      </c>
      <c r="K3" s="329"/>
      <c r="L3" s="309"/>
      <c r="M3" s="310"/>
      <c r="N3" s="33">
        <v>1</v>
      </c>
      <c r="O3" s="33">
        <v>3</v>
      </c>
      <c r="P3" s="33">
        <v>5</v>
      </c>
      <c r="Q3" s="33">
        <v>7</v>
      </c>
      <c r="R3" s="33">
        <v>9</v>
      </c>
      <c r="S3" s="330" t="s">
        <v>165</v>
      </c>
      <c r="T3" s="331"/>
      <c r="U3" s="331"/>
      <c r="V3" s="331"/>
      <c r="W3" s="331"/>
      <c r="X3" s="331"/>
    </row>
    <row r="4" spans="1:24" s="24" customFormat="1" x14ac:dyDescent="0.3">
      <c r="B4" s="28">
        <v>2</v>
      </c>
      <c r="C4" s="54">
        <f>$C$3+2</f>
        <v>3</v>
      </c>
      <c r="D4" s="305" t="s">
        <v>123</v>
      </c>
      <c r="E4" s="305"/>
      <c r="F4" s="300" t="s">
        <v>129</v>
      </c>
      <c r="G4" s="300"/>
      <c r="H4" s="305" t="s">
        <v>136</v>
      </c>
      <c r="I4" s="305"/>
      <c r="J4" s="305" t="s">
        <v>137</v>
      </c>
      <c r="K4" s="329"/>
      <c r="L4" s="311"/>
      <c r="M4" s="312"/>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3">
      <c r="B5" s="43">
        <v>3</v>
      </c>
      <c r="C5" s="55">
        <f>$C$4+2</f>
        <v>5</v>
      </c>
      <c r="D5" s="305" t="s">
        <v>124</v>
      </c>
      <c r="E5" s="305"/>
      <c r="F5" s="300" t="s">
        <v>130</v>
      </c>
      <c r="G5" s="300"/>
      <c r="H5" s="305" t="s">
        <v>139</v>
      </c>
      <c r="I5" s="305"/>
      <c r="J5" s="305" t="s">
        <v>138</v>
      </c>
      <c r="K5" s="329"/>
      <c r="L5" s="313"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3">
      <c r="B6" s="43">
        <v>4</v>
      </c>
      <c r="C6" s="56">
        <f>$C$5+2</f>
        <v>7</v>
      </c>
      <c r="D6" s="305" t="s">
        <v>127</v>
      </c>
      <c r="E6" s="305"/>
      <c r="F6" s="300" t="s">
        <v>131</v>
      </c>
      <c r="G6" s="300"/>
      <c r="H6" s="305" t="s">
        <v>140</v>
      </c>
      <c r="I6" s="305"/>
      <c r="J6" s="305" t="s">
        <v>141</v>
      </c>
      <c r="K6" s="329"/>
      <c r="L6" s="314"/>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3">
      <c r="A7" s="48"/>
      <c r="B7" s="43">
        <v>5</v>
      </c>
      <c r="C7" s="57">
        <f>$C$6+2</f>
        <v>9</v>
      </c>
      <c r="D7" s="305" t="s">
        <v>126</v>
      </c>
      <c r="E7" s="305"/>
      <c r="F7" s="300" t="s">
        <v>132</v>
      </c>
      <c r="G7" s="300"/>
      <c r="H7" s="305" t="s">
        <v>142</v>
      </c>
      <c r="I7" s="305"/>
      <c r="J7" s="305" t="s">
        <v>143</v>
      </c>
      <c r="K7" s="329"/>
      <c r="L7" s="314"/>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3">
      <c r="A8" s="48"/>
      <c r="B8" s="43">
        <v>6</v>
      </c>
      <c r="C8" s="58">
        <f>$C$7+2</f>
        <v>11</v>
      </c>
      <c r="D8" s="305" t="s">
        <v>125</v>
      </c>
      <c r="E8" s="305"/>
      <c r="F8" s="300" t="s">
        <v>133</v>
      </c>
      <c r="G8" s="300"/>
      <c r="H8" s="305" t="s">
        <v>144</v>
      </c>
      <c r="I8" s="305"/>
      <c r="J8" s="305" t="s">
        <v>145</v>
      </c>
      <c r="K8" s="329"/>
      <c r="L8" s="314"/>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3">
      <c r="D9" s="320" t="s">
        <v>163</v>
      </c>
      <c r="E9" s="320"/>
      <c r="F9" s="320"/>
      <c r="G9" s="320"/>
      <c r="H9" s="320"/>
      <c r="I9" s="320"/>
      <c r="J9" s="320"/>
      <c r="K9" s="321"/>
      <c r="L9" s="315"/>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3">
      <c r="A10" s="27"/>
      <c r="B10" s="27"/>
      <c r="C10" s="51" t="s">
        <v>148</v>
      </c>
      <c r="D10" s="300">
        <v>1.5</v>
      </c>
      <c r="E10" s="300"/>
      <c r="F10" s="300">
        <v>2.5</v>
      </c>
      <c r="G10" s="300"/>
      <c r="H10" s="300">
        <v>64</v>
      </c>
      <c r="I10" s="300"/>
      <c r="J10" s="300">
        <v>64</v>
      </c>
      <c r="K10" s="332"/>
      <c r="L10" s="316"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3">
      <c r="A11" s="27"/>
      <c r="B11" s="27"/>
      <c r="C11" s="51" t="s">
        <v>149</v>
      </c>
      <c r="D11" s="300">
        <v>64</v>
      </c>
      <c r="E11" s="300"/>
      <c r="F11" s="300">
        <v>64</v>
      </c>
      <c r="G11" s="300"/>
      <c r="H11" s="300">
        <v>64</v>
      </c>
      <c r="I11" s="300"/>
      <c r="J11" s="300">
        <v>64</v>
      </c>
      <c r="K11" s="332"/>
      <c r="L11" s="317"/>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3">
      <c r="A12" s="320" t="s">
        <v>169</v>
      </c>
      <c r="B12" s="320"/>
      <c r="C12" s="27"/>
      <c r="D12" s="320" t="s">
        <v>167</v>
      </c>
      <c r="E12" s="320"/>
      <c r="F12" s="320"/>
      <c r="G12" s="320"/>
      <c r="H12" s="320"/>
      <c r="I12" s="320"/>
      <c r="J12" s="320"/>
      <c r="K12" s="321"/>
      <c r="L12" s="317"/>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3">
      <c r="A13" s="27" t="s">
        <v>159</v>
      </c>
      <c r="B13" s="27">
        <f>$T$5</f>
        <v>7700</v>
      </c>
      <c r="D13" s="304" t="s">
        <v>152</v>
      </c>
      <c r="E13" s="304"/>
      <c r="F13" s="304" t="s">
        <v>150</v>
      </c>
      <c r="G13" s="304"/>
      <c r="H13" s="304" t="s">
        <v>151</v>
      </c>
      <c r="I13" s="304"/>
      <c r="J13" s="304" t="s">
        <v>160</v>
      </c>
      <c r="K13" s="319"/>
      <c r="L13" s="317"/>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3">
      <c r="A14" s="27" t="s">
        <v>148</v>
      </c>
      <c r="B14" s="7">
        <v>90</v>
      </c>
      <c r="C14" s="51" t="s">
        <v>161</v>
      </c>
      <c r="D14" s="323">
        <f>ROUND((D10*$B$13)/$B$14,2)</f>
        <v>128.33000000000001</v>
      </c>
      <c r="E14" s="323"/>
      <c r="F14" s="323">
        <f>ROUND((F10*$B$13)/$B$14,2)</f>
        <v>213.89</v>
      </c>
      <c r="G14" s="323"/>
      <c r="H14" s="323">
        <f>ROUND((H10*$B$13)/$B$14,2)</f>
        <v>5475.56</v>
      </c>
      <c r="I14" s="323"/>
      <c r="J14" s="323">
        <f>ROUND((J10*$B$13)/$B$14,2)</f>
        <v>5475.56</v>
      </c>
      <c r="K14" s="323"/>
      <c r="L14" s="318"/>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3">
      <c r="A15" s="320" t="s">
        <v>171</v>
      </c>
      <c r="B15" s="320"/>
      <c r="C15" s="51" t="s">
        <v>162</v>
      </c>
      <c r="D15" s="323">
        <f>ROUND($D$14/$D$11,2)</f>
        <v>2.0099999999999998</v>
      </c>
      <c r="E15" s="323"/>
      <c r="F15" s="323">
        <f>ROUND($F$14/$F$11,2)</f>
        <v>3.34</v>
      </c>
      <c r="G15" s="323"/>
      <c r="H15" s="323">
        <f>ROUND($H$14/$H$11,2)</f>
        <v>85.56</v>
      </c>
      <c r="I15" s="323"/>
      <c r="J15" s="323">
        <f>ROUND($J$14/$J$11,2)</f>
        <v>85.56</v>
      </c>
      <c r="K15" s="323"/>
      <c r="L15" s="322"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3">
      <c r="A16" s="27" t="s">
        <v>170</v>
      </c>
      <c r="B16" s="7">
        <v>200</v>
      </c>
      <c r="D16" s="167" t="s">
        <v>971</v>
      </c>
      <c r="E16" s="167" t="s">
        <v>972</v>
      </c>
      <c r="F16" s="167" t="s">
        <v>973</v>
      </c>
      <c r="G16" s="167" t="s">
        <v>974</v>
      </c>
      <c r="H16" s="167" t="s">
        <v>976</v>
      </c>
      <c r="I16" s="167" t="s">
        <v>975</v>
      </c>
      <c r="J16" s="167"/>
      <c r="K16" s="167"/>
      <c r="L16" s="328"/>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3">
      <c r="A17" s="27" t="s">
        <v>1</v>
      </c>
      <c r="B17" s="2">
        <f>$B$16*2</f>
        <v>400</v>
      </c>
      <c r="C17" s="52" t="s">
        <v>166</v>
      </c>
      <c r="D17" s="171" t="s">
        <v>152</v>
      </c>
      <c r="E17" s="160" t="s">
        <v>153</v>
      </c>
      <c r="F17" s="169" t="s">
        <v>157</v>
      </c>
      <c r="G17" s="163" t="s">
        <v>156</v>
      </c>
      <c r="H17" s="170"/>
      <c r="I17" s="160">
        <f>COUNTIF(E17:H17,"*")</f>
        <v>3</v>
      </c>
      <c r="J17" s="169"/>
      <c r="K17" s="162"/>
      <c r="L17" s="328"/>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3">
      <c r="A18" s="27" t="s">
        <v>2</v>
      </c>
      <c r="B18" s="2">
        <f>$B$17*2</f>
        <v>800</v>
      </c>
      <c r="C18" s="27" t="s">
        <v>153</v>
      </c>
      <c r="D18" s="171" t="s">
        <v>150</v>
      </c>
      <c r="E18" s="163" t="s">
        <v>156</v>
      </c>
      <c r="F18" s="161" t="s">
        <v>154</v>
      </c>
      <c r="G18" s="163" t="s">
        <v>153</v>
      </c>
      <c r="H18" s="48"/>
      <c r="I18" s="160">
        <f t="shared" ref="I18:I20" si="0">COUNTIF(E18:H18,"*")</f>
        <v>3</v>
      </c>
      <c r="J18" s="161"/>
      <c r="K18" s="163"/>
      <c r="L18" s="322"/>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3">
      <c r="A19" s="27" t="s">
        <v>3</v>
      </c>
      <c r="B19" s="2">
        <f>$B$18*2</f>
        <v>1600</v>
      </c>
      <c r="C19" s="27" t="s">
        <v>154</v>
      </c>
      <c r="D19" s="171" t="s">
        <v>151</v>
      </c>
      <c r="E19" s="163" t="s">
        <v>156</v>
      </c>
      <c r="F19" s="161" t="s">
        <v>153</v>
      </c>
      <c r="G19" s="163" t="s">
        <v>154</v>
      </c>
      <c r="H19" s="48"/>
      <c r="I19" s="160">
        <f t="shared" si="0"/>
        <v>3</v>
      </c>
      <c r="J19" s="161"/>
      <c r="K19" s="163"/>
      <c r="L19" s="322"/>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3">
      <c r="A20" s="27" t="s">
        <v>4</v>
      </c>
      <c r="B20" s="2">
        <f>$B$19*2</f>
        <v>3200</v>
      </c>
      <c r="C20" s="27" t="s">
        <v>156</v>
      </c>
      <c r="D20" s="171" t="s">
        <v>160</v>
      </c>
      <c r="E20" s="163" t="s">
        <v>155</v>
      </c>
      <c r="F20" s="161" t="s">
        <v>156</v>
      </c>
      <c r="G20" s="163"/>
      <c r="H20" s="48"/>
      <c r="I20" s="160">
        <f t="shared" si="0"/>
        <v>2</v>
      </c>
      <c r="J20" s="161"/>
      <c r="K20" s="163"/>
      <c r="L20" s="325"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3">
      <c r="A21" s="27"/>
      <c r="B21" s="27"/>
      <c r="C21" s="27" t="s">
        <v>157</v>
      </c>
      <c r="D21" s="142"/>
      <c r="E21" s="142"/>
      <c r="F21" s="142"/>
      <c r="G21" s="142"/>
      <c r="H21" s="13"/>
      <c r="I21" s="163"/>
      <c r="J21" s="161"/>
      <c r="K21" s="163"/>
      <c r="L21" s="326"/>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3">
      <c r="A22" s="27"/>
      <c r="B22" s="27"/>
      <c r="C22" s="27" t="s">
        <v>155</v>
      </c>
      <c r="D22" s="142"/>
      <c r="E22" s="142"/>
      <c r="F22" s="142"/>
      <c r="G22" s="142"/>
      <c r="H22" s="13"/>
      <c r="I22" s="163"/>
      <c r="J22" s="161"/>
      <c r="K22" s="163"/>
      <c r="L22" s="326"/>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3">
      <c r="A23" s="27"/>
      <c r="B23" s="27"/>
      <c r="C23" s="222" t="s">
        <v>158</v>
      </c>
      <c r="D23" s="229"/>
      <c r="E23" s="229"/>
      <c r="F23" s="229"/>
      <c r="G23" s="229"/>
      <c r="H23" s="13"/>
      <c r="I23" s="160"/>
      <c r="J23" s="161"/>
      <c r="K23" s="162"/>
      <c r="L23" s="317"/>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3">
      <c r="A24" s="27"/>
      <c r="B24" s="27"/>
      <c r="C24" s="50"/>
      <c r="D24" s="320" t="s">
        <v>198</v>
      </c>
      <c r="E24" s="320"/>
      <c r="F24" s="320"/>
      <c r="G24" s="320"/>
      <c r="H24" s="320"/>
      <c r="I24" s="320"/>
      <c r="J24" s="320"/>
      <c r="K24" s="321"/>
      <c r="L24" s="327"/>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3">
      <c r="A25" s="27"/>
      <c r="B25" s="27"/>
      <c r="C25" s="50"/>
      <c r="D25" s="324" t="s">
        <v>152</v>
      </c>
      <c r="E25" s="324"/>
      <c r="F25" s="324" t="s">
        <v>150</v>
      </c>
      <c r="G25" s="324"/>
      <c r="H25" s="324" t="s">
        <v>151</v>
      </c>
      <c r="I25" s="324"/>
      <c r="J25" s="324" t="s">
        <v>160</v>
      </c>
      <c r="K25" s="324"/>
      <c r="L25" s="322"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3">
      <c r="A26" s="27"/>
      <c r="B26" s="59" t="s">
        <v>931</v>
      </c>
      <c r="C26" s="59" t="s">
        <v>19</v>
      </c>
      <c r="D26" s="59" t="s">
        <v>146</v>
      </c>
      <c r="E26" s="59" t="s">
        <v>159</v>
      </c>
      <c r="F26" s="59" t="s">
        <v>146</v>
      </c>
      <c r="G26" s="59" t="s">
        <v>159</v>
      </c>
      <c r="H26" s="59" t="s">
        <v>146</v>
      </c>
      <c r="I26" s="59" t="s">
        <v>159</v>
      </c>
      <c r="J26" s="59" t="s">
        <v>146</v>
      </c>
      <c r="K26" s="59" t="s">
        <v>159</v>
      </c>
      <c r="L26" s="322"/>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3">
      <c r="A27" s="27"/>
      <c r="B27" s="28">
        <v>20</v>
      </c>
      <c r="C27" s="60">
        <v>1</v>
      </c>
      <c r="D27" s="60" t="s">
        <v>168</v>
      </c>
      <c r="E27" s="60">
        <f>ROUNDUP($D$15*$C$3,0)</f>
        <v>3</v>
      </c>
      <c r="F27" s="60" t="s">
        <v>174</v>
      </c>
      <c r="G27" s="60">
        <f>ROUNDUP($F$15*$C$3,0)</f>
        <v>4</v>
      </c>
      <c r="H27" s="60" t="s">
        <v>186</v>
      </c>
      <c r="I27" s="60">
        <f>ROUNDUP($H$15*$C$3,0)</f>
        <v>86</v>
      </c>
      <c r="J27" s="60" t="s">
        <v>194</v>
      </c>
      <c r="K27" s="60">
        <f>ROUNDUP($J$15*$C$3,0)</f>
        <v>86</v>
      </c>
      <c r="L27" s="322"/>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3">
      <c r="A28" s="27"/>
      <c r="B28" s="27"/>
      <c r="C28" s="61">
        <v>2</v>
      </c>
      <c r="D28" s="61" t="s">
        <v>172</v>
      </c>
      <c r="E28" s="61">
        <f>ROUNDUP($D$15*$C$4,0)</f>
        <v>7</v>
      </c>
      <c r="F28" s="61" t="s">
        <v>175</v>
      </c>
      <c r="G28" s="61">
        <f>ROUNDUP($F$15*$C$4,0)</f>
        <v>11</v>
      </c>
      <c r="H28" s="61" t="s">
        <v>187</v>
      </c>
      <c r="I28" s="61">
        <f>ROUNDUP($H$15*$C$4,0)</f>
        <v>257</v>
      </c>
      <c r="J28" s="61" t="s">
        <v>158</v>
      </c>
      <c r="K28" s="61">
        <f>ROUNDUP($J$15*$C$4,0)</f>
        <v>257</v>
      </c>
      <c r="L28" s="322"/>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3">
      <c r="A29" s="27"/>
      <c r="B29" s="27"/>
      <c r="C29" s="62">
        <v>3</v>
      </c>
      <c r="D29" s="62" t="s">
        <v>173</v>
      </c>
      <c r="E29" s="62">
        <f>ROUNDUP($D$15*$C$5,0)</f>
        <v>11</v>
      </c>
      <c r="F29" s="62" t="s">
        <v>176</v>
      </c>
      <c r="G29" s="62">
        <f>ROUNDUP($F$15*$C$5,0)</f>
        <v>17</v>
      </c>
      <c r="H29" s="62" t="s">
        <v>188</v>
      </c>
      <c r="I29" s="62">
        <f>ROUNDUP($H$15*$C$5,0)</f>
        <v>428</v>
      </c>
      <c r="J29" s="62" t="s">
        <v>197</v>
      </c>
      <c r="K29" s="62">
        <f>ROUNDUP($J$15*$C$5,0)</f>
        <v>428</v>
      </c>
      <c r="L29" s="322"/>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3">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3">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3">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3">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3">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3">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3">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3">
      <c r="A37" s="27"/>
      <c r="B37" s="27"/>
      <c r="C37" s="27"/>
      <c r="D37" s="65" t="s">
        <v>961</v>
      </c>
      <c r="E37" s="66">
        <f>ROUNDUP($D$15*$C$8,0)</f>
        <v>23</v>
      </c>
      <c r="F37" s="2"/>
      <c r="G37" s="2"/>
      <c r="H37" s="2"/>
      <c r="I37" s="2"/>
      <c r="J37" s="2"/>
      <c r="K37" s="2"/>
      <c r="N37"/>
      <c r="O37"/>
      <c r="P37"/>
      <c r="Q37"/>
      <c r="R37"/>
      <c r="S37"/>
      <c r="T37"/>
      <c r="U37"/>
      <c r="V37"/>
      <c r="W37"/>
    </row>
    <row r="38" spans="1:23" s="24" customFormat="1" x14ac:dyDescent="0.3">
      <c r="A38" s="27"/>
      <c r="B38" s="27"/>
      <c r="C38" s="27"/>
      <c r="D38" s="65" t="s">
        <v>185</v>
      </c>
      <c r="E38" s="66">
        <f>ROUNDUP($D$15*$C$8,0)</f>
        <v>23</v>
      </c>
      <c r="F38" s="2"/>
      <c r="G38" s="2"/>
      <c r="H38" s="2"/>
      <c r="I38" s="2"/>
      <c r="J38" s="2"/>
      <c r="K38" s="2"/>
      <c r="N38"/>
      <c r="O38"/>
      <c r="P38"/>
      <c r="Q38"/>
      <c r="R38"/>
      <c r="S38"/>
      <c r="T38"/>
      <c r="U38"/>
      <c r="V38"/>
      <c r="W38"/>
    </row>
    <row r="39" spans="1:23" x14ac:dyDescent="0.3">
      <c r="B39"/>
      <c r="C39"/>
      <c r="D39" s="65" t="s">
        <v>984</v>
      </c>
      <c r="E39" s="66">
        <f>ROUNDUP($D$15*$C$8,0)</f>
        <v>23</v>
      </c>
      <c r="F39"/>
      <c r="G39"/>
      <c r="H39"/>
      <c r="I39"/>
      <c r="J39"/>
      <c r="K39"/>
    </row>
    <row r="40" spans="1:23" x14ac:dyDescent="0.3">
      <c r="B40"/>
      <c r="C40"/>
      <c r="D40"/>
      <c r="E40"/>
      <c r="F40"/>
      <c r="G40"/>
      <c r="H40" s="13"/>
      <c r="I40" s="13"/>
      <c r="J40" s="13"/>
      <c r="K40" s="13"/>
    </row>
    <row r="41" spans="1:23" x14ac:dyDescent="0.3">
      <c r="B41" s="166"/>
      <c r="C41" s="165"/>
      <c r="D41" s="301" t="s">
        <v>985</v>
      </c>
      <c r="E41" s="301"/>
      <c r="F41" s="301"/>
      <c r="G41" s="301"/>
      <c r="H41" s="301" t="s">
        <v>1005</v>
      </c>
      <c r="I41" s="301"/>
      <c r="J41" s="301"/>
      <c r="K41" s="301"/>
    </row>
    <row r="42" spans="1:23" x14ac:dyDescent="0.3">
      <c r="B42" s="166"/>
      <c r="C42" s="165"/>
      <c r="D42" s="302" t="s">
        <v>986</v>
      </c>
      <c r="E42" s="303"/>
      <c r="F42" s="303"/>
      <c r="G42" s="303"/>
      <c r="H42" s="302" t="s">
        <v>988</v>
      </c>
      <c r="I42" s="303"/>
      <c r="J42" s="303"/>
      <c r="K42" s="303"/>
    </row>
    <row r="43" spans="1:23" x14ac:dyDescent="0.3">
      <c r="B43" s="166"/>
      <c r="C43" s="59" t="s">
        <v>19</v>
      </c>
      <c r="D43" s="59" t="s">
        <v>999</v>
      </c>
      <c r="E43" s="59" t="s">
        <v>159</v>
      </c>
      <c r="F43" s="59" t="s">
        <v>987</v>
      </c>
      <c r="G43" s="59" t="s">
        <v>1000</v>
      </c>
      <c r="H43" s="59" t="s">
        <v>1001</v>
      </c>
      <c r="I43" s="59" t="s">
        <v>159</v>
      </c>
      <c r="J43" s="59" t="s">
        <v>987</v>
      </c>
      <c r="K43" s="59" t="s">
        <v>1000</v>
      </c>
    </row>
    <row r="44" spans="1:23" x14ac:dyDescent="0.3">
      <c r="B44" s="166"/>
      <c r="C44" s="60">
        <v>1</v>
      </c>
      <c r="D44" s="60" t="s">
        <v>989</v>
      </c>
      <c r="E44" s="60">
        <f>3*C3</f>
        <v>3</v>
      </c>
      <c r="F44" s="60">
        <v>1</v>
      </c>
      <c r="G44" s="60">
        <f>E44/F44</f>
        <v>3</v>
      </c>
      <c r="H44" s="60" t="s">
        <v>194</v>
      </c>
      <c r="I44" s="60">
        <f>K27</f>
        <v>86</v>
      </c>
      <c r="J44" s="60">
        <v>3</v>
      </c>
      <c r="K44" s="60">
        <f>ROUNDUP(I44/J44,1)</f>
        <v>28.700000000000003</v>
      </c>
    </row>
    <row r="45" spans="1:23" x14ac:dyDescent="0.3">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3">
      <c r="B46" s="166"/>
      <c r="C46" s="62">
        <v>3</v>
      </c>
      <c r="D46" s="62" t="s">
        <v>991</v>
      </c>
      <c r="E46" s="62">
        <f>E44*C5</f>
        <v>15</v>
      </c>
      <c r="F46" s="62">
        <v>2</v>
      </c>
      <c r="G46" s="62">
        <f t="shared" si="1"/>
        <v>7.5</v>
      </c>
      <c r="H46" s="62" t="s">
        <v>1002</v>
      </c>
      <c r="I46" s="62">
        <f t="shared" si="2"/>
        <v>428</v>
      </c>
      <c r="J46" s="62">
        <v>2</v>
      </c>
      <c r="K46" s="62">
        <f t="shared" si="3"/>
        <v>214</v>
      </c>
    </row>
    <row r="47" spans="1:23" x14ac:dyDescent="0.3">
      <c r="B47" s="166"/>
      <c r="C47" s="63">
        <v>4</v>
      </c>
      <c r="D47" s="62" t="s">
        <v>992</v>
      </c>
      <c r="E47" s="62">
        <f>E44*C5</f>
        <v>15</v>
      </c>
      <c r="F47" s="62">
        <v>1</v>
      </c>
      <c r="G47" s="62">
        <f t="shared" si="1"/>
        <v>15</v>
      </c>
      <c r="H47" s="63" t="s">
        <v>195</v>
      </c>
      <c r="I47" s="63">
        <f t="shared" si="2"/>
        <v>599</v>
      </c>
      <c r="J47" s="63">
        <v>1</v>
      </c>
      <c r="K47" s="63">
        <f t="shared" si="3"/>
        <v>599</v>
      </c>
    </row>
    <row r="48" spans="1:23" x14ac:dyDescent="0.3">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3">
      <c r="B49" s="166"/>
      <c r="C49" s="65">
        <v>6</v>
      </c>
      <c r="D49" s="63" t="s">
        <v>993</v>
      </c>
      <c r="E49" s="63">
        <f>E44*C6</f>
        <v>21</v>
      </c>
      <c r="F49" s="63">
        <v>7</v>
      </c>
      <c r="G49" s="63">
        <f t="shared" si="1"/>
        <v>3</v>
      </c>
      <c r="H49" s="65" t="s">
        <v>1004</v>
      </c>
      <c r="I49" s="65">
        <f t="shared" si="2"/>
        <v>942</v>
      </c>
      <c r="J49" s="65">
        <v>2</v>
      </c>
      <c r="K49" s="65">
        <f t="shared" si="3"/>
        <v>471</v>
      </c>
      <c r="P49" s="28"/>
    </row>
    <row r="50" spans="1:16" x14ac:dyDescent="0.3">
      <c r="B50" s="166"/>
      <c r="C50" s="106"/>
      <c r="D50" s="63" t="s">
        <v>994</v>
      </c>
      <c r="E50" s="63">
        <f>E44*C6</f>
        <v>21</v>
      </c>
      <c r="F50" s="63">
        <v>1</v>
      </c>
      <c r="G50" s="63">
        <f t="shared" si="1"/>
        <v>21</v>
      </c>
      <c r="H50"/>
      <c r="I50"/>
      <c r="J50"/>
      <c r="K50"/>
      <c r="P50" s="28"/>
    </row>
    <row r="51" spans="1:16" x14ac:dyDescent="0.3">
      <c r="B51"/>
      <c r="C51" s="106"/>
      <c r="D51" s="64" t="s">
        <v>1006</v>
      </c>
      <c r="E51" s="64">
        <f>E44*C7</f>
        <v>27</v>
      </c>
      <c r="F51" s="64">
        <v>2</v>
      </c>
      <c r="G51" s="64">
        <f>E51/F51</f>
        <v>13.5</v>
      </c>
      <c r="H51"/>
      <c r="I51"/>
      <c r="J51"/>
      <c r="K51"/>
      <c r="P51" s="28"/>
    </row>
    <row r="52" spans="1:16" x14ac:dyDescent="0.3">
      <c r="B52"/>
      <c r="C52" s="106"/>
      <c r="D52" s="64" t="s">
        <v>995</v>
      </c>
      <c r="E52" s="64">
        <f>E44*C7</f>
        <v>27</v>
      </c>
      <c r="F52" s="64">
        <v>2</v>
      </c>
      <c r="G52" s="64">
        <f t="shared" si="1"/>
        <v>13.5</v>
      </c>
      <c r="H52"/>
      <c r="I52"/>
      <c r="J52"/>
      <c r="K52"/>
      <c r="P52" s="28"/>
    </row>
    <row r="53" spans="1:16" x14ac:dyDescent="0.3">
      <c r="A53"/>
      <c r="B53"/>
      <c r="C53" s="106"/>
      <c r="D53" s="64" t="s">
        <v>996</v>
      </c>
      <c r="E53" s="64">
        <f>E44*C7</f>
        <v>27</v>
      </c>
      <c r="F53" s="64">
        <v>1</v>
      </c>
      <c r="G53" s="64">
        <f t="shared" si="1"/>
        <v>27</v>
      </c>
      <c r="H53"/>
      <c r="I53"/>
      <c r="J53"/>
      <c r="K53"/>
      <c r="L53"/>
      <c r="M53"/>
    </row>
    <row r="54" spans="1:16" x14ac:dyDescent="0.3">
      <c r="A54"/>
      <c r="B54"/>
      <c r="C54" s="166"/>
      <c r="D54" s="65" t="s">
        <v>997</v>
      </c>
      <c r="E54" s="65">
        <f>E44*C8</f>
        <v>33</v>
      </c>
      <c r="F54" s="65">
        <v>2</v>
      </c>
      <c r="G54" s="65">
        <f t="shared" si="1"/>
        <v>16.5</v>
      </c>
      <c r="H54"/>
      <c r="I54"/>
      <c r="J54"/>
      <c r="K54"/>
      <c r="L54"/>
      <c r="M54"/>
    </row>
    <row r="55" spans="1:16" x14ac:dyDescent="0.3">
      <c r="A55"/>
      <c r="B55"/>
      <c r="C55" s="166"/>
      <c r="D55"/>
      <c r="E55"/>
      <c r="F55"/>
      <c r="G55"/>
      <c r="H55"/>
      <c r="I55"/>
      <c r="J55"/>
      <c r="K55"/>
      <c r="L55"/>
      <c r="M55"/>
    </row>
    <row r="56" spans="1:16" x14ac:dyDescent="0.3">
      <c r="A56"/>
      <c r="B56"/>
      <c r="C56"/>
      <c r="D56"/>
      <c r="E56"/>
      <c r="F56"/>
      <c r="G56"/>
      <c r="H56"/>
      <c r="I56"/>
      <c r="J56"/>
      <c r="K56"/>
      <c r="L56"/>
      <c r="M56"/>
    </row>
    <row r="57" spans="1:16" x14ac:dyDescent="0.3">
      <c r="A57"/>
      <c r="B57"/>
      <c r="C57"/>
      <c r="D57"/>
      <c r="E57"/>
      <c r="F57"/>
      <c r="G57"/>
      <c r="H57"/>
      <c r="I57"/>
      <c r="J57"/>
      <c r="K57"/>
      <c r="L57"/>
      <c r="M57"/>
    </row>
    <row r="58" spans="1:16" x14ac:dyDescent="0.3">
      <c r="A58"/>
      <c r="B58"/>
      <c r="C58"/>
      <c r="D58" t="s">
        <v>1019</v>
      </c>
      <c r="E58" t="s">
        <v>1020</v>
      </c>
      <c r="F58"/>
      <c r="G58"/>
      <c r="H58"/>
      <c r="I58"/>
      <c r="J58"/>
      <c r="K58"/>
      <c r="L58"/>
      <c r="M58"/>
    </row>
    <row r="59" spans="1:16" s="42" customFormat="1" x14ac:dyDescent="0.3">
      <c r="B59"/>
      <c r="C59"/>
      <c r="D59" s="89" t="s">
        <v>648</v>
      </c>
      <c r="E59">
        <f>E74</f>
        <v>9</v>
      </c>
      <c r="G59" s="119">
        <v>35</v>
      </c>
      <c r="H59" s="68" t="s">
        <v>259</v>
      </c>
      <c r="I59" s="193">
        <v>1</v>
      </c>
    </row>
    <row r="60" spans="1:16" x14ac:dyDescent="0.3">
      <c r="A60"/>
      <c r="B60"/>
      <c r="C60"/>
      <c r="D60" s="89" t="s">
        <v>649</v>
      </c>
      <c r="E60" s="183">
        <f>E75</f>
        <v>7.5</v>
      </c>
      <c r="G60" s="119" t="s">
        <v>265</v>
      </c>
      <c r="H60" s="68" t="s">
        <v>211</v>
      </c>
      <c r="I60" s="193">
        <v>2</v>
      </c>
      <c r="M60"/>
    </row>
    <row r="61" spans="1:16" x14ac:dyDescent="0.3">
      <c r="A61"/>
      <c r="B61"/>
      <c r="C61"/>
      <c r="D61" s="89" t="s">
        <v>651</v>
      </c>
      <c r="E61"/>
      <c r="G61" s="119" t="s">
        <v>275</v>
      </c>
      <c r="H61" s="68" t="s">
        <v>274</v>
      </c>
      <c r="I61" s="193">
        <v>2</v>
      </c>
      <c r="M61"/>
    </row>
    <row r="62" spans="1:16" x14ac:dyDescent="0.3">
      <c r="A62"/>
      <c r="B62"/>
      <c r="C62"/>
      <c r="D62" s="89" t="s">
        <v>653</v>
      </c>
      <c r="E62"/>
      <c r="G62" s="119" t="s">
        <v>277</v>
      </c>
      <c r="H62" s="68" t="s">
        <v>276</v>
      </c>
      <c r="I62" s="193">
        <v>2</v>
      </c>
      <c r="M62"/>
    </row>
    <row r="63" spans="1:16" x14ac:dyDescent="0.3">
      <c r="A63"/>
      <c r="B63"/>
      <c r="C63"/>
      <c r="D63" s="89" t="s">
        <v>655</v>
      </c>
      <c r="E63"/>
      <c r="G63" s="119" t="s">
        <v>279</v>
      </c>
      <c r="H63" s="68" t="s">
        <v>278</v>
      </c>
      <c r="I63" s="193">
        <v>2</v>
      </c>
      <c r="M63"/>
    </row>
    <row r="64" spans="1:16" x14ac:dyDescent="0.3">
      <c r="A64"/>
      <c r="B64"/>
      <c r="C64"/>
      <c r="D64" s="89" t="s">
        <v>657</v>
      </c>
      <c r="E64"/>
      <c r="G64" s="119" t="s">
        <v>281</v>
      </c>
      <c r="H64" s="68" t="s">
        <v>280</v>
      </c>
      <c r="I64" s="193">
        <v>2</v>
      </c>
      <c r="M64"/>
    </row>
    <row r="65" spans="1:13" x14ac:dyDescent="0.3">
      <c r="A65"/>
      <c r="B65"/>
      <c r="C65"/>
      <c r="D65" s="89" t="s">
        <v>659</v>
      </c>
      <c r="E65"/>
      <c r="G65" s="119" t="s">
        <v>283</v>
      </c>
      <c r="H65" s="68" t="s">
        <v>282</v>
      </c>
      <c r="I65" s="193">
        <v>2</v>
      </c>
      <c r="M65"/>
    </row>
    <row r="66" spans="1:13" x14ac:dyDescent="0.3">
      <c r="A66"/>
      <c r="B66"/>
      <c r="C66"/>
      <c r="D66" s="89" t="s">
        <v>661</v>
      </c>
      <c r="E66"/>
      <c r="G66" s="119" t="s">
        <v>260</v>
      </c>
      <c r="H66" s="68" t="s">
        <v>210</v>
      </c>
      <c r="I66" s="193">
        <v>3</v>
      </c>
      <c r="M66"/>
    </row>
    <row r="67" spans="1:13" x14ac:dyDescent="0.3">
      <c r="A67"/>
      <c r="B67"/>
      <c r="C67"/>
      <c r="D67" s="89" t="s">
        <v>663</v>
      </c>
      <c r="E67"/>
      <c r="G67" s="119" t="s">
        <v>264</v>
      </c>
      <c r="H67" s="68" t="s">
        <v>263</v>
      </c>
      <c r="I67" s="193">
        <v>3</v>
      </c>
      <c r="M67"/>
    </row>
    <row r="68" spans="1:13" x14ac:dyDescent="0.3">
      <c r="B68"/>
      <c r="C68"/>
      <c r="D68" s="89" t="s">
        <v>665</v>
      </c>
      <c r="E68"/>
      <c r="G68" s="119" t="s">
        <v>268</v>
      </c>
      <c r="H68" s="68" t="s">
        <v>212</v>
      </c>
      <c r="I68" s="193">
        <v>3</v>
      </c>
      <c r="M68"/>
    </row>
    <row r="69" spans="1:13" x14ac:dyDescent="0.3">
      <c r="B69"/>
      <c r="C69"/>
      <c r="D69" s="89" t="s">
        <v>667</v>
      </c>
      <c r="E69"/>
      <c r="G69" s="119" t="s">
        <v>269</v>
      </c>
      <c r="H69" s="68" t="s">
        <v>213</v>
      </c>
      <c r="I69" s="193">
        <v>3</v>
      </c>
      <c r="M69"/>
    </row>
    <row r="70" spans="1:13" x14ac:dyDescent="0.3">
      <c r="B70"/>
      <c r="C70"/>
      <c r="D70" s="89" t="s">
        <v>669</v>
      </c>
      <c r="E70"/>
      <c r="G70" s="119" t="s">
        <v>271</v>
      </c>
      <c r="H70" s="68" t="s">
        <v>215</v>
      </c>
      <c r="I70" s="193">
        <v>3</v>
      </c>
      <c r="M70"/>
    </row>
    <row r="71" spans="1:13" x14ac:dyDescent="0.3">
      <c r="B71"/>
      <c r="C71"/>
      <c r="D71" s="89" t="s">
        <v>671</v>
      </c>
      <c r="E71"/>
      <c r="G71" s="119" t="s">
        <v>273</v>
      </c>
      <c r="H71" s="68" t="s">
        <v>272</v>
      </c>
      <c r="I71" s="193">
        <v>3</v>
      </c>
      <c r="M71"/>
    </row>
    <row r="72" spans="1:13" x14ac:dyDescent="0.3">
      <c r="B72"/>
      <c r="C72"/>
      <c r="D72" s="89" t="s">
        <v>673</v>
      </c>
      <c r="E72"/>
      <c r="G72" s="119" t="s">
        <v>267</v>
      </c>
      <c r="H72" s="68" t="s">
        <v>266</v>
      </c>
      <c r="I72" s="193">
        <v>4</v>
      </c>
      <c r="M72"/>
    </row>
    <row r="73" spans="1:13" x14ac:dyDescent="0.3">
      <c r="B73"/>
      <c r="C73"/>
      <c r="D73" s="89" t="s">
        <v>675</v>
      </c>
      <c r="E73"/>
      <c r="G73" s="119" t="s">
        <v>270</v>
      </c>
      <c r="H73" s="68" t="s">
        <v>214</v>
      </c>
      <c r="I73" s="193">
        <v>5</v>
      </c>
      <c r="M73"/>
    </row>
    <row r="74" spans="1:13" x14ac:dyDescent="0.3">
      <c r="B74"/>
      <c r="C74"/>
      <c r="D74" s="89" t="s">
        <v>677</v>
      </c>
      <c r="E74">
        <f>E75*1.2</f>
        <v>9</v>
      </c>
      <c r="G74" s="119" t="s">
        <v>262</v>
      </c>
      <c r="H74" s="68" t="s">
        <v>261</v>
      </c>
      <c r="I74" s="193">
        <v>6</v>
      </c>
      <c r="M74"/>
    </row>
    <row r="75" spans="1:13" x14ac:dyDescent="0.3">
      <c r="B75"/>
      <c r="C75"/>
      <c r="D75" s="89" t="s">
        <v>679</v>
      </c>
      <c r="E75">
        <f>'ITEM CRAFT'!E408</f>
        <v>7.5</v>
      </c>
      <c r="F75"/>
      <c r="G75"/>
      <c r="H75"/>
      <c r="I75"/>
      <c r="J75"/>
      <c r="K75"/>
      <c r="L75"/>
      <c r="M75"/>
    </row>
    <row r="76" spans="1:13" x14ac:dyDescent="0.3">
      <c r="B76"/>
      <c r="C76"/>
      <c r="D76"/>
      <c r="E76"/>
      <c r="F76"/>
      <c r="G76"/>
      <c r="H76"/>
      <c r="I76"/>
      <c r="J76"/>
      <c r="K76"/>
      <c r="L76"/>
      <c r="M76"/>
    </row>
    <row r="77" spans="1:13" x14ac:dyDescent="0.3">
      <c r="B77"/>
      <c r="C77"/>
      <c r="D77"/>
      <c r="E77"/>
      <c r="F77"/>
      <c r="G77"/>
      <c r="H77"/>
      <c r="I77"/>
      <c r="J77"/>
      <c r="K77"/>
      <c r="L77"/>
      <c r="M77"/>
    </row>
    <row r="78" spans="1:13" x14ac:dyDescent="0.3">
      <c r="B78"/>
      <c r="C78"/>
      <c r="D78"/>
      <c r="E78"/>
      <c r="F78"/>
      <c r="G78"/>
      <c r="H78"/>
      <c r="I78"/>
      <c r="J78"/>
      <c r="K78"/>
      <c r="L78"/>
      <c r="M78"/>
    </row>
    <row r="79" spans="1:13" x14ac:dyDescent="0.3">
      <c r="B79"/>
      <c r="C79"/>
      <c r="D79"/>
      <c r="E79"/>
      <c r="F79"/>
      <c r="G79"/>
      <c r="H79"/>
      <c r="I79"/>
      <c r="J79"/>
      <c r="K79"/>
      <c r="L79"/>
      <c r="M79"/>
    </row>
    <row r="80" spans="1:13" x14ac:dyDescent="0.3">
      <c r="B80"/>
      <c r="C80"/>
      <c r="D80"/>
      <c r="E80"/>
      <c r="F80"/>
      <c r="G80"/>
      <c r="H80"/>
      <c r="I80"/>
      <c r="J80"/>
      <c r="K80"/>
      <c r="L80"/>
      <c r="M80"/>
    </row>
    <row r="81" spans="2:13" x14ac:dyDescent="0.3">
      <c r="B81"/>
      <c r="C81"/>
      <c r="D81"/>
      <c r="E81"/>
      <c r="F81"/>
      <c r="G81"/>
      <c r="H81"/>
      <c r="I81"/>
      <c r="J81"/>
      <c r="K81"/>
      <c r="L81"/>
      <c r="M81"/>
    </row>
    <row r="82" spans="2:13" x14ac:dyDescent="0.3">
      <c r="B82"/>
      <c r="C82"/>
      <c r="D82"/>
      <c r="E82"/>
      <c r="F82"/>
      <c r="G82"/>
      <c r="H82"/>
      <c r="I82"/>
      <c r="J82"/>
      <c r="K82"/>
      <c r="L82"/>
      <c r="M82"/>
    </row>
    <row r="83" spans="2:13" x14ac:dyDescent="0.3">
      <c r="B83"/>
      <c r="C83"/>
      <c r="D83"/>
      <c r="E83"/>
      <c r="F83"/>
      <c r="G83"/>
      <c r="H83"/>
      <c r="I83"/>
      <c r="J83"/>
      <c r="K83"/>
      <c r="L83"/>
      <c r="M83"/>
    </row>
    <row r="84" spans="2:13" x14ac:dyDescent="0.3">
      <c r="B84"/>
      <c r="C84"/>
      <c r="D84"/>
      <c r="E84"/>
      <c r="F84"/>
      <c r="G84"/>
      <c r="H84"/>
      <c r="I84"/>
      <c r="J84"/>
      <c r="K84"/>
      <c r="L84"/>
      <c r="M84"/>
    </row>
    <row r="85" spans="2:13" x14ac:dyDescent="0.3">
      <c r="B85"/>
      <c r="C85"/>
      <c r="D85"/>
      <c r="E85"/>
      <c r="F85"/>
      <c r="G85"/>
      <c r="H85"/>
      <c r="I85"/>
      <c r="J85"/>
      <c r="K85"/>
      <c r="L85"/>
      <c r="M85"/>
    </row>
    <row r="86" spans="2:13" x14ac:dyDescent="0.3">
      <c r="B86"/>
      <c r="C86"/>
      <c r="D86"/>
      <c r="E86"/>
      <c r="F86"/>
      <c r="G86"/>
      <c r="H86"/>
      <c r="I86"/>
      <c r="J86"/>
      <c r="K86"/>
      <c r="L86"/>
      <c r="M86"/>
    </row>
    <row r="87" spans="2:13" x14ac:dyDescent="0.3">
      <c r="B87"/>
      <c r="C87"/>
      <c r="D87"/>
      <c r="E87"/>
      <c r="F87"/>
      <c r="G87"/>
      <c r="H87"/>
      <c r="I87"/>
      <c r="J87"/>
      <c r="K87"/>
      <c r="L87"/>
      <c r="M87"/>
    </row>
    <row r="88" spans="2:13" x14ac:dyDescent="0.3">
      <c r="B88"/>
      <c r="C88"/>
      <c r="D88"/>
      <c r="E88"/>
      <c r="F88"/>
      <c r="G88"/>
      <c r="H88"/>
      <c r="I88"/>
      <c r="J88"/>
      <c r="K88"/>
      <c r="L88"/>
      <c r="M88"/>
    </row>
    <row r="89" spans="2:13" x14ac:dyDescent="0.3">
      <c r="B89"/>
      <c r="C89"/>
      <c r="D89"/>
      <c r="E89"/>
      <c r="F89"/>
      <c r="G89"/>
      <c r="H89"/>
      <c r="I89"/>
      <c r="J89"/>
      <c r="K89"/>
      <c r="L89"/>
      <c r="M89"/>
    </row>
    <row r="90" spans="2:13" x14ac:dyDescent="0.3">
      <c r="B90"/>
      <c r="C90"/>
      <c r="D90"/>
      <c r="E90"/>
      <c r="F90"/>
      <c r="G90"/>
      <c r="H90"/>
      <c r="I90"/>
      <c r="J90"/>
      <c r="K90"/>
      <c r="L90"/>
      <c r="M90"/>
    </row>
    <row r="91" spans="2:13" x14ac:dyDescent="0.3">
      <c r="B91"/>
      <c r="C91"/>
      <c r="D91"/>
      <c r="E91"/>
      <c r="F91"/>
      <c r="G91"/>
      <c r="H91"/>
      <c r="I91"/>
      <c r="J91"/>
      <c r="K91"/>
      <c r="L91"/>
      <c r="M91"/>
    </row>
    <row r="92" spans="2:13" x14ac:dyDescent="0.3">
      <c r="B92"/>
      <c r="C92"/>
      <c r="D92"/>
      <c r="E92"/>
      <c r="F92"/>
      <c r="G92"/>
      <c r="H92"/>
      <c r="I92"/>
      <c r="J92"/>
      <c r="K92"/>
      <c r="L92"/>
      <c r="M92"/>
    </row>
    <row r="93" spans="2:13" x14ac:dyDescent="0.3">
      <c r="B93"/>
      <c r="C93"/>
      <c r="D93"/>
      <c r="E93"/>
      <c r="F93"/>
      <c r="G93"/>
      <c r="H93" s="42"/>
      <c r="I93" s="42"/>
      <c r="J93"/>
      <c r="K93"/>
      <c r="L93"/>
      <c r="M93"/>
    </row>
    <row r="94" spans="2:13" x14ac:dyDescent="0.3">
      <c r="B94"/>
      <c r="C94"/>
      <c r="D94"/>
      <c r="E94"/>
      <c r="F94"/>
      <c r="G94"/>
      <c r="H94" s="42"/>
      <c r="I94" s="42"/>
      <c r="J94"/>
      <c r="K94"/>
      <c r="L94"/>
      <c r="M94"/>
    </row>
    <row r="95" spans="2:13" x14ac:dyDescent="0.3">
      <c r="B95"/>
      <c r="C95"/>
      <c r="D95"/>
      <c r="E95"/>
      <c r="F95"/>
      <c r="G95"/>
      <c r="H95" s="42"/>
      <c r="I95" s="42"/>
      <c r="J95"/>
      <c r="K95"/>
      <c r="L95"/>
      <c r="M95"/>
    </row>
    <row r="96" spans="2:13" x14ac:dyDescent="0.3">
      <c r="B96"/>
      <c r="C96"/>
      <c r="D96"/>
      <c r="E96"/>
      <c r="F96"/>
      <c r="G96"/>
      <c r="H96"/>
      <c r="I96"/>
      <c r="J96"/>
      <c r="K96"/>
      <c r="L96"/>
      <c r="M96"/>
    </row>
    <row r="97" spans="2:13" x14ac:dyDescent="0.3">
      <c r="B97"/>
      <c r="C97"/>
      <c r="D97"/>
      <c r="E97"/>
      <c r="F97"/>
      <c r="G97"/>
      <c r="H97"/>
      <c r="I97"/>
      <c r="J97"/>
      <c r="K97"/>
      <c r="L97"/>
      <c r="M97"/>
    </row>
    <row r="98" spans="2:13" x14ac:dyDescent="0.3">
      <c r="B98"/>
      <c r="C98"/>
      <c r="D98"/>
      <c r="E98"/>
      <c r="F98"/>
      <c r="G98"/>
      <c r="H98"/>
      <c r="I98"/>
      <c r="J98"/>
      <c r="K98"/>
      <c r="L98"/>
      <c r="M98"/>
    </row>
    <row r="99" spans="2:13" x14ac:dyDescent="0.3">
      <c r="B99"/>
      <c r="C99"/>
      <c r="D99"/>
      <c r="E99"/>
      <c r="F99"/>
      <c r="G99"/>
      <c r="H99"/>
      <c r="I99"/>
      <c r="J99"/>
      <c r="K99"/>
      <c r="L99"/>
      <c r="M99"/>
    </row>
    <row r="100" spans="2:13" x14ac:dyDescent="0.3">
      <c r="B100"/>
      <c r="C100"/>
      <c r="D100"/>
      <c r="E100"/>
      <c r="F100"/>
      <c r="G100"/>
      <c r="H100"/>
      <c r="I100"/>
      <c r="J100"/>
      <c r="K100"/>
      <c r="L100"/>
      <c r="M100"/>
    </row>
    <row r="101" spans="2:13" x14ac:dyDescent="0.3">
      <c r="B101"/>
      <c r="C101"/>
      <c r="D101"/>
      <c r="E101"/>
      <c r="F101"/>
      <c r="G101"/>
      <c r="H101"/>
      <c r="I101"/>
      <c r="J101"/>
      <c r="K101"/>
      <c r="L101"/>
      <c r="M101"/>
    </row>
    <row r="102" spans="2:13" x14ac:dyDescent="0.3">
      <c r="B102"/>
      <c r="C102"/>
      <c r="D102"/>
      <c r="E102"/>
      <c r="F102"/>
      <c r="G102"/>
      <c r="H102"/>
      <c r="I102"/>
      <c r="J102"/>
      <c r="K102"/>
      <c r="L102"/>
      <c r="M102"/>
    </row>
    <row r="103" spans="2:13" x14ac:dyDescent="0.3">
      <c r="B103"/>
      <c r="C103"/>
      <c r="D103"/>
      <c r="E103"/>
      <c r="F103"/>
      <c r="G103"/>
      <c r="H103"/>
      <c r="I103"/>
      <c r="J103" s="42"/>
      <c r="K103" s="42"/>
      <c r="L103"/>
      <c r="M103"/>
    </row>
    <row r="104" spans="2:13" x14ac:dyDescent="0.3">
      <c r="B104"/>
      <c r="C104"/>
      <c r="D104"/>
      <c r="E104"/>
      <c r="F104"/>
      <c r="G104"/>
      <c r="H104"/>
      <c r="I104"/>
      <c r="J104" s="42"/>
      <c r="K104" s="42"/>
      <c r="L104"/>
      <c r="M104"/>
    </row>
    <row r="105" spans="2:13" x14ac:dyDescent="0.3">
      <c r="B105"/>
      <c r="C105"/>
      <c r="D105"/>
      <c r="E105"/>
      <c r="F105"/>
      <c r="G105"/>
      <c r="H105"/>
      <c r="I105"/>
      <c r="J105" s="42"/>
      <c r="K105" s="42"/>
      <c r="L105"/>
      <c r="M105"/>
    </row>
    <row r="106" spans="2:13" x14ac:dyDescent="0.3">
      <c r="B106"/>
      <c r="C106"/>
      <c r="D106"/>
      <c r="E106"/>
      <c r="F106"/>
      <c r="G106"/>
      <c r="H106"/>
      <c r="I106"/>
      <c r="J106"/>
      <c r="K106"/>
      <c r="L106"/>
      <c r="M106"/>
    </row>
    <row r="107" spans="2:13" x14ac:dyDescent="0.3">
      <c r="B107"/>
      <c r="C107"/>
      <c r="D107"/>
      <c r="E107"/>
      <c r="F107"/>
      <c r="G107"/>
      <c r="H107"/>
      <c r="I107"/>
      <c r="J107"/>
      <c r="K107"/>
      <c r="L107"/>
      <c r="M107"/>
    </row>
    <row r="108" spans="2:13" x14ac:dyDescent="0.3">
      <c r="B108"/>
      <c r="C108"/>
      <c r="D108"/>
      <c r="E108"/>
      <c r="F108"/>
      <c r="G108"/>
      <c r="H108"/>
      <c r="I108"/>
      <c r="J108"/>
      <c r="K108"/>
      <c r="L108"/>
      <c r="M108"/>
    </row>
    <row r="109" spans="2:13" x14ac:dyDescent="0.3">
      <c r="B109"/>
      <c r="C109"/>
      <c r="D109"/>
      <c r="E109"/>
      <c r="F109"/>
      <c r="G109"/>
      <c r="H109"/>
      <c r="I109"/>
      <c r="J109"/>
      <c r="K109"/>
      <c r="L109"/>
      <c r="M109"/>
    </row>
    <row r="110" spans="2:13" x14ac:dyDescent="0.3">
      <c r="B110"/>
      <c r="C110"/>
      <c r="D110"/>
      <c r="E110"/>
      <c r="F110"/>
      <c r="G110"/>
      <c r="H110"/>
      <c r="I110"/>
      <c r="J110"/>
      <c r="K110"/>
      <c r="L110"/>
      <c r="M110"/>
    </row>
    <row r="111" spans="2:13" x14ac:dyDescent="0.3">
      <c r="B111"/>
      <c r="C111"/>
      <c r="D111"/>
      <c r="E111"/>
      <c r="F111"/>
      <c r="G111"/>
      <c r="H111"/>
      <c r="I111"/>
      <c r="J111"/>
      <c r="K111"/>
      <c r="L111"/>
      <c r="M111"/>
    </row>
    <row r="112" spans="2:13" x14ac:dyDescent="0.3">
      <c r="B112"/>
      <c r="C112"/>
      <c r="D112"/>
      <c r="E112"/>
      <c r="F112" s="42"/>
      <c r="G112" s="42"/>
      <c r="H112"/>
      <c r="I112"/>
      <c r="J112"/>
      <c r="K112"/>
      <c r="L112"/>
      <c r="M112"/>
    </row>
    <row r="113" spans="2:13" x14ac:dyDescent="0.3">
      <c r="B113"/>
      <c r="C113"/>
      <c r="D113"/>
      <c r="E113"/>
      <c r="F113" s="42"/>
      <c r="G113" s="42"/>
      <c r="H113"/>
      <c r="I113"/>
      <c r="J113"/>
      <c r="K113"/>
      <c r="L113"/>
      <c r="M113"/>
    </row>
    <row r="114" spans="2:13" x14ac:dyDescent="0.3">
      <c r="B114"/>
      <c r="C114"/>
      <c r="D114"/>
      <c r="E114"/>
      <c r="F114" s="42"/>
      <c r="G114" s="42"/>
      <c r="H114"/>
      <c r="I114"/>
      <c r="J114"/>
      <c r="K114"/>
      <c r="L114"/>
      <c r="M114"/>
    </row>
    <row r="115" spans="2:13" x14ac:dyDescent="0.3">
      <c r="B115"/>
      <c r="C115"/>
      <c r="D115"/>
      <c r="E115"/>
      <c r="F115"/>
      <c r="G115"/>
      <c r="H115"/>
      <c r="I115"/>
      <c r="J115"/>
      <c r="K115"/>
      <c r="L115"/>
      <c r="M115"/>
    </row>
    <row r="116" spans="2:13" x14ac:dyDescent="0.3">
      <c r="B116" s="42"/>
      <c r="C116"/>
      <c r="D116"/>
      <c r="E116"/>
      <c r="F116"/>
      <c r="G116"/>
      <c r="H116"/>
      <c r="I116"/>
      <c r="J116"/>
      <c r="K116"/>
      <c r="L116"/>
      <c r="M116"/>
    </row>
    <row r="117" spans="2:13" x14ac:dyDescent="0.3">
      <c r="B117" s="42"/>
      <c r="C117"/>
      <c r="D117"/>
      <c r="E117"/>
      <c r="F117"/>
      <c r="G117"/>
      <c r="H117"/>
      <c r="I117"/>
      <c r="J117"/>
      <c r="K117"/>
      <c r="L117"/>
      <c r="M117"/>
    </row>
    <row r="118" spans="2:13" x14ac:dyDescent="0.3">
      <c r="B118" s="42"/>
      <c r="C118"/>
      <c r="D118"/>
      <c r="E118"/>
      <c r="F118"/>
      <c r="G118"/>
      <c r="H118"/>
      <c r="I118"/>
      <c r="J118"/>
      <c r="K118"/>
      <c r="L118"/>
      <c r="M118"/>
    </row>
    <row r="119" spans="2:13" x14ac:dyDescent="0.3">
      <c r="B119"/>
      <c r="C119"/>
      <c r="D119"/>
      <c r="E119" s="42"/>
      <c r="F119"/>
      <c r="G119"/>
      <c r="H119"/>
      <c r="I119"/>
      <c r="J119"/>
      <c r="K119"/>
      <c r="L119"/>
      <c r="M119"/>
    </row>
    <row r="120" spans="2:13" x14ac:dyDescent="0.3">
      <c r="B120"/>
      <c r="C120"/>
      <c r="D120" s="42"/>
      <c r="E120" s="42"/>
      <c r="F120"/>
      <c r="G120"/>
      <c r="H120"/>
      <c r="I120"/>
      <c r="J120"/>
      <c r="K120"/>
      <c r="L120"/>
      <c r="M120"/>
    </row>
    <row r="121" spans="2:13" x14ac:dyDescent="0.3">
      <c r="B121"/>
      <c r="C121" s="42"/>
      <c r="D121" s="42"/>
      <c r="E121" s="42"/>
      <c r="F121"/>
      <c r="G121"/>
      <c r="H121"/>
      <c r="I121"/>
      <c r="J121"/>
      <c r="K121"/>
      <c r="L121"/>
      <c r="M121"/>
    </row>
    <row r="122" spans="2:13" x14ac:dyDescent="0.3">
      <c r="B122"/>
      <c r="C122" s="42"/>
      <c r="D122" s="42"/>
      <c r="E122"/>
      <c r="F122"/>
      <c r="G122"/>
      <c r="H122"/>
      <c r="I122"/>
      <c r="J122"/>
      <c r="K122"/>
      <c r="L122"/>
      <c r="M122"/>
    </row>
    <row r="123" spans="2:13" x14ac:dyDescent="0.3">
      <c r="B123"/>
      <c r="C123" s="42"/>
      <c r="D123"/>
      <c r="E123"/>
      <c r="F123"/>
      <c r="G123"/>
      <c r="H123"/>
      <c r="I123"/>
      <c r="J123"/>
      <c r="K123"/>
      <c r="L123"/>
      <c r="M123"/>
    </row>
    <row r="124" spans="2:13" x14ac:dyDescent="0.3">
      <c r="B124"/>
      <c r="C124"/>
      <c r="D124"/>
      <c r="E124"/>
      <c r="F124"/>
      <c r="G124"/>
      <c r="H124"/>
      <c r="I124"/>
      <c r="J124"/>
      <c r="K124"/>
      <c r="L124"/>
      <c r="M124"/>
    </row>
    <row r="125" spans="2:13" x14ac:dyDescent="0.3">
      <c r="B125"/>
      <c r="C125"/>
      <c r="D125"/>
      <c r="E125"/>
      <c r="F125"/>
      <c r="G125"/>
      <c r="H125"/>
      <c r="I125"/>
      <c r="J125"/>
      <c r="K125"/>
      <c r="L125"/>
      <c r="M125"/>
    </row>
    <row r="126" spans="2:13" x14ac:dyDescent="0.3">
      <c r="B126"/>
      <c r="C126"/>
      <c r="D126"/>
      <c r="E126"/>
      <c r="F126"/>
      <c r="G126"/>
      <c r="H126"/>
      <c r="I126"/>
      <c r="J126"/>
      <c r="K126"/>
      <c r="L126"/>
      <c r="M126"/>
    </row>
    <row r="127" spans="2:13" x14ac:dyDescent="0.3">
      <c r="B127"/>
      <c r="C127"/>
      <c r="D127"/>
      <c r="E127"/>
      <c r="F127"/>
      <c r="G127"/>
      <c r="H127"/>
      <c r="I127"/>
      <c r="J127"/>
      <c r="K127"/>
      <c r="L127"/>
      <c r="M127"/>
    </row>
    <row r="128" spans="2:13" x14ac:dyDescent="0.3">
      <c r="B128"/>
      <c r="C128"/>
      <c r="D128"/>
      <c r="E128"/>
      <c r="F128"/>
      <c r="G128"/>
      <c r="H128"/>
      <c r="I128"/>
      <c r="J128"/>
      <c r="K128"/>
      <c r="L128"/>
      <c r="M128"/>
    </row>
    <row r="129" spans="2:13" x14ac:dyDescent="0.3">
      <c r="B129"/>
      <c r="C129"/>
      <c r="D129"/>
      <c r="E129"/>
      <c r="F129"/>
      <c r="G129"/>
      <c r="H129"/>
      <c r="I129"/>
      <c r="J129"/>
      <c r="K129"/>
      <c r="L129"/>
      <c r="M129"/>
    </row>
    <row r="130" spans="2:13" x14ac:dyDescent="0.3">
      <c r="B130"/>
      <c r="C130"/>
      <c r="D130"/>
      <c r="E130"/>
      <c r="F130"/>
      <c r="G130"/>
      <c r="H130"/>
      <c r="I130"/>
      <c r="J130"/>
      <c r="K130"/>
      <c r="L130"/>
      <c r="M130"/>
    </row>
    <row r="131" spans="2:13" x14ac:dyDescent="0.3">
      <c r="B131"/>
      <c r="C131"/>
      <c r="D131"/>
      <c r="E131"/>
      <c r="F131"/>
      <c r="G131"/>
      <c r="H131"/>
      <c r="I131"/>
      <c r="J131"/>
      <c r="K131"/>
      <c r="L131"/>
      <c r="M131"/>
    </row>
    <row r="132" spans="2:13" x14ac:dyDescent="0.3">
      <c r="B132"/>
      <c r="C132"/>
      <c r="D132"/>
      <c r="E132"/>
      <c r="F132"/>
      <c r="G132"/>
      <c r="H132"/>
      <c r="I132"/>
      <c r="J132"/>
      <c r="K132"/>
      <c r="L132"/>
      <c r="M132"/>
    </row>
    <row r="133" spans="2:13" x14ac:dyDescent="0.3">
      <c r="B133"/>
      <c r="C133"/>
      <c r="D133"/>
      <c r="E133"/>
      <c r="F133"/>
      <c r="G133"/>
      <c r="H133"/>
      <c r="I133"/>
      <c r="J133"/>
      <c r="K133"/>
      <c r="L133"/>
      <c r="M133"/>
    </row>
    <row r="134" spans="2:13" x14ac:dyDescent="0.3">
      <c r="B134"/>
      <c r="C134"/>
      <c r="D134"/>
      <c r="E134"/>
      <c r="F134"/>
      <c r="G134"/>
      <c r="H134"/>
      <c r="I134"/>
      <c r="J134"/>
      <c r="K134"/>
      <c r="L134"/>
      <c r="M134"/>
    </row>
    <row r="135" spans="2:13" x14ac:dyDescent="0.3">
      <c r="B135"/>
      <c r="C135"/>
      <c r="D135"/>
      <c r="E135"/>
      <c r="F135"/>
      <c r="G135"/>
      <c r="H135"/>
      <c r="I135"/>
      <c r="J135"/>
      <c r="K135"/>
      <c r="L135"/>
      <c r="M135"/>
    </row>
    <row r="136" spans="2:13" x14ac:dyDescent="0.3">
      <c r="B136"/>
      <c r="C136"/>
      <c r="D136"/>
      <c r="E136"/>
      <c r="F136"/>
      <c r="G136"/>
      <c r="H136"/>
      <c r="I136"/>
      <c r="J136"/>
      <c r="K136"/>
      <c r="L136"/>
      <c r="M136"/>
    </row>
    <row r="137" spans="2:13" s="42" customFormat="1" x14ac:dyDescent="0.3">
      <c r="B137"/>
      <c r="C137"/>
      <c r="D137"/>
      <c r="E137"/>
      <c r="F137"/>
      <c r="G137"/>
      <c r="H137"/>
      <c r="I137"/>
      <c r="J137"/>
      <c r="K137"/>
    </row>
    <row r="138" spans="2:13" s="42" customFormat="1" x14ac:dyDescent="0.3">
      <c r="B138"/>
      <c r="C138"/>
      <c r="D138"/>
      <c r="E138"/>
      <c r="F138"/>
      <c r="G138"/>
      <c r="H138"/>
      <c r="I138"/>
      <c r="J138"/>
      <c r="K138"/>
    </row>
    <row r="139" spans="2:13" s="42" customFormat="1" x14ac:dyDescent="0.3">
      <c r="B139"/>
      <c r="C139"/>
      <c r="D139"/>
      <c r="E139"/>
      <c r="F139"/>
      <c r="G139"/>
      <c r="H139"/>
      <c r="I139"/>
      <c r="J139"/>
      <c r="K139"/>
    </row>
    <row r="140" spans="2:13" x14ac:dyDescent="0.3">
      <c r="B140"/>
      <c r="C140"/>
      <c r="D140"/>
      <c r="E140"/>
      <c r="F140"/>
      <c r="G140"/>
      <c r="H140"/>
      <c r="I140"/>
      <c r="J140"/>
      <c r="K140"/>
      <c r="L140"/>
      <c r="M140"/>
    </row>
    <row r="141" spans="2:13" x14ac:dyDescent="0.3">
      <c r="B141"/>
      <c r="C141"/>
      <c r="D141"/>
      <c r="E141"/>
      <c r="F141"/>
      <c r="G141"/>
      <c r="H141"/>
      <c r="I141"/>
      <c r="J141"/>
      <c r="K141"/>
      <c r="L141"/>
      <c r="M141"/>
    </row>
    <row r="142" spans="2:13" x14ac:dyDescent="0.3">
      <c r="B142"/>
      <c r="C142"/>
      <c r="D142"/>
      <c r="E142"/>
      <c r="F142"/>
      <c r="G142"/>
      <c r="H142"/>
      <c r="I142"/>
      <c r="J142"/>
      <c r="K142"/>
      <c r="L142"/>
      <c r="M142"/>
    </row>
    <row r="143" spans="2:13" x14ac:dyDescent="0.3">
      <c r="B143"/>
      <c r="C143"/>
      <c r="D143"/>
      <c r="E143"/>
      <c r="F143"/>
      <c r="G143"/>
      <c r="H143"/>
      <c r="I143"/>
      <c r="J143"/>
      <c r="K143"/>
      <c r="L143"/>
      <c r="M143"/>
    </row>
    <row r="144" spans="2:13" x14ac:dyDescent="0.3">
      <c r="B144"/>
      <c r="C144"/>
      <c r="D144"/>
      <c r="E144"/>
      <c r="F144"/>
      <c r="G144"/>
      <c r="H144"/>
      <c r="I144"/>
      <c r="J144"/>
      <c r="K144"/>
      <c r="L144"/>
      <c r="M144"/>
    </row>
    <row r="145" spans="2:13" x14ac:dyDescent="0.3">
      <c r="B145"/>
      <c r="C145"/>
      <c r="D145"/>
      <c r="E145"/>
      <c r="F145"/>
      <c r="G145"/>
      <c r="H145"/>
      <c r="I145"/>
      <c r="J145"/>
      <c r="K145"/>
      <c r="L145"/>
      <c r="M145"/>
    </row>
    <row r="146" spans="2:13" x14ac:dyDescent="0.3">
      <c r="B146"/>
      <c r="C146"/>
      <c r="D146"/>
      <c r="E146"/>
      <c r="F146"/>
      <c r="G146"/>
      <c r="H146"/>
      <c r="I146"/>
      <c r="J146"/>
      <c r="K146"/>
      <c r="L146"/>
      <c r="M146"/>
    </row>
    <row r="147" spans="2:13" x14ac:dyDescent="0.3">
      <c r="B147"/>
      <c r="C147"/>
      <c r="D147"/>
      <c r="E147"/>
      <c r="F147"/>
      <c r="G147"/>
      <c r="H147"/>
      <c r="I147"/>
      <c r="J147"/>
      <c r="K147"/>
      <c r="L147"/>
      <c r="M147"/>
    </row>
    <row r="148" spans="2:13" x14ac:dyDescent="0.3">
      <c r="B148"/>
      <c r="C148"/>
      <c r="D148"/>
      <c r="E148"/>
      <c r="F148"/>
      <c r="G148"/>
      <c r="H148"/>
      <c r="I148"/>
      <c r="J148"/>
      <c r="K148"/>
      <c r="L148"/>
      <c r="M148"/>
    </row>
    <row r="149" spans="2:13" x14ac:dyDescent="0.3">
      <c r="B149"/>
      <c r="C149"/>
      <c r="D149"/>
      <c r="E149"/>
      <c r="F149"/>
      <c r="G149"/>
      <c r="H149"/>
      <c r="I149"/>
      <c r="J149"/>
      <c r="K149"/>
      <c r="L149"/>
      <c r="M149"/>
    </row>
    <row r="150" spans="2:13" x14ac:dyDescent="0.3">
      <c r="B150"/>
      <c r="C150"/>
      <c r="D150"/>
      <c r="E150"/>
      <c r="F150"/>
      <c r="G150"/>
      <c r="H150"/>
      <c r="I150"/>
      <c r="J150"/>
      <c r="K150"/>
      <c r="L150"/>
      <c r="M150"/>
    </row>
    <row r="151" spans="2:13" x14ac:dyDescent="0.3">
      <c r="B151"/>
      <c r="C151"/>
      <c r="D151"/>
      <c r="E151"/>
      <c r="F151"/>
      <c r="G151"/>
      <c r="H151"/>
      <c r="I151"/>
      <c r="J151"/>
      <c r="K151"/>
      <c r="L151"/>
      <c r="M151"/>
    </row>
    <row r="152" spans="2:13" x14ac:dyDescent="0.3">
      <c r="B152"/>
      <c r="C152"/>
      <c r="D152"/>
      <c r="E152"/>
      <c r="F152"/>
      <c r="G152"/>
      <c r="H152"/>
      <c r="I152"/>
      <c r="J152"/>
      <c r="K152"/>
      <c r="L152"/>
      <c r="M152"/>
    </row>
    <row r="153" spans="2:13" x14ac:dyDescent="0.3">
      <c r="B153"/>
      <c r="C153"/>
      <c r="D153"/>
      <c r="E153"/>
      <c r="F153"/>
      <c r="G153"/>
      <c r="H153"/>
      <c r="I153"/>
      <c r="J153"/>
      <c r="K153"/>
      <c r="L153"/>
      <c r="M153"/>
    </row>
    <row r="154" spans="2:13" x14ac:dyDescent="0.3">
      <c r="B154"/>
      <c r="C154"/>
      <c r="D154"/>
      <c r="E154"/>
      <c r="F154"/>
      <c r="G154"/>
      <c r="H154"/>
      <c r="I154"/>
      <c r="J154"/>
      <c r="K154"/>
      <c r="L154"/>
      <c r="M154"/>
    </row>
    <row r="155" spans="2:13" x14ac:dyDescent="0.3">
      <c r="B155"/>
      <c r="C155"/>
      <c r="D155"/>
      <c r="E155"/>
      <c r="F155"/>
      <c r="G155"/>
      <c r="H155"/>
      <c r="I155"/>
      <c r="J155"/>
      <c r="K155"/>
      <c r="L155"/>
      <c r="M155"/>
    </row>
    <row r="156" spans="2:13" x14ac:dyDescent="0.3">
      <c r="B156"/>
      <c r="C156"/>
      <c r="D156"/>
      <c r="E156"/>
      <c r="F156"/>
      <c r="G156"/>
      <c r="H156"/>
      <c r="I156"/>
      <c r="J156"/>
      <c r="K156"/>
      <c r="L156"/>
      <c r="M156"/>
    </row>
    <row r="157" spans="2:13" x14ac:dyDescent="0.3">
      <c r="B157"/>
      <c r="C157"/>
      <c r="D157"/>
      <c r="E157"/>
      <c r="F157"/>
      <c r="G157"/>
      <c r="H157"/>
      <c r="I157"/>
      <c r="J157"/>
      <c r="K157"/>
      <c r="L157"/>
      <c r="M157"/>
    </row>
    <row r="158" spans="2:13" x14ac:dyDescent="0.3">
      <c r="B158"/>
      <c r="C158"/>
      <c r="D158"/>
      <c r="E158"/>
      <c r="F158"/>
      <c r="G158"/>
      <c r="H158"/>
      <c r="I158"/>
      <c r="J158"/>
      <c r="K158"/>
      <c r="L158"/>
      <c r="M158"/>
    </row>
    <row r="159" spans="2:13" x14ac:dyDescent="0.3">
      <c r="B159"/>
      <c r="C159"/>
      <c r="D159"/>
      <c r="E159"/>
      <c r="F159"/>
      <c r="G159"/>
      <c r="H159"/>
      <c r="I159"/>
      <c r="J159"/>
      <c r="K159"/>
      <c r="L159"/>
      <c r="M159"/>
    </row>
    <row r="160" spans="2:13" x14ac:dyDescent="0.3">
      <c r="B160"/>
      <c r="C160"/>
      <c r="D160"/>
      <c r="E160"/>
      <c r="F160"/>
      <c r="G160"/>
      <c r="H160"/>
      <c r="I160"/>
      <c r="J160"/>
      <c r="K160"/>
      <c r="L160"/>
      <c r="M160"/>
    </row>
    <row r="161" spans="2:13" x14ac:dyDescent="0.3">
      <c r="B161"/>
      <c r="C161"/>
      <c r="D161"/>
      <c r="E161"/>
      <c r="F161"/>
      <c r="G161"/>
      <c r="H161"/>
      <c r="I161"/>
      <c r="J161"/>
      <c r="K161"/>
      <c r="L161"/>
      <c r="M161"/>
    </row>
    <row r="162" spans="2:13" x14ac:dyDescent="0.3">
      <c r="B162"/>
      <c r="C162"/>
      <c r="D162"/>
      <c r="E162"/>
      <c r="F162"/>
      <c r="G162"/>
      <c r="H162"/>
      <c r="I162"/>
      <c r="J162"/>
      <c r="K162"/>
      <c r="L162"/>
      <c r="M162"/>
    </row>
    <row r="163" spans="2:13" x14ac:dyDescent="0.3">
      <c r="B163"/>
      <c r="C163"/>
      <c r="D163"/>
      <c r="E163"/>
      <c r="F163"/>
      <c r="G163"/>
      <c r="H163"/>
      <c r="I163"/>
      <c r="J163"/>
      <c r="K163"/>
      <c r="L163"/>
      <c r="M163"/>
    </row>
    <row r="164" spans="2:13" x14ac:dyDescent="0.3">
      <c r="B164"/>
      <c r="C164"/>
      <c r="D164"/>
      <c r="E164"/>
      <c r="F164"/>
      <c r="G164"/>
      <c r="H164"/>
      <c r="I164"/>
      <c r="J164"/>
      <c r="K164"/>
      <c r="L164"/>
      <c r="M164"/>
    </row>
    <row r="165" spans="2:13" x14ac:dyDescent="0.3">
      <c r="B165"/>
      <c r="C165"/>
      <c r="D165"/>
      <c r="E165"/>
      <c r="F165"/>
      <c r="G165"/>
      <c r="H165"/>
      <c r="I165"/>
      <c r="J165"/>
      <c r="K165"/>
      <c r="L165"/>
      <c r="M165"/>
    </row>
    <row r="166" spans="2:13" x14ac:dyDescent="0.3">
      <c r="B166"/>
      <c r="C166"/>
      <c r="D166"/>
      <c r="E166"/>
      <c r="F166"/>
      <c r="G166"/>
      <c r="H166"/>
      <c r="I166"/>
      <c r="J166"/>
      <c r="K166"/>
      <c r="L166"/>
      <c r="M166"/>
    </row>
    <row r="167" spans="2:13" x14ac:dyDescent="0.3">
      <c r="B167"/>
      <c r="C167"/>
      <c r="D167"/>
      <c r="E167"/>
      <c r="F167"/>
      <c r="G167"/>
      <c r="H167"/>
      <c r="I167"/>
      <c r="J167"/>
      <c r="K167"/>
      <c r="L167"/>
      <c r="M167"/>
    </row>
    <row r="168" spans="2:13" x14ac:dyDescent="0.3">
      <c r="B168"/>
      <c r="C168"/>
      <c r="D168"/>
      <c r="E168"/>
      <c r="F168"/>
      <c r="G168"/>
      <c r="H168"/>
      <c r="I168"/>
      <c r="J168"/>
      <c r="K168"/>
      <c r="L168"/>
      <c r="M168"/>
    </row>
    <row r="169" spans="2:13" x14ac:dyDescent="0.3">
      <c r="B169"/>
      <c r="C169"/>
      <c r="D169"/>
      <c r="E169"/>
      <c r="F169"/>
      <c r="G169"/>
      <c r="H169"/>
      <c r="I169"/>
      <c r="J169"/>
      <c r="K169"/>
      <c r="L169"/>
      <c r="M169"/>
    </row>
    <row r="170" spans="2:13" x14ac:dyDescent="0.3">
      <c r="B170"/>
      <c r="C170"/>
      <c r="D170"/>
      <c r="E170"/>
      <c r="F170"/>
      <c r="G170"/>
      <c r="H170"/>
      <c r="I170"/>
      <c r="J170"/>
      <c r="K170"/>
      <c r="L170"/>
      <c r="M170"/>
    </row>
    <row r="171" spans="2:13" x14ac:dyDescent="0.3">
      <c r="B171"/>
      <c r="C171"/>
      <c r="D171"/>
      <c r="E171"/>
      <c r="F171"/>
      <c r="G171"/>
      <c r="H171"/>
      <c r="I171"/>
      <c r="J171"/>
      <c r="K171"/>
      <c r="L171"/>
      <c r="M171"/>
    </row>
    <row r="172" spans="2:13" x14ac:dyDescent="0.3">
      <c r="B172"/>
      <c r="C172"/>
      <c r="D172"/>
      <c r="E172"/>
      <c r="F172"/>
      <c r="G172"/>
      <c r="H172"/>
      <c r="I172"/>
      <c r="J172"/>
      <c r="K172"/>
      <c r="L172"/>
      <c r="M172"/>
    </row>
    <row r="173" spans="2:13" x14ac:dyDescent="0.3">
      <c r="B173"/>
      <c r="C173"/>
      <c r="D173"/>
      <c r="E173"/>
      <c r="F173"/>
      <c r="G173"/>
      <c r="H173"/>
      <c r="I173"/>
      <c r="J173"/>
      <c r="K173"/>
      <c r="L173"/>
      <c r="M173"/>
    </row>
    <row r="174" spans="2:13" x14ac:dyDescent="0.3">
      <c r="B174"/>
      <c r="C174"/>
      <c r="D174"/>
      <c r="E174"/>
      <c r="F174"/>
      <c r="G174"/>
      <c r="H174"/>
      <c r="I174"/>
      <c r="J174"/>
      <c r="K174"/>
      <c r="L174"/>
      <c r="M174"/>
    </row>
    <row r="175" spans="2:13" x14ac:dyDescent="0.3">
      <c r="B175"/>
      <c r="C175"/>
      <c r="D175"/>
      <c r="E175"/>
      <c r="F175"/>
      <c r="G175"/>
      <c r="H175"/>
      <c r="I175"/>
      <c r="J175"/>
      <c r="K175"/>
      <c r="L175"/>
      <c r="M175"/>
    </row>
    <row r="176" spans="2:13" x14ac:dyDescent="0.3">
      <c r="B176"/>
      <c r="C176"/>
      <c r="D176"/>
      <c r="E176"/>
      <c r="F176"/>
      <c r="G176"/>
      <c r="H176"/>
      <c r="I176"/>
      <c r="J176"/>
      <c r="K176"/>
      <c r="L176"/>
      <c r="M176"/>
    </row>
    <row r="177" spans="2:13" x14ac:dyDescent="0.3">
      <c r="B177"/>
      <c r="C177"/>
      <c r="D177"/>
      <c r="E177"/>
      <c r="F177"/>
      <c r="G177"/>
      <c r="H177"/>
      <c r="I177"/>
      <c r="J177"/>
      <c r="K177"/>
      <c r="L177"/>
      <c r="M177"/>
    </row>
    <row r="178" spans="2:13" x14ac:dyDescent="0.3">
      <c r="B178"/>
      <c r="C178"/>
      <c r="D178"/>
      <c r="E178"/>
      <c r="F178"/>
      <c r="G178"/>
      <c r="H178"/>
      <c r="I178"/>
      <c r="J178"/>
      <c r="K178"/>
      <c r="L178"/>
      <c r="M178"/>
    </row>
    <row r="179" spans="2:13" x14ac:dyDescent="0.3">
      <c r="B179"/>
      <c r="C179"/>
      <c r="D179"/>
      <c r="E179"/>
      <c r="F179"/>
      <c r="G179"/>
      <c r="H179"/>
      <c r="I179"/>
      <c r="J179"/>
      <c r="K179"/>
      <c r="L179"/>
      <c r="M179"/>
    </row>
    <row r="180" spans="2:13" x14ac:dyDescent="0.3">
      <c r="B180"/>
      <c r="C180"/>
      <c r="D180"/>
      <c r="E180"/>
      <c r="F180"/>
      <c r="G180"/>
      <c r="H180"/>
      <c r="I180"/>
      <c r="J180"/>
      <c r="K180"/>
      <c r="L180"/>
      <c r="M180"/>
    </row>
    <row r="181" spans="2:13" x14ac:dyDescent="0.3">
      <c r="B181"/>
      <c r="C181"/>
      <c r="D181"/>
      <c r="E181"/>
      <c r="F181"/>
      <c r="G181"/>
      <c r="H181"/>
      <c r="I181"/>
      <c r="J181"/>
      <c r="K181"/>
      <c r="L181"/>
      <c r="M181"/>
    </row>
    <row r="182" spans="2:13" x14ac:dyDescent="0.3">
      <c r="B182"/>
      <c r="C182"/>
      <c r="D182"/>
      <c r="E182"/>
      <c r="F182"/>
      <c r="G182"/>
      <c r="H182"/>
      <c r="I182"/>
      <c r="J182"/>
      <c r="K182"/>
      <c r="L182"/>
      <c r="M182"/>
    </row>
    <row r="183" spans="2:13" x14ac:dyDescent="0.3">
      <c r="B183"/>
      <c r="C183"/>
      <c r="D183"/>
      <c r="E183"/>
      <c r="F183"/>
      <c r="G183"/>
      <c r="H183"/>
      <c r="I183"/>
      <c r="J183"/>
      <c r="K183"/>
      <c r="L183"/>
      <c r="M183"/>
    </row>
    <row r="184" spans="2:13" x14ac:dyDescent="0.3">
      <c r="B184"/>
      <c r="C184"/>
      <c r="D184"/>
      <c r="E184"/>
      <c r="F184"/>
      <c r="G184"/>
      <c r="H184"/>
      <c r="I184"/>
      <c r="J184"/>
      <c r="K184"/>
      <c r="L184"/>
      <c r="M184"/>
    </row>
    <row r="185" spans="2:13" x14ac:dyDescent="0.3">
      <c r="B185"/>
      <c r="C185"/>
      <c r="D185"/>
      <c r="E185"/>
      <c r="F185"/>
      <c r="G185"/>
      <c r="H185"/>
      <c r="I185"/>
      <c r="J185"/>
      <c r="K185"/>
      <c r="L185"/>
      <c r="M185"/>
    </row>
    <row r="186" spans="2:13" x14ac:dyDescent="0.3">
      <c r="B186"/>
      <c r="C186"/>
      <c r="D186"/>
      <c r="E186"/>
      <c r="F186"/>
      <c r="G186"/>
      <c r="H186"/>
      <c r="I186"/>
      <c r="J186"/>
      <c r="K186"/>
      <c r="L186"/>
      <c r="M186"/>
    </row>
    <row r="187" spans="2:13" x14ac:dyDescent="0.3">
      <c r="B187"/>
      <c r="C187"/>
      <c r="D187"/>
      <c r="E187"/>
      <c r="F187"/>
      <c r="G187"/>
      <c r="H187"/>
      <c r="I187"/>
      <c r="J187"/>
      <c r="K187"/>
      <c r="L187"/>
      <c r="M187"/>
    </row>
    <row r="188" spans="2:13" x14ac:dyDescent="0.3">
      <c r="B188"/>
      <c r="C188"/>
      <c r="D188"/>
      <c r="E188"/>
      <c r="F188"/>
      <c r="G188"/>
      <c r="H188"/>
      <c r="I188"/>
      <c r="J188"/>
      <c r="K188"/>
      <c r="L188"/>
      <c r="M188"/>
    </row>
    <row r="189" spans="2:13" x14ac:dyDescent="0.3">
      <c r="B189"/>
      <c r="C189"/>
      <c r="D189"/>
      <c r="E189"/>
      <c r="F189"/>
      <c r="G189"/>
      <c r="H189"/>
      <c r="I189"/>
      <c r="J189"/>
      <c r="K189"/>
      <c r="L189"/>
      <c r="M189"/>
    </row>
    <row r="190" spans="2:13" x14ac:dyDescent="0.3">
      <c r="B190"/>
      <c r="C190"/>
      <c r="D190"/>
      <c r="E190"/>
      <c r="F190"/>
      <c r="G190"/>
      <c r="H190"/>
      <c r="I190"/>
      <c r="J190"/>
      <c r="K190"/>
      <c r="L190"/>
      <c r="M190"/>
    </row>
    <row r="191" spans="2:13" x14ac:dyDescent="0.3">
      <c r="B191"/>
      <c r="C191"/>
      <c r="D191"/>
      <c r="E191"/>
      <c r="F191"/>
      <c r="G191"/>
      <c r="H191"/>
      <c r="I191"/>
      <c r="J191"/>
      <c r="K191"/>
      <c r="L191"/>
      <c r="M191"/>
    </row>
    <row r="192" spans="2:13" x14ac:dyDescent="0.3">
      <c r="B192"/>
      <c r="C192"/>
      <c r="D192"/>
      <c r="E192"/>
      <c r="F192"/>
      <c r="G192"/>
      <c r="H192"/>
      <c r="I192"/>
      <c r="J192"/>
      <c r="K192"/>
      <c r="L192"/>
      <c r="M192"/>
    </row>
    <row r="193" spans="2:13" x14ac:dyDescent="0.3">
      <c r="B193"/>
      <c r="C193"/>
      <c r="D193"/>
      <c r="E193"/>
      <c r="F193"/>
      <c r="G193"/>
      <c r="H193"/>
      <c r="I193"/>
      <c r="J193"/>
      <c r="K193"/>
      <c r="L193"/>
      <c r="M193"/>
    </row>
    <row r="194" spans="2:13" x14ac:dyDescent="0.3">
      <c r="B194"/>
      <c r="C194"/>
      <c r="D194"/>
      <c r="E194"/>
      <c r="F194"/>
      <c r="G194"/>
      <c r="H194"/>
      <c r="I194"/>
      <c r="J194"/>
      <c r="K194"/>
      <c r="L194"/>
      <c r="M194"/>
    </row>
    <row r="195" spans="2:13" x14ac:dyDescent="0.3">
      <c r="B195"/>
      <c r="C195"/>
      <c r="D195"/>
      <c r="E195"/>
      <c r="F195"/>
      <c r="G195"/>
      <c r="H195"/>
      <c r="I195"/>
      <c r="J195"/>
      <c r="K195"/>
      <c r="L195"/>
      <c r="M195"/>
    </row>
    <row r="196" spans="2:13" x14ac:dyDescent="0.3">
      <c r="B196"/>
      <c r="C196"/>
      <c r="D196"/>
      <c r="E196"/>
      <c r="F196"/>
      <c r="G196"/>
      <c r="H196"/>
      <c r="I196"/>
      <c r="J196"/>
      <c r="K196"/>
      <c r="L196"/>
      <c r="M196"/>
    </row>
    <row r="197" spans="2:13" x14ac:dyDescent="0.3">
      <c r="B197"/>
      <c r="C197"/>
      <c r="D197"/>
      <c r="E197"/>
      <c r="F197"/>
      <c r="G197"/>
      <c r="H197"/>
      <c r="I197"/>
      <c r="J197"/>
      <c r="K197"/>
      <c r="L197"/>
      <c r="M197"/>
    </row>
    <row r="198" spans="2:13" x14ac:dyDescent="0.3">
      <c r="B198"/>
      <c r="C198"/>
      <c r="D198"/>
      <c r="E198"/>
      <c r="F198"/>
      <c r="G198"/>
      <c r="H198"/>
      <c r="I198"/>
      <c r="J198"/>
      <c r="K198"/>
      <c r="L198"/>
      <c r="M198"/>
    </row>
    <row r="199" spans="2:13" x14ac:dyDescent="0.3">
      <c r="B199"/>
      <c r="C199"/>
      <c r="D199"/>
      <c r="E199"/>
      <c r="F199"/>
      <c r="G199"/>
      <c r="H199"/>
      <c r="I199"/>
      <c r="J199"/>
      <c r="K199"/>
      <c r="L199"/>
      <c r="M199"/>
    </row>
    <row r="200" spans="2:13" x14ac:dyDescent="0.3">
      <c r="B200"/>
      <c r="C200"/>
      <c r="D200"/>
      <c r="E200"/>
      <c r="F200"/>
      <c r="G200"/>
      <c r="H200"/>
      <c r="I200"/>
      <c r="J200"/>
      <c r="K200"/>
      <c r="L200"/>
      <c r="M200"/>
    </row>
    <row r="201" spans="2:13" x14ac:dyDescent="0.3">
      <c r="B201"/>
      <c r="C201"/>
      <c r="D201"/>
      <c r="E201"/>
      <c r="F201"/>
      <c r="G201"/>
      <c r="H201"/>
      <c r="I201"/>
      <c r="J201"/>
      <c r="K201"/>
      <c r="L201"/>
      <c r="M201"/>
    </row>
    <row r="202" spans="2:13" x14ac:dyDescent="0.3">
      <c r="B202"/>
      <c r="C202"/>
      <c r="D202"/>
      <c r="E202"/>
      <c r="F202"/>
      <c r="G202"/>
      <c r="H202"/>
      <c r="I202"/>
      <c r="J202"/>
      <c r="K202"/>
      <c r="L202"/>
      <c r="M202"/>
    </row>
    <row r="203" spans="2:13" x14ac:dyDescent="0.3">
      <c r="B203"/>
      <c r="C203"/>
      <c r="D203"/>
      <c r="E203"/>
      <c r="F203"/>
      <c r="G203"/>
      <c r="H203"/>
      <c r="I203"/>
      <c r="J203"/>
      <c r="K203"/>
      <c r="L203"/>
      <c r="M203"/>
    </row>
    <row r="204" spans="2:13" x14ac:dyDescent="0.3">
      <c r="B204"/>
      <c r="C204"/>
      <c r="D204"/>
      <c r="E204"/>
      <c r="F204"/>
      <c r="G204"/>
      <c r="H204"/>
      <c r="I204"/>
      <c r="J204"/>
      <c r="K204"/>
      <c r="L204"/>
      <c r="M204"/>
    </row>
    <row r="205" spans="2:13" x14ac:dyDescent="0.3">
      <c r="B205"/>
      <c r="C205"/>
      <c r="D205"/>
      <c r="E205"/>
      <c r="F205"/>
      <c r="G205"/>
      <c r="H205"/>
      <c r="I205"/>
      <c r="J205"/>
      <c r="K205"/>
      <c r="L205"/>
      <c r="M205"/>
    </row>
    <row r="206" spans="2:13" x14ac:dyDescent="0.3">
      <c r="B206"/>
      <c r="C206"/>
      <c r="D206"/>
      <c r="E206"/>
      <c r="F206"/>
      <c r="G206"/>
      <c r="H206"/>
      <c r="I206"/>
      <c r="J206"/>
      <c r="K206"/>
      <c r="L206"/>
      <c r="M206"/>
    </row>
    <row r="207" spans="2:13" x14ac:dyDescent="0.3">
      <c r="B207"/>
      <c r="C207"/>
      <c r="D207"/>
      <c r="E207"/>
      <c r="F207"/>
      <c r="G207"/>
      <c r="H207"/>
      <c r="I207"/>
      <c r="J207"/>
      <c r="K207"/>
      <c r="L207"/>
      <c r="M207"/>
    </row>
    <row r="208" spans="2:13" x14ac:dyDescent="0.3">
      <c r="B208"/>
      <c r="C208"/>
      <c r="D208"/>
      <c r="E208"/>
      <c r="F208"/>
      <c r="G208"/>
      <c r="H208"/>
      <c r="I208"/>
      <c r="J208"/>
      <c r="K208"/>
      <c r="L208"/>
      <c r="M208"/>
    </row>
    <row r="209" spans="2:13" x14ac:dyDescent="0.3">
      <c r="B209"/>
      <c r="C209"/>
      <c r="D209"/>
      <c r="E209"/>
      <c r="F209"/>
      <c r="G209"/>
      <c r="H209"/>
      <c r="I209"/>
      <c r="J209"/>
      <c r="K209"/>
      <c r="L209"/>
      <c r="M209"/>
    </row>
    <row r="210" spans="2:13" x14ac:dyDescent="0.3">
      <c r="B210"/>
      <c r="C210"/>
      <c r="D210"/>
      <c r="E210"/>
      <c r="F210"/>
      <c r="G210"/>
      <c r="H210"/>
      <c r="I210"/>
      <c r="J210"/>
      <c r="K210"/>
      <c r="L210"/>
      <c r="M210"/>
    </row>
    <row r="211" spans="2:13" x14ac:dyDescent="0.3">
      <c r="B211"/>
      <c r="C211"/>
      <c r="D211"/>
      <c r="E211"/>
      <c r="F211"/>
      <c r="G211"/>
      <c r="H211"/>
      <c r="I211"/>
      <c r="J211"/>
      <c r="K211"/>
      <c r="L211"/>
      <c r="M211"/>
    </row>
    <row r="212" spans="2:13" x14ac:dyDescent="0.3">
      <c r="B212"/>
      <c r="C212"/>
      <c r="D212"/>
      <c r="E212"/>
      <c r="F212"/>
      <c r="G212"/>
      <c r="H212"/>
      <c r="I212"/>
      <c r="J212"/>
      <c r="K212"/>
      <c r="L212"/>
      <c r="M212"/>
    </row>
    <row r="213" spans="2:13" x14ac:dyDescent="0.3">
      <c r="B213"/>
      <c r="C213"/>
      <c r="D213"/>
      <c r="E213"/>
      <c r="F213"/>
      <c r="G213"/>
      <c r="H213"/>
      <c r="I213"/>
      <c r="J213"/>
      <c r="K213"/>
      <c r="L213"/>
      <c r="M213"/>
    </row>
    <row r="214" spans="2:13" x14ac:dyDescent="0.3">
      <c r="B214"/>
      <c r="C214"/>
      <c r="D214"/>
      <c r="E214"/>
      <c r="F214"/>
      <c r="G214"/>
      <c r="H214"/>
      <c r="I214"/>
      <c r="J214"/>
      <c r="K214"/>
      <c r="L214"/>
      <c r="M214"/>
    </row>
    <row r="215" spans="2:13" x14ac:dyDescent="0.3">
      <c r="B215"/>
      <c r="C215"/>
      <c r="D215"/>
      <c r="E215"/>
      <c r="F215"/>
      <c r="G215"/>
      <c r="H215"/>
      <c r="I215"/>
      <c r="J215"/>
      <c r="K215"/>
      <c r="L215"/>
      <c r="M215"/>
    </row>
    <row r="216" spans="2:13" x14ac:dyDescent="0.3">
      <c r="B216"/>
      <c r="C216"/>
      <c r="D216"/>
      <c r="E216"/>
      <c r="F216"/>
      <c r="G216"/>
      <c r="H216"/>
      <c r="I216"/>
      <c r="J216"/>
      <c r="K216"/>
      <c r="L216"/>
      <c r="M216"/>
    </row>
    <row r="217" spans="2:13" x14ac:dyDescent="0.3">
      <c r="B217"/>
      <c r="C217"/>
      <c r="D217"/>
      <c r="E217"/>
      <c r="F217"/>
      <c r="G217"/>
      <c r="H217"/>
      <c r="I217"/>
      <c r="J217"/>
      <c r="K217"/>
      <c r="L217"/>
      <c r="M217"/>
    </row>
    <row r="218" spans="2:13" x14ac:dyDescent="0.3">
      <c r="B218"/>
      <c r="C218"/>
      <c r="D218"/>
      <c r="E218"/>
      <c r="F218"/>
      <c r="G218"/>
      <c r="H218"/>
      <c r="I218"/>
      <c r="J218"/>
      <c r="K218"/>
      <c r="L218"/>
      <c r="M218"/>
    </row>
    <row r="219" spans="2:13" x14ac:dyDescent="0.3">
      <c r="B219"/>
      <c r="C219"/>
      <c r="D219"/>
      <c r="E219"/>
      <c r="F219"/>
      <c r="G219"/>
      <c r="H219"/>
      <c r="I219"/>
      <c r="J219"/>
      <c r="K219"/>
      <c r="L219"/>
      <c r="M219"/>
    </row>
    <row r="220" spans="2:13" x14ac:dyDescent="0.3">
      <c r="B220"/>
      <c r="C220"/>
      <c r="D220"/>
      <c r="E220"/>
      <c r="F220"/>
      <c r="G220"/>
      <c r="H220"/>
      <c r="I220"/>
      <c r="J220"/>
      <c r="K220"/>
      <c r="L220"/>
      <c r="M220"/>
    </row>
    <row r="221" spans="2:13" x14ac:dyDescent="0.3">
      <c r="B221"/>
      <c r="C221"/>
      <c r="D221"/>
      <c r="E221"/>
      <c r="F221"/>
      <c r="G221"/>
      <c r="H221"/>
      <c r="I221"/>
      <c r="J221"/>
      <c r="K221"/>
      <c r="L221"/>
      <c r="M221"/>
    </row>
    <row r="222" spans="2:13" x14ac:dyDescent="0.3">
      <c r="B222"/>
      <c r="C222"/>
      <c r="D222"/>
      <c r="E222"/>
      <c r="F222"/>
      <c r="G222"/>
      <c r="H222"/>
      <c r="I222"/>
      <c r="J222"/>
      <c r="K222"/>
      <c r="L222"/>
      <c r="M222"/>
    </row>
    <row r="223" spans="2:13" x14ac:dyDescent="0.3">
      <c r="B223"/>
      <c r="C223"/>
      <c r="D223"/>
      <c r="E223"/>
      <c r="F223"/>
      <c r="G223"/>
      <c r="H223"/>
      <c r="I223"/>
      <c r="J223"/>
      <c r="K223"/>
      <c r="L223"/>
      <c r="M223"/>
    </row>
    <row r="224" spans="2:13" x14ac:dyDescent="0.3">
      <c r="B224"/>
      <c r="C224"/>
      <c r="D224"/>
      <c r="E224"/>
      <c r="F224"/>
      <c r="G224"/>
      <c r="H224"/>
      <c r="I224"/>
      <c r="J224"/>
      <c r="K224"/>
      <c r="L224"/>
      <c r="M224"/>
    </row>
    <row r="225" spans="2:13" x14ac:dyDescent="0.3">
      <c r="B225"/>
      <c r="C225"/>
      <c r="D225"/>
      <c r="E225"/>
      <c r="F225"/>
      <c r="G225"/>
      <c r="H225"/>
      <c r="I225"/>
      <c r="J225"/>
      <c r="K225"/>
      <c r="L225"/>
      <c r="M225"/>
    </row>
    <row r="226" spans="2:13" x14ac:dyDescent="0.3">
      <c r="B226"/>
      <c r="C226"/>
      <c r="D226"/>
      <c r="E226"/>
      <c r="F226"/>
      <c r="G226"/>
      <c r="H226"/>
      <c r="I226"/>
      <c r="J226"/>
      <c r="K226"/>
      <c r="L226"/>
      <c r="M226"/>
    </row>
    <row r="227" spans="2:13" x14ac:dyDescent="0.3">
      <c r="B227"/>
      <c r="C227"/>
      <c r="D227"/>
      <c r="E227"/>
      <c r="F227"/>
      <c r="G227"/>
      <c r="H227"/>
      <c r="I227"/>
      <c r="J227"/>
      <c r="K227"/>
      <c r="L227"/>
      <c r="M227"/>
    </row>
    <row r="228" spans="2:13" x14ac:dyDescent="0.3">
      <c r="B228"/>
      <c r="C228"/>
      <c r="D228"/>
      <c r="E228"/>
      <c r="F228"/>
      <c r="G228"/>
      <c r="H228"/>
      <c r="I228"/>
      <c r="J228"/>
      <c r="K228"/>
      <c r="L228"/>
      <c r="M228"/>
    </row>
    <row r="229" spans="2:13" x14ac:dyDescent="0.3">
      <c r="B229"/>
      <c r="C229"/>
      <c r="D229"/>
      <c r="E229"/>
      <c r="F229"/>
      <c r="G229"/>
      <c r="H229"/>
      <c r="I229"/>
      <c r="J229"/>
      <c r="K229"/>
      <c r="L229"/>
      <c r="M229"/>
    </row>
    <row r="230" spans="2:13" x14ac:dyDescent="0.3">
      <c r="B230"/>
      <c r="C230"/>
      <c r="D230"/>
      <c r="E230"/>
      <c r="F230"/>
      <c r="G230"/>
      <c r="H230"/>
      <c r="I230"/>
      <c r="J230"/>
      <c r="K230"/>
      <c r="L230"/>
      <c r="M230"/>
    </row>
    <row r="231" spans="2:13" x14ac:dyDescent="0.3">
      <c r="B231"/>
      <c r="C231"/>
      <c r="D231"/>
      <c r="E231"/>
      <c r="F231"/>
      <c r="G231"/>
      <c r="H231"/>
      <c r="I231"/>
      <c r="J231"/>
      <c r="K231"/>
      <c r="L231"/>
      <c r="M231"/>
    </row>
    <row r="232" spans="2:13" x14ac:dyDescent="0.3">
      <c r="B232"/>
      <c r="C232"/>
      <c r="D232"/>
      <c r="E232"/>
      <c r="F232"/>
      <c r="G232"/>
      <c r="H232"/>
      <c r="I232"/>
      <c r="J232"/>
      <c r="K232"/>
      <c r="L232"/>
      <c r="M232"/>
    </row>
    <row r="233" spans="2:13" x14ac:dyDescent="0.3">
      <c r="B233"/>
      <c r="C233"/>
      <c r="D233"/>
      <c r="E233"/>
      <c r="F233"/>
      <c r="G233"/>
      <c r="H233"/>
      <c r="I233"/>
      <c r="J233"/>
      <c r="K233"/>
      <c r="L233"/>
      <c r="M233"/>
    </row>
    <row r="234" spans="2:13" x14ac:dyDescent="0.3">
      <c r="B234"/>
      <c r="C234"/>
      <c r="D234"/>
      <c r="E234"/>
      <c r="F234"/>
      <c r="G234"/>
      <c r="H234"/>
      <c r="I234"/>
      <c r="J234"/>
      <c r="K234"/>
      <c r="L234"/>
      <c r="M234"/>
    </row>
    <row r="235" spans="2:13" x14ac:dyDescent="0.3">
      <c r="B235"/>
      <c r="C235"/>
      <c r="D235"/>
      <c r="E235"/>
      <c r="F235"/>
      <c r="G235"/>
      <c r="H235"/>
      <c r="I235"/>
      <c r="J235"/>
      <c r="K235"/>
      <c r="L235"/>
      <c r="M235"/>
    </row>
    <row r="236" spans="2:13" x14ac:dyDescent="0.3">
      <c r="B236"/>
      <c r="C236"/>
      <c r="D236"/>
      <c r="E236"/>
      <c r="F236"/>
      <c r="G236"/>
      <c r="H236"/>
      <c r="I236"/>
      <c r="J236"/>
      <c r="K236"/>
      <c r="L236"/>
      <c r="M236"/>
    </row>
    <row r="237" spans="2:13" x14ac:dyDescent="0.3">
      <c r="B237"/>
      <c r="C237"/>
      <c r="D237"/>
      <c r="E237"/>
      <c r="F237"/>
      <c r="G237"/>
      <c r="H237"/>
      <c r="I237"/>
      <c r="J237"/>
      <c r="K237"/>
      <c r="L237"/>
      <c r="M237"/>
    </row>
    <row r="238" spans="2:13" x14ac:dyDescent="0.3">
      <c r="B238"/>
      <c r="C238"/>
      <c r="D238"/>
      <c r="E238"/>
      <c r="F238"/>
      <c r="G238"/>
      <c r="H238"/>
      <c r="I238"/>
      <c r="J238"/>
      <c r="K238"/>
      <c r="L238"/>
      <c r="M238"/>
    </row>
    <row r="239" spans="2:13" x14ac:dyDescent="0.3">
      <c r="B239"/>
      <c r="C239"/>
      <c r="D239"/>
      <c r="E239"/>
      <c r="F239"/>
      <c r="G239"/>
      <c r="H239"/>
      <c r="I239"/>
      <c r="J239"/>
      <c r="K239"/>
      <c r="L239"/>
      <c r="M239"/>
    </row>
    <row r="240" spans="2:13" x14ac:dyDescent="0.3">
      <c r="B240"/>
      <c r="C240"/>
      <c r="D240"/>
      <c r="E240"/>
      <c r="F240"/>
      <c r="G240"/>
      <c r="H240"/>
      <c r="I240"/>
      <c r="J240"/>
      <c r="K240"/>
      <c r="L240"/>
      <c r="M240"/>
    </row>
    <row r="241" spans="2:13" x14ac:dyDescent="0.3">
      <c r="B241"/>
      <c r="C241"/>
      <c r="D241"/>
      <c r="E241"/>
      <c r="F241"/>
      <c r="G241"/>
      <c r="H241"/>
      <c r="I241"/>
      <c r="J241"/>
      <c r="K241"/>
      <c r="L241"/>
      <c r="M241"/>
    </row>
    <row r="242" spans="2:13" x14ac:dyDescent="0.3">
      <c r="B242"/>
      <c r="C242"/>
      <c r="D242"/>
      <c r="E242"/>
      <c r="F242"/>
      <c r="G242"/>
      <c r="H242"/>
      <c r="I242"/>
      <c r="J242"/>
      <c r="K242"/>
      <c r="L242"/>
      <c r="M242"/>
    </row>
    <row r="243" spans="2:13" x14ac:dyDescent="0.3">
      <c r="B243"/>
      <c r="C243"/>
      <c r="D243"/>
      <c r="E243"/>
      <c r="F243"/>
      <c r="G243"/>
      <c r="H243"/>
      <c r="I243"/>
      <c r="J243"/>
      <c r="K243"/>
      <c r="L243"/>
      <c r="M243"/>
    </row>
    <row r="244" spans="2:13" x14ac:dyDescent="0.3">
      <c r="B244"/>
      <c r="C244"/>
      <c r="D244"/>
      <c r="E244"/>
      <c r="F244"/>
      <c r="G244"/>
      <c r="H244"/>
      <c r="I244"/>
      <c r="J244"/>
      <c r="K244"/>
      <c r="L244"/>
      <c r="M244"/>
    </row>
    <row r="245" spans="2:13" x14ac:dyDescent="0.3">
      <c r="B245"/>
      <c r="C245"/>
      <c r="D245"/>
      <c r="E245"/>
      <c r="F245"/>
      <c r="G245"/>
      <c r="H245"/>
      <c r="I245"/>
      <c r="J245"/>
      <c r="K245"/>
      <c r="L245"/>
      <c r="M245"/>
    </row>
    <row r="246" spans="2:13" x14ac:dyDescent="0.3">
      <c r="B246"/>
      <c r="C246"/>
      <c r="D246"/>
      <c r="E246"/>
      <c r="F246"/>
      <c r="G246"/>
      <c r="H246"/>
      <c r="I246"/>
      <c r="J246"/>
      <c r="K246"/>
      <c r="L246"/>
      <c r="M246"/>
    </row>
    <row r="247" spans="2:13" x14ac:dyDescent="0.3">
      <c r="B247"/>
      <c r="C247"/>
      <c r="D247"/>
      <c r="E247"/>
      <c r="F247"/>
      <c r="G247"/>
      <c r="H247"/>
      <c r="I247"/>
      <c r="J247"/>
      <c r="K247"/>
      <c r="L247"/>
      <c r="M247"/>
    </row>
    <row r="248" spans="2:13" x14ac:dyDescent="0.3">
      <c r="B248"/>
      <c r="C248"/>
      <c r="D248"/>
      <c r="E248"/>
      <c r="F248"/>
      <c r="G248"/>
      <c r="H248"/>
      <c r="I248"/>
      <c r="J248"/>
      <c r="K248"/>
      <c r="L248"/>
      <c r="M248"/>
    </row>
    <row r="249" spans="2:13" x14ac:dyDescent="0.3">
      <c r="B249"/>
      <c r="C249"/>
      <c r="D249"/>
      <c r="E249"/>
      <c r="F249"/>
      <c r="G249"/>
      <c r="H249"/>
      <c r="I249"/>
      <c r="J249"/>
      <c r="K249"/>
      <c r="L249"/>
      <c r="M249"/>
    </row>
    <row r="250" spans="2:13" x14ac:dyDescent="0.3">
      <c r="B250"/>
      <c r="C250"/>
      <c r="D250"/>
      <c r="E250"/>
      <c r="F250"/>
      <c r="G250"/>
      <c r="H250"/>
      <c r="I250"/>
      <c r="J250"/>
      <c r="K250"/>
      <c r="L250"/>
      <c r="M250"/>
    </row>
    <row r="251" spans="2:13" x14ac:dyDescent="0.3">
      <c r="B251"/>
      <c r="C251"/>
      <c r="D251"/>
      <c r="E251"/>
      <c r="F251"/>
      <c r="G251"/>
      <c r="H251"/>
      <c r="I251"/>
      <c r="J251"/>
      <c r="K251"/>
      <c r="L251"/>
      <c r="M251"/>
    </row>
    <row r="252" spans="2:13" x14ac:dyDescent="0.3">
      <c r="B252"/>
      <c r="C252"/>
      <c r="D252"/>
      <c r="E252"/>
      <c r="F252"/>
      <c r="G252"/>
      <c r="H252"/>
      <c r="I252"/>
      <c r="J252"/>
      <c r="K252"/>
      <c r="L252"/>
      <c r="M252"/>
    </row>
    <row r="253" spans="2:13" x14ac:dyDescent="0.3">
      <c r="B253"/>
      <c r="C253"/>
      <c r="D253"/>
      <c r="E253"/>
      <c r="F253"/>
      <c r="G253"/>
      <c r="H253"/>
      <c r="I253"/>
      <c r="J253"/>
      <c r="K253"/>
      <c r="L253"/>
      <c r="M253"/>
    </row>
    <row r="254" spans="2:13" x14ac:dyDescent="0.3">
      <c r="B254"/>
      <c r="C254"/>
      <c r="D254"/>
      <c r="E254"/>
      <c r="F254"/>
      <c r="G254"/>
      <c r="H254"/>
      <c r="I254"/>
      <c r="J254"/>
      <c r="K254"/>
      <c r="L254"/>
      <c r="M254"/>
    </row>
    <row r="255" spans="2:13" x14ac:dyDescent="0.3">
      <c r="B255"/>
      <c r="C255"/>
      <c r="D255"/>
      <c r="E255"/>
      <c r="F255"/>
      <c r="G255"/>
      <c r="H255"/>
      <c r="I255"/>
      <c r="J255"/>
      <c r="K255"/>
      <c r="L255"/>
      <c r="M255"/>
    </row>
    <row r="256" spans="2:13" x14ac:dyDescent="0.3">
      <c r="B256"/>
      <c r="C256"/>
      <c r="D256"/>
      <c r="E256"/>
      <c r="F256"/>
      <c r="G256"/>
      <c r="H256"/>
      <c r="I256"/>
      <c r="J256"/>
      <c r="K256"/>
      <c r="L256"/>
      <c r="M256"/>
    </row>
    <row r="257" spans="2:13" x14ac:dyDescent="0.3">
      <c r="B257"/>
      <c r="C257"/>
      <c r="D257"/>
      <c r="E257"/>
      <c r="F257"/>
      <c r="G257"/>
      <c r="H257"/>
      <c r="I257"/>
      <c r="J257"/>
      <c r="K257"/>
      <c r="L257"/>
      <c r="M257"/>
    </row>
    <row r="258" spans="2:13" x14ac:dyDescent="0.3">
      <c r="B258"/>
      <c r="C258"/>
      <c r="D258"/>
      <c r="E258"/>
      <c r="F258"/>
      <c r="G258"/>
      <c r="H258"/>
      <c r="I258"/>
      <c r="J258"/>
      <c r="K258"/>
      <c r="L258"/>
      <c r="M258"/>
    </row>
    <row r="259" spans="2:13" x14ac:dyDescent="0.3">
      <c r="B259"/>
      <c r="C259"/>
      <c r="D259"/>
      <c r="E259"/>
      <c r="F259"/>
      <c r="G259"/>
      <c r="H259"/>
      <c r="I259"/>
      <c r="J259"/>
      <c r="K259"/>
      <c r="L259"/>
      <c r="M259"/>
    </row>
    <row r="260" spans="2:13" x14ac:dyDescent="0.3">
      <c r="B260"/>
      <c r="C260"/>
      <c r="D260"/>
      <c r="E260"/>
      <c r="F260"/>
      <c r="G260"/>
      <c r="H260"/>
      <c r="I260"/>
      <c r="J260"/>
      <c r="K260"/>
      <c r="L260"/>
      <c r="M260"/>
    </row>
    <row r="261" spans="2:13" x14ac:dyDescent="0.3">
      <c r="B261"/>
      <c r="C261"/>
      <c r="D261"/>
      <c r="E261"/>
      <c r="F261"/>
      <c r="G261"/>
      <c r="H261"/>
      <c r="I261"/>
      <c r="J261"/>
      <c r="K261"/>
      <c r="L261"/>
      <c r="M261"/>
    </row>
    <row r="262" spans="2:13" x14ac:dyDescent="0.3">
      <c r="B262"/>
      <c r="C262"/>
      <c r="D262"/>
      <c r="E262"/>
      <c r="F262"/>
      <c r="G262"/>
      <c r="H262"/>
      <c r="I262"/>
      <c r="J262"/>
      <c r="K262"/>
      <c r="L262"/>
      <c r="M262"/>
    </row>
    <row r="263" spans="2:13" x14ac:dyDescent="0.3">
      <c r="B263"/>
      <c r="C263"/>
      <c r="D263"/>
      <c r="E263"/>
      <c r="F263"/>
      <c r="G263"/>
      <c r="H263"/>
      <c r="I263"/>
      <c r="J263"/>
      <c r="K263"/>
      <c r="L263"/>
      <c r="M263"/>
    </row>
    <row r="264" spans="2:13" x14ac:dyDescent="0.3">
      <c r="B264"/>
      <c r="C264"/>
      <c r="D264"/>
      <c r="E264"/>
      <c r="F264"/>
      <c r="G264"/>
      <c r="H264"/>
      <c r="I264"/>
      <c r="J264"/>
      <c r="K264"/>
      <c r="L264"/>
      <c r="M264"/>
    </row>
    <row r="265" spans="2:13" x14ac:dyDescent="0.3">
      <c r="B265"/>
      <c r="C265"/>
      <c r="D265"/>
      <c r="E265"/>
      <c r="F265"/>
      <c r="G265"/>
      <c r="H265"/>
      <c r="I265"/>
      <c r="J265"/>
      <c r="K265"/>
      <c r="L265"/>
      <c r="M265"/>
    </row>
    <row r="266" spans="2:13" x14ac:dyDescent="0.3">
      <c r="B266"/>
      <c r="C266"/>
      <c r="D266"/>
      <c r="E266"/>
      <c r="F266"/>
      <c r="G266"/>
      <c r="H266"/>
      <c r="I266"/>
      <c r="J266"/>
      <c r="K266"/>
      <c r="L266"/>
      <c r="M266"/>
    </row>
    <row r="267" spans="2:13" x14ac:dyDescent="0.3">
      <c r="B267"/>
      <c r="C267"/>
      <c r="D267"/>
      <c r="E267"/>
      <c r="F267"/>
      <c r="G267"/>
      <c r="H267"/>
      <c r="I267"/>
      <c r="J267"/>
      <c r="K267"/>
      <c r="L267"/>
      <c r="M267"/>
    </row>
    <row r="268" spans="2:13" x14ac:dyDescent="0.3">
      <c r="B268"/>
      <c r="C268"/>
      <c r="D268"/>
      <c r="E268"/>
      <c r="F268"/>
      <c r="G268"/>
      <c r="H268"/>
      <c r="I268"/>
      <c r="J268"/>
      <c r="K268"/>
      <c r="L268"/>
      <c r="M268"/>
    </row>
    <row r="269" spans="2:13" x14ac:dyDescent="0.3">
      <c r="B269"/>
      <c r="C269"/>
      <c r="D269"/>
      <c r="E269"/>
      <c r="F269"/>
      <c r="G269"/>
      <c r="H269"/>
      <c r="I269"/>
      <c r="J269"/>
      <c r="K269"/>
      <c r="L269"/>
      <c r="M269"/>
    </row>
    <row r="270" spans="2:13" x14ac:dyDescent="0.3">
      <c r="B270"/>
      <c r="C270"/>
      <c r="D270"/>
      <c r="E270"/>
      <c r="F270"/>
      <c r="G270"/>
      <c r="H270"/>
      <c r="I270"/>
      <c r="J270"/>
      <c r="K270"/>
      <c r="L270"/>
      <c r="M270"/>
    </row>
    <row r="271" spans="2:13" x14ac:dyDescent="0.3">
      <c r="B271"/>
      <c r="C271"/>
      <c r="D271"/>
      <c r="E271"/>
      <c r="F271"/>
      <c r="G271"/>
      <c r="H271"/>
      <c r="I271"/>
      <c r="J271"/>
      <c r="K271"/>
      <c r="L271"/>
      <c r="M271"/>
    </row>
    <row r="272" spans="2:13" x14ac:dyDescent="0.3">
      <c r="B272"/>
      <c r="C272"/>
      <c r="D272"/>
      <c r="E272"/>
      <c r="F272"/>
      <c r="G272"/>
      <c r="H272"/>
      <c r="I272"/>
      <c r="J272"/>
      <c r="K272"/>
      <c r="L272"/>
      <c r="M272"/>
    </row>
    <row r="273" spans="2:13" x14ac:dyDescent="0.3">
      <c r="B273"/>
      <c r="C273"/>
      <c r="D273"/>
      <c r="E273"/>
      <c r="F273"/>
      <c r="G273"/>
      <c r="H273"/>
      <c r="I273"/>
      <c r="J273"/>
      <c r="K273"/>
      <c r="L273"/>
      <c r="M273"/>
    </row>
    <row r="274" spans="2:13" x14ac:dyDescent="0.3">
      <c r="B274"/>
      <c r="C274"/>
      <c r="D274"/>
      <c r="E274"/>
      <c r="F274"/>
      <c r="G274"/>
      <c r="H274"/>
      <c r="I274"/>
      <c r="J274"/>
      <c r="K274"/>
      <c r="L274"/>
      <c r="M274"/>
    </row>
    <row r="275" spans="2:13" x14ac:dyDescent="0.3">
      <c r="B275"/>
      <c r="C275"/>
      <c r="D275"/>
      <c r="E275"/>
      <c r="F275"/>
      <c r="G275"/>
      <c r="H275"/>
      <c r="I275"/>
      <c r="J275"/>
      <c r="K275"/>
      <c r="L275"/>
      <c r="M275"/>
    </row>
    <row r="276" spans="2:13" x14ac:dyDescent="0.3">
      <c r="B276"/>
      <c r="C276"/>
      <c r="D276"/>
      <c r="E276"/>
      <c r="F276"/>
      <c r="G276"/>
      <c r="H276"/>
      <c r="I276"/>
      <c r="J276"/>
      <c r="K276"/>
      <c r="L276"/>
      <c r="M276"/>
    </row>
    <row r="277" spans="2:13" x14ac:dyDescent="0.3">
      <c r="B277"/>
      <c r="C277"/>
      <c r="D277"/>
      <c r="E277"/>
      <c r="F277"/>
      <c r="G277"/>
      <c r="H277"/>
      <c r="I277"/>
      <c r="J277"/>
      <c r="K277"/>
      <c r="L277"/>
      <c r="M277"/>
    </row>
    <row r="278" spans="2:13" x14ac:dyDescent="0.3">
      <c r="B278"/>
      <c r="C278"/>
      <c r="D278"/>
      <c r="E278"/>
      <c r="F278"/>
      <c r="G278"/>
      <c r="H278"/>
      <c r="I278"/>
      <c r="J278"/>
      <c r="K278"/>
      <c r="L278"/>
      <c r="M278"/>
    </row>
    <row r="279" spans="2:13" x14ac:dyDescent="0.3">
      <c r="B279"/>
      <c r="C279"/>
      <c r="D279"/>
      <c r="E279"/>
      <c r="F279"/>
      <c r="G279"/>
      <c r="H279"/>
      <c r="I279"/>
      <c r="J279"/>
      <c r="K279"/>
      <c r="L279"/>
      <c r="M279"/>
    </row>
    <row r="280" spans="2:13" x14ac:dyDescent="0.3">
      <c r="B280"/>
      <c r="C280"/>
      <c r="D280"/>
      <c r="E280"/>
      <c r="F280"/>
      <c r="G280"/>
      <c r="H280"/>
      <c r="I280"/>
      <c r="J280"/>
      <c r="K280"/>
      <c r="L280"/>
      <c r="M280"/>
    </row>
    <row r="281" spans="2:13" x14ac:dyDescent="0.3">
      <c r="B281"/>
      <c r="C281"/>
      <c r="D281"/>
      <c r="E281"/>
      <c r="F281"/>
      <c r="G281"/>
      <c r="H281"/>
      <c r="I281"/>
      <c r="J281"/>
      <c r="K281"/>
      <c r="L281"/>
      <c r="M281"/>
    </row>
    <row r="282" spans="2:13" x14ac:dyDescent="0.3">
      <c r="B282"/>
      <c r="C282"/>
      <c r="D282"/>
      <c r="E282"/>
      <c r="F282"/>
      <c r="G282"/>
      <c r="H282"/>
      <c r="I282"/>
      <c r="J282"/>
      <c r="K282"/>
      <c r="L282"/>
      <c r="M282"/>
    </row>
    <row r="283" spans="2:13" x14ac:dyDescent="0.3">
      <c r="B283"/>
      <c r="C283"/>
      <c r="D283"/>
      <c r="E283"/>
      <c r="F283"/>
      <c r="G283"/>
      <c r="H283"/>
      <c r="I283"/>
      <c r="J283"/>
      <c r="K283"/>
      <c r="L283"/>
      <c r="M283"/>
    </row>
    <row r="284" spans="2:13" x14ac:dyDescent="0.3">
      <c r="B284"/>
      <c r="C284"/>
      <c r="D284"/>
      <c r="E284"/>
      <c r="F284"/>
      <c r="G284"/>
      <c r="H284"/>
      <c r="I284"/>
      <c r="J284"/>
      <c r="K284"/>
      <c r="L284"/>
      <c r="M284"/>
    </row>
    <row r="285" spans="2:13" x14ac:dyDescent="0.3">
      <c r="B285"/>
      <c r="C285"/>
      <c r="D285"/>
      <c r="E285"/>
      <c r="F285"/>
      <c r="G285"/>
      <c r="H285"/>
      <c r="I285"/>
      <c r="J285"/>
      <c r="K285"/>
      <c r="L285"/>
      <c r="M285"/>
    </row>
    <row r="286" spans="2:13" x14ac:dyDescent="0.3">
      <c r="B286"/>
      <c r="C286"/>
      <c r="D286"/>
      <c r="E286"/>
      <c r="F286"/>
      <c r="G286"/>
      <c r="H286"/>
      <c r="I286"/>
      <c r="J286"/>
      <c r="K286"/>
      <c r="L286"/>
      <c r="M286"/>
    </row>
    <row r="287" spans="2:13" x14ac:dyDescent="0.3">
      <c r="B287"/>
      <c r="C287"/>
      <c r="D287"/>
      <c r="E287"/>
      <c r="F287"/>
      <c r="G287"/>
      <c r="H287"/>
      <c r="I287"/>
      <c r="J287"/>
      <c r="K287"/>
      <c r="L287"/>
      <c r="M287"/>
    </row>
    <row r="288" spans="2:13" x14ac:dyDescent="0.3">
      <c r="B288"/>
      <c r="C288"/>
      <c r="D288"/>
      <c r="E288"/>
      <c r="F288"/>
      <c r="G288"/>
      <c r="H288"/>
      <c r="I288"/>
      <c r="J288"/>
      <c r="K288"/>
      <c r="L288"/>
      <c r="M288"/>
    </row>
    <row r="289" spans="2:13" x14ac:dyDescent="0.3">
      <c r="B289"/>
      <c r="C289"/>
      <c r="D289"/>
      <c r="E289"/>
      <c r="F289"/>
      <c r="G289"/>
      <c r="H289"/>
      <c r="I289"/>
      <c r="J289"/>
      <c r="K289"/>
      <c r="L289"/>
      <c r="M289"/>
    </row>
    <row r="290" spans="2:13" x14ac:dyDescent="0.3">
      <c r="B290"/>
      <c r="C290"/>
      <c r="D290"/>
      <c r="E290"/>
      <c r="F290"/>
      <c r="G290"/>
      <c r="H290"/>
      <c r="I290"/>
      <c r="J290"/>
      <c r="K290"/>
      <c r="L290"/>
      <c r="M290"/>
    </row>
    <row r="291" spans="2:13" x14ac:dyDescent="0.3">
      <c r="B291"/>
      <c r="C291"/>
      <c r="D291"/>
      <c r="E291"/>
      <c r="F291"/>
      <c r="G291"/>
      <c r="H291"/>
      <c r="I291"/>
      <c r="J291"/>
      <c r="K291"/>
      <c r="L291"/>
      <c r="M291"/>
    </row>
    <row r="292" spans="2:13" x14ac:dyDescent="0.3">
      <c r="B292"/>
      <c r="C292"/>
      <c r="D292"/>
      <c r="E292"/>
      <c r="F292"/>
      <c r="G292"/>
      <c r="H292"/>
      <c r="I292"/>
      <c r="J292"/>
      <c r="K292"/>
      <c r="L292"/>
      <c r="M292"/>
    </row>
    <row r="293" spans="2:13" x14ac:dyDescent="0.3">
      <c r="B293"/>
      <c r="C293"/>
      <c r="D293"/>
      <c r="E293"/>
      <c r="F293"/>
      <c r="G293"/>
      <c r="H293"/>
      <c r="I293"/>
      <c r="J293"/>
      <c r="K293"/>
      <c r="L293"/>
      <c r="M293"/>
    </row>
    <row r="294" spans="2:13" x14ac:dyDescent="0.3">
      <c r="B294"/>
      <c r="C294"/>
      <c r="D294"/>
      <c r="E294"/>
      <c r="F294"/>
      <c r="G294"/>
      <c r="H294"/>
      <c r="I294"/>
      <c r="J294"/>
      <c r="K294"/>
      <c r="L294"/>
      <c r="M294"/>
    </row>
    <row r="295" spans="2:13" x14ac:dyDescent="0.3">
      <c r="B295"/>
      <c r="C295"/>
      <c r="D295"/>
      <c r="E295"/>
      <c r="F295"/>
      <c r="G295"/>
      <c r="H295"/>
      <c r="I295"/>
      <c r="J295"/>
      <c r="K295"/>
      <c r="L295"/>
      <c r="M295"/>
    </row>
    <row r="296" spans="2:13" x14ac:dyDescent="0.3">
      <c r="B296"/>
      <c r="C296"/>
      <c r="D296"/>
      <c r="E296"/>
      <c r="F296"/>
      <c r="G296"/>
      <c r="H296"/>
      <c r="I296"/>
      <c r="J296"/>
      <c r="K296"/>
      <c r="L296"/>
      <c r="M296"/>
    </row>
    <row r="297" spans="2:13" x14ac:dyDescent="0.3">
      <c r="B297"/>
      <c r="C297"/>
      <c r="D297"/>
      <c r="E297"/>
      <c r="F297"/>
      <c r="G297"/>
      <c r="H297"/>
      <c r="I297"/>
      <c r="J297"/>
      <c r="K297"/>
      <c r="L297"/>
      <c r="M297"/>
    </row>
    <row r="298" spans="2:13" x14ac:dyDescent="0.3">
      <c r="B298"/>
      <c r="C298"/>
      <c r="D298"/>
      <c r="E298"/>
      <c r="F298"/>
      <c r="G298"/>
      <c r="H298"/>
      <c r="I298"/>
      <c r="J298"/>
      <c r="K298"/>
      <c r="L298"/>
      <c r="M298"/>
    </row>
    <row r="299" spans="2:13" x14ac:dyDescent="0.3">
      <c r="B299"/>
      <c r="C299"/>
      <c r="D299"/>
      <c r="E299"/>
      <c r="F299"/>
      <c r="G299"/>
      <c r="H299"/>
      <c r="I299"/>
      <c r="J299"/>
      <c r="K299"/>
      <c r="L299"/>
      <c r="M299"/>
    </row>
    <row r="300" spans="2:13" x14ac:dyDescent="0.3">
      <c r="B300"/>
      <c r="C300"/>
      <c r="D300"/>
      <c r="E300"/>
      <c r="F300"/>
      <c r="G300"/>
      <c r="H300"/>
      <c r="I300"/>
      <c r="J300"/>
      <c r="K300"/>
      <c r="L300"/>
      <c r="M300"/>
    </row>
    <row r="301" spans="2:13" x14ac:dyDescent="0.3">
      <c r="B301"/>
      <c r="C301"/>
      <c r="D301"/>
      <c r="E301"/>
      <c r="F301"/>
      <c r="G301"/>
      <c r="H301"/>
      <c r="I301"/>
      <c r="J301"/>
      <c r="K301"/>
      <c r="L301"/>
      <c r="M301"/>
    </row>
    <row r="302" spans="2:13" x14ac:dyDescent="0.3">
      <c r="B302"/>
      <c r="C302"/>
      <c r="D302"/>
      <c r="E302"/>
      <c r="F302"/>
      <c r="G302"/>
      <c r="H302"/>
      <c r="I302"/>
      <c r="J302"/>
      <c r="K302"/>
      <c r="L302"/>
      <c r="M302"/>
    </row>
    <row r="303" spans="2:13" x14ac:dyDescent="0.3">
      <c r="B303"/>
      <c r="C303"/>
      <c r="D303"/>
      <c r="E303"/>
      <c r="F303"/>
      <c r="G303"/>
      <c r="H303"/>
      <c r="I303"/>
      <c r="J303"/>
      <c r="K303"/>
      <c r="L303"/>
      <c r="M303"/>
    </row>
    <row r="304" spans="2:13" x14ac:dyDescent="0.3">
      <c r="B304"/>
      <c r="C304"/>
      <c r="D304"/>
      <c r="E304"/>
      <c r="F304"/>
      <c r="G304"/>
      <c r="H304"/>
      <c r="I304"/>
      <c r="J304"/>
      <c r="K304"/>
      <c r="L304"/>
      <c r="M304"/>
    </row>
    <row r="305" spans="2:13" x14ac:dyDescent="0.3">
      <c r="B305"/>
      <c r="C305"/>
      <c r="D305"/>
      <c r="E305"/>
      <c r="F305"/>
      <c r="G305"/>
      <c r="H305"/>
      <c r="I305"/>
      <c r="J305"/>
      <c r="K305"/>
      <c r="L305"/>
      <c r="M305"/>
    </row>
    <row r="306" spans="2:13" x14ac:dyDescent="0.3">
      <c r="B306"/>
      <c r="C306"/>
      <c r="D306"/>
      <c r="E306"/>
      <c r="F306"/>
      <c r="G306"/>
      <c r="H306"/>
      <c r="I306"/>
      <c r="J306"/>
      <c r="K306"/>
      <c r="L306"/>
      <c r="M306"/>
    </row>
    <row r="307" spans="2:13" x14ac:dyDescent="0.3">
      <c r="B307"/>
      <c r="C307"/>
      <c r="D307"/>
      <c r="E307"/>
      <c r="F307"/>
      <c r="G307"/>
      <c r="H307"/>
      <c r="I307"/>
      <c r="J307"/>
      <c r="K307"/>
      <c r="L307"/>
      <c r="M307"/>
    </row>
    <row r="308" spans="2:13" x14ac:dyDescent="0.3">
      <c r="B308"/>
      <c r="C308"/>
      <c r="D308"/>
      <c r="E308"/>
      <c r="F308"/>
      <c r="G308"/>
      <c r="H308"/>
      <c r="I308"/>
      <c r="J308"/>
      <c r="K308"/>
      <c r="L308"/>
      <c r="M308"/>
    </row>
    <row r="309" spans="2:13" x14ac:dyDescent="0.3">
      <c r="B309"/>
      <c r="C309"/>
      <c r="D309"/>
      <c r="E309"/>
      <c r="F309"/>
      <c r="G309"/>
      <c r="H309"/>
      <c r="I309"/>
      <c r="J309"/>
      <c r="K309"/>
      <c r="L309"/>
      <c r="M309"/>
    </row>
    <row r="310" spans="2:13" x14ac:dyDescent="0.3">
      <c r="B310"/>
      <c r="C310"/>
      <c r="D310"/>
      <c r="E310"/>
      <c r="F310"/>
      <c r="G310"/>
      <c r="H310"/>
      <c r="I310"/>
      <c r="J310"/>
      <c r="K310"/>
      <c r="L310"/>
      <c r="M310"/>
    </row>
    <row r="311" spans="2:13" x14ac:dyDescent="0.3">
      <c r="B311"/>
      <c r="C311"/>
      <c r="D311"/>
      <c r="E311"/>
      <c r="F311"/>
      <c r="G311"/>
      <c r="H311"/>
      <c r="I311"/>
      <c r="J311"/>
      <c r="K311"/>
      <c r="L311"/>
      <c r="M311"/>
    </row>
    <row r="312" spans="2:13" x14ac:dyDescent="0.3">
      <c r="B312"/>
      <c r="C312"/>
      <c r="D312"/>
      <c r="E312"/>
      <c r="F312"/>
      <c r="G312"/>
      <c r="H312"/>
      <c r="I312"/>
      <c r="J312"/>
      <c r="K312"/>
      <c r="L312"/>
      <c r="M312"/>
    </row>
    <row r="313" spans="2:13" x14ac:dyDescent="0.3">
      <c r="B313"/>
      <c r="C313"/>
      <c r="D313"/>
      <c r="E313"/>
      <c r="F313"/>
      <c r="G313"/>
      <c r="H313"/>
      <c r="I313"/>
      <c r="J313"/>
      <c r="K313"/>
      <c r="L313"/>
      <c r="M313"/>
    </row>
    <row r="314" spans="2:13" x14ac:dyDescent="0.3">
      <c r="B314"/>
      <c r="C314"/>
      <c r="D314"/>
      <c r="E314"/>
      <c r="F314"/>
      <c r="G314"/>
      <c r="H314"/>
      <c r="I314"/>
      <c r="J314"/>
      <c r="K314"/>
      <c r="L314"/>
      <c r="M314"/>
    </row>
    <row r="315" spans="2:13" x14ac:dyDescent="0.3">
      <c r="B315"/>
      <c r="C315"/>
      <c r="D315"/>
      <c r="E315"/>
      <c r="F315"/>
      <c r="G315"/>
      <c r="H315"/>
      <c r="I315"/>
      <c r="J315"/>
      <c r="K315"/>
      <c r="L315"/>
      <c r="M315"/>
    </row>
    <row r="316" spans="2:13" x14ac:dyDescent="0.3">
      <c r="B316"/>
      <c r="C316"/>
      <c r="D316"/>
      <c r="E316"/>
      <c r="F316"/>
      <c r="G316"/>
      <c r="H316"/>
      <c r="I316"/>
      <c r="J316"/>
      <c r="K316"/>
      <c r="L316"/>
      <c r="M316"/>
    </row>
    <row r="317" spans="2:13" x14ac:dyDescent="0.3">
      <c r="B317"/>
      <c r="C317"/>
      <c r="D317"/>
      <c r="E317"/>
      <c r="F317"/>
      <c r="G317"/>
      <c r="H317"/>
      <c r="I317"/>
      <c r="J317"/>
      <c r="K317"/>
      <c r="L317"/>
      <c r="M317"/>
    </row>
    <row r="318" spans="2:13" x14ac:dyDescent="0.3">
      <c r="B318"/>
      <c r="C318"/>
      <c r="D318"/>
      <c r="E318"/>
      <c r="F318"/>
      <c r="G318"/>
      <c r="H318"/>
      <c r="I318"/>
      <c r="J318"/>
      <c r="K318"/>
      <c r="L318"/>
      <c r="M318"/>
    </row>
    <row r="319" spans="2:13" x14ac:dyDescent="0.3">
      <c r="B319"/>
      <c r="C319"/>
      <c r="D319"/>
      <c r="E319"/>
      <c r="F319"/>
      <c r="G319"/>
      <c r="H319"/>
      <c r="I319"/>
      <c r="J319"/>
      <c r="K319"/>
      <c r="L319"/>
      <c r="M319"/>
    </row>
    <row r="320" spans="2:13" x14ac:dyDescent="0.3">
      <c r="B320"/>
      <c r="C320"/>
      <c r="D320"/>
      <c r="E320"/>
      <c r="F320"/>
      <c r="G320"/>
      <c r="H320"/>
      <c r="I320"/>
      <c r="J320"/>
      <c r="K320"/>
      <c r="L320"/>
      <c r="M320"/>
    </row>
    <row r="321" spans="2:13" x14ac:dyDescent="0.3">
      <c r="B321"/>
      <c r="C321"/>
      <c r="D321"/>
      <c r="E321"/>
      <c r="F321"/>
      <c r="G321"/>
      <c r="H321"/>
      <c r="I321"/>
      <c r="J321"/>
      <c r="K321"/>
      <c r="L321"/>
      <c r="M321"/>
    </row>
    <row r="322" spans="2:13" x14ac:dyDescent="0.3">
      <c r="B322"/>
      <c r="C322"/>
      <c r="D322"/>
      <c r="E322"/>
      <c r="F322"/>
      <c r="G322"/>
      <c r="H322"/>
      <c r="I322"/>
      <c r="J322"/>
      <c r="K322"/>
      <c r="L322"/>
      <c r="M322"/>
    </row>
    <row r="323" spans="2:13" x14ac:dyDescent="0.3">
      <c r="B323"/>
      <c r="C323"/>
      <c r="D323"/>
      <c r="E323"/>
      <c r="F323"/>
      <c r="G323"/>
      <c r="H323"/>
      <c r="I323"/>
      <c r="J323"/>
      <c r="K323"/>
      <c r="L323"/>
      <c r="M323"/>
    </row>
    <row r="324" spans="2:13" x14ac:dyDescent="0.3">
      <c r="B324"/>
      <c r="C324"/>
      <c r="D324"/>
      <c r="E324"/>
      <c r="F324"/>
      <c r="G324"/>
      <c r="H324"/>
      <c r="I324"/>
      <c r="J324"/>
      <c r="K324"/>
      <c r="L324"/>
      <c r="M324"/>
    </row>
    <row r="325" spans="2:13" x14ac:dyDescent="0.3">
      <c r="B325"/>
      <c r="C325"/>
      <c r="D325"/>
      <c r="E325"/>
      <c r="F325"/>
      <c r="G325"/>
      <c r="H325"/>
      <c r="I325"/>
      <c r="J325"/>
      <c r="K325"/>
      <c r="L325"/>
      <c r="M325"/>
    </row>
    <row r="326" spans="2:13" x14ac:dyDescent="0.3">
      <c r="B326"/>
      <c r="C326"/>
      <c r="D326"/>
      <c r="E326"/>
      <c r="F326"/>
      <c r="G326"/>
      <c r="H326"/>
      <c r="I326"/>
      <c r="J326"/>
      <c r="K326"/>
      <c r="L326"/>
      <c r="M326"/>
    </row>
    <row r="327" spans="2:13" x14ac:dyDescent="0.3">
      <c r="B327"/>
      <c r="C327"/>
      <c r="D327"/>
      <c r="E327"/>
      <c r="F327"/>
      <c r="G327"/>
      <c r="H327"/>
      <c r="I327"/>
      <c r="J327"/>
      <c r="K327"/>
      <c r="L327"/>
      <c r="M327"/>
    </row>
    <row r="328" spans="2:13" x14ac:dyDescent="0.3">
      <c r="B328"/>
      <c r="C328"/>
      <c r="D328"/>
      <c r="E328"/>
      <c r="F328"/>
      <c r="G328"/>
      <c r="H328"/>
      <c r="I328"/>
      <c r="J328"/>
      <c r="K328"/>
      <c r="L328"/>
      <c r="M328"/>
    </row>
    <row r="329" spans="2:13" x14ac:dyDescent="0.3">
      <c r="B329"/>
      <c r="C329"/>
      <c r="D329"/>
      <c r="E329"/>
      <c r="F329"/>
      <c r="G329"/>
      <c r="H329"/>
      <c r="I329"/>
      <c r="J329"/>
      <c r="K329"/>
      <c r="L329"/>
      <c r="M329"/>
    </row>
    <row r="330" spans="2:13" x14ac:dyDescent="0.3">
      <c r="B330"/>
      <c r="C330"/>
      <c r="D330"/>
      <c r="E330"/>
      <c r="F330"/>
      <c r="G330"/>
      <c r="H330"/>
      <c r="I330"/>
      <c r="J330"/>
      <c r="K330"/>
      <c r="L330"/>
      <c r="M330"/>
    </row>
    <row r="331" spans="2:13" x14ac:dyDescent="0.3">
      <c r="B331"/>
      <c r="C331"/>
      <c r="D331"/>
      <c r="E331"/>
      <c r="F331"/>
      <c r="G331"/>
      <c r="H331"/>
      <c r="I331"/>
      <c r="J331"/>
      <c r="K331"/>
      <c r="L331"/>
      <c r="M331"/>
    </row>
    <row r="332" spans="2:13" x14ac:dyDescent="0.3">
      <c r="B332"/>
      <c r="C332"/>
      <c r="D332"/>
      <c r="E332"/>
      <c r="F332"/>
      <c r="G332"/>
      <c r="H332"/>
      <c r="I332"/>
      <c r="J332"/>
      <c r="K332"/>
      <c r="L332"/>
      <c r="M332"/>
    </row>
    <row r="333" spans="2:13" x14ac:dyDescent="0.3">
      <c r="B333"/>
      <c r="C333"/>
      <c r="D333"/>
      <c r="E333"/>
      <c r="F333"/>
      <c r="G333"/>
      <c r="H333"/>
      <c r="I333"/>
      <c r="J333"/>
      <c r="K333"/>
      <c r="L333"/>
      <c r="M333"/>
    </row>
    <row r="334" spans="2:13" x14ac:dyDescent="0.3">
      <c r="B334"/>
      <c r="C334"/>
      <c r="D334"/>
      <c r="E334"/>
      <c r="F334"/>
      <c r="G334"/>
      <c r="H334"/>
      <c r="I334"/>
      <c r="J334"/>
      <c r="K334"/>
      <c r="L334"/>
      <c r="M334"/>
    </row>
    <row r="335" spans="2:13" x14ac:dyDescent="0.3">
      <c r="B335"/>
      <c r="C335"/>
      <c r="D335"/>
      <c r="E335"/>
      <c r="F335"/>
      <c r="G335"/>
      <c r="H335"/>
      <c r="I335"/>
      <c r="J335"/>
      <c r="K335"/>
      <c r="L335"/>
      <c r="M335"/>
    </row>
    <row r="336" spans="2:13" x14ac:dyDescent="0.3">
      <c r="B336"/>
      <c r="C336"/>
      <c r="D336"/>
      <c r="E336"/>
      <c r="F336"/>
      <c r="G336"/>
      <c r="H336"/>
      <c r="I336"/>
      <c r="J336"/>
      <c r="K336"/>
      <c r="L336"/>
      <c r="M336"/>
    </row>
    <row r="337" spans="2:13" x14ac:dyDescent="0.3">
      <c r="B337"/>
      <c r="C337"/>
      <c r="D337"/>
      <c r="E337"/>
      <c r="F337"/>
      <c r="G337"/>
      <c r="H337"/>
      <c r="I337"/>
      <c r="J337"/>
      <c r="K337"/>
      <c r="L337"/>
      <c r="M337"/>
    </row>
    <row r="338" spans="2:13" x14ac:dyDescent="0.3">
      <c r="B338"/>
      <c r="C338"/>
      <c r="D338"/>
      <c r="E338"/>
      <c r="F338"/>
      <c r="G338"/>
      <c r="H338"/>
      <c r="I338"/>
      <c r="J338"/>
      <c r="K338"/>
      <c r="L338"/>
      <c r="M338"/>
    </row>
    <row r="339" spans="2:13" x14ac:dyDescent="0.3">
      <c r="B339"/>
      <c r="C339"/>
      <c r="D339"/>
      <c r="E339"/>
      <c r="F339"/>
      <c r="G339"/>
      <c r="H339"/>
      <c r="I339"/>
      <c r="J339"/>
      <c r="K339"/>
      <c r="L339"/>
      <c r="M339"/>
    </row>
    <row r="340" spans="2:13" x14ac:dyDescent="0.3">
      <c r="B340"/>
      <c r="C340"/>
      <c r="D340"/>
      <c r="E340"/>
      <c r="F340"/>
      <c r="G340"/>
      <c r="H340"/>
      <c r="I340"/>
      <c r="J340"/>
      <c r="K340"/>
      <c r="L340"/>
      <c r="M340"/>
    </row>
    <row r="341" spans="2:13" x14ac:dyDescent="0.3">
      <c r="B341"/>
      <c r="C341"/>
      <c r="D341"/>
      <c r="E341"/>
      <c r="F341"/>
      <c r="G341"/>
      <c r="H341"/>
      <c r="I341"/>
      <c r="J341"/>
      <c r="K341"/>
      <c r="L341"/>
      <c r="M341"/>
    </row>
    <row r="342" spans="2:13" x14ac:dyDescent="0.3">
      <c r="B342"/>
      <c r="C342"/>
      <c r="D342"/>
      <c r="E342"/>
      <c r="F342"/>
      <c r="G342"/>
      <c r="H342"/>
      <c r="I342"/>
      <c r="J342"/>
      <c r="K342"/>
      <c r="L342"/>
      <c r="M342"/>
    </row>
    <row r="343" spans="2:13" x14ac:dyDescent="0.3">
      <c r="B343"/>
      <c r="C343"/>
      <c r="D343"/>
      <c r="E343"/>
      <c r="F343"/>
      <c r="G343"/>
      <c r="H343"/>
      <c r="I343"/>
      <c r="J343"/>
      <c r="K343"/>
      <c r="L343"/>
      <c r="M343"/>
    </row>
    <row r="344" spans="2:13" x14ac:dyDescent="0.3">
      <c r="B344"/>
      <c r="C344"/>
      <c r="D344"/>
      <c r="E344"/>
      <c r="F344"/>
      <c r="G344"/>
      <c r="H344"/>
      <c r="I344"/>
      <c r="J344"/>
      <c r="K344"/>
      <c r="L344"/>
      <c r="M344"/>
    </row>
    <row r="345" spans="2:13" x14ac:dyDescent="0.3">
      <c r="B345"/>
      <c r="C345"/>
      <c r="D345"/>
      <c r="E345"/>
      <c r="F345"/>
      <c r="G345"/>
      <c r="H345"/>
      <c r="I345"/>
      <c r="J345"/>
      <c r="K345"/>
      <c r="L345"/>
      <c r="M345"/>
    </row>
    <row r="346" spans="2:13" x14ac:dyDescent="0.3">
      <c r="B346"/>
      <c r="C346"/>
      <c r="D346"/>
      <c r="E346"/>
      <c r="F346"/>
      <c r="G346"/>
      <c r="H346"/>
      <c r="I346"/>
      <c r="J346"/>
      <c r="K346"/>
      <c r="L346"/>
      <c r="M346"/>
    </row>
    <row r="347" spans="2:13" x14ac:dyDescent="0.3">
      <c r="B347"/>
      <c r="C347"/>
      <c r="D347"/>
      <c r="E347"/>
      <c r="F347"/>
      <c r="G347"/>
      <c r="H347"/>
      <c r="I347"/>
      <c r="J347"/>
      <c r="K347"/>
      <c r="L347"/>
      <c r="M347"/>
    </row>
    <row r="348" spans="2:13" x14ac:dyDescent="0.3">
      <c r="B348"/>
      <c r="C348"/>
      <c r="D348"/>
      <c r="E348"/>
      <c r="F348"/>
      <c r="G348"/>
      <c r="H348"/>
      <c r="I348"/>
      <c r="J348"/>
      <c r="K348"/>
      <c r="L348"/>
      <c r="M348"/>
    </row>
    <row r="349" spans="2:13" x14ac:dyDescent="0.3">
      <c r="B349"/>
      <c r="C349"/>
      <c r="D349"/>
      <c r="E349"/>
      <c r="F349"/>
      <c r="G349"/>
      <c r="H349"/>
      <c r="I349"/>
      <c r="J349"/>
      <c r="K349"/>
      <c r="L349"/>
      <c r="M349"/>
    </row>
    <row r="350" spans="2:13" x14ac:dyDescent="0.3">
      <c r="B350"/>
      <c r="C350"/>
      <c r="D350"/>
      <c r="E350"/>
      <c r="F350"/>
      <c r="G350"/>
      <c r="H350"/>
      <c r="I350"/>
      <c r="J350"/>
      <c r="K350"/>
      <c r="L350"/>
      <c r="M350"/>
    </row>
    <row r="351" spans="2:13" x14ac:dyDescent="0.3">
      <c r="B351"/>
      <c r="C351"/>
      <c r="D351"/>
      <c r="E351"/>
      <c r="F351"/>
      <c r="G351"/>
      <c r="H351"/>
      <c r="I351"/>
      <c r="J351"/>
      <c r="K351"/>
      <c r="L351"/>
      <c r="M351"/>
    </row>
    <row r="352" spans="2:13" x14ac:dyDescent="0.3">
      <c r="B352"/>
      <c r="C352"/>
      <c r="D352"/>
      <c r="E352"/>
      <c r="F352"/>
      <c r="G352"/>
      <c r="H352"/>
      <c r="I352"/>
      <c r="J352"/>
      <c r="K352"/>
      <c r="L352"/>
      <c r="M352"/>
    </row>
    <row r="353" spans="2:13" x14ac:dyDescent="0.3">
      <c r="B353"/>
      <c r="C353"/>
      <c r="D353"/>
      <c r="E353"/>
      <c r="F353"/>
      <c r="G353"/>
      <c r="H353"/>
      <c r="I353"/>
      <c r="J353"/>
      <c r="K353"/>
      <c r="L353"/>
      <c r="M353"/>
    </row>
    <row r="354" spans="2:13" x14ac:dyDescent="0.3">
      <c r="B354"/>
      <c r="C354"/>
      <c r="D354"/>
      <c r="E354"/>
      <c r="F354"/>
      <c r="G354"/>
      <c r="H354"/>
      <c r="I354"/>
      <c r="J354"/>
      <c r="K354"/>
      <c r="L354"/>
      <c r="M354"/>
    </row>
    <row r="355" spans="2:13" x14ac:dyDescent="0.3">
      <c r="B355"/>
      <c r="C355"/>
      <c r="D355"/>
      <c r="E355"/>
      <c r="F355"/>
      <c r="G355"/>
      <c r="H355"/>
      <c r="I355"/>
      <c r="J355"/>
      <c r="K355"/>
      <c r="L355"/>
      <c r="M355"/>
    </row>
    <row r="356" spans="2:13" x14ac:dyDescent="0.3">
      <c r="B356"/>
      <c r="C356"/>
      <c r="D356"/>
      <c r="E356"/>
      <c r="F356"/>
      <c r="G356"/>
      <c r="H356"/>
      <c r="I356"/>
      <c r="J356"/>
      <c r="K356"/>
      <c r="L356"/>
      <c r="M356"/>
    </row>
    <row r="357" spans="2:13" x14ac:dyDescent="0.3">
      <c r="B357"/>
      <c r="C357"/>
      <c r="D357"/>
      <c r="E357"/>
      <c r="F357"/>
      <c r="G357"/>
      <c r="H357"/>
      <c r="I357"/>
      <c r="J357"/>
      <c r="K357"/>
      <c r="L357"/>
      <c r="M357"/>
    </row>
    <row r="358" spans="2:13" x14ac:dyDescent="0.3">
      <c r="B358"/>
      <c r="C358"/>
      <c r="D358"/>
      <c r="E358"/>
      <c r="F358"/>
      <c r="G358"/>
      <c r="H358"/>
      <c r="I358"/>
      <c r="J358"/>
      <c r="K358"/>
      <c r="L358"/>
      <c r="M358"/>
    </row>
    <row r="359" spans="2:13" x14ac:dyDescent="0.3">
      <c r="B359"/>
      <c r="C359"/>
      <c r="D359"/>
      <c r="E359"/>
      <c r="F359"/>
      <c r="G359"/>
      <c r="H359"/>
      <c r="I359"/>
      <c r="J359"/>
      <c r="K359"/>
      <c r="L359"/>
      <c r="M359"/>
    </row>
    <row r="360" spans="2:13" x14ac:dyDescent="0.3">
      <c r="B360"/>
      <c r="C360"/>
      <c r="D360"/>
      <c r="E360"/>
      <c r="F360"/>
      <c r="G360"/>
      <c r="H360"/>
      <c r="I360"/>
      <c r="J360"/>
      <c r="K360"/>
      <c r="L360"/>
      <c r="M360"/>
    </row>
    <row r="361" spans="2:13" x14ac:dyDescent="0.3">
      <c r="B361"/>
      <c r="C361"/>
      <c r="D361"/>
      <c r="E361"/>
      <c r="F361"/>
      <c r="G361"/>
      <c r="H361"/>
      <c r="I361"/>
      <c r="J361"/>
      <c r="K361"/>
      <c r="L361"/>
      <c r="M361"/>
    </row>
    <row r="362" spans="2:13" x14ac:dyDescent="0.3">
      <c r="B362"/>
      <c r="C362"/>
      <c r="D362"/>
      <c r="E362"/>
      <c r="F362"/>
      <c r="G362"/>
      <c r="H362"/>
      <c r="I362"/>
      <c r="J362"/>
      <c r="K362"/>
      <c r="L362"/>
      <c r="M362"/>
    </row>
    <row r="363" spans="2:13" x14ac:dyDescent="0.3">
      <c r="B363"/>
      <c r="C363"/>
      <c r="D363"/>
      <c r="E363"/>
      <c r="F363"/>
      <c r="G363"/>
      <c r="H363"/>
      <c r="I363"/>
      <c r="J363"/>
      <c r="K363"/>
      <c r="L363"/>
      <c r="M363"/>
    </row>
    <row r="364" spans="2:13" x14ac:dyDescent="0.3">
      <c r="B364"/>
      <c r="C364"/>
      <c r="D364"/>
      <c r="E364"/>
      <c r="F364"/>
      <c r="G364"/>
      <c r="H364"/>
      <c r="I364"/>
      <c r="J364"/>
      <c r="K364"/>
      <c r="L364"/>
      <c r="M364"/>
    </row>
    <row r="365" spans="2:13" x14ac:dyDescent="0.3">
      <c r="B365"/>
      <c r="C365"/>
      <c r="D365"/>
      <c r="E365"/>
      <c r="F365"/>
      <c r="G365"/>
      <c r="H365"/>
      <c r="I365"/>
      <c r="J365"/>
      <c r="K365"/>
      <c r="L365"/>
      <c r="M365"/>
    </row>
    <row r="366" spans="2:13" x14ac:dyDescent="0.3">
      <c r="B366"/>
      <c r="C366"/>
      <c r="D366"/>
      <c r="E366"/>
      <c r="F366"/>
      <c r="G366"/>
      <c r="H366"/>
      <c r="I366"/>
      <c r="J366"/>
      <c r="K366"/>
      <c r="L366"/>
      <c r="M366"/>
    </row>
    <row r="367" spans="2:13" x14ac:dyDescent="0.3">
      <c r="B367"/>
      <c r="C367"/>
      <c r="D367"/>
      <c r="E367"/>
      <c r="F367"/>
      <c r="G367"/>
      <c r="H367"/>
      <c r="I367"/>
      <c r="J367"/>
      <c r="K367"/>
      <c r="L367"/>
      <c r="M367"/>
    </row>
    <row r="368" spans="2:13" x14ac:dyDescent="0.3">
      <c r="B368"/>
      <c r="C368"/>
      <c r="D368"/>
      <c r="E368"/>
      <c r="F368"/>
      <c r="G368"/>
      <c r="H368"/>
      <c r="I368"/>
      <c r="J368"/>
      <c r="K368"/>
      <c r="L368"/>
      <c r="M368"/>
    </row>
    <row r="369" spans="2:13" x14ac:dyDescent="0.3">
      <c r="B369"/>
      <c r="C369"/>
      <c r="D369"/>
      <c r="E369"/>
      <c r="F369"/>
      <c r="G369"/>
      <c r="H369"/>
      <c r="I369"/>
      <c r="J369"/>
      <c r="K369"/>
      <c r="L369"/>
      <c r="M369"/>
    </row>
    <row r="370" spans="2:13" x14ac:dyDescent="0.3">
      <c r="B370"/>
      <c r="C370"/>
      <c r="D370"/>
      <c r="E370"/>
      <c r="F370"/>
      <c r="G370"/>
      <c r="H370"/>
      <c r="I370"/>
      <c r="J370"/>
      <c r="K370"/>
      <c r="L370"/>
      <c r="M370"/>
    </row>
    <row r="371" spans="2:13" x14ac:dyDescent="0.3">
      <c r="B371"/>
      <c r="C371"/>
      <c r="D371"/>
      <c r="E371"/>
      <c r="F371"/>
      <c r="G371"/>
      <c r="H371"/>
      <c r="I371"/>
      <c r="J371"/>
      <c r="K371"/>
      <c r="L371"/>
      <c r="M371"/>
    </row>
    <row r="372" spans="2:13" x14ac:dyDescent="0.3">
      <c r="B372"/>
      <c r="C372"/>
      <c r="D372"/>
      <c r="E372"/>
      <c r="F372"/>
      <c r="G372"/>
      <c r="H372"/>
      <c r="I372"/>
      <c r="J372"/>
      <c r="K372"/>
      <c r="L372"/>
      <c r="M372"/>
    </row>
    <row r="373" spans="2:13" x14ac:dyDescent="0.3">
      <c r="B373"/>
      <c r="C373"/>
      <c r="D373"/>
      <c r="E373"/>
      <c r="F373"/>
      <c r="G373"/>
      <c r="H373"/>
      <c r="I373"/>
      <c r="J373"/>
      <c r="K373"/>
      <c r="L373"/>
      <c r="M373"/>
    </row>
    <row r="374" spans="2:13" x14ac:dyDescent="0.3">
      <c r="B374"/>
      <c r="C374"/>
      <c r="D374"/>
      <c r="E374"/>
      <c r="F374"/>
      <c r="G374"/>
      <c r="H374"/>
      <c r="I374"/>
      <c r="J374"/>
      <c r="K374"/>
      <c r="L374"/>
      <c r="M374"/>
    </row>
    <row r="375" spans="2:13" x14ac:dyDescent="0.3">
      <c r="B375"/>
      <c r="C375"/>
      <c r="D375"/>
      <c r="E375"/>
      <c r="F375"/>
      <c r="G375"/>
      <c r="H375"/>
      <c r="I375"/>
      <c r="J375"/>
      <c r="K375"/>
      <c r="L375"/>
      <c r="M375"/>
    </row>
    <row r="376" spans="2:13" x14ac:dyDescent="0.3">
      <c r="B376"/>
      <c r="C376"/>
      <c r="D376"/>
      <c r="E376"/>
      <c r="F376"/>
      <c r="G376"/>
      <c r="H376"/>
      <c r="I376"/>
      <c r="J376"/>
      <c r="K376"/>
      <c r="L376"/>
      <c r="M376"/>
    </row>
    <row r="377" spans="2:13" x14ac:dyDescent="0.3">
      <c r="B377"/>
      <c r="C377"/>
      <c r="D377"/>
      <c r="E377"/>
      <c r="F377"/>
      <c r="G377"/>
      <c r="H377"/>
      <c r="I377"/>
      <c r="J377"/>
      <c r="K377"/>
      <c r="L377"/>
      <c r="M377"/>
    </row>
    <row r="378" spans="2:13" x14ac:dyDescent="0.3">
      <c r="B378"/>
      <c r="C378"/>
      <c r="D378"/>
      <c r="E378"/>
      <c r="F378"/>
      <c r="G378"/>
      <c r="H378"/>
      <c r="I378"/>
      <c r="J378"/>
      <c r="K378"/>
      <c r="L378"/>
      <c r="M378"/>
    </row>
    <row r="379" spans="2:13" x14ac:dyDescent="0.3">
      <c r="B379"/>
      <c r="C379"/>
      <c r="D379"/>
      <c r="E379"/>
      <c r="F379"/>
      <c r="G379"/>
      <c r="H379"/>
      <c r="I379"/>
      <c r="J379"/>
      <c r="K379"/>
      <c r="L379"/>
      <c r="M379"/>
    </row>
    <row r="380" spans="2:13" x14ac:dyDescent="0.3">
      <c r="B380"/>
      <c r="C380"/>
      <c r="D380"/>
      <c r="E380"/>
      <c r="F380"/>
      <c r="G380"/>
      <c r="H380"/>
      <c r="I380"/>
      <c r="J380"/>
      <c r="K380"/>
      <c r="L380"/>
      <c r="M380"/>
    </row>
    <row r="381" spans="2:13" x14ac:dyDescent="0.3">
      <c r="B381"/>
      <c r="C381"/>
      <c r="D381"/>
      <c r="E381"/>
      <c r="F381"/>
      <c r="G381"/>
      <c r="H381"/>
      <c r="I381"/>
      <c r="J381"/>
      <c r="K381"/>
      <c r="L381"/>
      <c r="M381"/>
    </row>
    <row r="382" spans="2:13" x14ac:dyDescent="0.3">
      <c r="B382"/>
      <c r="C382"/>
      <c r="D382"/>
      <c r="E382"/>
      <c r="F382"/>
      <c r="G382"/>
      <c r="H382"/>
      <c r="I382"/>
      <c r="J382"/>
      <c r="K382"/>
      <c r="L382"/>
      <c r="M382"/>
    </row>
    <row r="383" spans="2:13" x14ac:dyDescent="0.3">
      <c r="B383"/>
      <c r="C383"/>
      <c r="D383"/>
      <c r="E383"/>
      <c r="F383"/>
      <c r="G383"/>
      <c r="H383"/>
      <c r="I383"/>
      <c r="J383"/>
      <c r="K383"/>
      <c r="L383"/>
      <c r="M383"/>
    </row>
    <row r="384" spans="2:13" x14ac:dyDescent="0.3">
      <c r="B384"/>
      <c r="C384"/>
      <c r="D384"/>
      <c r="E384"/>
      <c r="F384"/>
      <c r="G384"/>
      <c r="H384"/>
      <c r="I384"/>
      <c r="J384"/>
      <c r="K384"/>
      <c r="L384"/>
      <c r="M384"/>
    </row>
    <row r="385" spans="2:13" x14ac:dyDescent="0.3">
      <c r="B385"/>
      <c r="C385"/>
      <c r="D385"/>
      <c r="E385"/>
      <c r="F385"/>
      <c r="G385"/>
      <c r="H385"/>
      <c r="I385"/>
      <c r="J385"/>
      <c r="K385"/>
      <c r="L385"/>
      <c r="M385"/>
    </row>
    <row r="386" spans="2:13" x14ac:dyDescent="0.3">
      <c r="B386"/>
      <c r="C386"/>
      <c r="D386"/>
      <c r="E386"/>
      <c r="F386"/>
      <c r="G386"/>
      <c r="H386"/>
      <c r="I386"/>
      <c r="J386"/>
      <c r="K386"/>
      <c r="L386"/>
      <c r="M386"/>
    </row>
    <row r="387" spans="2:13" x14ac:dyDescent="0.3">
      <c r="B387"/>
      <c r="C387"/>
      <c r="D387"/>
      <c r="E387"/>
      <c r="F387"/>
      <c r="G387"/>
      <c r="H387"/>
      <c r="I387"/>
      <c r="J387"/>
      <c r="K387"/>
      <c r="L387"/>
      <c r="M387"/>
    </row>
    <row r="388" spans="2:13" x14ac:dyDescent="0.3">
      <c r="B388"/>
      <c r="C388"/>
      <c r="D388"/>
      <c r="E388"/>
      <c r="F388"/>
      <c r="G388"/>
      <c r="H388"/>
      <c r="I388"/>
      <c r="J388"/>
      <c r="K388"/>
      <c r="L388"/>
      <c r="M388"/>
    </row>
    <row r="389" spans="2:13" x14ac:dyDescent="0.3">
      <c r="B389"/>
      <c r="C389"/>
      <c r="D389"/>
      <c r="E389"/>
      <c r="F389"/>
      <c r="G389"/>
      <c r="H389"/>
      <c r="I389"/>
      <c r="J389"/>
      <c r="K389"/>
      <c r="L389"/>
      <c r="M389"/>
    </row>
    <row r="390" spans="2:13" x14ac:dyDescent="0.3">
      <c r="B390"/>
      <c r="C390"/>
      <c r="D390"/>
      <c r="E390"/>
      <c r="F390"/>
      <c r="G390"/>
      <c r="H390"/>
      <c r="I390"/>
      <c r="J390"/>
      <c r="K390"/>
      <c r="L390"/>
      <c r="M390"/>
    </row>
    <row r="391" spans="2:13" x14ac:dyDescent="0.3">
      <c r="B391"/>
      <c r="C391"/>
      <c r="D391"/>
      <c r="E391"/>
      <c r="F391"/>
      <c r="G391"/>
      <c r="H391"/>
      <c r="I391"/>
      <c r="J391"/>
      <c r="K391"/>
      <c r="L391"/>
      <c r="M391"/>
    </row>
    <row r="392" spans="2:13" x14ac:dyDescent="0.3">
      <c r="B392"/>
      <c r="C392"/>
      <c r="D392"/>
      <c r="E392"/>
      <c r="F392"/>
      <c r="G392"/>
      <c r="H392"/>
      <c r="I392"/>
      <c r="J392"/>
      <c r="K392"/>
      <c r="L392"/>
      <c r="M392"/>
    </row>
    <row r="393" spans="2:13" x14ac:dyDescent="0.3">
      <c r="B393"/>
      <c r="C393"/>
      <c r="D393"/>
      <c r="E393"/>
      <c r="F393"/>
      <c r="G393"/>
      <c r="H393"/>
      <c r="I393"/>
      <c r="J393"/>
      <c r="K393"/>
      <c r="L393"/>
      <c r="M393"/>
    </row>
    <row r="394" spans="2:13" x14ac:dyDescent="0.3">
      <c r="B394"/>
      <c r="C394"/>
      <c r="D394"/>
      <c r="E394"/>
      <c r="F394"/>
      <c r="G394"/>
      <c r="H394"/>
      <c r="I394"/>
      <c r="J394"/>
      <c r="K394"/>
      <c r="L394"/>
      <c r="M394"/>
    </row>
    <row r="395" spans="2:13" x14ac:dyDescent="0.3">
      <c r="B395"/>
      <c r="C395"/>
      <c r="D395"/>
      <c r="E395"/>
      <c r="F395"/>
      <c r="G395"/>
      <c r="H395"/>
      <c r="I395"/>
      <c r="J395"/>
      <c r="K395"/>
      <c r="L395"/>
      <c r="M395"/>
    </row>
    <row r="396" spans="2:13" x14ac:dyDescent="0.3">
      <c r="B396"/>
      <c r="C396"/>
      <c r="D396"/>
      <c r="E396"/>
      <c r="F396"/>
      <c r="G396"/>
      <c r="H396"/>
      <c r="I396"/>
      <c r="J396"/>
      <c r="K396"/>
      <c r="L396"/>
      <c r="M396"/>
    </row>
    <row r="397" spans="2:13" x14ac:dyDescent="0.3">
      <c r="B397"/>
      <c r="C397"/>
      <c r="D397"/>
      <c r="E397"/>
      <c r="F397"/>
      <c r="G397"/>
      <c r="H397"/>
      <c r="I397"/>
      <c r="J397"/>
      <c r="K397"/>
      <c r="L397"/>
      <c r="M397"/>
    </row>
    <row r="398" spans="2:13" x14ac:dyDescent="0.3">
      <c r="B398"/>
      <c r="C398"/>
      <c r="D398"/>
      <c r="E398"/>
      <c r="F398"/>
      <c r="G398"/>
      <c r="H398"/>
      <c r="I398"/>
      <c r="J398"/>
      <c r="K398"/>
      <c r="L398"/>
      <c r="M398"/>
    </row>
    <row r="399" spans="2:13" x14ac:dyDescent="0.3">
      <c r="B399"/>
      <c r="C399"/>
      <c r="D399"/>
      <c r="E399"/>
      <c r="F399"/>
      <c r="G399"/>
      <c r="H399"/>
      <c r="I399"/>
      <c r="J399"/>
      <c r="K399"/>
      <c r="L399"/>
      <c r="M399"/>
    </row>
    <row r="400" spans="2:13" x14ac:dyDescent="0.3">
      <c r="B400"/>
      <c r="C400"/>
      <c r="D400"/>
      <c r="E400"/>
      <c r="F400"/>
      <c r="G400"/>
      <c r="H400"/>
      <c r="I400"/>
      <c r="J400"/>
      <c r="K400"/>
      <c r="L400"/>
      <c r="M400"/>
    </row>
    <row r="401" spans="2:13" x14ac:dyDescent="0.3">
      <c r="B401"/>
      <c r="C401"/>
      <c r="D401"/>
      <c r="E401"/>
      <c r="F401"/>
      <c r="G401"/>
      <c r="H401"/>
      <c r="I401"/>
      <c r="J401"/>
      <c r="K401"/>
      <c r="L401"/>
      <c r="M401"/>
    </row>
    <row r="402" spans="2:13" x14ac:dyDescent="0.3">
      <c r="B402"/>
      <c r="C402"/>
      <c r="D402"/>
      <c r="E402"/>
      <c r="F402"/>
      <c r="G402"/>
      <c r="H402"/>
      <c r="I402"/>
      <c r="J402"/>
      <c r="K402"/>
      <c r="L402"/>
      <c r="M402"/>
    </row>
    <row r="403" spans="2:13" x14ac:dyDescent="0.3">
      <c r="B403"/>
      <c r="C403"/>
      <c r="D403"/>
      <c r="E403"/>
      <c r="F403"/>
      <c r="G403"/>
      <c r="H403"/>
      <c r="I403"/>
      <c r="J403"/>
      <c r="K403"/>
      <c r="L403"/>
      <c r="M403"/>
    </row>
    <row r="404" spans="2:13" x14ac:dyDescent="0.3">
      <c r="B404"/>
      <c r="C404"/>
      <c r="D404"/>
      <c r="E404"/>
      <c r="F404"/>
      <c r="G404"/>
      <c r="H404"/>
      <c r="I404"/>
      <c r="J404"/>
      <c r="K404"/>
      <c r="L404"/>
      <c r="M404"/>
    </row>
    <row r="405" spans="2:13" x14ac:dyDescent="0.3">
      <c r="B405"/>
      <c r="C405"/>
      <c r="D405"/>
      <c r="E405"/>
      <c r="F405"/>
      <c r="G405"/>
      <c r="H405"/>
      <c r="I405"/>
      <c r="J405"/>
      <c r="K405"/>
      <c r="L405"/>
      <c r="M405"/>
    </row>
    <row r="406" spans="2:13" x14ac:dyDescent="0.3">
      <c r="B406"/>
      <c r="C406"/>
      <c r="D406"/>
      <c r="E406"/>
      <c r="F406"/>
      <c r="G406"/>
      <c r="H406"/>
      <c r="I406"/>
      <c r="J406"/>
      <c r="K406"/>
      <c r="L406"/>
      <c r="M406"/>
    </row>
    <row r="407" spans="2:13" x14ac:dyDescent="0.3">
      <c r="B407"/>
      <c r="C407"/>
      <c r="D407"/>
      <c r="E407"/>
      <c r="F407"/>
      <c r="G407"/>
      <c r="H407"/>
      <c r="I407"/>
      <c r="J407"/>
      <c r="K407"/>
      <c r="L407"/>
      <c r="M407"/>
    </row>
    <row r="408" spans="2:13" x14ac:dyDescent="0.3">
      <c r="B408"/>
      <c r="C408"/>
      <c r="D408"/>
      <c r="E408"/>
      <c r="F408"/>
      <c r="G408"/>
      <c r="H408"/>
      <c r="I408"/>
      <c r="J408"/>
      <c r="K408"/>
      <c r="L408"/>
      <c r="M408"/>
    </row>
    <row r="409" spans="2:13" x14ac:dyDescent="0.3">
      <c r="B409"/>
      <c r="C409"/>
      <c r="D409"/>
      <c r="E409"/>
      <c r="F409"/>
      <c r="G409"/>
      <c r="H409"/>
      <c r="I409"/>
      <c r="J409"/>
      <c r="K409"/>
      <c r="L409"/>
      <c r="M409"/>
    </row>
    <row r="410" spans="2:13" x14ac:dyDescent="0.3">
      <c r="B410"/>
      <c r="C410"/>
      <c r="D410"/>
      <c r="E410"/>
      <c r="F410"/>
      <c r="G410"/>
      <c r="H410"/>
      <c r="I410"/>
      <c r="J410"/>
      <c r="K410"/>
      <c r="L410"/>
      <c r="M410"/>
    </row>
    <row r="411" spans="2:13" x14ac:dyDescent="0.3">
      <c r="B411"/>
      <c r="C411"/>
      <c r="D411"/>
      <c r="E411"/>
      <c r="F411"/>
      <c r="G411"/>
      <c r="H411"/>
      <c r="I411"/>
      <c r="J411"/>
      <c r="K411"/>
      <c r="L411"/>
      <c r="M411"/>
    </row>
    <row r="412" spans="2:13" x14ac:dyDescent="0.3">
      <c r="B412"/>
      <c r="C412"/>
      <c r="D412"/>
      <c r="E412"/>
      <c r="F412"/>
      <c r="G412"/>
      <c r="H412"/>
      <c r="I412"/>
      <c r="J412"/>
      <c r="K412"/>
      <c r="L412"/>
      <c r="M412"/>
    </row>
    <row r="413" spans="2:13" x14ac:dyDescent="0.3">
      <c r="B413"/>
      <c r="C413"/>
      <c r="D413"/>
      <c r="E413"/>
      <c r="F413"/>
      <c r="G413"/>
      <c r="H413"/>
      <c r="I413"/>
      <c r="J413"/>
      <c r="K413"/>
      <c r="L413"/>
      <c r="M413"/>
    </row>
    <row r="414" spans="2:13" x14ac:dyDescent="0.3">
      <c r="B414"/>
      <c r="C414"/>
      <c r="D414"/>
      <c r="E414"/>
      <c r="F414"/>
      <c r="G414"/>
      <c r="H414"/>
      <c r="I414"/>
      <c r="J414"/>
      <c r="K414"/>
      <c r="L414"/>
      <c r="M414"/>
    </row>
    <row r="415" spans="2:13" x14ac:dyDescent="0.3">
      <c r="B415"/>
      <c r="C415"/>
      <c r="D415"/>
      <c r="E415"/>
      <c r="F415"/>
      <c r="G415"/>
      <c r="H415"/>
      <c r="I415"/>
      <c r="J415"/>
      <c r="K415"/>
      <c r="L415"/>
      <c r="M415"/>
    </row>
    <row r="416" spans="2:13" x14ac:dyDescent="0.3">
      <c r="B416"/>
      <c r="C416"/>
      <c r="D416"/>
      <c r="E416"/>
      <c r="F416"/>
      <c r="G416"/>
      <c r="H416"/>
      <c r="I416"/>
      <c r="J416"/>
      <c r="K416"/>
      <c r="L416"/>
      <c r="M416"/>
    </row>
    <row r="417" spans="2:13" x14ac:dyDescent="0.3">
      <c r="B417"/>
      <c r="C417"/>
      <c r="D417"/>
      <c r="E417"/>
      <c r="F417"/>
      <c r="G417"/>
      <c r="H417"/>
      <c r="I417"/>
      <c r="J417"/>
      <c r="K417"/>
      <c r="L417"/>
      <c r="M417"/>
    </row>
    <row r="418" spans="2:13" x14ac:dyDescent="0.3">
      <c r="B418"/>
      <c r="C418"/>
      <c r="D418"/>
      <c r="E418"/>
      <c r="F418"/>
      <c r="G418"/>
      <c r="H418"/>
      <c r="I418"/>
      <c r="J418"/>
      <c r="K418"/>
      <c r="L418"/>
      <c r="M418"/>
    </row>
    <row r="419" spans="2:13" x14ac:dyDescent="0.3">
      <c r="B419"/>
      <c r="C419"/>
      <c r="D419"/>
      <c r="E419"/>
      <c r="F419"/>
      <c r="G419"/>
      <c r="H419"/>
      <c r="I419"/>
      <c r="J419"/>
      <c r="K419"/>
      <c r="L419"/>
      <c r="M419"/>
    </row>
    <row r="420" spans="2:13" x14ac:dyDescent="0.3">
      <c r="B420"/>
      <c r="C420"/>
      <c r="D420"/>
      <c r="E420"/>
      <c r="F420"/>
      <c r="G420"/>
      <c r="H420"/>
      <c r="I420"/>
      <c r="J420"/>
      <c r="K420"/>
      <c r="L420"/>
      <c r="M420"/>
    </row>
    <row r="421" spans="2:13" x14ac:dyDescent="0.3">
      <c r="B421"/>
      <c r="C421"/>
      <c r="D421"/>
      <c r="E421"/>
      <c r="F421"/>
      <c r="G421"/>
      <c r="H421"/>
      <c r="I421"/>
      <c r="J421"/>
      <c r="K421"/>
      <c r="L421"/>
      <c r="M421"/>
    </row>
    <row r="422" spans="2:13" x14ac:dyDescent="0.3">
      <c r="B422"/>
      <c r="C422"/>
      <c r="D422"/>
      <c r="E422"/>
      <c r="F422"/>
      <c r="G422"/>
      <c r="H422"/>
      <c r="I422"/>
      <c r="J422"/>
      <c r="K422"/>
      <c r="L422"/>
      <c r="M422"/>
    </row>
    <row r="423" spans="2:13" x14ac:dyDescent="0.3">
      <c r="B423"/>
      <c r="C423"/>
      <c r="D423"/>
      <c r="E423"/>
      <c r="F423"/>
      <c r="G423"/>
      <c r="H423"/>
      <c r="I423"/>
      <c r="J423"/>
      <c r="K423"/>
      <c r="L423"/>
      <c r="M423"/>
    </row>
    <row r="424" spans="2:13" x14ac:dyDescent="0.3">
      <c r="B424"/>
      <c r="C424"/>
      <c r="D424"/>
      <c r="E424"/>
      <c r="F424"/>
      <c r="G424"/>
      <c r="H424"/>
      <c r="I424"/>
      <c r="J424"/>
      <c r="K424"/>
      <c r="L424"/>
      <c r="M424"/>
    </row>
    <row r="425" spans="2:13" x14ac:dyDescent="0.3">
      <c r="B425"/>
      <c r="C425"/>
      <c r="D425"/>
      <c r="E425"/>
      <c r="F425"/>
      <c r="G425"/>
      <c r="H425"/>
      <c r="I425"/>
      <c r="J425"/>
      <c r="K425"/>
      <c r="L425"/>
      <c r="M425"/>
    </row>
    <row r="426" spans="2:13" x14ac:dyDescent="0.3">
      <c r="B426"/>
      <c r="C426"/>
      <c r="D426"/>
      <c r="E426"/>
      <c r="F426"/>
      <c r="G426"/>
      <c r="H426"/>
      <c r="I426"/>
      <c r="J426"/>
      <c r="K426"/>
      <c r="L426"/>
      <c r="M426"/>
    </row>
    <row r="427" spans="2:13" x14ac:dyDescent="0.3">
      <c r="B427"/>
      <c r="C427"/>
      <c r="D427"/>
      <c r="E427"/>
      <c r="F427"/>
      <c r="G427"/>
      <c r="H427"/>
      <c r="I427"/>
      <c r="J427"/>
      <c r="K427"/>
      <c r="L427"/>
      <c r="M427"/>
    </row>
    <row r="428" spans="2:13" x14ac:dyDescent="0.3">
      <c r="B428"/>
      <c r="C428"/>
      <c r="D428"/>
      <c r="E428"/>
      <c r="F428"/>
      <c r="G428"/>
      <c r="H428"/>
      <c r="I428"/>
      <c r="J428"/>
      <c r="K428"/>
      <c r="L428"/>
      <c r="M428"/>
    </row>
    <row r="429" spans="2:13" x14ac:dyDescent="0.3">
      <c r="B429"/>
      <c r="C429"/>
      <c r="D429"/>
      <c r="E429"/>
      <c r="F429"/>
      <c r="G429"/>
      <c r="H429"/>
      <c r="I429"/>
      <c r="J429"/>
      <c r="K429"/>
      <c r="L429"/>
      <c r="M429"/>
    </row>
    <row r="430" spans="2:13" x14ac:dyDescent="0.3">
      <c r="B430"/>
      <c r="C430"/>
      <c r="D430"/>
      <c r="E430"/>
      <c r="F430"/>
      <c r="G430"/>
      <c r="H430"/>
      <c r="I430"/>
      <c r="J430"/>
      <c r="K430"/>
      <c r="L430"/>
      <c r="M430"/>
    </row>
    <row r="431" spans="2:13" x14ac:dyDescent="0.3">
      <c r="B431"/>
      <c r="C431"/>
      <c r="D431"/>
      <c r="E431"/>
      <c r="F431"/>
      <c r="G431"/>
      <c r="H431"/>
      <c r="I431"/>
      <c r="J431"/>
      <c r="K431"/>
      <c r="L431"/>
      <c r="M431"/>
    </row>
    <row r="432" spans="2:13" x14ac:dyDescent="0.3">
      <c r="B432"/>
      <c r="C432"/>
      <c r="D432"/>
      <c r="E432"/>
      <c r="F432"/>
      <c r="G432"/>
      <c r="H432"/>
      <c r="I432"/>
      <c r="J432"/>
      <c r="K432"/>
      <c r="L432"/>
      <c r="M432"/>
    </row>
    <row r="433" spans="2:13" x14ac:dyDescent="0.3">
      <c r="B433"/>
      <c r="C433"/>
      <c r="D433"/>
      <c r="E433"/>
      <c r="F433"/>
      <c r="G433"/>
      <c r="H433"/>
      <c r="I433"/>
      <c r="J433"/>
      <c r="K433"/>
      <c r="L433"/>
      <c r="M433"/>
    </row>
    <row r="434" spans="2:13" x14ac:dyDescent="0.3">
      <c r="B434"/>
      <c r="C434"/>
      <c r="D434"/>
      <c r="E434"/>
      <c r="F434"/>
      <c r="G434"/>
      <c r="H434"/>
      <c r="I434"/>
      <c r="J434"/>
      <c r="K434"/>
      <c r="L434"/>
      <c r="M434"/>
    </row>
    <row r="435" spans="2:13" x14ac:dyDescent="0.3">
      <c r="B435"/>
      <c r="C435"/>
      <c r="D435"/>
      <c r="E435"/>
      <c r="F435"/>
      <c r="G435"/>
      <c r="H435"/>
      <c r="I435"/>
      <c r="J435"/>
      <c r="K435"/>
      <c r="L435"/>
      <c r="M435"/>
    </row>
    <row r="436" spans="2:13" x14ac:dyDescent="0.3">
      <c r="B436"/>
      <c r="C436"/>
      <c r="D436"/>
      <c r="E436"/>
      <c r="F436"/>
      <c r="G436"/>
      <c r="H436"/>
      <c r="I436"/>
      <c r="J436"/>
      <c r="K436"/>
      <c r="L436"/>
      <c r="M436"/>
    </row>
    <row r="437" spans="2:13" x14ac:dyDescent="0.3">
      <c r="B437"/>
      <c r="C437"/>
      <c r="D437"/>
      <c r="E437"/>
      <c r="F437"/>
      <c r="G437"/>
      <c r="H437"/>
      <c r="I437"/>
      <c r="J437"/>
      <c r="K437"/>
      <c r="L437"/>
      <c r="M437"/>
    </row>
    <row r="438" spans="2:13" x14ac:dyDescent="0.3">
      <c r="B438"/>
      <c r="C438"/>
      <c r="D438"/>
      <c r="E438"/>
      <c r="F438"/>
      <c r="G438"/>
      <c r="H438"/>
      <c r="I438"/>
      <c r="J438"/>
      <c r="K438"/>
      <c r="L438"/>
      <c r="M438"/>
    </row>
    <row r="439" spans="2:13" x14ac:dyDescent="0.3">
      <c r="B439"/>
      <c r="C439"/>
      <c r="D439"/>
      <c r="E439"/>
      <c r="F439"/>
      <c r="G439"/>
      <c r="H439"/>
      <c r="I439"/>
      <c r="J439"/>
      <c r="K439"/>
      <c r="L439"/>
      <c r="M439"/>
    </row>
    <row r="440" spans="2:13" x14ac:dyDescent="0.3">
      <c r="B440"/>
      <c r="C440"/>
      <c r="D440"/>
      <c r="E440"/>
      <c r="F440"/>
      <c r="G440"/>
      <c r="H440"/>
      <c r="I440"/>
      <c r="J440"/>
      <c r="K440"/>
      <c r="L440"/>
      <c r="M440"/>
    </row>
    <row r="441" spans="2:13" x14ac:dyDescent="0.3">
      <c r="B441"/>
      <c r="C441"/>
      <c r="D441"/>
      <c r="E441"/>
      <c r="F441"/>
      <c r="G441"/>
      <c r="H441"/>
      <c r="I441"/>
      <c r="J441"/>
      <c r="K441"/>
      <c r="L441"/>
      <c r="M441"/>
    </row>
    <row r="442" spans="2:13" x14ac:dyDescent="0.3">
      <c r="B442"/>
      <c r="C442"/>
      <c r="D442"/>
      <c r="E442"/>
      <c r="F442"/>
      <c r="G442"/>
      <c r="H442"/>
      <c r="I442"/>
      <c r="J442"/>
      <c r="K442"/>
      <c r="L442"/>
      <c r="M442"/>
    </row>
    <row r="443" spans="2:13" x14ac:dyDescent="0.3">
      <c r="B443"/>
      <c r="C443"/>
      <c r="D443"/>
      <c r="E443"/>
      <c r="F443"/>
      <c r="G443"/>
      <c r="H443"/>
      <c r="I443"/>
      <c r="J443"/>
      <c r="K443"/>
      <c r="L443"/>
      <c r="M443"/>
    </row>
    <row r="444" spans="2:13" x14ac:dyDescent="0.3">
      <c r="B444"/>
      <c r="C444"/>
      <c r="D444"/>
      <c r="E444"/>
      <c r="F444"/>
      <c r="G444"/>
      <c r="H444"/>
      <c r="I444"/>
      <c r="J444"/>
      <c r="K444"/>
      <c r="L444"/>
      <c r="M444"/>
    </row>
    <row r="445" spans="2:13" x14ac:dyDescent="0.3">
      <c r="B445"/>
      <c r="C445"/>
      <c r="D445"/>
      <c r="E445"/>
      <c r="F445"/>
      <c r="G445"/>
      <c r="H445"/>
      <c r="I445"/>
      <c r="J445"/>
      <c r="K445"/>
      <c r="L445"/>
      <c r="M445"/>
    </row>
    <row r="446" spans="2:13" x14ac:dyDescent="0.3">
      <c r="B446"/>
      <c r="C446"/>
      <c r="D446"/>
      <c r="E446"/>
      <c r="F446"/>
      <c r="G446"/>
      <c r="H446"/>
      <c r="I446"/>
      <c r="J446"/>
      <c r="K446"/>
      <c r="L446"/>
      <c r="M446"/>
    </row>
    <row r="447" spans="2:13" x14ac:dyDescent="0.3">
      <c r="B447"/>
      <c r="C447"/>
      <c r="D447"/>
      <c r="E447"/>
      <c r="F447"/>
      <c r="G447"/>
      <c r="H447"/>
      <c r="I447"/>
      <c r="J447"/>
      <c r="K447"/>
      <c r="L447"/>
      <c r="M447"/>
    </row>
    <row r="448" spans="2:13" x14ac:dyDescent="0.3">
      <c r="B448"/>
      <c r="C448"/>
      <c r="D448"/>
      <c r="E448"/>
      <c r="F448"/>
      <c r="G448"/>
      <c r="H448"/>
      <c r="I448"/>
      <c r="J448"/>
      <c r="K448"/>
      <c r="L448"/>
      <c r="M448"/>
    </row>
    <row r="449" spans="2:13" x14ac:dyDescent="0.3">
      <c r="B449"/>
      <c r="C449"/>
      <c r="D449"/>
      <c r="E449"/>
      <c r="F449"/>
      <c r="G449"/>
      <c r="H449"/>
      <c r="I449"/>
      <c r="J449"/>
      <c r="K449"/>
      <c r="L449"/>
      <c r="M449"/>
    </row>
    <row r="450" spans="2:13" x14ac:dyDescent="0.3">
      <c r="B450"/>
      <c r="C450"/>
      <c r="D450"/>
      <c r="E450"/>
      <c r="F450"/>
      <c r="G450"/>
      <c r="H450"/>
      <c r="I450"/>
      <c r="J450"/>
      <c r="K450"/>
      <c r="L450"/>
      <c r="M450"/>
    </row>
    <row r="451" spans="2:13" x14ac:dyDescent="0.3">
      <c r="B451"/>
      <c r="C451"/>
      <c r="D451"/>
      <c r="E451"/>
      <c r="F451"/>
      <c r="G451"/>
      <c r="H451"/>
      <c r="I451"/>
      <c r="J451"/>
      <c r="K451"/>
      <c r="L451"/>
      <c r="M451"/>
    </row>
    <row r="452" spans="2:13" x14ac:dyDescent="0.3">
      <c r="B452"/>
      <c r="C452"/>
      <c r="D452"/>
      <c r="E452"/>
      <c r="F452"/>
      <c r="G452"/>
      <c r="H452"/>
      <c r="I452"/>
      <c r="J452"/>
      <c r="K452"/>
      <c r="L452"/>
      <c r="M452"/>
    </row>
    <row r="453" spans="2:13" x14ac:dyDescent="0.3">
      <c r="B453"/>
      <c r="C453"/>
      <c r="D453"/>
      <c r="E453"/>
      <c r="F453"/>
      <c r="G453"/>
      <c r="H453"/>
      <c r="I453"/>
      <c r="J453"/>
      <c r="K453"/>
      <c r="L453"/>
      <c r="M453"/>
    </row>
    <row r="454" spans="2:13" x14ac:dyDescent="0.3">
      <c r="B454"/>
      <c r="C454"/>
      <c r="D454"/>
      <c r="E454"/>
      <c r="F454"/>
      <c r="G454"/>
      <c r="H454"/>
      <c r="I454"/>
      <c r="J454"/>
      <c r="K454"/>
      <c r="L454"/>
      <c r="M454"/>
    </row>
    <row r="455" spans="2:13" x14ac:dyDescent="0.3">
      <c r="B455"/>
      <c r="C455"/>
      <c r="D455"/>
      <c r="E455"/>
      <c r="F455"/>
      <c r="G455"/>
      <c r="H455"/>
      <c r="I455"/>
      <c r="J455"/>
      <c r="K455"/>
      <c r="L455"/>
      <c r="M455"/>
    </row>
    <row r="456" spans="2:13" x14ac:dyDescent="0.3">
      <c r="B456"/>
      <c r="C456"/>
      <c r="D456"/>
      <c r="E456"/>
      <c r="F456"/>
      <c r="G456"/>
      <c r="H456"/>
      <c r="I456"/>
      <c r="J456"/>
      <c r="K456"/>
      <c r="L456"/>
      <c r="M456"/>
    </row>
    <row r="457" spans="2:13" x14ac:dyDescent="0.3">
      <c r="B457"/>
      <c r="C457"/>
      <c r="D457"/>
      <c r="E457"/>
      <c r="F457"/>
      <c r="G457"/>
      <c r="H457"/>
      <c r="I457"/>
      <c r="J457"/>
      <c r="K457"/>
      <c r="L457"/>
      <c r="M457"/>
    </row>
    <row r="458" spans="2:13" x14ac:dyDescent="0.3">
      <c r="B458"/>
      <c r="C458"/>
      <c r="D458"/>
      <c r="E458"/>
      <c r="F458"/>
      <c r="G458"/>
      <c r="H458"/>
      <c r="I458"/>
      <c r="J458"/>
      <c r="K458"/>
      <c r="L458"/>
      <c r="M458"/>
    </row>
    <row r="459" spans="2:13" x14ac:dyDescent="0.3">
      <c r="B459"/>
      <c r="C459"/>
      <c r="D459"/>
      <c r="E459"/>
      <c r="F459"/>
      <c r="G459"/>
      <c r="H459"/>
      <c r="I459"/>
      <c r="J459"/>
      <c r="K459"/>
      <c r="L459"/>
      <c r="M459"/>
    </row>
    <row r="460" spans="2:13" x14ac:dyDescent="0.3">
      <c r="B460"/>
      <c r="C460"/>
      <c r="D460"/>
      <c r="E460"/>
      <c r="F460"/>
      <c r="G460"/>
      <c r="H460"/>
      <c r="I460"/>
      <c r="J460"/>
      <c r="K460"/>
      <c r="L460"/>
      <c r="M460"/>
    </row>
    <row r="461" spans="2:13" x14ac:dyDescent="0.3">
      <c r="B461"/>
      <c r="C461"/>
      <c r="D461"/>
      <c r="E461"/>
      <c r="F461"/>
      <c r="G461"/>
      <c r="H461"/>
      <c r="I461"/>
      <c r="J461"/>
      <c r="K461"/>
      <c r="L461"/>
      <c r="M461"/>
    </row>
    <row r="462" spans="2:13" x14ac:dyDescent="0.3">
      <c r="B462"/>
      <c r="C462"/>
      <c r="D462"/>
      <c r="E462"/>
      <c r="F462"/>
      <c r="G462"/>
      <c r="J462"/>
      <c r="K462"/>
      <c r="L462"/>
      <c r="M462"/>
    </row>
    <row r="463" spans="2:13" x14ac:dyDescent="0.3">
      <c r="B463"/>
      <c r="C463"/>
      <c r="D463"/>
      <c r="E463"/>
      <c r="F463"/>
      <c r="G463"/>
      <c r="J463"/>
      <c r="K463"/>
      <c r="L463"/>
      <c r="M463"/>
    </row>
    <row r="464" spans="2:13" x14ac:dyDescent="0.3">
      <c r="B464"/>
      <c r="C464"/>
      <c r="D464"/>
      <c r="E464"/>
      <c r="F464"/>
      <c r="G464"/>
      <c r="J464"/>
      <c r="K464"/>
      <c r="L464"/>
      <c r="M464"/>
    </row>
    <row r="465" spans="2:13" x14ac:dyDescent="0.3">
      <c r="B465"/>
      <c r="C465"/>
      <c r="D465"/>
      <c r="E465"/>
      <c r="F465"/>
      <c r="G465"/>
      <c r="J465"/>
      <c r="K465"/>
      <c r="L465"/>
      <c r="M465"/>
    </row>
    <row r="466" spans="2:13" x14ac:dyDescent="0.3">
      <c r="B466"/>
      <c r="C466"/>
      <c r="D466"/>
      <c r="E466"/>
      <c r="F466"/>
      <c r="G466"/>
      <c r="J466"/>
      <c r="K466"/>
      <c r="L466"/>
      <c r="M466"/>
    </row>
    <row r="467" spans="2:13" x14ac:dyDescent="0.3">
      <c r="B467"/>
      <c r="C467"/>
      <c r="D467"/>
      <c r="E467"/>
      <c r="F467"/>
      <c r="G467"/>
      <c r="J467"/>
      <c r="K467"/>
      <c r="L467"/>
      <c r="M467"/>
    </row>
    <row r="468" spans="2:13" x14ac:dyDescent="0.3">
      <c r="B468"/>
      <c r="C468"/>
      <c r="D468"/>
      <c r="E468"/>
      <c r="F468"/>
      <c r="G468"/>
      <c r="J468"/>
      <c r="K468"/>
      <c r="L468"/>
      <c r="M468"/>
    </row>
    <row r="469" spans="2:13" x14ac:dyDescent="0.3">
      <c r="B469"/>
      <c r="C469"/>
      <c r="D469"/>
      <c r="E469"/>
      <c r="F469"/>
      <c r="G469"/>
      <c r="J469"/>
      <c r="K469"/>
      <c r="L469"/>
      <c r="M469"/>
    </row>
    <row r="470" spans="2:13" x14ac:dyDescent="0.3">
      <c r="B470"/>
      <c r="C470"/>
      <c r="D470"/>
      <c r="E470"/>
      <c r="F470"/>
      <c r="G470"/>
      <c r="J470"/>
      <c r="K470"/>
      <c r="L470"/>
      <c r="M470"/>
    </row>
    <row r="471" spans="2:13" x14ac:dyDescent="0.3">
      <c r="B471"/>
      <c r="C471"/>
      <c r="D471"/>
      <c r="E471"/>
      <c r="F471"/>
      <c r="G471"/>
      <c r="J471"/>
      <c r="K471"/>
      <c r="L471"/>
      <c r="M471"/>
    </row>
    <row r="472" spans="2:13" x14ac:dyDescent="0.3">
      <c r="B472"/>
      <c r="C472"/>
      <c r="D472"/>
      <c r="E472"/>
      <c r="F472"/>
      <c r="G472"/>
      <c r="L472"/>
      <c r="M472"/>
    </row>
    <row r="473" spans="2:13" x14ac:dyDescent="0.3">
      <c r="B473"/>
      <c r="C473"/>
      <c r="D473"/>
      <c r="E473"/>
      <c r="F473"/>
      <c r="G473"/>
      <c r="L473"/>
      <c r="M473"/>
    </row>
    <row r="474" spans="2:13" x14ac:dyDescent="0.3">
      <c r="B474"/>
      <c r="C474"/>
      <c r="D474"/>
      <c r="E474"/>
      <c r="F474"/>
      <c r="G474"/>
      <c r="L474"/>
      <c r="M474"/>
    </row>
    <row r="475" spans="2:13" x14ac:dyDescent="0.3">
      <c r="B475"/>
      <c r="C475"/>
      <c r="D475"/>
      <c r="E475"/>
      <c r="F475"/>
      <c r="G475"/>
      <c r="L475"/>
      <c r="M475"/>
    </row>
    <row r="476" spans="2:13" x14ac:dyDescent="0.3">
      <c r="B476"/>
      <c r="C476"/>
      <c r="D476"/>
      <c r="E476"/>
      <c r="F476"/>
      <c r="G476"/>
      <c r="L476"/>
      <c r="M476"/>
    </row>
    <row r="477" spans="2:13" x14ac:dyDescent="0.3">
      <c r="B477"/>
      <c r="C477"/>
      <c r="D477"/>
      <c r="E477"/>
      <c r="F477"/>
      <c r="G477"/>
      <c r="L477"/>
      <c r="M477"/>
    </row>
    <row r="478" spans="2:13" x14ac:dyDescent="0.3">
      <c r="B478"/>
      <c r="C478"/>
      <c r="D478"/>
      <c r="E478"/>
      <c r="F478"/>
      <c r="G478"/>
      <c r="L478"/>
      <c r="M478"/>
    </row>
    <row r="479" spans="2:13" x14ac:dyDescent="0.3">
      <c r="B479"/>
      <c r="C479"/>
      <c r="D479"/>
      <c r="E479"/>
      <c r="F479"/>
      <c r="G479"/>
      <c r="L479"/>
      <c r="M479"/>
    </row>
    <row r="480" spans="2:13" x14ac:dyDescent="0.3">
      <c r="B480"/>
      <c r="C480"/>
      <c r="D480"/>
      <c r="E480"/>
      <c r="F480"/>
      <c r="G480"/>
      <c r="L480"/>
      <c r="M480"/>
    </row>
    <row r="481" spans="2:13" x14ac:dyDescent="0.3">
      <c r="B481"/>
      <c r="C481"/>
      <c r="D481"/>
      <c r="E481"/>
      <c r="L481"/>
      <c r="M481"/>
    </row>
    <row r="482" spans="2:13" x14ac:dyDescent="0.3">
      <c r="B482"/>
      <c r="C482"/>
      <c r="D482"/>
      <c r="E482"/>
      <c r="L482"/>
      <c r="M482"/>
    </row>
    <row r="483" spans="2:13" x14ac:dyDescent="0.3">
      <c r="B483"/>
      <c r="C483"/>
      <c r="D483"/>
      <c r="E483"/>
      <c r="L483"/>
      <c r="M483"/>
    </row>
    <row r="484" spans="2:13" x14ac:dyDescent="0.3">
      <c r="B484"/>
      <c r="C484"/>
      <c r="D484"/>
      <c r="E484"/>
      <c r="L484"/>
      <c r="M484"/>
    </row>
    <row r="485" spans="2:13" x14ac:dyDescent="0.3">
      <c r="C485"/>
      <c r="D485"/>
      <c r="E485"/>
      <c r="L485"/>
      <c r="M485"/>
    </row>
    <row r="486" spans="2:13" x14ac:dyDescent="0.3">
      <c r="C486"/>
      <c r="D486"/>
      <c r="E486"/>
      <c r="L486"/>
      <c r="M486"/>
    </row>
    <row r="487" spans="2:13" x14ac:dyDescent="0.3">
      <c r="C487"/>
      <c r="D487"/>
      <c r="E487"/>
      <c r="L487"/>
      <c r="M487"/>
    </row>
    <row r="488" spans="2:13" x14ac:dyDescent="0.3">
      <c r="C488"/>
      <c r="D488"/>
      <c r="L488"/>
      <c r="M488"/>
    </row>
    <row r="489" spans="2:13" x14ac:dyDescent="0.3">
      <c r="C489"/>
      <c r="L489"/>
      <c r="M489"/>
    </row>
    <row r="490" spans="2:13" x14ac:dyDescent="0.3">
      <c r="L490"/>
      <c r="M490"/>
    </row>
    <row r="491" spans="2:13" x14ac:dyDescent="0.3">
      <c r="L491"/>
      <c r="M491"/>
    </row>
    <row r="492" spans="2:13" x14ac:dyDescent="0.3">
      <c r="L492"/>
      <c r="M492"/>
    </row>
    <row r="493" spans="2:13" x14ac:dyDescent="0.3">
      <c r="L493"/>
      <c r="M493"/>
    </row>
    <row r="494" spans="2:13" x14ac:dyDescent="0.3">
      <c r="L494"/>
      <c r="M494"/>
    </row>
    <row r="495" spans="2:13" x14ac:dyDescent="0.3">
      <c r="L495"/>
      <c r="M495"/>
    </row>
    <row r="496" spans="2:13" x14ac:dyDescent="0.3">
      <c r="L496"/>
      <c r="M496"/>
    </row>
    <row r="497" spans="12:13" x14ac:dyDescent="0.3">
      <c r="L497"/>
      <c r="M497"/>
    </row>
    <row r="498" spans="12:13" x14ac:dyDescent="0.3">
      <c r="L498"/>
      <c r="M498"/>
    </row>
    <row r="499" spans="12:13" x14ac:dyDescent="0.3">
      <c r="L499"/>
      <c r="M499"/>
    </row>
    <row r="500" spans="12:13" x14ac:dyDescent="0.3">
      <c r="L500"/>
      <c r="M500"/>
    </row>
    <row r="501" spans="12:13" x14ac:dyDescent="0.3">
      <c r="L501"/>
      <c r="M501"/>
    </row>
    <row r="502" spans="12:13" x14ac:dyDescent="0.3">
      <c r="L502"/>
      <c r="M502"/>
    </row>
    <row r="503" spans="12:13" x14ac:dyDescent="0.3">
      <c r="L503"/>
      <c r="M503"/>
    </row>
    <row r="504" spans="12:13" x14ac:dyDescent="0.3">
      <c r="L504"/>
      <c r="M504"/>
    </row>
    <row r="505" spans="12:13" x14ac:dyDescent="0.3">
      <c r="L505"/>
      <c r="M505"/>
    </row>
  </sheetData>
  <mergeCells count="70">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L25:L29"/>
    <mergeCell ref="A12:B12"/>
    <mergeCell ref="D14:E14"/>
    <mergeCell ref="F14:G14"/>
    <mergeCell ref="J25:K25"/>
    <mergeCell ref="A15:B15"/>
    <mergeCell ref="D24:K24"/>
    <mergeCell ref="D25:E25"/>
    <mergeCell ref="F25:G25"/>
    <mergeCell ref="H25:I25"/>
    <mergeCell ref="L20:L24"/>
    <mergeCell ref="L15:L19"/>
    <mergeCell ref="J14:K14"/>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F2:G2"/>
    <mergeCell ref="D2:E2"/>
    <mergeCell ref="F3:G3"/>
    <mergeCell ref="F4:G4"/>
    <mergeCell ref="D10:E10"/>
    <mergeCell ref="D7:E7"/>
    <mergeCell ref="F7:G7"/>
    <mergeCell ref="F8:G8"/>
    <mergeCell ref="D11:E11"/>
    <mergeCell ref="F10:G10"/>
    <mergeCell ref="D41:G41"/>
    <mergeCell ref="F11:G11"/>
    <mergeCell ref="D42:G42"/>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W587"/>
  <sheetViews>
    <sheetView workbookViewId="0">
      <pane ySplit="2" topLeftCell="A569" activePane="bottomLeft" state="frozen"/>
      <selection pane="bottomLeft" activeCell="A589" sqref="A589"/>
    </sheetView>
  </sheetViews>
  <sheetFormatPr baseColWidth="10" defaultColWidth="11.44140625" defaultRowHeight="14.25" customHeight="1" x14ac:dyDescent="0.3"/>
  <cols>
    <col min="1" max="1" width="11.44140625" style="131"/>
    <col min="2" max="2" width="30.33203125" style="93" customWidth="1"/>
    <col min="3" max="3" width="17" style="96" customWidth="1"/>
    <col min="4" max="4" width="11.44140625" style="94"/>
    <col min="5" max="5" width="15.6640625" style="95" customWidth="1"/>
    <col min="6" max="6" width="15.44140625" style="95" customWidth="1"/>
    <col min="7" max="7" width="11.44140625" style="96"/>
    <col min="8" max="8" width="26.33203125" style="95" customWidth="1"/>
    <col min="9" max="9" width="11.88671875" style="95" bestFit="1" customWidth="1"/>
    <col min="10" max="11" width="11.44140625" style="96"/>
    <col min="12" max="12" width="17.6640625" style="95" customWidth="1"/>
    <col min="13" max="13" width="11.44140625" style="95"/>
    <col min="14" max="15" width="11.44140625" style="96"/>
    <col min="16" max="16" width="17.6640625" style="95" customWidth="1"/>
    <col min="17" max="17" width="11.44140625" style="95"/>
    <col min="18" max="19" width="11.44140625" style="96"/>
    <col min="20" max="20" width="17.6640625" style="95" customWidth="1"/>
    <col min="21" max="21" width="11.44140625" style="95"/>
    <col min="22" max="22" width="11.44140625" style="96"/>
    <col min="23" max="16384" width="11.44140625" style="93"/>
  </cols>
  <sheetData>
    <row r="1" spans="1:22" s="108" customFormat="1" ht="14.25" customHeight="1" x14ac:dyDescent="0.3">
      <c r="A1" s="120" t="s">
        <v>205</v>
      </c>
      <c r="B1" s="77" t="s">
        <v>203</v>
      </c>
      <c r="C1" s="102" t="s">
        <v>922</v>
      </c>
      <c r="D1" s="77" t="s">
        <v>921</v>
      </c>
      <c r="E1" s="78" t="s">
        <v>1018</v>
      </c>
      <c r="F1" s="78" t="s">
        <v>1017</v>
      </c>
      <c r="G1" s="334" t="s">
        <v>925</v>
      </c>
      <c r="H1" s="335"/>
      <c r="I1" s="335"/>
      <c r="J1" s="335"/>
      <c r="K1" s="333" t="s">
        <v>927</v>
      </c>
      <c r="L1" s="333"/>
      <c r="M1" s="333"/>
      <c r="N1" s="333"/>
      <c r="O1" s="336" t="s">
        <v>928</v>
      </c>
      <c r="P1" s="336"/>
      <c r="Q1" s="336"/>
      <c r="R1" s="336"/>
      <c r="S1" s="333" t="s">
        <v>929</v>
      </c>
      <c r="T1" s="333"/>
      <c r="U1" s="333"/>
      <c r="V1" s="333"/>
    </row>
    <row r="2" spans="1:22" s="108" customFormat="1" ht="14.25" customHeight="1" x14ac:dyDescent="0.3">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3">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3">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3">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3">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3">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3">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3">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3">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3">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3">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3">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3">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3">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3">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3">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3">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3">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3">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3">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3">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3">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3">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3">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3">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3">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3">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3">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3">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3">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3">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3">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3">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3">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3">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3">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3">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3">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3">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3">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3">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3">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3">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3">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3">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3">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3">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3">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3">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3">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3">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3">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3">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3">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3">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3">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3">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3">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3">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3">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3">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3">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3">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3">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3">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3">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3">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3">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3">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3">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3">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3">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3">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3">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3">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3">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3">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3">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3">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3">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3">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3">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3">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3">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3">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3">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3">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3">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3">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3">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3">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3">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3">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3">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3">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3">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3">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3">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3">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3">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3">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3">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3">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3">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3">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3">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3">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3">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3">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3">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3">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3">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3">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3">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3">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3">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3">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3">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3">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3">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3">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3">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3">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3">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3">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3">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3">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3">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3">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3">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3">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3">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3">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3">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3">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3">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3">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3">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3">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3">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3">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3">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3">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3">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3">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3">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3">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3">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3">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3">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3">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3">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3">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3">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3">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3">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3">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3">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3">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3">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3">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3">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3">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3">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3">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3">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3">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3">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3">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3">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3">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3">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3">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3">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3">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3">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3">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3">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3">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3">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3">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3">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3">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3">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3">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3">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3">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3">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3">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3">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3">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3">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3">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3">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3">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3">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3">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3">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3">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3">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3">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3">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3">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3">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3">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3">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3">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3">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3">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3">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3">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3">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3">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3">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3">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3">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3">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3">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3">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3">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3">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3">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3">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3">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3">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3">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3">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3">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3">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3">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3">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3">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3">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3">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3">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3">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3">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3">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3">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3">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3">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3">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3">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3">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3">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3">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3">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3">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3">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3">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3">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3">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3">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3">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3">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3">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3">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3">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3">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3">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3">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3">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3">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3">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3">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3">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3">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3">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3">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3">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3">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3">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3">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3">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3">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3">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3">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3">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3">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3">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3">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3">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3">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3">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3">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3">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3">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3">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3">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3">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3">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3">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3">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3">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3">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3">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3">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3">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3">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3">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3">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3">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3">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3">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3">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3">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3">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3">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3">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3">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3">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3">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3">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3">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3">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3">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3">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3">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3">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3">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3">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3">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3">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3">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3">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3">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3">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3">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3">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3">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3">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3">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3">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3">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3">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3">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3">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3">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3">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3">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3">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3">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3">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3">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3">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3">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3">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3">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3">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3">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3">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3">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3">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3">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3">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3">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3">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3">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3">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3">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3">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3">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3">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3">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3">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3">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3">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3">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3">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3">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3">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3">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3">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3">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3">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3">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3">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3">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3">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3">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3">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3">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3">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3">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3">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3">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3">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3">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3">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3">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3">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3">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3">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3">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3">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3">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3">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3">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3">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3">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3">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3">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3">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3">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3">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3">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3">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3">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3">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3">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3">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3">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3">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3">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3">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3">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3">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3">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3">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3">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3">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3">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3">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3">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3">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3">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3">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3">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3">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3">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3">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3">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3">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3">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3">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3">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3">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3">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3">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3">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3">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3">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3">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3">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3">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3">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3">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3">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3">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3">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3">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3">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3">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3">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3">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3">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3">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3">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3">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3">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3">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3">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3">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3">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3">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3">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3">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3">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3">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3">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3">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3">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3">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3">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3">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3">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3">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3">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3">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3">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3">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3">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3">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3">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3">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3">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3">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3">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3">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3">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3">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3">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3">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3">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3">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3">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3">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3">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3">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3">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3">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3">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3">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3">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3">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3">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3">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3">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3">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3">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3">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3">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3">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3">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3">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3">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3">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3">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3">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3">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3">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3">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3">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3">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3">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3">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3">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3">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3">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3">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3">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3">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3">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3">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3">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3">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3">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3">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3">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3">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3">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3">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3">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3">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3">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3">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3">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3">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3">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3">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3">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3">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3">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3">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3">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3">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3">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3">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3">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3">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3">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3">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3">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3">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3">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3">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3">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3">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3">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3">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3">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3">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3">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3">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3">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3">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3">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3">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3">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3">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3">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3">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3">
      <c r="A584" s="130">
        <v>434</v>
      </c>
      <c r="B584" s="130" t="s">
        <v>142</v>
      </c>
      <c r="E584" s="144">
        <f>'ECONOMIA &amp; PROFESIONES'!$I$32</f>
        <v>771</v>
      </c>
      <c r="F584" s="188">
        <f t="shared" si="286"/>
        <v>128.5</v>
      </c>
    </row>
    <row r="585" spans="1:22" s="190" customFormat="1" ht="14.25" customHeight="1" x14ac:dyDescent="0.3">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3">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3">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9"/>
  <dimension ref="A1:V521"/>
  <sheetViews>
    <sheetView workbookViewId="0">
      <pane ySplit="2" topLeftCell="A379" activePane="bottomLeft" state="frozen"/>
      <selection pane="bottomLeft" activeCell="D534" sqref="D534"/>
    </sheetView>
  </sheetViews>
  <sheetFormatPr baseColWidth="10" defaultColWidth="11.44140625" defaultRowHeight="14.25" customHeight="1" x14ac:dyDescent="0.3"/>
  <cols>
    <col min="1" max="1" width="11.44140625" style="131"/>
    <col min="2" max="2" width="21.6640625" style="93" customWidth="1"/>
    <col min="3" max="3" width="11.6640625" style="102" customWidth="1"/>
    <col min="4" max="4" width="10" style="77" customWidth="1"/>
    <col min="5" max="5" width="12.88671875" style="102" customWidth="1"/>
    <col min="6" max="6" width="9.5546875" style="77" customWidth="1"/>
    <col min="7" max="8" width="9.5546875" style="95" customWidth="1"/>
    <col min="9" max="9" width="9.5546875" style="96" customWidth="1"/>
    <col min="10" max="10" width="14.44140625" style="96" customWidth="1"/>
    <col min="11" max="11" width="19.44140625" style="96" customWidth="1"/>
    <col min="12" max="12" width="17.6640625" style="95" customWidth="1"/>
    <col min="13" max="13" width="11.44140625" style="95"/>
    <col min="14" max="15" width="11.44140625" style="96"/>
    <col min="16" max="16" width="17.6640625" style="95" customWidth="1"/>
    <col min="17" max="17" width="11.44140625" style="95"/>
    <col min="18" max="19" width="11.44140625" style="96"/>
    <col min="20" max="20" width="17.6640625" style="95" customWidth="1"/>
    <col min="21" max="21" width="11.44140625" style="95"/>
    <col min="22" max="22" width="11.44140625" style="96"/>
    <col min="23" max="16384" width="11.44140625" style="93"/>
  </cols>
  <sheetData>
    <row r="1" spans="1:11" s="143" customFormat="1" ht="14.25" customHeight="1" x14ac:dyDescent="0.3">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3">
      <c r="A2" s="173"/>
      <c r="B2" s="174"/>
      <c r="C2" s="174"/>
      <c r="D2" s="174"/>
      <c r="E2" s="174"/>
      <c r="F2" s="175"/>
      <c r="K2" s="177"/>
    </row>
    <row r="3" spans="1:11" s="74" customFormat="1" ht="14.25" hidden="1" customHeight="1" x14ac:dyDescent="0.3">
      <c r="A3" s="122" t="s">
        <v>926</v>
      </c>
      <c r="B3" s="79" t="s">
        <v>926</v>
      </c>
      <c r="C3" s="157" t="s">
        <v>926</v>
      </c>
      <c r="D3" s="77" t="s">
        <v>926</v>
      </c>
      <c r="E3" s="172"/>
      <c r="F3" s="168"/>
      <c r="K3" s="178"/>
    </row>
    <row r="4" spans="1:11" s="197" customFormat="1" ht="14.25" customHeight="1" x14ac:dyDescent="0.3">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3">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3">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3">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3">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3">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3">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3">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3">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3">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3">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3">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3">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3">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3">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3">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3">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3">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3">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3">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3">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3">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3">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3">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3">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3">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3">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3">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3">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3">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3">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3">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3">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3">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3">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3">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3">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3">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3">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3">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3">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3">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3">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3">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3">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3">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3">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3">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3">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3">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3">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3">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3">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3">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3">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3">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3">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3">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3">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3">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3">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3">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3">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3">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3">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3">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3">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3">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3">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3">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3">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3">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3">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3">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3">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3">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3">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3">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3">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3">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3">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3">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3">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3">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3">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3">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3">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3">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3">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3">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3">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3">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3">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3">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3">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3">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3">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3">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3">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3">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3">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3">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3">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3">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3">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3">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3">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3">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3">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3">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3">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3">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3">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3">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3">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3">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3">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3">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3">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3">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3">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3">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3">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3">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3">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3">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3">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3">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3">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3">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3">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3">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3">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3">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3">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3">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3">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3">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3">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3">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3">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3">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3">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3">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3">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3">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3">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3">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3">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3">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3">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3">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3">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3">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3">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3">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3">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3">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3">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3">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3">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3">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3">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3">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3">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3">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3">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3">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3">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3">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3">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3">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3">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3">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3">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3">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3">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3">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3">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3">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3">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3">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3">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3">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3">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3">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3">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3">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3">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3">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3">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3">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3">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3">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3">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3">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3">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3">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3">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3">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3">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3">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3">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3">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3">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3">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3">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3">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3">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3">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3">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3">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3">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3">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3">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3">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3">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3">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3">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3">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3">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3">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3">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3">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3">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3">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3">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3">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3">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3">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3">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3">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3">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3">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3">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3">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3">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3">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3">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3">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3">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3">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3">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3">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3">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3">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3">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3">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3">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3">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3">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3">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3">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3">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3">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3">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3">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3">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3">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3">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3">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3">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3">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3">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3">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3">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3">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3">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3">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3">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3">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3">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3">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3">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3">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3">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3">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3">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3">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3">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3">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3">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3">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3">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3">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3">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3">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3">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3">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3">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3">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3">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3">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3">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3">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3">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3">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3">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3">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3">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3">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3">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3">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3">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3">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3">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3">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3">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3">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3">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3">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3">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3">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3">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3">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3">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3">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3">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3">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3">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3">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3">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3">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3">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3">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3">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3">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3">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3">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3">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3">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3">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3">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3">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3">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3">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3">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3">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3">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3">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3">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3">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3">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3">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3">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3">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3">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3">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3">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3">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3">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3">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3">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3">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3">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3">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3">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3">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3">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3">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3">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3">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3">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3">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3">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3">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3">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3">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3">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3">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3">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3">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3">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3">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3">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3">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3">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3">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3">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3">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3">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3">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3">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3">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3">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3">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3">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3">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3">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3">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3">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3">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3">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3">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3">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3">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3">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3">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3">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3">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3">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3">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3">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3">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3">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3">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3">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3">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3">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3">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3">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3">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3">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3">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3">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3">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3">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3">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3">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3">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3">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3">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3">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3">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3">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3">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3">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3">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3">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3">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3">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3">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3">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3">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3">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3">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3">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3">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3">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3">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3">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3">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3">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3">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3">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3">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3">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3">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3">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3">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3">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3">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3">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3">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3">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3">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3">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3">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3">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3">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3">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3">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3">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3">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3">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3">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3">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3">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3">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3">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3">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3">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3">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3">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3">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3">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3">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3">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3">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3">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3">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3">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3">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3">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3">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3">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3">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3">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3">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3">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3">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3">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3">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3">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3">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3">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3">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3">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3">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3">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3">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3">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3">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3">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3">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3">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3">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3">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3">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3">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3">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3">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3">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3">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3">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3">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3">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3">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formula1>PROFESIONES</formula1>
    </dataValidation>
    <dataValidation type="list" allowBlank="1" showInputMessage="1" showErrorMessage="1" sqref="F4:I521">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dimension ref="A1:R187"/>
  <sheetViews>
    <sheetView workbookViewId="0">
      <selection activeCell="F11" sqref="F11"/>
    </sheetView>
  </sheetViews>
  <sheetFormatPr baseColWidth="10" defaultRowHeight="14.4" x14ac:dyDescent="0.3"/>
  <cols>
    <col min="1" max="1" width="6.6640625" customWidth="1"/>
    <col min="2" max="2" width="20.44140625" customWidth="1"/>
    <col min="3" max="3" width="7.88671875" customWidth="1"/>
    <col min="4" max="4" width="7.5546875" customWidth="1"/>
    <col min="5" max="5" width="6.6640625" style="181" customWidth="1"/>
    <col min="6" max="6" width="20.44140625" style="181" customWidth="1"/>
    <col min="7" max="7" width="7.88671875" style="181" customWidth="1"/>
    <col min="8" max="8" width="7.5546875" style="181" customWidth="1"/>
    <col min="9" max="9" width="11.109375" style="181" customWidth="1"/>
    <col min="10" max="10" width="20.44140625" style="181" customWidth="1"/>
    <col min="11" max="11" width="7.88671875" style="181" customWidth="1"/>
    <col min="12" max="12" width="7.5546875" style="181" customWidth="1"/>
    <col min="13" max="13" width="6.6640625" style="181" customWidth="1"/>
    <col min="14" max="14" width="20.44140625" style="181" customWidth="1"/>
    <col min="15" max="15" width="7.88671875" style="181" customWidth="1"/>
    <col min="16" max="16" width="7.5546875" style="181" customWidth="1"/>
  </cols>
  <sheetData>
    <row r="1" spans="1:18" x14ac:dyDescent="0.3">
      <c r="A1" s="341" t="s">
        <v>152</v>
      </c>
      <c r="B1" s="341"/>
      <c r="C1" s="341"/>
      <c r="D1" s="341"/>
      <c r="E1" s="341" t="s">
        <v>150</v>
      </c>
      <c r="F1" s="341"/>
      <c r="G1" s="341"/>
      <c r="H1" s="341"/>
      <c r="I1" s="341" t="s">
        <v>151</v>
      </c>
      <c r="J1" s="341"/>
      <c r="K1" s="341"/>
      <c r="L1" s="341"/>
      <c r="M1" s="341" t="s">
        <v>160</v>
      </c>
      <c r="N1" s="341"/>
      <c r="O1" s="341"/>
      <c r="P1" s="341"/>
      <c r="Q1" s="187"/>
      <c r="R1" s="187"/>
    </row>
    <row r="2" spans="1:18" x14ac:dyDescent="0.3">
      <c r="A2" s="342" t="s">
        <v>1010</v>
      </c>
      <c r="B2" s="343"/>
      <c r="C2" s="343"/>
      <c r="D2" s="343"/>
      <c r="E2" s="342" t="s">
        <v>1010</v>
      </c>
      <c r="F2" s="343"/>
      <c r="G2" s="343"/>
      <c r="H2" s="343"/>
      <c r="I2" s="342" t="s">
        <v>1010</v>
      </c>
      <c r="J2" s="343"/>
      <c r="K2" s="343"/>
      <c r="L2" s="343"/>
      <c r="M2" s="342" t="s">
        <v>1010</v>
      </c>
      <c r="N2" s="343"/>
      <c r="O2" s="343"/>
      <c r="P2" s="343"/>
    </row>
    <row r="3" spans="1:18" x14ac:dyDescent="0.3">
      <c r="A3" s="337" t="s">
        <v>1008</v>
      </c>
      <c r="B3" s="338"/>
      <c r="C3" s="339">
        <f>COUNTA(A8:A30)</f>
        <v>16</v>
      </c>
      <c r="D3" s="340"/>
      <c r="E3" s="337" t="s">
        <v>1008</v>
      </c>
      <c r="F3" s="338"/>
      <c r="G3" s="339">
        <f>COUNTA(E8:E30)</f>
        <v>16</v>
      </c>
      <c r="H3" s="340"/>
      <c r="I3" s="337" t="s">
        <v>1008</v>
      </c>
      <c r="J3" s="338"/>
      <c r="K3" s="339">
        <f>COUNTA(I8:I30)</f>
        <v>19</v>
      </c>
      <c r="L3" s="340"/>
      <c r="M3" s="337" t="s">
        <v>1008</v>
      </c>
      <c r="N3" s="338"/>
      <c r="O3" s="339">
        <f>COUNTA(M8:M30)</f>
        <v>2</v>
      </c>
      <c r="P3" s="340"/>
    </row>
    <row r="4" spans="1:18" s="181" customFormat="1" x14ac:dyDescent="0.3">
      <c r="A4" s="337" t="s">
        <v>1009</v>
      </c>
      <c r="B4" s="338"/>
      <c r="C4" s="339">
        <f>ROUNDDOWN((C5+C6)/C3,1)</f>
        <v>3.1</v>
      </c>
      <c r="D4" s="340"/>
      <c r="E4" s="337" t="s">
        <v>1009</v>
      </c>
      <c r="F4" s="338"/>
      <c r="G4" s="339">
        <f>ROUNDDOWN((G5+G6)/G3,1)</f>
        <v>3.1</v>
      </c>
      <c r="H4" s="340"/>
      <c r="I4" s="337" t="s">
        <v>1009</v>
      </c>
      <c r="J4" s="338"/>
      <c r="K4" s="339">
        <f>ROUNDDOWN((K5+K6)/K3,1)</f>
        <v>2.6</v>
      </c>
      <c r="L4" s="340"/>
      <c r="M4" s="337" t="s">
        <v>1009</v>
      </c>
      <c r="N4" s="338"/>
      <c r="O4" s="339">
        <f>ROUNDDOWN((O5+O6)/O3,1)</f>
        <v>25</v>
      </c>
      <c r="P4" s="340"/>
    </row>
    <row r="5" spans="1:18" x14ac:dyDescent="0.3">
      <c r="A5" s="337" t="s">
        <v>1007</v>
      </c>
      <c r="B5" s="338"/>
      <c r="C5" s="339">
        <v>0</v>
      </c>
      <c r="D5" s="340"/>
      <c r="E5" s="337" t="s">
        <v>1007</v>
      </c>
      <c r="F5" s="338"/>
      <c r="G5" s="339">
        <v>0</v>
      </c>
      <c r="H5" s="340"/>
      <c r="I5" s="337" t="s">
        <v>1007</v>
      </c>
      <c r="J5" s="338"/>
      <c r="K5" s="339">
        <v>0</v>
      </c>
      <c r="L5" s="340"/>
      <c r="M5" s="337" t="s">
        <v>1007</v>
      </c>
      <c r="N5" s="338"/>
      <c r="O5" s="339">
        <v>0</v>
      </c>
      <c r="P5" s="340"/>
    </row>
    <row r="6" spans="1:18" x14ac:dyDescent="0.3">
      <c r="A6" s="337" t="s">
        <v>1016</v>
      </c>
      <c r="B6" s="338"/>
      <c r="C6" s="346">
        <v>50</v>
      </c>
      <c r="D6" s="347"/>
      <c r="E6" s="337" t="s">
        <v>1016</v>
      </c>
      <c r="F6" s="338"/>
      <c r="G6" s="346">
        <v>50</v>
      </c>
      <c r="H6" s="347"/>
      <c r="I6" s="337" t="s">
        <v>1016</v>
      </c>
      <c r="J6" s="338"/>
      <c r="K6" s="346">
        <v>50</v>
      </c>
      <c r="L6" s="347"/>
      <c r="M6" s="337" t="s">
        <v>1016</v>
      </c>
      <c r="N6" s="338"/>
      <c r="O6" s="346">
        <v>50</v>
      </c>
      <c r="P6" s="347"/>
    </row>
    <row r="7" spans="1:18" x14ac:dyDescent="0.3">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3">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3">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3">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3">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3">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3">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3">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3">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3">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3">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3">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3">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3">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3">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3">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3">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3">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3">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3">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3">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3">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3">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3">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3">
      <c r="A31" s="257"/>
      <c r="B31" s="344" t="s">
        <v>1011</v>
      </c>
      <c r="C31" s="344"/>
      <c r="D31" s="345"/>
      <c r="E31" s="257"/>
      <c r="F31" s="344" t="s">
        <v>1011</v>
      </c>
      <c r="G31" s="344"/>
      <c r="H31" s="345"/>
      <c r="I31" s="257"/>
      <c r="J31" s="344" t="s">
        <v>1011</v>
      </c>
      <c r="K31" s="344"/>
      <c r="L31" s="345"/>
      <c r="M31" s="257"/>
      <c r="N31" s="344" t="s">
        <v>1011</v>
      </c>
      <c r="O31" s="344"/>
      <c r="P31" s="345"/>
    </row>
    <row r="32" spans="1:16" x14ac:dyDescent="0.3">
      <c r="A32" s="258"/>
      <c r="B32" s="258" t="s">
        <v>1008</v>
      </c>
      <c r="C32" s="339">
        <f>COUNTA(A37:A59)</f>
        <v>5</v>
      </c>
      <c r="D32" s="340"/>
      <c r="E32" s="258"/>
      <c r="F32" s="258" t="s">
        <v>1008</v>
      </c>
      <c r="G32" s="339">
        <f>COUNTA(E37:E59)</f>
        <v>10</v>
      </c>
      <c r="H32" s="340"/>
      <c r="I32" s="258"/>
      <c r="J32" s="258" t="s">
        <v>1008</v>
      </c>
      <c r="K32" s="339">
        <f>COUNTA(I37:I59)</f>
        <v>13</v>
      </c>
      <c r="L32" s="340"/>
      <c r="M32" s="258"/>
      <c r="N32" s="258" t="s">
        <v>1008</v>
      </c>
      <c r="O32" s="339">
        <f>COUNTA(M37:M59)</f>
        <v>3</v>
      </c>
      <c r="P32" s="340"/>
    </row>
    <row r="33" spans="1:16" x14ac:dyDescent="0.3">
      <c r="A33" s="258"/>
      <c r="B33" s="258" t="s">
        <v>1009</v>
      </c>
      <c r="C33" s="339">
        <f>ROUNDDOWN(C34/C32,1)</f>
        <v>10</v>
      </c>
      <c r="D33" s="340"/>
      <c r="E33" s="258"/>
      <c r="F33" s="258" t="s">
        <v>1009</v>
      </c>
      <c r="G33" s="339">
        <f>ROUNDDOWN(G34/G32,1)</f>
        <v>5</v>
      </c>
      <c r="H33" s="340"/>
      <c r="I33" s="258"/>
      <c r="J33" s="258" t="s">
        <v>1009</v>
      </c>
      <c r="K33" s="339">
        <f>ROUNDDOWN(K34/K32,1)</f>
        <v>3.8</v>
      </c>
      <c r="L33" s="340"/>
      <c r="M33" s="258"/>
      <c r="N33" s="258" t="s">
        <v>1009</v>
      </c>
      <c r="O33" s="339">
        <f>ROUNDDOWN(O34/O32,1)</f>
        <v>16.600000000000001</v>
      </c>
      <c r="P33" s="340"/>
    </row>
    <row r="34" spans="1:16" x14ac:dyDescent="0.3">
      <c r="A34" s="258"/>
      <c r="B34" s="258" t="s">
        <v>1007</v>
      </c>
      <c r="C34" s="339">
        <v>50</v>
      </c>
      <c r="D34" s="340"/>
      <c r="E34" s="258"/>
      <c r="F34" s="258" t="s">
        <v>1007</v>
      </c>
      <c r="G34" s="339">
        <v>50</v>
      </c>
      <c r="H34" s="340"/>
      <c r="I34" s="258"/>
      <c r="J34" s="258" t="s">
        <v>1007</v>
      </c>
      <c r="K34" s="339">
        <v>50</v>
      </c>
      <c r="L34" s="340"/>
      <c r="M34" s="258"/>
      <c r="N34" s="258" t="s">
        <v>1007</v>
      </c>
      <c r="O34" s="339">
        <v>50</v>
      </c>
      <c r="P34" s="340"/>
    </row>
    <row r="35" spans="1:16" x14ac:dyDescent="0.3">
      <c r="A35" s="258"/>
      <c r="B35" s="258" t="s">
        <v>1016</v>
      </c>
      <c r="C35" s="346">
        <v>50</v>
      </c>
      <c r="D35" s="347"/>
      <c r="E35" s="258"/>
      <c r="F35" s="258" t="s">
        <v>1016</v>
      </c>
      <c r="G35" s="346">
        <v>50</v>
      </c>
      <c r="H35" s="347"/>
      <c r="I35" s="258"/>
      <c r="J35" s="258" t="s">
        <v>1016</v>
      </c>
      <c r="K35" s="346">
        <v>50</v>
      </c>
      <c r="L35" s="347"/>
      <c r="M35" s="258"/>
      <c r="N35" s="258" t="s">
        <v>1016</v>
      </c>
      <c r="O35" s="346">
        <v>50</v>
      </c>
      <c r="P35" s="347"/>
    </row>
    <row r="36" spans="1:16" x14ac:dyDescent="0.3">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3">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3">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3">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3">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3">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3">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3">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3">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3">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3">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3">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3">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3">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3">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3">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3">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3">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3">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3">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3">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3">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3">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3">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3">
      <c r="A60" s="259"/>
      <c r="B60" s="344" t="s">
        <v>1012</v>
      </c>
      <c r="C60" s="344"/>
      <c r="D60" s="345"/>
      <c r="E60" s="259"/>
      <c r="F60" s="344" t="s">
        <v>1012</v>
      </c>
      <c r="G60" s="344"/>
      <c r="H60" s="345"/>
      <c r="I60" s="259"/>
      <c r="J60" s="344" t="s">
        <v>1012</v>
      </c>
      <c r="K60" s="344"/>
      <c r="L60" s="345"/>
      <c r="M60" s="259"/>
      <c r="N60" s="344" t="s">
        <v>1012</v>
      </c>
      <c r="O60" s="344"/>
      <c r="P60" s="345"/>
    </row>
    <row r="61" spans="1:16" x14ac:dyDescent="0.3">
      <c r="A61" s="258"/>
      <c r="B61" s="258" t="s">
        <v>1008</v>
      </c>
      <c r="C61" s="339">
        <f>COUNTA(A66:A88)</f>
        <v>18</v>
      </c>
      <c r="D61" s="319"/>
      <c r="E61" s="258"/>
      <c r="F61" s="258" t="s">
        <v>1008</v>
      </c>
      <c r="G61" s="339">
        <f>COUNTA(E66:E88)</f>
        <v>14</v>
      </c>
      <c r="H61" s="319"/>
      <c r="I61" s="258"/>
      <c r="J61" s="258" t="s">
        <v>1008</v>
      </c>
      <c r="K61" s="339">
        <f>COUNTA(I66:I88)</f>
        <v>12</v>
      </c>
      <c r="L61" s="319"/>
      <c r="M61" s="258"/>
      <c r="N61" s="258" t="s">
        <v>1008</v>
      </c>
      <c r="O61" s="339">
        <f>COUNTA(M66:M88)</f>
        <v>1</v>
      </c>
      <c r="P61" s="319"/>
    </row>
    <row r="62" spans="1:16" x14ac:dyDescent="0.3">
      <c r="A62" s="258"/>
      <c r="B62" s="258" t="s">
        <v>1009</v>
      </c>
      <c r="C62" s="339">
        <f>ROUNDDOWN(C64/C61,1)</f>
        <v>2.7</v>
      </c>
      <c r="D62" s="319"/>
      <c r="E62" s="258"/>
      <c r="F62" s="258" t="s">
        <v>1009</v>
      </c>
      <c r="G62" s="339">
        <f>ROUNDDOWN(G64/G61,1)</f>
        <v>3.5</v>
      </c>
      <c r="H62" s="319"/>
      <c r="I62" s="258"/>
      <c r="J62" s="258" t="s">
        <v>1009</v>
      </c>
      <c r="K62" s="339">
        <f>ROUNDDOWN(K64/K61,1)</f>
        <v>4.0999999999999996</v>
      </c>
      <c r="L62" s="319"/>
      <c r="M62" s="258"/>
      <c r="N62" s="258" t="s">
        <v>1009</v>
      </c>
      <c r="O62" s="339">
        <f>ROUNDDOWN(O64/O61,1)</f>
        <v>50</v>
      </c>
      <c r="P62" s="319"/>
    </row>
    <row r="63" spans="1:16" x14ac:dyDescent="0.3">
      <c r="A63" s="258"/>
      <c r="B63" s="258" t="s">
        <v>1007</v>
      </c>
      <c r="C63" s="339">
        <v>100</v>
      </c>
      <c r="D63" s="319"/>
      <c r="E63" s="258"/>
      <c r="F63" s="258" t="s">
        <v>1007</v>
      </c>
      <c r="G63" s="339">
        <v>100</v>
      </c>
      <c r="H63" s="319"/>
      <c r="I63" s="258"/>
      <c r="J63" s="258" t="s">
        <v>1007</v>
      </c>
      <c r="K63" s="339">
        <v>100</v>
      </c>
      <c r="L63" s="319"/>
      <c r="M63" s="258"/>
      <c r="N63" s="258" t="s">
        <v>1007</v>
      </c>
      <c r="O63" s="339">
        <v>100</v>
      </c>
      <c r="P63" s="319"/>
    </row>
    <row r="64" spans="1:16" x14ac:dyDescent="0.3">
      <c r="A64" s="258"/>
      <c r="B64" s="258" t="s">
        <v>1016</v>
      </c>
      <c r="C64" s="346">
        <v>50</v>
      </c>
      <c r="D64" s="349"/>
      <c r="E64" s="258"/>
      <c r="F64" s="258" t="s">
        <v>1016</v>
      </c>
      <c r="G64" s="346">
        <v>50</v>
      </c>
      <c r="H64" s="349"/>
      <c r="I64" s="258"/>
      <c r="J64" s="258" t="s">
        <v>1016</v>
      </c>
      <c r="K64" s="346">
        <v>50</v>
      </c>
      <c r="L64" s="349"/>
      <c r="M64" s="258"/>
      <c r="N64" s="258" t="s">
        <v>1016</v>
      </c>
      <c r="O64" s="346">
        <v>50</v>
      </c>
      <c r="P64" s="349"/>
    </row>
    <row r="65" spans="1:16" x14ac:dyDescent="0.3">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3">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3">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3">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3">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3">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3">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3">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3">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3">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3">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3">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3">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3">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3">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3">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3">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3">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3">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3">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3">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3">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3">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3">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3">
      <c r="A89" s="259"/>
      <c r="B89" s="344" t="s">
        <v>1013</v>
      </c>
      <c r="C89" s="344"/>
      <c r="D89" s="345"/>
      <c r="E89" s="259"/>
      <c r="F89" s="344" t="s">
        <v>1013</v>
      </c>
      <c r="G89" s="344"/>
      <c r="H89" s="345"/>
      <c r="I89" s="259"/>
      <c r="J89" s="344" t="s">
        <v>1013</v>
      </c>
      <c r="K89" s="344"/>
      <c r="L89" s="345"/>
      <c r="M89" s="259"/>
      <c r="N89" s="344" t="s">
        <v>1013</v>
      </c>
      <c r="O89" s="344"/>
      <c r="P89" s="345"/>
    </row>
    <row r="90" spans="1:16" x14ac:dyDescent="0.3">
      <c r="A90" s="258"/>
      <c r="B90" s="258" t="s">
        <v>1008</v>
      </c>
      <c r="C90" s="339">
        <f>COUNTA(A95:A129)</f>
        <v>35</v>
      </c>
      <c r="D90" s="319"/>
      <c r="E90" s="258"/>
      <c r="F90" s="258" t="s">
        <v>1008</v>
      </c>
      <c r="G90" s="339">
        <f>COUNTA(E95:E129)</f>
        <v>7</v>
      </c>
      <c r="H90" s="319"/>
      <c r="I90" s="258"/>
      <c r="J90" s="258" t="s">
        <v>1008</v>
      </c>
      <c r="K90" s="339">
        <f>COUNTA(I95:I129)</f>
        <v>17</v>
      </c>
      <c r="L90" s="319"/>
      <c r="M90" s="258"/>
      <c r="N90" s="258" t="s">
        <v>1008</v>
      </c>
      <c r="O90" s="339">
        <f>COUNTA(M95:M129)</f>
        <v>4</v>
      </c>
      <c r="P90" s="319"/>
    </row>
    <row r="91" spans="1:16" x14ac:dyDescent="0.3">
      <c r="A91" s="258"/>
      <c r="B91" s="258" t="s">
        <v>1009</v>
      </c>
      <c r="C91" s="339">
        <f>ROUNDDOWN(C93/C90,1)</f>
        <v>1.4</v>
      </c>
      <c r="D91" s="340"/>
      <c r="E91" s="258"/>
      <c r="F91" s="258" t="s">
        <v>1009</v>
      </c>
      <c r="G91" s="339">
        <f>ROUNDDOWN(G93/G90,1)</f>
        <v>7.1</v>
      </c>
      <c r="H91" s="340"/>
      <c r="I91" s="258"/>
      <c r="J91" s="258" t="s">
        <v>1009</v>
      </c>
      <c r="K91" s="339">
        <f>ROUNDDOWN(K93/K90,1)</f>
        <v>2.9</v>
      </c>
      <c r="L91" s="340"/>
      <c r="M91" s="258"/>
      <c r="N91" s="258" t="s">
        <v>1009</v>
      </c>
      <c r="O91" s="339">
        <f>ROUNDDOWN(O93/O90,1)</f>
        <v>12.5</v>
      </c>
      <c r="P91" s="340"/>
    </row>
    <row r="92" spans="1:16" x14ac:dyDescent="0.3">
      <c r="A92" s="258"/>
      <c r="B92" s="258" t="s">
        <v>1007</v>
      </c>
      <c r="C92" s="339">
        <v>150</v>
      </c>
      <c r="D92" s="340"/>
      <c r="E92" s="258"/>
      <c r="F92" s="258" t="s">
        <v>1007</v>
      </c>
      <c r="G92" s="339">
        <v>150</v>
      </c>
      <c r="H92" s="340"/>
      <c r="I92" s="258"/>
      <c r="J92" s="258" t="s">
        <v>1007</v>
      </c>
      <c r="K92" s="339">
        <v>150</v>
      </c>
      <c r="L92" s="340"/>
      <c r="M92" s="258"/>
      <c r="N92" s="258" t="s">
        <v>1007</v>
      </c>
      <c r="O92" s="339">
        <v>150</v>
      </c>
      <c r="P92" s="340"/>
    </row>
    <row r="93" spans="1:16" x14ac:dyDescent="0.3">
      <c r="A93" s="258"/>
      <c r="B93" s="258" t="s">
        <v>1016</v>
      </c>
      <c r="C93" s="346">
        <v>50</v>
      </c>
      <c r="D93" s="347"/>
      <c r="E93" s="258"/>
      <c r="F93" s="258" t="s">
        <v>1016</v>
      </c>
      <c r="G93" s="346">
        <v>50</v>
      </c>
      <c r="H93" s="347"/>
      <c r="I93" s="258"/>
      <c r="J93" s="258" t="s">
        <v>1016</v>
      </c>
      <c r="K93" s="346">
        <v>50</v>
      </c>
      <c r="L93" s="347"/>
      <c r="M93" s="258"/>
      <c r="N93" s="258" t="s">
        <v>1016</v>
      </c>
      <c r="O93" s="346">
        <v>50</v>
      </c>
      <c r="P93" s="347"/>
    </row>
    <row r="94" spans="1:16" x14ac:dyDescent="0.3">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3">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3">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3">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3">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3">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3">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3">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3">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3">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3">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3">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3">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3">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3">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3">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3">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3">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3">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3">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3">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3">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3">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3">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3">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3">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3">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3">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3">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3">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3">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3">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3">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3">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3">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3">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3">
      <c r="A130" s="257"/>
      <c r="B130" s="344" t="s">
        <v>1014</v>
      </c>
      <c r="C130" s="344"/>
      <c r="D130" s="345"/>
      <c r="E130" s="257"/>
      <c r="F130" s="344" t="s">
        <v>1014</v>
      </c>
      <c r="G130" s="344"/>
      <c r="H130" s="345"/>
      <c r="I130" s="257"/>
      <c r="J130" s="344" t="s">
        <v>1014</v>
      </c>
      <c r="K130" s="344"/>
      <c r="L130" s="345"/>
      <c r="M130" s="257"/>
      <c r="N130" s="344" t="s">
        <v>1014</v>
      </c>
      <c r="O130" s="344"/>
      <c r="P130" s="345"/>
    </row>
    <row r="131" spans="1:16" x14ac:dyDescent="0.3">
      <c r="A131" s="258"/>
      <c r="B131" s="258" t="s">
        <v>1008</v>
      </c>
      <c r="C131" s="339">
        <f>COUNTA(A136:A158)</f>
        <v>20</v>
      </c>
      <c r="D131" s="319"/>
      <c r="E131" s="258"/>
      <c r="F131" s="258" t="s">
        <v>1008</v>
      </c>
      <c r="G131" s="339">
        <f>COUNTA(E136:E158)</f>
        <v>7</v>
      </c>
      <c r="H131" s="319"/>
      <c r="I131" s="258"/>
      <c r="J131" s="258" t="s">
        <v>1008</v>
      </c>
      <c r="K131" s="339">
        <f>COUNTA(I136:I158)</f>
        <v>21</v>
      </c>
      <c r="L131" s="319"/>
      <c r="M131" s="258"/>
      <c r="N131" s="258" t="s">
        <v>1008</v>
      </c>
      <c r="O131" s="339">
        <f>COUNTA(M136:M158)</f>
        <v>2</v>
      </c>
      <c r="P131" s="319"/>
    </row>
    <row r="132" spans="1:16" x14ac:dyDescent="0.3">
      <c r="A132" s="258"/>
      <c r="B132" s="258" t="s">
        <v>1009</v>
      </c>
      <c r="C132" s="339">
        <f>ROUNDDOWN(C134/C131,1)</f>
        <v>2.5</v>
      </c>
      <c r="D132" s="319"/>
      <c r="E132" s="258"/>
      <c r="F132" s="258" t="s">
        <v>1009</v>
      </c>
      <c r="G132" s="339">
        <f>ROUNDDOWN(G134/G131,1)</f>
        <v>7.1</v>
      </c>
      <c r="H132" s="319"/>
      <c r="I132" s="258"/>
      <c r="J132" s="258" t="s">
        <v>1009</v>
      </c>
      <c r="K132" s="339">
        <f>ROUNDDOWN(K134/K131,1)</f>
        <v>2.2999999999999998</v>
      </c>
      <c r="L132" s="319"/>
      <c r="M132" s="258"/>
      <c r="N132" s="258" t="s">
        <v>1009</v>
      </c>
      <c r="O132" s="339">
        <f>ROUNDDOWN(O134/O131,1)</f>
        <v>25</v>
      </c>
      <c r="P132" s="319"/>
    </row>
    <row r="133" spans="1:16" x14ac:dyDescent="0.3">
      <c r="A133" s="258"/>
      <c r="B133" s="258" t="s">
        <v>1007</v>
      </c>
      <c r="C133" s="339">
        <v>200</v>
      </c>
      <c r="D133" s="319"/>
      <c r="E133" s="258"/>
      <c r="F133" s="258" t="s">
        <v>1007</v>
      </c>
      <c r="G133" s="339">
        <v>200</v>
      </c>
      <c r="H133" s="319"/>
      <c r="I133" s="258"/>
      <c r="J133" s="258" t="s">
        <v>1007</v>
      </c>
      <c r="K133" s="339">
        <v>200</v>
      </c>
      <c r="L133" s="319"/>
      <c r="M133" s="258"/>
      <c r="N133" s="258" t="s">
        <v>1007</v>
      </c>
      <c r="O133" s="339">
        <v>200</v>
      </c>
      <c r="P133" s="319"/>
    </row>
    <row r="134" spans="1:16" x14ac:dyDescent="0.3">
      <c r="A134" s="258"/>
      <c r="B134" s="258" t="s">
        <v>1016</v>
      </c>
      <c r="C134" s="346">
        <v>50</v>
      </c>
      <c r="D134" s="349"/>
      <c r="E134" s="258"/>
      <c r="F134" s="258" t="s">
        <v>1016</v>
      </c>
      <c r="G134" s="346">
        <v>50</v>
      </c>
      <c r="H134" s="349"/>
      <c r="I134" s="258"/>
      <c r="J134" s="258" t="s">
        <v>1016</v>
      </c>
      <c r="K134" s="346">
        <v>50</v>
      </c>
      <c r="L134" s="349"/>
      <c r="M134" s="258"/>
      <c r="N134" s="258" t="s">
        <v>1016</v>
      </c>
      <c r="O134" s="346">
        <v>50</v>
      </c>
      <c r="P134" s="349"/>
    </row>
    <row r="135" spans="1:16" x14ac:dyDescent="0.3">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3">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3">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3">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3">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3">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3">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3">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3">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3">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3">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3">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3">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3">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3">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3">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3">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3">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3">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3">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3">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3">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3">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3">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3">
      <c r="A159" s="257"/>
      <c r="B159" s="348" t="s">
        <v>1015</v>
      </c>
      <c r="C159" s="344"/>
      <c r="D159" s="345"/>
      <c r="E159" s="257"/>
      <c r="F159" s="348" t="s">
        <v>1015</v>
      </c>
      <c r="G159" s="344"/>
      <c r="H159" s="345"/>
      <c r="I159" s="257"/>
      <c r="J159" s="348" t="s">
        <v>1015</v>
      </c>
      <c r="K159" s="344"/>
      <c r="L159" s="345"/>
      <c r="M159" s="257"/>
      <c r="N159" s="348" t="s">
        <v>1015</v>
      </c>
      <c r="O159" s="344"/>
      <c r="P159" s="345"/>
    </row>
    <row r="160" spans="1:16" x14ac:dyDescent="0.3">
      <c r="A160" s="258"/>
      <c r="B160" s="258" t="s">
        <v>1008</v>
      </c>
      <c r="C160" s="339">
        <f>COUNTA(A165:A187)</f>
        <v>12</v>
      </c>
      <c r="D160" s="340"/>
      <c r="E160" s="258"/>
      <c r="F160" s="258" t="s">
        <v>1008</v>
      </c>
      <c r="G160" s="339">
        <f>COUNTA(E165:E187)</f>
        <v>7</v>
      </c>
      <c r="H160" s="340"/>
      <c r="I160" s="258"/>
      <c r="J160" s="258" t="s">
        <v>1008</v>
      </c>
      <c r="K160" s="339">
        <f>COUNTA(I165:I187)</f>
        <v>22</v>
      </c>
      <c r="L160" s="340"/>
      <c r="M160" s="258"/>
      <c r="N160" s="258" t="s">
        <v>1008</v>
      </c>
      <c r="O160" s="339">
        <f>COUNTA(M165:M187)</f>
        <v>4</v>
      </c>
      <c r="P160" s="340"/>
    </row>
    <row r="161" spans="1:16" x14ac:dyDescent="0.3">
      <c r="A161" s="258"/>
      <c r="B161" s="258" t="s">
        <v>1009</v>
      </c>
      <c r="C161" s="339">
        <f>ROUNDDOWN(C163/C160,1)</f>
        <v>4.0999999999999996</v>
      </c>
      <c r="D161" s="340"/>
      <c r="E161" s="258"/>
      <c r="F161" s="258" t="s">
        <v>1009</v>
      </c>
      <c r="G161" s="339">
        <f>ROUNDDOWN(G163/G160,1)</f>
        <v>7.1</v>
      </c>
      <c r="H161" s="340"/>
      <c r="I161" s="258"/>
      <c r="J161" s="258" t="s">
        <v>1009</v>
      </c>
      <c r="K161" s="339">
        <f>ROUNDDOWN(K163/K160,1)</f>
        <v>2.2000000000000002</v>
      </c>
      <c r="L161" s="340"/>
      <c r="M161" s="258"/>
      <c r="N161" s="258" t="s">
        <v>1009</v>
      </c>
      <c r="O161" s="339">
        <f>ROUNDDOWN(O163/O160,1)</f>
        <v>12.5</v>
      </c>
      <c r="P161" s="340"/>
    </row>
    <row r="162" spans="1:16" x14ac:dyDescent="0.3">
      <c r="A162" s="258"/>
      <c r="B162" s="258" t="s">
        <v>1007</v>
      </c>
      <c r="C162" s="339">
        <v>250</v>
      </c>
      <c r="D162" s="340"/>
      <c r="E162" s="258"/>
      <c r="F162" s="258" t="s">
        <v>1007</v>
      </c>
      <c r="G162" s="339">
        <v>250</v>
      </c>
      <c r="H162" s="340"/>
      <c r="I162" s="258"/>
      <c r="J162" s="258" t="s">
        <v>1007</v>
      </c>
      <c r="K162" s="339">
        <v>250</v>
      </c>
      <c r="L162" s="340"/>
      <c r="M162" s="258"/>
      <c r="N162" s="258" t="s">
        <v>1007</v>
      </c>
      <c r="O162" s="339">
        <v>250</v>
      </c>
      <c r="P162" s="340"/>
    </row>
    <row r="163" spans="1:16" x14ac:dyDescent="0.3">
      <c r="A163" s="258"/>
      <c r="B163" s="258" t="s">
        <v>1016</v>
      </c>
      <c r="C163" s="346">
        <v>50</v>
      </c>
      <c r="D163" s="347"/>
      <c r="E163" s="258"/>
      <c r="F163" s="258" t="s">
        <v>1016</v>
      </c>
      <c r="G163" s="346">
        <v>50</v>
      </c>
      <c r="H163" s="347"/>
      <c r="I163" s="258"/>
      <c r="J163" s="258" t="s">
        <v>1016</v>
      </c>
      <c r="K163" s="346">
        <v>50</v>
      </c>
      <c r="L163" s="347"/>
      <c r="M163" s="258"/>
      <c r="N163" s="258" t="s">
        <v>1016</v>
      </c>
      <c r="O163" s="346">
        <v>50</v>
      </c>
      <c r="P163" s="347"/>
    </row>
    <row r="164" spans="1:16" x14ac:dyDescent="0.3">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3">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3">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3">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3">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3">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3">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3">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3">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3">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3">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3">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3">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3">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3">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3">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3">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3">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3">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3">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3">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3">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3">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3">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B89:D89"/>
    <mergeCell ref="F89:H89"/>
    <mergeCell ref="J89:L89"/>
    <mergeCell ref="N89:P89"/>
    <mergeCell ref="O64:P64"/>
    <mergeCell ref="O90:P90"/>
    <mergeCell ref="O91:P91"/>
    <mergeCell ref="O61:P61"/>
    <mergeCell ref="O62:P62"/>
    <mergeCell ref="K64:L64"/>
    <mergeCell ref="O63:P63"/>
    <mergeCell ref="O163:P163"/>
    <mergeCell ref="O160:P160"/>
    <mergeCell ref="O161:P161"/>
    <mergeCell ref="O162:P162"/>
    <mergeCell ref="O132:P132"/>
    <mergeCell ref="O133:P133"/>
    <mergeCell ref="O134:P134"/>
    <mergeCell ref="O92:P92"/>
    <mergeCell ref="O93:P93"/>
    <mergeCell ref="O131:P131"/>
    <mergeCell ref="N130:P130"/>
    <mergeCell ref="N159:P159"/>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E196"/>
  <sheetViews>
    <sheetView tabSelected="1" topLeftCell="A29" workbookViewId="0">
      <selection activeCell="A47" sqref="A47"/>
    </sheetView>
  </sheetViews>
  <sheetFormatPr baseColWidth="10" defaultRowHeight="14.4" x14ac:dyDescent="0.3"/>
  <cols>
    <col min="1" max="4" width="14.6640625" customWidth="1"/>
    <col min="5" max="5" width="17.33203125" customWidth="1"/>
    <col min="6" max="8" width="14.6640625" customWidth="1"/>
    <col min="9" max="9" width="19.33203125" customWidth="1"/>
    <col min="10" max="16" width="14.6640625" customWidth="1"/>
    <col min="18" max="18" width="17.88671875" customWidth="1"/>
    <col min="20" max="20" width="15.88671875" customWidth="1"/>
    <col min="21" max="21" width="14.33203125" customWidth="1"/>
    <col min="22" max="22" width="20.88671875" customWidth="1"/>
    <col min="23" max="24" width="15.33203125" customWidth="1"/>
    <col min="25" max="25" width="20.88671875" customWidth="1"/>
    <col min="28" max="28" width="20.88671875" customWidth="1"/>
  </cols>
  <sheetData>
    <row r="1" spans="1:16" ht="15" customHeight="1" x14ac:dyDescent="0.3">
      <c r="A1" s="353" t="s">
        <v>151</v>
      </c>
      <c r="B1" s="353"/>
      <c r="C1" s="353"/>
      <c r="D1" s="353"/>
      <c r="E1" s="354" t="s">
        <v>160</v>
      </c>
      <c r="F1" s="354"/>
      <c r="G1" s="354"/>
      <c r="H1" s="354"/>
      <c r="I1" s="353" t="s">
        <v>152</v>
      </c>
      <c r="J1" s="353"/>
      <c r="K1" s="353"/>
      <c r="L1" s="353"/>
      <c r="M1" s="354" t="s">
        <v>150</v>
      </c>
      <c r="N1" s="354"/>
      <c r="O1" s="354"/>
      <c r="P1" s="354"/>
    </row>
    <row r="2" spans="1:16" ht="15" customHeight="1" x14ac:dyDescent="0.3">
      <c r="A2" s="352" t="s">
        <v>1111</v>
      </c>
      <c r="B2" s="352"/>
      <c r="C2" s="352" t="s">
        <v>1112</v>
      </c>
      <c r="D2" s="352"/>
      <c r="E2" s="320" t="s">
        <v>1122</v>
      </c>
      <c r="F2" s="320"/>
      <c r="G2" s="320" t="s">
        <v>1125</v>
      </c>
      <c r="H2" s="320"/>
      <c r="I2" s="352" t="s">
        <v>1166</v>
      </c>
      <c r="J2" s="352"/>
      <c r="K2" s="352" t="s">
        <v>1127</v>
      </c>
      <c r="L2" s="352"/>
      <c r="M2" s="320" t="s">
        <v>1129</v>
      </c>
      <c r="N2" s="320"/>
      <c r="O2" s="320" t="s">
        <v>1130</v>
      </c>
      <c r="P2" s="320"/>
    </row>
    <row r="3" spans="1:16" ht="15" customHeight="1" x14ac:dyDescent="0.3">
      <c r="A3" s="350" t="s">
        <v>1113</v>
      </c>
      <c r="B3" s="350"/>
      <c r="C3" s="350" t="s">
        <v>1117</v>
      </c>
      <c r="D3" s="350"/>
      <c r="E3" s="350" t="s">
        <v>1171</v>
      </c>
      <c r="F3" s="350"/>
      <c r="G3" s="350" t="s">
        <v>1246</v>
      </c>
      <c r="H3" s="350"/>
      <c r="I3" s="350" t="s">
        <v>1183</v>
      </c>
      <c r="J3" s="350"/>
      <c r="K3" s="350" t="s">
        <v>1197</v>
      </c>
      <c r="L3" s="350"/>
      <c r="M3" s="350" t="s">
        <v>1191</v>
      </c>
      <c r="N3" s="350"/>
      <c r="O3" s="350" t="s">
        <v>1131</v>
      </c>
      <c r="P3" s="350"/>
    </row>
    <row r="4" spans="1:16" ht="15" customHeight="1" x14ac:dyDescent="0.3">
      <c r="A4" s="350" t="s">
        <v>1115</v>
      </c>
      <c r="B4" s="350"/>
      <c r="C4" s="350" t="s">
        <v>1181</v>
      </c>
      <c r="D4" s="350"/>
      <c r="E4" s="350" t="s">
        <v>1123</v>
      </c>
      <c r="F4" s="350"/>
      <c r="G4" s="350" t="s">
        <v>1173</v>
      </c>
      <c r="H4" s="350"/>
      <c r="I4" s="350" t="s">
        <v>1142</v>
      </c>
      <c r="J4" s="350"/>
      <c r="K4" s="350" t="s">
        <v>1196</v>
      </c>
      <c r="L4" s="350"/>
      <c r="M4" s="350" t="s">
        <v>1187</v>
      </c>
      <c r="N4" s="350"/>
      <c r="O4" s="350" t="s">
        <v>1199</v>
      </c>
      <c r="P4" s="350"/>
    </row>
    <row r="5" spans="1:16" ht="15" customHeight="1" x14ac:dyDescent="0.3">
      <c r="A5" s="350" t="s">
        <v>1180</v>
      </c>
      <c r="B5" s="350"/>
      <c r="C5" s="350" t="s">
        <v>1118</v>
      </c>
      <c r="D5" s="350"/>
      <c r="E5" s="350" t="s">
        <v>1172</v>
      </c>
      <c r="F5" s="350"/>
      <c r="G5" s="355" t="s">
        <v>1174</v>
      </c>
      <c r="H5" s="355"/>
      <c r="I5" s="355" t="s">
        <v>1143</v>
      </c>
      <c r="J5" s="355"/>
      <c r="K5" s="355" t="s">
        <v>1190</v>
      </c>
      <c r="L5" s="355"/>
      <c r="M5" s="350" t="s">
        <v>1132</v>
      </c>
      <c r="N5" s="350"/>
      <c r="O5" s="355" t="s">
        <v>1194</v>
      </c>
      <c r="P5" s="355"/>
    </row>
    <row r="6" spans="1:16" ht="15" customHeight="1" x14ac:dyDescent="0.3">
      <c r="A6" s="350" t="s">
        <v>1138</v>
      </c>
      <c r="B6" s="350"/>
      <c r="C6" s="350" t="s">
        <v>1119</v>
      </c>
      <c r="D6" s="350"/>
      <c r="E6" s="350" t="s">
        <v>1178</v>
      </c>
      <c r="F6" s="350"/>
      <c r="G6" s="350" t="s">
        <v>1175</v>
      </c>
      <c r="H6" s="350"/>
      <c r="I6" s="350" t="s">
        <v>1221</v>
      </c>
      <c r="J6" s="350"/>
      <c r="K6" s="350" t="s">
        <v>1201</v>
      </c>
      <c r="L6" s="350"/>
      <c r="M6" s="350" t="s">
        <v>1188</v>
      </c>
      <c r="N6" s="350"/>
      <c r="O6" s="350" t="s">
        <v>1193</v>
      </c>
      <c r="P6" s="350"/>
    </row>
    <row r="7" spans="1:16" ht="15" customHeight="1" x14ac:dyDescent="0.3">
      <c r="A7" s="350" t="s">
        <v>1140</v>
      </c>
      <c r="B7" s="350"/>
      <c r="C7" s="350" t="s">
        <v>1120</v>
      </c>
      <c r="D7" s="350"/>
      <c r="E7" s="350" t="s">
        <v>1124</v>
      </c>
      <c r="F7" s="350"/>
      <c r="G7" s="350" t="s">
        <v>1176</v>
      </c>
      <c r="H7" s="350"/>
      <c r="I7" s="350" t="s">
        <v>1185</v>
      </c>
      <c r="J7" s="350"/>
      <c r="K7" s="350" t="s">
        <v>1200</v>
      </c>
      <c r="L7" s="350"/>
      <c r="M7" s="350" t="s">
        <v>1189</v>
      </c>
      <c r="N7" s="350"/>
      <c r="O7" s="350" t="s">
        <v>1195</v>
      </c>
      <c r="P7" s="350"/>
    </row>
    <row r="8" spans="1:16" ht="15" customHeight="1" x14ac:dyDescent="0.3">
      <c r="A8" s="350" t="s">
        <v>1116</v>
      </c>
      <c r="B8" s="350"/>
      <c r="C8" s="350" t="s">
        <v>1121</v>
      </c>
      <c r="D8" s="350"/>
      <c r="E8" s="350" t="s">
        <v>1179</v>
      </c>
      <c r="F8" s="350"/>
      <c r="G8" s="350" t="s">
        <v>1177</v>
      </c>
      <c r="H8" s="350"/>
      <c r="I8" s="350" t="s">
        <v>1186</v>
      </c>
      <c r="J8" s="350"/>
      <c r="K8" s="350" t="s">
        <v>1198</v>
      </c>
      <c r="L8" s="350"/>
      <c r="M8" s="350" t="s">
        <v>1133</v>
      </c>
      <c r="N8" s="350"/>
      <c r="O8" s="350" t="s">
        <v>1192</v>
      </c>
      <c r="P8" s="350"/>
    </row>
    <row r="9" spans="1:16" x14ac:dyDescent="0.3">
      <c r="A9" s="356" t="s">
        <v>1202</v>
      </c>
      <c r="B9" s="356"/>
      <c r="C9" s="356" t="s">
        <v>1203</v>
      </c>
      <c r="D9" s="356"/>
      <c r="E9" s="356" t="s">
        <v>1182</v>
      </c>
      <c r="F9" s="356"/>
      <c r="G9" s="356" t="s">
        <v>1126</v>
      </c>
      <c r="H9" s="356"/>
      <c r="I9" s="356" t="s">
        <v>1128</v>
      </c>
      <c r="J9" s="356"/>
      <c r="K9" s="356" t="s">
        <v>38</v>
      </c>
      <c r="L9" s="356"/>
      <c r="M9" s="356" t="s">
        <v>1134</v>
      </c>
      <c r="N9" s="356"/>
      <c r="O9" s="356" t="s">
        <v>1136</v>
      </c>
      <c r="P9" s="356"/>
    </row>
    <row r="10" spans="1:16" ht="15" customHeight="1" x14ac:dyDescent="0.3">
      <c r="A10" s="351" t="s">
        <v>1163</v>
      </c>
      <c r="B10" s="351"/>
      <c r="C10" s="351" t="s">
        <v>1117</v>
      </c>
      <c r="D10" s="351"/>
      <c r="E10" s="351" t="s">
        <v>1171</v>
      </c>
      <c r="F10" s="351"/>
      <c r="G10" s="351" t="s">
        <v>1247</v>
      </c>
      <c r="H10" s="351"/>
      <c r="I10" s="351" t="s">
        <v>1183</v>
      </c>
      <c r="J10" s="351"/>
      <c r="K10" s="351" t="s">
        <v>1197</v>
      </c>
      <c r="L10" s="351"/>
      <c r="M10" s="351" t="s">
        <v>1191</v>
      </c>
      <c r="N10" s="351"/>
      <c r="O10" s="351" t="s">
        <v>1131</v>
      </c>
      <c r="P10" s="351"/>
    </row>
    <row r="11" spans="1:16" ht="15" customHeight="1" x14ac:dyDescent="0.3">
      <c r="A11" t="s">
        <v>1137</v>
      </c>
      <c r="B11" t="s">
        <v>1139</v>
      </c>
      <c r="C11" s="275" t="s">
        <v>1216</v>
      </c>
      <c r="D11" s="275" t="s">
        <v>1139</v>
      </c>
      <c r="E11" s="275" t="s">
        <v>1214</v>
      </c>
      <c r="F11" s="275" t="s">
        <v>1137</v>
      </c>
      <c r="G11" s="275" t="s">
        <v>1214</v>
      </c>
      <c r="H11" s="275" t="s">
        <v>1252</v>
      </c>
      <c r="I11" s="293" t="s">
        <v>1135</v>
      </c>
      <c r="J11" s="293" t="s">
        <v>1139</v>
      </c>
      <c r="K11" s="293" t="s">
        <v>1135</v>
      </c>
      <c r="L11" s="293"/>
      <c r="M11" s="275" t="s">
        <v>7</v>
      </c>
      <c r="N11" s="275" t="s">
        <v>1137</v>
      </c>
      <c r="O11" s="275" t="s">
        <v>7</v>
      </c>
      <c r="P11" s="275"/>
    </row>
    <row r="12" spans="1:16" ht="15" customHeight="1" x14ac:dyDescent="0.3">
      <c r="C12" s="275"/>
      <c r="D12" s="275" t="s">
        <v>1135</v>
      </c>
      <c r="E12" s="275"/>
      <c r="F12" s="275" t="s">
        <v>1139</v>
      </c>
      <c r="G12" s="275"/>
      <c r="H12" s="297" t="s">
        <v>1139</v>
      </c>
      <c r="I12" s="293"/>
      <c r="J12" s="293" t="s">
        <v>1214</v>
      </c>
      <c r="K12" s="293" t="s">
        <v>1215</v>
      </c>
      <c r="L12" s="293"/>
      <c r="M12" s="275"/>
      <c r="N12" s="275" t="s">
        <v>1214</v>
      </c>
      <c r="O12" s="275"/>
      <c r="P12" s="275"/>
    </row>
    <row r="13" spans="1:16" ht="15" customHeight="1" x14ac:dyDescent="0.3">
      <c r="C13" s="275"/>
      <c r="D13" s="275"/>
      <c r="E13" s="275"/>
      <c r="F13" s="275"/>
      <c r="G13" s="275"/>
      <c r="H13" s="297" t="s">
        <v>1137</v>
      </c>
      <c r="I13" s="293"/>
      <c r="J13" s="293" t="s">
        <v>1137</v>
      </c>
      <c r="K13" s="293"/>
      <c r="L13" s="293"/>
      <c r="M13" s="275"/>
      <c r="N13" s="275"/>
      <c r="O13" s="275"/>
      <c r="P13" s="275"/>
    </row>
    <row r="14" spans="1:16" ht="15" customHeight="1" x14ac:dyDescent="0.3">
      <c r="C14" s="275"/>
      <c r="D14" s="275"/>
      <c r="E14" s="275"/>
      <c r="F14" s="275"/>
      <c r="G14" s="275"/>
      <c r="H14" s="275"/>
      <c r="I14" s="293"/>
      <c r="J14" s="293"/>
      <c r="K14" s="293"/>
      <c r="L14" s="293"/>
      <c r="M14" s="275"/>
      <c r="N14" s="275"/>
      <c r="O14" s="275"/>
      <c r="P14" s="275"/>
    </row>
    <row r="15" spans="1:16" ht="15" customHeight="1" x14ac:dyDescent="0.3">
      <c r="A15" s="351" t="s">
        <v>1164</v>
      </c>
      <c r="B15" s="351"/>
      <c r="C15" s="351" t="s">
        <v>1181</v>
      </c>
      <c r="D15" s="351"/>
      <c r="E15" s="351" t="s">
        <v>1141</v>
      </c>
      <c r="F15" s="351"/>
      <c r="G15" s="351" t="s">
        <v>1208</v>
      </c>
      <c r="H15" s="351"/>
      <c r="I15" s="351" t="s">
        <v>1142</v>
      </c>
      <c r="J15" s="351"/>
      <c r="K15" s="351" t="s">
        <v>1196</v>
      </c>
      <c r="L15" s="351"/>
      <c r="M15" s="351" t="s">
        <v>1187</v>
      </c>
      <c r="N15" s="351"/>
      <c r="O15" s="351" t="s">
        <v>1199</v>
      </c>
      <c r="P15" s="351"/>
    </row>
    <row r="16" spans="1:16" ht="15" customHeight="1" x14ac:dyDescent="0.3">
      <c r="A16" s="275" t="s">
        <v>1113</v>
      </c>
      <c r="B16" s="2" t="s">
        <v>1171</v>
      </c>
      <c r="C16" s="275" t="s">
        <v>1117</v>
      </c>
      <c r="D16" s="275" t="s">
        <v>1196</v>
      </c>
      <c r="E16" s="275" t="s">
        <v>1171</v>
      </c>
      <c r="F16" s="275" t="s">
        <v>1113</v>
      </c>
      <c r="G16" s="275" t="s">
        <v>1214</v>
      </c>
      <c r="H16" s="275" t="s">
        <v>1115</v>
      </c>
      <c r="I16" s="293" t="s">
        <v>1196</v>
      </c>
      <c r="J16" s="293" t="s">
        <v>1199</v>
      </c>
      <c r="K16" s="293" t="s">
        <v>1197</v>
      </c>
      <c r="L16" s="293" t="s">
        <v>1115</v>
      </c>
      <c r="M16" s="275" t="s">
        <v>1115</v>
      </c>
      <c r="N16" s="275" t="s">
        <v>1214</v>
      </c>
      <c r="O16" s="275" t="s">
        <v>1131</v>
      </c>
      <c r="P16" s="275" t="s">
        <v>1187</v>
      </c>
    </row>
    <row r="17" spans="1:16" ht="15" customHeight="1" x14ac:dyDescent="0.3">
      <c r="A17" s="275" t="s">
        <v>1137</v>
      </c>
      <c r="B17" t="s">
        <v>1141</v>
      </c>
      <c r="C17" s="275" t="s">
        <v>1216</v>
      </c>
      <c r="D17" s="2" t="s">
        <v>1199</v>
      </c>
      <c r="E17" s="275"/>
      <c r="F17" s="275" t="s">
        <v>1131</v>
      </c>
      <c r="G17" s="275"/>
      <c r="H17" s="275" t="s">
        <v>1187</v>
      </c>
      <c r="I17" s="293" t="s">
        <v>1183</v>
      </c>
      <c r="J17" s="293" t="s">
        <v>1187</v>
      </c>
      <c r="K17" s="293" t="s">
        <v>1215</v>
      </c>
      <c r="L17" s="293"/>
      <c r="M17" s="275" t="s">
        <v>1137</v>
      </c>
      <c r="N17" s="275" t="s">
        <v>1131</v>
      </c>
      <c r="O17" s="275" t="s">
        <v>1139</v>
      </c>
      <c r="P17" s="275" t="s">
        <v>1142</v>
      </c>
    </row>
    <row r="18" spans="1:16" ht="15" customHeight="1" x14ac:dyDescent="0.3">
      <c r="A18" s="275"/>
      <c r="B18" t="s">
        <v>1214</v>
      </c>
      <c r="C18" s="275"/>
      <c r="D18" s="275" t="s">
        <v>1142</v>
      </c>
      <c r="E18" s="275"/>
      <c r="F18" s="275"/>
      <c r="G18" s="275"/>
      <c r="H18" s="275"/>
      <c r="I18" s="293"/>
      <c r="J18" s="293" t="s">
        <v>1181</v>
      </c>
      <c r="K18" s="293"/>
      <c r="L18" s="293"/>
      <c r="M18" s="275"/>
      <c r="N18" s="275" t="s">
        <v>1113</v>
      </c>
      <c r="O18" s="275"/>
      <c r="P18" s="275" t="s">
        <v>1181</v>
      </c>
    </row>
    <row r="19" spans="1:16" ht="15" customHeight="1" x14ac:dyDescent="0.3">
      <c r="A19" s="2"/>
      <c r="B19" s="275" t="s">
        <v>1131</v>
      </c>
      <c r="C19" s="275"/>
      <c r="D19" s="275" t="s">
        <v>1115</v>
      </c>
      <c r="E19" s="275"/>
      <c r="F19" s="275"/>
      <c r="G19" s="275"/>
      <c r="H19" s="275"/>
      <c r="I19" s="293"/>
      <c r="J19" s="293"/>
      <c r="K19" s="293"/>
      <c r="L19" s="293"/>
      <c r="M19" s="275"/>
      <c r="N19" s="275"/>
      <c r="O19" s="275"/>
      <c r="P19" s="275" t="s">
        <v>1115</v>
      </c>
    </row>
    <row r="20" spans="1:16" ht="15" customHeight="1" x14ac:dyDescent="0.3">
      <c r="A20" s="351" t="s">
        <v>1204</v>
      </c>
      <c r="B20" s="351"/>
      <c r="C20" s="351" t="s">
        <v>1118</v>
      </c>
      <c r="D20" s="351"/>
      <c r="E20" s="351" t="s">
        <v>1172</v>
      </c>
      <c r="F20" s="351"/>
      <c r="G20" s="351" t="s">
        <v>1209</v>
      </c>
      <c r="H20" s="351"/>
      <c r="I20" s="351" t="s">
        <v>1143</v>
      </c>
      <c r="J20" s="351"/>
      <c r="K20" s="351" t="s">
        <v>1190</v>
      </c>
      <c r="L20" s="351"/>
      <c r="M20" s="351" t="s">
        <v>1132</v>
      </c>
      <c r="N20" s="351"/>
      <c r="O20" s="351" t="s">
        <v>1194</v>
      </c>
      <c r="P20" s="351"/>
    </row>
    <row r="21" spans="1:16" ht="15" customHeight="1" x14ac:dyDescent="0.3">
      <c r="A21" s="275" t="s">
        <v>1115</v>
      </c>
      <c r="B21" s="275" t="s">
        <v>1172</v>
      </c>
      <c r="C21" s="275" t="s">
        <v>1181</v>
      </c>
      <c r="D21" s="275" t="s">
        <v>1172</v>
      </c>
      <c r="E21" s="293" t="s">
        <v>1171</v>
      </c>
      <c r="F21" s="293" t="s">
        <v>1218</v>
      </c>
      <c r="G21" s="275" t="s">
        <v>1214</v>
      </c>
      <c r="H21" s="275" t="s">
        <v>1219</v>
      </c>
      <c r="I21" s="293" t="s">
        <v>1142</v>
      </c>
      <c r="J21" s="293" t="s">
        <v>1190</v>
      </c>
      <c r="K21" s="293" t="s">
        <v>1196</v>
      </c>
      <c r="L21" s="293" t="s">
        <v>1118</v>
      </c>
      <c r="M21" s="275" t="s">
        <v>1187</v>
      </c>
      <c r="N21" s="275" t="s">
        <v>1214</v>
      </c>
      <c r="O21" s="275" t="s">
        <v>1199</v>
      </c>
      <c r="P21" s="275" t="s">
        <v>1190</v>
      </c>
    </row>
    <row r="22" spans="1:16" ht="15" customHeight="1" x14ac:dyDescent="0.3">
      <c r="A22" s="275" t="s">
        <v>1113</v>
      </c>
      <c r="B22" s="275" t="s">
        <v>1214</v>
      </c>
      <c r="C22" s="275" t="s">
        <v>1217</v>
      </c>
      <c r="D22" s="275" t="s">
        <v>1143</v>
      </c>
      <c r="E22" s="293"/>
      <c r="F22" s="293" t="s">
        <v>1214</v>
      </c>
      <c r="G22" s="275"/>
      <c r="H22" s="275" t="s">
        <v>1132</v>
      </c>
      <c r="I22" s="293"/>
      <c r="J22" s="293" t="s">
        <v>1181</v>
      </c>
      <c r="K22" s="293" t="s">
        <v>1197</v>
      </c>
      <c r="L22" s="293"/>
      <c r="M22" s="275" t="s">
        <v>1218</v>
      </c>
      <c r="N22" s="275" t="s">
        <v>1131</v>
      </c>
      <c r="O22" s="275" t="s">
        <v>1131</v>
      </c>
      <c r="P22" s="275" t="s">
        <v>1172</v>
      </c>
    </row>
    <row r="23" spans="1:16" ht="15" customHeight="1" x14ac:dyDescent="0.3">
      <c r="A23" s="275"/>
      <c r="B23" s="275" t="s">
        <v>1187</v>
      </c>
      <c r="C23" s="275"/>
      <c r="D23" s="275" t="s">
        <v>1190</v>
      </c>
      <c r="E23" s="293"/>
      <c r="F23" s="293" t="s">
        <v>1132</v>
      </c>
      <c r="G23" s="275"/>
      <c r="H23" s="275" t="s">
        <v>1141</v>
      </c>
      <c r="I23" s="293"/>
      <c r="J23" s="293" t="s">
        <v>1118</v>
      </c>
      <c r="K23" s="293" t="s">
        <v>1215</v>
      </c>
      <c r="L23" s="293"/>
      <c r="M23" s="275"/>
      <c r="N23" s="275" t="s">
        <v>1115</v>
      </c>
      <c r="O23" s="275"/>
      <c r="P23" s="275" t="s">
        <v>1118</v>
      </c>
    </row>
    <row r="24" spans="1:16" ht="15" customHeight="1" x14ac:dyDescent="0.3">
      <c r="A24" s="275"/>
      <c r="B24" s="275" t="s">
        <v>1131</v>
      </c>
      <c r="C24" s="275"/>
      <c r="D24" s="275" t="s">
        <v>1193</v>
      </c>
      <c r="E24" s="293"/>
      <c r="F24" s="293" t="s">
        <v>1187</v>
      </c>
      <c r="G24" s="275"/>
      <c r="H24" s="275" t="s">
        <v>1115</v>
      </c>
      <c r="I24" s="293"/>
      <c r="J24" s="293" t="s">
        <v>1193</v>
      </c>
      <c r="K24" s="293"/>
      <c r="L24" s="293"/>
      <c r="M24" s="275"/>
      <c r="N24" s="275" t="s">
        <v>1197</v>
      </c>
      <c r="O24" s="275"/>
      <c r="P24" s="275"/>
    </row>
    <row r="25" spans="1:16" ht="15" customHeight="1" x14ac:dyDescent="0.3">
      <c r="A25" s="351" t="s">
        <v>1205</v>
      </c>
      <c r="B25" s="351"/>
      <c r="C25" s="351" t="s">
        <v>1119</v>
      </c>
      <c r="D25" s="351"/>
      <c r="E25" s="351" t="s">
        <v>1178</v>
      </c>
      <c r="F25" s="351"/>
      <c r="G25" s="351" t="s">
        <v>1210</v>
      </c>
      <c r="H25" s="351"/>
      <c r="I25" s="351" t="s">
        <v>1221</v>
      </c>
      <c r="J25" s="351"/>
      <c r="K25" s="351" t="s">
        <v>1201</v>
      </c>
      <c r="L25" s="351"/>
      <c r="M25" s="351" t="s">
        <v>1188</v>
      </c>
      <c r="N25" s="351"/>
      <c r="O25" s="351" t="s">
        <v>1193</v>
      </c>
      <c r="P25" s="351"/>
    </row>
    <row r="26" spans="1:16" x14ac:dyDescent="0.3">
      <c r="A26" s="275" t="s">
        <v>1218</v>
      </c>
      <c r="B26" s="275" t="s">
        <v>1220</v>
      </c>
      <c r="C26" s="275" t="s">
        <v>1118</v>
      </c>
      <c r="D26" s="275" t="s">
        <v>1220</v>
      </c>
      <c r="E26" s="293" t="s">
        <v>1172</v>
      </c>
      <c r="F26" s="293" t="s">
        <v>1114</v>
      </c>
      <c r="G26" s="275" t="s">
        <v>1214</v>
      </c>
      <c r="H26" s="275" t="s">
        <v>1114</v>
      </c>
      <c r="I26" s="293" t="s">
        <v>1143</v>
      </c>
      <c r="J26" s="293" t="s">
        <v>1119</v>
      </c>
      <c r="K26" s="293" t="s">
        <v>1190</v>
      </c>
      <c r="L26" s="293" t="s">
        <v>1119</v>
      </c>
      <c r="M26" s="275" t="s">
        <v>1191</v>
      </c>
      <c r="N26" s="275" t="s">
        <v>1131</v>
      </c>
      <c r="O26" s="275" t="s">
        <v>1199</v>
      </c>
      <c r="P26" s="275" t="s">
        <v>1221</v>
      </c>
    </row>
    <row r="27" spans="1:16" x14ac:dyDescent="0.3">
      <c r="A27" s="275" t="s">
        <v>1115</v>
      </c>
      <c r="B27" s="275" t="s">
        <v>1214</v>
      </c>
      <c r="C27" s="275" t="s">
        <v>1181</v>
      </c>
      <c r="D27" s="275" t="s">
        <v>1184</v>
      </c>
      <c r="E27" s="293" t="s">
        <v>1171</v>
      </c>
      <c r="F27" s="293" t="s">
        <v>1188</v>
      </c>
      <c r="G27" s="275"/>
      <c r="H27" s="275" t="s">
        <v>1119</v>
      </c>
      <c r="I27" s="293" t="s">
        <v>1142</v>
      </c>
      <c r="J27" s="293" t="s">
        <v>1118</v>
      </c>
      <c r="K27" s="293" t="s">
        <v>1196</v>
      </c>
      <c r="L27" s="293" t="s">
        <v>1188</v>
      </c>
      <c r="M27" s="275" t="s">
        <v>1132</v>
      </c>
      <c r="N27" s="275" t="s">
        <v>1220</v>
      </c>
      <c r="O27" s="275" t="s">
        <v>1194</v>
      </c>
      <c r="P27" s="275" t="s">
        <v>1220</v>
      </c>
    </row>
    <row r="28" spans="1:16" x14ac:dyDescent="0.3">
      <c r="A28" s="275"/>
      <c r="B28" s="275" t="s">
        <v>1187</v>
      </c>
      <c r="C28" s="275" t="s">
        <v>1215</v>
      </c>
      <c r="D28" s="275" t="s">
        <v>1201</v>
      </c>
      <c r="E28" s="293"/>
      <c r="F28" s="293" t="s">
        <v>1132</v>
      </c>
      <c r="G28" s="275"/>
      <c r="H28" s="275" t="s">
        <v>1132</v>
      </c>
      <c r="I28" s="293"/>
      <c r="J28" s="293" t="s">
        <v>1201</v>
      </c>
      <c r="K28" s="293" t="s">
        <v>1215</v>
      </c>
      <c r="L28" s="293" t="s">
        <v>1194</v>
      </c>
      <c r="M28" s="275"/>
      <c r="N28" s="275" t="s">
        <v>1114</v>
      </c>
      <c r="O28" s="275"/>
      <c r="P28" s="275" t="s">
        <v>1119</v>
      </c>
    </row>
    <row r="29" spans="1:16" x14ac:dyDescent="0.3">
      <c r="C29" s="275"/>
      <c r="D29" s="275" t="s">
        <v>1194</v>
      </c>
      <c r="E29" s="293"/>
      <c r="F29" s="293" t="s">
        <v>1115</v>
      </c>
      <c r="G29" s="275"/>
      <c r="H29" s="275" t="s">
        <v>1194</v>
      </c>
      <c r="I29" s="293"/>
      <c r="J29" s="293" t="s">
        <v>1194</v>
      </c>
      <c r="K29" s="293"/>
      <c r="L29" s="293"/>
      <c r="M29" s="275"/>
      <c r="N29" s="275" t="s">
        <v>1142</v>
      </c>
      <c r="O29" s="275"/>
      <c r="P29" s="275" t="s">
        <v>1142</v>
      </c>
    </row>
    <row r="30" spans="1:16" x14ac:dyDescent="0.3">
      <c r="A30" s="351" t="s">
        <v>1206</v>
      </c>
      <c r="B30" s="351"/>
      <c r="C30" s="351" t="s">
        <v>1120</v>
      </c>
      <c r="D30" s="351"/>
      <c r="E30" s="351" t="s">
        <v>1124</v>
      </c>
      <c r="F30" s="351"/>
      <c r="G30" s="351" t="s">
        <v>1211</v>
      </c>
      <c r="H30" s="351"/>
      <c r="I30" s="351" t="s">
        <v>1185</v>
      </c>
      <c r="J30" s="351"/>
      <c r="K30" s="351" t="s">
        <v>1213</v>
      </c>
      <c r="L30" s="351"/>
      <c r="M30" s="351" t="s">
        <v>1189</v>
      </c>
      <c r="N30" s="351"/>
      <c r="O30" s="351" t="s">
        <v>1195</v>
      </c>
      <c r="P30" s="351"/>
    </row>
    <row r="31" spans="1:16" x14ac:dyDescent="0.3">
      <c r="A31" s="275" t="s">
        <v>1114</v>
      </c>
      <c r="B31" s="275" t="s">
        <v>1199</v>
      </c>
      <c r="C31" s="275" t="s">
        <v>1119</v>
      </c>
      <c r="D31" s="275" t="s">
        <v>1213</v>
      </c>
      <c r="E31" s="293" t="s">
        <v>1220</v>
      </c>
      <c r="F31" s="293" t="s">
        <v>1140</v>
      </c>
      <c r="G31" s="275" t="s">
        <v>1214</v>
      </c>
      <c r="H31" s="275" t="s">
        <v>1140</v>
      </c>
      <c r="I31" s="293" t="s">
        <v>1221</v>
      </c>
      <c r="J31" s="293" t="s">
        <v>1120</v>
      </c>
      <c r="K31" s="293" t="s">
        <v>1201</v>
      </c>
      <c r="L31" s="293" t="s">
        <v>1120</v>
      </c>
      <c r="M31" s="275" t="s">
        <v>1188</v>
      </c>
      <c r="N31" s="275" t="s">
        <v>1219</v>
      </c>
      <c r="O31" s="275" t="s">
        <v>1193</v>
      </c>
      <c r="P31" s="275" t="s">
        <v>1185</v>
      </c>
    </row>
    <row r="32" spans="1:16" x14ac:dyDescent="0.3">
      <c r="A32" s="275" t="s">
        <v>1218</v>
      </c>
      <c r="B32" s="275" t="s">
        <v>1188</v>
      </c>
      <c r="C32" s="275" t="s">
        <v>1118</v>
      </c>
      <c r="D32" s="275" t="s">
        <v>1185</v>
      </c>
      <c r="E32" s="293"/>
      <c r="F32" s="293" t="s">
        <v>1185</v>
      </c>
      <c r="G32" s="275"/>
      <c r="H32" s="275" t="s">
        <v>1221</v>
      </c>
      <c r="I32" s="293" t="s">
        <v>1143</v>
      </c>
      <c r="J32" s="293" t="s">
        <v>1124</v>
      </c>
      <c r="K32" s="293" t="s">
        <v>1190</v>
      </c>
      <c r="L32" s="293" t="s">
        <v>1214</v>
      </c>
      <c r="M32" s="275" t="s">
        <v>1132</v>
      </c>
      <c r="N32" s="275" t="s">
        <v>1131</v>
      </c>
      <c r="O32" s="275" t="s">
        <v>1194</v>
      </c>
      <c r="P32" s="275" t="s">
        <v>1221</v>
      </c>
    </row>
    <row r="33" spans="1:31" x14ac:dyDescent="0.3">
      <c r="A33" s="275"/>
      <c r="B33" s="275" t="s">
        <v>1132</v>
      </c>
      <c r="C33" s="275"/>
      <c r="D33" s="275" t="s">
        <v>1124</v>
      </c>
      <c r="E33" s="293"/>
      <c r="F33" s="293" t="s">
        <v>1132</v>
      </c>
      <c r="G33" s="275"/>
      <c r="H33" s="275" t="s">
        <v>1132</v>
      </c>
      <c r="I33" s="293" t="s">
        <v>1142</v>
      </c>
      <c r="J33" s="293" t="s">
        <v>1214</v>
      </c>
      <c r="K33" s="293" t="s">
        <v>1196</v>
      </c>
      <c r="L33" s="293" t="s">
        <v>1195</v>
      </c>
      <c r="M33" s="275"/>
      <c r="N33" s="275" t="s">
        <v>1124</v>
      </c>
      <c r="O33" s="275"/>
      <c r="P33" s="275" t="s">
        <v>1120</v>
      </c>
    </row>
    <row r="34" spans="1:31" x14ac:dyDescent="0.3">
      <c r="B34" s="275" t="s">
        <v>1213</v>
      </c>
      <c r="C34" s="275"/>
      <c r="D34" t="s">
        <v>1190</v>
      </c>
      <c r="E34" s="293"/>
      <c r="F34" s="293" t="s">
        <v>1221</v>
      </c>
      <c r="H34" t="s">
        <v>1143</v>
      </c>
      <c r="I34" s="293"/>
      <c r="J34" s="293" t="s">
        <v>1195</v>
      </c>
      <c r="K34" s="293"/>
      <c r="L34" s="293" t="s">
        <v>1118</v>
      </c>
      <c r="N34" t="s">
        <v>1185</v>
      </c>
      <c r="P34" t="s">
        <v>1213</v>
      </c>
    </row>
    <row r="35" spans="1:31" s="293" customFormat="1" x14ac:dyDescent="0.3">
      <c r="A35" s="351" t="s">
        <v>1207</v>
      </c>
      <c r="B35" s="351"/>
      <c r="C35" s="351" t="s">
        <v>1121</v>
      </c>
      <c r="D35" s="351"/>
      <c r="E35" s="351" t="s">
        <v>1179</v>
      </c>
      <c r="F35" s="351"/>
      <c r="G35" s="351" t="s">
        <v>1212</v>
      </c>
      <c r="H35" s="351"/>
      <c r="I35" s="351" t="s">
        <v>1186</v>
      </c>
      <c r="J35" s="351"/>
      <c r="K35" s="351" t="s">
        <v>1198</v>
      </c>
      <c r="L35" s="351"/>
      <c r="M35" s="351" t="s">
        <v>1133</v>
      </c>
      <c r="N35" s="351"/>
      <c r="O35" s="351" t="s">
        <v>1192</v>
      </c>
      <c r="P35" s="351"/>
    </row>
    <row r="36" spans="1:31" s="293" customFormat="1" x14ac:dyDescent="0.3">
      <c r="A36" s="293" t="s">
        <v>1140</v>
      </c>
      <c r="B36" s="293" t="s">
        <v>1231</v>
      </c>
      <c r="C36" s="293" t="s">
        <v>1120</v>
      </c>
      <c r="D36" s="293" t="s">
        <v>1198</v>
      </c>
      <c r="E36" s="293" t="s">
        <v>1124</v>
      </c>
      <c r="F36" s="293" t="s">
        <v>1116</v>
      </c>
      <c r="G36" s="293" t="s">
        <v>1214</v>
      </c>
      <c r="H36" s="293" t="s">
        <v>1116</v>
      </c>
      <c r="I36" s="293" t="s">
        <v>1221</v>
      </c>
      <c r="J36" s="293" t="s">
        <v>1232</v>
      </c>
    </row>
    <row r="37" spans="1:31" x14ac:dyDescent="0.3">
      <c r="A37" s="293" t="s">
        <v>1114</v>
      </c>
      <c r="B37" s="293" t="s">
        <v>1214</v>
      </c>
      <c r="C37" s="293" t="s">
        <v>1119</v>
      </c>
      <c r="D37" s="293" t="s">
        <v>1186</v>
      </c>
      <c r="E37" s="293" t="s">
        <v>1220</v>
      </c>
      <c r="F37" s="293" t="s">
        <v>1186</v>
      </c>
      <c r="G37" s="293"/>
      <c r="H37" s="293" t="s">
        <v>1198</v>
      </c>
      <c r="I37" s="293" t="s">
        <v>1185</v>
      </c>
      <c r="J37" s="293" t="s">
        <v>1198</v>
      </c>
      <c r="K37" s="293"/>
      <c r="L37" s="293"/>
      <c r="M37" s="293"/>
      <c r="N37" s="293"/>
      <c r="O37" s="293"/>
      <c r="P37" s="293"/>
    </row>
    <row r="38" spans="1:31" x14ac:dyDescent="0.3">
      <c r="A38" s="293"/>
      <c r="B38" s="293" t="s">
        <v>1133</v>
      </c>
      <c r="C38" s="293"/>
      <c r="D38" s="293" t="s">
        <v>1133</v>
      </c>
      <c r="E38" s="293"/>
      <c r="F38" s="293" t="s">
        <v>1192</v>
      </c>
      <c r="G38" s="293"/>
      <c r="H38" s="293" t="s">
        <v>1133</v>
      </c>
      <c r="I38" s="293"/>
      <c r="J38" s="293" t="s">
        <v>1192</v>
      </c>
      <c r="K38" s="293"/>
      <c r="L38" s="293"/>
      <c r="M38" s="293"/>
      <c r="N38" s="293"/>
      <c r="O38" s="293"/>
      <c r="P38" s="293"/>
    </row>
    <row r="39" spans="1:31" x14ac:dyDescent="0.3">
      <c r="A39" s="293"/>
      <c r="B39" s="293" t="s">
        <v>1192</v>
      </c>
      <c r="C39" s="293"/>
      <c r="D39" s="293" t="s">
        <v>1192</v>
      </c>
      <c r="E39" s="293"/>
      <c r="F39" s="293" t="s">
        <v>1198</v>
      </c>
      <c r="G39" s="293"/>
      <c r="H39" s="293" t="s">
        <v>1192</v>
      </c>
      <c r="I39" s="293"/>
      <c r="J39" s="293" t="s">
        <v>1120</v>
      </c>
      <c r="K39" s="293"/>
      <c r="L39" s="293"/>
      <c r="M39" s="293"/>
      <c r="N39" s="293"/>
      <c r="O39" s="293"/>
      <c r="P39" s="293"/>
    </row>
    <row r="40" spans="1:31" x14ac:dyDescent="0.3">
      <c r="A40" s="296"/>
      <c r="B40" s="296" t="s">
        <v>1113</v>
      </c>
      <c r="C40" s="296"/>
      <c r="D40" s="296"/>
      <c r="E40" s="296"/>
      <c r="F40" s="296"/>
      <c r="G40" s="296"/>
      <c r="H40" s="296"/>
      <c r="I40" s="296"/>
      <c r="J40" s="296"/>
      <c r="K40" s="296"/>
      <c r="L40" s="296"/>
      <c r="M40" s="296"/>
      <c r="N40" s="296"/>
      <c r="O40" s="296"/>
      <c r="P40" s="296"/>
      <c r="Q40" s="296"/>
      <c r="R40" s="296"/>
      <c r="S40" s="296"/>
      <c r="T40" s="296"/>
      <c r="U40" s="296"/>
      <c r="V40" s="296"/>
      <c r="W40" s="296"/>
      <c r="X40" s="176"/>
      <c r="Y40" s="176"/>
      <c r="Z40" s="176"/>
      <c r="AA40" s="176"/>
      <c r="AB40" s="176"/>
      <c r="AC40" s="176"/>
      <c r="AD40" s="176"/>
      <c r="AE40" s="176"/>
    </row>
    <row r="41" spans="1:31" x14ac:dyDescent="0.3">
      <c r="A41" s="296" t="s">
        <v>926</v>
      </c>
      <c r="B41" s="296"/>
      <c r="C41" s="296">
        <v>0</v>
      </c>
      <c r="D41" s="296"/>
      <c r="E41" s="296"/>
      <c r="F41" s="296"/>
      <c r="G41" s="296"/>
      <c r="H41" s="296"/>
      <c r="I41" s="296"/>
      <c r="J41" s="296"/>
      <c r="K41" s="296"/>
      <c r="L41" s="296"/>
      <c r="M41" s="296"/>
      <c r="N41" s="296"/>
      <c r="O41" s="296"/>
      <c r="P41" s="296"/>
      <c r="Q41" s="296"/>
      <c r="R41" s="296"/>
      <c r="S41" s="296"/>
      <c r="T41" s="296"/>
      <c r="U41" s="296"/>
      <c r="V41" s="296"/>
      <c r="W41" s="296"/>
      <c r="X41" s="176"/>
      <c r="Y41" s="176"/>
      <c r="Z41" s="176"/>
      <c r="AA41" s="176"/>
      <c r="AB41" s="176"/>
      <c r="AC41" s="176"/>
      <c r="AD41" s="176"/>
      <c r="AE41" s="176"/>
    </row>
    <row r="42" spans="1:31" x14ac:dyDescent="0.3">
      <c r="A42" s="276"/>
      <c r="B42" s="276" t="s">
        <v>203</v>
      </c>
      <c r="C42" s="279" t="s">
        <v>202</v>
      </c>
      <c r="D42" s="283" t="s">
        <v>149</v>
      </c>
      <c r="E42" s="283" t="s">
        <v>1144</v>
      </c>
      <c r="F42" s="279" t="s">
        <v>203</v>
      </c>
      <c r="G42" s="283" t="s">
        <v>1149</v>
      </c>
      <c r="H42" s="283" t="s">
        <v>149</v>
      </c>
      <c r="I42" s="283" t="s">
        <v>1145</v>
      </c>
      <c r="J42" s="279" t="s">
        <v>203</v>
      </c>
      <c r="K42" s="283" t="s">
        <v>1149</v>
      </c>
      <c r="L42" s="283" t="s">
        <v>149</v>
      </c>
      <c r="M42" s="283" t="s">
        <v>1146</v>
      </c>
      <c r="N42" s="279" t="s">
        <v>203</v>
      </c>
      <c r="O42" s="283" t="s">
        <v>1149</v>
      </c>
      <c r="P42" s="283" t="s">
        <v>149</v>
      </c>
      <c r="Q42" s="283" t="s">
        <v>1147</v>
      </c>
      <c r="R42" s="279" t="s">
        <v>203</v>
      </c>
      <c r="S42" s="283" t="s">
        <v>1149</v>
      </c>
      <c r="T42" s="283" t="s">
        <v>149</v>
      </c>
      <c r="U42" s="283" t="s">
        <v>1148</v>
      </c>
      <c r="V42" s="279" t="s">
        <v>203</v>
      </c>
      <c r="W42" s="283" t="s">
        <v>1149</v>
      </c>
      <c r="X42" s="283" t="s">
        <v>149</v>
      </c>
      <c r="Y42" s="283" t="s">
        <v>1233</v>
      </c>
      <c r="Z42" s="279" t="s">
        <v>203</v>
      </c>
      <c r="AA42" s="283" t="s">
        <v>1149</v>
      </c>
      <c r="AB42" s="283" t="s">
        <v>149</v>
      </c>
      <c r="AC42" s="283" t="s">
        <v>1234</v>
      </c>
      <c r="AD42" s="279" t="s">
        <v>203</v>
      </c>
      <c r="AE42" s="283" t="s">
        <v>1149</v>
      </c>
    </row>
    <row r="43" spans="1:31" x14ac:dyDescent="0.3">
      <c r="A43" s="282" t="s">
        <v>1245</v>
      </c>
      <c r="B43" s="282"/>
      <c r="C43" s="277">
        <f>((D43*G43)+(K43*H43)+(O43*L43)+(S43*P43)+(W43*T43)+(X43*AA43)+(AB43*AE43))</f>
        <v>304</v>
      </c>
      <c r="D43" s="280">
        <v>16</v>
      </c>
      <c r="E43" s="281">
        <v>17</v>
      </c>
      <c r="F43" s="59" t="str">
        <f t="shared" ref="F43" si="0">VLOOKUP(E43,LISTAITEMS,2,FALSE)</f>
        <v>Oak Log</v>
      </c>
      <c r="G43" s="278">
        <f>VLOOKUP(E43,LISTAITEMS,5,FALSE)</f>
        <v>4</v>
      </c>
      <c r="H43" s="280">
        <v>32</v>
      </c>
      <c r="I43" s="281">
        <v>37</v>
      </c>
      <c r="J43" s="59" t="str">
        <f t="shared" ref="J43" si="1">VLOOKUP(I43,LISTAITEMS,2,FALSE)</f>
        <v>Dandilion</v>
      </c>
      <c r="K43" s="278">
        <f t="shared" ref="K43" si="2">VLOOKUP(I43,LISTAITEMS,5,FALSE)</f>
        <v>7.5</v>
      </c>
      <c r="L43" s="280">
        <v>0</v>
      </c>
      <c r="M43" s="281" t="s">
        <v>926</v>
      </c>
      <c r="N43" s="59" t="str">
        <f t="shared" ref="N43" si="3">VLOOKUP(M43,LISTAITEMS,2,FALSE)</f>
        <v>ninguno</v>
      </c>
      <c r="O43" s="278">
        <f>VLOOKUP(M43,LISTAITEMS,5,FALSE)</f>
        <v>0</v>
      </c>
      <c r="P43" s="280">
        <v>0</v>
      </c>
      <c r="Q43" s="281" t="s">
        <v>926</v>
      </c>
      <c r="R43" s="59" t="str">
        <f t="shared" ref="R43" si="4">VLOOKUP(Q43,LISTAITEMS,2,FALSE)</f>
        <v>ninguno</v>
      </c>
      <c r="S43" s="278">
        <f>VLOOKUP(Q43,LISTAITEMS,5,FALSE)</f>
        <v>0</v>
      </c>
      <c r="T43" s="280">
        <v>0</v>
      </c>
      <c r="U43" s="281" t="s">
        <v>926</v>
      </c>
      <c r="V43" s="59" t="str">
        <f t="shared" ref="V43" si="5">VLOOKUP(U43,LISTAITEMS,2,FALSE)</f>
        <v>ninguno</v>
      </c>
      <c r="W43" s="278">
        <f>VLOOKUP(U43,LISTAITEMS,5,FALSE)</f>
        <v>0</v>
      </c>
      <c r="X43" s="280">
        <v>0</v>
      </c>
      <c r="Y43" s="281" t="s">
        <v>926</v>
      </c>
      <c r="Z43" s="59" t="str">
        <f t="shared" ref="Z43" si="6">VLOOKUP(Y43,LISTAITEMS,2,FALSE)</f>
        <v>ninguno</v>
      </c>
      <c r="AA43" s="278">
        <f>VLOOKUP(Y43,LISTAITEMS,5,FALSE)</f>
        <v>0</v>
      </c>
      <c r="AB43" s="280">
        <v>0</v>
      </c>
      <c r="AC43" s="281" t="s">
        <v>926</v>
      </c>
      <c r="AD43" s="59" t="str">
        <f t="shared" ref="AD43" si="7">VLOOKUP(AC43,LISTAITEMS,2,FALSE)</f>
        <v>ninguno</v>
      </c>
      <c r="AE43" s="278">
        <f>VLOOKUP(AC43,LISTAITEMS,5,FALSE)</f>
        <v>0</v>
      </c>
    </row>
    <row r="44" spans="1:31" s="298" customFormat="1" x14ac:dyDescent="0.3">
      <c r="A44" s="296"/>
      <c r="B44" s="296" t="s">
        <v>1115</v>
      </c>
      <c r="C44" s="296"/>
      <c r="D44" s="296"/>
      <c r="E44" s="296"/>
      <c r="F44" s="296"/>
      <c r="G44" s="296"/>
      <c r="H44" s="296"/>
      <c r="I44" s="296"/>
      <c r="J44" s="296"/>
      <c r="K44" s="296"/>
      <c r="L44" s="296"/>
      <c r="M44" s="296"/>
      <c r="N44" s="296"/>
      <c r="O44" s="296"/>
      <c r="P44" s="296"/>
      <c r="Q44" s="296"/>
      <c r="R44" s="296"/>
      <c r="S44" s="296"/>
      <c r="T44" s="296"/>
      <c r="U44" s="296"/>
      <c r="V44" s="296"/>
      <c r="W44" s="296"/>
      <c r="X44" s="176"/>
      <c r="Y44" s="176"/>
      <c r="Z44" s="176"/>
      <c r="AA44" s="176"/>
      <c r="AB44" s="176"/>
      <c r="AC44" s="176"/>
      <c r="AD44" s="176"/>
      <c r="AE44" s="176"/>
    </row>
    <row r="45" spans="1:31" s="298" customFormat="1" x14ac:dyDescent="0.3">
      <c r="A45" s="276"/>
      <c r="B45" s="276" t="s">
        <v>203</v>
      </c>
      <c r="C45" s="279" t="s">
        <v>202</v>
      </c>
      <c r="D45" s="283" t="s">
        <v>149</v>
      </c>
      <c r="E45" s="283" t="s">
        <v>1144</v>
      </c>
      <c r="F45" s="279" t="s">
        <v>203</v>
      </c>
      <c r="G45" s="283" t="s">
        <v>1149</v>
      </c>
      <c r="H45" s="283" t="s">
        <v>149</v>
      </c>
      <c r="I45" s="283" t="s">
        <v>1145</v>
      </c>
      <c r="J45" s="279" t="s">
        <v>203</v>
      </c>
      <c r="K45" s="283" t="s">
        <v>1149</v>
      </c>
      <c r="L45" s="283" t="s">
        <v>149</v>
      </c>
      <c r="M45" s="283" t="s">
        <v>1146</v>
      </c>
      <c r="N45" s="279" t="s">
        <v>203</v>
      </c>
      <c r="O45" s="283" t="s">
        <v>1149</v>
      </c>
      <c r="P45" s="283" t="s">
        <v>149</v>
      </c>
      <c r="Q45" s="283" t="s">
        <v>1147</v>
      </c>
      <c r="R45" s="279" t="s">
        <v>203</v>
      </c>
      <c r="S45" s="283" t="s">
        <v>1149</v>
      </c>
      <c r="T45" s="283" t="s">
        <v>149</v>
      </c>
      <c r="U45" s="283" t="s">
        <v>1148</v>
      </c>
      <c r="V45" s="279" t="s">
        <v>203</v>
      </c>
      <c r="W45" s="283" t="s">
        <v>1149</v>
      </c>
      <c r="X45" s="283" t="s">
        <v>149</v>
      </c>
      <c r="Y45" s="283" t="s">
        <v>1233</v>
      </c>
      <c r="Z45" s="279" t="s">
        <v>203</v>
      </c>
      <c r="AA45" s="283" t="s">
        <v>1149</v>
      </c>
      <c r="AB45" s="283" t="s">
        <v>149</v>
      </c>
      <c r="AC45" s="283" t="s">
        <v>1234</v>
      </c>
      <c r="AD45" s="279" t="s">
        <v>203</v>
      </c>
      <c r="AE45" s="283" t="s">
        <v>1149</v>
      </c>
    </row>
    <row r="46" spans="1:31" s="298" customFormat="1" x14ac:dyDescent="0.3">
      <c r="A46" s="282" t="s">
        <v>1253</v>
      </c>
      <c r="B46" s="282"/>
      <c r="C46" s="277">
        <f t="shared" ref="C46" si="8">((D46*G46)+(K46*H46)+(O46*L46)+(S46*P46)+(W46*T46)+(X46*AA46)+(AB46*AE46))</f>
        <v>368</v>
      </c>
      <c r="D46" s="280">
        <v>1</v>
      </c>
      <c r="E46" s="281" t="s">
        <v>1245</v>
      </c>
      <c r="F46" s="59" t="str">
        <f>E46</f>
        <v>Emplasto Astilloso</v>
      </c>
      <c r="G46" s="278">
        <f t="shared" ref="G46" si="9">VLOOKUP(E46,craftedesp,3,FALSE)</f>
        <v>304</v>
      </c>
      <c r="H46" s="280">
        <v>16</v>
      </c>
      <c r="I46" s="281">
        <v>17</v>
      </c>
      <c r="J46" s="59" t="str">
        <f t="shared" ref="J46" si="10">VLOOKUP(I46,LISTAITEMS,2,FALSE)</f>
        <v>Oak Log</v>
      </c>
      <c r="K46" s="278">
        <f>VLOOKUP(I46,LISTAITEMS,5,FALSE)</f>
        <v>4</v>
      </c>
      <c r="L46" s="280">
        <v>0</v>
      </c>
      <c r="M46" s="281" t="s">
        <v>926</v>
      </c>
      <c r="N46" s="59" t="str">
        <f t="shared" ref="N46" si="11">VLOOKUP(M46,LISTAITEMS,2,FALSE)</f>
        <v>ninguno</v>
      </c>
      <c r="O46" s="278">
        <f t="shared" ref="O46" si="12">VLOOKUP(M46,LISTAITEMS,5,FALSE)</f>
        <v>0</v>
      </c>
      <c r="P46" s="280">
        <v>0</v>
      </c>
      <c r="Q46" s="281" t="s">
        <v>926</v>
      </c>
      <c r="R46" s="59" t="str">
        <f t="shared" ref="R46" si="13">VLOOKUP(Q46,LISTAITEMS,2,FALSE)</f>
        <v>ninguno</v>
      </c>
      <c r="S46" s="278">
        <f t="shared" ref="S46" si="14">VLOOKUP(Q46,LISTAITEMS,5,FALSE)</f>
        <v>0</v>
      </c>
      <c r="T46" s="280">
        <v>0</v>
      </c>
      <c r="U46" s="281" t="s">
        <v>926</v>
      </c>
      <c r="V46" s="59" t="str">
        <f t="shared" ref="V46" si="15">VLOOKUP(U46,LISTAITEMS,2,FALSE)</f>
        <v>ninguno</v>
      </c>
      <c r="W46" s="278">
        <f t="shared" ref="W46" si="16">VLOOKUP(U46,LISTAITEMS,5,FALSE)</f>
        <v>0</v>
      </c>
      <c r="X46" s="280">
        <v>0</v>
      </c>
      <c r="Y46" s="281" t="s">
        <v>926</v>
      </c>
      <c r="Z46" s="59" t="str">
        <f t="shared" ref="Z46" si="17">VLOOKUP(Y46,LISTAITEMS,2,FALSE)</f>
        <v>ninguno</v>
      </c>
      <c r="AA46" s="278">
        <f t="shared" ref="AA46" si="18">VLOOKUP(Y46,LISTAITEMS,5,FALSE)</f>
        <v>0</v>
      </c>
      <c r="AB46" s="280">
        <v>0</v>
      </c>
      <c r="AC46" s="281" t="s">
        <v>926</v>
      </c>
      <c r="AD46" s="59" t="str">
        <f t="shared" ref="AD46" si="19">VLOOKUP(AC46,LISTAITEMS,2,FALSE)</f>
        <v>ninguno</v>
      </c>
      <c r="AE46" s="278">
        <f t="shared" ref="AE46" si="20">VLOOKUP(AC46,LISTAITEMS,5,FALSE)</f>
        <v>0</v>
      </c>
    </row>
    <row r="47" spans="1:31" s="275" customFormat="1" x14ac:dyDescent="0.3">
      <c r="A47"/>
      <c r="B47"/>
      <c r="C47"/>
      <c r="D47"/>
      <c r="E47"/>
      <c r="F47"/>
      <c r="G47"/>
      <c r="H47"/>
      <c r="I47"/>
      <c r="J47"/>
      <c r="K47"/>
      <c r="L47"/>
      <c r="M47"/>
      <c r="N47"/>
      <c r="O47"/>
      <c r="P47"/>
      <c r="Q47"/>
      <c r="R47"/>
      <c r="S47"/>
      <c r="T47"/>
      <c r="U47"/>
      <c r="V47"/>
      <c r="W47"/>
    </row>
    <row r="48" spans="1:31" s="294" customFormat="1" x14ac:dyDescent="0.3">
      <c r="A48" s="296"/>
      <c r="B48" s="296" t="s">
        <v>1117</v>
      </c>
      <c r="C48" s="296"/>
      <c r="D48" s="296"/>
      <c r="E48" s="296"/>
      <c r="F48" s="296"/>
      <c r="G48" s="296"/>
      <c r="H48" s="296"/>
      <c r="I48" s="296"/>
      <c r="J48" s="296"/>
      <c r="K48" s="296"/>
      <c r="L48" s="296"/>
      <c r="M48" s="296"/>
      <c r="N48" s="296"/>
      <c r="O48" s="296"/>
      <c r="P48" s="296"/>
      <c r="Q48" s="296"/>
      <c r="R48" s="296"/>
      <c r="S48" s="296"/>
      <c r="T48" s="296"/>
      <c r="U48" s="296"/>
      <c r="V48" s="296"/>
      <c r="W48" s="296"/>
      <c r="X48" s="176"/>
      <c r="Y48" s="176"/>
      <c r="Z48" s="176"/>
      <c r="AA48" s="176"/>
      <c r="AB48" s="176"/>
      <c r="AC48" s="176"/>
      <c r="AD48" s="176"/>
      <c r="AE48" s="176"/>
    </row>
    <row r="49" spans="1:31" s="294" customFormat="1" x14ac:dyDescent="0.3">
      <c r="A49" s="276"/>
      <c r="B49" s="276" t="s">
        <v>203</v>
      </c>
      <c r="C49" s="279" t="s">
        <v>202</v>
      </c>
      <c r="D49" s="283" t="s">
        <v>149</v>
      </c>
      <c r="E49" s="283" t="s">
        <v>1144</v>
      </c>
      <c r="F49" s="279" t="s">
        <v>203</v>
      </c>
      <c r="G49" s="283" t="s">
        <v>1149</v>
      </c>
      <c r="H49" s="283" t="s">
        <v>149</v>
      </c>
      <c r="I49" s="283" t="s">
        <v>1145</v>
      </c>
      <c r="J49" s="279" t="s">
        <v>203</v>
      </c>
      <c r="K49" s="283" t="s">
        <v>1149</v>
      </c>
      <c r="L49" s="283" t="s">
        <v>149</v>
      </c>
      <c r="M49" s="283" t="s">
        <v>1146</v>
      </c>
      <c r="N49" s="279" t="s">
        <v>203</v>
      </c>
      <c r="O49" s="283" t="s">
        <v>1149</v>
      </c>
      <c r="P49" s="283" t="s">
        <v>149</v>
      </c>
      <c r="Q49" s="283" t="s">
        <v>1147</v>
      </c>
      <c r="R49" s="279" t="s">
        <v>203</v>
      </c>
      <c r="S49" s="283" t="s">
        <v>1149</v>
      </c>
      <c r="T49" s="283" t="s">
        <v>149</v>
      </c>
      <c r="U49" s="283" t="s">
        <v>1148</v>
      </c>
      <c r="V49" s="279" t="s">
        <v>203</v>
      </c>
      <c r="W49" s="283" t="s">
        <v>1149</v>
      </c>
      <c r="X49" s="283" t="s">
        <v>149</v>
      </c>
      <c r="Y49" s="283" t="s">
        <v>1233</v>
      </c>
      <c r="Z49" s="279" t="s">
        <v>203</v>
      </c>
      <c r="AA49" s="283" t="s">
        <v>1149</v>
      </c>
      <c r="AB49" s="283" t="s">
        <v>149</v>
      </c>
      <c r="AC49" s="283" t="s">
        <v>1234</v>
      </c>
      <c r="AD49" s="279" t="s">
        <v>203</v>
      </c>
      <c r="AE49" s="283" t="s">
        <v>1149</v>
      </c>
    </row>
    <row r="50" spans="1:31" s="294" customFormat="1" x14ac:dyDescent="0.3">
      <c r="A50" s="282" t="s">
        <v>1244</v>
      </c>
      <c r="B50" s="282"/>
      <c r="C50" s="277">
        <f t="shared" ref="C50" si="21">((D50*G50)+(K50*H50)+(O50*L50)+(S50*P50)+(W50*T50)+(X50*AA50)+(AB50*AE50))</f>
        <v>625.4</v>
      </c>
      <c r="D50" s="280">
        <v>14</v>
      </c>
      <c r="E50" s="281">
        <v>377</v>
      </c>
      <c r="F50" s="59" t="str">
        <f t="shared" ref="F50" si="22">VLOOKUP(E50,LISTAITEMS,2,FALSE)</f>
        <v>Blaze Powder</v>
      </c>
      <c r="G50" s="278">
        <f t="shared" ref="G50" si="23">VLOOKUP(E50,LISTAITEMS,5,FALSE)</f>
        <v>8.1</v>
      </c>
      <c r="H50" s="280">
        <v>1</v>
      </c>
      <c r="I50" s="281" t="s">
        <v>1240</v>
      </c>
      <c r="J50" s="59" t="str">
        <f>I50</f>
        <v>Ppl Astillado</v>
      </c>
      <c r="K50" s="278">
        <f t="shared" ref="K50" si="24">VLOOKUP(I50,craftedesp,3,FALSE)</f>
        <v>512</v>
      </c>
      <c r="L50" s="280">
        <v>0</v>
      </c>
      <c r="M50" s="281" t="s">
        <v>926</v>
      </c>
      <c r="N50" s="59" t="str">
        <f t="shared" ref="N50" si="25">VLOOKUP(M50,LISTAITEMS,2,FALSE)</f>
        <v>ninguno</v>
      </c>
      <c r="O50" s="278">
        <f t="shared" ref="O50" si="26">VLOOKUP(M50,LISTAITEMS,5,FALSE)</f>
        <v>0</v>
      </c>
      <c r="P50" s="280">
        <v>0</v>
      </c>
      <c r="Q50" s="281" t="s">
        <v>926</v>
      </c>
      <c r="R50" s="59" t="str">
        <f t="shared" ref="R50" si="27">VLOOKUP(Q50,LISTAITEMS,2,FALSE)</f>
        <v>ninguno</v>
      </c>
      <c r="S50" s="278">
        <f t="shared" ref="S50" si="28">VLOOKUP(Q50,LISTAITEMS,5,FALSE)</f>
        <v>0</v>
      </c>
      <c r="T50" s="280">
        <v>0</v>
      </c>
      <c r="U50" s="281" t="s">
        <v>926</v>
      </c>
      <c r="V50" s="59" t="str">
        <f t="shared" ref="V50" si="29">VLOOKUP(U50,LISTAITEMS,2,FALSE)</f>
        <v>ninguno</v>
      </c>
      <c r="W50" s="278">
        <f t="shared" ref="W50" si="30">VLOOKUP(U50,LISTAITEMS,5,FALSE)</f>
        <v>0</v>
      </c>
      <c r="X50" s="280">
        <v>0</v>
      </c>
      <c r="Y50" s="281" t="s">
        <v>926</v>
      </c>
      <c r="Z50" s="59" t="str">
        <f t="shared" ref="Z50" si="31">VLOOKUP(Y50,LISTAITEMS,2,FALSE)</f>
        <v>ninguno</v>
      </c>
      <c r="AA50" s="278">
        <f t="shared" ref="AA50" si="32">VLOOKUP(Y50,LISTAITEMS,5,FALSE)</f>
        <v>0</v>
      </c>
      <c r="AB50" s="280">
        <v>0</v>
      </c>
      <c r="AC50" s="281" t="s">
        <v>926</v>
      </c>
      <c r="AD50" s="59" t="str">
        <f t="shared" ref="AD50" si="33">VLOOKUP(AC50,LISTAITEMS,2,FALSE)</f>
        <v>ninguno</v>
      </c>
      <c r="AE50" s="278">
        <f t="shared" ref="AE50" si="34">VLOOKUP(AC50,LISTAITEMS,5,FALSE)</f>
        <v>0</v>
      </c>
    </row>
    <row r="52" spans="1:31" s="294" customFormat="1" x14ac:dyDescent="0.3">
      <c r="A52" s="296"/>
      <c r="B52" s="296" t="s">
        <v>1191</v>
      </c>
      <c r="C52" s="296"/>
      <c r="D52" s="296"/>
      <c r="E52" s="296"/>
      <c r="F52" s="296"/>
      <c r="G52" s="296"/>
      <c r="H52" s="296"/>
      <c r="I52" s="296"/>
      <c r="J52" s="296"/>
      <c r="K52" s="296"/>
      <c r="L52" s="296"/>
      <c r="M52" s="296"/>
      <c r="N52" s="296"/>
      <c r="O52" s="296"/>
      <c r="P52" s="296"/>
      <c r="Q52" s="296"/>
      <c r="R52" s="296"/>
      <c r="S52" s="296"/>
      <c r="T52" s="296"/>
      <c r="U52" s="296"/>
      <c r="V52" s="296"/>
      <c r="W52" s="296"/>
      <c r="X52" s="176"/>
      <c r="Y52" s="176"/>
      <c r="Z52" s="176"/>
      <c r="AA52" s="176"/>
      <c r="AB52" s="176"/>
      <c r="AC52" s="176"/>
      <c r="AD52" s="176"/>
      <c r="AE52" s="176"/>
    </row>
    <row r="53" spans="1:31" s="294" customFormat="1" x14ac:dyDescent="0.3">
      <c r="A53" s="276"/>
      <c r="B53" s="276" t="s">
        <v>203</v>
      </c>
      <c r="C53" s="279" t="s">
        <v>202</v>
      </c>
      <c r="D53" s="283" t="s">
        <v>149</v>
      </c>
      <c r="E53" s="283" t="s">
        <v>1144</v>
      </c>
      <c r="F53" s="279" t="s">
        <v>203</v>
      </c>
      <c r="G53" s="283" t="s">
        <v>1149</v>
      </c>
      <c r="H53" s="283" t="s">
        <v>149</v>
      </c>
      <c r="I53" s="283" t="s">
        <v>1145</v>
      </c>
      <c r="J53" s="279" t="s">
        <v>203</v>
      </c>
      <c r="K53" s="283" t="s">
        <v>1149</v>
      </c>
      <c r="L53" s="283" t="s">
        <v>149</v>
      </c>
      <c r="M53" s="283" t="s">
        <v>1146</v>
      </c>
      <c r="N53" s="279" t="s">
        <v>203</v>
      </c>
      <c r="O53" s="283" t="s">
        <v>1149</v>
      </c>
      <c r="P53" s="283" t="s">
        <v>149</v>
      </c>
      <c r="Q53" s="283" t="s">
        <v>1147</v>
      </c>
      <c r="R53" s="279" t="s">
        <v>203</v>
      </c>
      <c r="S53" s="283" t="s">
        <v>1149</v>
      </c>
      <c r="T53" s="283" t="s">
        <v>149</v>
      </c>
      <c r="U53" s="283" t="s">
        <v>1148</v>
      </c>
      <c r="V53" s="279" t="s">
        <v>203</v>
      </c>
      <c r="W53" s="283" t="s">
        <v>1149</v>
      </c>
      <c r="X53" s="283" t="s">
        <v>149</v>
      </c>
      <c r="Y53" s="283" t="s">
        <v>1233</v>
      </c>
      <c r="Z53" s="279" t="s">
        <v>203</v>
      </c>
      <c r="AA53" s="283" t="s">
        <v>1149</v>
      </c>
      <c r="AB53" s="283" t="s">
        <v>149</v>
      </c>
      <c r="AC53" s="283" t="s">
        <v>1234</v>
      </c>
      <c r="AD53" s="279" t="s">
        <v>203</v>
      </c>
      <c r="AE53" s="283" t="s">
        <v>1149</v>
      </c>
    </row>
    <row r="54" spans="1:31" s="294" customFormat="1" x14ac:dyDescent="0.3">
      <c r="A54" s="282" t="s">
        <v>1240</v>
      </c>
      <c r="B54" s="282"/>
      <c r="C54" s="277">
        <f t="shared" ref="C54" si="35">((D54*G54)+(K54*H54)+(O54*L54)+(S54*P54)+(W54*T54)+(X54*AA54)+(AB54*AE54))</f>
        <v>512</v>
      </c>
      <c r="D54" s="280">
        <v>64</v>
      </c>
      <c r="E54" s="281">
        <v>17</v>
      </c>
      <c r="F54" s="59" t="str">
        <f t="shared" ref="F54" si="36">VLOOKUP(E54,LISTAITEMS,2,FALSE)</f>
        <v>Oak Log</v>
      </c>
      <c r="G54" s="278">
        <f t="shared" ref="G54" si="37">VLOOKUP(E54,LISTAITEMS,5,FALSE)</f>
        <v>4</v>
      </c>
      <c r="H54" s="280">
        <v>1</v>
      </c>
      <c r="I54" s="281" t="s">
        <v>1165</v>
      </c>
      <c r="J54" s="59" t="str">
        <f>I54</f>
        <v>Corteza de roble</v>
      </c>
      <c r="K54" s="278">
        <f t="shared" ref="K54" si="38">VLOOKUP(I54,craftedesp,3,FALSE)</f>
        <v>256</v>
      </c>
      <c r="L54" s="280">
        <v>0</v>
      </c>
      <c r="M54" s="281" t="s">
        <v>926</v>
      </c>
      <c r="N54" s="59" t="str">
        <f t="shared" ref="N54" si="39">VLOOKUP(M54,LISTAITEMS,2,FALSE)</f>
        <v>ninguno</v>
      </c>
      <c r="O54" s="278">
        <f t="shared" ref="O54" si="40">VLOOKUP(M54,LISTAITEMS,5,FALSE)</f>
        <v>0</v>
      </c>
      <c r="P54" s="280">
        <v>0</v>
      </c>
      <c r="Q54" s="281" t="s">
        <v>926</v>
      </c>
      <c r="R54" s="59" t="str">
        <f t="shared" ref="R54" si="41">VLOOKUP(Q54,LISTAITEMS,2,FALSE)</f>
        <v>ninguno</v>
      </c>
      <c r="S54" s="278">
        <f t="shared" ref="S54" si="42">VLOOKUP(Q54,LISTAITEMS,5,FALSE)</f>
        <v>0</v>
      </c>
      <c r="T54" s="280">
        <v>0</v>
      </c>
      <c r="U54" s="281" t="s">
        <v>926</v>
      </c>
      <c r="V54" s="59" t="str">
        <f t="shared" ref="V54" si="43">VLOOKUP(U54,LISTAITEMS,2,FALSE)</f>
        <v>ninguno</v>
      </c>
      <c r="W54" s="278">
        <f t="shared" ref="W54" si="44">VLOOKUP(U54,LISTAITEMS,5,FALSE)</f>
        <v>0</v>
      </c>
      <c r="X54" s="280">
        <v>0</v>
      </c>
      <c r="Y54" s="281" t="s">
        <v>926</v>
      </c>
      <c r="Z54" s="59" t="str">
        <f t="shared" ref="Z54" si="45">VLOOKUP(Y54,LISTAITEMS,2,FALSE)</f>
        <v>ninguno</v>
      </c>
      <c r="AA54" s="278">
        <f t="shared" ref="AA54" si="46">VLOOKUP(Y54,LISTAITEMS,5,FALSE)</f>
        <v>0</v>
      </c>
      <c r="AB54" s="280">
        <v>0</v>
      </c>
      <c r="AC54" s="281" t="s">
        <v>926</v>
      </c>
      <c r="AD54" s="59" t="str">
        <f t="shared" ref="AD54" si="47">VLOOKUP(AC54,LISTAITEMS,2,FALSE)</f>
        <v>ninguno</v>
      </c>
      <c r="AE54" s="278">
        <f t="shared" ref="AE54" si="48">VLOOKUP(AC54,LISTAITEMS,5,FALSE)</f>
        <v>0</v>
      </c>
    </row>
    <row r="55" spans="1:31" s="292" customFormat="1" x14ac:dyDescent="0.3">
      <c r="A55"/>
      <c r="B55"/>
      <c r="C55"/>
      <c r="D55"/>
      <c r="E55"/>
      <c r="F55"/>
      <c r="G55"/>
      <c r="H55"/>
      <c r="I55"/>
      <c r="J55"/>
      <c r="K55"/>
      <c r="L55"/>
      <c r="M55"/>
      <c r="N55"/>
      <c r="O55"/>
      <c r="P55"/>
      <c r="Q55"/>
      <c r="R55"/>
      <c r="S55"/>
      <c r="T55"/>
      <c r="U55"/>
      <c r="V55"/>
      <c r="W55"/>
    </row>
    <row r="56" spans="1:31" s="292" customFormat="1" x14ac:dyDescent="0.3">
      <c r="A56" s="296"/>
      <c r="B56" s="296" t="s">
        <v>1131</v>
      </c>
      <c r="C56" s="296"/>
      <c r="D56" s="296"/>
      <c r="E56" s="296"/>
      <c r="F56" s="296"/>
      <c r="G56" s="296"/>
      <c r="H56" s="296"/>
      <c r="I56" s="296"/>
      <c r="J56" s="296"/>
      <c r="K56" s="296"/>
      <c r="L56" s="296"/>
      <c r="M56" s="296"/>
      <c r="N56" s="296"/>
      <c r="O56" s="296"/>
      <c r="P56" s="296"/>
      <c r="Q56" s="296"/>
      <c r="R56" s="296"/>
      <c r="S56" s="296"/>
      <c r="T56" s="296"/>
      <c r="U56" s="296"/>
      <c r="V56" s="296"/>
      <c r="W56" s="296"/>
      <c r="X56" s="176"/>
      <c r="Y56" s="176"/>
      <c r="Z56" s="176"/>
      <c r="AA56" s="176"/>
      <c r="AB56" s="176"/>
      <c r="AC56" s="176"/>
      <c r="AD56" s="176"/>
      <c r="AE56" s="176"/>
    </row>
    <row r="57" spans="1:31" x14ac:dyDescent="0.3">
      <c r="A57" s="276"/>
      <c r="B57" s="276" t="s">
        <v>203</v>
      </c>
      <c r="C57" s="279" t="s">
        <v>202</v>
      </c>
      <c r="D57" s="283" t="s">
        <v>149</v>
      </c>
      <c r="E57" s="283" t="s">
        <v>1144</v>
      </c>
      <c r="F57" s="279" t="s">
        <v>203</v>
      </c>
      <c r="G57" s="283" t="s">
        <v>1149</v>
      </c>
      <c r="H57" s="283" t="s">
        <v>149</v>
      </c>
      <c r="I57" s="283" t="s">
        <v>1145</v>
      </c>
      <c r="J57" s="279" t="s">
        <v>203</v>
      </c>
      <c r="K57" s="283" t="s">
        <v>1149</v>
      </c>
      <c r="L57" s="283" t="s">
        <v>149</v>
      </c>
      <c r="M57" s="283" t="s">
        <v>1146</v>
      </c>
      <c r="N57" s="279" t="s">
        <v>203</v>
      </c>
      <c r="O57" s="283" t="s">
        <v>1149</v>
      </c>
      <c r="P57" s="283" t="s">
        <v>149</v>
      </c>
      <c r="Q57" s="283" t="s">
        <v>1147</v>
      </c>
      <c r="R57" s="279" t="s">
        <v>203</v>
      </c>
      <c r="S57" s="283" t="s">
        <v>1149</v>
      </c>
      <c r="T57" s="283" t="s">
        <v>149</v>
      </c>
      <c r="U57" s="283" t="s">
        <v>1148</v>
      </c>
      <c r="V57" s="279" t="s">
        <v>203</v>
      </c>
      <c r="W57" s="283" t="s">
        <v>1149</v>
      </c>
      <c r="X57" s="283" t="s">
        <v>149</v>
      </c>
      <c r="Y57" s="283" t="s">
        <v>1233</v>
      </c>
      <c r="Z57" s="279" t="s">
        <v>203</v>
      </c>
      <c r="AA57" s="283" t="s">
        <v>1149</v>
      </c>
      <c r="AB57" s="283" t="s">
        <v>149</v>
      </c>
      <c r="AC57" s="283" t="s">
        <v>1234</v>
      </c>
      <c r="AD57" s="279" t="s">
        <v>203</v>
      </c>
      <c r="AE57" s="283" t="s">
        <v>1149</v>
      </c>
    </row>
    <row r="58" spans="1:31" x14ac:dyDescent="0.3">
      <c r="A58" s="282" t="s">
        <v>1165</v>
      </c>
      <c r="B58" s="282"/>
      <c r="C58" s="277">
        <f t="shared" ref="C58:C63" si="49">((D58*G58)+(K58*H58)+(O58*L58)+(S58*P58)+(W58*T58)+(X58*AA58)+(AB58*AE58))</f>
        <v>256</v>
      </c>
      <c r="D58" s="280">
        <v>64</v>
      </c>
      <c r="E58" s="281">
        <v>17</v>
      </c>
      <c r="F58" s="59" t="str">
        <f t="shared" ref="F58:F59" si="50">VLOOKUP(E58,LISTAITEMS,2,FALSE)</f>
        <v>Oak Log</v>
      </c>
      <c r="G58" s="278">
        <f t="shared" ref="G58:G63" si="51">VLOOKUP(E58,LISTAITEMS,5,FALSE)</f>
        <v>4</v>
      </c>
      <c r="H58" s="280">
        <v>0</v>
      </c>
      <c r="I58" s="281" t="s">
        <v>926</v>
      </c>
      <c r="J58" s="59" t="str">
        <f t="shared" ref="J58:J59" si="52">VLOOKUP(I58,LISTAITEMS,2,FALSE)</f>
        <v>ninguno</v>
      </c>
      <c r="K58" s="278">
        <f t="shared" ref="K58:K63" si="53">VLOOKUP(I58,LISTAITEMS,5,FALSE)</f>
        <v>0</v>
      </c>
      <c r="L58" s="280">
        <v>0</v>
      </c>
      <c r="M58" s="281" t="s">
        <v>926</v>
      </c>
      <c r="N58" s="59" t="str">
        <f t="shared" ref="N58:N59" si="54">VLOOKUP(M58,LISTAITEMS,2,FALSE)</f>
        <v>ninguno</v>
      </c>
      <c r="O58" s="278">
        <f t="shared" ref="O58:O63" si="55">VLOOKUP(M58,LISTAITEMS,5,FALSE)</f>
        <v>0</v>
      </c>
      <c r="P58" s="280">
        <v>0</v>
      </c>
      <c r="Q58" s="281" t="s">
        <v>926</v>
      </c>
      <c r="R58" s="59" t="str">
        <f t="shared" ref="R58:R59" si="56">VLOOKUP(Q58,LISTAITEMS,2,FALSE)</f>
        <v>ninguno</v>
      </c>
      <c r="S58" s="278">
        <f t="shared" ref="S58:S63" si="57">VLOOKUP(Q58,LISTAITEMS,5,FALSE)</f>
        <v>0</v>
      </c>
      <c r="T58" s="280">
        <v>0</v>
      </c>
      <c r="U58" s="281" t="s">
        <v>926</v>
      </c>
      <c r="V58" s="59" t="str">
        <f t="shared" ref="V58:V59" si="58">VLOOKUP(U58,LISTAITEMS,2,FALSE)</f>
        <v>ninguno</v>
      </c>
      <c r="W58" s="278">
        <f t="shared" ref="W58:W63" si="59">VLOOKUP(U58,LISTAITEMS,5,FALSE)</f>
        <v>0</v>
      </c>
      <c r="X58" s="280">
        <v>0</v>
      </c>
      <c r="Y58" s="281" t="s">
        <v>926</v>
      </c>
      <c r="Z58" s="59" t="str">
        <f t="shared" ref="Z58:Z59" si="60">VLOOKUP(Y58,LISTAITEMS,2,FALSE)</f>
        <v>ninguno</v>
      </c>
      <c r="AA58" s="278">
        <f t="shared" ref="AA58:AA63" si="61">VLOOKUP(Y58,LISTAITEMS,5,FALSE)</f>
        <v>0</v>
      </c>
      <c r="AB58" s="280">
        <v>0</v>
      </c>
      <c r="AC58" s="281" t="s">
        <v>926</v>
      </c>
      <c r="AD58" s="59" t="str">
        <f t="shared" ref="AD58:AD59" si="62">VLOOKUP(AC58,LISTAITEMS,2,FALSE)</f>
        <v>ninguno</v>
      </c>
      <c r="AE58" s="278">
        <f t="shared" ref="AE58:AE63" si="63">VLOOKUP(AC58,LISTAITEMS,5,FALSE)</f>
        <v>0</v>
      </c>
    </row>
    <row r="59" spans="1:31" x14ac:dyDescent="0.3">
      <c r="A59" s="282" t="s">
        <v>1167</v>
      </c>
      <c r="B59" s="282"/>
      <c r="C59" s="277">
        <f t="shared" si="49"/>
        <v>704</v>
      </c>
      <c r="D59" s="280">
        <v>64</v>
      </c>
      <c r="E59" s="281" t="s">
        <v>244</v>
      </c>
      <c r="F59" s="59" t="str">
        <f t="shared" si="50"/>
        <v>Spruce Log</v>
      </c>
      <c r="G59" s="278">
        <f t="shared" si="51"/>
        <v>11</v>
      </c>
      <c r="H59" s="280">
        <v>0</v>
      </c>
      <c r="I59" s="281" t="s">
        <v>926</v>
      </c>
      <c r="J59" s="59" t="str">
        <f t="shared" si="52"/>
        <v>ninguno</v>
      </c>
      <c r="K59" s="278">
        <f t="shared" si="53"/>
        <v>0</v>
      </c>
      <c r="L59" s="280">
        <v>0</v>
      </c>
      <c r="M59" s="281" t="s">
        <v>926</v>
      </c>
      <c r="N59" s="59" t="str">
        <f t="shared" si="54"/>
        <v>ninguno</v>
      </c>
      <c r="O59" s="278">
        <f t="shared" si="55"/>
        <v>0</v>
      </c>
      <c r="P59" s="280">
        <v>0</v>
      </c>
      <c r="Q59" s="281" t="s">
        <v>926</v>
      </c>
      <c r="R59" s="59" t="str">
        <f t="shared" si="56"/>
        <v>ninguno</v>
      </c>
      <c r="S59" s="278">
        <f t="shared" si="57"/>
        <v>0</v>
      </c>
      <c r="T59" s="280">
        <v>0</v>
      </c>
      <c r="U59" s="281" t="s">
        <v>926</v>
      </c>
      <c r="V59" s="59" t="str">
        <f t="shared" si="58"/>
        <v>ninguno</v>
      </c>
      <c r="W59" s="278">
        <f t="shared" si="59"/>
        <v>0</v>
      </c>
      <c r="X59" s="280">
        <v>0</v>
      </c>
      <c r="Y59" s="281" t="s">
        <v>926</v>
      </c>
      <c r="Z59" s="59" t="str">
        <f t="shared" si="60"/>
        <v>ninguno</v>
      </c>
      <c r="AA59" s="278">
        <f t="shared" si="61"/>
        <v>0</v>
      </c>
      <c r="AB59" s="280">
        <v>0</v>
      </c>
      <c r="AC59" s="281" t="s">
        <v>926</v>
      </c>
      <c r="AD59" s="59" t="str">
        <f t="shared" si="62"/>
        <v>ninguno</v>
      </c>
      <c r="AE59" s="278">
        <f t="shared" si="63"/>
        <v>0</v>
      </c>
    </row>
    <row r="60" spans="1:31" s="293" customFormat="1" x14ac:dyDescent="0.3">
      <c r="A60" s="282" t="s">
        <v>1168</v>
      </c>
      <c r="B60" s="282"/>
      <c r="C60" s="277">
        <f t="shared" si="49"/>
        <v>1088</v>
      </c>
      <c r="D60" s="280">
        <v>64</v>
      </c>
      <c r="E60" s="281" t="s">
        <v>246</v>
      </c>
      <c r="F60" s="59" t="str">
        <f t="shared" ref="F60:F61" si="64">VLOOKUP(E60,LISTAITEMS,2,FALSE)</f>
        <v>Birch Log</v>
      </c>
      <c r="G60" s="278">
        <f t="shared" si="51"/>
        <v>17</v>
      </c>
      <c r="H60" s="280">
        <v>0</v>
      </c>
      <c r="I60" s="281" t="s">
        <v>926</v>
      </c>
      <c r="J60" s="59" t="str">
        <f t="shared" ref="J60:J61" si="65">VLOOKUP(I60,LISTAITEMS,2,FALSE)</f>
        <v>ninguno</v>
      </c>
      <c r="K60" s="278">
        <f t="shared" si="53"/>
        <v>0</v>
      </c>
      <c r="L60" s="280">
        <v>0</v>
      </c>
      <c r="M60" s="281" t="s">
        <v>926</v>
      </c>
      <c r="N60" s="59" t="str">
        <f t="shared" ref="N60:N61" si="66">VLOOKUP(M60,LISTAITEMS,2,FALSE)</f>
        <v>ninguno</v>
      </c>
      <c r="O60" s="278">
        <f t="shared" si="55"/>
        <v>0</v>
      </c>
      <c r="P60" s="280">
        <v>0</v>
      </c>
      <c r="Q60" s="281" t="s">
        <v>926</v>
      </c>
      <c r="R60" s="59" t="str">
        <f t="shared" ref="R60:R61" si="67">VLOOKUP(Q60,LISTAITEMS,2,FALSE)</f>
        <v>ninguno</v>
      </c>
      <c r="S60" s="278">
        <f t="shared" si="57"/>
        <v>0</v>
      </c>
      <c r="T60" s="280">
        <v>0</v>
      </c>
      <c r="U60" s="281" t="s">
        <v>926</v>
      </c>
      <c r="V60" s="59" t="str">
        <f t="shared" ref="V60:V61" si="68">VLOOKUP(U60,LISTAITEMS,2,FALSE)</f>
        <v>ninguno</v>
      </c>
      <c r="W60" s="278">
        <f t="shared" si="59"/>
        <v>0</v>
      </c>
      <c r="X60" s="280">
        <v>0</v>
      </c>
      <c r="Y60" s="281" t="s">
        <v>926</v>
      </c>
      <c r="Z60" s="59" t="str">
        <f t="shared" ref="Z60:Z61" si="69">VLOOKUP(Y60,LISTAITEMS,2,FALSE)</f>
        <v>ninguno</v>
      </c>
      <c r="AA60" s="278">
        <f t="shared" si="61"/>
        <v>0</v>
      </c>
      <c r="AB60" s="280">
        <v>0</v>
      </c>
      <c r="AC60" s="281" t="s">
        <v>926</v>
      </c>
      <c r="AD60" s="59" t="str">
        <f t="shared" ref="AD60:AD61" si="70">VLOOKUP(AC60,LISTAITEMS,2,FALSE)</f>
        <v>ninguno</v>
      </c>
      <c r="AE60" s="278">
        <f t="shared" si="63"/>
        <v>0</v>
      </c>
    </row>
    <row r="61" spans="1:31" s="293" customFormat="1" x14ac:dyDescent="0.3">
      <c r="A61" s="282" t="s">
        <v>1235</v>
      </c>
      <c r="B61" s="282"/>
      <c r="C61" s="277">
        <f t="shared" si="49"/>
        <v>1536</v>
      </c>
      <c r="D61" s="280">
        <v>64</v>
      </c>
      <c r="E61" s="281" t="s">
        <v>248</v>
      </c>
      <c r="F61" s="59" t="str">
        <f t="shared" si="64"/>
        <v>Jungle Log</v>
      </c>
      <c r="G61" s="278">
        <f t="shared" si="51"/>
        <v>24</v>
      </c>
      <c r="H61" s="280">
        <v>0</v>
      </c>
      <c r="I61" s="281" t="s">
        <v>926</v>
      </c>
      <c r="J61" s="59" t="str">
        <f t="shared" si="65"/>
        <v>ninguno</v>
      </c>
      <c r="K61" s="278">
        <f t="shared" si="53"/>
        <v>0</v>
      </c>
      <c r="L61" s="280">
        <v>0</v>
      </c>
      <c r="M61" s="281" t="s">
        <v>926</v>
      </c>
      <c r="N61" s="59" t="str">
        <f t="shared" si="66"/>
        <v>ninguno</v>
      </c>
      <c r="O61" s="278">
        <f t="shared" si="55"/>
        <v>0</v>
      </c>
      <c r="P61" s="280">
        <v>0</v>
      </c>
      <c r="Q61" s="281" t="s">
        <v>926</v>
      </c>
      <c r="R61" s="59" t="str">
        <f t="shared" si="67"/>
        <v>ninguno</v>
      </c>
      <c r="S61" s="278">
        <f t="shared" si="57"/>
        <v>0</v>
      </c>
      <c r="T61" s="280">
        <v>0</v>
      </c>
      <c r="U61" s="281" t="s">
        <v>926</v>
      </c>
      <c r="V61" s="59" t="str">
        <f t="shared" si="68"/>
        <v>ninguno</v>
      </c>
      <c r="W61" s="278">
        <f t="shared" si="59"/>
        <v>0</v>
      </c>
      <c r="X61" s="280">
        <v>0</v>
      </c>
      <c r="Y61" s="281" t="s">
        <v>926</v>
      </c>
      <c r="Z61" s="59" t="str">
        <f t="shared" si="69"/>
        <v>ninguno</v>
      </c>
      <c r="AA61" s="278">
        <f t="shared" si="61"/>
        <v>0</v>
      </c>
      <c r="AB61" s="280">
        <v>0</v>
      </c>
      <c r="AC61" s="281" t="s">
        <v>926</v>
      </c>
      <c r="AD61" s="59" t="str">
        <f t="shared" si="70"/>
        <v>ninguno</v>
      </c>
      <c r="AE61" s="278">
        <f t="shared" si="63"/>
        <v>0</v>
      </c>
    </row>
    <row r="62" spans="1:31" s="293" customFormat="1" x14ac:dyDescent="0.3">
      <c r="A62" s="282" t="s">
        <v>1169</v>
      </c>
      <c r="B62" s="282"/>
      <c r="C62" s="277">
        <f t="shared" si="49"/>
        <v>1984</v>
      </c>
      <c r="D62" s="280">
        <v>64</v>
      </c>
      <c r="E62" s="281">
        <v>162</v>
      </c>
      <c r="F62" s="59" t="str">
        <f t="shared" ref="F62:F63" si="71">VLOOKUP(E62,LISTAITEMS,2,FALSE)</f>
        <v>Acacia Log</v>
      </c>
      <c r="G62" s="278">
        <f t="shared" si="51"/>
        <v>31</v>
      </c>
      <c r="H62" s="280">
        <v>0</v>
      </c>
      <c r="I62" s="281" t="s">
        <v>926</v>
      </c>
      <c r="J62" s="59" t="str">
        <f t="shared" ref="J62:J63" si="72">VLOOKUP(I62,LISTAITEMS,2,FALSE)</f>
        <v>ninguno</v>
      </c>
      <c r="K62" s="278">
        <f t="shared" si="53"/>
        <v>0</v>
      </c>
      <c r="L62" s="280">
        <v>0</v>
      </c>
      <c r="M62" s="281" t="s">
        <v>926</v>
      </c>
      <c r="N62" s="59" t="str">
        <f t="shared" ref="N62:N63" si="73">VLOOKUP(M62,LISTAITEMS,2,FALSE)</f>
        <v>ninguno</v>
      </c>
      <c r="O62" s="278">
        <f t="shared" si="55"/>
        <v>0</v>
      </c>
      <c r="P62" s="280">
        <v>0</v>
      </c>
      <c r="Q62" s="281" t="s">
        <v>926</v>
      </c>
      <c r="R62" s="59" t="str">
        <f t="shared" ref="R62:R63" si="74">VLOOKUP(Q62,LISTAITEMS,2,FALSE)</f>
        <v>ninguno</v>
      </c>
      <c r="S62" s="278">
        <f t="shared" si="57"/>
        <v>0</v>
      </c>
      <c r="T62" s="280">
        <v>0</v>
      </c>
      <c r="U62" s="281" t="s">
        <v>926</v>
      </c>
      <c r="V62" s="59" t="str">
        <f t="shared" ref="V62:V63" si="75">VLOOKUP(U62,LISTAITEMS,2,FALSE)</f>
        <v>ninguno</v>
      </c>
      <c r="W62" s="278">
        <f t="shared" si="59"/>
        <v>0</v>
      </c>
      <c r="X62" s="280">
        <v>0</v>
      </c>
      <c r="Y62" s="281" t="s">
        <v>926</v>
      </c>
      <c r="Z62" s="59" t="str">
        <f t="shared" ref="Z62:Z63" si="76">VLOOKUP(Y62,LISTAITEMS,2,FALSE)</f>
        <v>ninguno</v>
      </c>
      <c r="AA62" s="278">
        <f t="shared" si="61"/>
        <v>0</v>
      </c>
      <c r="AB62" s="280">
        <v>0</v>
      </c>
      <c r="AC62" s="281" t="s">
        <v>926</v>
      </c>
      <c r="AD62" s="59" t="str">
        <f t="shared" ref="AD62:AD63" si="77">VLOOKUP(AC62,LISTAITEMS,2,FALSE)</f>
        <v>ninguno</v>
      </c>
      <c r="AE62" s="278">
        <f t="shared" si="63"/>
        <v>0</v>
      </c>
    </row>
    <row r="63" spans="1:31" s="293" customFormat="1" x14ac:dyDescent="0.3">
      <c r="A63" s="282" t="s">
        <v>1236</v>
      </c>
      <c r="B63" s="282"/>
      <c r="C63" s="277">
        <f t="shared" si="49"/>
        <v>2368</v>
      </c>
      <c r="D63" s="280">
        <v>64</v>
      </c>
      <c r="E63" s="281" t="s">
        <v>495</v>
      </c>
      <c r="F63" s="59" t="str">
        <f t="shared" si="71"/>
        <v>Dark Oak Log</v>
      </c>
      <c r="G63" s="278">
        <f t="shared" si="51"/>
        <v>37</v>
      </c>
      <c r="H63" s="280">
        <v>0</v>
      </c>
      <c r="I63" s="281" t="s">
        <v>926</v>
      </c>
      <c r="J63" s="59" t="str">
        <f t="shared" si="72"/>
        <v>ninguno</v>
      </c>
      <c r="K63" s="278">
        <f t="shared" si="53"/>
        <v>0</v>
      </c>
      <c r="L63" s="280">
        <v>0</v>
      </c>
      <c r="M63" s="281" t="s">
        <v>926</v>
      </c>
      <c r="N63" s="59" t="str">
        <f t="shared" si="73"/>
        <v>ninguno</v>
      </c>
      <c r="O63" s="278">
        <f t="shared" si="55"/>
        <v>0</v>
      </c>
      <c r="P63" s="280">
        <v>0</v>
      </c>
      <c r="Q63" s="281" t="s">
        <v>926</v>
      </c>
      <c r="R63" s="59" t="str">
        <f t="shared" si="74"/>
        <v>ninguno</v>
      </c>
      <c r="S63" s="278">
        <f t="shared" si="57"/>
        <v>0</v>
      </c>
      <c r="T63" s="280">
        <v>0</v>
      </c>
      <c r="U63" s="281" t="s">
        <v>926</v>
      </c>
      <c r="V63" s="59" t="str">
        <f t="shared" si="75"/>
        <v>ninguno</v>
      </c>
      <c r="W63" s="278">
        <f t="shared" si="59"/>
        <v>0</v>
      </c>
      <c r="X63" s="280">
        <v>0</v>
      </c>
      <c r="Y63" s="281" t="s">
        <v>926</v>
      </c>
      <c r="Z63" s="59" t="str">
        <f t="shared" si="76"/>
        <v>ninguno</v>
      </c>
      <c r="AA63" s="278">
        <f t="shared" si="61"/>
        <v>0</v>
      </c>
      <c r="AB63" s="280">
        <v>0</v>
      </c>
      <c r="AC63" s="281" t="s">
        <v>926</v>
      </c>
      <c r="AD63" s="59" t="str">
        <f t="shared" si="77"/>
        <v>ninguno</v>
      </c>
      <c r="AE63" s="278">
        <f t="shared" si="63"/>
        <v>0</v>
      </c>
    </row>
    <row r="67" spans="1:31" s="293" customFormat="1" x14ac:dyDescent="0.3">
      <c r="A67" s="296"/>
      <c r="B67" s="296" t="s">
        <v>1237</v>
      </c>
      <c r="C67" s="296"/>
      <c r="D67" s="296"/>
      <c r="E67" s="296"/>
      <c r="F67" s="296"/>
      <c r="G67" s="296"/>
      <c r="H67" s="296"/>
      <c r="I67" s="296"/>
      <c r="J67" s="296"/>
      <c r="K67" s="296"/>
      <c r="L67" s="296"/>
      <c r="M67" s="296"/>
      <c r="N67" s="296"/>
      <c r="O67" s="296"/>
      <c r="P67" s="296"/>
      <c r="Q67" s="296"/>
      <c r="R67" s="296"/>
      <c r="S67" s="296"/>
      <c r="T67" s="296"/>
      <c r="U67" s="296"/>
      <c r="V67" s="296"/>
      <c r="W67" s="296"/>
      <c r="X67" s="176"/>
      <c r="Y67" s="176"/>
      <c r="Z67" s="176"/>
      <c r="AA67" s="176"/>
      <c r="AB67" s="176"/>
      <c r="AC67" s="176"/>
      <c r="AD67" s="176"/>
      <c r="AE67" s="176"/>
    </row>
    <row r="68" spans="1:31" s="293" customFormat="1" x14ac:dyDescent="0.3">
      <c r="A68" s="276"/>
      <c r="B68" s="276" t="s">
        <v>203</v>
      </c>
      <c r="C68" s="279" t="s">
        <v>202</v>
      </c>
      <c r="D68" s="283" t="s">
        <v>149</v>
      </c>
      <c r="E68" s="283" t="s">
        <v>1144</v>
      </c>
      <c r="F68" s="279" t="s">
        <v>203</v>
      </c>
      <c r="G68" s="283" t="s">
        <v>1149</v>
      </c>
      <c r="H68" s="283" t="s">
        <v>149</v>
      </c>
      <c r="I68" s="283" t="s">
        <v>1145</v>
      </c>
      <c r="J68" s="279" t="s">
        <v>203</v>
      </c>
      <c r="K68" s="283" t="s">
        <v>1149</v>
      </c>
      <c r="L68" s="283" t="s">
        <v>149</v>
      </c>
      <c r="M68" s="283" t="s">
        <v>1146</v>
      </c>
      <c r="N68" s="279" t="s">
        <v>203</v>
      </c>
      <c r="O68" s="283" t="s">
        <v>1149</v>
      </c>
      <c r="P68" s="283" t="s">
        <v>149</v>
      </c>
      <c r="Q68" s="283" t="s">
        <v>1147</v>
      </c>
      <c r="R68" s="279" t="s">
        <v>203</v>
      </c>
      <c r="S68" s="283" t="s">
        <v>1149</v>
      </c>
      <c r="T68" s="283" t="s">
        <v>149</v>
      </c>
      <c r="U68" s="283" t="s">
        <v>1148</v>
      </c>
      <c r="V68" s="279" t="s">
        <v>203</v>
      </c>
      <c r="W68" s="283" t="s">
        <v>1149</v>
      </c>
      <c r="X68" s="283" t="s">
        <v>149</v>
      </c>
      <c r="Y68" s="283" t="s">
        <v>1233</v>
      </c>
      <c r="Z68" s="279" t="s">
        <v>203</v>
      </c>
      <c r="AA68" s="283" t="s">
        <v>1149</v>
      </c>
      <c r="AB68" s="283" t="s">
        <v>149</v>
      </c>
      <c r="AC68" s="283" t="s">
        <v>1234</v>
      </c>
      <c r="AD68" s="279" t="s">
        <v>203</v>
      </c>
      <c r="AE68" s="283" t="s">
        <v>1149</v>
      </c>
    </row>
    <row r="69" spans="1:31" s="294" customFormat="1" x14ac:dyDescent="0.3">
      <c r="A69" s="282" t="s">
        <v>1239</v>
      </c>
      <c r="B69" s="282"/>
      <c r="C69" s="277">
        <f t="shared" ref="C69" si="78">((D69*G69)+(K69*H69)+(O69*L69)+(S69*P69)+(W69*T69)+(X69*AA69)+(AB69*AE69))</f>
        <v>172.79999999999998</v>
      </c>
      <c r="D69" s="280">
        <v>64</v>
      </c>
      <c r="E69" s="281" t="s">
        <v>312</v>
      </c>
      <c r="F69" s="59" t="str">
        <f t="shared" ref="F69" si="79">VLOOKUP(E69,LISTAITEMS,2,FALSE)</f>
        <v>Cobblestone Slab</v>
      </c>
      <c r="G69" s="278">
        <f t="shared" ref="G69" si="80">VLOOKUP(E69,LISTAITEMS,5,FALSE)</f>
        <v>1.7999999999999998</v>
      </c>
      <c r="H69" s="280">
        <v>2</v>
      </c>
      <c r="I69" s="281">
        <v>61</v>
      </c>
      <c r="J69" s="59" t="str">
        <f t="shared" ref="J69" si="81">VLOOKUP(I69,LISTAITEMS,2,FALSE)</f>
        <v>Furnace</v>
      </c>
      <c r="K69" s="278">
        <f t="shared" ref="K69" si="82">VLOOKUP(I69,LISTAITEMS,5,FALSE)</f>
        <v>28.799999999999997</v>
      </c>
      <c r="L69" s="280">
        <v>0</v>
      </c>
      <c r="M69" s="281" t="s">
        <v>926</v>
      </c>
      <c r="N69" s="59" t="str">
        <f t="shared" ref="N69" si="83">VLOOKUP(M69,LISTAITEMS,2,FALSE)</f>
        <v>ninguno</v>
      </c>
      <c r="O69" s="278">
        <f t="shared" ref="O69" si="84">VLOOKUP(M69,LISTAITEMS,5,FALSE)</f>
        <v>0</v>
      </c>
      <c r="P69" s="280">
        <v>0</v>
      </c>
      <c r="Q69" s="281" t="s">
        <v>926</v>
      </c>
      <c r="R69" s="59" t="str">
        <f t="shared" ref="R69" si="85">VLOOKUP(Q69,LISTAITEMS,2,FALSE)</f>
        <v>ninguno</v>
      </c>
      <c r="S69" s="278">
        <f t="shared" ref="S69" si="86">VLOOKUP(Q69,LISTAITEMS,5,FALSE)</f>
        <v>0</v>
      </c>
      <c r="T69" s="280">
        <v>0</v>
      </c>
      <c r="U69" s="281" t="s">
        <v>926</v>
      </c>
      <c r="V69" s="59" t="str">
        <f t="shared" ref="V69" si="87">VLOOKUP(U69,LISTAITEMS,2,FALSE)</f>
        <v>ninguno</v>
      </c>
      <c r="W69" s="278">
        <f t="shared" ref="W69" si="88">VLOOKUP(U69,LISTAITEMS,5,FALSE)</f>
        <v>0</v>
      </c>
      <c r="X69" s="280">
        <v>0</v>
      </c>
      <c r="Y69" s="281" t="s">
        <v>926</v>
      </c>
      <c r="Z69" s="59" t="str">
        <f t="shared" ref="Z69" si="89">VLOOKUP(Y69,LISTAITEMS,2,FALSE)</f>
        <v>ninguno</v>
      </c>
      <c r="AA69" s="278">
        <f t="shared" ref="AA69" si="90">VLOOKUP(Y69,LISTAITEMS,5,FALSE)</f>
        <v>0</v>
      </c>
      <c r="AB69" s="280">
        <v>0</v>
      </c>
      <c r="AC69" s="281" t="s">
        <v>926</v>
      </c>
      <c r="AD69" s="59" t="str">
        <f t="shared" ref="AD69" si="91">VLOOKUP(AC69,LISTAITEMS,2,FALSE)</f>
        <v>ninguno</v>
      </c>
      <c r="AE69" s="278">
        <f t="shared" ref="AE69" si="92">VLOOKUP(AC69,LISTAITEMS,5,FALSE)</f>
        <v>0</v>
      </c>
    </row>
    <row r="75" spans="1:31" s="293" customFormat="1" x14ac:dyDescent="0.3">
      <c r="A75" s="296"/>
      <c r="B75" s="296" t="s">
        <v>1183</v>
      </c>
      <c r="C75" s="296"/>
      <c r="D75" s="296"/>
      <c r="E75" s="296"/>
      <c r="F75" s="296"/>
      <c r="G75" s="296"/>
      <c r="H75" s="296"/>
      <c r="I75" s="296"/>
      <c r="J75" s="296"/>
      <c r="K75" s="296"/>
      <c r="L75" s="296"/>
      <c r="M75" s="296"/>
      <c r="N75" s="296"/>
      <c r="O75" s="296"/>
      <c r="P75" s="296"/>
      <c r="Q75" s="296"/>
      <c r="R75" s="296"/>
      <c r="S75" s="296"/>
      <c r="T75" s="296"/>
      <c r="U75" s="296"/>
      <c r="V75" s="296"/>
      <c r="W75" s="296"/>
      <c r="X75" s="176"/>
      <c r="Y75" s="176"/>
      <c r="Z75" s="176"/>
      <c r="AA75" s="176"/>
      <c r="AB75" s="176"/>
      <c r="AC75" s="176"/>
      <c r="AD75" s="176"/>
      <c r="AE75" s="176"/>
    </row>
    <row r="76" spans="1:31" s="293" customFormat="1" x14ac:dyDescent="0.3">
      <c r="A76" s="276"/>
      <c r="B76" s="276" t="s">
        <v>203</v>
      </c>
      <c r="C76" s="279" t="s">
        <v>202</v>
      </c>
      <c r="D76" s="283" t="s">
        <v>149</v>
      </c>
      <c r="E76" s="283" t="s">
        <v>1144</v>
      </c>
      <c r="F76" s="279" t="s">
        <v>203</v>
      </c>
      <c r="G76" s="283" t="s">
        <v>1149</v>
      </c>
      <c r="H76" s="283" t="s">
        <v>149</v>
      </c>
      <c r="I76" s="283" t="s">
        <v>1145</v>
      </c>
      <c r="J76" s="279" t="s">
        <v>203</v>
      </c>
      <c r="K76" s="283" t="s">
        <v>1149</v>
      </c>
      <c r="L76" s="283" t="s">
        <v>149</v>
      </c>
      <c r="M76" s="283" t="s">
        <v>1146</v>
      </c>
      <c r="N76" s="279" t="s">
        <v>203</v>
      </c>
      <c r="O76" s="283" t="s">
        <v>1149</v>
      </c>
      <c r="P76" s="283" t="s">
        <v>149</v>
      </c>
      <c r="Q76" s="283" t="s">
        <v>1147</v>
      </c>
      <c r="R76" s="279" t="s">
        <v>203</v>
      </c>
      <c r="S76" s="283" t="s">
        <v>1149</v>
      </c>
      <c r="T76" s="283" t="s">
        <v>149</v>
      </c>
      <c r="U76" s="283" t="s">
        <v>1148</v>
      </c>
      <c r="V76" s="279" t="s">
        <v>203</v>
      </c>
      <c r="W76" s="283" t="s">
        <v>1149</v>
      </c>
      <c r="X76" s="283" t="s">
        <v>149</v>
      </c>
      <c r="Y76" s="283" t="s">
        <v>1233</v>
      </c>
      <c r="Z76" s="279" t="s">
        <v>203</v>
      </c>
      <c r="AA76" s="283" t="s">
        <v>1149</v>
      </c>
      <c r="AB76" s="283" t="s">
        <v>149</v>
      </c>
      <c r="AC76" s="283" t="s">
        <v>1234</v>
      </c>
      <c r="AD76" s="279" t="s">
        <v>203</v>
      </c>
      <c r="AE76" s="283" t="s">
        <v>1149</v>
      </c>
    </row>
    <row r="77" spans="1:31" s="294" customFormat="1" x14ac:dyDescent="0.3">
      <c r="A77" s="282" t="s">
        <v>1243</v>
      </c>
      <c r="B77" s="282"/>
      <c r="C77" s="277">
        <f>((D77*G77)+(K77*H77)+(O77*L77)+(S77*P77)+(W77*T77)+(X77*AA77)+(AB77*AE77))</f>
        <v>740.59999999999991</v>
      </c>
      <c r="D77" s="280">
        <v>64</v>
      </c>
      <c r="E77" s="281" t="s">
        <v>312</v>
      </c>
      <c r="F77" s="59" t="str">
        <f t="shared" ref="F77" si="93">VLOOKUP(E77,LISTAITEMS,2,FALSE)</f>
        <v>Cobblestone Slab</v>
      </c>
      <c r="G77" s="278">
        <f>VLOOKUP(E77,LISTAITEMS,5,FALSE)</f>
        <v>1.7999999999999998</v>
      </c>
      <c r="H77" s="280">
        <v>1</v>
      </c>
      <c r="I77" s="281" t="s">
        <v>1244</v>
      </c>
      <c r="J77" s="59" t="str">
        <f>I77</f>
        <v>Artl Flamente</v>
      </c>
      <c r="K77" s="278">
        <f t="shared" ref="K77" si="94">VLOOKUP(I77,craftedesp,3,FALSE)</f>
        <v>625.4</v>
      </c>
      <c r="L77" s="280">
        <v>0</v>
      </c>
      <c r="M77" s="281" t="s">
        <v>926</v>
      </c>
      <c r="N77" s="59" t="str">
        <f t="shared" ref="N77" si="95">VLOOKUP(M77,LISTAITEMS,2,FALSE)</f>
        <v>ninguno</v>
      </c>
      <c r="O77" s="278">
        <f>VLOOKUP(M77,LISTAITEMS,5,FALSE)</f>
        <v>0</v>
      </c>
      <c r="P77" s="280">
        <v>0</v>
      </c>
      <c r="Q77" s="281" t="s">
        <v>926</v>
      </c>
      <c r="R77" s="59" t="str">
        <f t="shared" ref="R77" si="96">VLOOKUP(Q77,LISTAITEMS,2,FALSE)</f>
        <v>ninguno</v>
      </c>
      <c r="S77" s="278">
        <f>VLOOKUP(Q77,LISTAITEMS,5,FALSE)</f>
        <v>0</v>
      </c>
      <c r="T77" s="280">
        <v>0</v>
      </c>
      <c r="U77" s="281" t="s">
        <v>926</v>
      </c>
      <c r="V77" s="59" t="str">
        <f t="shared" ref="V77" si="97">VLOOKUP(U77,LISTAITEMS,2,FALSE)</f>
        <v>ninguno</v>
      </c>
      <c r="W77" s="278">
        <f>VLOOKUP(U77,LISTAITEMS,5,FALSE)</f>
        <v>0</v>
      </c>
      <c r="X77" s="280">
        <v>0</v>
      </c>
      <c r="Y77" s="281" t="s">
        <v>926</v>
      </c>
      <c r="Z77" s="59" t="str">
        <f t="shared" ref="Z77" si="98">VLOOKUP(Y77,LISTAITEMS,2,FALSE)</f>
        <v>ninguno</v>
      </c>
      <c r="AA77" s="278">
        <f>VLOOKUP(Y77,LISTAITEMS,5,FALSE)</f>
        <v>0</v>
      </c>
      <c r="AB77" s="280">
        <v>0</v>
      </c>
      <c r="AC77" s="281" t="s">
        <v>926</v>
      </c>
      <c r="AD77" s="59" t="str">
        <f t="shared" ref="AD77" si="99">VLOOKUP(AC77,LISTAITEMS,2,FALSE)</f>
        <v>ninguno</v>
      </c>
      <c r="AE77" s="278">
        <f>VLOOKUP(AC77,LISTAITEMS,5,FALSE)</f>
        <v>0</v>
      </c>
    </row>
    <row r="81" spans="1:31" s="293" customFormat="1" x14ac:dyDescent="0.3">
      <c r="A81" s="296"/>
      <c r="B81" s="296" t="s">
        <v>1171</v>
      </c>
      <c r="C81" s="296"/>
      <c r="D81" s="296"/>
      <c r="E81" s="296"/>
      <c r="F81" s="296"/>
      <c r="G81" s="296"/>
      <c r="H81" s="296"/>
      <c r="I81" s="296"/>
      <c r="J81" s="296"/>
      <c r="K81" s="296"/>
      <c r="L81" s="296"/>
      <c r="M81" s="296"/>
      <c r="N81" s="296"/>
      <c r="O81" s="296"/>
      <c r="P81" s="296"/>
      <c r="Q81" s="296"/>
      <c r="R81" s="296"/>
      <c r="S81" s="296"/>
      <c r="T81" s="296"/>
      <c r="U81" s="296"/>
      <c r="V81" s="296"/>
      <c r="W81" s="296"/>
      <c r="X81" s="176"/>
      <c r="Y81" s="176"/>
      <c r="Z81" s="176"/>
      <c r="AA81" s="176"/>
      <c r="AB81" s="176"/>
      <c r="AC81" s="176"/>
      <c r="AD81" s="176"/>
      <c r="AE81" s="176"/>
    </row>
    <row r="82" spans="1:31" s="293" customFormat="1" x14ac:dyDescent="0.3">
      <c r="A82" s="276"/>
      <c r="B82" s="276" t="s">
        <v>203</v>
      </c>
      <c r="C82" s="279" t="s">
        <v>202</v>
      </c>
      <c r="D82" s="283" t="s">
        <v>149</v>
      </c>
      <c r="E82" s="283" t="s">
        <v>1144</v>
      </c>
      <c r="F82" s="279" t="s">
        <v>203</v>
      </c>
      <c r="G82" s="283" t="s">
        <v>1149</v>
      </c>
      <c r="H82" s="283" t="s">
        <v>149</v>
      </c>
      <c r="I82" s="283" t="s">
        <v>1145</v>
      </c>
      <c r="J82" s="279" t="s">
        <v>203</v>
      </c>
      <c r="K82" s="283" t="s">
        <v>1149</v>
      </c>
      <c r="L82" s="283" t="s">
        <v>149</v>
      </c>
      <c r="M82" s="283" t="s">
        <v>1146</v>
      </c>
      <c r="N82" s="279" t="s">
        <v>203</v>
      </c>
      <c r="O82" s="283" t="s">
        <v>1149</v>
      </c>
      <c r="P82" s="283" t="s">
        <v>149</v>
      </c>
      <c r="Q82" s="283" t="s">
        <v>1147</v>
      </c>
      <c r="R82" s="279" t="s">
        <v>203</v>
      </c>
      <c r="S82" s="283" t="s">
        <v>1149</v>
      </c>
      <c r="T82" s="283" t="s">
        <v>149</v>
      </c>
      <c r="U82" s="283" t="s">
        <v>1148</v>
      </c>
      <c r="V82" s="279" t="s">
        <v>203</v>
      </c>
      <c r="W82" s="283" t="s">
        <v>1149</v>
      </c>
      <c r="X82" s="283" t="s">
        <v>149</v>
      </c>
      <c r="Y82" s="283" t="s">
        <v>1233</v>
      </c>
      <c r="Z82" s="279" t="s">
        <v>203</v>
      </c>
      <c r="AA82" s="283" t="s">
        <v>1149</v>
      </c>
      <c r="AB82" s="283" t="s">
        <v>149</v>
      </c>
      <c r="AC82" s="283" t="s">
        <v>1234</v>
      </c>
      <c r="AD82" s="279" t="s">
        <v>203</v>
      </c>
      <c r="AE82" s="283" t="s">
        <v>1149</v>
      </c>
    </row>
    <row r="83" spans="1:31" s="293" customFormat="1" x14ac:dyDescent="0.3">
      <c r="A83" s="282" t="s">
        <v>1250</v>
      </c>
      <c r="B83" s="282"/>
      <c r="C83" s="277">
        <f>((D83*G83)+(K83*H83)+(O83*L83)+(S83*P83)+(W83*T83)+(X83*AA83)+(AB83*AE83))</f>
        <v>480.04</v>
      </c>
      <c r="D83" s="280">
        <v>2</v>
      </c>
      <c r="E83" s="281" t="s">
        <v>1238</v>
      </c>
      <c r="F83" s="59" t="str">
        <f>E83</f>
        <v>cadaber de pollo</v>
      </c>
      <c r="G83" s="278">
        <f t="shared" ref="G83" si="100">VLOOKUP(E83,craftedesp,3,FALSE)</f>
        <v>86</v>
      </c>
      <c r="H83" s="280">
        <v>1</v>
      </c>
      <c r="I83" s="281" t="s">
        <v>1249</v>
      </c>
      <c r="J83" s="59" t="str">
        <f>I83</f>
        <v>Navaja de Hueso</v>
      </c>
      <c r="K83" s="278">
        <f t="shared" ref="K83" si="101">VLOOKUP(I83,craftedesp,3,FALSE)</f>
        <v>308.04000000000002</v>
      </c>
      <c r="L83" s="280">
        <v>0</v>
      </c>
      <c r="M83" s="281" t="s">
        <v>926</v>
      </c>
      <c r="N83" s="59" t="str">
        <f t="shared" ref="N83" si="102">VLOOKUP(M83,LISTAITEMS,2,FALSE)</f>
        <v>ninguno</v>
      </c>
      <c r="O83" s="278">
        <f>VLOOKUP(M83,LISTAITEMS,5,FALSE)</f>
        <v>0</v>
      </c>
      <c r="P83" s="280">
        <v>0</v>
      </c>
      <c r="Q83" s="281" t="s">
        <v>926</v>
      </c>
      <c r="R83" s="59" t="str">
        <f t="shared" ref="R83" si="103">VLOOKUP(Q83,LISTAITEMS,2,FALSE)</f>
        <v>ninguno</v>
      </c>
      <c r="S83" s="278">
        <f>VLOOKUP(Q83,LISTAITEMS,5,FALSE)</f>
        <v>0</v>
      </c>
      <c r="T83" s="280">
        <v>0</v>
      </c>
      <c r="U83" s="281" t="s">
        <v>926</v>
      </c>
      <c r="V83" s="59" t="str">
        <f t="shared" ref="V83" si="104">VLOOKUP(U83,LISTAITEMS,2,FALSE)</f>
        <v>ninguno</v>
      </c>
      <c r="W83" s="278">
        <f>VLOOKUP(U83,LISTAITEMS,5,FALSE)</f>
        <v>0</v>
      </c>
      <c r="X83" s="280">
        <v>0</v>
      </c>
      <c r="Y83" s="281" t="s">
        <v>926</v>
      </c>
      <c r="Z83" s="59" t="str">
        <f t="shared" ref="Z83" si="105">VLOOKUP(Y83,LISTAITEMS,2,FALSE)</f>
        <v>ninguno</v>
      </c>
      <c r="AA83" s="278">
        <f>VLOOKUP(Y83,LISTAITEMS,5,FALSE)</f>
        <v>0</v>
      </c>
      <c r="AB83" s="280">
        <v>0</v>
      </c>
      <c r="AC83" s="281" t="s">
        <v>926</v>
      </c>
      <c r="AD83" s="59" t="str">
        <f t="shared" ref="AD83" si="106">VLOOKUP(AC83,LISTAITEMS,2,FALSE)</f>
        <v>ninguno</v>
      </c>
      <c r="AE83" s="278">
        <f>VLOOKUP(AC83,LISTAITEMS,5,FALSE)</f>
        <v>0</v>
      </c>
    </row>
    <row r="84" spans="1:31" x14ac:dyDescent="0.3">
      <c r="C84">
        <v>476</v>
      </c>
    </row>
    <row r="85" spans="1:31" s="297" customFormat="1" x14ac:dyDescent="0.3">
      <c r="A85" s="296"/>
      <c r="B85" s="296" t="s">
        <v>1248</v>
      </c>
      <c r="C85" s="296"/>
      <c r="D85" s="296"/>
      <c r="E85" s="296"/>
      <c r="F85" s="296"/>
      <c r="G85" s="296"/>
      <c r="H85" s="296"/>
      <c r="I85" s="296"/>
      <c r="J85" s="296"/>
      <c r="K85" s="296"/>
      <c r="L85" s="296"/>
      <c r="M85" s="296"/>
      <c r="N85" s="296"/>
      <c r="O85" s="296"/>
      <c r="P85" s="296"/>
      <c r="Q85" s="296"/>
      <c r="R85" s="296"/>
      <c r="S85" s="296"/>
      <c r="T85" s="296"/>
      <c r="U85" s="296"/>
      <c r="V85" s="296"/>
      <c r="W85" s="296"/>
      <c r="X85" s="176"/>
      <c r="Y85" s="176"/>
      <c r="Z85" s="176"/>
      <c r="AA85" s="176"/>
      <c r="AB85" s="176"/>
      <c r="AC85" s="176"/>
      <c r="AD85" s="176"/>
      <c r="AE85" s="176"/>
    </row>
    <row r="86" spans="1:31" s="297" customFormat="1" x14ac:dyDescent="0.3">
      <c r="A86" s="276"/>
      <c r="B86" s="276" t="s">
        <v>203</v>
      </c>
      <c r="C86" s="279" t="s">
        <v>202</v>
      </c>
      <c r="D86" s="283" t="s">
        <v>149</v>
      </c>
      <c r="E86" s="283" t="s">
        <v>1144</v>
      </c>
      <c r="F86" s="279" t="s">
        <v>203</v>
      </c>
      <c r="G86" s="283" t="s">
        <v>1149</v>
      </c>
      <c r="H86" s="283" t="s">
        <v>149</v>
      </c>
      <c r="I86" s="283" t="s">
        <v>1145</v>
      </c>
      <c r="J86" s="279" t="s">
        <v>203</v>
      </c>
      <c r="K86" s="283" t="s">
        <v>1149</v>
      </c>
      <c r="L86" s="283" t="s">
        <v>149</v>
      </c>
      <c r="M86" s="283" t="s">
        <v>1146</v>
      </c>
      <c r="N86" s="279" t="s">
        <v>203</v>
      </c>
      <c r="O86" s="283" t="s">
        <v>1149</v>
      </c>
      <c r="P86" s="283" t="s">
        <v>149</v>
      </c>
      <c r="Q86" s="283" t="s">
        <v>1147</v>
      </c>
      <c r="R86" s="279" t="s">
        <v>203</v>
      </c>
      <c r="S86" s="283" t="s">
        <v>1149</v>
      </c>
      <c r="T86" s="283" t="s">
        <v>149</v>
      </c>
      <c r="U86" s="283" t="s">
        <v>1148</v>
      </c>
      <c r="V86" s="279" t="s">
        <v>203</v>
      </c>
      <c r="W86" s="283" t="s">
        <v>1149</v>
      </c>
      <c r="X86" s="283" t="s">
        <v>149</v>
      </c>
      <c r="Y86" s="283" t="s">
        <v>1233</v>
      </c>
      <c r="Z86" s="279" t="s">
        <v>203</v>
      </c>
      <c r="AA86" s="283" t="s">
        <v>1149</v>
      </c>
      <c r="AB86" s="283" t="s">
        <v>149</v>
      </c>
      <c r="AC86" s="283" t="s">
        <v>1234</v>
      </c>
      <c r="AD86" s="279" t="s">
        <v>203</v>
      </c>
      <c r="AE86" s="283" t="s">
        <v>1149</v>
      </c>
    </row>
    <row r="87" spans="1:31" s="297" customFormat="1" x14ac:dyDescent="0.3">
      <c r="A87" s="282" t="s">
        <v>1249</v>
      </c>
      <c r="B87" s="282"/>
      <c r="C87" s="277">
        <f>((D87*G87)+(K87*H87)+(O87*L87)+(S87*P87)+(W87*T87)+(X87*AA87)+(AB87*AE87))</f>
        <v>308.04000000000002</v>
      </c>
      <c r="D87" s="280">
        <v>38</v>
      </c>
      <c r="E87" s="281">
        <v>352</v>
      </c>
      <c r="F87" s="59" t="str">
        <f t="shared" ref="F87" si="107">VLOOKUP(E87,LISTAITEMS,2,FALSE)</f>
        <v xml:space="preserve">Bone  </v>
      </c>
      <c r="G87" s="278">
        <f>VLOOKUP(E87,LISTAITEMS,5,FALSE)</f>
        <v>7.5</v>
      </c>
      <c r="H87" s="280">
        <v>64</v>
      </c>
      <c r="I87" s="281">
        <v>280</v>
      </c>
      <c r="J87" s="59" t="str">
        <f t="shared" ref="J87" si="108">VLOOKUP(I87,LISTAITEMS,2,FALSE)</f>
        <v>Stick</v>
      </c>
      <c r="K87" s="278">
        <f>VLOOKUP(I87,LISTAITEMS,5,FALSE)</f>
        <v>0.36</v>
      </c>
      <c r="L87" s="280">
        <v>0</v>
      </c>
      <c r="M87" s="281" t="s">
        <v>926</v>
      </c>
      <c r="N87" s="59" t="str">
        <f t="shared" ref="N87" si="109">VLOOKUP(M87,LISTAITEMS,2,FALSE)</f>
        <v>ninguno</v>
      </c>
      <c r="O87" s="278">
        <f>VLOOKUP(M87,LISTAITEMS,5,FALSE)</f>
        <v>0</v>
      </c>
      <c r="P87" s="280">
        <v>0</v>
      </c>
      <c r="Q87" s="281" t="s">
        <v>926</v>
      </c>
      <c r="R87" s="59" t="str">
        <f t="shared" ref="R87" si="110">VLOOKUP(Q87,LISTAITEMS,2,FALSE)</f>
        <v>ninguno</v>
      </c>
      <c r="S87" s="278">
        <f>VLOOKUP(Q87,LISTAITEMS,5,FALSE)</f>
        <v>0</v>
      </c>
      <c r="T87" s="280">
        <v>0</v>
      </c>
      <c r="U87" s="281" t="s">
        <v>926</v>
      </c>
      <c r="V87" s="59" t="str">
        <f t="shared" ref="V87" si="111">VLOOKUP(U87,LISTAITEMS,2,FALSE)</f>
        <v>ninguno</v>
      </c>
      <c r="W87" s="278">
        <f>VLOOKUP(U87,LISTAITEMS,5,FALSE)</f>
        <v>0</v>
      </c>
      <c r="X87" s="280">
        <v>0</v>
      </c>
      <c r="Y87" s="281" t="s">
        <v>926</v>
      </c>
      <c r="Z87" s="59" t="str">
        <f t="shared" ref="Z87" si="112">VLOOKUP(Y87,LISTAITEMS,2,FALSE)</f>
        <v>ninguno</v>
      </c>
      <c r="AA87" s="278">
        <f>VLOOKUP(Y87,LISTAITEMS,5,FALSE)</f>
        <v>0</v>
      </c>
      <c r="AB87" s="280">
        <v>0</v>
      </c>
      <c r="AC87" s="281" t="s">
        <v>926</v>
      </c>
      <c r="AD87" s="59" t="str">
        <f t="shared" ref="AD87" si="113">VLOOKUP(AC87,LISTAITEMS,2,FALSE)</f>
        <v>ninguno</v>
      </c>
      <c r="AE87" s="278">
        <f>VLOOKUP(AC87,LISTAITEMS,5,FALSE)</f>
        <v>0</v>
      </c>
    </row>
    <row r="91" spans="1:31" s="293" customFormat="1" x14ac:dyDescent="0.3">
      <c r="A91" s="296"/>
      <c r="B91" s="296" t="s">
        <v>1214</v>
      </c>
      <c r="C91" s="296"/>
      <c r="D91" s="296"/>
      <c r="E91" s="296"/>
      <c r="F91" s="296"/>
      <c r="G91" s="296"/>
      <c r="H91" s="296"/>
      <c r="I91" s="296"/>
      <c r="J91" s="296"/>
      <c r="K91" s="296"/>
      <c r="L91" s="296"/>
      <c r="M91" s="296"/>
      <c r="N91" s="296"/>
      <c r="O91" s="296"/>
      <c r="P91" s="296"/>
      <c r="Q91" s="296"/>
      <c r="R91" s="296"/>
      <c r="S91" s="296"/>
      <c r="T91" s="296"/>
      <c r="U91" s="296"/>
      <c r="V91" s="296"/>
      <c r="W91" s="296"/>
      <c r="X91" s="176"/>
      <c r="Y91" s="176"/>
      <c r="Z91" s="176"/>
      <c r="AA91" s="176"/>
      <c r="AB91" s="176"/>
      <c r="AC91" s="176"/>
      <c r="AD91" s="176"/>
      <c r="AE91" s="176"/>
    </row>
    <row r="92" spans="1:31" s="293" customFormat="1" x14ac:dyDescent="0.3">
      <c r="A92" s="276"/>
      <c r="B92" s="276" t="s">
        <v>203</v>
      </c>
      <c r="C92" s="279" t="s">
        <v>202</v>
      </c>
      <c r="D92" s="283"/>
      <c r="E92" s="283"/>
      <c r="F92" s="279"/>
      <c r="G92" s="283"/>
      <c r="H92" s="283"/>
      <c r="I92" s="283"/>
      <c r="J92" s="279"/>
      <c r="K92" s="283"/>
      <c r="L92" s="283"/>
      <c r="M92" s="283"/>
      <c r="N92" s="279"/>
      <c r="O92" s="283"/>
      <c r="P92" s="283"/>
      <c r="Q92" s="283"/>
      <c r="R92" s="279"/>
      <c r="S92" s="283"/>
      <c r="T92" s="283"/>
      <c r="U92" s="283"/>
      <c r="V92" s="279"/>
      <c r="W92" s="283"/>
      <c r="X92" s="283"/>
      <c r="Y92" s="283"/>
      <c r="Z92" s="279"/>
      <c r="AA92" s="283"/>
      <c r="AB92" s="283"/>
      <c r="AC92" s="283"/>
      <c r="AD92" s="279"/>
      <c r="AE92" s="283"/>
    </row>
    <row r="93" spans="1:31" s="293" customFormat="1" x14ac:dyDescent="0.3">
      <c r="A93" s="282" t="s">
        <v>1238</v>
      </c>
      <c r="B93" s="282"/>
      <c r="C93" s="277">
        <f>'ECONOMIA &amp; PROFESIONES'!K27</f>
        <v>86</v>
      </c>
      <c r="D93" s="280"/>
      <c r="E93" s="281"/>
      <c r="F93" s="59"/>
      <c r="G93" s="278"/>
      <c r="H93" s="280"/>
      <c r="I93" s="281"/>
      <c r="J93" s="59"/>
      <c r="K93" s="278"/>
      <c r="L93" s="280"/>
      <c r="M93" s="281"/>
      <c r="N93" s="59"/>
      <c r="O93" s="278"/>
      <c r="P93" s="280"/>
      <c r="Q93" s="281"/>
      <c r="R93" s="59"/>
      <c r="S93" s="278"/>
      <c r="T93" s="280"/>
      <c r="U93" s="281"/>
      <c r="V93" s="59"/>
      <c r="W93" s="278"/>
      <c r="X93" s="280"/>
      <c r="Y93" s="281"/>
      <c r="Z93" s="59"/>
      <c r="AA93" s="278"/>
      <c r="AB93" s="280"/>
      <c r="AC93" s="281"/>
      <c r="AD93" s="59"/>
      <c r="AE93" s="278"/>
    </row>
    <row r="123" spans="1:23" s="275" customFormat="1" x14ac:dyDescent="0.3">
      <c r="A123"/>
      <c r="B123"/>
      <c r="C123"/>
      <c r="D123"/>
      <c r="E123"/>
      <c r="F123"/>
      <c r="G123"/>
      <c r="H123"/>
      <c r="I123"/>
      <c r="J123"/>
      <c r="K123"/>
      <c r="L123"/>
      <c r="M123"/>
      <c r="N123"/>
      <c r="O123"/>
      <c r="P123"/>
      <c r="Q123"/>
      <c r="R123"/>
      <c r="S123"/>
      <c r="T123"/>
      <c r="U123"/>
      <c r="V123"/>
      <c r="W123"/>
    </row>
    <row r="124" spans="1:23" s="275" customFormat="1" x14ac:dyDescent="0.3">
      <c r="A124"/>
      <c r="B124"/>
      <c r="C124"/>
      <c r="D124"/>
      <c r="E124"/>
      <c r="F124"/>
      <c r="G124"/>
      <c r="H124"/>
      <c r="I124"/>
      <c r="J124"/>
      <c r="K124"/>
      <c r="L124"/>
      <c r="M124"/>
      <c r="N124"/>
      <c r="O124"/>
      <c r="P124"/>
      <c r="Q124"/>
      <c r="R124"/>
      <c r="S124"/>
      <c r="T124"/>
      <c r="U124"/>
      <c r="V124"/>
      <c r="W124"/>
    </row>
    <row r="125" spans="1:23" s="275" customFormat="1" x14ac:dyDescent="0.3">
      <c r="A125"/>
      <c r="B125"/>
      <c r="C125"/>
      <c r="D125"/>
      <c r="E125"/>
      <c r="F125"/>
      <c r="G125"/>
      <c r="H125"/>
      <c r="I125"/>
      <c r="J125"/>
      <c r="K125"/>
      <c r="L125"/>
      <c r="M125"/>
      <c r="N125"/>
      <c r="O125"/>
      <c r="P125"/>
      <c r="Q125"/>
      <c r="R125"/>
      <c r="S125"/>
      <c r="T125"/>
      <c r="U125"/>
      <c r="V125"/>
      <c r="W125"/>
    </row>
    <row r="126" spans="1:23" s="275" customFormat="1" x14ac:dyDescent="0.3">
      <c r="A126"/>
      <c r="B126"/>
      <c r="C126"/>
      <c r="D126"/>
      <c r="E126"/>
      <c r="F126"/>
      <c r="G126"/>
      <c r="H126"/>
      <c r="I126"/>
      <c r="J126"/>
      <c r="K126"/>
      <c r="L126"/>
      <c r="M126"/>
      <c r="N126"/>
      <c r="O126"/>
      <c r="P126"/>
      <c r="Q126"/>
      <c r="R126"/>
      <c r="S126"/>
      <c r="T126"/>
      <c r="U126"/>
      <c r="V126"/>
      <c r="W126"/>
    </row>
    <row r="127" spans="1:23" s="275" customFormat="1" x14ac:dyDescent="0.3">
      <c r="A127"/>
      <c r="B127"/>
      <c r="C127"/>
      <c r="D127"/>
      <c r="E127"/>
      <c r="F127"/>
      <c r="G127"/>
      <c r="H127"/>
      <c r="I127"/>
      <c r="J127"/>
      <c r="K127"/>
      <c r="L127"/>
      <c r="M127"/>
      <c r="N127"/>
      <c r="O127"/>
      <c r="P127"/>
      <c r="Q127"/>
      <c r="R127"/>
      <c r="S127"/>
      <c r="T127"/>
      <c r="U127"/>
      <c r="V127"/>
      <c r="W127"/>
    </row>
    <row r="133" spans="1:23" s="275" customFormat="1" x14ac:dyDescent="0.3">
      <c r="A133"/>
      <c r="B133"/>
      <c r="C133"/>
      <c r="D133"/>
      <c r="E133"/>
      <c r="F133"/>
      <c r="G133"/>
      <c r="H133"/>
      <c r="I133"/>
      <c r="J133"/>
      <c r="K133"/>
      <c r="L133"/>
      <c r="M133"/>
      <c r="N133"/>
      <c r="O133"/>
      <c r="P133"/>
      <c r="Q133"/>
      <c r="R133"/>
      <c r="S133"/>
      <c r="T133"/>
      <c r="U133"/>
      <c r="V133"/>
      <c r="W133"/>
    </row>
    <row r="150" spans="1:23" s="291" customFormat="1" x14ac:dyDescent="0.3">
      <c r="A150"/>
      <c r="B150"/>
      <c r="C150"/>
      <c r="D150"/>
      <c r="E150"/>
      <c r="F150"/>
      <c r="G150"/>
      <c r="H150"/>
      <c r="I150"/>
      <c r="J150"/>
      <c r="K150"/>
      <c r="L150"/>
      <c r="M150"/>
      <c r="N150"/>
      <c r="O150"/>
      <c r="P150"/>
      <c r="Q150"/>
      <c r="R150"/>
      <c r="S150"/>
      <c r="T150"/>
      <c r="U150"/>
      <c r="V150"/>
      <c r="W150"/>
    </row>
    <row r="151" spans="1:23" s="291" customFormat="1" x14ac:dyDescent="0.3">
      <c r="A151"/>
      <c r="B151"/>
      <c r="C151"/>
      <c r="D151"/>
      <c r="E151"/>
      <c r="F151"/>
      <c r="G151"/>
      <c r="H151"/>
      <c r="I151"/>
      <c r="J151"/>
      <c r="K151"/>
      <c r="L151"/>
      <c r="M151"/>
      <c r="N151"/>
      <c r="O151"/>
      <c r="P151"/>
      <c r="Q151"/>
      <c r="R151"/>
      <c r="S151"/>
      <c r="T151"/>
      <c r="U151"/>
      <c r="V151"/>
      <c r="W151"/>
    </row>
    <row r="181" spans="1:23" s="292" customFormat="1" x14ac:dyDescent="0.3">
      <c r="A181"/>
      <c r="B181"/>
      <c r="C181"/>
      <c r="D181"/>
      <c r="E181"/>
      <c r="F181"/>
      <c r="G181"/>
      <c r="H181"/>
      <c r="I181"/>
      <c r="J181"/>
      <c r="K181"/>
      <c r="L181"/>
      <c r="M181"/>
      <c r="N181"/>
      <c r="O181"/>
      <c r="P181"/>
      <c r="Q181"/>
      <c r="R181"/>
      <c r="S181"/>
      <c r="T181"/>
      <c r="U181"/>
      <c r="V181"/>
      <c r="W181"/>
    </row>
    <row r="182" spans="1:23" s="292" customFormat="1" x14ac:dyDescent="0.3">
      <c r="A182"/>
      <c r="B182"/>
      <c r="C182"/>
      <c r="D182"/>
      <c r="E182"/>
      <c r="F182"/>
      <c r="G182"/>
      <c r="H182"/>
      <c r="I182"/>
      <c r="J182"/>
      <c r="K182"/>
      <c r="L182"/>
      <c r="M182"/>
      <c r="N182"/>
      <c r="O182"/>
      <c r="P182"/>
      <c r="Q182"/>
      <c r="R182"/>
      <c r="S182"/>
      <c r="T182"/>
      <c r="U182"/>
      <c r="V182"/>
      <c r="W182"/>
    </row>
    <row r="183" spans="1:23" s="292" customFormat="1" x14ac:dyDescent="0.3">
      <c r="A183"/>
      <c r="B183"/>
      <c r="C183"/>
      <c r="D183"/>
      <c r="E183"/>
      <c r="F183"/>
      <c r="G183"/>
      <c r="H183"/>
      <c r="I183"/>
      <c r="J183"/>
      <c r="K183"/>
      <c r="L183"/>
      <c r="M183"/>
      <c r="N183"/>
      <c r="O183"/>
      <c r="P183"/>
      <c r="Q183"/>
      <c r="R183"/>
      <c r="S183"/>
      <c r="T183"/>
      <c r="U183"/>
      <c r="V183"/>
      <c r="W183"/>
    </row>
    <row r="184" spans="1:23" s="292" customFormat="1" x14ac:dyDescent="0.3">
      <c r="A184"/>
      <c r="B184"/>
      <c r="C184"/>
      <c r="D184"/>
      <c r="E184"/>
      <c r="F184"/>
      <c r="G184"/>
      <c r="H184"/>
      <c r="I184"/>
      <c r="J184"/>
      <c r="K184"/>
      <c r="L184"/>
      <c r="M184"/>
      <c r="N184"/>
      <c r="O184"/>
      <c r="P184"/>
      <c r="Q184"/>
      <c r="R184"/>
      <c r="S184"/>
      <c r="T184"/>
      <c r="U184"/>
      <c r="V184"/>
      <c r="W184"/>
    </row>
    <row r="185" spans="1:23" s="292" customFormat="1" x14ac:dyDescent="0.3">
      <c r="A185"/>
      <c r="B185"/>
      <c r="C185"/>
      <c r="D185"/>
      <c r="E185"/>
      <c r="F185"/>
      <c r="G185"/>
      <c r="H185"/>
      <c r="I185"/>
      <c r="J185"/>
      <c r="K185"/>
      <c r="L185"/>
      <c r="M185"/>
      <c r="N185"/>
      <c r="O185"/>
      <c r="P185"/>
      <c r="Q185"/>
      <c r="R185"/>
      <c r="S185"/>
      <c r="T185"/>
      <c r="U185"/>
      <c r="V185"/>
      <c r="W185"/>
    </row>
    <row r="192" spans="1:23" s="275" customFormat="1" x14ac:dyDescent="0.3">
      <c r="A192"/>
      <c r="B192"/>
      <c r="C192"/>
      <c r="D192"/>
      <c r="E192"/>
      <c r="F192"/>
      <c r="G192"/>
      <c r="H192"/>
      <c r="I192"/>
      <c r="J192"/>
      <c r="K192"/>
      <c r="L192"/>
      <c r="M192"/>
      <c r="N192"/>
      <c r="O192"/>
      <c r="P192"/>
      <c r="Q192"/>
      <c r="R192"/>
      <c r="S192"/>
      <c r="T192"/>
      <c r="U192"/>
      <c r="V192"/>
      <c r="W192"/>
    </row>
    <row r="193" spans="1:23" s="275" customFormat="1" x14ac:dyDescent="0.3">
      <c r="A193"/>
      <c r="B193"/>
      <c r="C193"/>
      <c r="D193"/>
      <c r="E193"/>
      <c r="F193"/>
      <c r="G193"/>
      <c r="H193"/>
      <c r="I193"/>
      <c r="J193"/>
      <c r="K193"/>
      <c r="L193"/>
      <c r="M193"/>
      <c r="N193"/>
      <c r="O193"/>
      <c r="P193"/>
      <c r="Q193"/>
      <c r="R193"/>
      <c r="S193"/>
      <c r="T193"/>
      <c r="U193"/>
      <c r="V193"/>
      <c r="W193"/>
    </row>
    <row r="194" spans="1:23" s="275" customFormat="1" x14ac:dyDescent="0.3">
      <c r="A194"/>
      <c r="B194"/>
      <c r="C194"/>
      <c r="D194"/>
      <c r="E194"/>
      <c r="F194"/>
      <c r="G194"/>
      <c r="H194"/>
      <c r="I194"/>
      <c r="J194"/>
      <c r="K194"/>
      <c r="L194"/>
      <c r="M194"/>
      <c r="N194"/>
      <c r="O194"/>
      <c r="P194"/>
      <c r="Q194"/>
      <c r="R194"/>
      <c r="S194"/>
      <c r="T194"/>
      <c r="U194"/>
      <c r="V194"/>
      <c r="W194"/>
    </row>
    <row r="195" spans="1:23" s="275" customFormat="1" x14ac:dyDescent="0.3">
      <c r="A195"/>
      <c r="B195"/>
      <c r="C195"/>
      <c r="D195"/>
      <c r="E195"/>
      <c r="F195"/>
      <c r="G195"/>
      <c r="H195"/>
      <c r="I195"/>
      <c r="J195"/>
      <c r="K195"/>
      <c r="L195"/>
      <c r="M195"/>
      <c r="N195"/>
      <c r="O195"/>
      <c r="P195"/>
      <c r="Q195"/>
      <c r="R195"/>
      <c r="S195"/>
      <c r="T195"/>
      <c r="U195"/>
      <c r="V195"/>
      <c r="W195"/>
    </row>
    <row r="196" spans="1:23" s="275" customFormat="1" x14ac:dyDescent="0.3">
      <c r="A196"/>
      <c r="B196"/>
      <c r="C196"/>
      <c r="D196"/>
      <c r="E196"/>
      <c r="F196"/>
      <c r="G196"/>
      <c r="H196"/>
      <c r="I196"/>
      <c r="J196"/>
      <c r="K196"/>
      <c r="L196"/>
      <c r="M196"/>
      <c r="N196"/>
      <c r="O196"/>
      <c r="P196"/>
      <c r="Q196"/>
      <c r="R196"/>
      <c r="S196"/>
      <c r="T196"/>
      <c r="U196"/>
      <c r="V196"/>
      <c r="W196"/>
    </row>
  </sheetData>
  <mergeCells count="116">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 ref="G10:H10"/>
    <mergeCell ref="G15:H15"/>
    <mergeCell ref="G20:H20"/>
    <mergeCell ref="I10:J10"/>
    <mergeCell ref="M25:N25"/>
    <mergeCell ref="O25:P25"/>
    <mergeCell ref="M30:N30"/>
    <mergeCell ref="O30:P30"/>
    <mergeCell ref="M10:N10"/>
    <mergeCell ref="O10:P10"/>
    <mergeCell ref="M15:N15"/>
    <mergeCell ref="O15:P15"/>
    <mergeCell ref="M20:N20"/>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E1:H1"/>
    <mergeCell ref="E2:F2"/>
    <mergeCell ref="G2:H2"/>
    <mergeCell ref="E3:F3"/>
    <mergeCell ref="G3:H3"/>
    <mergeCell ref="E4:F4"/>
    <mergeCell ref="G4:H4"/>
    <mergeCell ref="C5:D5"/>
    <mergeCell ref="C6:D6"/>
    <mergeCell ref="E5:F5"/>
    <mergeCell ref="G5:H5"/>
    <mergeCell ref="E6:F6"/>
    <mergeCell ref="G6:H6"/>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formula1>IDS</formula1>
    </dataValidation>
    <dataValidation type="list" allowBlank="1" showInputMessage="1" showErrorMessage="1" sqref="E77 E83 I83 I77 I54 I50 E87 I87 E46">
      <formula1>craftspar</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30"/>
  <sheetViews>
    <sheetView topLeftCell="A5" workbookViewId="0">
      <selection activeCell="C32" sqref="C32"/>
    </sheetView>
  </sheetViews>
  <sheetFormatPr baseColWidth="10" defaultRowHeight="14.4" x14ac:dyDescent="0.3"/>
  <cols>
    <col min="2" max="2" width="17.44140625" customWidth="1"/>
    <col min="3" max="3" width="15" customWidth="1"/>
    <col min="5" max="5" width="13.6640625" customWidth="1"/>
    <col min="6" max="6" width="16.44140625" customWidth="1"/>
    <col min="7" max="7" width="5.44140625" customWidth="1"/>
    <col min="9" max="9" width="17.44140625" customWidth="1"/>
    <col min="10" max="10" width="5.44140625" customWidth="1"/>
    <col min="12" max="12" width="15.109375" customWidth="1"/>
    <col min="13" max="13" width="5.44140625" customWidth="1"/>
    <col min="15" max="15" width="15.109375" customWidth="1"/>
    <col min="16" max="16" width="5.44140625" customWidth="1"/>
    <col min="18" max="18" width="15.109375" customWidth="1"/>
    <col min="19" max="19" width="5.44140625" customWidth="1"/>
    <col min="21" max="21" width="15.109375" customWidth="1"/>
    <col min="22" max="22" width="5.44140625" customWidth="1"/>
    <col min="24" max="24" width="15.109375" customWidth="1"/>
    <col min="25" max="25" width="5.44140625" customWidth="1"/>
  </cols>
  <sheetData>
    <row r="1" spans="1:26" x14ac:dyDescent="0.3">
      <c r="A1" s="357" t="s">
        <v>1222</v>
      </c>
      <c r="B1" s="176"/>
      <c r="C1" s="176"/>
      <c r="D1" s="295"/>
      <c r="E1" s="284" t="s">
        <v>1150</v>
      </c>
      <c r="F1" s="284" t="s">
        <v>1151</v>
      </c>
      <c r="G1" s="284" t="s">
        <v>1230</v>
      </c>
      <c r="H1" s="284" t="s">
        <v>202</v>
      </c>
      <c r="I1" s="284" t="s">
        <v>1152</v>
      </c>
      <c r="J1" s="284" t="s">
        <v>1230</v>
      </c>
      <c r="K1" s="284" t="s">
        <v>202</v>
      </c>
      <c r="L1" s="284" t="s">
        <v>1170</v>
      </c>
      <c r="M1" s="284" t="s">
        <v>1230</v>
      </c>
      <c r="N1" s="284" t="s">
        <v>202</v>
      </c>
      <c r="O1" s="284" t="s">
        <v>1223</v>
      </c>
      <c r="P1" s="284" t="s">
        <v>1230</v>
      </c>
      <c r="Q1" s="284" t="s">
        <v>202</v>
      </c>
      <c r="R1" s="284" t="s">
        <v>1224</v>
      </c>
      <c r="S1" s="284" t="s">
        <v>1230</v>
      </c>
      <c r="T1" s="284" t="s">
        <v>202</v>
      </c>
      <c r="U1" s="284" t="s">
        <v>1225</v>
      </c>
      <c r="V1" s="284" t="s">
        <v>1230</v>
      </c>
      <c r="W1" s="284" t="s">
        <v>202</v>
      </c>
      <c r="X1" s="284" t="s">
        <v>1226</v>
      </c>
      <c r="Y1" s="284" t="s">
        <v>1230</v>
      </c>
      <c r="Z1" s="284" t="s">
        <v>202</v>
      </c>
    </row>
    <row r="2" spans="1:26" x14ac:dyDescent="0.3">
      <c r="A2" s="357"/>
      <c r="B2" s="358" t="s">
        <v>1161</v>
      </c>
      <c r="C2" s="31" t="s">
        <v>6</v>
      </c>
      <c r="D2" s="34">
        <f>'ECONOMIA &amp; PROFESIONES'!$N$5</f>
        <v>900</v>
      </c>
      <c r="E2" s="53">
        <f>(H2*G2)+(K2*J2)+(M2*N2)+(P2*Q2)+(S2*T2)+(V2*W2)+(Y2*Z2)</f>
        <v>857.59999999999991</v>
      </c>
      <c r="F2" s="281" t="s">
        <v>1239</v>
      </c>
      <c r="G2" s="285">
        <v>2</v>
      </c>
      <c r="H2" s="278">
        <f t="shared" ref="H2:H26" si="0">VLOOKUP(F2,craftedesp,3,FALSE)</f>
        <v>172.79999999999998</v>
      </c>
      <c r="I2" s="281" t="s">
        <v>1165</v>
      </c>
      <c r="J2" s="285">
        <v>2</v>
      </c>
      <c r="K2" s="278">
        <f>VLOOKUP(I2,craftedesp,3,FALSE)</f>
        <v>256</v>
      </c>
      <c r="L2" s="281" t="s">
        <v>926</v>
      </c>
      <c r="M2" s="285">
        <v>0</v>
      </c>
      <c r="N2" s="278">
        <f t="shared" ref="N2:N26" si="1">VLOOKUP(L2,craftedesp,3,FALSE)</f>
        <v>0</v>
      </c>
      <c r="O2" s="281" t="s">
        <v>926</v>
      </c>
      <c r="P2" s="285">
        <v>0</v>
      </c>
      <c r="Q2" s="278">
        <f t="shared" ref="Q2:Q26" si="2">VLOOKUP(O2,craftedesp,3,FALSE)</f>
        <v>0</v>
      </c>
      <c r="R2" s="281" t="s">
        <v>926</v>
      </c>
      <c r="S2" s="285">
        <v>0</v>
      </c>
      <c r="T2" s="278">
        <f t="shared" ref="T2:T26" si="3">VLOOKUP(R2,craftedesp,3,FALSE)</f>
        <v>0</v>
      </c>
      <c r="U2" s="281" t="s">
        <v>926</v>
      </c>
      <c r="V2" s="285">
        <v>0</v>
      </c>
      <c r="W2" s="278">
        <f t="shared" ref="W2:W26" si="4">VLOOKUP(U2,craftedesp,3,FALSE)</f>
        <v>0</v>
      </c>
      <c r="X2" s="281" t="s">
        <v>926</v>
      </c>
      <c r="Y2" s="285">
        <v>0</v>
      </c>
      <c r="Z2" s="278">
        <f t="shared" ref="Z2:Z26" si="5">VLOOKUP(X2,craftedesp,3,FALSE)</f>
        <v>0</v>
      </c>
    </row>
    <row r="3" spans="1:26" x14ac:dyDescent="0.3">
      <c r="A3" s="357"/>
      <c r="B3" s="359"/>
      <c r="C3" s="32" t="s">
        <v>113</v>
      </c>
      <c r="D3" s="34">
        <f>'ECONOMIA &amp; PROFESIONES'!$N$6</f>
        <v>1500</v>
      </c>
      <c r="E3" s="53">
        <f t="shared" ref="E3:E26" si="6">(H3*G3)+(K3*J3)+(M3*N3)+(P3*Q3)+(S3*T3)+(V3*W3)+(Y3*Z3)</f>
        <v>1700.6799999999998</v>
      </c>
      <c r="F3" s="281" t="s">
        <v>1243</v>
      </c>
      <c r="G3" s="285">
        <v>1</v>
      </c>
      <c r="H3" s="278">
        <f t="shared" si="0"/>
        <v>740.59999999999991</v>
      </c>
      <c r="I3" s="281" t="s">
        <v>1250</v>
      </c>
      <c r="J3" s="285">
        <v>2</v>
      </c>
      <c r="K3" s="278">
        <f t="shared" ref="K3:K26" si="7">VLOOKUP(I3,craftedesp,3,FALSE)</f>
        <v>480.04</v>
      </c>
      <c r="L3" s="281" t="s">
        <v>926</v>
      </c>
      <c r="M3" s="285">
        <v>0</v>
      </c>
      <c r="N3" s="278">
        <f t="shared" si="1"/>
        <v>0</v>
      </c>
      <c r="O3" s="281" t="s">
        <v>926</v>
      </c>
      <c r="P3" s="285">
        <v>0</v>
      </c>
      <c r="Q3" s="278">
        <f t="shared" si="2"/>
        <v>0</v>
      </c>
      <c r="R3" s="281" t="s">
        <v>926</v>
      </c>
      <c r="S3" s="285">
        <v>0</v>
      </c>
      <c r="T3" s="278">
        <f t="shared" si="3"/>
        <v>0</v>
      </c>
      <c r="U3" s="281" t="s">
        <v>926</v>
      </c>
      <c r="V3" s="285">
        <v>0</v>
      </c>
      <c r="W3" s="278">
        <f t="shared" si="4"/>
        <v>0</v>
      </c>
      <c r="X3" s="281" t="s">
        <v>926</v>
      </c>
      <c r="Y3" s="285">
        <v>0</v>
      </c>
      <c r="Z3" s="278">
        <f t="shared" si="5"/>
        <v>0</v>
      </c>
    </row>
    <row r="4" spans="1:26" x14ac:dyDescent="0.3">
      <c r="A4" s="357"/>
      <c r="B4" s="359"/>
      <c r="C4" s="31" t="s">
        <v>114</v>
      </c>
      <c r="D4" s="34">
        <f>'ECONOMIA &amp; PROFESIONES'!$N$7</f>
        <v>2100</v>
      </c>
      <c r="E4" s="53">
        <f t="shared" si="6"/>
        <v>2441.2799999999997</v>
      </c>
      <c r="F4" s="281" t="s">
        <v>1243</v>
      </c>
      <c r="G4" s="285">
        <v>2</v>
      </c>
      <c r="H4" s="278">
        <f t="shared" si="0"/>
        <v>740.59999999999991</v>
      </c>
      <c r="I4" s="281" t="s">
        <v>1250</v>
      </c>
      <c r="J4" s="285">
        <v>2</v>
      </c>
      <c r="K4" s="278">
        <f t="shared" si="7"/>
        <v>480.04</v>
      </c>
      <c r="L4" s="281" t="s">
        <v>926</v>
      </c>
      <c r="M4" s="285">
        <v>0</v>
      </c>
      <c r="N4" s="278">
        <f t="shared" si="1"/>
        <v>0</v>
      </c>
      <c r="O4" s="281" t="s">
        <v>926</v>
      </c>
      <c r="P4" s="285">
        <v>0</v>
      </c>
      <c r="Q4" s="278">
        <f t="shared" si="2"/>
        <v>0</v>
      </c>
      <c r="R4" s="281" t="s">
        <v>926</v>
      </c>
      <c r="S4" s="285">
        <v>0</v>
      </c>
      <c r="T4" s="278">
        <f t="shared" si="3"/>
        <v>0</v>
      </c>
      <c r="U4" s="281" t="s">
        <v>926</v>
      </c>
      <c r="V4" s="285">
        <v>0</v>
      </c>
      <c r="W4" s="278">
        <f t="shared" si="4"/>
        <v>0</v>
      </c>
      <c r="X4" s="281" t="s">
        <v>926</v>
      </c>
      <c r="Y4" s="285">
        <v>0</v>
      </c>
      <c r="Z4" s="278">
        <f t="shared" si="5"/>
        <v>0</v>
      </c>
    </row>
    <row r="5" spans="1:26" x14ac:dyDescent="0.3">
      <c r="A5" s="357"/>
      <c r="B5" s="359"/>
      <c r="C5" s="32" t="s">
        <v>115</v>
      </c>
      <c r="D5" s="34">
        <f>'ECONOMIA &amp; PROFESIONES'!$N$8</f>
        <v>1900</v>
      </c>
      <c r="E5" s="53">
        <f t="shared" si="6"/>
        <v>2180.7200000000003</v>
      </c>
      <c r="F5" s="281" t="s">
        <v>1243</v>
      </c>
      <c r="G5" s="285">
        <v>1</v>
      </c>
      <c r="H5" s="278">
        <f t="shared" si="0"/>
        <v>740.59999999999991</v>
      </c>
      <c r="I5" s="281" t="s">
        <v>1250</v>
      </c>
      <c r="J5" s="285">
        <v>3</v>
      </c>
      <c r="K5" s="278">
        <f t="shared" si="7"/>
        <v>480.04</v>
      </c>
      <c r="L5" s="281" t="s">
        <v>926</v>
      </c>
      <c r="M5" s="285">
        <v>0</v>
      </c>
      <c r="N5" s="278">
        <f t="shared" si="1"/>
        <v>0</v>
      </c>
      <c r="O5" s="281" t="s">
        <v>926</v>
      </c>
      <c r="P5" s="285">
        <v>0</v>
      </c>
      <c r="Q5" s="278">
        <f t="shared" si="2"/>
        <v>0</v>
      </c>
      <c r="R5" s="281" t="s">
        <v>926</v>
      </c>
      <c r="S5" s="285">
        <v>0</v>
      </c>
      <c r="T5" s="278">
        <f t="shared" si="3"/>
        <v>0</v>
      </c>
      <c r="U5" s="281" t="s">
        <v>926</v>
      </c>
      <c r="V5" s="285">
        <v>0</v>
      </c>
      <c r="W5" s="278">
        <f t="shared" si="4"/>
        <v>0</v>
      </c>
      <c r="X5" s="281" t="s">
        <v>926</v>
      </c>
      <c r="Y5" s="285">
        <v>0</v>
      </c>
      <c r="Z5" s="278">
        <f t="shared" si="5"/>
        <v>0</v>
      </c>
    </row>
    <row r="6" spans="1:26" x14ac:dyDescent="0.3">
      <c r="A6" s="357"/>
      <c r="B6" s="360"/>
      <c r="C6" s="31" t="s">
        <v>116</v>
      </c>
      <c r="D6" s="34">
        <f>'ECONOMIA &amp; PROFESIONES'!$N$9</f>
        <v>1300</v>
      </c>
      <c r="E6" s="53">
        <f t="shared" si="6"/>
        <v>1220.6399999999999</v>
      </c>
      <c r="F6" s="281" t="s">
        <v>1243</v>
      </c>
      <c r="G6" s="285">
        <v>1</v>
      </c>
      <c r="H6" s="278">
        <f t="shared" si="0"/>
        <v>740.59999999999991</v>
      </c>
      <c r="I6" s="281" t="s">
        <v>1250</v>
      </c>
      <c r="J6" s="285">
        <v>1</v>
      </c>
      <c r="K6" s="278">
        <f t="shared" si="7"/>
        <v>480.04</v>
      </c>
      <c r="L6" s="281" t="s">
        <v>926</v>
      </c>
      <c r="M6" s="285">
        <v>0</v>
      </c>
      <c r="N6" s="278">
        <f t="shared" si="1"/>
        <v>0</v>
      </c>
      <c r="O6" s="281" t="s">
        <v>926</v>
      </c>
      <c r="P6" s="285">
        <v>0</v>
      </c>
      <c r="Q6" s="278">
        <f t="shared" si="2"/>
        <v>0</v>
      </c>
      <c r="R6" s="281" t="s">
        <v>926</v>
      </c>
      <c r="S6" s="285">
        <v>0</v>
      </c>
      <c r="T6" s="278">
        <f t="shared" si="3"/>
        <v>0</v>
      </c>
      <c r="U6" s="281" t="s">
        <v>926</v>
      </c>
      <c r="V6" s="285">
        <v>0</v>
      </c>
      <c r="W6" s="278">
        <f t="shared" si="4"/>
        <v>0</v>
      </c>
      <c r="X6" s="281" t="s">
        <v>926</v>
      </c>
      <c r="Y6" s="285">
        <v>0</v>
      </c>
      <c r="Z6" s="278">
        <f t="shared" si="5"/>
        <v>0</v>
      </c>
    </row>
    <row r="7" spans="1:26" x14ac:dyDescent="0.3">
      <c r="A7" s="357"/>
      <c r="B7" s="361" t="s">
        <v>1162</v>
      </c>
      <c r="C7" s="32" t="s">
        <v>6</v>
      </c>
      <c r="D7" s="34">
        <f>'ECONOMIA &amp; PROFESIONES'!$N$10</f>
        <v>2450</v>
      </c>
      <c r="E7" s="53">
        <f t="shared" si="6"/>
        <v>0</v>
      </c>
      <c r="F7" s="281" t="s">
        <v>926</v>
      </c>
      <c r="G7" s="285">
        <v>0</v>
      </c>
      <c r="H7" s="278">
        <f t="shared" si="0"/>
        <v>0</v>
      </c>
      <c r="I7" s="281" t="s">
        <v>926</v>
      </c>
      <c r="J7" s="285">
        <v>0</v>
      </c>
      <c r="K7" s="278">
        <f t="shared" si="7"/>
        <v>0</v>
      </c>
      <c r="L7" s="281" t="s">
        <v>926</v>
      </c>
      <c r="M7" s="285">
        <v>0</v>
      </c>
      <c r="N7" s="278">
        <f t="shared" si="1"/>
        <v>0</v>
      </c>
      <c r="O7" s="281" t="s">
        <v>926</v>
      </c>
      <c r="P7" s="285">
        <v>0</v>
      </c>
      <c r="Q7" s="278">
        <f t="shared" si="2"/>
        <v>0</v>
      </c>
      <c r="R7" s="281" t="s">
        <v>926</v>
      </c>
      <c r="S7" s="285">
        <v>0</v>
      </c>
      <c r="T7" s="278">
        <f t="shared" si="3"/>
        <v>0</v>
      </c>
      <c r="U7" s="281" t="s">
        <v>926</v>
      </c>
      <c r="V7" s="285">
        <v>0</v>
      </c>
      <c r="W7" s="278">
        <f t="shared" si="4"/>
        <v>0</v>
      </c>
      <c r="X7" s="281" t="s">
        <v>926</v>
      </c>
      <c r="Y7" s="285">
        <v>0</v>
      </c>
      <c r="Z7" s="278">
        <f t="shared" si="5"/>
        <v>0</v>
      </c>
    </row>
    <row r="8" spans="1:26" x14ac:dyDescent="0.3">
      <c r="A8" s="357"/>
      <c r="B8" s="362"/>
      <c r="C8" s="31" t="s">
        <v>113</v>
      </c>
      <c r="D8" s="34">
        <f>'ECONOMIA &amp; PROFESIONES'!$N$11</f>
        <v>3125</v>
      </c>
      <c r="E8" s="53">
        <f t="shared" si="6"/>
        <v>0</v>
      </c>
      <c r="F8" s="281" t="s">
        <v>926</v>
      </c>
      <c r="G8" s="285">
        <v>0</v>
      </c>
      <c r="H8" s="278">
        <f t="shared" si="0"/>
        <v>0</v>
      </c>
      <c r="I8" s="281" t="s">
        <v>926</v>
      </c>
      <c r="J8" s="285">
        <v>0</v>
      </c>
      <c r="K8" s="278">
        <f t="shared" si="7"/>
        <v>0</v>
      </c>
      <c r="L8" s="281" t="s">
        <v>926</v>
      </c>
      <c r="M8" s="285">
        <v>0</v>
      </c>
      <c r="N8" s="278">
        <f t="shared" si="1"/>
        <v>0</v>
      </c>
      <c r="O8" s="281" t="s">
        <v>926</v>
      </c>
      <c r="P8" s="285">
        <v>0</v>
      </c>
      <c r="Q8" s="278">
        <f t="shared" si="2"/>
        <v>0</v>
      </c>
      <c r="R8" s="281" t="s">
        <v>926</v>
      </c>
      <c r="S8" s="285">
        <v>0</v>
      </c>
      <c r="T8" s="278">
        <f t="shared" si="3"/>
        <v>0</v>
      </c>
      <c r="U8" s="281" t="s">
        <v>926</v>
      </c>
      <c r="V8" s="285">
        <v>0</v>
      </c>
      <c r="W8" s="278">
        <f t="shared" si="4"/>
        <v>0</v>
      </c>
      <c r="X8" s="281" t="s">
        <v>926</v>
      </c>
      <c r="Y8" s="285">
        <v>0</v>
      </c>
      <c r="Z8" s="278">
        <f t="shared" si="5"/>
        <v>0</v>
      </c>
    </row>
    <row r="9" spans="1:26" x14ac:dyDescent="0.3">
      <c r="A9" s="357"/>
      <c r="B9" s="362"/>
      <c r="C9" s="32" t="s">
        <v>114</v>
      </c>
      <c r="D9" s="34">
        <f>'ECONOMIA &amp; PROFESIONES'!$N$12</f>
        <v>3800</v>
      </c>
      <c r="E9" s="53">
        <f t="shared" si="6"/>
        <v>0</v>
      </c>
      <c r="F9" s="281" t="s">
        <v>926</v>
      </c>
      <c r="G9" s="285">
        <v>0</v>
      </c>
      <c r="H9" s="278">
        <f t="shared" si="0"/>
        <v>0</v>
      </c>
      <c r="I9" s="281" t="s">
        <v>926</v>
      </c>
      <c r="J9" s="285">
        <v>0</v>
      </c>
      <c r="K9" s="278">
        <f t="shared" si="7"/>
        <v>0</v>
      </c>
      <c r="L9" s="281" t="s">
        <v>926</v>
      </c>
      <c r="M9" s="285">
        <v>0</v>
      </c>
      <c r="N9" s="278">
        <f t="shared" si="1"/>
        <v>0</v>
      </c>
      <c r="O9" s="281" t="s">
        <v>926</v>
      </c>
      <c r="P9" s="285">
        <v>0</v>
      </c>
      <c r="Q9" s="278">
        <f t="shared" si="2"/>
        <v>0</v>
      </c>
      <c r="R9" s="281" t="s">
        <v>926</v>
      </c>
      <c r="S9" s="285">
        <v>0</v>
      </c>
      <c r="T9" s="278">
        <f t="shared" si="3"/>
        <v>0</v>
      </c>
      <c r="U9" s="281" t="s">
        <v>926</v>
      </c>
      <c r="V9" s="285">
        <v>0</v>
      </c>
      <c r="W9" s="278">
        <f t="shared" si="4"/>
        <v>0</v>
      </c>
      <c r="X9" s="281" t="s">
        <v>926</v>
      </c>
      <c r="Y9" s="285">
        <v>0</v>
      </c>
      <c r="Z9" s="278">
        <f t="shared" si="5"/>
        <v>0</v>
      </c>
    </row>
    <row r="10" spans="1:26" x14ac:dyDescent="0.3">
      <c r="A10" s="357"/>
      <c r="B10" s="362"/>
      <c r="C10" s="31" t="s">
        <v>115</v>
      </c>
      <c r="D10" s="34">
        <f>'ECONOMIA &amp; PROFESIONES'!$N$13</f>
        <v>3575</v>
      </c>
      <c r="E10" s="53">
        <f t="shared" si="6"/>
        <v>0</v>
      </c>
      <c r="F10" s="281" t="s">
        <v>926</v>
      </c>
      <c r="G10" s="285">
        <v>0</v>
      </c>
      <c r="H10" s="278">
        <f t="shared" si="0"/>
        <v>0</v>
      </c>
      <c r="I10" s="281" t="s">
        <v>926</v>
      </c>
      <c r="J10" s="285">
        <v>0</v>
      </c>
      <c r="K10" s="278">
        <f t="shared" si="7"/>
        <v>0</v>
      </c>
      <c r="L10" s="281" t="s">
        <v>926</v>
      </c>
      <c r="M10" s="285">
        <v>0</v>
      </c>
      <c r="N10" s="278">
        <f t="shared" si="1"/>
        <v>0</v>
      </c>
      <c r="O10" s="281" t="s">
        <v>926</v>
      </c>
      <c r="P10" s="285">
        <v>0</v>
      </c>
      <c r="Q10" s="278">
        <f t="shared" si="2"/>
        <v>0</v>
      </c>
      <c r="R10" s="281" t="s">
        <v>926</v>
      </c>
      <c r="S10" s="285">
        <v>0</v>
      </c>
      <c r="T10" s="278">
        <f t="shared" si="3"/>
        <v>0</v>
      </c>
      <c r="U10" s="281" t="s">
        <v>926</v>
      </c>
      <c r="V10" s="285">
        <v>0</v>
      </c>
      <c r="W10" s="278">
        <f t="shared" si="4"/>
        <v>0</v>
      </c>
      <c r="X10" s="281" t="s">
        <v>926</v>
      </c>
      <c r="Y10" s="285">
        <v>0</v>
      </c>
      <c r="Z10" s="278">
        <f t="shared" si="5"/>
        <v>0</v>
      </c>
    </row>
    <row r="11" spans="1:26" x14ac:dyDescent="0.3">
      <c r="A11" s="357"/>
      <c r="B11" s="363"/>
      <c r="C11" s="32" t="s">
        <v>116</v>
      </c>
      <c r="D11" s="34">
        <f>'ECONOMIA &amp; PROFESIONES'!$N$14</f>
        <v>2900</v>
      </c>
      <c r="E11" s="53">
        <f t="shared" si="6"/>
        <v>0</v>
      </c>
      <c r="F11" s="281" t="s">
        <v>926</v>
      </c>
      <c r="G11" s="285">
        <v>0</v>
      </c>
      <c r="H11" s="278">
        <f t="shared" si="0"/>
        <v>0</v>
      </c>
      <c r="I11" s="281" t="s">
        <v>926</v>
      </c>
      <c r="J11" s="285">
        <v>0</v>
      </c>
      <c r="K11" s="278">
        <f t="shared" si="7"/>
        <v>0</v>
      </c>
      <c r="L11" s="281" t="s">
        <v>926</v>
      </c>
      <c r="M11" s="285">
        <v>0</v>
      </c>
      <c r="N11" s="278">
        <f t="shared" si="1"/>
        <v>0</v>
      </c>
      <c r="O11" s="281" t="s">
        <v>926</v>
      </c>
      <c r="P11" s="285">
        <v>0</v>
      </c>
      <c r="Q11" s="278">
        <f t="shared" si="2"/>
        <v>0</v>
      </c>
      <c r="R11" s="281" t="s">
        <v>926</v>
      </c>
      <c r="S11" s="285">
        <v>0</v>
      </c>
      <c r="T11" s="278">
        <f t="shared" si="3"/>
        <v>0</v>
      </c>
      <c r="U11" s="281" t="s">
        <v>926</v>
      </c>
      <c r="V11" s="285">
        <v>0</v>
      </c>
      <c r="W11" s="278">
        <f t="shared" si="4"/>
        <v>0</v>
      </c>
      <c r="X11" s="281" t="s">
        <v>926</v>
      </c>
      <c r="Y11" s="285">
        <v>0</v>
      </c>
      <c r="Z11" s="278">
        <f t="shared" si="5"/>
        <v>0</v>
      </c>
    </row>
    <row r="12" spans="1:26" x14ac:dyDescent="0.3">
      <c r="A12" s="357"/>
      <c r="B12" s="364" t="s">
        <v>1228</v>
      </c>
      <c r="C12" s="31" t="s">
        <v>6</v>
      </c>
      <c r="D12" s="34">
        <f>'ECONOMIA &amp; PROFESIONES'!$N$15</f>
        <v>4050</v>
      </c>
      <c r="E12" s="53">
        <f t="shared" si="6"/>
        <v>0</v>
      </c>
      <c r="F12" s="281" t="s">
        <v>926</v>
      </c>
      <c r="G12" s="285">
        <v>0</v>
      </c>
      <c r="H12" s="278">
        <f t="shared" si="0"/>
        <v>0</v>
      </c>
      <c r="I12" s="281" t="s">
        <v>926</v>
      </c>
      <c r="J12" s="285">
        <v>0</v>
      </c>
      <c r="K12" s="278">
        <f t="shared" si="7"/>
        <v>0</v>
      </c>
      <c r="L12" s="281" t="s">
        <v>926</v>
      </c>
      <c r="M12" s="285">
        <v>0</v>
      </c>
      <c r="N12" s="278">
        <f t="shared" si="1"/>
        <v>0</v>
      </c>
      <c r="O12" s="281" t="s">
        <v>926</v>
      </c>
      <c r="P12" s="285">
        <v>0</v>
      </c>
      <c r="Q12" s="278">
        <f t="shared" si="2"/>
        <v>0</v>
      </c>
      <c r="R12" s="281" t="s">
        <v>926</v>
      </c>
      <c r="S12" s="285">
        <v>0</v>
      </c>
      <c r="T12" s="278">
        <f t="shared" si="3"/>
        <v>0</v>
      </c>
      <c r="U12" s="281" t="s">
        <v>926</v>
      </c>
      <c r="V12" s="285">
        <v>0</v>
      </c>
      <c r="W12" s="278">
        <f t="shared" si="4"/>
        <v>0</v>
      </c>
      <c r="X12" s="281" t="s">
        <v>926</v>
      </c>
      <c r="Y12" s="285">
        <v>0</v>
      </c>
      <c r="Z12" s="278">
        <f t="shared" si="5"/>
        <v>0</v>
      </c>
    </row>
    <row r="13" spans="1:26" x14ac:dyDescent="0.3">
      <c r="A13" s="357"/>
      <c r="B13" s="365"/>
      <c r="C13" s="32" t="s">
        <v>113</v>
      </c>
      <c r="D13" s="34">
        <f>'ECONOMIA &amp; PROFESIONES'!$N$16</f>
        <v>4875</v>
      </c>
      <c r="E13" s="53">
        <f t="shared" si="6"/>
        <v>0</v>
      </c>
      <c r="F13" s="281" t="s">
        <v>926</v>
      </c>
      <c r="G13" s="285">
        <v>0</v>
      </c>
      <c r="H13" s="278">
        <f t="shared" si="0"/>
        <v>0</v>
      </c>
      <c r="I13" s="281" t="s">
        <v>926</v>
      </c>
      <c r="J13" s="285">
        <v>0</v>
      </c>
      <c r="K13" s="278">
        <f t="shared" si="7"/>
        <v>0</v>
      </c>
      <c r="L13" s="281" t="s">
        <v>926</v>
      </c>
      <c r="M13" s="285">
        <v>0</v>
      </c>
      <c r="N13" s="278">
        <f t="shared" si="1"/>
        <v>0</v>
      </c>
      <c r="O13" s="281" t="s">
        <v>926</v>
      </c>
      <c r="P13" s="285">
        <v>0</v>
      </c>
      <c r="Q13" s="278">
        <f t="shared" si="2"/>
        <v>0</v>
      </c>
      <c r="R13" s="281" t="s">
        <v>926</v>
      </c>
      <c r="S13" s="285">
        <v>0</v>
      </c>
      <c r="T13" s="278">
        <f t="shared" si="3"/>
        <v>0</v>
      </c>
      <c r="U13" s="281" t="s">
        <v>926</v>
      </c>
      <c r="V13" s="285">
        <v>0</v>
      </c>
      <c r="W13" s="278">
        <f t="shared" si="4"/>
        <v>0</v>
      </c>
      <c r="X13" s="281" t="s">
        <v>926</v>
      </c>
      <c r="Y13" s="285">
        <v>0</v>
      </c>
      <c r="Z13" s="278">
        <f t="shared" si="5"/>
        <v>0</v>
      </c>
    </row>
    <row r="14" spans="1:26" x14ac:dyDescent="0.3">
      <c r="A14" s="357"/>
      <c r="B14" s="365"/>
      <c r="C14" s="31" t="s">
        <v>114</v>
      </c>
      <c r="D14" s="34">
        <f>'ECONOMIA &amp; PROFESIONES'!$N$17</f>
        <v>5700</v>
      </c>
      <c r="E14" s="53">
        <f t="shared" si="6"/>
        <v>0</v>
      </c>
      <c r="F14" s="281" t="s">
        <v>926</v>
      </c>
      <c r="G14" s="285">
        <v>0</v>
      </c>
      <c r="H14" s="278">
        <f t="shared" si="0"/>
        <v>0</v>
      </c>
      <c r="I14" s="281" t="s">
        <v>926</v>
      </c>
      <c r="J14" s="285">
        <v>0</v>
      </c>
      <c r="K14" s="278">
        <f t="shared" si="7"/>
        <v>0</v>
      </c>
      <c r="L14" s="281" t="s">
        <v>926</v>
      </c>
      <c r="M14" s="285">
        <v>0</v>
      </c>
      <c r="N14" s="278">
        <f t="shared" si="1"/>
        <v>0</v>
      </c>
      <c r="O14" s="281" t="s">
        <v>926</v>
      </c>
      <c r="P14" s="285">
        <v>0</v>
      </c>
      <c r="Q14" s="278">
        <f t="shared" si="2"/>
        <v>0</v>
      </c>
      <c r="R14" s="281" t="s">
        <v>926</v>
      </c>
      <c r="S14" s="285">
        <v>0</v>
      </c>
      <c r="T14" s="278">
        <f t="shared" si="3"/>
        <v>0</v>
      </c>
      <c r="U14" s="281" t="s">
        <v>926</v>
      </c>
      <c r="V14" s="285">
        <v>0</v>
      </c>
      <c r="W14" s="278">
        <f t="shared" si="4"/>
        <v>0</v>
      </c>
      <c r="X14" s="281" t="s">
        <v>926</v>
      </c>
      <c r="Y14" s="285">
        <v>0</v>
      </c>
      <c r="Z14" s="278">
        <f t="shared" si="5"/>
        <v>0</v>
      </c>
    </row>
    <row r="15" spans="1:26" x14ac:dyDescent="0.3">
      <c r="A15" s="357"/>
      <c r="B15" s="364"/>
      <c r="C15" s="32" t="s">
        <v>115</v>
      </c>
      <c r="D15" s="34">
        <f>'ECONOMIA &amp; PROFESIONES'!$N$18</f>
        <v>5425</v>
      </c>
      <c r="E15" s="53">
        <f t="shared" si="6"/>
        <v>0</v>
      </c>
      <c r="F15" s="281" t="s">
        <v>926</v>
      </c>
      <c r="G15" s="285">
        <v>0</v>
      </c>
      <c r="H15" s="278">
        <f t="shared" si="0"/>
        <v>0</v>
      </c>
      <c r="I15" s="281" t="s">
        <v>926</v>
      </c>
      <c r="J15" s="285">
        <v>0</v>
      </c>
      <c r="K15" s="278">
        <f t="shared" si="7"/>
        <v>0</v>
      </c>
      <c r="L15" s="281" t="s">
        <v>926</v>
      </c>
      <c r="M15" s="285">
        <v>0</v>
      </c>
      <c r="N15" s="278">
        <f t="shared" si="1"/>
        <v>0</v>
      </c>
      <c r="O15" s="281" t="s">
        <v>926</v>
      </c>
      <c r="P15" s="285">
        <v>0</v>
      </c>
      <c r="Q15" s="278">
        <f t="shared" si="2"/>
        <v>0</v>
      </c>
      <c r="R15" s="281" t="s">
        <v>926</v>
      </c>
      <c r="S15" s="285">
        <v>0</v>
      </c>
      <c r="T15" s="278">
        <f t="shared" si="3"/>
        <v>0</v>
      </c>
      <c r="U15" s="281" t="s">
        <v>926</v>
      </c>
      <c r="V15" s="285">
        <v>0</v>
      </c>
      <c r="W15" s="278">
        <f t="shared" si="4"/>
        <v>0</v>
      </c>
      <c r="X15" s="281" t="s">
        <v>926</v>
      </c>
      <c r="Y15" s="285">
        <v>0</v>
      </c>
      <c r="Z15" s="278">
        <f t="shared" si="5"/>
        <v>0</v>
      </c>
    </row>
    <row r="16" spans="1:26" x14ac:dyDescent="0.3">
      <c r="A16" s="357"/>
      <c r="B16" s="364"/>
      <c r="C16" s="31" t="s">
        <v>116</v>
      </c>
      <c r="D16" s="34">
        <f>'ECONOMIA &amp; PROFESIONES'!$N$19</f>
        <v>4600</v>
      </c>
      <c r="E16" s="53">
        <f t="shared" si="6"/>
        <v>0</v>
      </c>
      <c r="F16" s="281" t="s">
        <v>926</v>
      </c>
      <c r="G16" s="285">
        <v>0</v>
      </c>
      <c r="H16" s="278">
        <f t="shared" si="0"/>
        <v>0</v>
      </c>
      <c r="I16" s="281" t="s">
        <v>926</v>
      </c>
      <c r="J16" s="285">
        <v>0</v>
      </c>
      <c r="K16" s="278">
        <f t="shared" si="7"/>
        <v>0</v>
      </c>
      <c r="L16" s="281" t="s">
        <v>926</v>
      </c>
      <c r="M16" s="285">
        <v>0</v>
      </c>
      <c r="N16" s="278">
        <f t="shared" si="1"/>
        <v>0</v>
      </c>
      <c r="O16" s="281" t="s">
        <v>926</v>
      </c>
      <c r="P16" s="285">
        <v>0</v>
      </c>
      <c r="Q16" s="278">
        <f t="shared" si="2"/>
        <v>0</v>
      </c>
      <c r="R16" s="281" t="s">
        <v>926</v>
      </c>
      <c r="S16" s="285">
        <v>0</v>
      </c>
      <c r="T16" s="278">
        <f t="shared" si="3"/>
        <v>0</v>
      </c>
      <c r="U16" s="281" t="s">
        <v>926</v>
      </c>
      <c r="V16" s="285">
        <v>0</v>
      </c>
      <c r="W16" s="278">
        <f t="shared" si="4"/>
        <v>0</v>
      </c>
      <c r="X16" s="281" t="s">
        <v>926</v>
      </c>
      <c r="Y16" s="285">
        <v>0</v>
      </c>
      <c r="Z16" s="278">
        <f t="shared" si="5"/>
        <v>0</v>
      </c>
    </row>
    <row r="17" spans="1:26" x14ac:dyDescent="0.3">
      <c r="A17" s="357"/>
      <c r="B17" s="366" t="s">
        <v>1229</v>
      </c>
      <c r="C17" s="32" t="s">
        <v>6</v>
      </c>
      <c r="D17" s="34">
        <f>'ECONOMIA &amp; PROFESIONES'!$N$20</f>
        <v>5650</v>
      </c>
      <c r="E17" s="53">
        <f t="shared" si="6"/>
        <v>0</v>
      </c>
      <c r="F17" s="281" t="s">
        <v>926</v>
      </c>
      <c r="G17" s="285">
        <v>0</v>
      </c>
      <c r="H17" s="278">
        <f t="shared" si="0"/>
        <v>0</v>
      </c>
      <c r="I17" s="281" t="s">
        <v>926</v>
      </c>
      <c r="J17" s="285">
        <v>0</v>
      </c>
      <c r="K17" s="278">
        <f t="shared" si="7"/>
        <v>0</v>
      </c>
      <c r="L17" s="281" t="s">
        <v>926</v>
      </c>
      <c r="M17" s="285">
        <v>0</v>
      </c>
      <c r="N17" s="278">
        <f t="shared" si="1"/>
        <v>0</v>
      </c>
      <c r="O17" s="281" t="s">
        <v>926</v>
      </c>
      <c r="P17" s="285">
        <v>0</v>
      </c>
      <c r="Q17" s="278">
        <f t="shared" si="2"/>
        <v>0</v>
      </c>
      <c r="R17" s="281" t="s">
        <v>926</v>
      </c>
      <c r="S17" s="285">
        <v>0</v>
      </c>
      <c r="T17" s="278">
        <f t="shared" si="3"/>
        <v>0</v>
      </c>
      <c r="U17" s="281" t="s">
        <v>926</v>
      </c>
      <c r="V17" s="285">
        <v>0</v>
      </c>
      <c r="W17" s="278">
        <f t="shared" si="4"/>
        <v>0</v>
      </c>
      <c r="X17" s="281" t="s">
        <v>926</v>
      </c>
      <c r="Y17" s="285">
        <v>0</v>
      </c>
      <c r="Z17" s="278">
        <f t="shared" si="5"/>
        <v>0</v>
      </c>
    </row>
    <row r="18" spans="1:26" x14ac:dyDescent="0.3">
      <c r="A18" s="357"/>
      <c r="B18" s="367"/>
      <c r="C18" s="31" t="s">
        <v>113</v>
      </c>
      <c r="D18" s="34">
        <f>'ECONOMIA &amp; PROFESIONES'!$N$21</f>
        <v>6625</v>
      </c>
      <c r="E18" s="53">
        <f t="shared" si="6"/>
        <v>0</v>
      </c>
      <c r="F18" s="281" t="s">
        <v>926</v>
      </c>
      <c r="G18" s="285">
        <v>0</v>
      </c>
      <c r="H18" s="278">
        <f t="shared" si="0"/>
        <v>0</v>
      </c>
      <c r="I18" s="281" t="s">
        <v>926</v>
      </c>
      <c r="J18" s="285">
        <v>0</v>
      </c>
      <c r="K18" s="278">
        <f t="shared" si="7"/>
        <v>0</v>
      </c>
      <c r="L18" s="281" t="s">
        <v>926</v>
      </c>
      <c r="M18" s="285">
        <v>0</v>
      </c>
      <c r="N18" s="278">
        <f t="shared" si="1"/>
        <v>0</v>
      </c>
      <c r="O18" s="281" t="s">
        <v>926</v>
      </c>
      <c r="P18" s="285">
        <v>0</v>
      </c>
      <c r="Q18" s="278">
        <f t="shared" si="2"/>
        <v>0</v>
      </c>
      <c r="R18" s="281" t="s">
        <v>926</v>
      </c>
      <c r="S18" s="285">
        <v>0</v>
      </c>
      <c r="T18" s="278">
        <f t="shared" si="3"/>
        <v>0</v>
      </c>
      <c r="U18" s="281" t="s">
        <v>926</v>
      </c>
      <c r="V18" s="285">
        <v>0</v>
      </c>
      <c r="W18" s="278">
        <f t="shared" si="4"/>
        <v>0</v>
      </c>
      <c r="X18" s="281" t="s">
        <v>926</v>
      </c>
      <c r="Y18" s="285">
        <v>0</v>
      </c>
      <c r="Z18" s="278">
        <f t="shared" si="5"/>
        <v>0</v>
      </c>
    </row>
    <row r="19" spans="1:26" x14ac:dyDescent="0.3">
      <c r="A19" s="357"/>
      <c r="B19" s="367"/>
      <c r="C19" s="32" t="s">
        <v>114</v>
      </c>
      <c r="D19" s="34">
        <f>'ECONOMIA &amp; PROFESIONES'!$N$22</f>
        <v>7600</v>
      </c>
      <c r="E19" s="53">
        <f t="shared" si="6"/>
        <v>0</v>
      </c>
      <c r="F19" s="281" t="s">
        <v>926</v>
      </c>
      <c r="G19" s="285">
        <v>0</v>
      </c>
      <c r="H19" s="278">
        <f t="shared" si="0"/>
        <v>0</v>
      </c>
      <c r="I19" s="281" t="s">
        <v>926</v>
      </c>
      <c r="J19" s="285">
        <v>0</v>
      </c>
      <c r="K19" s="278">
        <f t="shared" si="7"/>
        <v>0</v>
      </c>
      <c r="L19" s="281" t="s">
        <v>926</v>
      </c>
      <c r="M19" s="285">
        <v>0</v>
      </c>
      <c r="N19" s="278">
        <f t="shared" si="1"/>
        <v>0</v>
      </c>
      <c r="O19" s="281" t="s">
        <v>926</v>
      </c>
      <c r="P19" s="285">
        <v>0</v>
      </c>
      <c r="Q19" s="278">
        <f t="shared" si="2"/>
        <v>0</v>
      </c>
      <c r="R19" s="281" t="s">
        <v>926</v>
      </c>
      <c r="S19" s="285">
        <v>0</v>
      </c>
      <c r="T19" s="278">
        <f t="shared" si="3"/>
        <v>0</v>
      </c>
      <c r="U19" s="281" t="s">
        <v>926</v>
      </c>
      <c r="V19" s="285">
        <v>0</v>
      </c>
      <c r="W19" s="278">
        <f t="shared" si="4"/>
        <v>0</v>
      </c>
      <c r="X19" s="281" t="s">
        <v>926</v>
      </c>
      <c r="Y19" s="285">
        <v>0</v>
      </c>
      <c r="Z19" s="278">
        <f t="shared" si="5"/>
        <v>0</v>
      </c>
    </row>
    <row r="20" spans="1:26" x14ac:dyDescent="0.3">
      <c r="A20" s="357"/>
      <c r="B20" s="362"/>
      <c r="C20" s="31" t="s">
        <v>115</v>
      </c>
      <c r="D20" s="34">
        <f>'ECONOMIA &amp; PROFESIONES'!$N$23</f>
        <v>7275</v>
      </c>
      <c r="E20" s="53">
        <f t="shared" si="6"/>
        <v>0</v>
      </c>
      <c r="F20" s="281" t="s">
        <v>926</v>
      </c>
      <c r="G20" s="285">
        <v>0</v>
      </c>
      <c r="H20" s="278">
        <f t="shared" si="0"/>
        <v>0</v>
      </c>
      <c r="I20" s="281" t="s">
        <v>926</v>
      </c>
      <c r="J20" s="285">
        <v>0</v>
      </c>
      <c r="K20" s="278">
        <f t="shared" si="7"/>
        <v>0</v>
      </c>
      <c r="L20" s="281" t="s">
        <v>926</v>
      </c>
      <c r="M20" s="285">
        <v>0</v>
      </c>
      <c r="N20" s="278">
        <f t="shared" si="1"/>
        <v>0</v>
      </c>
      <c r="O20" s="281" t="s">
        <v>926</v>
      </c>
      <c r="P20" s="285">
        <v>0</v>
      </c>
      <c r="Q20" s="278">
        <f t="shared" si="2"/>
        <v>0</v>
      </c>
      <c r="R20" s="281" t="s">
        <v>926</v>
      </c>
      <c r="S20" s="285">
        <v>0</v>
      </c>
      <c r="T20" s="278">
        <f t="shared" si="3"/>
        <v>0</v>
      </c>
      <c r="U20" s="281" t="s">
        <v>926</v>
      </c>
      <c r="V20" s="285">
        <v>0</v>
      </c>
      <c r="W20" s="278">
        <f t="shared" si="4"/>
        <v>0</v>
      </c>
      <c r="X20" s="281" t="s">
        <v>926</v>
      </c>
      <c r="Y20" s="285">
        <v>0</v>
      </c>
      <c r="Z20" s="278">
        <f t="shared" si="5"/>
        <v>0</v>
      </c>
    </row>
    <row r="21" spans="1:26" x14ac:dyDescent="0.3">
      <c r="A21" s="357"/>
      <c r="B21" s="368"/>
      <c r="C21" s="32" t="s">
        <v>116</v>
      </c>
      <c r="D21" s="34">
        <f>'ECONOMIA &amp; PROFESIONES'!$N$24</f>
        <v>6300</v>
      </c>
      <c r="E21" s="53">
        <f t="shared" si="6"/>
        <v>0</v>
      </c>
      <c r="F21" s="281" t="s">
        <v>926</v>
      </c>
      <c r="G21" s="285">
        <v>0</v>
      </c>
      <c r="H21" s="278">
        <f t="shared" si="0"/>
        <v>0</v>
      </c>
      <c r="I21" s="281" t="s">
        <v>926</v>
      </c>
      <c r="J21" s="285">
        <v>0</v>
      </c>
      <c r="K21" s="278">
        <f t="shared" si="7"/>
        <v>0</v>
      </c>
      <c r="L21" s="281" t="s">
        <v>926</v>
      </c>
      <c r="M21" s="285">
        <v>0</v>
      </c>
      <c r="N21" s="278">
        <f t="shared" si="1"/>
        <v>0</v>
      </c>
      <c r="O21" s="281" t="s">
        <v>926</v>
      </c>
      <c r="P21" s="285">
        <v>0</v>
      </c>
      <c r="Q21" s="278">
        <f t="shared" si="2"/>
        <v>0</v>
      </c>
      <c r="R21" s="281" t="s">
        <v>926</v>
      </c>
      <c r="S21" s="285">
        <v>0</v>
      </c>
      <c r="T21" s="278">
        <f t="shared" si="3"/>
        <v>0</v>
      </c>
      <c r="U21" s="281" t="s">
        <v>926</v>
      </c>
      <c r="V21" s="285">
        <v>0</v>
      </c>
      <c r="W21" s="278">
        <f t="shared" si="4"/>
        <v>0</v>
      </c>
      <c r="X21" s="281" t="s">
        <v>926</v>
      </c>
      <c r="Y21" s="285">
        <v>0</v>
      </c>
      <c r="Z21" s="278">
        <f t="shared" si="5"/>
        <v>0</v>
      </c>
    </row>
    <row r="22" spans="1:26" x14ac:dyDescent="0.3">
      <c r="A22" s="357"/>
      <c r="B22" s="364" t="s">
        <v>1227</v>
      </c>
      <c r="C22" s="31" t="s">
        <v>6</v>
      </c>
      <c r="D22" s="34">
        <f>'ECONOMIA &amp; PROFESIONES'!$N$25</f>
        <v>7250</v>
      </c>
      <c r="E22" s="53">
        <f t="shared" si="6"/>
        <v>0</v>
      </c>
      <c r="F22" s="281" t="s">
        <v>926</v>
      </c>
      <c r="G22" s="285">
        <v>0</v>
      </c>
      <c r="H22" s="278">
        <f t="shared" si="0"/>
        <v>0</v>
      </c>
      <c r="I22" s="281" t="s">
        <v>926</v>
      </c>
      <c r="J22" s="285">
        <v>0</v>
      </c>
      <c r="K22" s="278">
        <f t="shared" si="7"/>
        <v>0</v>
      </c>
      <c r="L22" s="281" t="s">
        <v>926</v>
      </c>
      <c r="M22" s="285">
        <v>0</v>
      </c>
      <c r="N22" s="278">
        <f t="shared" si="1"/>
        <v>0</v>
      </c>
      <c r="O22" s="281" t="s">
        <v>926</v>
      </c>
      <c r="P22" s="285">
        <v>0</v>
      </c>
      <c r="Q22" s="278">
        <f t="shared" si="2"/>
        <v>0</v>
      </c>
      <c r="R22" s="281" t="s">
        <v>926</v>
      </c>
      <c r="S22" s="285">
        <v>0</v>
      </c>
      <c r="T22" s="278">
        <f t="shared" si="3"/>
        <v>0</v>
      </c>
      <c r="U22" s="281" t="s">
        <v>926</v>
      </c>
      <c r="V22" s="285">
        <v>0</v>
      </c>
      <c r="W22" s="278">
        <f t="shared" si="4"/>
        <v>0</v>
      </c>
      <c r="X22" s="281" t="s">
        <v>926</v>
      </c>
      <c r="Y22" s="285">
        <v>0</v>
      </c>
      <c r="Z22" s="278">
        <f t="shared" si="5"/>
        <v>0</v>
      </c>
    </row>
    <row r="23" spans="1:26" x14ac:dyDescent="0.3">
      <c r="A23" s="357"/>
      <c r="B23" s="364"/>
      <c r="C23" s="32" t="s">
        <v>113</v>
      </c>
      <c r="D23" s="34">
        <f>'ECONOMIA &amp; PROFESIONES'!$N$26</f>
        <v>8375</v>
      </c>
      <c r="E23" s="53">
        <f t="shared" si="6"/>
        <v>0</v>
      </c>
      <c r="F23" s="281" t="s">
        <v>926</v>
      </c>
      <c r="G23" s="285">
        <v>0</v>
      </c>
      <c r="H23" s="278">
        <f t="shared" si="0"/>
        <v>0</v>
      </c>
      <c r="I23" s="281" t="s">
        <v>926</v>
      </c>
      <c r="J23" s="285">
        <v>0</v>
      </c>
      <c r="K23" s="278">
        <f t="shared" si="7"/>
        <v>0</v>
      </c>
      <c r="L23" s="281" t="s">
        <v>926</v>
      </c>
      <c r="M23" s="285">
        <v>0</v>
      </c>
      <c r="N23" s="278">
        <f t="shared" si="1"/>
        <v>0</v>
      </c>
      <c r="O23" s="281" t="s">
        <v>926</v>
      </c>
      <c r="P23" s="285">
        <v>0</v>
      </c>
      <c r="Q23" s="278">
        <f t="shared" si="2"/>
        <v>0</v>
      </c>
      <c r="R23" s="281" t="s">
        <v>926</v>
      </c>
      <c r="S23" s="285">
        <v>0</v>
      </c>
      <c r="T23" s="278">
        <f t="shared" si="3"/>
        <v>0</v>
      </c>
      <c r="U23" s="281" t="s">
        <v>926</v>
      </c>
      <c r="V23" s="285">
        <v>0</v>
      </c>
      <c r="W23" s="278">
        <f t="shared" si="4"/>
        <v>0</v>
      </c>
      <c r="X23" s="281" t="s">
        <v>926</v>
      </c>
      <c r="Y23" s="285">
        <v>0</v>
      </c>
      <c r="Z23" s="278">
        <f t="shared" si="5"/>
        <v>0</v>
      </c>
    </row>
    <row r="24" spans="1:26" x14ac:dyDescent="0.3">
      <c r="A24" s="357"/>
      <c r="B24" s="364"/>
      <c r="C24" s="31" t="s">
        <v>114</v>
      </c>
      <c r="D24" s="34">
        <f>'ECONOMIA &amp; PROFESIONES'!$N$27</f>
        <v>9500</v>
      </c>
      <c r="E24" s="53">
        <f t="shared" si="6"/>
        <v>0</v>
      </c>
      <c r="F24" s="281" t="s">
        <v>926</v>
      </c>
      <c r="G24" s="285">
        <v>0</v>
      </c>
      <c r="H24" s="278">
        <f t="shared" si="0"/>
        <v>0</v>
      </c>
      <c r="I24" s="281" t="s">
        <v>926</v>
      </c>
      <c r="J24" s="285">
        <v>0</v>
      </c>
      <c r="K24" s="278">
        <f t="shared" si="7"/>
        <v>0</v>
      </c>
      <c r="L24" s="281" t="s">
        <v>926</v>
      </c>
      <c r="M24" s="285">
        <v>0</v>
      </c>
      <c r="N24" s="278">
        <f t="shared" si="1"/>
        <v>0</v>
      </c>
      <c r="O24" s="281" t="s">
        <v>926</v>
      </c>
      <c r="P24" s="285">
        <v>0</v>
      </c>
      <c r="Q24" s="278">
        <f t="shared" si="2"/>
        <v>0</v>
      </c>
      <c r="R24" s="281" t="s">
        <v>926</v>
      </c>
      <c r="S24" s="285">
        <v>0</v>
      </c>
      <c r="T24" s="278">
        <f t="shared" si="3"/>
        <v>0</v>
      </c>
      <c r="U24" s="281" t="s">
        <v>926</v>
      </c>
      <c r="V24" s="285">
        <v>0</v>
      </c>
      <c r="W24" s="278">
        <f t="shared" si="4"/>
        <v>0</v>
      </c>
      <c r="X24" s="281" t="s">
        <v>926</v>
      </c>
      <c r="Y24" s="285">
        <v>0</v>
      </c>
      <c r="Z24" s="278">
        <f t="shared" si="5"/>
        <v>0</v>
      </c>
    </row>
    <row r="25" spans="1:26" x14ac:dyDescent="0.3">
      <c r="A25" s="357"/>
      <c r="B25" s="364"/>
      <c r="C25" s="32" t="s">
        <v>115</v>
      </c>
      <c r="D25" s="34">
        <f>'ECONOMIA &amp; PROFESIONES'!$N$28</f>
        <v>9125</v>
      </c>
      <c r="E25" s="53">
        <f t="shared" si="6"/>
        <v>0</v>
      </c>
      <c r="F25" s="281" t="s">
        <v>926</v>
      </c>
      <c r="G25" s="285">
        <v>0</v>
      </c>
      <c r="H25" s="278">
        <f t="shared" si="0"/>
        <v>0</v>
      </c>
      <c r="I25" s="281" t="s">
        <v>926</v>
      </c>
      <c r="J25" s="285">
        <v>0</v>
      </c>
      <c r="K25" s="278">
        <f t="shared" si="7"/>
        <v>0</v>
      </c>
      <c r="L25" s="281" t="s">
        <v>926</v>
      </c>
      <c r="M25" s="285">
        <v>0</v>
      </c>
      <c r="N25" s="278">
        <f t="shared" si="1"/>
        <v>0</v>
      </c>
      <c r="O25" s="281" t="s">
        <v>926</v>
      </c>
      <c r="P25" s="285">
        <v>0</v>
      </c>
      <c r="Q25" s="278">
        <f t="shared" si="2"/>
        <v>0</v>
      </c>
      <c r="R25" s="281" t="s">
        <v>926</v>
      </c>
      <c r="S25" s="285">
        <v>0</v>
      </c>
      <c r="T25" s="278">
        <f t="shared" si="3"/>
        <v>0</v>
      </c>
      <c r="U25" s="281" t="s">
        <v>926</v>
      </c>
      <c r="V25" s="285">
        <v>0</v>
      </c>
      <c r="W25" s="278">
        <f t="shared" si="4"/>
        <v>0</v>
      </c>
      <c r="X25" s="281" t="s">
        <v>926</v>
      </c>
      <c r="Y25" s="285">
        <v>0</v>
      </c>
      <c r="Z25" s="278">
        <f t="shared" si="5"/>
        <v>0</v>
      </c>
    </row>
    <row r="26" spans="1:26" x14ac:dyDescent="0.3">
      <c r="A26" s="357"/>
      <c r="B26" s="364"/>
      <c r="C26" s="31" t="s">
        <v>116</v>
      </c>
      <c r="D26" s="34">
        <f>'ECONOMIA &amp; PROFESIONES'!$N$29</f>
        <v>8000</v>
      </c>
      <c r="E26" s="53">
        <f t="shared" si="6"/>
        <v>0</v>
      </c>
      <c r="F26" s="281" t="s">
        <v>926</v>
      </c>
      <c r="G26" s="285">
        <v>0</v>
      </c>
      <c r="H26" s="278">
        <f t="shared" si="0"/>
        <v>0</v>
      </c>
      <c r="I26" s="281" t="s">
        <v>926</v>
      </c>
      <c r="J26" s="285">
        <v>0</v>
      </c>
      <c r="K26" s="278">
        <f t="shared" si="7"/>
        <v>0</v>
      </c>
      <c r="L26" s="281" t="s">
        <v>926</v>
      </c>
      <c r="M26" s="285">
        <v>0</v>
      </c>
      <c r="N26" s="278">
        <f t="shared" si="1"/>
        <v>0</v>
      </c>
      <c r="O26" s="281" t="s">
        <v>926</v>
      </c>
      <c r="P26" s="285">
        <v>0</v>
      </c>
      <c r="Q26" s="278">
        <f t="shared" si="2"/>
        <v>0</v>
      </c>
      <c r="R26" s="281" t="s">
        <v>926</v>
      </c>
      <c r="S26" s="285">
        <v>0</v>
      </c>
      <c r="T26" s="278">
        <f t="shared" si="3"/>
        <v>0</v>
      </c>
      <c r="U26" s="281" t="s">
        <v>926</v>
      </c>
      <c r="V26" s="285">
        <v>0</v>
      </c>
      <c r="W26" s="278">
        <f t="shared" si="4"/>
        <v>0</v>
      </c>
      <c r="X26" s="281" t="s">
        <v>926</v>
      </c>
      <c r="Y26" s="285">
        <v>0</v>
      </c>
      <c r="Z26" s="278">
        <f t="shared" si="5"/>
        <v>0</v>
      </c>
    </row>
    <row r="27" spans="1:26" x14ac:dyDescent="0.3">
      <c r="A27" s="357" t="s">
        <v>1251</v>
      </c>
      <c r="B27" s="176"/>
      <c r="C27" s="176"/>
      <c r="D27" s="295"/>
      <c r="E27" s="284" t="s">
        <v>1150</v>
      </c>
      <c r="F27" s="284" t="s">
        <v>1151</v>
      </c>
      <c r="G27" s="284" t="s">
        <v>1230</v>
      </c>
      <c r="H27" s="284" t="s">
        <v>202</v>
      </c>
      <c r="I27" s="284" t="s">
        <v>1152</v>
      </c>
      <c r="J27" s="284" t="s">
        <v>1230</v>
      </c>
      <c r="K27" s="284" t="s">
        <v>202</v>
      </c>
      <c r="L27" s="284" t="s">
        <v>1170</v>
      </c>
      <c r="M27" s="284" t="s">
        <v>1230</v>
      </c>
      <c r="N27" s="284" t="s">
        <v>202</v>
      </c>
      <c r="O27" s="284" t="s">
        <v>1223</v>
      </c>
      <c r="P27" s="284" t="s">
        <v>1230</v>
      </c>
      <c r="Q27" s="284" t="s">
        <v>202</v>
      </c>
      <c r="R27" s="284" t="s">
        <v>1224</v>
      </c>
      <c r="S27" s="284" t="s">
        <v>1230</v>
      </c>
      <c r="T27" s="284" t="s">
        <v>202</v>
      </c>
      <c r="U27" s="284" t="s">
        <v>1225</v>
      </c>
      <c r="V27" s="284" t="s">
        <v>1230</v>
      </c>
      <c r="W27" s="284" t="s">
        <v>202</v>
      </c>
      <c r="X27" s="284" t="s">
        <v>1226</v>
      </c>
      <c r="Y27" s="284" t="s">
        <v>1230</v>
      </c>
      <c r="Z27" s="284" t="s">
        <v>202</v>
      </c>
    </row>
    <row r="28" spans="1:26" x14ac:dyDescent="0.3">
      <c r="A28" s="357"/>
      <c r="B28" s="358" t="s">
        <v>1161</v>
      </c>
      <c r="C28" s="31" t="s">
        <v>6</v>
      </c>
      <c r="D28" s="35">
        <f>'ECONOMIA &amp; PROFESIONES'!$O$5</f>
        <v>1300</v>
      </c>
      <c r="E28" s="53">
        <f>(H28*G28)+(K28*J28)+(M28*N28)+(P28*Q28)+(S28*T28)+(V28*W28)+(Y28*Z28)</f>
        <v>857.59999999999991</v>
      </c>
      <c r="F28" s="281" t="s">
        <v>1239</v>
      </c>
      <c r="G28" s="285">
        <v>2</v>
      </c>
      <c r="H28" s="278">
        <f t="shared" ref="H28:H52" si="8">VLOOKUP(F28,craftedesp,3,FALSE)</f>
        <v>172.79999999999998</v>
      </c>
      <c r="I28" s="281" t="s">
        <v>1165</v>
      </c>
      <c r="J28" s="285">
        <v>2</v>
      </c>
      <c r="K28" s="278">
        <f t="shared" ref="K28:K52" si="9">VLOOKUP(I28,craftedesp,3,FALSE)</f>
        <v>256</v>
      </c>
      <c r="L28" s="281" t="s">
        <v>926</v>
      </c>
      <c r="M28" s="285">
        <v>0</v>
      </c>
      <c r="N28" s="278">
        <f t="shared" ref="N28:N52" si="10">VLOOKUP(L28,craftedesp,3,FALSE)</f>
        <v>0</v>
      </c>
      <c r="O28" s="281" t="s">
        <v>926</v>
      </c>
      <c r="P28" s="285">
        <v>0</v>
      </c>
      <c r="Q28" s="278">
        <f t="shared" ref="Q28:Q52" si="11">VLOOKUP(O28,craftedesp,3,FALSE)</f>
        <v>0</v>
      </c>
      <c r="R28" s="281" t="s">
        <v>926</v>
      </c>
      <c r="S28" s="285">
        <v>0</v>
      </c>
      <c r="T28" s="278">
        <f t="shared" ref="T28:T52" si="12">VLOOKUP(R28,craftedesp,3,FALSE)</f>
        <v>0</v>
      </c>
      <c r="U28" s="281" t="s">
        <v>926</v>
      </c>
      <c r="V28" s="285">
        <v>0</v>
      </c>
      <c r="W28" s="278">
        <f t="shared" ref="W28:W52" si="13">VLOOKUP(U28,craftedesp,3,FALSE)</f>
        <v>0</v>
      </c>
      <c r="X28" s="281" t="s">
        <v>926</v>
      </c>
      <c r="Y28" s="285">
        <v>0</v>
      </c>
      <c r="Z28" s="278">
        <f t="shared" ref="Z28:Z52" si="14">VLOOKUP(X28,craftedesp,3,FALSE)</f>
        <v>0</v>
      </c>
    </row>
    <row r="29" spans="1:26" x14ac:dyDescent="0.3">
      <c r="A29" s="357"/>
      <c r="B29" s="359"/>
      <c r="C29" s="32" t="s">
        <v>113</v>
      </c>
      <c r="D29" s="35">
        <f>'ECONOMIA &amp; PROFESIONES'!$O$6</f>
        <v>2500</v>
      </c>
      <c r="E29" s="53">
        <f t="shared" ref="E29:E52" si="15">(H29*G29)+(K29*J29)+(M29*N29)+(P29*Q29)+(S29*T29)+(V29*W29)+(Y29*Z29)</f>
        <v>1700.6799999999998</v>
      </c>
      <c r="F29" s="281" t="s">
        <v>1243</v>
      </c>
      <c r="G29" s="285">
        <v>1</v>
      </c>
      <c r="H29" s="278">
        <f t="shared" si="8"/>
        <v>740.59999999999991</v>
      </c>
      <c r="I29" s="281" t="s">
        <v>1250</v>
      </c>
      <c r="J29" s="285">
        <v>2</v>
      </c>
      <c r="K29" s="278">
        <f t="shared" si="9"/>
        <v>480.04</v>
      </c>
      <c r="L29" s="281" t="s">
        <v>926</v>
      </c>
      <c r="M29" s="285">
        <v>0</v>
      </c>
      <c r="N29" s="278">
        <f t="shared" si="10"/>
        <v>0</v>
      </c>
      <c r="O29" s="281" t="s">
        <v>926</v>
      </c>
      <c r="P29" s="285">
        <v>0</v>
      </c>
      <c r="Q29" s="278">
        <f t="shared" si="11"/>
        <v>0</v>
      </c>
      <c r="R29" s="281" t="s">
        <v>926</v>
      </c>
      <c r="S29" s="285">
        <v>0</v>
      </c>
      <c r="T29" s="278">
        <f t="shared" si="12"/>
        <v>0</v>
      </c>
      <c r="U29" s="281" t="s">
        <v>926</v>
      </c>
      <c r="V29" s="285">
        <v>0</v>
      </c>
      <c r="W29" s="278">
        <f t="shared" si="13"/>
        <v>0</v>
      </c>
      <c r="X29" s="281" t="s">
        <v>926</v>
      </c>
      <c r="Y29" s="285">
        <v>0</v>
      </c>
      <c r="Z29" s="278">
        <f t="shared" si="14"/>
        <v>0</v>
      </c>
    </row>
    <row r="30" spans="1:26" x14ac:dyDescent="0.3">
      <c r="A30" s="357"/>
      <c r="B30" s="359"/>
      <c r="C30" s="31" t="s">
        <v>114</v>
      </c>
      <c r="D30" s="35">
        <f>'ECONOMIA &amp; PROFESIONES'!$O$7</f>
        <v>3700</v>
      </c>
      <c r="E30" s="53">
        <f t="shared" si="15"/>
        <v>2441.2799999999997</v>
      </c>
      <c r="F30" s="281" t="s">
        <v>1243</v>
      </c>
      <c r="G30" s="285">
        <v>2</v>
      </c>
      <c r="H30" s="278">
        <f t="shared" si="8"/>
        <v>740.59999999999991</v>
      </c>
      <c r="I30" s="281" t="s">
        <v>1250</v>
      </c>
      <c r="J30" s="285">
        <v>2</v>
      </c>
      <c r="K30" s="278">
        <f t="shared" si="9"/>
        <v>480.04</v>
      </c>
      <c r="L30" s="281" t="s">
        <v>926</v>
      </c>
      <c r="M30" s="285">
        <v>0</v>
      </c>
      <c r="N30" s="278">
        <f t="shared" si="10"/>
        <v>0</v>
      </c>
      <c r="O30" s="281" t="s">
        <v>926</v>
      </c>
      <c r="P30" s="285">
        <v>0</v>
      </c>
      <c r="Q30" s="278">
        <f t="shared" si="11"/>
        <v>0</v>
      </c>
      <c r="R30" s="281" t="s">
        <v>926</v>
      </c>
      <c r="S30" s="285">
        <v>0</v>
      </c>
      <c r="T30" s="278">
        <f t="shared" si="12"/>
        <v>0</v>
      </c>
      <c r="U30" s="281" t="s">
        <v>926</v>
      </c>
      <c r="V30" s="285">
        <v>0</v>
      </c>
      <c r="W30" s="278">
        <f t="shared" si="13"/>
        <v>0</v>
      </c>
      <c r="X30" s="281" t="s">
        <v>926</v>
      </c>
      <c r="Y30" s="285">
        <v>0</v>
      </c>
      <c r="Z30" s="278">
        <f t="shared" si="14"/>
        <v>0</v>
      </c>
    </row>
    <row r="31" spans="1:26" x14ac:dyDescent="0.3">
      <c r="A31" s="357"/>
      <c r="B31" s="359"/>
      <c r="C31" s="32" t="s">
        <v>115</v>
      </c>
      <c r="D31" s="35">
        <f>'ECONOMIA &amp; PROFESIONES'!$O$8</f>
        <v>3300</v>
      </c>
      <c r="E31" s="53">
        <f t="shared" si="15"/>
        <v>2180.7200000000003</v>
      </c>
      <c r="F31" s="281" t="s">
        <v>1243</v>
      </c>
      <c r="G31" s="285">
        <v>1</v>
      </c>
      <c r="H31" s="278">
        <f t="shared" si="8"/>
        <v>740.59999999999991</v>
      </c>
      <c r="I31" s="281" t="s">
        <v>1250</v>
      </c>
      <c r="J31" s="285">
        <v>3</v>
      </c>
      <c r="K31" s="278">
        <f t="shared" si="9"/>
        <v>480.04</v>
      </c>
      <c r="L31" s="281" t="s">
        <v>926</v>
      </c>
      <c r="M31" s="285">
        <v>0</v>
      </c>
      <c r="N31" s="278">
        <f t="shared" si="10"/>
        <v>0</v>
      </c>
      <c r="O31" s="281" t="s">
        <v>926</v>
      </c>
      <c r="P31" s="285">
        <v>0</v>
      </c>
      <c r="Q31" s="278">
        <f t="shared" si="11"/>
        <v>0</v>
      </c>
      <c r="R31" s="281" t="s">
        <v>926</v>
      </c>
      <c r="S31" s="285">
        <v>0</v>
      </c>
      <c r="T31" s="278">
        <f t="shared" si="12"/>
        <v>0</v>
      </c>
      <c r="U31" s="281" t="s">
        <v>926</v>
      </c>
      <c r="V31" s="285">
        <v>0</v>
      </c>
      <c r="W31" s="278">
        <f t="shared" si="13"/>
        <v>0</v>
      </c>
      <c r="X31" s="281" t="s">
        <v>926</v>
      </c>
      <c r="Y31" s="285">
        <v>0</v>
      </c>
      <c r="Z31" s="278">
        <f t="shared" si="14"/>
        <v>0</v>
      </c>
    </row>
    <row r="32" spans="1:26" x14ac:dyDescent="0.3">
      <c r="A32" s="357"/>
      <c r="B32" s="360"/>
      <c r="C32" s="31" t="s">
        <v>116</v>
      </c>
      <c r="D32" s="35">
        <f>'ECONOMIA &amp; PROFESIONES'!$O$9</f>
        <v>2100</v>
      </c>
      <c r="E32" s="53">
        <f t="shared" si="15"/>
        <v>1220.6399999999999</v>
      </c>
      <c r="F32" s="281" t="s">
        <v>1243</v>
      </c>
      <c r="G32" s="285">
        <v>1</v>
      </c>
      <c r="H32" s="278">
        <f t="shared" si="8"/>
        <v>740.59999999999991</v>
      </c>
      <c r="I32" s="281" t="s">
        <v>1250</v>
      </c>
      <c r="J32" s="285">
        <v>1</v>
      </c>
      <c r="K32" s="278">
        <f t="shared" si="9"/>
        <v>480.04</v>
      </c>
      <c r="L32" s="281" t="s">
        <v>926</v>
      </c>
      <c r="M32" s="285">
        <v>0</v>
      </c>
      <c r="N32" s="278">
        <f t="shared" si="10"/>
        <v>0</v>
      </c>
      <c r="O32" s="281" t="s">
        <v>926</v>
      </c>
      <c r="P32" s="285">
        <v>0</v>
      </c>
      <c r="Q32" s="278">
        <f t="shared" si="11"/>
        <v>0</v>
      </c>
      <c r="R32" s="281" t="s">
        <v>926</v>
      </c>
      <c r="S32" s="285">
        <v>0</v>
      </c>
      <c r="T32" s="278">
        <f t="shared" si="12"/>
        <v>0</v>
      </c>
      <c r="U32" s="281" t="s">
        <v>926</v>
      </c>
      <c r="V32" s="285">
        <v>0</v>
      </c>
      <c r="W32" s="278">
        <f t="shared" si="13"/>
        <v>0</v>
      </c>
      <c r="X32" s="281" t="s">
        <v>926</v>
      </c>
      <c r="Y32" s="285">
        <v>0</v>
      </c>
      <c r="Z32" s="278">
        <f t="shared" si="14"/>
        <v>0</v>
      </c>
    </row>
    <row r="33" spans="1:26" x14ac:dyDescent="0.3">
      <c r="A33" s="357"/>
      <c r="B33" s="361" t="s">
        <v>1162</v>
      </c>
      <c r="C33" s="32" t="s">
        <v>6</v>
      </c>
      <c r="D33" s="35">
        <f>'ECONOMIA &amp; PROFESIONES'!$O$10</f>
        <v>2850</v>
      </c>
      <c r="E33" s="53">
        <f t="shared" si="15"/>
        <v>0</v>
      </c>
      <c r="F33" s="281" t="s">
        <v>926</v>
      </c>
      <c r="G33" s="285">
        <v>0</v>
      </c>
      <c r="H33" s="278">
        <f t="shared" si="8"/>
        <v>0</v>
      </c>
      <c r="I33" s="281" t="s">
        <v>926</v>
      </c>
      <c r="J33" s="285">
        <v>0</v>
      </c>
      <c r="K33" s="278">
        <f t="shared" si="9"/>
        <v>0</v>
      </c>
      <c r="L33" s="281" t="s">
        <v>926</v>
      </c>
      <c r="M33" s="285">
        <v>0</v>
      </c>
      <c r="N33" s="278">
        <f t="shared" si="10"/>
        <v>0</v>
      </c>
      <c r="O33" s="281" t="s">
        <v>926</v>
      </c>
      <c r="P33" s="285">
        <v>0</v>
      </c>
      <c r="Q33" s="278">
        <f t="shared" si="11"/>
        <v>0</v>
      </c>
      <c r="R33" s="281" t="s">
        <v>926</v>
      </c>
      <c r="S33" s="285">
        <v>0</v>
      </c>
      <c r="T33" s="278">
        <f t="shared" si="12"/>
        <v>0</v>
      </c>
      <c r="U33" s="281" t="s">
        <v>926</v>
      </c>
      <c r="V33" s="285">
        <v>0</v>
      </c>
      <c r="W33" s="278">
        <f t="shared" si="13"/>
        <v>0</v>
      </c>
      <c r="X33" s="281" t="s">
        <v>926</v>
      </c>
      <c r="Y33" s="285">
        <v>0</v>
      </c>
      <c r="Z33" s="278">
        <f t="shared" si="14"/>
        <v>0</v>
      </c>
    </row>
    <row r="34" spans="1:26" x14ac:dyDescent="0.3">
      <c r="A34" s="357"/>
      <c r="B34" s="362"/>
      <c r="C34" s="31" t="s">
        <v>113</v>
      </c>
      <c r="D34" s="35">
        <f>'ECONOMIA &amp; PROFESIONES'!$O$11</f>
        <v>4125</v>
      </c>
      <c r="E34" s="53">
        <f t="shared" si="15"/>
        <v>0</v>
      </c>
      <c r="F34" s="281" t="s">
        <v>926</v>
      </c>
      <c r="G34" s="285">
        <v>0</v>
      </c>
      <c r="H34" s="278">
        <f t="shared" si="8"/>
        <v>0</v>
      </c>
      <c r="I34" s="281" t="s">
        <v>926</v>
      </c>
      <c r="J34" s="285">
        <v>0</v>
      </c>
      <c r="K34" s="278">
        <f t="shared" si="9"/>
        <v>0</v>
      </c>
      <c r="L34" s="281" t="s">
        <v>926</v>
      </c>
      <c r="M34" s="285">
        <v>0</v>
      </c>
      <c r="N34" s="278">
        <f t="shared" si="10"/>
        <v>0</v>
      </c>
      <c r="O34" s="281" t="s">
        <v>926</v>
      </c>
      <c r="P34" s="285">
        <v>0</v>
      </c>
      <c r="Q34" s="278">
        <f t="shared" si="11"/>
        <v>0</v>
      </c>
      <c r="R34" s="281" t="s">
        <v>926</v>
      </c>
      <c r="S34" s="285">
        <v>0</v>
      </c>
      <c r="T34" s="278">
        <f t="shared" si="12"/>
        <v>0</v>
      </c>
      <c r="U34" s="281" t="s">
        <v>926</v>
      </c>
      <c r="V34" s="285">
        <v>0</v>
      </c>
      <c r="W34" s="278">
        <f t="shared" si="13"/>
        <v>0</v>
      </c>
      <c r="X34" s="281" t="s">
        <v>926</v>
      </c>
      <c r="Y34" s="285">
        <v>0</v>
      </c>
      <c r="Z34" s="278">
        <f t="shared" si="14"/>
        <v>0</v>
      </c>
    </row>
    <row r="35" spans="1:26" x14ac:dyDescent="0.3">
      <c r="A35" s="357"/>
      <c r="B35" s="362"/>
      <c r="C35" s="32" t="s">
        <v>114</v>
      </c>
      <c r="D35" s="35">
        <f>'ECONOMIA &amp; PROFESIONES'!$O$12</f>
        <v>5400</v>
      </c>
      <c r="E35" s="53">
        <f t="shared" si="15"/>
        <v>0</v>
      </c>
      <c r="F35" s="281" t="s">
        <v>926</v>
      </c>
      <c r="G35" s="285">
        <v>0</v>
      </c>
      <c r="H35" s="278">
        <f t="shared" si="8"/>
        <v>0</v>
      </c>
      <c r="I35" s="281" t="s">
        <v>926</v>
      </c>
      <c r="J35" s="285">
        <v>0</v>
      </c>
      <c r="K35" s="278">
        <f t="shared" si="9"/>
        <v>0</v>
      </c>
      <c r="L35" s="281" t="s">
        <v>926</v>
      </c>
      <c r="M35" s="285">
        <v>0</v>
      </c>
      <c r="N35" s="278">
        <f t="shared" si="10"/>
        <v>0</v>
      </c>
      <c r="O35" s="281" t="s">
        <v>926</v>
      </c>
      <c r="P35" s="285">
        <v>0</v>
      </c>
      <c r="Q35" s="278">
        <f t="shared" si="11"/>
        <v>0</v>
      </c>
      <c r="R35" s="281" t="s">
        <v>926</v>
      </c>
      <c r="S35" s="285">
        <v>0</v>
      </c>
      <c r="T35" s="278">
        <f t="shared" si="12"/>
        <v>0</v>
      </c>
      <c r="U35" s="281" t="s">
        <v>926</v>
      </c>
      <c r="V35" s="285">
        <v>0</v>
      </c>
      <c r="W35" s="278">
        <f t="shared" si="13"/>
        <v>0</v>
      </c>
      <c r="X35" s="281" t="s">
        <v>926</v>
      </c>
      <c r="Y35" s="285">
        <v>0</v>
      </c>
      <c r="Z35" s="278">
        <f t="shared" si="14"/>
        <v>0</v>
      </c>
    </row>
    <row r="36" spans="1:26" x14ac:dyDescent="0.3">
      <c r="A36" s="357"/>
      <c r="B36" s="362"/>
      <c r="C36" s="31" t="s">
        <v>115</v>
      </c>
      <c r="D36" s="35">
        <f>'ECONOMIA &amp; PROFESIONES'!$O$13</f>
        <v>4975</v>
      </c>
      <c r="E36" s="53">
        <f t="shared" si="15"/>
        <v>0</v>
      </c>
      <c r="F36" s="281" t="s">
        <v>926</v>
      </c>
      <c r="G36" s="285">
        <v>0</v>
      </c>
      <c r="H36" s="278">
        <f t="shared" si="8"/>
        <v>0</v>
      </c>
      <c r="I36" s="281" t="s">
        <v>926</v>
      </c>
      <c r="J36" s="285">
        <v>0</v>
      </c>
      <c r="K36" s="278">
        <f t="shared" si="9"/>
        <v>0</v>
      </c>
      <c r="L36" s="281" t="s">
        <v>926</v>
      </c>
      <c r="M36" s="285">
        <v>0</v>
      </c>
      <c r="N36" s="278">
        <f t="shared" si="10"/>
        <v>0</v>
      </c>
      <c r="O36" s="281" t="s">
        <v>926</v>
      </c>
      <c r="P36" s="285">
        <v>0</v>
      </c>
      <c r="Q36" s="278">
        <f t="shared" si="11"/>
        <v>0</v>
      </c>
      <c r="R36" s="281" t="s">
        <v>926</v>
      </c>
      <c r="S36" s="285">
        <v>0</v>
      </c>
      <c r="T36" s="278">
        <f t="shared" si="12"/>
        <v>0</v>
      </c>
      <c r="U36" s="281" t="s">
        <v>926</v>
      </c>
      <c r="V36" s="285">
        <v>0</v>
      </c>
      <c r="W36" s="278">
        <f t="shared" si="13"/>
        <v>0</v>
      </c>
      <c r="X36" s="281" t="s">
        <v>926</v>
      </c>
      <c r="Y36" s="285">
        <v>0</v>
      </c>
      <c r="Z36" s="278">
        <f t="shared" si="14"/>
        <v>0</v>
      </c>
    </row>
    <row r="37" spans="1:26" x14ac:dyDescent="0.3">
      <c r="A37" s="357"/>
      <c r="B37" s="363"/>
      <c r="C37" s="32" t="s">
        <v>116</v>
      </c>
      <c r="D37" s="35">
        <f>'ECONOMIA &amp; PROFESIONES'!$O$14</f>
        <v>3700</v>
      </c>
      <c r="E37" s="53">
        <f t="shared" si="15"/>
        <v>0</v>
      </c>
      <c r="F37" s="281" t="s">
        <v>926</v>
      </c>
      <c r="G37" s="285">
        <v>0</v>
      </c>
      <c r="H37" s="278">
        <f t="shared" si="8"/>
        <v>0</v>
      </c>
      <c r="I37" s="281" t="s">
        <v>926</v>
      </c>
      <c r="J37" s="285">
        <v>0</v>
      </c>
      <c r="K37" s="278">
        <f t="shared" si="9"/>
        <v>0</v>
      </c>
      <c r="L37" s="281" t="s">
        <v>926</v>
      </c>
      <c r="M37" s="285">
        <v>0</v>
      </c>
      <c r="N37" s="278">
        <f t="shared" si="10"/>
        <v>0</v>
      </c>
      <c r="O37" s="281" t="s">
        <v>926</v>
      </c>
      <c r="P37" s="285">
        <v>0</v>
      </c>
      <c r="Q37" s="278">
        <f t="shared" si="11"/>
        <v>0</v>
      </c>
      <c r="R37" s="281" t="s">
        <v>926</v>
      </c>
      <c r="S37" s="285">
        <v>0</v>
      </c>
      <c r="T37" s="278">
        <f t="shared" si="12"/>
        <v>0</v>
      </c>
      <c r="U37" s="281" t="s">
        <v>926</v>
      </c>
      <c r="V37" s="285">
        <v>0</v>
      </c>
      <c r="W37" s="278">
        <f t="shared" si="13"/>
        <v>0</v>
      </c>
      <c r="X37" s="281" t="s">
        <v>926</v>
      </c>
      <c r="Y37" s="285">
        <v>0</v>
      </c>
      <c r="Z37" s="278">
        <f t="shared" si="14"/>
        <v>0</v>
      </c>
    </row>
    <row r="38" spans="1:26" x14ac:dyDescent="0.3">
      <c r="A38" s="357"/>
      <c r="B38" s="364" t="s">
        <v>1228</v>
      </c>
      <c r="C38" s="31" t="s">
        <v>6</v>
      </c>
      <c r="D38" s="35">
        <f>'ECONOMIA &amp; PROFESIONES'!$O$15</f>
        <v>4450</v>
      </c>
      <c r="E38" s="53">
        <f t="shared" si="15"/>
        <v>0</v>
      </c>
      <c r="F38" s="281" t="s">
        <v>926</v>
      </c>
      <c r="G38" s="285">
        <v>0</v>
      </c>
      <c r="H38" s="278">
        <f t="shared" si="8"/>
        <v>0</v>
      </c>
      <c r="I38" s="281" t="s">
        <v>926</v>
      </c>
      <c r="J38" s="285">
        <v>0</v>
      </c>
      <c r="K38" s="278">
        <f t="shared" si="9"/>
        <v>0</v>
      </c>
      <c r="L38" s="281" t="s">
        <v>926</v>
      </c>
      <c r="M38" s="285">
        <v>0</v>
      </c>
      <c r="N38" s="278">
        <f t="shared" si="10"/>
        <v>0</v>
      </c>
      <c r="O38" s="281" t="s">
        <v>926</v>
      </c>
      <c r="P38" s="285">
        <v>0</v>
      </c>
      <c r="Q38" s="278">
        <f t="shared" si="11"/>
        <v>0</v>
      </c>
      <c r="R38" s="281" t="s">
        <v>926</v>
      </c>
      <c r="S38" s="285">
        <v>0</v>
      </c>
      <c r="T38" s="278">
        <f t="shared" si="12"/>
        <v>0</v>
      </c>
      <c r="U38" s="281" t="s">
        <v>926</v>
      </c>
      <c r="V38" s="285">
        <v>0</v>
      </c>
      <c r="W38" s="278">
        <f t="shared" si="13"/>
        <v>0</v>
      </c>
      <c r="X38" s="281" t="s">
        <v>926</v>
      </c>
      <c r="Y38" s="285">
        <v>0</v>
      </c>
      <c r="Z38" s="278">
        <f t="shared" si="14"/>
        <v>0</v>
      </c>
    </row>
    <row r="39" spans="1:26" x14ac:dyDescent="0.3">
      <c r="A39" s="357"/>
      <c r="B39" s="365"/>
      <c r="C39" s="32" t="s">
        <v>113</v>
      </c>
      <c r="D39" s="35">
        <f>'ECONOMIA &amp; PROFESIONES'!$O$16</f>
        <v>5875</v>
      </c>
      <c r="E39" s="53">
        <f t="shared" si="15"/>
        <v>0</v>
      </c>
      <c r="F39" s="281" t="s">
        <v>926</v>
      </c>
      <c r="G39" s="285">
        <v>0</v>
      </c>
      <c r="H39" s="278">
        <f t="shared" si="8"/>
        <v>0</v>
      </c>
      <c r="I39" s="281" t="s">
        <v>926</v>
      </c>
      <c r="J39" s="285">
        <v>0</v>
      </c>
      <c r="K39" s="278">
        <f t="shared" si="9"/>
        <v>0</v>
      </c>
      <c r="L39" s="281" t="s">
        <v>926</v>
      </c>
      <c r="M39" s="285">
        <v>0</v>
      </c>
      <c r="N39" s="278">
        <f t="shared" si="10"/>
        <v>0</v>
      </c>
      <c r="O39" s="281" t="s">
        <v>926</v>
      </c>
      <c r="P39" s="285">
        <v>0</v>
      </c>
      <c r="Q39" s="278">
        <f t="shared" si="11"/>
        <v>0</v>
      </c>
      <c r="R39" s="281" t="s">
        <v>926</v>
      </c>
      <c r="S39" s="285">
        <v>0</v>
      </c>
      <c r="T39" s="278">
        <f t="shared" si="12"/>
        <v>0</v>
      </c>
      <c r="U39" s="281" t="s">
        <v>926</v>
      </c>
      <c r="V39" s="285">
        <v>0</v>
      </c>
      <c r="W39" s="278">
        <f t="shared" si="13"/>
        <v>0</v>
      </c>
      <c r="X39" s="281" t="s">
        <v>926</v>
      </c>
      <c r="Y39" s="285">
        <v>0</v>
      </c>
      <c r="Z39" s="278">
        <f t="shared" si="14"/>
        <v>0</v>
      </c>
    </row>
    <row r="40" spans="1:26" x14ac:dyDescent="0.3">
      <c r="A40" s="357"/>
      <c r="B40" s="365"/>
      <c r="C40" s="31" t="s">
        <v>114</v>
      </c>
      <c r="D40" s="35">
        <f>'ECONOMIA &amp; PROFESIONES'!$O$17</f>
        <v>7300</v>
      </c>
      <c r="E40" s="53">
        <f t="shared" si="15"/>
        <v>0</v>
      </c>
      <c r="F40" s="281" t="s">
        <v>926</v>
      </c>
      <c r="G40" s="285">
        <v>0</v>
      </c>
      <c r="H40" s="278">
        <f t="shared" si="8"/>
        <v>0</v>
      </c>
      <c r="I40" s="281" t="s">
        <v>926</v>
      </c>
      <c r="J40" s="285">
        <v>0</v>
      </c>
      <c r="K40" s="278">
        <f t="shared" si="9"/>
        <v>0</v>
      </c>
      <c r="L40" s="281" t="s">
        <v>926</v>
      </c>
      <c r="M40" s="285">
        <v>0</v>
      </c>
      <c r="N40" s="278">
        <f t="shared" si="10"/>
        <v>0</v>
      </c>
      <c r="O40" s="281" t="s">
        <v>926</v>
      </c>
      <c r="P40" s="285">
        <v>0</v>
      </c>
      <c r="Q40" s="278">
        <f t="shared" si="11"/>
        <v>0</v>
      </c>
      <c r="R40" s="281" t="s">
        <v>926</v>
      </c>
      <c r="S40" s="285">
        <v>0</v>
      </c>
      <c r="T40" s="278">
        <f t="shared" si="12"/>
        <v>0</v>
      </c>
      <c r="U40" s="281" t="s">
        <v>926</v>
      </c>
      <c r="V40" s="285">
        <v>0</v>
      </c>
      <c r="W40" s="278">
        <f t="shared" si="13"/>
        <v>0</v>
      </c>
      <c r="X40" s="281" t="s">
        <v>926</v>
      </c>
      <c r="Y40" s="285">
        <v>0</v>
      </c>
      <c r="Z40" s="278">
        <f t="shared" si="14"/>
        <v>0</v>
      </c>
    </row>
    <row r="41" spans="1:26" x14ac:dyDescent="0.3">
      <c r="A41" s="357"/>
      <c r="B41" s="364"/>
      <c r="C41" s="32" t="s">
        <v>115</v>
      </c>
      <c r="D41" s="35">
        <f>'ECONOMIA &amp; PROFESIONES'!$O$18</f>
        <v>6825</v>
      </c>
      <c r="E41" s="53">
        <f t="shared" si="15"/>
        <v>0</v>
      </c>
      <c r="F41" s="281" t="s">
        <v>926</v>
      </c>
      <c r="G41" s="285">
        <v>0</v>
      </c>
      <c r="H41" s="278">
        <f t="shared" si="8"/>
        <v>0</v>
      </c>
      <c r="I41" s="281" t="s">
        <v>926</v>
      </c>
      <c r="J41" s="285">
        <v>0</v>
      </c>
      <c r="K41" s="278">
        <f t="shared" si="9"/>
        <v>0</v>
      </c>
      <c r="L41" s="281" t="s">
        <v>926</v>
      </c>
      <c r="M41" s="285">
        <v>0</v>
      </c>
      <c r="N41" s="278">
        <f t="shared" si="10"/>
        <v>0</v>
      </c>
      <c r="O41" s="281" t="s">
        <v>926</v>
      </c>
      <c r="P41" s="285">
        <v>0</v>
      </c>
      <c r="Q41" s="278">
        <f t="shared" si="11"/>
        <v>0</v>
      </c>
      <c r="R41" s="281" t="s">
        <v>926</v>
      </c>
      <c r="S41" s="285">
        <v>0</v>
      </c>
      <c r="T41" s="278">
        <f t="shared" si="12"/>
        <v>0</v>
      </c>
      <c r="U41" s="281" t="s">
        <v>926</v>
      </c>
      <c r="V41" s="285">
        <v>0</v>
      </c>
      <c r="W41" s="278">
        <f t="shared" si="13"/>
        <v>0</v>
      </c>
      <c r="X41" s="281" t="s">
        <v>926</v>
      </c>
      <c r="Y41" s="285">
        <v>0</v>
      </c>
      <c r="Z41" s="278">
        <f t="shared" si="14"/>
        <v>0</v>
      </c>
    </row>
    <row r="42" spans="1:26" x14ac:dyDescent="0.3">
      <c r="A42" s="357"/>
      <c r="B42" s="364"/>
      <c r="C42" s="31" t="s">
        <v>116</v>
      </c>
      <c r="D42" s="35">
        <f>'ECONOMIA &amp; PROFESIONES'!$O$19</f>
        <v>5400</v>
      </c>
      <c r="E42" s="53">
        <f t="shared" si="15"/>
        <v>0</v>
      </c>
      <c r="F42" s="281" t="s">
        <v>926</v>
      </c>
      <c r="G42" s="285">
        <v>0</v>
      </c>
      <c r="H42" s="278">
        <f t="shared" si="8"/>
        <v>0</v>
      </c>
      <c r="I42" s="281" t="s">
        <v>926</v>
      </c>
      <c r="J42" s="285">
        <v>0</v>
      </c>
      <c r="K42" s="278">
        <f t="shared" si="9"/>
        <v>0</v>
      </c>
      <c r="L42" s="281" t="s">
        <v>926</v>
      </c>
      <c r="M42" s="285">
        <v>0</v>
      </c>
      <c r="N42" s="278">
        <f t="shared" si="10"/>
        <v>0</v>
      </c>
      <c r="O42" s="281" t="s">
        <v>926</v>
      </c>
      <c r="P42" s="285">
        <v>0</v>
      </c>
      <c r="Q42" s="278">
        <f t="shared" si="11"/>
        <v>0</v>
      </c>
      <c r="R42" s="281" t="s">
        <v>926</v>
      </c>
      <c r="S42" s="285">
        <v>0</v>
      </c>
      <c r="T42" s="278">
        <f t="shared" si="12"/>
        <v>0</v>
      </c>
      <c r="U42" s="281" t="s">
        <v>926</v>
      </c>
      <c r="V42" s="285">
        <v>0</v>
      </c>
      <c r="W42" s="278">
        <f t="shared" si="13"/>
        <v>0</v>
      </c>
      <c r="X42" s="281" t="s">
        <v>926</v>
      </c>
      <c r="Y42" s="285">
        <v>0</v>
      </c>
      <c r="Z42" s="278">
        <f t="shared" si="14"/>
        <v>0</v>
      </c>
    </row>
    <row r="43" spans="1:26" x14ac:dyDescent="0.3">
      <c r="A43" s="357"/>
      <c r="B43" s="366" t="s">
        <v>1229</v>
      </c>
      <c r="C43" s="32" t="s">
        <v>6</v>
      </c>
      <c r="D43" s="35">
        <f>'ECONOMIA &amp; PROFESIONES'!$O$20</f>
        <v>6050</v>
      </c>
      <c r="E43" s="53">
        <f t="shared" si="15"/>
        <v>0</v>
      </c>
      <c r="F43" s="281" t="s">
        <v>926</v>
      </c>
      <c r="G43" s="285">
        <v>0</v>
      </c>
      <c r="H43" s="278">
        <f t="shared" si="8"/>
        <v>0</v>
      </c>
      <c r="I43" s="281" t="s">
        <v>926</v>
      </c>
      <c r="J43" s="285">
        <v>0</v>
      </c>
      <c r="K43" s="278">
        <f t="shared" si="9"/>
        <v>0</v>
      </c>
      <c r="L43" s="281" t="s">
        <v>926</v>
      </c>
      <c r="M43" s="285">
        <v>0</v>
      </c>
      <c r="N43" s="278">
        <f t="shared" si="10"/>
        <v>0</v>
      </c>
      <c r="O43" s="281" t="s">
        <v>926</v>
      </c>
      <c r="P43" s="285">
        <v>0</v>
      </c>
      <c r="Q43" s="278">
        <f t="shared" si="11"/>
        <v>0</v>
      </c>
      <c r="R43" s="281" t="s">
        <v>926</v>
      </c>
      <c r="S43" s="285">
        <v>0</v>
      </c>
      <c r="T43" s="278">
        <f t="shared" si="12"/>
        <v>0</v>
      </c>
      <c r="U43" s="281" t="s">
        <v>926</v>
      </c>
      <c r="V43" s="285">
        <v>0</v>
      </c>
      <c r="W43" s="278">
        <f t="shared" si="13"/>
        <v>0</v>
      </c>
      <c r="X43" s="281" t="s">
        <v>926</v>
      </c>
      <c r="Y43" s="285">
        <v>0</v>
      </c>
      <c r="Z43" s="278">
        <f t="shared" si="14"/>
        <v>0</v>
      </c>
    </row>
    <row r="44" spans="1:26" x14ac:dyDescent="0.3">
      <c r="A44" s="357"/>
      <c r="B44" s="367"/>
      <c r="C44" s="31" t="s">
        <v>113</v>
      </c>
      <c r="D44" s="35">
        <f>'ECONOMIA &amp; PROFESIONES'!$O$21</f>
        <v>7625</v>
      </c>
      <c r="E44" s="53">
        <f t="shared" si="15"/>
        <v>0</v>
      </c>
      <c r="F44" s="281" t="s">
        <v>926</v>
      </c>
      <c r="G44" s="285">
        <v>0</v>
      </c>
      <c r="H44" s="278">
        <f t="shared" si="8"/>
        <v>0</v>
      </c>
      <c r="I44" s="281" t="s">
        <v>926</v>
      </c>
      <c r="J44" s="285">
        <v>0</v>
      </c>
      <c r="K44" s="278">
        <f t="shared" si="9"/>
        <v>0</v>
      </c>
      <c r="L44" s="281" t="s">
        <v>926</v>
      </c>
      <c r="M44" s="285">
        <v>0</v>
      </c>
      <c r="N44" s="278">
        <f t="shared" si="10"/>
        <v>0</v>
      </c>
      <c r="O44" s="281" t="s">
        <v>926</v>
      </c>
      <c r="P44" s="285">
        <v>0</v>
      </c>
      <c r="Q44" s="278">
        <f t="shared" si="11"/>
        <v>0</v>
      </c>
      <c r="R44" s="281" t="s">
        <v>926</v>
      </c>
      <c r="S44" s="285">
        <v>0</v>
      </c>
      <c r="T44" s="278">
        <f t="shared" si="12"/>
        <v>0</v>
      </c>
      <c r="U44" s="281" t="s">
        <v>926</v>
      </c>
      <c r="V44" s="285">
        <v>0</v>
      </c>
      <c r="W44" s="278">
        <f t="shared" si="13"/>
        <v>0</v>
      </c>
      <c r="X44" s="281" t="s">
        <v>926</v>
      </c>
      <c r="Y44" s="285">
        <v>0</v>
      </c>
      <c r="Z44" s="278">
        <f t="shared" si="14"/>
        <v>0</v>
      </c>
    </row>
    <row r="45" spans="1:26" x14ac:dyDescent="0.3">
      <c r="A45" s="357"/>
      <c r="B45" s="367"/>
      <c r="C45" s="32" t="s">
        <v>114</v>
      </c>
      <c r="D45" s="35">
        <f>'ECONOMIA &amp; PROFESIONES'!$O$22</f>
        <v>9200</v>
      </c>
      <c r="E45" s="53">
        <f t="shared" si="15"/>
        <v>0</v>
      </c>
      <c r="F45" s="281" t="s">
        <v>926</v>
      </c>
      <c r="G45" s="285">
        <v>0</v>
      </c>
      <c r="H45" s="278">
        <f t="shared" si="8"/>
        <v>0</v>
      </c>
      <c r="I45" s="281" t="s">
        <v>926</v>
      </c>
      <c r="J45" s="285">
        <v>0</v>
      </c>
      <c r="K45" s="278">
        <f t="shared" si="9"/>
        <v>0</v>
      </c>
      <c r="L45" s="281" t="s">
        <v>926</v>
      </c>
      <c r="M45" s="285">
        <v>0</v>
      </c>
      <c r="N45" s="278">
        <f t="shared" si="10"/>
        <v>0</v>
      </c>
      <c r="O45" s="281" t="s">
        <v>926</v>
      </c>
      <c r="P45" s="285">
        <v>0</v>
      </c>
      <c r="Q45" s="278">
        <f t="shared" si="11"/>
        <v>0</v>
      </c>
      <c r="R45" s="281" t="s">
        <v>926</v>
      </c>
      <c r="S45" s="285">
        <v>0</v>
      </c>
      <c r="T45" s="278">
        <f t="shared" si="12"/>
        <v>0</v>
      </c>
      <c r="U45" s="281" t="s">
        <v>926</v>
      </c>
      <c r="V45" s="285">
        <v>0</v>
      </c>
      <c r="W45" s="278">
        <f t="shared" si="13"/>
        <v>0</v>
      </c>
      <c r="X45" s="281" t="s">
        <v>926</v>
      </c>
      <c r="Y45" s="285">
        <v>0</v>
      </c>
      <c r="Z45" s="278">
        <f t="shared" si="14"/>
        <v>0</v>
      </c>
    </row>
    <row r="46" spans="1:26" x14ac:dyDescent="0.3">
      <c r="A46" s="357"/>
      <c r="B46" s="362"/>
      <c r="C46" s="31" t="s">
        <v>115</v>
      </c>
      <c r="D46" s="35">
        <f>'ECONOMIA &amp; PROFESIONES'!$O$23</f>
        <v>8675</v>
      </c>
      <c r="E46" s="53">
        <f t="shared" si="15"/>
        <v>0</v>
      </c>
      <c r="F46" s="281" t="s">
        <v>926</v>
      </c>
      <c r="G46" s="285">
        <v>0</v>
      </c>
      <c r="H46" s="278">
        <f t="shared" si="8"/>
        <v>0</v>
      </c>
      <c r="I46" s="281" t="s">
        <v>926</v>
      </c>
      <c r="J46" s="285">
        <v>0</v>
      </c>
      <c r="K46" s="278">
        <f t="shared" si="9"/>
        <v>0</v>
      </c>
      <c r="L46" s="281" t="s">
        <v>926</v>
      </c>
      <c r="M46" s="285">
        <v>0</v>
      </c>
      <c r="N46" s="278">
        <f t="shared" si="10"/>
        <v>0</v>
      </c>
      <c r="O46" s="281" t="s">
        <v>926</v>
      </c>
      <c r="P46" s="285">
        <v>0</v>
      </c>
      <c r="Q46" s="278">
        <f t="shared" si="11"/>
        <v>0</v>
      </c>
      <c r="R46" s="281" t="s">
        <v>926</v>
      </c>
      <c r="S46" s="285">
        <v>0</v>
      </c>
      <c r="T46" s="278">
        <f t="shared" si="12"/>
        <v>0</v>
      </c>
      <c r="U46" s="281" t="s">
        <v>926</v>
      </c>
      <c r="V46" s="285">
        <v>0</v>
      </c>
      <c r="W46" s="278">
        <f t="shared" si="13"/>
        <v>0</v>
      </c>
      <c r="X46" s="281" t="s">
        <v>926</v>
      </c>
      <c r="Y46" s="285">
        <v>0</v>
      </c>
      <c r="Z46" s="278">
        <f t="shared" si="14"/>
        <v>0</v>
      </c>
    </row>
    <row r="47" spans="1:26" x14ac:dyDescent="0.3">
      <c r="A47" s="357"/>
      <c r="B47" s="368"/>
      <c r="C47" s="32" t="s">
        <v>116</v>
      </c>
      <c r="D47" s="35">
        <f>'ECONOMIA &amp; PROFESIONES'!$O$24</f>
        <v>7100</v>
      </c>
      <c r="E47" s="53">
        <f t="shared" si="15"/>
        <v>0</v>
      </c>
      <c r="F47" s="281" t="s">
        <v>926</v>
      </c>
      <c r="G47" s="285">
        <v>0</v>
      </c>
      <c r="H47" s="278">
        <f t="shared" si="8"/>
        <v>0</v>
      </c>
      <c r="I47" s="281" t="s">
        <v>926</v>
      </c>
      <c r="J47" s="285">
        <v>0</v>
      </c>
      <c r="K47" s="278">
        <f t="shared" si="9"/>
        <v>0</v>
      </c>
      <c r="L47" s="281" t="s">
        <v>926</v>
      </c>
      <c r="M47" s="285">
        <v>0</v>
      </c>
      <c r="N47" s="278">
        <f t="shared" si="10"/>
        <v>0</v>
      </c>
      <c r="O47" s="281" t="s">
        <v>926</v>
      </c>
      <c r="P47" s="285">
        <v>0</v>
      </c>
      <c r="Q47" s="278">
        <f t="shared" si="11"/>
        <v>0</v>
      </c>
      <c r="R47" s="281" t="s">
        <v>926</v>
      </c>
      <c r="S47" s="285">
        <v>0</v>
      </c>
      <c r="T47" s="278">
        <f t="shared" si="12"/>
        <v>0</v>
      </c>
      <c r="U47" s="281" t="s">
        <v>926</v>
      </c>
      <c r="V47" s="285">
        <v>0</v>
      </c>
      <c r="W47" s="278">
        <f t="shared" si="13"/>
        <v>0</v>
      </c>
      <c r="X47" s="281" t="s">
        <v>926</v>
      </c>
      <c r="Y47" s="285">
        <v>0</v>
      </c>
      <c r="Z47" s="278">
        <f t="shared" si="14"/>
        <v>0</v>
      </c>
    </row>
    <row r="48" spans="1:26" x14ac:dyDescent="0.3">
      <c r="A48" s="357"/>
      <c r="B48" s="364" t="s">
        <v>1227</v>
      </c>
      <c r="C48" s="31" t="s">
        <v>6</v>
      </c>
      <c r="D48" s="35">
        <f>'ECONOMIA &amp; PROFESIONES'!$O$25</f>
        <v>7650</v>
      </c>
      <c r="E48" s="53">
        <f t="shared" si="15"/>
        <v>0</v>
      </c>
      <c r="F48" s="281" t="s">
        <v>926</v>
      </c>
      <c r="G48" s="285">
        <v>0</v>
      </c>
      <c r="H48" s="278">
        <f t="shared" si="8"/>
        <v>0</v>
      </c>
      <c r="I48" s="281" t="s">
        <v>926</v>
      </c>
      <c r="J48" s="285">
        <v>0</v>
      </c>
      <c r="K48" s="278">
        <f t="shared" si="9"/>
        <v>0</v>
      </c>
      <c r="L48" s="281" t="s">
        <v>926</v>
      </c>
      <c r="M48" s="285">
        <v>0</v>
      </c>
      <c r="N48" s="278">
        <f t="shared" si="10"/>
        <v>0</v>
      </c>
      <c r="O48" s="281" t="s">
        <v>926</v>
      </c>
      <c r="P48" s="285">
        <v>0</v>
      </c>
      <c r="Q48" s="278">
        <f t="shared" si="11"/>
        <v>0</v>
      </c>
      <c r="R48" s="281" t="s">
        <v>926</v>
      </c>
      <c r="S48" s="285">
        <v>0</v>
      </c>
      <c r="T48" s="278">
        <f t="shared" si="12"/>
        <v>0</v>
      </c>
      <c r="U48" s="281" t="s">
        <v>926</v>
      </c>
      <c r="V48" s="285">
        <v>0</v>
      </c>
      <c r="W48" s="278">
        <f t="shared" si="13"/>
        <v>0</v>
      </c>
      <c r="X48" s="281" t="s">
        <v>926</v>
      </c>
      <c r="Y48" s="285">
        <v>0</v>
      </c>
      <c r="Z48" s="278">
        <f t="shared" si="14"/>
        <v>0</v>
      </c>
    </row>
    <row r="49" spans="1:26" x14ac:dyDescent="0.3">
      <c r="A49" s="357"/>
      <c r="B49" s="364"/>
      <c r="C49" s="32" t="s">
        <v>113</v>
      </c>
      <c r="D49" s="35">
        <f>'ECONOMIA &amp; PROFESIONES'!$O$26</f>
        <v>9375</v>
      </c>
      <c r="E49" s="53">
        <f t="shared" si="15"/>
        <v>0</v>
      </c>
      <c r="F49" s="281" t="s">
        <v>926</v>
      </c>
      <c r="G49" s="285">
        <v>0</v>
      </c>
      <c r="H49" s="278">
        <f t="shared" si="8"/>
        <v>0</v>
      </c>
      <c r="I49" s="281" t="s">
        <v>926</v>
      </c>
      <c r="J49" s="285">
        <v>0</v>
      </c>
      <c r="K49" s="278">
        <f t="shared" si="9"/>
        <v>0</v>
      </c>
      <c r="L49" s="281" t="s">
        <v>926</v>
      </c>
      <c r="M49" s="285">
        <v>0</v>
      </c>
      <c r="N49" s="278">
        <f t="shared" si="10"/>
        <v>0</v>
      </c>
      <c r="O49" s="281" t="s">
        <v>926</v>
      </c>
      <c r="P49" s="285">
        <v>0</v>
      </c>
      <c r="Q49" s="278">
        <f t="shared" si="11"/>
        <v>0</v>
      </c>
      <c r="R49" s="281" t="s">
        <v>926</v>
      </c>
      <c r="S49" s="285">
        <v>0</v>
      </c>
      <c r="T49" s="278">
        <f t="shared" si="12"/>
        <v>0</v>
      </c>
      <c r="U49" s="281" t="s">
        <v>926</v>
      </c>
      <c r="V49" s="285">
        <v>0</v>
      </c>
      <c r="W49" s="278">
        <f t="shared" si="13"/>
        <v>0</v>
      </c>
      <c r="X49" s="281" t="s">
        <v>926</v>
      </c>
      <c r="Y49" s="285">
        <v>0</v>
      </c>
      <c r="Z49" s="278">
        <f t="shared" si="14"/>
        <v>0</v>
      </c>
    </row>
    <row r="50" spans="1:26" x14ac:dyDescent="0.3">
      <c r="A50" s="357"/>
      <c r="B50" s="364"/>
      <c r="C50" s="31" t="s">
        <v>114</v>
      </c>
      <c r="D50" s="35">
        <f>'ECONOMIA &amp; PROFESIONES'!$O$27</f>
        <v>11100</v>
      </c>
      <c r="E50" s="53">
        <f t="shared" si="15"/>
        <v>0</v>
      </c>
      <c r="F50" s="281" t="s">
        <v>926</v>
      </c>
      <c r="G50" s="285">
        <v>0</v>
      </c>
      <c r="H50" s="278">
        <f t="shared" si="8"/>
        <v>0</v>
      </c>
      <c r="I50" s="281" t="s">
        <v>926</v>
      </c>
      <c r="J50" s="285">
        <v>0</v>
      </c>
      <c r="K50" s="278">
        <f t="shared" si="9"/>
        <v>0</v>
      </c>
      <c r="L50" s="281" t="s">
        <v>926</v>
      </c>
      <c r="M50" s="285">
        <v>0</v>
      </c>
      <c r="N50" s="278">
        <f t="shared" si="10"/>
        <v>0</v>
      </c>
      <c r="O50" s="281" t="s">
        <v>926</v>
      </c>
      <c r="P50" s="285">
        <v>0</v>
      </c>
      <c r="Q50" s="278">
        <f t="shared" si="11"/>
        <v>0</v>
      </c>
      <c r="R50" s="281" t="s">
        <v>926</v>
      </c>
      <c r="S50" s="285">
        <v>0</v>
      </c>
      <c r="T50" s="278">
        <f t="shared" si="12"/>
        <v>0</v>
      </c>
      <c r="U50" s="281" t="s">
        <v>926</v>
      </c>
      <c r="V50" s="285">
        <v>0</v>
      </c>
      <c r="W50" s="278">
        <f t="shared" si="13"/>
        <v>0</v>
      </c>
      <c r="X50" s="281" t="s">
        <v>926</v>
      </c>
      <c r="Y50" s="285">
        <v>0</v>
      </c>
      <c r="Z50" s="278">
        <f t="shared" si="14"/>
        <v>0</v>
      </c>
    </row>
    <row r="51" spans="1:26" x14ac:dyDescent="0.3">
      <c r="A51" s="357"/>
      <c r="B51" s="364"/>
      <c r="C51" s="32" t="s">
        <v>115</v>
      </c>
      <c r="D51" s="35">
        <f>'ECONOMIA &amp; PROFESIONES'!$O$28</f>
        <v>10525</v>
      </c>
      <c r="E51" s="53">
        <f t="shared" si="15"/>
        <v>0</v>
      </c>
      <c r="F51" s="281" t="s">
        <v>926</v>
      </c>
      <c r="G51" s="285">
        <v>0</v>
      </c>
      <c r="H51" s="278">
        <f t="shared" si="8"/>
        <v>0</v>
      </c>
      <c r="I51" s="281" t="s">
        <v>926</v>
      </c>
      <c r="J51" s="285">
        <v>0</v>
      </c>
      <c r="K51" s="278">
        <f t="shared" si="9"/>
        <v>0</v>
      </c>
      <c r="L51" s="281" t="s">
        <v>926</v>
      </c>
      <c r="M51" s="285">
        <v>0</v>
      </c>
      <c r="N51" s="278">
        <f t="shared" si="10"/>
        <v>0</v>
      </c>
      <c r="O51" s="281" t="s">
        <v>926</v>
      </c>
      <c r="P51" s="285">
        <v>0</v>
      </c>
      <c r="Q51" s="278">
        <f t="shared" si="11"/>
        <v>0</v>
      </c>
      <c r="R51" s="281" t="s">
        <v>926</v>
      </c>
      <c r="S51" s="285">
        <v>0</v>
      </c>
      <c r="T51" s="278">
        <f t="shared" si="12"/>
        <v>0</v>
      </c>
      <c r="U51" s="281" t="s">
        <v>926</v>
      </c>
      <c r="V51" s="285">
        <v>0</v>
      </c>
      <c r="W51" s="278">
        <f t="shared" si="13"/>
        <v>0</v>
      </c>
      <c r="X51" s="281" t="s">
        <v>926</v>
      </c>
      <c r="Y51" s="285">
        <v>0</v>
      </c>
      <c r="Z51" s="278">
        <f t="shared" si="14"/>
        <v>0</v>
      </c>
    </row>
    <row r="52" spans="1:26" x14ac:dyDescent="0.3">
      <c r="A52" s="357"/>
      <c r="B52" s="364"/>
      <c r="C52" s="31" t="s">
        <v>116</v>
      </c>
      <c r="D52" s="35">
        <f>'ECONOMIA &amp; PROFESIONES'!$O$29</f>
        <v>8800</v>
      </c>
      <c r="E52" s="53">
        <f t="shared" si="15"/>
        <v>0</v>
      </c>
      <c r="F52" s="281" t="s">
        <v>926</v>
      </c>
      <c r="G52" s="285">
        <v>0</v>
      </c>
      <c r="H52" s="278">
        <f t="shared" si="8"/>
        <v>0</v>
      </c>
      <c r="I52" s="281" t="s">
        <v>926</v>
      </c>
      <c r="J52" s="285">
        <v>0</v>
      </c>
      <c r="K52" s="278">
        <f t="shared" si="9"/>
        <v>0</v>
      </c>
      <c r="L52" s="281" t="s">
        <v>926</v>
      </c>
      <c r="M52" s="285">
        <v>0</v>
      </c>
      <c r="N52" s="278">
        <f t="shared" si="10"/>
        <v>0</v>
      </c>
      <c r="O52" s="281" t="s">
        <v>926</v>
      </c>
      <c r="P52" s="285">
        <v>0</v>
      </c>
      <c r="Q52" s="278">
        <f t="shared" si="11"/>
        <v>0</v>
      </c>
      <c r="R52" s="281" t="s">
        <v>926</v>
      </c>
      <c r="S52" s="285">
        <v>0</v>
      </c>
      <c r="T52" s="278">
        <f t="shared" si="12"/>
        <v>0</v>
      </c>
      <c r="U52" s="281" t="s">
        <v>926</v>
      </c>
      <c r="V52" s="285">
        <v>0</v>
      </c>
      <c r="W52" s="278">
        <f t="shared" si="13"/>
        <v>0</v>
      </c>
      <c r="X52" s="281" t="s">
        <v>926</v>
      </c>
      <c r="Y52" s="285">
        <v>0</v>
      </c>
      <c r="Z52" s="278">
        <f t="shared" si="14"/>
        <v>0</v>
      </c>
    </row>
    <row r="53" spans="1:26" x14ac:dyDescent="0.3">
      <c r="A53" s="357" t="s">
        <v>2</v>
      </c>
      <c r="B53" s="176"/>
      <c r="C53" s="176"/>
      <c r="D53" s="295"/>
      <c r="E53" s="284" t="s">
        <v>1150</v>
      </c>
      <c r="F53" s="284" t="s">
        <v>1151</v>
      </c>
      <c r="G53" s="284" t="s">
        <v>1230</v>
      </c>
      <c r="H53" s="284" t="s">
        <v>202</v>
      </c>
      <c r="I53" s="284" t="s">
        <v>1152</v>
      </c>
      <c r="J53" s="284" t="s">
        <v>1230</v>
      </c>
      <c r="K53" s="284" t="s">
        <v>202</v>
      </c>
      <c r="L53" s="284" t="s">
        <v>1170</v>
      </c>
      <c r="M53" s="284" t="s">
        <v>1230</v>
      </c>
      <c r="N53" s="284" t="s">
        <v>202</v>
      </c>
      <c r="O53" s="284" t="s">
        <v>1223</v>
      </c>
      <c r="P53" s="284" t="s">
        <v>1230</v>
      </c>
      <c r="Q53" s="284" t="s">
        <v>202</v>
      </c>
      <c r="R53" s="284" t="s">
        <v>1224</v>
      </c>
      <c r="S53" s="284" t="s">
        <v>1230</v>
      </c>
      <c r="T53" s="284" t="s">
        <v>202</v>
      </c>
      <c r="U53" s="284" t="s">
        <v>1225</v>
      </c>
      <c r="V53" s="284" t="s">
        <v>1230</v>
      </c>
      <c r="W53" s="284" t="s">
        <v>202</v>
      </c>
      <c r="X53" s="284" t="s">
        <v>1226</v>
      </c>
      <c r="Y53" s="284" t="s">
        <v>1230</v>
      </c>
      <c r="Z53" s="284" t="s">
        <v>202</v>
      </c>
    </row>
    <row r="54" spans="1:26" x14ac:dyDescent="0.3">
      <c r="A54" s="357"/>
      <c r="B54" s="358" t="s">
        <v>1161</v>
      </c>
      <c r="C54" s="31" t="s">
        <v>6</v>
      </c>
      <c r="D54" s="34">
        <f>'ECONOMIA &amp; PROFESIONES'!$P$5</f>
        <v>2100</v>
      </c>
      <c r="E54" s="53">
        <f>(H54*G54)+(K54*J54)+(M54*N54)+(P54*Q54)+(S54*T54)+(V54*W54)+(Y54*Z54)</f>
        <v>0</v>
      </c>
      <c r="F54" s="281" t="s">
        <v>926</v>
      </c>
      <c r="G54" s="285">
        <v>0</v>
      </c>
      <c r="H54" s="278">
        <f t="shared" ref="H54:H78" si="16">VLOOKUP(F54,craftedesp,3,FALSE)</f>
        <v>0</v>
      </c>
      <c r="I54" s="281" t="s">
        <v>926</v>
      </c>
      <c r="J54" s="285">
        <v>0</v>
      </c>
      <c r="K54" s="278">
        <f t="shared" ref="K54:K78" si="17">VLOOKUP(I54,craftedesp,3,FALSE)</f>
        <v>0</v>
      </c>
      <c r="L54" s="281" t="s">
        <v>926</v>
      </c>
      <c r="M54" s="285">
        <v>0</v>
      </c>
      <c r="N54" s="278">
        <f t="shared" ref="N54:N78" si="18">VLOOKUP(L54,craftedesp,3,FALSE)</f>
        <v>0</v>
      </c>
      <c r="O54" s="281" t="s">
        <v>926</v>
      </c>
      <c r="P54" s="285">
        <v>0</v>
      </c>
      <c r="Q54" s="278">
        <f t="shared" ref="Q54:Q78" si="19">VLOOKUP(O54,craftedesp,3,FALSE)</f>
        <v>0</v>
      </c>
      <c r="R54" s="281" t="s">
        <v>926</v>
      </c>
      <c r="S54" s="285">
        <v>0</v>
      </c>
      <c r="T54" s="278">
        <f t="shared" ref="T54:T78" si="20">VLOOKUP(R54,craftedesp,3,FALSE)</f>
        <v>0</v>
      </c>
      <c r="U54" s="281" t="s">
        <v>926</v>
      </c>
      <c r="V54" s="285">
        <v>0</v>
      </c>
      <c r="W54" s="278">
        <f t="shared" ref="W54:W78" si="21">VLOOKUP(U54,craftedesp,3,FALSE)</f>
        <v>0</v>
      </c>
      <c r="X54" s="281" t="s">
        <v>926</v>
      </c>
      <c r="Y54" s="285">
        <v>0</v>
      </c>
      <c r="Z54" s="278">
        <f t="shared" ref="Z54:Z78" si="22">VLOOKUP(X54,craftedesp,3,FALSE)</f>
        <v>0</v>
      </c>
    </row>
    <row r="55" spans="1:26" x14ac:dyDescent="0.3">
      <c r="A55" s="357"/>
      <c r="B55" s="359"/>
      <c r="C55" s="32" t="s">
        <v>113</v>
      </c>
      <c r="D55" s="34">
        <f>'ECONOMIA &amp; PROFESIONES'!$P$6</f>
        <v>4500</v>
      </c>
      <c r="E55" s="53">
        <f t="shared" ref="E55:E78" si="23">(H55*G55)+(K55*J55)+(M55*N55)+(P55*Q55)+(S55*T55)+(V55*W55)+(Y55*Z55)</f>
        <v>0</v>
      </c>
      <c r="F55" s="281" t="s">
        <v>926</v>
      </c>
      <c r="G55" s="285">
        <v>0</v>
      </c>
      <c r="H55" s="278">
        <f t="shared" si="16"/>
        <v>0</v>
      </c>
      <c r="I55" s="281" t="s">
        <v>926</v>
      </c>
      <c r="J55" s="285">
        <v>0</v>
      </c>
      <c r="K55" s="278">
        <f t="shared" si="17"/>
        <v>0</v>
      </c>
      <c r="L55" s="281" t="s">
        <v>926</v>
      </c>
      <c r="M55" s="285">
        <v>0</v>
      </c>
      <c r="N55" s="278">
        <f t="shared" si="18"/>
        <v>0</v>
      </c>
      <c r="O55" s="281" t="s">
        <v>926</v>
      </c>
      <c r="P55" s="285">
        <v>0</v>
      </c>
      <c r="Q55" s="278">
        <f t="shared" si="19"/>
        <v>0</v>
      </c>
      <c r="R55" s="281" t="s">
        <v>926</v>
      </c>
      <c r="S55" s="285">
        <v>0</v>
      </c>
      <c r="T55" s="278">
        <f t="shared" si="20"/>
        <v>0</v>
      </c>
      <c r="U55" s="281" t="s">
        <v>926</v>
      </c>
      <c r="V55" s="285">
        <v>0</v>
      </c>
      <c r="W55" s="278">
        <f t="shared" si="21"/>
        <v>0</v>
      </c>
      <c r="X55" s="281" t="s">
        <v>926</v>
      </c>
      <c r="Y55" s="285">
        <v>0</v>
      </c>
      <c r="Z55" s="278">
        <f t="shared" si="22"/>
        <v>0</v>
      </c>
    </row>
    <row r="56" spans="1:26" x14ac:dyDescent="0.3">
      <c r="A56" s="357"/>
      <c r="B56" s="359"/>
      <c r="C56" s="31" t="s">
        <v>114</v>
      </c>
      <c r="D56" s="34">
        <f>'ECONOMIA &amp; PROFESIONES'!$P$7</f>
        <v>6900</v>
      </c>
      <c r="E56" s="53">
        <f t="shared" si="23"/>
        <v>0</v>
      </c>
      <c r="F56" s="281" t="s">
        <v>926</v>
      </c>
      <c r="G56" s="285">
        <v>0</v>
      </c>
      <c r="H56" s="278">
        <f t="shared" si="16"/>
        <v>0</v>
      </c>
      <c r="I56" s="281" t="s">
        <v>926</v>
      </c>
      <c r="J56" s="285">
        <v>0</v>
      </c>
      <c r="K56" s="278">
        <f t="shared" si="17"/>
        <v>0</v>
      </c>
      <c r="L56" s="281" t="s">
        <v>926</v>
      </c>
      <c r="M56" s="285">
        <v>0</v>
      </c>
      <c r="N56" s="278">
        <f t="shared" si="18"/>
        <v>0</v>
      </c>
      <c r="O56" s="281" t="s">
        <v>926</v>
      </c>
      <c r="P56" s="285">
        <v>0</v>
      </c>
      <c r="Q56" s="278">
        <f t="shared" si="19"/>
        <v>0</v>
      </c>
      <c r="R56" s="281" t="s">
        <v>926</v>
      </c>
      <c r="S56" s="285">
        <v>0</v>
      </c>
      <c r="T56" s="278">
        <f t="shared" si="20"/>
        <v>0</v>
      </c>
      <c r="U56" s="281" t="s">
        <v>926</v>
      </c>
      <c r="V56" s="285">
        <v>0</v>
      </c>
      <c r="W56" s="278">
        <f t="shared" si="21"/>
        <v>0</v>
      </c>
      <c r="X56" s="281" t="s">
        <v>926</v>
      </c>
      <c r="Y56" s="285">
        <v>0</v>
      </c>
      <c r="Z56" s="278">
        <f t="shared" si="22"/>
        <v>0</v>
      </c>
    </row>
    <row r="57" spans="1:26" x14ac:dyDescent="0.3">
      <c r="A57" s="357"/>
      <c r="B57" s="359"/>
      <c r="C57" s="32" t="s">
        <v>115</v>
      </c>
      <c r="D57" s="34">
        <f>'ECONOMIA &amp; PROFESIONES'!$P$8</f>
        <v>6100</v>
      </c>
      <c r="E57" s="53">
        <f t="shared" si="23"/>
        <v>0</v>
      </c>
      <c r="F57" s="281" t="s">
        <v>926</v>
      </c>
      <c r="G57" s="285">
        <v>0</v>
      </c>
      <c r="H57" s="278">
        <f t="shared" si="16"/>
        <v>0</v>
      </c>
      <c r="I57" s="281" t="s">
        <v>926</v>
      </c>
      <c r="J57" s="285">
        <v>0</v>
      </c>
      <c r="K57" s="278">
        <f t="shared" si="17"/>
        <v>0</v>
      </c>
      <c r="L57" s="281" t="s">
        <v>926</v>
      </c>
      <c r="M57" s="285">
        <v>0</v>
      </c>
      <c r="N57" s="278">
        <f t="shared" si="18"/>
        <v>0</v>
      </c>
      <c r="O57" s="281" t="s">
        <v>926</v>
      </c>
      <c r="P57" s="285">
        <v>0</v>
      </c>
      <c r="Q57" s="278">
        <f t="shared" si="19"/>
        <v>0</v>
      </c>
      <c r="R57" s="281" t="s">
        <v>926</v>
      </c>
      <c r="S57" s="285">
        <v>0</v>
      </c>
      <c r="T57" s="278">
        <f t="shared" si="20"/>
        <v>0</v>
      </c>
      <c r="U57" s="281" t="s">
        <v>926</v>
      </c>
      <c r="V57" s="285">
        <v>0</v>
      </c>
      <c r="W57" s="278">
        <f t="shared" si="21"/>
        <v>0</v>
      </c>
      <c r="X57" s="281" t="s">
        <v>926</v>
      </c>
      <c r="Y57" s="285">
        <v>0</v>
      </c>
      <c r="Z57" s="278">
        <f t="shared" si="22"/>
        <v>0</v>
      </c>
    </row>
    <row r="58" spans="1:26" x14ac:dyDescent="0.3">
      <c r="A58" s="357"/>
      <c r="B58" s="360"/>
      <c r="C58" s="31" t="s">
        <v>116</v>
      </c>
      <c r="D58" s="34">
        <f>'ECONOMIA &amp; PROFESIONES'!$P$9</f>
        <v>3700</v>
      </c>
      <c r="E58" s="53">
        <f t="shared" si="23"/>
        <v>0</v>
      </c>
      <c r="F58" s="281" t="s">
        <v>926</v>
      </c>
      <c r="G58" s="285">
        <v>0</v>
      </c>
      <c r="H58" s="278">
        <f t="shared" si="16"/>
        <v>0</v>
      </c>
      <c r="I58" s="281" t="s">
        <v>926</v>
      </c>
      <c r="J58" s="285">
        <v>0</v>
      </c>
      <c r="K58" s="278">
        <f t="shared" si="17"/>
        <v>0</v>
      </c>
      <c r="L58" s="281" t="s">
        <v>926</v>
      </c>
      <c r="M58" s="285">
        <v>0</v>
      </c>
      <c r="N58" s="278">
        <f t="shared" si="18"/>
        <v>0</v>
      </c>
      <c r="O58" s="281" t="s">
        <v>926</v>
      </c>
      <c r="P58" s="285">
        <v>0</v>
      </c>
      <c r="Q58" s="278">
        <f t="shared" si="19"/>
        <v>0</v>
      </c>
      <c r="R58" s="281" t="s">
        <v>926</v>
      </c>
      <c r="S58" s="285">
        <v>0</v>
      </c>
      <c r="T58" s="278">
        <f t="shared" si="20"/>
        <v>0</v>
      </c>
      <c r="U58" s="281" t="s">
        <v>926</v>
      </c>
      <c r="V58" s="285">
        <v>0</v>
      </c>
      <c r="W58" s="278">
        <f t="shared" si="21"/>
        <v>0</v>
      </c>
      <c r="X58" s="281" t="s">
        <v>926</v>
      </c>
      <c r="Y58" s="285">
        <v>0</v>
      </c>
      <c r="Z58" s="278">
        <f t="shared" si="22"/>
        <v>0</v>
      </c>
    </row>
    <row r="59" spans="1:26" x14ac:dyDescent="0.3">
      <c r="A59" s="357"/>
      <c r="B59" s="361" t="s">
        <v>1162</v>
      </c>
      <c r="C59" s="32" t="s">
        <v>6</v>
      </c>
      <c r="D59" s="34">
        <f>'ECONOMIA &amp; PROFESIONES'!$P$10</f>
        <v>3650</v>
      </c>
      <c r="E59" s="53">
        <f t="shared" si="23"/>
        <v>0</v>
      </c>
      <c r="F59" s="281" t="s">
        <v>926</v>
      </c>
      <c r="G59" s="285">
        <v>0</v>
      </c>
      <c r="H59" s="278">
        <f t="shared" si="16"/>
        <v>0</v>
      </c>
      <c r="I59" s="281" t="s">
        <v>926</v>
      </c>
      <c r="J59" s="285">
        <v>0</v>
      </c>
      <c r="K59" s="278">
        <f t="shared" si="17"/>
        <v>0</v>
      </c>
      <c r="L59" s="281" t="s">
        <v>926</v>
      </c>
      <c r="M59" s="285">
        <v>0</v>
      </c>
      <c r="N59" s="278">
        <f t="shared" si="18"/>
        <v>0</v>
      </c>
      <c r="O59" s="281" t="s">
        <v>926</v>
      </c>
      <c r="P59" s="285">
        <v>0</v>
      </c>
      <c r="Q59" s="278">
        <f t="shared" si="19"/>
        <v>0</v>
      </c>
      <c r="R59" s="281" t="s">
        <v>926</v>
      </c>
      <c r="S59" s="285">
        <v>0</v>
      </c>
      <c r="T59" s="278">
        <f t="shared" si="20"/>
        <v>0</v>
      </c>
      <c r="U59" s="281" t="s">
        <v>926</v>
      </c>
      <c r="V59" s="285">
        <v>0</v>
      </c>
      <c r="W59" s="278">
        <f t="shared" si="21"/>
        <v>0</v>
      </c>
      <c r="X59" s="281" t="s">
        <v>926</v>
      </c>
      <c r="Y59" s="285">
        <v>0</v>
      </c>
      <c r="Z59" s="278">
        <f t="shared" si="22"/>
        <v>0</v>
      </c>
    </row>
    <row r="60" spans="1:26" x14ac:dyDescent="0.3">
      <c r="A60" s="357"/>
      <c r="B60" s="362"/>
      <c r="C60" s="31" t="s">
        <v>113</v>
      </c>
      <c r="D60" s="34">
        <f>'ECONOMIA &amp; PROFESIONES'!$P$11</f>
        <v>6125</v>
      </c>
      <c r="E60" s="53">
        <f t="shared" si="23"/>
        <v>0</v>
      </c>
      <c r="F60" s="281" t="s">
        <v>926</v>
      </c>
      <c r="G60" s="285">
        <v>0</v>
      </c>
      <c r="H60" s="278">
        <f t="shared" si="16"/>
        <v>0</v>
      </c>
      <c r="I60" s="281" t="s">
        <v>926</v>
      </c>
      <c r="J60" s="285">
        <v>0</v>
      </c>
      <c r="K60" s="278">
        <f t="shared" si="17"/>
        <v>0</v>
      </c>
      <c r="L60" s="281" t="s">
        <v>926</v>
      </c>
      <c r="M60" s="285">
        <v>0</v>
      </c>
      <c r="N60" s="278">
        <f t="shared" si="18"/>
        <v>0</v>
      </c>
      <c r="O60" s="281" t="s">
        <v>926</v>
      </c>
      <c r="P60" s="285">
        <v>0</v>
      </c>
      <c r="Q60" s="278">
        <f t="shared" si="19"/>
        <v>0</v>
      </c>
      <c r="R60" s="281" t="s">
        <v>926</v>
      </c>
      <c r="S60" s="285">
        <v>0</v>
      </c>
      <c r="T60" s="278">
        <f t="shared" si="20"/>
        <v>0</v>
      </c>
      <c r="U60" s="281" t="s">
        <v>926</v>
      </c>
      <c r="V60" s="285">
        <v>0</v>
      </c>
      <c r="W60" s="278">
        <f t="shared" si="21"/>
        <v>0</v>
      </c>
      <c r="X60" s="281" t="s">
        <v>926</v>
      </c>
      <c r="Y60" s="285">
        <v>0</v>
      </c>
      <c r="Z60" s="278">
        <f t="shared" si="22"/>
        <v>0</v>
      </c>
    </row>
    <row r="61" spans="1:26" x14ac:dyDescent="0.3">
      <c r="A61" s="357"/>
      <c r="B61" s="362"/>
      <c r="C61" s="32" t="s">
        <v>114</v>
      </c>
      <c r="D61" s="34">
        <f>'ECONOMIA &amp; PROFESIONES'!$P$12</f>
        <v>8600</v>
      </c>
      <c r="E61" s="53">
        <f t="shared" si="23"/>
        <v>0</v>
      </c>
      <c r="F61" s="281" t="s">
        <v>926</v>
      </c>
      <c r="G61" s="285">
        <v>0</v>
      </c>
      <c r="H61" s="278">
        <f t="shared" si="16"/>
        <v>0</v>
      </c>
      <c r="I61" s="281" t="s">
        <v>926</v>
      </c>
      <c r="J61" s="285">
        <v>0</v>
      </c>
      <c r="K61" s="278">
        <f t="shared" si="17"/>
        <v>0</v>
      </c>
      <c r="L61" s="281" t="s">
        <v>926</v>
      </c>
      <c r="M61" s="285">
        <v>0</v>
      </c>
      <c r="N61" s="278">
        <f t="shared" si="18"/>
        <v>0</v>
      </c>
      <c r="O61" s="281" t="s">
        <v>926</v>
      </c>
      <c r="P61" s="285">
        <v>0</v>
      </c>
      <c r="Q61" s="278">
        <f t="shared" si="19"/>
        <v>0</v>
      </c>
      <c r="R61" s="281" t="s">
        <v>926</v>
      </c>
      <c r="S61" s="285">
        <v>0</v>
      </c>
      <c r="T61" s="278">
        <f t="shared" si="20"/>
        <v>0</v>
      </c>
      <c r="U61" s="281" t="s">
        <v>926</v>
      </c>
      <c r="V61" s="285">
        <v>0</v>
      </c>
      <c r="W61" s="278">
        <f t="shared" si="21"/>
        <v>0</v>
      </c>
      <c r="X61" s="281" t="s">
        <v>926</v>
      </c>
      <c r="Y61" s="285">
        <v>0</v>
      </c>
      <c r="Z61" s="278">
        <f t="shared" si="22"/>
        <v>0</v>
      </c>
    </row>
    <row r="62" spans="1:26" x14ac:dyDescent="0.3">
      <c r="A62" s="357"/>
      <c r="B62" s="362"/>
      <c r="C62" s="31" t="s">
        <v>115</v>
      </c>
      <c r="D62" s="34">
        <f>'ECONOMIA &amp; PROFESIONES'!$P$13</f>
        <v>7775</v>
      </c>
      <c r="E62" s="53">
        <f t="shared" si="23"/>
        <v>0</v>
      </c>
      <c r="F62" s="281" t="s">
        <v>926</v>
      </c>
      <c r="G62" s="285">
        <v>0</v>
      </c>
      <c r="H62" s="278">
        <f t="shared" si="16"/>
        <v>0</v>
      </c>
      <c r="I62" s="281" t="s">
        <v>926</v>
      </c>
      <c r="J62" s="285">
        <v>0</v>
      </c>
      <c r="K62" s="278">
        <f t="shared" si="17"/>
        <v>0</v>
      </c>
      <c r="L62" s="281" t="s">
        <v>926</v>
      </c>
      <c r="M62" s="285">
        <v>0</v>
      </c>
      <c r="N62" s="278">
        <f t="shared" si="18"/>
        <v>0</v>
      </c>
      <c r="O62" s="281" t="s">
        <v>926</v>
      </c>
      <c r="P62" s="285">
        <v>0</v>
      </c>
      <c r="Q62" s="278">
        <f t="shared" si="19"/>
        <v>0</v>
      </c>
      <c r="R62" s="281" t="s">
        <v>926</v>
      </c>
      <c r="S62" s="285">
        <v>0</v>
      </c>
      <c r="T62" s="278">
        <f t="shared" si="20"/>
        <v>0</v>
      </c>
      <c r="U62" s="281" t="s">
        <v>926</v>
      </c>
      <c r="V62" s="285">
        <v>0</v>
      </c>
      <c r="W62" s="278">
        <f t="shared" si="21"/>
        <v>0</v>
      </c>
      <c r="X62" s="281" t="s">
        <v>926</v>
      </c>
      <c r="Y62" s="285">
        <v>0</v>
      </c>
      <c r="Z62" s="278">
        <f t="shared" si="22"/>
        <v>0</v>
      </c>
    </row>
    <row r="63" spans="1:26" x14ac:dyDescent="0.3">
      <c r="A63" s="357"/>
      <c r="B63" s="363"/>
      <c r="C63" s="32" t="s">
        <v>116</v>
      </c>
      <c r="D63" s="34">
        <f>'ECONOMIA &amp; PROFESIONES'!$P$14</f>
        <v>5300</v>
      </c>
      <c r="E63" s="53">
        <f t="shared" si="23"/>
        <v>0</v>
      </c>
      <c r="F63" s="281" t="s">
        <v>926</v>
      </c>
      <c r="G63" s="285">
        <v>0</v>
      </c>
      <c r="H63" s="278">
        <f t="shared" si="16"/>
        <v>0</v>
      </c>
      <c r="I63" s="281" t="s">
        <v>926</v>
      </c>
      <c r="J63" s="285">
        <v>0</v>
      </c>
      <c r="K63" s="278">
        <f t="shared" si="17"/>
        <v>0</v>
      </c>
      <c r="L63" s="281" t="s">
        <v>926</v>
      </c>
      <c r="M63" s="285">
        <v>0</v>
      </c>
      <c r="N63" s="278">
        <f t="shared" si="18"/>
        <v>0</v>
      </c>
      <c r="O63" s="281" t="s">
        <v>926</v>
      </c>
      <c r="P63" s="285">
        <v>0</v>
      </c>
      <c r="Q63" s="278">
        <f t="shared" si="19"/>
        <v>0</v>
      </c>
      <c r="R63" s="281" t="s">
        <v>926</v>
      </c>
      <c r="S63" s="285">
        <v>0</v>
      </c>
      <c r="T63" s="278">
        <f t="shared" si="20"/>
        <v>0</v>
      </c>
      <c r="U63" s="281" t="s">
        <v>926</v>
      </c>
      <c r="V63" s="285">
        <v>0</v>
      </c>
      <c r="W63" s="278">
        <f t="shared" si="21"/>
        <v>0</v>
      </c>
      <c r="X63" s="281" t="s">
        <v>926</v>
      </c>
      <c r="Y63" s="285">
        <v>0</v>
      </c>
      <c r="Z63" s="278">
        <f t="shared" si="22"/>
        <v>0</v>
      </c>
    </row>
    <row r="64" spans="1:26" x14ac:dyDescent="0.3">
      <c r="A64" s="357"/>
      <c r="B64" s="364" t="s">
        <v>1228</v>
      </c>
      <c r="C64" s="31" t="s">
        <v>6</v>
      </c>
      <c r="D64" s="34">
        <f>'ECONOMIA &amp; PROFESIONES'!$P$15</f>
        <v>5250</v>
      </c>
      <c r="E64" s="53">
        <f t="shared" si="23"/>
        <v>0</v>
      </c>
      <c r="F64" s="281" t="s">
        <v>926</v>
      </c>
      <c r="G64" s="285">
        <v>0</v>
      </c>
      <c r="H64" s="278">
        <f t="shared" si="16"/>
        <v>0</v>
      </c>
      <c r="I64" s="281" t="s">
        <v>926</v>
      </c>
      <c r="J64" s="285">
        <v>0</v>
      </c>
      <c r="K64" s="278">
        <f t="shared" si="17"/>
        <v>0</v>
      </c>
      <c r="L64" s="281" t="s">
        <v>926</v>
      </c>
      <c r="M64" s="285">
        <v>0</v>
      </c>
      <c r="N64" s="278">
        <f t="shared" si="18"/>
        <v>0</v>
      </c>
      <c r="O64" s="281" t="s">
        <v>926</v>
      </c>
      <c r="P64" s="285">
        <v>0</v>
      </c>
      <c r="Q64" s="278">
        <f t="shared" si="19"/>
        <v>0</v>
      </c>
      <c r="R64" s="281" t="s">
        <v>926</v>
      </c>
      <c r="S64" s="285">
        <v>0</v>
      </c>
      <c r="T64" s="278">
        <f t="shared" si="20"/>
        <v>0</v>
      </c>
      <c r="U64" s="281" t="s">
        <v>926</v>
      </c>
      <c r="V64" s="285">
        <v>0</v>
      </c>
      <c r="W64" s="278">
        <f t="shared" si="21"/>
        <v>0</v>
      </c>
      <c r="X64" s="281" t="s">
        <v>926</v>
      </c>
      <c r="Y64" s="285">
        <v>0</v>
      </c>
      <c r="Z64" s="278">
        <f t="shared" si="22"/>
        <v>0</v>
      </c>
    </row>
    <row r="65" spans="1:26" x14ac:dyDescent="0.3">
      <c r="A65" s="357"/>
      <c r="B65" s="365"/>
      <c r="C65" s="32" t="s">
        <v>113</v>
      </c>
      <c r="D65" s="34">
        <f>'ECONOMIA &amp; PROFESIONES'!$P$16</f>
        <v>7875</v>
      </c>
      <c r="E65" s="53">
        <f t="shared" si="23"/>
        <v>0</v>
      </c>
      <c r="F65" s="281" t="s">
        <v>926</v>
      </c>
      <c r="G65" s="285">
        <v>0</v>
      </c>
      <c r="H65" s="278">
        <f t="shared" si="16"/>
        <v>0</v>
      </c>
      <c r="I65" s="281" t="s">
        <v>926</v>
      </c>
      <c r="J65" s="285">
        <v>0</v>
      </c>
      <c r="K65" s="278">
        <f t="shared" si="17"/>
        <v>0</v>
      </c>
      <c r="L65" s="281" t="s">
        <v>926</v>
      </c>
      <c r="M65" s="285">
        <v>0</v>
      </c>
      <c r="N65" s="278">
        <f t="shared" si="18"/>
        <v>0</v>
      </c>
      <c r="O65" s="281" t="s">
        <v>926</v>
      </c>
      <c r="P65" s="285">
        <v>0</v>
      </c>
      <c r="Q65" s="278">
        <f t="shared" si="19"/>
        <v>0</v>
      </c>
      <c r="R65" s="281" t="s">
        <v>926</v>
      </c>
      <c r="S65" s="285">
        <v>0</v>
      </c>
      <c r="T65" s="278">
        <f t="shared" si="20"/>
        <v>0</v>
      </c>
      <c r="U65" s="281" t="s">
        <v>926</v>
      </c>
      <c r="V65" s="285">
        <v>0</v>
      </c>
      <c r="W65" s="278">
        <f t="shared" si="21"/>
        <v>0</v>
      </c>
      <c r="X65" s="281" t="s">
        <v>926</v>
      </c>
      <c r="Y65" s="285">
        <v>0</v>
      </c>
      <c r="Z65" s="278">
        <f t="shared" si="22"/>
        <v>0</v>
      </c>
    </row>
    <row r="66" spans="1:26" x14ac:dyDescent="0.3">
      <c r="A66" s="357"/>
      <c r="B66" s="365"/>
      <c r="C66" s="31" t="s">
        <v>114</v>
      </c>
      <c r="D66" s="34">
        <f>'ECONOMIA &amp; PROFESIONES'!$P$17</f>
        <v>10500</v>
      </c>
      <c r="E66" s="53">
        <f t="shared" si="23"/>
        <v>0</v>
      </c>
      <c r="F66" s="281" t="s">
        <v>926</v>
      </c>
      <c r="G66" s="285">
        <v>0</v>
      </c>
      <c r="H66" s="278">
        <f t="shared" si="16"/>
        <v>0</v>
      </c>
      <c r="I66" s="281" t="s">
        <v>926</v>
      </c>
      <c r="J66" s="285">
        <v>0</v>
      </c>
      <c r="K66" s="278">
        <f t="shared" si="17"/>
        <v>0</v>
      </c>
      <c r="L66" s="281" t="s">
        <v>926</v>
      </c>
      <c r="M66" s="285">
        <v>0</v>
      </c>
      <c r="N66" s="278">
        <f t="shared" si="18"/>
        <v>0</v>
      </c>
      <c r="O66" s="281" t="s">
        <v>926</v>
      </c>
      <c r="P66" s="285">
        <v>0</v>
      </c>
      <c r="Q66" s="278">
        <f t="shared" si="19"/>
        <v>0</v>
      </c>
      <c r="R66" s="281" t="s">
        <v>926</v>
      </c>
      <c r="S66" s="285">
        <v>0</v>
      </c>
      <c r="T66" s="278">
        <f t="shared" si="20"/>
        <v>0</v>
      </c>
      <c r="U66" s="281" t="s">
        <v>926</v>
      </c>
      <c r="V66" s="285">
        <v>0</v>
      </c>
      <c r="W66" s="278">
        <f t="shared" si="21"/>
        <v>0</v>
      </c>
      <c r="X66" s="281" t="s">
        <v>926</v>
      </c>
      <c r="Y66" s="285">
        <v>0</v>
      </c>
      <c r="Z66" s="278">
        <f t="shared" si="22"/>
        <v>0</v>
      </c>
    </row>
    <row r="67" spans="1:26" x14ac:dyDescent="0.3">
      <c r="A67" s="357"/>
      <c r="B67" s="364"/>
      <c r="C67" s="32" t="s">
        <v>115</v>
      </c>
      <c r="D67" s="34">
        <f>'ECONOMIA &amp; PROFESIONES'!$P$18</f>
        <v>9625</v>
      </c>
      <c r="E67" s="53">
        <f t="shared" si="23"/>
        <v>0</v>
      </c>
      <c r="F67" s="281" t="s">
        <v>926</v>
      </c>
      <c r="G67" s="285">
        <v>0</v>
      </c>
      <c r="H67" s="278">
        <f t="shared" si="16"/>
        <v>0</v>
      </c>
      <c r="I67" s="281" t="s">
        <v>926</v>
      </c>
      <c r="J67" s="285">
        <v>0</v>
      </c>
      <c r="K67" s="278">
        <f t="shared" si="17"/>
        <v>0</v>
      </c>
      <c r="L67" s="281" t="s">
        <v>926</v>
      </c>
      <c r="M67" s="285">
        <v>0</v>
      </c>
      <c r="N67" s="278">
        <f t="shared" si="18"/>
        <v>0</v>
      </c>
      <c r="O67" s="281" t="s">
        <v>926</v>
      </c>
      <c r="P67" s="285">
        <v>0</v>
      </c>
      <c r="Q67" s="278">
        <f t="shared" si="19"/>
        <v>0</v>
      </c>
      <c r="R67" s="281" t="s">
        <v>926</v>
      </c>
      <c r="S67" s="285">
        <v>0</v>
      </c>
      <c r="T67" s="278">
        <f t="shared" si="20"/>
        <v>0</v>
      </c>
      <c r="U67" s="281" t="s">
        <v>926</v>
      </c>
      <c r="V67" s="285">
        <v>0</v>
      </c>
      <c r="W67" s="278">
        <f t="shared" si="21"/>
        <v>0</v>
      </c>
      <c r="X67" s="281" t="s">
        <v>926</v>
      </c>
      <c r="Y67" s="285">
        <v>0</v>
      </c>
      <c r="Z67" s="278">
        <f t="shared" si="22"/>
        <v>0</v>
      </c>
    </row>
    <row r="68" spans="1:26" x14ac:dyDescent="0.3">
      <c r="A68" s="357"/>
      <c r="B68" s="364"/>
      <c r="C68" s="31" t="s">
        <v>116</v>
      </c>
      <c r="D68" s="34">
        <f>'ECONOMIA &amp; PROFESIONES'!$P$19</f>
        <v>7000</v>
      </c>
      <c r="E68" s="53">
        <f t="shared" si="23"/>
        <v>0</v>
      </c>
      <c r="F68" s="281" t="s">
        <v>926</v>
      </c>
      <c r="G68" s="285">
        <v>0</v>
      </c>
      <c r="H68" s="278">
        <f t="shared" si="16"/>
        <v>0</v>
      </c>
      <c r="I68" s="281" t="s">
        <v>926</v>
      </c>
      <c r="J68" s="285">
        <v>0</v>
      </c>
      <c r="K68" s="278">
        <f t="shared" si="17"/>
        <v>0</v>
      </c>
      <c r="L68" s="281" t="s">
        <v>926</v>
      </c>
      <c r="M68" s="285">
        <v>0</v>
      </c>
      <c r="N68" s="278">
        <f t="shared" si="18"/>
        <v>0</v>
      </c>
      <c r="O68" s="281" t="s">
        <v>926</v>
      </c>
      <c r="P68" s="285">
        <v>0</v>
      </c>
      <c r="Q68" s="278">
        <f t="shared" si="19"/>
        <v>0</v>
      </c>
      <c r="R68" s="281" t="s">
        <v>926</v>
      </c>
      <c r="S68" s="285">
        <v>0</v>
      </c>
      <c r="T68" s="278">
        <f t="shared" si="20"/>
        <v>0</v>
      </c>
      <c r="U68" s="281" t="s">
        <v>926</v>
      </c>
      <c r="V68" s="285">
        <v>0</v>
      </c>
      <c r="W68" s="278">
        <f t="shared" si="21"/>
        <v>0</v>
      </c>
      <c r="X68" s="281" t="s">
        <v>926</v>
      </c>
      <c r="Y68" s="285">
        <v>0</v>
      </c>
      <c r="Z68" s="278">
        <f t="shared" si="22"/>
        <v>0</v>
      </c>
    </row>
    <row r="69" spans="1:26" x14ac:dyDescent="0.3">
      <c r="A69" s="357"/>
      <c r="B69" s="366" t="s">
        <v>1229</v>
      </c>
      <c r="C69" s="32" t="s">
        <v>6</v>
      </c>
      <c r="D69" s="34">
        <f>'ECONOMIA &amp; PROFESIONES'!$P$20</f>
        <v>6850</v>
      </c>
      <c r="E69" s="53">
        <f t="shared" si="23"/>
        <v>0</v>
      </c>
      <c r="F69" s="281" t="s">
        <v>926</v>
      </c>
      <c r="G69" s="285">
        <v>0</v>
      </c>
      <c r="H69" s="278">
        <f t="shared" si="16"/>
        <v>0</v>
      </c>
      <c r="I69" s="281" t="s">
        <v>926</v>
      </c>
      <c r="J69" s="285">
        <v>0</v>
      </c>
      <c r="K69" s="278">
        <f t="shared" si="17"/>
        <v>0</v>
      </c>
      <c r="L69" s="281" t="s">
        <v>926</v>
      </c>
      <c r="M69" s="285">
        <v>0</v>
      </c>
      <c r="N69" s="278">
        <f t="shared" si="18"/>
        <v>0</v>
      </c>
      <c r="O69" s="281" t="s">
        <v>926</v>
      </c>
      <c r="P69" s="285">
        <v>0</v>
      </c>
      <c r="Q69" s="278">
        <f t="shared" si="19"/>
        <v>0</v>
      </c>
      <c r="R69" s="281" t="s">
        <v>926</v>
      </c>
      <c r="S69" s="285">
        <v>0</v>
      </c>
      <c r="T69" s="278">
        <f t="shared" si="20"/>
        <v>0</v>
      </c>
      <c r="U69" s="281" t="s">
        <v>926</v>
      </c>
      <c r="V69" s="285">
        <v>0</v>
      </c>
      <c r="W69" s="278">
        <f t="shared" si="21"/>
        <v>0</v>
      </c>
      <c r="X69" s="281" t="s">
        <v>926</v>
      </c>
      <c r="Y69" s="285">
        <v>0</v>
      </c>
      <c r="Z69" s="278">
        <f t="shared" si="22"/>
        <v>0</v>
      </c>
    </row>
    <row r="70" spans="1:26" x14ac:dyDescent="0.3">
      <c r="A70" s="357"/>
      <c r="B70" s="367"/>
      <c r="C70" s="31" t="s">
        <v>113</v>
      </c>
      <c r="D70" s="34">
        <f>'ECONOMIA &amp; PROFESIONES'!$P$21</f>
        <v>9625</v>
      </c>
      <c r="E70" s="53">
        <f t="shared" si="23"/>
        <v>0</v>
      </c>
      <c r="F70" s="281" t="s">
        <v>926</v>
      </c>
      <c r="G70" s="285">
        <v>0</v>
      </c>
      <c r="H70" s="278">
        <f t="shared" si="16"/>
        <v>0</v>
      </c>
      <c r="I70" s="281" t="s">
        <v>926</v>
      </c>
      <c r="J70" s="285">
        <v>0</v>
      </c>
      <c r="K70" s="278">
        <f t="shared" si="17"/>
        <v>0</v>
      </c>
      <c r="L70" s="281" t="s">
        <v>926</v>
      </c>
      <c r="M70" s="285">
        <v>0</v>
      </c>
      <c r="N70" s="278">
        <f t="shared" si="18"/>
        <v>0</v>
      </c>
      <c r="O70" s="281" t="s">
        <v>926</v>
      </c>
      <c r="P70" s="285">
        <v>0</v>
      </c>
      <c r="Q70" s="278">
        <f t="shared" si="19"/>
        <v>0</v>
      </c>
      <c r="R70" s="281" t="s">
        <v>926</v>
      </c>
      <c r="S70" s="285">
        <v>0</v>
      </c>
      <c r="T70" s="278">
        <f t="shared" si="20"/>
        <v>0</v>
      </c>
      <c r="U70" s="281" t="s">
        <v>926</v>
      </c>
      <c r="V70" s="285">
        <v>0</v>
      </c>
      <c r="W70" s="278">
        <f t="shared" si="21"/>
        <v>0</v>
      </c>
      <c r="X70" s="281" t="s">
        <v>926</v>
      </c>
      <c r="Y70" s="285">
        <v>0</v>
      </c>
      <c r="Z70" s="278">
        <f t="shared" si="22"/>
        <v>0</v>
      </c>
    </row>
    <row r="71" spans="1:26" x14ac:dyDescent="0.3">
      <c r="A71" s="357"/>
      <c r="B71" s="367"/>
      <c r="C71" s="32" t="s">
        <v>114</v>
      </c>
      <c r="D71" s="34">
        <f>'ECONOMIA &amp; PROFESIONES'!$P$22</f>
        <v>12400</v>
      </c>
      <c r="E71" s="53">
        <f t="shared" si="23"/>
        <v>0</v>
      </c>
      <c r="F71" s="281" t="s">
        <v>926</v>
      </c>
      <c r="G71" s="285">
        <v>0</v>
      </c>
      <c r="H71" s="278">
        <f t="shared" si="16"/>
        <v>0</v>
      </c>
      <c r="I71" s="281" t="s">
        <v>926</v>
      </c>
      <c r="J71" s="285">
        <v>0</v>
      </c>
      <c r="K71" s="278">
        <f t="shared" si="17"/>
        <v>0</v>
      </c>
      <c r="L71" s="281" t="s">
        <v>926</v>
      </c>
      <c r="M71" s="285">
        <v>0</v>
      </c>
      <c r="N71" s="278">
        <f t="shared" si="18"/>
        <v>0</v>
      </c>
      <c r="O71" s="281" t="s">
        <v>926</v>
      </c>
      <c r="P71" s="285">
        <v>0</v>
      </c>
      <c r="Q71" s="278">
        <f t="shared" si="19"/>
        <v>0</v>
      </c>
      <c r="R71" s="281" t="s">
        <v>926</v>
      </c>
      <c r="S71" s="285">
        <v>0</v>
      </c>
      <c r="T71" s="278">
        <f t="shared" si="20"/>
        <v>0</v>
      </c>
      <c r="U71" s="281" t="s">
        <v>926</v>
      </c>
      <c r="V71" s="285">
        <v>0</v>
      </c>
      <c r="W71" s="278">
        <f t="shared" si="21"/>
        <v>0</v>
      </c>
      <c r="X71" s="281" t="s">
        <v>926</v>
      </c>
      <c r="Y71" s="285">
        <v>0</v>
      </c>
      <c r="Z71" s="278">
        <f t="shared" si="22"/>
        <v>0</v>
      </c>
    </row>
    <row r="72" spans="1:26" x14ac:dyDescent="0.3">
      <c r="A72" s="357"/>
      <c r="B72" s="362"/>
      <c r="C72" s="31" t="s">
        <v>115</v>
      </c>
      <c r="D72" s="34">
        <f>'ECONOMIA &amp; PROFESIONES'!$P$23</f>
        <v>11475</v>
      </c>
      <c r="E72" s="53">
        <f t="shared" si="23"/>
        <v>0</v>
      </c>
      <c r="F72" s="281" t="s">
        <v>926</v>
      </c>
      <c r="G72" s="285">
        <v>0</v>
      </c>
      <c r="H72" s="278">
        <f t="shared" si="16"/>
        <v>0</v>
      </c>
      <c r="I72" s="281" t="s">
        <v>926</v>
      </c>
      <c r="J72" s="285">
        <v>0</v>
      </c>
      <c r="K72" s="278">
        <f t="shared" si="17"/>
        <v>0</v>
      </c>
      <c r="L72" s="281" t="s">
        <v>926</v>
      </c>
      <c r="M72" s="285">
        <v>0</v>
      </c>
      <c r="N72" s="278">
        <f t="shared" si="18"/>
        <v>0</v>
      </c>
      <c r="O72" s="281" t="s">
        <v>926</v>
      </c>
      <c r="P72" s="285">
        <v>0</v>
      </c>
      <c r="Q72" s="278">
        <f t="shared" si="19"/>
        <v>0</v>
      </c>
      <c r="R72" s="281" t="s">
        <v>926</v>
      </c>
      <c r="S72" s="285">
        <v>0</v>
      </c>
      <c r="T72" s="278">
        <f t="shared" si="20"/>
        <v>0</v>
      </c>
      <c r="U72" s="281" t="s">
        <v>926</v>
      </c>
      <c r="V72" s="285">
        <v>0</v>
      </c>
      <c r="W72" s="278">
        <f t="shared" si="21"/>
        <v>0</v>
      </c>
      <c r="X72" s="281" t="s">
        <v>926</v>
      </c>
      <c r="Y72" s="285">
        <v>0</v>
      </c>
      <c r="Z72" s="278">
        <f t="shared" si="22"/>
        <v>0</v>
      </c>
    </row>
    <row r="73" spans="1:26" x14ac:dyDescent="0.3">
      <c r="A73" s="357"/>
      <c r="B73" s="368"/>
      <c r="C73" s="32" t="s">
        <v>116</v>
      </c>
      <c r="D73" s="34">
        <f>'ECONOMIA &amp; PROFESIONES'!$P$24</f>
        <v>8700</v>
      </c>
      <c r="E73" s="53">
        <f t="shared" si="23"/>
        <v>0</v>
      </c>
      <c r="F73" s="281" t="s">
        <v>926</v>
      </c>
      <c r="G73" s="285">
        <v>0</v>
      </c>
      <c r="H73" s="278">
        <f t="shared" si="16"/>
        <v>0</v>
      </c>
      <c r="I73" s="281" t="s">
        <v>926</v>
      </c>
      <c r="J73" s="285">
        <v>0</v>
      </c>
      <c r="K73" s="278">
        <f t="shared" si="17"/>
        <v>0</v>
      </c>
      <c r="L73" s="281" t="s">
        <v>926</v>
      </c>
      <c r="M73" s="285">
        <v>0</v>
      </c>
      <c r="N73" s="278">
        <f t="shared" si="18"/>
        <v>0</v>
      </c>
      <c r="O73" s="281" t="s">
        <v>926</v>
      </c>
      <c r="P73" s="285">
        <v>0</v>
      </c>
      <c r="Q73" s="278">
        <f t="shared" si="19"/>
        <v>0</v>
      </c>
      <c r="R73" s="281" t="s">
        <v>926</v>
      </c>
      <c r="S73" s="285">
        <v>0</v>
      </c>
      <c r="T73" s="278">
        <f t="shared" si="20"/>
        <v>0</v>
      </c>
      <c r="U73" s="281" t="s">
        <v>926</v>
      </c>
      <c r="V73" s="285">
        <v>0</v>
      </c>
      <c r="W73" s="278">
        <f t="shared" si="21"/>
        <v>0</v>
      </c>
      <c r="X73" s="281" t="s">
        <v>926</v>
      </c>
      <c r="Y73" s="285">
        <v>0</v>
      </c>
      <c r="Z73" s="278">
        <f t="shared" si="22"/>
        <v>0</v>
      </c>
    </row>
    <row r="74" spans="1:26" x14ac:dyDescent="0.3">
      <c r="A74" s="357"/>
      <c r="B74" s="364" t="s">
        <v>1227</v>
      </c>
      <c r="C74" s="31" t="s">
        <v>6</v>
      </c>
      <c r="D74" s="34">
        <f>'ECONOMIA &amp; PROFESIONES'!$P$25</f>
        <v>8450</v>
      </c>
      <c r="E74" s="53">
        <f t="shared" si="23"/>
        <v>0</v>
      </c>
      <c r="F74" s="281" t="s">
        <v>926</v>
      </c>
      <c r="G74" s="285">
        <v>0</v>
      </c>
      <c r="H74" s="278">
        <f t="shared" si="16"/>
        <v>0</v>
      </c>
      <c r="I74" s="281" t="s">
        <v>926</v>
      </c>
      <c r="J74" s="285">
        <v>0</v>
      </c>
      <c r="K74" s="278">
        <f t="shared" si="17"/>
        <v>0</v>
      </c>
      <c r="L74" s="281" t="s">
        <v>926</v>
      </c>
      <c r="M74" s="285">
        <v>0</v>
      </c>
      <c r="N74" s="278">
        <f t="shared" si="18"/>
        <v>0</v>
      </c>
      <c r="O74" s="281" t="s">
        <v>926</v>
      </c>
      <c r="P74" s="285">
        <v>0</v>
      </c>
      <c r="Q74" s="278">
        <f t="shared" si="19"/>
        <v>0</v>
      </c>
      <c r="R74" s="281" t="s">
        <v>926</v>
      </c>
      <c r="S74" s="285">
        <v>0</v>
      </c>
      <c r="T74" s="278">
        <f t="shared" si="20"/>
        <v>0</v>
      </c>
      <c r="U74" s="281" t="s">
        <v>926</v>
      </c>
      <c r="V74" s="285">
        <v>0</v>
      </c>
      <c r="W74" s="278">
        <f t="shared" si="21"/>
        <v>0</v>
      </c>
      <c r="X74" s="281" t="s">
        <v>926</v>
      </c>
      <c r="Y74" s="285">
        <v>0</v>
      </c>
      <c r="Z74" s="278">
        <f t="shared" si="22"/>
        <v>0</v>
      </c>
    </row>
    <row r="75" spans="1:26" x14ac:dyDescent="0.3">
      <c r="A75" s="357"/>
      <c r="B75" s="364"/>
      <c r="C75" s="32" t="s">
        <v>113</v>
      </c>
      <c r="D75" s="34">
        <f>'ECONOMIA &amp; PROFESIONES'!$P$26</f>
        <v>11375</v>
      </c>
      <c r="E75" s="53">
        <f t="shared" si="23"/>
        <v>0</v>
      </c>
      <c r="F75" s="281" t="s">
        <v>926</v>
      </c>
      <c r="G75" s="285">
        <v>0</v>
      </c>
      <c r="H75" s="278">
        <f t="shared" si="16"/>
        <v>0</v>
      </c>
      <c r="I75" s="281" t="s">
        <v>926</v>
      </c>
      <c r="J75" s="285">
        <v>0</v>
      </c>
      <c r="K75" s="278">
        <f t="shared" si="17"/>
        <v>0</v>
      </c>
      <c r="L75" s="281" t="s">
        <v>926</v>
      </c>
      <c r="M75" s="285">
        <v>0</v>
      </c>
      <c r="N75" s="278">
        <f t="shared" si="18"/>
        <v>0</v>
      </c>
      <c r="O75" s="281" t="s">
        <v>926</v>
      </c>
      <c r="P75" s="285">
        <v>0</v>
      </c>
      <c r="Q75" s="278">
        <f t="shared" si="19"/>
        <v>0</v>
      </c>
      <c r="R75" s="281" t="s">
        <v>926</v>
      </c>
      <c r="S75" s="285">
        <v>0</v>
      </c>
      <c r="T75" s="278">
        <f t="shared" si="20"/>
        <v>0</v>
      </c>
      <c r="U75" s="281" t="s">
        <v>926</v>
      </c>
      <c r="V75" s="285">
        <v>0</v>
      </c>
      <c r="W75" s="278">
        <f t="shared" si="21"/>
        <v>0</v>
      </c>
      <c r="X75" s="281" t="s">
        <v>926</v>
      </c>
      <c r="Y75" s="285">
        <v>0</v>
      </c>
      <c r="Z75" s="278">
        <f t="shared" si="22"/>
        <v>0</v>
      </c>
    </row>
    <row r="76" spans="1:26" x14ac:dyDescent="0.3">
      <c r="A76" s="357"/>
      <c r="B76" s="364"/>
      <c r="C76" s="31" t="s">
        <v>114</v>
      </c>
      <c r="D76" s="34">
        <f>'ECONOMIA &amp; PROFESIONES'!$P$27</f>
        <v>14300</v>
      </c>
      <c r="E76" s="53">
        <f t="shared" si="23"/>
        <v>0</v>
      </c>
      <c r="F76" s="281" t="s">
        <v>926</v>
      </c>
      <c r="G76" s="285">
        <v>0</v>
      </c>
      <c r="H76" s="278">
        <f t="shared" si="16"/>
        <v>0</v>
      </c>
      <c r="I76" s="281" t="s">
        <v>926</v>
      </c>
      <c r="J76" s="285">
        <v>0</v>
      </c>
      <c r="K76" s="278">
        <f t="shared" si="17"/>
        <v>0</v>
      </c>
      <c r="L76" s="281" t="s">
        <v>926</v>
      </c>
      <c r="M76" s="285">
        <v>0</v>
      </c>
      <c r="N76" s="278">
        <f t="shared" si="18"/>
        <v>0</v>
      </c>
      <c r="O76" s="281" t="s">
        <v>926</v>
      </c>
      <c r="P76" s="285">
        <v>0</v>
      </c>
      <c r="Q76" s="278">
        <f t="shared" si="19"/>
        <v>0</v>
      </c>
      <c r="R76" s="281" t="s">
        <v>926</v>
      </c>
      <c r="S76" s="285">
        <v>0</v>
      </c>
      <c r="T76" s="278">
        <f t="shared" si="20"/>
        <v>0</v>
      </c>
      <c r="U76" s="281" t="s">
        <v>926</v>
      </c>
      <c r="V76" s="285">
        <v>0</v>
      </c>
      <c r="W76" s="278">
        <f t="shared" si="21"/>
        <v>0</v>
      </c>
      <c r="X76" s="281" t="s">
        <v>926</v>
      </c>
      <c r="Y76" s="285">
        <v>0</v>
      </c>
      <c r="Z76" s="278">
        <f t="shared" si="22"/>
        <v>0</v>
      </c>
    </row>
    <row r="77" spans="1:26" x14ac:dyDescent="0.3">
      <c r="A77" s="357"/>
      <c r="B77" s="364"/>
      <c r="C77" s="32" t="s">
        <v>115</v>
      </c>
      <c r="D77" s="34">
        <f>'ECONOMIA &amp; PROFESIONES'!$P$28</f>
        <v>13325</v>
      </c>
      <c r="E77" s="53">
        <f t="shared" si="23"/>
        <v>0</v>
      </c>
      <c r="F77" s="281" t="s">
        <v>926</v>
      </c>
      <c r="G77" s="285">
        <v>0</v>
      </c>
      <c r="H77" s="278">
        <f t="shared" si="16"/>
        <v>0</v>
      </c>
      <c r="I77" s="281" t="s">
        <v>926</v>
      </c>
      <c r="J77" s="285">
        <v>0</v>
      </c>
      <c r="K77" s="278">
        <f t="shared" si="17"/>
        <v>0</v>
      </c>
      <c r="L77" s="281" t="s">
        <v>926</v>
      </c>
      <c r="M77" s="285">
        <v>0</v>
      </c>
      <c r="N77" s="278">
        <f t="shared" si="18"/>
        <v>0</v>
      </c>
      <c r="O77" s="281" t="s">
        <v>926</v>
      </c>
      <c r="P77" s="285">
        <v>0</v>
      </c>
      <c r="Q77" s="278">
        <f t="shared" si="19"/>
        <v>0</v>
      </c>
      <c r="R77" s="281" t="s">
        <v>926</v>
      </c>
      <c r="S77" s="285">
        <v>0</v>
      </c>
      <c r="T77" s="278">
        <f t="shared" si="20"/>
        <v>0</v>
      </c>
      <c r="U77" s="281" t="s">
        <v>926</v>
      </c>
      <c r="V77" s="285">
        <v>0</v>
      </c>
      <c r="W77" s="278">
        <f t="shared" si="21"/>
        <v>0</v>
      </c>
      <c r="X77" s="281" t="s">
        <v>926</v>
      </c>
      <c r="Y77" s="285">
        <v>0</v>
      </c>
      <c r="Z77" s="278">
        <f t="shared" si="22"/>
        <v>0</v>
      </c>
    </row>
    <row r="78" spans="1:26" x14ac:dyDescent="0.3">
      <c r="A78" s="357"/>
      <c r="B78" s="364"/>
      <c r="C78" s="31" t="s">
        <v>116</v>
      </c>
      <c r="D78" s="34">
        <f>'ECONOMIA &amp; PROFESIONES'!$P$29</f>
        <v>10400</v>
      </c>
      <c r="E78" s="53">
        <f t="shared" si="23"/>
        <v>0</v>
      </c>
      <c r="F78" s="281" t="s">
        <v>926</v>
      </c>
      <c r="G78" s="285">
        <v>0</v>
      </c>
      <c r="H78" s="278">
        <f t="shared" si="16"/>
        <v>0</v>
      </c>
      <c r="I78" s="281" t="s">
        <v>926</v>
      </c>
      <c r="J78" s="285">
        <v>0</v>
      </c>
      <c r="K78" s="278">
        <f t="shared" si="17"/>
        <v>0</v>
      </c>
      <c r="L78" s="281" t="s">
        <v>926</v>
      </c>
      <c r="M78" s="285">
        <v>0</v>
      </c>
      <c r="N78" s="278">
        <f t="shared" si="18"/>
        <v>0</v>
      </c>
      <c r="O78" s="281" t="s">
        <v>926</v>
      </c>
      <c r="P78" s="285">
        <v>0</v>
      </c>
      <c r="Q78" s="278">
        <f t="shared" si="19"/>
        <v>0</v>
      </c>
      <c r="R78" s="281" t="s">
        <v>926</v>
      </c>
      <c r="S78" s="285">
        <v>0</v>
      </c>
      <c r="T78" s="278">
        <f t="shared" si="20"/>
        <v>0</v>
      </c>
      <c r="U78" s="281" t="s">
        <v>926</v>
      </c>
      <c r="V78" s="285">
        <v>0</v>
      </c>
      <c r="W78" s="278">
        <f t="shared" si="21"/>
        <v>0</v>
      </c>
      <c r="X78" s="281" t="s">
        <v>926</v>
      </c>
      <c r="Y78" s="285">
        <v>0</v>
      </c>
      <c r="Z78" s="278">
        <f t="shared" si="22"/>
        <v>0</v>
      </c>
    </row>
    <row r="79" spans="1:26" x14ac:dyDescent="0.3">
      <c r="A79" s="357" t="s">
        <v>3</v>
      </c>
      <c r="B79" s="176"/>
      <c r="C79" s="176"/>
      <c r="D79" s="295"/>
      <c r="E79" s="284" t="s">
        <v>1150</v>
      </c>
      <c r="F79" s="284" t="s">
        <v>1151</v>
      </c>
      <c r="G79" s="284" t="s">
        <v>1230</v>
      </c>
      <c r="H79" s="284" t="s">
        <v>202</v>
      </c>
      <c r="I79" s="284" t="s">
        <v>1152</v>
      </c>
      <c r="J79" s="284" t="s">
        <v>1230</v>
      </c>
      <c r="K79" s="284" t="s">
        <v>202</v>
      </c>
      <c r="L79" s="284" t="s">
        <v>1170</v>
      </c>
      <c r="M79" s="284" t="s">
        <v>1230</v>
      </c>
      <c r="N79" s="284" t="s">
        <v>202</v>
      </c>
      <c r="O79" s="284" t="s">
        <v>1223</v>
      </c>
      <c r="P79" s="284" t="s">
        <v>1230</v>
      </c>
      <c r="Q79" s="284" t="s">
        <v>202</v>
      </c>
      <c r="R79" s="284" t="s">
        <v>1224</v>
      </c>
      <c r="S79" s="284" t="s">
        <v>1230</v>
      </c>
      <c r="T79" s="284" t="s">
        <v>202</v>
      </c>
      <c r="U79" s="284" t="s">
        <v>1225</v>
      </c>
      <c r="V79" s="284" t="s">
        <v>1230</v>
      </c>
      <c r="W79" s="284" t="s">
        <v>202</v>
      </c>
      <c r="X79" s="284" t="s">
        <v>1226</v>
      </c>
      <c r="Y79" s="284" t="s">
        <v>1230</v>
      </c>
      <c r="Z79" s="284" t="s">
        <v>202</v>
      </c>
    </row>
    <row r="80" spans="1:26" x14ac:dyDescent="0.3">
      <c r="A80" s="357"/>
      <c r="B80" s="358" t="s">
        <v>1161</v>
      </c>
      <c r="C80" s="31" t="s">
        <v>6</v>
      </c>
      <c r="D80" s="35">
        <f>'ECONOMIA &amp; PROFESIONES'!$Q$5</f>
        <v>3700</v>
      </c>
      <c r="E80" s="53">
        <f>(H80*G80)+(K80*J80)+(M80*N80)+(P80*Q80)+(S80*T80)+(V80*W80)+(Y80*Z80)</f>
        <v>0</v>
      </c>
      <c r="F80" s="281" t="s">
        <v>926</v>
      </c>
      <c r="G80" s="285">
        <v>0</v>
      </c>
      <c r="H80" s="278">
        <f t="shared" ref="H80:H104" si="24">VLOOKUP(F80,craftedesp,3,FALSE)</f>
        <v>0</v>
      </c>
      <c r="I80" s="281" t="s">
        <v>926</v>
      </c>
      <c r="J80" s="285">
        <v>0</v>
      </c>
      <c r="K80" s="278">
        <f t="shared" ref="K80:K104" si="25">VLOOKUP(I80,craftedesp,3,FALSE)</f>
        <v>0</v>
      </c>
      <c r="L80" s="281" t="s">
        <v>926</v>
      </c>
      <c r="M80" s="285">
        <v>0</v>
      </c>
      <c r="N80" s="278">
        <f t="shared" ref="N80:N104" si="26">VLOOKUP(L80,craftedesp,3,FALSE)</f>
        <v>0</v>
      </c>
      <c r="O80" s="281" t="s">
        <v>926</v>
      </c>
      <c r="P80" s="285">
        <v>0</v>
      </c>
      <c r="Q80" s="278">
        <f t="shared" ref="Q80:Q104" si="27">VLOOKUP(O80,craftedesp,3,FALSE)</f>
        <v>0</v>
      </c>
      <c r="R80" s="281" t="s">
        <v>926</v>
      </c>
      <c r="S80" s="285">
        <v>0</v>
      </c>
      <c r="T80" s="278">
        <f t="shared" ref="T80:T104" si="28">VLOOKUP(R80,craftedesp,3,FALSE)</f>
        <v>0</v>
      </c>
      <c r="U80" s="281" t="s">
        <v>926</v>
      </c>
      <c r="V80" s="285">
        <v>0</v>
      </c>
      <c r="W80" s="278">
        <f t="shared" ref="W80:W104" si="29">VLOOKUP(U80,craftedesp,3,FALSE)</f>
        <v>0</v>
      </c>
      <c r="X80" s="281" t="s">
        <v>926</v>
      </c>
      <c r="Y80" s="285">
        <v>0</v>
      </c>
      <c r="Z80" s="278">
        <f t="shared" ref="Z80:Z104" si="30">VLOOKUP(X80,craftedesp,3,FALSE)</f>
        <v>0</v>
      </c>
    </row>
    <row r="81" spans="1:26" x14ac:dyDescent="0.3">
      <c r="A81" s="357"/>
      <c r="B81" s="359"/>
      <c r="C81" s="32" t="s">
        <v>113</v>
      </c>
      <c r="D81" s="35">
        <f>'ECONOMIA &amp; PROFESIONES'!$Q$6</f>
        <v>8500</v>
      </c>
      <c r="E81" s="53">
        <f t="shared" ref="E81:E104" si="31">(H81*G81)+(K81*J81)+(M81*N81)+(P81*Q81)+(S81*T81)+(V81*W81)+(Y81*Z81)</f>
        <v>0</v>
      </c>
      <c r="F81" s="281" t="s">
        <v>926</v>
      </c>
      <c r="G81" s="285">
        <v>0</v>
      </c>
      <c r="H81" s="278">
        <f t="shared" si="24"/>
        <v>0</v>
      </c>
      <c r="I81" s="281" t="s">
        <v>926</v>
      </c>
      <c r="J81" s="285">
        <v>0</v>
      </c>
      <c r="K81" s="278">
        <f t="shared" si="25"/>
        <v>0</v>
      </c>
      <c r="L81" s="281" t="s">
        <v>926</v>
      </c>
      <c r="M81" s="285">
        <v>0</v>
      </c>
      <c r="N81" s="278">
        <f t="shared" si="26"/>
        <v>0</v>
      </c>
      <c r="O81" s="281" t="s">
        <v>926</v>
      </c>
      <c r="P81" s="285">
        <v>0</v>
      </c>
      <c r="Q81" s="278">
        <f t="shared" si="27"/>
        <v>0</v>
      </c>
      <c r="R81" s="281" t="s">
        <v>926</v>
      </c>
      <c r="S81" s="285">
        <v>0</v>
      </c>
      <c r="T81" s="278">
        <f t="shared" si="28"/>
        <v>0</v>
      </c>
      <c r="U81" s="281" t="s">
        <v>926</v>
      </c>
      <c r="V81" s="285">
        <v>0</v>
      </c>
      <c r="W81" s="278">
        <f t="shared" si="29"/>
        <v>0</v>
      </c>
      <c r="X81" s="281" t="s">
        <v>926</v>
      </c>
      <c r="Y81" s="285">
        <v>0</v>
      </c>
      <c r="Z81" s="278">
        <f t="shared" si="30"/>
        <v>0</v>
      </c>
    </row>
    <row r="82" spans="1:26" x14ac:dyDescent="0.3">
      <c r="A82" s="357"/>
      <c r="B82" s="359"/>
      <c r="C82" s="31" t="s">
        <v>114</v>
      </c>
      <c r="D82" s="35">
        <f>'ECONOMIA &amp; PROFESIONES'!$Q$7</f>
        <v>13300</v>
      </c>
      <c r="E82" s="53">
        <f t="shared" si="31"/>
        <v>0</v>
      </c>
      <c r="F82" s="281" t="s">
        <v>926</v>
      </c>
      <c r="G82" s="285">
        <v>0</v>
      </c>
      <c r="H82" s="278">
        <f t="shared" si="24"/>
        <v>0</v>
      </c>
      <c r="I82" s="281" t="s">
        <v>926</v>
      </c>
      <c r="J82" s="285">
        <v>0</v>
      </c>
      <c r="K82" s="278">
        <f t="shared" si="25"/>
        <v>0</v>
      </c>
      <c r="L82" s="281" t="s">
        <v>926</v>
      </c>
      <c r="M82" s="285">
        <v>0</v>
      </c>
      <c r="N82" s="278">
        <f t="shared" si="26"/>
        <v>0</v>
      </c>
      <c r="O82" s="281" t="s">
        <v>926</v>
      </c>
      <c r="P82" s="285">
        <v>0</v>
      </c>
      <c r="Q82" s="278">
        <f t="shared" si="27"/>
        <v>0</v>
      </c>
      <c r="R82" s="281" t="s">
        <v>926</v>
      </c>
      <c r="S82" s="285">
        <v>0</v>
      </c>
      <c r="T82" s="278">
        <f t="shared" si="28"/>
        <v>0</v>
      </c>
      <c r="U82" s="281" t="s">
        <v>926</v>
      </c>
      <c r="V82" s="285">
        <v>0</v>
      </c>
      <c r="W82" s="278">
        <f t="shared" si="29"/>
        <v>0</v>
      </c>
      <c r="X82" s="281" t="s">
        <v>926</v>
      </c>
      <c r="Y82" s="285">
        <v>0</v>
      </c>
      <c r="Z82" s="278">
        <f t="shared" si="30"/>
        <v>0</v>
      </c>
    </row>
    <row r="83" spans="1:26" x14ac:dyDescent="0.3">
      <c r="A83" s="357"/>
      <c r="B83" s="359"/>
      <c r="C83" s="32" t="s">
        <v>115</v>
      </c>
      <c r="D83" s="35">
        <f>'ECONOMIA &amp; PROFESIONES'!$Q$8</f>
        <v>11700</v>
      </c>
      <c r="E83" s="53">
        <f t="shared" si="31"/>
        <v>0</v>
      </c>
      <c r="F83" s="281" t="s">
        <v>926</v>
      </c>
      <c r="G83" s="285">
        <v>0</v>
      </c>
      <c r="H83" s="278">
        <f t="shared" si="24"/>
        <v>0</v>
      </c>
      <c r="I83" s="281" t="s">
        <v>926</v>
      </c>
      <c r="J83" s="285">
        <v>0</v>
      </c>
      <c r="K83" s="278">
        <f t="shared" si="25"/>
        <v>0</v>
      </c>
      <c r="L83" s="281" t="s">
        <v>926</v>
      </c>
      <c r="M83" s="285">
        <v>0</v>
      </c>
      <c r="N83" s="278">
        <f t="shared" si="26"/>
        <v>0</v>
      </c>
      <c r="O83" s="281" t="s">
        <v>926</v>
      </c>
      <c r="P83" s="285">
        <v>0</v>
      </c>
      <c r="Q83" s="278">
        <f t="shared" si="27"/>
        <v>0</v>
      </c>
      <c r="R83" s="281" t="s">
        <v>926</v>
      </c>
      <c r="S83" s="285">
        <v>0</v>
      </c>
      <c r="T83" s="278">
        <f t="shared" si="28"/>
        <v>0</v>
      </c>
      <c r="U83" s="281" t="s">
        <v>926</v>
      </c>
      <c r="V83" s="285">
        <v>0</v>
      </c>
      <c r="W83" s="278">
        <f t="shared" si="29"/>
        <v>0</v>
      </c>
      <c r="X83" s="281" t="s">
        <v>926</v>
      </c>
      <c r="Y83" s="285">
        <v>0</v>
      </c>
      <c r="Z83" s="278">
        <f t="shared" si="30"/>
        <v>0</v>
      </c>
    </row>
    <row r="84" spans="1:26" x14ac:dyDescent="0.3">
      <c r="A84" s="357"/>
      <c r="B84" s="360"/>
      <c r="C84" s="31" t="s">
        <v>116</v>
      </c>
      <c r="D84" s="35">
        <f>'ECONOMIA &amp; PROFESIONES'!$Q$9</f>
        <v>6900</v>
      </c>
      <c r="E84" s="53">
        <f t="shared" si="31"/>
        <v>0</v>
      </c>
      <c r="F84" s="281" t="s">
        <v>926</v>
      </c>
      <c r="G84" s="285">
        <v>0</v>
      </c>
      <c r="H84" s="278">
        <f t="shared" si="24"/>
        <v>0</v>
      </c>
      <c r="I84" s="281" t="s">
        <v>926</v>
      </c>
      <c r="J84" s="285">
        <v>0</v>
      </c>
      <c r="K84" s="278">
        <f t="shared" si="25"/>
        <v>0</v>
      </c>
      <c r="L84" s="281" t="s">
        <v>926</v>
      </c>
      <c r="M84" s="285">
        <v>0</v>
      </c>
      <c r="N84" s="278">
        <f t="shared" si="26"/>
        <v>0</v>
      </c>
      <c r="O84" s="281" t="s">
        <v>926</v>
      </c>
      <c r="P84" s="285">
        <v>0</v>
      </c>
      <c r="Q84" s="278">
        <f t="shared" si="27"/>
        <v>0</v>
      </c>
      <c r="R84" s="281" t="s">
        <v>926</v>
      </c>
      <c r="S84" s="285">
        <v>0</v>
      </c>
      <c r="T84" s="278">
        <f t="shared" si="28"/>
        <v>0</v>
      </c>
      <c r="U84" s="281" t="s">
        <v>926</v>
      </c>
      <c r="V84" s="285">
        <v>0</v>
      </c>
      <c r="W84" s="278">
        <f t="shared" si="29"/>
        <v>0</v>
      </c>
      <c r="X84" s="281" t="s">
        <v>926</v>
      </c>
      <c r="Y84" s="285">
        <v>0</v>
      </c>
      <c r="Z84" s="278">
        <f t="shared" si="30"/>
        <v>0</v>
      </c>
    </row>
    <row r="85" spans="1:26" x14ac:dyDescent="0.3">
      <c r="A85" s="357"/>
      <c r="B85" s="361" t="s">
        <v>1162</v>
      </c>
      <c r="C85" s="32" t="s">
        <v>6</v>
      </c>
      <c r="D85" s="35">
        <f>'ECONOMIA &amp; PROFESIONES'!$Q$10</f>
        <v>5250</v>
      </c>
      <c r="E85" s="53">
        <f t="shared" si="31"/>
        <v>0</v>
      </c>
      <c r="F85" s="281" t="s">
        <v>926</v>
      </c>
      <c r="G85" s="285">
        <v>0</v>
      </c>
      <c r="H85" s="278">
        <f t="shared" si="24"/>
        <v>0</v>
      </c>
      <c r="I85" s="281" t="s">
        <v>926</v>
      </c>
      <c r="J85" s="285">
        <v>0</v>
      </c>
      <c r="K85" s="278">
        <f t="shared" si="25"/>
        <v>0</v>
      </c>
      <c r="L85" s="281" t="s">
        <v>926</v>
      </c>
      <c r="M85" s="285">
        <v>0</v>
      </c>
      <c r="N85" s="278">
        <f t="shared" si="26"/>
        <v>0</v>
      </c>
      <c r="O85" s="281" t="s">
        <v>926</v>
      </c>
      <c r="P85" s="285">
        <v>0</v>
      </c>
      <c r="Q85" s="278">
        <f t="shared" si="27"/>
        <v>0</v>
      </c>
      <c r="R85" s="281" t="s">
        <v>926</v>
      </c>
      <c r="S85" s="285">
        <v>0</v>
      </c>
      <c r="T85" s="278">
        <f t="shared" si="28"/>
        <v>0</v>
      </c>
      <c r="U85" s="281" t="s">
        <v>926</v>
      </c>
      <c r="V85" s="285">
        <v>0</v>
      </c>
      <c r="W85" s="278">
        <f t="shared" si="29"/>
        <v>0</v>
      </c>
      <c r="X85" s="281" t="s">
        <v>926</v>
      </c>
      <c r="Y85" s="285">
        <v>0</v>
      </c>
      <c r="Z85" s="278">
        <f t="shared" si="30"/>
        <v>0</v>
      </c>
    </row>
    <row r="86" spans="1:26" x14ac:dyDescent="0.3">
      <c r="A86" s="357"/>
      <c r="B86" s="362"/>
      <c r="C86" s="31" t="s">
        <v>113</v>
      </c>
      <c r="D86" s="35">
        <f>'ECONOMIA &amp; PROFESIONES'!$Q$11</f>
        <v>10125</v>
      </c>
      <c r="E86" s="53">
        <f t="shared" si="31"/>
        <v>0</v>
      </c>
      <c r="F86" s="281" t="s">
        <v>926</v>
      </c>
      <c r="G86" s="285">
        <v>0</v>
      </c>
      <c r="H86" s="278">
        <f t="shared" si="24"/>
        <v>0</v>
      </c>
      <c r="I86" s="281" t="s">
        <v>926</v>
      </c>
      <c r="J86" s="285">
        <v>0</v>
      </c>
      <c r="K86" s="278">
        <f t="shared" si="25"/>
        <v>0</v>
      </c>
      <c r="L86" s="281" t="s">
        <v>926</v>
      </c>
      <c r="M86" s="285">
        <v>0</v>
      </c>
      <c r="N86" s="278">
        <f t="shared" si="26"/>
        <v>0</v>
      </c>
      <c r="O86" s="281" t="s">
        <v>926</v>
      </c>
      <c r="P86" s="285">
        <v>0</v>
      </c>
      <c r="Q86" s="278">
        <f t="shared" si="27"/>
        <v>0</v>
      </c>
      <c r="R86" s="281" t="s">
        <v>926</v>
      </c>
      <c r="S86" s="285">
        <v>0</v>
      </c>
      <c r="T86" s="278">
        <f t="shared" si="28"/>
        <v>0</v>
      </c>
      <c r="U86" s="281" t="s">
        <v>926</v>
      </c>
      <c r="V86" s="285">
        <v>0</v>
      </c>
      <c r="W86" s="278">
        <f t="shared" si="29"/>
        <v>0</v>
      </c>
      <c r="X86" s="281" t="s">
        <v>926</v>
      </c>
      <c r="Y86" s="285">
        <v>0</v>
      </c>
      <c r="Z86" s="278">
        <f t="shared" si="30"/>
        <v>0</v>
      </c>
    </row>
    <row r="87" spans="1:26" x14ac:dyDescent="0.3">
      <c r="A87" s="357"/>
      <c r="B87" s="362"/>
      <c r="C87" s="32" t="s">
        <v>114</v>
      </c>
      <c r="D87" s="35">
        <f>'ECONOMIA &amp; PROFESIONES'!$Q$12</f>
        <v>15000</v>
      </c>
      <c r="E87" s="53">
        <f t="shared" si="31"/>
        <v>0</v>
      </c>
      <c r="F87" s="281" t="s">
        <v>926</v>
      </c>
      <c r="G87" s="285">
        <v>0</v>
      </c>
      <c r="H87" s="278">
        <f t="shared" si="24"/>
        <v>0</v>
      </c>
      <c r="I87" s="281" t="s">
        <v>926</v>
      </c>
      <c r="J87" s="285">
        <v>0</v>
      </c>
      <c r="K87" s="278">
        <f t="shared" si="25"/>
        <v>0</v>
      </c>
      <c r="L87" s="281" t="s">
        <v>926</v>
      </c>
      <c r="M87" s="285">
        <v>0</v>
      </c>
      <c r="N87" s="278">
        <f t="shared" si="26"/>
        <v>0</v>
      </c>
      <c r="O87" s="281" t="s">
        <v>926</v>
      </c>
      <c r="P87" s="285">
        <v>0</v>
      </c>
      <c r="Q87" s="278">
        <f t="shared" si="27"/>
        <v>0</v>
      </c>
      <c r="R87" s="281" t="s">
        <v>926</v>
      </c>
      <c r="S87" s="285">
        <v>0</v>
      </c>
      <c r="T87" s="278">
        <f t="shared" si="28"/>
        <v>0</v>
      </c>
      <c r="U87" s="281" t="s">
        <v>926</v>
      </c>
      <c r="V87" s="285">
        <v>0</v>
      </c>
      <c r="W87" s="278">
        <f t="shared" si="29"/>
        <v>0</v>
      </c>
      <c r="X87" s="281" t="s">
        <v>926</v>
      </c>
      <c r="Y87" s="285">
        <v>0</v>
      </c>
      <c r="Z87" s="278">
        <f t="shared" si="30"/>
        <v>0</v>
      </c>
    </row>
    <row r="88" spans="1:26" x14ac:dyDescent="0.3">
      <c r="A88" s="357"/>
      <c r="B88" s="362"/>
      <c r="C88" s="31" t="s">
        <v>115</v>
      </c>
      <c r="D88" s="35">
        <f>'ECONOMIA &amp; PROFESIONES'!$Q$13</f>
        <v>13375</v>
      </c>
      <c r="E88" s="53">
        <f t="shared" si="31"/>
        <v>0</v>
      </c>
      <c r="F88" s="281" t="s">
        <v>926</v>
      </c>
      <c r="G88" s="285">
        <v>0</v>
      </c>
      <c r="H88" s="278">
        <f t="shared" si="24"/>
        <v>0</v>
      </c>
      <c r="I88" s="281" t="s">
        <v>926</v>
      </c>
      <c r="J88" s="285">
        <v>0</v>
      </c>
      <c r="K88" s="278">
        <f t="shared" si="25"/>
        <v>0</v>
      </c>
      <c r="L88" s="281" t="s">
        <v>926</v>
      </c>
      <c r="M88" s="285">
        <v>0</v>
      </c>
      <c r="N88" s="278">
        <f t="shared" si="26"/>
        <v>0</v>
      </c>
      <c r="O88" s="281" t="s">
        <v>926</v>
      </c>
      <c r="P88" s="285">
        <v>0</v>
      </c>
      <c r="Q88" s="278">
        <f t="shared" si="27"/>
        <v>0</v>
      </c>
      <c r="R88" s="281" t="s">
        <v>926</v>
      </c>
      <c r="S88" s="285">
        <v>0</v>
      </c>
      <c r="T88" s="278">
        <f t="shared" si="28"/>
        <v>0</v>
      </c>
      <c r="U88" s="281" t="s">
        <v>926</v>
      </c>
      <c r="V88" s="285">
        <v>0</v>
      </c>
      <c r="W88" s="278">
        <f t="shared" si="29"/>
        <v>0</v>
      </c>
      <c r="X88" s="281" t="s">
        <v>926</v>
      </c>
      <c r="Y88" s="285">
        <v>0</v>
      </c>
      <c r="Z88" s="278">
        <f t="shared" si="30"/>
        <v>0</v>
      </c>
    </row>
    <row r="89" spans="1:26" x14ac:dyDescent="0.3">
      <c r="A89" s="357"/>
      <c r="B89" s="363"/>
      <c r="C89" s="32" t="s">
        <v>116</v>
      </c>
      <c r="D89" s="35">
        <f>'ECONOMIA &amp; PROFESIONES'!$Q$14</f>
        <v>8500</v>
      </c>
      <c r="E89" s="53">
        <f t="shared" si="31"/>
        <v>0</v>
      </c>
      <c r="F89" s="281" t="s">
        <v>926</v>
      </c>
      <c r="G89" s="285">
        <v>0</v>
      </c>
      <c r="H89" s="278">
        <f t="shared" si="24"/>
        <v>0</v>
      </c>
      <c r="I89" s="281" t="s">
        <v>926</v>
      </c>
      <c r="J89" s="285">
        <v>0</v>
      </c>
      <c r="K89" s="278">
        <f t="shared" si="25"/>
        <v>0</v>
      </c>
      <c r="L89" s="281" t="s">
        <v>926</v>
      </c>
      <c r="M89" s="285">
        <v>0</v>
      </c>
      <c r="N89" s="278">
        <f t="shared" si="26"/>
        <v>0</v>
      </c>
      <c r="O89" s="281" t="s">
        <v>926</v>
      </c>
      <c r="P89" s="285">
        <v>0</v>
      </c>
      <c r="Q89" s="278">
        <f t="shared" si="27"/>
        <v>0</v>
      </c>
      <c r="R89" s="281" t="s">
        <v>926</v>
      </c>
      <c r="S89" s="285">
        <v>0</v>
      </c>
      <c r="T89" s="278">
        <f t="shared" si="28"/>
        <v>0</v>
      </c>
      <c r="U89" s="281" t="s">
        <v>926</v>
      </c>
      <c r="V89" s="285">
        <v>0</v>
      </c>
      <c r="W89" s="278">
        <f t="shared" si="29"/>
        <v>0</v>
      </c>
      <c r="X89" s="281" t="s">
        <v>926</v>
      </c>
      <c r="Y89" s="285">
        <v>0</v>
      </c>
      <c r="Z89" s="278">
        <f t="shared" si="30"/>
        <v>0</v>
      </c>
    </row>
    <row r="90" spans="1:26" x14ac:dyDescent="0.3">
      <c r="A90" s="357"/>
      <c r="B90" s="364" t="s">
        <v>1228</v>
      </c>
      <c r="C90" s="31" t="s">
        <v>6</v>
      </c>
      <c r="D90" s="35">
        <f>'ECONOMIA &amp; PROFESIONES'!$Q$15</f>
        <v>6850</v>
      </c>
      <c r="E90" s="53">
        <f t="shared" si="31"/>
        <v>0</v>
      </c>
      <c r="F90" s="281" t="s">
        <v>926</v>
      </c>
      <c r="G90" s="285">
        <v>0</v>
      </c>
      <c r="H90" s="278">
        <f t="shared" si="24"/>
        <v>0</v>
      </c>
      <c r="I90" s="281" t="s">
        <v>926</v>
      </c>
      <c r="J90" s="285">
        <v>0</v>
      </c>
      <c r="K90" s="278">
        <f t="shared" si="25"/>
        <v>0</v>
      </c>
      <c r="L90" s="281" t="s">
        <v>926</v>
      </c>
      <c r="M90" s="285">
        <v>0</v>
      </c>
      <c r="N90" s="278">
        <f t="shared" si="26"/>
        <v>0</v>
      </c>
      <c r="O90" s="281" t="s">
        <v>926</v>
      </c>
      <c r="P90" s="285">
        <v>0</v>
      </c>
      <c r="Q90" s="278">
        <f t="shared" si="27"/>
        <v>0</v>
      </c>
      <c r="R90" s="281" t="s">
        <v>926</v>
      </c>
      <c r="S90" s="285">
        <v>0</v>
      </c>
      <c r="T90" s="278">
        <f t="shared" si="28"/>
        <v>0</v>
      </c>
      <c r="U90" s="281" t="s">
        <v>926</v>
      </c>
      <c r="V90" s="285">
        <v>0</v>
      </c>
      <c r="W90" s="278">
        <f t="shared" si="29"/>
        <v>0</v>
      </c>
      <c r="X90" s="281" t="s">
        <v>926</v>
      </c>
      <c r="Y90" s="285">
        <v>0</v>
      </c>
      <c r="Z90" s="278">
        <f t="shared" si="30"/>
        <v>0</v>
      </c>
    </row>
    <row r="91" spans="1:26" x14ac:dyDescent="0.3">
      <c r="A91" s="357"/>
      <c r="B91" s="365"/>
      <c r="C91" s="32" t="s">
        <v>113</v>
      </c>
      <c r="D91" s="35">
        <f>'ECONOMIA &amp; PROFESIONES'!$Q$16</f>
        <v>11875</v>
      </c>
      <c r="E91" s="53">
        <f t="shared" si="31"/>
        <v>0</v>
      </c>
      <c r="F91" s="281" t="s">
        <v>926</v>
      </c>
      <c r="G91" s="285">
        <v>0</v>
      </c>
      <c r="H91" s="278">
        <f t="shared" si="24"/>
        <v>0</v>
      </c>
      <c r="I91" s="281" t="s">
        <v>926</v>
      </c>
      <c r="J91" s="285">
        <v>0</v>
      </c>
      <c r="K91" s="278">
        <f t="shared" si="25"/>
        <v>0</v>
      </c>
      <c r="L91" s="281" t="s">
        <v>926</v>
      </c>
      <c r="M91" s="285">
        <v>0</v>
      </c>
      <c r="N91" s="278">
        <f t="shared" si="26"/>
        <v>0</v>
      </c>
      <c r="O91" s="281" t="s">
        <v>926</v>
      </c>
      <c r="P91" s="285">
        <v>0</v>
      </c>
      <c r="Q91" s="278">
        <f t="shared" si="27"/>
        <v>0</v>
      </c>
      <c r="R91" s="281" t="s">
        <v>926</v>
      </c>
      <c r="S91" s="285">
        <v>0</v>
      </c>
      <c r="T91" s="278">
        <f t="shared" si="28"/>
        <v>0</v>
      </c>
      <c r="U91" s="281" t="s">
        <v>926</v>
      </c>
      <c r="V91" s="285">
        <v>0</v>
      </c>
      <c r="W91" s="278">
        <f t="shared" si="29"/>
        <v>0</v>
      </c>
      <c r="X91" s="281" t="s">
        <v>926</v>
      </c>
      <c r="Y91" s="285">
        <v>0</v>
      </c>
      <c r="Z91" s="278">
        <f t="shared" si="30"/>
        <v>0</v>
      </c>
    </row>
    <row r="92" spans="1:26" x14ac:dyDescent="0.3">
      <c r="A92" s="357"/>
      <c r="B92" s="365"/>
      <c r="C92" s="31" t="s">
        <v>114</v>
      </c>
      <c r="D92" s="35">
        <f>'ECONOMIA &amp; PROFESIONES'!$Q$17</f>
        <v>16900</v>
      </c>
      <c r="E92" s="53">
        <f t="shared" si="31"/>
        <v>0</v>
      </c>
      <c r="F92" s="281" t="s">
        <v>926</v>
      </c>
      <c r="G92" s="285">
        <v>0</v>
      </c>
      <c r="H92" s="278">
        <f t="shared" si="24"/>
        <v>0</v>
      </c>
      <c r="I92" s="281" t="s">
        <v>926</v>
      </c>
      <c r="J92" s="285">
        <v>0</v>
      </c>
      <c r="K92" s="278">
        <f t="shared" si="25"/>
        <v>0</v>
      </c>
      <c r="L92" s="281" t="s">
        <v>926</v>
      </c>
      <c r="M92" s="285">
        <v>0</v>
      </c>
      <c r="N92" s="278">
        <f t="shared" si="26"/>
        <v>0</v>
      </c>
      <c r="O92" s="281" t="s">
        <v>926</v>
      </c>
      <c r="P92" s="285">
        <v>0</v>
      </c>
      <c r="Q92" s="278">
        <f t="shared" si="27"/>
        <v>0</v>
      </c>
      <c r="R92" s="281" t="s">
        <v>926</v>
      </c>
      <c r="S92" s="285">
        <v>0</v>
      </c>
      <c r="T92" s="278">
        <f t="shared" si="28"/>
        <v>0</v>
      </c>
      <c r="U92" s="281" t="s">
        <v>926</v>
      </c>
      <c r="V92" s="285">
        <v>0</v>
      </c>
      <c r="W92" s="278">
        <f t="shared" si="29"/>
        <v>0</v>
      </c>
      <c r="X92" s="281" t="s">
        <v>926</v>
      </c>
      <c r="Y92" s="285">
        <v>0</v>
      </c>
      <c r="Z92" s="278">
        <f t="shared" si="30"/>
        <v>0</v>
      </c>
    </row>
    <row r="93" spans="1:26" x14ac:dyDescent="0.3">
      <c r="A93" s="357"/>
      <c r="B93" s="364"/>
      <c r="C93" s="32" t="s">
        <v>115</v>
      </c>
      <c r="D93" s="35">
        <f>'ECONOMIA &amp; PROFESIONES'!$Q$18</f>
        <v>15225</v>
      </c>
      <c r="E93" s="53">
        <f t="shared" si="31"/>
        <v>0</v>
      </c>
      <c r="F93" s="281" t="s">
        <v>926</v>
      </c>
      <c r="G93" s="285">
        <v>0</v>
      </c>
      <c r="H93" s="278">
        <f t="shared" si="24"/>
        <v>0</v>
      </c>
      <c r="I93" s="281" t="s">
        <v>926</v>
      </c>
      <c r="J93" s="285">
        <v>0</v>
      </c>
      <c r="K93" s="278">
        <f t="shared" si="25"/>
        <v>0</v>
      </c>
      <c r="L93" s="281" t="s">
        <v>926</v>
      </c>
      <c r="M93" s="285">
        <v>0</v>
      </c>
      <c r="N93" s="278">
        <f t="shared" si="26"/>
        <v>0</v>
      </c>
      <c r="O93" s="281" t="s">
        <v>926</v>
      </c>
      <c r="P93" s="285">
        <v>0</v>
      </c>
      <c r="Q93" s="278">
        <f t="shared" si="27"/>
        <v>0</v>
      </c>
      <c r="R93" s="281" t="s">
        <v>926</v>
      </c>
      <c r="S93" s="285">
        <v>0</v>
      </c>
      <c r="T93" s="278">
        <f t="shared" si="28"/>
        <v>0</v>
      </c>
      <c r="U93" s="281" t="s">
        <v>926</v>
      </c>
      <c r="V93" s="285">
        <v>0</v>
      </c>
      <c r="W93" s="278">
        <f t="shared" si="29"/>
        <v>0</v>
      </c>
      <c r="X93" s="281" t="s">
        <v>926</v>
      </c>
      <c r="Y93" s="285">
        <v>0</v>
      </c>
      <c r="Z93" s="278">
        <f t="shared" si="30"/>
        <v>0</v>
      </c>
    </row>
    <row r="94" spans="1:26" x14ac:dyDescent="0.3">
      <c r="A94" s="357"/>
      <c r="B94" s="364"/>
      <c r="C94" s="31" t="s">
        <v>116</v>
      </c>
      <c r="D94" s="35">
        <f>'ECONOMIA &amp; PROFESIONES'!$Q$19</f>
        <v>10200</v>
      </c>
      <c r="E94" s="53">
        <f t="shared" si="31"/>
        <v>0</v>
      </c>
      <c r="F94" s="281" t="s">
        <v>926</v>
      </c>
      <c r="G94" s="285">
        <v>0</v>
      </c>
      <c r="H94" s="278">
        <f t="shared" si="24"/>
        <v>0</v>
      </c>
      <c r="I94" s="281" t="s">
        <v>926</v>
      </c>
      <c r="J94" s="285">
        <v>0</v>
      </c>
      <c r="K94" s="278">
        <f t="shared" si="25"/>
        <v>0</v>
      </c>
      <c r="L94" s="281" t="s">
        <v>926</v>
      </c>
      <c r="M94" s="285">
        <v>0</v>
      </c>
      <c r="N94" s="278">
        <f t="shared" si="26"/>
        <v>0</v>
      </c>
      <c r="O94" s="281" t="s">
        <v>926</v>
      </c>
      <c r="P94" s="285">
        <v>0</v>
      </c>
      <c r="Q94" s="278">
        <f t="shared" si="27"/>
        <v>0</v>
      </c>
      <c r="R94" s="281" t="s">
        <v>926</v>
      </c>
      <c r="S94" s="285">
        <v>0</v>
      </c>
      <c r="T94" s="278">
        <f t="shared" si="28"/>
        <v>0</v>
      </c>
      <c r="U94" s="281" t="s">
        <v>926</v>
      </c>
      <c r="V94" s="285">
        <v>0</v>
      </c>
      <c r="W94" s="278">
        <f t="shared" si="29"/>
        <v>0</v>
      </c>
      <c r="X94" s="281" t="s">
        <v>926</v>
      </c>
      <c r="Y94" s="285">
        <v>0</v>
      </c>
      <c r="Z94" s="278">
        <f t="shared" si="30"/>
        <v>0</v>
      </c>
    </row>
    <row r="95" spans="1:26" x14ac:dyDescent="0.3">
      <c r="A95" s="357"/>
      <c r="B95" s="366" t="s">
        <v>1229</v>
      </c>
      <c r="C95" s="32" t="s">
        <v>6</v>
      </c>
      <c r="D95" s="35">
        <f>'ECONOMIA &amp; PROFESIONES'!$Q$20</f>
        <v>8450</v>
      </c>
      <c r="E95" s="53">
        <f t="shared" si="31"/>
        <v>0</v>
      </c>
      <c r="F95" s="281" t="s">
        <v>926</v>
      </c>
      <c r="G95" s="285">
        <v>0</v>
      </c>
      <c r="H95" s="278">
        <f t="shared" si="24"/>
        <v>0</v>
      </c>
      <c r="I95" s="281" t="s">
        <v>926</v>
      </c>
      <c r="J95" s="285">
        <v>0</v>
      </c>
      <c r="K95" s="278">
        <f t="shared" si="25"/>
        <v>0</v>
      </c>
      <c r="L95" s="281" t="s">
        <v>926</v>
      </c>
      <c r="M95" s="285">
        <v>0</v>
      </c>
      <c r="N95" s="278">
        <f t="shared" si="26"/>
        <v>0</v>
      </c>
      <c r="O95" s="281" t="s">
        <v>926</v>
      </c>
      <c r="P95" s="285">
        <v>0</v>
      </c>
      <c r="Q95" s="278">
        <f t="shared" si="27"/>
        <v>0</v>
      </c>
      <c r="R95" s="281" t="s">
        <v>926</v>
      </c>
      <c r="S95" s="285">
        <v>0</v>
      </c>
      <c r="T95" s="278">
        <f t="shared" si="28"/>
        <v>0</v>
      </c>
      <c r="U95" s="281" t="s">
        <v>926</v>
      </c>
      <c r="V95" s="285">
        <v>0</v>
      </c>
      <c r="W95" s="278">
        <f t="shared" si="29"/>
        <v>0</v>
      </c>
      <c r="X95" s="281" t="s">
        <v>926</v>
      </c>
      <c r="Y95" s="285">
        <v>0</v>
      </c>
      <c r="Z95" s="278">
        <f t="shared" si="30"/>
        <v>0</v>
      </c>
    </row>
    <row r="96" spans="1:26" x14ac:dyDescent="0.3">
      <c r="A96" s="357"/>
      <c r="B96" s="367"/>
      <c r="C96" s="31" t="s">
        <v>113</v>
      </c>
      <c r="D96" s="35">
        <f>'ECONOMIA &amp; PROFESIONES'!$Q$21</f>
        <v>13625</v>
      </c>
      <c r="E96" s="53">
        <f t="shared" si="31"/>
        <v>0</v>
      </c>
      <c r="F96" s="281" t="s">
        <v>926</v>
      </c>
      <c r="G96" s="285">
        <v>0</v>
      </c>
      <c r="H96" s="278">
        <f t="shared" si="24"/>
        <v>0</v>
      </c>
      <c r="I96" s="281" t="s">
        <v>926</v>
      </c>
      <c r="J96" s="285">
        <v>0</v>
      </c>
      <c r="K96" s="278">
        <f t="shared" si="25"/>
        <v>0</v>
      </c>
      <c r="L96" s="281" t="s">
        <v>926</v>
      </c>
      <c r="M96" s="285">
        <v>0</v>
      </c>
      <c r="N96" s="278">
        <f t="shared" si="26"/>
        <v>0</v>
      </c>
      <c r="O96" s="281" t="s">
        <v>926</v>
      </c>
      <c r="P96" s="285">
        <v>0</v>
      </c>
      <c r="Q96" s="278">
        <f t="shared" si="27"/>
        <v>0</v>
      </c>
      <c r="R96" s="281" t="s">
        <v>926</v>
      </c>
      <c r="S96" s="285">
        <v>0</v>
      </c>
      <c r="T96" s="278">
        <f t="shared" si="28"/>
        <v>0</v>
      </c>
      <c r="U96" s="281" t="s">
        <v>926</v>
      </c>
      <c r="V96" s="285">
        <v>0</v>
      </c>
      <c r="W96" s="278">
        <f t="shared" si="29"/>
        <v>0</v>
      </c>
      <c r="X96" s="281" t="s">
        <v>926</v>
      </c>
      <c r="Y96" s="285">
        <v>0</v>
      </c>
      <c r="Z96" s="278">
        <f t="shared" si="30"/>
        <v>0</v>
      </c>
    </row>
    <row r="97" spans="1:26" x14ac:dyDescent="0.3">
      <c r="A97" s="357"/>
      <c r="B97" s="367"/>
      <c r="C97" s="32" t="s">
        <v>114</v>
      </c>
      <c r="D97" s="35">
        <f>'ECONOMIA &amp; PROFESIONES'!$Q$22</f>
        <v>18800</v>
      </c>
      <c r="E97" s="53">
        <f t="shared" si="31"/>
        <v>0</v>
      </c>
      <c r="F97" s="281" t="s">
        <v>926</v>
      </c>
      <c r="G97" s="285">
        <v>0</v>
      </c>
      <c r="H97" s="278">
        <f t="shared" si="24"/>
        <v>0</v>
      </c>
      <c r="I97" s="281" t="s">
        <v>926</v>
      </c>
      <c r="J97" s="285">
        <v>0</v>
      </c>
      <c r="K97" s="278">
        <f t="shared" si="25"/>
        <v>0</v>
      </c>
      <c r="L97" s="281" t="s">
        <v>926</v>
      </c>
      <c r="M97" s="285">
        <v>0</v>
      </c>
      <c r="N97" s="278">
        <f t="shared" si="26"/>
        <v>0</v>
      </c>
      <c r="O97" s="281" t="s">
        <v>926</v>
      </c>
      <c r="P97" s="285">
        <v>0</v>
      </c>
      <c r="Q97" s="278">
        <f t="shared" si="27"/>
        <v>0</v>
      </c>
      <c r="R97" s="281" t="s">
        <v>926</v>
      </c>
      <c r="S97" s="285">
        <v>0</v>
      </c>
      <c r="T97" s="278">
        <f t="shared" si="28"/>
        <v>0</v>
      </c>
      <c r="U97" s="281" t="s">
        <v>926</v>
      </c>
      <c r="V97" s="285">
        <v>0</v>
      </c>
      <c r="W97" s="278">
        <f t="shared" si="29"/>
        <v>0</v>
      </c>
      <c r="X97" s="281" t="s">
        <v>926</v>
      </c>
      <c r="Y97" s="285">
        <v>0</v>
      </c>
      <c r="Z97" s="278">
        <f t="shared" si="30"/>
        <v>0</v>
      </c>
    </row>
    <row r="98" spans="1:26" x14ac:dyDescent="0.3">
      <c r="A98" s="357"/>
      <c r="B98" s="362"/>
      <c r="C98" s="31" t="s">
        <v>115</v>
      </c>
      <c r="D98" s="35">
        <f>'ECONOMIA &amp; PROFESIONES'!$Q$23</f>
        <v>17075</v>
      </c>
      <c r="E98" s="53">
        <f t="shared" si="31"/>
        <v>0</v>
      </c>
      <c r="F98" s="281" t="s">
        <v>926</v>
      </c>
      <c r="G98" s="285">
        <v>0</v>
      </c>
      <c r="H98" s="278">
        <f t="shared" si="24"/>
        <v>0</v>
      </c>
      <c r="I98" s="281" t="s">
        <v>926</v>
      </c>
      <c r="J98" s="285">
        <v>0</v>
      </c>
      <c r="K98" s="278">
        <f t="shared" si="25"/>
        <v>0</v>
      </c>
      <c r="L98" s="281" t="s">
        <v>926</v>
      </c>
      <c r="M98" s="285">
        <v>0</v>
      </c>
      <c r="N98" s="278">
        <f t="shared" si="26"/>
        <v>0</v>
      </c>
      <c r="O98" s="281" t="s">
        <v>926</v>
      </c>
      <c r="P98" s="285">
        <v>0</v>
      </c>
      <c r="Q98" s="278">
        <f t="shared" si="27"/>
        <v>0</v>
      </c>
      <c r="R98" s="281" t="s">
        <v>926</v>
      </c>
      <c r="S98" s="285">
        <v>0</v>
      </c>
      <c r="T98" s="278">
        <f t="shared" si="28"/>
        <v>0</v>
      </c>
      <c r="U98" s="281" t="s">
        <v>926</v>
      </c>
      <c r="V98" s="285">
        <v>0</v>
      </c>
      <c r="W98" s="278">
        <f t="shared" si="29"/>
        <v>0</v>
      </c>
      <c r="X98" s="281" t="s">
        <v>926</v>
      </c>
      <c r="Y98" s="285">
        <v>0</v>
      </c>
      <c r="Z98" s="278">
        <f t="shared" si="30"/>
        <v>0</v>
      </c>
    </row>
    <row r="99" spans="1:26" x14ac:dyDescent="0.3">
      <c r="A99" s="357"/>
      <c r="B99" s="368"/>
      <c r="C99" s="32" t="s">
        <v>116</v>
      </c>
      <c r="D99" s="35">
        <f>'ECONOMIA &amp; PROFESIONES'!$Q$24</f>
        <v>11900</v>
      </c>
      <c r="E99" s="53">
        <f t="shared" si="31"/>
        <v>0</v>
      </c>
      <c r="F99" s="281" t="s">
        <v>926</v>
      </c>
      <c r="G99" s="285">
        <v>0</v>
      </c>
      <c r="H99" s="278">
        <f t="shared" si="24"/>
        <v>0</v>
      </c>
      <c r="I99" s="281" t="s">
        <v>926</v>
      </c>
      <c r="J99" s="285">
        <v>0</v>
      </c>
      <c r="K99" s="278">
        <f t="shared" si="25"/>
        <v>0</v>
      </c>
      <c r="L99" s="281" t="s">
        <v>926</v>
      </c>
      <c r="M99" s="285">
        <v>0</v>
      </c>
      <c r="N99" s="278">
        <f t="shared" si="26"/>
        <v>0</v>
      </c>
      <c r="O99" s="281" t="s">
        <v>926</v>
      </c>
      <c r="P99" s="285">
        <v>0</v>
      </c>
      <c r="Q99" s="278">
        <f t="shared" si="27"/>
        <v>0</v>
      </c>
      <c r="R99" s="281" t="s">
        <v>926</v>
      </c>
      <c r="S99" s="285">
        <v>0</v>
      </c>
      <c r="T99" s="278">
        <f t="shared" si="28"/>
        <v>0</v>
      </c>
      <c r="U99" s="281" t="s">
        <v>926</v>
      </c>
      <c r="V99" s="285">
        <v>0</v>
      </c>
      <c r="W99" s="278">
        <f t="shared" si="29"/>
        <v>0</v>
      </c>
      <c r="X99" s="281" t="s">
        <v>926</v>
      </c>
      <c r="Y99" s="285">
        <v>0</v>
      </c>
      <c r="Z99" s="278">
        <f t="shared" si="30"/>
        <v>0</v>
      </c>
    </row>
    <row r="100" spans="1:26" x14ac:dyDescent="0.3">
      <c r="A100" s="357"/>
      <c r="B100" s="364" t="s">
        <v>1227</v>
      </c>
      <c r="C100" s="31" t="s">
        <v>6</v>
      </c>
      <c r="D100" s="35">
        <f>'ECONOMIA &amp; PROFESIONES'!$Q$25</f>
        <v>10050</v>
      </c>
      <c r="E100" s="53">
        <f t="shared" si="31"/>
        <v>0</v>
      </c>
      <c r="F100" s="281" t="s">
        <v>926</v>
      </c>
      <c r="G100" s="285">
        <v>0</v>
      </c>
      <c r="H100" s="278">
        <f t="shared" si="24"/>
        <v>0</v>
      </c>
      <c r="I100" s="281" t="s">
        <v>926</v>
      </c>
      <c r="J100" s="285">
        <v>0</v>
      </c>
      <c r="K100" s="278">
        <f t="shared" si="25"/>
        <v>0</v>
      </c>
      <c r="L100" s="281" t="s">
        <v>926</v>
      </c>
      <c r="M100" s="285">
        <v>0</v>
      </c>
      <c r="N100" s="278">
        <f t="shared" si="26"/>
        <v>0</v>
      </c>
      <c r="O100" s="281" t="s">
        <v>926</v>
      </c>
      <c r="P100" s="285">
        <v>0</v>
      </c>
      <c r="Q100" s="278">
        <f t="shared" si="27"/>
        <v>0</v>
      </c>
      <c r="R100" s="281" t="s">
        <v>926</v>
      </c>
      <c r="S100" s="285">
        <v>0</v>
      </c>
      <c r="T100" s="278">
        <f t="shared" si="28"/>
        <v>0</v>
      </c>
      <c r="U100" s="281" t="s">
        <v>926</v>
      </c>
      <c r="V100" s="285">
        <v>0</v>
      </c>
      <c r="W100" s="278">
        <f t="shared" si="29"/>
        <v>0</v>
      </c>
      <c r="X100" s="281" t="s">
        <v>926</v>
      </c>
      <c r="Y100" s="285">
        <v>0</v>
      </c>
      <c r="Z100" s="278">
        <f t="shared" si="30"/>
        <v>0</v>
      </c>
    </row>
    <row r="101" spans="1:26" x14ac:dyDescent="0.3">
      <c r="A101" s="357"/>
      <c r="B101" s="364"/>
      <c r="C101" s="32" t="s">
        <v>113</v>
      </c>
      <c r="D101" s="35">
        <f>'ECONOMIA &amp; PROFESIONES'!$Q$26</f>
        <v>15375</v>
      </c>
      <c r="E101" s="53">
        <f t="shared" si="31"/>
        <v>0</v>
      </c>
      <c r="F101" s="281" t="s">
        <v>926</v>
      </c>
      <c r="G101" s="285">
        <v>0</v>
      </c>
      <c r="H101" s="278">
        <f t="shared" si="24"/>
        <v>0</v>
      </c>
      <c r="I101" s="281" t="s">
        <v>926</v>
      </c>
      <c r="J101" s="285">
        <v>0</v>
      </c>
      <c r="K101" s="278">
        <f t="shared" si="25"/>
        <v>0</v>
      </c>
      <c r="L101" s="281" t="s">
        <v>926</v>
      </c>
      <c r="M101" s="285">
        <v>0</v>
      </c>
      <c r="N101" s="278">
        <f t="shared" si="26"/>
        <v>0</v>
      </c>
      <c r="O101" s="281" t="s">
        <v>926</v>
      </c>
      <c r="P101" s="285">
        <v>0</v>
      </c>
      <c r="Q101" s="278">
        <f t="shared" si="27"/>
        <v>0</v>
      </c>
      <c r="R101" s="281" t="s">
        <v>926</v>
      </c>
      <c r="S101" s="285">
        <v>0</v>
      </c>
      <c r="T101" s="278">
        <f t="shared" si="28"/>
        <v>0</v>
      </c>
      <c r="U101" s="281" t="s">
        <v>926</v>
      </c>
      <c r="V101" s="285">
        <v>0</v>
      </c>
      <c r="W101" s="278">
        <f t="shared" si="29"/>
        <v>0</v>
      </c>
      <c r="X101" s="281" t="s">
        <v>926</v>
      </c>
      <c r="Y101" s="285">
        <v>0</v>
      </c>
      <c r="Z101" s="278">
        <f t="shared" si="30"/>
        <v>0</v>
      </c>
    </row>
    <row r="102" spans="1:26" x14ac:dyDescent="0.3">
      <c r="A102" s="357"/>
      <c r="B102" s="364"/>
      <c r="C102" s="31" t="s">
        <v>114</v>
      </c>
      <c r="D102" s="35">
        <f>'ECONOMIA &amp; PROFESIONES'!$Q$27</f>
        <v>20700</v>
      </c>
      <c r="E102" s="53">
        <f t="shared" si="31"/>
        <v>0</v>
      </c>
      <c r="F102" s="281" t="s">
        <v>926</v>
      </c>
      <c r="G102" s="285">
        <v>0</v>
      </c>
      <c r="H102" s="278">
        <f t="shared" si="24"/>
        <v>0</v>
      </c>
      <c r="I102" s="281" t="s">
        <v>926</v>
      </c>
      <c r="J102" s="285">
        <v>0</v>
      </c>
      <c r="K102" s="278">
        <f t="shared" si="25"/>
        <v>0</v>
      </c>
      <c r="L102" s="281" t="s">
        <v>926</v>
      </c>
      <c r="M102" s="285">
        <v>0</v>
      </c>
      <c r="N102" s="278">
        <f t="shared" si="26"/>
        <v>0</v>
      </c>
      <c r="O102" s="281" t="s">
        <v>926</v>
      </c>
      <c r="P102" s="285">
        <v>0</v>
      </c>
      <c r="Q102" s="278">
        <f t="shared" si="27"/>
        <v>0</v>
      </c>
      <c r="R102" s="281" t="s">
        <v>926</v>
      </c>
      <c r="S102" s="285">
        <v>0</v>
      </c>
      <c r="T102" s="278">
        <f t="shared" si="28"/>
        <v>0</v>
      </c>
      <c r="U102" s="281" t="s">
        <v>926</v>
      </c>
      <c r="V102" s="285">
        <v>0</v>
      </c>
      <c r="W102" s="278">
        <f t="shared" si="29"/>
        <v>0</v>
      </c>
      <c r="X102" s="281" t="s">
        <v>926</v>
      </c>
      <c r="Y102" s="285">
        <v>0</v>
      </c>
      <c r="Z102" s="278">
        <f t="shared" si="30"/>
        <v>0</v>
      </c>
    </row>
    <row r="103" spans="1:26" x14ac:dyDescent="0.3">
      <c r="A103" s="357"/>
      <c r="B103" s="364"/>
      <c r="C103" s="32" t="s">
        <v>115</v>
      </c>
      <c r="D103" s="35">
        <f>'ECONOMIA &amp; PROFESIONES'!$Q$28</f>
        <v>18925</v>
      </c>
      <c r="E103" s="53">
        <f t="shared" si="31"/>
        <v>0</v>
      </c>
      <c r="F103" s="281" t="s">
        <v>926</v>
      </c>
      <c r="G103" s="285">
        <v>0</v>
      </c>
      <c r="H103" s="278">
        <f t="shared" si="24"/>
        <v>0</v>
      </c>
      <c r="I103" s="281" t="s">
        <v>926</v>
      </c>
      <c r="J103" s="285">
        <v>0</v>
      </c>
      <c r="K103" s="278">
        <f t="shared" si="25"/>
        <v>0</v>
      </c>
      <c r="L103" s="281" t="s">
        <v>926</v>
      </c>
      <c r="M103" s="285">
        <v>0</v>
      </c>
      <c r="N103" s="278">
        <f t="shared" si="26"/>
        <v>0</v>
      </c>
      <c r="O103" s="281" t="s">
        <v>926</v>
      </c>
      <c r="P103" s="285">
        <v>0</v>
      </c>
      <c r="Q103" s="278">
        <f t="shared" si="27"/>
        <v>0</v>
      </c>
      <c r="R103" s="281" t="s">
        <v>926</v>
      </c>
      <c r="S103" s="285">
        <v>0</v>
      </c>
      <c r="T103" s="278">
        <f t="shared" si="28"/>
        <v>0</v>
      </c>
      <c r="U103" s="281" t="s">
        <v>926</v>
      </c>
      <c r="V103" s="285">
        <v>0</v>
      </c>
      <c r="W103" s="278">
        <f t="shared" si="29"/>
        <v>0</v>
      </c>
      <c r="X103" s="281" t="s">
        <v>926</v>
      </c>
      <c r="Y103" s="285">
        <v>0</v>
      </c>
      <c r="Z103" s="278">
        <f t="shared" si="30"/>
        <v>0</v>
      </c>
    </row>
    <row r="104" spans="1:26" x14ac:dyDescent="0.3">
      <c r="A104" s="357"/>
      <c r="B104" s="364"/>
      <c r="C104" s="31" t="s">
        <v>116</v>
      </c>
      <c r="D104" s="35">
        <f>'ECONOMIA &amp; PROFESIONES'!$Q$29</f>
        <v>13600</v>
      </c>
      <c r="E104" s="53">
        <f t="shared" si="31"/>
        <v>0</v>
      </c>
      <c r="F104" s="281" t="s">
        <v>926</v>
      </c>
      <c r="G104" s="285">
        <v>0</v>
      </c>
      <c r="H104" s="278">
        <f t="shared" si="24"/>
        <v>0</v>
      </c>
      <c r="I104" s="281" t="s">
        <v>926</v>
      </c>
      <c r="J104" s="285">
        <v>0</v>
      </c>
      <c r="K104" s="278">
        <f t="shared" si="25"/>
        <v>0</v>
      </c>
      <c r="L104" s="281" t="s">
        <v>926</v>
      </c>
      <c r="M104" s="285">
        <v>0</v>
      </c>
      <c r="N104" s="278">
        <f t="shared" si="26"/>
        <v>0</v>
      </c>
      <c r="O104" s="281" t="s">
        <v>926</v>
      </c>
      <c r="P104" s="285">
        <v>0</v>
      </c>
      <c r="Q104" s="278">
        <f t="shared" si="27"/>
        <v>0</v>
      </c>
      <c r="R104" s="281" t="s">
        <v>926</v>
      </c>
      <c r="S104" s="285">
        <v>0</v>
      </c>
      <c r="T104" s="278">
        <f t="shared" si="28"/>
        <v>0</v>
      </c>
      <c r="U104" s="281" t="s">
        <v>926</v>
      </c>
      <c r="V104" s="285">
        <v>0</v>
      </c>
      <c r="W104" s="278">
        <f t="shared" si="29"/>
        <v>0</v>
      </c>
      <c r="X104" s="281" t="s">
        <v>926</v>
      </c>
      <c r="Y104" s="285">
        <v>0</v>
      </c>
      <c r="Z104" s="278">
        <f t="shared" si="30"/>
        <v>0</v>
      </c>
    </row>
    <row r="105" spans="1:26" x14ac:dyDescent="0.3">
      <c r="A105" s="357" t="s">
        <v>4</v>
      </c>
      <c r="B105" s="176"/>
      <c r="C105" s="176"/>
      <c r="D105" s="295"/>
      <c r="E105" s="284" t="s">
        <v>1150</v>
      </c>
      <c r="F105" s="284" t="s">
        <v>1151</v>
      </c>
      <c r="G105" s="284" t="s">
        <v>1230</v>
      </c>
      <c r="H105" s="284" t="s">
        <v>202</v>
      </c>
      <c r="I105" s="284" t="s">
        <v>1152</v>
      </c>
      <c r="J105" s="284" t="s">
        <v>1230</v>
      </c>
      <c r="K105" s="284" t="s">
        <v>202</v>
      </c>
      <c r="L105" s="284" t="s">
        <v>1170</v>
      </c>
      <c r="M105" s="284" t="s">
        <v>1230</v>
      </c>
      <c r="N105" s="284" t="s">
        <v>202</v>
      </c>
      <c r="O105" s="284" t="s">
        <v>1223</v>
      </c>
      <c r="P105" s="284" t="s">
        <v>1230</v>
      </c>
      <c r="Q105" s="284" t="s">
        <v>202</v>
      </c>
      <c r="R105" s="284" t="s">
        <v>1224</v>
      </c>
      <c r="S105" s="284" t="s">
        <v>1230</v>
      </c>
      <c r="T105" s="284" t="s">
        <v>202</v>
      </c>
      <c r="U105" s="284" t="s">
        <v>1225</v>
      </c>
      <c r="V105" s="284" t="s">
        <v>1230</v>
      </c>
      <c r="W105" s="284" t="s">
        <v>202</v>
      </c>
      <c r="X105" s="284" t="s">
        <v>1226</v>
      </c>
      <c r="Y105" s="284" t="s">
        <v>1230</v>
      </c>
      <c r="Z105" s="284" t="s">
        <v>202</v>
      </c>
    </row>
    <row r="106" spans="1:26" x14ac:dyDescent="0.3">
      <c r="A106" s="357"/>
      <c r="B106" s="358" t="s">
        <v>1161</v>
      </c>
      <c r="C106" s="31" t="s">
        <v>6</v>
      </c>
      <c r="D106" s="34">
        <f>'ECONOMIA &amp; PROFESIONES'!$R$5</f>
        <v>6900</v>
      </c>
      <c r="E106" s="53">
        <f>(H106*G106)+(K106*J106)+(M106*N106)+(P106*Q106)+(S106*T106)+(V106*W106)+(Y106*Z106)</f>
        <v>0</v>
      </c>
      <c r="F106" s="281" t="s">
        <v>926</v>
      </c>
      <c r="G106" s="285">
        <v>0</v>
      </c>
      <c r="H106" s="278">
        <f t="shared" ref="H106:H130" si="32">VLOOKUP(F106,craftedesp,3,FALSE)</f>
        <v>0</v>
      </c>
      <c r="I106" s="281" t="s">
        <v>926</v>
      </c>
      <c r="J106" s="285">
        <v>0</v>
      </c>
      <c r="K106" s="278">
        <f t="shared" ref="K106:K130" si="33">VLOOKUP(I106,craftedesp,3,FALSE)</f>
        <v>0</v>
      </c>
      <c r="L106" s="281" t="s">
        <v>926</v>
      </c>
      <c r="M106" s="285">
        <v>0</v>
      </c>
      <c r="N106" s="278">
        <f t="shared" ref="N106:N130" si="34">VLOOKUP(L106,craftedesp,3,FALSE)</f>
        <v>0</v>
      </c>
      <c r="O106" s="281" t="s">
        <v>926</v>
      </c>
      <c r="P106" s="285">
        <v>0</v>
      </c>
      <c r="Q106" s="278">
        <f t="shared" ref="Q106:Q130" si="35">VLOOKUP(O106,craftedesp,3,FALSE)</f>
        <v>0</v>
      </c>
      <c r="R106" s="281" t="s">
        <v>926</v>
      </c>
      <c r="S106" s="285">
        <v>0</v>
      </c>
      <c r="T106" s="278">
        <f t="shared" ref="T106:T130" si="36">VLOOKUP(R106,craftedesp,3,FALSE)</f>
        <v>0</v>
      </c>
      <c r="U106" s="281" t="s">
        <v>926</v>
      </c>
      <c r="V106" s="285">
        <v>0</v>
      </c>
      <c r="W106" s="278">
        <f t="shared" ref="W106:W130" si="37">VLOOKUP(U106,craftedesp,3,FALSE)</f>
        <v>0</v>
      </c>
      <c r="X106" s="281" t="s">
        <v>926</v>
      </c>
      <c r="Y106" s="285">
        <v>0</v>
      </c>
      <c r="Z106" s="278">
        <f t="shared" ref="Z106:Z130" si="38">VLOOKUP(X106,craftedesp,3,FALSE)</f>
        <v>0</v>
      </c>
    </row>
    <row r="107" spans="1:26" x14ac:dyDescent="0.3">
      <c r="A107" s="357"/>
      <c r="B107" s="359"/>
      <c r="C107" s="32" t="s">
        <v>113</v>
      </c>
      <c r="D107" s="34">
        <f>'ECONOMIA &amp; PROFESIONES'!$R$6</f>
        <v>16500</v>
      </c>
      <c r="E107" s="53">
        <f t="shared" ref="E107:E130" si="39">(H107*G107)+(K107*J107)+(M107*N107)+(P107*Q107)+(S107*T107)+(V107*W107)+(Y107*Z107)</f>
        <v>0</v>
      </c>
      <c r="F107" s="281" t="s">
        <v>926</v>
      </c>
      <c r="G107" s="285">
        <v>0</v>
      </c>
      <c r="H107" s="278">
        <f t="shared" si="32"/>
        <v>0</v>
      </c>
      <c r="I107" s="281" t="s">
        <v>926</v>
      </c>
      <c r="J107" s="285">
        <v>0</v>
      </c>
      <c r="K107" s="278">
        <f t="shared" si="33"/>
        <v>0</v>
      </c>
      <c r="L107" s="281" t="s">
        <v>926</v>
      </c>
      <c r="M107" s="285">
        <v>0</v>
      </c>
      <c r="N107" s="278">
        <f t="shared" si="34"/>
        <v>0</v>
      </c>
      <c r="O107" s="281" t="s">
        <v>926</v>
      </c>
      <c r="P107" s="285">
        <v>0</v>
      </c>
      <c r="Q107" s="278">
        <f t="shared" si="35"/>
        <v>0</v>
      </c>
      <c r="R107" s="281" t="s">
        <v>926</v>
      </c>
      <c r="S107" s="285">
        <v>0</v>
      </c>
      <c r="T107" s="278">
        <f t="shared" si="36"/>
        <v>0</v>
      </c>
      <c r="U107" s="281" t="s">
        <v>926</v>
      </c>
      <c r="V107" s="285">
        <v>0</v>
      </c>
      <c r="W107" s="278">
        <f t="shared" si="37"/>
        <v>0</v>
      </c>
      <c r="X107" s="281" t="s">
        <v>926</v>
      </c>
      <c r="Y107" s="285">
        <v>0</v>
      </c>
      <c r="Z107" s="278">
        <f t="shared" si="38"/>
        <v>0</v>
      </c>
    </row>
    <row r="108" spans="1:26" x14ac:dyDescent="0.3">
      <c r="A108" s="357"/>
      <c r="B108" s="359"/>
      <c r="C108" s="31" t="s">
        <v>114</v>
      </c>
      <c r="D108" s="34">
        <f>'ECONOMIA &amp; PROFESIONES'!$R$7</f>
        <v>26100</v>
      </c>
      <c r="E108" s="53">
        <f t="shared" si="39"/>
        <v>0</v>
      </c>
      <c r="F108" s="281" t="s">
        <v>926</v>
      </c>
      <c r="G108" s="285">
        <v>0</v>
      </c>
      <c r="H108" s="278">
        <f t="shared" si="32"/>
        <v>0</v>
      </c>
      <c r="I108" s="281" t="s">
        <v>926</v>
      </c>
      <c r="J108" s="285">
        <v>0</v>
      </c>
      <c r="K108" s="278">
        <f t="shared" si="33"/>
        <v>0</v>
      </c>
      <c r="L108" s="281" t="s">
        <v>926</v>
      </c>
      <c r="M108" s="285">
        <v>0</v>
      </c>
      <c r="N108" s="278">
        <f t="shared" si="34"/>
        <v>0</v>
      </c>
      <c r="O108" s="281" t="s">
        <v>926</v>
      </c>
      <c r="P108" s="285">
        <v>0</v>
      </c>
      <c r="Q108" s="278">
        <f t="shared" si="35"/>
        <v>0</v>
      </c>
      <c r="R108" s="281" t="s">
        <v>926</v>
      </c>
      <c r="S108" s="285">
        <v>0</v>
      </c>
      <c r="T108" s="278">
        <f t="shared" si="36"/>
        <v>0</v>
      </c>
      <c r="U108" s="281" t="s">
        <v>926</v>
      </c>
      <c r="V108" s="285">
        <v>0</v>
      </c>
      <c r="W108" s="278">
        <f t="shared" si="37"/>
        <v>0</v>
      </c>
      <c r="X108" s="281" t="s">
        <v>926</v>
      </c>
      <c r="Y108" s="285">
        <v>0</v>
      </c>
      <c r="Z108" s="278">
        <f t="shared" si="38"/>
        <v>0</v>
      </c>
    </row>
    <row r="109" spans="1:26" x14ac:dyDescent="0.3">
      <c r="A109" s="357"/>
      <c r="B109" s="359"/>
      <c r="C109" s="32" t="s">
        <v>115</v>
      </c>
      <c r="D109" s="34">
        <f>'ECONOMIA &amp; PROFESIONES'!$R$8</f>
        <v>22900</v>
      </c>
      <c r="E109" s="53">
        <f t="shared" si="39"/>
        <v>0</v>
      </c>
      <c r="F109" s="281" t="s">
        <v>926</v>
      </c>
      <c r="G109" s="285">
        <v>0</v>
      </c>
      <c r="H109" s="278">
        <f t="shared" si="32"/>
        <v>0</v>
      </c>
      <c r="I109" s="281" t="s">
        <v>926</v>
      </c>
      <c r="J109" s="285">
        <v>0</v>
      </c>
      <c r="K109" s="278">
        <f t="shared" si="33"/>
        <v>0</v>
      </c>
      <c r="L109" s="281" t="s">
        <v>926</v>
      </c>
      <c r="M109" s="285">
        <v>0</v>
      </c>
      <c r="N109" s="278">
        <f t="shared" si="34"/>
        <v>0</v>
      </c>
      <c r="O109" s="281" t="s">
        <v>926</v>
      </c>
      <c r="P109" s="285">
        <v>0</v>
      </c>
      <c r="Q109" s="278">
        <f t="shared" si="35"/>
        <v>0</v>
      </c>
      <c r="R109" s="281" t="s">
        <v>926</v>
      </c>
      <c r="S109" s="285">
        <v>0</v>
      </c>
      <c r="T109" s="278">
        <f t="shared" si="36"/>
        <v>0</v>
      </c>
      <c r="U109" s="281" t="s">
        <v>926</v>
      </c>
      <c r="V109" s="285">
        <v>0</v>
      </c>
      <c r="W109" s="278">
        <f t="shared" si="37"/>
        <v>0</v>
      </c>
      <c r="X109" s="281" t="s">
        <v>926</v>
      </c>
      <c r="Y109" s="285">
        <v>0</v>
      </c>
      <c r="Z109" s="278">
        <f t="shared" si="38"/>
        <v>0</v>
      </c>
    </row>
    <row r="110" spans="1:26" x14ac:dyDescent="0.3">
      <c r="A110" s="357"/>
      <c r="B110" s="360"/>
      <c r="C110" s="31" t="s">
        <v>116</v>
      </c>
      <c r="D110" s="34">
        <f>'ECONOMIA &amp; PROFESIONES'!$R$9</f>
        <v>13300</v>
      </c>
      <c r="E110" s="53">
        <f t="shared" si="39"/>
        <v>0</v>
      </c>
      <c r="F110" s="281" t="s">
        <v>926</v>
      </c>
      <c r="G110" s="285">
        <v>0</v>
      </c>
      <c r="H110" s="278">
        <f t="shared" si="32"/>
        <v>0</v>
      </c>
      <c r="I110" s="281" t="s">
        <v>926</v>
      </c>
      <c r="J110" s="285">
        <v>0</v>
      </c>
      <c r="K110" s="278">
        <f t="shared" si="33"/>
        <v>0</v>
      </c>
      <c r="L110" s="281" t="s">
        <v>926</v>
      </c>
      <c r="M110" s="285">
        <v>0</v>
      </c>
      <c r="N110" s="278">
        <f t="shared" si="34"/>
        <v>0</v>
      </c>
      <c r="O110" s="281" t="s">
        <v>926</v>
      </c>
      <c r="P110" s="285">
        <v>0</v>
      </c>
      <c r="Q110" s="278">
        <f t="shared" si="35"/>
        <v>0</v>
      </c>
      <c r="R110" s="281" t="s">
        <v>926</v>
      </c>
      <c r="S110" s="285">
        <v>0</v>
      </c>
      <c r="T110" s="278">
        <f t="shared" si="36"/>
        <v>0</v>
      </c>
      <c r="U110" s="281" t="s">
        <v>926</v>
      </c>
      <c r="V110" s="285">
        <v>0</v>
      </c>
      <c r="W110" s="278">
        <f t="shared" si="37"/>
        <v>0</v>
      </c>
      <c r="X110" s="281" t="s">
        <v>926</v>
      </c>
      <c r="Y110" s="285">
        <v>0</v>
      </c>
      <c r="Z110" s="278">
        <f t="shared" si="38"/>
        <v>0</v>
      </c>
    </row>
    <row r="111" spans="1:26" x14ac:dyDescent="0.3">
      <c r="A111" s="357"/>
      <c r="B111" s="361" t="s">
        <v>1162</v>
      </c>
      <c r="C111" s="32" t="s">
        <v>6</v>
      </c>
      <c r="D111" s="34">
        <f>'ECONOMIA &amp; PROFESIONES'!$R$10</f>
        <v>8450</v>
      </c>
      <c r="E111" s="53">
        <f t="shared" si="39"/>
        <v>0</v>
      </c>
      <c r="F111" s="281" t="s">
        <v>926</v>
      </c>
      <c r="G111" s="285">
        <v>0</v>
      </c>
      <c r="H111" s="278">
        <f t="shared" si="32"/>
        <v>0</v>
      </c>
      <c r="I111" s="281" t="s">
        <v>926</v>
      </c>
      <c r="J111" s="285">
        <v>0</v>
      </c>
      <c r="K111" s="278">
        <f t="shared" si="33"/>
        <v>0</v>
      </c>
      <c r="L111" s="281" t="s">
        <v>926</v>
      </c>
      <c r="M111" s="285">
        <v>0</v>
      </c>
      <c r="N111" s="278">
        <f t="shared" si="34"/>
        <v>0</v>
      </c>
      <c r="O111" s="281" t="s">
        <v>926</v>
      </c>
      <c r="P111" s="285">
        <v>0</v>
      </c>
      <c r="Q111" s="278">
        <f t="shared" si="35"/>
        <v>0</v>
      </c>
      <c r="R111" s="281" t="s">
        <v>926</v>
      </c>
      <c r="S111" s="285">
        <v>0</v>
      </c>
      <c r="T111" s="278">
        <f t="shared" si="36"/>
        <v>0</v>
      </c>
      <c r="U111" s="281" t="s">
        <v>926</v>
      </c>
      <c r="V111" s="285">
        <v>0</v>
      </c>
      <c r="W111" s="278">
        <f t="shared" si="37"/>
        <v>0</v>
      </c>
      <c r="X111" s="281" t="s">
        <v>926</v>
      </c>
      <c r="Y111" s="285">
        <v>0</v>
      </c>
      <c r="Z111" s="278">
        <f t="shared" si="38"/>
        <v>0</v>
      </c>
    </row>
    <row r="112" spans="1:26" x14ac:dyDescent="0.3">
      <c r="A112" s="357"/>
      <c r="B112" s="362"/>
      <c r="C112" s="31" t="s">
        <v>113</v>
      </c>
      <c r="D112" s="34">
        <f>'ECONOMIA &amp; PROFESIONES'!$R$11</f>
        <v>18125</v>
      </c>
      <c r="E112" s="53">
        <f t="shared" si="39"/>
        <v>0</v>
      </c>
      <c r="F112" s="281" t="s">
        <v>926</v>
      </c>
      <c r="G112" s="285">
        <v>0</v>
      </c>
      <c r="H112" s="278">
        <f t="shared" si="32"/>
        <v>0</v>
      </c>
      <c r="I112" s="281" t="s">
        <v>926</v>
      </c>
      <c r="J112" s="285">
        <v>0</v>
      </c>
      <c r="K112" s="278">
        <f t="shared" si="33"/>
        <v>0</v>
      </c>
      <c r="L112" s="281" t="s">
        <v>926</v>
      </c>
      <c r="M112" s="285">
        <v>0</v>
      </c>
      <c r="N112" s="278">
        <f t="shared" si="34"/>
        <v>0</v>
      </c>
      <c r="O112" s="281" t="s">
        <v>926</v>
      </c>
      <c r="P112" s="285">
        <v>0</v>
      </c>
      <c r="Q112" s="278">
        <f t="shared" si="35"/>
        <v>0</v>
      </c>
      <c r="R112" s="281" t="s">
        <v>926</v>
      </c>
      <c r="S112" s="285">
        <v>0</v>
      </c>
      <c r="T112" s="278">
        <f t="shared" si="36"/>
        <v>0</v>
      </c>
      <c r="U112" s="281" t="s">
        <v>926</v>
      </c>
      <c r="V112" s="285">
        <v>0</v>
      </c>
      <c r="W112" s="278">
        <f t="shared" si="37"/>
        <v>0</v>
      </c>
      <c r="X112" s="281" t="s">
        <v>926</v>
      </c>
      <c r="Y112" s="285">
        <v>0</v>
      </c>
      <c r="Z112" s="278">
        <f t="shared" si="38"/>
        <v>0</v>
      </c>
    </row>
    <row r="113" spans="1:26" x14ac:dyDescent="0.3">
      <c r="A113" s="357"/>
      <c r="B113" s="362"/>
      <c r="C113" s="32" t="s">
        <v>114</v>
      </c>
      <c r="D113" s="34">
        <f>'ECONOMIA &amp; PROFESIONES'!$R$12</f>
        <v>27800</v>
      </c>
      <c r="E113" s="53">
        <f t="shared" si="39"/>
        <v>0</v>
      </c>
      <c r="F113" s="281" t="s">
        <v>926</v>
      </c>
      <c r="G113" s="285">
        <v>0</v>
      </c>
      <c r="H113" s="278">
        <f t="shared" si="32"/>
        <v>0</v>
      </c>
      <c r="I113" s="281" t="s">
        <v>926</v>
      </c>
      <c r="J113" s="285">
        <v>0</v>
      </c>
      <c r="K113" s="278">
        <f t="shared" si="33"/>
        <v>0</v>
      </c>
      <c r="L113" s="281" t="s">
        <v>926</v>
      </c>
      <c r="M113" s="285">
        <v>0</v>
      </c>
      <c r="N113" s="278">
        <f t="shared" si="34"/>
        <v>0</v>
      </c>
      <c r="O113" s="281" t="s">
        <v>926</v>
      </c>
      <c r="P113" s="285">
        <v>0</v>
      </c>
      <c r="Q113" s="278">
        <f t="shared" si="35"/>
        <v>0</v>
      </c>
      <c r="R113" s="281" t="s">
        <v>926</v>
      </c>
      <c r="S113" s="285">
        <v>0</v>
      </c>
      <c r="T113" s="278">
        <f t="shared" si="36"/>
        <v>0</v>
      </c>
      <c r="U113" s="281" t="s">
        <v>926</v>
      </c>
      <c r="V113" s="285">
        <v>0</v>
      </c>
      <c r="W113" s="278">
        <f t="shared" si="37"/>
        <v>0</v>
      </c>
      <c r="X113" s="281" t="s">
        <v>926</v>
      </c>
      <c r="Y113" s="285">
        <v>0</v>
      </c>
      <c r="Z113" s="278">
        <f t="shared" si="38"/>
        <v>0</v>
      </c>
    </row>
    <row r="114" spans="1:26" x14ac:dyDescent="0.3">
      <c r="A114" s="357"/>
      <c r="B114" s="362"/>
      <c r="C114" s="31" t="s">
        <v>115</v>
      </c>
      <c r="D114" s="34">
        <f>'ECONOMIA &amp; PROFESIONES'!$R$13</f>
        <v>24575</v>
      </c>
      <c r="E114" s="53">
        <f t="shared" si="39"/>
        <v>0</v>
      </c>
      <c r="F114" s="281" t="s">
        <v>926</v>
      </c>
      <c r="G114" s="285">
        <v>0</v>
      </c>
      <c r="H114" s="278">
        <f t="shared" si="32"/>
        <v>0</v>
      </c>
      <c r="I114" s="281" t="s">
        <v>926</v>
      </c>
      <c r="J114" s="285">
        <v>0</v>
      </c>
      <c r="K114" s="278">
        <f t="shared" si="33"/>
        <v>0</v>
      </c>
      <c r="L114" s="281" t="s">
        <v>926</v>
      </c>
      <c r="M114" s="285">
        <v>0</v>
      </c>
      <c r="N114" s="278">
        <f t="shared" si="34"/>
        <v>0</v>
      </c>
      <c r="O114" s="281" t="s">
        <v>926</v>
      </c>
      <c r="P114" s="285">
        <v>0</v>
      </c>
      <c r="Q114" s="278">
        <f t="shared" si="35"/>
        <v>0</v>
      </c>
      <c r="R114" s="281" t="s">
        <v>926</v>
      </c>
      <c r="S114" s="285">
        <v>0</v>
      </c>
      <c r="T114" s="278">
        <f t="shared" si="36"/>
        <v>0</v>
      </c>
      <c r="U114" s="281" t="s">
        <v>926</v>
      </c>
      <c r="V114" s="285">
        <v>0</v>
      </c>
      <c r="W114" s="278">
        <f t="shared" si="37"/>
        <v>0</v>
      </c>
      <c r="X114" s="281" t="s">
        <v>926</v>
      </c>
      <c r="Y114" s="285">
        <v>0</v>
      </c>
      <c r="Z114" s="278">
        <f t="shared" si="38"/>
        <v>0</v>
      </c>
    </row>
    <row r="115" spans="1:26" x14ac:dyDescent="0.3">
      <c r="A115" s="357"/>
      <c r="B115" s="363"/>
      <c r="C115" s="32" t="s">
        <v>116</v>
      </c>
      <c r="D115" s="34">
        <f>'ECONOMIA &amp; PROFESIONES'!$R$14</f>
        <v>14900</v>
      </c>
      <c r="E115" s="53">
        <f t="shared" si="39"/>
        <v>0</v>
      </c>
      <c r="F115" s="281" t="s">
        <v>926</v>
      </c>
      <c r="G115" s="285">
        <v>0</v>
      </c>
      <c r="H115" s="278">
        <f t="shared" si="32"/>
        <v>0</v>
      </c>
      <c r="I115" s="281" t="s">
        <v>926</v>
      </c>
      <c r="J115" s="285">
        <v>0</v>
      </c>
      <c r="K115" s="278">
        <f t="shared" si="33"/>
        <v>0</v>
      </c>
      <c r="L115" s="281" t="s">
        <v>926</v>
      </c>
      <c r="M115" s="285">
        <v>0</v>
      </c>
      <c r="N115" s="278">
        <f t="shared" si="34"/>
        <v>0</v>
      </c>
      <c r="O115" s="281" t="s">
        <v>926</v>
      </c>
      <c r="P115" s="285">
        <v>0</v>
      </c>
      <c r="Q115" s="278">
        <f t="shared" si="35"/>
        <v>0</v>
      </c>
      <c r="R115" s="281" t="s">
        <v>926</v>
      </c>
      <c r="S115" s="285">
        <v>0</v>
      </c>
      <c r="T115" s="278">
        <f t="shared" si="36"/>
        <v>0</v>
      </c>
      <c r="U115" s="281" t="s">
        <v>926</v>
      </c>
      <c r="V115" s="285">
        <v>0</v>
      </c>
      <c r="W115" s="278">
        <f t="shared" si="37"/>
        <v>0</v>
      </c>
      <c r="X115" s="281" t="s">
        <v>926</v>
      </c>
      <c r="Y115" s="285">
        <v>0</v>
      </c>
      <c r="Z115" s="278">
        <f t="shared" si="38"/>
        <v>0</v>
      </c>
    </row>
    <row r="116" spans="1:26" x14ac:dyDescent="0.3">
      <c r="A116" s="357"/>
      <c r="B116" s="364" t="s">
        <v>1228</v>
      </c>
      <c r="C116" s="31" t="s">
        <v>6</v>
      </c>
      <c r="D116" s="34">
        <f>'ECONOMIA &amp; PROFESIONES'!$R$15</f>
        <v>10050</v>
      </c>
      <c r="E116" s="53">
        <f t="shared" si="39"/>
        <v>0</v>
      </c>
      <c r="F116" s="281" t="s">
        <v>926</v>
      </c>
      <c r="G116" s="285">
        <v>0</v>
      </c>
      <c r="H116" s="278">
        <f t="shared" si="32"/>
        <v>0</v>
      </c>
      <c r="I116" s="281" t="s">
        <v>926</v>
      </c>
      <c r="J116" s="285">
        <v>0</v>
      </c>
      <c r="K116" s="278">
        <f t="shared" si="33"/>
        <v>0</v>
      </c>
      <c r="L116" s="281" t="s">
        <v>926</v>
      </c>
      <c r="M116" s="285">
        <v>0</v>
      </c>
      <c r="N116" s="278">
        <f t="shared" si="34"/>
        <v>0</v>
      </c>
      <c r="O116" s="281" t="s">
        <v>926</v>
      </c>
      <c r="P116" s="285">
        <v>0</v>
      </c>
      <c r="Q116" s="278">
        <f t="shared" si="35"/>
        <v>0</v>
      </c>
      <c r="R116" s="281" t="s">
        <v>926</v>
      </c>
      <c r="S116" s="285">
        <v>0</v>
      </c>
      <c r="T116" s="278">
        <f t="shared" si="36"/>
        <v>0</v>
      </c>
      <c r="U116" s="281" t="s">
        <v>926</v>
      </c>
      <c r="V116" s="285">
        <v>0</v>
      </c>
      <c r="W116" s="278">
        <f t="shared" si="37"/>
        <v>0</v>
      </c>
      <c r="X116" s="281" t="s">
        <v>926</v>
      </c>
      <c r="Y116" s="285">
        <v>0</v>
      </c>
      <c r="Z116" s="278">
        <f t="shared" si="38"/>
        <v>0</v>
      </c>
    </row>
    <row r="117" spans="1:26" x14ac:dyDescent="0.3">
      <c r="A117" s="357"/>
      <c r="B117" s="365"/>
      <c r="C117" s="32" t="s">
        <v>113</v>
      </c>
      <c r="D117" s="34">
        <f>'ECONOMIA &amp; PROFESIONES'!$R$16</f>
        <v>19875</v>
      </c>
      <c r="E117" s="53">
        <f t="shared" si="39"/>
        <v>0</v>
      </c>
      <c r="F117" s="281" t="s">
        <v>926</v>
      </c>
      <c r="G117" s="285">
        <v>0</v>
      </c>
      <c r="H117" s="278">
        <f t="shared" si="32"/>
        <v>0</v>
      </c>
      <c r="I117" s="281" t="s">
        <v>926</v>
      </c>
      <c r="J117" s="285">
        <v>0</v>
      </c>
      <c r="K117" s="278">
        <f t="shared" si="33"/>
        <v>0</v>
      </c>
      <c r="L117" s="281" t="s">
        <v>926</v>
      </c>
      <c r="M117" s="285">
        <v>0</v>
      </c>
      <c r="N117" s="278">
        <f t="shared" si="34"/>
        <v>0</v>
      </c>
      <c r="O117" s="281" t="s">
        <v>926</v>
      </c>
      <c r="P117" s="285">
        <v>0</v>
      </c>
      <c r="Q117" s="278">
        <f t="shared" si="35"/>
        <v>0</v>
      </c>
      <c r="R117" s="281" t="s">
        <v>926</v>
      </c>
      <c r="S117" s="285">
        <v>0</v>
      </c>
      <c r="T117" s="278">
        <f t="shared" si="36"/>
        <v>0</v>
      </c>
      <c r="U117" s="281" t="s">
        <v>926</v>
      </c>
      <c r="V117" s="285">
        <v>0</v>
      </c>
      <c r="W117" s="278">
        <f t="shared" si="37"/>
        <v>0</v>
      </c>
      <c r="X117" s="281" t="s">
        <v>926</v>
      </c>
      <c r="Y117" s="285">
        <v>0</v>
      </c>
      <c r="Z117" s="278">
        <f t="shared" si="38"/>
        <v>0</v>
      </c>
    </row>
    <row r="118" spans="1:26" x14ac:dyDescent="0.3">
      <c r="A118" s="357"/>
      <c r="B118" s="365"/>
      <c r="C118" s="31" t="s">
        <v>114</v>
      </c>
      <c r="D118" s="34">
        <f>'ECONOMIA &amp; PROFESIONES'!$R$17</f>
        <v>29700</v>
      </c>
      <c r="E118" s="53">
        <f t="shared" si="39"/>
        <v>0</v>
      </c>
      <c r="F118" s="281" t="s">
        <v>926</v>
      </c>
      <c r="G118" s="285">
        <v>0</v>
      </c>
      <c r="H118" s="278">
        <f t="shared" si="32"/>
        <v>0</v>
      </c>
      <c r="I118" s="281" t="s">
        <v>926</v>
      </c>
      <c r="J118" s="285">
        <v>0</v>
      </c>
      <c r="K118" s="278">
        <f t="shared" si="33"/>
        <v>0</v>
      </c>
      <c r="L118" s="281" t="s">
        <v>926</v>
      </c>
      <c r="M118" s="285">
        <v>0</v>
      </c>
      <c r="N118" s="278">
        <f t="shared" si="34"/>
        <v>0</v>
      </c>
      <c r="O118" s="281" t="s">
        <v>926</v>
      </c>
      <c r="P118" s="285">
        <v>0</v>
      </c>
      <c r="Q118" s="278">
        <f t="shared" si="35"/>
        <v>0</v>
      </c>
      <c r="R118" s="281" t="s">
        <v>926</v>
      </c>
      <c r="S118" s="285">
        <v>0</v>
      </c>
      <c r="T118" s="278">
        <f t="shared" si="36"/>
        <v>0</v>
      </c>
      <c r="U118" s="281" t="s">
        <v>926</v>
      </c>
      <c r="V118" s="285">
        <v>0</v>
      </c>
      <c r="W118" s="278">
        <f t="shared" si="37"/>
        <v>0</v>
      </c>
      <c r="X118" s="281" t="s">
        <v>926</v>
      </c>
      <c r="Y118" s="285">
        <v>0</v>
      </c>
      <c r="Z118" s="278">
        <f t="shared" si="38"/>
        <v>0</v>
      </c>
    </row>
    <row r="119" spans="1:26" x14ac:dyDescent="0.3">
      <c r="A119" s="357"/>
      <c r="B119" s="364"/>
      <c r="C119" s="32" t="s">
        <v>115</v>
      </c>
      <c r="D119" s="34">
        <f>'ECONOMIA &amp; PROFESIONES'!$R$18</f>
        <v>26425</v>
      </c>
      <c r="E119" s="53">
        <f t="shared" si="39"/>
        <v>0</v>
      </c>
      <c r="F119" s="281" t="s">
        <v>926</v>
      </c>
      <c r="G119" s="285">
        <v>0</v>
      </c>
      <c r="H119" s="278">
        <f t="shared" si="32"/>
        <v>0</v>
      </c>
      <c r="I119" s="281" t="s">
        <v>926</v>
      </c>
      <c r="J119" s="285">
        <v>0</v>
      </c>
      <c r="K119" s="278">
        <f t="shared" si="33"/>
        <v>0</v>
      </c>
      <c r="L119" s="281" t="s">
        <v>926</v>
      </c>
      <c r="M119" s="285">
        <v>0</v>
      </c>
      <c r="N119" s="278">
        <f t="shared" si="34"/>
        <v>0</v>
      </c>
      <c r="O119" s="281" t="s">
        <v>926</v>
      </c>
      <c r="P119" s="285">
        <v>0</v>
      </c>
      <c r="Q119" s="278">
        <f t="shared" si="35"/>
        <v>0</v>
      </c>
      <c r="R119" s="281" t="s">
        <v>926</v>
      </c>
      <c r="S119" s="285">
        <v>0</v>
      </c>
      <c r="T119" s="278">
        <f t="shared" si="36"/>
        <v>0</v>
      </c>
      <c r="U119" s="281" t="s">
        <v>926</v>
      </c>
      <c r="V119" s="285">
        <v>0</v>
      </c>
      <c r="W119" s="278">
        <f t="shared" si="37"/>
        <v>0</v>
      </c>
      <c r="X119" s="281" t="s">
        <v>926</v>
      </c>
      <c r="Y119" s="285">
        <v>0</v>
      </c>
      <c r="Z119" s="278">
        <f t="shared" si="38"/>
        <v>0</v>
      </c>
    </row>
    <row r="120" spans="1:26" x14ac:dyDescent="0.3">
      <c r="A120" s="357"/>
      <c r="B120" s="364"/>
      <c r="C120" s="31" t="s">
        <v>116</v>
      </c>
      <c r="D120" s="34">
        <f>'ECONOMIA &amp; PROFESIONES'!$R$19</f>
        <v>16600</v>
      </c>
      <c r="E120" s="53">
        <f t="shared" si="39"/>
        <v>0</v>
      </c>
      <c r="F120" s="281" t="s">
        <v>926</v>
      </c>
      <c r="G120" s="285">
        <v>0</v>
      </c>
      <c r="H120" s="278">
        <f t="shared" si="32"/>
        <v>0</v>
      </c>
      <c r="I120" s="281" t="s">
        <v>926</v>
      </c>
      <c r="J120" s="285">
        <v>0</v>
      </c>
      <c r="K120" s="278">
        <f t="shared" si="33"/>
        <v>0</v>
      </c>
      <c r="L120" s="281" t="s">
        <v>926</v>
      </c>
      <c r="M120" s="285">
        <v>0</v>
      </c>
      <c r="N120" s="278">
        <f t="shared" si="34"/>
        <v>0</v>
      </c>
      <c r="O120" s="281" t="s">
        <v>926</v>
      </c>
      <c r="P120" s="285">
        <v>0</v>
      </c>
      <c r="Q120" s="278">
        <f t="shared" si="35"/>
        <v>0</v>
      </c>
      <c r="R120" s="281" t="s">
        <v>926</v>
      </c>
      <c r="S120" s="285">
        <v>0</v>
      </c>
      <c r="T120" s="278">
        <f t="shared" si="36"/>
        <v>0</v>
      </c>
      <c r="U120" s="281" t="s">
        <v>926</v>
      </c>
      <c r="V120" s="285">
        <v>0</v>
      </c>
      <c r="W120" s="278">
        <f t="shared" si="37"/>
        <v>0</v>
      </c>
      <c r="X120" s="281" t="s">
        <v>926</v>
      </c>
      <c r="Y120" s="285">
        <v>0</v>
      </c>
      <c r="Z120" s="278">
        <f t="shared" si="38"/>
        <v>0</v>
      </c>
    </row>
    <row r="121" spans="1:26" x14ac:dyDescent="0.3">
      <c r="A121" s="357"/>
      <c r="B121" s="366" t="s">
        <v>1229</v>
      </c>
      <c r="C121" s="32" t="s">
        <v>6</v>
      </c>
      <c r="D121" s="34">
        <f>'ECONOMIA &amp; PROFESIONES'!$R$20</f>
        <v>11650</v>
      </c>
      <c r="E121" s="53">
        <f t="shared" si="39"/>
        <v>0</v>
      </c>
      <c r="F121" s="281" t="s">
        <v>926</v>
      </c>
      <c r="G121" s="285">
        <v>0</v>
      </c>
      <c r="H121" s="278">
        <f t="shared" si="32"/>
        <v>0</v>
      </c>
      <c r="I121" s="281" t="s">
        <v>926</v>
      </c>
      <c r="J121" s="285">
        <v>0</v>
      </c>
      <c r="K121" s="278">
        <f t="shared" si="33"/>
        <v>0</v>
      </c>
      <c r="L121" s="281" t="s">
        <v>926</v>
      </c>
      <c r="M121" s="285">
        <v>0</v>
      </c>
      <c r="N121" s="278">
        <f t="shared" si="34"/>
        <v>0</v>
      </c>
      <c r="O121" s="281" t="s">
        <v>926</v>
      </c>
      <c r="P121" s="285">
        <v>0</v>
      </c>
      <c r="Q121" s="278">
        <f t="shared" si="35"/>
        <v>0</v>
      </c>
      <c r="R121" s="281" t="s">
        <v>926</v>
      </c>
      <c r="S121" s="285">
        <v>0</v>
      </c>
      <c r="T121" s="278">
        <f t="shared" si="36"/>
        <v>0</v>
      </c>
      <c r="U121" s="281" t="s">
        <v>926</v>
      </c>
      <c r="V121" s="285">
        <v>0</v>
      </c>
      <c r="W121" s="278">
        <f t="shared" si="37"/>
        <v>0</v>
      </c>
      <c r="X121" s="281" t="s">
        <v>926</v>
      </c>
      <c r="Y121" s="285">
        <v>0</v>
      </c>
      <c r="Z121" s="278">
        <f t="shared" si="38"/>
        <v>0</v>
      </c>
    </row>
    <row r="122" spans="1:26" x14ac:dyDescent="0.3">
      <c r="A122" s="357"/>
      <c r="B122" s="367"/>
      <c r="C122" s="31" t="s">
        <v>113</v>
      </c>
      <c r="D122" s="34">
        <f>'ECONOMIA &amp; PROFESIONES'!$R$21</f>
        <v>21625</v>
      </c>
      <c r="E122" s="53">
        <f t="shared" si="39"/>
        <v>0</v>
      </c>
      <c r="F122" s="281" t="s">
        <v>926</v>
      </c>
      <c r="G122" s="285">
        <v>0</v>
      </c>
      <c r="H122" s="278">
        <f t="shared" si="32"/>
        <v>0</v>
      </c>
      <c r="I122" s="281" t="s">
        <v>926</v>
      </c>
      <c r="J122" s="285">
        <v>0</v>
      </c>
      <c r="K122" s="278">
        <f t="shared" si="33"/>
        <v>0</v>
      </c>
      <c r="L122" s="281" t="s">
        <v>926</v>
      </c>
      <c r="M122" s="285">
        <v>0</v>
      </c>
      <c r="N122" s="278">
        <f t="shared" si="34"/>
        <v>0</v>
      </c>
      <c r="O122" s="281" t="s">
        <v>926</v>
      </c>
      <c r="P122" s="285">
        <v>0</v>
      </c>
      <c r="Q122" s="278">
        <f t="shared" si="35"/>
        <v>0</v>
      </c>
      <c r="R122" s="281" t="s">
        <v>926</v>
      </c>
      <c r="S122" s="285">
        <v>0</v>
      </c>
      <c r="T122" s="278">
        <f t="shared" si="36"/>
        <v>0</v>
      </c>
      <c r="U122" s="281" t="s">
        <v>926</v>
      </c>
      <c r="V122" s="285">
        <v>0</v>
      </c>
      <c r="W122" s="278">
        <f t="shared" si="37"/>
        <v>0</v>
      </c>
      <c r="X122" s="281" t="s">
        <v>926</v>
      </c>
      <c r="Y122" s="285">
        <v>0</v>
      </c>
      <c r="Z122" s="278">
        <f t="shared" si="38"/>
        <v>0</v>
      </c>
    </row>
    <row r="123" spans="1:26" x14ac:dyDescent="0.3">
      <c r="A123" s="357"/>
      <c r="B123" s="367"/>
      <c r="C123" s="32" t="s">
        <v>114</v>
      </c>
      <c r="D123" s="34">
        <f>'ECONOMIA &amp; PROFESIONES'!$R$22</f>
        <v>31600</v>
      </c>
      <c r="E123" s="53">
        <f t="shared" si="39"/>
        <v>0</v>
      </c>
      <c r="F123" s="281" t="s">
        <v>926</v>
      </c>
      <c r="G123" s="285">
        <v>0</v>
      </c>
      <c r="H123" s="278">
        <f t="shared" si="32"/>
        <v>0</v>
      </c>
      <c r="I123" s="281" t="s">
        <v>926</v>
      </c>
      <c r="J123" s="285">
        <v>0</v>
      </c>
      <c r="K123" s="278">
        <f t="shared" si="33"/>
        <v>0</v>
      </c>
      <c r="L123" s="281" t="s">
        <v>926</v>
      </c>
      <c r="M123" s="285">
        <v>0</v>
      </c>
      <c r="N123" s="278">
        <f t="shared" si="34"/>
        <v>0</v>
      </c>
      <c r="O123" s="281" t="s">
        <v>926</v>
      </c>
      <c r="P123" s="285">
        <v>0</v>
      </c>
      <c r="Q123" s="278">
        <f t="shared" si="35"/>
        <v>0</v>
      </c>
      <c r="R123" s="281" t="s">
        <v>926</v>
      </c>
      <c r="S123" s="285">
        <v>0</v>
      </c>
      <c r="T123" s="278">
        <f t="shared" si="36"/>
        <v>0</v>
      </c>
      <c r="U123" s="281" t="s">
        <v>926</v>
      </c>
      <c r="V123" s="285">
        <v>0</v>
      </c>
      <c r="W123" s="278">
        <f t="shared" si="37"/>
        <v>0</v>
      </c>
      <c r="X123" s="281" t="s">
        <v>926</v>
      </c>
      <c r="Y123" s="285">
        <v>0</v>
      </c>
      <c r="Z123" s="278">
        <f t="shared" si="38"/>
        <v>0</v>
      </c>
    </row>
    <row r="124" spans="1:26" x14ac:dyDescent="0.3">
      <c r="A124" s="357"/>
      <c r="B124" s="362"/>
      <c r="C124" s="31" t="s">
        <v>115</v>
      </c>
      <c r="D124" s="34">
        <f>'ECONOMIA &amp; PROFESIONES'!$R$23</f>
        <v>28275</v>
      </c>
      <c r="E124" s="53">
        <f t="shared" si="39"/>
        <v>0</v>
      </c>
      <c r="F124" s="281" t="s">
        <v>926</v>
      </c>
      <c r="G124" s="285">
        <v>0</v>
      </c>
      <c r="H124" s="278">
        <f t="shared" si="32"/>
        <v>0</v>
      </c>
      <c r="I124" s="281" t="s">
        <v>926</v>
      </c>
      <c r="J124" s="285">
        <v>0</v>
      </c>
      <c r="K124" s="278">
        <f t="shared" si="33"/>
        <v>0</v>
      </c>
      <c r="L124" s="281" t="s">
        <v>926</v>
      </c>
      <c r="M124" s="285">
        <v>0</v>
      </c>
      <c r="N124" s="278">
        <f t="shared" si="34"/>
        <v>0</v>
      </c>
      <c r="O124" s="281" t="s">
        <v>926</v>
      </c>
      <c r="P124" s="285">
        <v>0</v>
      </c>
      <c r="Q124" s="278">
        <f t="shared" si="35"/>
        <v>0</v>
      </c>
      <c r="R124" s="281" t="s">
        <v>926</v>
      </c>
      <c r="S124" s="285">
        <v>0</v>
      </c>
      <c r="T124" s="278">
        <f t="shared" si="36"/>
        <v>0</v>
      </c>
      <c r="U124" s="281" t="s">
        <v>926</v>
      </c>
      <c r="V124" s="285">
        <v>0</v>
      </c>
      <c r="W124" s="278">
        <f t="shared" si="37"/>
        <v>0</v>
      </c>
      <c r="X124" s="281" t="s">
        <v>926</v>
      </c>
      <c r="Y124" s="285">
        <v>0</v>
      </c>
      <c r="Z124" s="278">
        <f t="shared" si="38"/>
        <v>0</v>
      </c>
    </row>
    <row r="125" spans="1:26" x14ac:dyDescent="0.3">
      <c r="A125" s="357"/>
      <c r="B125" s="368"/>
      <c r="C125" s="32" t="s">
        <v>116</v>
      </c>
      <c r="D125" s="34">
        <f>'ECONOMIA &amp; PROFESIONES'!$R$24</f>
        <v>18300</v>
      </c>
      <c r="E125" s="53">
        <f t="shared" si="39"/>
        <v>0</v>
      </c>
      <c r="F125" s="281" t="s">
        <v>926</v>
      </c>
      <c r="G125" s="285">
        <v>0</v>
      </c>
      <c r="H125" s="278">
        <f t="shared" si="32"/>
        <v>0</v>
      </c>
      <c r="I125" s="281" t="s">
        <v>926</v>
      </c>
      <c r="J125" s="285">
        <v>0</v>
      </c>
      <c r="K125" s="278">
        <f t="shared" si="33"/>
        <v>0</v>
      </c>
      <c r="L125" s="281" t="s">
        <v>926</v>
      </c>
      <c r="M125" s="285">
        <v>0</v>
      </c>
      <c r="N125" s="278">
        <f t="shared" si="34"/>
        <v>0</v>
      </c>
      <c r="O125" s="281" t="s">
        <v>926</v>
      </c>
      <c r="P125" s="285">
        <v>0</v>
      </c>
      <c r="Q125" s="278">
        <f t="shared" si="35"/>
        <v>0</v>
      </c>
      <c r="R125" s="281" t="s">
        <v>926</v>
      </c>
      <c r="S125" s="285">
        <v>0</v>
      </c>
      <c r="T125" s="278">
        <f t="shared" si="36"/>
        <v>0</v>
      </c>
      <c r="U125" s="281" t="s">
        <v>926</v>
      </c>
      <c r="V125" s="285">
        <v>0</v>
      </c>
      <c r="W125" s="278">
        <f t="shared" si="37"/>
        <v>0</v>
      </c>
      <c r="X125" s="281" t="s">
        <v>926</v>
      </c>
      <c r="Y125" s="285">
        <v>0</v>
      </c>
      <c r="Z125" s="278">
        <f t="shared" si="38"/>
        <v>0</v>
      </c>
    </row>
    <row r="126" spans="1:26" x14ac:dyDescent="0.3">
      <c r="A126" s="357"/>
      <c r="B126" s="364" t="s">
        <v>1227</v>
      </c>
      <c r="C126" s="31" t="s">
        <v>6</v>
      </c>
      <c r="D126" s="34">
        <f>'ECONOMIA &amp; PROFESIONES'!$R$25</f>
        <v>13250</v>
      </c>
      <c r="E126" s="53">
        <f t="shared" si="39"/>
        <v>0</v>
      </c>
      <c r="F126" s="281" t="s">
        <v>926</v>
      </c>
      <c r="G126" s="285">
        <v>0</v>
      </c>
      <c r="H126" s="278">
        <f t="shared" si="32"/>
        <v>0</v>
      </c>
      <c r="I126" s="281" t="s">
        <v>926</v>
      </c>
      <c r="J126" s="285">
        <v>0</v>
      </c>
      <c r="K126" s="278">
        <f t="shared" si="33"/>
        <v>0</v>
      </c>
      <c r="L126" s="281" t="s">
        <v>926</v>
      </c>
      <c r="M126" s="285">
        <v>0</v>
      </c>
      <c r="N126" s="278">
        <f t="shared" si="34"/>
        <v>0</v>
      </c>
      <c r="O126" s="281" t="s">
        <v>926</v>
      </c>
      <c r="P126" s="285">
        <v>0</v>
      </c>
      <c r="Q126" s="278">
        <f t="shared" si="35"/>
        <v>0</v>
      </c>
      <c r="R126" s="281" t="s">
        <v>926</v>
      </c>
      <c r="S126" s="285">
        <v>0</v>
      </c>
      <c r="T126" s="278">
        <f t="shared" si="36"/>
        <v>0</v>
      </c>
      <c r="U126" s="281" t="s">
        <v>926</v>
      </c>
      <c r="V126" s="285">
        <v>0</v>
      </c>
      <c r="W126" s="278">
        <f t="shared" si="37"/>
        <v>0</v>
      </c>
      <c r="X126" s="281" t="s">
        <v>926</v>
      </c>
      <c r="Y126" s="285">
        <v>0</v>
      </c>
      <c r="Z126" s="278">
        <f t="shared" si="38"/>
        <v>0</v>
      </c>
    </row>
    <row r="127" spans="1:26" x14ac:dyDescent="0.3">
      <c r="A127" s="357"/>
      <c r="B127" s="364"/>
      <c r="C127" s="32" t="s">
        <v>113</v>
      </c>
      <c r="D127" s="34">
        <f>'ECONOMIA &amp; PROFESIONES'!$R$26</f>
        <v>23375</v>
      </c>
      <c r="E127" s="53">
        <f t="shared" si="39"/>
        <v>0</v>
      </c>
      <c r="F127" s="281" t="s">
        <v>926</v>
      </c>
      <c r="G127" s="285">
        <v>0</v>
      </c>
      <c r="H127" s="278">
        <f t="shared" si="32"/>
        <v>0</v>
      </c>
      <c r="I127" s="281" t="s">
        <v>926</v>
      </c>
      <c r="J127" s="285">
        <v>0</v>
      </c>
      <c r="K127" s="278">
        <f t="shared" si="33"/>
        <v>0</v>
      </c>
      <c r="L127" s="281" t="s">
        <v>926</v>
      </c>
      <c r="M127" s="285">
        <v>0</v>
      </c>
      <c r="N127" s="278">
        <f t="shared" si="34"/>
        <v>0</v>
      </c>
      <c r="O127" s="281" t="s">
        <v>926</v>
      </c>
      <c r="P127" s="285">
        <v>0</v>
      </c>
      <c r="Q127" s="278">
        <f t="shared" si="35"/>
        <v>0</v>
      </c>
      <c r="R127" s="281" t="s">
        <v>926</v>
      </c>
      <c r="S127" s="285">
        <v>0</v>
      </c>
      <c r="T127" s="278">
        <f t="shared" si="36"/>
        <v>0</v>
      </c>
      <c r="U127" s="281" t="s">
        <v>926</v>
      </c>
      <c r="V127" s="285">
        <v>0</v>
      </c>
      <c r="W127" s="278">
        <f t="shared" si="37"/>
        <v>0</v>
      </c>
      <c r="X127" s="281" t="s">
        <v>926</v>
      </c>
      <c r="Y127" s="285">
        <v>0</v>
      </c>
      <c r="Z127" s="278">
        <f t="shared" si="38"/>
        <v>0</v>
      </c>
    </row>
    <row r="128" spans="1:26" x14ac:dyDescent="0.3">
      <c r="A128" s="357"/>
      <c r="B128" s="364"/>
      <c r="C128" s="31" t="s">
        <v>114</v>
      </c>
      <c r="D128" s="34">
        <f>'ECONOMIA &amp; PROFESIONES'!$R$27</f>
        <v>33500</v>
      </c>
      <c r="E128" s="53">
        <f t="shared" si="39"/>
        <v>0</v>
      </c>
      <c r="F128" s="281" t="s">
        <v>926</v>
      </c>
      <c r="G128" s="285">
        <v>0</v>
      </c>
      <c r="H128" s="278">
        <f t="shared" si="32"/>
        <v>0</v>
      </c>
      <c r="I128" s="281" t="s">
        <v>926</v>
      </c>
      <c r="J128" s="285">
        <v>0</v>
      </c>
      <c r="K128" s="278">
        <f t="shared" si="33"/>
        <v>0</v>
      </c>
      <c r="L128" s="281" t="s">
        <v>926</v>
      </c>
      <c r="M128" s="285">
        <v>0</v>
      </c>
      <c r="N128" s="278">
        <f t="shared" si="34"/>
        <v>0</v>
      </c>
      <c r="O128" s="281" t="s">
        <v>926</v>
      </c>
      <c r="P128" s="285">
        <v>0</v>
      </c>
      <c r="Q128" s="278">
        <f t="shared" si="35"/>
        <v>0</v>
      </c>
      <c r="R128" s="281" t="s">
        <v>926</v>
      </c>
      <c r="S128" s="285">
        <v>0</v>
      </c>
      <c r="T128" s="278">
        <f t="shared" si="36"/>
        <v>0</v>
      </c>
      <c r="U128" s="281" t="s">
        <v>926</v>
      </c>
      <c r="V128" s="285">
        <v>0</v>
      </c>
      <c r="W128" s="278">
        <f t="shared" si="37"/>
        <v>0</v>
      </c>
      <c r="X128" s="281" t="s">
        <v>926</v>
      </c>
      <c r="Y128" s="285">
        <v>0</v>
      </c>
      <c r="Z128" s="278">
        <f t="shared" si="38"/>
        <v>0</v>
      </c>
    </row>
    <row r="129" spans="1:26" x14ac:dyDescent="0.3">
      <c r="A129" s="357"/>
      <c r="B129" s="364"/>
      <c r="C129" s="32" t="s">
        <v>115</v>
      </c>
      <c r="D129" s="34">
        <f>'ECONOMIA &amp; PROFESIONES'!$R$28</f>
        <v>30125</v>
      </c>
      <c r="E129" s="53">
        <f t="shared" si="39"/>
        <v>0</v>
      </c>
      <c r="F129" s="281" t="s">
        <v>926</v>
      </c>
      <c r="G129" s="285">
        <v>0</v>
      </c>
      <c r="H129" s="278">
        <f t="shared" si="32"/>
        <v>0</v>
      </c>
      <c r="I129" s="281" t="s">
        <v>926</v>
      </c>
      <c r="J129" s="285">
        <v>0</v>
      </c>
      <c r="K129" s="278">
        <f t="shared" si="33"/>
        <v>0</v>
      </c>
      <c r="L129" s="281" t="s">
        <v>926</v>
      </c>
      <c r="M129" s="285">
        <v>0</v>
      </c>
      <c r="N129" s="278">
        <f t="shared" si="34"/>
        <v>0</v>
      </c>
      <c r="O129" s="281" t="s">
        <v>926</v>
      </c>
      <c r="P129" s="285">
        <v>0</v>
      </c>
      <c r="Q129" s="278">
        <f t="shared" si="35"/>
        <v>0</v>
      </c>
      <c r="R129" s="281" t="s">
        <v>926</v>
      </c>
      <c r="S129" s="285">
        <v>0</v>
      </c>
      <c r="T129" s="278">
        <f t="shared" si="36"/>
        <v>0</v>
      </c>
      <c r="U129" s="281" t="s">
        <v>926</v>
      </c>
      <c r="V129" s="285">
        <v>0</v>
      </c>
      <c r="W129" s="278">
        <f t="shared" si="37"/>
        <v>0</v>
      </c>
      <c r="X129" s="281" t="s">
        <v>926</v>
      </c>
      <c r="Y129" s="285">
        <v>0</v>
      </c>
      <c r="Z129" s="278">
        <f t="shared" si="38"/>
        <v>0</v>
      </c>
    </row>
    <row r="130" spans="1:26" x14ac:dyDescent="0.3">
      <c r="A130" s="357"/>
      <c r="B130" s="364"/>
      <c r="C130" s="31" t="s">
        <v>116</v>
      </c>
      <c r="D130" s="34">
        <f>'ECONOMIA &amp; PROFESIONES'!$R$29</f>
        <v>20000</v>
      </c>
      <c r="E130" s="53">
        <f t="shared" si="39"/>
        <v>0</v>
      </c>
      <c r="F130" s="281" t="s">
        <v>926</v>
      </c>
      <c r="G130" s="285">
        <v>0</v>
      </c>
      <c r="H130" s="278">
        <f t="shared" si="32"/>
        <v>0</v>
      </c>
      <c r="I130" s="281" t="s">
        <v>926</v>
      </c>
      <c r="J130" s="285">
        <v>0</v>
      </c>
      <c r="K130" s="278">
        <f t="shared" si="33"/>
        <v>0</v>
      </c>
      <c r="L130" s="281" t="s">
        <v>926</v>
      </c>
      <c r="M130" s="285">
        <v>0</v>
      </c>
      <c r="N130" s="278">
        <f t="shared" si="34"/>
        <v>0</v>
      </c>
      <c r="O130" s="281" t="s">
        <v>926</v>
      </c>
      <c r="P130" s="285">
        <v>0</v>
      </c>
      <c r="Q130" s="278">
        <f t="shared" si="35"/>
        <v>0</v>
      </c>
      <c r="R130" s="281" t="s">
        <v>926</v>
      </c>
      <c r="S130" s="285">
        <v>0</v>
      </c>
      <c r="T130" s="278">
        <f t="shared" si="36"/>
        <v>0</v>
      </c>
      <c r="U130" s="281" t="s">
        <v>926</v>
      </c>
      <c r="V130" s="285">
        <v>0</v>
      </c>
      <c r="W130" s="278">
        <f t="shared" si="37"/>
        <v>0</v>
      </c>
      <c r="X130" s="281" t="s">
        <v>926</v>
      </c>
      <c r="Y130" s="285">
        <v>0</v>
      </c>
      <c r="Z130" s="278">
        <f t="shared" si="38"/>
        <v>0</v>
      </c>
    </row>
  </sheetData>
  <mergeCells count="30">
    <mergeCell ref="A1:A26"/>
    <mergeCell ref="B7:B11"/>
    <mergeCell ref="B12:B16"/>
    <mergeCell ref="B17:B21"/>
    <mergeCell ref="B22:B26"/>
    <mergeCell ref="B2:B6"/>
    <mergeCell ref="A27:A52"/>
    <mergeCell ref="B28:B32"/>
    <mergeCell ref="B33:B37"/>
    <mergeCell ref="B38:B42"/>
    <mergeCell ref="B43:B47"/>
    <mergeCell ref="B48:B52"/>
    <mergeCell ref="A53:A78"/>
    <mergeCell ref="B54:B58"/>
    <mergeCell ref="B59:B63"/>
    <mergeCell ref="B64:B68"/>
    <mergeCell ref="B69:B73"/>
    <mergeCell ref="B74:B78"/>
    <mergeCell ref="A79:A104"/>
    <mergeCell ref="B80:B84"/>
    <mergeCell ref="B85:B89"/>
    <mergeCell ref="B90:B94"/>
    <mergeCell ref="B95:B99"/>
    <mergeCell ref="B100:B104"/>
    <mergeCell ref="A105:A130"/>
    <mergeCell ref="B106:B110"/>
    <mergeCell ref="B111:B115"/>
    <mergeCell ref="B116:B120"/>
    <mergeCell ref="B121:B125"/>
    <mergeCell ref="B126:B130"/>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formula1>craftspar</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26"/>
  <sheetViews>
    <sheetView workbookViewId="0">
      <selection activeCell="D24" sqref="D24:D26"/>
    </sheetView>
  </sheetViews>
  <sheetFormatPr baseColWidth="10" defaultRowHeight="14.4" x14ac:dyDescent="0.3"/>
  <cols>
    <col min="6" max="6" width="16.5546875" customWidth="1"/>
    <col min="9" max="9" width="16.44140625" customWidth="1"/>
  </cols>
  <sheetData>
    <row r="1" spans="1:26" x14ac:dyDescent="0.3">
      <c r="A1" s="357" t="s">
        <v>1242</v>
      </c>
      <c r="B1" s="176"/>
      <c r="C1" s="176"/>
      <c r="D1" s="295"/>
      <c r="E1" s="284" t="s">
        <v>1150</v>
      </c>
      <c r="F1" s="284" t="s">
        <v>1151</v>
      </c>
      <c r="G1" s="284" t="s">
        <v>1230</v>
      </c>
      <c r="H1" s="284" t="s">
        <v>202</v>
      </c>
      <c r="I1" s="284" t="s">
        <v>1152</v>
      </c>
      <c r="J1" s="284" t="s">
        <v>1230</v>
      </c>
      <c r="K1" s="284" t="s">
        <v>202</v>
      </c>
      <c r="L1" s="284" t="s">
        <v>1170</v>
      </c>
      <c r="M1" s="284" t="s">
        <v>1230</v>
      </c>
      <c r="N1" s="284" t="s">
        <v>202</v>
      </c>
      <c r="O1" s="284" t="s">
        <v>1223</v>
      </c>
      <c r="P1" s="284" t="s">
        <v>1230</v>
      </c>
      <c r="Q1" s="284" t="s">
        <v>202</v>
      </c>
      <c r="R1" s="284" t="s">
        <v>1224</v>
      </c>
      <c r="S1" s="284" t="s">
        <v>1230</v>
      </c>
      <c r="T1" s="284" t="s">
        <v>202</v>
      </c>
      <c r="U1" s="284" t="s">
        <v>1225</v>
      </c>
      <c r="V1" s="284" t="s">
        <v>1230</v>
      </c>
      <c r="W1" s="284" t="s">
        <v>202</v>
      </c>
      <c r="X1" s="284" t="s">
        <v>1226</v>
      </c>
      <c r="Y1" s="284" t="s">
        <v>1230</v>
      </c>
      <c r="Z1" s="284" t="s">
        <v>202</v>
      </c>
    </row>
    <row r="2" spans="1:26" x14ac:dyDescent="0.3">
      <c r="A2" s="357"/>
      <c r="B2" s="358" t="s">
        <v>1161</v>
      </c>
      <c r="C2" s="31" t="s">
        <v>6</v>
      </c>
      <c r="D2" s="34">
        <f>'ECONOMIA &amp; PROFESIONES'!$P$7</f>
        <v>6900</v>
      </c>
      <c r="E2" s="53">
        <f>(H2*G2)+(K2*J2)+(M2*N2)+(P2*Q2)+(S2*T2)+(V2*W2)+(Y2*Z2)</f>
        <v>0</v>
      </c>
      <c r="F2" s="281" t="s">
        <v>926</v>
      </c>
      <c r="G2" s="285">
        <v>0</v>
      </c>
      <c r="H2" s="278">
        <f t="shared" ref="H2:H26" si="0">VLOOKUP(F2,craftedesp,3,FALSE)</f>
        <v>0</v>
      </c>
      <c r="I2" s="281" t="s">
        <v>926</v>
      </c>
      <c r="J2" s="285">
        <v>0</v>
      </c>
      <c r="K2" s="278">
        <f t="shared" ref="K2:K26" si="1">VLOOKUP(I2,craftedesp,3,FALSE)</f>
        <v>0</v>
      </c>
      <c r="L2" s="281" t="s">
        <v>926</v>
      </c>
      <c r="M2" s="285">
        <v>0</v>
      </c>
      <c r="N2" s="278">
        <f t="shared" ref="N2:N26" si="2">VLOOKUP(L2,craftedesp,3,FALSE)</f>
        <v>0</v>
      </c>
      <c r="O2" s="281" t="s">
        <v>926</v>
      </c>
      <c r="P2" s="285">
        <v>0</v>
      </c>
      <c r="Q2" s="278">
        <f t="shared" ref="Q2:Q26" si="3">VLOOKUP(O2,craftedesp,3,FALSE)</f>
        <v>0</v>
      </c>
      <c r="R2" s="281" t="s">
        <v>926</v>
      </c>
      <c r="S2" s="285">
        <v>0</v>
      </c>
      <c r="T2" s="278">
        <f t="shared" ref="T2:T26" si="4">VLOOKUP(R2,craftedesp,3,FALSE)</f>
        <v>0</v>
      </c>
      <c r="U2" s="281" t="s">
        <v>926</v>
      </c>
      <c r="V2" s="285">
        <v>0</v>
      </c>
      <c r="W2" s="278">
        <f t="shared" ref="W2:W26" si="5">VLOOKUP(U2,craftedesp,3,FALSE)</f>
        <v>0</v>
      </c>
      <c r="X2" s="281" t="s">
        <v>926</v>
      </c>
      <c r="Y2" s="285">
        <v>0</v>
      </c>
      <c r="Z2" s="278">
        <f t="shared" ref="Z2:Z26" si="6">VLOOKUP(X2,craftedesp,3,FALSE)</f>
        <v>0</v>
      </c>
    </row>
    <row r="3" spans="1:26" x14ac:dyDescent="0.3">
      <c r="A3" s="357"/>
      <c r="B3" s="359"/>
      <c r="C3" s="32" t="s">
        <v>113</v>
      </c>
      <c r="D3" s="34">
        <f>'ECONOMIA &amp; PROFESIONES'!$P$7</f>
        <v>6900</v>
      </c>
      <c r="E3" s="53">
        <f t="shared" ref="E3:E26" si="7">(H3*G3)+(K3*J3)+(M3*N3)+(P3*Q3)+(S3*T3)+(V3*W3)+(Y3*Z3)</f>
        <v>0</v>
      </c>
      <c r="F3" s="281" t="s">
        <v>926</v>
      </c>
      <c r="G3" s="285">
        <v>0</v>
      </c>
      <c r="H3" s="278">
        <f t="shared" si="0"/>
        <v>0</v>
      </c>
      <c r="I3" s="281" t="s">
        <v>926</v>
      </c>
      <c r="J3" s="285">
        <v>0</v>
      </c>
      <c r="K3" s="278">
        <f t="shared" si="1"/>
        <v>0</v>
      </c>
      <c r="L3" s="281" t="s">
        <v>926</v>
      </c>
      <c r="M3" s="285">
        <v>0</v>
      </c>
      <c r="N3" s="278">
        <f t="shared" si="2"/>
        <v>0</v>
      </c>
      <c r="O3" s="281" t="s">
        <v>926</v>
      </c>
      <c r="P3" s="285">
        <v>0</v>
      </c>
      <c r="Q3" s="278">
        <f t="shared" si="3"/>
        <v>0</v>
      </c>
      <c r="R3" s="281" t="s">
        <v>926</v>
      </c>
      <c r="S3" s="285">
        <v>0</v>
      </c>
      <c r="T3" s="278">
        <f t="shared" si="4"/>
        <v>0</v>
      </c>
      <c r="U3" s="281" t="s">
        <v>926</v>
      </c>
      <c r="V3" s="285">
        <v>0</v>
      </c>
      <c r="W3" s="278">
        <f t="shared" si="5"/>
        <v>0</v>
      </c>
      <c r="X3" s="281" t="s">
        <v>926</v>
      </c>
      <c r="Y3" s="285">
        <v>0</v>
      </c>
      <c r="Z3" s="278">
        <f t="shared" si="6"/>
        <v>0</v>
      </c>
    </row>
    <row r="4" spans="1:26" x14ac:dyDescent="0.3">
      <c r="A4" s="357"/>
      <c r="B4" s="359"/>
      <c r="C4" s="31" t="s">
        <v>1241</v>
      </c>
      <c r="D4" s="34">
        <f>'ECONOMIA &amp; PROFESIONES'!$P$7</f>
        <v>6900</v>
      </c>
      <c r="E4" s="53">
        <f t="shared" si="7"/>
        <v>6720.56</v>
      </c>
      <c r="F4" s="281" t="s">
        <v>1250</v>
      </c>
      <c r="G4" s="285">
        <v>14</v>
      </c>
      <c r="H4" s="278">
        <f t="shared" si="0"/>
        <v>480.04</v>
      </c>
      <c r="I4" s="281" t="s">
        <v>926</v>
      </c>
      <c r="J4" s="285">
        <v>24</v>
      </c>
      <c r="K4" s="278">
        <f t="shared" si="1"/>
        <v>0</v>
      </c>
      <c r="L4" s="281" t="s">
        <v>926</v>
      </c>
      <c r="M4" s="285">
        <v>0</v>
      </c>
      <c r="N4" s="278">
        <f t="shared" si="2"/>
        <v>0</v>
      </c>
      <c r="O4" s="281" t="s">
        <v>926</v>
      </c>
      <c r="P4" s="285">
        <v>0</v>
      </c>
      <c r="Q4" s="278">
        <f t="shared" si="3"/>
        <v>0</v>
      </c>
      <c r="R4" s="281" t="s">
        <v>926</v>
      </c>
      <c r="S4" s="285">
        <v>0</v>
      </c>
      <c r="T4" s="278">
        <f t="shared" si="4"/>
        <v>0</v>
      </c>
      <c r="U4" s="281" t="s">
        <v>926</v>
      </c>
      <c r="V4" s="285">
        <v>0</v>
      </c>
      <c r="W4" s="278">
        <f t="shared" si="5"/>
        <v>0</v>
      </c>
      <c r="X4" s="281" t="s">
        <v>926</v>
      </c>
      <c r="Y4" s="285">
        <v>0</v>
      </c>
      <c r="Z4" s="278">
        <f t="shared" si="6"/>
        <v>0</v>
      </c>
    </row>
    <row r="5" spans="1:26" x14ac:dyDescent="0.3">
      <c r="A5" s="357"/>
      <c r="B5" s="359"/>
      <c r="C5" s="32" t="s">
        <v>115</v>
      </c>
      <c r="D5" s="34">
        <f>'ECONOMIA &amp; PROFESIONES'!$P$7</f>
        <v>6900</v>
      </c>
      <c r="E5" s="53">
        <f t="shared" si="7"/>
        <v>0</v>
      </c>
      <c r="F5" s="281" t="s">
        <v>926</v>
      </c>
      <c r="G5" s="285">
        <v>0</v>
      </c>
      <c r="H5" s="278">
        <f t="shared" si="0"/>
        <v>0</v>
      </c>
      <c r="I5" s="281" t="s">
        <v>926</v>
      </c>
      <c r="J5" s="285">
        <v>0</v>
      </c>
      <c r="K5" s="278">
        <f t="shared" si="1"/>
        <v>0</v>
      </c>
      <c r="L5" s="281" t="s">
        <v>926</v>
      </c>
      <c r="M5" s="285">
        <v>0</v>
      </c>
      <c r="N5" s="278">
        <f t="shared" si="2"/>
        <v>0</v>
      </c>
      <c r="O5" s="281" t="s">
        <v>926</v>
      </c>
      <c r="P5" s="285">
        <v>0</v>
      </c>
      <c r="Q5" s="278">
        <f t="shared" si="3"/>
        <v>0</v>
      </c>
      <c r="R5" s="281" t="s">
        <v>926</v>
      </c>
      <c r="S5" s="285">
        <v>0</v>
      </c>
      <c r="T5" s="278">
        <f t="shared" si="4"/>
        <v>0</v>
      </c>
      <c r="U5" s="281" t="s">
        <v>926</v>
      </c>
      <c r="V5" s="285">
        <v>0</v>
      </c>
      <c r="W5" s="278">
        <f t="shared" si="5"/>
        <v>0</v>
      </c>
      <c r="X5" s="281" t="s">
        <v>926</v>
      </c>
      <c r="Y5" s="285">
        <v>0</v>
      </c>
      <c r="Z5" s="278">
        <f t="shared" si="6"/>
        <v>0</v>
      </c>
    </row>
    <row r="6" spans="1:26" x14ac:dyDescent="0.3">
      <c r="A6" s="357"/>
      <c r="B6" s="360"/>
      <c r="C6" s="31" t="s">
        <v>116</v>
      </c>
      <c r="D6" s="34">
        <f>'ECONOMIA &amp; PROFESIONES'!$P$7</f>
        <v>6900</v>
      </c>
      <c r="E6" s="53">
        <f t="shared" si="7"/>
        <v>0</v>
      </c>
      <c r="F6" s="281" t="s">
        <v>926</v>
      </c>
      <c r="G6" s="285">
        <v>0</v>
      </c>
      <c r="H6" s="278">
        <f t="shared" si="0"/>
        <v>0</v>
      </c>
      <c r="I6" s="281" t="s">
        <v>926</v>
      </c>
      <c r="J6" s="285">
        <v>0</v>
      </c>
      <c r="K6" s="278">
        <f t="shared" si="1"/>
        <v>0</v>
      </c>
      <c r="L6" s="281" t="s">
        <v>926</v>
      </c>
      <c r="M6" s="285">
        <v>0</v>
      </c>
      <c r="N6" s="278">
        <f t="shared" si="2"/>
        <v>0</v>
      </c>
      <c r="O6" s="281" t="s">
        <v>926</v>
      </c>
      <c r="P6" s="285">
        <v>0</v>
      </c>
      <c r="Q6" s="278">
        <f t="shared" si="3"/>
        <v>0</v>
      </c>
      <c r="R6" s="281" t="s">
        <v>926</v>
      </c>
      <c r="S6" s="285">
        <v>0</v>
      </c>
      <c r="T6" s="278">
        <f t="shared" si="4"/>
        <v>0</v>
      </c>
      <c r="U6" s="281" t="s">
        <v>926</v>
      </c>
      <c r="V6" s="285">
        <v>0</v>
      </c>
      <c r="W6" s="278">
        <f t="shared" si="5"/>
        <v>0</v>
      </c>
      <c r="X6" s="281" t="s">
        <v>926</v>
      </c>
      <c r="Y6" s="285">
        <v>0</v>
      </c>
      <c r="Z6" s="278">
        <f t="shared" si="6"/>
        <v>0</v>
      </c>
    </row>
    <row r="7" spans="1:26" x14ac:dyDescent="0.3">
      <c r="A7" s="357"/>
      <c r="B7" s="361" t="s">
        <v>1162</v>
      </c>
      <c r="C7" s="32" t="s">
        <v>6</v>
      </c>
      <c r="D7" s="34">
        <f>'ECONOMIA &amp; PROFESIONES'!$P$12</f>
        <v>8600</v>
      </c>
      <c r="E7" s="53">
        <f t="shared" si="7"/>
        <v>0</v>
      </c>
      <c r="F7" s="281" t="s">
        <v>926</v>
      </c>
      <c r="G7" s="285">
        <v>0</v>
      </c>
      <c r="H7" s="278">
        <f t="shared" si="0"/>
        <v>0</v>
      </c>
      <c r="I7" s="281" t="s">
        <v>926</v>
      </c>
      <c r="J7" s="285">
        <v>0</v>
      </c>
      <c r="K7" s="278">
        <f t="shared" si="1"/>
        <v>0</v>
      </c>
      <c r="L7" s="281" t="s">
        <v>926</v>
      </c>
      <c r="M7" s="285">
        <v>0</v>
      </c>
      <c r="N7" s="278">
        <f t="shared" si="2"/>
        <v>0</v>
      </c>
      <c r="O7" s="281" t="s">
        <v>926</v>
      </c>
      <c r="P7" s="285">
        <v>0</v>
      </c>
      <c r="Q7" s="278">
        <f t="shared" si="3"/>
        <v>0</v>
      </c>
      <c r="R7" s="281" t="s">
        <v>926</v>
      </c>
      <c r="S7" s="285">
        <v>0</v>
      </c>
      <c r="T7" s="278">
        <f t="shared" si="4"/>
        <v>0</v>
      </c>
      <c r="U7" s="281" t="s">
        <v>926</v>
      </c>
      <c r="V7" s="285">
        <v>0</v>
      </c>
      <c r="W7" s="278">
        <f t="shared" si="5"/>
        <v>0</v>
      </c>
      <c r="X7" s="281" t="s">
        <v>926</v>
      </c>
      <c r="Y7" s="285">
        <v>0</v>
      </c>
      <c r="Z7" s="278">
        <f t="shared" si="6"/>
        <v>0</v>
      </c>
    </row>
    <row r="8" spans="1:26" x14ac:dyDescent="0.3">
      <c r="A8" s="357"/>
      <c r="B8" s="362"/>
      <c r="C8" s="31" t="s">
        <v>113</v>
      </c>
      <c r="D8" s="34">
        <f>'ECONOMIA &amp; PROFESIONES'!$P$12</f>
        <v>8600</v>
      </c>
      <c r="E8" s="53">
        <f t="shared" si="7"/>
        <v>0</v>
      </c>
      <c r="F8" s="281" t="s">
        <v>926</v>
      </c>
      <c r="G8" s="285">
        <v>0</v>
      </c>
      <c r="H8" s="278">
        <f t="shared" si="0"/>
        <v>0</v>
      </c>
      <c r="I8" s="281" t="s">
        <v>926</v>
      </c>
      <c r="J8" s="285">
        <v>0</v>
      </c>
      <c r="K8" s="278">
        <f t="shared" si="1"/>
        <v>0</v>
      </c>
      <c r="L8" s="281" t="s">
        <v>926</v>
      </c>
      <c r="M8" s="285">
        <v>0</v>
      </c>
      <c r="N8" s="278">
        <f t="shared" si="2"/>
        <v>0</v>
      </c>
      <c r="O8" s="281" t="s">
        <v>926</v>
      </c>
      <c r="P8" s="285">
        <v>0</v>
      </c>
      <c r="Q8" s="278">
        <f t="shared" si="3"/>
        <v>0</v>
      </c>
      <c r="R8" s="281" t="s">
        <v>926</v>
      </c>
      <c r="S8" s="285">
        <v>0</v>
      </c>
      <c r="T8" s="278">
        <f t="shared" si="4"/>
        <v>0</v>
      </c>
      <c r="U8" s="281" t="s">
        <v>926</v>
      </c>
      <c r="V8" s="285">
        <v>0</v>
      </c>
      <c r="W8" s="278">
        <f t="shared" si="5"/>
        <v>0</v>
      </c>
      <c r="X8" s="281" t="s">
        <v>926</v>
      </c>
      <c r="Y8" s="285">
        <v>0</v>
      </c>
      <c r="Z8" s="278">
        <f t="shared" si="6"/>
        <v>0</v>
      </c>
    </row>
    <row r="9" spans="1:26" x14ac:dyDescent="0.3">
      <c r="A9" s="357"/>
      <c r="B9" s="362"/>
      <c r="C9" s="32" t="s">
        <v>114</v>
      </c>
      <c r="D9" s="34">
        <f>'ECONOMIA &amp; PROFESIONES'!$P$12</f>
        <v>8600</v>
      </c>
      <c r="E9" s="53">
        <f t="shared" si="7"/>
        <v>0</v>
      </c>
      <c r="F9" s="281" t="s">
        <v>926</v>
      </c>
      <c r="G9" s="285">
        <v>0</v>
      </c>
      <c r="H9" s="278">
        <f t="shared" si="0"/>
        <v>0</v>
      </c>
      <c r="I9" s="281" t="s">
        <v>926</v>
      </c>
      <c r="J9" s="285">
        <v>0</v>
      </c>
      <c r="K9" s="278">
        <f t="shared" si="1"/>
        <v>0</v>
      </c>
      <c r="L9" s="281" t="s">
        <v>926</v>
      </c>
      <c r="M9" s="285">
        <v>0</v>
      </c>
      <c r="N9" s="278">
        <f t="shared" si="2"/>
        <v>0</v>
      </c>
      <c r="O9" s="281" t="s">
        <v>926</v>
      </c>
      <c r="P9" s="285">
        <v>0</v>
      </c>
      <c r="Q9" s="278">
        <f t="shared" si="3"/>
        <v>0</v>
      </c>
      <c r="R9" s="281" t="s">
        <v>926</v>
      </c>
      <c r="S9" s="285">
        <v>0</v>
      </c>
      <c r="T9" s="278">
        <f t="shared" si="4"/>
        <v>0</v>
      </c>
      <c r="U9" s="281" t="s">
        <v>926</v>
      </c>
      <c r="V9" s="285">
        <v>0</v>
      </c>
      <c r="W9" s="278">
        <f t="shared" si="5"/>
        <v>0</v>
      </c>
      <c r="X9" s="281" t="s">
        <v>926</v>
      </c>
      <c r="Y9" s="285">
        <v>0</v>
      </c>
      <c r="Z9" s="278">
        <f t="shared" si="6"/>
        <v>0</v>
      </c>
    </row>
    <row r="10" spans="1:26" x14ac:dyDescent="0.3">
      <c r="A10" s="357"/>
      <c r="B10" s="362"/>
      <c r="C10" s="31" t="s">
        <v>115</v>
      </c>
      <c r="D10" s="34">
        <f>'ECONOMIA &amp; PROFESIONES'!$P$12</f>
        <v>8600</v>
      </c>
      <c r="E10" s="53">
        <f t="shared" si="7"/>
        <v>0</v>
      </c>
      <c r="F10" s="281" t="s">
        <v>926</v>
      </c>
      <c r="G10" s="285">
        <v>0</v>
      </c>
      <c r="H10" s="278">
        <f t="shared" si="0"/>
        <v>0</v>
      </c>
      <c r="I10" s="281" t="s">
        <v>926</v>
      </c>
      <c r="J10" s="285">
        <v>0</v>
      </c>
      <c r="K10" s="278">
        <f t="shared" si="1"/>
        <v>0</v>
      </c>
      <c r="L10" s="281" t="s">
        <v>926</v>
      </c>
      <c r="M10" s="285">
        <v>0</v>
      </c>
      <c r="N10" s="278">
        <f t="shared" si="2"/>
        <v>0</v>
      </c>
      <c r="O10" s="281" t="s">
        <v>926</v>
      </c>
      <c r="P10" s="285">
        <v>0</v>
      </c>
      <c r="Q10" s="278">
        <f t="shared" si="3"/>
        <v>0</v>
      </c>
      <c r="R10" s="281" t="s">
        <v>926</v>
      </c>
      <c r="S10" s="285">
        <v>0</v>
      </c>
      <c r="T10" s="278">
        <f t="shared" si="4"/>
        <v>0</v>
      </c>
      <c r="U10" s="281" t="s">
        <v>926</v>
      </c>
      <c r="V10" s="285">
        <v>0</v>
      </c>
      <c r="W10" s="278">
        <f t="shared" si="5"/>
        <v>0</v>
      </c>
      <c r="X10" s="281" t="s">
        <v>926</v>
      </c>
      <c r="Y10" s="285">
        <v>0</v>
      </c>
      <c r="Z10" s="278">
        <f t="shared" si="6"/>
        <v>0</v>
      </c>
    </row>
    <row r="11" spans="1:26" x14ac:dyDescent="0.3">
      <c r="A11" s="357"/>
      <c r="B11" s="363"/>
      <c r="C11" s="32" t="s">
        <v>116</v>
      </c>
      <c r="D11" s="34">
        <f>'ECONOMIA &amp; PROFESIONES'!$P$12</f>
        <v>8600</v>
      </c>
      <c r="E11" s="53">
        <f t="shared" si="7"/>
        <v>0</v>
      </c>
      <c r="F11" s="281" t="s">
        <v>926</v>
      </c>
      <c r="G11" s="285">
        <v>0</v>
      </c>
      <c r="H11" s="278">
        <f t="shared" si="0"/>
        <v>0</v>
      </c>
      <c r="I11" s="281" t="s">
        <v>926</v>
      </c>
      <c r="J11" s="285">
        <v>0</v>
      </c>
      <c r="K11" s="278">
        <f t="shared" si="1"/>
        <v>0</v>
      </c>
      <c r="L11" s="281" t="s">
        <v>926</v>
      </c>
      <c r="M11" s="285">
        <v>0</v>
      </c>
      <c r="N11" s="278">
        <f t="shared" si="2"/>
        <v>0</v>
      </c>
      <c r="O11" s="281" t="s">
        <v>926</v>
      </c>
      <c r="P11" s="285">
        <v>0</v>
      </c>
      <c r="Q11" s="278">
        <f t="shared" si="3"/>
        <v>0</v>
      </c>
      <c r="R11" s="281" t="s">
        <v>926</v>
      </c>
      <c r="S11" s="285">
        <v>0</v>
      </c>
      <c r="T11" s="278">
        <f t="shared" si="4"/>
        <v>0</v>
      </c>
      <c r="U11" s="281" t="s">
        <v>926</v>
      </c>
      <c r="V11" s="285">
        <v>0</v>
      </c>
      <c r="W11" s="278">
        <f t="shared" si="5"/>
        <v>0</v>
      </c>
      <c r="X11" s="281" t="s">
        <v>926</v>
      </c>
      <c r="Y11" s="285">
        <v>0</v>
      </c>
      <c r="Z11" s="278">
        <f t="shared" si="6"/>
        <v>0</v>
      </c>
    </row>
    <row r="12" spans="1:26" x14ac:dyDescent="0.3">
      <c r="A12" s="357"/>
      <c r="B12" s="364" t="s">
        <v>1228</v>
      </c>
      <c r="C12" s="31" t="s">
        <v>6</v>
      </c>
      <c r="D12" s="34">
        <f>'ECONOMIA &amp; PROFESIONES'!$P$17</f>
        <v>10500</v>
      </c>
      <c r="E12" s="53">
        <f t="shared" si="7"/>
        <v>0</v>
      </c>
      <c r="F12" s="281" t="s">
        <v>926</v>
      </c>
      <c r="G12" s="285">
        <v>0</v>
      </c>
      <c r="H12" s="278">
        <f t="shared" si="0"/>
        <v>0</v>
      </c>
      <c r="I12" s="281" t="s">
        <v>926</v>
      </c>
      <c r="J12" s="285">
        <v>0</v>
      </c>
      <c r="K12" s="278">
        <f t="shared" si="1"/>
        <v>0</v>
      </c>
      <c r="L12" s="281" t="s">
        <v>926</v>
      </c>
      <c r="M12" s="285">
        <v>0</v>
      </c>
      <c r="N12" s="278">
        <f t="shared" si="2"/>
        <v>0</v>
      </c>
      <c r="O12" s="281" t="s">
        <v>926</v>
      </c>
      <c r="P12" s="285">
        <v>0</v>
      </c>
      <c r="Q12" s="278">
        <f t="shared" si="3"/>
        <v>0</v>
      </c>
      <c r="R12" s="281" t="s">
        <v>926</v>
      </c>
      <c r="S12" s="285">
        <v>0</v>
      </c>
      <c r="T12" s="278">
        <f t="shared" si="4"/>
        <v>0</v>
      </c>
      <c r="U12" s="281" t="s">
        <v>926</v>
      </c>
      <c r="V12" s="285">
        <v>0</v>
      </c>
      <c r="W12" s="278">
        <f t="shared" si="5"/>
        <v>0</v>
      </c>
      <c r="X12" s="281" t="s">
        <v>926</v>
      </c>
      <c r="Y12" s="285">
        <v>0</v>
      </c>
      <c r="Z12" s="278">
        <f t="shared" si="6"/>
        <v>0</v>
      </c>
    </row>
    <row r="13" spans="1:26" x14ac:dyDescent="0.3">
      <c r="A13" s="357"/>
      <c r="B13" s="365"/>
      <c r="C13" s="32" t="s">
        <v>113</v>
      </c>
      <c r="D13" s="34">
        <f>'ECONOMIA &amp; PROFESIONES'!$P$17</f>
        <v>10500</v>
      </c>
      <c r="E13" s="53">
        <f t="shared" si="7"/>
        <v>0</v>
      </c>
      <c r="F13" s="281" t="s">
        <v>926</v>
      </c>
      <c r="G13" s="285">
        <v>0</v>
      </c>
      <c r="H13" s="278">
        <f t="shared" si="0"/>
        <v>0</v>
      </c>
      <c r="I13" s="281" t="s">
        <v>926</v>
      </c>
      <c r="J13" s="285">
        <v>0</v>
      </c>
      <c r="K13" s="278">
        <f t="shared" si="1"/>
        <v>0</v>
      </c>
      <c r="L13" s="281" t="s">
        <v>926</v>
      </c>
      <c r="M13" s="285">
        <v>0</v>
      </c>
      <c r="N13" s="278">
        <f t="shared" si="2"/>
        <v>0</v>
      </c>
      <c r="O13" s="281" t="s">
        <v>926</v>
      </c>
      <c r="P13" s="285">
        <v>0</v>
      </c>
      <c r="Q13" s="278">
        <f t="shared" si="3"/>
        <v>0</v>
      </c>
      <c r="R13" s="281" t="s">
        <v>926</v>
      </c>
      <c r="S13" s="285">
        <v>0</v>
      </c>
      <c r="T13" s="278">
        <f t="shared" si="4"/>
        <v>0</v>
      </c>
      <c r="U13" s="281" t="s">
        <v>926</v>
      </c>
      <c r="V13" s="285">
        <v>0</v>
      </c>
      <c r="W13" s="278">
        <f t="shared" si="5"/>
        <v>0</v>
      </c>
      <c r="X13" s="281" t="s">
        <v>926</v>
      </c>
      <c r="Y13" s="285">
        <v>0</v>
      </c>
      <c r="Z13" s="278">
        <f t="shared" si="6"/>
        <v>0</v>
      </c>
    </row>
    <row r="14" spans="1:26" x14ac:dyDescent="0.3">
      <c r="A14" s="357"/>
      <c r="B14" s="365"/>
      <c r="C14" s="31" t="s">
        <v>114</v>
      </c>
      <c r="D14" s="34">
        <f>'ECONOMIA &amp; PROFESIONES'!$P$17</f>
        <v>10500</v>
      </c>
      <c r="E14" s="53">
        <f t="shared" si="7"/>
        <v>0</v>
      </c>
      <c r="F14" s="281" t="s">
        <v>926</v>
      </c>
      <c r="G14" s="285">
        <v>0</v>
      </c>
      <c r="H14" s="278">
        <f t="shared" si="0"/>
        <v>0</v>
      </c>
      <c r="I14" s="281" t="s">
        <v>926</v>
      </c>
      <c r="J14" s="285">
        <v>0</v>
      </c>
      <c r="K14" s="278">
        <f t="shared" si="1"/>
        <v>0</v>
      </c>
      <c r="L14" s="281" t="s">
        <v>926</v>
      </c>
      <c r="M14" s="285">
        <v>0</v>
      </c>
      <c r="N14" s="278">
        <f t="shared" si="2"/>
        <v>0</v>
      </c>
      <c r="O14" s="281" t="s">
        <v>926</v>
      </c>
      <c r="P14" s="285">
        <v>0</v>
      </c>
      <c r="Q14" s="278">
        <f t="shared" si="3"/>
        <v>0</v>
      </c>
      <c r="R14" s="281" t="s">
        <v>926</v>
      </c>
      <c r="S14" s="285">
        <v>0</v>
      </c>
      <c r="T14" s="278">
        <f t="shared" si="4"/>
        <v>0</v>
      </c>
      <c r="U14" s="281" t="s">
        <v>926</v>
      </c>
      <c r="V14" s="285">
        <v>0</v>
      </c>
      <c r="W14" s="278">
        <f t="shared" si="5"/>
        <v>0</v>
      </c>
      <c r="X14" s="281" t="s">
        <v>926</v>
      </c>
      <c r="Y14" s="285">
        <v>0</v>
      </c>
      <c r="Z14" s="278">
        <f t="shared" si="6"/>
        <v>0</v>
      </c>
    </row>
    <row r="15" spans="1:26" x14ac:dyDescent="0.3">
      <c r="A15" s="357"/>
      <c r="B15" s="364"/>
      <c r="C15" s="32" t="s">
        <v>115</v>
      </c>
      <c r="D15" s="34">
        <f>'ECONOMIA &amp; PROFESIONES'!$P$17</f>
        <v>10500</v>
      </c>
      <c r="E15" s="53">
        <f t="shared" si="7"/>
        <v>0</v>
      </c>
      <c r="F15" s="281" t="s">
        <v>926</v>
      </c>
      <c r="G15" s="285">
        <v>0</v>
      </c>
      <c r="H15" s="278">
        <f t="shared" si="0"/>
        <v>0</v>
      </c>
      <c r="I15" s="281" t="s">
        <v>926</v>
      </c>
      <c r="J15" s="285">
        <v>0</v>
      </c>
      <c r="K15" s="278">
        <f t="shared" si="1"/>
        <v>0</v>
      </c>
      <c r="L15" s="281" t="s">
        <v>926</v>
      </c>
      <c r="M15" s="285">
        <v>0</v>
      </c>
      <c r="N15" s="278">
        <f t="shared" si="2"/>
        <v>0</v>
      </c>
      <c r="O15" s="281" t="s">
        <v>926</v>
      </c>
      <c r="P15" s="285">
        <v>0</v>
      </c>
      <c r="Q15" s="278">
        <f t="shared" si="3"/>
        <v>0</v>
      </c>
      <c r="R15" s="281" t="s">
        <v>926</v>
      </c>
      <c r="S15" s="285">
        <v>0</v>
      </c>
      <c r="T15" s="278">
        <f t="shared" si="4"/>
        <v>0</v>
      </c>
      <c r="U15" s="281" t="s">
        <v>926</v>
      </c>
      <c r="V15" s="285">
        <v>0</v>
      </c>
      <c r="W15" s="278">
        <f t="shared" si="5"/>
        <v>0</v>
      </c>
      <c r="X15" s="281" t="s">
        <v>926</v>
      </c>
      <c r="Y15" s="285">
        <v>0</v>
      </c>
      <c r="Z15" s="278">
        <f t="shared" si="6"/>
        <v>0</v>
      </c>
    </row>
    <row r="16" spans="1:26" x14ac:dyDescent="0.3">
      <c r="A16" s="357"/>
      <c r="B16" s="364"/>
      <c r="C16" s="31" t="s">
        <v>116</v>
      </c>
      <c r="D16" s="34">
        <f>'ECONOMIA &amp; PROFESIONES'!$P$17</f>
        <v>10500</v>
      </c>
      <c r="E16" s="53">
        <f t="shared" si="7"/>
        <v>0</v>
      </c>
      <c r="F16" s="281" t="s">
        <v>926</v>
      </c>
      <c r="G16" s="285">
        <v>0</v>
      </c>
      <c r="H16" s="278">
        <f t="shared" si="0"/>
        <v>0</v>
      </c>
      <c r="I16" s="281" t="s">
        <v>926</v>
      </c>
      <c r="J16" s="285">
        <v>0</v>
      </c>
      <c r="K16" s="278">
        <f t="shared" si="1"/>
        <v>0</v>
      </c>
      <c r="L16" s="281" t="s">
        <v>926</v>
      </c>
      <c r="M16" s="285">
        <v>0</v>
      </c>
      <c r="N16" s="278">
        <f t="shared" si="2"/>
        <v>0</v>
      </c>
      <c r="O16" s="281" t="s">
        <v>926</v>
      </c>
      <c r="P16" s="285">
        <v>0</v>
      </c>
      <c r="Q16" s="278">
        <f t="shared" si="3"/>
        <v>0</v>
      </c>
      <c r="R16" s="281" t="s">
        <v>926</v>
      </c>
      <c r="S16" s="285">
        <v>0</v>
      </c>
      <c r="T16" s="278">
        <f t="shared" si="4"/>
        <v>0</v>
      </c>
      <c r="U16" s="281" t="s">
        <v>926</v>
      </c>
      <c r="V16" s="285">
        <v>0</v>
      </c>
      <c r="W16" s="278">
        <f t="shared" si="5"/>
        <v>0</v>
      </c>
      <c r="X16" s="281" t="s">
        <v>926</v>
      </c>
      <c r="Y16" s="285">
        <v>0</v>
      </c>
      <c r="Z16" s="278">
        <f t="shared" si="6"/>
        <v>0</v>
      </c>
    </row>
    <row r="17" spans="1:26" x14ac:dyDescent="0.3">
      <c r="A17" s="357"/>
      <c r="B17" s="366" t="s">
        <v>1229</v>
      </c>
      <c r="C17" s="32" t="s">
        <v>6</v>
      </c>
      <c r="D17" s="34">
        <f>'ECONOMIA &amp; PROFESIONES'!$P$22</f>
        <v>12400</v>
      </c>
      <c r="E17" s="53">
        <f t="shared" si="7"/>
        <v>0</v>
      </c>
      <c r="F17" s="281" t="s">
        <v>926</v>
      </c>
      <c r="G17" s="285">
        <v>0</v>
      </c>
      <c r="H17" s="278">
        <f t="shared" si="0"/>
        <v>0</v>
      </c>
      <c r="I17" s="281" t="s">
        <v>926</v>
      </c>
      <c r="J17" s="285">
        <v>0</v>
      </c>
      <c r="K17" s="278">
        <f t="shared" si="1"/>
        <v>0</v>
      </c>
      <c r="L17" s="281" t="s">
        <v>926</v>
      </c>
      <c r="M17" s="285">
        <v>0</v>
      </c>
      <c r="N17" s="278">
        <f t="shared" si="2"/>
        <v>0</v>
      </c>
      <c r="O17" s="281" t="s">
        <v>926</v>
      </c>
      <c r="P17" s="285">
        <v>0</v>
      </c>
      <c r="Q17" s="278">
        <f t="shared" si="3"/>
        <v>0</v>
      </c>
      <c r="R17" s="281" t="s">
        <v>926</v>
      </c>
      <c r="S17" s="285">
        <v>0</v>
      </c>
      <c r="T17" s="278">
        <f t="shared" si="4"/>
        <v>0</v>
      </c>
      <c r="U17" s="281" t="s">
        <v>926</v>
      </c>
      <c r="V17" s="285">
        <v>0</v>
      </c>
      <c r="W17" s="278">
        <f t="shared" si="5"/>
        <v>0</v>
      </c>
      <c r="X17" s="281" t="s">
        <v>926</v>
      </c>
      <c r="Y17" s="285">
        <v>0</v>
      </c>
      <c r="Z17" s="278">
        <f t="shared" si="6"/>
        <v>0</v>
      </c>
    </row>
    <row r="18" spans="1:26" x14ac:dyDescent="0.3">
      <c r="A18" s="357"/>
      <c r="B18" s="367"/>
      <c r="C18" s="31" t="s">
        <v>113</v>
      </c>
      <c r="D18" s="34">
        <f>'ECONOMIA &amp; PROFESIONES'!$P$22</f>
        <v>12400</v>
      </c>
      <c r="E18" s="53">
        <f t="shared" si="7"/>
        <v>0</v>
      </c>
      <c r="F18" s="281" t="s">
        <v>926</v>
      </c>
      <c r="G18" s="285">
        <v>0</v>
      </c>
      <c r="H18" s="278">
        <f t="shared" si="0"/>
        <v>0</v>
      </c>
      <c r="I18" s="281" t="s">
        <v>926</v>
      </c>
      <c r="J18" s="285">
        <v>0</v>
      </c>
      <c r="K18" s="278">
        <f t="shared" si="1"/>
        <v>0</v>
      </c>
      <c r="L18" s="281" t="s">
        <v>926</v>
      </c>
      <c r="M18" s="285">
        <v>0</v>
      </c>
      <c r="N18" s="278">
        <f t="shared" si="2"/>
        <v>0</v>
      </c>
      <c r="O18" s="281" t="s">
        <v>926</v>
      </c>
      <c r="P18" s="285">
        <v>0</v>
      </c>
      <c r="Q18" s="278">
        <f t="shared" si="3"/>
        <v>0</v>
      </c>
      <c r="R18" s="281" t="s">
        <v>926</v>
      </c>
      <c r="S18" s="285">
        <v>0</v>
      </c>
      <c r="T18" s="278">
        <f t="shared" si="4"/>
        <v>0</v>
      </c>
      <c r="U18" s="281" t="s">
        <v>926</v>
      </c>
      <c r="V18" s="285">
        <v>0</v>
      </c>
      <c r="W18" s="278">
        <f t="shared" si="5"/>
        <v>0</v>
      </c>
      <c r="X18" s="281" t="s">
        <v>926</v>
      </c>
      <c r="Y18" s="285">
        <v>0</v>
      </c>
      <c r="Z18" s="278">
        <f t="shared" si="6"/>
        <v>0</v>
      </c>
    </row>
    <row r="19" spans="1:26" x14ac:dyDescent="0.3">
      <c r="A19" s="357"/>
      <c r="B19" s="367"/>
      <c r="C19" s="32" t="s">
        <v>114</v>
      </c>
      <c r="D19" s="34">
        <f>'ECONOMIA &amp; PROFESIONES'!$P$22</f>
        <v>12400</v>
      </c>
      <c r="E19" s="53">
        <f t="shared" si="7"/>
        <v>0</v>
      </c>
      <c r="F19" s="281" t="s">
        <v>926</v>
      </c>
      <c r="G19" s="285">
        <v>0</v>
      </c>
      <c r="H19" s="278">
        <f t="shared" si="0"/>
        <v>0</v>
      </c>
      <c r="I19" s="281" t="s">
        <v>926</v>
      </c>
      <c r="J19" s="285">
        <v>0</v>
      </c>
      <c r="K19" s="278">
        <f t="shared" si="1"/>
        <v>0</v>
      </c>
      <c r="L19" s="281" t="s">
        <v>926</v>
      </c>
      <c r="M19" s="285">
        <v>0</v>
      </c>
      <c r="N19" s="278">
        <f t="shared" si="2"/>
        <v>0</v>
      </c>
      <c r="O19" s="281" t="s">
        <v>926</v>
      </c>
      <c r="P19" s="285">
        <v>0</v>
      </c>
      <c r="Q19" s="278">
        <f t="shared" si="3"/>
        <v>0</v>
      </c>
      <c r="R19" s="281" t="s">
        <v>926</v>
      </c>
      <c r="S19" s="285">
        <v>0</v>
      </c>
      <c r="T19" s="278">
        <f t="shared" si="4"/>
        <v>0</v>
      </c>
      <c r="U19" s="281" t="s">
        <v>926</v>
      </c>
      <c r="V19" s="285">
        <v>0</v>
      </c>
      <c r="W19" s="278">
        <f t="shared" si="5"/>
        <v>0</v>
      </c>
      <c r="X19" s="281" t="s">
        <v>926</v>
      </c>
      <c r="Y19" s="285">
        <v>0</v>
      </c>
      <c r="Z19" s="278">
        <f t="shared" si="6"/>
        <v>0</v>
      </c>
    </row>
    <row r="20" spans="1:26" x14ac:dyDescent="0.3">
      <c r="A20" s="357"/>
      <c r="B20" s="362"/>
      <c r="C20" s="31" t="s">
        <v>115</v>
      </c>
      <c r="D20" s="34">
        <f>'ECONOMIA &amp; PROFESIONES'!$P$22</f>
        <v>12400</v>
      </c>
      <c r="E20" s="53">
        <f t="shared" si="7"/>
        <v>0</v>
      </c>
      <c r="F20" s="281" t="s">
        <v>926</v>
      </c>
      <c r="G20" s="285">
        <v>0</v>
      </c>
      <c r="H20" s="278">
        <f t="shared" si="0"/>
        <v>0</v>
      </c>
      <c r="I20" s="281" t="s">
        <v>926</v>
      </c>
      <c r="J20" s="285">
        <v>0</v>
      </c>
      <c r="K20" s="278">
        <f t="shared" si="1"/>
        <v>0</v>
      </c>
      <c r="L20" s="281" t="s">
        <v>926</v>
      </c>
      <c r="M20" s="285">
        <v>0</v>
      </c>
      <c r="N20" s="278">
        <f t="shared" si="2"/>
        <v>0</v>
      </c>
      <c r="O20" s="281" t="s">
        <v>926</v>
      </c>
      <c r="P20" s="285">
        <v>0</v>
      </c>
      <c r="Q20" s="278">
        <f t="shared" si="3"/>
        <v>0</v>
      </c>
      <c r="R20" s="281" t="s">
        <v>926</v>
      </c>
      <c r="S20" s="285">
        <v>0</v>
      </c>
      <c r="T20" s="278">
        <f t="shared" si="4"/>
        <v>0</v>
      </c>
      <c r="U20" s="281" t="s">
        <v>926</v>
      </c>
      <c r="V20" s="285">
        <v>0</v>
      </c>
      <c r="W20" s="278">
        <f t="shared" si="5"/>
        <v>0</v>
      </c>
      <c r="X20" s="281" t="s">
        <v>926</v>
      </c>
      <c r="Y20" s="285">
        <v>0</v>
      </c>
      <c r="Z20" s="278">
        <f t="shared" si="6"/>
        <v>0</v>
      </c>
    </row>
    <row r="21" spans="1:26" x14ac:dyDescent="0.3">
      <c r="A21" s="357"/>
      <c r="B21" s="368"/>
      <c r="C21" s="32" t="s">
        <v>116</v>
      </c>
      <c r="D21" s="34">
        <f>'ECONOMIA &amp; PROFESIONES'!$P$22</f>
        <v>12400</v>
      </c>
      <c r="E21" s="53">
        <f t="shared" si="7"/>
        <v>0</v>
      </c>
      <c r="F21" s="281" t="s">
        <v>926</v>
      </c>
      <c r="G21" s="285">
        <v>0</v>
      </c>
      <c r="H21" s="278">
        <f t="shared" si="0"/>
        <v>0</v>
      </c>
      <c r="I21" s="281" t="s">
        <v>926</v>
      </c>
      <c r="J21" s="285">
        <v>0</v>
      </c>
      <c r="K21" s="278">
        <f t="shared" si="1"/>
        <v>0</v>
      </c>
      <c r="L21" s="281" t="s">
        <v>926</v>
      </c>
      <c r="M21" s="285">
        <v>0</v>
      </c>
      <c r="N21" s="278">
        <f t="shared" si="2"/>
        <v>0</v>
      </c>
      <c r="O21" s="281" t="s">
        <v>926</v>
      </c>
      <c r="P21" s="285">
        <v>0</v>
      </c>
      <c r="Q21" s="278">
        <f t="shared" si="3"/>
        <v>0</v>
      </c>
      <c r="R21" s="281" t="s">
        <v>926</v>
      </c>
      <c r="S21" s="285">
        <v>0</v>
      </c>
      <c r="T21" s="278">
        <f t="shared" si="4"/>
        <v>0</v>
      </c>
      <c r="U21" s="281" t="s">
        <v>926</v>
      </c>
      <c r="V21" s="285">
        <v>0</v>
      </c>
      <c r="W21" s="278">
        <f t="shared" si="5"/>
        <v>0</v>
      </c>
      <c r="X21" s="281" t="s">
        <v>926</v>
      </c>
      <c r="Y21" s="285">
        <v>0</v>
      </c>
      <c r="Z21" s="278">
        <f t="shared" si="6"/>
        <v>0</v>
      </c>
    </row>
    <row r="22" spans="1:26" x14ac:dyDescent="0.3">
      <c r="A22" s="357"/>
      <c r="B22" s="364" t="s">
        <v>1227</v>
      </c>
      <c r="C22" s="31" t="s">
        <v>6</v>
      </c>
      <c r="D22" s="34">
        <f>'ECONOMIA &amp; PROFESIONES'!$P$27</f>
        <v>14300</v>
      </c>
      <c r="E22" s="53">
        <f t="shared" si="7"/>
        <v>0</v>
      </c>
      <c r="F22" s="281" t="s">
        <v>926</v>
      </c>
      <c r="G22" s="285">
        <v>0</v>
      </c>
      <c r="H22" s="278">
        <f t="shared" si="0"/>
        <v>0</v>
      </c>
      <c r="I22" s="281" t="s">
        <v>926</v>
      </c>
      <c r="J22" s="285">
        <v>0</v>
      </c>
      <c r="K22" s="278">
        <f t="shared" si="1"/>
        <v>0</v>
      </c>
      <c r="L22" s="281" t="s">
        <v>926</v>
      </c>
      <c r="M22" s="285">
        <v>0</v>
      </c>
      <c r="N22" s="278">
        <f t="shared" si="2"/>
        <v>0</v>
      </c>
      <c r="O22" s="281" t="s">
        <v>926</v>
      </c>
      <c r="P22" s="285">
        <v>0</v>
      </c>
      <c r="Q22" s="278">
        <f t="shared" si="3"/>
        <v>0</v>
      </c>
      <c r="R22" s="281" t="s">
        <v>926</v>
      </c>
      <c r="S22" s="285">
        <v>0</v>
      </c>
      <c r="T22" s="278">
        <f t="shared" si="4"/>
        <v>0</v>
      </c>
      <c r="U22" s="281" t="s">
        <v>926</v>
      </c>
      <c r="V22" s="285">
        <v>0</v>
      </c>
      <c r="W22" s="278">
        <f t="shared" si="5"/>
        <v>0</v>
      </c>
      <c r="X22" s="281" t="s">
        <v>926</v>
      </c>
      <c r="Y22" s="285">
        <v>0</v>
      </c>
      <c r="Z22" s="278">
        <f t="shared" si="6"/>
        <v>0</v>
      </c>
    </row>
    <row r="23" spans="1:26" x14ac:dyDescent="0.3">
      <c r="A23" s="357"/>
      <c r="B23" s="364"/>
      <c r="C23" s="32" t="s">
        <v>113</v>
      </c>
      <c r="D23" s="34">
        <f>'ECONOMIA &amp; PROFESIONES'!$P$27</f>
        <v>14300</v>
      </c>
      <c r="E23" s="53">
        <f t="shared" si="7"/>
        <v>0</v>
      </c>
      <c r="F23" s="281" t="s">
        <v>926</v>
      </c>
      <c r="G23" s="285">
        <v>0</v>
      </c>
      <c r="H23" s="278">
        <f t="shared" si="0"/>
        <v>0</v>
      </c>
      <c r="I23" s="281" t="s">
        <v>926</v>
      </c>
      <c r="J23" s="285">
        <v>0</v>
      </c>
      <c r="K23" s="278">
        <f t="shared" si="1"/>
        <v>0</v>
      </c>
      <c r="L23" s="281" t="s">
        <v>926</v>
      </c>
      <c r="M23" s="285">
        <v>0</v>
      </c>
      <c r="N23" s="278">
        <f t="shared" si="2"/>
        <v>0</v>
      </c>
      <c r="O23" s="281" t="s">
        <v>926</v>
      </c>
      <c r="P23" s="285">
        <v>0</v>
      </c>
      <c r="Q23" s="278">
        <f t="shared" si="3"/>
        <v>0</v>
      </c>
      <c r="R23" s="281" t="s">
        <v>926</v>
      </c>
      <c r="S23" s="285">
        <v>0</v>
      </c>
      <c r="T23" s="278">
        <f t="shared" si="4"/>
        <v>0</v>
      </c>
      <c r="U23" s="281" t="s">
        <v>926</v>
      </c>
      <c r="V23" s="285">
        <v>0</v>
      </c>
      <c r="W23" s="278">
        <f t="shared" si="5"/>
        <v>0</v>
      </c>
      <c r="X23" s="281" t="s">
        <v>926</v>
      </c>
      <c r="Y23" s="285">
        <v>0</v>
      </c>
      <c r="Z23" s="278">
        <f t="shared" si="6"/>
        <v>0</v>
      </c>
    </row>
    <row r="24" spans="1:26" x14ac:dyDescent="0.3">
      <c r="A24" s="357"/>
      <c r="B24" s="364"/>
      <c r="C24" s="31" t="s">
        <v>114</v>
      </c>
      <c r="D24" s="34">
        <f>'ECONOMIA &amp; PROFESIONES'!$P$27</f>
        <v>14300</v>
      </c>
      <c r="E24" s="53">
        <f t="shared" si="7"/>
        <v>0</v>
      </c>
      <c r="F24" s="281" t="s">
        <v>926</v>
      </c>
      <c r="G24" s="285">
        <v>0</v>
      </c>
      <c r="H24" s="278">
        <f t="shared" si="0"/>
        <v>0</v>
      </c>
      <c r="I24" s="281" t="s">
        <v>926</v>
      </c>
      <c r="J24" s="285">
        <v>0</v>
      </c>
      <c r="K24" s="278">
        <f t="shared" si="1"/>
        <v>0</v>
      </c>
      <c r="L24" s="281" t="s">
        <v>926</v>
      </c>
      <c r="M24" s="285">
        <v>0</v>
      </c>
      <c r="N24" s="278">
        <f t="shared" si="2"/>
        <v>0</v>
      </c>
      <c r="O24" s="281" t="s">
        <v>926</v>
      </c>
      <c r="P24" s="285">
        <v>0</v>
      </c>
      <c r="Q24" s="278">
        <f t="shared" si="3"/>
        <v>0</v>
      </c>
      <c r="R24" s="281" t="s">
        <v>926</v>
      </c>
      <c r="S24" s="285">
        <v>0</v>
      </c>
      <c r="T24" s="278">
        <f t="shared" si="4"/>
        <v>0</v>
      </c>
      <c r="U24" s="281" t="s">
        <v>926</v>
      </c>
      <c r="V24" s="285">
        <v>0</v>
      </c>
      <c r="W24" s="278">
        <f t="shared" si="5"/>
        <v>0</v>
      </c>
      <c r="X24" s="281" t="s">
        <v>926</v>
      </c>
      <c r="Y24" s="285">
        <v>0</v>
      </c>
      <c r="Z24" s="278">
        <f t="shared" si="6"/>
        <v>0</v>
      </c>
    </row>
    <row r="25" spans="1:26" x14ac:dyDescent="0.3">
      <c r="A25" s="357"/>
      <c r="B25" s="364"/>
      <c r="C25" s="32" t="s">
        <v>115</v>
      </c>
      <c r="D25" s="34">
        <f>'ECONOMIA &amp; PROFESIONES'!$P$27</f>
        <v>14300</v>
      </c>
      <c r="E25" s="53">
        <f t="shared" si="7"/>
        <v>0</v>
      </c>
      <c r="F25" s="281" t="s">
        <v>926</v>
      </c>
      <c r="G25" s="285">
        <v>0</v>
      </c>
      <c r="H25" s="278">
        <f t="shared" si="0"/>
        <v>0</v>
      </c>
      <c r="I25" s="281" t="s">
        <v>926</v>
      </c>
      <c r="J25" s="285">
        <v>0</v>
      </c>
      <c r="K25" s="278">
        <f t="shared" si="1"/>
        <v>0</v>
      </c>
      <c r="L25" s="281" t="s">
        <v>926</v>
      </c>
      <c r="M25" s="285">
        <v>0</v>
      </c>
      <c r="N25" s="278">
        <f t="shared" si="2"/>
        <v>0</v>
      </c>
      <c r="O25" s="281" t="s">
        <v>926</v>
      </c>
      <c r="P25" s="285">
        <v>0</v>
      </c>
      <c r="Q25" s="278">
        <f t="shared" si="3"/>
        <v>0</v>
      </c>
      <c r="R25" s="281" t="s">
        <v>926</v>
      </c>
      <c r="S25" s="285">
        <v>0</v>
      </c>
      <c r="T25" s="278">
        <f t="shared" si="4"/>
        <v>0</v>
      </c>
      <c r="U25" s="281" t="s">
        <v>926</v>
      </c>
      <c r="V25" s="285">
        <v>0</v>
      </c>
      <c r="W25" s="278">
        <f t="shared" si="5"/>
        <v>0</v>
      </c>
      <c r="X25" s="281" t="s">
        <v>926</v>
      </c>
      <c r="Y25" s="285">
        <v>0</v>
      </c>
      <c r="Z25" s="278">
        <f t="shared" si="6"/>
        <v>0</v>
      </c>
    </row>
    <row r="26" spans="1:26" x14ac:dyDescent="0.3">
      <c r="A26" s="357"/>
      <c r="B26" s="364"/>
      <c r="C26" s="31" t="s">
        <v>116</v>
      </c>
      <c r="D26" s="34">
        <f>'ECONOMIA &amp; PROFESIONES'!$P$27</f>
        <v>14300</v>
      </c>
      <c r="E26" s="53">
        <f t="shared" si="7"/>
        <v>0</v>
      </c>
      <c r="F26" s="281" t="s">
        <v>926</v>
      </c>
      <c r="G26" s="285">
        <v>0</v>
      </c>
      <c r="H26" s="278">
        <f t="shared" si="0"/>
        <v>0</v>
      </c>
      <c r="I26" s="281" t="s">
        <v>926</v>
      </c>
      <c r="J26" s="285">
        <v>0</v>
      </c>
      <c r="K26" s="278">
        <f t="shared" si="1"/>
        <v>0</v>
      </c>
      <c r="L26" s="281" t="s">
        <v>926</v>
      </c>
      <c r="M26" s="285">
        <v>0</v>
      </c>
      <c r="N26" s="278">
        <f t="shared" si="2"/>
        <v>0</v>
      </c>
      <c r="O26" s="281" t="s">
        <v>926</v>
      </c>
      <c r="P26" s="285">
        <v>0</v>
      </c>
      <c r="Q26" s="278">
        <f t="shared" si="3"/>
        <v>0</v>
      </c>
      <c r="R26" s="281" t="s">
        <v>926</v>
      </c>
      <c r="S26" s="285">
        <v>0</v>
      </c>
      <c r="T26" s="278">
        <f t="shared" si="4"/>
        <v>0</v>
      </c>
      <c r="U26" s="281" t="s">
        <v>926</v>
      </c>
      <c r="V26" s="285">
        <v>0</v>
      </c>
      <c r="W26" s="278">
        <f t="shared" si="5"/>
        <v>0</v>
      </c>
      <c r="X26" s="281" t="s">
        <v>926</v>
      </c>
      <c r="Y26" s="285">
        <v>0</v>
      </c>
      <c r="Z26" s="278">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formula1>craftspar</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M94"/>
  <sheetViews>
    <sheetView topLeftCell="F38" workbookViewId="0">
      <selection activeCell="J43" sqref="J43"/>
    </sheetView>
  </sheetViews>
  <sheetFormatPr baseColWidth="10" defaultRowHeight="14.4" x14ac:dyDescent="0.3"/>
  <cols>
    <col min="1" max="2" width="16.44140625" customWidth="1"/>
    <col min="3" max="8" width="18.109375" customWidth="1"/>
    <col min="9" max="9" width="20.88671875" customWidth="1"/>
    <col min="10" max="10" width="18.109375" customWidth="1"/>
  </cols>
  <sheetData>
    <row r="1" spans="1:10" ht="27.75" customHeight="1" x14ac:dyDescent="0.3">
      <c r="A1" s="1" t="s">
        <v>15</v>
      </c>
      <c r="B1" s="3" t="s">
        <v>5</v>
      </c>
      <c r="C1" s="1" t="s">
        <v>6</v>
      </c>
      <c r="D1" s="3" t="s">
        <v>5</v>
      </c>
      <c r="E1" s="1" t="s">
        <v>13</v>
      </c>
      <c r="F1" s="3" t="s">
        <v>0</v>
      </c>
      <c r="G1" s="3" t="s">
        <v>1</v>
      </c>
      <c r="H1" s="3" t="s">
        <v>2</v>
      </c>
      <c r="I1" s="3" t="s">
        <v>3</v>
      </c>
      <c r="J1" s="3" t="s">
        <v>14</v>
      </c>
    </row>
    <row r="2" spans="1:10" x14ac:dyDescent="0.3">
      <c r="A2" t="s">
        <v>87</v>
      </c>
      <c r="B2" s="2">
        <f>'ECONOMIA &amp; PROFESIONES'!$B$16</f>
        <v>200</v>
      </c>
      <c r="C2" t="s">
        <v>7</v>
      </c>
      <c r="D2">
        <f>$B$2*2</f>
        <v>400</v>
      </c>
      <c r="E2" t="s">
        <v>9</v>
      </c>
      <c r="F2">
        <f>$B$2*5</f>
        <v>1000</v>
      </c>
      <c r="G2">
        <f>$B$3*5</f>
        <v>2000</v>
      </c>
      <c r="H2">
        <f>$B$4*5</f>
        <v>4000</v>
      </c>
      <c r="I2">
        <f>$B$5*5</f>
        <v>8000</v>
      </c>
      <c r="J2">
        <f>$B$6*5</f>
        <v>16000</v>
      </c>
    </row>
    <row r="3" spans="1:10" x14ac:dyDescent="0.3">
      <c r="A3" t="s">
        <v>88</v>
      </c>
      <c r="B3" s="2">
        <f>'ECONOMIA &amp; PROFESIONES'!$B$17</f>
        <v>400</v>
      </c>
      <c r="C3" t="s">
        <v>8</v>
      </c>
      <c r="D3">
        <f>$B$3*2</f>
        <v>800</v>
      </c>
      <c r="E3" t="s">
        <v>10</v>
      </c>
      <c r="F3">
        <f>$B$2*8</f>
        <v>1600</v>
      </c>
      <c r="G3">
        <f>$B$3*8</f>
        <v>3200</v>
      </c>
      <c r="H3">
        <f>$B$4*8</f>
        <v>6400</v>
      </c>
      <c r="I3">
        <f>$B$5*8</f>
        <v>12800</v>
      </c>
      <c r="J3">
        <f>$B$6*8</f>
        <v>25600</v>
      </c>
    </row>
    <row r="4" spans="1:10" x14ac:dyDescent="0.3">
      <c r="A4" t="s">
        <v>2</v>
      </c>
      <c r="B4" s="2">
        <f>'ECONOMIA &amp; PROFESIONES'!$B$18</f>
        <v>800</v>
      </c>
      <c r="C4" t="s">
        <v>2</v>
      </c>
      <c r="D4">
        <f>$B$4*2</f>
        <v>1600</v>
      </c>
      <c r="E4" t="s">
        <v>11</v>
      </c>
      <c r="F4">
        <f>$B$2*7</f>
        <v>1400</v>
      </c>
      <c r="G4">
        <f>$B$3*7</f>
        <v>2800</v>
      </c>
      <c r="H4">
        <f>$B$4*7</f>
        <v>5600</v>
      </c>
      <c r="I4">
        <f>$B$5*7</f>
        <v>11200</v>
      </c>
      <c r="J4">
        <f>$B$6*7</f>
        <v>22400</v>
      </c>
    </row>
    <row r="5" spans="1:10" x14ac:dyDescent="0.3">
      <c r="A5" t="s">
        <v>3</v>
      </c>
      <c r="B5" s="2">
        <f>'ECONOMIA &amp; PROFESIONES'!$B$19</f>
        <v>1600</v>
      </c>
      <c r="C5" t="s">
        <v>3</v>
      </c>
      <c r="D5">
        <f>$B$5*2</f>
        <v>3200</v>
      </c>
      <c r="E5" t="s">
        <v>12</v>
      </c>
      <c r="F5">
        <f>$B$2*4</f>
        <v>800</v>
      </c>
      <c r="G5">
        <f>$B$3*4</f>
        <v>1600</v>
      </c>
      <c r="H5">
        <f>$B$4*4</f>
        <v>3200</v>
      </c>
      <c r="I5">
        <f>$B$5*4</f>
        <v>6400</v>
      </c>
      <c r="J5">
        <f>$B$6*4</f>
        <v>12800</v>
      </c>
    </row>
    <row r="6" spans="1:10" x14ac:dyDescent="0.3">
      <c r="A6" t="s">
        <v>4</v>
      </c>
      <c r="B6" s="2">
        <f>'ECONOMIA &amp; PROFESIONES'!$B$20</f>
        <v>3200</v>
      </c>
      <c r="C6" t="s">
        <v>4</v>
      </c>
      <c r="D6">
        <f>$B$6*2</f>
        <v>6400</v>
      </c>
    </row>
    <row r="7" spans="1:10" ht="27.75" customHeight="1" x14ac:dyDescent="0.3">
      <c r="A7" s="1" t="s">
        <v>16</v>
      </c>
      <c r="B7" s="3" t="s">
        <v>5</v>
      </c>
      <c r="C7" s="1" t="s">
        <v>20</v>
      </c>
      <c r="D7" s="3" t="s">
        <v>55</v>
      </c>
      <c r="E7" s="1" t="s">
        <v>56</v>
      </c>
      <c r="F7" s="3" t="s">
        <v>60</v>
      </c>
      <c r="G7" s="1" t="s">
        <v>55</v>
      </c>
      <c r="H7" s="3" t="s">
        <v>56</v>
      </c>
      <c r="J7" s="14" t="s">
        <v>93</v>
      </c>
    </row>
    <row r="8" spans="1:10" x14ac:dyDescent="0.3">
      <c r="A8" t="s">
        <v>17</v>
      </c>
      <c r="B8" s="37">
        <v>200</v>
      </c>
      <c r="C8" s="37" t="s">
        <v>57</v>
      </c>
      <c r="D8" s="37">
        <v>1</v>
      </c>
      <c r="E8" s="37">
        <v>5</v>
      </c>
      <c r="H8">
        <v>5</v>
      </c>
      <c r="J8" t="s">
        <v>95</v>
      </c>
    </row>
    <row r="9" spans="1:10" x14ac:dyDescent="0.3">
      <c r="A9" t="s">
        <v>18</v>
      </c>
      <c r="B9" s="37">
        <v>200</v>
      </c>
      <c r="C9" s="37" t="s">
        <v>59</v>
      </c>
      <c r="D9" s="37">
        <v>1</v>
      </c>
      <c r="E9" s="28"/>
      <c r="J9" t="s">
        <v>96</v>
      </c>
    </row>
    <row r="10" spans="1:10" x14ac:dyDescent="0.3">
      <c r="A10" s="19" t="s">
        <v>19</v>
      </c>
      <c r="B10" s="37">
        <v>500</v>
      </c>
      <c r="C10" s="37" t="s">
        <v>58</v>
      </c>
      <c r="D10" s="37">
        <v>1</v>
      </c>
      <c r="E10" s="28"/>
      <c r="G10" s="2"/>
      <c r="J10" s="2" t="s">
        <v>94</v>
      </c>
    </row>
    <row r="11" spans="1:10" x14ac:dyDescent="0.3">
      <c r="A11" t="s">
        <v>78</v>
      </c>
      <c r="B11" s="37">
        <v>50</v>
      </c>
      <c r="C11" s="37" t="s">
        <v>1155</v>
      </c>
      <c r="D11" s="37">
        <v>1</v>
      </c>
      <c r="E11" s="28"/>
      <c r="G11" s="2"/>
    </row>
    <row r="12" spans="1:10" x14ac:dyDescent="0.3">
      <c r="C12" s="37" t="s">
        <v>1154</v>
      </c>
      <c r="D12" s="37">
        <v>1</v>
      </c>
      <c r="E12" s="28"/>
      <c r="G12" s="2"/>
    </row>
    <row r="13" spans="1:10" x14ac:dyDescent="0.3">
      <c r="C13" s="37"/>
      <c r="D13" s="37"/>
      <c r="E13" s="28"/>
      <c r="G13" s="2"/>
    </row>
    <row r="14" spans="1:10" s="274" customFormat="1" x14ac:dyDescent="0.3">
      <c r="C14" s="271"/>
      <c r="D14" s="271"/>
      <c r="E14" s="106"/>
      <c r="G14" s="2"/>
    </row>
    <row r="15" spans="1:10" s="274" customFormat="1" x14ac:dyDescent="0.3">
      <c r="C15" s="271"/>
      <c r="D15" s="271"/>
      <c r="E15" s="106"/>
      <c r="G15" s="2"/>
    </row>
    <row r="16" spans="1:10" s="268" customFormat="1" x14ac:dyDescent="0.3">
      <c r="C16" s="267"/>
      <c r="D16" s="267"/>
      <c r="E16" s="106"/>
      <c r="G16" s="2"/>
    </row>
    <row r="17" spans="1:9" ht="27.75" customHeight="1" x14ac:dyDescent="0.3">
      <c r="A17" s="370" t="s">
        <v>39</v>
      </c>
      <c r="B17" s="370"/>
      <c r="C17" s="3" t="s">
        <v>35</v>
      </c>
      <c r="D17" s="3" t="s">
        <v>51</v>
      </c>
      <c r="E17" s="3" t="s">
        <v>52</v>
      </c>
      <c r="F17" s="3" t="s">
        <v>53</v>
      </c>
      <c r="G17" s="3" t="s">
        <v>54</v>
      </c>
    </row>
    <row r="18" spans="1:9" x14ac:dyDescent="0.3">
      <c r="A18" s="350" t="s">
        <v>73</v>
      </c>
      <c r="B18" s="350"/>
      <c r="C18" s="37">
        <v>0</v>
      </c>
      <c r="D18" s="28">
        <f>$C$18+1</f>
        <v>1</v>
      </c>
      <c r="E18" s="28">
        <f>$D$18+1</f>
        <v>2</v>
      </c>
      <c r="F18" s="28">
        <f>$E$18+1</f>
        <v>3</v>
      </c>
      <c r="G18" s="28">
        <f>$F$18+1</f>
        <v>4</v>
      </c>
    </row>
    <row r="19" spans="1:9" x14ac:dyDescent="0.3">
      <c r="A19" s="350" t="s">
        <v>74</v>
      </c>
      <c r="B19" s="350"/>
      <c r="C19" s="37">
        <v>0</v>
      </c>
      <c r="D19" s="28">
        <f>$C$19+1</f>
        <v>1</v>
      </c>
      <c r="E19" s="28">
        <f>$D$19+2</f>
        <v>3</v>
      </c>
      <c r="F19" s="28">
        <f>$E$19+2</f>
        <v>5</v>
      </c>
      <c r="G19" s="28">
        <f>$F$19+2</f>
        <v>7</v>
      </c>
    </row>
    <row r="20" spans="1:9" x14ac:dyDescent="0.3">
      <c r="A20" s="350" t="s">
        <v>40</v>
      </c>
      <c r="B20" s="350"/>
      <c r="C20" s="37">
        <v>0</v>
      </c>
      <c r="D20" s="28">
        <f>$C$20+1</f>
        <v>1</v>
      </c>
      <c r="E20" s="28">
        <f>$D$20+1</f>
        <v>2</v>
      </c>
      <c r="F20" s="28">
        <f>$E$20+1</f>
        <v>3</v>
      </c>
      <c r="G20" s="28">
        <f>$F$20+1</f>
        <v>4</v>
      </c>
    </row>
    <row r="21" spans="1:9" x14ac:dyDescent="0.3">
      <c r="A21" s="350" t="s">
        <v>41</v>
      </c>
      <c r="B21" s="350"/>
      <c r="C21" s="37">
        <v>0</v>
      </c>
      <c r="D21" s="28">
        <f>$C$21+2</f>
        <v>2</v>
      </c>
      <c r="E21" s="28">
        <f>$D$21+1</f>
        <v>3</v>
      </c>
      <c r="F21" s="28">
        <f>$E$21+1</f>
        <v>4</v>
      </c>
      <c r="G21" s="28">
        <f>$F$21+1</f>
        <v>5</v>
      </c>
    </row>
    <row r="22" spans="1:9" x14ac:dyDescent="0.3">
      <c r="A22" s="350" t="s">
        <v>44</v>
      </c>
      <c r="B22" s="350"/>
      <c r="C22" s="37">
        <v>0</v>
      </c>
      <c r="D22" s="28">
        <f>$C$22+1</f>
        <v>1</v>
      </c>
      <c r="E22" s="28">
        <f>$D$22+1</f>
        <v>2</v>
      </c>
      <c r="F22" s="28">
        <f>$E$22+1</f>
        <v>3</v>
      </c>
      <c r="G22" s="28">
        <f>$F$22+1</f>
        <v>4</v>
      </c>
    </row>
    <row r="23" spans="1:9" x14ac:dyDescent="0.3">
      <c r="A23" s="350" t="s">
        <v>42</v>
      </c>
      <c r="B23" s="350"/>
      <c r="C23" s="37">
        <v>0</v>
      </c>
      <c r="D23" s="28">
        <f>C23</f>
        <v>0</v>
      </c>
      <c r="E23" s="28">
        <f>$D$23+1</f>
        <v>1</v>
      </c>
      <c r="F23" s="28">
        <f>$E$23+1</f>
        <v>2</v>
      </c>
      <c r="G23" s="28">
        <f>$F$23+1</f>
        <v>3</v>
      </c>
    </row>
    <row r="24" spans="1:9" x14ac:dyDescent="0.3">
      <c r="A24" s="350" t="s">
        <v>43</v>
      </c>
      <c r="B24" s="350"/>
      <c r="C24" s="37">
        <v>0</v>
      </c>
      <c r="D24" s="28">
        <f>$C$24+1</f>
        <v>1</v>
      </c>
      <c r="E24" s="28">
        <f>$D$24+1</f>
        <v>2</v>
      </c>
      <c r="F24" s="28">
        <f>$E$24+1</f>
        <v>3</v>
      </c>
      <c r="G24" s="28">
        <f>$F$24+1</f>
        <v>4</v>
      </c>
    </row>
    <row r="25" spans="1:9" x14ac:dyDescent="0.3">
      <c r="A25" s="350" t="s">
        <v>45</v>
      </c>
      <c r="B25" s="350"/>
      <c r="C25" s="37">
        <v>5</v>
      </c>
      <c r="D25" s="28">
        <f>$C$25+1</f>
        <v>6</v>
      </c>
      <c r="E25" s="28">
        <f>$D$25+1</f>
        <v>7</v>
      </c>
      <c r="F25" s="28">
        <f>$E$25+1</f>
        <v>8</v>
      </c>
      <c r="G25" s="28">
        <f>$F$25+1</f>
        <v>9</v>
      </c>
    </row>
    <row r="26" spans="1:9" x14ac:dyDescent="0.3">
      <c r="A26" s="350" t="s">
        <v>46</v>
      </c>
      <c r="B26" s="350"/>
      <c r="C26" s="37">
        <v>6</v>
      </c>
      <c r="D26" s="28">
        <f>$C$26+1</f>
        <v>7</v>
      </c>
      <c r="E26" s="28">
        <f>$D$26+1</f>
        <v>8</v>
      </c>
      <c r="F26" s="28">
        <f>$E$26+1</f>
        <v>9</v>
      </c>
      <c r="G26" s="28">
        <f>$F$26+1</f>
        <v>10</v>
      </c>
      <c r="I26" s="15" t="s">
        <v>99</v>
      </c>
    </row>
    <row r="27" spans="1:9" x14ac:dyDescent="0.3">
      <c r="A27" s="350" t="s">
        <v>47</v>
      </c>
      <c r="B27" s="350"/>
      <c r="C27" s="38">
        <v>0.7</v>
      </c>
      <c r="D27" s="28">
        <f>$C$27/2</f>
        <v>0.35</v>
      </c>
      <c r="E27" s="28">
        <f>$D$27/2</f>
        <v>0.17499999999999999</v>
      </c>
      <c r="F27" s="28">
        <f>$E$27/2</f>
        <v>8.7499999999999994E-2</v>
      </c>
      <c r="G27" s="28">
        <f>$F$27/2</f>
        <v>4.3749999999999997E-2</v>
      </c>
      <c r="I27" s="37">
        <v>5</v>
      </c>
    </row>
    <row r="28" spans="1:9" x14ac:dyDescent="0.3">
      <c r="A28" s="350" t="s">
        <v>48</v>
      </c>
      <c r="B28" s="350"/>
      <c r="C28" s="37">
        <f>C27/2</f>
        <v>0.35</v>
      </c>
      <c r="D28" s="28">
        <f>$D$27/2</f>
        <v>0.17499999999999999</v>
      </c>
      <c r="E28" s="28">
        <f>$E$27/2</f>
        <v>8.7499999999999994E-2</v>
      </c>
      <c r="F28" s="28">
        <f>$F$27/2</f>
        <v>4.3749999999999997E-2</v>
      </c>
      <c r="G28" s="28">
        <f>$G$27/2</f>
        <v>2.1874999999999999E-2</v>
      </c>
    </row>
    <row r="29" spans="1:9" x14ac:dyDescent="0.3">
      <c r="A29" s="350" t="s">
        <v>75</v>
      </c>
      <c r="B29" s="350"/>
      <c r="C29" s="37">
        <v>0</v>
      </c>
      <c r="D29" s="105">
        <v>1</v>
      </c>
      <c r="E29" s="105">
        <v>1</v>
      </c>
      <c r="F29" s="105">
        <v>2</v>
      </c>
      <c r="G29" s="105">
        <v>2</v>
      </c>
    </row>
    <row r="30" spans="1:9" x14ac:dyDescent="0.3">
      <c r="A30" s="350" t="s">
        <v>76</v>
      </c>
      <c r="B30" s="350"/>
      <c r="C30" s="37">
        <v>0</v>
      </c>
      <c r="D30" s="105">
        <v>1</v>
      </c>
      <c r="E30" s="105">
        <v>2</v>
      </c>
      <c r="F30" s="105">
        <v>3</v>
      </c>
      <c r="G30" s="105">
        <v>4</v>
      </c>
    </row>
    <row r="31" spans="1:9" x14ac:dyDescent="0.3">
      <c r="A31" s="369" t="s">
        <v>49</v>
      </c>
      <c r="B31" s="369"/>
      <c r="C31" s="369"/>
      <c r="D31" s="369"/>
      <c r="E31" s="369"/>
      <c r="F31" s="369"/>
      <c r="G31" s="369"/>
      <c r="H31" s="1" t="s">
        <v>65</v>
      </c>
      <c r="I31" s="15" t="s">
        <v>98</v>
      </c>
    </row>
    <row r="32" spans="1:9" x14ac:dyDescent="0.3">
      <c r="A32" s="350" t="s">
        <v>50</v>
      </c>
      <c r="B32" s="350"/>
      <c r="C32" s="37">
        <v>8.9</v>
      </c>
      <c r="D32" s="28">
        <f>C32*3</f>
        <v>26.700000000000003</v>
      </c>
      <c r="E32" s="28">
        <f>D32*3</f>
        <v>80.100000000000009</v>
      </c>
      <c r="F32" s="28">
        <f>E32*3</f>
        <v>240.3</v>
      </c>
      <c r="G32" s="28">
        <f>F32*2</f>
        <v>480.6</v>
      </c>
      <c r="H32" s="28">
        <f>ROUNDDOWN(G32/5*H64,0)</f>
        <v>768</v>
      </c>
      <c r="I32" s="28">
        <f>H32+(5*I27)</f>
        <v>793</v>
      </c>
    </row>
    <row r="33" spans="1:13" x14ac:dyDescent="0.3">
      <c r="A33" s="350" t="str">
        <f>C12</f>
        <v>Esencia</v>
      </c>
      <c r="B33" s="350"/>
      <c r="C33" s="37">
        <f>ROUNDDOWN(C32/2,0)</f>
        <v>4</v>
      </c>
      <c r="D33" s="28">
        <f>ROUNDDOWN(D32/2,0)</f>
        <v>13</v>
      </c>
      <c r="E33" s="28">
        <f t="shared" ref="D33:G35" si="0">ROUNDDOWN(E32/2,0)</f>
        <v>40</v>
      </c>
      <c r="F33" s="28">
        <f t="shared" si="0"/>
        <v>120</v>
      </c>
      <c r="G33" s="28">
        <f t="shared" si="0"/>
        <v>240</v>
      </c>
      <c r="H33" s="28"/>
      <c r="I33" s="28"/>
    </row>
    <row r="34" spans="1:13" x14ac:dyDescent="0.3">
      <c r="A34" s="350" t="str">
        <f>C12</f>
        <v>Esencia</v>
      </c>
      <c r="B34" s="350"/>
      <c r="C34" s="37">
        <f>ROUNDDOWN(C33/2,0)</f>
        <v>2</v>
      </c>
      <c r="D34" s="28">
        <f t="shared" si="0"/>
        <v>6</v>
      </c>
      <c r="E34" s="28">
        <f t="shared" si="0"/>
        <v>20</v>
      </c>
      <c r="F34" s="28">
        <f t="shared" si="0"/>
        <v>60</v>
      </c>
      <c r="G34" s="28">
        <f t="shared" si="0"/>
        <v>120</v>
      </c>
      <c r="H34" s="28"/>
      <c r="I34" s="28"/>
    </row>
    <row r="35" spans="1:13" x14ac:dyDescent="0.3">
      <c r="A35" s="355" t="str">
        <f>C11</f>
        <v>Inteligencia</v>
      </c>
      <c r="B35" s="355"/>
      <c r="C35" s="37">
        <f t="shared" ref="C35" si="1">ROUNDDOWN(C34/2,0)</f>
        <v>1</v>
      </c>
      <c r="D35" s="28">
        <f t="shared" si="0"/>
        <v>3</v>
      </c>
      <c r="E35" s="28">
        <f t="shared" si="0"/>
        <v>10</v>
      </c>
      <c r="F35" s="28">
        <f t="shared" si="0"/>
        <v>30</v>
      </c>
      <c r="G35" s="28">
        <f t="shared" si="0"/>
        <v>60</v>
      </c>
      <c r="H35" s="28"/>
      <c r="I35" s="28"/>
    </row>
    <row r="36" spans="1:13" x14ac:dyDescent="0.3">
      <c r="A36" s="369" t="s">
        <v>21</v>
      </c>
      <c r="B36" s="369"/>
      <c r="C36" s="369"/>
      <c r="D36" s="369"/>
      <c r="E36" s="369"/>
      <c r="F36" s="369"/>
      <c r="G36" s="369"/>
    </row>
    <row r="37" spans="1:13" x14ac:dyDescent="0.3">
      <c r="A37" s="371" t="s">
        <v>61</v>
      </c>
      <c r="B37" s="371"/>
      <c r="C37" s="371"/>
      <c r="D37" s="371"/>
      <c r="E37" s="371"/>
      <c r="F37" s="371"/>
      <c r="G37" s="371"/>
      <c r="H37" s="4" t="s">
        <v>82</v>
      </c>
    </row>
    <row r="38" spans="1:13" x14ac:dyDescent="0.3">
      <c r="A38" s="350" t="s">
        <v>69</v>
      </c>
      <c r="B38" s="350"/>
      <c r="C38" s="39"/>
      <c r="D38" s="28"/>
      <c r="E38" s="28"/>
      <c r="F38" s="28"/>
      <c r="G38" s="28"/>
      <c r="H38" s="28">
        <v>300</v>
      </c>
    </row>
    <row r="39" spans="1:13" x14ac:dyDescent="0.3">
      <c r="A39" s="350" t="s">
        <v>67</v>
      </c>
      <c r="B39" s="350"/>
      <c r="C39" s="105">
        <v>1800</v>
      </c>
      <c r="D39" s="28">
        <f>C39+$H$38</f>
        <v>2100</v>
      </c>
      <c r="E39" s="106">
        <f t="shared" ref="E39:G39" si="2">D39+$H$38</f>
        <v>2400</v>
      </c>
      <c r="F39" s="106">
        <f t="shared" si="2"/>
        <v>2700</v>
      </c>
      <c r="G39" s="106">
        <f t="shared" si="2"/>
        <v>3000</v>
      </c>
      <c r="H39" s="28"/>
    </row>
    <row r="40" spans="1:13" x14ac:dyDescent="0.3">
      <c r="A40" s="374" t="s">
        <v>68</v>
      </c>
      <c r="B40" s="374"/>
      <c r="C40" s="39">
        <v>1800</v>
      </c>
      <c r="D40" s="39">
        <v>1800</v>
      </c>
      <c r="E40" s="39">
        <v>1800</v>
      </c>
      <c r="F40" s="39">
        <v>1800</v>
      </c>
      <c r="G40" s="39">
        <v>1800</v>
      </c>
      <c r="H40" s="28"/>
    </row>
    <row r="41" spans="1:13" ht="27.75" customHeight="1" x14ac:dyDescent="0.3">
      <c r="A41" s="370" t="s">
        <v>38</v>
      </c>
      <c r="B41" s="370"/>
      <c r="C41" s="3" t="s">
        <v>7</v>
      </c>
      <c r="D41" s="3" t="s">
        <v>8</v>
      </c>
      <c r="E41" s="3" t="s">
        <v>83</v>
      </c>
      <c r="F41" s="3" t="s">
        <v>84</v>
      </c>
      <c r="G41" s="3" t="s">
        <v>85</v>
      </c>
      <c r="H41" s="3" t="s">
        <v>62</v>
      </c>
      <c r="I41" s="23" t="s">
        <v>119</v>
      </c>
      <c r="J41" s="370" t="s">
        <v>1157</v>
      </c>
      <c r="K41" s="370"/>
      <c r="L41" s="370" t="s">
        <v>1159</v>
      </c>
      <c r="M41" s="370"/>
    </row>
    <row r="42" spans="1:13" x14ac:dyDescent="0.3">
      <c r="A42" s="371" t="s">
        <v>20</v>
      </c>
      <c r="B42" s="371"/>
      <c r="C42" s="371"/>
      <c r="D42" s="371"/>
      <c r="E42" s="371"/>
      <c r="F42" s="371"/>
      <c r="G42" s="371"/>
      <c r="H42" s="6">
        <v>2</v>
      </c>
      <c r="I42" s="41">
        <v>1</v>
      </c>
      <c r="J42" s="300" t="s">
        <v>1160</v>
      </c>
      <c r="K42" s="300"/>
      <c r="L42" s="300">
        <v>2</v>
      </c>
      <c r="M42" s="300"/>
    </row>
    <row r="43" spans="1:13" x14ac:dyDescent="0.3">
      <c r="A43" s="350" t="str">
        <f>C8</f>
        <v>Vitalidad</v>
      </c>
      <c r="B43" s="350"/>
      <c r="C43" s="28">
        <f>D8*H42</f>
        <v>2</v>
      </c>
      <c r="D43" s="28">
        <f>C43*3</f>
        <v>6</v>
      </c>
      <c r="E43" s="28">
        <f>D43*3</f>
        <v>18</v>
      </c>
      <c r="F43" s="28">
        <f>E43*3</f>
        <v>54</v>
      </c>
      <c r="G43" s="28">
        <f>F43*3</f>
        <v>162</v>
      </c>
      <c r="H43" s="26" t="s">
        <v>120</v>
      </c>
    </row>
    <row r="44" spans="1:13" x14ac:dyDescent="0.3">
      <c r="A44" s="350" t="str">
        <f>C9</f>
        <v>Fuerza</v>
      </c>
      <c r="B44" s="350"/>
      <c r="C44" s="28">
        <f>D9*H42</f>
        <v>2</v>
      </c>
      <c r="D44" s="106">
        <f t="shared" ref="D44:G46" si="3">C44*3</f>
        <v>6</v>
      </c>
      <c r="E44" s="106">
        <f t="shared" si="3"/>
        <v>18</v>
      </c>
      <c r="F44" s="106">
        <f t="shared" si="3"/>
        <v>54</v>
      </c>
      <c r="G44" s="106">
        <f t="shared" si="3"/>
        <v>162</v>
      </c>
      <c r="H44" s="6">
        <v>2</v>
      </c>
    </row>
    <row r="45" spans="1:13" x14ac:dyDescent="0.3">
      <c r="A45" s="350" t="str">
        <f>C10</f>
        <v>Agilidad</v>
      </c>
      <c r="B45" s="350"/>
      <c r="C45" s="28">
        <f>D10*H42</f>
        <v>2</v>
      </c>
      <c r="D45" s="106">
        <f t="shared" si="3"/>
        <v>6</v>
      </c>
      <c r="E45" s="106">
        <f t="shared" si="3"/>
        <v>18</v>
      </c>
      <c r="F45" s="106">
        <f t="shared" si="3"/>
        <v>54</v>
      </c>
      <c r="G45" s="106">
        <f t="shared" si="3"/>
        <v>162</v>
      </c>
    </row>
    <row r="46" spans="1:13" x14ac:dyDescent="0.3">
      <c r="A46" s="350" t="str">
        <f>C11</f>
        <v>Inteligencia</v>
      </c>
      <c r="B46" s="350"/>
      <c r="C46" s="28">
        <f>D11*H42</f>
        <v>2</v>
      </c>
      <c r="D46" s="106">
        <f t="shared" si="3"/>
        <v>6</v>
      </c>
      <c r="E46" s="106">
        <f t="shared" si="3"/>
        <v>18</v>
      </c>
      <c r="F46" s="106">
        <f t="shared" si="3"/>
        <v>54</v>
      </c>
      <c r="G46" s="106">
        <f t="shared" si="3"/>
        <v>162</v>
      </c>
    </row>
    <row r="47" spans="1:13" x14ac:dyDescent="0.3">
      <c r="A47" s="350" t="s">
        <v>77</v>
      </c>
      <c r="B47" s="350"/>
      <c r="C47" s="28">
        <f>(C$23+C$24)/2*$H$42</f>
        <v>0</v>
      </c>
      <c r="D47" s="28">
        <f>($D$23+$D$24)/2*$H$42</f>
        <v>1</v>
      </c>
      <c r="E47" s="28">
        <f>($E$23+$E$24)/2*$H$42</f>
        <v>3</v>
      </c>
      <c r="F47" s="28">
        <f>($F$23+$F$24)/2*$H$42</f>
        <v>5</v>
      </c>
      <c r="G47" s="28">
        <f>($G$23+$G$24)/2*$H$42</f>
        <v>7</v>
      </c>
    </row>
    <row r="48" spans="1:13" x14ac:dyDescent="0.3">
      <c r="A48" s="371" t="s">
        <v>49</v>
      </c>
      <c r="B48" s="371"/>
      <c r="C48" s="371"/>
      <c r="D48" s="371"/>
      <c r="E48" s="371"/>
      <c r="F48" s="371"/>
      <c r="G48" s="371"/>
    </row>
    <row r="49" spans="1:13" x14ac:dyDescent="0.3">
      <c r="A49" s="350" t="s">
        <v>50</v>
      </c>
      <c r="B49" s="350"/>
      <c r="C49" s="40">
        <f>ROUNDDOWN(C32/5*H42,0)</f>
        <v>3</v>
      </c>
      <c r="D49" s="40">
        <f>ROUNDDOWN(D32/5*H42,0)</f>
        <v>10</v>
      </c>
      <c r="E49" s="40">
        <f>ROUNDDOWN(E32/5*H42,0)</f>
        <v>32</v>
      </c>
      <c r="F49" s="40">
        <f>ROUNDDOWN(F32/5*H42,0)</f>
        <v>96</v>
      </c>
      <c r="G49" s="40">
        <f>ROUNDDOWN(G32/5*H42,0)</f>
        <v>192</v>
      </c>
    </row>
    <row r="50" spans="1:13" x14ac:dyDescent="0.3">
      <c r="A50" s="350" t="str">
        <f>C12</f>
        <v>Esencia</v>
      </c>
      <c r="B50" s="350"/>
      <c r="C50" s="40">
        <f>ROUNDDOWN(C49/3,0)</f>
        <v>1</v>
      </c>
      <c r="D50" s="40">
        <f>ROUNDDOWN(D49/3,0)</f>
        <v>3</v>
      </c>
      <c r="E50" s="40">
        <f>ROUNDDOWN(E49/3,0)</f>
        <v>10</v>
      </c>
      <c r="F50" s="40">
        <f>ROUNDDOWN(F49/3,0)</f>
        <v>32</v>
      </c>
      <c r="G50" s="40">
        <f>ROUNDDOWN(G49/3,0)</f>
        <v>64</v>
      </c>
    </row>
    <row r="51" spans="1:13" x14ac:dyDescent="0.3">
      <c r="A51" s="350"/>
      <c r="B51" s="350"/>
    </row>
    <row r="52" spans="1:13" ht="27.75" customHeight="1" x14ac:dyDescent="0.3">
      <c r="A52" s="370" t="s">
        <v>63</v>
      </c>
      <c r="B52" s="370"/>
      <c r="C52" s="3" t="s">
        <v>0</v>
      </c>
      <c r="D52" s="3" t="s">
        <v>86</v>
      </c>
      <c r="E52" s="3" t="s">
        <v>83</v>
      </c>
      <c r="F52" s="3" t="s">
        <v>84</v>
      </c>
      <c r="G52" s="3" t="s">
        <v>85</v>
      </c>
      <c r="H52" s="3" t="s">
        <v>62</v>
      </c>
      <c r="J52" s="370" t="s">
        <v>1157</v>
      </c>
      <c r="K52" s="370"/>
      <c r="L52" s="370" t="s">
        <v>1159</v>
      </c>
      <c r="M52" s="370"/>
    </row>
    <row r="53" spans="1:13" x14ac:dyDescent="0.3">
      <c r="A53" s="371" t="s">
        <v>20</v>
      </c>
      <c r="B53" s="371"/>
      <c r="C53" s="371"/>
      <c r="D53" s="371"/>
      <c r="E53" s="371"/>
      <c r="F53" s="371"/>
      <c r="G53" s="371"/>
      <c r="H53" s="6">
        <f>$H$55*$I$42</f>
        <v>5</v>
      </c>
      <c r="J53" s="300" t="s">
        <v>1158</v>
      </c>
      <c r="K53" s="300"/>
      <c r="L53" s="300">
        <v>1</v>
      </c>
      <c r="M53" s="300"/>
    </row>
    <row r="54" spans="1:13" x14ac:dyDescent="0.3">
      <c r="A54" s="350" t="str">
        <f>C8</f>
        <v>Vitalidad</v>
      </c>
      <c r="B54" s="350"/>
      <c r="C54">
        <f>D8*H53</f>
        <v>5</v>
      </c>
      <c r="D54" s="288">
        <f>ROUNDDOWN(C54*1.7,0)</f>
        <v>8</v>
      </c>
      <c r="E54" s="288">
        <f>ROUNDDOWN(D54*1.7,0)</f>
        <v>13</v>
      </c>
      <c r="F54" s="288">
        <f>ROUNDDOWN(E54*1.7,0)</f>
        <v>22</v>
      </c>
      <c r="G54" s="288">
        <f>ROUNDDOWN(F54*1.7,0)</f>
        <v>37</v>
      </c>
      <c r="H54" s="26" t="s">
        <v>120</v>
      </c>
    </row>
    <row r="55" spans="1:13" x14ac:dyDescent="0.3">
      <c r="A55" s="350" t="str">
        <f>C9</f>
        <v>Fuerza</v>
      </c>
      <c r="B55" s="350"/>
      <c r="C55">
        <f>D9*H53</f>
        <v>5</v>
      </c>
      <c r="D55" s="288">
        <f t="shared" ref="D55:G55" si="4">ROUNDDOWN(C55*1.7,0)</f>
        <v>8</v>
      </c>
      <c r="E55" s="288">
        <f t="shared" si="4"/>
        <v>13</v>
      </c>
      <c r="F55" s="288">
        <f t="shared" si="4"/>
        <v>22</v>
      </c>
      <c r="G55" s="288">
        <f t="shared" si="4"/>
        <v>37</v>
      </c>
      <c r="H55" s="6">
        <v>5</v>
      </c>
    </row>
    <row r="56" spans="1:13" x14ac:dyDescent="0.3">
      <c r="A56" s="350" t="str">
        <f>C10</f>
        <v>Agilidad</v>
      </c>
      <c r="B56" s="350"/>
      <c r="C56">
        <f>D10*H53</f>
        <v>5</v>
      </c>
      <c r="D56" s="288">
        <f t="shared" ref="D56:G56" si="5">ROUNDDOWN(C56*1.7,0)</f>
        <v>8</v>
      </c>
      <c r="E56" s="288">
        <f t="shared" si="5"/>
        <v>13</v>
      </c>
      <c r="F56" s="288">
        <f t="shared" si="5"/>
        <v>22</v>
      </c>
      <c r="G56" s="288">
        <f t="shared" si="5"/>
        <v>37</v>
      </c>
    </row>
    <row r="57" spans="1:13" x14ac:dyDescent="0.3">
      <c r="A57" s="350" t="str">
        <f>C11</f>
        <v>Inteligencia</v>
      </c>
      <c r="B57" s="350"/>
      <c r="C57">
        <f>D11*H53</f>
        <v>5</v>
      </c>
      <c r="D57" s="288">
        <f t="shared" ref="D57:G57" si="6">ROUNDDOWN(C57*1.7,0)</f>
        <v>8</v>
      </c>
      <c r="E57" s="288">
        <f t="shared" si="6"/>
        <v>13</v>
      </c>
      <c r="F57" s="288">
        <f t="shared" si="6"/>
        <v>22</v>
      </c>
      <c r="G57" s="288">
        <f t="shared" si="6"/>
        <v>37</v>
      </c>
    </row>
    <row r="58" spans="1:13" x14ac:dyDescent="0.3">
      <c r="A58" s="350" t="s">
        <v>77</v>
      </c>
      <c r="B58" s="350"/>
      <c r="C58">
        <f>(C$23+C$24)/2*$H$53</f>
        <v>0</v>
      </c>
      <c r="D58">
        <f>(D$23+D$24)/2*$H$53</f>
        <v>2.5</v>
      </c>
      <c r="E58">
        <f>(E$23+E$24)/2*$H$53</f>
        <v>7.5</v>
      </c>
      <c r="F58">
        <f>(F$23+F$24)/2*$H$53</f>
        <v>12.5</v>
      </c>
      <c r="G58">
        <f>(G$23+G$24)/2*$H$53</f>
        <v>17.5</v>
      </c>
    </row>
    <row r="59" spans="1:13" x14ac:dyDescent="0.3">
      <c r="A59" s="371" t="s">
        <v>49</v>
      </c>
      <c r="B59" s="371"/>
      <c r="C59" s="371"/>
      <c r="D59" s="371"/>
      <c r="E59" s="371"/>
      <c r="F59" s="371"/>
      <c r="G59" s="371"/>
    </row>
    <row r="60" spans="1:13" x14ac:dyDescent="0.3">
      <c r="A60" s="350" t="s">
        <v>50</v>
      </c>
      <c r="B60" s="350"/>
      <c r="C60" s="5">
        <f>ROUNDDOWN(C32/5*H53,0)</f>
        <v>8</v>
      </c>
      <c r="D60" s="5">
        <f>ROUNDDOWN(D32/5*H53,0)</f>
        <v>26</v>
      </c>
      <c r="E60" s="5">
        <f>ROUNDDOWN(E32/5*H53,0)</f>
        <v>80</v>
      </c>
      <c r="F60" s="5">
        <f>ROUNDDOWN(F32/5*H53,0)</f>
        <v>240</v>
      </c>
      <c r="G60" s="5">
        <f>ROUNDDOWN(G32/5*H53,0)</f>
        <v>480</v>
      </c>
    </row>
    <row r="61" spans="1:13" x14ac:dyDescent="0.3">
      <c r="A61" s="350" t="str">
        <f>C12</f>
        <v>Esencia</v>
      </c>
      <c r="B61" s="350"/>
      <c r="C61" s="5">
        <f>ROUNDDOWN(C60/3,0)</f>
        <v>2</v>
      </c>
      <c r="D61" s="5">
        <f>ROUNDDOWN(D60/3,0)</f>
        <v>8</v>
      </c>
      <c r="E61" s="5">
        <f>ROUNDDOWN(E60/3,0)</f>
        <v>26</v>
      </c>
      <c r="F61" s="5">
        <f>ROUNDDOWN(F60/3,0)</f>
        <v>80</v>
      </c>
      <c r="G61" s="5">
        <f>ROUNDDOWN(G60/3,0)</f>
        <v>160</v>
      </c>
    </row>
    <row r="62" spans="1:13" x14ac:dyDescent="0.3">
      <c r="A62" s="372"/>
      <c r="B62" s="372"/>
    </row>
    <row r="63" spans="1:13" ht="27.75" customHeight="1" x14ac:dyDescent="0.3">
      <c r="A63" s="370" t="s">
        <v>64</v>
      </c>
      <c r="B63" s="370"/>
      <c r="C63" s="3" t="s">
        <v>0</v>
      </c>
      <c r="D63" s="3" t="s">
        <v>86</v>
      </c>
      <c r="E63" s="3" t="s">
        <v>83</v>
      </c>
      <c r="F63" s="3" t="s">
        <v>84</v>
      </c>
      <c r="G63" s="3" t="s">
        <v>85</v>
      </c>
      <c r="H63" s="3" t="s">
        <v>62</v>
      </c>
    </row>
    <row r="64" spans="1:13" x14ac:dyDescent="0.3">
      <c r="A64" s="371" t="s">
        <v>20</v>
      </c>
      <c r="B64" s="371"/>
      <c r="C64" s="371"/>
      <c r="D64" s="371"/>
      <c r="E64" s="371"/>
      <c r="F64" s="371"/>
      <c r="G64" s="371"/>
      <c r="H64" s="6">
        <f>$H$66*$I$42</f>
        <v>8</v>
      </c>
    </row>
    <row r="65" spans="1:8" x14ac:dyDescent="0.3">
      <c r="A65" s="350" t="str">
        <f>C8</f>
        <v>Vitalidad</v>
      </c>
      <c r="B65" s="350"/>
      <c r="C65">
        <f>D8*H64</f>
        <v>8</v>
      </c>
      <c r="D65">
        <f>ROUNDDOWN(C65*1.7,0)</f>
        <v>13</v>
      </c>
      <c r="E65">
        <f>ROUNDDOWN(D65*1.7,0)</f>
        <v>22</v>
      </c>
      <c r="F65">
        <f>ROUNDDOWN(E65*1.7,0)</f>
        <v>37</v>
      </c>
      <c r="G65">
        <f>ROUNDDOWN(F65*1.7,0)</f>
        <v>62</v>
      </c>
      <c r="H65" s="26" t="s">
        <v>120</v>
      </c>
    </row>
    <row r="66" spans="1:8" x14ac:dyDescent="0.3">
      <c r="A66" s="350" t="str">
        <f>C9</f>
        <v>Fuerza</v>
      </c>
      <c r="B66" s="350"/>
      <c r="C66">
        <f>D9*H64</f>
        <v>8</v>
      </c>
      <c r="D66" s="288">
        <f t="shared" ref="D66:G68" si="7">ROUNDDOWN(C66*1.7,0)</f>
        <v>13</v>
      </c>
      <c r="E66" s="288">
        <f t="shared" si="7"/>
        <v>22</v>
      </c>
      <c r="F66" s="288">
        <f t="shared" si="7"/>
        <v>37</v>
      </c>
      <c r="G66" s="288">
        <f t="shared" si="7"/>
        <v>62</v>
      </c>
      <c r="H66" s="6">
        <v>8</v>
      </c>
    </row>
    <row r="67" spans="1:8" x14ac:dyDescent="0.3">
      <c r="A67" s="350" t="str">
        <f>C10</f>
        <v>Agilidad</v>
      </c>
      <c r="B67" s="350"/>
      <c r="C67">
        <f>D9*H64</f>
        <v>8</v>
      </c>
      <c r="D67" s="288">
        <f t="shared" si="7"/>
        <v>13</v>
      </c>
      <c r="E67" s="288">
        <f t="shared" si="7"/>
        <v>22</v>
      </c>
      <c r="F67" s="288">
        <f t="shared" si="7"/>
        <v>37</v>
      </c>
      <c r="G67" s="288">
        <f t="shared" si="7"/>
        <v>62</v>
      </c>
    </row>
    <row r="68" spans="1:8" x14ac:dyDescent="0.3">
      <c r="A68" s="350" t="str">
        <f>C11</f>
        <v>Inteligencia</v>
      </c>
      <c r="B68" s="350"/>
      <c r="C68">
        <f>D9*H64</f>
        <v>8</v>
      </c>
      <c r="D68" s="288">
        <f t="shared" si="7"/>
        <v>13</v>
      </c>
      <c r="E68" s="288">
        <f t="shared" si="7"/>
        <v>22</v>
      </c>
      <c r="F68" s="288">
        <f t="shared" si="7"/>
        <v>37</v>
      </c>
      <c r="G68" s="288">
        <f t="shared" si="7"/>
        <v>62</v>
      </c>
    </row>
    <row r="69" spans="1:8" x14ac:dyDescent="0.3">
      <c r="A69" s="350" t="s">
        <v>77</v>
      </c>
      <c r="B69" s="350"/>
      <c r="C69">
        <f>(C$23+C$24)/2*$H$64</f>
        <v>0</v>
      </c>
      <c r="D69">
        <f>(D$23+D$24)/2*$H$64</f>
        <v>4</v>
      </c>
      <c r="E69">
        <f>(E$23+E$24)/2*$H$64</f>
        <v>12</v>
      </c>
      <c r="F69">
        <f>(F$23+F$24)/2*$H$64</f>
        <v>20</v>
      </c>
      <c r="G69">
        <f>(G$23+G$24)/2*$H$64</f>
        <v>28</v>
      </c>
    </row>
    <row r="70" spans="1:8" x14ac:dyDescent="0.3">
      <c r="A70" s="371" t="s">
        <v>49</v>
      </c>
      <c r="B70" s="371"/>
      <c r="C70" s="371"/>
      <c r="D70" s="371"/>
      <c r="E70" s="371"/>
      <c r="F70" s="371"/>
      <c r="G70" s="371"/>
    </row>
    <row r="71" spans="1:8" x14ac:dyDescent="0.3">
      <c r="A71" s="350" t="s">
        <v>50</v>
      </c>
      <c r="B71" s="350"/>
      <c r="C71" s="5">
        <f>ROUNDDOWN(C32/5*H64,0)</f>
        <v>14</v>
      </c>
      <c r="D71" s="5">
        <f>ROUNDDOWN(D32/5*H64,0)</f>
        <v>42</v>
      </c>
      <c r="E71" s="5">
        <f>ROUNDDOWN(E32/5*H64,0)</f>
        <v>128</v>
      </c>
      <c r="F71" s="5">
        <f>ROUNDDOWN(F32/5*H64,0)</f>
        <v>384</v>
      </c>
      <c r="G71" s="5">
        <f>ROUNDDOWN(G32/5*H64,0)</f>
        <v>768</v>
      </c>
    </row>
    <row r="72" spans="1:8" x14ac:dyDescent="0.3">
      <c r="A72" s="350" t="str">
        <f>C12</f>
        <v>Esencia</v>
      </c>
      <c r="B72" s="350"/>
      <c r="C72" s="5">
        <f>ROUNDDOWN(C71/3,0)</f>
        <v>4</v>
      </c>
      <c r="D72" s="5">
        <f>ROUNDDOWN(D71/3,0)</f>
        <v>14</v>
      </c>
      <c r="E72" s="5">
        <f>ROUNDDOWN(E71/3,0)</f>
        <v>42</v>
      </c>
      <c r="F72" s="5">
        <f>ROUNDDOWN(F71/3,0)</f>
        <v>128</v>
      </c>
      <c r="G72" s="5">
        <f>ROUNDDOWN(G71/3,0)</f>
        <v>256</v>
      </c>
    </row>
    <row r="73" spans="1:8" x14ac:dyDescent="0.3">
      <c r="A73" s="373"/>
      <c r="B73" s="373"/>
    </row>
    <row r="74" spans="1:8" ht="27.75" customHeight="1" x14ac:dyDescent="0.3">
      <c r="A74" s="370" t="s">
        <v>11</v>
      </c>
      <c r="B74" s="370"/>
      <c r="C74" s="3" t="s">
        <v>0</v>
      </c>
      <c r="D74" s="3" t="s">
        <v>86</v>
      </c>
      <c r="E74" s="3" t="s">
        <v>83</v>
      </c>
      <c r="F74" s="3" t="s">
        <v>84</v>
      </c>
      <c r="G74" s="3" t="s">
        <v>85</v>
      </c>
      <c r="H74" s="3" t="s">
        <v>62</v>
      </c>
    </row>
    <row r="75" spans="1:8" x14ac:dyDescent="0.3">
      <c r="A75" s="371" t="s">
        <v>20</v>
      </c>
      <c r="B75" s="371"/>
      <c r="C75" s="371"/>
      <c r="D75" s="371"/>
      <c r="E75" s="371"/>
      <c r="F75" s="371"/>
      <c r="G75" s="371"/>
      <c r="H75" s="6">
        <f>$H$77*$I$42</f>
        <v>7</v>
      </c>
    </row>
    <row r="76" spans="1:8" x14ac:dyDescent="0.3">
      <c r="A76" s="350" t="str">
        <f>C8</f>
        <v>Vitalidad</v>
      </c>
      <c r="B76" s="350"/>
      <c r="C76">
        <f>D8*H75</f>
        <v>7</v>
      </c>
      <c r="D76" s="288">
        <f>ROUNDDOWN(C76*1.7,0)</f>
        <v>11</v>
      </c>
      <c r="E76" s="288">
        <f>ROUNDDOWN(D76*1.7,0)</f>
        <v>18</v>
      </c>
      <c r="F76" s="288">
        <f>ROUNDDOWN(E76*1.7,0)</f>
        <v>30</v>
      </c>
      <c r="G76" s="288">
        <f>ROUNDDOWN(F76*1.7,0)</f>
        <v>51</v>
      </c>
      <c r="H76" s="26" t="s">
        <v>120</v>
      </c>
    </row>
    <row r="77" spans="1:8" x14ac:dyDescent="0.3">
      <c r="A77" s="350" t="str">
        <f>C9</f>
        <v>Fuerza</v>
      </c>
      <c r="B77" s="350"/>
      <c r="C77">
        <f>D9*H75</f>
        <v>7</v>
      </c>
      <c r="D77" s="288">
        <f t="shared" ref="D77:G77" si="8">ROUNDDOWN(C77*1.7,0)</f>
        <v>11</v>
      </c>
      <c r="E77" s="288">
        <f t="shared" si="8"/>
        <v>18</v>
      </c>
      <c r="F77" s="288">
        <f t="shared" si="8"/>
        <v>30</v>
      </c>
      <c r="G77" s="288">
        <f t="shared" si="8"/>
        <v>51</v>
      </c>
      <c r="H77" s="6">
        <v>7</v>
      </c>
    </row>
    <row r="78" spans="1:8" x14ac:dyDescent="0.3">
      <c r="A78" s="350" t="str">
        <f>C10</f>
        <v>Agilidad</v>
      </c>
      <c r="B78" s="350"/>
      <c r="C78">
        <f>D10*H75</f>
        <v>7</v>
      </c>
      <c r="D78" s="288">
        <f t="shared" ref="D78:G78" si="9">ROUNDDOWN(C78*1.7,0)</f>
        <v>11</v>
      </c>
      <c r="E78" s="288">
        <f t="shared" si="9"/>
        <v>18</v>
      </c>
      <c r="F78" s="288">
        <f t="shared" si="9"/>
        <v>30</v>
      </c>
      <c r="G78" s="288">
        <f t="shared" si="9"/>
        <v>51</v>
      </c>
    </row>
    <row r="79" spans="1:8" x14ac:dyDescent="0.3">
      <c r="A79" s="350" t="str">
        <f>C11</f>
        <v>Inteligencia</v>
      </c>
      <c r="B79" s="350"/>
      <c r="C79">
        <f>D11*H75</f>
        <v>7</v>
      </c>
      <c r="D79" s="288">
        <f t="shared" ref="D79:G79" si="10">ROUNDDOWN(C79*1.7,0)</f>
        <v>11</v>
      </c>
      <c r="E79" s="288">
        <f t="shared" si="10"/>
        <v>18</v>
      </c>
      <c r="F79" s="288">
        <f t="shared" si="10"/>
        <v>30</v>
      </c>
      <c r="G79" s="288">
        <f t="shared" si="10"/>
        <v>51</v>
      </c>
    </row>
    <row r="80" spans="1:8" x14ac:dyDescent="0.3">
      <c r="A80" s="350" t="s">
        <v>77</v>
      </c>
      <c r="B80" s="350"/>
      <c r="C80">
        <f>(C$23+C$24)/2*$H$75</f>
        <v>0</v>
      </c>
      <c r="D80">
        <f>(D$23+D$24)/2*$H$75</f>
        <v>3.5</v>
      </c>
      <c r="E80">
        <f>(E$23+E$24)/2*$H$75</f>
        <v>10.5</v>
      </c>
      <c r="F80">
        <f>(F$23+F$24)/2*$H$75</f>
        <v>17.5</v>
      </c>
      <c r="G80">
        <f>(G$23+G$24)/2*$H$75</f>
        <v>24.5</v>
      </c>
    </row>
    <row r="81" spans="1:8" x14ac:dyDescent="0.3">
      <c r="A81" s="371" t="s">
        <v>49</v>
      </c>
      <c r="B81" s="371"/>
      <c r="C81" s="371"/>
      <c r="D81" s="371"/>
      <c r="E81" s="371"/>
      <c r="F81" s="371"/>
      <c r="G81" s="371"/>
    </row>
    <row r="82" spans="1:8" x14ac:dyDescent="0.3">
      <c r="A82" s="350" t="s">
        <v>50</v>
      </c>
      <c r="B82" s="350"/>
      <c r="C82" s="5">
        <f>ROUNDDOWN(C32/5*H75,0)</f>
        <v>12</v>
      </c>
      <c r="D82" s="5">
        <f>ROUNDDOWN(D32/5*H75,0)</f>
        <v>37</v>
      </c>
      <c r="E82" s="5">
        <f>ROUNDDOWN(E32/5*H75,0)</f>
        <v>112</v>
      </c>
      <c r="F82" s="5">
        <f>ROUNDDOWN(F32/5*H75,0)</f>
        <v>336</v>
      </c>
      <c r="G82" s="5">
        <f>ROUNDDOWN(G32/5*H75,0)</f>
        <v>672</v>
      </c>
    </row>
    <row r="83" spans="1:8" x14ac:dyDescent="0.3">
      <c r="A83" s="350" t="str">
        <f>C12</f>
        <v>Esencia</v>
      </c>
      <c r="B83" s="350"/>
      <c r="C83" s="5">
        <f>ROUNDDOWN(C82/3,0)</f>
        <v>4</v>
      </c>
      <c r="D83" s="5">
        <f t="shared" ref="D83:G83" si="11">ROUNDDOWN(D82/3,0)</f>
        <v>12</v>
      </c>
      <c r="E83" s="5">
        <f t="shared" si="11"/>
        <v>37</v>
      </c>
      <c r="F83" s="5">
        <f t="shared" si="11"/>
        <v>112</v>
      </c>
      <c r="G83" s="5">
        <f t="shared" si="11"/>
        <v>224</v>
      </c>
    </row>
    <row r="84" spans="1:8" x14ac:dyDescent="0.3">
      <c r="A84" s="373"/>
      <c r="B84" s="373"/>
    </row>
    <row r="85" spans="1:8" ht="27.75" customHeight="1" x14ac:dyDescent="0.3">
      <c r="A85" s="370" t="s">
        <v>66</v>
      </c>
      <c r="B85" s="370"/>
      <c r="C85" s="3" t="s">
        <v>0</v>
      </c>
      <c r="D85" s="3" t="s">
        <v>86</v>
      </c>
      <c r="E85" s="3" t="s">
        <v>83</v>
      </c>
      <c r="F85" s="3" t="s">
        <v>84</v>
      </c>
      <c r="G85" s="3" t="s">
        <v>85</v>
      </c>
      <c r="H85" s="3" t="s">
        <v>62</v>
      </c>
    </row>
    <row r="86" spans="1:8" x14ac:dyDescent="0.3">
      <c r="A86" s="371" t="s">
        <v>20</v>
      </c>
      <c r="B86" s="371"/>
      <c r="C86" s="371"/>
      <c r="D86" s="371"/>
      <c r="E86" s="371"/>
      <c r="F86" s="371"/>
      <c r="G86" s="371"/>
      <c r="H86" s="6">
        <v>4</v>
      </c>
    </row>
    <row r="87" spans="1:8" x14ac:dyDescent="0.3">
      <c r="A87" s="350" t="str">
        <f>C8</f>
        <v>Vitalidad</v>
      </c>
      <c r="B87" s="350"/>
      <c r="C87">
        <f>D9*H86</f>
        <v>4</v>
      </c>
      <c r="D87" s="288">
        <f>ROUNDDOWN(C87*1.7,0)</f>
        <v>6</v>
      </c>
      <c r="E87" s="288">
        <f>ROUNDDOWN(D87*1.7,0)</f>
        <v>10</v>
      </c>
      <c r="F87" s="288">
        <f>ROUNDDOWN(E87*1.7,0)</f>
        <v>17</v>
      </c>
      <c r="G87" s="288">
        <f>ROUNDDOWN(F87*1.7,0)</f>
        <v>28</v>
      </c>
      <c r="H87" s="26" t="s">
        <v>120</v>
      </c>
    </row>
    <row r="88" spans="1:8" x14ac:dyDescent="0.3">
      <c r="A88" s="350" t="str">
        <f>C9</f>
        <v>Fuerza</v>
      </c>
      <c r="B88" s="350"/>
      <c r="C88">
        <f>D10*H86</f>
        <v>4</v>
      </c>
      <c r="D88" s="288">
        <f t="shared" ref="D88:G88" si="12">ROUNDDOWN(C88*1.7,0)</f>
        <v>6</v>
      </c>
      <c r="E88" s="288">
        <f t="shared" si="12"/>
        <v>10</v>
      </c>
      <c r="F88" s="288">
        <f t="shared" si="12"/>
        <v>17</v>
      </c>
      <c r="G88" s="288">
        <f t="shared" si="12"/>
        <v>28</v>
      </c>
      <c r="H88" s="6">
        <v>4</v>
      </c>
    </row>
    <row r="89" spans="1:8" x14ac:dyDescent="0.3">
      <c r="A89" s="350" t="str">
        <f>C10</f>
        <v>Agilidad</v>
      </c>
      <c r="B89" s="350"/>
      <c r="C89">
        <f>D11*H86</f>
        <v>4</v>
      </c>
      <c r="D89" s="288">
        <f t="shared" ref="D89:G89" si="13">ROUNDDOWN(C89*1.7,0)</f>
        <v>6</v>
      </c>
      <c r="E89" s="288">
        <f t="shared" si="13"/>
        <v>10</v>
      </c>
      <c r="F89" s="288">
        <f t="shared" si="13"/>
        <v>17</v>
      </c>
      <c r="G89" s="288">
        <f t="shared" si="13"/>
        <v>28</v>
      </c>
    </row>
    <row r="90" spans="1:8" x14ac:dyDescent="0.3">
      <c r="A90" s="350" t="str">
        <f>C11</f>
        <v>Inteligencia</v>
      </c>
      <c r="B90" s="350"/>
      <c r="C90">
        <f>D12*H86</f>
        <v>4</v>
      </c>
      <c r="D90" s="288">
        <f t="shared" ref="D90:G90" si="14">ROUNDDOWN(C90*1.7,0)</f>
        <v>6</v>
      </c>
      <c r="E90" s="288">
        <f t="shared" si="14"/>
        <v>10</v>
      </c>
      <c r="F90" s="288">
        <f t="shared" si="14"/>
        <v>17</v>
      </c>
      <c r="G90" s="288">
        <f t="shared" si="14"/>
        <v>28</v>
      </c>
    </row>
    <row r="91" spans="1:8" x14ac:dyDescent="0.3">
      <c r="A91" s="350" t="s">
        <v>77</v>
      </c>
      <c r="B91" s="350"/>
      <c r="C91">
        <f>(C$23+C$24)/2*$H$86</f>
        <v>0</v>
      </c>
      <c r="D91">
        <f>(D$23+D$24)/2*$H$86</f>
        <v>2</v>
      </c>
      <c r="E91">
        <f>(E$23+E$24)/2*$H$86</f>
        <v>6</v>
      </c>
      <c r="F91">
        <f>(F$23+F$24)/2*$H$86</f>
        <v>10</v>
      </c>
      <c r="G91">
        <f>(G$23+G$24)/2*$H$86</f>
        <v>14</v>
      </c>
    </row>
    <row r="92" spans="1:8" x14ac:dyDescent="0.3">
      <c r="A92" s="371" t="s">
        <v>49</v>
      </c>
      <c r="B92" s="371"/>
      <c r="C92" s="371"/>
      <c r="D92" s="371"/>
      <c r="E92" s="371"/>
      <c r="F92" s="371"/>
      <c r="G92" s="371"/>
    </row>
    <row r="93" spans="1:8" x14ac:dyDescent="0.3">
      <c r="A93" s="350" t="s">
        <v>50</v>
      </c>
      <c r="B93" s="350"/>
      <c r="C93" s="5">
        <f>ROUNDDOWN(C32/5*H86,0)</f>
        <v>7</v>
      </c>
      <c r="D93" s="5">
        <f>ROUNDDOWN(D32/5*H86,0)</f>
        <v>21</v>
      </c>
      <c r="E93" s="5">
        <f>ROUNDDOWN(E32/5*H86,0)</f>
        <v>64</v>
      </c>
      <c r="F93" s="5">
        <f>ROUNDDOWN(F32/5*H86,0)</f>
        <v>192</v>
      </c>
      <c r="G93" s="5">
        <f>ROUNDDOWN(G32/5*H86,0)</f>
        <v>384</v>
      </c>
    </row>
    <row r="94" spans="1:8" x14ac:dyDescent="0.3">
      <c r="A94" s="350" t="str">
        <f>C12</f>
        <v>Esencia</v>
      </c>
      <c r="B94" s="350"/>
      <c r="C94" s="5">
        <f>ROUNDDOWN(C93/3,0)</f>
        <v>2</v>
      </c>
      <c r="D94" s="5">
        <f t="shared" ref="D94:G94" si="15">ROUNDDOWN(D93/3,0)</f>
        <v>7</v>
      </c>
      <c r="E94" s="5">
        <f t="shared" si="15"/>
        <v>21</v>
      </c>
      <c r="F94" s="5">
        <f t="shared" si="15"/>
        <v>64</v>
      </c>
      <c r="G94" s="5">
        <f t="shared" si="15"/>
        <v>128</v>
      </c>
    </row>
  </sheetData>
  <mergeCells count="86">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Z148"/>
  <sheetViews>
    <sheetView workbookViewId="0">
      <selection activeCell="B25" sqref="B25"/>
    </sheetView>
  </sheetViews>
  <sheetFormatPr baseColWidth="10" defaultRowHeight="14.4" x14ac:dyDescent="0.3"/>
  <cols>
    <col min="22" max="26" width="17.109375" customWidth="1"/>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36</v>
      </c>
      <c r="B2" s="300"/>
      <c r="C2" s="300">
        <f>'ECONOMIA &amp; PROFESIONES'!$N$3</f>
        <v>1</v>
      </c>
      <c r="D2" s="300"/>
      <c r="E2" s="300" t="s">
        <v>81</v>
      </c>
      <c r="F2" s="300"/>
      <c r="G2" s="300" t="s">
        <v>90</v>
      </c>
      <c r="H2" s="300"/>
      <c r="I2" s="300" t="str">
        <f>MAIN!$J$42</f>
        <v>&amp;7Ataque:</v>
      </c>
      <c r="J2" s="300"/>
      <c r="K2" s="300">
        <f>MAIN!$L$42</f>
        <v>2</v>
      </c>
      <c r="L2" s="300"/>
    </row>
    <row r="3" spans="1:26" ht="29.25" customHeight="1" x14ac:dyDescent="0.3">
      <c r="A3" s="375" t="s">
        <v>7</v>
      </c>
      <c r="B3" s="375"/>
      <c r="C3" s="375"/>
      <c r="D3" s="375"/>
      <c r="E3" s="375" t="s">
        <v>8</v>
      </c>
      <c r="F3" s="375"/>
      <c r="G3" s="375"/>
      <c r="H3" s="375"/>
      <c r="I3" s="375" t="s">
        <v>83</v>
      </c>
      <c r="J3" s="375"/>
      <c r="K3" s="375"/>
      <c r="L3" s="375"/>
      <c r="M3" s="375" t="s">
        <v>84</v>
      </c>
      <c r="N3" s="375"/>
      <c r="O3" s="375"/>
      <c r="P3" s="375"/>
      <c r="Q3" s="375" t="s">
        <v>85</v>
      </c>
      <c r="R3" s="375"/>
      <c r="S3" s="375"/>
      <c r="T3" s="375"/>
      <c r="V3" s="287" t="s">
        <v>7</v>
      </c>
      <c r="W3" s="287" t="s">
        <v>8</v>
      </c>
      <c r="X3" s="287" t="s">
        <v>83</v>
      </c>
      <c r="Y3" s="287" t="s">
        <v>84</v>
      </c>
      <c r="Z3" s="287" t="s">
        <v>85</v>
      </c>
    </row>
    <row r="4" spans="1:26" x14ac:dyDescent="0.3">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88" t="str">
        <f>$I$2&amp;" "&amp;ROUND(MAIN!$C$44*$C$2*$K$2/5*$U$4,0)</f>
        <v>&amp;7Ataque: 1</v>
      </c>
      <c r="W4" s="288" t="str">
        <f>$I$2&amp;" "&amp;ROUND(MAIN!$D$44*$C$2*$K$2/5*$U$4,0)</f>
        <v>&amp;7Ataque: 2</v>
      </c>
      <c r="X4" s="288" t="str">
        <f>$I$2&amp;" "&amp;ROUND(MAIN!$E$44*$C$2*$K$2/5*$U$4,0)</f>
        <v>&amp;7Ataque: 7</v>
      </c>
      <c r="Y4" s="288" t="str">
        <f>$I$2&amp;" "&amp;ROUND(MAIN!$F$44*$C$2*$K$2/5*$U$4,0)</f>
        <v>&amp;7Ataque: 22</v>
      </c>
      <c r="Z4" s="288" t="str">
        <f>$I$2&amp;" "&amp;ROUND(MAIN!$G$44*$C$2*$K$2/5*$U$4,0)</f>
        <v>&amp;7Ataque: 65</v>
      </c>
    </row>
    <row r="5" spans="1:26" x14ac:dyDescent="0.3">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88" t="str">
        <f>$I$2&amp;" "&amp;ROUND(MAIN!$C$44*$C$2*$K$2/5*$U$5,0)</f>
        <v>&amp;7Ataque: 2</v>
      </c>
      <c r="W5" s="288" t="str">
        <f>$I$2&amp;" "&amp;ROUND(MAIN!$D$44*$C$2*$K$2/5*$U$5,0)</f>
        <v>&amp;7Ataque: 5</v>
      </c>
      <c r="X5" s="288" t="str">
        <f>$I$2&amp;" "&amp;ROUND(MAIN!$E$44*$C$2*$K$2/5*$U$5,0)</f>
        <v>&amp;7Ataque: 14</v>
      </c>
      <c r="Y5" s="288" t="str">
        <f>$I$2&amp;" "&amp;ROUND(MAIN!$F$44*$C$2*$K$2/5*$U$5,0)</f>
        <v>&amp;7Ataque: 43</v>
      </c>
      <c r="Z5" s="288" t="str">
        <f>$I$2&amp;" "&amp;ROUND(MAIN!$G$44*$C$2*$K$2/5*$U$5,0)</f>
        <v>&amp;7Ataque: 130</v>
      </c>
    </row>
    <row r="6" spans="1:26" x14ac:dyDescent="0.3">
      <c r="A6" s="9" t="s">
        <v>22</v>
      </c>
      <c r="B6" s="9"/>
      <c r="C6" s="9"/>
      <c r="D6" s="9"/>
      <c r="E6" s="9" t="s">
        <v>22</v>
      </c>
      <c r="F6" s="9"/>
      <c r="G6" s="9"/>
      <c r="H6" s="9"/>
      <c r="I6" s="9" t="s">
        <v>22</v>
      </c>
      <c r="J6" s="9"/>
      <c r="K6" s="9"/>
      <c r="L6" s="9"/>
      <c r="M6" s="9" t="s">
        <v>22</v>
      </c>
      <c r="N6" s="9"/>
      <c r="O6" s="9"/>
      <c r="P6" s="9"/>
      <c r="Q6" s="9" t="s">
        <v>22</v>
      </c>
      <c r="R6" s="9"/>
      <c r="S6" s="9"/>
      <c r="T6" s="9"/>
      <c r="U6">
        <v>3</v>
      </c>
      <c r="V6" s="288" t="str">
        <f>$I$2&amp;" "&amp;ROUND(MAIN!$C$44*$C$2*$K$2/5*$U$6,0)</f>
        <v>&amp;7Ataque: 2</v>
      </c>
      <c r="W6" s="288" t="str">
        <f>$I$2&amp;" "&amp;ROUND(MAIN!$D$44*$C$2*$K$2/5*$U$6,0)</f>
        <v>&amp;7Ataque: 7</v>
      </c>
      <c r="X6" s="288" t="str">
        <f>$I$2&amp;" "&amp;ROUND(MAIN!$E$44*$C$2*$K$2/5*$U$6,0)</f>
        <v>&amp;7Ataque: 22</v>
      </c>
      <c r="Y6" s="288" t="str">
        <f>$I$2&amp;" "&amp;ROUND(MAIN!$F$44*$C$2*$K$2/5*$U$6,0)</f>
        <v>&amp;7Ataque: 65</v>
      </c>
      <c r="Z6" s="288" t="str">
        <f>$I$2&amp;" "&amp;ROUND(MAIN!$G$44*$C$2*$K$2/5*$U$6,0)</f>
        <v>&amp;7Ataque: 194</v>
      </c>
    </row>
    <row r="7" spans="1:26" x14ac:dyDescent="0.3">
      <c r="A7" s="9" t="s">
        <v>23</v>
      </c>
      <c r="B7" s="9"/>
      <c r="C7" s="9"/>
      <c r="D7" s="9"/>
      <c r="E7" s="9" t="s">
        <v>23</v>
      </c>
      <c r="F7" s="9"/>
      <c r="G7" s="9"/>
      <c r="H7" s="9"/>
      <c r="I7" s="9" t="s">
        <v>23</v>
      </c>
      <c r="J7" s="9"/>
      <c r="K7" s="9"/>
      <c r="L7" s="9"/>
      <c r="M7" s="9" t="s">
        <v>23</v>
      </c>
      <c r="N7" s="9"/>
      <c r="O7" s="9"/>
      <c r="P7" s="9"/>
      <c r="Q7" s="9" t="s">
        <v>23</v>
      </c>
      <c r="R7" s="9"/>
      <c r="S7" s="9"/>
      <c r="T7" s="9"/>
      <c r="U7">
        <v>4</v>
      </c>
      <c r="V7" s="288" t="str">
        <f>$I$2&amp;" "&amp;ROUND(MAIN!$C$44*$C$2*$K$2/5*$U$7,0)</f>
        <v>&amp;7Ataque: 3</v>
      </c>
      <c r="W7" s="288" t="str">
        <f>$I$2&amp;" "&amp;ROUND(MAIN!$D$44*$C$2*$K$2/5*$U$7,0)</f>
        <v>&amp;7Ataque: 10</v>
      </c>
      <c r="X7" s="288" t="str">
        <f>$I$2&amp;" "&amp;ROUND(MAIN!$E$44*$C$2*$K$2/5*$U$7,0)</f>
        <v>&amp;7Ataque: 29</v>
      </c>
      <c r="Y7" s="288" t="str">
        <f>$I$2&amp;" "&amp;ROUND(MAIN!$F$44*$C$2*$K$2/5*$U$7,0)</f>
        <v>&amp;7Ataque: 86</v>
      </c>
      <c r="Z7" s="288" t="str">
        <f>$I$2&amp;" "&amp;ROUND(MAIN!$G$44*$C$2*$K$2/5*$U$7,0)</f>
        <v>&amp;7Ataque: 259</v>
      </c>
    </row>
    <row r="8" spans="1:26" x14ac:dyDescent="0.3">
      <c r="A8" s="9" t="s">
        <v>24</v>
      </c>
      <c r="B8" s="9"/>
      <c r="C8" s="9"/>
      <c r="D8" s="9"/>
      <c r="E8" s="9" t="s">
        <v>24</v>
      </c>
      <c r="F8" s="9"/>
      <c r="G8" s="9"/>
      <c r="H8" s="9"/>
      <c r="I8" s="9" t="s">
        <v>24</v>
      </c>
      <c r="J8" s="9"/>
      <c r="K8" s="9"/>
      <c r="L8" s="9"/>
      <c r="M8" s="9" t="s">
        <v>24</v>
      </c>
      <c r="N8" s="9"/>
      <c r="O8" s="9"/>
      <c r="P8" s="9"/>
      <c r="Q8" s="9" t="s">
        <v>24</v>
      </c>
      <c r="R8" s="9"/>
      <c r="S8" s="9"/>
      <c r="T8" s="9"/>
      <c r="U8">
        <v>5</v>
      </c>
      <c r="V8" s="288" t="str">
        <f>$I$2&amp;" "&amp;ROUND(MAIN!$C$44*$C$2*$K$2/5*$U$8,0)</f>
        <v>&amp;7Ataque: 4</v>
      </c>
      <c r="W8" s="288" t="str">
        <f>$I$2&amp;" "&amp;ROUND(MAIN!$D$44*$C$2*$K$2/5*$U$8,0)</f>
        <v>&amp;7Ataque: 12</v>
      </c>
      <c r="X8" s="288" t="str">
        <f>$I$2&amp;" "&amp;ROUND(MAIN!$E$44*$C$2*$K$2/5*$U$8,0)</f>
        <v>&amp;7Ataque: 36</v>
      </c>
      <c r="Y8" s="288" t="str">
        <f>$I$2&amp;" "&amp;ROUND(MAIN!$F$44*$C$2*$K$2/5*$U$8,0)</f>
        <v>&amp;7Ataque: 108</v>
      </c>
      <c r="Z8" s="288" t="str">
        <f>$I$2&amp;" "&amp;ROUND(MAIN!$G$44*$C$2*$K$2/5*$U$8,0)</f>
        <v>&amp;7Ataque: 324</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3">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3">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3">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3">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3">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3">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3">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3">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3">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3">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3">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3">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3">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3">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3">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3">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3">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3">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3">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3">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3">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3">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3">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3">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3">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3">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3">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3">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3">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3">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3">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3">
      <c r="A45" s="8"/>
      <c r="B45" s="8"/>
      <c r="C45" s="8"/>
      <c r="D45" s="8"/>
    </row>
    <row r="46" spans="1:20" x14ac:dyDescent="0.3">
      <c r="A46" s="8"/>
      <c r="B46" s="8"/>
      <c r="C46" s="8"/>
      <c r="D46" s="8"/>
    </row>
    <row r="47" spans="1:20" x14ac:dyDescent="0.3">
      <c r="A47" s="8"/>
      <c r="B47" s="8"/>
      <c r="C47" s="8"/>
      <c r="D47" s="8"/>
    </row>
    <row r="48" spans="1:20" x14ac:dyDescent="0.3">
      <c r="A48" s="8"/>
      <c r="B48" s="8"/>
      <c r="C48" s="8"/>
      <c r="D48" s="8"/>
    </row>
    <row r="49" spans="1:4" x14ac:dyDescent="0.3">
      <c r="A49" s="8"/>
      <c r="B49" s="8"/>
      <c r="C49" s="8"/>
      <c r="D49" s="8"/>
    </row>
    <row r="50" spans="1:4" x14ac:dyDescent="0.3">
      <c r="A50" s="8"/>
      <c r="B50" s="8"/>
      <c r="C50" s="8"/>
      <c r="D50" s="8"/>
    </row>
    <row r="51" spans="1:4" x14ac:dyDescent="0.3">
      <c r="A51" s="8"/>
      <c r="B51" s="8"/>
      <c r="C51" s="8"/>
      <c r="D51" s="8"/>
    </row>
    <row r="52" spans="1:4" x14ac:dyDescent="0.3">
      <c r="A52" s="8"/>
      <c r="B52" s="8"/>
      <c r="C52" s="8"/>
      <c r="D52" s="8"/>
    </row>
    <row r="53" spans="1:4" x14ac:dyDescent="0.3">
      <c r="A53" s="8"/>
      <c r="B53" s="8"/>
      <c r="C53" s="8"/>
      <c r="D53" s="8"/>
    </row>
    <row r="54" spans="1:4" x14ac:dyDescent="0.3">
      <c r="A54" s="8"/>
      <c r="B54" s="8"/>
      <c r="C54" s="8"/>
      <c r="D54" s="8"/>
    </row>
    <row r="55" spans="1:4" x14ac:dyDescent="0.3">
      <c r="A55" s="8"/>
      <c r="B55" s="8"/>
      <c r="C55" s="8"/>
      <c r="D55" s="8"/>
    </row>
    <row r="56" spans="1:4" x14ac:dyDescent="0.3">
      <c r="A56" s="8"/>
      <c r="B56" s="8"/>
      <c r="C56" s="8"/>
      <c r="D56" s="8"/>
    </row>
    <row r="57" spans="1:4" x14ac:dyDescent="0.3">
      <c r="A57" s="8"/>
      <c r="B57" s="8"/>
      <c r="C57" s="8"/>
      <c r="D57" s="8"/>
    </row>
    <row r="58" spans="1:4" x14ac:dyDescent="0.3">
      <c r="A58" s="8"/>
      <c r="B58" s="8"/>
      <c r="C58" s="8"/>
      <c r="D58" s="8"/>
    </row>
    <row r="59" spans="1:4" x14ac:dyDescent="0.3">
      <c r="A59" s="8"/>
      <c r="B59" s="8"/>
      <c r="C59" s="8"/>
      <c r="D59" s="8"/>
    </row>
    <row r="60" spans="1:4" x14ac:dyDescent="0.3">
      <c r="A60" s="8"/>
      <c r="B60" s="8"/>
      <c r="C60" s="8"/>
      <c r="D60" s="8"/>
    </row>
    <row r="61" spans="1:4" x14ac:dyDescent="0.3">
      <c r="A61" s="8"/>
      <c r="B61" s="8"/>
      <c r="C61" s="8"/>
      <c r="D61" s="8"/>
    </row>
    <row r="62" spans="1:4" x14ac:dyDescent="0.3">
      <c r="A62" s="8"/>
      <c r="B62" s="8"/>
      <c r="C62" s="8"/>
      <c r="D62" s="8"/>
    </row>
    <row r="63" spans="1:4" x14ac:dyDescent="0.3">
      <c r="A63" s="8"/>
      <c r="B63" s="8"/>
      <c r="C63" s="8"/>
      <c r="D63" s="8"/>
    </row>
    <row r="64" spans="1:4" x14ac:dyDescent="0.3">
      <c r="A64" s="8"/>
      <c r="B64" s="8"/>
      <c r="C64" s="8"/>
      <c r="D64" s="8"/>
    </row>
    <row r="65" spans="1:4" x14ac:dyDescent="0.3">
      <c r="A65" s="8"/>
      <c r="B65" s="8"/>
      <c r="C65" s="8"/>
      <c r="D65" s="8"/>
    </row>
    <row r="66" spans="1:4" x14ac:dyDescent="0.3">
      <c r="A66" s="8"/>
      <c r="B66" s="8"/>
      <c r="C66" s="8"/>
      <c r="D66" s="8"/>
    </row>
    <row r="67" spans="1:4" x14ac:dyDescent="0.3">
      <c r="A67" s="8"/>
      <c r="B67" s="8"/>
      <c r="C67" s="8"/>
      <c r="D67" s="8"/>
    </row>
    <row r="68" spans="1:4" x14ac:dyDescent="0.3">
      <c r="A68" s="8"/>
      <c r="B68" s="8"/>
      <c r="C68" s="8"/>
      <c r="D68" s="8"/>
    </row>
    <row r="69" spans="1:4" x14ac:dyDescent="0.3">
      <c r="A69" s="8"/>
      <c r="B69" s="8"/>
      <c r="C69" s="8"/>
      <c r="D69" s="8"/>
    </row>
    <row r="70" spans="1:4" x14ac:dyDescent="0.3">
      <c r="A70" s="8"/>
      <c r="B70" s="8"/>
      <c r="C70" s="8"/>
      <c r="D70" s="8"/>
    </row>
    <row r="71" spans="1:4" x14ac:dyDescent="0.3">
      <c r="A71" s="8"/>
      <c r="B71" s="8"/>
      <c r="C71" s="8"/>
      <c r="D71" s="8"/>
    </row>
    <row r="72" spans="1:4" x14ac:dyDescent="0.3">
      <c r="A72" s="8"/>
      <c r="B72" s="8"/>
      <c r="C72" s="8"/>
      <c r="D72" s="8"/>
    </row>
    <row r="73" spans="1:4" x14ac:dyDescent="0.3">
      <c r="A73" s="8"/>
      <c r="B73" s="8"/>
      <c r="C73" s="8"/>
      <c r="D73" s="8"/>
    </row>
    <row r="74" spans="1:4" x14ac:dyDescent="0.3">
      <c r="A74" s="8"/>
      <c r="B74" s="8"/>
      <c r="C74" s="8"/>
      <c r="D74" s="8"/>
    </row>
    <row r="75" spans="1:4" x14ac:dyDescent="0.3">
      <c r="A75" s="8"/>
      <c r="B75" s="8"/>
      <c r="C75" s="8"/>
      <c r="D75" s="8"/>
    </row>
    <row r="76" spans="1:4" x14ac:dyDescent="0.3">
      <c r="A76" s="8"/>
      <c r="B76" s="8"/>
      <c r="C76" s="8"/>
      <c r="D76" s="8"/>
    </row>
    <row r="77" spans="1:4" x14ac:dyDescent="0.3">
      <c r="A77" s="8"/>
      <c r="B77" s="8"/>
      <c r="C77" s="8"/>
      <c r="D77" s="8"/>
    </row>
    <row r="78" spans="1:4" x14ac:dyDescent="0.3">
      <c r="A78" s="8"/>
      <c r="B78" s="8"/>
      <c r="C78" s="8"/>
      <c r="D78" s="8"/>
    </row>
    <row r="79" spans="1:4" x14ac:dyDescent="0.3">
      <c r="A79" s="8"/>
      <c r="B79" s="8"/>
      <c r="C79" s="8"/>
      <c r="D79" s="8"/>
    </row>
    <row r="80" spans="1:4" x14ac:dyDescent="0.3">
      <c r="A80" s="8"/>
      <c r="B80" s="8"/>
      <c r="C80" s="8"/>
      <c r="D80" s="8"/>
    </row>
    <row r="81" spans="1:4" x14ac:dyDescent="0.3">
      <c r="A81" s="8"/>
      <c r="B81" s="8"/>
      <c r="C81" s="8"/>
      <c r="D81" s="8"/>
    </row>
    <row r="82" spans="1:4" x14ac:dyDescent="0.3">
      <c r="A82" s="8"/>
      <c r="B82" s="8"/>
      <c r="C82" s="8"/>
      <c r="D82" s="8"/>
    </row>
    <row r="83" spans="1:4" x14ac:dyDescent="0.3">
      <c r="A83" s="8"/>
      <c r="B83" s="8"/>
      <c r="C83" s="8"/>
      <c r="D83" s="8"/>
    </row>
    <row r="84" spans="1:4" x14ac:dyDescent="0.3">
      <c r="A84" s="8"/>
      <c r="B84" s="8"/>
      <c r="C84" s="8"/>
      <c r="D84" s="8"/>
    </row>
    <row r="85" spans="1:4" x14ac:dyDescent="0.3">
      <c r="A85" s="8"/>
      <c r="B85" s="8"/>
      <c r="C85" s="8"/>
      <c r="D85" s="8"/>
    </row>
    <row r="86" spans="1:4" x14ac:dyDescent="0.3">
      <c r="A86" s="8"/>
      <c r="B86" s="8"/>
      <c r="C86" s="8"/>
      <c r="D86" s="8"/>
    </row>
    <row r="87" spans="1:4" x14ac:dyDescent="0.3">
      <c r="A87" s="8"/>
      <c r="B87" s="8"/>
      <c r="C87" s="8"/>
      <c r="D87" s="8"/>
    </row>
    <row r="88" spans="1:4" x14ac:dyDescent="0.3">
      <c r="A88" s="8"/>
      <c r="B88" s="8"/>
      <c r="C88" s="8"/>
      <c r="D88" s="8"/>
    </row>
    <row r="89" spans="1:4" x14ac:dyDescent="0.3">
      <c r="A89" s="8"/>
      <c r="B89" s="8"/>
      <c r="C89" s="8"/>
      <c r="D89" s="8"/>
    </row>
    <row r="90" spans="1:4" x14ac:dyDescent="0.3">
      <c r="A90" s="8"/>
      <c r="B90" s="8"/>
      <c r="C90" s="8"/>
      <c r="D90" s="8"/>
    </row>
    <row r="91" spans="1:4" x14ac:dyDescent="0.3">
      <c r="A91" s="8"/>
      <c r="B91" s="8"/>
      <c r="C91" s="8"/>
      <c r="D91" s="8"/>
    </row>
    <row r="92" spans="1:4" x14ac:dyDescent="0.3">
      <c r="A92" s="8"/>
      <c r="B92" s="8"/>
      <c r="C92" s="8"/>
      <c r="D92" s="8"/>
    </row>
    <row r="93" spans="1:4" x14ac:dyDescent="0.3">
      <c r="A93" s="8"/>
      <c r="B93" s="8"/>
      <c r="C93" s="8"/>
      <c r="D93" s="8"/>
    </row>
    <row r="94" spans="1:4" x14ac:dyDescent="0.3">
      <c r="A94" s="8"/>
      <c r="B94" s="8"/>
      <c r="C94" s="8"/>
      <c r="D94" s="8"/>
    </row>
    <row r="95" spans="1:4" x14ac:dyDescent="0.3">
      <c r="A95" s="8"/>
      <c r="B95" s="8"/>
      <c r="C95" s="8"/>
      <c r="D95" s="8"/>
    </row>
    <row r="96" spans="1:4" x14ac:dyDescent="0.3">
      <c r="A96" s="8"/>
      <c r="B96" s="8"/>
      <c r="C96" s="8"/>
      <c r="D96" s="8"/>
    </row>
    <row r="97" spans="1:4" x14ac:dyDescent="0.3">
      <c r="A97" s="8"/>
      <c r="B97" s="8"/>
      <c r="C97" s="8"/>
      <c r="D97" s="8"/>
    </row>
    <row r="98" spans="1:4" x14ac:dyDescent="0.3">
      <c r="A98" s="8"/>
      <c r="B98" s="8"/>
      <c r="C98" s="8"/>
      <c r="D98" s="8"/>
    </row>
    <row r="99" spans="1:4" x14ac:dyDescent="0.3">
      <c r="A99" s="8"/>
      <c r="B99" s="8"/>
      <c r="C99" s="8"/>
      <c r="D99" s="8"/>
    </row>
    <row r="100" spans="1:4" x14ac:dyDescent="0.3">
      <c r="A100" s="8"/>
      <c r="B100" s="8"/>
      <c r="C100" s="8"/>
      <c r="D100" s="8"/>
    </row>
    <row r="101" spans="1:4" x14ac:dyDescent="0.3">
      <c r="A101" s="8"/>
      <c r="B101" s="8"/>
      <c r="C101" s="8"/>
      <c r="D101" s="8"/>
    </row>
    <row r="102" spans="1:4" x14ac:dyDescent="0.3">
      <c r="A102" s="8"/>
      <c r="B102" s="8"/>
      <c r="C102" s="8"/>
      <c r="D102" s="8"/>
    </row>
    <row r="103" spans="1:4" x14ac:dyDescent="0.3">
      <c r="A103" s="8"/>
      <c r="B103" s="8"/>
      <c r="C103" s="8"/>
      <c r="D103" s="8"/>
    </row>
    <row r="104" spans="1:4" x14ac:dyDescent="0.3">
      <c r="A104" s="8"/>
      <c r="B104" s="8"/>
      <c r="C104" s="8"/>
      <c r="D104" s="8"/>
    </row>
    <row r="105" spans="1:4" x14ac:dyDescent="0.3">
      <c r="A105" s="8"/>
      <c r="B105" s="8"/>
      <c r="C105" s="8"/>
      <c r="D105" s="8"/>
    </row>
    <row r="106" spans="1:4" x14ac:dyDescent="0.3">
      <c r="A106" s="8"/>
      <c r="B106" s="8"/>
      <c r="C106" s="8"/>
      <c r="D106" s="8"/>
    </row>
    <row r="107" spans="1:4" x14ac:dyDescent="0.3">
      <c r="A107" s="8"/>
      <c r="B107" s="8"/>
      <c r="C107" s="8"/>
      <c r="D107" s="8"/>
    </row>
    <row r="108" spans="1:4" x14ac:dyDescent="0.3">
      <c r="A108" s="8"/>
      <c r="B108" s="8"/>
      <c r="C108" s="8"/>
      <c r="D108" s="8"/>
    </row>
    <row r="109" spans="1:4" x14ac:dyDescent="0.3">
      <c r="A109" s="8"/>
      <c r="B109" s="8"/>
      <c r="C109" s="8"/>
      <c r="D109" s="8"/>
    </row>
    <row r="110" spans="1:4" x14ac:dyDescent="0.3">
      <c r="A110" s="8"/>
      <c r="B110" s="8"/>
      <c r="C110" s="8"/>
      <c r="D110" s="8"/>
    </row>
    <row r="111" spans="1:4" x14ac:dyDescent="0.3">
      <c r="A111" s="8"/>
      <c r="B111" s="8"/>
      <c r="C111" s="8"/>
      <c r="D111" s="8"/>
    </row>
    <row r="112" spans="1:4" x14ac:dyDescent="0.3">
      <c r="A112" s="8"/>
      <c r="B112" s="8"/>
      <c r="C112" s="8"/>
      <c r="D112" s="8"/>
    </row>
    <row r="113" spans="1:4" x14ac:dyDescent="0.3">
      <c r="A113" s="8"/>
      <c r="B113" s="8"/>
      <c r="C113" s="8"/>
      <c r="D113" s="8"/>
    </row>
    <row r="114" spans="1:4" x14ac:dyDescent="0.3">
      <c r="A114" s="8"/>
      <c r="B114" s="8"/>
      <c r="C114" s="8"/>
      <c r="D114" s="8"/>
    </row>
    <row r="115" spans="1:4" x14ac:dyDescent="0.3">
      <c r="A115" s="8"/>
      <c r="B115" s="8"/>
      <c r="C115" s="8"/>
      <c r="D115" s="8"/>
    </row>
    <row r="116" spans="1:4" x14ac:dyDescent="0.3">
      <c r="A116" s="8"/>
      <c r="B116" s="8"/>
      <c r="C116" s="8"/>
      <c r="D116" s="8"/>
    </row>
    <row r="117" spans="1:4" x14ac:dyDescent="0.3">
      <c r="A117" s="8"/>
      <c r="B117" s="8"/>
      <c r="C117" s="8"/>
      <c r="D117" s="8"/>
    </row>
    <row r="118" spans="1:4" x14ac:dyDescent="0.3">
      <c r="A118" s="8"/>
      <c r="B118" s="8"/>
      <c r="C118" s="8"/>
      <c r="D118" s="8"/>
    </row>
    <row r="119" spans="1:4" x14ac:dyDescent="0.3">
      <c r="A119" s="8"/>
      <c r="B119" s="8"/>
      <c r="C119" s="8"/>
      <c r="D119" s="8"/>
    </row>
    <row r="120" spans="1:4" x14ac:dyDescent="0.3">
      <c r="A120" s="8"/>
      <c r="B120" s="8"/>
      <c r="C120" s="8"/>
      <c r="D120" s="8"/>
    </row>
    <row r="121" spans="1:4" x14ac:dyDescent="0.3">
      <c r="A121" s="8"/>
      <c r="B121" s="8"/>
      <c r="C121" s="8"/>
      <c r="D121" s="8"/>
    </row>
    <row r="122" spans="1:4" x14ac:dyDescent="0.3">
      <c r="A122" s="8"/>
      <c r="B122" s="8"/>
      <c r="C122" s="8"/>
      <c r="D122" s="8"/>
    </row>
    <row r="123" spans="1:4" x14ac:dyDescent="0.3">
      <c r="A123" s="8"/>
      <c r="B123" s="8"/>
      <c r="C123" s="8"/>
      <c r="D123" s="8"/>
    </row>
    <row r="124" spans="1:4" x14ac:dyDescent="0.3">
      <c r="A124" s="8"/>
      <c r="B124" s="8"/>
      <c r="C124" s="8"/>
      <c r="D124" s="8"/>
    </row>
    <row r="125" spans="1:4" x14ac:dyDescent="0.3">
      <c r="A125" s="8"/>
      <c r="B125" s="8"/>
      <c r="C125" s="8"/>
      <c r="D125" s="8"/>
    </row>
    <row r="126" spans="1:4" x14ac:dyDescent="0.3">
      <c r="A126" s="8"/>
      <c r="B126" s="8"/>
      <c r="C126" s="8"/>
      <c r="D126" s="8"/>
    </row>
    <row r="127" spans="1:4" x14ac:dyDescent="0.3">
      <c r="A127" s="8"/>
      <c r="B127" s="8"/>
      <c r="C127" s="8"/>
      <c r="D127" s="8"/>
    </row>
    <row r="128" spans="1:4" x14ac:dyDescent="0.3">
      <c r="A128" s="8"/>
      <c r="B128" s="8"/>
      <c r="C128" s="8"/>
      <c r="D128" s="8"/>
    </row>
    <row r="129" spans="1:4" x14ac:dyDescent="0.3">
      <c r="A129" s="8"/>
      <c r="B129" s="8"/>
      <c r="C129" s="8"/>
      <c r="D129" s="8"/>
    </row>
    <row r="130" spans="1:4" x14ac:dyDescent="0.3">
      <c r="A130" s="8"/>
      <c r="B130" s="8"/>
      <c r="C130" s="8"/>
      <c r="D130" s="8"/>
    </row>
    <row r="131" spans="1:4" x14ac:dyDescent="0.3">
      <c r="A131" s="8"/>
      <c r="B131" s="8"/>
      <c r="C131" s="8"/>
      <c r="D131" s="8"/>
    </row>
    <row r="132" spans="1:4" x14ac:dyDescent="0.3">
      <c r="A132" s="8"/>
      <c r="B132" s="8"/>
      <c r="C132" s="8"/>
      <c r="D132" s="8"/>
    </row>
    <row r="133" spans="1:4" x14ac:dyDescent="0.3">
      <c r="A133" s="8"/>
      <c r="B133" s="8"/>
      <c r="C133" s="8"/>
      <c r="D133" s="8"/>
    </row>
    <row r="134" spans="1:4" x14ac:dyDescent="0.3">
      <c r="A134" s="8"/>
      <c r="B134" s="8"/>
      <c r="C134" s="8"/>
      <c r="D134" s="8"/>
    </row>
    <row r="135" spans="1:4" x14ac:dyDescent="0.3">
      <c r="A135" s="8"/>
      <c r="B135" s="8"/>
      <c r="C135" s="8"/>
      <c r="D135" s="8"/>
    </row>
    <row r="136" spans="1:4" x14ac:dyDescent="0.3">
      <c r="A136" s="8"/>
      <c r="B136" s="8"/>
      <c r="C136" s="8"/>
      <c r="D136" s="8"/>
    </row>
    <row r="137" spans="1:4" x14ac:dyDescent="0.3">
      <c r="A137" s="8"/>
      <c r="B137" s="8"/>
      <c r="C137" s="8"/>
      <c r="D137" s="8"/>
    </row>
    <row r="138" spans="1:4" x14ac:dyDescent="0.3">
      <c r="A138" s="8"/>
      <c r="B138" s="8"/>
      <c r="C138" s="8"/>
      <c r="D138" s="8"/>
    </row>
    <row r="139" spans="1:4" x14ac:dyDescent="0.3">
      <c r="A139" s="8"/>
      <c r="B139" s="8"/>
      <c r="C139" s="8"/>
      <c r="D139" s="8"/>
    </row>
    <row r="140" spans="1:4" x14ac:dyDescent="0.3">
      <c r="A140" s="8"/>
      <c r="B140" s="8"/>
      <c r="C140" s="8"/>
      <c r="D140" s="8"/>
    </row>
    <row r="141" spans="1:4" x14ac:dyDescent="0.3">
      <c r="A141" s="8"/>
      <c r="B141" s="8"/>
      <c r="C141" s="8"/>
      <c r="D141" s="8"/>
    </row>
    <row r="142" spans="1:4" x14ac:dyDescent="0.3">
      <c r="A142" s="8"/>
      <c r="B142" s="8"/>
      <c r="C142" s="8"/>
      <c r="D142" s="8"/>
    </row>
    <row r="143" spans="1:4" x14ac:dyDescent="0.3">
      <c r="A143" s="8"/>
      <c r="B143" s="8"/>
      <c r="C143" s="8"/>
      <c r="D143" s="8"/>
    </row>
    <row r="144" spans="1:4" x14ac:dyDescent="0.3">
      <c r="A144" s="8"/>
      <c r="B144" s="8"/>
      <c r="C144" s="8"/>
      <c r="D144" s="8"/>
    </row>
    <row r="145" spans="1:4" x14ac:dyDescent="0.3">
      <c r="A145" s="8"/>
      <c r="B145" s="8"/>
      <c r="C145" s="8"/>
      <c r="D145" s="8"/>
    </row>
    <row r="146" spans="1:4" x14ac:dyDescent="0.3">
      <c r="A146" s="8"/>
      <c r="B146" s="8"/>
      <c r="C146" s="8"/>
      <c r="D146" s="8"/>
    </row>
    <row r="147" spans="1:4" x14ac:dyDescent="0.3">
      <c r="A147" s="8"/>
      <c r="B147" s="8"/>
      <c r="C147" s="8"/>
      <c r="D147" s="8"/>
    </row>
    <row r="148" spans="1:4" x14ac:dyDescent="0.3">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Z147"/>
  <sheetViews>
    <sheetView topLeftCell="A28" workbookViewId="0">
      <selection activeCell="A38" sqref="A38:XFD40"/>
    </sheetView>
  </sheetViews>
  <sheetFormatPr baseColWidth="10" defaultRowHeight="14.4" x14ac:dyDescent="0.3"/>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36</v>
      </c>
      <c r="B2" s="300"/>
      <c r="C2" s="300">
        <f>'ECONOMIA &amp; PROFESIONES'!$N$3</f>
        <v>1</v>
      </c>
      <c r="D2" s="300"/>
      <c r="E2" s="300" t="s">
        <v>81</v>
      </c>
      <c r="F2" s="300"/>
      <c r="G2" s="300" t="s">
        <v>90</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3">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88">
        <v>1</v>
      </c>
      <c r="V4" s="288" t="str">
        <f>"+"&amp;ROUND(MAIN!$C$55*$C$2*$K$2/5*$U$4,0)&amp;" "&amp;$I$2</f>
        <v>+1 Armor</v>
      </c>
      <c r="W4" s="288" t="str">
        <f>"+"&amp;ROUND(MAIN!$D$55*$C$2*$K$2/5*$U$4,0)&amp;" "&amp;$I$2</f>
        <v>+2 Armor</v>
      </c>
      <c r="X4" s="288" t="str">
        <f>"+"&amp;ROUND(MAIN!$E$55*$C$2*$K$2/5*$U$4,0)&amp;" "&amp;$I$2</f>
        <v>+3 Armor</v>
      </c>
      <c r="Y4" s="288" t="str">
        <f>"+"&amp;ROUND(MAIN!$F$55*$C$2*$K$2/5*$U$4,0)&amp;" "&amp;$I$2</f>
        <v>+4 Armor</v>
      </c>
      <c r="Z4" s="288" t="str">
        <f>"+"&amp;ROUND(MAIN!$G$55*$C$2*$K$2/5*$U$4,0)&amp;" "&amp;$I$2</f>
        <v>+7 Armor</v>
      </c>
    </row>
    <row r="5" spans="1:26" x14ac:dyDescent="0.3">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88">
        <v>2</v>
      </c>
      <c r="V5" s="288" t="str">
        <f>"+"&amp;ROUND(MAIN!$C$55*$C$2*$K$2/5*$U$5,0)&amp;" "&amp;$I$2</f>
        <v>+2 Armor</v>
      </c>
      <c r="W5" s="288" t="str">
        <f>"+"&amp;ROUND(MAIN!$D$55*$C$2*$K$2/5*$U$5,0)&amp;" "&amp;$I$2</f>
        <v>+3 Armor</v>
      </c>
      <c r="X5" s="288" t="str">
        <f>"+"&amp;ROUND(MAIN!$E$55*$C$2*$K$2/5*$U$5,0)&amp;" "&amp;$I$2</f>
        <v>+5 Armor</v>
      </c>
      <c r="Y5" s="288" t="str">
        <f>"+"&amp;ROUND(MAIN!$F$55*$C$2*$K$2/5*$U$5,0)&amp;" "&amp;$I$2</f>
        <v>+9 Armor</v>
      </c>
      <c r="Z5" s="288" t="str">
        <f>"+"&amp;ROUND(MAIN!$G$55*$C$2*$K$2/5*$U$5,0)&amp;" "&amp;$I$2</f>
        <v>+15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+3 Armor</v>
      </c>
      <c r="W6" s="288" t="str">
        <f>"+"&amp;ROUND(MAIN!$D$55*$C$2*$K$2/5*$U$6,0)&amp;" "&amp;$I$2</f>
        <v>+5 Armor</v>
      </c>
      <c r="X6" s="288" t="str">
        <f>"+"&amp;ROUND(MAIN!$E$55*$C$2*$K$2/5*$U$6,0)&amp;" "&amp;$I$2</f>
        <v>+8 Armor</v>
      </c>
      <c r="Y6" s="288" t="str">
        <f>"+"&amp;ROUND(MAIN!$F$55*$C$2*$K$2/5*$U$6,0)&amp;" "&amp;$I$2</f>
        <v>+13 Armor</v>
      </c>
      <c r="Z6" s="288" t="str">
        <f>"+"&amp;ROUND(MAIN!$G$55*$C$2*$K$2/5*$U$6,0)&amp;" "&amp;$I$2</f>
        <v>+22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+4 Armor</v>
      </c>
      <c r="W7" s="288" t="str">
        <f>"+"&amp;ROUND(MAIN!$D$55*$C$2*$K$2/5*$U$7,0)&amp;" "&amp;$I$2</f>
        <v>+6 Armor</v>
      </c>
      <c r="X7" s="288" t="str">
        <f>"+"&amp;ROUND(MAIN!$E$55*$C$2*$K$2/5*$U$7,0)&amp;" "&amp;$I$2</f>
        <v>+10 Armor</v>
      </c>
      <c r="Y7" s="288" t="str">
        <f>"+"&amp;ROUND(MAIN!$F$55*$C$2*$K$2/5*$U$7,0)&amp;" "&amp;$I$2</f>
        <v>+18 Armor</v>
      </c>
      <c r="Z7" s="288" t="str">
        <f>"+"&amp;ROUND(MAIN!$G$55*$C$2*$K$2/5*$U$7,0)&amp;" "&amp;$I$2</f>
        <v>+30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+5 Armor</v>
      </c>
      <c r="W8" s="288" t="str">
        <f>"+"&amp;ROUND(MAIN!$D$55*$C$2*$K$2/5*$U$8,0)&amp;" "&amp;$I$2</f>
        <v>+8 Armor</v>
      </c>
      <c r="X8" s="288" t="str">
        <f>"+"&amp;ROUND(MAIN!$E$55*$C$2*$K$2/5*$U$8,0)&amp;" "&amp;$I$2</f>
        <v>+13 Armor</v>
      </c>
      <c r="Y8" s="288" t="str">
        <f>"+"&amp;ROUND(MAIN!$F$55*$C$2*$K$2/5*$U$8,0)&amp;" "&amp;$I$2</f>
        <v>+22 Armor</v>
      </c>
      <c r="Z8" s="288" t="str">
        <f>"+"&amp;ROUND(MAIN!$G$55*$C$2*$K$2/5*$U$8,0)&amp;" "&amp;$I$2</f>
        <v>+37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3">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3">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3">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3">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3">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3">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3">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3">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3">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3">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3">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3">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3">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3">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3">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3">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3">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3">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3">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3">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3">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3">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3">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3">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3">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3">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3">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3">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3">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3">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3">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3">
      <c r="A45" s="9"/>
    </row>
    <row r="46" spans="1:20" x14ac:dyDescent="0.3">
      <c r="A46" s="8"/>
    </row>
    <row r="47" spans="1:20" x14ac:dyDescent="0.3">
      <c r="A47" s="8"/>
      <c r="E47" s="13"/>
      <c r="F47" s="13"/>
    </row>
    <row r="48" spans="1:20" x14ac:dyDescent="0.3">
      <c r="A48" s="8"/>
      <c r="D48" s="13"/>
      <c r="E48" s="13"/>
      <c r="F48" s="13"/>
    </row>
    <row r="49" spans="1:17" x14ac:dyDescent="0.3">
      <c r="A49" s="8"/>
      <c r="D49" s="13"/>
      <c r="E49" s="13"/>
      <c r="F49" s="13"/>
    </row>
    <row r="50" spans="1:17" x14ac:dyDescent="0.3">
      <c r="A50" s="8"/>
      <c r="D50" s="13"/>
      <c r="E50" s="13"/>
      <c r="F50" s="13"/>
    </row>
    <row r="51" spans="1:17" x14ac:dyDescent="0.3">
      <c r="A51" s="8"/>
      <c r="D51" s="13"/>
      <c r="G51" s="13"/>
      <c r="H51" s="13"/>
      <c r="I51" s="13"/>
    </row>
    <row r="52" spans="1:17" x14ac:dyDescent="0.3">
      <c r="A52" s="8"/>
      <c r="B52" s="8"/>
      <c r="C52" s="8"/>
      <c r="D52" s="8"/>
      <c r="G52" s="13"/>
      <c r="H52" s="13"/>
      <c r="I52" s="13"/>
    </row>
    <row r="53" spans="1:17" x14ac:dyDescent="0.3">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3">
      <c r="A54" s="8"/>
      <c r="B54" s="8"/>
      <c r="C54" s="8"/>
      <c r="D54" s="8"/>
      <c r="G54" s="13"/>
      <c r="H54" s="13"/>
      <c r="I54" s="13"/>
    </row>
    <row r="55" spans="1:17" x14ac:dyDescent="0.3">
      <c r="A55" s="8"/>
      <c r="B55" s="8"/>
      <c r="C55" s="8"/>
      <c r="D55" s="8"/>
    </row>
    <row r="56" spans="1:17" x14ac:dyDescent="0.3">
      <c r="A56" s="8"/>
      <c r="B56" s="8"/>
      <c r="C56" s="8"/>
      <c r="D56" s="8"/>
    </row>
    <row r="57" spans="1:17" x14ac:dyDescent="0.3">
      <c r="A57" s="8"/>
      <c r="B57" s="8"/>
      <c r="C57" s="8"/>
      <c r="D57" s="8"/>
    </row>
    <row r="58" spans="1:17" x14ac:dyDescent="0.3">
      <c r="A58" s="8"/>
      <c r="B58" s="8"/>
      <c r="C58" s="8"/>
      <c r="D58" s="8"/>
    </row>
    <row r="59" spans="1:17" x14ac:dyDescent="0.3">
      <c r="A59" s="8"/>
      <c r="B59" s="8"/>
      <c r="C59" s="8"/>
      <c r="D59" s="8"/>
    </row>
    <row r="60" spans="1:17" x14ac:dyDescent="0.3">
      <c r="A60" s="8"/>
      <c r="B60" s="8"/>
      <c r="C60" s="8"/>
      <c r="D60" s="8"/>
    </row>
    <row r="61" spans="1:17" x14ac:dyDescent="0.3">
      <c r="A61" s="8"/>
      <c r="B61" s="8"/>
      <c r="C61" s="8"/>
      <c r="D61" s="8"/>
    </row>
    <row r="62" spans="1:17" x14ac:dyDescent="0.3">
      <c r="A62" s="8"/>
      <c r="B62" s="8"/>
      <c r="C62" s="8"/>
      <c r="D62" s="8"/>
    </row>
    <row r="63" spans="1:17" x14ac:dyDescent="0.3">
      <c r="A63" s="8"/>
      <c r="B63" s="8"/>
      <c r="C63" s="8"/>
      <c r="D63" s="8"/>
    </row>
    <row r="64" spans="1:17" x14ac:dyDescent="0.3">
      <c r="A64" s="8"/>
      <c r="B64" s="8"/>
      <c r="C64" s="8"/>
      <c r="D64" s="8"/>
    </row>
    <row r="65" spans="1:17" x14ac:dyDescent="0.3">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3">
      <c r="A66" s="8"/>
      <c r="B66" s="8"/>
      <c r="C66" s="8"/>
      <c r="D66" s="8"/>
    </row>
    <row r="67" spans="1:17" x14ac:dyDescent="0.3">
      <c r="A67" s="8"/>
      <c r="B67" s="8"/>
      <c r="C67" s="8"/>
      <c r="D67" s="8"/>
    </row>
    <row r="68" spans="1:17" x14ac:dyDescent="0.3">
      <c r="A68" s="8"/>
      <c r="B68" s="8"/>
      <c r="C68" s="8"/>
      <c r="D68" s="8"/>
    </row>
    <row r="69" spans="1:17" x14ac:dyDescent="0.3">
      <c r="A69" s="8"/>
      <c r="B69" s="8"/>
      <c r="C69" s="8"/>
      <c r="D69" s="8"/>
    </row>
    <row r="70" spans="1:17" x14ac:dyDescent="0.3">
      <c r="A70" s="8"/>
      <c r="B70" s="8"/>
      <c r="C70" s="8"/>
      <c r="D70" s="8"/>
    </row>
    <row r="71" spans="1:17" x14ac:dyDescent="0.3">
      <c r="A71" s="8"/>
      <c r="B71" s="8"/>
      <c r="C71" s="8"/>
      <c r="D71" s="8"/>
    </row>
    <row r="72" spans="1:17" x14ac:dyDescent="0.3">
      <c r="A72" s="8"/>
      <c r="B72" s="8"/>
      <c r="C72" s="8"/>
      <c r="D72" s="8"/>
    </row>
    <row r="73" spans="1:17" x14ac:dyDescent="0.3">
      <c r="A73" s="8"/>
      <c r="B73" s="8"/>
      <c r="C73" s="8"/>
      <c r="D73" s="8"/>
    </row>
    <row r="74" spans="1:17" x14ac:dyDescent="0.3">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3">
      <c r="A75" s="8"/>
      <c r="B75" s="8"/>
      <c r="C75" s="8"/>
      <c r="D75" s="8"/>
    </row>
    <row r="76" spans="1:17" x14ac:dyDescent="0.3">
      <c r="A76" s="8"/>
      <c r="B76" s="8"/>
      <c r="C76" s="8"/>
      <c r="D76" s="8"/>
    </row>
    <row r="77" spans="1:17" x14ac:dyDescent="0.3">
      <c r="A77" s="8"/>
      <c r="B77" s="8"/>
      <c r="C77" s="8"/>
      <c r="D77" s="8"/>
    </row>
    <row r="78" spans="1:17" x14ac:dyDescent="0.3">
      <c r="A78" s="8"/>
      <c r="B78" s="8"/>
      <c r="C78" s="8"/>
      <c r="D78" s="8"/>
    </row>
    <row r="79" spans="1:17" x14ac:dyDescent="0.3">
      <c r="A79" s="8"/>
      <c r="B79" s="8"/>
      <c r="C79" s="8"/>
      <c r="D79" s="8"/>
    </row>
    <row r="80" spans="1:17" x14ac:dyDescent="0.3">
      <c r="A80" s="8"/>
      <c r="B80" s="8"/>
      <c r="C80" s="8"/>
      <c r="D80" s="8"/>
    </row>
    <row r="81" spans="1:4" x14ac:dyDescent="0.3">
      <c r="A81" s="8"/>
      <c r="B81" s="8"/>
      <c r="C81" s="8"/>
      <c r="D81" s="8"/>
    </row>
    <row r="82" spans="1:4" x14ac:dyDescent="0.3">
      <c r="A82" s="8"/>
      <c r="B82" s="8"/>
      <c r="C82" s="8"/>
      <c r="D82" s="8"/>
    </row>
    <row r="83" spans="1:4" x14ac:dyDescent="0.3">
      <c r="A83" s="8"/>
      <c r="B83" s="8"/>
      <c r="C83" s="8"/>
      <c r="D83" s="8"/>
    </row>
    <row r="84" spans="1:4" x14ac:dyDescent="0.3">
      <c r="A84" s="8"/>
      <c r="B84" s="8"/>
      <c r="C84" s="8"/>
      <c r="D84" s="8"/>
    </row>
    <row r="85" spans="1:4" x14ac:dyDescent="0.3">
      <c r="A85" s="8"/>
      <c r="B85" s="8"/>
      <c r="C85" s="8"/>
      <c r="D85" s="8"/>
    </row>
    <row r="86" spans="1:4" x14ac:dyDescent="0.3">
      <c r="A86" s="8"/>
      <c r="B86" s="8"/>
      <c r="C86" s="8"/>
      <c r="D86" s="8"/>
    </row>
    <row r="87" spans="1:4" x14ac:dyDescent="0.3">
      <c r="A87" s="8"/>
      <c r="B87" s="8"/>
      <c r="C87" s="8"/>
      <c r="D87" s="8"/>
    </row>
    <row r="88" spans="1:4" x14ac:dyDescent="0.3">
      <c r="A88" s="8"/>
      <c r="B88" s="8"/>
      <c r="C88" s="8"/>
      <c r="D88" s="8"/>
    </row>
    <row r="89" spans="1:4" x14ac:dyDescent="0.3">
      <c r="A89" s="8"/>
      <c r="B89" s="8"/>
      <c r="C89" s="8"/>
      <c r="D89" s="8"/>
    </row>
    <row r="90" spans="1:4" x14ac:dyDescent="0.3">
      <c r="A90" s="8"/>
      <c r="B90" s="8"/>
      <c r="C90" s="8"/>
      <c r="D90" s="8"/>
    </row>
    <row r="91" spans="1:4" x14ac:dyDescent="0.3">
      <c r="A91" s="8"/>
      <c r="B91" s="8"/>
      <c r="C91" s="8"/>
      <c r="D91" s="8"/>
    </row>
    <row r="92" spans="1:4" x14ac:dyDescent="0.3">
      <c r="A92" s="8"/>
      <c r="B92" s="8"/>
      <c r="C92" s="8"/>
      <c r="D92" s="8"/>
    </row>
    <row r="93" spans="1:4" x14ac:dyDescent="0.3">
      <c r="A93" s="8"/>
      <c r="B93" s="8"/>
      <c r="C93" s="8"/>
      <c r="D93" s="8"/>
    </row>
    <row r="94" spans="1:4" x14ac:dyDescent="0.3">
      <c r="A94" s="8"/>
      <c r="B94" s="8"/>
      <c r="C94" s="8"/>
      <c r="D94" s="8"/>
    </row>
    <row r="95" spans="1:4" x14ac:dyDescent="0.3">
      <c r="A95" s="8"/>
      <c r="B95" s="8"/>
      <c r="C95" s="8"/>
      <c r="D95" s="8"/>
    </row>
    <row r="96" spans="1:4" x14ac:dyDescent="0.3">
      <c r="A96" s="8"/>
      <c r="B96" s="8"/>
      <c r="C96" s="8"/>
      <c r="D96" s="8"/>
    </row>
    <row r="97" spans="1:4" x14ac:dyDescent="0.3">
      <c r="A97" s="8"/>
      <c r="B97" s="8"/>
      <c r="C97" s="8"/>
      <c r="D97" s="8"/>
    </row>
    <row r="98" spans="1:4" x14ac:dyDescent="0.3">
      <c r="A98" s="8"/>
      <c r="B98" s="8"/>
      <c r="C98" s="8"/>
      <c r="D98" s="8"/>
    </row>
    <row r="99" spans="1:4" x14ac:dyDescent="0.3">
      <c r="A99" s="8"/>
      <c r="B99" s="8"/>
      <c r="C99" s="8"/>
      <c r="D99" s="8"/>
    </row>
    <row r="100" spans="1:4" x14ac:dyDescent="0.3">
      <c r="A100" s="8"/>
      <c r="B100" s="8"/>
      <c r="C100" s="8"/>
      <c r="D100" s="8"/>
    </row>
    <row r="101" spans="1:4" x14ac:dyDescent="0.3">
      <c r="A101" s="8"/>
      <c r="B101" s="8"/>
      <c r="C101" s="8"/>
      <c r="D101" s="8"/>
    </row>
    <row r="102" spans="1:4" x14ac:dyDescent="0.3">
      <c r="A102" s="8"/>
      <c r="B102" s="8"/>
      <c r="C102" s="8"/>
      <c r="D102" s="8"/>
    </row>
    <row r="103" spans="1:4" x14ac:dyDescent="0.3">
      <c r="A103" s="8"/>
      <c r="B103" s="8"/>
      <c r="C103" s="8"/>
      <c r="D103" s="8"/>
    </row>
    <row r="104" spans="1:4" x14ac:dyDescent="0.3">
      <c r="A104" s="8"/>
      <c r="B104" s="8"/>
      <c r="C104" s="8"/>
      <c r="D104" s="8"/>
    </row>
    <row r="105" spans="1:4" x14ac:dyDescent="0.3">
      <c r="A105" s="8"/>
      <c r="B105" s="8"/>
      <c r="C105" s="8"/>
      <c r="D105" s="8"/>
    </row>
    <row r="106" spans="1:4" x14ac:dyDescent="0.3">
      <c r="A106" s="8"/>
      <c r="B106" s="8"/>
      <c r="C106" s="8"/>
      <c r="D106" s="8"/>
    </row>
    <row r="107" spans="1:4" x14ac:dyDescent="0.3">
      <c r="A107" s="8"/>
      <c r="B107" s="8"/>
      <c r="C107" s="8"/>
      <c r="D107" s="8"/>
    </row>
    <row r="108" spans="1:4" x14ac:dyDescent="0.3">
      <c r="A108" s="8"/>
      <c r="B108" s="8"/>
      <c r="C108" s="8"/>
      <c r="D108" s="8"/>
    </row>
    <row r="109" spans="1:4" x14ac:dyDescent="0.3">
      <c r="A109" s="8"/>
      <c r="B109" s="8"/>
      <c r="C109" s="8"/>
      <c r="D109" s="8"/>
    </row>
    <row r="110" spans="1:4" x14ac:dyDescent="0.3">
      <c r="A110" s="8"/>
      <c r="B110" s="8"/>
      <c r="C110" s="8"/>
      <c r="D110" s="8"/>
    </row>
    <row r="111" spans="1:4" x14ac:dyDescent="0.3">
      <c r="A111" s="8"/>
      <c r="B111" s="8"/>
      <c r="C111" s="8"/>
      <c r="D111" s="8"/>
    </row>
    <row r="112" spans="1:4" x14ac:dyDescent="0.3">
      <c r="A112" s="8"/>
      <c r="B112" s="8"/>
      <c r="C112" s="8"/>
      <c r="D112" s="8"/>
    </row>
    <row r="113" spans="1:4" x14ac:dyDescent="0.3">
      <c r="A113" s="8"/>
      <c r="B113" s="8"/>
      <c r="C113" s="8"/>
      <c r="D113" s="8"/>
    </row>
    <row r="114" spans="1:4" x14ac:dyDescent="0.3">
      <c r="A114" s="8"/>
      <c r="B114" s="8"/>
      <c r="C114" s="8"/>
      <c r="D114" s="8"/>
    </row>
    <row r="115" spans="1:4" x14ac:dyDescent="0.3">
      <c r="A115" s="8"/>
      <c r="B115" s="8"/>
      <c r="C115" s="8"/>
      <c r="D115" s="8"/>
    </row>
    <row r="116" spans="1:4" x14ac:dyDescent="0.3">
      <c r="A116" s="8"/>
      <c r="B116" s="8"/>
      <c r="C116" s="8"/>
      <c r="D116" s="8"/>
    </row>
    <row r="117" spans="1:4" x14ac:dyDescent="0.3">
      <c r="A117" s="8"/>
      <c r="B117" s="8"/>
      <c r="C117" s="8"/>
      <c r="D117" s="8"/>
    </row>
    <row r="118" spans="1:4" x14ac:dyDescent="0.3">
      <c r="A118" s="8"/>
      <c r="B118" s="8"/>
      <c r="C118" s="8"/>
      <c r="D118" s="8"/>
    </row>
    <row r="119" spans="1:4" x14ac:dyDescent="0.3">
      <c r="A119" s="8"/>
      <c r="B119" s="8"/>
      <c r="C119" s="8"/>
      <c r="D119" s="8"/>
    </row>
    <row r="120" spans="1:4" x14ac:dyDescent="0.3">
      <c r="A120" s="8"/>
      <c r="B120" s="8"/>
      <c r="C120" s="8"/>
      <c r="D120" s="8"/>
    </row>
    <row r="121" spans="1:4" x14ac:dyDescent="0.3">
      <c r="A121" s="8"/>
      <c r="B121" s="8"/>
      <c r="C121" s="8"/>
      <c r="D121" s="8"/>
    </row>
    <row r="122" spans="1:4" x14ac:dyDescent="0.3">
      <c r="A122" s="8"/>
      <c r="B122" s="8"/>
      <c r="C122" s="8"/>
      <c r="D122" s="8"/>
    </row>
    <row r="123" spans="1:4" x14ac:dyDescent="0.3">
      <c r="A123" s="8"/>
      <c r="B123" s="8"/>
      <c r="C123" s="8"/>
      <c r="D123" s="8"/>
    </row>
    <row r="124" spans="1:4" x14ac:dyDescent="0.3">
      <c r="A124" s="8"/>
      <c r="B124" s="8"/>
      <c r="C124" s="8"/>
      <c r="D124" s="8"/>
    </row>
    <row r="125" spans="1:4" x14ac:dyDescent="0.3">
      <c r="A125" s="8"/>
      <c r="B125" s="8"/>
      <c r="C125" s="8"/>
      <c r="D125" s="8"/>
    </row>
    <row r="126" spans="1:4" x14ac:dyDescent="0.3">
      <c r="A126" s="8"/>
      <c r="B126" s="8"/>
      <c r="C126" s="8"/>
      <c r="D126" s="8"/>
    </row>
    <row r="127" spans="1:4" x14ac:dyDescent="0.3">
      <c r="A127" s="8"/>
      <c r="B127" s="8"/>
      <c r="C127" s="8"/>
      <c r="D127" s="8"/>
    </row>
    <row r="128" spans="1:4" x14ac:dyDescent="0.3">
      <c r="A128" s="8"/>
      <c r="B128" s="8"/>
      <c r="C128" s="8"/>
      <c r="D128" s="8"/>
    </row>
    <row r="129" spans="1:4" x14ac:dyDescent="0.3">
      <c r="A129" s="8"/>
      <c r="B129" s="8"/>
      <c r="C129" s="8"/>
      <c r="D129" s="8"/>
    </row>
    <row r="130" spans="1:4" x14ac:dyDescent="0.3">
      <c r="A130" s="8"/>
      <c r="B130" s="8"/>
      <c r="C130" s="8"/>
      <c r="D130" s="8"/>
    </row>
    <row r="131" spans="1:4" x14ac:dyDescent="0.3">
      <c r="A131" s="8"/>
      <c r="B131" s="8"/>
      <c r="C131" s="8"/>
      <c r="D131" s="8"/>
    </row>
    <row r="132" spans="1:4" x14ac:dyDescent="0.3">
      <c r="A132" s="8"/>
      <c r="B132" s="8"/>
      <c r="C132" s="8"/>
      <c r="D132" s="8"/>
    </row>
    <row r="133" spans="1:4" x14ac:dyDescent="0.3">
      <c r="A133" s="8"/>
      <c r="B133" s="8"/>
      <c r="C133" s="8"/>
      <c r="D133" s="8"/>
    </row>
    <row r="134" spans="1:4" x14ac:dyDescent="0.3">
      <c r="A134" s="8"/>
      <c r="B134" s="8"/>
      <c r="C134" s="8"/>
      <c r="D134" s="8"/>
    </row>
    <row r="135" spans="1:4" x14ac:dyDescent="0.3">
      <c r="A135" s="8"/>
      <c r="B135" s="8"/>
      <c r="C135" s="8"/>
      <c r="D135" s="8"/>
    </row>
    <row r="136" spans="1:4" x14ac:dyDescent="0.3">
      <c r="A136" s="8"/>
      <c r="B136" s="8"/>
      <c r="C136" s="8"/>
      <c r="D136" s="8"/>
    </row>
    <row r="137" spans="1:4" x14ac:dyDescent="0.3">
      <c r="A137" s="8"/>
      <c r="B137" s="8"/>
      <c r="C137" s="8"/>
      <c r="D137" s="8"/>
    </row>
    <row r="138" spans="1:4" x14ac:dyDescent="0.3">
      <c r="A138" s="8"/>
      <c r="B138" s="8"/>
      <c r="C138" s="8"/>
      <c r="D138" s="8"/>
    </row>
    <row r="139" spans="1:4" x14ac:dyDescent="0.3">
      <c r="A139" s="8"/>
      <c r="B139" s="8"/>
      <c r="C139" s="8"/>
      <c r="D139" s="8"/>
    </row>
    <row r="140" spans="1:4" x14ac:dyDescent="0.3">
      <c r="A140" s="8"/>
      <c r="B140" s="8"/>
      <c r="C140" s="8"/>
      <c r="D140" s="8"/>
    </row>
    <row r="141" spans="1:4" x14ac:dyDescent="0.3">
      <c r="A141" s="8"/>
      <c r="B141" s="8"/>
      <c r="C141" s="8"/>
      <c r="D141" s="8"/>
    </row>
    <row r="142" spans="1:4" x14ac:dyDescent="0.3">
      <c r="A142" s="8"/>
      <c r="B142" s="8"/>
      <c r="C142" s="8"/>
      <c r="D142" s="8"/>
    </row>
    <row r="143" spans="1:4" x14ac:dyDescent="0.3">
      <c r="A143" s="8"/>
      <c r="B143" s="8"/>
      <c r="C143" s="8"/>
      <c r="D143" s="8"/>
    </row>
    <row r="144" spans="1:4" x14ac:dyDescent="0.3">
      <c r="A144" s="8"/>
      <c r="B144" s="8"/>
      <c r="C144" s="8"/>
      <c r="D144" s="8"/>
    </row>
    <row r="145" spans="1:4" x14ac:dyDescent="0.3">
      <c r="A145" s="8"/>
      <c r="B145" s="8"/>
      <c r="C145" s="8"/>
      <c r="D145" s="8"/>
    </row>
    <row r="146" spans="1:4" x14ac:dyDescent="0.3">
      <c r="A146" s="8"/>
      <c r="B146" s="8"/>
      <c r="C146" s="8"/>
      <c r="D146" s="8"/>
    </row>
    <row r="147" spans="1:4" x14ac:dyDescent="0.3">
      <c r="A147" s="8"/>
      <c r="B147" s="8"/>
      <c r="C147" s="8"/>
      <c r="D147"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Z148"/>
  <sheetViews>
    <sheetView topLeftCell="A25" workbookViewId="0">
      <selection activeCell="A38" sqref="A38:XFD40"/>
    </sheetView>
  </sheetViews>
  <sheetFormatPr baseColWidth="10" defaultRowHeight="14.4" x14ac:dyDescent="0.3"/>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36</v>
      </c>
      <c r="B2" s="300"/>
      <c r="C2" s="300">
        <f>'ECONOMIA &amp; PROFESIONES'!$N$3</f>
        <v>1</v>
      </c>
      <c r="D2" s="300"/>
      <c r="E2" s="300" t="s">
        <v>81</v>
      </c>
      <c r="F2" s="300"/>
      <c r="G2" s="300" t="s">
        <v>90</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3">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3">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3">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3">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3">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3">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3">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3">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3">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3">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3">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3">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3">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3">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3">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3">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3">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3">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3">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3">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3">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3">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3">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3">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3">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3">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90" customFormat="1" x14ac:dyDescent="0.3">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3">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3">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3">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3">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3">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3">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3">
      <c r="A45" s="9"/>
      <c r="B45" s="9"/>
      <c r="C45" s="9"/>
      <c r="D45" s="9"/>
    </row>
    <row r="46" spans="1:20" x14ac:dyDescent="0.3">
      <c r="A46" s="9"/>
      <c r="B46" s="9"/>
      <c r="C46" s="9"/>
      <c r="D46" s="9"/>
    </row>
    <row r="47" spans="1:20" x14ac:dyDescent="0.3">
      <c r="A47" s="8"/>
    </row>
    <row r="48" spans="1:20" x14ac:dyDescent="0.3">
      <c r="A48" s="8"/>
      <c r="E48" s="13"/>
      <c r="F48" s="13"/>
    </row>
    <row r="49" spans="1:9" x14ac:dyDescent="0.3">
      <c r="A49" s="8"/>
      <c r="D49" s="13"/>
      <c r="E49" s="13"/>
      <c r="F49" s="13"/>
    </row>
    <row r="50" spans="1:9" x14ac:dyDescent="0.3">
      <c r="A50" s="8"/>
      <c r="D50" s="13"/>
      <c r="E50" s="13"/>
      <c r="F50" s="13"/>
    </row>
    <row r="51" spans="1:9" x14ac:dyDescent="0.3">
      <c r="A51" s="8"/>
      <c r="D51" s="13"/>
      <c r="G51" s="13"/>
      <c r="H51" s="13"/>
      <c r="I51" s="13"/>
    </row>
    <row r="52" spans="1:9" x14ac:dyDescent="0.3">
      <c r="A52" s="8"/>
      <c r="B52" s="8"/>
      <c r="C52" s="8"/>
      <c r="D52" s="8"/>
      <c r="G52" s="13"/>
      <c r="H52" s="13"/>
      <c r="I52" s="13"/>
    </row>
    <row r="53" spans="1:9" x14ac:dyDescent="0.3">
      <c r="A53" s="8"/>
      <c r="B53" s="8"/>
      <c r="C53" s="8"/>
      <c r="D53" s="8"/>
      <c r="G53" s="13"/>
      <c r="H53" s="13"/>
      <c r="I53" s="13"/>
    </row>
    <row r="54" spans="1:9" x14ac:dyDescent="0.3">
      <c r="A54" s="8"/>
      <c r="B54" s="8"/>
      <c r="C54" s="8"/>
      <c r="D54" s="8"/>
      <c r="G54" s="13"/>
      <c r="H54" s="13"/>
      <c r="I54" s="13"/>
    </row>
    <row r="55" spans="1:9" x14ac:dyDescent="0.3">
      <c r="A55" s="8"/>
      <c r="B55" s="8"/>
      <c r="C55" s="8"/>
      <c r="D55" s="8"/>
      <c r="G55" s="13"/>
      <c r="H55" s="13"/>
      <c r="I55" s="13"/>
    </row>
    <row r="56" spans="1:9" x14ac:dyDescent="0.3">
      <c r="A56" s="8"/>
      <c r="B56" s="8"/>
      <c r="C56" s="8"/>
      <c r="D56" s="8"/>
    </row>
    <row r="57" spans="1:9" x14ac:dyDescent="0.3">
      <c r="A57" s="8"/>
      <c r="B57" s="8"/>
      <c r="C57" s="8"/>
      <c r="D57" s="8"/>
    </row>
    <row r="58" spans="1:9" x14ac:dyDescent="0.3">
      <c r="A58" s="8"/>
      <c r="B58" s="8"/>
      <c r="C58" s="8"/>
      <c r="D58" s="8"/>
    </row>
    <row r="59" spans="1:9" x14ac:dyDescent="0.3">
      <c r="A59" s="8"/>
      <c r="B59" s="8"/>
      <c r="C59" s="8"/>
      <c r="D59" s="8"/>
    </row>
    <row r="60" spans="1:9" x14ac:dyDescent="0.3">
      <c r="A60" s="8"/>
      <c r="B60" s="8"/>
      <c r="C60" s="8"/>
      <c r="D60" s="8"/>
    </row>
    <row r="61" spans="1:9" x14ac:dyDescent="0.3">
      <c r="A61" s="8"/>
      <c r="B61" s="8"/>
      <c r="C61" s="8"/>
      <c r="D61" s="8"/>
    </row>
    <row r="62" spans="1:9" x14ac:dyDescent="0.3">
      <c r="A62" s="8"/>
      <c r="B62" s="8"/>
      <c r="C62" s="8"/>
      <c r="D62" s="8"/>
    </row>
    <row r="63" spans="1:9" x14ac:dyDescent="0.3">
      <c r="A63" s="8"/>
      <c r="B63" s="8"/>
      <c r="C63" s="8"/>
      <c r="D63" s="8"/>
    </row>
    <row r="64" spans="1:9" x14ac:dyDescent="0.3">
      <c r="A64" s="8"/>
      <c r="B64" s="8"/>
      <c r="C64" s="8"/>
      <c r="D64" s="8"/>
    </row>
    <row r="65" spans="1:4" x14ac:dyDescent="0.3">
      <c r="A65" s="8"/>
      <c r="B65" s="8"/>
      <c r="C65" s="8"/>
      <c r="D65" s="8"/>
    </row>
    <row r="66" spans="1:4" x14ac:dyDescent="0.3">
      <c r="A66" s="8"/>
      <c r="B66" s="8"/>
      <c r="C66" s="8"/>
      <c r="D66" s="8"/>
    </row>
    <row r="67" spans="1:4" x14ac:dyDescent="0.3">
      <c r="A67" s="8"/>
      <c r="B67" s="8"/>
      <c r="C67" s="8"/>
      <c r="D67" s="8"/>
    </row>
    <row r="68" spans="1:4" x14ac:dyDescent="0.3">
      <c r="A68" s="8"/>
      <c r="B68" s="8"/>
      <c r="C68" s="8"/>
      <c r="D68" s="8"/>
    </row>
    <row r="69" spans="1:4" x14ac:dyDescent="0.3">
      <c r="A69" s="8"/>
      <c r="B69" s="8"/>
      <c r="C69" s="8"/>
      <c r="D69" s="8"/>
    </row>
    <row r="70" spans="1:4" x14ac:dyDescent="0.3">
      <c r="A70" s="8"/>
      <c r="B70" s="8"/>
      <c r="C70" s="8"/>
      <c r="D70" s="8"/>
    </row>
    <row r="71" spans="1:4" x14ac:dyDescent="0.3">
      <c r="A71" s="8"/>
      <c r="B71" s="8"/>
      <c r="C71" s="8"/>
      <c r="D71" s="8"/>
    </row>
    <row r="72" spans="1:4" x14ac:dyDescent="0.3">
      <c r="A72" s="8"/>
      <c r="B72" s="8"/>
      <c r="C72" s="8"/>
      <c r="D72" s="8"/>
    </row>
    <row r="73" spans="1:4" x14ac:dyDescent="0.3">
      <c r="A73" s="8"/>
      <c r="B73" s="8"/>
      <c r="C73" s="8"/>
      <c r="D73" s="8"/>
    </row>
    <row r="74" spans="1:4" x14ac:dyDescent="0.3">
      <c r="A74" s="8"/>
      <c r="B74" s="8"/>
      <c r="C74" s="8"/>
      <c r="D74" s="8"/>
    </row>
    <row r="75" spans="1:4" x14ac:dyDescent="0.3">
      <c r="A75" s="8"/>
      <c r="B75" s="8"/>
      <c r="C75" s="8"/>
      <c r="D75" s="8"/>
    </row>
    <row r="76" spans="1:4" x14ac:dyDescent="0.3">
      <c r="A76" s="8"/>
      <c r="B76" s="8"/>
      <c r="C76" s="8"/>
      <c r="D76" s="8"/>
    </row>
    <row r="77" spans="1:4" x14ac:dyDescent="0.3">
      <c r="A77" s="8"/>
      <c r="B77" s="8"/>
      <c r="C77" s="8"/>
      <c r="D77" s="8"/>
    </row>
    <row r="78" spans="1:4" x14ac:dyDescent="0.3">
      <c r="A78" s="8"/>
      <c r="B78" s="8"/>
      <c r="C78" s="8"/>
      <c r="D78" s="8"/>
    </row>
    <row r="79" spans="1:4" x14ac:dyDescent="0.3">
      <c r="A79" s="8"/>
      <c r="B79" s="8"/>
      <c r="C79" s="8"/>
      <c r="D79" s="8"/>
    </row>
    <row r="80" spans="1:4" x14ac:dyDescent="0.3">
      <c r="A80" s="8"/>
      <c r="B80" s="8"/>
      <c r="C80" s="8"/>
      <c r="D80" s="8"/>
    </row>
    <row r="81" spans="1:4" x14ac:dyDescent="0.3">
      <c r="A81" s="8"/>
      <c r="B81" s="8"/>
      <c r="C81" s="8"/>
      <c r="D81" s="8"/>
    </row>
    <row r="82" spans="1:4" x14ac:dyDescent="0.3">
      <c r="A82" s="8"/>
      <c r="B82" s="8"/>
      <c r="C82" s="8"/>
      <c r="D82" s="8"/>
    </row>
    <row r="83" spans="1:4" x14ac:dyDescent="0.3">
      <c r="A83" s="8"/>
      <c r="B83" s="8"/>
      <c r="C83" s="8"/>
      <c r="D83" s="8"/>
    </row>
    <row r="84" spans="1:4" x14ac:dyDescent="0.3">
      <c r="A84" s="8"/>
      <c r="B84" s="8"/>
      <c r="C84" s="8"/>
      <c r="D84" s="8"/>
    </row>
    <row r="85" spans="1:4" x14ac:dyDescent="0.3">
      <c r="A85" s="8"/>
      <c r="B85" s="8"/>
      <c r="C85" s="8"/>
      <c r="D85" s="8"/>
    </row>
    <row r="86" spans="1:4" x14ac:dyDescent="0.3">
      <c r="A86" s="8"/>
      <c r="B86" s="8"/>
      <c r="C86" s="8"/>
      <c r="D86" s="8"/>
    </row>
    <row r="87" spans="1:4" x14ac:dyDescent="0.3">
      <c r="A87" s="8"/>
      <c r="B87" s="8"/>
      <c r="C87" s="8"/>
      <c r="D87" s="8"/>
    </row>
    <row r="88" spans="1:4" x14ac:dyDescent="0.3">
      <c r="A88" s="8"/>
      <c r="B88" s="8"/>
      <c r="C88" s="8"/>
      <c r="D88" s="8"/>
    </row>
    <row r="89" spans="1:4" x14ac:dyDescent="0.3">
      <c r="A89" s="8"/>
      <c r="B89" s="8"/>
      <c r="C89" s="8"/>
      <c r="D89" s="8"/>
    </row>
    <row r="90" spans="1:4" x14ac:dyDescent="0.3">
      <c r="A90" s="8"/>
      <c r="B90" s="8"/>
      <c r="C90" s="8"/>
      <c r="D90" s="8"/>
    </row>
    <row r="91" spans="1:4" x14ac:dyDescent="0.3">
      <c r="A91" s="8"/>
      <c r="B91" s="8"/>
      <c r="C91" s="8"/>
      <c r="D91" s="8"/>
    </row>
    <row r="92" spans="1:4" x14ac:dyDescent="0.3">
      <c r="A92" s="8"/>
      <c r="B92" s="8"/>
      <c r="C92" s="8"/>
      <c r="D92" s="8"/>
    </row>
    <row r="93" spans="1:4" x14ac:dyDescent="0.3">
      <c r="A93" s="8"/>
      <c r="B93" s="8"/>
      <c r="C93" s="8"/>
      <c r="D93" s="8"/>
    </row>
    <row r="94" spans="1:4" x14ac:dyDescent="0.3">
      <c r="A94" s="8"/>
      <c r="B94" s="8"/>
      <c r="C94" s="8"/>
      <c r="D94" s="8"/>
    </row>
    <row r="95" spans="1:4" x14ac:dyDescent="0.3">
      <c r="A95" s="8"/>
      <c r="B95" s="8"/>
      <c r="C95" s="8"/>
      <c r="D95" s="8"/>
    </row>
    <row r="96" spans="1:4" x14ac:dyDescent="0.3">
      <c r="A96" s="8"/>
      <c r="B96" s="8"/>
      <c r="C96" s="8"/>
      <c r="D96" s="8"/>
    </row>
    <row r="97" spans="1:4" x14ac:dyDescent="0.3">
      <c r="A97" s="8"/>
      <c r="B97" s="8"/>
      <c r="C97" s="8"/>
      <c r="D97" s="8"/>
    </row>
    <row r="98" spans="1:4" x14ac:dyDescent="0.3">
      <c r="A98" s="8"/>
      <c r="B98" s="8"/>
      <c r="C98" s="8"/>
      <c r="D98" s="8"/>
    </row>
    <row r="99" spans="1:4" x14ac:dyDescent="0.3">
      <c r="A99" s="8"/>
      <c r="B99" s="8"/>
      <c r="C99" s="8"/>
      <c r="D99" s="8"/>
    </row>
    <row r="100" spans="1:4" x14ac:dyDescent="0.3">
      <c r="A100" s="8"/>
      <c r="B100" s="8"/>
      <c r="C100" s="8"/>
      <c r="D100" s="8"/>
    </row>
    <row r="101" spans="1:4" x14ac:dyDescent="0.3">
      <c r="A101" s="8"/>
      <c r="B101" s="8"/>
      <c r="C101" s="8"/>
      <c r="D101" s="8"/>
    </row>
    <row r="102" spans="1:4" x14ac:dyDescent="0.3">
      <c r="A102" s="8"/>
      <c r="B102" s="8"/>
      <c r="C102" s="8"/>
      <c r="D102" s="8"/>
    </row>
    <row r="103" spans="1:4" x14ac:dyDescent="0.3">
      <c r="A103" s="8"/>
      <c r="B103" s="8"/>
      <c r="C103" s="8"/>
      <c r="D103" s="8"/>
    </row>
    <row r="104" spans="1:4" x14ac:dyDescent="0.3">
      <c r="A104" s="8"/>
      <c r="B104" s="8"/>
      <c r="C104" s="8"/>
      <c r="D104" s="8"/>
    </row>
    <row r="105" spans="1:4" x14ac:dyDescent="0.3">
      <c r="A105" s="8"/>
      <c r="B105" s="8"/>
      <c r="C105" s="8"/>
      <c r="D105" s="8"/>
    </row>
    <row r="106" spans="1:4" x14ac:dyDescent="0.3">
      <c r="A106" s="8"/>
      <c r="B106" s="8"/>
      <c r="C106" s="8"/>
      <c r="D106" s="8"/>
    </row>
    <row r="107" spans="1:4" x14ac:dyDescent="0.3">
      <c r="A107" s="8"/>
      <c r="B107" s="8"/>
      <c r="C107" s="8"/>
      <c r="D107" s="8"/>
    </row>
    <row r="108" spans="1:4" x14ac:dyDescent="0.3">
      <c r="A108" s="8"/>
      <c r="B108" s="8"/>
      <c r="C108" s="8"/>
      <c r="D108" s="8"/>
    </row>
    <row r="109" spans="1:4" x14ac:dyDescent="0.3">
      <c r="A109" s="8"/>
      <c r="B109" s="8"/>
      <c r="C109" s="8"/>
      <c r="D109" s="8"/>
    </row>
    <row r="110" spans="1:4" x14ac:dyDescent="0.3">
      <c r="A110" s="8"/>
      <c r="B110" s="8"/>
      <c r="C110" s="8"/>
      <c r="D110" s="8"/>
    </row>
    <row r="111" spans="1:4" x14ac:dyDescent="0.3">
      <c r="A111" s="8"/>
      <c r="B111" s="8"/>
      <c r="C111" s="8"/>
      <c r="D111" s="8"/>
    </row>
    <row r="112" spans="1:4" x14ac:dyDescent="0.3">
      <c r="A112" s="8"/>
      <c r="B112" s="8"/>
      <c r="C112" s="8"/>
      <c r="D112" s="8"/>
    </row>
    <row r="113" spans="1:4" x14ac:dyDescent="0.3">
      <c r="A113" s="8"/>
      <c r="B113" s="8"/>
      <c r="C113" s="8"/>
      <c r="D113" s="8"/>
    </row>
    <row r="114" spans="1:4" x14ac:dyDescent="0.3">
      <c r="A114" s="8"/>
      <c r="B114" s="8"/>
      <c r="C114" s="8"/>
      <c r="D114" s="8"/>
    </row>
    <row r="115" spans="1:4" x14ac:dyDescent="0.3">
      <c r="A115" s="8"/>
      <c r="B115" s="8"/>
      <c r="C115" s="8"/>
      <c r="D115" s="8"/>
    </row>
    <row r="116" spans="1:4" x14ac:dyDescent="0.3">
      <c r="A116" s="8"/>
      <c r="B116" s="8"/>
      <c r="C116" s="8"/>
      <c r="D116" s="8"/>
    </row>
    <row r="117" spans="1:4" x14ac:dyDescent="0.3">
      <c r="A117" s="8"/>
      <c r="B117" s="8"/>
      <c r="C117" s="8"/>
      <c r="D117" s="8"/>
    </row>
    <row r="118" spans="1:4" x14ac:dyDescent="0.3">
      <c r="A118" s="8"/>
      <c r="B118" s="8"/>
      <c r="C118" s="8"/>
      <c r="D118" s="8"/>
    </row>
    <row r="119" spans="1:4" x14ac:dyDescent="0.3">
      <c r="A119" s="8"/>
      <c r="B119" s="8"/>
      <c r="C119" s="8"/>
      <c r="D119" s="8"/>
    </row>
    <row r="120" spans="1:4" x14ac:dyDescent="0.3">
      <c r="A120" s="8"/>
      <c r="B120" s="8"/>
      <c r="C120" s="8"/>
      <c r="D120" s="8"/>
    </row>
    <row r="121" spans="1:4" x14ac:dyDescent="0.3">
      <c r="A121" s="8"/>
      <c r="B121" s="8"/>
      <c r="C121" s="8"/>
      <c r="D121" s="8"/>
    </row>
    <row r="122" spans="1:4" x14ac:dyDescent="0.3">
      <c r="A122" s="8"/>
      <c r="B122" s="8"/>
      <c r="C122" s="8"/>
      <c r="D122" s="8"/>
    </row>
    <row r="123" spans="1:4" x14ac:dyDescent="0.3">
      <c r="A123" s="8"/>
      <c r="B123" s="8"/>
      <c r="C123" s="8"/>
      <c r="D123" s="8"/>
    </row>
    <row r="124" spans="1:4" x14ac:dyDescent="0.3">
      <c r="A124" s="8"/>
      <c r="B124" s="8"/>
      <c r="C124" s="8"/>
      <c r="D124" s="8"/>
    </row>
    <row r="125" spans="1:4" x14ac:dyDescent="0.3">
      <c r="A125" s="8"/>
      <c r="B125" s="8"/>
      <c r="C125" s="8"/>
      <c r="D125" s="8"/>
    </row>
    <row r="126" spans="1:4" x14ac:dyDescent="0.3">
      <c r="A126" s="8"/>
      <c r="B126" s="8"/>
      <c r="C126" s="8"/>
      <c r="D126" s="8"/>
    </row>
    <row r="127" spans="1:4" x14ac:dyDescent="0.3">
      <c r="A127" s="8"/>
      <c r="B127" s="8"/>
      <c r="C127" s="8"/>
      <c r="D127" s="8"/>
    </row>
    <row r="128" spans="1:4" x14ac:dyDescent="0.3">
      <c r="A128" s="8"/>
      <c r="B128" s="8"/>
      <c r="C128" s="8"/>
      <c r="D128" s="8"/>
    </row>
    <row r="129" spans="1:4" x14ac:dyDescent="0.3">
      <c r="A129" s="8"/>
      <c r="B129" s="8"/>
      <c r="C129" s="8"/>
      <c r="D129" s="8"/>
    </row>
    <row r="130" spans="1:4" x14ac:dyDescent="0.3">
      <c r="A130" s="8"/>
      <c r="B130" s="8"/>
      <c r="C130" s="8"/>
      <c r="D130" s="8"/>
    </row>
    <row r="131" spans="1:4" x14ac:dyDescent="0.3">
      <c r="A131" s="8"/>
      <c r="B131" s="8"/>
      <c r="C131" s="8"/>
      <c r="D131" s="8"/>
    </row>
    <row r="132" spans="1:4" x14ac:dyDescent="0.3">
      <c r="A132" s="8"/>
      <c r="B132" s="8"/>
      <c r="C132" s="8"/>
      <c r="D132" s="8"/>
    </row>
    <row r="133" spans="1:4" x14ac:dyDescent="0.3">
      <c r="A133" s="8"/>
      <c r="B133" s="8"/>
      <c r="C133" s="8"/>
      <c r="D133" s="8"/>
    </row>
    <row r="134" spans="1:4" x14ac:dyDescent="0.3">
      <c r="A134" s="8"/>
      <c r="B134" s="8"/>
      <c r="C134" s="8"/>
      <c r="D134" s="8"/>
    </row>
    <row r="135" spans="1:4" x14ac:dyDescent="0.3">
      <c r="A135" s="8"/>
      <c r="B135" s="8"/>
      <c r="C135" s="8"/>
      <c r="D135" s="8"/>
    </row>
    <row r="136" spans="1:4" x14ac:dyDescent="0.3">
      <c r="A136" s="8"/>
      <c r="B136" s="8"/>
      <c r="C136" s="8"/>
      <c r="D136" s="8"/>
    </row>
    <row r="137" spans="1:4" x14ac:dyDescent="0.3">
      <c r="A137" s="8"/>
      <c r="B137" s="8"/>
      <c r="C137" s="8"/>
      <c r="D137" s="8"/>
    </row>
    <row r="138" spans="1:4" x14ac:dyDescent="0.3">
      <c r="A138" s="8"/>
      <c r="B138" s="8"/>
      <c r="C138" s="8"/>
      <c r="D138" s="8"/>
    </row>
    <row r="139" spans="1:4" x14ac:dyDescent="0.3">
      <c r="A139" s="8"/>
      <c r="B139" s="8"/>
      <c r="C139" s="8"/>
      <c r="D139" s="8"/>
    </row>
    <row r="140" spans="1:4" x14ac:dyDescent="0.3">
      <c r="A140" s="8"/>
      <c r="B140" s="8"/>
      <c r="C140" s="8"/>
      <c r="D140" s="8"/>
    </row>
    <row r="141" spans="1:4" x14ac:dyDescent="0.3">
      <c r="A141" s="8"/>
      <c r="B141" s="8"/>
      <c r="C141" s="8"/>
      <c r="D141" s="8"/>
    </row>
    <row r="142" spans="1:4" x14ac:dyDescent="0.3">
      <c r="A142" s="8"/>
      <c r="B142" s="8"/>
      <c r="C142" s="8"/>
      <c r="D142" s="8"/>
    </row>
    <row r="143" spans="1:4" x14ac:dyDescent="0.3">
      <c r="A143" s="8"/>
      <c r="B143" s="8"/>
      <c r="C143" s="8"/>
      <c r="D143" s="8"/>
    </row>
    <row r="144" spans="1:4" x14ac:dyDescent="0.3">
      <c r="A144" s="8"/>
      <c r="B144" s="8"/>
      <c r="C144" s="8"/>
      <c r="D144" s="8"/>
    </row>
    <row r="145" spans="1:4" x14ac:dyDescent="0.3">
      <c r="A145" s="8"/>
      <c r="B145" s="8"/>
      <c r="C145" s="8"/>
      <c r="D145" s="8"/>
    </row>
    <row r="146" spans="1:4" x14ac:dyDescent="0.3">
      <c r="A146" s="8"/>
      <c r="B146" s="8"/>
      <c r="C146" s="8"/>
      <c r="D146" s="8"/>
    </row>
    <row r="147" spans="1:4" x14ac:dyDescent="0.3">
      <c r="A147" s="8"/>
      <c r="B147" s="8"/>
      <c r="C147" s="8"/>
      <c r="D147" s="8"/>
    </row>
    <row r="148" spans="1:4" x14ac:dyDescent="0.3">
      <c r="A148" s="8"/>
      <c r="B148" s="8"/>
      <c r="C148" s="8"/>
      <c r="D148"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Z148"/>
  <sheetViews>
    <sheetView topLeftCell="A22" workbookViewId="0">
      <selection activeCell="A38" sqref="A38:XFD40"/>
    </sheetView>
  </sheetViews>
  <sheetFormatPr baseColWidth="10" defaultRowHeight="14.4" x14ac:dyDescent="0.3"/>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36</v>
      </c>
      <c r="B2" s="300"/>
      <c r="C2" s="300">
        <f>'ECONOMIA &amp; PROFESIONES'!$N$3</f>
        <v>1</v>
      </c>
      <c r="D2" s="300"/>
      <c r="E2" s="300" t="s">
        <v>81</v>
      </c>
      <c r="F2" s="300"/>
      <c r="G2" s="300" t="s">
        <v>90</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3">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3">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3">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3">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3">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3">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3">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3">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3">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3">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3">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3">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3">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3">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3">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3">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3">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3">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3">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3">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3">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3">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3">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3">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3">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3">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3">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3">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3">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3">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3">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3">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3">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3">
      <c r="A45" s="9"/>
      <c r="B45" s="9"/>
      <c r="C45" s="9"/>
      <c r="D45" s="9"/>
    </row>
    <row r="46" spans="1:20" x14ac:dyDescent="0.3">
      <c r="A46" s="9"/>
      <c r="B46" s="9"/>
      <c r="C46" s="9"/>
      <c r="D46" s="9"/>
    </row>
    <row r="47" spans="1:20" x14ac:dyDescent="0.3">
      <c r="A47" s="9"/>
      <c r="B47" s="9"/>
      <c r="C47" s="9"/>
      <c r="D47" s="9"/>
    </row>
    <row r="48" spans="1:20" x14ac:dyDescent="0.3">
      <c r="A48" s="9"/>
      <c r="B48" s="9"/>
      <c r="C48" s="9"/>
      <c r="D48" s="9"/>
      <c r="G48" s="13"/>
      <c r="H48" s="13"/>
      <c r="I48" s="13"/>
    </row>
    <row r="49" spans="1:9" x14ac:dyDescent="0.3">
      <c r="A49" s="9"/>
      <c r="B49" s="9"/>
      <c r="C49" s="9"/>
      <c r="D49" s="9"/>
      <c r="G49" s="13"/>
      <c r="H49" s="13"/>
      <c r="I49" s="13"/>
    </row>
    <row r="50" spans="1:9" x14ac:dyDescent="0.3">
      <c r="A50" s="9"/>
      <c r="B50" s="9"/>
      <c r="C50" s="9"/>
      <c r="D50" s="9"/>
      <c r="G50" s="13"/>
      <c r="H50" s="13"/>
      <c r="I50" s="13"/>
    </row>
    <row r="51" spans="1:9" x14ac:dyDescent="0.3">
      <c r="A51" s="9"/>
      <c r="B51" s="9"/>
      <c r="C51" s="9"/>
      <c r="D51" s="9"/>
      <c r="G51" s="13"/>
      <c r="H51" s="13"/>
      <c r="I51" s="13"/>
    </row>
    <row r="52" spans="1:9" x14ac:dyDescent="0.3">
      <c r="A52" s="9"/>
      <c r="B52" s="9"/>
      <c r="C52" s="9"/>
      <c r="D52" s="9"/>
      <c r="G52" s="13"/>
      <c r="H52" s="13"/>
      <c r="I52" s="13"/>
    </row>
    <row r="53" spans="1:9" x14ac:dyDescent="0.3">
      <c r="A53" s="9"/>
      <c r="B53" s="9"/>
      <c r="C53" s="9"/>
      <c r="D53" s="9"/>
      <c r="G53" s="13"/>
      <c r="H53" s="13"/>
      <c r="I53" s="13"/>
    </row>
    <row r="54" spans="1:9" x14ac:dyDescent="0.3">
      <c r="A54" s="9"/>
      <c r="B54" s="9"/>
      <c r="C54" s="9"/>
      <c r="D54" s="9"/>
      <c r="G54" s="13"/>
      <c r="H54" s="13"/>
      <c r="I54" s="13"/>
    </row>
    <row r="55" spans="1:9" x14ac:dyDescent="0.3">
      <c r="A55" s="9"/>
      <c r="B55" s="9"/>
      <c r="C55" s="9"/>
      <c r="D55" s="9"/>
      <c r="G55" s="13"/>
      <c r="H55" s="13"/>
      <c r="I55" s="13"/>
    </row>
    <row r="56" spans="1:9" x14ac:dyDescent="0.3">
      <c r="A56" s="9"/>
      <c r="B56" s="9"/>
      <c r="C56" s="9"/>
      <c r="D56" s="9"/>
    </row>
    <row r="57" spans="1:9" x14ac:dyDescent="0.3">
      <c r="A57" s="9"/>
      <c r="B57" s="9"/>
      <c r="C57" s="9"/>
      <c r="D57" s="9"/>
    </row>
    <row r="58" spans="1:9" x14ac:dyDescent="0.3">
      <c r="A58" s="9"/>
      <c r="B58" s="9"/>
      <c r="C58" s="9"/>
      <c r="D58" s="9"/>
    </row>
    <row r="59" spans="1:9" x14ac:dyDescent="0.3">
      <c r="A59" s="9"/>
      <c r="B59" s="9"/>
      <c r="C59" s="9"/>
      <c r="D59" s="9"/>
    </row>
    <row r="60" spans="1:9" x14ac:dyDescent="0.3">
      <c r="A60" s="9"/>
      <c r="B60" s="9"/>
      <c r="C60" s="9"/>
      <c r="D60" s="9"/>
    </row>
    <row r="61" spans="1:9" x14ac:dyDescent="0.3">
      <c r="A61" s="9"/>
      <c r="B61" s="9"/>
      <c r="C61" s="9"/>
      <c r="D61" s="9"/>
    </row>
    <row r="62" spans="1:9" x14ac:dyDescent="0.3">
      <c r="A62" s="9"/>
      <c r="B62" s="9"/>
      <c r="C62" s="9"/>
      <c r="D62" s="9"/>
    </row>
    <row r="63" spans="1:9" x14ac:dyDescent="0.3">
      <c r="A63" s="9"/>
      <c r="B63" s="9"/>
      <c r="C63" s="9"/>
      <c r="D63" s="9"/>
    </row>
    <row r="64" spans="1:9" x14ac:dyDescent="0.3">
      <c r="A64" s="9"/>
      <c r="B64" s="9"/>
      <c r="C64" s="9"/>
      <c r="D64" s="9"/>
    </row>
    <row r="65" spans="1:4" x14ac:dyDescent="0.3">
      <c r="A65" s="9"/>
      <c r="B65" s="9"/>
      <c r="C65" s="9"/>
      <c r="D65" s="9"/>
    </row>
    <row r="66" spans="1:4" x14ac:dyDescent="0.3">
      <c r="A66" s="9"/>
      <c r="B66" s="9"/>
      <c r="C66" s="9"/>
      <c r="D66" s="9"/>
    </row>
    <row r="67" spans="1:4" x14ac:dyDescent="0.3">
      <c r="A67" s="9"/>
      <c r="B67" s="9"/>
      <c r="C67" s="9"/>
      <c r="D67" s="9"/>
    </row>
    <row r="68" spans="1:4" x14ac:dyDescent="0.3">
      <c r="A68" s="9"/>
      <c r="B68" s="9"/>
      <c r="C68" s="9"/>
      <c r="D68" s="9"/>
    </row>
    <row r="69" spans="1:4" x14ac:dyDescent="0.3">
      <c r="A69" s="9"/>
      <c r="B69" s="9"/>
      <c r="C69" s="9"/>
      <c r="D69" s="9"/>
    </row>
    <row r="70" spans="1:4" x14ac:dyDescent="0.3">
      <c r="A70" s="9"/>
      <c r="B70" s="9"/>
      <c r="C70" s="9"/>
      <c r="D70" s="9"/>
    </row>
    <row r="71" spans="1:4" x14ac:dyDescent="0.3">
      <c r="A71" s="9"/>
      <c r="B71" s="9"/>
      <c r="C71" s="9"/>
      <c r="D71" s="9"/>
    </row>
    <row r="72" spans="1:4" x14ac:dyDescent="0.3">
      <c r="A72" s="9"/>
      <c r="B72" s="9"/>
      <c r="C72" s="9"/>
      <c r="D72" s="9"/>
    </row>
    <row r="73" spans="1:4" x14ac:dyDescent="0.3">
      <c r="A73" s="9"/>
      <c r="B73" s="9"/>
      <c r="C73" s="9"/>
      <c r="D73" s="9"/>
    </row>
    <row r="74" spans="1:4" x14ac:dyDescent="0.3">
      <c r="A74" s="9"/>
      <c r="B74" s="9"/>
      <c r="C74" s="9"/>
      <c r="D74" s="9"/>
    </row>
    <row r="75" spans="1:4" x14ac:dyDescent="0.3">
      <c r="A75" s="9"/>
      <c r="B75" s="9"/>
      <c r="C75" s="9"/>
      <c r="D75" s="9"/>
    </row>
    <row r="76" spans="1:4" x14ac:dyDescent="0.3">
      <c r="A76" s="9"/>
      <c r="B76" s="9"/>
      <c r="C76" s="9"/>
      <c r="D76" s="9"/>
    </row>
    <row r="77" spans="1:4" x14ac:dyDescent="0.3">
      <c r="A77" s="9"/>
      <c r="B77" s="9"/>
      <c r="C77" s="9"/>
      <c r="D77" s="9"/>
    </row>
    <row r="78" spans="1:4" x14ac:dyDescent="0.3">
      <c r="A78" s="9"/>
      <c r="B78" s="9"/>
      <c r="C78" s="9"/>
      <c r="D78" s="9"/>
    </row>
    <row r="79" spans="1:4" x14ac:dyDescent="0.3">
      <c r="A79" s="9"/>
      <c r="B79" s="9"/>
      <c r="C79" s="9"/>
      <c r="D79" s="9"/>
    </row>
    <row r="80" spans="1:4" x14ac:dyDescent="0.3">
      <c r="A80" s="9"/>
      <c r="B80" s="9"/>
      <c r="C80" s="9"/>
      <c r="D80" s="9"/>
    </row>
    <row r="81" spans="1:4" x14ac:dyDescent="0.3">
      <c r="A81" s="9"/>
      <c r="B81" s="9"/>
      <c r="C81" s="9"/>
      <c r="D81" s="9"/>
    </row>
    <row r="82" spans="1:4" x14ac:dyDescent="0.3">
      <c r="A82" s="9"/>
      <c r="B82" s="9"/>
      <c r="C82" s="9"/>
      <c r="D82" s="9"/>
    </row>
    <row r="83" spans="1:4" x14ac:dyDescent="0.3">
      <c r="A83" s="9"/>
      <c r="B83" s="9"/>
      <c r="C83" s="9"/>
      <c r="D83" s="9"/>
    </row>
    <row r="84" spans="1:4" x14ac:dyDescent="0.3">
      <c r="A84" s="9"/>
      <c r="B84" s="9"/>
      <c r="C84" s="9"/>
      <c r="D84" s="9"/>
    </row>
    <row r="85" spans="1:4" x14ac:dyDescent="0.3">
      <c r="A85" s="9"/>
      <c r="B85" s="9"/>
      <c r="C85" s="9"/>
      <c r="D85" s="9"/>
    </row>
    <row r="86" spans="1:4" x14ac:dyDescent="0.3">
      <c r="A86" s="9"/>
      <c r="B86" s="9"/>
      <c r="C86" s="9"/>
      <c r="D86" s="9"/>
    </row>
    <row r="87" spans="1:4" x14ac:dyDescent="0.3">
      <c r="A87" s="9"/>
      <c r="B87" s="9"/>
      <c r="C87" s="9"/>
      <c r="D87" s="9"/>
    </row>
    <row r="88" spans="1:4" x14ac:dyDescent="0.3">
      <c r="A88" s="9"/>
      <c r="B88" s="9"/>
      <c r="C88" s="9"/>
      <c r="D88" s="9"/>
    </row>
    <row r="89" spans="1:4" x14ac:dyDescent="0.3">
      <c r="A89" s="9"/>
      <c r="B89" s="9"/>
      <c r="C89" s="9"/>
      <c r="D89" s="9"/>
    </row>
    <row r="90" spans="1:4" x14ac:dyDescent="0.3">
      <c r="A90" s="9"/>
      <c r="B90" s="9"/>
      <c r="C90" s="9"/>
      <c r="D90" s="9"/>
    </row>
    <row r="91" spans="1:4" x14ac:dyDescent="0.3">
      <c r="A91" s="9"/>
      <c r="B91" s="9"/>
      <c r="C91" s="9"/>
      <c r="D91" s="9"/>
    </row>
    <row r="92" spans="1:4" x14ac:dyDescent="0.3">
      <c r="A92" s="9"/>
      <c r="B92" s="9"/>
      <c r="C92" s="9"/>
      <c r="D92" s="9"/>
    </row>
    <row r="93" spans="1:4" x14ac:dyDescent="0.3">
      <c r="A93" s="9"/>
      <c r="B93" s="9"/>
      <c r="C93" s="9"/>
      <c r="D93" s="9"/>
    </row>
    <row r="94" spans="1:4" x14ac:dyDescent="0.3">
      <c r="A94" s="9"/>
      <c r="B94" s="9"/>
      <c r="C94" s="9"/>
      <c r="D94" s="9"/>
    </row>
    <row r="95" spans="1:4" x14ac:dyDescent="0.3">
      <c r="A95" s="9"/>
      <c r="B95" s="9"/>
      <c r="C95" s="9"/>
      <c r="D95" s="9"/>
    </row>
    <row r="96" spans="1:4" x14ac:dyDescent="0.3">
      <c r="A96" s="9"/>
      <c r="B96" s="9"/>
      <c r="C96" s="9"/>
      <c r="D96" s="9"/>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sheetData>
  <mergeCells count="17">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 ref="K2:L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Z148"/>
  <sheetViews>
    <sheetView topLeftCell="A22" workbookViewId="0">
      <selection activeCell="A38" sqref="A38:XFD40"/>
    </sheetView>
  </sheetViews>
  <sheetFormatPr baseColWidth="10" defaultRowHeight="14.4" x14ac:dyDescent="0.3"/>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36</v>
      </c>
      <c r="B2" s="300"/>
      <c r="C2" s="300">
        <f>'ECONOMIA &amp; PROFESIONES'!$N$3</f>
        <v>1</v>
      </c>
      <c r="D2" s="300"/>
      <c r="E2" s="300" t="s">
        <v>81</v>
      </c>
      <c r="F2" s="300"/>
      <c r="G2" s="300" t="s">
        <v>90</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3">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3">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3">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3">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3">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3">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3">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3">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3">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3">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3">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3">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3">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3">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3">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3">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3">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3">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3">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3">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3">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3">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3">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3">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3">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3">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3">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3">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3">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3">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3">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3">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3">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3">
      <c r="A45" s="9"/>
      <c r="B45" s="9"/>
      <c r="C45" s="9"/>
      <c r="D45" s="9"/>
    </row>
    <row r="46" spans="1:20" x14ac:dyDescent="0.3">
      <c r="A46" s="9"/>
      <c r="B46" s="9"/>
      <c r="C46" s="9"/>
      <c r="D46" s="9"/>
    </row>
    <row r="47" spans="1:20" x14ac:dyDescent="0.3">
      <c r="A47" s="9"/>
      <c r="B47" s="9"/>
      <c r="C47" s="9"/>
      <c r="D47" s="9"/>
    </row>
    <row r="48" spans="1:20" x14ac:dyDescent="0.3">
      <c r="A48" s="9"/>
      <c r="B48" s="9"/>
      <c r="C48" s="9"/>
      <c r="D48" s="9"/>
      <c r="G48" s="13"/>
      <c r="H48" s="13"/>
      <c r="I48" s="13"/>
    </row>
    <row r="49" spans="1:9" x14ac:dyDescent="0.3">
      <c r="A49" s="9"/>
      <c r="B49" s="9"/>
      <c r="C49" s="9"/>
      <c r="D49" s="9"/>
      <c r="G49" s="13"/>
      <c r="H49" s="13"/>
      <c r="I49" s="13"/>
    </row>
    <row r="50" spans="1:9" x14ac:dyDescent="0.3">
      <c r="A50" s="9"/>
      <c r="B50" s="9"/>
      <c r="C50" s="9"/>
      <c r="D50" s="9"/>
      <c r="G50" s="13"/>
      <c r="H50" s="13"/>
      <c r="I50" s="13"/>
    </row>
    <row r="51" spans="1:9" x14ac:dyDescent="0.3">
      <c r="A51" s="9"/>
      <c r="B51" s="9"/>
      <c r="C51" s="9"/>
      <c r="D51" s="9"/>
      <c r="G51" s="13"/>
      <c r="H51" s="13"/>
      <c r="I51" s="13"/>
    </row>
    <row r="52" spans="1:9" x14ac:dyDescent="0.3">
      <c r="A52" s="9"/>
      <c r="B52" s="9"/>
      <c r="C52" s="9"/>
      <c r="D52" s="9"/>
      <c r="G52" s="13"/>
      <c r="H52" s="13"/>
      <c r="I52" s="13"/>
    </row>
    <row r="53" spans="1:9" x14ac:dyDescent="0.3">
      <c r="A53" s="9"/>
      <c r="B53" s="9"/>
      <c r="C53" s="9"/>
      <c r="D53" s="9"/>
      <c r="G53" s="13"/>
      <c r="H53" s="13"/>
      <c r="I53" s="13"/>
    </row>
    <row r="54" spans="1:9" x14ac:dyDescent="0.3">
      <c r="A54" s="9"/>
      <c r="B54" s="9"/>
      <c r="C54" s="9"/>
      <c r="D54" s="9"/>
      <c r="G54" s="13"/>
      <c r="H54" s="13"/>
      <c r="I54" s="13"/>
    </row>
    <row r="55" spans="1:9" x14ac:dyDescent="0.3">
      <c r="A55" s="9"/>
      <c r="B55" s="9"/>
      <c r="C55" s="9"/>
      <c r="D55" s="9"/>
      <c r="G55" s="13"/>
      <c r="H55" s="13"/>
      <c r="I55" s="13"/>
    </row>
    <row r="56" spans="1:9" x14ac:dyDescent="0.3">
      <c r="A56" s="9"/>
      <c r="B56" s="9"/>
      <c r="C56" s="9"/>
      <c r="D56" s="9"/>
    </row>
    <row r="57" spans="1:9" x14ac:dyDescent="0.3">
      <c r="A57" s="9"/>
      <c r="B57" s="9"/>
      <c r="C57" s="9"/>
      <c r="D57" s="9"/>
    </row>
    <row r="58" spans="1:9" x14ac:dyDescent="0.3">
      <c r="A58" s="9"/>
      <c r="B58" s="9"/>
      <c r="C58" s="9"/>
      <c r="D58" s="9"/>
    </row>
    <row r="59" spans="1:9" x14ac:dyDescent="0.3">
      <c r="A59" s="9"/>
      <c r="B59" s="9"/>
      <c r="C59" s="9"/>
      <c r="D59" s="9"/>
    </row>
    <row r="60" spans="1:9" x14ac:dyDescent="0.3">
      <c r="A60" s="9"/>
      <c r="B60" s="9"/>
      <c r="C60" s="9"/>
      <c r="D60" s="9"/>
    </row>
    <row r="61" spans="1:9" x14ac:dyDescent="0.3">
      <c r="A61" s="9"/>
      <c r="B61" s="9"/>
      <c r="C61" s="9"/>
      <c r="D61" s="9"/>
    </row>
    <row r="62" spans="1:9" x14ac:dyDescent="0.3">
      <c r="A62" s="9"/>
      <c r="B62" s="9"/>
      <c r="C62" s="9"/>
      <c r="D62" s="9"/>
    </row>
    <row r="63" spans="1:9" x14ac:dyDescent="0.3">
      <c r="A63" s="9"/>
      <c r="B63" s="9"/>
      <c r="C63" s="9"/>
      <c r="D63" s="9"/>
    </row>
    <row r="64" spans="1:9" x14ac:dyDescent="0.3">
      <c r="A64" s="9"/>
      <c r="B64" s="9"/>
      <c r="C64" s="9"/>
      <c r="D64" s="9"/>
    </row>
    <row r="65" spans="1:4" x14ac:dyDescent="0.3">
      <c r="A65" s="9"/>
      <c r="B65" s="9"/>
      <c r="C65" s="9"/>
      <c r="D65" s="9"/>
    </row>
    <row r="66" spans="1:4" x14ac:dyDescent="0.3">
      <c r="A66" s="9"/>
      <c r="B66" s="9"/>
      <c r="C66" s="9"/>
      <c r="D66" s="9"/>
    </row>
    <row r="67" spans="1:4" x14ac:dyDescent="0.3">
      <c r="A67" s="9"/>
      <c r="B67" s="9"/>
      <c r="C67" s="9"/>
      <c r="D67" s="9"/>
    </row>
    <row r="68" spans="1:4" x14ac:dyDescent="0.3">
      <c r="A68" s="9"/>
      <c r="B68" s="9"/>
      <c r="C68" s="9"/>
      <c r="D68" s="9"/>
    </row>
    <row r="69" spans="1:4" x14ac:dyDescent="0.3">
      <c r="A69" s="9"/>
      <c r="B69" s="9"/>
      <c r="C69" s="9"/>
      <c r="D69" s="9"/>
    </row>
    <row r="70" spans="1:4" x14ac:dyDescent="0.3">
      <c r="A70" s="9"/>
      <c r="B70" s="9"/>
      <c r="C70" s="9"/>
      <c r="D70" s="9"/>
    </row>
    <row r="71" spans="1:4" x14ac:dyDescent="0.3">
      <c r="A71" s="9"/>
      <c r="B71" s="9"/>
      <c r="C71" s="9"/>
      <c r="D71" s="9"/>
    </row>
    <row r="72" spans="1:4" x14ac:dyDescent="0.3">
      <c r="A72" s="9"/>
      <c r="B72" s="9"/>
      <c r="C72" s="9"/>
      <c r="D72" s="9"/>
    </row>
    <row r="73" spans="1:4" x14ac:dyDescent="0.3">
      <c r="A73" s="9"/>
      <c r="B73" s="9"/>
      <c r="C73" s="9"/>
      <c r="D73" s="9"/>
    </row>
    <row r="74" spans="1:4" x14ac:dyDescent="0.3">
      <c r="A74" s="9"/>
      <c r="B74" s="9"/>
      <c r="C74" s="9"/>
      <c r="D74" s="9"/>
    </row>
    <row r="75" spans="1:4" x14ac:dyDescent="0.3">
      <c r="A75" s="9"/>
      <c r="B75" s="9"/>
      <c r="C75" s="9"/>
      <c r="D75" s="9"/>
    </row>
    <row r="76" spans="1:4" x14ac:dyDescent="0.3">
      <c r="A76" s="9"/>
      <c r="B76" s="9"/>
      <c r="C76" s="9"/>
      <c r="D76" s="9"/>
    </row>
    <row r="77" spans="1:4" x14ac:dyDescent="0.3">
      <c r="A77" s="9"/>
      <c r="B77" s="9"/>
      <c r="C77" s="9"/>
      <c r="D77" s="9"/>
    </row>
    <row r="78" spans="1:4" x14ac:dyDescent="0.3">
      <c r="A78" s="9"/>
      <c r="B78" s="9"/>
      <c r="C78" s="9"/>
      <c r="D78" s="9"/>
    </row>
    <row r="79" spans="1:4" x14ac:dyDescent="0.3">
      <c r="A79" s="9"/>
      <c r="B79" s="9"/>
      <c r="C79" s="9"/>
      <c r="D79" s="9"/>
    </row>
    <row r="80" spans="1:4" x14ac:dyDescent="0.3">
      <c r="A80" s="9"/>
      <c r="B80" s="9"/>
      <c r="C80" s="9"/>
      <c r="D80" s="9"/>
    </row>
    <row r="81" spans="1:4" x14ac:dyDescent="0.3">
      <c r="A81" s="9"/>
      <c r="B81" s="9"/>
      <c r="C81" s="9"/>
      <c r="D81" s="9"/>
    </row>
    <row r="82" spans="1:4" x14ac:dyDescent="0.3">
      <c r="A82" s="9"/>
      <c r="B82" s="9"/>
      <c r="C82" s="9"/>
      <c r="D82" s="9"/>
    </row>
    <row r="83" spans="1:4" x14ac:dyDescent="0.3">
      <c r="A83" s="9"/>
      <c r="B83" s="9"/>
      <c r="C83" s="9"/>
      <c r="D83" s="9"/>
    </row>
    <row r="84" spans="1:4" x14ac:dyDescent="0.3">
      <c r="A84" s="9"/>
      <c r="B84" s="9"/>
      <c r="C84" s="9"/>
      <c r="D84" s="9"/>
    </row>
    <row r="85" spans="1:4" x14ac:dyDescent="0.3">
      <c r="A85" s="9"/>
      <c r="B85" s="9"/>
      <c r="C85" s="9"/>
      <c r="D85" s="9"/>
    </row>
    <row r="86" spans="1:4" x14ac:dyDescent="0.3">
      <c r="A86" s="9"/>
      <c r="B86" s="9"/>
      <c r="C86" s="9"/>
      <c r="D86" s="9"/>
    </row>
    <row r="87" spans="1:4" x14ac:dyDescent="0.3">
      <c r="A87" s="9"/>
      <c r="B87" s="9"/>
      <c r="C87" s="9"/>
      <c r="D87" s="9"/>
    </row>
    <row r="88" spans="1:4" x14ac:dyDescent="0.3">
      <c r="A88" s="9"/>
      <c r="B88" s="9"/>
      <c r="C88" s="9"/>
      <c r="D88" s="9"/>
    </row>
    <row r="89" spans="1:4" x14ac:dyDescent="0.3">
      <c r="A89" s="9"/>
      <c r="B89" s="9"/>
      <c r="C89" s="9"/>
      <c r="D89" s="9"/>
    </row>
    <row r="90" spans="1:4" x14ac:dyDescent="0.3">
      <c r="A90" s="9"/>
      <c r="B90" s="9"/>
      <c r="C90" s="9"/>
      <c r="D90" s="9"/>
    </row>
    <row r="91" spans="1:4" x14ac:dyDescent="0.3">
      <c r="A91" s="9"/>
      <c r="B91" s="9"/>
      <c r="C91" s="9"/>
      <c r="D91" s="9"/>
    </row>
    <row r="92" spans="1:4" x14ac:dyDescent="0.3">
      <c r="A92" s="9"/>
      <c r="B92" s="9"/>
      <c r="C92" s="9"/>
      <c r="D92" s="9"/>
    </row>
    <row r="93" spans="1:4" x14ac:dyDescent="0.3">
      <c r="A93" s="9"/>
      <c r="B93" s="9"/>
      <c r="C93" s="9"/>
      <c r="D93" s="9"/>
    </row>
    <row r="94" spans="1:4" x14ac:dyDescent="0.3">
      <c r="A94" s="9"/>
      <c r="B94" s="9"/>
      <c r="C94" s="9"/>
      <c r="D94" s="9"/>
    </row>
    <row r="95" spans="1:4" x14ac:dyDescent="0.3">
      <c r="A95" s="9"/>
      <c r="B95" s="9"/>
      <c r="C95" s="9"/>
      <c r="D95" s="9"/>
    </row>
    <row r="96" spans="1:4" x14ac:dyDescent="0.3">
      <c r="A96" s="9"/>
      <c r="B96" s="9"/>
      <c r="C96" s="9"/>
      <c r="D96" s="9"/>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Z170"/>
  <sheetViews>
    <sheetView topLeftCell="A22" workbookViewId="0">
      <selection activeCell="B47" sqref="B47"/>
    </sheetView>
  </sheetViews>
  <sheetFormatPr baseColWidth="10" defaultColWidth="11.44140625" defaultRowHeight="14.4" x14ac:dyDescent="0.3"/>
  <cols>
    <col min="1" max="21" width="11.44140625" style="16"/>
    <col min="22" max="22" width="14" style="16" customWidth="1"/>
    <col min="23" max="16384" width="11.44140625" style="16"/>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100</v>
      </c>
      <c r="B2" s="300"/>
      <c r="C2" s="300">
        <f>'ECONOMIA &amp; PROFESIONES'!$O$3</f>
        <v>3</v>
      </c>
      <c r="D2" s="300"/>
      <c r="E2" s="300" t="s">
        <v>81</v>
      </c>
      <c r="F2" s="300"/>
      <c r="G2" s="300" t="s">
        <v>97</v>
      </c>
      <c r="H2" s="300"/>
      <c r="I2" s="300" t="str">
        <f>MAIN!$J$42</f>
        <v>&amp;7Ataque:</v>
      </c>
      <c r="J2" s="300"/>
      <c r="K2" s="300">
        <f>MAIN!$L$42</f>
        <v>2</v>
      </c>
      <c r="L2" s="300"/>
    </row>
    <row r="3" spans="1:26" ht="29.25" customHeight="1" x14ac:dyDescent="0.3">
      <c r="A3" s="375" t="s">
        <v>7</v>
      </c>
      <c r="B3" s="375"/>
      <c r="C3" s="375"/>
      <c r="D3" s="375"/>
      <c r="E3" s="375" t="s">
        <v>8</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3">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8">
        <v>1</v>
      </c>
      <c r="V4" s="288" t="str">
        <f>$I$2&amp;" "&amp;ROUND(MAIN!$C$44*$C$2*$K$2/5*$U$4,0)</f>
        <v>&amp;7Ataque: 2</v>
      </c>
      <c r="W4" s="288" t="str">
        <f>$I$2&amp;" "&amp;ROUND(MAIN!$D$44*$C$2*$K$2/5*$U$4,0)</f>
        <v>&amp;7Ataque: 7</v>
      </c>
      <c r="X4" s="288" t="str">
        <f>$I$2&amp;" "&amp;ROUND(MAIN!$E$44*$C$2*$K$2/5*$U$4,0)</f>
        <v>&amp;7Ataque: 22</v>
      </c>
      <c r="Y4" s="288" t="str">
        <f>$I$2&amp;" "&amp;ROUND(MAIN!$F$44*$C$2*$K$2/5*$U$4,0)</f>
        <v>&amp;7Ataque: 65</v>
      </c>
      <c r="Z4" s="288" t="str">
        <f>$I$2&amp;" "&amp;ROUND(MAIN!$G$44*$C$2*$K$2/5*$U$4,0)</f>
        <v>&amp;7Ataque: 194</v>
      </c>
    </row>
    <row r="5" spans="1:26" x14ac:dyDescent="0.3">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8">
        <v>2</v>
      </c>
      <c r="V5" s="288" t="str">
        <f>$I$2&amp;" "&amp;ROUND(MAIN!$C$44*$C$2*$K$2/5*$U$5,0)</f>
        <v>&amp;7Ataque: 5</v>
      </c>
      <c r="W5" s="288" t="str">
        <f>$I$2&amp;" "&amp;ROUND(MAIN!$D$44*$C$2*$K$2/5*$U$5,0)</f>
        <v>&amp;7Ataque: 14</v>
      </c>
      <c r="X5" s="288" t="str">
        <f>$I$2&amp;" "&amp;ROUND(MAIN!$E$44*$C$2*$K$2/5*$U$5,0)</f>
        <v>&amp;7Ataque: 43</v>
      </c>
      <c r="Y5" s="288" t="str">
        <f>$I$2&amp;" "&amp;ROUND(MAIN!$F$44*$C$2*$K$2/5*$U$5,0)</f>
        <v>&amp;7Ataque: 130</v>
      </c>
      <c r="Z5" s="288" t="str">
        <f>$I$2&amp;" "&amp;ROUND(MAIN!$G$44*$C$2*$K$2/5*$U$5,0)</f>
        <v>&amp;7Ataque: 389</v>
      </c>
    </row>
    <row r="6" spans="1:26" x14ac:dyDescent="0.3">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&amp;7Ataque: 7</v>
      </c>
      <c r="W6" s="288" t="str">
        <f>$I$2&amp;" "&amp;ROUND(MAIN!$D$44*$C$2*$K$2/5*$U$6,0)</f>
        <v>&amp;7Ataque: 22</v>
      </c>
      <c r="X6" s="288" t="str">
        <f>$I$2&amp;" "&amp;ROUND(MAIN!$E$44*$C$2*$K$2/5*$U$6,0)</f>
        <v>&amp;7Ataque: 65</v>
      </c>
      <c r="Y6" s="288" t="str">
        <f>$I$2&amp;" "&amp;ROUND(MAIN!$F$44*$C$2*$K$2/5*$U$6,0)</f>
        <v>&amp;7Ataque: 194</v>
      </c>
      <c r="Z6" s="288" t="str">
        <f>$I$2&amp;" "&amp;ROUND(MAIN!$G$44*$C$2*$K$2/5*$U$6,0)</f>
        <v>&amp;7Ataque: 583</v>
      </c>
    </row>
    <row r="7" spans="1:26" x14ac:dyDescent="0.3">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&amp;7Ataque: 10</v>
      </c>
      <c r="W7" s="288" t="str">
        <f>$I$2&amp;" "&amp;ROUND(MAIN!$D$44*$C$2*$K$2/5*$U$7,0)</f>
        <v>&amp;7Ataque: 29</v>
      </c>
      <c r="X7" s="288" t="str">
        <f>$I$2&amp;" "&amp;ROUND(MAIN!$E$44*$C$2*$K$2/5*$U$7,0)</f>
        <v>&amp;7Ataque: 86</v>
      </c>
      <c r="Y7" s="288" t="str">
        <f>$I$2&amp;" "&amp;ROUND(MAIN!$F$44*$C$2*$K$2/5*$U$7,0)</f>
        <v>&amp;7Ataque: 259</v>
      </c>
      <c r="Z7" s="288" t="str">
        <f>$I$2&amp;" "&amp;ROUND(MAIN!$G$44*$C$2*$K$2/5*$U$7,0)</f>
        <v>&amp;7Ataque: 778</v>
      </c>
    </row>
    <row r="8" spans="1:26" x14ac:dyDescent="0.3">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&amp;7Ataque: 12</v>
      </c>
      <c r="W8" s="288" t="str">
        <f>$I$2&amp;" "&amp;ROUND(MAIN!$D$44*$C$2*$K$2/5*$U$8,0)</f>
        <v>&amp;7Ataque: 36</v>
      </c>
      <c r="X8" s="288" t="str">
        <f>$I$2&amp;" "&amp;ROUND(MAIN!$E$44*$C$2*$K$2/5*$U$8,0)</f>
        <v>&amp;7Ataque: 108</v>
      </c>
      <c r="Y8" s="288" t="str">
        <f>$I$2&amp;" "&amp;ROUND(MAIN!$F$44*$C$2*$K$2/5*$U$8,0)</f>
        <v>&amp;7Ataque: 324</v>
      </c>
      <c r="Z8" s="288" t="str">
        <f>$I$2&amp;" "&amp;ROUND(MAIN!$G$44*$C$2*$K$2/5*$U$8,0)</f>
        <v>&amp;7Ataque: 972</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3">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3">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3">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3">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3">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3">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3">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3">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3">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3">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3">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3">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3">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3">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3">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3">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3">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3">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3">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3">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3">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3">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3">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3">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3">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3">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3">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3">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3">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3">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3">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3">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3">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3">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3">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3">
      <c r="A49" s="9" t="s">
        <v>32</v>
      </c>
      <c r="B49" s="9"/>
      <c r="C49" s="9"/>
      <c r="D49" s="9"/>
      <c r="E49" s="9" t="s">
        <v>32</v>
      </c>
      <c r="F49" s="9"/>
      <c r="G49" s="9"/>
      <c r="H49" s="9"/>
      <c r="I49" s="9" t="s">
        <v>32</v>
      </c>
      <c r="J49" s="9"/>
      <c r="K49" s="9"/>
      <c r="L49" s="9"/>
      <c r="M49" s="9" t="s">
        <v>32</v>
      </c>
      <c r="N49" s="9"/>
      <c r="O49" s="9"/>
      <c r="P49" s="9"/>
      <c r="Q49" s="9" t="s">
        <v>32</v>
      </c>
      <c r="R49" s="9"/>
      <c r="S49" s="9"/>
      <c r="T49" s="9"/>
    </row>
    <row r="50" spans="1:20" s="288" customFormat="1" x14ac:dyDescent="0.3">
      <c r="A50" s="9" t="s">
        <v>1156</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3">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3">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3">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3">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3">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3">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3">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3">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3">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90" customFormat="1" x14ac:dyDescent="0.3">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3">
      <c r="A61" s="9" t="s">
        <v>34</v>
      </c>
      <c r="B61" s="9"/>
      <c r="C61" s="9"/>
      <c r="D61" s="9"/>
      <c r="E61" s="9" t="s">
        <v>34</v>
      </c>
      <c r="F61" s="9"/>
      <c r="G61" s="9"/>
      <c r="H61" s="9"/>
      <c r="I61" s="9" t="s">
        <v>34</v>
      </c>
      <c r="J61" s="9"/>
      <c r="K61" s="9"/>
      <c r="L61" s="9"/>
      <c r="M61" s="9" t="s">
        <v>34</v>
      </c>
      <c r="N61" s="9"/>
      <c r="O61" s="9"/>
      <c r="P61" s="9"/>
      <c r="Q61" s="9" t="s">
        <v>34</v>
      </c>
      <c r="R61" s="9"/>
      <c r="S61" s="9"/>
      <c r="T61" s="9"/>
    </row>
    <row r="62" spans="1:20" s="290" customFormat="1" x14ac:dyDescent="0.3">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3">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3">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3">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3">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3">
      <c r="A67" s="9"/>
      <c r="B67" s="9"/>
      <c r="C67" s="9"/>
      <c r="D67" s="9"/>
    </row>
    <row r="68" spans="1:20" x14ac:dyDescent="0.3">
      <c r="A68" s="9"/>
      <c r="B68" s="9"/>
      <c r="C68" s="9"/>
      <c r="D68" s="9"/>
    </row>
    <row r="69" spans="1:20" x14ac:dyDescent="0.3">
      <c r="A69" s="9"/>
      <c r="B69" s="9"/>
      <c r="C69" s="9"/>
      <c r="D69" s="9"/>
    </row>
    <row r="70" spans="1:20" x14ac:dyDescent="0.3">
      <c r="A70" s="9"/>
      <c r="B70" s="9"/>
      <c r="C70" s="9"/>
      <c r="D70" s="9"/>
    </row>
    <row r="71" spans="1:20" x14ac:dyDescent="0.3">
      <c r="A71" s="9"/>
      <c r="B71" s="9"/>
      <c r="C71" s="9"/>
      <c r="D71" s="9"/>
    </row>
    <row r="72" spans="1:20" x14ac:dyDescent="0.3">
      <c r="A72" s="9"/>
      <c r="B72" s="9"/>
      <c r="C72" s="9"/>
      <c r="D72" s="9"/>
    </row>
    <row r="73" spans="1:20" x14ac:dyDescent="0.3">
      <c r="A73" s="9"/>
      <c r="B73" s="9"/>
      <c r="C73" s="9"/>
      <c r="D73" s="9"/>
    </row>
    <row r="74" spans="1:20" x14ac:dyDescent="0.3">
      <c r="A74" s="9"/>
      <c r="B74" s="9"/>
      <c r="C74" s="9"/>
      <c r="D74" s="9"/>
    </row>
    <row r="75" spans="1:20" x14ac:dyDescent="0.3">
      <c r="A75" s="9"/>
      <c r="B75" s="9"/>
      <c r="C75" s="9"/>
      <c r="D75" s="9"/>
    </row>
    <row r="76" spans="1:20" x14ac:dyDescent="0.3">
      <c r="A76" s="9"/>
      <c r="B76" s="9"/>
      <c r="C76" s="9"/>
      <c r="D76" s="9"/>
    </row>
    <row r="77" spans="1:20" x14ac:dyDescent="0.3">
      <c r="A77" s="9"/>
      <c r="B77" s="9"/>
      <c r="C77" s="9"/>
      <c r="D77" s="9"/>
    </row>
    <row r="78" spans="1:20" x14ac:dyDescent="0.3">
      <c r="A78" s="9"/>
      <c r="B78" s="9"/>
      <c r="C78" s="9"/>
      <c r="D78" s="9"/>
    </row>
    <row r="79" spans="1:20" x14ac:dyDescent="0.3">
      <c r="A79" s="9"/>
      <c r="B79" s="9"/>
      <c r="C79" s="9"/>
      <c r="D79" s="9"/>
    </row>
    <row r="80" spans="1:20" x14ac:dyDescent="0.3">
      <c r="A80" s="9"/>
      <c r="B80" s="9"/>
      <c r="C80" s="9"/>
      <c r="D80" s="9"/>
    </row>
    <row r="81" spans="1:4" x14ac:dyDescent="0.3">
      <c r="A81" s="9"/>
      <c r="B81" s="9"/>
      <c r="C81" s="9"/>
      <c r="D81" s="9"/>
    </row>
    <row r="82" spans="1:4" x14ac:dyDescent="0.3">
      <c r="A82" s="9"/>
      <c r="B82" s="9"/>
      <c r="C82" s="9"/>
      <c r="D82" s="9"/>
    </row>
    <row r="83" spans="1:4" x14ac:dyDescent="0.3">
      <c r="A83" s="9"/>
      <c r="B83" s="9"/>
      <c r="C83" s="9"/>
      <c r="D83" s="9"/>
    </row>
    <row r="84" spans="1:4" x14ac:dyDescent="0.3">
      <c r="A84" s="9"/>
      <c r="B84" s="9"/>
      <c r="C84" s="9"/>
      <c r="D84" s="9"/>
    </row>
    <row r="85" spans="1:4" x14ac:dyDescent="0.3">
      <c r="A85" s="9"/>
      <c r="B85" s="9"/>
      <c r="C85" s="9"/>
      <c r="D85" s="9"/>
    </row>
    <row r="86" spans="1:4" x14ac:dyDescent="0.3">
      <c r="A86" s="9"/>
      <c r="B86" s="9"/>
      <c r="C86" s="9"/>
      <c r="D86" s="9"/>
    </row>
    <row r="87" spans="1:4" x14ac:dyDescent="0.3">
      <c r="A87" s="9"/>
      <c r="B87" s="9"/>
      <c r="C87" s="9"/>
      <c r="D87" s="9"/>
    </row>
    <row r="88" spans="1:4" x14ac:dyDescent="0.3">
      <c r="A88" s="9"/>
      <c r="B88" s="9"/>
      <c r="C88" s="9"/>
      <c r="D88" s="9"/>
    </row>
    <row r="89" spans="1:4" x14ac:dyDescent="0.3">
      <c r="A89" s="9"/>
      <c r="B89" s="9"/>
      <c r="C89" s="9"/>
      <c r="D89" s="9"/>
    </row>
    <row r="90" spans="1:4" x14ac:dyDescent="0.3">
      <c r="A90" s="9"/>
      <c r="B90" s="9"/>
      <c r="C90" s="9"/>
      <c r="D90" s="9"/>
    </row>
    <row r="91" spans="1:4" x14ac:dyDescent="0.3">
      <c r="A91" s="9"/>
      <c r="B91" s="9"/>
      <c r="C91" s="9"/>
      <c r="D91" s="9"/>
    </row>
    <row r="92" spans="1:4" x14ac:dyDescent="0.3">
      <c r="A92" s="9"/>
      <c r="B92" s="9"/>
      <c r="C92" s="9"/>
      <c r="D92" s="9"/>
    </row>
    <row r="93" spans="1:4" x14ac:dyDescent="0.3">
      <c r="A93" s="9"/>
      <c r="B93" s="9"/>
      <c r="C93" s="9"/>
      <c r="D93" s="9"/>
    </row>
    <row r="94" spans="1:4" x14ac:dyDescent="0.3">
      <c r="A94" s="9"/>
      <c r="B94" s="9"/>
      <c r="C94" s="9"/>
      <c r="D94" s="9"/>
    </row>
    <row r="95" spans="1:4" x14ac:dyDescent="0.3">
      <c r="A95" s="9"/>
      <c r="B95" s="9"/>
      <c r="C95" s="9"/>
      <c r="D95" s="9"/>
    </row>
    <row r="96" spans="1:4" x14ac:dyDescent="0.3">
      <c r="A96" s="9"/>
      <c r="B96" s="9"/>
      <c r="C96" s="9"/>
      <c r="D96" s="9"/>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row r="170" spans="1:4" x14ac:dyDescent="0.3">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Z169"/>
  <sheetViews>
    <sheetView topLeftCell="A49" workbookViewId="0">
      <selection activeCell="A59" sqref="A59:XFD61"/>
    </sheetView>
  </sheetViews>
  <sheetFormatPr baseColWidth="10" defaultColWidth="11.44140625" defaultRowHeight="14.4" x14ac:dyDescent="0.3"/>
  <cols>
    <col min="1" max="16384" width="11.44140625" style="16"/>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100</v>
      </c>
      <c r="B2" s="300"/>
      <c r="C2" s="300">
        <f>'ECONOMIA &amp; PROFESIONES'!$O$3</f>
        <v>3</v>
      </c>
      <c r="D2" s="300"/>
      <c r="E2" s="300" t="s">
        <v>81</v>
      </c>
      <c r="F2" s="300"/>
      <c r="G2" s="300" t="s">
        <v>97</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3">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8">
        <v>1</v>
      </c>
      <c r="V4" s="288" t="str">
        <f>"+"&amp;ROUND(MAIN!$C$55*$C$2*$K$2/5*$U$4,0)&amp;" "&amp;$I$2</f>
        <v>+3 Armor</v>
      </c>
      <c r="W4" s="288" t="str">
        <f>"+"&amp;ROUND(MAIN!$D$55*$C$2*$K$2/5*$U$4,0)&amp;" "&amp;$I$2</f>
        <v>+5 Armor</v>
      </c>
      <c r="X4" s="288" t="str">
        <f>"+"&amp;ROUND(MAIN!$E$55*$C$2*$K$2/5*$U$4,0)&amp;" "&amp;$I$2</f>
        <v>+8 Armor</v>
      </c>
      <c r="Y4" s="288" t="str">
        <f>"+"&amp;ROUND(MAIN!$F$55*$C$2*$K$2/5*$U$4,0)&amp;" "&amp;$I$2</f>
        <v>+13 Armor</v>
      </c>
      <c r="Z4" s="288" t="str">
        <f>"+"&amp;ROUND(MAIN!$G$55*$C$2*$K$2/5*$U$4,0)&amp;" "&amp;$I$2</f>
        <v>+22 Armor</v>
      </c>
    </row>
    <row r="5" spans="1:26" x14ac:dyDescent="0.3">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8">
        <v>2</v>
      </c>
      <c r="V5" s="288" t="str">
        <f>"+"&amp;ROUND(MAIN!$C$55*$C$2*$K$2/5*$U$5,0)&amp;" "&amp;$I$2</f>
        <v>+6 Armor</v>
      </c>
      <c r="W5" s="288" t="str">
        <f>"+"&amp;ROUND(MAIN!$D$55*$C$2*$K$2/5*$U$5,0)&amp;" "&amp;$I$2</f>
        <v>+10 Armor</v>
      </c>
      <c r="X5" s="288" t="str">
        <f>"+"&amp;ROUND(MAIN!$E$55*$C$2*$K$2/5*$U$5,0)&amp;" "&amp;$I$2</f>
        <v>+16 Armor</v>
      </c>
      <c r="Y5" s="288" t="str">
        <f>"+"&amp;ROUND(MAIN!$F$55*$C$2*$K$2/5*$U$5,0)&amp;" "&amp;$I$2</f>
        <v>+26 Armor</v>
      </c>
      <c r="Z5" s="288" t="str">
        <f>"+"&amp;ROUND(MAIN!$G$55*$C$2*$K$2/5*$U$5,0)&amp;" "&amp;$I$2</f>
        <v>+44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+9 Armor</v>
      </c>
      <c r="W6" s="288" t="str">
        <f>"+"&amp;ROUND(MAIN!$D$55*$C$2*$K$2/5*$U$6,0)&amp;" "&amp;$I$2</f>
        <v>+14 Armor</v>
      </c>
      <c r="X6" s="288" t="str">
        <f>"+"&amp;ROUND(MAIN!$E$55*$C$2*$K$2/5*$U$6,0)&amp;" "&amp;$I$2</f>
        <v>+23 Armor</v>
      </c>
      <c r="Y6" s="288" t="str">
        <f>"+"&amp;ROUND(MAIN!$F$55*$C$2*$K$2/5*$U$6,0)&amp;" "&amp;$I$2</f>
        <v>+40 Armor</v>
      </c>
      <c r="Z6" s="288" t="str">
        <f>"+"&amp;ROUND(MAIN!$G$55*$C$2*$K$2/5*$U$6,0)&amp;" "&amp;$I$2</f>
        <v>+67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+12 Armor</v>
      </c>
      <c r="W7" s="288" t="str">
        <f>"+"&amp;ROUND(MAIN!$D$55*$C$2*$K$2/5*$U$7,0)&amp;" "&amp;$I$2</f>
        <v>+19 Armor</v>
      </c>
      <c r="X7" s="288" t="str">
        <f>"+"&amp;ROUND(MAIN!$E$55*$C$2*$K$2/5*$U$7,0)&amp;" "&amp;$I$2</f>
        <v>+31 Armor</v>
      </c>
      <c r="Y7" s="288" t="str">
        <f>"+"&amp;ROUND(MAIN!$F$55*$C$2*$K$2/5*$U$7,0)&amp;" "&amp;$I$2</f>
        <v>+53 Armor</v>
      </c>
      <c r="Z7" s="288" t="str">
        <f>"+"&amp;ROUND(MAIN!$G$55*$C$2*$K$2/5*$U$7,0)&amp;" "&amp;$I$2</f>
        <v>+89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+15 Armor</v>
      </c>
      <c r="W8" s="288" t="str">
        <f>"+"&amp;ROUND(MAIN!$D$55*$C$2*$K$2/5*$U$8,0)&amp;" "&amp;$I$2</f>
        <v>+24 Armor</v>
      </c>
      <c r="X8" s="288" t="str">
        <f>"+"&amp;ROUND(MAIN!$E$55*$C$2*$K$2/5*$U$8,0)&amp;" "&amp;$I$2</f>
        <v>+39 Armor</v>
      </c>
      <c r="Y8" s="288" t="str">
        <f>"+"&amp;ROUND(MAIN!$F$55*$C$2*$K$2/5*$U$8,0)&amp;" "&amp;$I$2</f>
        <v>+66 Armor</v>
      </c>
      <c r="Z8" s="288" t="str">
        <f>"+"&amp;ROUND(MAIN!$G$55*$C$2*$K$2/5*$U$8,0)&amp;" "&amp;$I$2</f>
        <v>+111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3">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3">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3">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3">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3">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3">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3">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3">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3">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3">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3">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3">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3">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3">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3">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3">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3">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3">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3">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3">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3">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3">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3">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3">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3">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3">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3">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3">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3">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3">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3">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3">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3">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3">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3">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3">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3">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3">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3">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3">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3">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3">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3">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3">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3">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90" customFormat="1" x14ac:dyDescent="0.3">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3">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3">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3">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3">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3">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3">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3">
      <c r="A66" s="9"/>
      <c r="B66" s="9"/>
      <c r="C66" s="9"/>
      <c r="D66" s="9"/>
    </row>
    <row r="67" spans="1:20" x14ac:dyDescent="0.3">
      <c r="A67" s="9"/>
      <c r="B67" s="9"/>
      <c r="C67" s="9"/>
      <c r="D67" s="9"/>
    </row>
    <row r="68" spans="1:20" x14ac:dyDescent="0.3">
      <c r="A68" s="9"/>
      <c r="B68" s="9"/>
      <c r="C68" s="9"/>
      <c r="D68" s="9"/>
    </row>
    <row r="69" spans="1:20" x14ac:dyDescent="0.3">
      <c r="A69" s="9"/>
      <c r="B69" s="9"/>
      <c r="C69" s="9"/>
      <c r="D69" s="9"/>
      <c r="G69" s="13"/>
      <c r="H69" s="13"/>
      <c r="I69" s="13"/>
    </row>
    <row r="70" spans="1:20" x14ac:dyDescent="0.3">
      <c r="A70" s="9"/>
      <c r="B70" s="9"/>
      <c r="C70" s="9"/>
      <c r="D70" s="9"/>
      <c r="G70" s="13"/>
      <c r="H70" s="13"/>
      <c r="I70" s="13"/>
    </row>
    <row r="71" spans="1:20" x14ac:dyDescent="0.3">
      <c r="A71" s="9"/>
      <c r="B71" s="9"/>
      <c r="C71" s="9"/>
      <c r="D71" s="9"/>
      <c r="G71" s="13"/>
      <c r="H71" s="13"/>
      <c r="I71" s="13"/>
    </row>
    <row r="72" spans="1:20" x14ac:dyDescent="0.3">
      <c r="A72" s="9"/>
      <c r="B72" s="9"/>
      <c r="C72" s="9"/>
      <c r="D72" s="9"/>
      <c r="G72" s="13"/>
      <c r="H72" s="13"/>
      <c r="I72" s="13"/>
    </row>
    <row r="73" spans="1:20" x14ac:dyDescent="0.3">
      <c r="A73" s="9"/>
      <c r="B73" s="9"/>
      <c r="C73" s="9"/>
      <c r="D73" s="9"/>
      <c r="G73" s="13"/>
      <c r="H73" s="13"/>
      <c r="I73" s="13"/>
    </row>
    <row r="74" spans="1:20" x14ac:dyDescent="0.3">
      <c r="A74" s="9"/>
      <c r="B74" s="9"/>
      <c r="C74" s="9"/>
      <c r="D74" s="9"/>
      <c r="G74" s="13"/>
      <c r="H74" s="13"/>
      <c r="I74" s="13"/>
    </row>
    <row r="75" spans="1:20" x14ac:dyDescent="0.3">
      <c r="A75" s="9"/>
      <c r="B75" s="9"/>
      <c r="C75" s="9"/>
      <c r="D75" s="9"/>
      <c r="G75" s="13"/>
      <c r="H75" s="13"/>
      <c r="I75" s="13"/>
    </row>
    <row r="76" spans="1:20" x14ac:dyDescent="0.3">
      <c r="A76" s="9"/>
      <c r="B76" s="9"/>
      <c r="C76" s="9"/>
      <c r="D76" s="9"/>
      <c r="G76" s="13"/>
      <c r="H76" s="13"/>
      <c r="I76" s="13"/>
    </row>
    <row r="77" spans="1:20" x14ac:dyDescent="0.3">
      <c r="A77" s="9"/>
      <c r="B77" s="9"/>
      <c r="C77" s="9"/>
      <c r="D77" s="9"/>
    </row>
    <row r="78" spans="1:20" x14ac:dyDescent="0.3">
      <c r="A78" s="9"/>
      <c r="B78" s="9"/>
      <c r="C78" s="9"/>
      <c r="D78" s="9"/>
    </row>
    <row r="79" spans="1:20" x14ac:dyDescent="0.3">
      <c r="A79" s="9"/>
      <c r="B79" s="9"/>
      <c r="C79" s="9"/>
      <c r="D79" s="9"/>
    </row>
    <row r="80" spans="1:20" x14ac:dyDescent="0.3">
      <c r="A80" s="9"/>
      <c r="B80" s="9"/>
      <c r="C80" s="9"/>
      <c r="D80" s="9"/>
    </row>
    <row r="81" spans="1:4" x14ac:dyDescent="0.3">
      <c r="A81" s="9"/>
      <c r="B81" s="9"/>
      <c r="C81" s="9"/>
      <c r="D81" s="9"/>
    </row>
    <row r="82" spans="1:4" x14ac:dyDescent="0.3">
      <c r="A82" s="9"/>
      <c r="B82" s="9"/>
      <c r="C82" s="9"/>
      <c r="D82" s="9"/>
    </row>
    <row r="83" spans="1:4" x14ac:dyDescent="0.3">
      <c r="A83" s="9"/>
      <c r="B83" s="9"/>
      <c r="C83" s="9"/>
      <c r="D83" s="9"/>
    </row>
    <row r="84" spans="1:4" x14ac:dyDescent="0.3">
      <c r="A84" s="9"/>
      <c r="B84" s="9"/>
      <c r="C84" s="9"/>
      <c r="D84" s="9"/>
    </row>
    <row r="85" spans="1:4" x14ac:dyDescent="0.3">
      <c r="A85" s="9"/>
      <c r="B85" s="9"/>
      <c r="C85" s="9"/>
      <c r="D85" s="9"/>
    </row>
    <row r="86" spans="1:4" x14ac:dyDescent="0.3">
      <c r="A86" s="9"/>
      <c r="B86" s="9"/>
      <c r="C86" s="9"/>
      <c r="D86" s="9"/>
    </row>
    <row r="87" spans="1:4" x14ac:dyDescent="0.3">
      <c r="A87" s="9"/>
      <c r="B87" s="9"/>
      <c r="C87" s="9"/>
      <c r="D87" s="9"/>
    </row>
    <row r="88" spans="1:4" x14ac:dyDescent="0.3">
      <c r="A88" s="9"/>
      <c r="B88" s="9"/>
      <c r="C88" s="9"/>
      <c r="D88" s="9"/>
    </row>
    <row r="89" spans="1:4" x14ac:dyDescent="0.3">
      <c r="A89" s="9"/>
      <c r="B89" s="9"/>
      <c r="C89" s="9"/>
      <c r="D89" s="9"/>
    </row>
    <row r="90" spans="1:4" x14ac:dyDescent="0.3">
      <c r="A90" s="9"/>
      <c r="B90" s="9"/>
      <c r="C90" s="9"/>
      <c r="D90" s="9"/>
    </row>
    <row r="91" spans="1:4" x14ac:dyDescent="0.3">
      <c r="A91" s="9"/>
      <c r="B91" s="9"/>
      <c r="C91" s="9"/>
      <c r="D91" s="9"/>
    </row>
    <row r="92" spans="1:4" x14ac:dyDescent="0.3">
      <c r="A92" s="9"/>
      <c r="B92" s="9"/>
      <c r="C92" s="9"/>
      <c r="D92" s="9"/>
    </row>
    <row r="93" spans="1:4" x14ac:dyDescent="0.3">
      <c r="A93" s="9"/>
      <c r="B93" s="9"/>
      <c r="C93" s="9"/>
      <c r="D93" s="9"/>
    </row>
    <row r="94" spans="1:4" x14ac:dyDescent="0.3">
      <c r="A94" s="9"/>
      <c r="B94" s="9"/>
      <c r="C94" s="9"/>
      <c r="D94" s="9"/>
    </row>
    <row r="95" spans="1:4" x14ac:dyDescent="0.3">
      <c r="A95" s="9"/>
      <c r="B95" s="9"/>
      <c r="C95" s="9"/>
      <c r="D95" s="9"/>
    </row>
    <row r="96" spans="1:4" x14ac:dyDescent="0.3">
      <c r="A96" s="9"/>
      <c r="B96" s="9"/>
      <c r="C96" s="9"/>
      <c r="D96" s="9"/>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Z169"/>
  <sheetViews>
    <sheetView topLeftCell="A46" workbookViewId="0">
      <selection activeCell="A59" sqref="A59:XFD61"/>
    </sheetView>
  </sheetViews>
  <sheetFormatPr baseColWidth="10" defaultColWidth="11.44140625" defaultRowHeight="14.4" x14ac:dyDescent="0.3"/>
  <cols>
    <col min="1" max="16384" width="11.44140625" style="17"/>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100</v>
      </c>
      <c r="B2" s="300"/>
      <c r="C2" s="300">
        <f>'ECONOMIA &amp; PROFESIONES'!$O$3</f>
        <v>3</v>
      </c>
      <c r="D2" s="300"/>
      <c r="E2" s="300" t="s">
        <v>81</v>
      </c>
      <c r="F2" s="300"/>
      <c r="G2" s="300" t="s">
        <v>97</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3">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3">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3">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3">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3">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3">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3">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3">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3">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3">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3">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3">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3">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3">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3">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3">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3">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3">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3">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3">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3">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3">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3">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3">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3">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3">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3">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3">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3">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3">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3">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3">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3">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3">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3">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3">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3">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3">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3">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3">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3">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3">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3">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3">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3">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3">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3">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0" customFormat="1" x14ac:dyDescent="0.3">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3">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3">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3">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3">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3">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3">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3">
      <c r="A66" s="9"/>
      <c r="B66" s="9"/>
      <c r="C66" s="9"/>
      <c r="D66" s="9"/>
    </row>
    <row r="67" spans="1:20" x14ac:dyDescent="0.3">
      <c r="A67" s="9"/>
      <c r="B67" s="9"/>
      <c r="C67" s="9"/>
      <c r="D67" s="9"/>
    </row>
    <row r="68" spans="1:20" x14ac:dyDescent="0.3">
      <c r="A68" s="9"/>
      <c r="B68" s="9"/>
      <c r="C68" s="9"/>
      <c r="D68" s="9"/>
    </row>
    <row r="69" spans="1:20" x14ac:dyDescent="0.3">
      <c r="A69" s="9"/>
      <c r="B69" s="9"/>
      <c r="C69" s="9"/>
      <c r="D69" s="9"/>
      <c r="G69" s="13"/>
      <c r="H69" s="13"/>
      <c r="I69" s="13"/>
    </row>
    <row r="70" spans="1:20" x14ac:dyDescent="0.3">
      <c r="A70" s="9"/>
      <c r="B70" s="9"/>
      <c r="C70" s="9"/>
      <c r="D70" s="9"/>
      <c r="G70" s="13"/>
      <c r="H70" s="13"/>
      <c r="I70" s="13"/>
    </row>
    <row r="71" spans="1:20" x14ac:dyDescent="0.3">
      <c r="A71" s="9"/>
      <c r="B71" s="9"/>
      <c r="C71" s="9"/>
      <c r="D71" s="9"/>
      <c r="G71" s="13"/>
      <c r="H71" s="13"/>
      <c r="I71" s="13"/>
    </row>
    <row r="72" spans="1:20" x14ac:dyDescent="0.3">
      <c r="A72" s="9"/>
      <c r="B72" s="9"/>
      <c r="C72" s="9"/>
      <c r="D72" s="9"/>
      <c r="G72" s="13"/>
      <c r="H72" s="13"/>
      <c r="I72" s="13"/>
    </row>
    <row r="73" spans="1:20" x14ac:dyDescent="0.3">
      <c r="A73" s="9"/>
      <c r="B73" s="9"/>
      <c r="C73" s="9"/>
      <c r="D73" s="9"/>
      <c r="G73" s="13"/>
      <c r="H73" s="13"/>
      <c r="I73" s="13"/>
    </row>
    <row r="74" spans="1:20" x14ac:dyDescent="0.3">
      <c r="A74" s="9"/>
      <c r="B74" s="9"/>
      <c r="C74" s="9"/>
      <c r="D74" s="9"/>
      <c r="G74" s="13"/>
      <c r="H74" s="13"/>
      <c r="I74" s="13"/>
    </row>
    <row r="75" spans="1:20" x14ac:dyDescent="0.3">
      <c r="A75" s="9"/>
      <c r="B75" s="9"/>
      <c r="C75" s="9"/>
      <c r="D75" s="9"/>
      <c r="G75" s="13"/>
      <c r="H75" s="13"/>
      <c r="I75" s="13"/>
    </row>
    <row r="76" spans="1:20" x14ac:dyDescent="0.3">
      <c r="A76" s="9"/>
      <c r="B76" s="9"/>
      <c r="C76" s="9"/>
      <c r="D76" s="9"/>
      <c r="G76" s="13"/>
      <c r="H76" s="13"/>
      <c r="I76" s="13"/>
    </row>
    <row r="77" spans="1:20" x14ac:dyDescent="0.3">
      <c r="A77" s="9"/>
      <c r="B77" s="9"/>
      <c r="C77" s="9"/>
      <c r="D77" s="9"/>
    </row>
    <row r="78" spans="1:20" x14ac:dyDescent="0.3">
      <c r="A78" s="9"/>
      <c r="B78" s="9"/>
      <c r="C78" s="9"/>
      <c r="D78" s="9"/>
    </row>
    <row r="79" spans="1:20" x14ac:dyDescent="0.3">
      <c r="A79" s="9"/>
      <c r="B79" s="9"/>
      <c r="C79" s="9"/>
      <c r="D79" s="9"/>
    </row>
    <row r="80" spans="1:20" x14ac:dyDescent="0.3">
      <c r="A80" s="9"/>
      <c r="B80" s="9"/>
      <c r="C80" s="9"/>
      <c r="D80" s="9"/>
    </row>
    <row r="81" spans="1:4" x14ac:dyDescent="0.3">
      <c r="A81" s="9"/>
      <c r="B81" s="9"/>
      <c r="C81" s="9"/>
      <c r="D81" s="9"/>
    </row>
    <row r="82" spans="1:4" x14ac:dyDescent="0.3">
      <c r="A82" s="9"/>
      <c r="B82" s="9"/>
      <c r="C82" s="9"/>
      <c r="D82" s="9"/>
    </row>
    <row r="83" spans="1:4" x14ac:dyDescent="0.3">
      <c r="A83" s="9"/>
      <c r="B83" s="9"/>
      <c r="C83" s="9"/>
      <c r="D83" s="9"/>
    </row>
    <row r="84" spans="1:4" x14ac:dyDescent="0.3">
      <c r="A84" s="9"/>
      <c r="B84" s="9"/>
      <c r="C84" s="9"/>
      <c r="D84" s="9"/>
    </row>
    <row r="85" spans="1:4" x14ac:dyDescent="0.3">
      <c r="A85" s="9"/>
      <c r="B85" s="9"/>
      <c r="C85" s="9"/>
      <c r="D85" s="9"/>
    </row>
    <row r="86" spans="1:4" x14ac:dyDescent="0.3">
      <c r="A86" s="9"/>
      <c r="B86" s="9"/>
      <c r="C86" s="9"/>
      <c r="D86" s="9"/>
    </row>
    <row r="87" spans="1:4" x14ac:dyDescent="0.3">
      <c r="A87" s="9"/>
      <c r="B87" s="9"/>
      <c r="C87" s="9"/>
      <c r="D87" s="9"/>
    </row>
    <row r="88" spans="1:4" x14ac:dyDescent="0.3">
      <c r="A88" s="9"/>
      <c r="B88" s="9"/>
      <c r="C88" s="9"/>
      <c r="D88" s="9"/>
    </row>
    <row r="89" spans="1:4" x14ac:dyDescent="0.3">
      <c r="A89" s="9"/>
      <c r="B89" s="9"/>
      <c r="C89" s="9"/>
      <c r="D89" s="9"/>
    </row>
    <row r="90" spans="1:4" x14ac:dyDescent="0.3">
      <c r="A90" s="9"/>
      <c r="B90" s="9"/>
      <c r="C90" s="9"/>
      <c r="D90" s="9"/>
    </row>
    <row r="91" spans="1:4" x14ac:dyDescent="0.3">
      <c r="A91" s="9"/>
      <c r="B91" s="9"/>
      <c r="C91" s="9"/>
      <c r="D91" s="9"/>
    </row>
    <row r="92" spans="1:4" x14ac:dyDescent="0.3">
      <c r="A92" s="9"/>
      <c r="B92" s="9"/>
      <c r="C92" s="9"/>
      <c r="D92" s="9"/>
    </row>
    <row r="93" spans="1:4" x14ac:dyDescent="0.3">
      <c r="A93" s="9"/>
      <c r="B93" s="9"/>
      <c r="C93" s="9"/>
      <c r="D93" s="9"/>
    </row>
    <row r="94" spans="1:4" x14ac:dyDescent="0.3">
      <c r="A94" s="9"/>
      <c r="B94" s="9"/>
      <c r="C94" s="9"/>
      <c r="D94" s="9"/>
    </row>
    <row r="95" spans="1:4" x14ac:dyDescent="0.3">
      <c r="A95" s="9"/>
      <c r="B95" s="9"/>
      <c r="C95" s="9"/>
      <c r="D95" s="9"/>
    </row>
    <row r="96" spans="1:4" x14ac:dyDescent="0.3">
      <c r="A96" s="9"/>
      <c r="B96" s="9"/>
      <c r="C96" s="9"/>
      <c r="D96" s="9"/>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Z169"/>
  <sheetViews>
    <sheetView topLeftCell="A44" workbookViewId="0">
      <selection activeCell="A59" sqref="A59:XFD61"/>
    </sheetView>
  </sheetViews>
  <sheetFormatPr baseColWidth="10" defaultColWidth="11.5546875" defaultRowHeight="14.4" x14ac:dyDescent="0.3"/>
  <cols>
    <col min="1" max="16384" width="11.5546875" style="18"/>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100</v>
      </c>
      <c r="B2" s="300"/>
      <c r="C2" s="300">
        <f>'ECONOMIA &amp; PROFESIONES'!$O$3</f>
        <v>3</v>
      </c>
      <c r="D2" s="300"/>
      <c r="E2" s="300" t="s">
        <v>81</v>
      </c>
      <c r="F2" s="300"/>
      <c r="G2" s="300" t="s">
        <v>97</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3">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3">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3">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3">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3">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3">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3">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3">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3">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3">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3">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3">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3">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3">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3">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3">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3">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3">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3">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3">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3">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3">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3">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3">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3">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3">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3">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3">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3">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3">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3">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3">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3">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3">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3">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3">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3">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3">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3">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3">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3">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3">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3">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3">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3">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3">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3">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0" customFormat="1" x14ac:dyDescent="0.3">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3">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3">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3">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3">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3">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3">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3">
      <c r="A66" s="9"/>
      <c r="B66" s="9"/>
      <c r="C66" s="9"/>
      <c r="D66" s="9"/>
    </row>
    <row r="67" spans="1:20" x14ac:dyDescent="0.3">
      <c r="A67" s="9"/>
      <c r="B67" s="9"/>
      <c r="C67" s="9"/>
      <c r="D67" s="9"/>
    </row>
    <row r="68" spans="1:20" x14ac:dyDescent="0.3">
      <c r="A68" s="9"/>
      <c r="B68" s="9"/>
      <c r="C68" s="9"/>
      <c r="D68" s="9"/>
    </row>
    <row r="69" spans="1:20" x14ac:dyDescent="0.3">
      <c r="A69" s="9"/>
      <c r="B69" s="9"/>
      <c r="C69" s="9"/>
      <c r="D69" s="9"/>
      <c r="G69" s="13"/>
      <c r="H69" s="13"/>
      <c r="I69" s="13"/>
    </row>
    <row r="70" spans="1:20" x14ac:dyDescent="0.3">
      <c r="A70" s="9"/>
      <c r="B70" s="9"/>
      <c r="C70" s="9"/>
      <c r="D70" s="9"/>
      <c r="G70" s="13"/>
      <c r="H70" s="13"/>
      <c r="I70" s="13"/>
    </row>
    <row r="71" spans="1:20" x14ac:dyDescent="0.3">
      <c r="A71" s="9"/>
      <c r="B71" s="9"/>
      <c r="C71" s="9"/>
      <c r="D71" s="9"/>
      <c r="G71" s="13"/>
      <c r="H71" s="13"/>
      <c r="I71" s="13"/>
    </row>
    <row r="72" spans="1:20" x14ac:dyDescent="0.3">
      <c r="A72" s="9"/>
      <c r="B72" s="9"/>
      <c r="C72" s="9"/>
      <c r="D72" s="9"/>
      <c r="G72" s="13"/>
      <c r="H72" s="13"/>
      <c r="I72" s="13"/>
    </row>
    <row r="73" spans="1:20" x14ac:dyDescent="0.3">
      <c r="A73" s="9"/>
      <c r="B73" s="9"/>
      <c r="C73" s="9"/>
      <c r="D73" s="9"/>
      <c r="G73" s="13"/>
      <c r="H73" s="13"/>
      <c r="I73" s="13"/>
    </row>
    <row r="74" spans="1:20" x14ac:dyDescent="0.3">
      <c r="A74" s="9"/>
      <c r="B74" s="9"/>
      <c r="C74" s="9"/>
      <c r="D74" s="9"/>
      <c r="G74" s="13"/>
      <c r="H74" s="13"/>
      <c r="I74" s="13"/>
    </row>
    <row r="75" spans="1:20" x14ac:dyDescent="0.3">
      <c r="A75" s="9"/>
      <c r="B75" s="9"/>
      <c r="C75" s="9"/>
      <c r="D75" s="9"/>
      <c r="G75" s="13"/>
      <c r="H75" s="13"/>
      <c r="I75" s="13"/>
    </row>
    <row r="76" spans="1:20" x14ac:dyDescent="0.3">
      <c r="A76" s="9"/>
      <c r="B76" s="9"/>
      <c r="C76" s="9"/>
      <c r="D76" s="9"/>
      <c r="G76" s="13"/>
      <c r="H76" s="13"/>
      <c r="I76" s="13"/>
    </row>
    <row r="77" spans="1:20" x14ac:dyDescent="0.3">
      <c r="A77" s="9"/>
      <c r="B77" s="9"/>
      <c r="C77" s="9"/>
      <c r="D77" s="9"/>
    </row>
    <row r="78" spans="1:20" x14ac:dyDescent="0.3">
      <c r="A78" s="9"/>
      <c r="B78" s="9"/>
      <c r="C78" s="9"/>
      <c r="D78" s="9"/>
    </row>
    <row r="79" spans="1:20" x14ac:dyDescent="0.3">
      <c r="A79" s="9"/>
      <c r="B79" s="9"/>
      <c r="C79" s="9"/>
      <c r="D79" s="9"/>
    </row>
    <row r="80" spans="1:20" x14ac:dyDescent="0.3">
      <c r="A80" s="9"/>
      <c r="B80" s="9"/>
      <c r="C80" s="9"/>
      <c r="D80" s="9"/>
    </row>
    <row r="81" spans="1:4" x14ac:dyDescent="0.3">
      <c r="A81" s="9"/>
      <c r="B81" s="9"/>
      <c r="C81" s="9"/>
      <c r="D81" s="9"/>
    </row>
    <row r="82" spans="1:4" x14ac:dyDescent="0.3">
      <c r="A82" s="9"/>
      <c r="B82" s="9"/>
      <c r="C82" s="9"/>
      <c r="D82" s="9"/>
    </row>
    <row r="83" spans="1:4" x14ac:dyDescent="0.3">
      <c r="A83" s="9"/>
      <c r="B83" s="9"/>
      <c r="C83" s="9"/>
      <c r="D83" s="9"/>
    </row>
    <row r="84" spans="1:4" x14ac:dyDescent="0.3">
      <c r="A84" s="9"/>
      <c r="B84" s="9"/>
      <c r="C84" s="9"/>
      <c r="D84" s="9"/>
    </row>
    <row r="85" spans="1:4" x14ac:dyDescent="0.3">
      <c r="A85" s="9"/>
      <c r="B85" s="9"/>
      <c r="C85" s="9"/>
      <c r="D85" s="9"/>
    </row>
    <row r="86" spans="1:4" x14ac:dyDescent="0.3">
      <c r="A86" s="9"/>
      <c r="B86" s="9"/>
      <c r="C86" s="9"/>
      <c r="D86" s="9"/>
    </row>
    <row r="87" spans="1:4" x14ac:dyDescent="0.3">
      <c r="A87" s="9"/>
      <c r="B87" s="9"/>
      <c r="C87" s="9"/>
      <c r="D87" s="9"/>
    </row>
    <row r="88" spans="1:4" x14ac:dyDescent="0.3">
      <c r="A88" s="9"/>
      <c r="B88" s="9"/>
      <c r="C88" s="9"/>
      <c r="D88" s="9"/>
    </row>
    <row r="89" spans="1:4" x14ac:dyDescent="0.3">
      <c r="A89" s="9"/>
      <c r="B89" s="9"/>
      <c r="C89" s="9"/>
      <c r="D89" s="9"/>
    </row>
    <row r="90" spans="1:4" x14ac:dyDescent="0.3">
      <c r="A90" s="9"/>
      <c r="B90" s="9"/>
      <c r="C90" s="9"/>
      <c r="D90" s="9"/>
    </row>
    <row r="91" spans="1:4" x14ac:dyDescent="0.3">
      <c r="A91" s="9"/>
      <c r="B91" s="9"/>
      <c r="C91" s="9"/>
      <c r="D91" s="9"/>
    </row>
    <row r="92" spans="1:4" x14ac:dyDescent="0.3">
      <c r="A92" s="9"/>
      <c r="B92" s="9"/>
      <c r="C92" s="9"/>
      <c r="D92" s="9"/>
    </row>
    <row r="93" spans="1:4" x14ac:dyDescent="0.3">
      <c r="A93" s="9"/>
      <c r="B93" s="9"/>
      <c r="C93" s="9"/>
      <c r="D93" s="9"/>
    </row>
    <row r="94" spans="1:4" x14ac:dyDescent="0.3">
      <c r="A94" s="9"/>
      <c r="B94" s="9"/>
      <c r="C94" s="9"/>
      <c r="D94" s="9"/>
    </row>
    <row r="95" spans="1:4" x14ac:dyDescent="0.3">
      <c r="A95" s="9"/>
      <c r="B95" s="9"/>
      <c r="C95" s="9"/>
      <c r="D95" s="9"/>
    </row>
    <row r="96" spans="1:4" x14ac:dyDescent="0.3">
      <c r="A96" s="9"/>
      <c r="B96" s="9"/>
      <c r="C96" s="9"/>
      <c r="D96" s="9"/>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Z169"/>
  <sheetViews>
    <sheetView topLeftCell="A46" workbookViewId="0">
      <selection activeCell="A59" sqref="A59:XFD61"/>
    </sheetView>
  </sheetViews>
  <sheetFormatPr baseColWidth="10" defaultColWidth="11.5546875" defaultRowHeight="14.4" x14ac:dyDescent="0.3"/>
  <cols>
    <col min="1" max="16384" width="11.5546875" style="18"/>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100</v>
      </c>
      <c r="B2" s="300"/>
      <c r="C2" s="300">
        <f>'ECONOMIA &amp; PROFESIONES'!$O$3</f>
        <v>3</v>
      </c>
      <c r="D2" s="300"/>
      <c r="E2" s="300" t="s">
        <v>81</v>
      </c>
      <c r="F2" s="300"/>
      <c r="G2" s="300" t="s">
        <v>97</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3">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3">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3">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3">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3">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3">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3">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3">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3">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3">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3">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3">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3">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3">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3">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3">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3">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3">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3">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3">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3">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3">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3">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3">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3">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3">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3">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3">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3">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3">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3">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3">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3">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3">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3">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3">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3">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3">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3">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3">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3">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3">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3">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3">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3">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3">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3">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0" customFormat="1" x14ac:dyDescent="0.3">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3">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3">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3">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3">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3">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3">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3">
      <c r="A66" s="9"/>
      <c r="B66" s="9"/>
      <c r="C66" s="9"/>
      <c r="D66" s="9"/>
    </row>
    <row r="67" spans="1:20" x14ac:dyDescent="0.3">
      <c r="A67" s="9"/>
      <c r="B67" s="9"/>
      <c r="C67" s="9"/>
      <c r="D67" s="9"/>
    </row>
    <row r="68" spans="1:20" x14ac:dyDescent="0.3">
      <c r="A68" s="9"/>
      <c r="B68" s="9"/>
      <c r="C68" s="9"/>
      <c r="D68" s="9"/>
    </row>
    <row r="69" spans="1:20" x14ac:dyDescent="0.3">
      <c r="A69" s="9"/>
      <c r="B69" s="9"/>
      <c r="C69" s="9"/>
      <c r="D69" s="9"/>
      <c r="G69" s="13"/>
      <c r="H69" s="13"/>
      <c r="I69" s="13"/>
    </row>
    <row r="70" spans="1:20" x14ac:dyDescent="0.3">
      <c r="A70" s="9"/>
      <c r="B70" s="9"/>
      <c r="C70" s="9"/>
      <c r="D70" s="9"/>
      <c r="G70" s="13"/>
      <c r="H70" s="13"/>
      <c r="I70" s="13"/>
    </row>
    <row r="71" spans="1:20" x14ac:dyDescent="0.3">
      <c r="A71" s="9"/>
      <c r="B71" s="9"/>
      <c r="C71" s="9"/>
      <c r="D71" s="9"/>
      <c r="G71" s="13"/>
      <c r="H71" s="13"/>
      <c r="I71" s="13"/>
    </row>
    <row r="72" spans="1:20" x14ac:dyDescent="0.3">
      <c r="A72" s="9"/>
      <c r="B72" s="9"/>
      <c r="C72" s="9"/>
      <c r="D72" s="9"/>
      <c r="G72" s="13"/>
      <c r="H72" s="13"/>
      <c r="I72" s="13"/>
    </row>
    <row r="73" spans="1:20" x14ac:dyDescent="0.3">
      <c r="A73" s="9"/>
      <c r="B73" s="9"/>
      <c r="C73" s="9"/>
      <c r="D73" s="9"/>
      <c r="G73" s="13"/>
      <c r="H73" s="13"/>
      <c r="I73" s="13"/>
    </row>
    <row r="74" spans="1:20" x14ac:dyDescent="0.3">
      <c r="A74" s="9"/>
      <c r="B74" s="9"/>
      <c r="C74" s="9"/>
      <c r="D74" s="9"/>
      <c r="G74" s="13"/>
      <c r="H74" s="13"/>
      <c r="I74" s="13"/>
    </row>
    <row r="75" spans="1:20" x14ac:dyDescent="0.3">
      <c r="A75" s="9"/>
      <c r="B75" s="9"/>
      <c r="C75" s="9"/>
      <c r="D75" s="9"/>
      <c r="G75" s="13"/>
      <c r="H75" s="13"/>
      <c r="I75" s="13"/>
    </row>
    <row r="76" spans="1:20" x14ac:dyDescent="0.3">
      <c r="A76" s="9"/>
      <c r="B76" s="9"/>
      <c r="C76" s="9"/>
      <c r="D76" s="9"/>
      <c r="G76" s="13"/>
      <c r="H76" s="13"/>
      <c r="I76" s="13"/>
    </row>
    <row r="77" spans="1:20" x14ac:dyDescent="0.3">
      <c r="A77" s="9"/>
      <c r="B77" s="9"/>
      <c r="C77" s="9"/>
      <c r="D77" s="9"/>
    </row>
    <row r="78" spans="1:20" x14ac:dyDescent="0.3">
      <c r="A78" s="9"/>
      <c r="B78" s="9"/>
      <c r="C78" s="9"/>
      <c r="D78" s="9"/>
    </row>
    <row r="79" spans="1:20" x14ac:dyDescent="0.3">
      <c r="A79" s="9"/>
      <c r="B79" s="9"/>
      <c r="C79" s="9"/>
      <c r="D79" s="9"/>
    </row>
    <row r="80" spans="1:20" x14ac:dyDescent="0.3">
      <c r="A80" s="9"/>
      <c r="B80" s="9"/>
      <c r="C80" s="9"/>
      <c r="D80" s="9"/>
    </row>
    <row r="81" spans="1:4" x14ac:dyDescent="0.3">
      <c r="A81" s="9"/>
      <c r="B81" s="9"/>
      <c r="C81" s="9"/>
      <c r="D81" s="9"/>
    </row>
    <row r="82" spans="1:4" x14ac:dyDescent="0.3">
      <c r="A82" s="9"/>
      <c r="B82" s="9"/>
      <c r="C82" s="9"/>
      <c r="D82" s="9"/>
    </row>
    <row r="83" spans="1:4" x14ac:dyDescent="0.3">
      <c r="A83" s="9"/>
      <c r="B83" s="9"/>
      <c r="C83" s="9"/>
      <c r="D83" s="9"/>
    </row>
    <row r="84" spans="1:4" x14ac:dyDescent="0.3">
      <c r="A84" s="9"/>
      <c r="B84" s="9"/>
      <c r="C84" s="9"/>
      <c r="D84" s="9"/>
    </row>
    <row r="85" spans="1:4" x14ac:dyDescent="0.3">
      <c r="A85" s="9"/>
      <c r="B85" s="9"/>
      <c r="C85" s="9"/>
      <c r="D85" s="9"/>
    </row>
    <row r="86" spans="1:4" x14ac:dyDescent="0.3">
      <c r="A86" s="9"/>
      <c r="B86" s="9"/>
      <c r="C86" s="9"/>
      <c r="D86" s="9"/>
    </row>
    <row r="87" spans="1:4" x14ac:dyDescent="0.3">
      <c r="A87" s="9"/>
      <c r="B87" s="9"/>
      <c r="C87" s="9"/>
      <c r="D87" s="9"/>
    </row>
    <row r="88" spans="1:4" x14ac:dyDescent="0.3">
      <c r="A88" s="9"/>
      <c r="B88" s="9"/>
      <c r="C88" s="9"/>
      <c r="D88" s="9"/>
    </row>
    <row r="89" spans="1:4" x14ac:dyDescent="0.3">
      <c r="A89" s="9"/>
      <c r="B89" s="9"/>
      <c r="C89" s="9"/>
      <c r="D89" s="9"/>
    </row>
    <row r="90" spans="1:4" x14ac:dyDescent="0.3">
      <c r="A90" s="9"/>
      <c r="B90" s="9"/>
      <c r="C90" s="9"/>
      <c r="D90" s="9"/>
    </row>
    <row r="91" spans="1:4" x14ac:dyDescent="0.3">
      <c r="A91" s="9"/>
      <c r="B91" s="9"/>
      <c r="C91" s="9"/>
      <c r="D91" s="9"/>
    </row>
    <row r="92" spans="1:4" x14ac:dyDescent="0.3">
      <c r="A92" s="9"/>
      <c r="B92" s="9"/>
      <c r="C92" s="9"/>
      <c r="D92" s="9"/>
    </row>
    <row r="93" spans="1:4" x14ac:dyDescent="0.3">
      <c r="A93" s="9"/>
      <c r="B93" s="9"/>
      <c r="C93" s="9"/>
      <c r="D93" s="9"/>
    </row>
    <row r="94" spans="1:4" x14ac:dyDescent="0.3">
      <c r="A94" s="9"/>
      <c r="B94" s="9"/>
      <c r="C94" s="9"/>
      <c r="D94" s="9"/>
    </row>
    <row r="95" spans="1:4" x14ac:dyDescent="0.3">
      <c r="A95" s="9"/>
      <c r="B95" s="9"/>
      <c r="C95" s="9"/>
      <c r="D95" s="9"/>
    </row>
    <row r="96" spans="1:4" x14ac:dyDescent="0.3">
      <c r="A96" s="9"/>
      <c r="B96" s="9"/>
      <c r="C96" s="9"/>
      <c r="D96" s="9"/>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Z189"/>
  <sheetViews>
    <sheetView topLeftCell="T1" workbookViewId="0">
      <selection activeCell="V4" sqref="V4:V6"/>
    </sheetView>
  </sheetViews>
  <sheetFormatPr baseColWidth="10" defaultColWidth="11.44140625" defaultRowHeight="14.4" x14ac:dyDescent="0.3"/>
  <cols>
    <col min="1" max="25" width="11.44140625" style="19"/>
    <col min="26" max="26" width="13.33203125" style="19" customWidth="1"/>
    <col min="27" max="16384" width="11.44140625" style="19"/>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102</v>
      </c>
      <c r="B2" s="300"/>
      <c r="C2" s="300">
        <f>'ECONOMIA &amp; PROFESIONES'!$P$3</f>
        <v>5</v>
      </c>
      <c r="D2" s="300"/>
      <c r="E2" s="300" t="s">
        <v>81</v>
      </c>
      <c r="F2" s="300"/>
      <c r="G2" s="300" t="s">
        <v>103</v>
      </c>
      <c r="H2" s="300"/>
      <c r="I2" s="300" t="str">
        <f>MAIN!$J$42</f>
        <v>&amp;7Ataque:</v>
      </c>
      <c r="J2" s="300"/>
      <c r="K2" s="300">
        <f>MAIN!$L$42</f>
        <v>2</v>
      </c>
      <c r="L2" s="300"/>
    </row>
    <row r="3" spans="1:26" ht="29.25" customHeight="1" x14ac:dyDescent="0.3">
      <c r="A3" s="375" t="s">
        <v>7</v>
      </c>
      <c r="B3" s="375"/>
      <c r="C3" s="375"/>
      <c r="D3" s="375"/>
      <c r="E3" s="375" t="s">
        <v>8</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3">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8">
        <v>1</v>
      </c>
      <c r="V4" s="288" t="str">
        <f>$I$2&amp;" "&amp;ROUND(MAIN!$C$44*$C$2*$K$2/5*$U$4,0)</f>
        <v>&amp;7Ataque: 4</v>
      </c>
      <c r="W4" s="288" t="str">
        <f>$I$2&amp;" "&amp;ROUND(MAIN!$D$44*$C$2*$K$2/5*$U$4,0)</f>
        <v>&amp;7Ataque: 12</v>
      </c>
      <c r="X4" s="288" t="str">
        <f>$I$2&amp;" "&amp;ROUND(MAIN!$E$44*$C$2*$K$2/5*$U$4,0)</f>
        <v>&amp;7Ataque: 36</v>
      </c>
      <c r="Y4" s="288" t="str">
        <f>$I$2&amp;" "&amp;ROUND(MAIN!$F$44*$C$2*$K$2/5*$U$4,0)</f>
        <v>&amp;7Ataque: 108</v>
      </c>
      <c r="Z4" s="288" t="str">
        <f>$I$2&amp;" "&amp;ROUND(MAIN!$G$44*$C$2*$K$2/5*$U$4,0)</f>
        <v>&amp;7Ataque: 324</v>
      </c>
    </row>
    <row r="5" spans="1:26" x14ac:dyDescent="0.3">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8">
        <v>2</v>
      </c>
      <c r="V5" s="288" t="str">
        <f>$I$2&amp;" "&amp;ROUND(MAIN!$C$44*$C$2*$K$2/5*$U$5,0)</f>
        <v>&amp;7Ataque: 8</v>
      </c>
      <c r="W5" s="288" t="str">
        <f>$I$2&amp;" "&amp;ROUND(MAIN!$D$44*$C$2*$K$2/5*$U$5,0)</f>
        <v>&amp;7Ataque: 24</v>
      </c>
      <c r="X5" s="288" t="str">
        <f>$I$2&amp;" "&amp;ROUND(MAIN!$E$44*$C$2*$K$2/5*$U$5,0)</f>
        <v>&amp;7Ataque: 72</v>
      </c>
      <c r="Y5" s="288" t="str">
        <f>$I$2&amp;" "&amp;ROUND(MAIN!$F$44*$C$2*$K$2/5*$U$5,0)</f>
        <v>&amp;7Ataque: 216</v>
      </c>
      <c r="Z5" s="288" t="str">
        <f>$I$2&amp;" "&amp;ROUND(MAIN!$G$44*$C$2*$K$2/5*$U$5,0)</f>
        <v>&amp;7Ataque: 648</v>
      </c>
    </row>
    <row r="6" spans="1:26" x14ac:dyDescent="0.3">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&amp;7Ataque: 12</v>
      </c>
      <c r="W6" s="288" t="str">
        <f>$I$2&amp;" "&amp;ROUND(MAIN!$D$44*$C$2*$K$2/5*$U$6,0)</f>
        <v>&amp;7Ataque: 36</v>
      </c>
      <c r="X6" s="288" t="str">
        <f>$I$2&amp;" "&amp;ROUND(MAIN!$E$44*$C$2*$K$2/5*$U$6,0)</f>
        <v>&amp;7Ataque: 108</v>
      </c>
      <c r="Y6" s="288" t="str">
        <f>$I$2&amp;" "&amp;ROUND(MAIN!$F$44*$C$2*$K$2/5*$U$6,0)</f>
        <v>&amp;7Ataque: 324</v>
      </c>
      <c r="Z6" s="288" t="str">
        <f>$I$2&amp;" "&amp;ROUND(MAIN!$G$44*$C$2*$K$2/5*$U$6,0)</f>
        <v>&amp;7Ataque: 972</v>
      </c>
    </row>
    <row r="7" spans="1:26" x14ac:dyDescent="0.3">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&amp;7Ataque: 16</v>
      </c>
      <c r="W7" s="288" t="str">
        <f>$I$2&amp;" "&amp;ROUND(MAIN!$D$44*$C$2*$K$2/5*$U$7,0)</f>
        <v>&amp;7Ataque: 48</v>
      </c>
      <c r="X7" s="288" t="str">
        <f>$I$2&amp;" "&amp;ROUND(MAIN!$E$44*$C$2*$K$2/5*$U$7,0)</f>
        <v>&amp;7Ataque: 144</v>
      </c>
      <c r="Y7" s="288" t="str">
        <f>$I$2&amp;" "&amp;ROUND(MAIN!$F$44*$C$2*$K$2/5*$U$7,0)</f>
        <v>&amp;7Ataque: 432</v>
      </c>
      <c r="Z7" s="288" t="str">
        <f>$I$2&amp;" "&amp;ROUND(MAIN!$G$44*$C$2*$K$2/5*$U$7,0)</f>
        <v>&amp;7Ataque: 1296</v>
      </c>
    </row>
    <row r="8" spans="1:26" x14ac:dyDescent="0.3">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&amp;7Ataque: 20</v>
      </c>
      <c r="W8" s="288" t="str">
        <f>$I$2&amp;" "&amp;ROUND(MAIN!$D$44*$C$2*$K$2/5*$U$8,0)</f>
        <v>&amp;7Ataque: 60</v>
      </c>
      <c r="X8" s="288" t="str">
        <f>$I$2&amp;" "&amp;ROUND(MAIN!$E$44*$C$2*$K$2/5*$U$8,0)</f>
        <v>&amp;7Ataque: 180</v>
      </c>
      <c r="Y8" s="288" t="str">
        <f>$I$2&amp;" "&amp;ROUND(MAIN!$F$44*$C$2*$K$2/5*$U$8,0)</f>
        <v>&amp;7Ataque: 540</v>
      </c>
      <c r="Z8" s="288" t="str">
        <f>$I$2&amp;" "&amp;ROUND(MAIN!$G$44*$C$2*$K$2/5*$U$8,0)</f>
        <v>&amp;7Ataque: 1620</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3">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3">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3">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3">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3">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3">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3">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3">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3">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3">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3">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3">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3">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3">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3">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3">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3">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3">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3">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3">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3">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3">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3">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3">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3">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3">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3">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3">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3">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3">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3">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3">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3">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3">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3">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3">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3">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3">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3">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3">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3">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3">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3">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3">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3">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3">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3">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3">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3">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3">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3">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3">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3">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3">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3">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3">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3">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3">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3">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3">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3">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3">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3">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3">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3">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90" customFormat="1" x14ac:dyDescent="0.3">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3">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3">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3">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3">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3">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3">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3">
      <c r="A86" s="9"/>
      <c r="B86" s="9"/>
      <c r="C86" s="9"/>
      <c r="D86" s="9"/>
    </row>
    <row r="87" spans="1:20" x14ac:dyDescent="0.3">
      <c r="A87" s="9"/>
      <c r="B87" s="9"/>
      <c r="C87" s="9"/>
      <c r="D87" s="9"/>
    </row>
    <row r="88" spans="1:20" x14ac:dyDescent="0.3">
      <c r="A88" s="9"/>
      <c r="B88" s="9"/>
      <c r="C88" s="9"/>
      <c r="D88" s="9"/>
    </row>
    <row r="89" spans="1:20" x14ac:dyDescent="0.3">
      <c r="A89" s="9"/>
      <c r="B89" s="9"/>
      <c r="C89" s="9"/>
      <c r="D89" s="9"/>
    </row>
    <row r="90" spans="1:20" x14ac:dyDescent="0.3">
      <c r="A90" s="9"/>
      <c r="B90" s="9"/>
      <c r="C90" s="9"/>
      <c r="D90" s="9"/>
    </row>
    <row r="91" spans="1:20" x14ac:dyDescent="0.3">
      <c r="A91" s="9"/>
      <c r="B91" s="9"/>
      <c r="C91" s="9"/>
      <c r="D91" s="9"/>
    </row>
    <row r="92" spans="1:20" x14ac:dyDescent="0.3">
      <c r="A92" s="9"/>
      <c r="B92" s="9"/>
      <c r="C92" s="9"/>
      <c r="D92" s="9"/>
    </row>
    <row r="93" spans="1:20" x14ac:dyDescent="0.3">
      <c r="A93" s="9"/>
      <c r="B93" s="9"/>
      <c r="C93" s="9"/>
      <c r="D93" s="9"/>
    </row>
    <row r="94" spans="1:20" x14ac:dyDescent="0.3">
      <c r="A94" s="9"/>
      <c r="B94" s="9"/>
      <c r="C94" s="9"/>
      <c r="D94" s="9"/>
    </row>
    <row r="95" spans="1:20" x14ac:dyDescent="0.3">
      <c r="A95" s="9"/>
      <c r="B95" s="9"/>
      <c r="C95" s="9"/>
      <c r="D95" s="9"/>
    </row>
    <row r="96" spans="1:20" x14ac:dyDescent="0.3">
      <c r="A96" s="9"/>
      <c r="B96" s="9"/>
      <c r="C96" s="9"/>
      <c r="D96" s="9"/>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row r="170" spans="1:4" x14ac:dyDescent="0.3">
      <c r="A170" s="9"/>
      <c r="B170" s="9"/>
      <c r="C170" s="9"/>
      <c r="D170" s="9"/>
    </row>
    <row r="171" spans="1:4" x14ac:dyDescent="0.3">
      <c r="A171" s="9"/>
      <c r="B171" s="9"/>
      <c r="C171" s="9"/>
      <c r="D171" s="9"/>
    </row>
    <row r="172" spans="1:4" x14ac:dyDescent="0.3">
      <c r="A172" s="9"/>
      <c r="B172" s="9"/>
      <c r="C172" s="9"/>
      <c r="D172" s="9"/>
    </row>
    <row r="173" spans="1:4" x14ac:dyDescent="0.3">
      <c r="A173" s="9"/>
      <c r="B173" s="9"/>
      <c r="C173" s="9"/>
      <c r="D173" s="9"/>
    </row>
    <row r="174" spans="1:4" x14ac:dyDescent="0.3">
      <c r="A174" s="9"/>
      <c r="B174" s="9"/>
      <c r="C174" s="9"/>
      <c r="D174" s="9"/>
    </row>
    <row r="175" spans="1:4" x14ac:dyDescent="0.3">
      <c r="A175" s="9"/>
      <c r="B175" s="9"/>
      <c r="C175" s="9"/>
      <c r="D175" s="9"/>
    </row>
    <row r="176" spans="1:4" x14ac:dyDescent="0.3">
      <c r="A176" s="9"/>
      <c r="B176" s="9"/>
      <c r="C176" s="9"/>
      <c r="D176" s="9"/>
    </row>
    <row r="177" spans="1:4" x14ac:dyDescent="0.3">
      <c r="A177" s="9"/>
      <c r="B177" s="9"/>
      <c r="C177" s="9"/>
      <c r="D177" s="9"/>
    </row>
    <row r="178" spans="1:4" x14ac:dyDescent="0.3">
      <c r="A178" s="9"/>
      <c r="B178" s="9"/>
      <c r="C178" s="9"/>
      <c r="D178" s="9"/>
    </row>
    <row r="179" spans="1:4" x14ac:dyDescent="0.3">
      <c r="A179" s="9"/>
      <c r="B179" s="9"/>
      <c r="C179" s="9"/>
      <c r="D179" s="9"/>
    </row>
    <row r="180" spans="1:4" x14ac:dyDescent="0.3">
      <c r="A180" s="9"/>
      <c r="B180" s="9"/>
      <c r="C180" s="9"/>
      <c r="D180" s="9"/>
    </row>
    <row r="181" spans="1:4" x14ac:dyDescent="0.3">
      <c r="A181" s="9"/>
      <c r="B181" s="9"/>
      <c r="C181" s="9"/>
      <c r="D181" s="9"/>
    </row>
    <row r="182" spans="1:4" x14ac:dyDescent="0.3">
      <c r="A182" s="9"/>
      <c r="B182" s="9"/>
      <c r="C182" s="9"/>
      <c r="D182" s="9"/>
    </row>
    <row r="183" spans="1:4" x14ac:dyDescent="0.3">
      <c r="A183" s="9"/>
      <c r="B183" s="9"/>
      <c r="C183" s="9"/>
      <c r="D183" s="9"/>
    </row>
    <row r="184" spans="1:4" x14ac:dyDescent="0.3">
      <c r="A184" s="9"/>
      <c r="B184" s="9"/>
      <c r="C184" s="9"/>
      <c r="D184" s="9"/>
    </row>
    <row r="185" spans="1:4" x14ac:dyDescent="0.3">
      <c r="A185" s="9"/>
      <c r="B185" s="9"/>
      <c r="C185" s="9"/>
      <c r="D185" s="9"/>
    </row>
    <row r="186" spans="1:4" x14ac:dyDescent="0.3">
      <c r="A186" s="9"/>
      <c r="B186" s="9"/>
      <c r="C186" s="9"/>
      <c r="D186" s="9"/>
    </row>
    <row r="187" spans="1:4" x14ac:dyDescent="0.3">
      <c r="A187" s="9"/>
      <c r="B187" s="9"/>
      <c r="C187" s="9"/>
      <c r="D187" s="9"/>
    </row>
    <row r="188" spans="1:4" x14ac:dyDescent="0.3">
      <c r="A188" s="9"/>
      <c r="B188" s="9"/>
      <c r="C188" s="9"/>
      <c r="D188" s="9"/>
    </row>
    <row r="189" spans="1:4" x14ac:dyDescent="0.3">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Z189"/>
  <sheetViews>
    <sheetView topLeftCell="A64" workbookViewId="0">
      <selection activeCell="A79" sqref="A79:XFD81"/>
    </sheetView>
  </sheetViews>
  <sheetFormatPr baseColWidth="10" defaultColWidth="11.44140625" defaultRowHeight="14.4" x14ac:dyDescent="0.3"/>
  <cols>
    <col min="1" max="16384" width="11.44140625" style="19"/>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102</v>
      </c>
      <c r="B2" s="300"/>
      <c r="C2" s="300">
        <f>'ECONOMIA &amp; PROFESIONES'!$P$3</f>
        <v>5</v>
      </c>
      <c r="D2" s="300"/>
      <c r="E2" s="300" t="s">
        <v>81</v>
      </c>
      <c r="F2" s="300"/>
      <c r="G2" s="300" t="s">
        <v>103</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3">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8">
        <v>1</v>
      </c>
      <c r="V4" s="288" t="str">
        <f>"+"&amp;ROUND(MAIN!$C$55*$C$2*$K$2/5*$U$4,0)&amp;" "&amp;$I$2</f>
        <v>+5 Armor</v>
      </c>
      <c r="W4" s="288" t="str">
        <f>"+"&amp;ROUND(MAIN!$D$55*$C$2*$K$2/5*$U$4,0)&amp;" "&amp;$I$2</f>
        <v>+8 Armor</v>
      </c>
      <c r="X4" s="288" t="str">
        <f>"+"&amp;ROUND(MAIN!$E$55*$C$2*$K$2/5*$U$4,0)&amp;" "&amp;$I$2</f>
        <v>+13 Armor</v>
      </c>
      <c r="Y4" s="288" t="str">
        <f>"+"&amp;ROUND(MAIN!$F$55*$C$2*$K$2/5*$U$4,0)&amp;" "&amp;$I$2</f>
        <v>+22 Armor</v>
      </c>
      <c r="Z4" s="288" t="str">
        <f>"+"&amp;ROUND(MAIN!$G$55*$C$2*$K$2/5*$U$4,0)&amp;" "&amp;$I$2</f>
        <v>+37 Armor</v>
      </c>
    </row>
    <row r="5" spans="1:26" x14ac:dyDescent="0.3">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8">
        <v>2</v>
      </c>
      <c r="V5" s="288" t="str">
        <f>"+"&amp;ROUND(MAIN!$C$55*$C$2*$K$2/5*$U$5,0)&amp;" "&amp;$I$2</f>
        <v>+10 Armor</v>
      </c>
      <c r="W5" s="288" t="str">
        <f>"+"&amp;ROUND(MAIN!$D$55*$C$2*$K$2/5*$U$5,0)&amp;" "&amp;$I$2</f>
        <v>+16 Armor</v>
      </c>
      <c r="X5" s="288" t="str">
        <f>"+"&amp;ROUND(MAIN!$E$55*$C$2*$K$2/5*$U$5,0)&amp;" "&amp;$I$2</f>
        <v>+26 Armor</v>
      </c>
      <c r="Y5" s="288" t="str">
        <f>"+"&amp;ROUND(MAIN!$F$55*$C$2*$K$2/5*$U$5,0)&amp;" "&amp;$I$2</f>
        <v>+44 Armor</v>
      </c>
      <c r="Z5" s="288" t="str">
        <f>"+"&amp;ROUND(MAIN!$G$55*$C$2*$K$2/5*$U$5,0)&amp;" "&amp;$I$2</f>
        <v>+74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+15 Armor</v>
      </c>
      <c r="W6" s="288" t="str">
        <f>"+"&amp;ROUND(MAIN!$D$55*$C$2*$K$2/5*$U$6,0)&amp;" "&amp;$I$2</f>
        <v>+24 Armor</v>
      </c>
      <c r="X6" s="288" t="str">
        <f>"+"&amp;ROUND(MAIN!$E$55*$C$2*$K$2/5*$U$6,0)&amp;" "&amp;$I$2</f>
        <v>+39 Armor</v>
      </c>
      <c r="Y6" s="288" t="str">
        <f>"+"&amp;ROUND(MAIN!$F$55*$C$2*$K$2/5*$U$6,0)&amp;" "&amp;$I$2</f>
        <v>+66 Armor</v>
      </c>
      <c r="Z6" s="288" t="str">
        <f>"+"&amp;ROUND(MAIN!$G$55*$C$2*$K$2/5*$U$6,0)&amp;" "&amp;$I$2</f>
        <v>+111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+20 Armor</v>
      </c>
      <c r="W7" s="288" t="str">
        <f>"+"&amp;ROUND(MAIN!$D$55*$C$2*$K$2/5*$U$7,0)&amp;" "&amp;$I$2</f>
        <v>+32 Armor</v>
      </c>
      <c r="X7" s="288" t="str">
        <f>"+"&amp;ROUND(MAIN!$E$55*$C$2*$K$2/5*$U$7,0)&amp;" "&amp;$I$2</f>
        <v>+52 Armor</v>
      </c>
      <c r="Y7" s="288" t="str">
        <f>"+"&amp;ROUND(MAIN!$F$55*$C$2*$K$2/5*$U$7,0)&amp;" "&amp;$I$2</f>
        <v>+88 Armor</v>
      </c>
      <c r="Z7" s="288" t="str">
        <f>"+"&amp;ROUND(MAIN!$G$55*$C$2*$K$2/5*$U$7,0)&amp;" "&amp;$I$2</f>
        <v>+148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+25 Armor</v>
      </c>
      <c r="W8" s="288" t="str">
        <f>"+"&amp;ROUND(MAIN!$D$55*$C$2*$K$2/5*$U$8,0)&amp;" "&amp;$I$2</f>
        <v>+40 Armor</v>
      </c>
      <c r="X8" s="288" t="str">
        <f>"+"&amp;ROUND(MAIN!$E$55*$C$2*$K$2/5*$U$8,0)&amp;" "&amp;$I$2</f>
        <v>+65 Armor</v>
      </c>
      <c r="Y8" s="288" t="str">
        <f>"+"&amp;ROUND(MAIN!$F$55*$C$2*$K$2/5*$U$8,0)&amp;" "&amp;$I$2</f>
        <v>+110 Armor</v>
      </c>
      <c r="Z8" s="288" t="str">
        <f>"+"&amp;ROUND(MAIN!$G$55*$C$2*$K$2/5*$U$8,0)&amp;" "&amp;$I$2</f>
        <v>+185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3">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3">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3">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3">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3">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3">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3">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3">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3">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3">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3">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3">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3">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3">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3">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3">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3">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3">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3">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3">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3">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3">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3">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3">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3">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3">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3">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3">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3">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3">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3">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3">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3">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3">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3">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3">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3">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3">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3">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3">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3">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3">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3">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3">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3">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3">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3">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3">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3">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3">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3">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3">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3">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3">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3">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3">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3">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3">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3">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3">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3">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3">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3">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3">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3">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3">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90" customFormat="1" x14ac:dyDescent="0.3">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3">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3">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3">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3">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3">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3">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3">
      <c r="A86" s="9"/>
      <c r="B86" s="9"/>
      <c r="C86" s="9"/>
      <c r="D86" s="9"/>
    </row>
    <row r="87" spans="1:20" x14ac:dyDescent="0.3">
      <c r="A87" s="9"/>
      <c r="B87" s="9"/>
      <c r="C87" s="9"/>
      <c r="D87" s="9"/>
    </row>
    <row r="88" spans="1:20" x14ac:dyDescent="0.3">
      <c r="A88" s="9"/>
      <c r="B88" s="9"/>
      <c r="C88" s="9"/>
      <c r="D88" s="9"/>
    </row>
    <row r="89" spans="1:20" x14ac:dyDescent="0.3">
      <c r="A89" s="9"/>
      <c r="B89" s="9"/>
      <c r="C89" s="9"/>
      <c r="D89" s="9"/>
      <c r="G89" s="13"/>
      <c r="H89" s="13"/>
      <c r="I89" s="13"/>
    </row>
    <row r="90" spans="1:20" x14ac:dyDescent="0.3">
      <c r="A90" s="9"/>
      <c r="B90" s="9"/>
      <c r="C90" s="9"/>
      <c r="D90" s="9"/>
      <c r="G90" s="13"/>
      <c r="H90" s="13"/>
      <c r="I90" s="13"/>
    </row>
    <row r="91" spans="1:20" x14ac:dyDescent="0.3">
      <c r="A91" s="9"/>
      <c r="B91" s="9"/>
      <c r="C91" s="9"/>
      <c r="D91" s="9"/>
      <c r="G91" s="13"/>
      <c r="H91" s="13"/>
      <c r="I91" s="13"/>
    </row>
    <row r="92" spans="1:20" x14ac:dyDescent="0.3">
      <c r="A92" s="9"/>
      <c r="B92" s="9"/>
      <c r="C92" s="9"/>
      <c r="D92" s="9"/>
      <c r="G92" s="13"/>
      <c r="H92" s="13"/>
      <c r="I92" s="13"/>
    </row>
    <row r="93" spans="1:20" x14ac:dyDescent="0.3">
      <c r="A93" s="9"/>
      <c r="B93" s="9"/>
      <c r="C93" s="9"/>
      <c r="D93" s="9"/>
      <c r="G93" s="13"/>
      <c r="H93" s="13"/>
      <c r="I93" s="13"/>
    </row>
    <row r="94" spans="1:20" x14ac:dyDescent="0.3">
      <c r="A94" s="9"/>
      <c r="B94" s="9"/>
      <c r="C94" s="9"/>
      <c r="D94" s="9"/>
      <c r="G94" s="13"/>
      <c r="H94" s="13"/>
      <c r="I94" s="13"/>
    </row>
    <row r="95" spans="1:20" x14ac:dyDescent="0.3">
      <c r="A95" s="9"/>
      <c r="B95" s="9"/>
      <c r="C95" s="9"/>
      <c r="D95" s="9"/>
      <c r="G95" s="13"/>
      <c r="H95" s="13"/>
      <c r="I95" s="13"/>
    </row>
    <row r="96" spans="1:20" x14ac:dyDescent="0.3">
      <c r="A96" s="9"/>
      <c r="B96" s="9"/>
      <c r="C96" s="9"/>
      <c r="D96" s="9"/>
      <c r="G96" s="13"/>
      <c r="H96" s="13"/>
      <c r="I96" s="13"/>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row r="170" spans="1:4" x14ac:dyDescent="0.3">
      <c r="A170" s="9"/>
      <c r="B170" s="9"/>
      <c r="C170" s="9"/>
      <c r="D170" s="9"/>
    </row>
    <row r="171" spans="1:4" x14ac:dyDescent="0.3">
      <c r="A171" s="9"/>
      <c r="B171" s="9"/>
      <c r="C171" s="9"/>
      <c r="D171" s="9"/>
    </row>
    <row r="172" spans="1:4" x14ac:dyDescent="0.3">
      <c r="A172" s="9"/>
      <c r="B172" s="9"/>
      <c r="C172" s="9"/>
      <c r="D172" s="9"/>
    </row>
    <row r="173" spans="1:4" x14ac:dyDescent="0.3">
      <c r="A173" s="9"/>
      <c r="B173" s="9"/>
      <c r="C173" s="9"/>
      <c r="D173" s="9"/>
    </row>
    <row r="174" spans="1:4" x14ac:dyDescent="0.3">
      <c r="A174" s="9"/>
      <c r="B174" s="9"/>
      <c r="C174" s="9"/>
      <c r="D174" s="9"/>
    </row>
    <row r="175" spans="1:4" x14ac:dyDescent="0.3">
      <c r="A175" s="9"/>
      <c r="B175" s="9"/>
      <c r="C175" s="9"/>
      <c r="D175" s="9"/>
    </row>
    <row r="176" spans="1:4" x14ac:dyDescent="0.3">
      <c r="A176" s="9"/>
      <c r="B176" s="9"/>
      <c r="C176" s="9"/>
      <c r="D176" s="9"/>
    </row>
    <row r="177" spans="1:4" x14ac:dyDescent="0.3">
      <c r="A177" s="9"/>
      <c r="B177" s="9"/>
      <c r="C177" s="9"/>
      <c r="D177" s="9"/>
    </row>
    <row r="178" spans="1:4" x14ac:dyDescent="0.3">
      <c r="A178" s="9"/>
      <c r="B178" s="9"/>
      <c r="C178" s="9"/>
      <c r="D178" s="9"/>
    </row>
    <row r="179" spans="1:4" x14ac:dyDescent="0.3">
      <c r="A179" s="9"/>
      <c r="B179" s="9"/>
      <c r="C179" s="9"/>
      <c r="D179" s="9"/>
    </row>
    <row r="180" spans="1:4" x14ac:dyDescent="0.3">
      <c r="A180" s="9"/>
      <c r="B180" s="9"/>
      <c r="C180" s="9"/>
      <c r="D180" s="9"/>
    </row>
    <row r="181" spans="1:4" x14ac:dyDescent="0.3">
      <c r="A181" s="9"/>
      <c r="B181" s="9"/>
      <c r="C181" s="9"/>
      <c r="D181" s="9"/>
    </row>
    <row r="182" spans="1:4" x14ac:dyDescent="0.3">
      <c r="A182" s="9"/>
      <c r="B182" s="9"/>
      <c r="C182" s="9"/>
      <c r="D182" s="9"/>
    </row>
    <row r="183" spans="1:4" x14ac:dyDescent="0.3">
      <c r="A183" s="9"/>
      <c r="B183" s="9"/>
      <c r="C183" s="9"/>
      <c r="D183" s="9"/>
    </row>
    <row r="184" spans="1:4" x14ac:dyDescent="0.3">
      <c r="A184" s="9"/>
      <c r="B184" s="9"/>
      <c r="C184" s="9"/>
      <c r="D184" s="9"/>
    </row>
    <row r="185" spans="1:4" x14ac:dyDescent="0.3">
      <c r="A185" s="9"/>
      <c r="B185" s="9"/>
      <c r="C185" s="9"/>
      <c r="D185" s="9"/>
    </row>
    <row r="186" spans="1:4" x14ac:dyDescent="0.3">
      <c r="A186" s="9"/>
      <c r="B186" s="9"/>
      <c r="C186" s="9"/>
      <c r="D186" s="9"/>
    </row>
    <row r="187" spans="1:4" x14ac:dyDescent="0.3">
      <c r="A187" s="9"/>
      <c r="B187" s="9"/>
      <c r="C187" s="9"/>
      <c r="D187" s="9"/>
    </row>
    <row r="188" spans="1:4" x14ac:dyDescent="0.3">
      <c r="A188" s="9"/>
      <c r="B188" s="9"/>
      <c r="C188" s="9"/>
      <c r="D188" s="9"/>
    </row>
    <row r="189" spans="1:4" x14ac:dyDescent="0.3">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Z189"/>
  <sheetViews>
    <sheetView topLeftCell="A68" workbookViewId="0">
      <selection activeCell="A79" sqref="A79:XFD81"/>
    </sheetView>
  </sheetViews>
  <sheetFormatPr baseColWidth="10" defaultColWidth="11.44140625" defaultRowHeight="14.4" x14ac:dyDescent="0.3"/>
  <cols>
    <col min="1" max="16384" width="11.44140625" style="19"/>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102</v>
      </c>
      <c r="B2" s="300"/>
      <c r="C2" s="300">
        <f>'ECONOMIA &amp; PROFESIONES'!$P$3</f>
        <v>5</v>
      </c>
      <c r="D2" s="300"/>
      <c r="E2" s="300" t="s">
        <v>81</v>
      </c>
      <c r="F2" s="300"/>
      <c r="G2" s="300" t="s">
        <v>103</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3">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3">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3">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3">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3">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3">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3">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3">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3">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3">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3">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3">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3">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3">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3">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3">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3">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3">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3">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3">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3">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3">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3">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3">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3">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3">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3">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3">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3">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3">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3">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3">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3">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3">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3">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3">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3">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3">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3">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3">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3">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3">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3">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3">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3">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3">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3">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3">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3">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3">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3">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3">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3">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3">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3">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3">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3">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3">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3">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3">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3">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3">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3">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3">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3">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3">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3">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0" customFormat="1" x14ac:dyDescent="0.3">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3">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3">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3">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3">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3">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3">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3">
      <c r="A86" s="9"/>
      <c r="B86" s="9"/>
      <c r="C86" s="9"/>
      <c r="D86" s="9"/>
    </row>
    <row r="87" spans="1:20" x14ac:dyDescent="0.3">
      <c r="A87" s="9"/>
      <c r="B87" s="9"/>
      <c r="C87" s="9"/>
      <c r="D87" s="9"/>
    </row>
    <row r="88" spans="1:20" x14ac:dyDescent="0.3">
      <c r="A88" s="9"/>
      <c r="B88" s="9"/>
      <c r="C88" s="9"/>
      <c r="D88" s="9"/>
    </row>
    <row r="89" spans="1:20" x14ac:dyDescent="0.3">
      <c r="A89" s="9"/>
      <c r="B89" s="9"/>
      <c r="C89" s="9"/>
      <c r="D89" s="9"/>
      <c r="G89" s="13"/>
      <c r="H89" s="13"/>
      <c r="I89" s="13"/>
    </row>
    <row r="90" spans="1:20" x14ac:dyDescent="0.3">
      <c r="A90" s="9"/>
      <c r="B90" s="9"/>
      <c r="C90" s="9"/>
      <c r="D90" s="9"/>
      <c r="G90" s="13"/>
      <c r="H90" s="13"/>
      <c r="I90" s="13"/>
    </row>
    <row r="91" spans="1:20" x14ac:dyDescent="0.3">
      <c r="A91" s="9"/>
      <c r="B91" s="9"/>
      <c r="C91" s="9"/>
      <c r="D91" s="9"/>
      <c r="G91" s="13"/>
      <c r="H91" s="13"/>
      <c r="I91" s="13"/>
    </row>
    <row r="92" spans="1:20" x14ac:dyDescent="0.3">
      <c r="A92" s="9"/>
      <c r="B92" s="9"/>
      <c r="C92" s="9"/>
      <c r="D92" s="9"/>
      <c r="G92" s="13"/>
      <c r="H92" s="13"/>
      <c r="I92" s="13"/>
    </row>
    <row r="93" spans="1:20" x14ac:dyDescent="0.3">
      <c r="A93" s="9"/>
      <c r="B93" s="9"/>
      <c r="C93" s="9"/>
      <c r="D93" s="9"/>
      <c r="G93" s="13"/>
      <c r="H93" s="13"/>
      <c r="I93" s="13"/>
    </row>
    <row r="94" spans="1:20" x14ac:dyDescent="0.3">
      <c r="A94" s="9"/>
      <c r="B94" s="9"/>
      <c r="C94" s="9"/>
      <c r="D94" s="9"/>
      <c r="G94" s="13"/>
      <c r="H94" s="13"/>
      <c r="I94" s="13"/>
    </row>
    <row r="95" spans="1:20" x14ac:dyDescent="0.3">
      <c r="A95" s="9"/>
      <c r="B95" s="9"/>
      <c r="C95" s="9"/>
      <c r="D95" s="9"/>
      <c r="G95" s="13"/>
      <c r="H95" s="13"/>
      <c r="I95" s="13"/>
    </row>
    <row r="96" spans="1:20" x14ac:dyDescent="0.3">
      <c r="A96" s="9"/>
      <c r="B96" s="9"/>
      <c r="C96" s="9"/>
      <c r="D96" s="9"/>
      <c r="G96" s="13"/>
      <c r="H96" s="13"/>
      <c r="I96" s="13"/>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row r="170" spans="1:4" x14ac:dyDescent="0.3">
      <c r="A170" s="9"/>
      <c r="B170" s="9"/>
      <c r="C170" s="9"/>
      <c r="D170" s="9"/>
    </row>
    <row r="171" spans="1:4" x14ac:dyDescent="0.3">
      <c r="A171" s="9"/>
      <c r="B171" s="9"/>
      <c r="C171" s="9"/>
      <c r="D171" s="9"/>
    </row>
    <row r="172" spans="1:4" x14ac:dyDescent="0.3">
      <c r="A172" s="9"/>
      <c r="B172" s="9"/>
      <c r="C172" s="9"/>
      <c r="D172" s="9"/>
    </row>
    <row r="173" spans="1:4" x14ac:dyDescent="0.3">
      <c r="A173" s="9"/>
      <c r="B173" s="9"/>
      <c r="C173" s="9"/>
      <c r="D173" s="9"/>
    </row>
    <row r="174" spans="1:4" x14ac:dyDescent="0.3">
      <c r="A174" s="9"/>
      <c r="B174" s="9"/>
      <c r="C174" s="9"/>
      <c r="D174" s="9"/>
    </row>
    <row r="175" spans="1:4" x14ac:dyDescent="0.3">
      <c r="A175" s="9"/>
      <c r="B175" s="9"/>
      <c r="C175" s="9"/>
      <c r="D175" s="9"/>
    </row>
    <row r="176" spans="1:4" x14ac:dyDescent="0.3">
      <c r="A176" s="9"/>
      <c r="B176" s="9"/>
      <c r="C176" s="9"/>
      <c r="D176" s="9"/>
    </row>
    <row r="177" spans="1:4" x14ac:dyDescent="0.3">
      <c r="A177" s="9"/>
      <c r="B177" s="9"/>
      <c r="C177" s="9"/>
      <c r="D177" s="9"/>
    </row>
    <row r="178" spans="1:4" x14ac:dyDescent="0.3">
      <c r="A178" s="9"/>
      <c r="B178" s="9"/>
      <c r="C178" s="9"/>
      <c r="D178" s="9"/>
    </row>
    <row r="179" spans="1:4" x14ac:dyDescent="0.3">
      <c r="A179" s="9"/>
      <c r="B179" s="9"/>
      <c r="C179" s="9"/>
      <c r="D179" s="9"/>
    </row>
    <row r="180" spans="1:4" x14ac:dyDescent="0.3">
      <c r="A180" s="9"/>
      <c r="B180" s="9"/>
      <c r="C180" s="9"/>
      <c r="D180" s="9"/>
    </row>
    <row r="181" spans="1:4" x14ac:dyDescent="0.3">
      <c r="A181" s="9"/>
      <c r="B181" s="9"/>
      <c r="C181" s="9"/>
      <c r="D181" s="9"/>
    </row>
    <row r="182" spans="1:4" x14ac:dyDescent="0.3">
      <c r="A182" s="9"/>
      <c r="B182" s="9"/>
      <c r="C182" s="9"/>
      <c r="D182" s="9"/>
    </row>
    <row r="183" spans="1:4" x14ac:dyDescent="0.3">
      <c r="A183" s="9"/>
      <c r="B183" s="9"/>
      <c r="C183" s="9"/>
      <c r="D183" s="9"/>
    </row>
    <row r="184" spans="1:4" x14ac:dyDescent="0.3">
      <c r="A184" s="9"/>
      <c r="B184" s="9"/>
      <c r="C184" s="9"/>
      <c r="D184" s="9"/>
    </row>
    <row r="185" spans="1:4" x14ac:dyDescent="0.3">
      <c r="A185" s="9"/>
      <c r="B185" s="9"/>
      <c r="C185" s="9"/>
      <c r="D185" s="9"/>
    </row>
    <row r="186" spans="1:4" x14ac:dyDescent="0.3">
      <c r="A186" s="9"/>
      <c r="B186" s="9"/>
      <c r="C186" s="9"/>
      <c r="D186" s="9"/>
    </row>
    <row r="187" spans="1:4" x14ac:dyDescent="0.3">
      <c r="A187" s="9"/>
      <c r="B187" s="9"/>
      <c r="C187" s="9"/>
      <c r="D187" s="9"/>
    </row>
    <row r="188" spans="1:4" x14ac:dyDescent="0.3">
      <c r="A188" s="9"/>
      <c r="B188" s="9"/>
      <c r="C188" s="9"/>
      <c r="D188" s="9"/>
    </row>
    <row r="189" spans="1:4" x14ac:dyDescent="0.3">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Z189"/>
  <sheetViews>
    <sheetView topLeftCell="A64" workbookViewId="0">
      <selection activeCell="A79" sqref="A79:XFD81"/>
    </sheetView>
  </sheetViews>
  <sheetFormatPr baseColWidth="10" defaultColWidth="11.5546875" defaultRowHeight="14.4" x14ac:dyDescent="0.3"/>
  <cols>
    <col min="1" max="16384" width="11.5546875" style="19"/>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102</v>
      </c>
      <c r="B2" s="300"/>
      <c r="C2" s="300">
        <f>'ECONOMIA &amp; PROFESIONES'!$P$3</f>
        <v>5</v>
      </c>
      <c r="D2" s="300"/>
      <c r="E2" s="300" t="s">
        <v>81</v>
      </c>
      <c r="F2" s="300"/>
      <c r="G2" s="300" t="s">
        <v>103</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3">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3">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3">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3">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3">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3">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3">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3">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3">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3">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3">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3">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3">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3">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3">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3">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3">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3">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3">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3">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3">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3">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3">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3">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3">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3">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3">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3">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3">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3">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3">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3">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3">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3">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3">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3">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3">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3">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3">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3">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3">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3">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3">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3">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3">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3">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3">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3">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3">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3">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3">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3">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3">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3">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3">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3">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3">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3">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3">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3">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3">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3">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3">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3">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3">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3">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3">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0" customFormat="1" x14ac:dyDescent="0.3">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3">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3">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3">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3">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3">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3">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3">
      <c r="A86" s="9"/>
      <c r="B86" s="9"/>
      <c r="C86" s="9"/>
      <c r="D86" s="9"/>
    </row>
    <row r="87" spans="1:20" x14ac:dyDescent="0.3">
      <c r="A87" s="9"/>
      <c r="B87" s="9"/>
      <c r="C87" s="9"/>
      <c r="D87" s="9"/>
    </row>
    <row r="88" spans="1:20" x14ac:dyDescent="0.3">
      <c r="A88" s="9"/>
      <c r="B88" s="9"/>
      <c r="C88" s="9"/>
      <c r="D88" s="9"/>
    </row>
    <row r="89" spans="1:20" x14ac:dyDescent="0.3">
      <c r="A89" s="9"/>
      <c r="B89" s="9"/>
      <c r="C89" s="9"/>
      <c r="D89" s="9"/>
      <c r="G89" s="13"/>
      <c r="H89" s="13"/>
      <c r="I89" s="13"/>
    </row>
    <row r="90" spans="1:20" x14ac:dyDescent="0.3">
      <c r="A90" s="9"/>
      <c r="B90" s="9"/>
      <c r="C90" s="9"/>
      <c r="D90" s="9"/>
      <c r="G90" s="13"/>
      <c r="H90" s="13"/>
      <c r="I90" s="13"/>
    </row>
    <row r="91" spans="1:20" x14ac:dyDescent="0.3">
      <c r="A91" s="9"/>
      <c r="B91" s="9"/>
      <c r="C91" s="9"/>
      <c r="D91" s="9"/>
      <c r="G91" s="13"/>
      <c r="H91" s="13"/>
      <c r="I91" s="13"/>
    </row>
    <row r="92" spans="1:20" x14ac:dyDescent="0.3">
      <c r="A92" s="9"/>
      <c r="B92" s="9"/>
      <c r="C92" s="9"/>
      <c r="D92" s="9"/>
      <c r="G92" s="13"/>
      <c r="H92" s="13"/>
      <c r="I92" s="13"/>
    </row>
    <row r="93" spans="1:20" x14ac:dyDescent="0.3">
      <c r="A93" s="9"/>
      <c r="B93" s="9"/>
      <c r="C93" s="9"/>
      <c r="D93" s="9"/>
      <c r="G93" s="13"/>
      <c r="H93" s="13"/>
      <c r="I93" s="13"/>
    </row>
    <row r="94" spans="1:20" x14ac:dyDescent="0.3">
      <c r="A94" s="9"/>
      <c r="B94" s="9"/>
      <c r="C94" s="9"/>
      <c r="D94" s="9"/>
      <c r="G94" s="13"/>
      <c r="H94" s="13"/>
      <c r="I94" s="13"/>
    </row>
    <row r="95" spans="1:20" x14ac:dyDescent="0.3">
      <c r="A95" s="9"/>
      <c r="B95" s="9"/>
      <c r="C95" s="9"/>
      <c r="D95" s="9"/>
      <c r="G95" s="13"/>
      <c r="H95" s="13"/>
      <c r="I95" s="13"/>
    </row>
    <row r="96" spans="1:20" x14ac:dyDescent="0.3">
      <c r="A96" s="9"/>
      <c r="B96" s="9"/>
      <c r="C96" s="9"/>
      <c r="D96" s="9"/>
      <c r="G96" s="13"/>
      <c r="H96" s="13"/>
      <c r="I96" s="13"/>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row r="170" spans="1:4" x14ac:dyDescent="0.3">
      <c r="A170" s="9"/>
      <c r="B170" s="9"/>
      <c r="C170" s="9"/>
      <c r="D170" s="9"/>
    </row>
    <row r="171" spans="1:4" x14ac:dyDescent="0.3">
      <c r="A171" s="9"/>
      <c r="B171" s="9"/>
      <c r="C171" s="9"/>
      <c r="D171" s="9"/>
    </row>
    <row r="172" spans="1:4" x14ac:dyDescent="0.3">
      <c r="A172" s="9"/>
      <c r="B172" s="9"/>
      <c r="C172" s="9"/>
      <c r="D172" s="9"/>
    </row>
    <row r="173" spans="1:4" x14ac:dyDescent="0.3">
      <c r="A173" s="9"/>
      <c r="B173" s="9"/>
      <c r="C173" s="9"/>
      <c r="D173" s="9"/>
    </row>
    <row r="174" spans="1:4" x14ac:dyDescent="0.3">
      <c r="A174" s="9"/>
      <c r="B174" s="9"/>
      <c r="C174" s="9"/>
      <c r="D174" s="9"/>
    </row>
    <row r="175" spans="1:4" x14ac:dyDescent="0.3">
      <c r="A175" s="9"/>
      <c r="B175" s="9"/>
      <c r="C175" s="9"/>
      <c r="D175" s="9"/>
    </row>
    <row r="176" spans="1:4" x14ac:dyDescent="0.3">
      <c r="A176" s="9"/>
      <c r="B176" s="9"/>
      <c r="C176" s="9"/>
      <c r="D176" s="9"/>
    </row>
    <row r="177" spans="1:4" x14ac:dyDescent="0.3">
      <c r="A177" s="9"/>
      <c r="B177" s="9"/>
      <c r="C177" s="9"/>
      <c r="D177" s="9"/>
    </row>
    <row r="178" spans="1:4" x14ac:dyDescent="0.3">
      <c r="A178" s="9"/>
      <c r="B178" s="9"/>
      <c r="C178" s="9"/>
      <c r="D178" s="9"/>
    </row>
    <row r="179" spans="1:4" x14ac:dyDescent="0.3">
      <c r="A179" s="9"/>
      <c r="B179" s="9"/>
      <c r="C179" s="9"/>
      <c r="D179" s="9"/>
    </row>
    <row r="180" spans="1:4" x14ac:dyDescent="0.3">
      <c r="A180" s="9"/>
      <c r="B180" s="9"/>
      <c r="C180" s="9"/>
      <c r="D180" s="9"/>
    </row>
    <row r="181" spans="1:4" x14ac:dyDescent="0.3">
      <c r="A181" s="9"/>
      <c r="B181" s="9"/>
      <c r="C181" s="9"/>
      <c r="D181" s="9"/>
    </row>
    <row r="182" spans="1:4" x14ac:dyDescent="0.3">
      <c r="A182" s="9"/>
      <c r="B182" s="9"/>
      <c r="C182" s="9"/>
      <c r="D182" s="9"/>
    </row>
    <row r="183" spans="1:4" x14ac:dyDescent="0.3">
      <c r="A183" s="9"/>
      <c r="B183" s="9"/>
      <c r="C183" s="9"/>
      <c r="D183" s="9"/>
    </row>
    <row r="184" spans="1:4" x14ac:dyDescent="0.3">
      <c r="A184" s="9"/>
      <c r="B184" s="9"/>
      <c r="C184" s="9"/>
      <c r="D184" s="9"/>
    </row>
    <row r="185" spans="1:4" x14ac:dyDescent="0.3">
      <c r="A185" s="9"/>
      <c r="B185" s="9"/>
      <c r="C185" s="9"/>
      <c r="D185" s="9"/>
    </row>
    <row r="186" spans="1:4" x14ac:dyDescent="0.3">
      <c r="A186" s="9"/>
      <c r="B186" s="9"/>
      <c r="C186" s="9"/>
      <c r="D186" s="9"/>
    </row>
    <row r="187" spans="1:4" x14ac:dyDescent="0.3">
      <c r="A187" s="9"/>
      <c r="B187" s="9"/>
      <c r="C187" s="9"/>
      <c r="D187" s="9"/>
    </row>
    <row r="188" spans="1:4" x14ac:dyDescent="0.3">
      <c r="A188" s="9"/>
      <c r="B188" s="9"/>
      <c r="C188" s="9"/>
      <c r="D188" s="9"/>
    </row>
    <row r="189" spans="1:4" x14ac:dyDescent="0.3">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Z189"/>
  <sheetViews>
    <sheetView topLeftCell="A67" workbookViewId="0">
      <selection activeCell="A79" sqref="A79:XFD81"/>
    </sheetView>
  </sheetViews>
  <sheetFormatPr baseColWidth="10" defaultColWidth="11.5546875" defaultRowHeight="14.4" x14ac:dyDescent="0.3"/>
  <cols>
    <col min="1" max="16384" width="11.5546875" style="19"/>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102</v>
      </c>
      <c r="B2" s="300"/>
      <c r="C2" s="300">
        <f>'ECONOMIA &amp; PROFESIONES'!$P$3</f>
        <v>5</v>
      </c>
      <c r="D2" s="300"/>
      <c r="E2" s="300" t="s">
        <v>81</v>
      </c>
      <c r="F2" s="300"/>
      <c r="G2" s="300" t="s">
        <v>103</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3">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3">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3">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3">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3">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3">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3">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3">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3">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3">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3">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3">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3">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3">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3">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3">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3">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3">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3">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3">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3">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3">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3">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3">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3">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3">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3">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3">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3">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3">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3">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3">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3">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3">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3">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3">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3">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3">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3">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3">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3">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3">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3">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3">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3">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3">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3">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3">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3">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3">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3">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3">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3">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3">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3">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3">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3">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3">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3">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3">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3">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3">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3">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3">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3">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3">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3">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0" customFormat="1" x14ac:dyDescent="0.3">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3">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3">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3">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3">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3">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3">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3">
      <c r="A86" s="9"/>
      <c r="B86" s="9"/>
      <c r="C86" s="9"/>
      <c r="D86" s="9"/>
    </row>
    <row r="87" spans="1:20" x14ac:dyDescent="0.3">
      <c r="A87" s="9"/>
      <c r="B87" s="9"/>
      <c r="C87" s="9"/>
      <c r="D87" s="9"/>
    </row>
    <row r="88" spans="1:20" x14ac:dyDescent="0.3">
      <c r="A88" s="9"/>
      <c r="B88" s="9"/>
      <c r="C88" s="9"/>
      <c r="D88" s="9"/>
    </row>
    <row r="89" spans="1:20" x14ac:dyDescent="0.3">
      <c r="A89" s="9"/>
      <c r="B89" s="9"/>
      <c r="C89" s="9"/>
      <c r="D89" s="9"/>
      <c r="G89" s="13"/>
      <c r="H89" s="13"/>
      <c r="I89" s="13"/>
    </row>
    <row r="90" spans="1:20" x14ac:dyDescent="0.3">
      <c r="A90" s="9"/>
      <c r="B90" s="9"/>
      <c r="C90" s="9"/>
      <c r="D90" s="9"/>
      <c r="G90" s="13"/>
      <c r="H90" s="13"/>
      <c r="I90" s="13"/>
    </row>
    <row r="91" spans="1:20" x14ac:dyDescent="0.3">
      <c r="A91" s="9"/>
      <c r="B91" s="9"/>
      <c r="C91" s="9"/>
      <c r="D91" s="9"/>
      <c r="G91" s="13"/>
      <c r="H91" s="13"/>
      <c r="I91" s="13"/>
    </row>
    <row r="92" spans="1:20" x14ac:dyDescent="0.3">
      <c r="A92" s="9"/>
      <c r="B92" s="9"/>
      <c r="C92" s="9"/>
      <c r="D92" s="9"/>
      <c r="G92" s="13"/>
      <c r="H92" s="13"/>
      <c r="I92" s="13"/>
    </row>
    <row r="93" spans="1:20" x14ac:dyDescent="0.3">
      <c r="A93" s="9"/>
      <c r="B93" s="9"/>
      <c r="C93" s="9"/>
      <c r="D93" s="9"/>
      <c r="G93" s="13"/>
      <c r="H93" s="13"/>
      <c r="I93" s="13"/>
    </row>
    <row r="94" spans="1:20" x14ac:dyDescent="0.3">
      <c r="A94" s="9"/>
      <c r="B94" s="9"/>
      <c r="C94" s="9"/>
      <c r="D94" s="9"/>
      <c r="G94" s="13"/>
      <c r="H94" s="13"/>
      <c r="I94" s="13"/>
    </row>
    <row r="95" spans="1:20" x14ac:dyDescent="0.3">
      <c r="A95" s="9"/>
      <c r="B95" s="9"/>
      <c r="C95" s="9"/>
      <c r="D95" s="9"/>
      <c r="G95" s="13"/>
      <c r="H95" s="13"/>
      <c r="I95" s="13"/>
    </row>
    <row r="96" spans="1:20" x14ac:dyDescent="0.3">
      <c r="A96" s="9"/>
      <c r="B96" s="9"/>
      <c r="C96" s="9"/>
      <c r="D96" s="9"/>
      <c r="G96" s="13"/>
      <c r="H96" s="13"/>
      <c r="I96" s="13"/>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row r="170" spans="1:4" x14ac:dyDescent="0.3">
      <c r="A170" s="9"/>
      <c r="B170" s="9"/>
      <c r="C170" s="9"/>
      <c r="D170" s="9"/>
    </row>
    <row r="171" spans="1:4" x14ac:dyDescent="0.3">
      <c r="A171" s="9"/>
      <c r="B171" s="9"/>
      <c r="C171" s="9"/>
      <c r="D171" s="9"/>
    </row>
    <row r="172" spans="1:4" x14ac:dyDescent="0.3">
      <c r="A172" s="9"/>
      <c r="B172" s="9"/>
      <c r="C172" s="9"/>
      <c r="D172" s="9"/>
    </row>
    <row r="173" spans="1:4" x14ac:dyDescent="0.3">
      <c r="A173" s="9"/>
      <c r="B173" s="9"/>
      <c r="C173" s="9"/>
      <c r="D173" s="9"/>
    </row>
    <row r="174" spans="1:4" x14ac:dyDescent="0.3">
      <c r="A174" s="9"/>
      <c r="B174" s="9"/>
      <c r="C174" s="9"/>
      <c r="D174" s="9"/>
    </row>
    <row r="175" spans="1:4" x14ac:dyDescent="0.3">
      <c r="A175" s="9"/>
      <c r="B175" s="9"/>
      <c r="C175" s="9"/>
      <c r="D175" s="9"/>
    </row>
    <row r="176" spans="1:4" x14ac:dyDescent="0.3">
      <c r="A176" s="9"/>
      <c r="B176" s="9"/>
      <c r="C176" s="9"/>
      <c r="D176" s="9"/>
    </row>
    <row r="177" spans="1:4" x14ac:dyDescent="0.3">
      <c r="A177" s="9"/>
      <c r="B177" s="9"/>
      <c r="C177" s="9"/>
      <c r="D177" s="9"/>
    </row>
    <row r="178" spans="1:4" x14ac:dyDescent="0.3">
      <c r="A178" s="9"/>
      <c r="B178" s="9"/>
      <c r="C178" s="9"/>
      <c r="D178" s="9"/>
    </row>
    <row r="179" spans="1:4" x14ac:dyDescent="0.3">
      <c r="A179" s="9"/>
      <c r="B179" s="9"/>
      <c r="C179" s="9"/>
      <c r="D179" s="9"/>
    </row>
    <row r="180" spans="1:4" x14ac:dyDescent="0.3">
      <c r="A180" s="9"/>
      <c r="B180" s="9"/>
      <c r="C180" s="9"/>
      <c r="D180" s="9"/>
    </row>
    <row r="181" spans="1:4" x14ac:dyDescent="0.3">
      <c r="A181" s="9"/>
      <c r="B181" s="9"/>
      <c r="C181" s="9"/>
      <c r="D181" s="9"/>
    </row>
    <row r="182" spans="1:4" x14ac:dyDescent="0.3">
      <c r="A182" s="9"/>
      <c r="B182" s="9"/>
      <c r="C182" s="9"/>
      <c r="D182" s="9"/>
    </row>
    <row r="183" spans="1:4" x14ac:dyDescent="0.3">
      <c r="A183" s="9"/>
      <c r="B183" s="9"/>
      <c r="C183" s="9"/>
      <c r="D183" s="9"/>
    </row>
    <row r="184" spans="1:4" x14ac:dyDescent="0.3">
      <c r="A184" s="9"/>
      <c r="B184" s="9"/>
      <c r="C184" s="9"/>
      <c r="D184" s="9"/>
    </row>
    <row r="185" spans="1:4" x14ac:dyDescent="0.3">
      <c r="A185" s="9"/>
      <c r="B185" s="9"/>
      <c r="C185" s="9"/>
      <c r="D185" s="9"/>
    </row>
    <row r="186" spans="1:4" x14ac:dyDescent="0.3">
      <c r="A186" s="9"/>
      <c r="B186" s="9"/>
      <c r="C186" s="9"/>
      <c r="D186" s="9"/>
    </row>
    <row r="187" spans="1:4" x14ac:dyDescent="0.3">
      <c r="A187" s="9"/>
      <c r="B187" s="9"/>
      <c r="C187" s="9"/>
      <c r="D187" s="9"/>
    </row>
    <row r="188" spans="1:4" x14ac:dyDescent="0.3">
      <c r="A188" s="9"/>
      <c r="B188" s="9"/>
      <c r="C188" s="9"/>
      <c r="D188" s="9"/>
    </row>
    <row r="189" spans="1:4" x14ac:dyDescent="0.3">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Z189"/>
  <sheetViews>
    <sheetView topLeftCell="T1" workbookViewId="0">
      <selection activeCell="Z4" sqref="Z4:Z8"/>
    </sheetView>
  </sheetViews>
  <sheetFormatPr baseColWidth="10" defaultColWidth="11.44140625" defaultRowHeight="14.4" x14ac:dyDescent="0.3"/>
  <cols>
    <col min="1" max="16384" width="11.44140625" style="19"/>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104</v>
      </c>
      <c r="B2" s="300"/>
      <c r="C2" s="300">
        <f>'ECONOMIA &amp; PROFESIONES'!$Q$3</f>
        <v>7</v>
      </c>
      <c r="D2" s="300"/>
      <c r="E2" s="300" t="s">
        <v>81</v>
      </c>
      <c r="F2" s="300"/>
      <c r="G2" s="300" t="s">
        <v>3</v>
      </c>
      <c r="H2" s="300"/>
      <c r="I2" s="300" t="str">
        <f>MAIN!$J$42</f>
        <v>&amp;7Ataque:</v>
      </c>
      <c r="J2" s="300"/>
      <c r="K2" s="300">
        <f>MAIN!$L$42</f>
        <v>2</v>
      </c>
      <c r="L2" s="300"/>
    </row>
    <row r="3" spans="1:26" ht="29.25" customHeight="1" x14ac:dyDescent="0.3">
      <c r="A3" s="375" t="s">
        <v>7</v>
      </c>
      <c r="B3" s="375"/>
      <c r="C3" s="375"/>
      <c r="D3" s="375"/>
      <c r="E3" s="375" t="s">
        <v>8</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3">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8">
        <v>1</v>
      </c>
      <c r="V4" s="288" t="str">
        <f>$I$2&amp;" "&amp;ROUND(MAIN!$C$44*$C$2*$K$2/5*$U$4,0)</f>
        <v>&amp;7Ataque: 6</v>
      </c>
      <c r="W4" s="288" t="str">
        <f>$I$2&amp;" "&amp;ROUND(MAIN!$D$44*$C$2*$K$2/5*$U$4,0)</f>
        <v>&amp;7Ataque: 17</v>
      </c>
      <c r="X4" s="288" t="str">
        <f>$I$2&amp;" "&amp;ROUND(MAIN!$E$44*$C$2*$K$2/5*$U$4,0)</f>
        <v>&amp;7Ataque: 50</v>
      </c>
      <c r="Y4" s="288" t="str">
        <f>$I$2&amp;" "&amp;ROUND(MAIN!$F$44*$C$2*$K$2/5*$U$4,0)</f>
        <v>&amp;7Ataque: 151</v>
      </c>
      <c r="Z4" s="288" t="str">
        <f>$I$2&amp;" "&amp;ROUND(MAIN!$G$44*$C$2*$K$2/5*$U$4,0)</f>
        <v>&amp;7Ataque: 454</v>
      </c>
    </row>
    <row r="5" spans="1:26" x14ac:dyDescent="0.3">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8">
        <v>2</v>
      </c>
      <c r="V5" s="288" t="str">
        <f>$I$2&amp;" "&amp;ROUND(MAIN!$C$44*$C$2*$K$2/5*$U$5,0)</f>
        <v>&amp;7Ataque: 11</v>
      </c>
      <c r="W5" s="288" t="str">
        <f>$I$2&amp;" "&amp;ROUND(MAIN!$D$44*$C$2*$K$2/5*$U$5,0)</f>
        <v>&amp;7Ataque: 34</v>
      </c>
      <c r="X5" s="288" t="str">
        <f>$I$2&amp;" "&amp;ROUND(MAIN!$E$44*$C$2*$K$2/5*$U$5,0)</f>
        <v>&amp;7Ataque: 101</v>
      </c>
      <c r="Y5" s="288" t="str">
        <f>$I$2&amp;" "&amp;ROUND(MAIN!$F$44*$C$2*$K$2/5*$U$5,0)</f>
        <v>&amp;7Ataque: 302</v>
      </c>
      <c r="Z5" s="288" t="str">
        <f>$I$2&amp;" "&amp;ROUND(MAIN!$G$44*$C$2*$K$2/5*$U$5,0)</f>
        <v>&amp;7Ataque: 907</v>
      </c>
    </row>
    <row r="6" spans="1:26" x14ac:dyDescent="0.3">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&amp;7Ataque: 17</v>
      </c>
      <c r="W6" s="288" t="str">
        <f>$I$2&amp;" "&amp;ROUND(MAIN!$D$44*$C$2*$K$2/5*$U$6,0)</f>
        <v>&amp;7Ataque: 50</v>
      </c>
      <c r="X6" s="288" t="str">
        <f>$I$2&amp;" "&amp;ROUND(MAIN!$E$44*$C$2*$K$2/5*$U$6,0)</f>
        <v>&amp;7Ataque: 151</v>
      </c>
      <c r="Y6" s="288" t="str">
        <f>$I$2&amp;" "&amp;ROUND(MAIN!$F$44*$C$2*$K$2/5*$U$6,0)</f>
        <v>&amp;7Ataque: 454</v>
      </c>
      <c r="Z6" s="288" t="str">
        <f>$I$2&amp;" "&amp;ROUND(MAIN!$G$44*$C$2*$K$2/5*$U$6,0)</f>
        <v>&amp;7Ataque: 1361</v>
      </c>
    </row>
    <row r="7" spans="1:26" x14ac:dyDescent="0.3">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&amp;7Ataque: 22</v>
      </c>
      <c r="W7" s="288" t="str">
        <f>$I$2&amp;" "&amp;ROUND(MAIN!$D$44*$C$2*$K$2/5*$U$7,0)</f>
        <v>&amp;7Ataque: 67</v>
      </c>
      <c r="X7" s="288" t="str">
        <f>$I$2&amp;" "&amp;ROUND(MAIN!$E$44*$C$2*$K$2/5*$U$7,0)</f>
        <v>&amp;7Ataque: 202</v>
      </c>
      <c r="Y7" s="288" t="str">
        <f>$I$2&amp;" "&amp;ROUND(MAIN!$F$44*$C$2*$K$2/5*$U$7,0)</f>
        <v>&amp;7Ataque: 605</v>
      </c>
      <c r="Z7" s="288" t="str">
        <f>$I$2&amp;" "&amp;ROUND(MAIN!$G$44*$C$2*$K$2/5*$U$7,0)</f>
        <v>&amp;7Ataque: 1814</v>
      </c>
    </row>
    <row r="8" spans="1:26" x14ac:dyDescent="0.3">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&amp;7Ataque: 28</v>
      </c>
      <c r="W8" s="288" t="str">
        <f>$I$2&amp;" "&amp;ROUND(MAIN!$D$44*$C$2*$K$2/5*$U$8,0)</f>
        <v>&amp;7Ataque: 84</v>
      </c>
      <c r="X8" s="288" t="str">
        <f>$I$2&amp;" "&amp;ROUND(MAIN!$E$44*$C$2*$K$2/5*$U$8,0)</f>
        <v>&amp;7Ataque: 252</v>
      </c>
      <c r="Y8" s="288" t="str">
        <f>$I$2&amp;" "&amp;ROUND(MAIN!$F$44*$C$2*$K$2/5*$U$8,0)</f>
        <v>&amp;7Ataque: 756</v>
      </c>
      <c r="Z8" s="288" t="str">
        <f>$I$2&amp;" "&amp;ROUND(MAIN!$G$44*$C$2*$K$2/5*$U$8,0)</f>
        <v>&amp;7Ataque: 2268</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3">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3">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3">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3">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3">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3">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3">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3">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3">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3">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3">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3">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3">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3">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3">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3">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3">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3">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3">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3">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3">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3">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3">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3">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3">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3">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3">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3">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3">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3">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3">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3">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3">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3">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3">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3">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3">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3">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3">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3">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3">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3">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3">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3">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3">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3">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3">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3">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3">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3">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3">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3">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3">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3">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3">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3">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3">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3">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3">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3">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3">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3">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3">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3">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3">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3">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3">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3">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3">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3">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3">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3">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3">
      <c r="A86" s="9"/>
      <c r="B86" s="9"/>
      <c r="C86" s="9"/>
      <c r="D86" s="9"/>
    </row>
    <row r="87" spans="1:20" x14ac:dyDescent="0.3">
      <c r="A87" s="9"/>
      <c r="B87" s="9"/>
      <c r="C87" s="9"/>
      <c r="D87" s="9"/>
    </row>
    <row r="88" spans="1:20" x14ac:dyDescent="0.3">
      <c r="A88" s="9"/>
      <c r="B88" s="9"/>
      <c r="C88" s="9"/>
      <c r="D88" s="9"/>
    </row>
    <row r="89" spans="1:20" x14ac:dyDescent="0.3">
      <c r="A89" s="9"/>
      <c r="B89" s="9"/>
      <c r="C89" s="9"/>
      <c r="D89" s="9"/>
    </row>
    <row r="90" spans="1:20" x14ac:dyDescent="0.3">
      <c r="A90" s="9"/>
      <c r="B90" s="9"/>
      <c r="C90" s="9"/>
      <c r="D90" s="9"/>
    </row>
    <row r="91" spans="1:20" x14ac:dyDescent="0.3">
      <c r="A91" s="9"/>
      <c r="B91" s="9"/>
      <c r="C91" s="9"/>
      <c r="D91" s="9"/>
    </row>
    <row r="92" spans="1:20" x14ac:dyDescent="0.3">
      <c r="A92" s="9"/>
      <c r="B92" s="9"/>
      <c r="C92" s="9"/>
      <c r="D92" s="9"/>
    </row>
    <row r="93" spans="1:20" x14ac:dyDescent="0.3">
      <c r="A93" s="9"/>
      <c r="B93" s="9"/>
      <c r="C93" s="9"/>
      <c r="D93" s="9"/>
    </row>
    <row r="94" spans="1:20" x14ac:dyDescent="0.3">
      <c r="A94" s="9"/>
      <c r="B94" s="9"/>
      <c r="C94" s="9"/>
      <c r="D94" s="9"/>
    </row>
    <row r="95" spans="1:20" x14ac:dyDescent="0.3">
      <c r="A95" s="9"/>
      <c r="B95" s="9"/>
      <c r="C95" s="9"/>
      <c r="D95" s="9"/>
    </row>
    <row r="96" spans="1:20" x14ac:dyDescent="0.3">
      <c r="A96" s="9"/>
      <c r="B96" s="9"/>
      <c r="C96" s="9"/>
      <c r="D96" s="9"/>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row r="170" spans="1:4" x14ac:dyDescent="0.3">
      <c r="A170" s="9"/>
      <c r="B170" s="9"/>
      <c r="C170" s="9"/>
      <c r="D170" s="9"/>
    </row>
    <row r="171" spans="1:4" x14ac:dyDescent="0.3">
      <c r="A171" s="9"/>
      <c r="B171" s="9"/>
      <c r="C171" s="9"/>
      <c r="D171" s="9"/>
    </row>
    <row r="172" spans="1:4" x14ac:dyDescent="0.3">
      <c r="A172" s="9"/>
      <c r="B172" s="9"/>
      <c r="C172" s="9"/>
      <c r="D172" s="9"/>
    </row>
    <row r="173" spans="1:4" x14ac:dyDescent="0.3">
      <c r="A173" s="9"/>
      <c r="B173" s="9"/>
      <c r="C173" s="9"/>
      <c r="D173" s="9"/>
    </row>
    <row r="174" spans="1:4" x14ac:dyDescent="0.3">
      <c r="A174" s="9"/>
      <c r="B174" s="9"/>
      <c r="C174" s="9"/>
      <c r="D174" s="9"/>
    </row>
    <row r="175" spans="1:4" x14ac:dyDescent="0.3">
      <c r="A175" s="9"/>
      <c r="B175" s="9"/>
      <c r="C175" s="9"/>
      <c r="D175" s="9"/>
    </row>
    <row r="176" spans="1:4" x14ac:dyDescent="0.3">
      <c r="A176" s="9"/>
      <c r="B176" s="9"/>
      <c r="C176" s="9"/>
      <c r="D176" s="9"/>
    </row>
    <row r="177" spans="1:4" x14ac:dyDescent="0.3">
      <c r="A177" s="9"/>
      <c r="B177" s="9"/>
      <c r="C177" s="9"/>
      <c r="D177" s="9"/>
    </row>
    <row r="178" spans="1:4" x14ac:dyDescent="0.3">
      <c r="A178" s="9"/>
      <c r="B178" s="9"/>
      <c r="C178" s="9"/>
      <c r="D178" s="9"/>
    </row>
    <row r="179" spans="1:4" x14ac:dyDescent="0.3">
      <c r="A179" s="9"/>
      <c r="B179" s="9"/>
      <c r="C179" s="9"/>
      <c r="D179" s="9"/>
    </row>
    <row r="180" spans="1:4" x14ac:dyDescent="0.3">
      <c r="A180" s="9"/>
      <c r="B180" s="9"/>
      <c r="C180" s="9"/>
      <c r="D180" s="9"/>
    </row>
    <row r="181" spans="1:4" x14ac:dyDescent="0.3">
      <c r="A181" s="9"/>
      <c r="B181" s="9"/>
      <c r="C181" s="9"/>
      <c r="D181" s="9"/>
    </row>
    <row r="182" spans="1:4" x14ac:dyDescent="0.3">
      <c r="A182" s="9"/>
      <c r="B182" s="9"/>
      <c r="C182" s="9"/>
      <c r="D182" s="9"/>
    </row>
    <row r="183" spans="1:4" x14ac:dyDescent="0.3">
      <c r="A183" s="9"/>
      <c r="B183" s="9"/>
      <c r="C183" s="9"/>
      <c r="D183" s="9"/>
    </row>
    <row r="184" spans="1:4" x14ac:dyDescent="0.3">
      <c r="A184" s="9"/>
      <c r="B184" s="9"/>
      <c r="C184" s="9"/>
      <c r="D184" s="9"/>
    </row>
    <row r="185" spans="1:4" x14ac:dyDescent="0.3">
      <c r="A185" s="9"/>
      <c r="B185" s="9"/>
      <c r="C185" s="9"/>
      <c r="D185" s="9"/>
    </row>
    <row r="186" spans="1:4" x14ac:dyDescent="0.3">
      <c r="A186" s="9"/>
      <c r="B186" s="9"/>
      <c r="C186" s="9"/>
      <c r="D186" s="9"/>
    </row>
    <row r="187" spans="1:4" x14ac:dyDescent="0.3">
      <c r="A187" s="9"/>
      <c r="B187" s="9"/>
      <c r="C187" s="9"/>
      <c r="D187" s="9"/>
    </row>
    <row r="188" spans="1:4" x14ac:dyDescent="0.3">
      <c r="A188" s="9"/>
      <c r="B188" s="9"/>
      <c r="C188" s="9"/>
      <c r="D188" s="9"/>
    </row>
    <row r="189" spans="1:4" x14ac:dyDescent="0.3">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Z189"/>
  <sheetViews>
    <sheetView topLeftCell="A67" workbookViewId="0">
      <selection activeCell="A79" sqref="A79:XFD81"/>
    </sheetView>
  </sheetViews>
  <sheetFormatPr baseColWidth="10" defaultColWidth="11.44140625" defaultRowHeight="14.4" x14ac:dyDescent="0.3"/>
  <cols>
    <col min="1" max="16384" width="11.44140625" style="19"/>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104</v>
      </c>
      <c r="B2" s="300"/>
      <c r="C2" s="300">
        <f>'ECONOMIA &amp; PROFESIONES'!$Q$3</f>
        <v>7</v>
      </c>
      <c r="D2" s="300"/>
      <c r="E2" s="300" t="s">
        <v>81</v>
      </c>
      <c r="F2" s="300"/>
      <c r="G2" s="300" t="s">
        <v>3</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3">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8">
        <v>1</v>
      </c>
      <c r="V4" s="288" t="str">
        <f>"+"&amp;ROUND(MAIN!$C$55*$C$2*$K$2/5*$U$4,0)&amp;" "&amp;$I$2</f>
        <v>+7 Armor</v>
      </c>
      <c r="W4" s="288" t="str">
        <f>"+"&amp;ROUND(MAIN!$D$55*$C$2*$K$2/5*$U$4,0)&amp;" "&amp;$I$2</f>
        <v>+11 Armor</v>
      </c>
      <c r="X4" s="288" t="str">
        <f>"+"&amp;ROUND(MAIN!$E$55*$C$2*$K$2/5*$U$4,0)&amp;" "&amp;$I$2</f>
        <v>+18 Armor</v>
      </c>
      <c r="Y4" s="288" t="str">
        <f>"+"&amp;ROUND(MAIN!$F$55*$C$2*$K$2/5*$U$4,0)&amp;" "&amp;$I$2</f>
        <v>+31 Armor</v>
      </c>
      <c r="Z4" s="288" t="str">
        <f>"+"&amp;ROUND(MAIN!$G$55*$C$2*$K$2/5*$U$4,0)&amp;" "&amp;$I$2</f>
        <v>+52 Armor</v>
      </c>
    </row>
    <row r="5" spans="1:26" x14ac:dyDescent="0.3">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8">
        <v>2</v>
      </c>
      <c r="V5" s="288" t="str">
        <f>"+"&amp;ROUND(MAIN!$C$55*$C$2*$K$2/5*$U$5,0)&amp;" "&amp;$I$2</f>
        <v>+14 Armor</v>
      </c>
      <c r="W5" s="288" t="str">
        <f>"+"&amp;ROUND(MAIN!$D$55*$C$2*$K$2/5*$U$5,0)&amp;" "&amp;$I$2</f>
        <v>+22 Armor</v>
      </c>
      <c r="X5" s="288" t="str">
        <f>"+"&amp;ROUND(MAIN!$E$55*$C$2*$K$2/5*$U$5,0)&amp;" "&amp;$I$2</f>
        <v>+36 Armor</v>
      </c>
      <c r="Y5" s="288" t="str">
        <f>"+"&amp;ROUND(MAIN!$F$55*$C$2*$K$2/5*$U$5,0)&amp;" "&amp;$I$2</f>
        <v>+62 Armor</v>
      </c>
      <c r="Z5" s="288" t="str">
        <f>"+"&amp;ROUND(MAIN!$G$55*$C$2*$K$2/5*$U$5,0)&amp;" "&amp;$I$2</f>
        <v>+104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+21 Armor</v>
      </c>
      <c r="W6" s="288" t="str">
        <f>"+"&amp;ROUND(MAIN!$D$55*$C$2*$K$2/5*$U$6,0)&amp;" "&amp;$I$2</f>
        <v>+34 Armor</v>
      </c>
      <c r="X6" s="288" t="str">
        <f>"+"&amp;ROUND(MAIN!$E$55*$C$2*$K$2/5*$U$6,0)&amp;" "&amp;$I$2</f>
        <v>+55 Armor</v>
      </c>
      <c r="Y6" s="288" t="str">
        <f>"+"&amp;ROUND(MAIN!$F$55*$C$2*$K$2/5*$U$6,0)&amp;" "&amp;$I$2</f>
        <v>+92 Armor</v>
      </c>
      <c r="Z6" s="288" t="str">
        <f>"+"&amp;ROUND(MAIN!$G$55*$C$2*$K$2/5*$U$6,0)&amp;" "&amp;$I$2</f>
        <v>+155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+28 Armor</v>
      </c>
      <c r="W7" s="288" t="str">
        <f>"+"&amp;ROUND(MAIN!$D$55*$C$2*$K$2/5*$U$7,0)&amp;" "&amp;$I$2</f>
        <v>+45 Armor</v>
      </c>
      <c r="X7" s="288" t="str">
        <f>"+"&amp;ROUND(MAIN!$E$55*$C$2*$K$2/5*$U$7,0)&amp;" "&amp;$I$2</f>
        <v>+73 Armor</v>
      </c>
      <c r="Y7" s="288" t="str">
        <f>"+"&amp;ROUND(MAIN!$F$55*$C$2*$K$2/5*$U$7,0)&amp;" "&amp;$I$2</f>
        <v>+123 Armor</v>
      </c>
      <c r="Z7" s="288" t="str">
        <f>"+"&amp;ROUND(MAIN!$G$55*$C$2*$K$2/5*$U$7,0)&amp;" "&amp;$I$2</f>
        <v>+207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+35 Armor</v>
      </c>
      <c r="W8" s="288" t="str">
        <f>"+"&amp;ROUND(MAIN!$D$55*$C$2*$K$2/5*$U$8,0)&amp;" "&amp;$I$2</f>
        <v>+56 Armor</v>
      </c>
      <c r="X8" s="288" t="str">
        <f>"+"&amp;ROUND(MAIN!$E$55*$C$2*$K$2/5*$U$8,0)&amp;" "&amp;$I$2</f>
        <v>+91 Armor</v>
      </c>
      <c r="Y8" s="288" t="str">
        <f>"+"&amp;ROUND(MAIN!$F$55*$C$2*$K$2/5*$U$8,0)&amp;" "&amp;$I$2</f>
        <v>+154 Armor</v>
      </c>
      <c r="Z8" s="288" t="str">
        <f>"+"&amp;ROUND(MAIN!$G$55*$C$2*$K$2/5*$U$8,0)&amp;" "&amp;$I$2</f>
        <v>+259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3">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3">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3">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3">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3">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3">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3">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3">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3">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3">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3">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3">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3">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3">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3">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3">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3">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3">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3">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3">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3">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3">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3">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3">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3">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3">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3">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3">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3">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3">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3">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3">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3">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3">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3">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3">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3">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3">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3">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3">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3">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3">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3">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3">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3">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3">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3">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3">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3">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3">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3">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3">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3">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3">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3">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3">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3">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3">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3">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3">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3">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3">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3">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3">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3">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3">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90" customFormat="1" x14ac:dyDescent="0.3">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3">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3">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3">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3">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3">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3">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3">
      <c r="A86" s="9"/>
      <c r="B86" s="9"/>
      <c r="C86" s="9"/>
      <c r="D86" s="9"/>
    </row>
    <row r="87" spans="1:20" x14ac:dyDescent="0.3">
      <c r="A87" s="9"/>
      <c r="B87" s="9"/>
      <c r="C87" s="9"/>
      <c r="D87" s="9"/>
    </row>
    <row r="88" spans="1:20" x14ac:dyDescent="0.3">
      <c r="A88" s="9"/>
      <c r="B88" s="9"/>
      <c r="C88" s="9"/>
      <c r="D88" s="9"/>
    </row>
    <row r="89" spans="1:20" x14ac:dyDescent="0.3">
      <c r="A89" s="9"/>
      <c r="B89" s="9"/>
      <c r="C89" s="9"/>
      <c r="D89" s="9"/>
      <c r="G89" s="13"/>
      <c r="H89" s="13"/>
      <c r="I89" s="13"/>
    </row>
    <row r="90" spans="1:20" x14ac:dyDescent="0.3">
      <c r="A90" s="9"/>
      <c r="B90" s="9"/>
      <c r="C90" s="9"/>
      <c r="D90" s="9"/>
      <c r="G90" s="13"/>
      <c r="H90" s="13"/>
      <c r="I90" s="13"/>
    </row>
    <row r="91" spans="1:20" x14ac:dyDescent="0.3">
      <c r="A91" s="9"/>
      <c r="B91" s="9"/>
      <c r="C91" s="9"/>
      <c r="D91" s="9"/>
      <c r="G91" s="13"/>
      <c r="H91" s="13"/>
      <c r="I91" s="13"/>
    </row>
    <row r="92" spans="1:20" x14ac:dyDescent="0.3">
      <c r="A92" s="9"/>
      <c r="B92" s="9"/>
      <c r="C92" s="9"/>
      <c r="D92" s="9"/>
      <c r="G92" s="13"/>
      <c r="H92" s="13"/>
      <c r="I92" s="13"/>
    </row>
    <row r="93" spans="1:20" x14ac:dyDescent="0.3">
      <c r="A93" s="9"/>
      <c r="B93" s="9"/>
      <c r="C93" s="9"/>
      <c r="D93" s="9"/>
      <c r="G93" s="13"/>
      <c r="H93" s="13"/>
      <c r="I93" s="13"/>
    </row>
    <row r="94" spans="1:20" x14ac:dyDescent="0.3">
      <c r="A94" s="9"/>
      <c r="B94" s="9"/>
      <c r="C94" s="9"/>
      <c r="D94" s="9"/>
      <c r="G94" s="13"/>
      <c r="H94" s="13"/>
      <c r="I94" s="13"/>
    </row>
    <row r="95" spans="1:20" x14ac:dyDescent="0.3">
      <c r="A95" s="9"/>
      <c r="B95" s="9"/>
      <c r="C95" s="9"/>
      <c r="D95" s="9"/>
      <c r="G95" s="13"/>
      <c r="H95" s="13"/>
      <c r="I95" s="13"/>
    </row>
    <row r="96" spans="1:20" x14ac:dyDescent="0.3">
      <c r="A96" s="9"/>
      <c r="B96" s="9"/>
      <c r="C96" s="9"/>
      <c r="D96" s="9"/>
      <c r="G96" s="13"/>
      <c r="H96" s="13"/>
      <c r="I96" s="13"/>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row r="170" spans="1:4" x14ac:dyDescent="0.3">
      <c r="A170" s="9"/>
      <c r="B170" s="9"/>
      <c r="C170" s="9"/>
      <c r="D170" s="9"/>
    </row>
    <row r="171" spans="1:4" x14ac:dyDescent="0.3">
      <c r="A171" s="9"/>
      <c r="B171" s="9"/>
      <c r="C171" s="9"/>
      <c r="D171" s="9"/>
    </row>
    <row r="172" spans="1:4" x14ac:dyDescent="0.3">
      <c r="A172" s="9"/>
      <c r="B172" s="9"/>
      <c r="C172" s="9"/>
      <c r="D172" s="9"/>
    </row>
    <row r="173" spans="1:4" x14ac:dyDescent="0.3">
      <c r="A173" s="9"/>
      <c r="B173" s="9"/>
      <c r="C173" s="9"/>
      <c r="D173" s="9"/>
    </row>
    <row r="174" spans="1:4" x14ac:dyDescent="0.3">
      <c r="A174" s="9"/>
      <c r="B174" s="9"/>
      <c r="C174" s="9"/>
      <c r="D174" s="9"/>
    </row>
    <row r="175" spans="1:4" x14ac:dyDescent="0.3">
      <c r="A175" s="9"/>
      <c r="B175" s="9"/>
      <c r="C175" s="9"/>
      <c r="D175" s="9"/>
    </row>
    <row r="176" spans="1:4" x14ac:dyDescent="0.3">
      <c r="A176" s="9"/>
      <c r="B176" s="9"/>
      <c r="C176" s="9"/>
      <c r="D176" s="9"/>
    </row>
    <row r="177" spans="1:4" x14ac:dyDescent="0.3">
      <c r="A177" s="9"/>
      <c r="B177" s="9"/>
      <c r="C177" s="9"/>
      <c r="D177" s="9"/>
    </row>
    <row r="178" spans="1:4" x14ac:dyDescent="0.3">
      <c r="A178" s="9"/>
      <c r="B178" s="9"/>
      <c r="C178" s="9"/>
      <c r="D178" s="9"/>
    </row>
    <row r="179" spans="1:4" x14ac:dyDescent="0.3">
      <c r="A179" s="9"/>
      <c r="B179" s="9"/>
      <c r="C179" s="9"/>
      <c r="D179" s="9"/>
    </row>
    <row r="180" spans="1:4" x14ac:dyDescent="0.3">
      <c r="A180" s="9"/>
      <c r="B180" s="9"/>
      <c r="C180" s="9"/>
      <c r="D180" s="9"/>
    </row>
    <row r="181" spans="1:4" x14ac:dyDescent="0.3">
      <c r="A181" s="9"/>
      <c r="B181" s="9"/>
      <c r="C181" s="9"/>
      <c r="D181" s="9"/>
    </row>
    <row r="182" spans="1:4" x14ac:dyDescent="0.3">
      <c r="A182" s="9"/>
      <c r="B182" s="9"/>
      <c r="C182" s="9"/>
      <c r="D182" s="9"/>
    </row>
    <row r="183" spans="1:4" x14ac:dyDescent="0.3">
      <c r="A183" s="9"/>
      <c r="B183" s="9"/>
      <c r="C183" s="9"/>
      <c r="D183" s="9"/>
    </row>
    <row r="184" spans="1:4" x14ac:dyDescent="0.3">
      <c r="A184" s="9"/>
      <c r="B184" s="9"/>
      <c r="C184" s="9"/>
      <c r="D184" s="9"/>
    </row>
    <row r="185" spans="1:4" x14ac:dyDescent="0.3">
      <c r="A185" s="9"/>
      <c r="B185" s="9"/>
      <c r="C185" s="9"/>
      <c r="D185" s="9"/>
    </row>
    <row r="186" spans="1:4" x14ac:dyDescent="0.3">
      <c r="A186" s="9"/>
      <c r="B186" s="9"/>
      <c r="C186" s="9"/>
      <c r="D186" s="9"/>
    </row>
    <row r="187" spans="1:4" x14ac:dyDescent="0.3">
      <c r="A187" s="9"/>
      <c r="B187" s="9"/>
      <c r="C187" s="9"/>
      <c r="D187" s="9"/>
    </row>
    <row r="188" spans="1:4" x14ac:dyDescent="0.3">
      <c r="A188" s="9"/>
      <c r="B188" s="9"/>
      <c r="C188" s="9"/>
      <c r="D188" s="9"/>
    </row>
    <row r="189" spans="1:4" x14ac:dyDescent="0.3">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Z189"/>
  <sheetViews>
    <sheetView topLeftCell="A70" workbookViewId="0">
      <selection activeCell="A79" sqref="A79:XFD81"/>
    </sheetView>
  </sheetViews>
  <sheetFormatPr baseColWidth="10" defaultColWidth="11.44140625" defaultRowHeight="14.4" x14ac:dyDescent="0.3"/>
  <cols>
    <col min="1" max="16384" width="11.44140625" style="19"/>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104</v>
      </c>
      <c r="B2" s="300"/>
      <c r="C2" s="300">
        <f>'ECONOMIA &amp; PROFESIONES'!$Q$3</f>
        <v>7</v>
      </c>
      <c r="D2" s="300"/>
      <c r="E2" s="300" t="s">
        <v>81</v>
      </c>
      <c r="F2" s="300"/>
      <c r="G2" s="300" t="s">
        <v>3</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3">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3">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3">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3">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3">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3">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3">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3">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3">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3">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3">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3">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3">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3">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3">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3">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3">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3">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3">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3">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3">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3">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3">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3">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3">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3">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3">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3">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3">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3">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3">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3">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3">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3">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3">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3">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3">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3">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3">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3">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3">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3">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3">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3">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3">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3">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3">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3">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3">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3">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3">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3">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3">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3">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3">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3">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3">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3">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3">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3">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3">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3">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3">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3">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3">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3">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3">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3">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3">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3">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3">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3">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3">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3">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3">
      <c r="A86" s="9"/>
      <c r="B86" s="9"/>
      <c r="C86" s="9"/>
      <c r="D86" s="9"/>
    </row>
    <row r="87" spans="1:20" x14ac:dyDescent="0.3">
      <c r="A87" s="9"/>
      <c r="B87" s="9"/>
      <c r="C87" s="9"/>
      <c r="D87" s="9"/>
    </row>
    <row r="88" spans="1:20" x14ac:dyDescent="0.3">
      <c r="A88" s="9"/>
      <c r="B88" s="9"/>
      <c r="C88" s="9"/>
      <c r="D88" s="9"/>
    </row>
    <row r="89" spans="1:20" x14ac:dyDescent="0.3">
      <c r="A89" s="9"/>
      <c r="B89" s="9"/>
      <c r="C89" s="9"/>
      <c r="D89" s="9"/>
      <c r="G89" s="13"/>
      <c r="H89" s="13"/>
      <c r="I89" s="13"/>
    </row>
    <row r="90" spans="1:20" x14ac:dyDescent="0.3">
      <c r="A90" s="9"/>
      <c r="B90" s="9"/>
      <c r="C90" s="9"/>
      <c r="D90" s="9"/>
      <c r="G90" s="13"/>
      <c r="H90" s="13"/>
      <c r="I90" s="13"/>
    </row>
    <row r="91" spans="1:20" x14ac:dyDescent="0.3">
      <c r="A91" s="9"/>
      <c r="B91" s="9"/>
      <c r="C91" s="9"/>
      <c r="D91" s="9"/>
      <c r="G91" s="13"/>
      <c r="H91" s="13"/>
      <c r="I91" s="13"/>
    </row>
    <row r="92" spans="1:20" x14ac:dyDescent="0.3">
      <c r="A92" s="9"/>
      <c r="B92" s="9"/>
      <c r="C92" s="9"/>
      <c r="D92" s="9"/>
      <c r="G92" s="13"/>
      <c r="H92" s="13"/>
      <c r="I92" s="13"/>
    </row>
    <row r="93" spans="1:20" x14ac:dyDescent="0.3">
      <c r="A93" s="9"/>
      <c r="B93" s="9"/>
      <c r="C93" s="9"/>
      <c r="D93" s="9"/>
      <c r="G93" s="13"/>
      <c r="H93" s="13"/>
      <c r="I93" s="13"/>
    </row>
    <row r="94" spans="1:20" x14ac:dyDescent="0.3">
      <c r="A94" s="9"/>
      <c r="B94" s="9"/>
      <c r="C94" s="9"/>
      <c r="D94" s="9"/>
      <c r="G94" s="13"/>
      <c r="H94" s="13"/>
      <c r="I94" s="13"/>
    </row>
    <row r="95" spans="1:20" x14ac:dyDescent="0.3">
      <c r="A95" s="9"/>
      <c r="B95" s="9"/>
      <c r="C95" s="9"/>
      <c r="D95" s="9"/>
      <c r="G95" s="13"/>
      <c r="H95" s="13"/>
      <c r="I95" s="13"/>
    </row>
    <row r="96" spans="1:20" x14ac:dyDescent="0.3">
      <c r="A96" s="9"/>
      <c r="B96" s="9"/>
      <c r="C96" s="9"/>
      <c r="D96" s="9"/>
      <c r="G96" s="13"/>
      <c r="H96" s="13"/>
      <c r="I96" s="13"/>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row r="170" spans="1:4" x14ac:dyDescent="0.3">
      <c r="A170" s="9"/>
      <c r="B170" s="9"/>
      <c r="C170" s="9"/>
      <c r="D170" s="9"/>
    </row>
    <row r="171" spans="1:4" x14ac:dyDescent="0.3">
      <c r="A171" s="9"/>
      <c r="B171" s="9"/>
      <c r="C171" s="9"/>
      <c r="D171" s="9"/>
    </row>
    <row r="172" spans="1:4" x14ac:dyDescent="0.3">
      <c r="A172" s="9"/>
      <c r="B172" s="9"/>
      <c r="C172" s="9"/>
      <c r="D172" s="9"/>
    </row>
    <row r="173" spans="1:4" x14ac:dyDescent="0.3">
      <c r="A173" s="9"/>
      <c r="B173" s="9"/>
      <c r="C173" s="9"/>
      <c r="D173" s="9"/>
    </row>
    <row r="174" spans="1:4" x14ac:dyDescent="0.3">
      <c r="A174" s="9"/>
      <c r="B174" s="9"/>
      <c r="C174" s="9"/>
      <c r="D174" s="9"/>
    </row>
    <row r="175" spans="1:4" x14ac:dyDescent="0.3">
      <c r="A175" s="9"/>
      <c r="B175" s="9"/>
      <c r="C175" s="9"/>
      <c r="D175" s="9"/>
    </row>
    <row r="176" spans="1:4" x14ac:dyDescent="0.3">
      <c r="A176" s="9"/>
      <c r="B176" s="9"/>
      <c r="C176" s="9"/>
      <c r="D176" s="9"/>
    </row>
    <row r="177" spans="1:4" x14ac:dyDescent="0.3">
      <c r="A177" s="9"/>
      <c r="B177" s="9"/>
      <c r="C177" s="9"/>
      <c r="D177" s="9"/>
    </row>
    <row r="178" spans="1:4" x14ac:dyDescent="0.3">
      <c r="A178" s="9"/>
      <c r="B178" s="9"/>
      <c r="C178" s="9"/>
      <c r="D178" s="9"/>
    </row>
    <row r="179" spans="1:4" x14ac:dyDescent="0.3">
      <c r="A179" s="9"/>
      <c r="B179" s="9"/>
      <c r="C179" s="9"/>
      <c r="D179" s="9"/>
    </row>
    <row r="180" spans="1:4" x14ac:dyDescent="0.3">
      <c r="A180" s="9"/>
      <c r="B180" s="9"/>
      <c r="C180" s="9"/>
      <c r="D180" s="9"/>
    </row>
    <row r="181" spans="1:4" x14ac:dyDescent="0.3">
      <c r="A181" s="9"/>
      <c r="B181" s="9"/>
      <c r="C181" s="9"/>
      <c r="D181" s="9"/>
    </row>
    <row r="182" spans="1:4" x14ac:dyDescent="0.3">
      <c r="A182" s="9"/>
      <c r="B182" s="9"/>
      <c r="C182" s="9"/>
      <c r="D182" s="9"/>
    </row>
    <row r="183" spans="1:4" x14ac:dyDescent="0.3">
      <c r="A183" s="9"/>
      <c r="B183" s="9"/>
      <c r="C183" s="9"/>
      <c r="D183" s="9"/>
    </row>
    <row r="184" spans="1:4" x14ac:dyDescent="0.3">
      <c r="A184" s="9"/>
      <c r="B184" s="9"/>
      <c r="C184" s="9"/>
      <c r="D184" s="9"/>
    </row>
    <row r="185" spans="1:4" x14ac:dyDescent="0.3">
      <c r="A185" s="9"/>
      <c r="B185" s="9"/>
      <c r="C185" s="9"/>
      <c r="D185" s="9"/>
    </row>
    <row r="186" spans="1:4" x14ac:dyDescent="0.3">
      <c r="A186" s="9"/>
      <c r="B186" s="9"/>
      <c r="C186" s="9"/>
      <c r="D186" s="9"/>
    </row>
    <row r="187" spans="1:4" x14ac:dyDescent="0.3">
      <c r="A187" s="9"/>
      <c r="B187" s="9"/>
      <c r="C187" s="9"/>
      <c r="D187" s="9"/>
    </row>
    <row r="188" spans="1:4" x14ac:dyDescent="0.3">
      <c r="A188" s="9"/>
      <c r="B188" s="9"/>
      <c r="C188" s="9"/>
      <c r="D188" s="9"/>
    </row>
    <row r="189" spans="1:4" x14ac:dyDescent="0.3">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Z189"/>
  <sheetViews>
    <sheetView topLeftCell="A67" workbookViewId="0">
      <selection activeCell="A79" sqref="A79:XFD81"/>
    </sheetView>
  </sheetViews>
  <sheetFormatPr baseColWidth="10" defaultColWidth="11.5546875" defaultRowHeight="14.4" x14ac:dyDescent="0.3"/>
  <cols>
    <col min="1" max="16384" width="11.5546875" style="19"/>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104</v>
      </c>
      <c r="B2" s="300"/>
      <c r="C2" s="300">
        <f>'ECONOMIA &amp; PROFESIONES'!$Q$3</f>
        <v>7</v>
      </c>
      <c r="D2" s="300"/>
      <c r="E2" s="300" t="s">
        <v>81</v>
      </c>
      <c r="F2" s="300"/>
      <c r="G2" s="300" t="s">
        <v>3</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3">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3">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3">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3">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3">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3">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3">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3">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3">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3">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3">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3">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3">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3">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3">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3">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3">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3">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3">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3">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3">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3">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3">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3">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3">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3">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3">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3">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3">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3">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3">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3">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3">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3">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3">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3">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3">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3">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3">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3">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3">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3">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3">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3">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3">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3">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3">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3">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3">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3">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3">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3">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3">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3">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3">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3">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3">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3">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3">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3">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3">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3">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3">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3">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3">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3">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3">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3">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3">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3">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3">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3">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3">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3">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3">
      <c r="A86" s="9"/>
      <c r="B86" s="9"/>
      <c r="C86" s="9"/>
      <c r="D86" s="9"/>
    </row>
    <row r="87" spans="1:20" x14ac:dyDescent="0.3">
      <c r="A87" s="9"/>
      <c r="B87" s="9"/>
      <c r="C87" s="9"/>
      <c r="D87" s="9"/>
    </row>
    <row r="88" spans="1:20" x14ac:dyDescent="0.3">
      <c r="A88" s="9"/>
      <c r="B88" s="9"/>
      <c r="C88" s="9"/>
      <c r="D88" s="9"/>
    </row>
    <row r="89" spans="1:20" x14ac:dyDescent="0.3">
      <c r="A89" s="9"/>
      <c r="B89" s="9"/>
      <c r="C89" s="9"/>
      <c r="D89" s="9"/>
      <c r="G89" s="13"/>
      <c r="H89" s="13"/>
      <c r="I89" s="13"/>
    </row>
    <row r="90" spans="1:20" x14ac:dyDescent="0.3">
      <c r="A90" s="9"/>
      <c r="B90" s="9"/>
      <c r="C90" s="9"/>
      <c r="D90" s="9"/>
      <c r="G90" s="13"/>
      <c r="H90" s="13"/>
      <c r="I90" s="13"/>
    </row>
    <row r="91" spans="1:20" x14ac:dyDescent="0.3">
      <c r="A91" s="9"/>
      <c r="B91" s="9"/>
      <c r="C91" s="9"/>
      <c r="D91" s="9"/>
      <c r="G91" s="13"/>
      <c r="H91" s="13"/>
      <c r="I91" s="13"/>
    </row>
    <row r="92" spans="1:20" x14ac:dyDescent="0.3">
      <c r="A92" s="9"/>
      <c r="B92" s="9"/>
      <c r="C92" s="9"/>
      <c r="D92" s="9"/>
      <c r="G92" s="13"/>
      <c r="H92" s="13"/>
      <c r="I92" s="13"/>
    </row>
    <row r="93" spans="1:20" x14ac:dyDescent="0.3">
      <c r="A93" s="9"/>
      <c r="B93" s="9"/>
      <c r="C93" s="9"/>
      <c r="D93" s="9"/>
      <c r="G93" s="13"/>
      <c r="H93" s="13"/>
      <c r="I93" s="13"/>
    </row>
    <row r="94" spans="1:20" x14ac:dyDescent="0.3">
      <c r="A94" s="9"/>
      <c r="B94" s="9"/>
      <c r="C94" s="9"/>
      <c r="D94" s="9"/>
      <c r="G94" s="13"/>
      <c r="H94" s="13"/>
      <c r="I94" s="13"/>
    </row>
    <row r="95" spans="1:20" x14ac:dyDescent="0.3">
      <c r="A95" s="9"/>
      <c r="B95" s="9"/>
      <c r="C95" s="9"/>
      <c r="D95" s="9"/>
      <c r="G95" s="13"/>
      <c r="H95" s="13"/>
      <c r="I95" s="13"/>
    </row>
    <row r="96" spans="1:20" x14ac:dyDescent="0.3">
      <c r="A96" s="9"/>
      <c r="B96" s="9"/>
      <c r="C96" s="9"/>
      <c r="D96" s="9"/>
      <c r="G96" s="13"/>
      <c r="H96" s="13"/>
      <c r="I96" s="13"/>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row r="170" spans="1:4" x14ac:dyDescent="0.3">
      <c r="A170" s="9"/>
      <c r="B170" s="9"/>
      <c r="C170" s="9"/>
      <c r="D170" s="9"/>
    </row>
    <row r="171" spans="1:4" x14ac:dyDescent="0.3">
      <c r="A171" s="9"/>
      <c r="B171" s="9"/>
      <c r="C171" s="9"/>
      <c r="D171" s="9"/>
    </row>
    <row r="172" spans="1:4" x14ac:dyDescent="0.3">
      <c r="A172" s="9"/>
      <c r="B172" s="9"/>
      <c r="C172" s="9"/>
      <c r="D172" s="9"/>
    </row>
    <row r="173" spans="1:4" x14ac:dyDescent="0.3">
      <c r="A173" s="9"/>
      <c r="B173" s="9"/>
      <c r="C173" s="9"/>
      <c r="D173" s="9"/>
    </row>
    <row r="174" spans="1:4" x14ac:dyDescent="0.3">
      <c r="A174" s="9"/>
      <c r="B174" s="9"/>
      <c r="C174" s="9"/>
      <c r="D174" s="9"/>
    </row>
    <row r="175" spans="1:4" x14ac:dyDescent="0.3">
      <c r="A175" s="9"/>
      <c r="B175" s="9"/>
      <c r="C175" s="9"/>
      <c r="D175" s="9"/>
    </row>
    <row r="176" spans="1:4" x14ac:dyDescent="0.3">
      <c r="A176" s="9"/>
      <c r="B176" s="9"/>
      <c r="C176" s="9"/>
      <c r="D176" s="9"/>
    </row>
    <row r="177" spans="1:4" x14ac:dyDescent="0.3">
      <c r="A177" s="9"/>
      <c r="B177" s="9"/>
      <c r="C177" s="9"/>
      <c r="D177" s="9"/>
    </row>
    <row r="178" spans="1:4" x14ac:dyDescent="0.3">
      <c r="A178" s="9"/>
      <c r="B178" s="9"/>
      <c r="C178" s="9"/>
      <c r="D178" s="9"/>
    </row>
    <row r="179" spans="1:4" x14ac:dyDescent="0.3">
      <c r="A179" s="9"/>
      <c r="B179" s="9"/>
      <c r="C179" s="9"/>
      <c r="D179" s="9"/>
    </row>
    <row r="180" spans="1:4" x14ac:dyDescent="0.3">
      <c r="A180" s="9"/>
      <c r="B180" s="9"/>
      <c r="C180" s="9"/>
      <c r="D180" s="9"/>
    </row>
    <row r="181" spans="1:4" x14ac:dyDescent="0.3">
      <c r="A181" s="9"/>
      <c r="B181" s="9"/>
      <c r="C181" s="9"/>
      <c r="D181" s="9"/>
    </row>
    <row r="182" spans="1:4" x14ac:dyDescent="0.3">
      <c r="A182" s="9"/>
      <c r="B182" s="9"/>
      <c r="C182" s="9"/>
      <c r="D182" s="9"/>
    </row>
    <row r="183" spans="1:4" x14ac:dyDescent="0.3">
      <c r="A183" s="9"/>
      <c r="B183" s="9"/>
      <c r="C183" s="9"/>
      <c r="D183" s="9"/>
    </row>
    <row r="184" spans="1:4" x14ac:dyDescent="0.3">
      <c r="A184" s="9"/>
      <c r="B184" s="9"/>
      <c r="C184" s="9"/>
      <c r="D184" s="9"/>
    </row>
    <row r="185" spans="1:4" x14ac:dyDescent="0.3">
      <c r="A185" s="9"/>
      <c r="B185" s="9"/>
      <c r="C185" s="9"/>
      <c r="D185" s="9"/>
    </row>
    <row r="186" spans="1:4" x14ac:dyDescent="0.3">
      <c r="A186" s="9"/>
      <c r="B186" s="9"/>
      <c r="C186" s="9"/>
      <c r="D186" s="9"/>
    </row>
    <row r="187" spans="1:4" x14ac:dyDescent="0.3">
      <c r="A187" s="9"/>
      <c r="B187" s="9"/>
      <c r="C187" s="9"/>
      <c r="D187" s="9"/>
    </row>
    <row r="188" spans="1:4" x14ac:dyDescent="0.3">
      <c r="A188" s="9"/>
      <c r="B188" s="9"/>
      <c r="C188" s="9"/>
      <c r="D188" s="9"/>
    </row>
    <row r="189" spans="1:4" x14ac:dyDescent="0.3">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Z189"/>
  <sheetViews>
    <sheetView topLeftCell="A67" workbookViewId="0">
      <selection activeCell="A79" sqref="A79:XFD81"/>
    </sheetView>
  </sheetViews>
  <sheetFormatPr baseColWidth="10" defaultColWidth="11.5546875" defaultRowHeight="14.4" x14ac:dyDescent="0.3"/>
  <cols>
    <col min="1" max="16384" width="11.5546875" style="19"/>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104</v>
      </c>
      <c r="B2" s="300"/>
      <c r="C2" s="300">
        <f>'ECONOMIA &amp; PROFESIONES'!$Q$3</f>
        <v>7</v>
      </c>
      <c r="D2" s="300"/>
      <c r="E2" s="300" t="s">
        <v>81</v>
      </c>
      <c r="F2" s="300"/>
      <c r="G2" s="300" t="s">
        <v>3</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3">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3">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3">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3">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3">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3">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3">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3">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3">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3">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3">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3">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3">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3">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3">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3">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3">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3">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3">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3">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3">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3">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3">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3">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3">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3">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3">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3">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3">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3">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3">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3">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3">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3">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3">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3">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3">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3">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3">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3">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3">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3">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3">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3">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3">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3">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3">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3">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3">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3">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3">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3">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3">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3">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3">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3">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3">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3">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3">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3">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3">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3">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3">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3">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3">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3">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3">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3">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3">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3">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3">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3">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3">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3">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3">
      <c r="A86" s="9"/>
      <c r="B86" s="9"/>
      <c r="C86" s="9"/>
      <c r="D86" s="9"/>
    </row>
    <row r="87" spans="1:20" x14ac:dyDescent="0.3">
      <c r="A87" s="9"/>
      <c r="B87" s="9"/>
      <c r="C87" s="9"/>
      <c r="D87" s="9"/>
    </row>
    <row r="88" spans="1:20" x14ac:dyDescent="0.3">
      <c r="A88" s="9"/>
      <c r="B88" s="9"/>
      <c r="C88" s="9"/>
      <c r="D88" s="9"/>
    </row>
    <row r="89" spans="1:20" x14ac:dyDescent="0.3">
      <c r="A89" s="9"/>
      <c r="B89" s="9"/>
      <c r="C89" s="9"/>
      <c r="D89" s="9"/>
      <c r="G89" s="13"/>
      <c r="H89" s="13"/>
      <c r="I89" s="13"/>
    </row>
    <row r="90" spans="1:20" x14ac:dyDescent="0.3">
      <c r="A90" s="9"/>
      <c r="B90" s="9"/>
      <c r="C90" s="9"/>
      <c r="D90" s="9"/>
      <c r="G90" s="13"/>
      <c r="H90" s="13"/>
      <c r="I90" s="13"/>
    </row>
    <row r="91" spans="1:20" x14ac:dyDescent="0.3">
      <c r="A91" s="9"/>
      <c r="B91" s="9"/>
      <c r="C91" s="9"/>
      <c r="D91" s="9"/>
      <c r="G91" s="13"/>
      <c r="H91" s="13"/>
      <c r="I91" s="13"/>
    </row>
    <row r="92" spans="1:20" x14ac:dyDescent="0.3">
      <c r="A92" s="9"/>
      <c r="B92" s="9"/>
      <c r="C92" s="9"/>
      <c r="D92" s="9"/>
      <c r="G92" s="13"/>
      <c r="H92" s="13"/>
      <c r="I92" s="13"/>
    </row>
    <row r="93" spans="1:20" x14ac:dyDescent="0.3">
      <c r="A93" s="9"/>
      <c r="B93" s="9"/>
      <c r="C93" s="9"/>
      <c r="D93" s="9"/>
      <c r="G93" s="13"/>
      <c r="H93" s="13"/>
      <c r="I93" s="13"/>
    </row>
    <row r="94" spans="1:20" x14ac:dyDescent="0.3">
      <c r="A94" s="9"/>
      <c r="B94" s="9"/>
      <c r="C94" s="9"/>
      <c r="D94" s="9"/>
      <c r="G94" s="13"/>
      <c r="H94" s="13"/>
      <c r="I94" s="13"/>
    </row>
    <row r="95" spans="1:20" x14ac:dyDescent="0.3">
      <c r="A95" s="9"/>
      <c r="B95" s="9"/>
      <c r="C95" s="9"/>
      <c r="D95" s="9"/>
      <c r="G95" s="13"/>
      <c r="H95" s="13"/>
      <c r="I95" s="13"/>
    </row>
    <row r="96" spans="1:20" x14ac:dyDescent="0.3">
      <c r="A96" s="9"/>
      <c r="B96" s="9"/>
      <c r="C96" s="9"/>
      <c r="D96" s="9"/>
      <c r="G96" s="13"/>
      <c r="H96" s="13"/>
      <c r="I96" s="13"/>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row r="170" spans="1:4" x14ac:dyDescent="0.3">
      <c r="A170" s="9"/>
      <c r="B170" s="9"/>
      <c r="C170" s="9"/>
      <c r="D170" s="9"/>
    </row>
    <row r="171" spans="1:4" x14ac:dyDescent="0.3">
      <c r="A171" s="9"/>
      <c r="B171" s="9"/>
      <c r="C171" s="9"/>
      <c r="D171" s="9"/>
    </row>
    <row r="172" spans="1:4" x14ac:dyDescent="0.3">
      <c r="A172" s="9"/>
      <c r="B172" s="9"/>
      <c r="C172" s="9"/>
      <c r="D172" s="9"/>
    </row>
    <row r="173" spans="1:4" x14ac:dyDescent="0.3">
      <c r="A173" s="9"/>
      <c r="B173" s="9"/>
      <c r="C173" s="9"/>
      <c r="D173" s="9"/>
    </row>
    <row r="174" spans="1:4" x14ac:dyDescent="0.3">
      <c r="A174" s="9"/>
      <c r="B174" s="9"/>
      <c r="C174" s="9"/>
      <c r="D174" s="9"/>
    </row>
    <row r="175" spans="1:4" x14ac:dyDescent="0.3">
      <c r="A175" s="9"/>
      <c r="B175" s="9"/>
      <c r="C175" s="9"/>
      <c r="D175" s="9"/>
    </row>
    <row r="176" spans="1:4" x14ac:dyDescent="0.3">
      <c r="A176" s="9"/>
      <c r="B176" s="9"/>
      <c r="C176" s="9"/>
      <c r="D176" s="9"/>
    </row>
    <row r="177" spans="1:4" x14ac:dyDescent="0.3">
      <c r="A177" s="9"/>
      <c r="B177" s="9"/>
      <c r="C177" s="9"/>
      <c r="D177" s="9"/>
    </row>
    <row r="178" spans="1:4" x14ac:dyDescent="0.3">
      <c r="A178" s="9"/>
      <c r="B178" s="9"/>
      <c r="C178" s="9"/>
      <c r="D178" s="9"/>
    </row>
    <row r="179" spans="1:4" x14ac:dyDescent="0.3">
      <c r="A179" s="9"/>
      <c r="B179" s="9"/>
      <c r="C179" s="9"/>
      <c r="D179" s="9"/>
    </row>
    <row r="180" spans="1:4" x14ac:dyDescent="0.3">
      <c r="A180" s="9"/>
      <c r="B180" s="9"/>
      <c r="C180" s="9"/>
      <c r="D180" s="9"/>
    </row>
    <row r="181" spans="1:4" x14ac:dyDescent="0.3">
      <c r="A181" s="9"/>
      <c r="B181" s="9"/>
      <c r="C181" s="9"/>
      <c r="D181" s="9"/>
    </row>
    <row r="182" spans="1:4" x14ac:dyDescent="0.3">
      <c r="A182" s="9"/>
      <c r="B182" s="9"/>
      <c r="C182" s="9"/>
      <c r="D182" s="9"/>
    </row>
    <row r="183" spans="1:4" x14ac:dyDescent="0.3">
      <c r="A183" s="9"/>
      <c r="B183" s="9"/>
      <c r="C183" s="9"/>
      <c r="D183" s="9"/>
    </row>
    <row r="184" spans="1:4" x14ac:dyDescent="0.3">
      <c r="A184" s="9"/>
      <c r="B184" s="9"/>
      <c r="C184" s="9"/>
      <c r="D184" s="9"/>
    </row>
    <row r="185" spans="1:4" x14ac:dyDescent="0.3">
      <c r="A185" s="9"/>
      <c r="B185" s="9"/>
      <c r="C185" s="9"/>
      <c r="D185" s="9"/>
    </row>
    <row r="186" spans="1:4" x14ac:dyDescent="0.3">
      <c r="A186" s="9"/>
      <c r="B186" s="9"/>
      <c r="C186" s="9"/>
      <c r="D186" s="9"/>
    </row>
    <row r="187" spans="1:4" x14ac:dyDescent="0.3">
      <c r="A187" s="9"/>
      <c r="B187" s="9"/>
      <c r="C187" s="9"/>
      <c r="D187" s="9"/>
    </row>
    <row r="188" spans="1:4" x14ac:dyDescent="0.3">
      <c r="A188" s="9"/>
      <c r="B188" s="9"/>
      <c r="C188" s="9"/>
      <c r="D188" s="9"/>
    </row>
    <row r="189" spans="1:4" x14ac:dyDescent="0.3">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Z189"/>
  <sheetViews>
    <sheetView topLeftCell="S1" workbookViewId="0">
      <selection activeCell="W15" sqref="W15"/>
    </sheetView>
  </sheetViews>
  <sheetFormatPr baseColWidth="10" defaultColWidth="11.44140625" defaultRowHeight="14.4" x14ac:dyDescent="0.3"/>
  <cols>
    <col min="1" max="16384" width="11.44140625" style="19"/>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105</v>
      </c>
      <c r="B2" s="300"/>
      <c r="C2" s="300">
        <f>'ECONOMIA &amp; PROFESIONES'!$R$3</f>
        <v>9</v>
      </c>
      <c r="D2" s="300"/>
      <c r="E2" s="300" t="s">
        <v>107</v>
      </c>
      <c r="F2" s="300"/>
      <c r="G2" s="300" t="s">
        <v>106</v>
      </c>
      <c r="H2" s="300"/>
      <c r="I2" s="300" t="str">
        <f>MAIN!$J$42</f>
        <v>&amp;7Ataque:</v>
      </c>
      <c r="J2" s="300"/>
      <c r="K2" s="300">
        <f>MAIN!$L$42</f>
        <v>2</v>
      </c>
      <c r="L2" s="300"/>
    </row>
    <row r="3" spans="1:26" ht="29.25" customHeight="1" x14ac:dyDescent="0.3">
      <c r="A3" s="375" t="s">
        <v>7</v>
      </c>
      <c r="B3" s="375"/>
      <c r="C3" s="375"/>
      <c r="D3" s="375"/>
      <c r="E3" s="375" t="s">
        <v>8</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3">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8">
        <v>1</v>
      </c>
      <c r="V4" s="288" t="str">
        <f>$I$2&amp;" "&amp;ROUND(MAIN!$C$44*$C$2*$K$2/5*$U$4,0)</f>
        <v>&amp;7Ataque: 7</v>
      </c>
      <c r="W4" s="288" t="str">
        <f>$I$2&amp;" "&amp;ROUND(MAIN!$D$44*$C$2*$K$2/5*$U$4,0)</f>
        <v>&amp;7Ataque: 22</v>
      </c>
      <c r="X4" s="288" t="str">
        <f>$I$2&amp;" "&amp;ROUND(MAIN!$E$44*$C$2*$K$2/5*$U$4,0)</f>
        <v>&amp;7Ataque: 65</v>
      </c>
      <c r="Y4" s="288" t="str">
        <f>$I$2&amp;" "&amp;ROUND(MAIN!$F$44*$C$2*$K$2/5*$U$4,0)</f>
        <v>&amp;7Ataque: 194</v>
      </c>
      <c r="Z4" s="288" t="str">
        <f>$I$2&amp;" "&amp;ROUND(MAIN!$G$44*$C$2*$K$2/5*$U$4,0)</f>
        <v>&amp;7Ataque: 583</v>
      </c>
    </row>
    <row r="5" spans="1:26" x14ac:dyDescent="0.3">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8">
        <v>2</v>
      </c>
      <c r="V5" s="288" t="str">
        <f>$I$2&amp;" "&amp;ROUND(MAIN!$C$44*$C$2*$K$2/5*$U$5,0)</f>
        <v>&amp;7Ataque: 14</v>
      </c>
      <c r="W5" s="288" t="str">
        <f>$I$2&amp;" "&amp;ROUND(MAIN!$D$44*$C$2*$K$2/5*$U$5,0)</f>
        <v>&amp;7Ataque: 43</v>
      </c>
      <c r="X5" s="288" t="str">
        <f>$I$2&amp;" "&amp;ROUND(MAIN!$E$44*$C$2*$K$2/5*$U$5,0)</f>
        <v>&amp;7Ataque: 130</v>
      </c>
      <c r="Y5" s="288" t="str">
        <f>$I$2&amp;" "&amp;ROUND(MAIN!$F$44*$C$2*$K$2/5*$U$5,0)</f>
        <v>&amp;7Ataque: 389</v>
      </c>
      <c r="Z5" s="288" t="str">
        <f>$I$2&amp;" "&amp;ROUND(MAIN!$G$44*$C$2*$K$2/5*$U$5,0)</f>
        <v>&amp;7Ataque: 1166</v>
      </c>
    </row>
    <row r="6" spans="1:26" x14ac:dyDescent="0.3">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&amp;7Ataque: 22</v>
      </c>
      <c r="W6" s="288" t="str">
        <f>$I$2&amp;" "&amp;ROUND(MAIN!$D$44*$C$2*$K$2/5*$U$6,0)</f>
        <v>&amp;7Ataque: 65</v>
      </c>
      <c r="X6" s="288" t="str">
        <f>$I$2&amp;" "&amp;ROUND(MAIN!$E$44*$C$2*$K$2/5*$U$6,0)</f>
        <v>&amp;7Ataque: 194</v>
      </c>
      <c r="Y6" s="288" t="str">
        <f>$I$2&amp;" "&amp;ROUND(MAIN!$F$44*$C$2*$K$2/5*$U$6,0)</f>
        <v>&amp;7Ataque: 583</v>
      </c>
      <c r="Z6" s="288" t="str">
        <f>$I$2&amp;" "&amp;ROUND(MAIN!$G$44*$C$2*$K$2/5*$U$6,0)</f>
        <v>&amp;7Ataque: 1750</v>
      </c>
    </row>
    <row r="7" spans="1:26" x14ac:dyDescent="0.3">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&amp;7Ataque: 29</v>
      </c>
      <c r="W7" s="288" t="str">
        <f>$I$2&amp;" "&amp;ROUND(MAIN!$D$44*$C$2*$K$2/5*$U$7,0)</f>
        <v>&amp;7Ataque: 86</v>
      </c>
      <c r="X7" s="288" t="str">
        <f>$I$2&amp;" "&amp;ROUND(MAIN!$E$44*$C$2*$K$2/5*$U$7,0)</f>
        <v>&amp;7Ataque: 259</v>
      </c>
      <c r="Y7" s="288" t="str">
        <f>$I$2&amp;" "&amp;ROUND(MAIN!$F$44*$C$2*$K$2/5*$U$7,0)</f>
        <v>&amp;7Ataque: 778</v>
      </c>
      <c r="Z7" s="288" t="str">
        <f>$I$2&amp;" "&amp;ROUND(MAIN!$G$44*$C$2*$K$2/5*$U$7,0)</f>
        <v>&amp;7Ataque: 2333</v>
      </c>
    </row>
    <row r="8" spans="1:26" x14ac:dyDescent="0.3">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&amp;7Ataque: 36</v>
      </c>
      <c r="W8" s="288" t="str">
        <f>$I$2&amp;" "&amp;ROUND(MAIN!$D$44*$C$2*$K$2/5*$U$8,0)</f>
        <v>&amp;7Ataque: 108</v>
      </c>
      <c r="X8" s="288" t="str">
        <f>$I$2&amp;" "&amp;ROUND(MAIN!$E$44*$C$2*$K$2/5*$U$8,0)</f>
        <v>&amp;7Ataque: 324</v>
      </c>
      <c r="Y8" s="288" t="str">
        <f>$I$2&amp;" "&amp;ROUND(MAIN!$F$44*$C$2*$K$2/5*$U$8,0)</f>
        <v>&amp;7Ataque: 972</v>
      </c>
      <c r="Z8" s="288" t="str">
        <f>$I$2&amp;" "&amp;ROUND(MAIN!$G$44*$C$2*$K$2/5*$U$8,0)</f>
        <v>&amp;7Ataque: 2916</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3">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3">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3">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3">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3">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3">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3">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3">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3">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3">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3">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3">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3">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3">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3">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3">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3">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3">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3">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3">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3">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3">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3">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3">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3">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3">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3">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3">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3">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3">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3">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3">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3">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3">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3">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3">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3">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3">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3">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3">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3">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3">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3">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3">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3">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3">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3">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3">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3">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3">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3">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3">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3">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3">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3">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3">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3">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3">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3">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3">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3">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3">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3">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3">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3">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3">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3">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3">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3">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3">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3">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3">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3">
      <c r="A86" s="9"/>
      <c r="B86" s="9"/>
      <c r="C86" s="9"/>
      <c r="D86" s="9"/>
    </row>
    <row r="87" spans="1:20" x14ac:dyDescent="0.3">
      <c r="A87" s="9"/>
      <c r="B87" s="9"/>
      <c r="C87" s="9"/>
      <c r="D87" s="9"/>
    </row>
    <row r="88" spans="1:20" x14ac:dyDescent="0.3">
      <c r="A88" s="9"/>
      <c r="B88" s="9"/>
      <c r="C88" s="9"/>
      <c r="D88" s="9"/>
    </row>
    <row r="89" spans="1:20" x14ac:dyDescent="0.3">
      <c r="A89" s="9"/>
      <c r="B89" s="9"/>
      <c r="C89" s="9"/>
      <c r="D89" s="9"/>
    </row>
    <row r="90" spans="1:20" x14ac:dyDescent="0.3">
      <c r="A90" s="9"/>
      <c r="B90" s="9"/>
      <c r="C90" s="9"/>
      <c r="D90" s="9"/>
    </row>
    <row r="91" spans="1:20" x14ac:dyDescent="0.3">
      <c r="A91" s="9"/>
      <c r="B91" s="9"/>
      <c r="C91" s="9"/>
      <c r="D91" s="9"/>
    </row>
    <row r="92" spans="1:20" x14ac:dyDescent="0.3">
      <c r="A92" s="9"/>
      <c r="B92" s="9"/>
      <c r="C92" s="9"/>
      <c r="D92" s="9"/>
    </row>
    <row r="93" spans="1:20" x14ac:dyDescent="0.3">
      <c r="A93" s="9"/>
      <c r="B93" s="9"/>
      <c r="C93" s="9"/>
      <c r="D93" s="9"/>
    </row>
    <row r="94" spans="1:20" x14ac:dyDescent="0.3">
      <c r="A94" s="9"/>
      <c r="B94" s="9"/>
      <c r="C94" s="9"/>
      <c r="D94" s="9"/>
    </row>
    <row r="95" spans="1:20" x14ac:dyDescent="0.3">
      <c r="A95" s="9"/>
      <c r="B95" s="9"/>
      <c r="C95" s="9"/>
      <c r="D95" s="9"/>
    </row>
    <row r="96" spans="1:20" x14ac:dyDescent="0.3">
      <c r="A96" s="9"/>
      <c r="B96" s="9"/>
      <c r="C96" s="9"/>
      <c r="D96" s="9"/>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row r="170" spans="1:4" x14ac:dyDescent="0.3">
      <c r="A170" s="9"/>
      <c r="B170" s="9"/>
      <c r="C170" s="9"/>
      <c r="D170" s="9"/>
    </row>
    <row r="171" spans="1:4" x14ac:dyDescent="0.3">
      <c r="A171" s="9"/>
      <c r="B171" s="9"/>
      <c r="C171" s="9"/>
      <c r="D171" s="9"/>
    </row>
    <row r="172" spans="1:4" x14ac:dyDescent="0.3">
      <c r="A172" s="9"/>
      <c r="B172" s="9"/>
      <c r="C172" s="9"/>
      <c r="D172" s="9"/>
    </row>
    <row r="173" spans="1:4" x14ac:dyDescent="0.3">
      <c r="A173" s="9"/>
      <c r="B173" s="9"/>
      <c r="C173" s="9"/>
      <c r="D173" s="9"/>
    </row>
    <row r="174" spans="1:4" x14ac:dyDescent="0.3">
      <c r="A174" s="9"/>
      <c r="B174" s="9"/>
      <c r="C174" s="9"/>
      <c r="D174" s="9"/>
    </row>
    <row r="175" spans="1:4" x14ac:dyDescent="0.3">
      <c r="A175" s="9"/>
      <c r="B175" s="9"/>
      <c r="C175" s="9"/>
      <c r="D175" s="9"/>
    </row>
    <row r="176" spans="1:4" x14ac:dyDescent="0.3">
      <c r="A176" s="9"/>
      <c r="B176" s="9"/>
      <c r="C176" s="9"/>
      <c r="D176" s="9"/>
    </row>
    <row r="177" spans="1:4" x14ac:dyDescent="0.3">
      <c r="A177" s="9"/>
      <c r="B177" s="9"/>
      <c r="C177" s="9"/>
      <c r="D177" s="9"/>
    </row>
    <row r="178" spans="1:4" x14ac:dyDescent="0.3">
      <c r="A178" s="9"/>
      <c r="B178" s="9"/>
      <c r="C178" s="9"/>
      <c r="D178" s="9"/>
    </row>
    <row r="179" spans="1:4" x14ac:dyDescent="0.3">
      <c r="A179" s="9"/>
      <c r="B179" s="9"/>
      <c r="C179" s="9"/>
      <c r="D179" s="9"/>
    </row>
    <row r="180" spans="1:4" x14ac:dyDescent="0.3">
      <c r="A180" s="9"/>
      <c r="B180" s="9"/>
      <c r="C180" s="9"/>
      <c r="D180" s="9"/>
    </row>
    <row r="181" spans="1:4" x14ac:dyDescent="0.3">
      <c r="A181" s="9"/>
      <c r="B181" s="9"/>
      <c r="C181" s="9"/>
      <c r="D181" s="9"/>
    </row>
    <row r="182" spans="1:4" x14ac:dyDescent="0.3">
      <c r="A182" s="9"/>
      <c r="B182" s="9"/>
      <c r="C182" s="9"/>
      <c r="D182" s="9"/>
    </row>
    <row r="183" spans="1:4" x14ac:dyDescent="0.3">
      <c r="A183" s="9"/>
      <c r="B183" s="9"/>
      <c r="C183" s="9"/>
      <c r="D183" s="9"/>
    </row>
    <row r="184" spans="1:4" x14ac:dyDescent="0.3">
      <c r="A184" s="9"/>
      <c r="B184" s="9"/>
      <c r="C184" s="9"/>
      <c r="D184" s="9"/>
    </row>
    <row r="185" spans="1:4" x14ac:dyDescent="0.3">
      <c r="A185" s="9"/>
      <c r="B185" s="9"/>
      <c r="C185" s="9"/>
      <c r="D185" s="9"/>
    </row>
    <row r="186" spans="1:4" x14ac:dyDescent="0.3">
      <c r="A186" s="9"/>
      <c r="B186" s="9"/>
      <c r="C186" s="9"/>
      <c r="D186" s="9"/>
    </row>
    <row r="187" spans="1:4" x14ac:dyDescent="0.3">
      <c r="A187" s="9"/>
      <c r="B187" s="9"/>
      <c r="C187" s="9"/>
      <c r="D187" s="9"/>
    </row>
    <row r="188" spans="1:4" x14ac:dyDescent="0.3">
      <c r="A188" s="9"/>
      <c r="B188" s="9"/>
      <c r="C188" s="9"/>
      <c r="D188" s="9"/>
    </row>
    <row r="189" spans="1:4" x14ac:dyDescent="0.3">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dimension ref="A1:Z189"/>
  <sheetViews>
    <sheetView topLeftCell="A64" workbookViewId="0">
      <selection activeCell="A79" sqref="A79:XFD81"/>
    </sheetView>
  </sheetViews>
  <sheetFormatPr baseColWidth="10" defaultColWidth="11.44140625" defaultRowHeight="14.4" x14ac:dyDescent="0.3"/>
  <cols>
    <col min="1" max="16384" width="11.44140625" style="19"/>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105</v>
      </c>
      <c r="B2" s="300"/>
      <c r="C2" s="300">
        <f>'ECONOMIA &amp; PROFESIONES'!$R$3</f>
        <v>9</v>
      </c>
      <c r="D2" s="300"/>
      <c r="E2" s="300" t="s">
        <v>107</v>
      </c>
      <c r="F2" s="300"/>
      <c r="G2" s="300" t="s">
        <v>106</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3">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8">
        <v>1</v>
      </c>
      <c r="V4" s="288" t="str">
        <f>"+"&amp;ROUND(MAIN!$C$55*$C$2*$K$2/5*$U$4,0)&amp;" "&amp;$I$2</f>
        <v>+9 Armor</v>
      </c>
      <c r="W4" s="288" t="str">
        <f>"+"&amp;ROUND(MAIN!$D$55*$C$2*$K$2/5*$U$4,0)&amp;" "&amp;$I$2</f>
        <v>+14 Armor</v>
      </c>
      <c r="X4" s="288" t="str">
        <f>"+"&amp;ROUND(MAIN!$E$55*$C$2*$K$2/5*$U$4,0)&amp;" "&amp;$I$2</f>
        <v>+23 Armor</v>
      </c>
      <c r="Y4" s="288" t="str">
        <f>"+"&amp;ROUND(MAIN!$F$55*$C$2*$K$2/5*$U$4,0)&amp;" "&amp;$I$2</f>
        <v>+40 Armor</v>
      </c>
      <c r="Z4" s="288" t="str">
        <f>"+"&amp;ROUND(MAIN!$G$55*$C$2*$K$2/5*$U$4,0)&amp;" "&amp;$I$2</f>
        <v>+67 Armor</v>
      </c>
    </row>
    <row r="5" spans="1:26" x14ac:dyDescent="0.3">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8">
        <v>2</v>
      </c>
      <c r="V5" s="288" t="str">
        <f>"+"&amp;ROUND(MAIN!$C$55*$C$2*$K$2/5*$U$5,0)&amp;" "&amp;$I$2</f>
        <v>+18 Armor</v>
      </c>
      <c r="W5" s="288" t="str">
        <f>"+"&amp;ROUND(MAIN!$D$55*$C$2*$K$2/5*$U$5,0)&amp;" "&amp;$I$2</f>
        <v>+29 Armor</v>
      </c>
      <c r="X5" s="288" t="str">
        <f>"+"&amp;ROUND(MAIN!$E$55*$C$2*$K$2/5*$U$5,0)&amp;" "&amp;$I$2</f>
        <v>+47 Armor</v>
      </c>
      <c r="Y5" s="288" t="str">
        <f>"+"&amp;ROUND(MAIN!$F$55*$C$2*$K$2/5*$U$5,0)&amp;" "&amp;$I$2</f>
        <v>+79 Armor</v>
      </c>
      <c r="Z5" s="288" t="str">
        <f>"+"&amp;ROUND(MAIN!$G$55*$C$2*$K$2/5*$U$5,0)&amp;" "&amp;$I$2</f>
        <v>+133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+27 Armor</v>
      </c>
      <c r="W6" s="288" t="str">
        <f>"+"&amp;ROUND(MAIN!$D$55*$C$2*$K$2/5*$U$6,0)&amp;" "&amp;$I$2</f>
        <v>+43 Armor</v>
      </c>
      <c r="X6" s="288" t="str">
        <f>"+"&amp;ROUND(MAIN!$E$55*$C$2*$K$2/5*$U$6,0)&amp;" "&amp;$I$2</f>
        <v>+70 Armor</v>
      </c>
      <c r="Y6" s="288" t="str">
        <f>"+"&amp;ROUND(MAIN!$F$55*$C$2*$K$2/5*$U$6,0)&amp;" "&amp;$I$2</f>
        <v>+119 Armor</v>
      </c>
      <c r="Z6" s="288" t="str">
        <f>"+"&amp;ROUND(MAIN!$G$55*$C$2*$K$2/5*$U$6,0)&amp;" "&amp;$I$2</f>
        <v>+200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+36 Armor</v>
      </c>
      <c r="W7" s="288" t="str">
        <f>"+"&amp;ROUND(MAIN!$D$55*$C$2*$K$2/5*$U$7,0)&amp;" "&amp;$I$2</f>
        <v>+58 Armor</v>
      </c>
      <c r="X7" s="288" t="str">
        <f>"+"&amp;ROUND(MAIN!$E$55*$C$2*$K$2/5*$U$7,0)&amp;" "&amp;$I$2</f>
        <v>+94 Armor</v>
      </c>
      <c r="Y7" s="288" t="str">
        <f>"+"&amp;ROUND(MAIN!$F$55*$C$2*$K$2/5*$U$7,0)&amp;" "&amp;$I$2</f>
        <v>+158 Armor</v>
      </c>
      <c r="Z7" s="288" t="str">
        <f>"+"&amp;ROUND(MAIN!$G$55*$C$2*$K$2/5*$U$7,0)&amp;" "&amp;$I$2</f>
        <v>+266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+45 Armor</v>
      </c>
      <c r="W8" s="288" t="str">
        <f>"+"&amp;ROUND(MAIN!$D$55*$C$2*$K$2/5*$U$8,0)&amp;" "&amp;$I$2</f>
        <v>+72 Armor</v>
      </c>
      <c r="X8" s="288" t="str">
        <f>"+"&amp;ROUND(MAIN!$E$55*$C$2*$K$2/5*$U$8,0)&amp;" "&amp;$I$2</f>
        <v>+117 Armor</v>
      </c>
      <c r="Y8" s="288" t="str">
        <f>"+"&amp;ROUND(MAIN!$F$55*$C$2*$K$2/5*$U$8,0)&amp;" "&amp;$I$2</f>
        <v>+198 Armor</v>
      </c>
      <c r="Z8" s="288" t="str">
        <f>"+"&amp;ROUND(MAIN!$G$55*$C$2*$K$2/5*$U$8,0)&amp;" "&amp;$I$2</f>
        <v>+333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3">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3">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3">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3">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3">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3">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3">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3">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3">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3">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3">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3">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3">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3">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3">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3">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3">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3">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3">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3">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3">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3">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3">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3">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3">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3">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3">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3">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3">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3">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3">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3">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3">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3">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3">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3">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3">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3">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3">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3">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3">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3">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3">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3">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3">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3">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3">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3">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3">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3">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3">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3">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3">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3">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3">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3">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3">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3">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3">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3">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3">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3">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3">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3">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3">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3">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90" customFormat="1" x14ac:dyDescent="0.3">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3">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3">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3">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3">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3">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3">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3">
      <c r="A86" s="9"/>
      <c r="B86" s="9"/>
      <c r="C86" s="9"/>
      <c r="D86" s="9"/>
    </row>
    <row r="87" spans="1:20" x14ac:dyDescent="0.3">
      <c r="A87" s="9"/>
      <c r="B87" s="9"/>
      <c r="C87" s="9"/>
      <c r="D87" s="9"/>
    </row>
    <row r="88" spans="1:20" x14ac:dyDescent="0.3">
      <c r="A88" s="9"/>
      <c r="B88" s="9"/>
      <c r="C88" s="9"/>
      <c r="D88" s="9"/>
    </row>
    <row r="89" spans="1:20" x14ac:dyDescent="0.3">
      <c r="A89" s="9"/>
      <c r="B89" s="9"/>
      <c r="C89" s="9"/>
      <c r="D89" s="9"/>
      <c r="G89" s="13"/>
      <c r="H89" s="13"/>
      <c r="I89" s="13"/>
    </row>
    <row r="90" spans="1:20" x14ac:dyDescent="0.3">
      <c r="A90" s="9"/>
      <c r="B90" s="9"/>
      <c r="C90" s="9"/>
      <c r="D90" s="9"/>
      <c r="G90" s="13"/>
      <c r="H90" s="13"/>
      <c r="I90" s="13"/>
    </row>
    <row r="91" spans="1:20" x14ac:dyDescent="0.3">
      <c r="A91" s="9"/>
      <c r="B91" s="9"/>
      <c r="C91" s="9"/>
      <c r="D91" s="9"/>
      <c r="G91" s="13"/>
      <c r="H91" s="13"/>
      <c r="I91" s="13"/>
    </row>
    <row r="92" spans="1:20" x14ac:dyDescent="0.3">
      <c r="A92" s="9"/>
      <c r="B92" s="9"/>
      <c r="C92" s="9"/>
      <c r="D92" s="9"/>
      <c r="G92" s="13"/>
      <c r="H92" s="13"/>
      <c r="I92" s="13"/>
    </row>
    <row r="93" spans="1:20" x14ac:dyDescent="0.3">
      <c r="A93" s="9"/>
      <c r="B93" s="9"/>
      <c r="C93" s="9"/>
      <c r="D93" s="9"/>
      <c r="G93" s="13"/>
      <c r="H93" s="13"/>
      <c r="I93" s="13"/>
    </row>
    <row r="94" spans="1:20" x14ac:dyDescent="0.3">
      <c r="A94" s="9"/>
      <c r="B94" s="9"/>
      <c r="C94" s="9"/>
      <c r="D94" s="9"/>
      <c r="G94" s="13"/>
      <c r="H94" s="13"/>
      <c r="I94" s="13"/>
    </row>
    <row r="95" spans="1:20" x14ac:dyDescent="0.3">
      <c r="A95" s="9"/>
      <c r="B95" s="9"/>
      <c r="C95" s="9"/>
      <c r="D95" s="9"/>
      <c r="G95" s="13"/>
      <c r="H95" s="13"/>
      <c r="I95" s="13"/>
    </row>
    <row r="96" spans="1:20" x14ac:dyDescent="0.3">
      <c r="A96" s="9"/>
      <c r="B96" s="9"/>
      <c r="C96" s="9"/>
      <c r="D96" s="9"/>
      <c r="G96" s="13"/>
      <c r="H96" s="13"/>
      <c r="I96" s="13"/>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row r="170" spans="1:4" x14ac:dyDescent="0.3">
      <c r="A170" s="9"/>
      <c r="B170" s="9"/>
      <c r="C170" s="9"/>
      <c r="D170" s="9"/>
    </row>
    <row r="171" spans="1:4" x14ac:dyDescent="0.3">
      <c r="A171" s="9"/>
      <c r="B171" s="9"/>
      <c r="C171" s="9"/>
      <c r="D171" s="9"/>
    </row>
    <row r="172" spans="1:4" x14ac:dyDescent="0.3">
      <c r="A172" s="9"/>
      <c r="B172" s="9"/>
      <c r="C172" s="9"/>
      <c r="D172" s="9"/>
    </row>
    <row r="173" spans="1:4" x14ac:dyDescent="0.3">
      <c r="A173" s="9"/>
      <c r="B173" s="9"/>
      <c r="C173" s="9"/>
      <c r="D173" s="9"/>
    </row>
    <row r="174" spans="1:4" x14ac:dyDescent="0.3">
      <c r="A174" s="9"/>
      <c r="B174" s="9"/>
      <c r="C174" s="9"/>
      <c r="D174" s="9"/>
    </row>
    <row r="175" spans="1:4" x14ac:dyDescent="0.3">
      <c r="A175" s="9"/>
      <c r="B175" s="9"/>
      <c r="C175" s="9"/>
      <c r="D175" s="9"/>
    </row>
    <row r="176" spans="1:4" x14ac:dyDescent="0.3">
      <c r="A176" s="9"/>
      <c r="B176" s="9"/>
      <c r="C176" s="9"/>
      <c r="D176" s="9"/>
    </row>
    <row r="177" spans="1:4" x14ac:dyDescent="0.3">
      <c r="A177" s="9"/>
      <c r="B177" s="9"/>
      <c r="C177" s="9"/>
      <c r="D177" s="9"/>
    </row>
    <row r="178" spans="1:4" x14ac:dyDescent="0.3">
      <c r="A178" s="9"/>
      <c r="B178" s="9"/>
      <c r="C178" s="9"/>
      <c r="D178" s="9"/>
    </row>
    <row r="179" spans="1:4" x14ac:dyDescent="0.3">
      <c r="A179" s="9"/>
      <c r="B179" s="9"/>
      <c r="C179" s="9"/>
      <c r="D179" s="9"/>
    </row>
    <row r="180" spans="1:4" x14ac:dyDescent="0.3">
      <c r="A180" s="9"/>
      <c r="B180" s="9"/>
      <c r="C180" s="9"/>
      <c r="D180" s="9"/>
    </row>
    <row r="181" spans="1:4" x14ac:dyDescent="0.3">
      <c r="A181" s="9"/>
      <c r="B181" s="9"/>
      <c r="C181" s="9"/>
      <c r="D181" s="9"/>
    </row>
    <row r="182" spans="1:4" x14ac:dyDescent="0.3">
      <c r="A182" s="9"/>
      <c r="B182" s="9"/>
      <c r="C182" s="9"/>
      <c r="D182" s="9"/>
    </row>
    <row r="183" spans="1:4" x14ac:dyDescent="0.3">
      <c r="A183" s="9"/>
      <c r="B183" s="9"/>
      <c r="C183" s="9"/>
      <c r="D183" s="9"/>
    </row>
    <row r="184" spans="1:4" x14ac:dyDescent="0.3">
      <c r="A184" s="9"/>
      <c r="B184" s="9"/>
      <c r="C184" s="9"/>
      <c r="D184" s="9"/>
    </row>
    <row r="185" spans="1:4" x14ac:dyDescent="0.3">
      <c r="A185" s="9"/>
      <c r="B185" s="9"/>
      <c r="C185" s="9"/>
      <c r="D185" s="9"/>
    </row>
    <row r="186" spans="1:4" x14ac:dyDescent="0.3">
      <c r="A186" s="9"/>
      <c r="B186" s="9"/>
      <c r="C186" s="9"/>
      <c r="D186" s="9"/>
    </row>
    <row r="187" spans="1:4" x14ac:dyDescent="0.3">
      <c r="A187" s="9"/>
      <c r="B187" s="9"/>
      <c r="C187" s="9"/>
      <c r="D187" s="9"/>
    </row>
    <row r="188" spans="1:4" x14ac:dyDescent="0.3">
      <c r="A188" s="9"/>
      <c r="B188" s="9"/>
      <c r="C188" s="9"/>
      <c r="D188" s="9"/>
    </row>
    <row r="189" spans="1:4" x14ac:dyDescent="0.3">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Z189"/>
  <sheetViews>
    <sheetView topLeftCell="A65" workbookViewId="0">
      <selection activeCell="A79" sqref="A79:XFD81"/>
    </sheetView>
  </sheetViews>
  <sheetFormatPr baseColWidth="10" defaultColWidth="11.44140625" defaultRowHeight="14.4" x14ac:dyDescent="0.3"/>
  <cols>
    <col min="1" max="16384" width="11.44140625" style="19"/>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105</v>
      </c>
      <c r="B2" s="300"/>
      <c r="C2" s="300">
        <f>'ECONOMIA &amp; PROFESIONES'!$R$3</f>
        <v>9</v>
      </c>
      <c r="D2" s="300"/>
      <c r="E2" s="300" t="s">
        <v>107</v>
      </c>
      <c r="F2" s="300"/>
      <c r="G2" s="300" t="s">
        <v>106</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3">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3">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3">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3">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3">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3">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3">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3">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3">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3">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3">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3">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3">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3">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3">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3">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3">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3">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3">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3">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3">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3">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3">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3">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3">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3">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3">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3">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3">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3">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3">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3">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3">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3">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3">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3">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3">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3">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3">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3">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3">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3">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3">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3">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3">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3">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3">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3">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3">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3">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3">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3">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3">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3">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3">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3">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3">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3">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3">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3">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3">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3">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3">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3">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3">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3">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3">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3">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3">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3">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3">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3">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3">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3">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3">
      <c r="A86" s="9"/>
      <c r="B86" s="9"/>
      <c r="C86" s="9"/>
      <c r="D86" s="9"/>
    </row>
    <row r="87" spans="1:20" x14ac:dyDescent="0.3">
      <c r="A87" s="9"/>
      <c r="B87" s="9"/>
      <c r="C87" s="9"/>
      <c r="D87" s="9"/>
    </row>
    <row r="88" spans="1:20" x14ac:dyDescent="0.3">
      <c r="A88" s="9"/>
      <c r="B88" s="9"/>
      <c r="C88" s="9"/>
      <c r="D88" s="9"/>
    </row>
    <row r="89" spans="1:20" x14ac:dyDescent="0.3">
      <c r="A89" s="9"/>
      <c r="B89" s="9"/>
      <c r="C89" s="9"/>
      <c r="D89" s="9"/>
      <c r="G89" s="13"/>
      <c r="H89" s="13"/>
      <c r="I89" s="13"/>
    </row>
    <row r="90" spans="1:20" x14ac:dyDescent="0.3">
      <c r="A90" s="9"/>
      <c r="B90" s="9"/>
      <c r="C90" s="9"/>
      <c r="D90" s="9"/>
      <c r="G90" s="13"/>
      <c r="H90" s="13"/>
      <c r="I90" s="13"/>
    </row>
    <row r="91" spans="1:20" x14ac:dyDescent="0.3">
      <c r="A91" s="9"/>
      <c r="B91" s="9"/>
      <c r="C91" s="9"/>
      <c r="D91" s="9"/>
      <c r="G91" s="13"/>
      <c r="H91" s="13"/>
      <c r="I91" s="13"/>
    </row>
    <row r="92" spans="1:20" x14ac:dyDescent="0.3">
      <c r="A92" s="9"/>
      <c r="B92" s="9"/>
      <c r="C92" s="9"/>
      <c r="D92" s="9"/>
      <c r="G92" s="13"/>
      <c r="H92" s="13"/>
      <c r="I92" s="13"/>
    </row>
    <row r="93" spans="1:20" x14ac:dyDescent="0.3">
      <c r="A93" s="9"/>
      <c r="B93" s="9"/>
      <c r="C93" s="9"/>
      <c r="D93" s="9"/>
      <c r="G93" s="13"/>
      <c r="H93" s="13"/>
      <c r="I93" s="13"/>
    </row>
    <row r="94" spans="1:20" x14ac:dyDescent="0.3">
      <c r="A94" s="9"/>
      <c r="B94" s="9"/>
      <c r="C94" s="9"/>
      <c r="D94" s="9"/>
      <c r="G94" s="13"/>
      <c r="H94" s="13"/>
      <c r="I94" s="13"/>
    </row>
    <row r="95" spans="1:20" x14ac:dyDescent="0.3">
      <c r="A95" s="9"/>
      <c r="B95" s="9"/>
      <c r="C95" s="9"/>
      <c r="D95" s="9"/>
      <c r="G95" s="13"/>
      <c r="H95" s="13"/>
      <c r="I95" s="13"/>
    </row>
    <row r="96" spans="1:20" x14ac:dyDescent="0.3">
      <c r="A96" s="9"/>
      <c r="B96" s="9"/>
      <c r="C96" s="9"/>
      <c r="D96" s="9"/>
      <c r="G96" s="13"/>
      <c r="H96" s="13"/>
      <c r="I96" s="13"/>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row r="170" spans="1:4" x14ac:dyDescent="0.3">
      <c r="A170" s="9"/>
      <c r="B170" s="9"/>
      <c r="C170" s="9"/>
      <c r="D170" s="9"/>
    </row>
    <row r="171" spans="1:4" x14ac:dyDescent="0.3">
      <c r="A171" s="9"/>
      <c r="B171" s="9"/>
      <c r="C171" s="9"/>
      <c r="D171" s="9"/>
    </row>
    <row r="172" spans="1:4" x14ac:dyDescent="0.3">
      <c r="A172" s="9"/>
      <c r="B172" s="9"/>
      <c r="C172" s="9"/>
      <c r="D172" s="9"/>
    </row>
    <row r="173" spans="1:4" x14ac:dyDescent="0.3">
      <c r="A173" s="9"/>
      <c r="B173" s="9"/>
      <c r="C173" s="9"/>
      <c r="D173" s="9"/>
    </row>
    <row r="174" spans="1:4" x14ac:dyDescent="0.3">
      <c r="A174" s="9"/>
      <c r="B174" s="9"/>
      <c r="C174" s="9"/>
      <c r="D174" s="9"/>
    </row>
    <row r="175" spans="1:4" x14ac:dyDescent="0.3">
      <c r="A175" s="9"/>
      <c r="B175" s="9"/>
      <c r="C175" s="9"/>
      <c r="D175" s="9"/>
    </row>
    <row r="176" spans="1:4" x14ac:dyDescent="0.3">
      <c r="A176" s="9"/>
      <c r="B176" s="9"/>
      <c r="C176" s="9"/>
      <c r="D176" s="9"/>
    </row>
    <row r="177" spans="1:4" x14ac:dyDescent="0.3">
      <c r="A177" s="9"/>
      <c r="B177" s="9"/>
      <c r="C177" s="9"/>
      <c r="D177" s="9"/>
    </row>
    <row r="178" spans="1:4" x14ac:dyDescent="0.3">
      <c r="A178" s="9"/>
      <c r="B178" s="9"/>
      <c r="C178" s="9"/>
      <c r="D178" s="9"/>
    </row>
    <row r="179" spans="1:4" x14ac:dyDescent="0.3">
      <c r="A179" s="9"/>
      <c r="B179" s="9"/>
      <c r="C179" s="9"/>
      <c r="D179" s="9"/>
    </row>
    <row r="180" spans="1:4" x14ac:dyDescent="0.3">
      <c r="A180" s="9"/>
      <c r="B180" s="9"/>
      <c r="C180" s="9"/>
      <c r="D180" s="9"/>
    </row>
    <row r="181" spans="1:4" x14ac:dyDescent="0.3">
      <c r="A181" s="9"/>
      <c r="B181" s="9"/>
      <c r="C181" s="9"/>
      <c r="D181" s="9"/>
    </row>
    <row r="182" spans="1:4" x14ac:dyDescent="0.3">
      <c r="A182" s="9"/>
      <c r="B182" s="9"/>
      <c r="C182" s="9"/>
      <c r="D182" s="9"/>
    </row>
    <row r="183" spans="1:4" x14ac:dyDescent="0.3">
      <c r="A183" s="9"/>
      <c r="B183" s="9"/>
      <c r="C183" s="9"/>
      <c r="D183" s="9"/>
    </row>
    <row r="184" spans="1:4" x14ac:dyDescent="0.3">
      <c r="A184" s="9"/>
      <c r="B184" s="9"/>
      <c r="C184" s="9"/>
      <c r="D184" s="9"/>
    </row>
    <row r="185" spans="1:4" x14ac:dyDescent="0.3">
      <c r="A185" s="9"/>
      <c r="B185" s="9"/>
      <c r="C185" s="9"/>
      <c r="D185" s="9"/>
    </row>
    <row r="186" spans="1:4" x14ac:dyDescent="0.3">
      <c r="A186" s="9"/>
      <c r="B186" s="9"/>
      <c r="C186" s="9"/>
      <c r="D186" s="9"/>
    </row>
    <row r="187" spans="1:4" x14ac:dyDescent="0.3">
      <c r="A187" s="9"/>
      <c r="B187" s="9"/>
      <c r="C187" s="9"/>
      <c r="D187" s="9"/>
    </row>
    <row r="188" spans="1:4" x14ac:dyDescent="0.3">
      <c r="A188" s="9"/>
      <c r="B188" s="9"/>
      <c r="C188" s="9"/>
      <c r="D188" s="9"/>
    </row>
    <row r="189" spans="1:4" x14ac:dyDescent="0.3">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Z189"/>
  <sheetViews>
    <sheetView topLeftCell="A67" workbookViewId="0">
      <selection activeCell="A79" sqref="A79:XFD81"/>
    </sheetView>
  </sheetViews>
  <sheetFormatPr baseColWidth="10" defaultColWidth="11.5546875" defaultRowHeight="14.4" x14ac:dyDescent="0.3"/>
  <cols>
    <col min="1" max="16384" width="11.5546875" style="19"/>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105</v>
      </c>
      <c r="B2" s="300"/>
      <c r="C2" s="300">
        <f>'ECONOMIA &amp; PROFESIONES'!$R$3</f>
        <v>9</v>
      </c>
      <c r="D2" s="300"/>
      <c r="E2" s="300" t="s">
        <v>107</v>
      </c>
      <c r="F2" s="300"/>
      <c r="G2" s="300" t="s">
        <v>106</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3">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3">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3">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3">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3">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3">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3">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3">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3">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3">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3">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3">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3">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3">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3">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3">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3">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3">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3">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3">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3">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3">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3">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3">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3">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3">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3">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3">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3">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3">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3">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3">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3">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3">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3">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3">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3">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3">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3">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3">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3">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3">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3">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3">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3">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3">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3">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3">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3">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3">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3">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3">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3">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3">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3">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3">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3">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3">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3">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3">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3">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3">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3">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3">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3">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3">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3">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3">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3">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3">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3">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3">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3">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3">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3">
      <c r="A86" s="9"/>
      <c r="B86" s="9"/>
      <c r="C86" s="9"/>
      <c r="D86" s="9"/>
    </row>
    <row r="87" spans="1:20" x14ac:dyDescent="0.3">
      <c r="A87" s="9"/>
      <c r="B87" s="9"/>
      <c r="C87" s="9"/>
      <c r="D87" s="9"/>
    </row>
    <row r="88" spans="1:20" x14ac:dyDescent="0.3">
      <c r="A88" s="9"/>
      <c r="B88" s="9"/>
      <c r="C88" s="9"/>
      <c r="D88" s="9"/>
    </row>
    <row r="89" spans="1:20" x14ac:dyDescent="0.3">
      <c r="A89" s="9"/>
      <c r="B89" s="9"/>
      <c r="C89" s="9"/>
      <c r="D89" s="9"/>
      <c r="G89" s="13"/>
      <c r="H89" s="13"/>
      <c r="I89" s="13"/>
    </row>
    <row r="90" spans="1:20" x14ac:dyDescent="0.3">
      <c r="A90" s="9"/>
      <c r="B90" s="9"/>
      <c r="C90" s="9"/>
      <c r="D90" s="9"/>
      <c r="G90" s="13"/>
      <c r="H90" s="13"/>
      <c r="I90" s="13"/>
    </row>
    <row r="91" spans="1:20" x14ac:dyDescent="0.3">
      <c r="A91" s="9"/>
      <c r="B91" s="9"/>
      <c r="C91" s="9"/>
      <c r="D91" s="9"/>
      <c r="G91" s="13"/>
      <c r="H91" s="13"/>
      <c r="I91" s="13"/>
    </row>
    <row r="92" spans="1:20" x14ac:dyDescent="0.3">
      <c r="A92" s="9"/>
      <c r="B92" s="9"/>
      <c r="C92" s="9"/>
      <c r="D92" s="9"/>
      <c r="G92" s="13"/>
      <c r="H92" s="13"/>
      <c r="I92" s="13"/>
    </row>
    <row r="93" spans="1:20" x14ac:dyDescent="0.3">
      <c r="A93" s="9"/>
      <c r="B93" s="9"/>
      <c r="C93" s="9"/>
      <c r="D93" s="9"/>
      <c r="G93" s="13"/>
      <c r="H93" s="13"/>
      <c r="I93" s="13"/>
    </row>
    <row r="94" spans="1:20" x14ac:dyDescent="0.3">
      <c r="A94" s="9"/>
      <c r="B94" s="9"/>
      <c r="C94" s="9"/>
      <c r="D94" s="9"/>
      <c r="G94" s="13"/>
      <c r="H94" s="13"/>
      <c r="I94" s="13"/>
    </row>
    <row r="95" spans="1:20" x14ac:dyDescent="0.3">
      <c r="A95" s="9"/>
      <c r="B95" s="9"/>
      <c r="C95" s="9"/>
      <c r="D95" s="9"/>
      <c r="G95" s="13"/>
      <c r="H95" s="13"/>
      <c r="I95" s="13"/>
    </row>
    <row r="96" spans="1:20" x14ac:dyDescent="0.3">
      <c r="A96" s="9"/>
      <c r="B96" s="9"/>
      <c r="C96" s="9"/>
      <c r="D96" s="9"/>
      <c r="G96" s="13"/>
      <c r="H96" s="13"/>
      <c r="I96" s="13"/>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row r="170" spans="1:4" x14ac:dyDescent="0.3">
      <c r="A170" s="9"/>
      <c r="B170" s="9"/>
      <c r="C170" s="9"/>
      <c r="D170" s="9"/>
    </row>
    <row r="171" spans="1:4" x14ac:dyDescent="0.3">
      <c r="A171" s="9"/>
      <c r="B171" s="9"/>
      <c r="C171" s="9"/>
      <c r="D171" s="9"/>
    </row>
    <row r="172" spans="1:4" x14ac:dyDescent="0.3">
      <c r="A172" s="9"/>
      <c r="B172" s="9"/>
      <c r="C172" s="9"/>
      <c r="D172" s="9"/>
    </row>
    <row r="173" spans="1:4" x14ac:dyDescent="0.3">
      <c r="A173" s="9"/>
      <c r="B173" s="9"/>
      <c r="C173" s="9"/>
      <c r="D173" s="9"/>
    </row>
    <row r="174" spans="1:4" x14ac:dyDescent="0.3">
      <c r="A174" s="9"/>
      <c r="B174" s="9"/>
      <c r="C174" s="9"/>
      <c r="D174" s="9"/>
    </row>
    <row r="175" spans="1:4" x14ac:dyDescent="0.3">
      <c r="A175" s="9"/>
      <c r="B175" s="9"/>
      <c r="C175" s="9"/>
      <c r="D175" s="9"/>
    </row>
    <row r="176" spans="1:4" x14ac:dyDescent="0.3">
      <c r="A176" s="9"/>
      <c r="B176" s="9"/>
      <c r="C176" s="9"/>
      <c r="D176" s="9"/>
    </row>
    <row r="177" spans="1:4" x14ac:dyDescent="0.3">
      <c r="A177" s="9"/>
      <c r="B177" s="9"/>
      <c r="C177" s="9"/>
      <c r="D177" s="9"/>
    </row>
    <row r="178" spans="1:4" x14ac:dyDescent="0.3">
      <c r="A178" s="9"/>
      <c r="B178" s="9"/>
      <c r="C178" s="9"/>
      <c r="D178" s="9"/>
    </row>
    <row r="179" spans="1:4" x14ac:dyDescent="0.3">
      <c r="A179" s="9"/>
      <c r="B179" s="9"/>
      <c r="C179" s="9"/>
      <c r="D179" s="9"/>
    </row>
    <row r="180" spans="1:4" x14ac:dyDescent="0.3">
      <c r="A180" s="9"/>
      <c r="B180" s="9"/>
      <c r="C180" s="9"/>
      <c r="D180" s="9"/>
    </row>
    <row r="181" spans="1:4" x14ac:dyDescent="0.3">
      <c r="A181" s="9"/>
      <c r="B181" s="9"/>
      <c r="C181" s="9"/>
      <c r="D181" s="9"/>
    </row>
    <row r="182" spans="1:4" x14ac:dyDescent="0.3">
      <c r="A182" s="9"/>
      <c r="B182" s="9"/>
      <c r="C182" s="9"/>
      <c r="D182" s="9"/>
    </row>
    <row r="183" spans="1:4" x14ac:dyDescent="0.3">
      <c r="A183" s="9"/>
      <c r="B183" s="9"/>
      <c r="C183" s="9"/>
      <c r="D183" s="9"/>
    </row>
    <row r="184" spans="1:4" x14ac:dyDescent="0.3">
      <c r="A184" s="9"/>
      <c r="B184" s="9"/>
      <c r="C184" s="9"/>
      <c r="D184" s="9"/>
    </row>
    <row r="185" spans="1:4" x14ac:dyDescent="0.3">
      <c r="A185" s="9"/>
      <c r="B185" s="9"/>
      <c r="C185" s="9"/>
      <c r="D185" s="9"/>
    </row>
    <row r="186" spans="1:4" x14ac:dyDescent="0.3">
      <c r="A186" s="9"/>
      <c r="B186" s="9"/>
      <c r="C186" s="9"/>
      <c r="D186" s="9"/>
    </row>
    <row r="187" spans="1:4" x14ac:dyDescent="0.3">
      <c r="A187" s="9"/>
      <c r="B187" s="9"/>
      <c r="C187" s="9"/>
      <c r="D187" s="9"/>
    </row>
    <row r="188" spans="1:4" x14ac:dyDescent="0.3">
      <c r="A188" s="9"/>
      <c r="B188" s="9"/>
      <c r="C188" s="9"/>
      <c r="D188" s="9"/>
    </row>
    <row r="189" spans="1:4" x14ac:dyDescent="0.3">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Z189"/>
  <sheetViews>
    <sheetView topLeftCell="A73" workbookViewId="0">
      <selection activeCell="A79" sqref="A79"/>
    </sheetView>
  </sheetViews>
  <sheetFormatPr baseColWidth="10" defaultColWidth="11.5546875" defaultRowHeight="14.4" x14ac:dyDescent="0.3"/>
  <cols>
    <col min="1" max="16384" width="11.5546875" style="19"/>
  </cols>
  <sheetData>
    <row r="1" spans="1:26" ht="30.75" customHeight="1" x14ac:dyDescent="0.3">
      <c r="A1" s="370" t="s">
        <v>19</v>
      </c>
      <c r="B1" s="370"/>
      <c r="C1" s="370" t="s">
        <v>70</v>
      </c>
      <c r="D1" s="370"/>
      <c r="E1" s="370" t="s">
        <v>80</v>
      </c>
      <c r="F1" s="370"/>
      <c r="G1" s="370" t="s">
        <v>89</v>
      </c>
      <c r="H1" s="370"/>
      <c r="I1" s="370" t="s">
        <v>1157</v>
      </c>
      <c r="J1" s="370"/>
      <c r="K1" s="370" t="s">
        <v>1159</v>
      </c>
      <c r="L1" s="370"/>
    </row>
    <row r="2" spans="1:26" x14ac:dyDescent="0.3">
      <c r="A2" s="300" t="s">
        <v>105</v>
      </c>
      <c r="B2" s="300"/>
      <c r="C2" s="300">
        <f>'ECONOMIA &amp; PROFESIONES'!$R$3</f>
        <v>9</v>
      </c>
      <c r="D2" s="300"/>
      <c r="E2" s="300" t="s">
        <v>107</v>
      </c>
      <c r="F2" s="300"/>
      <c r="G2" s="300" t="s">
        <v>106</v>
      </c>
      <c r="H2" s="300"/>
      <c r="I2" s="300" t="str">
        <f>MAIN!$J$53</f>
        <v>Armor</v>
      </c>
      <c r="J2" s="300"/>
      <c r="K2" s="300">
        <f>MAIN!$L$53</f>
        <v>1</v>
      </c>
      <c r="L2" s="300"/>
    </row>
    <row r="3" spans="1:26" ht="29.25" customHeight="1" x14ac:dyDescent="0.3">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3">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3">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3">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3">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3">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3">
      <c r="A9" s="9" t="s">
        <v>25</v>
      </c>
      <c r="B9" s="9"/>
      <c r="C9" s="9"/>
      <c r="D9" s="9"/>
      <c r="E9" s="9" t="s">
        <v>25</v>
      </c>
      <c r="F9" s="9"/>
      <c r="G9" s="9"/>
      <c r="H9" s="9"/>
      <c r="I9" s="9" t="s">
        <v>25</v>
      </c>
      <c r="J9" s="9"/>
      <c r="K9" s="9"/>
      <c r="L9" s="9"/>
      <c r="M9" s="9" t="s">
        <v>25</v>
      </c>
      <c r="N9" s="9"/>
      <c r="O9" s="9"/>
      <c r="P9" s="9"/>
      <c r="Q9" s="9" t="s">
        <v>25</v>
      </c>
      <c r="R9" s="9"/>
      <c r="S9" s="9"/>
      <c r="T9" s="9"/>
    </row>
    <row r="10" spans="1:26" x14ac:dyDescent="0.3">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3">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3">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3">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3">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3">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3">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3">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3">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3">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3">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3">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3">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3">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3">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3">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3">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3">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3">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3">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3">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3">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3">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3">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3">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3">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3">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3">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3">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3">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3">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3">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3">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3">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3">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3">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3">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3">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3">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3">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3">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3">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3">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3">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3">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3">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3">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3">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3">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3">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3">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3">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3">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3">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3">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3">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3">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3">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3">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3">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3">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3">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3">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3">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3">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3">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3">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3">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3">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3">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3">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3">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3">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3">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3">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3">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3">
      <c r="A86" s="9"/>
      <c r="B86" s="9"/>
      <c r="C86" s="9"/>
      <c r="D86" s="9"/>
    </row>
    <row r="87" spans="1:20" x14ac:dyDescent="0.3">
      <c r="A87" s="9"/>
      <c r="B87" s="9"/>
      <c r="C87" s="9"/>
      <c r="D87" s="9"/>
    </row>
    <row r="88" spans="1:20" x14ac:dyDescent="0.3">
      <c r="A88" s="9"/>
      <c r="B88" s="9"/>
      <c r="C88" s="9"/>
      <c r="D88" s="9"/>
    </row>
    <row r="89" spans="1:20" x14ac:dyDescent="0.3">
      <c r="A89" s="9"/>
      <c r="B89" s="9"/>
      <c r="C89" s="9"/>
      <c r="D89" s="9"/>
      <c r="G89" s="13"/>
      <c r="H89" s="13"/>
      <c r="I89" s="13"/>
    </row>
    <row r="90" spans="1:20" x14ac:dyDescent="0.3">
      <c r="A90" s="9"/>
      <c r="B90" s="9"/>
      <c r="C90" s="9"/>
      <c r="D90" s="9"/>
      <c r="G90" s="13"/>
      <c r="H90" s="13"/>
      <c r="I90" s="13"/>
    </row>
    <row r="91" spans="1:20" x14ac:dyDescent="0.3">
      <c r="A91" s="9"/>
      <c r="B91" s="9"/>
      <c r="C91" s="9"/>
      <c r="D91" s="9"/>
      <c r="G91" s="13"/>
      <c r="H91" s="13"/>
      <c r="I91" s="13"/>
    </row>
    <row r="92" spans="1:20" x14ac:dyDescent="0.3">
      <c r="A92" s="9"/>
      <c r="B92" s="9"/>
      <c r="C92" s="9"/>
      <c r="D92" s="9"/>
      <c r="G92" s="13"/>
      <c r="H92" s="13"/>
      <c r="I92" s="13"/>
    </row>
    <row r="93" spans="1:20" x14ac:dyDescent="0.3">
      <c r="A93" s="9"/>
      <c r="B93" s="9"/>
      <c r="C93" s="9"/>
      <c r="D93" s="9"/>
      <c r="G93" s="13"/>
      <c r="H93" s="13"/>
      <c r="I93" s="13"/>
    </row>
    <row r="94" spans="1:20" x14ac:dyDescent="0.3">
      <c r="A94" s="9"/>
      <c r="B94" s="9"/>
      <c r="C94" s="9"/>
      <c r="D94" s="9"/>
      <c r="G94" s="13"/>
      <c r="H94" s="13"/>
      <c r="I94" s="13"/>
    </row>
    <row r="95" spans="1:20" x14ac:dyDescent="0.3">
      <c r="A95" s="9"/>
      <c r="B95" s="9"/>
      <c r="C95" s="9"/>
      <c r="D95" s="9"/>
      <c r="G95" s="13"/>
      <c r="H95" s="13"/>
      <c r="I95" s="13"/>
    </row>
    <row r="96" spans="1:20" x14ac:dyDescent="0.3">
      <c r="A96" s="9"/>
      <c r="B96" s="9"/>
      <c r="C96" s="9"/>
      <c r="D96" s="9"/>
      <c r="G96" s="13"/>
      <c r="H96" s="13"/>
      <c r="I96" s="13"/>
    </row>
    <row r="97" spans="1:4" x14ac:dyDescent="0.3">
      <c r="A97" s="9"/>
      <c r="B97" s="9"/>
      <c r="C97" s="9"/>
      <c r="D97" s="9"/>
    </row>
    <row r="98" spans="1:4" x14ac:dyDescent="0.3">
      <c r="A98" s="9"/>
      <c r="B98" s="9"/>
      <c r="C98" s="9"/>
      <c r="D98" s="9"/>
    </row>
    <row r="99" spans="1:4" x14ac:dyDescent="0.3">
      <c r="A99" s="9"/>
      <c r="B99" s="9"/>
      <c r="C99" s="9"/>
      <c r="D99" s="9"/>
    </row>
    <row r="100" spans="1:4" x14ac:dyDescent="0.3">
      <c r="A100" s="9"/>
      <c r="B100" s="9"/>
      <c r="C100" s="9"/>
      <c r="D100" s="9"/>
    </row>
    <row r="101" spans="1:4" x14ac:dyDescent="0.3">
      <c r="A101" s="9"/>
      <c r="B101" s="9"/>
      <c r="C101" s="9"/>
      <c r="D101" s="9"/>
    </row>
    <row r="102" spans="1:4" x14ac:dyDescent="0.3">
      <c r="A102" s="9"/>
      <c r="B102" s="9"/>
      <c r="C102" s="9"/>
      <c r="D102" s="9"/>
    </row>
    <row r="103" spans="1:4" x14ac:dyDescent="0.3">
      <c r="A103" s="9"/>
      <c r="B103" s="9"/>
      <c r="C103" s="9"/>
      <c r="D103" s="9"/>
    </row>
    <row r="104" spans="1:4" x14ac:dyDescent="0.3">
      <c r="A104" s="9"/>
      <c r="B104" s="9"/>
      <c r="C104" s="9"/>
      <c r="D104" s="9"/>
    </row>
    <row r="105" spans="1:4" x14ac:dyDescent="0.3">
      <c r="A105" s="9"/>
      <c r="B105" s="9"/>
      <c r="C105" s="9"/>
      <c r="D105" s="9"/>
    </row>
    <row r="106" spans="1:4" x14ac:dyDescent="0.3">
      <c r="A106" s="9"/>
      <c r="B106" s="9"/>
      <c r="C106" s="9"/>
      <c r="D106" s="9"/>
    </row>
    <row r="107" spans="1:4" x14ac:dyDescent="0.3">
      <c r="A107" s="9"/>
      <c r="B107" s="9"/>
      <c r="C107" s="9"/>
      <c r="D107" s="9"/>
    </row>
    <row r="108" spans="1:4" x14ac:dyDescent="0.3">
      <c r="A108" s="9"/>
      <c r="B108" s="9"/>
      <c r="C108" s="9"/>
      <c r="D108" s="9"/>
    </row>
    <row r="109" spans="1:4" x14ac:dyDescent="0.3">
      <c r="A109" s="9"/>
      <c r="B109" s="9"/>
      <c r="C109" s="9"/>
      <c r="D109" s="9"/>
    </row>
    <row r="110" spans="1:4" x14ac:dyDescent="0.3">
      <c r="A110" s="9"/>
      <c r="B110" s="9"/>
      <c r="C110" s="9"/>
      <c r="D110" s="9"/>
    </row>
    <row r="111" spans="1:4" x14ac:dyDescent="0.3">
      <c r="A111" s="9"/>
      <c r="B111" s="9"/>
      <c r="C111" s="9"/>
      <c r="D111" s="9"/>
    </row>
    <row r="112" spans="1:4" x14ac:dyDescent="0.3">
      <c r="A112" s="9"/>
      <c r="B112" s="9"/>
      <c r="C112" s="9"/>
      <c r="D112" s="9"/>
    </row>
    <row r="113" spans="1:4" x14ac:dyDescent="0.3">
      <c r="A113" s="9"/>
      <c r="B113" s="9"/>
      <c r="C113" s="9"/>
      <c r="D113" s="9"/>
    </row>
    <row r="114" spans="1:4" x14ac:dyDescent="0.3">
      <c r="A114" s="9"/>
      <c r="B114" s="9"/>
      <c r="C114" s="9"/>
      <c r="D114" s="9"/>
    </row>
    <row r="115" spans="1:4" x14ac:dyDescent="0.3">
      <c r="A115" s="9"/>
      <c r="B115" s="9"/>
      <c r="C115" s="9"/>
      <c r="D115" s="9"/>
    </row>
    <row r="116" spans="1:4" x14ac:dyDescent="0.3">
      <c r="A116" s="9"/>
      <c r="B116" s="9"/>
      <c r="C116" s="9"/>
      <c r="D116" s="9"/>
    </row>
    <row r="117" spans="1:4" x14ac:dyDescent="0.3">
      <c r="A117" s="9"/>
      <c r="B117" s="9"/>
      <c r="C117" s="9"/>
      <c r="D117" s="9"/>
    </row>
    <row r="118" spans="1:4" x14ac:dyDescent="0.3">
      <c r="A118" s="9"/>
      <c r="B118" s="9"/>
      <c r="C118" s="9"/>
      <c r="D118" s="9"/>
    </row>
    <row r="119" spans="1:4" x14ac:dyDescent="0.3">
      <c r="A119" s="9"/>
      <c r="B119" s="9"/>
      <c r="C119" s="9"/>
      <c r="D119" s="9"/>
    </row>
    <row r="120" spans="1:4" x14ac:dyDescent="0.3">
      <c r="A120" s="9"/>
      <c r="B120" s="9"/>
      <c r="C120" s="9"/>
      <c r="D120" s="9"/>
    </row>
    <row r="121" spans="1:4" x14ac:dyDescent="0.3">
      <c r="A121" s="9"/>
      <c r="B121" s="9"/>
      <c r="C121" s="9"/>
      <c r="D121" s="9"/>
    </row>
    <row r="122" spans="1:4" x14ac:dyDescent="0.3">
      <c r="A122" s="9"/>
      <c r="B122" s="9"/>
      <c r="C122" s="9"/>
      <c r="D122" s="9"/>
    </row>
    <row r="123" spans="1:4" x14ac:dyDescent="0.3">
      <c r="A123" s="9"/>
      <c r="B123" s="9"/>
      <c r="C123" s="9"/>
      <c r="D123" s="9"/>
    </row>
    <row r="124" spans="1:4" x14ac:dyDescent="0.3">
      <c r="A124" s="9"/>
      <c r="B124" s="9"/>
      <c r="C124" s="9"/>
      <c r="D124" s="9"/>
    </row>
    <row r="125" spans="1:4" x14ac:dyDescent="0.3">
      <c r="A125" s="9"/>
      <c r="B125" s="9"/>
      <c r="C125" s="9"/>
      <c r="D125" s="9"/>
    </row>
    <row r="126" spans="1:4" x14ac:dyDescent="0.3">
      <c r="A126" s="9"/>
      <c r="B126" s="9"/>
      <c r="C126" s="9"/>
      <c r="D126" s="9"/>
    </row>
    <row r="127" spans="1:4" x14ac:dyDescent="0.3">
      <c r="A127" s="9"/>
      <c r="B127" s="9"/>
      <c r="C127" s="9"/>
      <c r="D127" s="9"/>
    </row>
    <row r="128" spans="1:4" x14ac:dyDescent="0.3">
      <c r="A128" s="9"/>
      <c r="B128" s="9"/>
      <c r="C128" s="9"/>
      <c r="D128" s="9"/>
    </row>
    <row r="129" spans="1:4" x14ac:dyDescent="0.3">
      <c r="A129" s="9"/>
      <c r="B129" s="9"/>
      <c r="C129" s="9"/>
      <c r="D129" s="9"/>
    </row>
    <row r="130" spans="1:4" x14ac:dyDescent="0.3">
      <c r="A130" s="9"/>
      <c r="B130" s="9"/>
      <c r="C130" s="9"/>
      <c r="D130" s="9"/>
    </row>
    <row r="131" spans="1:4" x14ac:dyDescent="0.3">
      <c r="A131" s="9"/>
      <c r="B131" s="9"/>
      <c r="C131" s="9"/>
      <c r="D131" s="9"/>
    </row>
    <row r="132" spans="1:4" x14ac:dyDescent="0.3">
      <c r="A132" s="9"/>
      <c r="B132" s="9"/>
      <c r="C132" s="9"/>
      <c r="D132" s="9"/>
    </row>
    <row r="133" spans="1:4" x14ac:dyDescent="0.3">
      <c r="A133" s="9"/>
      <c r="B133" s="9"/>
      <c r="C133" s="9"/>
      <c r="D133" s="9"/>
    </row>
    <row r="134" spans="1:4" x14ac:dyDescent="0.3">
      <c r="A134" s="9"/>
      <c r="B134" s="9"/>
      <c r="C134" s="9"/>
      <c r="D134" s="9"/>
    </row>
    <row r="135" spans="1:4" x14ac:dyDescent="0.3">
      <c r="A135" s="9"/>
      <c r="B135" s="9"/>
      <c r="C135" s="9"/>
      <c r="D135" s="9"/>
    </row>
    <row r="136" spans="1:4" x14ac:dyDescent="0.3">
      <c r="A136" s="9"/>
      <c r="B136" s="9"/>
      <c r="C136" s="9"/>
      <c r="D136" s="9"/>
    </row>
    <row r="137" spans="1:4" x14ac:dyDescent="0.3">
      <c r="A137" s="9"/>
      <c r="B137" s="9"/>
      <c r="C137" s="9"/>
      <c r="D137" s="9"/>
    </row>
    <row r="138" spans="1:4" x14ac:dyDescent="0.3">
      <c r="A138" s="9"/>
      <c r="B138" s="9"/>
      <c r="C138" s="9"/>
      <c r="D138" s="9"/>
    </row>
    <row r="139" spans="1:4" x14ac:dyDescent="0.3">
      <c r="A139" s="9"/>
      <c r="B139" s="9"/>
      <c r="C139" s="9"/>
      <c r="D139" s="9"/>
    </row>
    <row r="140" spans="1:4" x14ac:dyDescent="0.3">
      <c r="A140" s="9"/>
      <c r="B140" s="9"/>
      <c r="C140" s="9"/>
      <c r="D140" s="9"/>
    </row>
    <row r="141" spans="1:4" x14ac:dyDescent="0.3">
      <c r="A141" s="9"/>
      <c r="B141" s="9"/>
      <c r="C141" s="9"/>
      <c r="D141" s="9"/>
    </row>
    <row r="142" spans="1:4" x14ac:dyDescent="0.3">
      <c r="A142" s="9"/>
      <c r="B142" s="9"/>
      <c r="C142" s="9"/>
      <c r="D142" s="9"/>
    </row>
    <row r="143" spans="1:4" x14ac:dyDescent="0.3">
      <c r="A143" s="9"/>
      <c r="B143" s="9"/>
      <c r="C143" s="9"/>
      <c r="D143" s="9"/>
    </row>
    <row r="144" spans="1:4" x14ac:dyDescent="0.3">
      <c r="A144" s="9"/>
      <c r="B144" s="9"/>
      <c r="C144" s="9"/>
      <c r="D144" s="9"/>
    </row>
    <row r="145" spans="1:4" x14ac:dyDescent="0.3">
      <c r="A145" s="9"/>
      <c r="B145" s="9"/>
      <c r="C145" s="9"/>
      <c r="D145" s="9"/>
    </row>
    <row r="146" spans="1:4" x14ac:dyDescent="0.3">
      <c r="A146" s="9"/>
      <c r="B146" s="9"/>
      <c r="C146" s="9"/>
      <c r="D146" s="9"/>
    </row>
    <row r="147" spans="1:4" x14ac:dyDescent="0.3">
      <c r="A147" s="9"/>
      <c r="B147" s="9"/>
      <c r="C147" s="9"/>
      <c r="D147" s="9"/>
    </row>
    <row r="148" spans="1:4" x14ac:dyDescent="0.3">
      <c r="A148" s="9"/>
      <c r="B148" s="9"/>
      <c r="C148" s="9"/>
      <c r="D148" s="9"/>
    </row>
    <row r="149" spans="1:4" x14ac:dyDescent="0.3">
      <c r="A149" s="9"/>
      <c r="B149" s="9"/>
      <c r="C149" s="9"/>
      <c r="D149" s="9"/>
    </row>
    <row r="150" spans="1:4" x14ac:dyDescent="0.3">
      <c r="A150" s="9"/>
      <c r="B150" s="9"/>
      <c r="C150" s="9"/>
      <c r="D150" s="9"/>
    </row>
    <row r="151" spans="1:4" x14ac:dyDescent="0.3">
      <c r="A151" s="9"/>
      <c r="B151" s="9"/>
      <c r="C151" s="9"/>
      <c r="D151" s="9"/>
    </row>
    <row r="152" spans="1:4" x14ac:dyDescent="0.3">
      <c r="A152" s="9"/>
      <c r="B152" s="9"/>
      <c r="C152" s="9"/>
      <c r="D152" s="9"/>
    </row>
    <row r="153" spans="1:4" x14ac:dyDescent="0.3">
      <c r="A153" s="9"/>
      <c r="B153" s="9"/>
      <c r="C153" s="9"/>
      <c r="D153" s="9"/>
    </row>
    <row r="154" spans="1:4" x14ac:dyDescent="0.3">
      <c r="A154" s="9"/>
      <c r="B154" s="9"/>
      <c r="C154" s="9"/>
      <c r="D154" s="9"/>
    </row>
    <row r="155" spans="1:4" x14ac:dyDescent="0.3">
      <c r="A155" s="9"/>
      <c r="B155" s="9"/>
      <c r="C155" s="9"/>
      <c r="D155" s="9"/>
    </row>
    <row r="156" spans="1:4" x14ac:dyDescent="0.3">
      <c r="A156" s="9"/>
      <c r="B156" s="9"/>
      <c r="C156" s="9"/>
      <c r="D156" s="9"/>
    </row>
    <row r="157" spans="1:4" x14ac:dyDescent="0.3">
      <c r="A157" s="9"/>
      <c r="B157" s="9"/>
      <c r="C157" s="9"/>
      <c r="D157" s="9"/>
    </row>
    <row r="158" spans="1:4" x14ac:dyDescent="0.3">
      <c r="A158" s="9"/>
      <c r="B158" s="9"/>
      <c r="C158" s="9"/>
      <c r="D158" s="9"/>
    </row>
    <row r="159" spans="1:4" x14ac:dyDescent="0.3">
      <c r="A159" s="9"/>
      <c r="B159" s="9"/>
      <c r="C159" s="9"/>
      <c r="D159" s="9"/>
    </row>
    <row r="160" spans="1:4" x14ac:dyDescent="0.3">
      <c r="A160" s="9"/>
      <c r="B160" s="9"/>
      <c r="C160" s="9"/>
      <c r="D160" s="9"/>
    </row>
    <row r="161" spans="1:4" x14ac:dyDescent="0.3">
      <c r="A161" s="9"/>
      <c r="B161" s="9"/>
      <c r="C161" s="9"/>
      <c r="D161" s="9"/>
    </row>
    <row r="162" spans="1:4" x14ac:dyDescent="0.3">
      <c r="A162" s="9"/>
      <c r="B162" s="9"/>
      <c r="C162" s="9"/>
      <c r="D162" s="9"/>
    </row>
    <row r="163" spans="1:4" x14ac:dyDescent="0.3">
      <c r="A163" s="9"/>
      <c r="B163" s="9"/>
      <c r="C163" s="9"/>
      <c r="D163" s="9"/>
    </row>
    <row r="164" spans="1:4" x14ac:dyDescent="0.3">
      <c r="A164" s="9"/>
      <c r="B164" s="9"/>
      <c r="C164" s="9"/>
      <c r="D164" s="9"/>
    </row>
    <row r="165" spans="1:4" x14ac:dyDescent="0.3">
      <c r="A165" s="9"/>
      <c r="B165" s="9"/>
      <c r="C165" s="9"/>
      <c r="D165" s="9"/>
    </row>
    <row r="166" spans="1:4" x14ac:dyDescent="0.3">
      <c r="A166" s="9"/>
      <c r="B166" s="9"/>
      <c r="C166" s="9"/>
      <c r="D166" s="9"/>
    </row>
    <row r="167" spans="1:4" x14ac:dyDescent="0.3">
      <c r="A167" s="9"/>
      <c r="B167" s="9"/>
      <c r="C167" s="9"/>
      <c r="D167" s="9"/>
    </row>
    <row r="168" spans="1:4" x14ac:dyDescent="0.3">
      <c r="A168" s="9"/>
      <c r="B168" s="9"/>
      <c r="C168" s="9"/>
      <c r="D168" s="9"/>
    </row>
    <row r="169" spans="1:4" x14ac:dyDescent="0.3">
      <c r="A169" s="9"/>
      <c r="B169" s="9"/>
      <c r="C169" s="9"/>
      <c r="D169" s="9"/>
    </row>
    <row r="170" spans="1:4" x14ac:dyDescent="0.3">
      <c r="A170" s="9"/>
      <c r="B170" s="9"/>
      <c r="C170" s="9"/>
      <c r="D170" s="9"/>
    </row>
    <row r="171" spans="1:4" x14ac:dyDescent="0.3">
      <c r="A171" s="9"/>
      <c r="B171" s="9"/>
      <c r="C171" s="9"/>
      <c r="D171" s="9"/>
    </row>
    <row r="172" spans="1:4" x14ac:dyDescent="0.3">
      <c r="A172" s="9"/>
      <c r="B172" s="9"/>
      <c r="C172" s="9"/>
      <c r="D172" s="9"/>
    </row>
    <row r="173" spans="1:4" x14ac:dyDescent="0.3">
      <c r="A173" s="9"/>
      <c r="B173" s="9"/>
      <c r="C173" s="9"/>
      <c r="D173" s="9"/>
    </row>
    <row r="174" spans="1:4" x14ac:dyDescent="0.3">
      <c r="A174" s="9"/>
      <c r="B174" s="9"/>
      <c r="C174" s="9"/>
      <c r="D174" s="9"/>
    </row>
    <row r="175" spans="1:4" x14ac:dyDescent="0.3">
      <c r="A175" s="9"/>
      <c r="B175" s="9"/>
      <c r="C175" s="9"/>
      <c r="D175" s="9"/>
    </row>
    <row r="176" spans="1:4" x14ac:dyDescent="0.3">
      <c r="A176" s="9"/>
      <c r="B176" s="9"/>
      <c r="C176" s="9"/>
      <c r="D176" s="9"/>
    </row>
    <row r="177" spans="1:4" x14ac:dyDescent="0.3">
      <c r="A177" s="9"/>
      <c r="B177" s="9"/>
      <c r="C177" s="9"/>
      <c r="D177" s="9"/>
    </row>
    <row r="178" spans="1:4" x14ac:dyDescent="0.3">
      <c r="A178" s="9"/>
      <c r="B178" s="9"/>
      <c r="C178" s="9"/>
      <c r="D178" s="9"/>
    </row>
    <row r="179" spans="1:4" x14ac:dyDescent="0.3">
      <c r="A179" s="9"/>
      <c r="B179" s="9"/>
      <c r="C179" s="9"/>
      <c r="D179" s="9"/>
    </row>
    <row r="180" spans="1:4" x14ac:dyDescent="0.3">
      <c r="A180" s="9"/>
      <c r="B180" s="9"/>
      <c r="C180" s="9"/>
      <c r="D180" s="9"/>
    </row>
    <row r="181" spans="1:4" x14ac:dyDescent="0.3">
      <c r="A181" s="9"/>
      <c r="B181" s="9"/>
      <c r="C181" s="9"/>
      <c r="D181" s="9"/>
    </row>
    <row r="182" spans="1:4" x14ac:dyDescent="0.3">
      <c r="A182" s="9"/>
      <c r="B182" s="9"/>
      <c r="C182" s="9"/>
      <c r="D182" s="9"/>
    </row>
    <row r="183" spans="1:4" x14ac:dyDescent="0.3">
      <c r="A183" s="9"/>
      <c r="B183" s="9"/>
      <c r="C183" s="9"/>
      <c r="D183" s="9"/>
    </row>
    <row r="184" spans="1:4" x14ac:dyDescent="0.3">
      <c r="A184" s="9"/>
      <c r="B184" s="9"/>
      <c r="C184" s="9"/>
      <c r="D184" s="9"/>
    </row>
    <row r="185" spans="1:4" x14ac:dyDescent="0.3">
      <c r="A185" s="9"/>
      <c r="B185" s="9"/>
      <c r="C185" s="9"/>
      <c r="D185" s="9"/>
    </row>
    <row r="186" spans="1:4" x14ac:dyDescent="0.3">
      <c r="A186" s="9"/>
      <c r="B186" s="9"/>
      <c r="C186" s="9"/>
      <c r="D186" s="9"/>
    </row>
    <row r="187" spans="1:4" x14ac:dyDescent="0.3">
      <c r="A187" s="9"/>
      <c r="B187" s="9"/>
      <c r="C187" s="9"/>
      <c r="D187" s="9"/>
    </row>
    <row r="188" spans="1:4" x14ac:dyDescent="0.3">
      <c r="A188" s="9"/>
      <c r="B188" s="9"/>
      <c r="C188" s="9"/>
      <c r="D188" s="9"/>
    </row>
    <row r="189" spans="1:4" x14ac:dyDescent="0.3">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34</vt:i4>
      </vt:variant>
      <vt:variant>
        <vt:lpstr>Rangos con nombre</vt:lpstr>
      </vt:variant>
      <vt:variant>
        <vt:i4>23</vt:i4>
      </vt:variant>
    </vt:vector>
  </HeadingPairs>
  <TitlesOfParts>
    <vt:vector size="57" baseType="lpstr">
      <vt:lpstr>Clases</vt:lpstr>
      <vt:lpstr>ECONOMIA &amp; PROFESIONES</vt:lpstr>
      <vt:lpstr>ITEM CRAFT</vt:lpstr>
      <vt:lpstr>ITEM CORE</vt:lpstr>
      <vt:lpstr>PROFESION Level</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95571</cp:lastModifiedBy>
  <cp:lastPrinted>2018-03-18T20:50:32Z</cp:lastPrinted>
  <dcterms:created xsi:type="dcterms:W3CDTF">2017-03-19T06:56:32Z</dcterms:created>
  <dcterms:modified xsi:type="dcterms:W3CDTF">2018-04-09T00:47:28Z</dcterms:modified>
</cp:coreProperties>
</file>