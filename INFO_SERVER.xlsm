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9A04E905-15E4-4E63-AC3A-2A930C072C86}" xr6:coauthVersionLast="31" xr6:coauthVersionMax="31" xr10:uidLastSave="{00000000-0000-0000-0000-000000000000}"/>
  <bookViews>
    <workbookView xWindow="0" yWindow="5850" windowWidth="20400" windowHeight="7680" tabRatio="893" activeTab="5" xr2:uid="{00000000-000D-0000-FFFF-FFFF00000000}"/>
  </bookViews>
  <sheets>
    <sheet name="Clases" sheetId="37" r:id="rId1"/>
    <sheet name="ECONOMIA &amp; PROFESIONES" sheetId="32" r:id="rId2"/>
    <sheet name="ITEM CRAFT" sheetId="33" r:id="rId3"/>
    <sheet name="ITEM CORE" sheetId="34" r:id="rId4"/>
    <sheet name="PROFESION Level" sheetId="35" r:id="rId5"/>
    <sheet name="Crafteos Prof ESP" sheetId="36" r:id="rId6"/>
    <sheet name="Crafteos MD" sheetId="38" r:id="rId7"/>
    <sheet name="Crafteos Mechanics" sheetId="39" r:id="rId8"/>
    <sheet name="MAIN" sheetId="1" r:id="rId9"/>
    <sheet name="armas comun" sheetId="4" r:id="rId10"/>
    <sheet name="helmet comun" sheetId="5" r:id="rId11"/>
    <sheet name="chestplate comun" sheetId="6" r:id="rId12"/>
    <sheet name="leggins comun" sheetId="7" r:id="rId13"/>
    <sheet name="boots comun" sheetId="9" r:id="rId14"/>
    <sheet name="armas magico" sheetId="10" r:id="rId15"/>
    <sheet name="helmet magico" sheetId="12" r:id="rId16"/>
    <sheet name="chestplate magico" sheetId="13" r:id="rId17"/>
    <sheet name="leggins magico" sheetId="14" r:id="rId18"/>
    <sheet name="boots magico" sheetId="15" r:id="rId19"/>
    <sheet name="armas raro" sheetId="16" r:id="rId20"/>
    <sheet name="helmet raro" sheetId="17" r:id="rId21"/>
    <sheet name="chestplate raro" sheetId="18" r:id="rId22"/>
    <sheet name="leggins raro" sheetId="19" r:id="rId23"/>
    <sheet name="boots raro" sheetId="20" r:id="rId24"/>
    <sheet name="armas legendario" sheetId="21" r:id="rId25"/>
    <sheet name="helmet legendario" sheetId="22" r:id="rId26"/>
    <sheet name="chestplate legendario" sheetId="23" r:id="rId27"/>
    <sheet name="leggins legendario" sheetId="24" r:id="rId28"/>
    <sheet name="boots legendario" sheetId="25" r:id="rId29"/>
    <sheet name="armas ancestral" sheetId="26" r:id="rId30"/>
    <sheet name="helmet ancestral" sheetId="27" r:id="rId31"/>
    <sheet name="chestplate ancestral" sheetId="28" r:id="rId32"/>
    <sheet name="leggins ancestral" sheetId="29" r:id="rId33"/>
    <sheet name="boots ancestral" sheetId="31" r:id="rId34"/>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4" l="1"/>
  <c r="J46" i="36" l="1"/>
  <c r="F46" i="36"/>
  <c r="F50" i="36"/>
  <c r="AE46" i="36"/>
  <c r="AD46" i="36"/>
  <c r="AA46" i="36"/>
  <c r="Z46" i="36"/>
  <c r="W46" i="36"/>
  <c r="V46" i="36"/>
  <c r="S46" i="36"/>
  <c r="R46" i="36"/>
  <c r="O46" i="36"/>
  <c r="N46" i="36"/>
  <c r="J87" i="36" l="1"/>
  <c r="F87" i="36"/>
  <c r="AE87" i="36"/>
  <c r="AD87" i="36"/>
  <c r="AA87" i="36"/>
  <c r="Z87" i="36"/>
  <c r="W87" i="36"/>
  <c r="V87" i="36"/>
  <c r="S87" i="36"/>
  <c r="R87" i="36"/>
  <c r="O87" i="36"/>
  <c r="N87" i="36"/>
  <c r="J43" i="36"/>
  <c r="Z26" i="39" l="1"/>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G87"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M452" i="33" l="1"/>
  <c r="G50" i="36"/>
  <c r="I30" i="15"/>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D56" i="38" l="1"/>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K46" i="36" l="1"/>
  <c r="G54" i="36"/>
  <c r="G58" i="36"/>
  <c r="C58" i="36"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K69" i="36"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G77" i="36" l="1"/>
  <c r="G69" i="36"/>
  <c r="C69" i="36" s="1"/>
  <c r="H28" i="38" s="1"/>
  <c r="E28" i="38" s="1"/>
  <c r="K28" i="38"/>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M123" i="33" l="1"/>
  <c r="K87" i="36"/>
  <c r="H2" i="38"/>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54" i="36" l="1"/>
  <c r="C54"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G46" i="36" s="1"/>
  <c r="C46" i="36" s="1"/>
  <c r="K83" i="36" l="1"/>
  <c r="C83" i="36" s="1"/>
  <c r="C87" i="36"/>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<sst xmlns="http://schemas.openxmlformats.org/spreadsheetml/2006/main" count="10225" uniqueCount="1254">
  <si>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</si>
  <si>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</si>
  <si>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</si>
  <si>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</si>
  <si>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</si>
  <si>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</si>
  <si>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</si>
  <si>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</si>
  <si>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</si>
  <si>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</si>
  <si>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</si>
  <si>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</si>
  <si>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</si>
  <si>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</si>
  <si>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</si>
  <si>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</si>
  <si>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</si>
  <si>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</si>
  <si>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</si>
  <si>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</si>
  <si>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</si>
  <si>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</si>
  <si>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</si>
  <si>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</si>
  <si>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</si>
  <si>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</si>
  <si>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</si>
  <si>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</si>
  <si>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</si>
  <si>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</si>
  <si>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</si>
  <si>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</si>
  <si>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</si>
  <si>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</si>
  <si>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</si>
  <si>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</si>
  <si>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</si>
  <si>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</si>
  <si>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</si>
  <si>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</si>
  <si>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</si>
  <si>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</si>
  <si>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</si>
  <si>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</si>
  <si>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</si>
  <si>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</si>
  <si>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</si>
  <si>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</si>
  <si>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</si>
  <si>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</si>
  <si>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</si>
  <si>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</si>
  <si>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</si>
  <si>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</si>
  <si>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</si>
  <si>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</si>
  <si>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</si>
  <si>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</si>
  <si>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</si>
  <si>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</si>
  <si>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</si>
  <si>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</si>
  <si>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</si>
  <si>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</si>
  <si>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</si>
  <si>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</si>
  <si>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</si>
  <si>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</si>
  <si>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</si>
  <si>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</si>
  <si>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</si>
  <si>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</si>
  <si>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</si>
  <si>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</si>
  <si>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</si>
  <si>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</si>
  <si>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</si>
  <si>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</si>
  <si>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</si>
  <si>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</si>
  <si>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</si>
  <si>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</si>
  <si>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</si>
  <si>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</si>
  <si>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</si>
  <si>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</si>
  <si>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</si>
  <si>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</si>
  <si>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</si>
  <si>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</si>
  <si>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</si>
  <si>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</si>
  <si>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</si>
  <si>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</si>
  <si>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</si>
  <si>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</si>
  <si>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</si>
  <si>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</si>
  <si>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</si>
  <si>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</si>
  <si>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</si>
  <si>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</si>
  <si>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</si>
  <si>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</si>
  <si>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</si>
  <si>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</si>
  <si>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</si>
  <si>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</si>
  <si>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</si>
  <si>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</si>
  <si>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</si>
  <si>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</si>
  <si>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</si>
  <si>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</si>
  <si>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</si>
  <si>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</si>
  <si>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</si>
  <si>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</si>
  <si>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</si>
  <si>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</si>
  <si>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</si>
  <si>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</si>
  <si>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</si>
  <si>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</si>
  <si>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</si>
  <si>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</si>
  <si>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</si>
  <si>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</si>
  <si>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</si>
  <si>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</si>
  <si>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</si>
  <si>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</si>
  <si>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</si>
  <si>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</si>
  <si>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</si>
  <si>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</si>
  <si>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</si>
  <si>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</si>
  <si>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</si>
  <si>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</si>
  <si>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</si>
  <si>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</si>
  <si>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</si>
  <si>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</si>
  <si>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</si>
  <si>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</si>
  <si>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</si>
  <si>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</si>
  <si>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</si>
  <si>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</si>
  <si>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</si>
  <si>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</si>
  <si>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</si>
  <si>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</si>
  <si>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</si>
  <si>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</si>
  <si>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</si>
  <si>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</si>
  <si>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</si>
  <si>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</si>
  <si>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</si>
  <si>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</si>
  <si>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</si>
  <si>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</si>
  <si>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</si>
  <si>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</si>
  <si>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</si>
  <si>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</si>
  <si>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</si>
  <si>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</si>
  <si>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</si>
  <si>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</si>
  <si>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</si>
  <si>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</si>
  <si>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</si>
  <si>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</si>
  <si>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</si>
  <si>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</si>
  <si>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</si>
  <si>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</si>
  <si>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</si>
  <si>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</si>
  <si>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</si>
  <si>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</si>
  <si>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</si>
  <si>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</si>
  <si>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</si>
  <si>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</si>
  <si>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</si>
  <si>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</si>
  <si>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</si>
  <si>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</si>
  <si>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</si>
  <si>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</si>
  <si>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</si>
  <si>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</si>
  <si>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</si>
  <si>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</si>
  <si>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</si>
  <si>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</si>
  <si>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</si>
  <si>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</si>
  <si>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</si>
  <si>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</si>
  <si>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</si>
  <si>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</si>
  <si>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</si>
  <si>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</si>
  <si>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</si>
  <si>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</si>
  <si>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</si>
  <si>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</si>
  <si>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</si>
  <si>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</si>
  <si>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</si>
  <si>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</si>
  <si>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</si>
  <si>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</si>
  <si>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</si>
  <si>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</si>
  <si>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</si>
  <si>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</si>
  <si>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</si>
  <si>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</si>
  <si>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</si>
  <si>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</si>
  <si>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</si>
  <si>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</si>
  <si>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</si>
  <si>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</si>
  <si>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</si>
  <si>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</si>
  <si>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</si>
  <si>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</si>
  <si>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</si>
  <si>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</si>
  <si>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</si>
  <si>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</si>
  <si>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</si>
  <si>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</si>
  <si>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</si>
  <si>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</si>
  <si>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</si>
  <si>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</si>
  <si>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</si>
  <si>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</si>
  <si>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</si>
  <si>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</si>
  <si>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</si>
  <si>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</si>
  <si>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</si>
  <si>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</si>
  <si>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</si>
  <si>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</si>
  <si>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</si>
  <si>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</si>
  <si>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</si>
  <si>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</si>
  <si>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</si>
  <si>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</si>
  <si>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</si>
  <si>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</si>
  <si>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</si>
  <si>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</si>
  <si>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</si>
  <si>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</si>
  <si>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</si>
  <si>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</si>
  <si>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</si>
  <si>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</si>
  <si>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</si>
  <si>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</si>
  <si>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</si>
  <si>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</si>
  <si>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</si>
  <si>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</si>
  <si>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</si>
  <si>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</si>
  <si>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</si>
  <si>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</si>
  <si>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</si>
  <si>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</si>
  <si>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</si>
  <si>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</si>
  <si>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</si>
  <si>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</si>
  <si>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</si>
  <si>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</si>
  <si>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</si>
  <si>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</si>
  <si>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</si>
  <si>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</si>
  <si>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</si>
  <si>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</si>
  <si>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</si>
  <si>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</si>
  <si>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</si>
  <si>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</si>
  <si>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</si>
  <si>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</si>
  <si>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</si>
  <si>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</si>
  <si>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</si>
  <si>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</si>
  <si>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</si>
  <si>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</si>
  <si>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</si>
  <si>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</si>
  <si>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</si>
  <si>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</si>
  <si>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</si>
  <si>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</si>
  <si>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</si>
  <si>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</si>
  <si>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</si>
  <si>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</si>
  <si>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</si>
  <si>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</si>
  <si>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</si>
  <si>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</si>
  <si>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</si>
  <si>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</si>
  <si>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</si>
  <si>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</si>
  <si>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</si>
  <si>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</si>
  <si>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</si>
  <si>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</si>
  <si>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</si>
  <si>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</si>
  <si>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</si>
  <si>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</si>
  <si>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</si>
  <si>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</si>
  <si>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</si>
  <si>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</si>
  <si>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</si>
  <si>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</si>
  <si>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</si>
  <si>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</si>
  <si>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</si>
  <si>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</si>
  <si>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</si>
  <si>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</si>
  <si>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</si>
  <si>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</si>
  <si>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</si>
  <si>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</si>
  <si>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</si>
  <si>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</si>
  <si>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</si>
  <si>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</si>
  <si>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</si>
  <si>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</si>
  <si>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</si>
  <si>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</si>
  <si>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</si>
  <si>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</si>
  <si>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</si>
  <si>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</si>
  <si>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</si>
  <si>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</si>
  <si>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</si>
  <si>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</si>
  <si>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</si>
  <si>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</si>
  <si>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</si>
  <si>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</si>
  <si>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</si>
  <si>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</si>
  <si>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</si>
  <si>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</si>
  <si>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</si>
  <si>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</si>
  <si>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</si>
  <si>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</si>
  <si>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</si>
  <si>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</si>
  <si>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</si>
  <si>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</si>
  <si>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</si>
  <si>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</si>
  <si>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</si>
  <si>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</si>
  <si>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</si>
  <si>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</si>
  <si>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</si>
  <si>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</si>
  <si>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</si>
  <si>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</si>
  <si>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</si>
  <si>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</si>
  <si>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</si>
  <si>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</si>
  <si>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</si>
  <si>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</si>
  <si>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</si>
  <si>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</si>
  <si>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</si>
  <si>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</si>
  <si>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</si>
  <si>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</si>
  <si>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</si>
  <si>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</si>
  <si>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</si>
  <si>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</si>
  <si>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</si>
  <si>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</si>
  <si>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</si>
  <si>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</si>
  <si>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</si>
  <si>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</si>
  <si>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</si>
  <si>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</si>
  <si>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</si>
  <si>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</si>
  <si>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</si>
  <si>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</si>
  <si>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</si>
  <si>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</si>
  <si>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</si>
  <si>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</si>
  <si>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</si>
  <si>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</si>
  <si>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</si>
  <si>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</si>
  <si>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</si>
  <si>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</si>
  <si>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</si>
  <si>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</si>
  <si>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</si>
  <si>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</si>
  <si>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</si>
  <si>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</si>
  <si>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</si>
  <si>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</si>
  <si>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</si>
  <si>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</si>
  <si>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</si>
  <si>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</si>
  <si>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</si>
  <si>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</si>
  <si>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</si>
  <si>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</si>
  <si>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</si>
  <si>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</si>
  <si>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</si>
  <si>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</si>
  <si>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</si>
  <si>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</si>
  <si>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</si>
  <si>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</si>
  <si>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</si>
  <si>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</si>
  <si>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</si>
  <si>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</si>
  <si>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</si>
  <si>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</si>
  <si>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</si>
  <si>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</si>
  <si>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</si>
  <si>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</si>
  <si>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</si>
  <si>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</si>
  <si>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</si>
  <si>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</si>
  <si>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</si>
  <si>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</si>
  <si>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</si>
  <si>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</si>
  <si>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</si>
  <si>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</si>
  <si>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</si>
  <si>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</si>
  <si>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</si>
  <si>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</si>
  <si>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</si>
  <si>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</si>
  <si>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</si>
  <si>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</si>
  <si>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</si>
  <si>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</si>
  <si>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</si>
  <si>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</si>
  <si>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</si>
  <si>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</si>
  <si>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</si>
  <si>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</si>
  <si>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</si>
  <si>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</si>
  <si>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</si>
  <si>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</si>
  <si>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</si>
  <si>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</si>
  <si>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</si>
  <si>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</si>
  <si>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</si>
  <si>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</si>
  <si>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</si>
  <si>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</si>
  <si>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</si>
  <si>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</si>
  <si>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</si>
  <si>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</si>
  <si>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</si>
  <si>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</si>
  <si>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</si>
  <si>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</si>
  <si>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</si>
  <si>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</si>
  <si>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</si>
  <si>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</si>
  <si>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</si>
  <si>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</si>
  <si>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</si>
  <si>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</si>
  <si>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</si>
  <si>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</si>
  <si>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</si>
  <si>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</si>
  <si>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</si>
  <si>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</si>
  <si>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</si>
  <si>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</si>
  <si>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</si>
  <si>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</si>
  <si>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</si>
  <si>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</si>
  <si>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</si>
  <si>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</si>
  <si>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</si>
  <si>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</si>
  <si>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</si>
  <si>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</si>
  <si>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</si>
  <si>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</si>
  <si>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</si>
  <si>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</si>
  <si>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</si>
  <si>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</si>
  <si>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</si>
  <si>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</si>
  <si>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</si>
  <si>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</si>
  <si>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</si>
  <si>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</si>
  <si>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</si>
  <si>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</si>
  <si>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</si>
  <si>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</si>
  <si>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</si>
  <si>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</si>
  <si>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</si>
  <si>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</si>
  <si>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</si>
  <si>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</si>
  <si>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</si>
  <si>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</si>
  <si>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</si>
  <si>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</si>
  <si>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</si>
  <si>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</si>
  <si>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</si>
  <si>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</si>
  <si>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</si>
  <si>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</si>
  <si>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</si>
  <si>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</si>
  <si>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</si>
  <si>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</si>
  <si>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</si>
  <si>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</si>
  <si>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</si>
  <si>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</si>
  <si>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</si>
  <si>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</si>
  <si>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</si>
  <si>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</si>
  <si>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</si>
  <si>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</si>
  <si>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</si>
  <si>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</si>
  <si>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</si>
  <si>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</si>
  <si>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</si>
  <si>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</si>
  <si>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</si>
  <si>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</si>
  <si>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</si>
  <si>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</si>
  <si>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</si>
  <si>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</si>
  <si>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</si>
  <si>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</si>
  <si>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</si>
  <si>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</si>
  <si>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</si>
  <si>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</si>
  <si>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</si>
  <si>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</si>
  <si>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</si>
  <si>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</si>
  <si>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</si>
  <si>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</si>
  <si>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</si>
  <si>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</si>
  <si>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</si>
  <si>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</si>
  <si>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</si>
  <si>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</si>
  <si>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</si>
  <si>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</si>
  <si>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</si>
  <si>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</si>
  <si>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</si>
  <si>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</si>
  <si>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</si>
  <si>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</si>
  <si>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</si>
  <si>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</si>
  <si>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</si>
  <si>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</si>
  <si>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</si>
  <si>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</si>
  <si>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</si>
  <si>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</si>
  <si>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</si>
  <si>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</si>
  <si>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</si>
  <si>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</si>
  <si>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</si>
  <si>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</si>
  <si>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</si>
  <si>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</si>
  <si>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</si>
  <si>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</si>
  <si>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</si>
  <si>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</si>
  <si>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</si>
  <si>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</si>
  <si>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</si>
  <si>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</si>
  <si>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</si>
  <si>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</si>
  <si>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</si>
  <si>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</si>
  <si>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</si>
  <si>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</si>
  <si>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</si>
  <si>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</si>
  <si>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</si>
  <si>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</si>
  <si>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</si>
  <si>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</si>
  <si>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</si>
  <si>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</si>
  <si>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</si>
  <si>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</si>
  <si>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</si>
  <si>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</si>
  <si>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</si>
  <si>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</si>
  <si>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</si>
  <si>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</si>
  <si>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</si>
  <si>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</si>
  <si>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</si>
  <si>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</si>
  <si>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</si>
  <si>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</si>
  <si>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</si>
  <si>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</si>
  <si>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</si>
  <si>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</si>
  <si>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</si>
  <si>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</si>
  <si>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</si>
  <si>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</si>
  <si>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</si>
  <si>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</si>
  <si>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</si>
  <si>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</si>
  <si>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</si>
  <si>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</si>
  <si>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</si>
  <si>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</si>
  <si>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</si>
  <si>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</si>
  <si>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</si>
  <si>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</si>
  <si>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</si>
  <si>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</si>
  <si>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</si>
  <si>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</si>
  <si>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</si>
  <si>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</si>
  <si>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</si>
  <si>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</si>
  <si>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</si>
  <si>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</si>
  <si>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</si>
  <si>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</si>
  <si>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</si>
  <si>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</si>
  <si>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</si>
  <si>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</si>
  <si>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</si>
  <si>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</si>
  <si>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</si>
  <si>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</si>
  <si>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</si>
  <si>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</si>
  <si>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</si>
  <si>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</si>
  <si>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</si>
  <si>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</si>
  <si>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</si>
  <si>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</si>
  <si>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</si>
  <si>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</si>
  <si>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</si>
  <si>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</si>
  <si>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</si>
  <si>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</si>
  <si>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</si>
  <si>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</si>
  <si>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</si>
  <si>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</si>
  <si>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</si>
  <si>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</si>
  <si>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</si>
  <si>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</si>
  <si>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</si>
  <si>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</si>
  <si>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</si>
  <si>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</si>
  <si>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</si>
  <si>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</si>
  <si>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</si>
  <si>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</si>
  <si>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</si>
  <si>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</si>
  <si>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</si>
  <si>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</si>
  <si>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</si>
  <si>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</si>
  <si>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</si>
  <si>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</si>
  <si>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</si>
  <si>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</si>
  <si>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</si>
  <si>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</si>
  <si>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</si>
  <si>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</si>
  <si>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</si>
  <si>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</si>
  <si>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</si>
  <si>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</si>
  <si>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</si>
  <si>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</si>
  <si>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</si>
  <si>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</si>
  <si>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</si>
  <si>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</si>
  <si>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</si>
  <si>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</si>
  <si>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</si>
  <si>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</si>
  <si>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</si>
  <si>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</si>
  <si>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</si>
  <si>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</si>
  <si>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</si>
  <si>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</si>
  <si>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</si>
  <si>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</si>
  <si>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</si>
  <si>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</si>
  <si>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</si>
  <si>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</si>
  <si>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</si>
  <si>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</si>
  <si>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</si>
  <si>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</si>
  <si>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</si>
  <si>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</si>
  <si>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</si>
  <si>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</si>
  <si>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</si>
  <si>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</si>
  <si>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</si>
  <si>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</si>
  <si>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</si>
  <si>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</si>
  <si>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</si>
  <si>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</si>
  <si>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</si>
  <si>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</si>
  <si>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</si>
  <si>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</si>
  <si>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</si>
  <si>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</si>
  <si>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</si>
  <si>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</si>
  <si>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</si>
  <si>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</si>
  <si>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</si>
  <si>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</si>
  <si>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</si>
  <si>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</si>
  <si>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</si>
  <si>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</si>
  <si>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</si>
  <si>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</si>
  <si>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</si>
  <si>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</si>
  <si>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</si>
  <si>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</si>
  <si>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</si>
  <si>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</si>
  <si>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</si>
  <si>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</si>
  <si>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</si>
  <si>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</si>
  <si>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</si>
  <si>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</si>
  <si>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</si>
  <si>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</si>
  <si>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</si>
  <si>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</si>
  <si>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</si>
  <si>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</si>
  <si>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</si>
  <si>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</si>
  <si>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</si>
  <si>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</si>
  <si>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</si>
  <si>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</si>
  <si>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</si>
  <si>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</si>
  <si>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</si>
  <si>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</si>
  <si>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</si>
  <si>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</si>
  <si>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</si>
  <si>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</si>
  <si>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</si>
  <si>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</si>
  <si>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</si>
  <si>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</si>
  <si>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</si>
  <si>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</si>
  <si>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</si>
  <si>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</si>
  <si>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</si>
  <si>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</si>
  <si>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</si>
  <si>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</si>
  <si>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</si>
  <si>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</si>
  <si>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</si>
  <si>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</si>
  <si>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</si>
  <si>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</si>
  <si>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</si>
  <si>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</si>
  <si>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</si>
  <si>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</si>
  <si>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</si>
  <si>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</si>
  <si>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</si>
  <si>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</si>
  <si>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</si>
  <si>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</si>
  <si>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</si>
  <si>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</si>
  <si>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</si>
  <si>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</si>
  <si>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</si>
  <si>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</si>
  <si>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</si>
  <si>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</si>
  <si>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</si>
  <si>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</si>
  <si>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</si>
  <si>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</si>
  <si>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</si>
  <si>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</si>
  <si>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</si>
  <si>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</si>
  <si>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</si>
  <si>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</si>
  <si>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</si>
  <si>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</si>
  <si>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</si>
  <si>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</si>
  <si>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</si>
  <si>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</si>
  <si>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</si>
  <si>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</si>
  <si>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</si>
  <si>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</si>
  <si>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</si>
  <si>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</si>
  <si>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</si>
  <si>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</si>
  <si>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</si>
  <si>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</si>
  <si>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</si>
  <si>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</si>
  <si>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</si>
  <si>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</si>
  <si>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</si>
  <si>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</si>
  <si>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</si>
  <si>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</si>
  <si>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</si>
  <si>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</si>
  <si>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</si>
  <si>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</si>
  <si>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</si>
  <si>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</si>
  <si>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</si>
  <si>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</si>
  <si>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</si>
  <si>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</si>
  <si>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</si>
  <si>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</si>
  <si>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</si>
  <si>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</si>
  <si>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</si>
  <si>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</si>
  <si>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</si>
  <si>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</si>
  <si>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</si>
  <si>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</si>
  <si>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</si>
  <si>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</si>
  <si>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</si>
  <si>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</si>
  <si>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</si>
  <si>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</si>
  <si>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</si>
  <si>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</si>
  <si>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</si>
  <si>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</si>
  <si>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</si>
  <si>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</si>
  <si>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</si>
  <si>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</si>
  <si>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</si>
  <si>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</si>
  <si>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</si>
  <si>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</si>
  <si>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</si>
  <si>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</si>
  <si>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</si>
  <si>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</si>
  <si>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</si>
  <si>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</si>
  <si>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</si>
  <si>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</si>
  <si>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</si>
  <si>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</si>
  <si>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</si>
  <si>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</si>
  <si>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</si>
  <si>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</si>
  <si>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</si>
  <si>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</si>
  <si>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</si>
  <si>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</si>
  <si>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</si>
  <si>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</si>
  <si>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</si>
  <si>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</si>
  <si>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</si>
  <si>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</si>
  <si>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</si>
  <si>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</si>
  <si>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</si>
  <si>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</si>
  <si>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</si>
  <si>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</si>
  <si>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</si>
  <si>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</si>
  <si>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</si>
  <si>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</si>
  <si>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</si>
  <si>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</si>
  <si>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</si>
  <si>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</si>
  <si>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</si>
  <si>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</si>
  <si>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</si>
  <si>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</si>
  <si>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</si>
  <si>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</si>
  <si>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</si>
  <si>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</si>
  <si>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</si>
  <si>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</si>
  <si>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</si>
  <si>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</si>
  <si>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</si>
  <si>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</si>
  <si>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</si>
  <si>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</si>
  <si>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</si>
  <si>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</si>
  <si>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</si>
  <si>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</si>
  <si>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</si>
  <si>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</si>
  <si>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</si>
  <si>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</si>
  <si>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</si>
  <si>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</si>
  <si>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</si>
  <si>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</si>
  <si>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</si>
  <si>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</si>
  <si>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</si>
  <si>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</si>
  <si>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</si>
  <si>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</si>
  <si>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</si>
  <si>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</si>
  <si>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</si>
  <si>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</si>
  <si>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</si>
  <si>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</si>
  <si>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</si>
  <si>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</si>
  <si>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</si>
  <si>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</si>
  <si>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</si>
  <si>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</si>
  <si>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</si>
  <si>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</si>
  <si>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</si>
  <si>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</si>
  <si>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</si>
  <si>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</si>
  <si>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</si>
  <si>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</si>
  <si>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</si>
  <si>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</si>
  <si>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</si>
  <si>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</si>
  <si>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</si>
  <si>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</si>
  <si>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</si>
  <si>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</si>
  <si>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</si>
  <si>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</si>
  <si>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</si>
  <si>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</si>
  <si>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</si>
  <si>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</si>
  <si>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</si>
  <si>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</si>
  <si>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</si>
  <si>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</si>
  <si>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</si>
  <si>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</si>
  <si>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</si>
  <si>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</si>
  <si>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</si>
  <si>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</si>
  <si>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</si>
  <si>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</si>
  <si>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</si>
  <si>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</si>
  <si>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</si>
  <si>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</si>
  <si>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</si>
  <si>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</si>
  <si>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</si>
  <si>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</si>
  <si>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</si>
  <si>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</si>
  <si>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</si>
  <si>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</si>
  <si>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</si>
  <si>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</si>
  <si>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</si>
  <si>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</si>
  <si>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</si>
  <si>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</si>
  <si>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</si>
  <si>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</si>
  <si>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</si>
  <si>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</si>
  <si>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</si>
  <si>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</si>
  <si>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</si>
  <si>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</si>
  <si>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</si>
  <si>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</si>
  <si>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</si>
  <si>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</si>
  <si>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</si>
  <si>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</si>
  <si>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</si>
  <si>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</si>
  <si>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</si>
  <si>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</si>
  <si>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</si>
  <si>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</si>
  <si>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</si>
  <si>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</si>
  <si>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</si>
  <si>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</si>
  <si>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</si>
  <si>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</si>
  <si>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</si>
  <si>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</si>
  <si>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</si>
  <si>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</si>
  <si>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</si>
  <si>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</si>
  <si>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</si>
  <si>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</si>
  <si>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</si>
  <si>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</si>
  <si>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</si>
  <si>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</si>
  <si>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</si>
  <si>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</si>
  <si>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</si>
  <si>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</si>
  <si>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</si>
  <si>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</si>
  <si>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</si>
  <si>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</si>
  <si>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</si>
  <si>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</si>
  <si>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</si>
  <si>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</si>
  <si>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</si>
  <si>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</si>
  <si>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</si>
  <si>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</si>
  <si>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</si>
  <si>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</si>
  <si>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</si>
  <si>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</si>
  <si>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</si>
  <si>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</si>
  <si>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</si>
  <si>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</si>
  <si>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</si>
  <si>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Mendigo</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</si>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</sst>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7"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s>
  <fills count="34">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76">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7"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33" borderId="0" xfId="0" applyFont="1" applyFill="1" applyAlignment="1">
      <alignment horizontal="center"/>
    </xf>
    <xf numFmtId="0" fontId="14" fillId="28"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9" t="s">
        <v>1153</v>
      </c>
      <c r="B1" s="299"/>
      <c r="C1" s="286"/>
      <c r="D1" s="286"/>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A18" workbookViewId="0">
      <selection activeCell="K27" sqref="K27"/>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20" t="s">
        <v>146</v>
      </c>
      <c r="E1" s="320"/>
      <c r="F1" s="320"/>
      <c r="G1" s="320"/>
      <c r="H1" s="320"/>
      <c r="I1" s="320"/>
      <c r="J1" s="320"/>
      <c r="K1" s="321"/>
      <c r="L1" s="307" t="s">
        <v>199</v>
      </c>
      <c r="M1" s="308"/>
      <c r="N1" s="306" t="s">
        <v>164</v>
      </c>
      <c r="O1" s="306"/>
      <c r="P1" s="306"/>
      <c r="Q1" s="306"/>
      <c r="R1" s="306"/>
      <c r="S1" s="25"/>
    </row>
    <row r="2" spans="1:24" x14ac:dyDescent="0.25">
      <c r="B2" s="50" t="s">
        <v>147</v>
      </c>
      <c r="C2" s="50" t="s">
        <v>62</v>
      </c>
      <c r="D2" s="304" t="s">
        <v>152</v>
      </c>
      <c r="E2" s="304"/>
      <c r="F2" s="304" t="s">
        <v>150</v>
      </c>
      <c r="G2" s="304"/>
      <c r="H2" s="304" t="s">
        <v>151</v>
      </c>
      <c r="I2" s="304"/>
      <c r="J2" s="304" t="s">
        <v>160</v>
      </c>
      <c r="K2" s="319"/>
      <c r="L2" s="309"/>
      <c r="M2" s="310"/>
      <c r="N2" s="29" t="s">
        <v>35</v>
      </c>
      <c r="O2" s="30" t="s">
        <v>51</v>
      </c>
      <c r="P2" s="29" t="s">
        <v>52</v>
      </c>
      <c r="Q2" s="30" t="s">
        <v>53</v>
      </c>
      <c r="R2" s="29" t="s">
        <v>54</v>
      </c>
    </row>
    <row r="3" spans="1:24" x14ac:dyDescent="0.25">
      <c r="B3" s="28">
        <v>1</v>
      </c>
      <c r="C3" s="53">
        <v>1</v>
      </c>
      <c r="D3" s="305" t="s">
        <v>122</v>
      </c>
      <c r="E3" s="305"/>
      <c r="F3" s="300" t="s">
        <v>128</v>
      </c>
      <c r="G3" s="300"/>
      <c r="H3" s="305" t="s">
        <v>134</v>
      </c>
      <c r="I3" s="305"/>
      <c r="J3" s="305" t="s">
        <v>135</v>
      </c>
      <c r="K3" s="329"/>
      <c r="L3" s="309"/>
      <c r="M3" s="310"/>
      <c r="N3" s="33">
        <v>1</v>
      </c>
      <c r="O3" s="33">
        <v>3</v>
      </c>
      <c r="P3" s="33">
        <v>5</v>
      </c>
      <c r="Q3" s="33">
        <v>7</v>
      </c>
      <c r="R3" s="33">
        <v>9</v>
      </c>
      <c r="S3" s="330" t="s">
        <v>165</v>
      </c>
      <c r="T3" s="331"/>
      <c r="U3" s="331"/>
      <c r="V3" s="331"/>
      <c r="W3" s="331"/>
      <c r="X3" s="331"/>
    </row>
    <row r="4" spans="1:24" s="24" customFormat="1" x14ac:dyDescent="0.25">
      <c r="B4" s="28">
        <v>2</v>
      </c>
      <c r="C4" s="54">
        <f>$C$3+2</f>
        <v>3</v>
      </c>
      <c r="D4" s="305" t="s">
        <v>123</v>
      </c>
      <c r="E4" s="305"/>
      <c r="F4" s="300" t="s">
        <v>129</v>
      </c>
      <c r="G4" s="300"/>
      <c r="H4" s="305" t="s">
        <v>136</v>
      </c>
      <c r="I4" s="305"/>
      <c r="J4" s="305" t="s">
        <v>137</v>
      </c>
      <c r="K4" s="329"/>
      <c r="L4" s="311"/>
      <c r="M4" s="312"/>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5" t="s">
        <v>124</v>
      </c>
      <c r="E5" s="305"/>
      <c r="F5" s="300" t="s">
        <v>130</v>
      </c>
      <c r="G5" s="300"/>
      <c r="H5" s="305" t="s">
        <v>139</v>
      </c>
      <c r="I5" s="305"/>
      <c r="J5" s="305" t="s">
        <v>138</v>
      </c>
      <c r="K5" s="329"/>
      <c r="L5" s="313"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5" t="s">
        <v>127</v>
      </c>
      <c r="E6" s="305"/>
      <c r="F6" s="300" t="s">
        <v>131</v>
      </c>
      <c r="G6" s="300"/>
      <c r="H6" s="305" t="s">
        <v>140</v>
      </c>
      <c r="I6" s="305"/>
      <c r="J6" s="305" t="s">
        <v>141</v>
      </c>
      <c r="K6" s="329"/>
      <c r="L6" s="314"/>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5" t="s">
        <v>126</v>
      </c>
      <c r="E7" s="305"/>
      <c r="F7" s="300" t="s">
        <v>132</v>
      </c>
      <c r="G7" s="300"/>
      <c r="H7" s="305" t="s">
        <v>142</v>
      </c>
      <c r="I7" s="305"/>
      <c r="J7" s="305" t="s">
        <v>143</v>
      </c>
      <c r="K7" s="329"/>
      <c r="L7" s="314"/>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5" t="s">
        <v>125</v>
      </c>
      <c r="E8" s="305"/>
      <c r="F8" s="300" t="s">
        <v>133</v>
      </c>
      <c r="G8" s="300"/>
      <c r="H8" s="305" t="s">
        <v>144</v>
      </c>
      <c r="I8" s="305"/>
      <c r="J8" s="305" t="s">
        <v>145</v>
      </c>
      <c r="K8" s="329"/>
      <c r="L8" s="314"/>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20" t="s">
        <v>163</v>
      </c>
      <c r="E9" s="320"/>
      <c r="F9" s="320"/>
      <c r="G9" s="320"/>
      <c r="H9" s="320"/>
      <c r="I9" s="320"/>
      <c r="J9" s="320"/>
      <c r="K9" s="321"/>
      <c r="L9" s="315"/>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0">
        <v>1.5</v>
      </c>
      <c r="E10" s="300"/>
      <c r="F10" s="300">
        <v>2.5</v>
      </c>
      <c r="G10" s="300"/>
      <c r="H10" s="300">
        <v>64</v>
      </c>
      <c r="I10" s="300"/>
      <c r="J10" s="300">
        <v>64</v>
      </c>
      <c r="K10" s="332"/>
      <c r="L10" s="316"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0">
        <v>64</v>
      </c>
      <c r="E11" s="300"/>
      <c r="F11" s="300">
        <v>64</v>
      </c>
      <c r="G11" s="300"/>
      <c r="H11" s="300">
        <v>64</v>
      </c>
      <c r="I11" s="300"/>
      <c r="J11" s="300">
        <v>64</v>
      </c>
      <c r="K11" s="332"/>
      <c r="L11" s="317"/>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20" t="s">
        <v>169</v>
      </c>
      <c r="B12" s="320"/>
      <c r="C12" s="27"/>
      <c r="D12" s="320" t="s">
        <v>167</v>
      </c>
      <c r="E12" s="320"/>
      <c r="F12" s="320"/>
      <c r="G12" s="320"/>
      <c r="H12" s="320"/>
      <c r="I12" s="320"/>
      <c r="J12" s="320"/>
      <c r="K12" s="321"/>
      <c r="L12" s="317"/>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4" t="s">
        <v>152</v>
      </c>
      <c r="E13" s="304"/>
      <c r="F13" s="304" t="s">
        <v>150</v>
      </c>
      <c r="G13" s="304"/>
      <c r="H13" s="304" t="s">
        <v>151</v>
      </c>
      <c r="I13" s="304"/>
      <c r="J13" s="304" t="s">
        <v>160</v>
      </c>
      <c r="K13" s="319"/>
      <c r="L13" s="317"/>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23">
        <f>ROUND((D10*$B$13)/$B$14,2)</f>
        <v>128.33000000000001</v>
      </c>
      <c r="E14" s="323"/>
      <c r="F14" s="323">
        <f>ROUND((F10*$B$13)/$B$14,2)</f>
        <v>213.89</v>
      </c>
      <c r="G14" s="323"/>
      <c r="H14" s="323">
        <f>ROUND((H10*$B$13)/$B$14,2)</f>
        <v>5475.56</v>
      </c>
      <c r="I14" s="323"/>
      <c r="J14" s="323">
        <f>ROUND((J10*$B$13)/$B$14,2)</f>
        <v>5475.56</v>
      </c>
      <c r="K14" s="323"/>
      <c r="L14" s="318"/>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20" t="s">
        <v>171</v>
      </c>
      <c r="B15" s="320"/>
      <c r="C15" s="51" t="s">
        <v>162</v>
      </c>
      <c r="D15" s="323">
        <f>ROUND($D$14/$D$11,2)</f>
        <v>2.0099999999999998</v>
      </c>
      <c r="E15" s="323"/>
      <c r="F15" s="323">
        <f>ROUND($F$14/$F$11,2)</f>
        <v>3.34</v>
      </c>
      <c r="G15" s="323"/>
      <c r="H15" s="323">
        <f>ROUND($H$14/$H$11,2)</f>
        <v>85.56</v>
      </c>
      <c r="I15" s="323"/>
      <c r="J15" s="323">
        <f>ROUND($J$14/$J$11,2)</f>
        <v>85.56</v>
      </c>
      <c r="K15" s="323"/>
      <c r="L15" s="322"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8"/>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8"/>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22"/>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22"/>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25"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26"/>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26"/>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7"/>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20" t="s">
        <v>198</v>
      </c>
      <c r="E24" s="320"/>
      <c r="F24" s="320"/>
      <c r="G24" s="320"/>
      <c r="H24" s="320"/>
      <c r="I24" s="320"/>
      <c r="J24" s="320"/>
      <c r="K24" s="321"/>
      <c r="L24" s="327"/>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24" t="s">
        <v>152</v>
      </c>
      <c r="E25" s="324"/>
      <c r="F25" s="324" t="s">
        <v>150</v>
      </c>
      <c r="G25" s="324"/>
      <c r="H25" s="324" t="s">
        <v>151</v>
      </c>
      <c r="I25" s="324"/>
      <c r="J25" s="324" t="s">
        <v>160</v>
      </c>
      <c r="K25" s="324"/>
      <c r="L25" s="322"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22"/>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22"/>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22"/>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22"/>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301" t="s">
        <v>985</v>
      </c>
      <c r="E41" s="301"/>
      <c r="F41" s="301"/>
      <c r="G41" s="301"/>
      <c r="H41" s="301" t="s">
        <v>1005</v>
      </c>
      <c r="I41" s="301"/>
      <c r="J41" s="301"/>
      <c r="K41" s="301"/>
    </row>
    <row r="42" spans="1:23" x14ac:dyDescent="0.25">
      <c r="B42" s="166"/>
      <c r="C42" s="165"/>
      <c r="D42" s="302" t="s">
        <v>986</v>
      </c>
      <c r="E42" s="303"/>
      <c r="F42" s="303"/>
      <c r="G42" s="303"/>
      <c r="H42" s="302" t="s">
        <v>988</v>
      </c>
      <c r="I42" s="303"/>
      <c r="J42" s="303"/>
      <c r="K42" s="303"/>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69"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34" t="s">
        <v>925</v>
      </c>
      <c r="H1" s="335"/>
      <c r="I1" s="335"/>
      <c r="J1" s="335"/>
      <c r="K1" s="333" t="s">
        <v>927</v>
      </c>
      <c r="L1" s="333"/>
      <c r="M1" s="333"/>
      <c r="N1" s="333"/>
      <c r="O1" s="336" t="s">
        <v>928</v>
      </c>
      <c r="P1" s="336"/>
      <c r="Q1" s="336"/>
      <c r="R1" s="336"/>
      <c r="S1" s="333" t="s">
        <v>929</v>
      </c>
      <c r="T1" s="333"/>
      <c r="U1" s="333"/>
      <c r="V1" s="333"/>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79"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41" t="s">
        <v>152</v>
      </c>
      <c r="B1" s="341"/>
      <c r="C1" s="341"/>
      <c r="D1" s="341"/>
      <c r="E1" s="341" t="s">
        <v>150</v>
      </c>
      <c r="F1" s="341"/>
      <c r="G1" s="341"/>
      <c r="H1" s="341"/>
      <c r="I1" s="341" t="s">
        <v>151</v>
      </c>
      <c r="J1" s="341"/>
      <c r="K1" s="341"/>
      <c r="L1" s="341"/>
      <c r="M1" s="341" t="s">
        <v>160</v>
      </c>
      <c r="N1" s="341"/>
      <c r="O1" s="341"/>
      <c r="P1" s="341"/>
      <c r="Q1" s="187"/>
      <c r="R1" s="187"/>
    </row>
    <row r="2" spans="1:18" x14ac:dyDescent="0.25">
      <c r="A2" s="342" t="s">
        <v>1010</v>
      </c>
      <c r="B2" s="343"/>
      <c r="C2" s="343"/>
      <c r="D2" s="343"/>
      <c r="E2" s="342" t="s">
        <v>1010</v>
      </c>
      <c r="F2" s="343"/>
      <c r="G2" s="343"/>
      <c r="H2" s="343"/>
      <c r="I2" s="342" t="s">
        <v>1010</v>
      </c>
      <c r="J2" s="343"/>
      <c r="K2" s="343"/>
      <c r="L2" s="343"/>
      <c r="M2" s="342" t="s">
        <v>1010</v>
      </c>
      <c r="N2" s="343"/>
      <c r="O2" s="343"/>
      <c r="P2" s="343"/>
    </row>
    <row r="3" spans="1:18" x14ac:dyDescent="0.25">
      <c r="A3" s="337" t="s">
        <v>1008</v>
      </c>
      <c r="B3" s="338"/>
      <c r="C3" s="339">
        <f>COUNTA(A8:A30)</f>
        <v>16</v>
      </c>
      <c r="D3" s="340"/>
      <c r="E3" s="337" t="s">
        <v>1008</v>
      </c>
      <c r="F3" s="338"/>
      <c r="G3" s="339">
        <f>COUNTA(E8:E30)</f>
        <v>16</v>
      </c>
      <c r="H3" s="340"/>
      <c r="I3" s="337" t="s">
        <v>1008</v>
      </c>
      <c r="J3" s="338"/>
      <c r="K3" s="339">
        <f>COUNTA(I8:I30)</f>
        <v>19</v>
      </c>
      <c r="L3" s="340"/>
      <c r="M3" s="337" t="s">
        <v>1008</v>
      </c>
      <c r="N3" s="338"/>
      <c r="O3" s="339">
        <f>COUNTA(M8:M30)</f>
        <v>2</v>
      </c>
      <c r="P3" s="340"/>
    </row>
    <row r="4" spans="1:18" s="181" customFormat="1" x14ac:dyDescent="0.25">
      <c r="A4" s="337" t="s">
        <v>1009</v>
      </c>
      <c r="B4" s="338"/>
      <c r="C4" s="339">
        <f>ROUNDDOWN((C5+C6)/C3,1)</f>
        <v>3.1</v>
      </c>
      <c r="D4" s="340"/>
      <c r="E4" s="337" t="s">
        <v>1009</v>
      </c>
      <c r="F4" s="338"/>
      <c r="G4" s="339">
        <f>ROUNDDOWN((G5+G6)/G3,1)</f>
        <v>3.1</v>
      </c>
      <c r="H4" s="340"/>
      <c r="I4" s="337" t="s">
        <v>1009</v>
      </c>
      <c r="J4" s="338"/>
      <c r="K4" s="339">
        <f>ROUNDDOWN((K5+K6)/K3,1)</f>
        <v>2.6</v>
      </c>
      <c r="L4" s="340"/>
      <c r="M4" s="337" t="s">
        <v>1009</v>
      </c>
      <c r="N4" s="338"/>
      <c r="O4" s="339">
        <f>ROUNDDOWN((O5+O6)/O3,1)</f>
        <v>25</v>
      </c>
      <c r="P4" s="340"/>
    </row>
    <row r="5" spans="1:18" x14ac:dyDescent="0.25">
      <c r="A5" s="337" t="s">
        <v>1007</v>
      </c>
      <c r="B5" s="338"/>
      <c r="C5" s="339">
        <v>0</v>
      </c>
      <c r="D5" s="340"/>
      <c r="E5" s="337" t="s">
        <v>1007</v>
      </c>
      <c r="F5" s="338"/>
      <c r="G5" s="339">
        <v>0</v>
      </c>
      <c r="H5" s="340"/>
      <c r="I5" s="337" t="s">
        <v>1007</v>
      </c>
      <c r="J5" s="338"/>
      <c r="K5" s="339">
        <v>0</v>
      </c>
      <c r="L5" s="340"/>
      <c r="M5" s="337" t="s">
        <v>1007</v>
      </c>
      <c r="N5" s="338"/>
      <c r="O5" s="339">
        <v>0</v>
      </c>
      <c r="P5" s="340"/>
    </row>
    <row r="6" spans="1:18" x14ac:dyDescent="0.25">
      <c r="A6" s="337" t="s">
        <v>1016</v>
      </c>
      <c r="B6" s="338"/>
      <c r="C6" s="346">
        <v>50</v>
      </c>
      <c r="D6" s="347"/>
      <c r="E6" s="337" t="s">
        <v>1016</v>
      </c>
      <c r="F6" s="338"/>
      <c r="G6" s="346">
        <v>50</v>
      </c>
      <c r="H6" s="347"/>
      <c r="I6" s="337" t="s">
        <v>1016</v>
      </c>
      <c r="J6" s="338"/>
      <c r="K6" s="346">
        <v>50</v>
      </c>
      <c r="L6" s="347"/>
      <c r="M6" s="337" t="s">
        <v>1016</v>
      </c>
      <c r="N6" s="338"/>
      <c r="O6" s="346">
        <v>50</v>
      </c>
      <c r="P6" s="347"/>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44" t="s">
        <v>1011</v>
      </c>
      <c r="C31" s="344"/>
      <c r="D31" s="345"/>
      <c r="E31" s="257"/>
      <c r="F31" s="344" t="s">
        <v>1011</v>
      </c>
      <c r="G31" s="344"/>
      <c r="H31" s="345"/>
      <c r="I31" s="257"/>
      <c r="J31" s="344" t="s">
        <v>1011</v>
      </c>
      <c r="K31" s="344"/>
      <c r="L31" s="345"/>
      <c r="M31" s="257"/>
      <c r="N31" s="344" t="s">
        <v>1011</v>
      </c>
      <c r="O31" s="344"/>
      <c r="P31" s="345"/>
    </row>
    <row r="32" spans="1:16" x14ac:dyDescent="0.25">
      <c r="A32" s="258"/>
      <c r="B32" s="258" t="s">
        <v>1008</v>
      </c>
      <c r="C32" s="339">
        <f>COUNTA(A37:A59)</f>
        <v>5</v>
      </c>
      <c r="D32" s="340"/>
      <c r="E32" s="258"/>
      <c r="F32" s="258" t="s">
        <v>1008</v>
      </c>
      <c r="G32" s="339">
        <f>COUNTA(E37:E59)</f>
        <v>10</v>
      </c>
      <c r="H32" s="340"/>
      <c r="I32" s="258"/>
      <c r="J32" s="258" t="s">
        <v>1008</v>
      </c>
      <c r="K32" s="339">
        <f>COUNTA(I37:I59)</f>
        <v>13</v>
      </c>
      <c r="L32" s="340"/>
      <c r="M32" s="258"/>
      <c r="N32" s="258" t="s">
        <v>1008</v>
      </c>
      <c r="O32" s="339">
        <f>COUNTA(M37:M59)</f>
        <v>3</v>
      </c>
      <c r="P32" s="340"/>
    </row>
    <row r="33" spans="1:16" x14ac:dyDescent="0.25">
      <c r="A33" s="258"/>
      <c r="B33" s="258" t="s">
        <v>1009</v>
      </c>
      <c r="C33" s="339">
        <f>ROUNDDOWN(C34/C32,1)</f>
        <v>10</v>
      </c>
      <c r="D33" s="340"/>
      <c r="E33" s="258"/>
      <c r="F33" s="258" t="s">
        <v>1009</v>
      </c>
      <c r="G33" s="339">
        <f>ROUNDDOWN(G34/G32,1)</f>
        <v>5</v>
      </c>
      <c r="H33" s="340"/>
      <c r="I33" s="258"/>
      <c r="J33" s="258" t="s">
        <v>1009</v>
      </c>
      <c r="K33" s="339">
        <f>ROUNDDOWN(K34/K32,1)</f>
        <v>3.8</v>
      </c>
      <c r="L33" s="340"/>
      <c r="M33" s="258"/>
      <c r="N33" s="258" t="s">
        <v>1009</v>
      </c>
      <c r="O33" s="339">
        <f>ROUNDDOWN(O34/O32,1)</f>
        <v>16.600000000000001</v>
      </c>
      <c r="P33" s="340"/>
    </row>
    <row r="34" spans="1:16" x14ac:dyDescent="0.25">
      <c r="A34" s="258"/>
      <c r="B34" s="258" t="s">
        <v>1007</v>
      </c>
      <c r="C34" s="339">
        <v>50</v>
      </c>
      <c r="D34" s="340"/>
      <c r="E34" s="258"/>
      <c r="F34" s="258" t="s">
        <v>1007</v>
      </c>
      <c r="G34" s="339">
        <v>50</v>
      </c>
      <c r="H34" s="340"/>
      <c r="I34" s="258"/>
      <c r="J34" s="258" t="s">
        <v>1007</v>
      </c>
      <c r="K34" s="339">
        <v>50</v>
      </c>
      <c r="L34" s="340"/>
      <c r="M34" s="258"/>
      <c r="N34" s="258" t="s">
        <v>1007</v>
      </c>
      <c r="O34" s="339">
        <v>50</v>
      </c>
      <c r="P34" s="340"/>
    </row>
    <row r="35" spans="1:16" x14ac:dyDescent="0.25">
      <c r="A35" s="258"/>
      <c r="B35" s="258" t="s">
        <v>1016</v>
      </c>
      <c r="C35" s="346">
        <v>50</v>
      </c>
      <c r="D35" s="347"/>
      <c r="E35" s="258"/>
      <c r="F35" s="258" t="s">
        <v>1016</v>
      </c>
      <c r="G35" s="346">
        <v>50</v>
      </c>
      <c r="H35" s="347"/>
      <c r="I35" s="258"/>
      <c r="J35" s="258" t="s">
        <v>1016</v>
      </c>
      <c r="K35" s="346">
        <v>50</v>
      </c>
      <c r="L35" s="347"/>
      <c r="M35" s="258"/>
      <c r="N35" s="258" t="s">
        <v>1016</v>
      </c>
      <c r="O35" s="346">
        <v>50</v>
      </c>
      <c r="P35" s="347"/>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44" t="s">
        <v>1012</v>
      </c>
      <c r="C60" s="344"/>
      <c r="D60" s="345"/>
      <c r="E60" s="259"/>
      <c r="F60" s="344" t="s">
        <v>1012</v>
      </c>
      <c r="G60" s="344"/>
      <c r="H60" s="345"/>
      <c r="I60" s="259"/>
      <c r="J60" s="344" t="s">
        <v>1012</v>
      </c>
      <c r="K60" s="344"/>
      <c r="L60" s="345"/>
      <c r="M60" s="259"/>
      <c r="N60" s="344" t="s">
        <v>1012</v>
      </c>
      <c r="O60" s="344"/>
      <c r="P60" s="345"/>
    </row>
    <row r="61" spans="1:16" x14ac:dyDescent="0.25">
      <c r="A61" s="258"/>
      <c r="B61" s="258" t="s">
        <v>1008</v>
      </c>
      <c r="C61" s="339">
        <f>COUNTA(A66:A88)</f>
        <v>18</v>
      </c>
      <c r="D61" s="319"/>
      <c r="E61" s="258"/>
      <c r="F61" s="258" t="s">
        <v>1008</v>
      </c>
      <c r="G61" s="339">
        <f>COUNTA(E66:E88)</f>
        <v>14</v>
      </c>
      <c r="H61" s="319"/>
      <c r="I61" s="258"/>
      <c r="J61" s="258" t="s">
        <v>1008</v>
      </c>
      <c r="K61" s="339">
        <f>COUNTA(I66:I88)</f>
        <v>12</v>
      </c>
      <c r="L61" s="319"/>
      <c r="M61" s="258"/>
      <c r="N61" s="258" t="s">
        <v>1008</v>
      </c>
      <c r="O61" s="339">
        <f>COUNTA(M66:M88)</f>
        <v>1</v>
      </c>
      <c r="P61" s="319"/>
    </row>
    <row r="62" spans="1:16" x14ac:dyDescent="0.25">
      <c r="A62" s="258"/>
      <c r="B62" s="258" t="s">
        <v>1009</v>
      </c>
      <c r="C62" s="339">
        <f>ROUNDDOWN(C64/C61,1)</f>
        <v>2.7</v>
      </c>
      <c r="D62" s="319"/>
      <c r="E62" s="258"/>
      <c r="F62" s="258" t="s">
        <v>1009</v>
      </c>
      <c r="G62" s="339">
        <f>ROUNDDOWN(G64/G61,1)</f>
        <v>3.5</v>
      </c>
      <c r="H62" s="319"/>
      <c r="I62" s="258"/>
      <c r="J62" s="258" t="s">
        <v>1009</v>
      </c>
      <c r="K62" s="339">
        <f>ROUNDDOWN(K64/K61,1)</f>
        <v>4.0999999999999996</v>
      </c>
      <c r="L62" s="319"/>
      <c r="M62" s="258"/>
      <c r="N62" s="258" t="s">
        <v>1009</v>
      </c>
      <c r="O62" s="339">
        <f>ROUNDDOWN(O64/O61,1)</f>
        <v>50</v>
      </c>
      <c r="P62" s="319"/>
    </row>
    <row r="63" spans="1:16" x14ac:dyDescent="0.25">
      <c r="A63" s="258"/>
      <c r="B63" s="258" t="s">
        <v>1007</v>
      </c>
      <c r="C63" s="339">
        <v>100</v>
      </c>
      <c r="D63" s="319"/>
      <c r="E63" s="258"/>
      <c r="F63" s="258" t="s">
        <v>1007</v>
      </c>
      <c r="G63" s="339">
        <v>100</v>
      </c>
      <c r="H63" s="319"/>
      <c r="I63" s="258"/>
      <c r="J63" s="258" t="s">
        <v>1007</v>
      </c>
      <c r="K63" s="339">
        <v>100</v>
      </c>
      <c r="L63" s="319"/>
      <c r="M63" s="258"/>
      <c r="N63" s="258" t="s">
        <v>1007</v>
      </c>
      <c r="O63" s="339">
        <v>100</v>
      </c>
      <c r="P63" s="319"/>
    </row>
    <row r="64" spans="1:16" x14ac:dyDescent="0.25">
      <c r="A64" s="258"/>
      <c r="B64" s="258" t="s">
        <v>1016</v>
      </c>
      <c r="C64" s="346">
        <v>50</v>
      </c>
      <c r="D64" s="349"/>
      <c r="E64" s="258"/>
      <c r="F64" s="258" t="s">
        <v>1016</v>
      </c>
      <c r="G64" s="346">
        <v>50</v>
      </c>
      <c r="H64" s="349"/>
      <c r="I64" s="258"/>
      <c r="J64" s="258" t="s">
        <v>1016</v>
      </c>
      <c r="K64" s="346">
        <v>50</v>
      </c>
      <c r="L64" s="349"/>
      <c r="M64" s="258"/>
      <c r="N64" s="258" t="s">
        <v>1016</v>
      </c>
      <c r="O64" s="346">
        <v>50</v>
      </c>
      <c r="P64" s="349"/>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44" t="s">
        <v>1013</v>
      </c>
      <c r="C89" s="344"/>
      <c r="D89" s="345"/>
      <c r="E89" s="259"/>
      <c r="F89" s="344" t="s">
        <v>1013</v>
      </c>
      <c r="G89" s="344"/>
      <c r="H89" s="345"/>
      <c r="I89" s="259"/>
      <c r="J89" s="344" t="s">
        <v>1013</v>
      </c>
      <c r="K89" s="344"/>
      <c r="L89" s="345"/>
      <c r="M89" s="259"/>
      <c r="N89" s="344" t="s">
        <v>1013</v>
      </c>
      <c r="O89" s="344"/>
      <c r="P89" s="345"/>
    </row>
    <row r="90" spans="1:16" x14ac:dyDescent="0.25">
      <c r="A90" s="258"/>
      <c r="B90" s="258" t="s">
        <v>1008</v>
      </c>
      <c r="C90" s="339">
        <f>COUNTA(A95:A129)</f>
        <v>35</v>
      </c>
      <c r="D90" s="319"/>
      <c r="E90" s="258"/>
      <c r="F90" s="258" t="s">
        <v>1008</v>
      </c>
      <c r="G90" s="339">
        <f>COUNTA(E95:E129)</f>
        <v>7</v>
      </c>
      <c r="H90" s="319"/>
      <c r="I90" s="258"/>
      <c r="J90" s="258" t="s">
        <v>1008</v>
      </c>
      <c r="K90" s="339">
        <f>COUNTA(I95:I129)</f>
        <v>17</v>
      </c>
      <c r="L90" s="319"/>
      <c r="M90" s="258"/>
      <c r="N90" s="258" t="s">
        <v>1008</v>
      </c>
      <c r="O90" s="339">
        <f>COUNTA(M95:M129)</f>
        <v>4</v>
      </c>
      <c r="P90" s="319"/>
    </row>
    <row r="91" spans="1:16" x14ac:dyDescent="0.25">
      <c r="A91" s="258"/>
      <c r="B91" s="258" t="s">
        <v>1009</v>
      </c>
      <c r="C91" s="339">
        <f>ROUNDDOWN(C93/C90,1)</f>
        <v>1.4</v>
      </c>
      <c r="D91" s="340"/>
      <c r="E91" s="258"/>
      <c r="F91" s="258" t="s">
        <v>1009</v>
      </c>
      <c r="G91" s="339">
        <f>ROUNDDOWN(G93/G90,1)</f>
        <v>7.1</v>
      </c>
      <c r="H91" s="340"/>
      <c r="I91" s="258"/>
      <c r="J91" s="258" t="s">
        <v>1009</v>
      </c>
      <c r="K91" s="339">
        <f>ROUNDDOWN(K93/K90,1)</f>
        <v>2.9</v>
      </c>
      <c r="L91" s="340"/>
      <c r="M91" s="258"/>
      <c r="N91" s="258" t="s">
        <v>1009</v>
      </c>
      <c r="O91" s="339">
        <f>ROUNDDOWN(O93/O90,1)</f>
        <v>12.5</v>
      </c>
      <c r="P91" s="340"/>
    </row>
    <row r="92" spans="1:16" x14ac:dyDescent="0.25">
      <c r="A92" s="258"/>
      <c r="B92" s="258" t="s">
        <v>1007</v>
      </c>
      <c r="C92" s="339">
        <v>150</v>
      </c>
      <c r="D92" s="340"/>
      <c r="E92" s="258"/>
      <c r="F92" s="258" t="s">
        <v>1007</v>
      </c>
      <c r="G92" s="339">
        <v>150</v>
      </c>
      <c r="H92" s="340"/>
      <c r="I92" s="258"/>
      <c r="J92" s="258" t="s">
        <v>1007</v>
      </c>
      <c r="K92" s="339">
        <v>150</v>
      </c>
      <c r="L92" s="340"/>
      <c r="M92" s="258"/>
      <c r="N92" s="258" t="s">
        <v>1007</v>
      </c>
      <c r="O92" s="339">
        <v>150</v>
      </c>
      <c r="P92" s="340"/>
    </row>
    <row r="93" spans="1:16" x14ac:dyDescent="0.25">
      <c r="A93" s="258"/>
      <c r="B93" s="258" t="s">
        <v>1016</v>
      </c>
      <c r="C93" s="346">
        <v>50</v>
      </c>
      <c r="D93" s="347"/>
      <c r="E93" s="258"/>
      <c r="F93" s="258" t="s">
        <v>1016</v>
      </c>
      <c r="G93" s="346">
        <v>50</v>
      </c>
      <c r="H93" s="347"/>
      <c r="I93" s="258"/>
      <c r="J93" s="258" t="s">
        <v>1016</v>
      </c>
      <c r="K93" s="346">
        <v>50</v>
      </c>
      <c r="L93" s="347"/>
      <c r="M93" s="258"/>
      <c r="N93" s="258" t="s">
        <v>1016</v>
      </c>
      <c r="O93" s="346">
        <v>50</v>
      </c>
      <c r="P93" s="347"/>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44" t="s">
        <v>1014</v>
      </c>
      <c r="C130" s="344"/>
      <c r="D130" s="345"/>
      <c r="E130" s="257"/>
      <c r="F130" s="344" t="s">
        <v>1014</v>
      </c>
      <c r="G130" s="344"/>
      <c r="H130" s="345"/>
      <c r="I130" s="257"/>
      <c r="J130" s="344" t="s">
        <v>1014</v>
      </c>
      <c r="K130" s="344"/>
      <c r="L130" s="345"/>
      <c r="M130" s="257"/>
      <c r="N130" s="344" t="s">
        <v>1014</v>
      </c>
      <c r="O130" s="344"/>
      <c r="P130" s="345"/>
    </row>
    <row r="131" spans="1:16" x14ac:dyDescent="0.25">
      <c r="A131" s="258"/>
      <c r="B131" s="258" t="s">
        <v>1008</v>
      </c>
      <c r="C131" s="339">
        <f>COUNTA(A136:A158)</f>
        <v>20</v>
      </c>
      <c r="D131" s="319"/>
      <c r="E131" s="258"/>
      <c r="F131" s="258" t="s">
        <v>1008</v>
      </c>
      <c r="G131" s="339">
        <f>COUNTA(E136:E158)</f>
        <v>7</v>
      </c>
      <c r="H131" s="319"/>
      <c r="I131" s="258"/>
      <c r="J131" s="258" t="s">
        <v>1008</v>
      </c>
      <c r="K131" s="339">
        <f>COUNTA(I136:I158)</f>
        <v>21</v>
      </c>
      <c r="L131" s="319"/>
      <c r="M131" s="258"/>
      <c r="N131" s="258" t="s">
        <v>1008</v>
      </c>
      <c r="O131" s="339">
        <f>COUNTA(M136:M158)</f>
        <v>2</v>
      </c>
      <c r="P131" s="319"/>
    </row>
    <row r="132" spans="1:16" x14ac:dyDescent="0.25">
      <c r="A132" s="258"/>
      <c r="B132" s="258" t="s">
        <v>1009</v>
      </c>
      <c r="C132" s="339">
        <f>ROUNDDOWN(C134/C131,1)</f>
        <v>2.5</v>
      </c>
      <c r="D132" s="319"/>
      <c r="E132" s="258"/>
      <c r="F132" s="258" t="s">
        <v>1009</v>
      </c>
      <c r="G132" s="339">
        <f>ROUNDDOWN(G134/G131,1)</f>
        <v>7.1</v>
      </c>
      <c r="H132" s="319"/>
      <c r="I132" s="258"/>
      <c r="J132" s="258" t="s">
        <v>1009</v>
      </c>
      <c r="K132" s="339">
        <f>ROUNDDOWN(K134/K131,1)</f>
        <v>2.2999999999999998</v>
      </c>
      <c r="L132" s="319"/>
      <c r="M132" s="258"/>
      <c r="N132" s="258" t="s">
        <v>1009</v>
      </c>
      <c r="O132" s="339">
        <f>ROUNDDOWN(O134/O131,1)</f>
        <v>25</v>
      </c>
      <c r="P132" s="319"/>
    </row>
    <row r="133" spans="1:16" x14ac:dyDescent="0.25">
      <c r="A133" s="258"/>
      <c r="B133" s="258" t="s">
        <v>1007</v>
      </c>
      <c r="C133" s="339">
        <v>200</v>
      </c>
      <c r="D133" s="319"/>
      <c r="E133" s="258"/>
      <c r="F133" s="258" t="s">
        <v>1007</v>
      </c>
      <c r="G133" s="339">
        <v>200</v>
      </c>
      <c r="H133" s="319"/>
      <c r="I133" s="258"/>
      <c r="J133" s="258" t="s">
        <v>1007</v>
      </c>
      <c r="K133" s="339">
        <v>200</v>
      </c>
      <c r="L133" s="319"/>
      <c r="M133" s="258"/>
      <c r="N133" s="258" t="s">
        <v>1007</v>
      </c>
      <c r="O133" s="339">
        <v>200</v>
      </c>
      <c r="P133" s="319"/>
    </row>
    <row r="134" spans="1:16" x14ac:dyDescent="0.25">
      <c r="A134" s="258"/>
      <c r="B134" s="258" t="s">
        <v>1016</v>
      </c>
      <c r="C134" s="346">
        <v>50</v>
      </c>
      <c r="D134" s="349"/>
      <c r="E134" s="258"/>
      <c r="F134" s="258" t="s">
        <v>1016</v>
      </c>
      <c r="G134" s="346">
        <v>50</v>
      </c>
      <c r="H134" s="349"/>
      <c r="I134" s="258"/>
      <c r="J134" s="258" t="s">
        <v>1016</v>
      </c>
      <c r="K134" s="346">
        <v>50</v>
      </c>
      <c r="L134" s="349"/>
      <c r="M134" s="258"/>
      <c r="N134" s="258" t="s">
        <v>1016</v>
      </c>
      <c r="O134" s="346">
        <v>50</v>
      </c>
      <c r="P134" s="349"/>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8" t="s">
        <v>1015</v>
      </c>
      <c r="C159" s="344"/>
      <c r="D159" s="345"/>
      <c r="E159" s="257"/>
      <c r="F159" s="348" t="s">
        <v>1015</v>
      </c>
      <c r="G159" s="344"/>
      <c r="H159" s="345"/>
      <c r="I159" s="257"/>
      <c r="J159" s="348" t="s">
        <v>1015</v>
      </c>
      <c r="K159" s="344"/>
      <c r="L159" s="345"/>
      <c r="M159" s="257"/>
      <c r="N159" s="348" t="s">
        <v>1015</v>
      </c>
      <c r="O159" s="344"/>
      <c r="P159" s="345"/>
    </row>
    <row r="160" spans="1:16" x14ac:dyDescent="0.25">
      <c r="A160" s="258"/>
      <c r="B160" s="258" t="s">
        <v>1008</v>
      </c>
      <c r="C160" s="339">
        <f>COUNTA(A165:A187)</f>
        <v>12</v>
      </c>
      <c r="D160" s="340"/>
      <c r="E160" s="258"/>
      <c r="F160" s="258" t="s">
        <v>1008</v>
      </c>
      <c r="G160" s="339">
        <f>COUNTA(E165:E187)</f>
        <v>7</v>
      </c>
      <c r="H160" s="340"/>
      <c r="I160" s="258"/>
      <c r="J160" s="258" t="s">
        <v>1008</v>
      </c>
      <c r="K160" s="339">
        <f>COUNTA(I165:I187)</f>
        <v>22</v>
      </c>
      <c r="L160" s="340"/>
      <c r="M160" s="258"/>
      <c r="N160" s="258" t="s">
        <v>1008</v>
      </c>
      <c r="O160" s="339">
        <f>COUNTA(M165:M187)</f>
        <v>4</v>
      </c>
      <c r="P160" s="340"/>
    </row>
    <row r="161" spans="1:16" x14ac:dyDescent="0.25">
      <c r="A161" s="258"/>
      <c r="B161" s="258" t="s">
        <v>1009</v>
      </c>
      <c r="C161" s="339">
        <f>ROUNDDOWN(C163/C160,1)</f>
        <v>4.0999999999999996</v>
      </c>
      <c r="D161" s="340"/>
      <c r="E161" s="258"/>
      <c r="F161" s="258" t="s">
        <v>1009</v>
      </c>
      <c r="G161" s="339">
        <f>ROUNDDOWN(G163/G160,1)</f>
        <v>7.1</v>
      </c>
      <c r="H161" s="340"/>
      <c r="I161" s="258"/>
      <c r="J161" s="258" t="s">
        <v>1009</v>
      </c>
      <c r="K161" s="339">
        <f>ROUNDDOWN(K163/K160,1)</f>
        <v>2.2000000000000002</v>
      </c>
      <c r="L161" s="340"/>
      <c r="M161" s="258"/>
      <c r="N161" s="258" t="s">
        <v>1009</v>
      </c>
      <c r="O161" s="339">
        <f>ROUNDDOWN(O163/O160,1)</f>
        <v>12.5</v>
      </c>
      <c r="P161" s="340"/>
    </row>
    <row r="162" spans="1:16" x14ac:dyDescent="0.25">
      <c r="A162" s="258"/>
      <c r="B162" s="258" t="s">
        <v>1007</v>
      </c>
      <c r="C162" s="339">
        <v>250</v>
      </c>
      <c r="D162" s="340"/>
      <c r="E162" s="258"/>
      <c r="F162" s="258" t="s">
        <v>1007</v>
      </c>
      <c r="G162" s="339">
        <v>250</v>
      </c>
      <c r="H162" s="340"/>
      <c r="I162" s="258"/>
      <c r="J162" s="258" t="s">
        <v>1007</v>
      </c>
      <c r="K162" s="339">
        <v>250</v>
      </c>
      <c r="L162" s="340"/>
      <c r="M162" s="258"/>
      <c r="N162" s="258" t="s">
        <v>1007</v>
      </c>
      <c r="O162" s="339">
        <v>250</v>
      </c>
      <c r="P162" s="340"/>
    </row>
    <row r="163" spans="1:16" x14ac:dyDescent="0.25">
      <c r="A163" s="258"/>
      <c r="B163" s="258" t="s">
        <v>1016</v>
      </c>
      <c r="C163" s="346">
        <v>50</v>
      </c>
      <c r="D163" s="347"/>
      <c r="E163" s="258"/>
      <c r="F163" s="258" t="s">
        <v>1016</v>
      </c>
      <c r="G163" s="346">
        <v>50</v>
      </c>
      <c r="H163" s="347"/>
      <c r="I163" s="258"/>
      <c r="J163" s="258" t="s">
        <v>1016</v>
      </c>
      <c r="K163" s="346">
        <v>50</v>
      </c>
      <c r="L163" s="347"/>
      <c r="M163" s="258"/>
      <c r="N163" s="258" t="s">
        <v>1016</v>
      </c>
      <c r="O163" s="346">
        <v>50</v>
      </c>
      <c r="P163" s="347"/>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tabSelected="1" workbookViewId="0">
      <selection activeCell="E43" sqref="E43"/>
    </sheetView>
  </sheetViews>
  <sheetFormatPr baseColWidth="10" defaultRowHeight="15" x14ac:dyDescent="0.25"/>
  <cols>
    <col min="1" max="4" width="14.7109375" customWidth="1"/>
    <col min="5" max="5" width="17.28515625" customWidth="1"/>
    <col min="6"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53" t="s">
        <v>151</v>
      </c>
      <c r="B1" s="353"/>
      <c r="C1" s="353"/>
      <c r="D1" s="353"/>
      <c r="E1" s="354" t="s">
        <v>160</v>
      </c>
      <c r="F1" s="354"/>
      <c r="G1" s="354"/>
      <c r="H1" s="354"/>
      <c r="I1" s="353" t="s">
        <v>152</v>
      </c>
      <c r="J1" s="353"/>
      <c r="K1" s="353"/>
      <c r="L1" s="353"/>
      <c r="M1" s="354" t="s">
        <v>150</v>
      </c>
      <c r="N1" s="354"/>
      <c r="O1" s="354"/>
      <c r="P1" s="354"/>
    </row>
    <row r="2" spans="1:16" ht="15" customHeight="1" x14ac:dyDescent="0.25">
      <c r="A2" s="352" t="s">
        <v>1111</v>
      </c>
      <c r="B2" s="352"/>
      <c r="C2" s="352" t="s">
        <v>1112</v>
      </c>
      <c r="D2" s="352"/>
      <c r="E2" s="320" t="s">
        <v>1122</v>
      </c>
      <c r="F2" s="320"/>
      <c r="G2" s="320" t="s">
        <v>1125</v>
      </c>
      <c r="H2" s="320"/>
      <c r="I2" s="352" t="s">
        <v>1165</v>
      </c>
      <c r="J2" s="352"/>
      <c r="K2" s="352" t="s">
        <v>1127</v>
      </c>
      <c r="L2" s="352"/>
      <c r="M2" s="320" t="s">
        <v>1129</v>
      </c>
      <c r="N2" s="320"/>
      <c r="O2" s="320" t="s">
        <v>1130</v>
      </c>
      <c r="P2" s="320"/>
    </row>
    <row r="3" spans="1:16" ht="15" customHeight="1" x14ac:dyDescent="0.25">
      <c r="A3" s="350" t="s">
        <v>1113</v>
      </c>
      <c r="B3" s="350"/>
      <c r="C3" s="350" t="s">
        <v>1117</v>
      </c>
      <c r="D3" s="350"/>
      <c r="E3" s="350" t="s">
        <v>1170</v>
      </c>
      <c r="F3" s="350"/>
      <c r="G3" s="350" t="s">
        <v>1245</v>
      </c>
      <c r="H3" s="350"/>
      <c r="I3" s="350" t="s">
        <v>1182</v>
      </c>
      <c r="J3" s="350"/>
      <c r="K3" s="350" t="s">
        <v>1196</v>
      </c>
      <c r="L3" s="350"/>
      <c r="M3" s="350" t="s">
        <v>1190</v>
      </c>
      <c r="N3" s="350"/>
      <c r="O3" s="350" t="s">
        <v>1131</v>
      </c>
      <c r="P3" s="350"/>
    </row>
    <row r="4" spans="1:16" ht="15" customHeight="1" x14ac:dyDescent="0.25">
      <c r="A4" s="350" t="s">
        <v>1115</v>
      </c>
      <c r="B4" s="350"/>
      <c r="C4" s="350" t="s">
        <v>1180</v>
      </c>
      <c r="D4" s="350"/>
      <c r="E4" s="350" t="s">
        <v>1123</v>
      </c>
      <c r="F4" s="350"/>
      <c r="G4" s="350" t="s">
        <v>1172</v>
      </c>
      <c r="H4" s="350"/>
      <c r="I4" s="350" t="s">
        <v>1142</v>
      </c>
      <c r="J4" s="350"/>
      <c r="K4" s="350" t="s">
        <v>1195</v>
      </c>
      <c r="L4" s="350"/>
      <c r="M4" s="350" t="s">
        <v>1186</v>
      </c>
      <c r="N4" s="350"/>
      <c r="O4" s="350" t="s">
        <v>1198</v>
      </c>
      <c r="P4" s="350"/>
    </row>
    <row r="5" spans="1:16" ht="15" customHeight="1" x14ac:dyDescent="0.25">
      <c r="A5" s="350" t="s">
        <v>1179</v>
      </c>
      <c r="B5" s="350"/>
      <c r="C5" s="350" t="s">
        <v>1118</v>
      </c>
      <c r="D5" s="350"/>
      <c r="E5" s="350" t="s">
        <v>1171</v>
      </c>
      <c r="F5" s="350"/>
      <c r="G5" s="355" t="s">
        <v>1173</v>
      </c>
      <c r="H5" s="355"/>
      <c r="I5" s="355" t="s">
        <v>1143</v>
      </c>
      <c r="J5" s="355"/>
      <c r="K5" s="355" t="s">
        <v>1189</v>
      </c>
      <c r="L5" s="355"/>
      <c r="M5" s="350" t="s">
        <v>1132</v>
      </c>
      <c r="N5" s="350"/>
      <c r="O5" s="355" t="s">
        <v>1193</v>
      </c>
      <c r="P5" s="355"/>
    </row>
    <row r="6" spans="1:16" ht="15" customHeight="1" x14ac:dyDescent="0.25">
      <c r="A6" s="350" t="s">
        <v>1138</v>
      </c>
      <c r="B6" s="350"/>
      <c r="C6" s="350" t="s">
        <v>1119</v>
      </c>
      <c r="D6" s="350"/>
      <c r="E6" s="350" t="s">
        <v>1177</v>
      </c>
      <c r="F6" s="350"/>
      <c r="G6" s="350" t="s">
        <v>1174</v>
      </c>
      <c r="H6" s="350"/>
      <c r="I6" s="350" t="s">
        <v>1220</v>
      </c>
      <c r="J6" s="350"/>
      <c r="K6" s="350" t="s">
        <v>1200</v>
      </c>
      <c r="L6" s="350"/>
      <c r="M6" s="350" t="s">
        <v>1187</v>
      </c>
      <c r="N6" s="350"/>
      <c r="O6" s="350" t="s">
        <v>1192</v>
      </c>
      <c r="P6" s="350"/>
    </row>
    <row r="7" spans="1:16" ht="15" customHeight="1" x14ac:dyDescent="0.25">
      <c r="A7" s="350" t="s">
        <v>1140</v>
      </c>
      <c r="B7" s="350"/>
      <c r="C7" s="350" t="s">
        <v>1120</v>
      </c>
      <c r="D7" s="350"/>
      <c r="E7" s="350" t="s">
        <v>1124</v>
      </c>
      <c r="F7" s="350"/>
      <c r="G7" s="350" t="s">
        <v>1175</v>
      </c>
      <c r="H7" s="350"/>
      <c r="I7" s="350" t="s">
        <v>1184</v>
      </c>
      <c r="J7" s="350"/>
      <c r="K7" s="350" t="s">
        <v>1199</v>
      </c>
      <c r="L7" s="350"/>
      <c r="M7" s="350" t="s">
        <v>1188</v>
      </c>
      <c r="N7" s="350"/>
      <c r="O7" s="350" t="s">
        <v>1194</v>
      </c>
      <c r="P7" s="350"/>
    </row>
    <row r="8" spans="1:16" ht="15" customHeight="1" x14ac:dyDescent="0.25">
      <c r="A8" s="350" t="s">
        <v>1116</v>
      </c>
      <c r="B8" s="350"/>
      <c r="C8" s="350" t="s">
        <v>1121</v>
      </c>
      <c r="D8" s="350"/>
      <c r="E8" s="350" t="s">
        <v>1178</v>
      </c>
      <c r="F8" s="350"/>
      <c r="G8" s="350" t="s">
        <v>1176</v>
      </c>
      <c r="H8" s="350"/>
      <c r="I8" s="350" t="s">
        <v>1185</v>
      </c>
      <c r="J8" s="350"/>
      <c r="K8" s="350" t="s">
        <v>1197</v>
      </c>
      <c r="L8" s="350"/>
      <c r="M8" s="350" t="s">
        <v>1133</v>
      </c>
      <c r="N8" s="350"/>
      <c r="O8" s="350" t="s">
        <v>1191</v>
      </c>
      <c r="P8" s="350"/>
    </row>
    <row r="9" spans="1:16" x14ac:dyDescent="0.25">
      <c r="A9" s="356" t="s">
        <v>1201</v>
      </c>
      <c r="B9" s="356"/>
      <c r="C9" s="356" t="s">
        <v>1202</v>
      </c>
      <c r="D9" s="356"/>
      <c r="E9" s="356" t="s">
        <v>1181</v>
      </c>
      <c r="F9" s="356"/>
      <c r="G9" s="356" t="s">
        <v>1126</v>
      </c>
      <c r="H9" s="356"/>
      <c r="I9" s="356" t="s">
        <v>1128</v>
      </c>
      <c r="J9" s="356"/>
      <c r="K9" s="356" t="s">
        <v>38</v>
      </c>
      <c r="L9" s="356"/>
      <c r="M9" s="356" t="s">
        <v>1134</v>
      </c>
      <c r="N9" s="356"/>
      <c r="O9" s="356" t="s">
        <v>1136</v>
      </c>
      <c r="P9" s="356"/>
    </row>
    <row r="10" spans="1:16" ht="15" customHeight="1" x14ac:dyDescent="0.25">
      <c r="A10" s="351" t="s">
        <v>1162</v>
      </c>
      <c r="B10" s="351"/>
      <c r="C10" s="351" t="s">
        <v>1117</v>
      </c>
      <c r="D10" s="351"/>
      <c r="E10" s="351" t="s">
        <v>1170</v>
      </c>
      <c r="F10" s="351"/>
      <c r="G10" s="351" t="s">
        <v>1246</v>
      </c>
      <c r="H10" s="351"/>
      <c r="I10" s="351" t="s">
        <v>1182</v>
      </c>
      <c r="J10" s="351"/>
      <c r="K10" s="351" t="s">
        <v>1196</v>
      </c>
      <c r="L10" s="351"/>
      <c r="M10" s="351" t="s">
        <v>1190</v>
      </c>
      <c r="N10" s="351"/>
      <c r="O10" s="351" t="s">
        <v>1131</v>
      </c>
      <c r="P10" s="351"/>
    </row>
    <row r="11" spans="1:16" ht="15" customHeight="1" x14ac:dyDescent="0.25">
      <c r="A11" t="s">
        <v>1137</v>
      </c>
      <c r="B11" t="s">
        <v>1139</v>
      </c>
      <c r="C11" s="275" t="s">
        <v>1215</v>
      </c>
      <c r="D11" s="275" t="s">
        <v>1139</v>
      </c>
      <c r="E11" s="275" t="s">
        <v>1213</v>
      </c>
      <c r="F11" s="275" t="s">
        <v>1137</v>
      </c>
      <c r="G11" s="275" t="s">
        <v>1213</v>
      </c>
      <c r="H11" s="275" t="s">
        <v>1251</v>
      </c>
      <c r="I11" s="293" t="s">
        <v>1135</v>
      </c>
      <c r="J11" s="293" t="s">
        <v>1139</v>
      </c>
      <c r="K11" s="293" t="s">
        <v>1135</v>
      </c>
      <c r="L11" s="293"/>
      <c r="M11" s="275" t="s">
        <v>7</v>
      </c>
      <c r="N11" s="275" t="s">
        <v>1137</v>
      </c>
      <c r="O11" s="275" t="s">
        <v>7</v>
      </c>
      <c r="P11" s="275"/>
    </row>
    <row r="12" spans="1:16" ht="15" customHeight="1" x14ac:dyDescent="0.25">
      <c r="C12" s="275"/>
      <c r="D12" s="275" t="s">
        <v>1135</v>
      </c>
      <c r="E12" s="275"/>
      <c r="F12" s="275" t="s">
        <v>1139</v>
      </c>
      <c r="G12" s="275"/>
      <c r="H12" s="297" t="s">
        <v>1139</v>
      </c>
      <c r="I12" s="293"/>
      <c r="J12" s="293" t="s">
        <v>1213</v>
      </c>
      <c r="K12" s="293" t="s">
        <v>1214</v>
      </c>
      <c r="L12" s="293"/>
      <c r="M12" s="275"/>
      <c r="N12" s="275" t="s">
        <v>1213</v>
      </c>
      <c r="O12" s="275"/>
      <c r="P12" s="275"/>
    </row>
    <row r="13" spans="1:16" ht="15" customHeight="1" x14ac:dyDescent="0.25">
      <c r="C13" s="275"/>
      <c r="D13" s="275"/>
      <c r="E13" s="275"/>
      <c r="F13" s="275"/>
      <c r="G13" s="275"/>
      <c r="H13" s="297" t="s">
        <v>1137</v>
      </c>
      <c r="I13" s="293"/>
      <c r="J13" s="293" t="s">
        <v>1137</v>
      </c>
      <c r="K13" s="293"/>
      <c r="L13" s="293"/>
      <c r="M13" s="275"/>
      <c r="N13" s="275"/>
      <c r="O13" s="275"/>
      <c r="P13" s="275"/>
    </row>
    <row r="14" spans="1:16" ht="15" customHeight="1" x14ac:dyDescent="0.25">
      <c r="C14" s="275"/>
      <c r="D14" s="275"/>
      <c r="E14" s="275"/>
      <c r="F14" s="275"/>
      <c r="G14" s="275"/>
      <c r="H14" s="275"/>
      <c r="I14" s="293"/>
      <c r="J14" s="293"/>
      <c r="K14" s="293"/>
      <c r="L14" s="293"/>
      <c r="M14" s="275"/>
      <c r="N14" s="275"/>
      <c r="O14" s="275"/>
      <c r="P14" s="275"/>
    </row>
    <row r="15" spans="1:16" ht="15" customHeight="1" x14ac:dyDescent="0.25">
      <c r="A15" s="351" t="s">
        <v>1163</v>
      </c>
      <c r="B15" s="351"/>
      <c r="C15" s="351" t="s">
        <v>1180</v>
      </c>
      <c r="D15" s="351"/>
      <c r="E15" s="351" t="s">
        <v>1141</v>
      </c>
      <c r="F15" s="351"/>
      <c r="G15" s="351" t="s">
        <v>1207</v>
      </c>
      <c r="H15" s="351"/>
      <c r="I15" s="351" t="s">
        <v>1142</v>
      </c>
      <c r="J15" s="351"/>
      <c r="K15" s="351" t="s">
        <v>1195</v>
      </c>
      <c r="L15" s="351"/>
      <c r="M15" s="351" t="s">
        <v>1186</v>
      </c>
      <c r="N15" s="351"/>
      <c r="O15" s="351" t="s">
        <v>1198</v>
      </c>
      <c r="P15" s="351"/>
    </row>
    <row r="16" spans="1:16" ht="15" customHeight="1" x14ac:dyDescent="0.25">
      <c r="A16" s="275" t="s">
        <v>1113</v>
      </c>
      <c r="B16" s="2" t="s">
        <v>1170</v>
      </c>
      <c r="C16" s="275" t="s">
        <v>1117</v>
      </c>
      <c r="D16" s="275" t="s">
        <v>1195</v>
      </c>
      <c r="E16" s="275" t="s">
        <v>1170</v>
      </c>
      <c r="F16" s="275" t="s">
        <v>1113</v>
      </c>
      <c r="G16" s="275" t="s">
        <v>1213</v>
      </c>
      <c r="H16" s="275" t="s">
        <v>1115</v>
      </c>
      <c r="I16" s="293" t="s">
        <v>1195</v>
      </c>
      <c r="J16" s="293" t="s">
        <v>1198</v>
      </c>
      <c r="K16" s="293" t="s">
        <v>1196</v>
      </c>
      <c r="L16" s="293" t="s">
        <v>1115</v>
      </c>
      <c r="M16" s="275" t="s">
        <v>1115</v>
      </c>
      <c r="N16" s="275" t="s">
        <v>1213</v>
      </c>
      <c r="O16" s="275" t="s">
        <v>1131</v>
      </c>
      <c r="P16" s="275" t="s">
        <v>1186</v>
      </c>
    </row>
    <row r="17" spans="1:16" ht="15" customHeight="1" x14ac:dyDescent="0.25">
      <c r="A17" s="275" t="s">
        <v>1137</v>
      </c>
      <c r="B17" t="s">
        <v>1141</v>
      </c>
      <c r="C17" s="275" t="s">
        <v>1215</v>
      </c>
      <c r="D17" s="2" t="s">
        <v>1198</v>
      </c>
      <c r="E17" s="275"/>
      <c r="F17" s="275" t="s">
        <v>1131</v>
      </c>
      <c r="G17" s="275"/>
      <c r="H17" s="275" t="s">
        <v>1186</v>
      </c>
      <c r="I17" s="293" t="s">
        <v>1182</v>
      </c>
      <c r="J17" s="293" t="s">
        <v>1186</v>
      </c>
      <c r="K17" s="293" t="s">
        <v>1214</v>
      </c>
      <c r="L17" s="293"/>
      <c r="M17" s="275" t="s">
        <v>1137</v>
      </c>
      <c r="N17" s="275" t="s">
        <v>1131</v>
      </c>
      <c r="O17" s="275" t="s">
        <v>1139</v>
      </c>
      <c r="P17" s="275" t="s">
        <v>1142</v>
      </c>
    </row>
    <row r="18" spans="1:16" ht="15" customHeight="1" x14ac:dyDescent="0.25">
      <c r="A18" s="275"/>
      <c r="B18" t="s">
        <v>1213</v>
      </c>
      <c r="C18" s="275"/>
      <c r="D18" s="275" t="s">
        <v>1142</v>
      </c>
      <c r="E18" s="275"/>
      <c r="F18" s="275"/>
      <c r="G18" s="275"/>
      <c r="H18" s="275"/>
      <c r="I18" s="293"/>
      <c r="J18" s="293" t="s">
        <v>1180</v>
      </c>
      <c r="K18" s="293"/>
      <c r="L18" s="293"/>
      <c r="M18" s="275"/>
      <c r="N18" s="275" t="s">
        <v>1113</v>
      </c>
      <c r="O18" s="275"/>
      <c r="P18" s="275" t="s">
        <v>1180</v>
      </c>
    </row>
    <row r="19" spans="1:16" ht="15" customHeight="1" x14ac:dyDescent="0.25">
      <c r="A19" s="2"/>
      <c r="B19" s="275" t="s">
        <v>1131</v>
      </c>
      <c r="C19" s="275"/>
      <c r="D19" s="275" t="s">
        <v>1115</v>
      </c>
      <c r="E19" s="275"/>
      <c r="F19" s="275"/>
      <c r="G19" s="275"/>
      <c r="H19" s="275"/>
      <c r="I19" s="293"/>
      <c r="J19" s="293"/>
      <c r="K19" s="293"/>
      <c r="L19" s="293"/>
      <c r="M19" s="275"/>
      <c r="N19" s="275"/>
      <c r="O19" s="275"/>
      <c r="P19" s="275" t="s">
        <v>1115</v>
      </c>
    </row>
    <row r="20" spans="1:16" ht="15" customHeight="1" x14ac:dyDescent="0.25">
      <c r="A20" s="351" t="s">
        <v>1203</v>
      </c>
      <c r="B20" s="351"/>
      <c r="C20" s="351" t="s">
        <v>1118</v>
      </c>
      <c r="D20" s="351"/>
      <c r="E20" s="351" t="s">
        <v>1171</v>
      </c>
      <c r="F20" s="351"/>
      <c r="G20" s="351" t="s">
        <v>1208</v>
      </c>
      <c r="H20" s="351"/>
      <c r="I20" s="351" t="s">
        <v>1143</v>
      </c>
      <c r="J20" s="351"/>
      <c r="K20" s="351" t="s">
        <v>1189</v>
      </c>
      <c r="L20" s="351"/>
      <c r="M20" s="351" t="s">
        <v>1132</v>
      </c>
      <c r="N20" s="351"/>
      <c r="O20" s="351" t="s">
        <v>1193</v>
      </c>
      <c r="P20" s="351"/>
    </row>
    <row r="21" spans="1:16" ht="15" customHeight="1" x14ac:dyDescent="0.25">
      <c r="A21" s="275" t="s">
        <v>1115</v>
      </c>
      <c r="B21" s="275" t="s">
        <v>1171</v>
      </c>
      <c r="C21" s="275" t="s">
        <v>1180</v>
      </c>
      <c r="D21" s="275" t="s">
        <v>1171</v>
      </c>
      <c r="E21" s="293" t="s">
        <v>1170</v>
      </c>
      <c r="F21" s="293" t="s">
        <v>1217</v>
      </c>
      <c r="G21" s="275" t="s">
        <v>1213</v>
      </c>
      <c r="H21" s="275" t="s">
        <v>1218</v>
      </c>
      <c r="I21" s="293" t="s">
        <v>1142</v>
      </c>
      <c r="J21" s="293" t="s">
        <v>1189</v>
      </c>
      <c r="K21" s="293" t="s">
        <v>1195</v>
      </c>
      <c r="L21" s="293" t="s">
        <v>1118</v>
      </c>
      <c r="M21" s="275" t="s">
        <v>1186</v>
      </c>
      <c r="N21" s="275" t="s">
        <v>1213</v>
      </c>
      <c r="O21" s="275" t="s">
        <v>1198</v>
      </c>
      <c r="P21" s="275" t="s">
        <v>1189</v>
      </c>
    </row>
    <row r="22" spans="1:16" ht="15" customHeight="1" x14ac:dyDescent="0.25">
      <c r="A22" s="275" t="s">
        <v>1113</v>
      </c>
      <c r="B22" s="275" t="s">
        <v>1213</v>
      </c>
      <c r="C22" s="275" t="s">
        <v>1216</v>
      </c>
      <c r="D22" s="275" t="s">
        <v>1143</v>
      </c>
      <c r="E22" s="293"/>
      <c r="F22" s="293" t="s">
        <v>1213</v>
      </c>
      <c r="G22" s="275"/>
      <c r="H22" s="275" t="s">
        <v>1132</v>
      </c>
      <c r="I22" s="293"/>
      <c r="J22" s="293" t="s">
        <v>1180</v>
      </c>
      <c r="K22" s="293" t="s">
        <v>1196</v>
      </c>
      <c r="L22" s="293"/>
      <c r="M22" s="275" t="s">
        <v>1217</v>
      </c>
      <c r="N22" s="275" t="s">
        <v>1131</v>
      </c>
      <c r="O22" s="275" t="s">
        <v>1131</v>
      </c>
      <c r="P22" s="275" t="s">
        <v>1171</v>
      </c>
    </row>
    <row r="23" spans="1:16" ht="15" customHeight="1" x14ac:dyDescent="0.25">
      <c r="A23" s="275"/>
      <c r="B23" s="275" t="s">
        <v>1186</v>
      </c>
      <c r="C23" s="275"/>
      <c r="D23" s="275" t="s">
        <v>1189</v>
      </c>
      <c r="E23" s="293"/>
      <c r="F23" s="293" t="s">
        <v>1132</v>
      </c>
      <c r="G23" s="275"/>
      <c r="H23" s="275" t="s">
        <v>1141</v>
      </c>
      <c r="I23" s="293"/>
      <c r="J23" s="293" t="s">
        <v>1118</v>
      </c>
      <c r="K23" s="293" t="s">
        <v>1214</v>
      </c>
      <c r="L23" s="293"/>
      <c r="M23" s="275"/>
      <c r="N23" s="275" t="s">
        <v>1115</v>
      </c>
      <c r="O23" s="275"/>
      <c r="P23" s="275" t="s">
        <v>1118</v>
      </c>
    </row>
    <row r="24" spans="1:16" ht="15" customHeight="1" x14ac:dyDescent="0.25">
      <c r="A24" s="275"/>
      <c r="B24" s="275" t="s">
        <v>1131</v>
      </c>
      <c r="C24" s="275"/>
      <c r="D24" s="275" t="s">
        <v>1192</v>
      </c>
      <c r="E24" s="293"/>
      <c r="F24" s="293" t="s">
        <v>1186</v>
      </c>
      <c r="G24" s="275"/>
      <c r="H24" s="275" t="s">
        <v>1115</v>
      </c>
      <c r="I24" s="293"/>
      <c r="J24" s="293" t="s">
        <v>1192</v>
      </c>
      <c r="K24" s="293"/>
      <c r="L24" s="293"/>
      <c r="M24" s="275"/>
      <c r="N24" s="275" t="s">
        <v>1196</v>
      </c>
      <c r="O24" s="275"/>
      <c r="P24" s="275"/>
    </row>
    <row r="25" spans="1:16" ht="15" customHeight="1" x14ac:dyDescent="0.25">
      <c r="A25" s="351" t="s">
        <v>1204</v>
      </c>
      <c r="B25" s="351"/>
      <c r="C25" s="351" t="s">
        <v>1119</v>
      </c>
      <c r="D25" s="351"/>
      <c r="E25" s="351" t="s">
        <v>1177</v>
      </c>
      <c r="F25" s="351"/>
      <c r="G25" s="351" t="s">
        <v>1209</v>
      </c>
      <c r="H25" s="351"/>
      <c r="I25" s="351" t="s">
        <v>1220</v>
      </c>
      <c r="J25" s="351"/>
      <c r="K25" s="351" t="s">
        <v>1200</v>
      </c>
      <c r="L25" s="351"/>
      <c r="M25" s="351" t="s">
        <v>1187</v>
      </c>
      <c r="N25" s="351"/>
      <c r="O25" s="351" t="s">
        <v>1192</v>
      </c>
      <c r="P25" s="351"/>
    </row>
    <row r="26" spans="1:16" x14ac:dyDescent="0.25">
      <c r="A26" s="275" t="s">
        <v>1217</v>
      </c>
      <c r="B26" s="275" t="s">
        <v>1219</v>
      </c>
      <c r="C26" s="275" t="s">
        <v>1118</v>
      </c>
      <c r="D26" s="275" t="s">
        <v>1219</v>
      </c>
      <c r="E26" s="293" t="s">
        <v>1171</v>
      </c>
      <c r="F26" s="293" t="s">
        <v>1114</v>
      </c>
      <c r="G26" s="275" t="s">
        <v>1213</v>
      </c>
      <c r="H26" s="275" t="s">
        <v>1114</v>
      </c>
      <c r="I26" s="293" t="s">
        <v>1143</v>
      </c>
      <c r="J26" s="293" t="s">
        <v>1119</v>
      </c>
      <c r="K26" s="293" t="s">
        <v>1189</v>
      </c>
      <c r="L26" s="293" t="s">
        <v>1119</v>
      </c>
      <c r="M26" s="275" t="s">
        <v>1190</v>
      </c>
      <c r="N26" s="275" t="s">
        <v>1131</v>
      </c>
      <c r="O26" s="275" t="s">
        <v>1198</v>
      </c>
      <c r="P26" s="275" t="s">
        <v>1220</v>
      </c>
    </row>
    <row r="27" spans="1:16" x14ac:dyDescent="0.25">
      <c r="A27" s="275" t="s">
        <v>1115</v>
      </c>
      <c r="B27" s="275" t="s">
        <v>1213</v>
      </c>
      <c r="C27" s="275" t="s">
        <v>1180</v>
      </c>
      <c r="D27" s="275" t="s">
        <v>1183</v>
      </c>
      <c r="E27" s="293" t="s">
        <v>1170</v>
      </c>
      <c r="F27" s="293" t="s">
        <v>1187</v>
      </c>
      <c r="G27" s="275"/>
      <c r="H27" s="275" t="s">
        <v>1119</v>
      </c>
      <c r="I27" s="293" t="s">
        <v>1142</v>
      </c>
      <c r="J27" s="293" t="s">
        <v>1118</v>
      </c>
      <c r="K27" s="293" t="s">
        <v>1195</v>
      </c>
      <c r="L27" s="293" t="s">
        <v>1187</v>
      </c>
      <c r="M27" s="275" t="s">
        <v>1132</v>
      </c>
      <c r="N27" s="275" t="s">
        <v>1219</v>
      </c>
      <c r="O27" s="275" t="s">
        <v>1193</v>
      </c>
      <c r="P27" s="275" t="s">
        <v>1219</v>
      </c>
    </row>
    <row r="28" spans="1:16" x14ac:dyDescent="0.25">
      <c r="A28" s="275"/>
      <c r="B28" s="275" t="s">
        <v>1186</v>
      </c>
      <c r="C28" s="275" t="s">
        <v>1214</v>
      </c>
      <c r="D28" s="275" t="s">
        <v>1200</v>
      </c>
      <c r="E28" s="293"/>
      <c r="F28" s="293" t="s">
        <v>1132</v>
      </c>
      <c r="G28" s="275"/>
      <c r="H28" s="275" t="s">
        <v>1132</v>
      </c>
      <c r="I28" s="293"/>
      <c r="J28" s="293" t="s">
        <v>1200</v>
      </c>
      <c r="K28" s="293" t="s">
        <v>1214</v>
      </c>
      <c r="L28" s="293" t="s">
        <v>1193</v>
      </c>
      <c r="M28" s="275"/>
      <c r="N28" s="275" t="s">
        <v>1114</v>
      </c>
      <c r="O28" s="275"/>
      <c r="P28" s="275" t="s">
        <v>1119</v>
      </c>
    </row>
    <row r="29" spans="1:16" x14ac:dyDescent="0.25">
      <c r="C29" s="275"/>
      <c r="D29" s="275" t="s">
        <v>1193</v>
      </c>
      <c r="E29" s="293"/>
      <c r="F29" s="293" t="s">
        <v>1115</v>
      </c>
      <c r="G29" s="275"/>
      <c r="H29" s="275" t="s">
        <v>1193</v>
      </c>
      <c r="I29" s="293"/>
      <c r="J29" s="293" t="s">
        <v>1193</v>
      </c>
      <c r="K29" s="293"/>
      <c r="L29" s="293"/>
      <c r="M29" s="275"/>
      <c r="N29" s="275" t="s">
        <v>1142</v>
      </c>
      <c r="O29" s="275"/>
      <c r="P29" s="275" t="s">
        <v>1142</v>
      </c>
    </row>
    <row r="30" spans="1:16" x14ac:dyDescent="0.25">
      <c r="A30" s="351" t="s">
        <v>1205</v>
      </c>
      <c r="B30" s="351"/>
      <c r="C30" s="351" t="s">
        <v>1120</v>
      </c>
      <c r="D30" s="351"/>
      <c r="E30" s="351" t="s">
        <v>1124</v>
      </c>
      <c r="F30" s="351"/>
      <c r="G30" s="351" t="s">
        <v>1210</v>
      </c>
      <c r="H30" s="351"/>
      <c r="I30" s="351" t="s">
        <v>1184</v>
      </c>
      <c r="J30" s="351"/>
      <c r="K30" s="351" t="s">
        <v>1212</v>
      </c>
      <c r="L30" s="351"/>
      <c r="M30" s="351" t="s">
        <v>1188</v>
      </c>
      <c r="N30" s="351"/>
      <c r="O30" s="351" t="s">
        <v>1194</v>
      </c>
      <c r="P30" s="351"/>
    </row>
    <row r="31" spans="1:16" x14ac:dyDescent="0.25">
      <c r="A31" s="275" t="s">
        <v>1114</v>
      </c>
      <c r="B31" s="275" t="s">
        <v>1198</v>
      </c>
      <c r="C31" s="275" t="s">
        <v>1119</v>
      </c>
      <c r="D31" s="275" t="s">
        <v>1212</v>
      </c>
      <c r="E31" s="293" t="s">
        <v>1219</v>
      </c>
      <c r="F31" s="293" t="s">
        <v>1140</v>
      </c>
      <c r="G31" s="275" t="s">
        <v>1213</v>
      </c>
      <c r="H31" s="275" t="s">
        <v>1140</v>
      </c>
      <c r="I31" s="293" t="s">
        <v>1220</v>
      </c>
      <c r="J31" s="293" t="s">
        <v>1120</v>
      </c>
      <c r="K31" s="293" t="s">
        <v>1200</v>
      </c>
      <c r="L31" s="293" t="s">
        <v>1120</v>
      </c>
      <c r="M31" s="275" t="s">
        <v>1187</v>
      </c>
      <c r="N31" s="275" t="s">
        <v>1218</v>
      </c>
      <c r="O31" s="275" t="s">
        <v>1192</v>
      </c>
      <c r="P31" s="275" t="s">
        <v>1184</v>
      </c>
    </row>
    <row r="32" spans="1:16" x14ac:dyDescent="0.25">
      <c r="A32" s="275" t="s">
        <v>1217</v>
      </c>
      <c r="B32" s="275" t="s">
        <v>1187</v>
      </c>
      <c r="C32" s="275" t="s">
        <v>1118</v>
      </c>
      <c r="D32" s="275" t="s">
        <v>1184</v>
      </c>
      <c r="E32" s="293"/>
      <c r="F32" s="293" t="s">
        <v>1184</v>
      </c>
      <c r="G32" s="275"/>
      <c r="H32" s="275" t="s">
        <v>1220</v>
      </c>
      <c r="I32" s="293" t="s">
        <v>1143</v>
      </c>
      <c r="J32" s="293" t="s">
        <v>1124</v>
      </c>
      <c r="K32" s="293" t="s">
        <v>1189</v>
      </c>
      <c r="L32" s="293" t="s">
        <v>1213</v>
      </c>
      <c r="M32" s="275" t="s">
        <v>1132</v>
      </c>
      <c r="N32" s="275" t="s">
        <v>1131</v>
      </c>
      <c r="O32" s="275" t="s">
        <v>1193</v>
      </c>
      <c r="P32" s="275" t="s">
        <v>1220</v>
      </c>
    </row>
    <row r="33" spans="1:31" x14ac:dyDescent="0.25">
      <c r="A33" s="275"/>
      <c r="B33" s="275" t="s">
        <v>1132</v>
      </c>
      <c r="C33" s="275"/>
      <c r="D33" s="275" t="s">
        <v>1124</v>
      </c>
      <c r="E33" s="293"/>
      <c r="F33" s="293" t="s">
        <v>1132</v>
      </c>
      <c r="G33" s="275"/>
      <c r="H33" s="275" t="s">
        <v>1132</v>
      </c>
      <c r="I33" s="293" t="s">
        <v>1142</v>
      </c>
      <c r="J33" s="293" t="s">
        <v>1213</v>
      </c>
      <c r="K33" s="293" t="s">
        <v>1195</v>
      </c>
      <c r="L33" s="293" t="s">
        <v>1194</v>
      </c>
      <c r="M33" s="275"/>
      <c r="N33" s="275" t="s">
        <v>1124</v>
      </c>
      <c r="O33" s="275"/>
      <c r="P33" s="275" t="s">
        <v>1120</v>
      </c>
    </row>
    <row r="34" spans="1:31" x14ac:dyDescent="0.25">
      <c r="B34" s="275" t="s">
        <v>1212</v>
      </c>
      <c r="C34" s="275"/>
      <c r="D34" t="s">
        <v>1189</v>
      </c>
      <c r="E34" s="293"/>
      <c r="F34" s="293" t="s">
        <v>1220</v>
      </c>
      <c r="H34" t="s">
        <v>1143</v>
      </c>
      <c r="I34" s="293"/>
      <c r="J34" s="293" t="s">
        <v>1194</v>
      </c>
      <c r="K34" s="293"/>
      <c r="L34" s="293" t="s">
        <v>1118</v>
      </c>
      <c r="N34" t="s">
        <v>1184</v>
      </c>
      <c r="P34" t="s">
        <v>1212</v>
      </c>
    </row>
    <row r="35" spans="1:31" s="293" customFormat="1" x14ac:dyDescent="0.25">
      <c r="A35" s="351" t="s">
        <v>1206</v>
      </c>
      <c r="B35" s="351"/>
      <c r="C35" s="351" t="s">
        <v>1121</v>
      </c>
      <c r="D35" s="351"/>
      <c r="E35" s="351" t="s">
        <v>1178</v>
      </c>
      <c r="F35" s="351"/>
      <c r="G35" s="351" t="s">
        <v>1211</v>
      </c>
      <c r="H35" s="351"/>
      <c r="I35" s="351" t="s">
        <v>1185</v>
      </c>
      <c r="J35" s="351"/>
      <c r="K35" s="351" t="s">
        <v>1197</v>
      </c>
      <c r="L35" s="351"/>
      <c r="M35" s="351" t="s">
        <v>1133</v>
      </c>
      <c r="N35" s="351"/>
      <c r="O35" s="351" t="s">
        <v>1191</v>
      </c>
      <c r="P35" s="351"/>
    </row>
    <row r="36" spans="1:31" s="293" customFormat="1" x14ac:dyDescent="0.25">
      <c r="A36" s="293" t="s">
        <v>1140</v>
      </c>
      <c r="B36" s="293" t="s">
        <v>1230</v>
      </c>
      <c r="C36" s="293" t="s">
        <v>1120</v>
      </c>
      <c r="D36" s="293" t="s">
        <v>1197</v>
      </c>
      <c r="E36" s="293" t="s">
        <v>1124</v>
      </c>
      <c r="F36" s="293" t="s">
        <v>1116</v>
      </c>
      <c r="G36" s="293" t="s">
        <v>1213</v>
      </c>
      <c r="H36" s="293" t="s">
        <v>1116</v>
      </c>
      <c r="I36" s="293" t="s">
        <v>1220</v>
      </c>
      <c r="J36" s="293" t="s">
        <v>1231</v>
      </c>
    </row>
    <row r="37" spans="1:31" x14ac:dyDescent="0.25">
      <c r="A37" s="293" t="s">
        <v>1114</v>
      </c>
      <c r="B37" s="293" t="s">
        <v>1213</v>
      </c>
      <c r="C37" s="293" t="s">
        <v>1119</v>
      </c>
      <c r="D37" s="293" t="s">
        <v>1185</v>
      </c>
      <c r="E37" s="293" t="s">
        <v>1219</v>
      </c>
      <c r="F37" s="293" t="s">
        <v>1185</v>
      </c>
      <c r="G37" s="293"/>
      <c r="H37" s="293" t="s">
        <v>1197</v>
      </c>
      <c r="I37" s="293" t="s">
        <v>1184</v>
      </c>
      <c r="J37" s="293" t="s">
        <v>1197</v>
      </c>
      <c r="K37" s="293"/>
      <c r="L37" s="293"/>
      <c r="M37" s="293"/>
      <c r="N37" s="293"/>
      <c r="O37" s="293"/>
      <c r="P37" s="293"/>
    </row>
    <row r="38" spans="1:31" x14ac:dyDescent="0.25">
      <c r="A38" s="293"/>
      <c r="B38" s="293" t="s">
        <v>1133</v>
      </c>
      <c r="C38" s="293"/>
      <c r="D38" s="293" t="s">
        <v>1133</v>
      </c>
      <c r="E38" s="293"/>
      <c r="F38" s="293" t="s">
        <v>1191</v>
      </c>
      <c r="G38" s="293"/>
      <c r="H38" s="293" t="s">
        <v>1133</v>
      </c>
      <c r="I38" s="293"/>
      <c r="J38" s="293" t="s">
        <v>1191</v>
      </c>
      <c r="K38" s="293"/>
      <c r="L38" s="293"/>
      <c r="M38" s="293"/>
      <c r="N38" s="293"/>
      <c r="O38" s="293"/>
      <c r="P38" s="293"/>
    </row>
    <row r="39" spans="1:31" x14ac:dyDescent="0.25">
      <c r="A39" s="293"/>
      <c r="B39" s="293" t="s">
        <v>1191</v>
      </c>
      <c r="C39" s="293"/>
      <c r="D39" s="293" t="s">
        <v>1191</v>
      </c>
      <c r="E39" s="293"/>
      <c r="F39" s="293" t="s">
        <v>1197</v>
      </c>
      <c r="G39" s="293"/>
      <c r="H39" s="293" t="s">
        <v>1191</v>
      </c>
      <c r="I39" s="293"/>
      <c r="J39" s="293" t="s">
        <v>1120</v>
      </c>
      <c r="K39" s="293"/>
      <c r="L39" s="293"/>
      <c r="M39" s="293"/>
      <c r="N39" s="293"/>
      <c r="O39" s="293"/>
      <c r="P39" s="293"/>
    </row>
    <row r="40" spans="1:31" x14ac:dyDescent="0.25">
      <c r="A40" s="296"/>
      <c r="B40" s="296" t="s">
        <v>1113</v>
      </c>
      <c r="C40" s="296"/>
      <c r="D40" s="296"/>
      <c r="E40" s="296"/>
      <c r="F40" s="296"/>
      <c r="G40" s="296"/>
      <c r="H40" s="296"/>
      <c r="I40" s="296"/>
      <c r="J40" s="296"/>
      <c r="K40" s="296"/>
      <c r="L40" s="296"/>
      <c r="M40" s="296"/>
      <c r="N40" s="296"/>
      <c r="O40" s="296"/>
      <c r="P40" s="296"/>
      <c r="Q40" s="296"/>
      <c r="R40" s="296"/>
      <c r="S40" s="296"/>
      <c r="T40" s="296"/>
      <c r="U40" s="296"/>
      <c r="V40" s="296"/>
      <c r="W40" s="296"/>
      <c r="X40" s="176"/>
      <c r="Y40" s="176"/>
      <c r="Z40" s="176"/>
      <c r="AA40" s="176"/>
      <c r="AB40" s="176"/>
      <c r="AC40" s="176"/>
      <c r="AD40" s="176"/>
      <c r="AE40" s="176"/>
    </row>
    <row r="41" spans="1:31" x14ac:dyDescent="0.25">
      <c r="A41" s="296" t="s">
        <v>926</v>
      </c>
      <c r="B41" s="296"/>
      <c r="C41" s="296">
        <v>0</v>
      </c>
      <c r="D41" s="296"/>
      <c r="E41" s="296"/>
      <c r="F41" s="296"/>
      <c r="G41" s="296"/>
      <c r="H41" s="296"/>
      <c r="I41" s="296"/>
      <c r="J41" s="296"/>
      <c r="K41" s="296"/>
      <c r="L41" s="296"/>
      <c r="M41" s="296"/>
      <c r="N41" s="296"/>
      <c r="O41" s="296"/>
      <c r="P41" s="296"/>
      <c r="Q41" s="296"/>
      <c r="R41" s="296"/>
      <c r="S41" s="296"/>
      <c r="T41" s="296"/>
      <c r="U41" s="296"/>
      <c r="V41" s="296"/>
      <c r="W41" s="296"/>
      <c r="X41" s="176"/>
      <c r="Y41" s="176"/>
      <c r="Z41" s="176"/>
      <c r="AA41" s="176"/>
      <c r="AB41" s="176"/>
      <c r="AC41" s="176"/>
      <c r="AD41" s="176"/>
      <c r="AE41" s="176"/>
    </row>
    <row r="42" spans="1:31" x14ac:dyDescent="0.25">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1232</v>
      </c>
      <c r="Z42" s="279" t="s">
        <v>203</v>
      </c>
      <c r="AA42" s="283" t="s">
        <v>1149</v>
      </c>
      <c r="AB42" s="283" t="s">
        <v>149</v>
      </c>
      <c r="AC42" s="283" t="s">
        <v>1233</v>
      </c>
      <c r="AD42" s="279" t="s">
        <v>203</v>
      </c>
      <c r="AE42" s="283" t="s">
        <v>1149</v>
      </c>
    </row>
    <row r="43" spans="1:31" x14ac:dyDescent="0.25">
      <c r="A43" s="282" t="s">
        <v>1244</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926</v>
      </c>
      <c r="N43" s="59" t="str">
        <f t="shared" ref="N43" si="3">VLOOKUP(M43,LISTAITEMS,2,FALSE)</f>
        <v>ninguno</v>
      </c>
      <c r="O43" s="278">
        <f>VLOOKUP(M43,LISTAITEMS,5,FALSE)</f>
        <v>0</v>
      </c>
      <c r="P43" s="280">
        <v>0</v>
      </c>
      <c r="Q43" s="281" t="s">
        <v>926</v>
      </c>
      <c r="R43" s="59" t="str">
        <f t="shared" ref="R43" si="4">VLOOKUP(Q43,LISTAITEMS,2,FALSE)</f>
        <v>ninguno</v>
      </c>
      <c r="S43" s="278">
        <f>VLOOKUP(Q43,LISTAITEMS,5,FALSE)</f>
        <v>0</v>
      </c>
      <c r="T43" s="280">
        <v>0</v>
      </c>
      <c r="U43" s="281" t="s">
        <v>926</v>
      </c>
      <c r="V43" s="59" t="str">
        <f t="shared" ref="V43" si="5">VLOOKUP(U43,LISTAITEMS,2,FALSE)</f>
        <v>ninguno</v>
      </c>
      <c r="W43" s="278">
        <f>VLOOKUP(U43,LISTAITEMS,5,FALSE)</f>
        <v>0</v>
      </c>
      <c r="X43" s="280">
        <v>0</v>
      </c>
      <c r="Y43" s="281" t="s">
        <v>926</v>
      </c>
      <c r="Z43" s="59" t="str">
        <f t="shared" ref="Z43" si="6">VLOOKUP(Y43,LISTAITEMS,2,FALSE)</f>
        <v>ninguno</v>
      </c>
      <c r="AA43" s="278">
        <f>VLOOKUP(Y43,LISTAITEMS,5,FALSE)</f>
        <v>0</v>
      </c>
      <c r="AB43" s="280">
        <v>0</v>
      </c>
      <c r="AC43" s="281" t="s">
        <v>926</v>
      </c>
      <c r="AD43" s="59" t="str">
        <f t="shared" ref="AD43" si="7">VLOOKUP(AC43,LISTAITEMS,2,FALSE)</f>
        <v>ninguno</v>
      </c>
      <c r="AE43" s="278">
        <f>VLOOKUP(AC43,LISTAITEMS,5,FALSE)</f>
        <v>0</v>
      </c>
    </row>
    <row r="44" spans="1:31" s="298" customFormat="1" x14ac:dyDescent="0.25">
      <c r="A44" s="296"/>
      <c r="B44" s="296" t="s">
        <v>1115</v>
      </c>
      <c r="C44" s="296"/>
      <c r="D44" s="296"/>
      <c r="E44" s="296"/>
      <c r="F44" s="296"/>
      <c r="G44" s="296"/>
      <c r="H44" s="296"/>
      <c r="I44" s="296"/>
      <c r="J44" s="296"/>
      <c r="K44" s="296"/>
      <c r="L44" s="296"/>
      <c r="M44" s="296"/>
      <c r="N44" s="296"/>
      <c r="O44" s="296"/>
      <c r="P44" s="296"/>
      <c r="Q44" s="296"/>
      <c r="R44" s="296"/>
      <c r="S44" s="296"/>
      <c r="T44" s="296"/>
      <c r="U44" s="296"/>
      <c r="V44" s="296"/>
      <c r="W44" s="296"/>
      <c r="X44" s="176"/>
      <c r="Y44" s="176"/>
      <c r="Z44" s="176"/>
      <c r="AA44" s="176"/>
      <c r="AB44" s="176"/>
      <c r="AC44" s="176"/>
      <c r="AD44" s="176"/>
      <c r="AE44" s="176"/>
    </row>
    <row r="45" spans="1:31" s="298" customFormat="1" x14ac:dyDescent="0.25">
      <c r="A45" s="276"/>
      <c r="B45" s="276" t="s">
        <v>203</v>
      </c>
      <c r="C45" s="279" t="s">
        <v>202</v>
      </c>
      <c r="D45" s="283" t="s">
        <v>149</v>
      </c>
      <c r="E45" s="283" t="s">
        <v>1144</v>
      </c>
      <c r="F45" s="279" t="s">
        <v>203</v>
      </c>
      <c r="G45" s="283" t="s">
        <v>1149</v>
      </c>
      <c r="H45" s="283" t="s">
        <v>149</v>
      </c>
      <c r="I45" s="283" t="s">
        <v>1145</v>
      </c>
      <c r="J45" s="279" t="s">
        <v>203</v>
      </c>
      <c r="K45" s="283" t="s">
        <v>1149</v>
      </c>
      <c r="L45" s="283" t="s">
        <v>149</v>
      </c>
      <c r="M45" s="283" t="s">
        <v>1146</v>
      </c>
      <c r="N45" s="279" t="s">
        <v>203</v>
      </c>
      <c r="O45" s="283" t="s">
        <v>1149</v>
      </c>
      <c r="P45" s="283" t="s">
        <v>149</v>
      </c>
      <c r="Q45" s="283" t="s">
        <v>1147</v>
      </c>
      <c r="R45" s="279" t="s">
        <v>203</v>
      </c>
      <c r="S45" s="283" t="s">
        <v>1149</v>
      </c>
      <c r="T45" s="283" t="s">
        <v>149</v>
      </c>
      <c r="U45" s="283" t="s">
        <v>1148</v>
      </c>
      <c r="V45" s="279" t="s">
        <v>203</v>
      </c>
      <c r="W45" s="283" t="s">
        <v>1149</v>
      </c>
      <c r="X45" s="283" t="s">
        <v>149</v>
      </c>
      <c r="Y45" s="283" t="s">
        <v>1232</v>
      </c>
      <c r="Z45" s="279" t="s">
        <v>203</v>
      </c>
      <c r="AA45" s="283" t="s">
        <v>1149</v>
      </c>
      <c r="AB45" s="283" t="s">
        <v>149</v>
      </c>
      <c r="AC45" s="283" t="s">
        <v>1233</v>
      </c>
      <c r="AD45" s="279" t="s">
        <v>203</v>
      </c>
      <c r="AE45" s="283" t="s">
        <v>1149</v>
      </c>
    </row>
    <row r="46" spans="1:31" s="298" customFormat="1" x14ac:dyDescent="0.25">
      <c r="A46" s="282" t="s">
        <v>1252</v>
      </c>
      <c r="B46" s="282"/>
      <c r="C46" s="277">
        <f t="shared" ref="C46" si="8">((D46*G46)+(K46*H46)+(O46*L46)+(S46*P46)+(W46*T46)+(X46*AA46)+(AB46*AE46))</f>
        <v>368</v>
      </c>
      <c r="D46" s="280">
        <v>1</v>
      </c>
      <c r="E46" s="281" t="s">
        <v>1244</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926</v>
      </c>
      <c r="N46" s="59" t="str">
        <f t="shared" ref="N46" si="11">VLOOKUP(M46,LISTAITEMS,2,FALSE)</f>
        <v>ninguno</v>
      </c>
      <c r="O46" s="278">
        <f t="shared" ref="O46" si="12">VLOOKUP(M46,LISTAITEMS,5,FALSE)</f>
        <v>0</v>
      </c>
      <c r="P46" s="280">
        <v>0</v>
      </c>
      <c r="Q46" s="281" t="s">
        <v>926</v>
      </c>
      <c r="R46" s="59" t="str">
        <f t="shared" ref="R46" si="13">VLOOKUP(Q46,LISTAITEMS,2,FALSE)</f>
        <v>ninguno</v>
      </c>
      <c r="S46" s="278">
        <f t="shared" ref="S46" si="14">VLOOKUP(Q46,LISTAITEMS,5,FALSE)</f>
        <v>0</v>
      </c>
      <c r="T46" s="280">
        <v>0</v>
      </c>
      <c r="U46" s="281" t="s">
        <v>926</v>
      </c>
      <c r="V46" s="59" t="str">
        <f t="shared" ref="V46" si="15">VLOOKUP(U46,LISTAITEMS,2,FALSE)</f>
        <v>ninguno</v>
      </c>
      <c r="W46" s="278">
        <f t="shared" ref="W46" si="16">VLOOKUP(U46,LISTAITEMS,5,FALSE)</f>
        <v>0</v>
      </c>
      <c r="X46" s="280">
        <v>0</v>
      </c>
      <c r="Y46" s="281" t="s">
        <v>926</v>
      </c>
      <c r="Z46" s="59" t="str">
        <f t="shared" ref="Z46" si="17">VLOOKUP(Y46,LISTAITEMS,2,FALSE)</f>
        <v>ninguno</v>
      </c>
      <c r="AA46" s="278">
        <f t="shared" ref="AA46" si="18">VLOOKUP(Y46,LISTAITEMS,5,FALSE)</f>
        <v>0</v>
      </c>
      <c r="AB46" s="280">
        <v>0</v>
      </c>
      <c r="AC46" s="281" t="s">
        <v>926</v>
      </c>
      <c r="AD46" s="59" t="str">
        <f t="shared" ref="AD46" si="19">VLOOKUP(AC46,LISTAITEMS,2,FALSE)</f>
        <v>ninguno</v>
      </c>
      <c r="AE46" s="278">
        <f t="shared" ref="AE46" si="20">VLOOKUP(AC46,LISTAITEMS,5,FALSE)</f>
        <v>0</v>
      </c>
    </row>
    <row r="47" spans="1:31" s="275" customFormat="1" x14ac:dyDescent="0.25">
      <c r="A47"/>
      <c r="B47"/>
      <c r="C47"/>
      <c r="D47"/>
      <c r="E47"/>
      <c r="F47"/>
      <c r="G47"/>
      <c r="H47"/>
      <c r="I47"/>
      <c r="J47"/>
      <c r="K47"/>
      <c r="L47"/>
      <c r="M47"/>
      <c r="N47"/>
      <c r="O47"/>
      <c r="P47"/>
      <c r="Q47"/>
      <c r="R47"/>
      <c r="S47"/>
      <c r="T47"/>
      <c r="U47"/>
      <c r="V47"/>
      <c r="W47"/>
    </row>
    <row r="48" spans="1:31" s="294" customFormat="1" x14ac:dyDescent="0.25">
      <c r="A48" s="296"/>
      <c r="B48" s="296" t="s">
        <v>1117</v>
      </c>
      <c r="C48" s="296"/>
      <c r="D48" s="296"/>
      <c r="E48" s="296"/>
      <c r="F48" s="296"/>
      <c r="G48" s="296"/>
      <c r="H48" s="296"/>
      <c r="I48" s="296"/>
      <c r="J48" s="296"/>
      <c r="K48" s="296"/>
      <c r="L48" s="296"/>
      <c r="M48" s="296"/>
      <c r="N48" s="296"/>
      <c r="O48" s="296"/>
      <c r="P48" s="296"/>
      <c r="Q48" s="296"/>
      <c r="R48" s="296"/>
      <c r="S48" s="296"/>
      <c r="T48" s="296"/>
      <c r="U48" s="296"/>
      <c r="V48" s="296"/>
      <c r="W48" s="296"/>
      <c r="X48" s="176"/>
      <c r="Y48" s="176"/>
      <c r="Z48" s="176"/>
      <c r="AA48" s="176"/>
      <c r="AB48" s="176"/>
      <c r="AC48" s="176"/>
      <c r="AD48" s="176"/>
      <c r="AE48" s="176"/>
    </row>
    <row r="49" spans="1:31" s="294" customFormat="1" x14ac:dyDescent="0.25">
      <c r="A49" s="276"/>
      <c r="B49" s="276" t="s">
        <v>203</v>
      </c>
      <c r="C49" s="279" t="s">
        <v>202</v>
      </c>
      <c r="D49" s="283" t="s">
        <v>149</v>
      </c>
      <c r="E49" s="283" t="s">
        <v>1144</v>
      </c>
      <c r="F49" s="279" t="s">
        <v>203</v>
      </c>
      <c r="G49" s="283" t="s">
        <v>1149</v>
      </c>
      <c r="H49" s="283" t="s">
        <v>149</v>
      </c>
      <c r="I49" s="283" t="s">
        <v>1145</v>
      </c>
      <c r="J49" s="279" t="s">
        <v>203</v>
      </c>
      <c r="K49" s="283" t="s">
        <v>1149</v>
      </c>
      <c r="L49" s="283" t="s">
        <v>149</v>
      </c>
      <c r="M49" s="283" t="s">
        <v>1146</v>
      </c>
      <c r="N49" s="279" t="s">
        <v>203</v>
      </c>
      <c r="O49" s="283" t="s">
        <v>1149</v>
      </c>
      <c r="P49" s="283" t="s">
        <v>149</v>
      </c>
      <c r="Q49" s="283" t="s">
        <v>1147</v>
      </c>
      <c r="R49" s="279" t="s">
        <v>203</v>
      </c>
      <c r="S49" s="283" t="s">
        <v>1149</v>
      </c>
      <c r="T49" s="283" t="s">
        <v>149</v>
      </c>
      <c r="U49" s="283" t="s">
        <v>1148</v>
      </c>
      <c r="V49" s="279" t="s">
        <v>203</v>
      </c>
      <c r="W49" s="283" t="s">
        <v>1149</v>
      </c>
      <c r="X49" s="283" t="s">
        <v>149</v>
      </c>
      <c r="Y49" s="283" t="s">
        <v>1232</v>
      </c>
      <c r="Z49" s="279" t="s">
        <v>203</v>
      </c>
      <c r="AA49" s="283" t="s">
        <v>1149</v>
      </c>
      <c r="AB49" s="283" t="s">
        <v>149</v>
      </c>
      <c r="AC49" s="283" t="s">
        <v>1233</v>
      </c>
      <c r="AD49" s="279" t="s">
        <v>203</v>
      </c>
      <c r="AE49" s="283" t="s">
        <v>1149</v>
      </c>
    </row>
    <row r="50" spans="1:31" s="294" customFormat="1" x14ac:dyDescent="0.25">
      <c r="A50" s="282" t="s">
        <v>1243</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1239</v>
      </c>
      <c r="J50" s="59" t="str">
        <f>I50</f>
        <v>Ppl Astillado</v>
      </c>
      <c r="K50" s="278">
        <f t="shared" ref="K50" si="24">VLOOKUP(I50,craftedesp,3,FALSE)</f>
        <v>512</v>
      </c>
      <c r="L50" s="280">
        <v>0</v>
      </c>
      <c r="M50" s="281" t="s">
        <v>926</v>
      </c>
      <c r="N50" s="59" t="str">
        <f t="shared" ref="N50" si="25">VLOOKUP(M50,LISTAITEMS,2,FALSE)</f>
        <v>ninguno</v>
      </c>
      <c r="O50" s="278">
        <f t="shared" ref="O50" si="26">VLOOKUP(M50,LISTAITEMS,5,FALSE)</f>
        <v>0</v>
      </c>
      <c r="P50" s="280">
        <v>0</v>
      </c>
      <c r="Q50" s="281" t="s">
        <v>926</v>
      </c>
      <c r="R50" s="59" t="str">
        <f t="shared" ref="R50" si="27">VLOOKUP(Q50,LISTAITEMS,2,FALSE)</f>
        <v>ninguno</v>
      </c>
      <c r="S50" s="278">
        <f t="shared" ref="S50" si="28">VLOOKUP(Q50,LISTAITEMS,5,FALSE)</f>
        <v>0</v>
      </c>
      <c r="T50" s="280">
        <v>0</v>
      </c>
      <c r="U50" s="281" t="s">
        <v>926</v>
      </c>
      <c r="V50" s="59" t="str">
        <f t="shared" ref="V50" si="29">VLOOKUP(U50,LISTAITEMS,2,FALSE)</f>
        <v>ninguno</v>
      </c>
      <c r="W50" s="278">
        <f t="shared" ref="W50" si="30">VLOOKUP(U50,LISTAITEMS,5,FALSE)</f>
        <v>0</v>
      </c>
      <c r="X50" s="280">
        <v>0</v>
      </c>
      <c r="Y50" s="281" t="s">
        <v>926</v>
      </c>
      <c r="Z50" s="59" t="str">
        <f t="shared" ref="Z50" si="31">VLOOKUP(Y50,LISTAITEMS,2,FALSE)</f>
        <v>ninguno</v>
      </c>
      <c r="AA50" s="278">
        <f t="shared" ref="AA50" si="32">VLOOKUP(Y50,LISTAITEMS,5,FALSE)</f>
        <v>0</v>
      </c>
      <c r="AB50" s="280">
        <v>0</v>
      </c>
      <c r="AC50" s="281" t="s">
        <v>926</v>
      </c>
      <c r="AD50" s="59" t="str">
        <f t="shared" ref="AD50" si="33">VLOOKUP(AC50,LISTAITEMS,2,FALSE)</f>
        <v>ninguno</v>
      </c>
      <c r="AE50" s="278">
        <f t="shared" ref="AE50" si="34">VLOOKUP(AC50,LISTAITEMS,5,FALSE)</f>
        <v>0</v>
      </c>
    </row>
    <row r="52" spans="1:31" s="294" customFormat="1" x14ac:dyDescent="0.25">
      <c r="A52" s="296"/>
      <c r="B52" s="296" t="s">
        <v>1190</v>
      </c>
      <c r="C52" s="296"/>
      <c r="D52" s="296"/>
      <c r="E52" s="296"/>
      <c r="F52" s="296"/>
      <c r="G52" s="296"/>
      <c r="H52" s="296"/>
      <c r="I52" s="296"/>
      <c r="J52" s="296"/>
      <c r="K52" s="296"/>
      <c r="L52" s="296"/>
      <c r="M52" s="296"/>
      <c r="N52" s="296"/>
      <c r="O52" s="296"/>
      <c r="P52" s="296"/>
      <c r="Q52" s="296"/>
      <c r="R52" s="296"/>
      <c r="S52" s="296"/>
      <c r="T52" s="296"/>
      <c r="U52" s="296"/>
      <c r="V52" s="296"/>
      <c r="W52" s="296"/>
      <c r="X52" s="176"/>
      <c r="Y52" s="176"/>
      <c r="Z52" s="176"/>
      <c r="AA52" s="176"/>
      <c r="AB52" s="176"/>
      <c r="AC52" s="176"/>
      <c r="AD52" s="176"/>
      <c r="AE52" s="176"/>
    </row>
    <row r="53" spans="1:31" s="294" customFormat="1" x14ac:dyDescent="0.25">
      <c r="A53" s="276"/>
      <c r="B53" s="276" t="s">
        <v>203</v>
      </c>
      <c r="C53" s="279" t="s">
        <v>202</v>
      </c>
      <c r="D53" s="283" t="s">
        <v>149</v>
      </c>
      <c r="E53" s="283" t="s">
        <v>1144</v>
      </c>
      <c r="F53" s="279" t="s">
        <v>203</v>
      </c>
      <c r="G53" s="283" t="s">
        <v>1149</v>
      </c>
      <c r="H53" s="283" t="s">
        <v>149</v>
      </c>
      <c r="I53" s="283" t="s">
        <v>1145</v>
      </c>
      <c r="J53" s="279" t="s">
        <v>203</v>
      </c>
      <c r="K53" s="283" t="s">
        <v>1149</v>
      </c>
      <c r="L53" s="283" t="s">
        <v>149</v>
      </c>
      <c r="M53" s="283" t="s">
        <v>1146</v>
      </c>
      <c r="N53" s="279" t="s">
        <v>203</v>
      </c>
      <c r="O53" s="283" t="s">
        <v>1149</v>
      </c>
      <c r="P53" s="283" t="s">
        <v>149</v>
      </c>
      <c r="Q53" s="283" t="s">
        <v>1147</v>
      </c>
      <c r="R53" s="279" t="s">
        <v>203</v>
      </c>
      <c r="S53" s="283" t="s">
        <v>1149</v>
      </c>
      <c r="T53" s="283" t="s">
        <v>149</v>
      </c>
      <c r="U53" s="283" t="s">
        <v>1148</v>
      </c>
      <c r="V53" s="279" t="s">
        <v>203</v>
      </c>
      <c r="W53" s="283" t="s">
        <v>1149</v>
      </c>
      <c r="X53" s="283" t="s">
        <v>149</v>
      </c>
      <c r="Y53" s="283" t="s">
        <v>1232</v>
      </c>
      <c r="Z53" s="279" t="s">
        <v>203</v>
      </c>
      <c r="AA53" s="283" t="s">
        <v>1149</v>
      </c>
      <c r="AB53" s="283" t="s">
        <v>149</v>
      </c>
      <c r="AC53" s="283" t="s">
        <v>1233</v>
      </c>
      <c r="AD53" s="279" t="s">
        <v>203</v>
      </c>
      <c r="AE53" s="283" t="s">
        <v>1149</v>
      </c>
    </row>
    <row r="54" spans="1:31" s="294" customFormat="1" x14ac:dyDescent="0.25">
      <c r="A54" s="282" t="s">
        <v>1239</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1164</v>
      </c>
      <c r="J54" s="59" t="str">
        <f>I54</f>
        <v>Corteza de roble</v>
      </c>
      <c r="K54" s="278">
        <f t="shared" ref="K54" si="38">VLOOKUP(I54,craftedesp,3,FALSE)</f>
        <v>256</v>
      </c>
      <c r="L54" s="280">
        <v>0</v>
      </c>
      <c r="M54" s="281" t="s">
        <v>926</v>
      </c>
      <c r="N54" s="59" t="str">
        <f t="shared" ref="N54" si="39">VLOOKUP(M54,LISTAITEMS,2,FALSE)</f>
        <v>ninguno</v>
      </c>
      <c r="O54" s="278">
        <f t="shared" ref="O54" si="40">VLOOKUP(M54,LISTAITEMS,5,FALSE)</f>
        <v>0</v>
      </c>
      <c r="P54" s="280">
        <v>0</v>
      </c>
      <c r="Q54" s="281" t="s">
        <v>926</v>
      </c>
      <c r="R54" s="59" t="str">
        <f t="shared" ref="R54" si="41">VLOOKUP(Q54,LISTAITEMS,2,FALSE)</f>
        <v>ninguno</v>
      </c>
      <c r="S54" s="278">
        <f t="shared" ref="S54" si="42">VLOOKUP(Q54,LISTAITEMS,5,FALSE)</f>
        <v>0</v>
      </c>
      <c r="T54" s="280">
        <v>0</v>
      </c>
      <c r="U54" s="281" t="s">
        <v>926</v>
      </c>
      <c r="V54" s="59" t="str">
        <f t="shared" ref="V54" si="43">VLOOKUP(U54,LISTAITEMS,2,FALSE)</f>
        <v>ninguno</v>
      </c>
      <c r="W54" s="278">
        <f t="shared" ref="W54" si="44">VLOOKUP(U54,LISTAITEMS,5,FALSE)</f>
        <v>0</v>
      </c>
      <c r="X54" s="280">
        <v>0</v>
      </c>
      <c r="Y54" s="281" t="s">
        <v>926</v>
      </c>
      <c r="Z54" s="59" t="str">
        <f t="shared" ref="Z54" si="45">VLOOKUP(Y54,LISTAITEMS,2,FALSE)</f>
        <v>ninguno</v>
      </c>
      <c r="AA54" s="278">
        <f t="shared" ref="AA54" si="46">VLOOKUP(Y54,LISTAITEMS,5,FALSE)</f>
        <v>0</v>
      </c>
      <c r="AB54" s="280">
        <v>0</v>
      </c>
      <c r="AC54" s="281" t="s">
        <v>926</v>
      </c>
      <c r="AD54" s="59" t="str">
        <f t="shared" ref="AD54" si="47">VLOOKUP(AC54,LISTAITEMS,2,FALSE)</f>
        <v>ninguno</v>
      </c>
      <c r="AE54" s="278">
        <f t="shared" ref="AE54" si="48">VLOOKUP(AC54,LISTAITEMS,5,FALSE)</f>
        <v>0</v>
      </c>
    </row>
    <row r="55" spans="1:31" s="292" customFormat="1" x14ac:dyDescent="0.25">
      <c r="A55"/>
      <c r="B55"/>
      <c r="C55"/>
      <c r="D55"/>
      <c r="E55"/>
      <c r="F55"/>
      <c r="G55"/>
      <c r="H55"/>
      <c r="I55"/>
      <c r="J55"/>
      <c r="K55"/>
      <c r="L55"/>
      <c r="M55"/>
      <c r="N55"/>
      <c r="O55"/>
      <c r="P55"/>
      <c r="Q55"/>
      <c r="R55"/>
      <c r="S55"/>
      <c r="T55"/>
      <c r="U55"/>
      <c r="V55"/>
      <c r="W55"/>
    </row>
    <row r="56" spans="1:31" s="292" customFormat="1" x14ac:dyDescent="0.25">
      <c r="A56" s="296"/>
      <c r="B56" s="296" t="s">
        <v>1131</v>
      </c>
      <c r="C56" s="296"/>
      <c r="D56" s="296"/>
      <c r="E56" s="296"/>
      <c r="F56" s="296"/>
      <c r="G56" s="296"/>
      <c r="H56" s="296"/>
      <c r="I56" s="296"/>
      <c r="J56" s="296"/>
      <c r="K56" s="296"/>
      <c r="L56" s="296"/>
      <c r="M56" s="296"/>
      <c r="N56" s="296"/>
      <c r="O56" s="296"/>
      <c r="P56" s="296"/>
      <c r="Q56" s="296"/>
      <c r="R56" s="296"/>
      <c r="S56" s="296"/>
      <c r="T56" s="296"/>
      <c r="U56" s="296"/>
      <c r="V56" s="296"/>
      <c r="W56" s="296"/>
      <c r="X56" s="176"/>
      <c r="Y56" s="176"/>
      <c r="Z56" s="176"/>
      <c r="AA56" s="176"/>
      <c r="AB56" s="176"/>
      <c r="AC56" s="176"/>
      <c r="AD56" s="176"/>
      <c r="AE56" s="176"/>
    </row>
    <row r="57" spans="1:31" x14ac:dyDescent="0.25">
      <c r="A57" s="276"/>
      <c r="B57" s="276" t="s">
        <v>203</v>
      </c>
      <c r="C57" s="279" t="s">
        <v>202</v>
      </c>
      <c r="D57" s="283" t="s">
        <v>149</v>
      </c>
      <c r="E57" s="283" t="s">
        <v>1144</v>
      </c>
      <c r="F57" s="279" t="s">
        <v>203</v>
      </c>
      <c r="G57" s="283" t="s">
        <v>1149</v>
      </c>
      <c r="H57" s="283" t="s">
        <v>149</v>
      </c>
      <c r="I57" s="283" t="s">
        <v>1145</v>
      </c>
      <c r="J57" s="279" t="s">
        <v>203</v>
      </c>
      <c r="K57" s="283" t="s">
        <v>1149</v>
      </c>
      <c r="L57" s="283" t="s">
        <v>149</v>
      </c>
      <c r="M57" s="283" t="s">
        <v>1146</v>
      </c>
      <c r="N57" s="279" t="s">
        <v>203</v>
      </c>
      <c r="O57" s="283" t="s">
        <v>1149</v>
      </c>
      <c r="P57" s="283" t="s">
        <v>149</v>
      </c>
      <c r="Q57" s="283" t="s">
        <v>1147</v>
      </c>
      <c r="R57" s="279" t="s">
        <v>203</v>
      </c>
      <c r="S57" s="283" t="s">
        <v>1149</v>
      </c>
      <c r="T57" s="283" t="s">
        <v>149</v>
      </c>
      <c r="U57" s="283" t="s">
        <v>1148</v>
      </c>
      <c r="V57" s="279" t="s">
        <v>203</v>
      </c>
      <c r="W57" s="283" t="s">
        <v>1149</v>
      </c>
      <c r="X57" s="283" t="s">
        <v>149</v>
      </c>
      <c r="Y57" s="283" t="s">
        <v>1232</v>
      </c>
      <c r="Z57" s="279" t="s">
        <v>203</v>
      </c>
      <c r="AA57" s="283" t="s">
        <v>1149</v>
      </c>
      <c r="AB57" s="283" t="s">
        <v>149</v>
      </c>
      <c r="AC57" s="283" t="s">
        <v>1233</v>
      </c>
      <c r="AD57" s="279" t="s">
        <v>203</v>
      </c>
      <c r="AE57" s="283" t="s">
        <v>1149</v>
      </c>
    </row>
    <row r="58" spans="1:31" x14ac:dyDescent="0.25">
      <c r="A58" s="282" t="s">
        <v>1164</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926</v>
      </c>
      <c r="J58" s="59" t="str">
        <f t="shared" ref="J58:J59" si="52">VLOOKUP(I58,LISTAITEMS,2,FALSE)</f>
        <v>ninguno</v>
      </c>
      <c r="K58" s="278">
        <f t="shared" ref="K58:K63" si="53">VLOOKUP(I58,LISTAITEMS,5,FALSE)</f>
        <v>0</v>
      </c>
      <c r="L58" s="280">
        <v>0</v>
      </c>
      <c r="M58" s="281" t="s">
        <v>926</v>
      </c>
      <c r="N58" s="59" t="str">
        <f t="shared" ref="N58:N59" si="54">VLOOKUP(M58,LISTAITEMS,2,FALSE)</f>
        <v>ninguno</v>
      </c>
      <c r="O58" s="278">
        <f t="shared" ref="O58:O63" si="55">VLOOKUP(M58,LISTAITEMS,5,FALSE)</f>
        <v>0</v>
      </c>
      <c r="P58" s="280">
        <v>0</v>
      </c>
      <c r="Q58" s="281" t="s">
        <v>926</v>
      </c>
      <c r="R58" s="59" t="str">
        <f t="shared" ref="R58:R59" si="56">VLOOKUP(Q58,LISTAITEMS,2,FALSE)</f>
        <v>ninguno</v>
      </c>
      <c r="S58" s="278">
        <f t="shared" ref="S58:S63" si="57">VLOOKUP(Q58,LISTAITEMS,5,FALSE)</f>
        <v>0</v>
      </c>
      <c r="T58" s="280">
        <v>0</v>
      </c>
      <c r="U58" s="281" t="s">
        <v>926</v>
      </c>
      <c r="V58" s="59" t="str">
        <f t="shared" ref="V58:V59" si="58">VLOOKUP(U58,LISTAITEMS,2,FALSE)</f>
        <v>ninguno</v>
      </c>
      <c r="W58" s="278">
        <f t="shared" ref="W58:W63" si="59">VLOOKUP(U58,LISTAITEMS,5,FALSE)</f>
        <v>0</v>
      </c>
      <c r="X58" s="280">
        <v>0</v>
      </c>
      <c r="Y58" s="281" t="s">
        <v>926</v>
      </c>
      <c r="Z58" s="59" t="str">
        <f t="shared" ref="Z58:Z59" si="60">VLOOKUP(Y58,LISTAITEMS,2,FALSE)</f>
        <v>ninguno</v>
      </c>
      <c r="AA58" s="278">
        <f t="shared" ref="AA58:AA63" si="61">VLOOKUP(Y58,LISTAITEMS,5,FALSE)</f>
        <v>0</v>
      </c>
      <c r="AB58" s="280">
        <v>0</v>
      </c>
      <c r="AC58" s="281" t="s">
        <v>926</v>
      </c>
      <c r="AD58" s="59" t="str">
        <f t="shared" ref="AD58:AD59" si="62">VLOOKUP(AC58,LISTAITEMS,2,FALSE)</f>
        <v>ninguno</v>
      </c>
      <c r="AE58" s="278">
        <f t="shared" ref="AE58:AE63" si="63">VLOOKUP(AC58,LISTAITEMS,5,FALSE)</f>
        <v>0</v>
      </c>
    </row>
    <row r="59" spans="1:31" x14ac:dyDescent="0.25">
      <c r="A59" s="282" t="s">
        <v>1166</v>
      </c>
      <c r="B59" s="282"/>
      <c r="C59" s="277">
        <f t="shared" si="49"/>
        <v>704</v>
      </c>
      <c r="D59" s="280">
        <v>64</v>
      </c>
      <c r="E59" s="281" t="s">
        <v>244</v>
      </c>
      <c r="F59" s="59" t="str">
        <f t="shared" si="50"/>
        <v>Spruce Log</v>
      </c>
      <c r="G59" s="278">
        <f t="shared" si="51"/>
        <v>11</v>
      </c>
      <c r="H59" s="280">
        <v>0</v>
      </c>
      <c r="I59" s="281" t="s">
        <v>926</v>
      </c>
      <c r="J59" s="59" t="str">
        <f t="shared" si="52"/>
        <v>ninguno</v>
      </c>
      <c r="K59" s="278">
        <f t="shared" si="53"/>
        <v>0</v>
      </c>
      <c r="L59" s="280">
        <v>0</v>
      </c>
      <c r="M59" s="281" t="s">
        <v>926</v>
      </c>
      <c r="N59" s="59" t="str">
        <f t="shared" si="54"/>
        <v>ninguno</v>
      </c>
      <c r="O59" s="278">
        <f t="shared" si="55"/>
        <v>0</v>
      </c>
      <c r="P59" s="280">
        <v>0</v>
      </c>
      <c r="Q59" s="281" t="s">
        <v>926</v>
      </c>
      <c r="R59" s="59" t="str">
        <f t="shared" si="56"/>
        <v>ninguno</v>
      </c>
      <c r="S59" s="278">
        <f t="shared" si="57"/>
        <v>0</v>
      </c>
      <c r="T59" s="280">
        <v>0</v>
      </c>
      <c r="U59" s="281" t="s">
        <v>926</v>
      </c>
      <c r="V59" s="59" t="str">
        <f t="shared" si="58"/>
        <v>ninguno</v>
      </c>
      <c r="W59" s="278">
        <f t="shared" si="59"/>
        <v>0</v>
      </c>
      <c r="X59" s="280">
        <v>0</v>
      </c>
      <c r="Y59" s="281" t="s">
        <v>926</v>
      </c>
      <c r="Z59" s="59" t="str">
        <f t="shared" si="60"/>
        <v>ninguno</v>
      </c>
      <c r="AA59" s="278">
        <f t="shared" si="61"/>
        <v>0</v>
      </c>
      <c r="AB59" s="280">
        <v>0</v>
      </c>
      <c r="AC59" s="281" t="s">
        <v>926</v>
      </c>
      <c r="AD59" s="59" t="str">
        <f t="shared" si="62"/>
        <v>ninguno</v>
      </c>
      <c r="AE59" s="278">
        <f t="shared" si="63"/>
        <v>0</v>
      </c>
    </row>
    <row r="60" spans="1:31" s="293" customFormat="1" x14ac:dyDescent="0.25">
      <c r="A60" s="282" t="s">
        <v>1167</v>
      </c>
      <c r="B60" s="282"/>
      <c r="C60" s="277">
        <f t="shared" si="49"/>
        <v>1088</v>
      </c>
      <c r="D60" s="280">
        <v>64</v>
      </c>
      <c r="E60" s="281" t="s">
        <v>246</v>
      </c>
      <c r="F60" s="59" t="str">
        <f t="shared" ref="F60:F61" si="64">VLOOKUP(E60,LISTAITEMS,2,FALSE)</f>
        <v>Birch Log</v>
      </c>
      <c r="G60" s="278">
        <f t="shared" si="51"/>
        <v>17</v>
      </c>
      <c r="H60" s="280">
        <v>0</v>
      </c>
      <c r="I60" s="281" t="s">
        <v>926</v>
      </c>
      <c r="J60" s="59" t="str">
        <f t="shared" ref="J60:J61" si="65">VLOOKUP(I60,LISTAITEMS,2,FALSE)</f>
        <v>ninguno</v>
      </c>
      <c r="K60" s="278">
        <f t="shared" si="53"/>
        <v>0</v>
      </c>
      <c r="L60" s="280">
        <v>0</v>
      </c>
      <c r="M60" s="281" t="s">
        <v>926</v>
      </c>
      <c r="N60" s="59" t="str">
        <f t="shared" ref="N60:N61" si="66">VLOOKUP(M60,LISTAITEMS,2,FALSE)</f>
        <v>ninguno</v>
      </c>
      <c r="O60" s="278">
        <f t="shared" si="55"/>
        <v>0</v>
      </c>
      <c r="P60" s="280">
        <v>0</v>
      </c>
      <c r="Q60" s="281" t="s">
        <v>926</v>
      </c>
      <c r="R60" s="59" t="str">
        <f t="shared" ref="R60:R61" si="67">VLOOKUP(Q60,LISTAITEMS,2,FALSE)</f>
        <v>ninguno</v>
      </c>
      <c r="S60" s="278">
        <f t="shared" si="57"/>
        <v>0</v>
      </c>
      <c r="T60" s="280">
        <v>0</v>
      </c>
      <c r="U60" s="281" t="s">
        <v>926</v>
      </c>
      <c r="V60" s="59" t="str">
        <f t="shared" ref="V60:V61" si="68">VLOOKUP(U60,LISTAITEMS,2,FALSE)</f>
        <v>ninguno</v>
      </c>
      <c r="W60" s="278">
        <f t="shared" si="59"/>
        <v>0</v>
      </c>
      <c r="X60" s="280">
        <v>0</v>
      </c>
      <c r="Y60" s="281" t="s">
        <v>926</v>
      </c>
      <c r="Z60" s="59" t="str">
        <f t="shared" ref="Z60:Z61" si="69">VLOOKUP(Y60,LISTAITEMS,2,FALSE)</f>
        <v>ninguno</v>
      </c>
      <c r="AA60" s="278">
        <f t="shared" si="61"/>
        <v>0</v>
      </c>
      <c r="AB60" s="280">
        <v>0</v>
      </c>
      <c r="AC60" s="281" t="s">
        <v>926</v>
      </c>
      <c r="AD60" s="59" t="str">
        <f t="shared" ref="AD60:AD61" si="70">VLOOKUP(AC60,LISTAITEMS,2,FALSE)</f>
        <v>ninguno</v>
      </c>
      <c r="AE60" s="278">
        <f t="shared" si="63"/>
        <v>0</v>
      </c>
    </row>
    <row r="61" spans="1:31" s="293" customFormat="1" x14ac:dyDescent="0.25">
      <c r="A61" s="282" t="s">
        <v>1234</v>
      </c>
      <c r="B61" s="282"/>
      <c r="C61" s="277">
        <f t="shared" si="49"/>
        <v>1536</v>
      </c>
      <c r="D61" s="280">
        <v>64</v>
      </c>
      <c r="E61" s="281" t="s">
        <v>248</v>
      </c>
      <c r="F61" s="59" t="str">
        <f t="shared" si="64"/>
        <v>Jungle Log</v>
      </c>
      <c r="G61" s="278">
        <f t="shared" si="51"/>
        <v>24</v>
      </c>
      <c r="H61" s="280">
        <v>0</v>
      </c>
      <c r="I61" s="281" t="s">
        <v>926</v>
      </c>
      <c r="J61" s="59" t="str">
        <f t="shared" si="65"/>
        <v>ninguno</v>
      </c>
      <c r="K61" s="278">
        <f t="shared" si="53"/>
        <v>0</v>
      </c>
      <c r="L61" s="280">
        <v>0</v>
      </c>
      <c r="M61" s="281" t="s">
        <v>926</v>
      </c>
      <c r="N61" s="59" t="str">
        <f t="shared" si="66"/>
        <v>ninguno</v>
      </c>
      <c r="O61" s="278">
        <f t="shared" si="55"/>
        <v>0</v>
      </c>
      <c r="P61" s="280">
        <v>0</v>
      </c>
      <c r="Q61" s="281" t="s">
        <v>926</v>
      </c>
      <c r="R61" s="59" t="str">
        <f t="shared" si="67"/>
        <v>ninguno</v>
      </c>
      <c r="S61" s="278">
        <f t="shared" si="57"/>
        <v>0</v>
      </c>
      <c r="T61" s="280">
        <v>0</v>
      </c>
      <c r="U61" s="281" t="s">
        <v>926</v>
      </c>
      <c r="V61" s="59" t="str">
        <f t="shared" si="68"/>
        <v>ninguno</v>
      </c>
      <c r="W61" s="278">
        <f t="shared" si="59"/>
        <v>0</v>
      </c>
      <c r="X61" s="280">
        <v>0</v>
      </c>
      <c r="Y61" s="281" t="s">
        <v>926</v>
      </c>
      <c r="Z61" s="59" t="str">
        <f t="shared" si="69"/>
        <v>ninguno</v>
      </c>
      <c r="AA61" s="278">
        <f t="shared" si="61"/>
        <v>0</v>
      </c>
      <c r="AB61" s="280">
        <v>0</v>
      </c>
      <c r="AC61" s="281" t="s">
        <v>926</v>
      </c>
      <c r="AD61" s="59" t="str">
        <f t="shared" si="70"/>
        <v>ninguno</v>
      </c>
      <c r="AE61" s="278">
        <f t="shared" si="63"/>
        <v>0</v>
      </c>
    </row>
    <row r="62" spans="1:31" s="293" customFormat="1" x14ac:dyDescent="0.25">
      <c r="A62" s="282" t="s">
        <v>1168</v>
      </c>
      <c r="B62" s="282"/>
      <c r="C62" s="277">
        <f t="shared" si="49"/>
        <v>1984</v>
      </c>
      <c r="D62" s="280">
        <v>64</v>
      </c>
      <c r="E62" s="281">
        <v>162</v>
      </c>
      <c r="F62" s="59" t="str">
        <f t="shared" ref="F62:F63" si="71">VLOOKUP(E62,LISTAITEMS,2,FALSE)</f>
        <v>Acacia Log</v>
      </c>
      <c r="G62" s="278">
        <f t="shared" si="51"/>
        <v>31</v>
      </c>
      <c r="H62" s="280">
        <v>0</v>
      </c>
      <c r="I62" s="281" t="s">
        <v>926</v>
      </c>
      <c r="J62" s="59" t="str">
        <f t="shared" ref="J62:J63" si="72">VLOOKUP(I62,LISTAITEMS,2,FALSE)</f>
        <v>ninguno</v>
      </c>
      <c r="K62" s="278">
        <f t="shared" si="53"/>
        <v>0</v>
      </c>
      <c r="L62" s="280">
        <v>0</v>
      </c>
      <c r="M62" s="281" t="s">
        <v>926</v>
      </c>
      <c r="N62" s="59" t="str">
        <f t="shared" ref="N62:N63" si="73">VLOOKUP(M62,LISTAITEMS,2,FALSE)</f>
        <v>ninguno</v>
      </c>
      <c r="O62" s="278">
        <f t="shared" si="55"/>
        <v>0</v>
      </c>
      <c r="P62" s="280">
        <v>0</v>
      </c>
      <c r="Q62" s="281" t="s">
        <v>926</v>
      </c>
      <c r="R62" s="59" t="str">
        <f t="shared" ref="R62:R63" si="74">VLOOKUP(Q62,LISTAITEMS,2,FALSE)</f>
        <v>ninguno</v>
      </c>
      <c r="S62" s="278">
        <f t="shared" si="57"/>
        <v>0</v>
      </c>
      <c r="T62" s="280">
        <v>0</v>
      </c>
      <c r="U62" s="281" t="s">
        <v>926</v>
      </c>
      <c r="V62" s="59" t="str">
        <f t="shared" ref="V62:V63" si="75">VLOOKUP(U62,LISTAITEMS,2,FALSE)</f>
        <v>ninguno</v>
      </c>
      <c r="W62" s="278">
        <f t="shared" si="59"/>
        <v>0</v>
      </c>
      <c r="X62" s="280">
        <v>0</v>
      </c>
      <c r="Y62" s="281" t="s">
        <v>926</v>
      </c>
      <c r="Z62" s="59" t="str">
        <f t="shared" ref="Z62:Z63" si="76">VLOOKUP(Y62,LISTAITEMS,2,FALSE)</f>
        <v>ninguno</v>
      </c>
      <c r="AA62" s="278">
        <f t="shared" si="61"/>
        <v>0</v>
      </c>
      <c r="AB62" s="280">
        <v>0</v>
      </c>
      <c r="AC62" s="281" t="s">
        <v>926</v>
      </c>
      <c r="AD62" s="59" t="str">
        <f t="shared" ref="AD62:AD63" si="77">VLOOKUP(AC62,LISTAITEMS,2,FALSE)</f>
        <v>ninguno</v>
      </c>
      <c r="AE62" s="278">
        <f t="shared" si="63"/>
        <v>0</v>
      </c>
    </row>
    <row r="63" spans="1:31" s="293" customFormat="1" x14ac:dyDescent="0.25">
      <c r="A63" s="282" t="s">
        <v>1235</v>
      </c>
      <c r="B63" s="282"/>
      <c r="C63" s="277">
        <f t="shared" si="49"/>
        <v>2368</v>
      </c>
      <c r="D63" s="280">
        <v>64</v>
      </c>
      <c r="E63" s="281" t="s">
        <v>495</v>
      </c>
      <c r="F63" s="59" t="str">
        <f t="shared" si="71"/>
        <v>Dark Oak Log</v>
      </c>
      <c r="G63" s="278">
        <f t="shared" si="51"/>
        <v>37</v>
      </c>
      <c r="H63" s="280">
        <v>0</v>
      </c>
      <c r="I63" s="281" t="s">
        <v>926</v>
      </c>
      <c r="J63" s="59" t="str">
        <f t="shared" si="72"/>
        <v>ninguno</v>
      </c>
      <c r="K63" s="278">
        <f t="shared" si="53"/>
        <v>0</v>
      </c>
      <c r="L63" s="280">
        <v>0</v>
      </c>
      <c r="M63" s="281" t="s">
        <v>926</v>
      </c>
      <c r="N63" s="59" t="str">
        <f t="shared" si="73"/>
        <v>ninguno</v>
      </c>
      <c r="O63" s="278">
        <f t="shared" si="55"/>
        <v>0</v>
      </c>
      <c r="P63" s="280">
        <v>0</v>
      </c>
      <c r="Q63" s="281" t="s">
        <v>926</v>
      </c>
      <c r="R63" s="59" t="str">
        <f t="shared" si="74"/>
        <v>ninguno</v>
      </c>
      <c r="S63" s="278">
        <f t="shared" si="57"/>
        <v>0</v>
      </c>
      <c r="T63" s="280">
        <v>0</v>
      </c>
      <c r="U63" s="281" t="s">
        <v>926</v>
      </c>
      <c r="V63" s="59" t="str">
        <f t="shared" si="75"/>
        <v>ninguno</v>
      </c>
      <c r="W63" s="278">
        <f t="shared" si="59"/>
        <v>0</v>
      </c>
      <c r="X63" s="280">
        <v>0</v>
      </c>
      <c r="Y63" s="281" t="s">
        <v>926</v>
      </c>
      <c r="Z63" s="59" t="str">
        <f t="shared" si="76"/>
        <v>ninguno</v>
      </c>
      <c r="AA63" s="278">
        <f t="shared" si="61"/>
        <v>0</v>
      </c>
      <c r="AB63" s="280">
        <v>0</v>
      </c>
      <c r="AC63" s="281" t="s">
        <v>926</v>
      </c>
      <c r="AD63" s="59" t="str">
        <f t="shared" si="77"/>
        <v>ninguno</v>
      </c>
      <c r="AE63" s="278">
        <f t="shared" si="63"/>
        <v>0</v>
      </c>
    </row>
    <row r="67" spans="1:31" s="293" customFormat="1" x14ac:dyDescent="0.25">
      <c r="A67" s="296"/>
      <c r="B67" s="296" t="s">
        <v>1236</v>
      </c>
      <c r="C67" s="296"/>
      <c r="D67" s="296"/>
      <c r="E67" s="296"/>
      <c r="F67" s="296"/>
      <c r="G67" s="296"/>
      <c r="H67" s="296"/>
      <c r="I67" s="296"/>
      <c r="J67" s="296"/>
      <c r="K67" s="296"/>
      <c r="L67" s="296"/>
      <c r="M67" s="296"/>
      <c r="N67" s="296"/>
      <c r="O67" s="296"/>
      <c r="P67" s="296"/>
      <c r="Q67" s="296"/>
      <c r="R67" s="296"/>
      <c r="S67" s="296"/>
      <c r="T67" s="296"/>
      <c r="U67" s="296"/>
      <c r="V67" s="296"/>
      <c r="W67" s="296"/>
      <c r="X67" s="176"/>
      <c r="Y67" s="176"/>
      <c r="Z67" s="176"/>
      <c r="AA67" s="176"/>
      <c r="AB67" s="176"/>
      <c r="AC67" s="176"/>
      <c r="AD67" s="176"/>
      <c r="AE67" s="176"/>
    </row>
    <row r="68" spans="1:31" s="293" customFormat="1" x14ac:dyDescent="0.25">
      <c r="A68" s="276"/>
      <c r="B68" s="276" t="s">
        <v>203</v>
      </c>
      <c r="C68" s="279" t="s">
        <v>202</v>
      </c>
      <c r="D68" s="283" t="s">
        <v>149</v>
      </c>
      <c r="E68" s="283" t="s">
        <v>1144</v>
      </c>
      <c r="F68" s="279" t="s">
        <v>203</v>
      </c>
      <c r="G68" s="283" t="s">
        <v>1149</v>
      </c>
      <c r="H68" s="283" t="s">
        <v>149</v>
      </c>
      <c r="I68" s="283" t="s">
        <v>1145</v>
      </c>
      <c r="J68" s="279" t="s">
        <v>203</v>
      </c>
      <c r="K68" s="283" t="s">
        <v>1149</v>
      </c>
      <c r="L68" s="283" t="s">
        <v>149</v>
      </c>
      <c r="M68" s="283" t="s">
        <v>1146</v>
      </c>
      <c r="N68" s="279" t="s">
        <v>203</v>
      </c>
      <c r="O68" s="283" t="s">
        <v>1149</v>
      </c>
      <c r="P68" s="283" t="s">
        <v>149</v>
      </c>
      <c r="Q68" s="283" t="s">
        <v>1147</v>
      </c>
      <c r="R68" s="279" t="s">
        <v>203</v>
      </c>
      <c r="S68" s="283" t="s">
        <v>1149</v>
      </c>
      <c r="T68" s="283" t="s">
        <v>149</v>
      </c>
      <c r="U68" s="283" t="s">
        <v>1148</v>
      </c>
      <c r="V68" s="279" t="s">
        <v>203</v>
      </c>
      <c r="W68" s="283" t="s">
        <v>1149</v>
      </c>
      <c r="X68" s="283" t="s">
        <v>149</v>
      </c>
      <c r="Y68" s="283" t="s">
        <v>1232</v>
      </c>
      <c r="Z68" s="279" t="s">
        <v>203</v>
      </c>
      <c r="AA68" s="283" t="s">
        <v>1149</v>
      </c>
      <c r="AB68" s="283" t="s">
        <v>149</v>
      </c>
      <c r="AC68" s="283" t="s">
        <v>1233</v>
      </c>
      <c r="AD68" s="279" t="s">
        <v>203</v>
      </c>
      <c r="AE68" s="283" t="s">
        <v>1149</v>
      </c>
    </row>
    <row r="69" spans="1:31" s="294" customFormat="1" x14ac:dyDescent="0.25">
      <c r="A69" s="282" t="s">
        <v>1238</v>
      </c>
      <c r="B69" s="282"/>
      <c r="C69" s="277">
        <f t="shared" ref="C69" si="78">((D69*G69)+(K69*H69)+(O69*L69)+(S69*P69)+(W69*T69)+(X69*AA69)+(AB69*AE69))</f>
        <v>172.79999999999998</v>
      </c>
      <c r="D69" s="280">
        <v>64</v>
      </c>
      <c r="E69" s="281" t="s">
        <v>312</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926</v>
      </c>
      <c r="N69" s="59" t="str">
        <f t="shared" ref="N69" si="83">VLOOKUP(M69,LISTAITEMS,2,FALSE)</f>
        <v>ninguno</v>
      </c>
      <c r="O69" s="278">
        <f t="shared" ref="O69" si="84">VLOOKUP(M69,LISTAITEMS,5,FALSE)</f>
        <v>0</v>
      </c>
      <c r="P69" s="280">
        <v>0</v>
      </c>
      <c r="Q69" s="281" t="s">
        <v>926</v>
      </c>
      <c r="R69" s="59" t="str">
        <f t="shared" ref="R69" si="85">VLOOKUP(Q69,LISTAITEMS,2,FALSE)</f>
        <v>ninguno</v>
      </c>
      <c r="S69" s="278">
        <f t="shared" ref="S69" si="86">VLOOKUP(Q69,LISTAITEMS,5,FALSE)</f>
        <v>0</v>
      </c>
      <c r="T69" s="280">
        <v>0</v>
      </c>
      <c r="U69" s="281" t="s">
        <v>926</v>
      </c>
      <c r="V69" s="59" t="str">
        <f t="shared" ref="V69" si="87">VLOOKUP(U69,LISTAITEMS,2,FALSE)</f>
        <v>ninguno</v>
      </c>
      <c r="W69" s="278">
        <f t="shared" ref="W69" si="88">VLOOKUP(U69,LISTAITEMS,5,FALSE)</f>
        <v>0</v>
      </c>
      <c r="X69" s="280">
        <v>0</v>
      </c>
      <c r="Y69" s="281" t="s">
        <v>926</v>
      </c>
      <c r="Z69" s="59" t="str">
        <f t="shared" ref="Z69" si="89">VLOOKUP(Y69,LISTAITEMS,2,FALSE)</f>
        <v>ninguno</v>
      </c>
      <c r="AA69" s="278">
        <f t="shared" ref="AA69" si="90">VLOOKUP(Y69,LISTAITEMS,5,FALSE)</f>
        <v>0</v>
      </c>
      <c r="AB69" s="280">
        <v>0</v>
      </c>
      <c r="AC69" s="281" t="s">
        <v>926</v>
      </c>
      <c r="AD69" s="59" t="str">
        <f t="shared" ref="AD69" si="91">VLOOKUP(AC69,LISTAITEMS,2,FALSE)</f>
        <v>ninguno</v>
      </c>
      <c r="AE69" s="278">
        <f t="shared" ref="AE69" si="92">VLOOKUP(AC69,LISTAITEMS,5,FALSE)</f>
        <v>0</v>
      </c>
    </row>
    <row r="75" spans="1:31" s="293" customFormat="1" x14ac:dyDescent="0.25">
      <c r="A75" s="296"/>
      <c r="B75" s="296" t="s">
        <v>1182</v>
      </c>
      <c r="C75" s="296"/>
      <c r="D75" s="296"/>
      <c r="E75" s="296"/>
      <c r="F75" s="296"/>
      <c r="G75" s="296"/>
      <c r="H75" s="296"/>
      <c r="I75" s="296"/>
      <c r="J75" s="296"/>
      <c r="K75" s="296"/>
      <c r="L75" s="296"/>
      <c r="M75" s="296"/>
      <c r="N75" s="296"/>
      <c r="O75" s="296"/>
      <c r="P75" s="296"/>
      <c r="Q75" s="296"/>
      <c r="R75" s="296"/>
      <c r="S75" s="296"/>
      <c r="T75" s="296"/>
      <c r="U75" s="296"/>
      <c r="V75" s="296"/>
      <c r="W75" s="296"/>
      <c r="X75" s="176"/>
      <c r="Y75" s="176"/>
      <c r="Z75" s="176"/>
      <c r="AA75" s="176"/>
      <c r="AB75" s="176"/>
      <c r="AC75" s="176"/>
      <c r="AD75" s="176"/>
      <c r="AE75" s="176"/>
    </row>
    <row r="76" spans="1:31" s="293" customFormat="1" x14ac:dyDescent="0.25">
      <c r="A76" s="276"/>
      <c r="B76" s="276" t="s">
        <v>203</v>
      </c>
      <c r="C76" s="279" t="s">
        <v>202</v>
      </c>
      <c r="D76" s="283" t="s">
        <v>149</v>
      </c>
      <c r="E76" s="283" t="s">
        <v>1144</v>
      </c>
      <c r="F76" s="279" t="s">
        <v>203</v>
      </c>
      <c r="G76" s="283" t="s">
        <v>1149</v>
      </c>
      <c r="H76" s="283" t="s">
        <v>149</v>
      </c>
      <c r="I76" s="283" t="s">
        <v>1145</v>
      </c>
      <c r="J76" s="279" t="s">
        <v>203</v>
      </c>
      <c r="K76" s="283" t="s">
        <v>1149</v>
      </c>
      <c r="L76" s="283" t="s">
        <v>149</v>
      </c>
      <c r="M76" s="283" t="s">
        <v>1146</v>
      </c>
      <c r="N76" s="279" t="s">
        <v>203</v>
      </c>
      <c r="O76" s="283" t="s">
        <v>1149</v>
      </c>
      <c r="P76" s="283" t="s">
        <v>149</v>
      </c>
      <c r="Q76" s="283" t="s">
        <v>1147</v>
      </c>
      <c r="R76" s="279" t="s">
        <v>203</v>
      </c>
      <c r="S76" s="283" t="s">
        <v>1149</v>
      </c>
      <c r="T76" s="283" t="s">
        <v>149</v>
      </c>
      <c r="U76" s="283" t="s">
        <v>1148</v>
      </c>
      <c r="V76" s="279" t="s">
        <v>203</v>
      </c>
      <c r="W76" s="283" t="s">
        <v>1149</v>
      </c>
      <c r="X76" s="283" t="s">
        <v>149</v>
      </c>
      <c r="Y76" s="283" t="s">
        <v>1232</v>
      </c>
      <c r="Z76" s="279" t="s">
        <v>203</v>
      </c>
      <c r="AA76" s="283" t="s">
        <v>1149</v>
      </c>
      <c r="AB76" s="283" t="s">
        <v>149</v>
      </c>
      <c r="AC76" s="283" t="s">
        <v>1233</v>
      </c>
      <c r="AD76" s="279" t="s">
        <v>203</v>
      </c>
      <c r="AE76" s="283" t="s">
        <v>1149</v>
      </c>
    </row>
    <row r="77" spans="1:31" s="294" customFormat="1" x14ac:dyDescent="0.25">
      <c r="A77" s="282" t="s">
        <v>1242</v>
      </c>
      <c r="B77" s="282"/>
      <c r="C77" s="277">
        <f>((D77*G77)+(K77*H77)+(O77*L77)+(S77*P77)+(W77*T77)+(X77*AA77)+(AB77*AE77))</f>
        <v>740.59999999999991</v>
      </c>
      <c r="D77" s="280">
        <v>64</v>
      </c>
      <c r="E77" s="281" t="s">
        <v>312</v>
      </c>
      <c r="F77" s="59" t="str">
        <f t="shared" ref="F77" si="93">VLOOKUP(E77,LISTAITEMS,2,FALSE)</f>
        <v>Cobblestone Slab</v>
      </c>
      <c r="G77" s="278">
        <f>VLOOKUP(E77,LISTAITEMS,5,FALSE)</f>
        <v>1.7999999999999998</v>
      </c>
      <c r="H77" s="280">
        <v>1</v>
      </c>
      <c r="I77" s="281" t="s">
        <v>1243</v>
      </c>
      <c r="J77" s="59" t="str">
        <f>I77</f>
        <v>Artl Flamente</v>
      </c>
      <c r="K77" s="278">
        <f t="shared" ref="K77" si="94">VLOOKUP(I77,craftedesp,3,FALSE)</f>
        <v>625.4</v>
      </c>
      <c r="L77" s="280">
        <v>0</v>
      </c>
      <c r="M77" s="281" t="s">
        <v>926</v>
      </c>
      <c r="N77" s="59" t="str">
        <f t="shared" ref="N77" si="95">VLOOKUP(M77,LISTAITEMS,2,FALSE)</f>
        <v>ninguno</v>
      </c>
      <c r="O77" s="278">
        <f>VLOOKUP(M77,LISTAITEMS,5,FALSE)</f>
        <v>0</v>
      </c>
      <c r="P77" s="280">
        <v>0</v>
      </c>
      <c r="Q77" s="281" t="s">
        <v>926</v>
      </c>
      <c r="R77" s="59" t="str">
        <f t="shared" ref="R77" si="96">VLOOKUP(Q77,LISTAITEMS,2,FALSE)</f>
        <v>ninguno</v>
      </c>
      <c r="S77" s="278">
        <f>VLOOKUP(Q77,LISTAITEMS,5,FALSE)</f>
        <v>0</v>
      </c>
      <c r="T77" s="280">
        <v>0</v>
      </c>
      <c r="U77" s="281" t="s">
        <v>926</v>
      </c>
      <c r="V77" s="59" t="str">
        <f t="shared" ref="V77" si="97">VLOOKUP(U77,LISTAITEMS,2,FALSE)</f>
        <v>ninguno</v>
      </c>
      <c r="W77" s="278">
        <f>VLOOKUP(U77,LISTAITEMS,5,FALSE)</f>
        <v>0</v>
      </c>
      <c r="X77" s="280">
        <v>0</v>
      </c>
      <c r="Y77" s="281" t="s">
        <v>926</v>
      </c>
      <c r="Z77" s="59" t="str">
        <f t="shared" ref="Z77" si="98">VLOOKUP(Y77,LISTAITEMS,2,FALSE)</f>
        <v>ninguno</v>
      </c>
      <c r="AA77" s="278">
        <f>VLOOKUP(Y77,LISTAITEMS,5,FALSE)</f>
        <v>0</v>
      </c>
      <c r="AB77" s="280">
        <v>0</v>
      </c>
      <c r="AC77" s="281" t="s">
        <v>926</v>
      </c>
      <c r="AD77" s="59" t="str">
        <f t="shared" ref="AD77" si="99">VLOOKUP(AC77,LISTAITEMS,2,FALSE)</f>
        <v>ninguno</v>
      </c>
      <c r="AE77" s="278">
        <f>VLOOKUP(AC77,LISTAITEMS,5,FALSE)</f>
        <v>0</v>
      </c>
    </row>
    <row r="81" spans="1:31" s="293" customFormat="1" x14ac:dyDescent="0.25">
      <c r="A81" s="296"/>
      <c r="B81" s="296" t="s">
        <v>1170</v>
      </c>
      <c r="C81" s="296"/>
      <c r="D81" s="296"/>
      <c r="E81" s="296"/>
      <c r="F81" s="296"/>
      <c r="G81" s="296"/>
      <c r="H81" s="296"/>
      <c r="I81" s="296"/>
      <c r="J81" s="296"/>
      <c r="K81" s="296"/>
      <c r="L81" s="296"/>
      <c r="M81" s="296"/>
      <c r="N81" s="296"/>
      <c r="O81" s="296"/>
      <c r="P81" s="296"/>
      <c r="Q81" s="296"/>
      <c r="R81" s="296"/>
      <c r="S81" s="296"/>
      <c r="T81" s="296"/>
      <c r="U81" s="296"/>
      <c r="V81" s="296"/>
      <c r="W81" s="296"/>
      <c r="X81" s="176"/>
      <c r="Y81" s="176"/>
      <c r="Z81" s="176"/>
      <c r="AA81" s="176"/>
      <c r="AB81" s="176"/>
      <c r="AC81" s="176"/>
      <c r="AD81" s="176"/>
      <c r="AE81" s="176"/>
    </row>
    <row r="82" spans="1:31" s="293" customFormat="1" x14ac:dyDescent="0.25">
      <c r="A82" s="276"/>
      <c r="B82" s="276" t="s">
        <v>203</v>
      </c>
      <c r="C82" s="279" t="s">
        <v>202</v>
      </c>
      <c r="D82" s="283" t="s">
        <v>149</v>
      </c>
      <c r="E82" s="283" t="s">
        <v>1144</v>
      </c>
      <c r="F82" s="279" t="s">
        <v>203</v>
      </c>
      <c r="G82" s="283" t="s">
        <v>1149</v>
      </c>
      <c r="H82" s="283" t="s">
        <v>149</v>
      </c>
      <c r="I82" s="283" t="s">
        <v>1145</v>
      </c>
      <c r="J82" s="279" t="s">
        <v>203</v>
      </c>
      <c r="K82" s="283" t="s">
        <v>1149</v>
      </c>
      <c r="L82" s="283" t="s">
        <v>149</v>
      </c>
      <c r="M82" s="283" t="s">
        <v>1146</v>
      </c>
      <c r="N82" s="279" t="s">
        <v>203</v>
      </c>
      <c r="O82" s="283" t="s">
        <v>1149</v>
      </c>
      <c r="P82" s="283" t="s">
        <v>149</v>
      </c>
      <c r="Q82" s="283" t="s">
        <v>1147</v>
      </c>
      <c r="R82" s="279" t="s">
        <v>203</v>
      </c>
      <c r="S82" s="283" t="s">
        <v>1149</v>
      </c>
      <c r="T82" s="283" t="s">
        <v>149</v>
      </c>
      <c r="U82" s="283" t="s">
        <v>1148</v>
      </c>
      <c r="V82" s="279" t="s">
        <v>203</v>
      </c>
      <c r="W82" s="283" t="s">
        <v>1149</v>
      </c>
      <c r="X82" s="283" t="s">
        <v>149</v>
      </c>
      <c r="Y82" s="283" t="s">
        <v>1232</v>
      </c>
      <c r="Z82" s="279" t="s">
        <v>203</v>
      </c>
      <c r="AA82" s="283" t="s">
        <v>1149</v>
      </c>
      <c r="AB82" s="283" t="s">
        <v>149</v>
      </c>
      <c r="AC82" s="283" t="s">
        <v>1233</v>
      </c>
      <c r="AD82" s="279" t="s">
        <v>203</v>
      </c>
      <c r="AE82" s="283" t="s">
        <v>1149</v>
      </c>
    </row>
    <row r="83" spans="1:31" s="293" customFormat="1" x14ac:dyDescent="0.25">
      <c r="A83" s="282" t="s">
        <v>1249</v>
      </c>
      <c r="B83" s="282"/>
      <c r="C83" s="277">
        <f>((D83*G83)+(K83*H83)+(O83*L83)+(S83*P83)+(W83*T83)+(X83*AA83)+(AB83*AE83))</f>
        <v>480.04</v>
      </c>
      <c r="D83" s="280">
        <v>2</v>
      </c>
      <c r="E83" s="281" t="s">
        <v>1237</v>
      </c>
      <c r="F83" s="59" t="str">
        <f>E83</f>
        <v>cadaber de pollo</v>
      </c>
      <c r="G83" s="278">
        <f t="shared" ref="G83" si="100">VLOOKUP(E83,craftedesp,3,FALSE)</f>
        <v>86</v>
      </c>
      <c r="H83" s="280">
        <v>1</v>
      </c>
      <c r="I83" s="281" t="s">
        <v>1248</v>
      </c>
      <c r="J83" s="59" t="str">
        <f>I83</f>
        <v>Navaja de Hueso</v>
      </c>
      <c r="K83" s="278">
        <f t="shared" ref="K83" si="101">VLOOKUP(I83,craftedesp,3,FALSE)</f>
        <v>308.04000000000002</v>
      </c>
      <c r="L83" s="280">
        <v>0</v>
      </c>
      <c r="M83" s="281" t="s">
        <v>926</v>
      </c>
      <c r="N83" s="59" t="str">
        <f t="shared" ref="N83" si="102">VLOOKUP(M83,LISTAITEMS,2,FALSE)</f>
        <v>ninguno</v>
      </c>
      <c r="O83" s="278">
        <f>VLOOKUP(M83,LISTAITEMS,5,FALSE)</f>
        <v>0</v>
      </c>
      <c r="P83" s="280">
        <v>0</v>
      </c>
      <c r="Q83" s="281" t="s">
        <v>926</v>
      </c>
      <c r="R83" s="59" t="str">
        <f t="shared" ref="R83" si="103">VLOOKUP(Q83,LISTAITEMS,2,FALSE)</f>
        <v>ninguno</v>
      </c>
      <c r="S83" s="278">
        <f>VLOOKUP(Q83,LISTAITEMS,5,FALSE)</f>
        <v>0</v>
      </c>
      <c r="T83" s="280">
        <v>0</v>
      </c>
      <c r="U83" s="281" t="s">
        <v>926</v>
      </c>
      <c r="V83" s="59" t="str">
        <f t="shared" ref="V83" si="104">VLOOKUP(U83,LISTAITEMS,2,FALSE)</f>
        <v>ninguno</v>
      </c>
      <c r="W83" s="278">
        <f>VLOOKUP(U83,LISTAITEMS,5,FALSE)</f>
        <v>0</v>
      </c>
      <c r="X83" s="280">
        <v>0</v>
      </c>
      <c r="Y83" s="281" t="s">
        <v>926</v>
      </c>
      <c r="Z83" s="59" t="str">
        <f t="shared" ref="Z83" si="105">VLOOKUP(Y83,LISTAITEMS,2,FALSE)</f>
        <v>ninguno</v>
      </c>
      <c r="AA83" s="278">
        <f>VLOOKUP(Y83,LISTAITEMS,5,FALSE)</f>
        <v>0</v>
      </c>
      <c r="AB83" s="280">
        <v>0</v>
      </c>
      <c r="AC83" s="281" t="s">
        <v>926</v>
      </c>
      <c r="AD83" s="59" t="str">
        <f t="shared" ref="AD83" si="106">VLOOKUP(AC83,LISTAITEMS,2,FALSE)</f>
        <v>ninguno</v>
      </c>
      <c r="AE83" s="278">
        <f>VLOOKUP(AC83,LISTAITEMS,5,FALSE)</f>
        <v>0</v>
      </c>
    </row>
    <row r="84" spans="1:31" x14ac:dyDescent="0.25">
      <c r="C84">
        <v>476</v>
      </c>
    </row>
    <row r="85" spans="1:31" s="297" customFormat="1" x14ac:dyDescent="0.25">
      <c r="A85" s="296"/>
      <c r="B85" s="296" t="s">
        <v>1247</v>
      </c>
      <c r="C85" s="296"/>
      <c r="D85" s="296"/>
      <c r="E85" s="296"/>
      <c r="F85" s="296"/>
      <c r="G85" s="296"/>
      <c r="H85" s="296"/>
      <c r="I85" s="296"/>
      <c r="J85" s="296"/>
      <c r="K85" s="296"/>
      <c r="L85" s="296"/>
      <c r="M85" s="296"/>
      <c r="N85" s="296"/>
      <c r="O85" s="296"/>
      <c r="P85" s="296"/>
      <c r="Q85" s="296"/>
      <c r="R85" s="296"/>
      <c r="S85" s="296"/>
      <c r="T85" s="296"/>
      <c r="U85" s="296"/>
      <c r="V85" s="296"/>
      <c r="W85" s="296"/>
      <c r="X85" s="176"/>
      <c r="Y85" s="176"/>
      <c r="Z85" s="176"/>
      <c r="AA85" s="176"/>
      <c r="AB85" s="176"/>
      <c r="AC85" s="176"/>
      <c r="AD85" s="176"/>
      <c r="AE85" s="176"/>
    </row>
    <row r="86" spans="1:31" s="297" customFormat="1" x14ac:dyDescent="0.25">
      <c r="A86" s="276"/>
      <c r="B86" s="276" t="s">
        <v>203</v>
      </c>
      <c r="C86" s="279" t="s">
        <v>202</v>
      </c>
      <c r="D86" s="283" t="s">
        <v>149</v>
      </c>
      <c r="E86" s="283" t="s">
        <v>1144</v>
      </c>
      <c r="F86" s="279" t="s">
        <v>203</v>
      </c>
      <c r="G86" s="283" t="s">
        <v>1149</v>
      </c>
      <c r="H86" s="283" t="s">
        <v>149</v>
      </c>
      <c r="I86" s="283" t="s">
        <v>1145</v>
      </c>
      <c r="J86" s="279" t="s">
        <v>203</v>
      </c>
      <c r="K86" s="283" t="s">
        <v>1149</v>
      </c>
      <c r="L86" s="283" t="s">
        <v>149</v>
      </c>
      <c r="M86" s="283" t="s">
        <v>1146</v>
      </c>
      <c r="N86" s="279" t="s">
        <v>203</v>
      </c>
      <c r="O86" s="283" t="s">
        <v>1149</v>
      </c>
      <c r="P86" s="283" t="s">
        <v>149</v>
      </c>
      <c r="Q86" s="283" t="s">
        <v>1147</v>
      </c>
      <c r="R86" s="279" t="s">
        <v>203</v>
      </c>
      <c r="S86" s="283" t="s">
        <v>1149</v>
      </c>
      <c r="T86" s="283" t="s">
        <v>149</v>
      </c>
      <c r="U86" s="283" t="s">
        <v>1148</v>
      </c>
      <c r="V86" s="279" t="s">
        <v>203</v>
      </c>
      <c r="W86" s="283" t="s">
        <v>1149</v>
      </c>
      <c r="X86" s="283" t="s">
        <v>149</v>
      </c>
      <c r="Y86" s="283" t="s">
        <v>1232</v>
      </c>
      <c r="Z86" s="279" t="s">
        <v>203</v>
      </c>
      <c r="AA86" s="283" t="s">
        <v>1149</v>
      </c>
      <c r="AB86" s="283" t="s">
        <v>149</v>
      </c>
      <c r="AC86" s="283" t="s">
        <v>1233</v>
      </c>
      <c r="AD86" s="279" t="s">
        <v>203</v>
      </c>
      <c r="AE86" s="283" t="s">
        <v>1149</v>
      </c>
    </row>
    <row r="87" spans="1:31" s="297" customFormat="1" x14ac:dyDescent="0.25">
      <c r="A87" s="282" t="s">
        <v>1248</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926</v>
      </c>
      <c r="N87" s="59" t="str">
        <f t="shared" ref="N87" si="109">VLOOKUP(M87,LISTAITEMS,2,FALSE)</f>
        <v>ninguno</v>
      </c>
      <c r="O87" s="278">
        <f>VLOOKUP(M87,LISTAITEMS,5,FALSE)</f>
        <v>0</v>
      </c>
      <c r="P87" s="280">
        <v>0</v>
      </c>
      <c r="Q87" s="281" t="s">
        <v>926</v>
      </c>
      <c r="R87" s="59" t="str">
        <f t="shared" ref="R87" si="110">VLOOKUP(Q87,LISTAITEMS,2,FALSE)</f>
        <v>ninguno</v>
      </c>
      <c r="S87" s="278">
        <f>VLOOKUP(Q87,LISTAITEMS,5,FALSE)</f>
        <v>0</v>
      </c>
      <c r="T87" s="280">
        <v>0</v>
      </c>
      <c r="U87" s="281" t="s">
        <v>926</v>
      </c>
      <c r="V87" s="59" t="str">
        <f t="shared" ref="V87" si="111">VLOOKUP(U87,LISTAITEMS,2,FALSE)</f>
        <v>ninguno</v>
      </c>
      <c r="W87" s="278">
        <f>VLOOKUP(U87,LISTAITEMS,5,FALSE)</f>
        <v>0</v>
      </c>
      <c r="X87" s="280">
        <v>0</v>
      </c>
      <c r="Y87" s="281" t="s">
        <v>926</v>
      </c>
      <c r="Z87" s="59" t="str">
        <f t="shared" ref="Z87" si="112">VLOOKUP(Y87,LISTAITEMS,2,FALSE)</f>
        <v>ninguno</v>
      </c>
      <c r="AA87" s="278">
        <f>VLOOKUP(Y87,LISTAITEMS,5,FALSE)</f>
        <v>0</v>
      </c>
      <c r="AB87" s="280">
        <v>0</v>
      </c>
      <c r="AC87" s="281" t="s">
        <v>926</v>
      </c>
      <c r="AD87" s="59" t="str">
        <f t="shared" ref="AD87" si="113">VLOOKUP(AC87,LISTAITEMS,2,FALSE)</f>
        <v>ninguno</v>
      </c>
      <c r="AE87" s="278">
        <f>VLOOKUP(AC87,LISTAITEMS,5,FALSE)</f>
        <v>0</v>
      </c>
    </row>
    <row r="91" spans="1:31" s="293" customFormat="1" x14ac:dyDescent="0.25">
      <c r="A91" s="296"/>
      <c r="B91" s="296" t="s">
        <v>1213</v>
      </c>
      <c r="C91" s="296"/>
      <c r="D91" s="296"/>
      <c r="E91" s="296"/>
      <c r="F91" s="296"/>
      <c r="G91" s="296"/>
      <c r="H91" s="296"/>
      <c r="I91" s="296"/>
      <c r="J91" s="296"/>
      <c r="K91" s="296"/>
      <c r="L91" s="296"/>
      <c r="M91" s="296"/>
      <c r="N91" s="296"/>
      <c r="O91" s="296"/>
      <c r="P91" s="296"/>
      <c r="Q91" s="296"/>
      <c r="R91" s="296"/>
      <c r="S91" s="296"/>
      <c r="T91" s="296"/>
      <c r="U91" s="296"/>
      <c r="V91" s="296"/>
      <c r="W91" s="296"/>
      <c r="X91" s="176"/>
      <c r="Y91" s="176"/>
      <c r="Z91" s="176"/>
      <c r="AA91" s="176"/>
      <c r="AB91" s="176"/>
      <c r="AC91" s="176"/>
      <c r="AD91" s="176"/>
      <c r="AE91" s="176"/>
    </row>
    <row r="92" spans="1:31" s="293" customFormat="1" x14ac:dyDescent="0.25">
      <c r="A92" s="276"/>
      <c r="B92" s="276" t="s">
        <v>203</v>
      </c>
      <c r="C92" s="279" t="s">
        <v>202</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3" customFormat="1" x14ac:dyDescent="0.25">
      <c r="A93" s="282" t="s">
        <v>1237</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25" spans="1:23" s="275" customFormat="1" x14ac:dyDescent="0.25">
      <c r="A125"/>
      <c r="B125"/>
      <c r="C125"/>
      <c r="D125"/>
      <c r="E125"/>
      <c r="F125"/>
      <c r="G125"/>
      <c r="H125"/>
      <c r="I125"/>
      <c r="J125"/>
      <c r="K125"/>
      <c r="L125"/>
      <c r="M125"/>
      <c r="N125"/>
      <c r="O125"/>
      <c r="P125"/>
      <c r="Q125"/>
      <c r="R125"/>
      <c r="S125"/>
      <c r="T125"/>
      <c r="U125"/>
      <c r="V125"/>
      <c r="W125"/>
    </row>
    <row r="126" spans="1:23" s="275" customFormat="1" x14ac:dyDescent="0.25">
      <c r="A126"/>
      <c r="B126"/>
      <c r="C126"/>
      <c r="D126"/>
      <c r="E126"/>
      <c r="F126"/>
      <c r="G126"/>
      <c r="H126"/>
      <c r="I126"/>
      <c r="J126"/>
      <c r="K126"/>
      <c r="L126"/>
      <c r="M126"/>
      <c r="N126"/>
      <c r="O126"/>
      <c r="P126"/>
      <c r="Q126"/>
      <c r="R126"/>
      <c r="S126"/>
      <c r="T126"/>
      <c r="U126"/>
      <c r="V126"/>
      <c r="W126"/>
    </row>
    <row r="127" spans="1:23" s="275" customFormat="1" x14ac:dyDescent="0.25">
      <c r="A127"/>
      <c r="B127"/>
      <c r="C127"/>
      <c r="D127"/>
      <c r="E127"/>
      <c r="F127"/>
      <c r="G127"/>
      <c r="H127"/>
      <c r="I127"/>
      <c r="J127"/>
      <c r="K127"/>
      <c r="L127"/>
      <c r="M127"/>
      <c r="N127"/>
      <c r="O127"/>
      <c r="P127"/>
      <c r="Q127"/>
      <c r="R127"/>
      <c r="S127"/>
      <c r="T127"/>
      <c r="U127"/>
      <c r="V127"/>
      <c r="W127"/>
    </row>
    <row r="133" spans="1:23" s="275" customFormat="1" x14ac:dyDescent="0.25">
      <c r="A133"/>
      <c r="B133"/>
      <c r="C133"/>
      <c r="D133"/>
      <c r="E133"/>
      <c r="F133"/>
      <c r="G133"/>
      <c r="H133"/>
      <c r="I133"/>
      <c r="J133"/>
      <c r="K133"/>
      <c r="L133"/>
      <c r="M133"/>
      <c r="N133"/>
      <c r="O133"/>
      <c r="P133"/>
      <c r="Q133"/>
      <c r="R133"/>
      <c r="S133"/>
      <c r="T133"/>
      <c r="U133"/>
      <c r="V133"/>
      <c r="W133"/>
    </row>
    <row r="150" spans="1:23" s="291" customFormat="1" x14ac:dyDescent="0.25">
      <c r="A150"/>
      <c r="B150"/>
      <c r="C150"/>
      <c r="D150"/>
      <c r="E150"/>
      <c r="F150"/>
      <c r="G150"/>
      <c r="H150"/>
      <c r="I150"/>
      <c r="J150"/>
      <c r="K150"/>
      <c r="L150"/>
      <c r="M150"/>
      <c r="N150"/>
      <c r="O150"/>
      <c r="P150"/>
      <c r="Q150"/>
      <c r="R150"/>
      <c r="S150"/>
      <c r="T150"/>
      <c r="U150"/>
      <c r="V150"/>
      <c r="W150"/>
    </row>
    <row r="151" spans="1:23" s="291" customFormat="1" x14ac:dyDescent="0.25">
      <c r="A151"/>
      <c r="B151"/>
      <c r="C151"/>
      <c r="D151"/>
      <c r="E151"/>
      <c r="F151"/>
      <c r="G151"/>
      <c r="H151"/>
      <c r="I151"/>
      <c r="J151"/>
      <c r="K151"/>
      <c r="L151"/>
      <c r="M151"/>
      <c r="N151"/>
      <c r="O151"/>
      <c r="P151"/>
      <c r="Q151"/>
      <c r="R151"/>
      <c r="S151"/>
      <c r="T151"/>
      <c r="U151"/>
      <c r="V151"/>
      <c r="W151"/>
    </row>
    <row r="181" spans="1:23" s="292" customFormat="1" x14ac:dyDescent="0.25">
      <c r="A181"/>
      <c r="B181"/>
      <c r="C181"/>
      <c r="D181"/>
      <c r="E181"/>
      <c r="F181"/>
      <c r="G181"/>
      <c r="H181"/>
      <c r="I181"/>
      <c r="J181"/>
      <c r="K181"/>
      <c r="L181"/>
      <c r="M181"/>
      <c r="N181"/>
      <c r="O181"/>
      <c r="P181"/>
      <c r="Q181"/>
      <c r="R181"/>
      <c r="S181"/>
      <c r="T181"/>
      <c r="U181"/>
      <c r="V181"/>
      <c r="W181"/>
    </row>
    <row r="182" spans="1:23" s="292" customFormat="1" x14ac:dyDescent="0.25">
      <c r="A182"/>
      <c r="B182"/>
      <c r="C182"/>
      <c r="D182"/>
      <c r="E182"/>
      <c r="F182"/>
      <c r="G182"/>
      <c r="H182"/>
      <c r="I182"/>
      <c r="J182"/>
      <c r="K182"/>
      <c r="L182"/>
      <c r="M182"/>
      <c r="N182"/>
      <c r="O182"/>
      <c r="P182"/>
      <c r="Q182"/>
      <c r="R182"/>
      <c r="S182"/>
      <c r="T182"/>
      <c r="U182"/>
      <c r="V182"/>
      <c r="W182"/>
    </row>
    <row r="183" spans="1:23" s="292" customFormat="1" x14ac:dyDescent="0.25">
      <c r="A183"/>
      <c r="B183"/>
      <c r="C183"/>
      <c r="D183"/>
      <c r="E183"/>
      <c r="F183"/>
      <c r="G183"/>
      <c r="H183"/>
      <c r="I183"/>
      <c r="J183"/>
      <c r="K183"/>
      <c r="L183"/>
      <c r="M183"/>
      <c r="N183"/>
      <c r="O183"/>
      <c r="P183"/>
      <c r="Q183"/>
      <c r="R183"/>
      <c r="S183"/>
      <c r="T183"/>
      <c r="U183"/>
      <c r="V183"/>
      <c r="W183"/>
    </row>
    <row r="184" spans="1:23" s="292" customFormat="1" x14ac:dyDescent="0.25">
      <c r="A184"/>
      <c r="B184"/>
      <c r="C184"/>
      <c r="D184"/>
      <c r="E184"/>
      <c r="F184"/>
      <c r="G184"/>
      <c r="H184"/>
      <c r="I184"/>
      <c r="J184"/>
      <c r="K184"/>
      <c r="L184"/>
      <c r="M184"/>
      <c r="N184"/>
      <c r="O184"/>
      <c r="P184"/>
      <c r="Q184"/>
      <c r="R184"/>
      <c r="S184"/>
      <c r="T184"/>
      <c r="U184"/>
      <c r="V184"/>
      <c r="W184"/>
    </row>
    <row r="185" spans="1:23" s="292" customFormat="1" x14ac:dyDescent="0.25">
      <c r="A185"/>
      <c r="B185"/>
      <c r="C185"/>
      <c r="D185"/>
      <c r="E185"/>
      <c r="F185"/>
      <c r="G185"/>
      <c r="H185"/>
      <c r="I185"/>
      <c r="J185"/>
      <c r="K185"/>
      <c r="L185"/>
      <c r="M185"/>
      <c r="N185"/>
      <c r="O185"/>
      <c r="P185"/>
      <c r="Q185"/>
      <c r="R185"/>
      <c r="S185"/>
      <c r="T185"/>
      <c r="U185"/>
      <c r="V185"/>
      <c r="W185"/>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row r="194" spans="1:23" s="275" customFormat="1" x14ac:dyDescent="0.25">
      <c r="A194"/>
      <c r="B194"/>
      <c r="C194"/>
      <c r="D194"/>
      <c r="E194"/>
      <c r="F194"/>
      <c r="G194"/>
      <c r="H194"/>
      <c r="I194"/>
      <c r="J194"/>
      <c r="K194"/>
      <c r="L194"/>
      <c r="M194"/>
      <c r="N194"/>
      <c r="O194"/>
      <c r="P194"/>
      <c r="Q194"/>
      <c r="R194"/>
      <c r="S194"/>
      <c r="T194"/>
      <c r="U194"/>
      <c r="V194"/>
      <c r="W194"/>
    </row>
    <row r="195" spans="1:23" s="275" customFormat="1" x14ac:dyDescent="0.25">
      <c r="A195"/>
      <c r="B195"/>
      <c r="C195"/>
      <c r="D195"/>
      <c r="E195"/>
      <c r="F195"/>
      <c r="G195"/>
      <c r="H195"/>
      <c r="I195"/>
      <c r="J195"/>
      <c r="K195"/>
      <c r="L195"/>
      <c r="M195"/>
      <c r="N195"/>
      <c r="O195"/>
      <c r="P195"/>
      <c r="Q195"/>
      <c r="R195"/>
      <c r="S195"/>
      <c r="T195"/>
      <c r="U195"/>
      <c r="V195"/>
      <c r="W195"/>
    </row>
    <row r="196" spans="1:23" s="275" customFormat="1" x14ac:dyDescent="0.25">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C32" sqref="C32"/>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57" t="s">
        <v>1221</v>
      </c>
      <c r="B1" s="176"/>
      <c r="C1" s="176"/>
      <c r="D1" s="295"/>
      <c r="E1" s="284" t="s">
        <v>1150</v>
      </c>
      <c r="F1" s="284" t="s">
        <v>1151</v>
      </c>
      <c r="G1" s="284" t="s">
        <v>1229</v>
      </c>
      <c r="H1" s="284" t="s">
        <v>202</v>
      </c>
      <c r="I1" s="284" t="s">
        <v>1152</v>
      </c>
      <c r="J1" s="284" t="s">
        <v>1229</v>
      </c>
      <c r="K1" s="284" t="s">
        <v>202</v>
      </c>
      <c r="L1" s="284" t="s">
        <v>1169</v>
      </c>
      <c r="M1" s="284" t="s">
        <v>1229</v>
      </c>
      <c r="N1" s="284" t="s">
        <v>202</v>
      </c>
      <c r="O1" s="284" t="s">
        <v>1222</v>
      </c>
      <c r="P1" s="284" t="s">
        <v>1229</v>
      </c>
      <c r="Q1" s="284" t="s">
        <v>202</v>
      </c>
      <c r="R1" s="284" t="s">
        <v>1223</v>
      </c>
      <c r="S1" s="284" t="s">
        <v>1229</v>
      </c>
      <c r="T1" s="284" t="s">
        <v>202</v>
      </c>
      <c r="U1" s="284" t="s">
        <v>1224</v>
      </c>
      <c r="V1" s="284" t="s">
        <v>1229</v>
      </c>
      <c r="W1" s="284" t="s">
        <v>202</v>
      </c>
      <c r="X1" s="284" t="s">
        <v>1225</v>
      </c>
      <c r="Y1" s="284" t="s">
        <v>1229</v>
      </c>
      <c r="Z1" s="284" t="s">
        <v>202</v>
      </c>
    </row>
    <row r="2" spans="1:26" x14ac:dyDescent="0.25">
      <c r="A2" s="357"/>
      <c r="B2" s="358" t="s">
        <v>1160</v>
      </c>
      <c r="C2" s="31" t="s">
        <v>6</v>
      </c>
      <c r="D2" s="34">
        <f>'ECONOMIA &amp; PROFESIONES'!$N$5</f>
        <v>900</v>
      </c>
      <c r="E2" s="53">
        <f>(H2*G2)+(K2*J2)+(M2*N2)+(P2*Q2)+(S2*T2)+(V2*W2)+(Y2*Z2)</f>
        <v>857.59999999999991</v>
      </c>
      <c r="F2" s="281" t="s">
        <v>1238</v>
      </c>
      <c r="G2" s="285">
        <v>2</v>
      </c>
      <c r="H2" s="278">
        <f t="shared" ref="H2:H26" si="0">VLOOKUP(F2,craftedesp,3,FALSE)</f>
        <v>172.79999999999998</v>
      </c>
      <c r="I2" s="281" t="s">
        <v>1164</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25">
      <c r="A3" s="357"/>
      <c r="B3" s="359"/>
      <c r="C3" s="32" t="s">
        <v>113</v>
      </c>
      <c r="D3" s="34">
        <f>'ECONOMIA &amp; PROFESIONES'!$N$6</f>
        <v>1500</v>
      </c>
      <c r="E3" s="53">
        <f t="shared" ref="E3:E26" si="6">(H3*G3)+(K3*J3)+(M3*N3)+(P3*Q3)+(S3*T3)+(V3*W3)+(Y3*Z3)</f>
        <v>1700.6799999999998</v>
      </c>
      <c r="F3" s="281" t="s">
        <v>1242</v>
      </c>
      <c r="G3" s="285">
        <v>1</v>
      </c>
      <c r="H3" s="278">
        <f t="shared" si="0"/>
        <v>740.59999999999991</v>
      </c>
      <c r="I3" s="281" t="s">
        <v>1249</v>
      </c>
      <c r="J3" s="285">
        <v>2</v>
      </c>
      <c r="K3" s="278">
        <f t="shared" ref="K3:K26" si="7">VLOOKUP(I3,craftedesp,3,FALSE)</f>
        <v>480.04</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25">
      <c r="A4" s="357"/>
      <c r="B4" s="359"/>
      <c r="C4" s="31" t="s">
        <v>114</v>
      </c>
      <c r="D4" s="34">
        <f>'ECONOMIA &amp; PROFESIONES'!$N$7</f>
        <v>2100</v>
      </c>
      <c r="E4" s="53">
        <f t="shared" si="6"/>
        <v>2441.2799999999997</v>
      </c>
      <c r="F4" s="281" t="s">
        <v>1242</v>
      </c>
      <c r="G4" s="285">
        <v>2</v>
      </c>
      <c r="H4" s="278">
        <f t="shared" si="0"/>
        <v>740.59999999999991</v>
      </c>
      <c r="I4" s="281" t="s">
        <v>1249</v>
      </c>
      <c r="J4" s="285">
        <v>2</v>
      </c>
      <c r="K4" s="278">
        <f t="shared" si="7"/>
        <v>480.04</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25">
      <c r="A5" s="357"/>
      <c r="B5" s="359"/>
      <c r="C5" s="32" t="s">
        <v>115</v>
      </c>
      <c r="D5" s="34">
        <f>'ECONOMIA &amp; PROFESIONES'!$N$8</f>
        <v>1900</v>
      </c>
      <c r="E5" s="53">
        <f t="shared" si="6"/>
        <v>2180.7200000000003</v>
      </c>
      <c r="F5" s="281" t="s">
        <v>1242</v>
      </c>
      <c r="G5" s="285">
        <v>1</v>
      </c>
      <c r="H5" s="278">
        <f t="shared" si="0"/>
        <v>740.59999999999991</v>
      </c>
      <c r="I5" s="281" t="s">
        <v>1249</v>
      </c>
      <c r="J5" s="285">
        <v>3</v>
      </c>
      <c r="K5" s="278">
        <f t="shared" si="7"/>
        <v>480.04</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25">
      <c r="A6" s="357"/>
      <c r="B6" s="360"/>
      <c r="C6" s="31" t="s">
        <v>116</v>
      </c>
      <c r="D6" s="34">
        <f>'ECONOMIA &amp; PROFESIONES'!$N$9</f>
        <v>1300</v>
      </c>
      <c r="E6" s="53">
        <f t="shared" si="6"/>
        <v>1220.6399999999999</v>
      </c>
      <c r="F6" s="281" t="s">
        <v>1242</v>
      </c>
      <c r="G6" s="285">
        <v>1</v>
      </c>
      <c r="H6" s="278">
        <f t="shared" si="0"/>
        <v>740.59999999999991</v>
      </c>
      <c r="I6" s="281" t="s">
        <v>1249</v>
      </c>
      <c r="J6" s="285">
        <v>1</v>
      </c>
      <c r="K6" s="278">
        <f t="shared" si="7"/>
        <v>480.04</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25">
      <c r="A7" s="357"/>
      <c r="B7" s="361" t="s">
        <v>1161</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25">
      <c r="A8" s="357"/>
      <c r="B8" s="362"/>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25">
      <c r="A9" s="357"/>
      <c r="B9" s="362"/>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25">
      <c r="A10" s="357"/>
      <c r="B10" s="362"/>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25">
      <c r="A11" s="357"/>
      <c r="B11" s="363"/>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25">
      <c r="A12" s="357"/>
      <c r="B12" s="364" t="s">
        <v>1227</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25">
      <c r="A13" s="357"/>
      <c r="B13" s="365"/>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25">
      <c r="A14" s="357"/>
      <c r="B14" s="365"/>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25">
      <c r="A15" s="357"/>
      <c r="B15" s="364"/>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25">
      <c r="A16" s="357"/>
      <c r="B16" s="364"/>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25">
      <c r="A17" s="357"/>
      <c r="B17" s="366" t="s">
        <v>1228</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25">
      <c r="A18" s="357"/>
      <c r="B18" s="367"/>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25">
      <c r="A19" s="357"/>
      <c r="B19" s="367"/>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25">
      <c r="A20" s="357"/>
      <c r="B20" s="362"/>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25">
      <c r="A21" s="357"/>
      <c r="B21" s="368"/>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25">
      <c r="A22" s="357"/>
      <c r="B22" s="364" t="s">
        <v>1226</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25">
      <c r="A23" s="357"/>
      <c r="B23" s="364"/>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25">
      <c r="A24" s="357"/>
      <c r="B24" s="364"/>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25">
      <c r="A25" s="357"/>
      <c r="B25" s="364"/>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25">
      <c r="A26" s="357"/>
      <c r="B26" s="364"/>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25">
      <c r="A27" s="357" t="s">
        <v>1250</v>
      </c>
      <c r="B27" s="176"/>
      <c r="C27" s="176"/>
      <c r="D27" s="295"/>
      <c r="E27" s="284" t="s">
        <v>1150</v>
      </c>
      <c r="F27" s="284" t="s">
        <v>1151</v>
      </c>
      <c r="G27" s="284" t="s">
        <v>1229</v>
      </c>
      <c r="H27" s="284" t="s">
        <v>202</v>
      </c>
      <c r="I27" s="284" t="s">
        <v>1152</v>
      </c>
      <c r="J27" s="284" t="s">
        <v>1229</v>
      </c>
      <c r="K27" s="284" t="s">
        <v>202</v>
      </c>
      <c r="L27" s="284" t="s">
        <v>1169</v>
      </c>
      <c r="M27" s="284" t="s">
        <v>1229</v>
      </c>
      <c r="N27" s="284" t="s">
        <v>202</v>
      </c>
      <c r="O27" s="284" t="s">
        <v>1222</v>
      </c>
      <c r="P27" s="284" t="s">
        <v>1229</v>
      </c>
      <c r="Q27" s="284" t="s">
        <v>202</v>
      </c>
      <c r="R27" s="284" t="s">
        <v>1223</v>
      </c>
      <c r="S27" s="284" t="s">
        <v>1229</v>
      </c>
      <c r="T27" s="284" t="s">
        <v>202</v>
      </c>
      <c r="U27" s="284" t="s">
        <v>1224</v>
      </c>
      <c r="V27" s="284" t="s">
        <v>1229</v>
      </c>
      <c r="W27" s="284" t="s">
        <v>202</v>
      </c>
      <c r="X27" s="284" t="s">
        <v>1225</v>
      </c>
      <c r="Y27" s="284" t="s">
        <v>1229</v>
      </c>
      <c r="Z27" s="284" t="s">
        <v>202</v>
      </c>
    </row>
    <row r="28" spans="1:26" x14ac:dyDescent="0.25">
      <c r="A28" s="357"/>
      <c r="B28" s="358" t="s">
        <v>1160</v>
      </c>
      <c r="C28" s="31" t="s">
        <v>6</v>
      </c>
      <c r="D28" s="35">
        <f>'ECONOMIA &amp; PROFESIONES'!$O$5</f>
        <v>1300</v>
      </c>
      <c r="E28" s="53">
        <f>(H28*G28)+(K28*J28)+(M28*N28)+(P28*Q28)+(S28*T28)+(V28*W28)+(Y28*Z28)</f>
        <v>857.59999999999991</v>
      </c>
      <c r="F28" s="281" t="s">
        <v>1238</v>
      </c>
      <c r="G28" s="285">
        <v>2</v>
      </c>
      <c r="H28" s="278">
        <f t="shared" ref="H28:H52" si="8">VLOOKUP(F28,craftedesp,3,FALSE)</f>
        <v>172.79999999999998</v>
      </c>
      <c r="I28" s="281" t="s">
        <v>1164</v>
      </c>
      <c r="J28" s="285">
        <v>2</v>
      </c>
      <c r="K28" s="278">
        <f t="shared" ref="K28:K52" si="9">VLOOKUP(I28,craftedesp,3,FALSE)</f>
        <v>256</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25">
      <c r="A29" s="357"/>
      <c r="B29" s="359"/>
      <c r="C29" s="32" t="s">
        <v>113</v>
      </c>
      <c r="D29" s="35">
        <f>'ECONOMIA &amp; PROFESIONES'!$O$6</f>
        <v>2500</v>
      </c>
      <c r="E29" s="53">
        <f t="shared" ref="E29:E52" si="15">(H29*G29)+(K29*J29)+(M29*N29)+(P29*Q29)+(S29*T29)+(V29*W29)+(Y29*Z29)</f>
        <v>1700.6799999999998</v>
      </c>
      <c r="F29" s="281" t="s">
        <v>1242</v>
      </c>
      <c r="G29" s="285">
        <v>1</v>
      </c>
      <c r="H29" s="278">
        <f t="shared" si="8"/>
        <v>740.59999999999991</v>
      </c>
      <c r="I29" s="281" t="s">
        <v>1249</v>
      </c>
      <c r="J29" s="285">
        <v>2</v>
      </c>
      <c r="K29" s="278">
        <f t="shared" si="9"/>
        <v>480.04</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25">
      <c r="A30" s="357"/>
      <c r="B30" s="359"/>
      <c r="C30" s="31" t="s">
        <v>114</v>
      </c>
      <c r="D30" s="35">
        <f>'ECONOMIA &amp; PROFESIONES'!$O$7</f>
        <v>3700</v>
      </c>
      <c r="E30" s="53">
        <f t="shared" si="15"/>
        <v>2441.2799999999997</v>
      </c>
      <c r="F30" s="281" t="s">
        <v>1242</v>
      </c>
      <c r="G30" s="285">
        <v>2</v>
      </c>
      <c r="H30" s="278">
        <f t="shared" si="8"/>
        <v>740.59999999999991</v>
      </c>
      <c r="I30" s="281" t="s">
        <v>1249</v>
      </c>
      <c r="J30" s="285">
        <v>2</v>
      </c>
      <c r="K30" s="278">
        <f t="shared" si="9"/>
        <v>480.04</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25">
      <c r="A31" s="357"/>
      <c r="B31" s="359"/>
      <c r="C31" s="32" t="s">
        <v>115</v>
      </c>
      <c r="D31" s="35">
        <f>'ECONOMIA &amp; PROFESIONES'!$O$8</f>
        <v>3300</v>
      </c>
      <c r="E31" s="53">
        <f t="shared" si="15"/>
        <v>2180.7200000000003</v>
      </c>
      <c r="F31" s="281" t="s">
        <v>1242</v>
      </c>
      <c r="G31" s="285">
        <v>1</v>
      </c>
      <c r="H31" s="278">
        <f t="shared" si="8"/>
        <v>740.59999999999991</v>
      </c>
      <c r="I31" s="281" t="s">
        <v>1249</v>
      </c>
      <c r="J31" s="285">
        <v>3</v>
      </c>
      <c r="K31" s="278">
        <f t="shared" si="9"/>
        <v>480.04</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25">
      <c r="A32" s="357"/>
      <c r="B32" s="360"/>
      <c r="C32" s="31" t="s">
        <v>116</v>
      </c>
      <c r="D32" s="35">
        <f>'ECONOMIA &amp; PROFESIONES'!$O$9</f>
        <v>2100</v>
      </c>
      <c r="E32" s="53">
        <f t="shared" si="15"/>
        <v>1220.6399999999999</v>
      </c>
      <c r="F32" s="281" t="s">
        <v>1242</v>
      </c>
      <c r="G32" s="285">
        <v>1</v>
      </c>
      <c r="H32" s="278">
        <f t="shared" si="8"/>
        <v>740.59999999999991</v>
      </c>
      <c r="I32" s="281" t="s">
        <v>1249</v>
      </c>
      <c r="J32" s="285">
        <v>1</v>
      </c>
      <c r="K32" s="278">
        <f t="shared" si="9"/>
        <v>480.04</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25">
      <c r="A33" s="357"/>
      <c r="B33" s="361" t="s">
        <v>1161</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25">
      <c r="A34" s="357"/>
      <c r="B34" s="362"/>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25">
      <c r="A35" s="357"/>
      <c r="B35" s="362"/>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25">
      <c r="A36" s="357"/>
      <c r="B36" s="362"/>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25">
      <c r="A37" s="357"/>
      <c r="B37" s="363"/>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25">
      <c r="A38" s="357"/>
      <c r="B38" s="364" t="s">
        <v>1227</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25">
      <c r="A39" s="357"/>
      <c r="B39" s="365"/>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25">
      <c r="A40" s="357"/>
      <c r="B40" s="365"/>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25">
      <c r="A41" s="357"/>
      <c r="B41" s="364"/>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25">
      <c r="A42" s="357"/>
      <c r="B42" s="364"/>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25">
      <c r="A43" s="357"/>
      <c r="B43" s="366" t="s">
        <v>1228</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25">
      <c r="A44" s="357"/>
      <c r="B44" s="367"/>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25">
      <c r="A45" s="357"/>
      <c r="B45" s="367"/>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25">
      <c r="A46" s="357"/>
      <c r="B46" s="362"/>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25">
      <c r="A47" s="357"/>
      <c r="B47" s="368"/>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25">
      <c r="A48" s="357"/>
      <c r="B48" s="364" t="s">
        <v>1226</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25">
      <c r="A49" s="357"/>
      <c r="B49" s="364"/>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25">
      <c r="A50" s="357"/>
      <c r="B50" s="364"/>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25">
      <c r="A51" s="357"/>
      <c r="B51" s="364"/>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25">
      <c r="A52" s="357"/>
      <c r="B52" s="364"/>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25">
      <c r="A53" s="357" t="s">
        <v>2</v>
      </c>
      <c r="B53" s="176"/>
      <c r="C53" s="176"/>
      <c r="D53" s="295"/>
      <c r="E53" s="284" t="s">
        <v>1150</v>
      </c>
      <c r="F53" s="284" t="s">
        <v>1151</v>
      </c>
      <c r="G53" s="284" t="s">
        <v>1229</v>
      </c>
      <c r="H53" s="284" t="s">
        <v>202</v>
      </c>
      <c r="I53" s="284" t="s">
        <v>1152</v>
      </c>
      <c r="J53" s="284" t="s">
        <v>1229</v>
      </c>
      <c r="K53" s="284" t="s">
        <v>202</v>
      </c>
      <c r="L53" s="284" t="s">
        <v>1169</v>
      </c>
      <c r="M53" s="284" t="s">
        <v>1229</v>
      </c>
      <c r="N53" s="284" t="s">
        <v>202</v>
      </c>
      <c r="O53" s="284" t="s">
        <v>1222</v>
      </c>
      <c r="P53" s="284" t="s">
        <v>1229</v>
      </c>
      <c r="Q53" s="284" t="s">
        <v>202</v>
      </c>
      <c r="R53" s="284" t="s">
        <v>1223</v>
      </c>
      <c r="S53" s="284" t="s">
        <v>1229</v>
      </c>
      <c r="T53" s="284" t="s">
        <v>202</v>
      </c>
      <c r="U53" s="284" t="s">
        <v>1224</v>
      </c>
      <c r="V53" s="284" t="s">
        <v>1229</v>
      </c>
      <c r="W53" s="284" t="s">
        <v>202</v>
      </c>
      <c r="X53" s="284" t="s">
        <v>1225</v>
      </c>
      <c r="Y53" s="284" t="s">
        <v>1229</v>
      </c>
      <c r="Z53" s="284" t="s">
        <v>202</v>
      </c>
    </row>
    <row r="54" spans="1:26" x14ac:dyDescent="0.25">
      <c r="A54" s="357"/>
      <c r="B54" s="358" t="s">
        <v>1160</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25">
      <c r="A55" s="357"/>
      <c r="B55" s="359"/>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25">
      <c r="A56" s="357"/>
      <c r="B56" s="359"/>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25">
      <c r="A57" s="357"/>
      <c r="B57" s="359"/>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25">
      <c r="A58" s="357"/>
      <c r="B58" s="360"/>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25">
      <c r="A59" s="357"/>
      <c r="B59" s="361" t="s">
        <v>1161</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25">
      <c r="A60" s="357"/>
      <c r="B60" s="362"/>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25">
      <c r="A61" s="357"/>
      <c r="B61" s="362"/>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25">
      <c r="A62" s="357"/>
      <c r="B62" s="362"/>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25">
      <c r="A63" s="357"/>
      <c r="B63" s="363"/>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25">
      <c r="A64" s="357"/>
      <c r="B64" s="364" t="s">
        <v>1227</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25">
      <c r="A65" s="357"/>
      <c r="B65" s="365"/>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25">
      <c r="A66" s="357"/>
      <c r="B66" s="365"/>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25">
      <c r="A67" s="357"/>
      <c r="B67" s="364"/>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25">
      <c r="A68" s="357"/>
      <c r="B68" s="364"/>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25">
      <c r="A69" s="357"/>
      <c r="B69" s="366" t="s">
        <v>1228</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25">
      <c r="A70" s="357"/>
      <c r="B70" s="367"/>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25">
      <c r="A71" s="357"/>
      <c r="B71" s="367"/>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25">
      <c r="A72" s="357"/>
      <c r="B72" s="362"/>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25">
      <c r="A73" s="357"/>
      <c r="B73" s="368"/>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25">
      <c r="A74" s="357"/>
      <c r="B74" s="364" t="s">
        <v>1226</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25">
      <c r="A75" s="357"/>
      <c r="B75" s="364"/>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25">
      <c r="A76" s="357"/>
      <c r="B76" s="364"/>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25">
      <c r="A77" s="357"/>
      <c r="B77" s="364"/>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25">
      <c r="A78" s="357"/>
      <c r="B78" s="364"/>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25">
      <c r="A79" s="357" t="s">
        <v>3</v>
      </c>
      <c r="B79" s="176"/>
      <c r="C79" s="176"/>
      <c r="D79" s="295"/>
      <c r="E79" s="284" t="s">
        <v>1150</v>
      </c>
      <c r="F79" s="284" t="s">
        <v>1151</v>
      </c>
      <c r="G79" s="284" t="s">
        <v>1229</v>
      </c>
      <c r="H79" s="284" t="s">
        <v>202</v>
      </c>
      <c r="I79" s="284" t="s">
        <v>1152</v>
      </c>
      <c r="J79" s="284" t="s">
        <v>1229</v>
      </c>
      <c r="K79" s="284" t="s">
        <v>202</v>
      </c>
      <c r="L79" s="284" t="s">
        <v>1169</v>
      </c>
      <c r="M79" s="284" t="s">
        <v>1229</v>
      </c>
      <c r="N79" s="284" t="s">
        <v>202</v>
      </c>
      <c r="O79" s="284" t="s">
        <v>1222</v>
      </c>
      <c r="P79" s="284" t="s">
        <v>1229</v>
      </c>
      <c r="Q79" s="284" t="s">
        <v>202</v>
      </c>
      <c r="R79" s="284" t="s">
        <v>1223</v>
      </c>
      <c r="S79" s="284" t="s">
        <v>1229</v>
      </c>
      <c r="T79" s="284" t="s">
        <v>202</v>
      </c>
      <c r="U79" s="284" t="s">
        <v>1224</v>
      </c>
      <c r="V79" s="284" t="s">
        <v>1229</v>
      </c>
      <c r="W79" s="284" t="s">
        <v>202</v>
      </c>
      <c r="X79" s="284" t="s">
        <v>1225</v>
      </c>
      <c r="Y79" s="284" t="s">
        <v>1229</v>
      </c>
      <c r="Z79" s="284" t="s">
        <v>202</v>
      </c>
    </row>
    <row r="80" spans="1:26" x14ac:dyDescent="0.25">
      <c r="A80" s="357"/>
      <c r="B80" s="358" t="s">
        <v>1160</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25">
      <c r="A81" s="357"/>
      <c r="B81" s="359"/>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25">
      <c r="A82" s="357"/>
      <c r="B82" s="359"/>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25">
      <c r="A83" s="357"/>
      <c r="B83" s="359"/>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25">
      <c r="A84" s="357"/>
      <c r="B84" s="360"/>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25">
      <c r="A85" s="357"/>
      <c r="B85" s="361" t="s">
        <v>1161</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25">
      <c r="A86" s="357"/>
      <c r="B86" s="362"/>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25">
      <c r="A87" s="357"/>
      <c r="B87" s="362"/>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25">
      <c r="A88" s="357"/>
      <c r="B88" s="362"/>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25">
      <c r="A89" s="357"/>
      <c r="B89" s="363"/>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25">
      <c r="A90" s="357"/>
      <c r="B90" s="364" t="s">
        <v>1227</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25">
      <c r="A91" s="357"/>
      <c r="B91" s="365"/>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25">
      <c r="A92" s="357"/>
      <c r="B92" s="365"/>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25">
      <c r="A93" s="357"/>
      <c r="B93" s="364"/>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25">
      <c r="A94" s="357"/>
      <c r="B94" s="364"/>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25">
      <c r="A95" s="357"/>
      <c r="B95" s="366" t="s">
        <v>1228</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25">
      <c r="A96" s="357"/>
      <c r="B96" s="367"/>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25">
      <c r="A97" s="357"/>
      <c r="B97" s="367"/>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25">
      <c r="A98" s="357"/>
      <c r="B98" s="362"/>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25">
      <c r="A99" s="357"/>
      <c r="B99" s="368"/>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25">
      <c r="A100" s="357"/>
      <c r="B100" s="364" t="s">
        <v>1226</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25">
      <c r="A101" s="357"/>
      <c r="B101" s="364"/>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25">
      <c r="A102" s="357"/>
      <c r="B102" s="364"/>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25">
      <c r="A103" s="357"/>
      <c r="B103" s="364"/>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25">
      <c r="A104" s="357"/>
      <c r="B104" s="364"/>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25">
      <c r="A105" s="357" t="s">
        <v>4</v>
      </c>
      <c r="B105" s="176"/>
      <c r="C105" s="176"/>
      <c r="D105" s="295"/>
      <c r="E105" s="284" t="s">
        <v>1150</v>
      </c>
      <c r="F105" s="284" t="s">
        <v>1151</v>
      </c>
      <c r="G105" s="284" t="s">
        <v>1229</v>
      </c>
      <c r="H105" s="284" t="s">
        <v>202</v>
      </c>
      <c r="I105" s="284" t="s">
        <v>1152</v>
      </c>
      <c r="J105" s="284" t="s">
        <v>1229</v>
      </c>
      <c r="K105" s="284" t="s">
        <v>202</v>
      </c>
      <c r="L105" s="284" t="s">
        <v>1169</v>
      </c>
      <c r="M105" s="284" t="s">
        <v>1229</v>
      </c>
      <c r="N105" s="284" t="s">
        <v>202</v>
      </c>
      <c r="O105" s="284" t="s">
        <v>1222</v>
      </c>
      <c r="P105" s="284" t="s">
        <v>1229</v>
      </c>
      <c r="Q105" s="284" t="s">
        <v>202</v>
      </c>
      <c r="R105" s="284" t="s">
        <v>1223</v>
      </c>
      <c r="S105" s="284" t="s">
        <v>1229</v>
      </c>
      <c r="T105" s="284" t="s">
        <v>202</v>
      </c>
      <c r="U105" s="284" t="s">
        <v>1224</v>
      </c>
      <c r="V105" s="284" t="s">
        <v>1229</v>
      </c>
      <c r="W105" s="284" t="s">
        <v>202</v>
      </c>
      <c r="X105" s="284" t="s">
        <v>1225</v>
      </c>
      <c r="Y105" s="284" t="s">
        <v>1229</v>
      </c>
      <c r="Z105" s="284" t="s">
        <v>202</v>
      </c>
    </row>
    <row r="106" spans="1:26" x14ac:dyDescent="0.25">
      <c r="A106" s="357"/>
      <c r="B106" s="358" t="s">
        <v>1160</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25">
      <c r="A107" s="357"/>
      <c r="B107" s="359"/>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25">
      <c r="A108" s="357"/>
      <c r="B108" s="359"/>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25">
      <c r="A109" s="357"/>
      <c r="B109" s="359"/>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25">
      <c r="A110" s="357"/>
      <c r="B110" s="360"/>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25">
      <c r="A111" s="357"/>
      <c r="B111" s="361" t="s">
        <v>1161</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25">
      <c r="A112" s="357"/>
      <c r="B112" s="362"/>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25">
      <c r="A113" s="357"/>
      <c r="B113" s="362"/>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25">
      <c r="A114" s="357"/>
      <c r="B114" s="362"/>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25">
      <c r="A115" s="357"/>
      <c r="B115" s="363"/>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25">
      <c r="A116" s="357"/>
      <c r="B116" s="364" t="s">
        <v>1227</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25">
      <c r="A117" s="357"/>
      <c r="B117" s="365"/>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25">
      <c r="A118" s="357"/>
      <c r="B118" s="365"/>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25">
      <c r="A119" s="357"/>
      <c r="B119" s="364"/>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25">
      <c r="A120" s="357"/>
      <c r="B120" s="364"/>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25">
      <c r="A121" s="357"/>
      <c r="B121" s="366" t="s">
        <v>1228</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25">
      <c r="A122" s="357"/>
      <c r="B122" s="367"/>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25">
      <c r="A123" s="357"/>
      <c r="B123" s="367"/>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25">
      <c r="A124" s="357"/>
      <c r="B124" s="362"/>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25">
      <c r="A125" s="357"/>
      <c r="B125" s="368"/>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25">
      <c r="A126" s="357"/>
      <c r="B126" s="364" t="s">
        <v>1226</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25">
      <c r="A127" s="357"/>
      <c r="B127" s="364"/>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25">
      <c r="A128" s="357"/>
      <c r="B128" s="364"/>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25">
      <c r="A129" s="357"/>
      <c r="B129" s="364"/>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25">
      <c r="A130" s="357"/>
      <c r="B130" s="364"/>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57" t="s">
        <v>1241</v>
      </c>
      <c r="B1" s="176"/>
      <c r="C1" s="176"/>
      <c r="D1" s="295"/>
      <c r="E1" s="284" t="s">
        <v>1150</v>
      </c>
      <c r="F1" s="284" t="s">
        <v>1151</v>
      </c>
      <c r="G1" s="284" t="s">
        <v>1229</v>
      </c>
      <c r="H1" s="284" t="s">
        <v>202</v>
      </c>
      <c r="I1" s="284" t="s">
        <v>1152</v>
      </c>
      <c r="J1" s="284" t="s">
        <v>1229</v>
      </c>
      <c r="K1" s="284" t="s">
        <v>202</v>
      </c>
      <c r="L1" s="284" t="s">
        <v>1169</v>
      </c>
      <c r="M1" s="284" t="s">
        <v>1229</v>
      </c>
      <c r="N1" s="284" t="s">
        <v>202</v>
      </c>
      <c r="O1" s="284" t="s">
        <v>1222</v>
      </c>
      <c r="P1" s="284" t="s">
        <v>1229</v>
      </c>
      <c r="Q1" s="284" t="s">
        <v>202</v>
      </c>
      <c r="R1" s="284" t="s">
        <v>1223</v>
      </c>
      <c r="S1" s="284" t="s">
        <v>1229</v>
      </c>
      <c r="T1" s="284" t="s">
        <v>202</v>
      </c>
      <c r="U1" s="284" t="s">
        <v>1224</v>
      </c>
      <c r="V1" s="284" t="s">
        <v>1229</v>
      </c>
      <c r="W1" s="284" t="s">
        <v>202</v>
      </c>
      <c r="X1" s="284" t="s">
        <v>1225</v>
      </c>
      <c r="Y1" s="284" t="s">
        <v>1229</v>
      </c>
      <c r="Z1" s="284" t="s">
        <v>202</v>
      </c>
    </row>
    <row r="2" spans="1:26" x14ac:dyDescent="0.25">
      <c r="A2" s="357"/>
      <c r="B2" s="358" t="s">
        <v>1160</v>
      </c>
      <c r="C2" s="31" t="s">
        <v>6</v>
      </c>
      <c r="D2" s="34">
        <f>'ECONOMIA &amp; PROFESIONES'!$P$7</f>
        <v>6900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25">
      <c r="A3" s="357"/>
      <c r="B3" s="359"/>
      <c r="C3" s="32" t="s">
        <v>113</v>
      </c>
      <c r="D3" s="34">
        <f>'ECONOMIA &amp; PROFESIONES'!$P$7</f>
        <v>6900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25">
      <c r="A4" s="357"/>
      <c r="B4" s="359"/>
      <c r="C4" s="31" t="s">
        <v>1240</v>
      </c>
      <c r="D4" s="34">
        <f>'ECONOMIA &amp; PROFESIONES'!$P$7</f>
        <v>6900</v>
      </c>
      <c r="E4" s="53">
        <f t="shared" si="7"/>
        <v>6720.56</v>
      </c>
      <c r="F4" s="281" t="s">
        <v>1249</v>
      </c>
      <c r="G4" s="285">
        <v>14</v>
      </c>
      <c r="H4" s="278">
        <f t="shared" si="0"/>
        <v>480.04</v>
      </c>
      <c r="I4" s="281" t="s">
        <v>926</v>
      </c>
      <c r="J4" s="285">
        <v>24</v>
      </c>
      <c r="K4" s="278">
        <f t="shared" si="1"/>
        <v>0</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25">
      <c r="A5" s="357"/>
      <c r="B5" s="359"/>
      <c r="C5" s="32" t="s">
        <v>115</v>
      </c>
      <c r="D5" s="34">
        <f>'ECONOMIA &amp; PROFESIONES'!$P$7</f>
        <v>6900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25">
      <c r="A6" s="357"/>
      <c r="B6" s="360"/>
      <c r="C6" s="31" t="s">
        <v>116</v>
      </c>
      <c r="D6" s="34">
        <f>'ECONOMIA &amp; PROFESIONES'!$P$7</f>
        <v>6900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25">
      <c r="A7" s="357"/>
      <c r="B7" s="361" t="s">
        <v>1161</v>
      </c>
      <c r="C7" s="32" t="s">
        <v>6</v>
      </c>
      <c r="D7" s="34">
        <f>'ECONOMIA &amp; PROFESIONES'!$P$12</f>
        <v>8600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25">
      <c r="A8" s="357"/>
      <c r="B8" s="362"/>
      <c r="C8" s="31" t="s">
        <v>113</v>
      </c>
      <c r="D8" s="34">
        <f>'ECONOMIA &amp; PROFESIONES'!$P$12</f>
        <v>8600</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25">
      <c r="A9" s="357"/>
      <c r="B9" s="362"/>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25">
      <c r="A10" s="357"/>
      <c r="B10" s="362"/>
      <c r="C10" s="31" t="s">
        <v>115</v>
      </c>
      <c r="D10" s="34">
        <f>'ECONOMIA &amp; PROFESIONES'!$P$12</f>
        <v>8600</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25">
      <c r="A11" s="357"/>
      <c r="B11" s="363"/>
      <c r="C11" s="32" t="s">
        <v>116</v>
      </c>
      <c r="D11" s="34">
        <f>'ECONOMIA &amp; PROFESIONES'!$P$12</f>
        <v>8600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25">
      <c r="A12" s="357"/>
      <c r="B12" s="364" t="s">
        <v>1227</v>
      </c>
      <c r="C12" s="31" t="s">
        <v>6</v>
      </c>
      <c r="D12" s="34">
        <f>'ECONOMIA &amp; PROFESIONES'!$P$17</f>
        <v>10500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25">
      <c r="A13" s="357"/>
      <c r="B13" s="365"/>
      <c r="C13" s="32" t="s">
        <v>113</v>
      </c>
      <c r="D13" s="34">
        <f>'ECONOMIA &amp; PROFESIONES'!$P$17</f>
        <v>10500</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25">
      <c r="A14" s="357"/>
      <c r="B14" s="365"/>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25">
      <c r="A15" s="357"/>
      <c r="B15" s="364"/>
      <c r="C15" s="32" t="s">
        <v>115</v>
      </c>
      <c r="D15" s="34">
        <f>'ECONOMIA &amp; PROFESIONES'!$P$17</f>
        <v>10500</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25">
      <c r="A16" s="357"/>
      <c r="B16" s="364"/>
      <c r="C16" s="31" t="s">
        <v>116</v>
      </c>
      <c r="D16" s="34">
        <f>'ECONOMIA &amp; PROFESIONES'!$P$17</f>
        <v>10500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25">
      <c r="A17" s="357"/>
      <c r="B17" s="366" t="s">
        <v>1228</v>
      </c>
      <c r="C17" s="32" t="s">
        <v>6</v>
      </c>
      <c r="D17" s="34">
        <f>'ECONOMIA &amp; PROFESIONES'!$P$22</f>
        <v>12400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25">
      <c r="A18" s="357"/>
      <c r="B18" s="367"/>
      <c r="C18" s="31" t="s">
        <v>113</v>
      </c>
      <c r="D18" s="34">
        <f>'ECONOMIA &amp; PROFESIONES'!$P$22</f>
        <v>12400</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25">
      <c r="A19" s="357"/>
      <c r="B19" s="367"/>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25">
      <c r="A20" s="357"/>
      <c r="B20" s="362"/>
      <c r="C20" s="31" t="s">
        <v>115</v>
      </c>
      <c r="D20" s="34">
        <f>'ECONOMIA &amp; PROFESIONES'!$P$22</f>
        <v>12400</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25">
      <c r="A21" s="357"/>
      <c r="B21" s="368"/>
      <c r="C21" s="32" t="s">
        <v>116</v>
      </c>
      <c r="D21" s="34">
        <f>'ECONOMIA &amp; PROFESIONES'!$P$22</f>
        <v>12400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25">
      <c r="A22" s="357"/>
      <c r="B22" s="364" t="s">
        <v>1226</v>
      </c>
      <c r="C22" s="31" t="s">
        <v>6</v>
      </c>
      <c r="D22" s="34">
        <f>'ECONOMIA &amp; PROFESIONES'!$P$27</f>
        <v>14300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25">
      <c r="A23" s="357"/>
      <c r="B23" s="364"/>
      <c r="C23" s="32" t="s">
        <v>113</v>
      </c>
      <c r="D23" s="34">
        <f>'ECONOMIA &amp; PROFESIONES'!$P$27</f>
        <v>14300</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25">
      <c r="A24" s="357"/>
      <c r="B24" s="364"/>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25">
      <c r="A25" s="357"/>
      <c r="B25" s="364"/>
      <c r="C25" s="32" t="s">
        <v>115</v>
      </c>
      <c r="D25" s="34">
        <f>'ECONOMIA &amp; PROFESIONES'!$P$27</f>
        <v>14300</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25">
      <c r="A26" s="357"/>
      <c r="B26" s="364"/>
      <c r="C26" s="31" t="s">
        <v>116</v>
      </c>
      <c r="D26" s="34">
        <f>'ECONOMIA &amp; PROFESIONES'!$P$27</f>
        <v>14300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M94"/>
  <sheetViews>
    <sheetView topLeftCell="M29" workbookViewId="0">
      <selection activeCell="J35" sqref="J35"/>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1155</v>
      </c>
      <c r="D11" s="37">
        <v>1</v>
      </c>
      <c r="E11" s="28"/>
      <c r="G11" s="2"/>
    </row>
    <row r="12" spans="1:10" x14ac:dyDescent="0.25">
      <c r="C12" s="37" t="s">
        <v>1154</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70" t="s">
        <v>39</v>
      </c>
      <c r="B17" s="370"/>
      <c r="C17" s="3" t="s">
        <v>35</v>
      </c>
      <c r="D17" s="3" t="s">
        <v>51</v>
      </c>
      <c r="E17" s="3" t="s">
        <v>52</v>
      </c>
      <c r="F17" s="3" t="s">
        <v>53</v>
      </c>
      <c r="G17" s="3" t="s">
        <v>54</v>
      </c>
    </row>
    <row r="18" spans="1:9" x14ac:dyDescent="0.25">
      <c r="A18" s="350" t="s">
        <v>73</v>
      </c>
      <c r="B18" s="350"/>
      <c r="C18" s="37">
        <v>0</v>
      </c>
      <c r="D18" s="28">
        <f>$C$18+1</f>
        <v>1</v>
      </c>
      <c r="E18" s="28">
        <f>$D$18+1</f>
        <v>2</v>
      </c>
      <c r="F18" s="28">
        <f>$E$18+1</f>
        <v>3</v>
      </c>
      <c r="G18" s="28">
        <f>$F$18+1</f>
        <v>4</v>
      </c>
    </row>
    <row r="19" spans="1:9" x14ac:dyDescent="0.25">
      <c r="A19" s="350" t="s">
        <v>74</v>
      </c>
      <c r="B19" s="350"/>
      <c r="C19" s="37">
        <v>0</v>
      </c>
      <c r="D19" s="28">
        <f>$C$19+1</f>
        <v>1</v>
      </c>
      <c r="E19" s="28">
        <f>$D$19+2</f>
        <v>3</v>
      </c>
      <c r="F19" s="28">
        <f>$E$19+2</f>
        <v>5</v>
      </c>
      <c r="G19" s="28">
        <f>$F$19+2</f>
        <v>7</v>
      </c>
    </row>
    <row r="20" spans="1:9" x14ac:dyDescent="0.25">
      <c r="A20" s="350" t="s">
        <v>40</v>
      </c>
      <c r="B20" s="350"/>
      <c r="C20" s="37">
        <v>0</v>
      </c>
      <c r="D20" s="28">
        <f>$C$20+1</f>
        <v>1</v>
      </c>
      <c r="E20" s="28">
        <f>$D$20+1</f>
        <v>2</v>
      </c>
      <c r="F20" s="28">
        <f>$E$20+1</f>
        <v>3</v>
      </c>
      <c r="G20" s="28">
        <f>$F$20+1</f>
        <v>4</v>
      </c>
    </row>
    <row r="21" spans="1:9" x14ac:dyDescent="0.25">
      <c r="A21" s="350" t="s">
        <v>41</v>
      </c>
      <c r="B21" s="350"/>
      <c r="C21" s="37">
        <v>0</v>
      </c>
      <c r="D21" s="28">
        <f>$C$21+2</f>
        <v>2</v>
      </c>
      <c r="E21" s="28">
        <f>$D$21+1</f>
        <v>3</v>
      </c>
      <c r="F21" s="28">
        <f>$E$21+1</f>
        <v>4</v>
      </c>
      <c r="G21" s="28">
        <f>$F$21+1</f>
        <v>5</v>
      </c>
    </row>
    <row r="22" spans="1:9" x14ac:dyDescent="0.25">
      <c r="A22" s="350" t="s">
        <v>44</v>
      </c>
      <c r="B22" s="350"/>
      <c r="C22" s="37">
        <v>0</v>
      </c>
      <c r="D22" s="28">
        <f>$C$22+1</f>
        <v>1</v>
      </c>
      <c r="E22" s="28">
        <f>$D$22+1</f>
        <v>2</v>
      </c>
      <c r="F22" s="28">
        <f>$E$22+1</f>
        <v>3</v>
      </c>
      <c r="G22" s="28">
        <f>$F$22+1</f>
        <v>4</v>
      </c>
    </row>
    <row r="23" spans="1:9" x14ac:dyDescent="0.25">
      <c r="A23" s="350" t="s">
        <v>42</v>
      </c>
      <c r="B23" s="350"/>
      <c r="C23" s="37">
        <v>0</v>
      </c>
      <c r="D23" s="28">
        <f>C23</f>
        <v>0</v>
      </c>
      <c r="E23" s="28">
        <f>$D$23+1</f>
        <v>1</v>
      </c>
      <c r="F23" s="28">
        <f>$E$23+1</f>
        <v>2</v>
      </c>
      <c r="G23" s="28">
        <f>$F$23+1</f>
        <v>3</v>
      </c>
    </row>
    <row r="24" spans="1:9" x14ac:dyDescent="0.25">
      <c r="A24" s="350" t="s">
        <v>43</v>
      </c>
      <c r="B24" s="350"/>
      <c r="C24" s="37">
        <v>0</v>
      </c>
      <c r="D24" s="28">
        <f>$C$24+1</f>
        <v>1</v>
      </c>
      <c r="E24" s="28">
        <f>$D$24+1</f>
        <v>2</v>
      </c>
      <c r="F24" s="28">
        <f>$E$24+1</f>
        <v>3</v>
      </c>
      <c r="G24" s="28">
        <f>$F$24+1</f>
        <v>4</v>
      </c>
    </row>
    <row r="25" spans="1:9" x14ac:dyDescent="0.25">
      <c r="A25" s="350" t="s">
        <v>45</v>
      </c>
      <c r="B25" s="350"/>
      <c r="C25" s="37">
        <v>5</v>
      </c>
      <c r="D25" s="28">
        <f>$C$25+1</f>
        <v>6</v>
      </c>
      <c r="E25" s="28">
        <f>$D$25+1</f>
        <v>7</v>
      </c>
      <c r="F25" s="28">
        <f>$E$25+1</f>
        <v>8</v>
      </c>
      <c r="G25" s="28">
        <f>$F$25+1</f>
        <v>9</v>
      </c>
    </row>
    <row r="26" spans="1:9" x14ac:dyDescent="0.25">
      <c r="A26" s="350" t="s">
        <v>46</v>
      </c>
      <c r="B26" s="350"/>
      <c r="C26" s="37">
        <v>6</v>
      </c>
      <c r="D26" s="28">
        <f>$C$26+1</f>
        <v>7</v>
      </c>
      <c r="E26" s="28">
        <f>$D$26+1</f>
        <v>8</v>
      </c>
      <c r="F26" s="28">
        <f>$E$26+1</f>
        <v>9</v>
      </c>
      <c r="G26" s="28">
        <f>$F$26+1</f>
        <v>10</v>
      </c>
      <c r="I26" s="15" t="s">
        <v>99</v>
      </c>
    </row>
    <row r="27" spans="1:9" x14ac:dyDescent="0.25">
      <c r="A27" s="350" t="s">
        <v>47</v>
      </c>
      <c r="B27" s="350"/>
      <c r="C27" s="38">
        <v>0.7</v>
      </c>
      <c r="D27" s="28">
        <f>$C$27/2</f>
        <v>0.35</v>
      </c>
      <c r="E27" s="28">
        <f>$D$27/2</f>
        <v>0.17499999999999999</v>
      </c>
      <c r="F27" s="28">
        <f>$E$27/2</f>
        <v>8.7499999999999994E-2</v>
      </c>
      <c r="G27" s="28">
        <f>$F$27/2</f>
        <v>4.3749999999999997E-2</v>
      </c>
      <c r="I27" s="37">
        <v>5</v>
      </c>
    </row>
    <row r="28" spans="1:9" x14ac:dyDescent="0.25">
      <c r="A28" s="350" t="s">
        <v>48</v>
      </c>
      <c r="B28" s="350"/>
      <c r="C28" s="37">
        <f>C27/2</f>
        <v>0.35</v>
      </c>
      <c r="D28" s="28">
        <f>$D$27/2</f>
        <v>0.17499999999999999</v>
      </c>
      <c r="E28" s="28">
        <f>$E$27/2</f>
        <v>8.7499999999999994E-2</v>
      </c>
      <c r="F28" s="28">
        <f>$F$27/2</f>
        <v>4.3749999999999997E-2</v>
      </c>
      <c r="G28" s="28">
        <f>$G$27/2</f>
        <v>2.1874999999999999E-2</v>
      </c>
    </row>
    <row r="29" spans="1:9" x14ac:dyDescent="0.25">
      <c r="A29" s="350" t="s">
        <v>75</v>
      </c>
      <c r="B29" s="350"/>
      <c r="C29" s="37">
        <v>0</v>
      </c>
      <c r="D29" s="105">
        <v>1</v>
      </c>
      <c r="E29" s="105">
        <v>1</v>
      </c>
      <c r="F29" s="105">
        <v>2</v>
      </c>
      <c r="G29" s="105">
        <v>2</v>
      </c>
    </row>
    <row r="30" spans="1:9" x14ac:dyDescent="0.25">
      <c r="A30" s="350" t="s">
        <v>76</v>
      </c>
      <c r="B30" s="350"/>
      <c r="C30" s="37">
        <v>0</v>
      </c>
      <c r="D30" s="105">
        <v>1</v>
      </c>
      <c r="E30" s="105">
        <v>2</v>
      </c>
      <c r="F30" s="105">
        <v>3</v>
      </c>
      <c r="G30" s="105">
        <v>4</v>
      </c>
    </row>
    <row r="31" spans="1:9" x14ac:dyDescent="0.25">
      <c r="A31" s="369" t="s">
        <v>49</v>
      </c>
      <c r="B31" s="369"/>
      <c r="C31" s="369"/>
      <c r="D31" s="369"/>
      <c r="E31" s="369"/>
      <c r="F31" s="369"/>
      <c r="G31" s="369"/>
      <c r="H31" s="1" t="s">
        <v>65</v>
      </c>
      <c r="I31" s="15" t="s">
        <v>98</v>
      </c>
    </row>
    <row r="32" spans="1:9" x14ac:dyDescent="0.25">
      <c r="A32" s="350" t="s">
        <v>50</v>
      </c>
      <c r="B32" s="350"/>
      <c r="C32" s="37">
        <v>8.9</v>
      </c>
      <c r="D32" s="28">
        <f>C32*3</f>
        <v>26.700000000000003</v>
      </c>
      <c r="E32" s="28">
        <f>D32*3</f>
        <v>80.100000000000009</v>
      </c>
      <c r="F32" s="28">
        <f>E32*3</f>
        <v>240.3</v>
      </c>
      <c r="G32" s="28">
        <f>F32*2</f>
        <v>480.6</v>
      </c>
      <c r="H32" s="28">
        <f>ROUNDDOWN(G32/5*H64,0)</f>
        <v>768</v>
      </c>
      <c r="I32" s="28">
        <f>H32+(5*I27)</f>
        <v>793</v>
      </c>
    </row>
    <row r="33" spans="1:13" x14ac:dyDescent="0.25">
      <c r="A33" s="350" t="str">
        <f>C12</f>
        <v>Esencia</v>
      </c>
      <c r="B33" s="350"/>
      <c r="C33" s="37">
        <f>ROUNDDOWN(C32/2,0)</f>
        <v>4</v>
      </c>
      <c r="D33" s="28">
        <f>ROUNDDOWN(D32/2,0)</f>
        <v>13</v>
      </c>
      <c r="E33" s="28">
        <f t="shared" ref="D33:G35" si="0">ROUNDDOWN(E32/2,0)</f>
        <v>40</v>
      </c>
      <c r="F33" s="28">
        <f t="shared" si="0"/>
        <v>120</v>
      </c>
      <c r="G33" s="28">
        <f t="shared" si="0"/>
        <v>240</v>
      </c>
      <c r="H33" s="28"/>
      <c r="I33" s="28"/>
    </row>
    <row r="34" spans="1:13" x14ac:dyDescent="0.25">
      <c r="A34" s="350" t="str">
        <f>C12</f>
        <v>Esencia</v>
      </c>
      <c r="B34" s="350"/>
      <c r="C34" s="37">
        <f>ROUNDDOWN(C33/2,0)</f>
        <v>2</v>
      </c>
      <c r="D34" s="28">
        <f t="shared" si="0"/>
        <v>6</v>
      </c>
      <c r="E34" s="28">
        <f t="shared" si="0"/>
        <v>20</v>
      </c>
      <c r="F34" s="28">
        <f t="shared" si="0"/>
        <v>60</v>
      </c>
      <c r="G34" s="28">
        <f t="shared" si="0"/>
        <v>120</v>
      </c>
      <c r="H34" s="28"/>
      <c r="I34" s="28"/>
    </row>
    <row r="35" spans="1:13" x14ac:dyDescent="0.25">
      <c r="A35" s="355" t="str">
        <f>C11</f>
        <v>Inteligencia</v>
      </c>
      <c r="B35" s="355"/>
      <c r="C35" s="37">
        <f t="shared" ref="C35" si="1">ROUNDDOWN(C34/2,0)</f>
        <v>1</v>
      </c>
      <c r="D35" s="28">
        <f t="shared" si="0"/>
        <v>3</v>
      </c>
      <c r="E35" s="28">
        <f t="shared" si="0"/>
        <v>10</v>
      </c>
      <c r="F35" s="28">
        <f t="shared" si="0"/>
        <v>30</v>
      </c>
      <c r="G35" s="28">
        <f t="shared" si="0"/>
        <v>60</v>
      </c>
      <c r="H35" s="28"/>
      <c r="I35" s="28"/>
    </row>
    <row r="36" spans="1:13" x14ac:dyDescent="0.25">
      <c r="A36" s="369" t="s">
        <v>21</v>
      </c>
      <c r="B36" s="369"/>
      <c r="C36" s="369"/>
      <c r="D36" s="369"/>
      <c r="E36" s="369"/>
      <c r="F36" s="369"/>
      <c r="G36" s="369"/>
    </row>
    <row r="37" spans="1:13" x14ac:dyDescent="0.25">
      <c r="A37" s="371" t="s">
        <v>61</v>
      </c>
      <c r="B37" s="371"/>
      <c r="C37" s="371"/>
      <c r="D37" s="371"/>
      <c r="E37" s="371"/>
      <c r="F37" s="371"/>
      <c r="G37" s="371"/>
      <c r="H37" s="4" t="s">
        <v>82</v>
      </c>
    </row>
    <row r="38" spans="1:13" x14ac:dyDescent="0.25">
      <c r="A38" s="350" t="s">
        <v>69</v>
      </c>
      <c r="B38" s="350"/>
      <c r="C38" s="39"/>
      <c r="D38" s="28"/>
      <c r="E38" s="28"/>
      <c r="F38" s="28"/>
      <c r="G38" s="28"/>
      <c r="H38" s="28">
        <v>300</v>
      </c>
    </row>
    <row r="39" spans="1:13" x14ac:dyDescent="0.25">
      <c r="A39" s="350" t="s">
        <v>67</v>
      </c>
      <c r="B39" s="350"/>
      <c r="C39" s="105">
        <v>1800</v>
      </c>
      <c r="D39" s="28">
        <f>C39+$H$38</f>
        <v>2100</v>
      </c>
      <c r="E39" s="106">
        <f t="shared" ref="E39:G39" si="2">D39+$H$38</f>
        <v>2400</v>
      </c>
      <c r="F39" s="106">
        <f t="shared" si="2"/>
        <v>2700</v>
      </c>
      <c r="G39" s="106">
        <f t="shared" si="2"/>
        <v>3000</v>
      </c>
      <c r="H39" s="28"/>
    </row>
    <row r="40" spans="1:13" x14ac:dyDescent="0.25">
      <c r="A40" s="374" t="s">
        <v>68</v>
      </c>
      <c r="B40" s="374"/>
      <c r="C40" s="39">
        <v>1800</v>
      </c>
      <c r="D40" s="39">
        <v>1800</v>
      </c>
      <c r="E40" s="39">
        <v>1800</v>
      </c>
      <c r="F40" s="39">
        <v>1800</v>
      </c>
      <c r="G40" s="39">
        <v>1800</v>
      </c>
      <c r="H40" s="28"/>
    </row>
    <row r="41" spans="1:13" ht="27.75" customHeight="1" x14ac:dyDescent="0.25">
      <c r="A41" s="370" t="s">
        <v>38</v>
      </c>
      <c r="B41" s="370"/>
      <c r="C41" s="3" t="s">
        <v>7</v>
      </c>
      <c r="D41" s="3" t="s">
        <v>8</v>
      </c>
      <c r="E41" s="3" t="s">
        <v>83</v>
      </c>
      <c r="F41" s="3" t="s">
        <v>84</v>
      </c>
      <c r="G41" s="3" t="s">
        <v>85</v>
      </c>
      <c r="H41" s="3" t="s">
        <v>62</v>
      </c>
      <c r="I41" s="23" t="s">
        <v>119</v>
      </c>
      <c r="J41" s="370" t="s">
        <v>1157</v>
      </c>
      <c r="K41" s="370"/>
      <c r="L41" s="370" t="s">
        <v>1159</v>
      </c>
      <c r="M41" s="370"/>
    </row>
    <row r="42" spans="1:13" x14ac:dyDescent="0.25">
      <c r="A42" s="371" t="s">
        <v>20</v>
      </c>
      <c r="B42" s="371"/>
      <c r="C42" s="371"/>
      <c r="D42" s="371"/>
      <c r="E42" s="371"/>
      <c r="F42" s="371"/>
      <c r="G42" s="371"/>
      <c r="H42" s="6">
        <v>2</v>
      </c>
      <c r="I42" s="41">
        <v>1</v>
      </c>
      <c r="J42" s="300" t="s">
        <v>1253</v>
      </c>
      <c r="K42" s="300"/>
      <c r="L42" s="300">
        <v>2</v>
      </c>
      <c r="M42" s="300"/>
    </row>
    <row r="43" spans="1:13" x14ac:dyDescent="0.25">
      <c r="A43" s="350" t="str">
        <f>C8</f>
        <v>Vitalidad</v>
      </c>
      <c r="B43" s="350"/>
      <c r="C43" s="28">
        <f>D8*H42</f>
        <v>2</v>
      </c>
      <c r="D43" s="28">
        <f>C43*3</f>
        <v>6</v>
      </c>
      <c r="E43" s="28">
        <f>D43*3</f>
        <v>18</v>
      </c>
      <c r="F43" s="28">
        <f>E43*3</f>
        <v>54</v>
      </c>
      <c r="G43" s="28">
        <f>F43*3</f>
        <v>162</v>
      </c>
      <c r="H43" s="26" t="s">
        <v>120</v>
      </c>
    </row>
    <row r="44" spans="1:13" x14ac:dyDescent="0.25">
      <c r="A44" s="350" t="str">
        <f>C9</f>
        <v>Fuerza</v>
      </c>
      <c r="B44" s="350"/>
      <c r="C44" s="28">
        <f>D9*H42</f>
        <v>2</v>
      </c>
      <c r="D44" s="106">
        <f t="shared" ref="D44:G46" si="3">C44*3</f>
        <v>6</v>
      </c>
      <c r="E44" s="106">
        <f t="shared" si="3"/>
        <v>18</v>
      </c>
      <c r="F44" s="106">
        <f t="shared" si="3"/>
        <v>54</v>
      </c>
      <c r="G44" s="106">
        <f t="shared" si="3"/>
        <v>162</v>
      </c>
      <c r="H44" s="6">
        <v>2</v>
      </c>
    </row>
    <row r="45" spans="1:13" x14ac:dyDescent="0.25">
      <c r="A45" s="350" t="str">
        <f>C10</f>
        <v>Agilidad</v>
      </c>
      <c r="B45" s="350"/>
      <c r="C45" s="28">
        <f>D10*H42</f>
        <v>2</v>
      </c>
      <c r="D45" s="106">
        <f t="shared" si="3"/>
        <v>6</v>
      </c>
      <c r="E45" s="106">
        <f t="shared" si="3"/>
        <v>18</v>
      </c>
      <c r="F45" s="106">
        <f t="shared" si="3"/>
        <v>54</v>
      </c>
      <c r="G45" s="106">
        <f t="shared" si="3"/>
        <v>162</v>
      </c>
    </row>
    <row r="46" spans="1:13" x14ac:dyDescent="0.25">
      <c r="A46" s="350" t="str">
        <f>C11</f>
        <v>Inteligencia</v>
      </c>
      <c r="B46" s="350"/>
      <c r="C46" s="28">
        <f>D11*H42</f>
        <v>2</v>
      </c>
      <c r="D46" s="106">
        <f t="shared" si="3"/>
        <v>6</v>
      </c>
      <c r="E46" s="106">
        <f t="shared" si="3"/>
        <v>18</v>
      </c>
      <c r="F46" s="106">
        <f t="shared" si="3"/>
        <v>54</v>
      </c>
      <c r="G46" s="106">
        <f t="shared" si="3"/>
        <v>162</v>
      </c>
    </row>
    <row r="47" spans="1:13" x14ac:dyDescent="0.25">
      <c r="A47" s="350" t="s">
        <v>77</v>
      </c>
      <c r="B47" s="350"/>
      <c r="C47" s="28">
        <f>(C$23+C$24)/2*$H$42</f>
        <v>0</v>
      </c>
      <c r="D47" s="28">
        <f>($D$23+$D$24)/2*$H$42</f>
        <v>1</v>
      </c>
      <c r="E47" s="28">
        <f>($E$23+$E$24)/2*$H$42</f>
        <v>3</v>
      </c>
      <c r="F47" s="28">
        <f>($F$23+$F$24)/2*$H$42</f>
        <v>5</v>
      </c>
      <c r="G47" s="28">
        <f>($G$23+$G$24)/2*$H$42</f>
        <v>7</v>
      </c>
    </row>
    <row r="48" spans="1:13" x14ac:dyDescent="0.25">
      <c r="A48" s="371" t="s">
        <v>49</v>
      </c>
      <c r="B48" s="371"/>
      <c r="C48" s="371"/>
      <c r="D48" s="371"/>
      <c r="E48" s="371"/>
      <c r="F48" s="371"/>
      <c r="G48" s="371"/>
    </row>
    <row r="49" spans="1:13" x14ac:dyDescent="0.25">
      <c r="A49" s="350" t="s">
        <v>50</v>
      </c>
      <c r="B49" s="350"/>
      <c r="C49" s="40">
        <f>ROUNDDOWN(C32/5*H42,0)</f>
        <v>3</v>
      </c>
      <c r="D49" s="40">
        <f>ROUNDDOWN(D32/5*H42,0)</f>
        <v>10</v>
      </c>
      <c r="E49" s="40">
        <f>ROUNDDOWN(E32/5*H42,0)</f>
        <v>32</v>
      </c>
      <c r="F49" s="40">
        <f>ROUNDDOWN(F32/5*H42,0)</f>
        <v>96</v>
      </c>
      <c r="G49" s="40">
        <f>ROUNDDOWN(G32/5*H42,0)</f>
        <v>192</v>
      </c>
    </row>
    <row r="50" spans="1:13" x14ac:dyDescent="0.25">
      <c r="A50" s="350" t="str">
        <f>C12</f>
        <v>Esencia</v>
      </c>
      <c r="B50" s="350"/>
      <c r="C50" s="40">
        <f>ROUNDDOWN(C49/3,0)</f>
        <v>1</v>
      </c>
      <c r="D50" s="40">
        <f>ROUNDDOWN(D49/3,0)</f>
        <v>3</v>
      </c>
      <c r="E50" s="40">
        <f>ROUNDDOWN(E49/3,0)</f>
        <v>10</v>
      </c>
      <c r="F50" s="40">
        <f>ROUNDDOWN(F49/3,0)</f>
        <v>32</v>
      </c>
      <c r="G50" s="40">
        <f>ROUNDDOWN(G49/3,0)</f>
        <v>64</v>
      </c>
    </row>
    <row r="51" spans="1:13" x14ac:dyDescent="0.25">
      <c r="A51" s="350"/>
      <c r="B51" s="350"/>
    </row>
    <row r="52" spans="1:13" ht="27.75" customHeight="1" x14ac:dyDescent="0.25">
      <c r="A52" s="370" t="s">
        <v>63</v>
      </c>
      <c r="B52" s="370"/>
      <c r="C52" s="3" t="s">
        <v>0</v>
      </c>
      <c r="D52" s="3" t="s">
        <v>86</v>
      </c>
      <c r="E52" s="3" t="s">
        <v>83</v>
      </c>
      <c r="F52" s="3" t="s">
        <v>84</v>
      </c>
      <c r="G52" s="3" t="s">
        <v>85</v>
      </c>
      <c r="H52" s="3" t="s">
        <v>62</v>
      </c>
      <c r="J52" s="370" t="s">
        <v>1157</v>
      </c>
      <c r="K52" s="370"/>
      <c r="L52" s="370" t="s">
        <v>1159</v>
      </c>
      <c r="M52" s="370"/>
    </row>
    <row r="53" spans="1:13" x14ac:dyDescent="0.25">
      <c r="A53" s="371" t="s">
        <v>20</v>
      </c>
      <c r="B53" s="371"/>
      <c r="C53" s="371"/>
      <c r="D53" s="371"/>
      <c r="E53" s="371"/>
      <c r="F53" s="371"/>
      <c r="G53" s="371"/>
      <c r="H53" s="6">
        <f>$H$55*$I$42</f>
        <v>5</v>
      </c>
      <c r="J53" s="300" t="s">
        <v>1158</v>
      </c>
      <c r="K53" s="300"/>
      <c r="L53" s="300">
        <v>1</v>
      </c>
      <c r="M53" s="300"/>
    </row>
    <row r="54" spans="1:13" x14ac:dyDescent="0.25">
      <c r="A54" s="350" t="str">
        <f>C8</f>
        <v>Vitalidad</v>
      </c>
      <c r="B54" s="350"/>
      <c r="C54">
        <f>D8*H53</f>
        <v>5</v>
      </c>
      <c r="D54" s="288">
        <f>ROUNDDOWN(C54*1.7,0)</f>
        <v>8</v>
      </c>
      <c r="E54" s="288">
        <f>ROUNDDOWN(D54*1.7,0)</f>
        <v>13</v>
      </c>
      <c r="F54" s="288">
        <f>ROUNDDOWN(E54*1.7,0)</f>
        <v>22</v>
      </c>
      <c r="G54" s="288">
        <f>ROUNDDOWN(F54*1.7,0)</f>
        <v>37</v>
      </c>
      <c r="H54" s="26" t="s">
        <v>120</v>
      </c>
    </row>
    <row r="55" spans="1:13" x14ac:dyDescent="0.25">
      <c r="A55" s="350" t="str">
        <f>C9</f>
        <v>Fuerza</v>
      </c>
      <c r="B55" s="350"/>
      <c r="C55">
        <f>D9*H53</f>
        <v>5</v>
      </c>
      <c r="D55" s="288">
        <f t="shared" ref="D55:G55" si="4">ROUNDDOWN(C55*1.7,0)</f>
        <v>8</v>
      </c>
      <c r="E55" s="288">
        <f t="shared" si="4"/>
        <v>13</v>
      </c>
      <c r="F55" s="288">
        <f t="shared" si="4"/>
        <v>22</v>
      </c>
      <c r="G55" s="288">
        <f t="shared" si="4"/>
        <v>37</v>
      </c>
      <c r="H55" s="6">
        <v>5</v>
      </c>
    </row>
    <row r="56" spans="1:13" x14ac:dyDescent="0.25">
      <c r="A56" s="350" t="str">
        <f>C10</f>
        <v>Agilidad</v>
      </c>
      <c r="B56" s="350"/>
      <c r="C56">
        <f>D10*H53</f>
        <v>5</v>
      </c>
      <c r="D56" s="288">
        <f t="shared" ref="D56:G56" si="5">ROUNDDOWN(C56*1.7,0)</f>
        <v>8</v>
      </c>
      <c r="E56" s="288">
        <f t="shared" si="5"/>
        <v>13</v>
      </c>
      <c r="F56" s="288">
        <f t="shared" si="5"/>
        <v>22</v>
      </c>
      <c r="G56" s="288">
        <f t="shared" si="5"/>
        <v>37</v>
      </c>
    </row>
    <row r="57" spans="1:13" x14ac:dyDescent="0.25">
      <c r="A57" s="350" t="str">
        <f>C11</f>
        <v>Inteligencia</v>
      </c>
      <c r="B57" s="350"/>
      <c r="C57">
        <f>D11*H53</f>
        <v>5</v>
      </c>
      <c r="D57" s="288">
        <f t="shared" ref="D57:G57" si="6">ROUNDDOWN(C57*1.7,0)</f>
        <v>8</v>
      </c>
      <c r="E57" s="288">
        <f t="shared" si="6"/>
        <v>13</v>
      </c>
      <c r="F57" s="288">
        <f t="shared" si="6"/>
        <v>22</v>
      </c>
      <c r="G57" s="288">
        <f t="shared" si="6"/>
        <v>37</v>
      </c>
    </row>
    <row r="58" spans="1:13" x14ac:dyDescent="0.25">
      <c r="A58" s="350" t="s">
        <v>77</v>
      </c>
      <c r="B58" s="350"/>
      <c r="C58">
        <f>(C$23+C$24)/2*$H$53</f>
        <v>0</v>
      </c>
      <c r="D58">
        <f>(D$23+D$24)/2*$H$53</f>
        <v>2.5</v>
      </c>
      <c r="E58">
        <f>(E$23+E$24)/2*$H$53</f>
        <v>7.5</v>
      </c>
      <c r="F58">
        <f>(F$23+F$24)/2*$H$53</f>
        <v>12.5</v>
      </c>
      <c r="G58">
        <f>(G$23+G$24)/2*$H$53</f>
        <v>17.5</v>
      </c>
    </row>
    <row r="59" spans="1:13" x14ac:dyDescent="0.25">
      <c r="A59" s="371" t="s">
        <v>49</v>
      </c>
      <c r="B59" s="371"/>
      <c r="C59" s="371"/>
      <c r="D59" s="371"/>
      <c r="E59" s="371"/>
      <c r="F59" s="371"/>
      <c r="G59" s="371"/>
    </row>
    <row r="60" spans="1:13" x14ac:dyDescent="0.25">
      <c r="A60" s="350" t="s">
        <v>50</v>
      </c>
      <c r="B60" s="350"/>
      <c r="C60" s="5">
        <f>ROUNDDOWN(C32/5*H53,0)</f>
        <v>8</v>
      </c>
      <c r="D60" s="5">
        <f>ROUNDDOWN(D32/5*H53,0)</f>
        <v>26</v>
      </c>
      <c r="E60" s="5">
        <f>ROUNDDOWN(E32/5*H53,0)</f>
        <v>80</v>
      </c>
      <c r="F60" s="5">
        <f>ROUNDDOWN(F32/5*H53,0)</f>
        <v>240</v>
      </c>
      <c r="G60" s="5">
        <f>ROUNDDOWN(G32/5*H53,0)</f>
        <v>480</v>
      </c>
    </row>
    <row r="61" spans="1:13" x14ac:dyDescent="0.25">
      <c r="A61" s="350" t="str">
        <f>C12</f>
        <v>Esencia</v>
      </c>
      <c r="B61" s="350"/>
      <c r="C61" s="5">
        <f>ROUNDDOWN(C60/3,0)</f>
        <v>2</v>
      </c>
      <c r="D61" s="5">
        <f>ROUNDDOWN(D60/3,0)</f>
        <v>8</v>
      </c>
      <c r="E61" s="5">
        <f>ROUNDDOWN(E60/3,0)</f>
        <v>26</v>
      </c>
      <c r="F61" s="5">
        <f>ROUNDDOWN(F60/3,0)</f>
        <v>80</v>
      </c>
      <c r="G61" s="5">
        <f>ROUNDDOWN(G60/3,0)</f>
        <v>160</v>
      </c>
    </row>
    <row r="62" spans="1:13" x14ac:dyDescent="0.25">
      <c r="A62" s="372"/>
      <c r="B62" s="372"/>
    </row>
    <row r="63" spans="1:13" ht="27.75" customHeight="1" x14ac:dyDescent="0.25">
      <c r="A63" s="370" t="s">
        <v>64</v>
      </c>
      <c r="B63" s="370"/>
      <c r="C63" s="3" t="s">
        <v>0</v>
      </c>
      <c r="D63" s="3" t="s">
        <v>86</v>
      </c>
      <c r="E63" s="3" t="s">
        <v>83</v>
      </c>
      <c r="F63" s="3" t="s">
        <v>84</v>
      </c>
      <c r="G63" s="3" t="s">
        <v>85</v>
      </c>
      <c r="H63" s="3" t="s">
        <v>62</v>
      </c>
    </row>
    <row r="64" spans="1:13" x14ac:dyDescent="0.25">
      <c r="A64" s="371" t="s">
        <v>20</v>
      </c>
      <c r="B64" s="371"/>
      <c r="C64" s="371"/>
      <c r="D64" s="371"/>
      <c r="E64" s="371"/>
      <c r="F64" s="371"/>
      <c r="G64" s="371"/>
      <c r="H64" s="6">
        <f>$H$66*$I$42</f>
        <v>8</v>
      </c>
    </row>
    <row r="65" spans="1:8" x14ac:dyDescent="0.25">
      <c r="A65" s="350" t="str">
        <f>C8</f>
        <v>Vitalidad</v>
      </c>
      <c r="B65" s="350"/>
      <c r="C65">
        <f>D8*H64</f>
        <v>8</v>
      </c>
      <c r="D65">
        <f>ROUNDDOWN(C65*1.7,0)</f>
        <v>13</v>
      </c>
      <c r="E65">
        <f>ROUNDDOWN(D65*1.7,0)</f>
        <v>22</v>
      </c>
      <c r="F65">
        <f>ROUNDDOWN(E65*1.7,0)</f>
        <v>37</v>
      </c>
      <c r="G65">
        <f>ROUNDDOWN(F65*1.7,0)</f>
        <v>62</v>
      </c>
      <c r="H65" s="26" t="s">
        <v>120</v>
      </c>
    </row>
    <row r="66" spans="1:8" x14ac:dyDescent="0.25">
      <c r="A66" s="350" t="str">
        <f>C9</f>
        <v>Fuerza</v>
      </c>
      <c r="B66" s="350"/>
      <c r="C66">
        <f>D9*H64</f>
        <v>8</v>
      </c>
      <c r="D66" s="288">
        <f t="shared" ref="D66:G68" si="7">ROUNDDOWN(C66*1.7,0)</f>
        <v>13</v>
      </c>
      <c r="E66" s="288">
        <f t="shared" si="7"/>
        <v>22</v>
      </c>
      <c r="F66" s="288">
        <f t="shared" si="7"/>
        <v>37</v>
      </c>
      <c r="G66" s="288">
        <f t="shared" si="7"/>
        <v>62</v>
      </c>
      <c r="H66" s="6">
        <v>8</v>
      </c>
    </row>
    <row r="67" spans="1:8" x14ac:dyDescent="0.25">
      <c r="A67" s="350" t="str">
        <f>C10</f>
        <v>Agilidad</v>
      </c>
      <c r="B67" s="350"/>
      <c r="C67">
        <f>D9*H64</f>
        <v>8</v>
      </c>
      <c r="D67" s="288">
        <f t="shared" si="7"/>
        <v>13</v>
      </c>
      <c r="E67" s="288">
        <f t="shared" si="7"/>
        <v>22</v>
      </c>
      <c r="F67" s="288">
        <f t="shared" si="7"/>
        <v>37</v>
      </c>
      <c r="G67" s="288">
        <f t="shared" si="7"/>
        <v>62</v>
      </c>
    </row>
    <row r="68" spans="1:8" x14ac:dyDescent="0.25">
      <c r="A68" s="350" t="str">
        <f>C11</f>
        <v>Inteligencia</v>
      </c>
      <c r="B68" s="350"/>
      <c r="C68">
        <f>D9*H64</f>
        <v>8</v>
      </c>
      <c r="D68" s="288">
        <f t="shared" si="7"/>
        <v>13</v>
      </c>
      <c r="E68" s="288">
        <f t="shared" si="7"/>
        <v>22</v>
      </c>
      <c r="F68" s="288">
        <f t="shared" si="7"/>
        <v>37</v>
      </c>
      <c r="G68" s="288">
        <f t="shared" si="7"/>
        <v>62</v>
      </c>
    </row>
    <row r="69" spans="1:8" x14ac:dyDescent="0.25">
      <c r="A69" s="350" t="s">
        <v>77</v>
      </c>
      <c r="B69" s="350"/>
      <c r="C69">
        <f>(C$23+C$24)/2*$H$64</f>
        <v>0</v>
      </c>
      <c r="D69">
        <f>(D$23+D$24)/2*$H$64</f>
        <v>4</v>
      </c>
      <c r="E69">
        <f>(E$23+E$24)/2*$H$64</f>
        <v>12</v>
      </c>
      <c r="F69">
        <f>(F$23+F$24)/2*$H$64</f>
        <v>20</v>
      </c>
      <c r="G69">
        <f>(G$23+G$24)/2*$H$64</f>
        <v>28</v>
      </c>
    </row>
    <row r="70" spans="1:8" x14ac:dyDescent="0.25">
      <c r="A70" s="371" t="s">
        <v>49</v>
      </c>
      <c r="B70" s="371"/>
      <c r="C70" s="371"/>
      <c r="D70" s="371"/>
      <c r="E70" s="371"/>
      <c r="F70" s="371"/>
      <c r="G70" s="371"/>
    </row>
    <row r="71" spans="1:8" x14ac:dyDescent="0.25">
      <c r="A71" s="350" t="s">
        <v>50</v>
      </c>
      <c r="B71" s="350"/>
      <c r="C71" s="5">
        <f>ROUNDDOWN(C32/5*H64,0)</f>
        <v>14</v>
      </c>
      <c r="D71" s="5">
        <f>ROUNDDOWN(D32/5*H64,0)</f>
        <v>42</v>
      </c>
      <c r="E71" s="5">
        <f>ROUNDDOWN(E32/5*H64,0)</f>
        <v>128</v>
      </c>
      <c r="F71" s="5">
        <f>ROUNDDOWN(F32/5*H64,0)</f>
        <v>384</v>
      </c>
      <c r="G71" s="5">
        <f>ROUNDDOWN(G32/5*H64,0)</f>
        <v>768</v>
      </c>
    </row>
    <row r="72" spans="1:8" x14ac:dyDescent="0.25">
      <c r="A72" s="350" t="str">
        <f>C12</f>
        <v>Esencia</v>
      </c>
      <c r="B72" s="350"/>
      <c r="C72" s="5">
        <f>ROUNDDOWN(C71/3,0)</f>
        <v>4</v>
      </c>
      <c r="D72" s="5">
        <f>ROUNDDOWN(D71/3,0)</f>
        <v>14</v>
      </c>
      <c r="E72" s="5">
        <f>ROUNDDOWN(E71/3,0)</f>
        <v>42</v>
      </c>
      <c r="F72" s="5">
        <f>ROUNDDOWN(F71/3,0)</f>
        <v>128</v>
      </c>
      <c r="G72" s="5">
        <f>ROUNDDOWN(G71/3,0)</f>
        <v>256</v>
      </c>
    </row>
    <row r="73" spans="1:8" x14ac:dyDescent="0.25">
      <c r="A73" s="373"/>
      <c r="B73" s="373"/>
    </row>
    <row r="74" spans="1:8" ht="27.75" customHeight="1" x14ac:dyDescent="0.25">
      <c r="A74" s="370" t="s">
        <v>11</v>
      </c>
      <c r="B74" s="370"/>
      <c r="C74" s="3" t="s">
        <v>0</v>
      </c>
      <c r="D74" s="3" t="s">
        <v>86</v>
      </c>
      <c r="E74" s="3" t="s">
        <v>83</v>
      </c>
      <c r="F74" s="3" t="s">
        <v>84</v>
      </c>
      <c r="G74" s="3" t="s">
        <v>85</v>
      </c>
      <c r="H74" s="3" t="s">
        <v>62</v>
      </c>
    </row>
    <row r="75" spans="1:8" x14ac:dyDescent="0.25">
      <c r="A75" s="371" t="s">
        <v>20</v>
      </c>
      <c r="B75" s="371"/>
      <c r="C75" s="371"/>
      <c r="D75" s="371"/>
      <c r="E75" s="371"/>
      <c r="F75" s="371"/>
      <c r="G75" s="371"/>
      <c r="H75" s="6">
        <f>$H$77*$I$42</f>
        <v>7</v>
      </c>
    </row>
    <row r="76" spans="1:8" x14ac:dyDescent="0.25">
      <c r="A76" s="350" t="str">
        <f>C8</f>
        <v>Vitalidad</v>
      </c>
      <c r="B76" s="350"/>
      <c r="C76">
        <f>D8*H75</f>
        <v>7</v>
      </c>
      <c r="D76" s="288">
        <f>ROUNDDOWN(C76*1.7,0)</f>
        <v>11</v>
      </c>
      <c r="E76" s="288">
        <f>ROUNDDOWN(D76*1.7,0)</f>
        <v>18</v>
      </c>
      <c r="F76" s="288">
        <f>ROUNDDOWN(E76*1.7,0)</f>
        <v>30</v>
      </c>
      <c r="G76" s="288">
        <f>ROUNDDOWN(F76*1.7,0)</f>
        <v>51</v>
      </c>
      <c r="H76" s="26" t="s">
        <v>120</v>
      </c>
    </row>
    <row r="77" spans="1:8" x14ac:dyDescent="0.25">
      <c r="A77" s="350" t="str">
        <f>C9</f>
        <v>Fuerza</v>
      </c>
      <c r="B77" s="350"/>
      <c r="C77">
        <f>D9*H75</f>
        <v>7</v>
      </c>
      <c r="D77" s="288">
        <f t="shared" ref="D77:G77" si="8">ROUNDDOWN(C77*1.7,0)</f>
        <v>11</v>
      </c>
      <c r="E77" s="288">
        <f t="shared" si="8"/>
        <v>18</v>
      </c>
      <c r="F77" s="288">
        <f t="shared" si="8"/>
        <v>30</v>
      </c>
      <c r="G77" s="288">
        <f t="shared" si="8"/>
        <v>51</v>
      </c>
      <c r="H77" s="6">
        <v>7</v>
      </c>
    </row>
    <row r="78" spans="1:8" x14ac:dyDescent="0.25">
      <c r="A78" s="350" t="str">
        <f>C10</f>
        <v>Agilidad</v>
      </c>
      <c r="B78" s="350"/>
      <c r="C78">
        <f>D10*H75</f>
        <v>7</v>
      </c>
      <c r="D78" s="288">
        <f t="shared" ref="D78:G78" si="9">ROUNDDOWN(C78*1.7,0)</f>
        <v>11</v>
      </c>
      <c r="E78" s="288">
        <f t="shared" si="9"/>
        <v>18</v>
      </c>
      <c r="F78" s="288">
        <f t="shared" si="9"/>
        <v>30</v>
      </c>
      <c r="G78" s="288">
        <f t="shared" si="9"/>
        <v>51</v>
      </c>
    </row>
    <row r="79" spans="1:8" x14ac:dyDescent="0.25">
      <c r="A79" s="350" t="str">
        <f>C11</f>
        <v>Inteligencia</v>
      </c>
      <c r="B79" s="350"/>
      <c r="C79">
        <f>D11*H75</f>
        <v>7</v>
      </c>
      <c r="D79" s="288">
        <f t="shared" ref="D79:G79" si="10">ROUNDDOWN(C79*1.7,0)</f>
        <v>11</v>
      </c>
      <c r="E79" s="288">
        <f t="shared" si="10"/>
        <v>18</v>
      </c>
      <c r="F79" s="288">
        <f t="shared" si="10"/>
        <v>30</v>
      </c>
      <c r="G79" s="288">
        <f t="shared" si="10"/>
        <v>51</v>
      </c>
    </row>
    <row r="80" spans="1:8" x14ac:dyDescent="0.25">
      <c r="A80" s="350" t="s">
        <v>77</v>
      </c>
      <c r="B80" s="350"/>
      <c r="C80">
        <f>(C$23+C$24)/2*$H$75</f>
        <v>0</v>
      </c>
      <c r="D80">
        <f>(D$23+D$24)/2*$H$75</f>
        <v>3.5</v>
      </c>
      <c r="E80">
        <f>(E$23+E$24)/2*$H$75</f>
        <v>10.5</v>
      </c>
      <c r="F80">
        <f>(F$23+F$24)/2*$H$75</f>
        <v>17.5</v>
      </c>
      <c r="G80">
        <f>(G$23+G$24)/2*$H$75</f>
        <v>24.5</v>
      </c>
    </row>
    <row r="81" spans="1:8" x14ac:dyDescent="0.25">
      <c r="A81" s="371" t="s">
        <v>49</v>
      </c>
      <c r="B81" s="371"/>
      <c r="C81" s="371"/>
      <c r="D81" s="371"/>
      <c r="E81" s="371"/>
      <c r="F81" s="371"/>
      <c r="G81" s="371"/>
    </row>
    <row r="82" spans="1:8" x14ac:dyDescent="0.25">
      <c r="A82" s="350" t="s">
        <v>50</v>
      </c>
      <c r="B82" s="350"/>
      <c r="C82" s="5">
        <f>ROUNDDOWN(C32/5*H75,0)</f>
        <v>12</v>
      </c>
      <c r="D82" s="5">
        <f>ROUNDDOWN(D32/5*H75,0)</f>
        <v>37</v>
      </c>
      <c r="E82" s="5">
        <f>ROUNDDOWN(E32/5*H75,0)</f>
        <v>112</v>
      </c>
      <c r="F82" s="5">
        <f>ROUNDDOWN(F32/5*H75,0)</f>
        <v>336</v>
      </c>
      <c r="G82" s="5">
        <f>ROUNDDOWN(G32/5*H75,0)</f>
        <v>672</v>
      </c>
    </row>
    <row r="83" spans="1:8" x14ac:dyDescent="0.25">
      <c r="A83" s="350" t="str">
        <f>C12</f>
        <v>Esencia</v>
      </c>
      <c r="B83" s="350"/>
      <c r="C83" s="5">
        <f>ROUNDDOWN(C82/3,0)</f>
        <v>4</v>
      </c>
      <c r="D83" s="5">
        <f t="shared" ref="D83:G83" si="11">ROUNDDOWN(D82/3,0)</f>
        <v>12</v>
      </c>
      <c r="E83" s="5">
        <f t="shared" si="11"/>
        <v>37</v>
      </c>
      <c r="F83" s="5">
        <f t="shared" si="11"/>
        <v>112</v>
      </c>
      <c r="G83" s="5">
        <f t="shared" si="11"/>
        <v>224</v>
      </c>
    </row>
    <row r="84" spans="1:8" x14ac:dyDescent="0.25">
      <c r="A84" s="373"/>
      <c r="B84" s="373"/>
    </row>
    <row r="85" spans="1:8" ht="27.75" customHeight="1" x14ac:dyDescent="0.25">
      <c r="A85" s="370" t="s">
        <v>66</v>
      </c>
      <c r="B85" s="370"/>
      <c r="C85" s="3" t="s">
        <v>0</v>
      </c>
      <c r="D85" s="3" t="s">
        <v>86</v>
      </c>
      <c r="E85" s="3" t="s">
        <v>83</v>
      </c>
      <c r="F85" s="3" t="s">
        <v>84</v>
      </c>
      <c r="G85" s="3" t="s">
        <v>85</v>
      </c>
      <c r="H85" s="3" t="s">
        <v>62</v>
      </c>
    </row>
    <row r="86" spans="1:8" x14ac:dyDescent="0.25">
      <c r="A86" s="371" t="s">
        <v>20</v>
      </c>
      <c r="B86" s="371"/>
      <c r="C86" s="371"/>
      <c r="D86" s="371"/>
      <c r="E86" s="371"/>
      <c r="F86" s="371"/>
      <c r="G86" s="371"/>
      <c r="H86" s="6">
        <v>4</v>
      </c>
    </row>
    <row r="87" spans="1:8" x14ac:dyDescent="0.25">
      <c r="A87" s="350" t="str">
        <f>C8</f>
        <v>Vitalidad</v>
      </c>
      <c r="B87" s="350"/>
      <c r="C87">
        <f>D9*H86</f>
        <v>4</v>
      </c>
      <c r="D87" s="288">
        <f>ROUNDDOWN(C87*1.7,0)</f>
        <v>6</v>
      </c>
      <c r="E87" s="288">
        <f>ROUNDDOWN(D87*1.7,0)</f>
        <v>10</v>
      </c>
      <c r="F87" s="288">
        <f>ROUNDDOWN(E87*1.7,0)</f>
        <v>17</v>
      </c>
      <c r="G87" s="288">
        <f>ROUNDDOWN(F87*1.7,0)</f>
        <v>28</v>
      </c>
      <c r="H87" s="26" t="s">
        <v>120</v>
      </c>
    </row>
    <row r="88" spans="1:8" x14ac:dyDescent="0.25">
      <c r="A88" s="350" t="str">
        <f>C9</f>
        <v>Fuerza</v>
      </c>
      <c r="B88" s="350"/>
      <c r="C88">
        <f>D10*H86</f>
        <v>4</v>
      </c>
      <c r="D88" s="288">
        <f t="shared" ref="D88:G88" si="12">ROUNDDOWN(C88*1.7,0)</f>
        <v>6</v>
      </c>
      <c r="E88" s="288">
        <f t="shared" si="12"/>
        <v>10</v>
      </c>
      <c r="F88" s="288">
        <f t="shared" si="12"/>
        <v>17</v>
      </c>
      <c r="G88" s="288">
        <f t="shared" si="12"/>
        <v>28</v>
      </c>
      <c r="H88" s="6">
        <v>4</v>
      </c>
    </row>
    <row r="89" spans="1:8" x14ac:dyDescent="0.25">
      <c r="A89" s="350" t="str">
        <f>C10</f>
        <v>Agilidad</v>
      </c>
      <c r="B89" s="350"/>
      <c r="C89">
        <f>D11*H86</f>
        <v>4</v>
      </c>
      <c r="D89" s="288">
        <f t="shared" ref="D89:G89" si="13">ROUNDDOWN(C89*1.7,0)</f>
        <v>6</v>
      </c>
      <c r="E89" s="288">
        <f t="shared" si="13"/>
        <v>10</v>
      </c>
      <c r="F89" s="288">
        <f t="shared" si="13"/>
        <v>17</v>
      </c>
      <c r="G89" s="288">
        <f t="shared" si="13"/>
        <v>28</v>
      </c>
    </row>
    <row r="90" spans="1:8" x14ac:dyDescent="0.25">
      <c r="A90" s="350" t="str">
        <f>C11</f>
        <v>Inteligencia</v>
      </c>
      <c r="B90" s="350"/>
      <c r="C90">
        <f>D12*H86</f>
        <v>4</v>
      </c>
      <c r="D90" s="288">
        <f t="shared" ref="D90:G90" si="14">ROUNDDOWN(C90*1.7,0)</f>
        <v>6</v>
      </c>
      <c r="E90" s="288">
        <f t="shared" si="14"/>
        <v>10</v>
      </c>
      <c r="F90" s="288">
        <f t="shared" si="14"/>
        <v>17</v>
      </c>
      <c r="G90" s="288">
        <f t="shared" si="14"/>
        <v>28</v>
      </c>
    </row>
    <row r="91" spans="1:8" x14ac:dyDescent="0.25">
      <c r="A91" s="350" t="s">
        <v>77</v>
      </c>
      <c r="B91" s="350"/>
      <c r="C91">
        <f>(C$23+C$24)/2*$H$86</f>
        <v>0</v>
      </c>
      <c r="D91">
        <f>(D$23+D$24)/2*$H$86</f>
        <v>2</v>
      </c>
      <c r="E91">
        <f>(E$23+E$24)/2*$H$86</f>
        <v>6</v>
      </c>
      <c r="F91">
        <f>(F$23+F$24)/2*$H$86</f>
        <v>10</v>
      </c>
      <c r="G91">
        <f>(G$23+G$24)/2*$H$86</f>
        <v>14</v>
      </c>
    </row>
    <row r="92" spans="1:8" x14ac:dyDescent="0.25">
      <c r="A92" s="371" t="s">
        <v>49</v>
      </c>
      <c r="B92" s="371"/>
      <c r="C92" s="371"/>
      <c r="D92" s="371"/>
      <c r="E92" s="371"/>
      <c r="F92" s="371"/>
      <c r="G92" s="371"/>
    </row>
    <row r="93" spans="1:8" x14ac:dyDescent="0.25">
      <c r="A93" s="350" t="s">
        <v>50</v>
      </c>
      <c r="B93" s="350"/>
      <c r="C93" s="5">
        <f>ROUNDDOWN(C32/5*H86,0)</f>
        <v>7</v>
      </c>
      <c r="D93" s="5">
        <f>ROUNDDOWN(D32/5*H86,0)</f>
        <v>21</v>
      </c>
      <c r="E93" s="5">
        <f>ROUNDDOWN(E32/5*H86,0)</f>
        <v>64</v>
      </c>
      <c r="F93" s="5">
        <f>ROUNDDOWN(F32/5*H86,0)</f>
        <v>192</v>
      </c>
      <c r="G93" s="5">
        <f>ROUNDDOWN(G32/5*H86,0)</f>
        <v>384</v>
      </c>
    </row>
    <row r="94" spans="1:8" x14ac:dyDescent="0.25">
      <c r="A94" s="350" t="str">
        <f>C12</f>
        <v>Esencia</v>
      </c>
      <c r="B94" s="350"/>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36</v>
      </c>
      <c r="B2" s="300"/>
      <c r="C2" s="300">
        <f>'ECONOMIA &amp; PROFESIONES'!$N$3</f>
        <v>1</v>
      </c>
      <c r="D2" s="300"/>
      <c r="E2" s="300" t="s">
        <v>81</v>
      </c>
      <c r="F2" s="300"/>
      <c r="G2" s="300" t="s">
        <v>90</v>
      </c>
      <c r="H2" s="300"/>
      <c r="I2" s="300" t="str">
        <f>MAIN!$J$42</f>
        <v>&amp;4Poder de Arma:</v>
      </c>
      <c r="J2" s="300"/>
      <c r="K2" s="300">
        <f>MAIN!$L$42</f>
        <v>2</v>
      </c>
      <c r="L2" s="300"/>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8" t="str">
        <f>$I$2&amp;" "&amp;ROUND(MAIN!$C$44*$C$2*$K$2/5*$U$4,0)</f>
        <v>&amp;4Poder de Arma: 1</v>
      </c>
      <c r="W4" s="288" t="str">
        <f>$I$2&amp;" "&amp;ROUND(MAIN!$D$44*$C$2*$K$2/5*$U$4,0)</f>
        <v>&amp;4Poder de Arma: 2</v>
      </c>
      <c r="X4" s="288" t="str">
        <f>$I$2&amp;" "&amp;ROUND(MAIN!$E$44*$C$2*$K$2/5*$U$4,0)</f>
        <v>&amp;4Poder de Arma: 7</v>
      </c>
      <c r="Y4" s="288" t="str">
        <f>$I$2&amp;" "&amp;ROUND(MAIN!$F$44*$C$2*$K$2/5*$U$4,0)</f>
        <v>&amp;4Poder de Arma: 22</v>
      </c>
      <c r="Z4" s="288"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8" t="str">
        <f>$I$2&amp;" "&amp;ROUND(MAIN!$C$44*$C$2*$K$2/5*$U$5,0)</f>
        <v>&amp;4Poder de Arma: 2</v>
      </c>
      <c r="W5" s="288" t="str">
        <f>$I$2&amp;" "&amp;ROUND(MAIN!$D$44*$C$2*$K$2/5*$U$5,0)</f>
        <v>&amp;4Poder de Arma: 5</v>
      </c>
      <c r="X5" s="288" t="str">
        <f>$I$2&amp;" "&amp;ROUND(MAIN!$E$44*$C$2*$K$2/5*$U$5,0)</f>
        <v>&amp;4Poder de Arma: 14</v>
      </c>
      <c r="Y5" s="288" t="str">
        <f>$I$2&amp;" "&amp;ROUND(MAIN!$F$44*$C$2*$K$2/5*$U$5,0)</f>
        <v>&amp;4Poder de Arma: 43</v>
      </c>
      <c r="Z5" s="288"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8" t="str">
        <f>$I$2&amp;" "&amp;ROUND(MAIN!$C$44*$C$2*$K$2/5*$U$6,0)</f>
        <v>&amp;4Poder de Arma: 2</v>
      </c>
      <c r="W6" s="288" t="str">
        <f>$I$2&amp;" "&amp;ROUND(MAIN!$D$44*$C$2*$K$2/5*$U$6,0)</f>
        <v>&amp;4Poder de Arma: 7</v>
      </c>
      <c r="X6" s="288" t="str">
        <f>$I$2&amp;" "&amp;ROUND(MAIN!$E$44*$C$2*$K$2/5*$U$6,0)</f>
        <v>&amp;4Poder de Arma: 22</v>
      </c>
      <c r="Y6" s="288" t="str">
        <f>$I$2&amp;" "&amp;ROUND(MAIN!$F$44*$C$2*$K$2/5*$U$6,0)</f>
        <v>&amp;4Poder de Arma: 65</v>
      </c>
      <c r="Z6" s="288"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8" t="str">
        <f>$I$2&amp;" "&amp;ROUND(MAIN!$C$44*$C$2*$K$2/5*$U$7,0)</f>
        <v>&amp;4Poder de Arma: 3</v>
      </c>
      <c r="W7" s="288" t="str">
        <f>$I$2&amp;" "&amp;ROUND(MAIN!$D$44*$C$2*$K$2/5*$U$7,0)</f>
        <v>&amp;4Poder de Arma: 10</v>
      </c>
      <c r="X7" s="288" t="str">
        <f>$I$2&amp;" "&amp;ROUND(MAIN!$E$44*$C$2*$K$2/5*$U$7,0)</f>
        <v>&amp;4Poder de Arma: 29</v>
      </c>
      <c r="Y7" s="288" t="str">
        <f>$I$2&amp;" "&amp;ROUND(MAIN!$F$44*$C$2*$K$2/5*$U$7,0)</f>
        <v>&amp;4Poder de Arma: 86</v>
      </c>
      <c r="Z7" s="288"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8" t="str">
        <f>$I$2&amp;" "&amp;ROUND(MAIN!$C$44*$C$2*$K$2/5*$U$8,0)</f>
        <v>&amp;4Poder de Arma: 4</v>
      </c>
      <c r="W8" s="288" t="str">
        <f>$I$2&amp;" "&amp;ROUND(MAIN!$D$44*$C$2*$K$2/5*$U$8,0)</f>
        <v>&amp;4Poder de Arma: 12</v>
      </c>
      <c r="X8" s="288" t="str">
        <f>$I$2&amp;" "&amp;ROUND(MAIN!$E$44*$C$2*$K$2/5*$U$8,0)</f>
        <v>&amp;4Poder de Arma: 36</v>
      </c>
      <c r="Y8" s="288" t="str">
        <f>$I$2&amp;" "&amp;ROUND(MAIN!$F$44*$C$2*$K$2/5*$U$8,0)</f>
        <v>&amp;4Poder de Arma: 108</v>
      </c>
      <c r="Z8" s="288"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8">
        <v>1</v>
      </c>
      <c r="V4" s="288" t="str">
        <f>"+"&amp;ROUND(MAIN!$C$55*$C$2*$K$2/5*$U$4,0)&amp;" "&amp;$I$2</f>
        <v>+1 Armor</v>
      </c>
      <c r="W4" s="288" t="str">
        <f>"+"&amp;ROUND(MAIN!$D$55*$C$2*$K$2/5*$U$4,0)&amp;" "&amp;$I$2</f>
        <v>+2 Armor</v>
      </c>
      <c r="X4" s="288" t="str">
        <f>"+"&amp;ROUND(MAIN!$E$55*$C$2*$K$2/5*$U$4,0)&amp;" "&amp;$I$2</f>
        <v>+3 Armor</v>
      </c>
      <c r="Y4" s="288" t="str">
        <f>"+"&amp;ROUND(MAIN!$F$55*$C$2*$K$2/5*$U$4,0)&amp;" "&amp;$I$2</f>
        <v>+4 Armor</v>
      </c>
      <c r="Z4" s="288"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8">
        <v>2</v>
      </c>
      <c r="V5" s="288" t="str">
        <f>"+"&amp;ROUND(MAIN!$C$55*$C$2*$K$2/5*$U$5,0)&amp;" "&amp;$I$2</f>
        <v>+2 Armor</v>
      </c>
      <c r="W5" s="288" t="str">
        <f>"+"&amp;ROUND(MAIN!$D$55*$C$2*$K$2/5*$U$5,0)&amp;" "&amp;$I$2</f>
        <v>+3 Armor</v>
      </c>
      <c r="X5" s="288" t="str">
        <f>"+"&amp;ROUND(MAIN!$E$55*$C$2*$K$2/5*$U$5,0)&amp;" "&amp;$I$2</f>
        <v>+5 Armor</v>
      </c>
      <c r="Y5" s="288" t="str">
        <f>"+"&amp;ROUND(MAIN!$F$55*$C$2*$K$2/5*$U$5,0)&amp;" "&amp;$I$2</f>
        <v>+9 Armor</v>
      </c>
      <c r="Z5" s="288"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+3 Armor</v>
      </c>
      <c r="W6" s="288" t="str">
        <f>"+"&amp;ROUND(MAIN!$D$55*$C$2*$K$2/5*$U$6,0)&amp;" "&amp;$I$2</f>
        <v>+5 Armor</v>
      </c>
      <c r="X6" s="288" t="str">
        <f>"+"&amp;ROUND(MAIN!$E$55*$C$2*$K$2/5*$U$6,0)&amp;" "&amp;$I$2</f>
        <v>+8 Armor</v>
      </c>
      <c r="Y6" s="288" t="str">
        <f>"+"&amp;ROUND(MAIN!$F$55*$C$2*$K$2/5*$U$6,0)&amp;" "&amp;$I$2</f>
        <v>+13 Armor</v>
      </c>
      <c r="Z6" s="288"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+4 Armor</v>
      </c>
      <c r="W7" s="288" t="str">
        <f>"+"&amp;ROUND(MAIN!$D$55*$C$2*$K$2/5*$U$7,0)&amp;" "&amp;$I$2</f>
        <v>+6 Armor</v>
      </c>
      <c r="X7" s="288" t="str">
        <f>"+"&amp;ROUND(MAIN!$E$55*$C$2*$K$2/5*$U$7,0)&amp;" "&amp;$I$2</f>
        <v>+10 Armor</v>
      </c>
      <c r="Y7" s="288" t="str">
        <f>"+"&amp;ROUND(MAIN!$F$55*$C$2*$K$2/5*$U$7,0)&amp;" "&amp;$I$2</f>
        <v>+18 Armor</v>
      </c>
      <c r="Z7" s="288"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+5 Armor</v>
      </c>
      <c r="W8" s="288" t="str">
        <f>"+"&amp;ROUND(MAIN!$D$55*$C$2*$K$2/5*$U$8,0)&amp;" "&amp;$I$2</f>
        <v>+8 Armor</v>
      </c>
      <c r="X8" s="288" t="str">
        <f>"+"&amp;ROUND(MAIN!$E$55*$C$2*$K$2/5*$U$8,0)&amp;" "&amp;$I$2</f>
        <v>+13 Armor</v>
      </c>
      <c r="Y8" s="288" t="str">
        <f>"+"&amp;ROUND(MAIN!$F$55*$C$2*$K$2/5*$U$8,0)&amp;" "&amp;$I$2</f>
        <v>+22 Armor</v>
      </c>
      <c r="Z8" s="288"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100</v>
      </c>
      <c r="B2" s="300"/>
      <c r="C2" s="300">
        <f>'ECONOMIA &amp; PROFESIONES'!$O$3</f>
        <v>3</v>
      </c>
      <c r="D2" s="300"/>
      <c r="E2" s="300" t="s">
        <v>81</v>
      </c>
      <c r="F2" s="300"/>
      <c r="G2" s="300" t="s">
        <v>97</v>
      </c>
      <c r="H2" s="300"/>
      <c r="I2" s="300" t="str">
        <f>MAIN!$J$42</f>
        <v>&amp;4Poder de Arma:</v>
      </c>
      <c r="J2" s="300"/>
      <c r="K2" s="300">
        <f>MAIN!$L$42</f>
        <v>2</v>
      </c>
      <c r="L2" s="300"/>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$I$2&amp;" "&amp;ROUND(MAIN!$C$44*$C$2*$K$2/5*$U$4,0)</f>
        <v>&amp;4Poder de Arma: 2</v>
      </c>
      <c r="W4" s="288" t="str">
        <f>$I$2&amp;" "&amp;ROUND(MAIN!$D$44*$C$2*$K$2/5*$U$4,0)</f>
        <v>&amp;4Poder de Arma: 7</v>
      </c>
      <c r="X4" s="288" t="str">
        <f>$I$2&amp;" "&amp;ROUND(MAIN!$E$44*$C$2*$K$2/5*$U$4,0)</f>
        <v>&amp;4Poder de Arma: 22</v>
      </c>
      <c r="Y4" s="288" t="str">
        <f>$I$2&amp;" "&amp;ROUND(MAIN!$F$44*$C$2*$K$2/5*$U$4,0)</f>
        <v>&amp;4Poder de Arma: 65</v>
      </c>
      <c r="Z4" s="288"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$I$2&amp;" "&amp;ROUND(MAIN!$C$44*$C$2*$K$2/5*$U$5,0)</f>
        <v>&amp;4Poder de Arma: 5</v>
      </c>
      <c r="W5" s="288" t="str">
        <f>$I$2&amp;" "&amp;ROUND(MAIN!$D$44*$C$2*$K$2/5*$U$5,0)</f>
        <v>&amp;4Poder de Arma: 14</v>
      </c>
      <c r="X5" s="288" t="str">
        <f>$I$2&amp;" "&amp;ROUND(MAIN!$E$44*$C$2*$K$2/5*$U$5,0)</f>
        <v>&amp;4Poder de Arma: 43</v>
      </c>
      <c r="Y5" s="288" t="str">
        <f>$I$2&amp;" "&amp;ROUND(MAIN!$F$44*$C$2*$K$2/5*$U$5,0)</f>
        <v>&amp;4Poder de Arma: 130</v>
      </c>
      <c r="Z5" s="288"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&amp;4Poder de Arma: 7</v>
      </c>
      <c r="W6" s="288" t="str">
        <f>$I$2&amp;" "&amp;ROUND(MAIN!$D$44*$C$2*$K$2/5*$U$6,0)</f>
        <v>&amp;4Poder de Arma: 22</v>
      </c>
      <c r="X6" s="288" t="str">
        <f>$I$2&amp;" "&amp;ROUND(MAIN!$E$44*$C$2*$K$2/5*$U$6,0)</f>
        <v>&amp;4Poder de Arma: 65</v>
      </c>
      <c r="Y6" s="288" t="str">
        <f>$I$2&amp;" "&amp;ROUND(MAIN!$F$44*$C$2*$K$2/5*$U$6,0)</f>
        <v>&amp;4Poder de Arma: 194</v>
      </c>
      <c r="Z6" s="288"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&amp;4Poder de Arma: 10</v>
      </c>
      <c r="W7" s="288" t="str">
        <f>$I$2&amp;" "&amp;ROUND(MAIN!$D$44*$C$2*$K$2/5*$U$7,0)</f>
        <v>&amp;4Poder de Arma: 29</v>
      </c>
      <c r="X7" s="288" t="str">
        <f>$I$2&amp;" "&amp;ROUND(MAIN!$E$44*$C$2*$K$2/5*$U$7,0)</f>
        <v>&amp;4Poder de Arma: 86</v>
      </c>
      <c r="Y7" s="288" t="str">
        <f>$I$2&amp;" "&amp;ROUND(MAIN!$F$44*$C$2*$K$2/5*$U$7,0)</f>
        <v>&amp;4Poder de Arma: 259</v>
      </c>
      <c r="Z7" s="288"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&amp;4Poder de Arma: 12</v>
      </c>
      <c r="W8" s="288" t="str">
        <f>$I$2&amp;" "&amp;ROUND(MAIN!$D$44*$C$2*$K$2/5*$U$8,0)</f>
        <v>&amp;4Poder de Arma: 36</v>
      </c>
      <c r="X8" s="288" t="str">
        <f>$I$2&amp;" "&amp;ROUND(MAIN!$E$44*$C$2*$K$2/5*$U$8,0)</f>
        <v>&amp;4Poder de Arma: 108</v>
      </c>
      <c r="Y8" s="288" t="str">
        <f>$I$2&amp;" "&amp;ROUND(MAIN!$F$44*$C$2*$K$2/5*$U$8,0)</f>
        <v>&amp;4Poder de Arma: 324</v>
      </c>
      <c r="Z8" s="288"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8" customFormat="1" x14ac:dyDescent="0.25">
      <c r="A50" s="9" t="s">
        <v>1156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0"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0"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"+"&amp;ROUND(MAIN!$C$55*$C$2*$K$2/5*$U$4,0)&amp;" "&amp;$I$2</f>
        <v>+3 Armor</v>
      </c>
      <c r="W4" s="288" t="str">
        <f>"+"&amp;ROUND(MAIN!$D$55*$C$2*$K$2/5*$U$4,0)&amp;" "&amp;$I$2</f>
        <v>+5 Armor</v>
      </c>
      <c r="X4" s="288" t="str">
        <f>"+"&amp;ROUND(MAIN!$E$55*$C$2*$K$2/5*$U$4,0)&amp;" "&amp;$I$2</f>
        <v>+8 Armor</v>
      </c>
      <c r="Y4" s="288" t="str">
        <f>"+"&amp;ROUND(MAIN!$F$55*$C$2*$K$2/5*$U$4,0)&amp;" "&amp;$I$2</f>
        <v>+13 Armor</v>
      </c>
      <c r="Z4" s="288"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"+"&amp;ROUND(MAIN!$C$55*$C$2*$K$2/5*$U$5,0)&amp;" "&amp;$I$2</f>
        <v>+6 Armor</v>
      </c>
      <c r="W5" s="288" t="str">
        <f>"+"&amp;ROUND(MAIN!$D$55*$C$2*$K$2/5*$U$5,0)&amp;" "&amp;$I$2</f>
        <v>+10 Armor</v>
      </c>
      <c r="X5" s="288" t="str">
        <f>"+"&amp;ROUND(MAIN!$E$55*$C$2*$K$2/5*$U$5,0)&amp;" "&amp;$I$2</f>
        <v>+16 Armor</v>
      </c>
      <c r="Y5" s="288" t="str">
        <f>"+"&amp;ROUND(MAIN!$F$55*$C$2*$K$2/5*$U$5,0)&amp;" "&amp;$I$2</f>
        <v>+26 Armor</v>
      </c>
      <c r="Z5" s="288"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+9 Armor</v>
      </c>
      <c r="W6" s="288" t="str">
        <f>"+"&amp;ROUND(MAIN!$D$55*$C$2*$K$2/5*$U$6,0)&amp;" "&amp;$I$2</f>
        <v>+14 Armor</v>
      </c>
      <c r="X6" s="288" t="str">
        <f>"+"&amp;ROUND(MAIN!$E$55*$C$2*$K$2/5*$U$6,0)&amp;" "&amp;$I$2</f>
        <v>+23 Armor</v>
      </c>
      <c r="Y6" s="288" t="str">
        <f>"+"&amp;ROUND(MAIN!$F$55*$C$2*$K$2/5*$U$6,0)&amp;" "&amp;$I$2</f>
        <v>+40 Armor</v>
      </c>
      <c r="Z6" s="288"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+12 Armor</v>
      </c>
      <c r="W7" s="288" t="str">
        <f>"+"&amp;ROUND(MAIN!$D$55*$C$2*$K$2/5*$U$7,0)&amp;" "&amp;$I$2</f>
        <v>+19 Armor</v>
      </c>
      <c r="X7" s="288" t="str">
        <f>"+"&amp;ROUND(MAIN!$E$55*$C$2*$K$2/5*$U$7,0)&amp;" "&amp;$I$2</f>
        <v>+31 Armor</v>
      </c>
      <c r="Y7" s="288" t="str">
        <f>"+"&amp;ROUND(MAIN!$F$55*$C$2*$K$2/5*$U$7,0)&amp;" "&amp;$I$2</f>
        <v>+53 Armor</v>
      </c>
      <c r="Z7" s="288"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+15 Armor</v>
      </c>
      <c r="W8" s="288" t="str">
        <f>"+"&amp;ROUND(MAIN!$D$55*$C$2*$K$2/5*$U$8,0)&amp;" "&amp;$I$2</f>
        <v>+24 Armor</v>
      </c>
      <c r="X8" s="288" t="str">
        <f>"+"&amp;ROUND(MAIN!$E$55*$C$2*$K$2/5*$U$8,0)&amp;" "&amp;$I$2</f>
        <v>+39 Armor</v>
      </c>
      <c r="Y8" s="288" t="str">
        <f>"+"&amp;ROUND(MAIN!$F$55*$C$2*$K$2/5*$U$8,0)&amp;" "&amp;$I$2</f>
        <v>+66 Armor</v>
      </c>
      <c r="Z8" s="288"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102</v>
      </c>
      <c r="B2" s="300"/>
      <c r="C2" s="300">
        <f>'ECONOMIA &amp; PROFESIONES'!$P$3</f>
        <v>5</v>
      </c>
      <c r="D2" s="300"/>
      <c r="E2" s="300" t="s">
        <v>81</v>
      </c>
      <c r="F2" s="300"/>
      <c r="G2" s="300" t="s">
        <v>103</v>
      </c>
      <c r="H2" s="300"/>
      <c r="I2" s="300" t="str">
        <f>MAIN!$J$42</f>
        <v>&amp;4Poder de Arma:</v>
      </c>
      <c r="J2" s="300"/>
      <c r="K2" s="300">
        <f>MAIN!$L$42</f>
        <v>2</v>
      </c>
      <c r="L2" s="300"/>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$I$2&amp;" "&amp;ROUND(MAIN!$C$44*$C$2*$K$2/5*$U$4,0)</f>
        <v>&amp;4Poder de Arma: 4</v>
      </c>
      <c r="W4" s="288" t="str">
        <f>$I$2&amp;" "&amp;ROUND(MAIN!$D$44*$C$2*$K$2/5*$U$4,0)</f>
        <v>&amp;4Poder de Arma: 12</v>
      </c>
      <c r="X4" s="288" t="str">
        <f>$I$2&amp;" "&amp;ROUND(MAIN!$E$44*$C$2*$K$2/5*$U$4,0)</f>
        <v>&amp;4Poder de Arma: 36</v>
      </c>
      <c r="Y4" s="288" t="str">
        <f>$I$2&amp;" "&amp;ROUND(MAIN!$F$44*$C$2*$K$2/5*$U$4,0)</f>
        <v>&amp;4Poder de Arma: 108</v>
      </c>
      <c r="Z4" s="288"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$I$2&amp;" "&amp;ROUND(MAIN!$C$44*$C$2*$K$2/5*$U$5,0)</f>
        <v>&amp;4Poder de Arma: 8</v>
      </c>
      <c r="W5" s="288" t="str">
        <f>$I$2&amp;" "&amp;ROUND(MAIN!$D$44*$C$2*$K$2/5*$U$5,0)</f>
        <v>&amp;4Poder de Arma: 24</v>
      </c>
      <c r="X5" s="288" t="str">
        <f>$I$2&amp;" "&amp;ROUND(MAIN!$E$44*$C$2*$K$2/5*$U$5,0)</f>
        <v>&amp;4Poder de Arma: 72</v>
      </c>
      <c r="Y5" s="288" t="str">
        <f>$I$2&amp;" "&amp;ROUND(MAIN!$F$44*$C$2*$K$2/5*$U$5,0)</f>
        <v>&amp;4Poder de Arma: 216</v>
      </c>
      <c r="Z5" s="288"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&amp;4Poder de Arma: 12</v>
      </c>
      <c r="W6" s="288" t="str">
        <f>$I$2&amp;" "&amp;ROUND(MAIN!$D$44*$C$2*$K$2/5*$U$6,0)</f>
        <v>&amp;4Poder de Arma: 36</v>
      </c>
      <c r="X6" s="288" t="str">
        <f>$I$2&amp;" "&amp;ROUND(MAIN!$E$44*$C$2*$K$2/5*$U$6,0)</f>
        <v>&amp;4Poder de Arma: 108</v>
      </c>
      <c r="Y6" s="288" t="str">
        <f>$I$2&amp;" "&amp;ROUND(MAIN!$F$44*$C$2*$K$2/5*$U$6,0)</f>
        <v>&amp;4Poder de Arma: 324</v>
      </c>
      <c r="Z6" s="288"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&amp;4Poder de Arma: 16</v>
      </c>
      <c r="W7" s="288" t="str">
        <f>$I$2&amp;" "&amp;ROUND(MAIN!$D$44*$C$2*$K$2/5*$U$7,0)</f>
        <v>&amp;4Poder de Arma: 48</v>
      </c>
      <c r="X7" s="288" t="str">
        <f>$I$2&amp;" "&amp;ROUND(MAIN!$E$44*$C$2*$K$2/5*$U$7,0)</f>
        <v>&amp;4Poder de Arma: 144</v>
      </c>
      <c r="Y7" s="288" t="str">
        <f>$I$2&amp;" "&amp;ROUND(MAIN!$F$44*$C$2*$K$2/5*$U$7,0)</f>
        <v>&amp;4Poder de Arma: 432</v>
      </c>
      <c r="Z7" s="288"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&amp;4Poder de Arma: 20</v>
      </c>
      <c r="W8" s="288" t="str">
        <f>$I$2&amp;" "&amp;ROUND(MAIN!$D$44*$C$2*$K$2/5*$U$8,0)</f>
        <v>&amp;4Poder de Arma: 60</v>
      </c>
      <c r="X8" s="288" t="str">
        <f>$I$2&amp;" "&amp;ROUND(MAIN!$E$44*$C$2*$K$2/5*$U$8,0)</f>
        <v>&amp;4Poder de Arma: 180</v>
      </c>
      <c r="Y8" s="288" t="str">
        <f>$I$2&amp;" "&amp;ROUND(MAIN!$F$44*$C$2*$K$2/5*$U$8,0)</f>
        <v>&amp;4Poder de Arma: 540</v>
      </c>
      <c r="Z8" s="288"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"+"&amp;ROUND(MAIN!$C$55*$C$2*$K$2/5*$U$4,0)&amp;" "&amp;$I$2</f>
        <v>+5 Armor</v>
      </c>
      <c r="W4" s="288" t="str">
        <f>"+"&amp;ROUND(MAIN!$D$55*$C$2*$K$2/5*$U$4,0)&amp;" "&amp;$I$2</f>
        <v>+8 Armor</v>
      </c>
      <c r="X4" s="288" t="str">
        <f>"+"&amp;ROUND(MAIN!$E$55*$C$2*$K$2/5*$U$4,0)&amp;" "&amp;$I$2</f>
        <v>+13 Armor</v>
      </c>
      <c r="Y4" s="288" t="str">
        <f>"+"&amp;ROUND(MAIN!$F$55*$C$2*$K$2/5*$U$4,0)&amp;" "&amp;$I$2</f>
        <v>+22 Armor</v>
      </c>
      <c r="Z4" s="288"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"+"&amp;ROUND(MAIN!$C$55*$C$2*$K$2/5*$U$5,0)&amp;" "&amp;$I$2</f>
        <v>+10 Armor</v>
      </c>
      <c r="W5" s="288" t="str">
        <f>"+"&amp;ROUND(MAIN!$D$55*$C$2*$K$2/5*$U$5,0)&amp;" "&amp;$I$2</f>
        <v>+16 Armor</v>
      </c>
      <c r="X5" s="288" t="str">
        <f>"+"&amp;ROUND(MAIN!$E$55*$C$2*$K$2/5*$U$5,0)&amp;" "&amp;$I$2</f>
        <v>+26 Armor</v>
      </c>
      <c r="Y5" s="288" t="str">
        <f>"+"&amp;ROUND(MAIN!$F$55*$C$2*$K$2/5*$U$5,0)&amp;" "&amp;$I$2</f>
        <v>+44 Armor</v>
      </c>
      <c r="Z5" s="288"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+15 Armor</v>
      </c>
      <c r="W6" s="288" t="str">
        <f>"+"&amp;ROUND(MAIN!$D$55*$C$2*$K$2/5*$U$6,0)&amp;" "&amp;$I$2</f>
        <v>+24 Armor</v>
      </c>
      <c r="X6" s="288" t="str">
        <f>"+"&amp;ROUND(MAIN!$E$55*$C$2*$K$2/5*$U$6,0)&amp;" "&amp;$I$2</f>
        <v>+39 Armor</v>
      </c>
      <c r="Y6" s="288" t="str">
        <f>"+"&amp;ROUND(MAIN!$F$55*$C$2*$K$2/5*$U$6,0)&amp;" "&amp;$I$2</f>
        <v>+66 Armor</v>
      </c>
      <c r="Z6" s="288"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+20 Armor</v>
      </c>
      <c r="W7" s="288" t="str">
        <f>"+"&amp;ROUND(MAIN!$D$55*$C$2*$K$2/5*$U$7,0)&amp;" "&amp;$I$2</f>
        <v>+32 Armor</v>
      </c>
      <c r="X7" s="288" t="str">
        <f>"+"&amp;ROUND(MAIN!$E$55*$C$2*$K$2/5*$U$7,0)&amp;" "&amp;$I$2</f>
        <v>+52 Armor</v>
      </c>
      <c r="Y7" s="288" t="str">
        <f>"+"&amp;ROUND(MAIN!$F$55*$C$2*$K$2/5*$U$7,0)&amp;" "&amp;$I$2</f>
        <v>+88 Armor</v>
      </c>
      <c r="Z7" s="288"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+25 Armor</v>
      </c>
      <c r="W8" s="288" t="str">
        <f>"+"&amp;ROUND(MAIN!$D$55*$C$2*$K$2/5*$U$8,0)&amp;" "&amp;$I$2</f>
        <v>+40 Armor</v>
      </c>
      <c r="X8" s="288" t="str">
        <f>"+"&amp;ROUND(MAIN!$E$55*$C$2*$K$2/5*$U$8,0)&amp;" "&amp;$I$2</f>
        <v>+65 Armor</v>
      </c>
      <c r="Y8" s="288" t="str">
        <f>"+"&amp;ROUND(MAIN!$F$55*$C$2*$K$2/5*$U$8,0)&amp;" "&amp;$I$2</f>
        <v>+110 Armor</v>
      </c>
      <c r="Z8" s="288"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104</v>
      </c>
      <c r="B2" s="300"/>
      <c r="C2" s="300">
        <f>'ECONOMIA &amp; PROFESIONES'!$Q$3</f>
        <v>7</v>
      </c>
      <c r="D2" s="300"/>
      <c r="E2" s="300" t="s">
        <v>81</v>
      </c>
      <c r="F2" s="300"/>
      <c r="G2" s="300" t="s">
        <v>3</v>
      </c>
      <c r="H2" s="300"/>
      <c r="I2" s="300" t="str">
        <f>MAIN!$J$42</f>
        <v>&amp;4Poder de Arma:</v>
      </c>
      <c r="J2" s="300"/>
      <c r="K2" s="300">
        <f>MAIN!$L$42</f>
        <v>2</v>
      </c>
      <c r="L2" s="300"/>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$I$2&amp;" "&amp;ROUND(MAIN!$C$44*$C$2*$K$2/5*$U$4,0)</f>
        <v>&amp;4Poder de Arma: 6</v>
      </c>
      <c r="W4" s="288" t="str">
        <f>$I$2&amp;" "&amp;ROUND(MAIN!$D$44*$C$2*$K$2/5*$U$4,0)</f>
        <v>&amp;4Poder de Arma: 17</v>
      </c>
      <c r="X4" s="288" t="str">
        <f>$I$2&amp;" "&amp;ROUND(MAIN!$E$44*$C$2*$K$2/5*$U$4,0)</f>
        <v>&amp;4Poder de Arma: 50</v>
      </c>
      <c r="Y4" s="288" t="str">
        <f>$I$2&amp;" "&amp;ROUND(MAIN!$F$44*$C$2*$K$2/5*$U$4,0)</f>
        <v>&amp;4Poder de Arma: 151</v>
      </c>
      <c r="Z4" s="288"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$I$2&amp;" "&amp;ROUND(MAIN!$C$44*$C$2*$K$2/5*$U$5,0)</f>
        <v>&amp;4Poder de Arma: 11</v>
      </c>
      <c r="W5" s="288" t="str">
        <f>$I$2&amp;" "&amp;ROUND(MAIN!$D$44*$C$2*$K$2/5*$U$5,0)</f>
        <v>&amp;4Poder de Arma: 34</v>
      </c>
      <c r="X5" s="288" t="str">
        <f>$I$2&amp;" "&amp;ROUND(MAIN!$E$44*$C$2*$K$2/5*$U$5,0)</f>
        <v>&amp;4Poder de Arma: 101</v>
      </c>
      <c r="Y5" s="288" t="str">
        <f>$I$2&amp;" "&amp;ROUND(MAIN!$F$44*$C$2*$K$2/5*$U$5,0)</f>
        <v>&amp;4Poder de Arma: 302</v>
      </c>
      <c r="Z5" s="288"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&amp;4Poder de Arma: 17</v>
      </c>
      <c r="W6" s="288" t="str">
        <f>$I$2&amp;" "&amp;ROUND(MAIN!$D$44*$C$2*$K$2/5*$U$6,0)</f>
        <v>&amp;4Poder de Arma: 50</v>
      </c>
      <c r="X6" s="288" t="str">
        <f>$I$2&amp;" "&amp;ROUND(MAIN!$E$44*$C$2*$K$2/5*$U$6,0)</f>
        <v>&amp;4Poder de Arma: 151</v>
      </c>
      <c r="Y6" s="288" t="str">
        <f>$I$2&amp;" "&amp;ROUND(MAIN!$F$44*$C$2*$K$2/5*$U$6,0)</f>
        <v>&amp;4Poder de Arma: 454</v>
      </c>
      <c r="Z6" s="288"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&amp;4Poder de Arma: 22</v>
      </c>
      <c r="W7" s="288" t="str">
        <f>$I$2&amp;" "&amp;ROUND(MAIN!$D$44*$C$2*$K$2/5*$U$7,0)</f>
        <v>&amp;4Poder de Arma: 67</v>
      </c>
      <c r="X7" s="288" t="str">
        <f>$I$2&amp;" "&amp;ROUND(MAIN!$E$44*$C$2*$K$2/5*$U$7,0)</f>
        <v>&amp;4Poder de Arma: 202</v>
      </c>
      <c r="Y7" s="288" t="str">
        <f>$I$2&amp;" "&amp;ROUND(MAIN!$F$44*$C$2*$K$2/5*$U$7,0)</f>
        <v>&amp;4Poder de Arma: 605</v>
      </c>
      <c r="Z7" s="288"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&amp;4Poder de Arma: 28</v>
      </c>
      <c r="W8" s="288" t="str">
        <f>$I$2&amp;" "&amp;ROUND(MAIN!$D$44*$C$2*$K$2/5*$U$8,0)</f>
        <v>&amp;4Poder de Arma: 84</v>
      </c>
      <c r="X8" s="288" t="str">
        <f>$I$2&amp;" "&amp;ROUND(MAIN!$E$44*$C$2*$K$2/5*$U$8,0)</f>
        <v>&amp;4Poder de Arma: 252</v>
      </c>
      <c r="Y8" s="288" t="str">
        <f>$I$2&amp;" "&amp;ROUND(MAIN!$F$44*$C$2*$K$2/5*$U$8,0)</f>
        <v>&amp;4Poder de Arma: 756</v>
      </c>
      <c r="Z8" s="288"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"+"&amp;ROUND(MAIN!$C$55*$C$2*$K$2/5*$U$4,0)&amp;" "&amp;$I$2</f>
        <v>+7 Armor</v>
      </c>
      <c r="W4" s="288" t="str">
        <f>"+"&amp;ROUND(MAIN!$D$55*$C$2*$K$2/5*$U$4,0)&amp;" "&amp;$I$2</f>
        <v>+11 Armor</v>
      </c>
      <c r="X4" s="288" t="str">
        <f>"+"&amp;ROUND(MAIN!$E$55*$C$2*$K$2/5*$U$4,0)&amp;" "&amp;$I$2</f>
        <v>+18 Armor</v>
      </c>
      <c r="Y4" s="288" t="str">
        <f>"+"&amp;ROUND(MAIN!$F$55*$C$2*$K$2/5*$U$4,0)&amp;" "&amp;$I$2</f>
        <v>+31 Armor</v>
      </c>
      <c r="Z4" s="288"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"+"&amp;ROUND(MAIN!$C$55*$C$2*$K$2/5*$U$5,0)&amp;" "&amp;$I$2</f>
        <v>+14 Armor</v>
      </c>
      <c r="W5" s="288" t="str">
        <f>"+"&amp;ROUND(MAIN!$D$55*$C$2*$K$2/5*$U$5,0)&amp;" "&amp;$I$2</f>
        <v>+22 Armor</v>
      </c>
      <c r="X5" s="288" t="str">
        <f>"+"&amp;ROUND(MAIN!$E$55*$C$2*$K$2/5*$U$5,0)&amp;" "&amp;$I$2</f>
        <v>+36 Armor</v>
      </c>
      <c r="Y5" s="288" t="str">
        <f>"+"&amp;ROUND(MAIN!$F$55*$C$2*$K$2/5*$U$5,0)&amp;" "&amp;$I$2</f>
        <v>+62 Armor</v>
      </c>
      <c r="Z5" s="288"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+21 Armor</v>
      </c>
      <c r="W6" s="288" t="str">
        <f>"+"&amp;ROUND(MAIN!$D$55*$C$2*$K$2/5*$U$6,0)&amp;" "&amp;$I$2</f>
        <v>+34 Armor</v>
      </c>
      <c r="X6" s="288" t="str">
        <f>"+"&amp;ROUND(MAIN!$E$55*$C$2*$K$2/5*$U$6,0)&amp;" "&amp;$I$2</f>
        <v>+55 Armor</v>
      </c>
      <c r="Y6" s="288" t="str">
        <f>"+"&amp;ROUND(MAIN!$F$55*$C$2*$K$2/5*$U$6,0)&amp;" "&amp;$I$2</f>
        <v>+92 Armor</v>
      </c>
      <c r="Z6" s="288"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+28 Armor</v>
      </c>
      <c r="W7" s="288" t="str">
        <f>"+"&amp;ROUND(MAIN!$D$55*$C$2*$K$2/5*$U$7,0)&amp;" "&amp;$I$2</f>
        <v>+45 Armor</v>
      </c>
      <c r="X7" s="288" t="str">
        <f>"+"&amp;ROUND(MAIN!$E$55*$C$2*$K$2/5*$U$7,0)&amp;" "&amp;$I$2</f>
        <v>+73 Armor</v>
      </c>
      <c r="Y7" s="288" t="str">
        <f>"+"&amp;ROUND(MAIN!$F$55*$C$2*$K$2/5*$U$7,0)&amp;" "&amp;$I$2</f>
        <v>+123 Armor</v>
      </c>
      <c r="Z7" s="288"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+35 Armor</v>
      </c>
      <c r="W8" s="288" t="str">
        <f>"+"&amp;ROUND(MAIN!$D$55*$C$2*$K$2/5*$U$8,0)&amp;" "&amp;$I$2</f>
        <v>+56 Armor</v>
      </c>
      <c r="X8" s="288" t="str">
        <f>"+"&amp;ROUND(MAIN!$E$55*$C$2*$K$2/5*$U$8,0)&amp;" "&amp;$I$2</f>
        <v>+91 Armor</v>
      </c>
      <c r="Y8" s="288" t="str">
        <f>"+"&amp;ROUND(MAIN!$F$55*$C$2*$K$2/5*$U$8,0)&amp;" "&amp;$I$2</f>
        <v>+154 Armor</v>
      </c>
      <c r="Z8" s="288"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105</v>
      </c>
      <c r="B2" s="300"/>
      <c r="C2" s="300">
        <f>'ECONOMIA &amp; PROFESIONES'!$R$3</f>
        <v>9</v>
      </c>
      <c r="D2" s="300"/>
      <c r="E2" s="300" t="s">
        <v>107</v>
      </c>
      <c r="F2" s="300"/>
      <c r="G2" s="300" t="s">
        <v>106</v>
      </c>
      <c r="H2" s="300"/>
      <c r="I2" s="300" t="str">
        <f>MAIN!$J$42</f>
        <v>&amp;4Poder de Arma:</v>
      </c>
      <c r="J2" s="300"/>
      <c r="K2" s="300">
        <f>MAIN!$L$42</f>
        <v>2</v>
      </c>
      <c r="L2" s="300"/>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$I$2&amp;" "&amp;ROUND(MAIN!$C$44*$C$2*$K$2/5*$U$4,0)</f>
        <v>&amp;4Poder de Arma: 7</v>
      </c>
      <c r="W4" s="288" t="str">
        <f>$I$2&amp;" "&amp;ROUND(MAIN!$D$44*$C$2*$K$2/5*$U$4,0)</f>
        <v>&amp;4Poder de Arma: 22</v>
      </c>
      <c r="X4" s="288" t="str">
        <f>$I$2&amp;" "&amp;ROUND(MAIN!$E$44*$C$2*$K$2/5*$U$4,0)</f>
        <v>&amp;4Poder de Arma: 65</v>
      </c>
      <c r="Y4" s="288" t="str">
        <f>$I$2&amp;" "&amp;ROUND(MAIN!$F$44*$C$2*$K$2/5*$U$4,0)</f>
        <v>&amp;4Poder de Arma: 194</v>
      </c>
      <c r="Z4" s="288"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$I$2&amp;" "&amp;ROUND(MAIN!$C$44*$C$2*$K$2/5*$U$5,0)</f>
        <v>&amp;4Poder de Arma: 14</v>
      </c>
      <c r="W5" s="288" t="str">
        <f>$I$2&amp;" "&amp;ROUND(MAIN!$D$44*$C$2*$K$2/5*$U$5,0)</f>
        <v>&amp;4Poder de Arma: 43</v>
      </c>
      <c r="X5" s="288" t="str">
        <f>$I$2&amp;" "&amp;ROUND(MAIN!$E$44*$C$2*$K$2/5*$U$5,0)</f>
        <v>&amp;4Poder de Arma: 130</v>
      </c>
      <c r="Y5" s="288" t="str">
        <f>$I$2&amp;" "&amp;ROUND(MAIN!$F$44*$C$2*$K$2/5*$U$5,0)</f>
        <v>&amp;4Poder de Arma: 389</v>
      </c>
      <c r="Z5" s="288"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&amp;4Poder de Arma: 22</v>
      </c>
      <c r="W6" s="288" t="str">
        <f>$I$2&amp;" "&amp;ROUND(MAIN!$D$44*$C$2*$K$2/5*$U$6,0)</f>
        <v>&amp;4Poder de Arma: 65</v>
      </c>
      <c r="X6" s="288" t="str">
        <f>$I$2&amp;" "&amp;ROUND(MAIN!$E$44*$C$2*$K$2/5*$U$6,0)</f>
        <v>&amp;4Poder de Arma: 194</v>
      </c>
      <c r="Y6" s="288" t="str">
        <f>$I$2&amp;" "&amp;ROUND(MAIN!$F$44*$C$2*$K$2/5*$U$6,0)</f>
        <v>&amp;4Poder de Arma: 583</v>
      </c>
      <c r="Z6" s="288"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&amp;4Poder de Arma: 29</v>
      </c>
      <c r="W7" s="288" t="str">
        <f>$I$2&amp;" "&amp;ROUND(MAIN!$D$44*$C$2*$K$2/5*$U$7,0)</f>
        <v>&amp;4Poder de Arma: 86</v>
      </c>
      <c r="X7" s="288" t="str">
        <f>$I$2&amp;" "&amp;ROUND(MAIN!$E$44*$C$2*$K$2/5*$U$7,0)</f>
        <v>&amp;4Poder de Arma: 259</v>
      </c>
      <c r="Y7" s="288" t="str">
        <f>$I$2&amp;" "&amp;ROUND(MAIN!$F$44*$C$2*$K$2/5*$U$7,0)</f>
        <v>&amp;4Poder de Arma: 778</v>
      </c>
      <c r="Z7" s="288"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&amp;4Poder de Arma: 36</v>
      </c>
      <c r="W8" s="288" t="str">
        <f>$I$2&amp;" "&amp;ROUND(MAIN!$D$44*$C$2*$K$2/5*$U$8,0)</f>
        <v>&amp;4Poder de Arma: 108</v>
      </c>
      <c r="X8" s="288" t="str">
        <f>$I$2&amp;" "&amp;ROUND(MAIN!$E$44*$C$2*$K$2/5*$U$8,0)</f>
        <v>&amp;4Poder de Arma: 324</v>
      </c>
      <c r="Y8" s="288" t="str">
        <f>$I$2&amp;" "&amp;ROUND(MAIN!$F$44*$C$2*$K$2/5*$U$8,0)</f>
        <v>&amp;4Poder de Arma: 972</v>
      </c>
      <c r="Z8" s="288"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"+"&amp;ROUND(MAIN!$C$55*$C$2*$K$2/5*$U$4,0)&amp;" "&amp;$I$2</f>
        <v>+9 Armor</v>
      </c>
      <c r="W4" s="288" t="str">
        <f>"+"&amp;ROUND(MAIN!$D$55*$C$2*$K$2/5*$U$4,0)&amp;" "&amp;$I$2</f>
        <v>+14 Armor</v>
      </c>
      <c r="X4" s="288" t="str">
        <f>"+"&amp;ROUND(MAIN!$E$55*$C$2*$K$2/5*$U$4,0)&amp;" "&amp;$I$2</f>
        <v>+23 Armor</v>
      </c>
      <c r="Y4" s="288" t="str">
        <f>"+"&amp;ROUND(MAIN!$F$55*$C$2*$K$2/5*$U$4,0)&amp;" "&amp;$I$2</f>
        <v>+40 Armor</v>
      </c>
      <c r="Z4" s="288"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"+"&amp;ROUND(MAIN!$C$55*$C$2*$K$2/5*$U$5,0)&amp;" "&amp;$I$2</f>
        <v>+18 Armor</v>
      </c>
      <c r="W5" s="288" t="str">
        <f>"+"&amp;ROUND(MAIN!$D$55*$C$2*$K$2/5*$U$5,0)&amp;" "&amp;$I$2</f>
        <v>+29 Armor</v>
      </c>
      <c r="X5" s="288" t="str">
        <f>"+"&amp;ROUND(MAIN!$E$55*$C$2*$K$2/5*$U$5,0)&amp;" "&amp;$I$2</f>
        <v>+47 Armor</v>
      </c>
      <c r="Y5" s="288" t="str">
        <f>"+"&amp;ROUND(MAIN!$F$55*$C$2*$K$2/5*$U$5,0)&amp;" "&amp;$I$2</f>
        <v>+79 Armor</v>
      </c>
      <c r="Z5" s="288"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+27 Armor</v>
      </c>
      <c r="W6" s="288" t="str">
        <f>"+"&amp;ROUND(MAIN!$D$55*$C$2*$K$2/5*$U$6,0)&amp;" "&amp;$I$2</f>
        <v>+43 Armor</v>
      </c>
      <c r="X6" s="288" t="str">
        <f>"+"&amp;ROUND(MAIN!$E$55*$C$2*$K$2/5*$U$6,0)&amp;" "&amp;$I$2</f>
        <v>+70 Armor</v>
      </c>
      <c r="Y6" s="288" t="str">
        <f>"+"&amp;ROUND(MAIN!$F$55*$C$2*$K$2/5*$U$6,0)&amp;" "&amp;$I$2</f>
        <v>+119 Armor</v>
      </c>
      <c r="Z6" s="288"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+36 Armor</v>
      </c>
      <c r="W7" s="288" t="str">
        <f>"+"&amp;ROUND(MAIN!$D$55*$C$2*$K$2/5*$U$7,0)&amp;" "&amp;$I$2</f>
        <v>+58 Armor</v>
      </c>
      <c r="X7" s="288" t="str">
        <f>"+"&amp;ROUND(MAIN!$E$55*$C$2*$K$2/5*$U$7,0)&amp;" "&amp;$I$2</f>
        <v>+94 Armor</v>
      </c>
      <c r="Y7" s="288" t="str">
        <f>"+"&amp;ROUND(MAIN!$F$55*$C$2*$K$2/5*$U$7,0)&amp;" "&amp;$I$2</f>
        <v>+158 Armor</v>
      </c>
      <c r="Z7" s="288"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+45 Armor</v>
      </c>
      <c r="W8" s="288" t="str">
        <f>"+"&amp;ROUND(MAIN!$D$55*$C$2*$K$2/5*$U$8,0)&amp;" "&amp;$I$2</f>
        <v>+72 Armor</v>
      </c>
      <c r="X8" s="288" t="str">
        <f>"+"&amp;ROUND(MAIN!$E$55*$C$2*$K$2/5*$U$8,0)&amp;" "&amp;$I$2</f>
        <v>+117 Armor</v>
      </c>
      <c r="Y8" s="288" t="str">
        <f>"+"&amp;ROUND(MAIN!$F$55*$C$2*$K$2/5*$U$8,0)&amp;" "&amp;$I$2</f>
        <v>+198 Armor</v>
      </c>
      <c r="Z8" s="288"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70" t="s">
        <v>19</v>
      </c>
      <c r="B1" s="370"/>
      <c r="C1" s="370" t="s">
        <v>70</v>
      </c>
      <c r="D1" s="370"/>
      <c r="E1" s="370" t="s">
        <v>80</v>
      </c>
      <c r="F1" s="370"/>
      <c r="G1" s="370" t="s">
        <v>89</v>
      </c>
      <c r="H1" s="370"/>
      <c r="I1" s="370" t="s">
        <v>1157</v>
      </c>
      <c r="J1" s="370"/>
      <c r="K1" s="370" t="s">
        <v>1159</v>
      </c>
      <c r="L1" s="370"/>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23</vt:i4>
      </vt:variant>
    </vt:vector>
  </HeadingPairs>
  <TitlesOfParts>
    <vt:vector size="57" baseType="lpstr">
      <vt:lpstr>Clases</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2018-04-12T04:39:20Z</dcterms:modified>
</cp:coreProperties>
</file>